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6QV97LA_1909\Desktop\LBMyFG\"/>
    </mc:Choice>
  </mc:AlternateContent>
  <xr:revisionPtr revIDLastSave="0" documentId="13_ncr:1_{9AA97245-7B12-4DC9-AE81-E868D56A6C7B}" xr6:coauthVersionLast="47" xr6:coauthVersionMax="47" xr10:uidLastSave="{00000000-0000-0000-0000-000000000000}"/>
  <bookViews>
    <workbookView xWindow="-108" yWindow="-108" windowWidth="23256" windowHeight="12456" firstSheet="6" activeTab="12" xr2:uid="{640201E7-497B-4DE1-8D49-9529A65EC156}"/>
  </bookViews>
  <sheets>
    <sheet name="Total" sheetId="1" r:id="rId1"/>
    <sheet name="Remanente" sheetId="28" r:id="rId2"/>
    <sheet name="Caducidad" sheetId="27" r:id="rId3"/>
    <sheet name="Principios activos" sheetId="26" r:id="rId4"/>
    <sheet name="Medicamentos" sheetId="25" r:id="rId5"/>
    <sheet name="LGS" sheetId="24" r:id="rId6"/>
    <sheet name="Tipo FF" sheetId="23" r:id="rId7"/>
    <sheet name="Envases" sheetId="22" r:id="rId8"/>
    <sheet name="Sector" sheetId="19" r:id="rId9"/>
    <sheet name="Derecho de explotación" sheetId="20" r:id="rId10"/>
    <sheet name="Origen" sheetId="21" r:id="rId11"/>
    <sheet name="ATC" sheetId="2" r:id="rId12"/>
    <sheet name="ATC_Gráfico" sheetId="3" r:id="rId13"/>
    <sheet name="Grupo A" sheetId="4" r:id="rId14"/>
    <sheet name="Grupo B" sheetId="5" r:id="rId15"/>
    <sheet name="Grupo C" sheetId="6" r:id="rId16"/>
    <sheet name="Grupo D" sheetId="7" r:id="rId17"/>
    <sheet name="Grupo G" sheetId="8" r:id="rId18"/>
    <sheet name="Grupo H" sheetId="9" r:id="rId19"/>
    <sheet name="Grupo J" sheetId="10" r:id="rId20"/>
    <sheet name="Grupo L" sheetId="11" r:id="rId21"/>
    <sheet name="Grupo M" sheetId="12" r:id="rId22"/>
    <sheet name="Grupo N" sheetId="13" r:id="rId23"/>
    <sheet name="Grupo P" sheetId="14" r:id="rId24"/>
    <sheet name="Grupo R" sheetId="15" r:id="rId25"/>
    <sheet name="Grupo S" sheetId="16" r:id="rId26"/>
    <sheet name="Grupo V" sheetId="18" r:id="rId27"/>
  </sheets>
  <definedNames>
    <definedName name="_xlchart.v1.0" hidden="1">Remanente!$A$1:$A$2981</definedName>
    <definedName name="_xlchart.v1.1" hidden="1">Remanente!$A$1:$A$2981</definedName>
    <definedName name="_xlchart.v1.2" hidden="1">Remanente!$A$1:$A$2981</definedName>
  </definedNames>
  <calcPr calcId="191029"/>
  <pivotCaches>
    <pivotCache cacheId="22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8" l="1"/>
  <c r="D11" i="28" s="1"/>
  <c r="D9" i="28"/>
  <c r="D8" i="28"/>
  <c r="D7" i="28"/>
  <c r="D6" i="28"/>
  <c r="D5" i="28"/>
  <c r="D4" i="28"/>
  <c r="D3" i="28"/>
  <c r="D2" i="28"/>
  <c r="D1" i="28"/>
  <c r="E1" i="28" s="1"/>
  <c r="R2" i="27"/>
  <c r="R1" i="27"/>
  <c r="Q3" i="27"/>
  <c r="Q2" i="27"/>
  <c r="Q1" i="27"/>
  <c r="O1" i="27" a="1"/>
  <c r="O1" i="27" s="1"/>
  <c r="M2979" i="27"/>
  <c r="M2978" i="27"/>
  <c r="M2977" i="27"/>
  <c r="M2976" i="27"/>
  <c r="M2975" i="27"/>
  <c r="M2974" i="27"/>
  <c r="M2973" i="27"/>
  <c r="M2972" i="27"/>
  <c r="M2971" i="27"/>
  <c r="M2970" i="27"/>
  <c r="M2969" i="27"/>
  <c r="M2968" i="27"/>
  <c r="M2967" i="27"/>
  <c r="M2966" i="27"/>
  <c r="M2965" i="27"/>
  <c r="M2964" i="27"/>
  <c r="M2963" i="27"/>
  <c r="M2962" i="27"/>
  <c r="M2961" i="27"/>
  <c r="M2960" i="27"/>
  <c r="M2959" i="27"/>
  <c r="M2958" i="27"/>
  <c r="M2957" i="27"/>
  <c r="M2956" i="27"/>
  <c r="M2955" i="27"/>
  <c r="M2954" i="27"/>
  <c r="M2953" i="27"/>
  <c r="M2952" i="27"/>
  <c r="M2951" i="27"/>
  <c r="M2950" i="27"/>
  <c r="M2949" i="27"/>
  <c r="M2948" i="27"/>
  <c r="M2947" i="27"/>
  <c r="M2946" i="27"/>
  <c r="M2945" i="27"/>
  <c r="M2944" i="27"/>
  <c r="M2943" i="27"/>
  <c r="M2942" i="27"/>
  <c r="M2941" i="27"/>
  <c r="M2940" i="27"/>
  <c r="M2939" i="27"/>
  <c r="M2938" i="27"/>
  <c r="M2937" i="27"/>
  <c r="M2936" i="27"/>
  <c r="M2935" i="27"/>
  <c r="M2934" i="27"/>
  <c r="M2933" i="27"/>
  <c r="M2932" i="27"/>
  <c r="M2931" i="27"/>
  <c r="M2930" i="27"/>
  <c r="M2929" i="27"/>
  <c r="M2928" i="27"/>
  <c r="M2927" i="27"/>
  <c r="M2926" i="27"/>
  <c r="M2925" i="27"/>
  <c r="M2924" i="27"/>
  <c r="M2923" i="27"/>
  <c r="M2922" i="27"/>
  <c r="M2921" i="27"/>
  <c r="M2920" i="27"/>
  <c r="M2919" i="27"/>
  <c r="M2918" i="27"/>
  <c r="M2917" i="27"/>
  <c r="M2916" i="27"/>
  <c r="M2915" i="27"/>
  <c r="M2914" i="27"/>
  <c r="M2913" i="27"/>
  <c r="M2912" i="27"/>
  <c r="M2911" i="27"/>
  <c r="M2910" i="27"/>
  <c r="M2909" i="27"/>
  <c r="M2908" i="27"/>
  <c r="M2907" i="27"/>
  <c r="M2906" i="27"/>
  <c r="M2905" i="27"/>
  <c r="M2904" i="27"/>
  <c r="M2903" i="27"/>
  <c r="M2902" i="27"/>
  <c r="M2901" i="27"/>
  <c r="M2900" i="27"/>
  <c r="M2899" i="27"/>
  <c r="M2898" i="27"/>
  <c r="M2897" i="27"/>
  <c r="M2896" i="27"/>
  <c r="M2895" i="27"/>
  <c r="M2894" i="27"/>
  <c r="M2893" i="27"/>
  <c r="M2892" i="27"/>
  <c r="M2891" i="27"/>
  <c r="M2890" i="27"/>
  <c r="M2889" i="27"/>
  <c r="M2888" i="27"/>
  <c r="M2887" i="27"/>
  <c r="M2886" i="27"/>
  <c r="M2885" i="27"/>
  <c r="M2884" i="27"/>
  <c r="M2883" i="27"/>
  <c r="M2882" i="27"/>
  <c r="M2881" i="27"/>
  <c r="M2880" i="27"/>
  <c r="M2879" i="27"/>
  <c r="M2878" i="27"/>
  <c r="M2877" i="27"/>
  <c r="M2876" i="27"/>
  <c r="M2875" i="27"/>
  <c r="M2874" i="27"/>
  <c r="M2873" i="27"/>
  <c r="M2872" i="27"/>
  <c r="M2871" i="27"/>
  <c r="M2870" i="27"/>
  <c r="M2869" i="27"/>
  <c r="M2868" i="27"/>
  <c r="M2867" i="27"/>
  <c r="M2866" i="27"/>
  <c r="M2865" i="27"/>
  <c r="M2864" i="27"/>
  <c r="M2863" i="27"/>
  <c r="M2862" i="27"/>
  <c r="M2861" i="27"/>
  <c r="M2860" i="27"/>
  <c r="M2859" i="27"/>
  <c r="M2858" i="27"/>
  <c r="M2857" i="27"/>
  <c r="M2856" i="27"/>
  <c r="M2855" i="27"/>
  <c r="M2854" i="27"/>
  <c r="M2853" i="27"/>
  <c r="M2852" i="27"/>
  <c r="M2851" i="27"/>
  <c r="M2850" i="27"/>
  <c r="M2849" i="27"/>
  <c r="M2848" i="27"/>
  <c r="M2847" i="27"/>
  <c r="M2846" i="27"/>
  <c r="M2845" i="27"/>
  <c r="M2844" i="27"/>
  <c r="M2843" i="27"/>
  <c r="M2842" i="27"/>
  <c r="M2841" i="27"/>
  <c r="M2840" i="27"/>
  <c r="M2839" i="27"/>
  <c r="M2838" i="27"/>
  <c r="M2837" i="27"/>
  <c r="M2836" i="27"/>
  <c r="M2835" i="27"/>
  <c r="M2834" i="27"/>
  <c r="M2833" i="27"/>
  <c r="M2832" i="27"/>
  <c r="M2831" i="27"/>
  <c r="M2830" i="27"/>
  <c r="M2829" i="27"/>
  <c r="M2828" i="27"/>
  <c r="M2827" i="27"/>
  <c r="M2826" i="27"/>
  <c r="M2825" i="27"/>
  <c r="M2824" i="27"/>
  <c r="M2823" i="27"/>
  <c r="M2822" i="27"/>
  <c r="M2821" i="27"/>
  <c r="M2820" i="27"/>
  <c r="M2819" i="27"/>
  <c r="M2818" i="27"/>
  <c r="M2817" i="27"/>
  <c r="M2816" i="27"/>
  <c r="M2815" i="27"/>
  <c r="M2814" i="27"/>
  <c r="M2813" i="27"/>
  <c r="M2812" i="27"/>
  <c r="M2811" i="27"/>
  <c r="M2810" i="27"/>
  <c r="M2809" i="27"/>
  <c r="M2808" i="27"/>
  <c r="M2807" i="27"/>
  <c r="M2806" i="27"/>
  <c r="M2805" i="27"/>
  <c r="M2804" i="27"/>
  <c r="M2803" i="27"/>
  <c r="M2802" i="27"/>
  <c r="M2801" i="27"/>
  <c r="M2800" i="27"/>
  <c r="M2799" i="27"/>
  <c r="M2798" i="27"/>
  <c r="M2797" i="27"/>
  <c r="M2796" i="27"/>
  <c r="M2795" i="27"/>
  <c r="M2794" i="27"/>
  <c r="M2793" i="27"/>
  <c r="M2792" i="27"/>
  <c r="M2791" i="27"/>
  <c r="M2790" i="27"/>
  <c r="M2789" i="27"/>
  <c r="M2788" i="27"/>
  <c r="M2787" i="27"/>
  <c r="M2786" i="27"/>
  <c r="M2785" i="27"/>
  <c r="M2784" i="27"/>
  <c r="M2783" i="27"/>
  <c r="M2782" i="27"/>
  <c r="M2781" i="27"/>
  <c r="M2780" i="27"/>
  <c r="M2779" i="27"/>
  <c r="M2778" i="27"/>
  <c r="M2777" i="27"/>
  <c r="M2776" i="27"/>
  <c r="M2775" i="27"/>
  <c r="M2774" i="27"/>
  <c r="M2773" i="27"/>
  <c r="M2772" i="27"/>
  <c r="M2771" i="27"/>
  <c r="M2770" i="27"/>
  <c r="M2769" i="27"/>
  <c r="M2768" i="27"/>
  <c r="M2767" i="27"/>
  <c r="M2766" i="27"/>
  <c r="M2765" i="27"/>
  <c r="M2764" i="27"/>
  <c r="M2763" i="27"/>
  <c r="M2762" i="27"/>
  <c r="M2761" i="27"/>
  <c r="M2760" i="27"/>
  <c r="M2759" i="27"/>
  <c r="M2758" i="27"/>
  <c r="M2757" i="27"/>
  <c r="M2756" i="27"/>
  <c r="M2755" i="27"/>
  <c r="M2754" i="27"/>
  <c r="M2753" i="27"/>
  <c r="M2752" i="27"/>
  <c r="M2751" i="27"/>
  <c r="M2750" i="27"/>
  <c r="M2749" i="27"/>
  <c r="M2748" i="27"/>
  <c r="M2747" i="27"/>
  <c r="M2746" i="27"/>
  <c r="M2745" i="27"/>
  <c r="M2744" i="27"/>
  <c r="M2743" i="27"/>
  <c r="M2742" i="27"/>
  <c r="M2741" i="27"/>
  <c r="M2740" i="27"/>
  <c r="M2739" i="27"/>
  <c r="M2738" i="27"/>
  <c r="M2737" i="27"/>
  <c r="M2736" i="27"/>
  <c r="M2735" i="27"/>
  <c r="M2734" i="27"/>
  <c r="M2733" i="27"/>
  <c r="M2732" i="27"/>
  <c r="M2731" i="27"/>
  <c r="M2730" i="27"/>
  <c r="M2729" i="27"/>
  <c r="M2728" i="27"/>
  <c r="M2727" i="27"/>
  <c r="M2726" i="27"/>
  <c r="M2725" i="27"/>
  <c r="M2724" i="27"/>
  <c r="M2723" i="27"/>
  <c r="M2722" i="27"/>
  <c r="M2721" i="27"/>
  <c r="M2720" i="27"/>
  <c r="M2719" i="27"/>
  <c r="M2718" i="27"/>
  <c r="M2717" i="27"/>
  <c r="M2716" i="27"/>
  <c r="M2715" i="27"/>
  <c r="M2714" i="27"/>
  <c r="M2713" i="27"/>
  <c r="M2712" i="27"/>
  <c r="M2711" i="27"/>
  <c r="M2710" i="27"/>
  <c r="M2709" i="27"/>
  <c r="M2708" i="27"/>
  <c r="M2707" i="27"/>
  <c r="M2706" i="27"/>
  <c r="M2705" i="27"/>
  <c r="M2704" i="27"/>
  <c r="M2703" i="27"/>
  <c r="M2702" i="27"/>
  <c r="M2701" i="27"/>
  <c r="M2700" i="27"/>
  <c r="M2699" i="27"/>
  <c r="M2698" i="27"/>
  <c r="M2697" i="27"/>
  <c r="M2696" i="27"/>
  <c r="M2695" i="27"/>
  <c r="M2694" i="27"/>
  <c r="M2693" i="27"/>
  <c r="M2692" i="27"/>
  <c r="M2691" i="27"/>
  <c r="M2690" i="27"/>
  <c r="M2689" i="27"/>
  <c r="M2688" i="27"/>
  <c r="M2687" i="27"/>
  <c r="M2686" i="27"/>
  <c r="M2685" i="27"/>
  <c r="M2684" i="27"/>
  <c r="M2683" i="27"/>
  <c r="M2682" i="27"/>
  <c r="M2681" i="27"/>
  <c r="M2680" i="27"/>
  <c r="M2679" i="27"/>
  <c r="M2678" i="27"/>
  <c r="M2677" i="27"/>
  <c r="M2676" i="27"/>
  <c r="M2675" i="27"/>
  <c r="M2674" i="27"/>
  <c r="M2673" i="27"/>
  <c r="M2672" i="27"/>
  <c r="M2671" i="27"/>
  <c r="M2670" i="27"/>
  <c r="M2669" i="27"/>
  <c r="M2668" i="27"/>
  <c r="M2667" i="27"/>
  <c r="M2666" i="27"/>
  <c r="M2665" i="27"/>
  <c r="M2664" i="27"/>
  <c r="M2663" i="27"/>
  <c r="M2662" i="27"/>
  <c r="M2661" i="27"/>
  <c r="M2660" i="27"/>
  <c r="M2659" i="27"/>
  <c r="M2658" i="27"/>
  <c r="M2657" i="27"/>
  <c r="M2656" i="27"/>
  <c r="M2655" i="27"/>
  <c r="M2654" i="27"/>
  <c r="M2653" i="27"/>
  <c r="M2652" i="27"/>
  <c r="M2651" i="27"/>
  <c r="M2650" i="27"/>
  <c r="M2649" i="27"/>
  <c r="M2648" i="27"/>
  <c r="M2647" i="27"/>
  <c r="M2646" i="27"/>
  <c r="M2645" i="27"/>
  <c r="M2644" i="27"/>
  <c r="M2643" i="27"/>
  <c r="M2642" i="27"/>
  <c r="M2641" i="27"/>
  <c r="M2640" i="27"/>
  <c r="M2639" i="27"/>
  <c r="M2638" i="27"/>
  <c r="M2637" i="27"/>
  <c r="M2636" i="27"/>
  <c r="M2635" i="27"/>
  <c r="M2634" i="27"/>
  <c r="M2633" i="27"/>
  <c r="M2632" i="27"/>
  <c r="M2631" i="27"/>
  <c r="M2630" i="27"/>
  <c r="M2629" i="27"/>
  <c r="M2628" i="27"/>
  <c r="M2627" i="27"/>
  <c r="M2626" i="27"/>
  <c r="M2625" i="27"/>
  <c r="M2624" i="27"/>
  <c r="M2623" i="27"/>
  <c r="M2622" i="27"/>
  <c r="M2621" i="27"/>
  <c r="M2620" i="27"/>
  <c r="M2619" i="27"/>
  <c r="M2618" i="27"/>
  <c r="M2617" i="27"/>
  <c r="M2616" i="27"/>
  <c r="M2615" i="27"/>
  <c r="M2614" i="27"/>
  <c r="M2613" i="27"/>
  <c r="M2612" i="27"/>
  <c r="M2611" i="27"/>
  <c r="M2610" i="27"/>
  <c r="M2609" i="27"/>
  <c r="M2608" i="27"/>
  <c r="M2607" i="27"/>
  <c r="M2606" i="27"/>
  <c r="M2605" i="27"/>
  <c r="M2604" i="27"/>
  <c r="M2603" i="27"/>
  <c r="M2602" i="27"/>
  <c r="M2601" i="27"/>
  <c r="M2600" i="27"/>
  <c r="M2599" i="27"/>
  <c r="M2598" i="27"/>
  <c r="M2597" i="27"/>
  <c r="M2596" i="27"/>
  <c r="M2595" i="27"/>
  <c r="M2594" i="27"/>
  <c r="M2593" i="27"/>
  <c r="M2592" i="27"/>
  <c r="M2591" i="27"/>
  <c r="M2590" i="27"/>
  <c r="M2589" i="27"/>
  <c r="M2588" i="27"/>
  <c r="M2587" i="27"/>
  <c r="M2586" i="27"/>
  <c r="M2585" i="27"/>
  <c r="M2584" i="27"/>
  <c r="M2583" i="27"/>
  <c r="M2582" i="27"/>
  <c r="M2581" i="27"/>
  <c r="M2580" i="27"/>
  <c r="M2579" i="27"/>
  <c r="M2578" i="27"/>
  <c r="M2577" i="27"/>
  <c r="M2576" i="27"/>
  <c r="M2575" i="27"/>
  <c r="M2574" i="27"/>
  <c r="M2573" i="27"/>
  <c r="M2572" i="27"/>
  <c r="M2571" i="27"/>
  <c r="M2570" i="27"/>
  <c r="M2569" i="27"/>
  <c r="M2568" i="27"/>
  <c r="M2567" i="27"/>
  <c r="M2566" i="27"/>
  <c r="M2565" i="27"/>
  <c r="M2564" i="27"/>
  <c r="M2563" i="27"/>
  <c r="M2562" i="27"/>
  <c r="M2561" i="27"/>
  <c r="M2560" i="27"/>
  <c r="M2559" i="27"/>
  <c r="M2558" i="27"/>
  <c r="M2557" i="27"/>
  <c r="M2556" i="27"/>
  <c r="M2555" i="27"/>
  <c r="M2554" i="27"/>
  <c r="M2553" i="27"/>
  <c r="M2552" i="27"/>
  <c r="M2551" i="27"/>
  <c r="M2550" i="27"/>
  <c r="M2549" i="27"/>
  <c r="M2548" i="27"/>
  <c r="M2547" i="27"/>
  <c r="M2546" i="27"/>
  <c r="M2545" i="27"/>
  <c r="M2544" i="27"/>
  <c r="M2543" i="27"/>
  <c r="M2542" i="27"/>
  <c r="M2541" i="27"/>
  <c r="M2540" i="27"/>
  <c r="M2539" i="27"/>
  <c r="M2538" i="27"/>
  <c r="M2537" i="27"/>
  <c r="M2536" i="27"/>
  <c r="M2535" i="27"/>
  <c r="M2534" i="27"/>
  <c r="M2533" i="27"/>
  <c r="M2532" i="27"/>
  <c r="M2531" i="27"/>
  <c r="M2530" i="27"/>
  <c r="M2529" i="27"/>
  <c r="M2528" i="27"/>
  <c r="M2527" i="27"/>
  <c r="M2526" i="27"/>
  <c r="M2525" i="27"/>
  <c r="M2524" i="27"/>
  <c r="M2523" i="27"/>
  <c r="M2522" i="27"/>
  <c r="M2521" i="27"/>
  <c r="M2520" i="27"/>
  <c r="M2519" i="27"/>
  <c r="M2518" i="27"/>
  <c r="M2517" i="27"/>
  <c r="M2516" i="27"/>
  <c r="M2515" i="27"/>
  <c r="M2514" i="27"/>
  <c r="M2513" i="27"/>
  <c r="M2512" i="27"/>
  <c r="M2511" i="27"/>
  <c r="M2510" i="27"/>
  <c r="M2509" i="27"/>
  <c r="M2508" i="27"/>
  <c r="M2507" i="27"/>
  <c r="M2506" i="27"/>
  <c r="M2505" i="27"/>
  <c r="M2504" i="27"/>
  <c r="M2503" i="27"/>
  <c r="M2502" i="27"/>
  <c r="M2501" i="27"/>
  <c r="M2500" i="27"/>
  <c r="M2499" i="27"/>
  <c r="M2498" i="27"/>
  <c r="M2497" i="27"/>
  <c r="M2496" i="27"/>
  <c r="M2495" i="27"/>
  <c r="M2494" i="27"/>
  <c r="M2493" i="27"/>
  <c r="M2492" i="27"/>
  <c r="M2491" i="27"/>
  <c r="M2490" i="27"/>
  <c r="M2489" i="27"/>
  <c r="M2488" i="27"/>
  <c r="M2487" i="27"/>
  <c r="M2486" i="27"/>
  <c r="M2485" i="27"/>
  <c r="M2484" i="27"/>
  <c r="M2483" i="27"/>
  <c r="M2482" i="27"/>
  <c r="M2481" i="27"/>
  <c r="M2480" i="27"/>
  <c r="M2479" i="27"/>
  <c r="M2478" i="27"/>
  <c r="M2477" i="27"/>
  <c r="M2476" i="27"/>
  <c r="M2475" i="27"/>
  <c r="M2474" i="27"/>
  <c r="M2473" i="27"/>
  <c r="M2472" i="27"/>
  <c r="M2471" i="27"/>
  <c r="M2470" i="27"/>
  <c r="M2469" i="27"/>
  <c r="M2468" i="27"/>
  <c r="M2467" i="27"/>
  <c r="M2466" i="27"/>
  <c r="M2465" i="27"/>
  <c r="M2464" i="27"/>
  <c r="M2463" i="27"/>
  <c r="M2462" i="27"/>
  <c r="M2461" i="27"/>
  <c r="M2460" i="27"/>
  <c r="M2459" i="27"/>
  <c r="M2458" i="27"/>
  <c r="M2457" i="27"/>
  <c r="M2456" i="27"/>
  <c r="M2455" i="27"/>
  <c r="M2454" i="27"/>
  <c r="M2453" i="27"/>
  <c r="M2452" i="27"/>
  <c r="M2451" i="27"/>
  <c r="M2450" i="27"/>
  <c r="M2449" i="27"/>
  <c r="M2448" i="27"/>
  <c r="M2447" i="27"/>
  <c r="M2446" i="27"/>
  <c r="M2445" i="27"/>
  <c r="M2444" i="27"/>
  <c r="M2443" i="27"/>
  <c r="M2442" i="27"/>
  <c r="M2441" i="27"/>
  <c r="M2440" i="27"/>
  <c r="M2439" i="27"/>
  <c r="M2438" i="27"/>
  <c r="M2437" i="27"/>
  <c r="M2436" i="27"/>
  <c r="M2435" i="27"/>
  <c r="M2434" i="27"/>
  <c r="M2433" i="27"/>
  <c r="M2432" i="27"/>
  <c r="M2431" i="27"/>
  <c r="M2430" i="27"/>
  <c r="M2429" i="27"/>
  <c r="M2428" i="27"/>
  <c r="M2427" i="27"/>
  <c r="M2426" i="27"/>
  <c r="M2425" i="27"/>
  <c r="M2424" i="27"/>
  <c r="M2423" i="27"/>
  <c r="M2422" i="27"/>
  <c r="M2421" i="27"/>
  <c r="M2420" i="27"/>
  <c r="M2419" i="27"/>
  <c r="M2418" i="27"/>
  <c r="M2417" i="27"/>
  <c r="M2416" i="27"/>
  <c r="M2415" i="27"/>
  <c r="M2414" i="27"/>
  <c r="M2413" i="27"/>
  <c r="M2412" i="27"/>
  <c r="M2411" i="27"/>
  <c r="M2410" i="27"/>
  <c r="M2409" i="27"/>
  <c r="M2408" i="27"/>
  <c r="M2407" i="27"/>
  <c r="M2406" i="27"/>
  <c r="M2405" i="27"/>
  <c r="M2404" i="27"/>
  <c r="M2403" i="27"/>
  <c r="M2402" i="27"/>
  <c r="M2401" i="27"/>
  <c r="M2400" i="27"/>
  <c r="M2399" i="27"/>
  <c r="M2398" i="27"/>
  <c r="M2397" i="27"/>
  <c r="M2396" i="27"/>
  <c r="M2395" i="27"/>
  <c r="M2394" i="27"/>
  <c r="M2393" i="27"/>
  <c r="M2392" i="27"/>
  <c r="M2391" i="27"/>
  <c r="M2390" i="27"/>
  <c r="M2389" i="27"/>
  <c r="M2388" i="27"/>
  <c r="M2387" i="27"/>
  <c r="M2386" i="27"/>
  <c r="M2385" i="27"/>
  <c r="M2384" i="27"/>
  <c r="M2383" i="27"/>
  <c r="M2382" i="27"/>
  <c r="M2381" i="27"/>
  <c r="M2380" i="27"/>
  <c r="M2379" i="27"/>
  <c r="M2378" i="27"/>
  <c r="M2377" i="27"/>
  <c r="M2376" i="27"/>
  <c r="M2375" i="27"/>
  <c r="M2374" i="27"/>
  <c r="M2373" i="27"/>
  <c r="M2372" i="27"/>
  <c r="M2371" i="27"/>
  <c r="M2370" i="27"/>
  <c r="M2369" i="27"/>
  <c r="M2368" i="27"/>
  <c r="M2367" i="27"/>
  <c r="M2366" i="27"/>
  <c r="M2365" i="27"/>
  <c r="M2364" i="27"/>
  <c r="M2363" i="27"/>
  <c r="M2362" i="27"/>
  <c r="M2361" i="27"/>
  <c r="M2360" i="27"/>
  <c r="M2359" i="27"/>
  <c r="M2358" i="27"/>
  <c r="M2357" i="27"/>
  <c r="M2356" i="27"/>
  <c r="M2355" i="27"/>
  <c r="M2354" i="27"/>
  <c r="M2353" i="27"/>
  <c r="M2352" i="27"/>
  <c r="M2351" i="27"/>
  <c r="M2350" i="27"/>
  <c r="M2349" i="27"/>
  <c r="M2348" i="27"/>
  <c r="M2347" i="27"/>
  <c r="M2346" i="27"/>
  <c r="M2345" i="27"/>
  <c r="M2344" i="27"/>
  <c r="M2343" i="27"/>
  <c r="M2342" i="27"/>
  <c r="M2341" i="27"/>
  <c r="M2340" i="27"/>
  <c r="M2339" i="27"/>
  <c r="M2338" i="27"/>
  <c r="M2337" i="27"/>
  <c r="M2336" i="27"/>
  <c r="M2335" i="27"/>
  <c r="M2334" i="27"/>
  <c r="M2333" i="27"/>
  <c r="M2332" i="27"/>
  <c r="M2331" i="27"/>
  <c r="M2330" i="27"/>
  <c r="M2329" i="27"/>
  <c r="M2328" i="27"/>
  <c r="M2327" i="27"/>
  <c r="M2326" i="27"/>
  <c r="M2325" i="27"/>
  <c r="M2324" i="27"/>
  <c r="M2323" i="27"/>
  <c r="M2322" i="27"/>
  <c r="M2321" i="27"/>
  <c r="M2320" i="27"/>
  <c r="M2319" i="27"/>
  <c r="M2318" i="27"/>
  <c r="M2317" i="27"/>
  <c r="M2316" i="27"/>
  <c r="M2315" i="27"/>
  <c r="M2314" i="27"/>
  <c r="M2313" i="27"/>
  <c r="M2312" i="27"/>
  <c r="M2311" i="27"/>
  <c r="M2310" i="27"/>
  <c r="M2309" i="27"/>
  <c r="M2308" i="27"/>
  <c r="M2307" i="27"/>
  <c r="M2306" i="27"/>
  <c r="M2305" i="27"/>
  <c r="M2304" i="27"/>
  <c r="M2303" i="27"/>
  <c r="M2302" i="27"/>
  <c r="M2301" i="27"/>
  <c r="M2300" i="27"/>
  <c r="M2299" i="27"/>
  <c r="M2298" i="27"/>
  <c r="M2297" i="27"/>
  <c r="M2296" i="27"/>
  <c r="M2295" i="27"/>
  <c r="M2294" i="27"/>
  <c r="M2293" i="27"/>
  <c r="M2292" i="27"/>
  <c r="M2291" i="27"/>
  <c r="M2290" i="27"/>
  <c r="M2289" i="27"/>
  <c r="M2288" i="27"/>
  <c r="M2287" i="27"/>
  <c r="M2286" i="27"/>
  <c r="M2285" i="27"/>
  <c r="M2284" i="27"/>
  <c r="M2283" i="27"/>
  <c r="M2282" i="27"/>
  <c r="M2281" i="27"/>
  <c r="M2280" i="27"/>
  <c r="M2279" i="27"/>
  <c r="M2278" i="27"/>
  <c r="M2277" i="27"/>
  <c r="M2276" i="27"/>
  <c r="M2275" i="27"/>
  <c r="M2274" i="27"/>
  <c r="M2273" i="27"/>
  <c r="M2272" i="27"/>
  <c r="M2271" i="27"/>
  <c r="M2270" i="27"/>
  <c r="M2269" i="27"/>
  <c r="M2268" i="27"/>
  <c r="M2267" i="27"/>
  <c r="M2266" i="27"/>
  <c r="M2265" i="27"/>
  <c r="M2264" i="27"/>
  <c r="M2263" i="27"/>
  <c r="M2262" i="27"/>
  <c r="M2261" i="27"/>
  <c r="M2260" i="27"/>
  <c r="M2259" i="27"/>
  <c r="M2258" i="27"/>
  <c r="M2257" i="27"/>
  <c r="M2256" i="27"/>
  <c r="M2255" i="27"/>
  <c r="M2254" i="27"/>
  <c r="M2253" i="27"/>
  <c r="M2252" i="27"/>
  <c r="M2251" i="27"/>
  <c r="M2250" i="27"/>
  <c r="M2249" i="27"/>
  <c r="M2248" i="27"/>
  <c r="M2247" i="27"/>
  <c r="M2246" i="27"/>
  <c r="M2245" i="27"/>
  <c r="M2244" i="27"/>
  <c r="M2243" i="27"/>
  <c r="M2242" i="27"/>
  <c r="M2241" i="27"/>
  <c r="M2240" i="27"/>
  <c r="M2239" i="27"/>
  <c r="M2238" i="27"/>
  <c r="M2237" i="27"/>
  <c r="M2236" i="27"/>
  <c r="M2235" i="27"/>
  <c r="M2234" i="27"/>
  <c r="M2233" i="27"/>
  <c r="M2232" i="27"/>
  <c r="M2231" i="27"/>
  <c r="M2230" i="27"/>
  <c r="M2229" i="27"/>
  <c r="M2228" i="27"/>
  <c r="M2227" i="27"/>
  <c r="M2226" i="27"/>
  <c r="M2225" i="27"/>
  <c r="M2224" i="27"/>
  <c r="M2223" i="27"/>
  <c r="M2222" i="27"/>
  <c r="M2221" i="27"/>
  <c r="M2220" i="27"/>
  <c r="M2219" i="27"/>
  <c r="M2218" i="27"/>
  <c r="M2217" i="27"/>
  <c r="M2216" i="27"/>
  <c r="M2215" i="27"/>
  <c r="M2214" i="27"/>
  <c r="M2213" i="27"/>
  <c r="M2212" i="27"/>
  <c r="M2211" i="27"/>
  <c r="M2210" i="27"/>
  <c r="M2209" i="27"/>
  <c r="M2208" i="27"/>
  <c r="M2207" i="27"/>
  <c r="M2206" i="27"/>
  <c r="M2205" i="27"/>
  <c r="M2204" i="27"/>
  <c r="M2203" i="27"/>
  <c r="M2202" i="27"/>
  <c r="M2201" i="27"/>
  <c r="M2200" i="27"/>
  <c r="M2199" i="27"/>
  <c r="M2198" i="27"/>
  <c r="M2197" i="27"/>
  <c r="M2196" i="27"/>
  <c r="M2195" i="27"/>
  <c r="M2194" i="27"/>
  <c r="M2193" i="27"/>
  <c r="M2192" i="27"/>
  <c r="M2191" i="27"/>
  <c r="M2190" i="27"/>
  <c r="M2189" i="27"/>
  <c r="M2188" i="27"/>
  <c r="M2187" i="27"/>
  <c r="M2186" i="27"/>
  <c r="M2185" i="27"/>
  <c r="M2184" i="27"/>
  <c r="M2183" i="27"/>
  <c r="M2182" i="27"/>
  <c r="M2181" i="27"/>
  <c r="M2180" i="27"/>
  <c r="M2179" i="27"/>
  <c r="M2178" i="27"/>
  <c r="M2177" i="27"/>
  <c r="M2176" i="27"/>
  <c r="M2175" i="27"/>
  <c r="M2174" i="27"/>
  <c r="M2173" i="27"/>
  <c r="M2172" i="27"/>
  <c r="M2171" i="27"/>
  <c r="M2170" i="27"/>
  <c r="M2169" i="27"/>
  <c r="M2168" i="27"/>
  <c r="M2167" i="27"/>
  <c r="M2166" i="27"/>
  <c r="M2165" i="27"/>
  <c r="M2164" i="27"/>
  <c r="M2163" i="27"/>
  <c r="M2162" i="27"/>
  <c r="M2161" i="27"/>
  <c r="M2160" i="27"/>
  <c r="M2159" i="27"/>
  <c r="M2158" i="27"/>
  <c r="M2157" i="27"/>
  <c r="M2156" i="27"/>
  <c r="M2155" i="27"/>
  <c r="M2154" i="27"/>
  <c r="M2153" i="27"/>
  <c r="M2152" i="27"/>
  <c r="M2151" i="27"/>
  <c r="M2150" i="27"/>
  <c r="M2149" i="27"/>
  <c r="M2148" i="27"/>
  <c r="M2147" i="27"/>
  <c r="M2146" i="27"/>
  <c r="M2145" i="27"/>
  <c r="M2144" i="27"/>
  <c r="M2143" i="27"/>
  <c r="M2142" i="27"/>
  <c r="M2141" i="27"/>
  <c r="M2140" i="27"/>
  <c r="M2139" i="27"/>
  <c r="M2138" i="27"/>
  <c r="M2137" i="27"/>
  <c r="M2136" i="27"/>
  <c r="M2135" i="27"/>
  <c r="M2134" i="27"/>
  <c r="M2133" i="27"/>
  <c r="M2132" i="27"/>
  <c r="M2131" i="27"/>
  <c r="M2130" i="27"/>
  <c r="M2129" i="27"/>
  <c r="M2128" i="27"/>
  <c r="M2127" i="27"/>
  <c r="M2126" i="27"/>
  <c r="M2125" i="27"/>
  <c r="M2124" i="27"/>
  <c r="M2123" i="27"/>
  <c r="M2122" i="27"/>
  <c r="M2121" i="27"/>
  <c r="M2120" i="27"/>
  <c r="M2119" i="27"/>
  <c r="M2118" i="27"/>
  <c r="M2117" i="27"/>
  <c r="M2116" i="27"/>
  <c r="M2115" i="27"/>
  <c r="M2114" i="27"/>
  <c r="M2113" i="27"/>
  <c r="M2112" i="27"/>
  <c r="M2111" i="27"/>
  <c r="M2110" i="27"/>
  <c r="M2109" i="27"/>
  <c r="M2108" i="27"/>
  <c r="M2107" i="27"/>
  <c r="M2106" i="27"/>
  <c r="M2105" i="27"/>
  <c r="M2104" i="27"/>
  <c r="M2103" i="27"/>
  <c r="M2102" i="27"/>
  <c r="M2101" i="27"/>
  <c r="M2100" i="27"/>
  <c r="M2099" i="27"/>
  <c r="M2098" i="27"/>
  <c r="M2097" i="27"/>
  <c r="M2096" i="27"/>
  <c r="M2095" i="27"/>
  <c r="M2094" i="27"/>
  <c r="M2093" i="27"/>
  <c r="M2092" i="27"/>
  <c r="M2091" i="27"/>
  <c r="M2090" i="27"/>
  <c r="M2089" i="27"/>
  <c r="M2088" i="27"/>
  <c r="M2087" i="27"/>
  <c r="M2086" i="27"/>
  <c r="M2085" i="27"/>
  <c r="M2084" i="27"/>
  <c r="M2083" i="27"/>
  <c r="M2082" i="27"/>
  <c r="M2081" i="27"/>
  <c r="M2080" i="27"/>
  <c r="M2079" i="27"/>
  <c r="M2078" i="27"/>
  <c r="M2077" i="27"/>
  <c r="M2076" i="27"/>
  <c r="M2075" i="27"/>
  <c r="M2074" i="27"/>
  <c r="M2073" i="27"/>
  <c r="M2072" i="27"/>
  <c r="M2071" i="27"/>
  <c r="M2070" i="27"/>
  <c r="M2069" i="27"/>
  <c r="M2068" i="27"/>
  <c r="M2067" i="27"/>
  <c r="M2066" i="27"/>
  <c r="M2065" i="27"/>
  <c r="M2064" i="27"/>
  <c r="M2063" i="27"/>
  <c r="M2062" i="27"/>
  <c r="M2061" i="27"/>
  <c r="M2060" i="27"/>
  <c r="M2059" i="27"/>
  <c r="M2058" i="27"/>
  <c r="M2057" i="27"/>
  <c r="M2056" i="27"/>
  <c r="M2055" i="27"/>
  <c r="M2054" i="27"/>
  <c r="M2053" i="27"/>
  <c r="M2052" i="27"/>
  <c r="M2051" i="27"/>
  <c r="M2050" i="27"/>
  <c r="M2049" i="27"/>
  <c r="M2048" i="27"/>
  <c r="M2047" i="27"/>
  <c r="M2046" i="27"/>
  <c r="M2045" i="27"/>
  <c r="M2044" i="27"/>
  <c r="M2043" i="27"/>
  <c r="M2042" i="27"/>
  <c r="M2041" i="27"/>
  <c r="M2040" i="27"/>
  <c r="M2039" i="27"/>
  <c r="M2038" i="27"/>
  <c r="M2037" i="27"/>
  <c r="M2036" i="27"/>
  <c r="M2035" i="27"/>
  <c r="M2034" i="27"/>
  <c r="M2033" i="27"/>
  <c r="M2032" i="27"/>
  <c r="M2031" i="27"/>
  <c r="M2030" i="27"/>
  <c r="M2029" i="27"/>
  <c r="M2028" i="27"/>
  <c r="M2027" i="27"/>
  <c r="M2026" i="27"/>
  <c r="M2025" i="27"/>
  <c r="M2024" i="27"/>
  <c r="M2023" i="27"/>
  <c r="M2022" i="27"/>
  <c r="M2021" i="27"/>
  <c r="M2020" i="27"/>
  <c r="M2019" i="27"/>
  <c r="M2018" i="27"/>
  <c r="M2017" i="27"/>
  <c r="M2016" i="27"/>
  <c r="M2015" i="27"/>
  <c r="M2014" i="27"/>
  <c r="M2013" i="27"/>
  <c r="M2012" i="27"/>
  <c r="M2011" i="27"/>
  <c r="M2010" i="27"/>
  <c r="M2009" i="27"/>
  <c r="M2008" i="27"/>
  <c r="M2007" i="27"/>
  <c r="M2006" i="27"/>
  <c r="M2005" i="27"/>
  <c r="M2004" i="27"/>
  <c r="M2003" i="27"/>
  <c r="M2002" i="27"/>
  <c r="M2001" i="27"/>
  <c r="M2000" i="27"/>
  <c r="M1999" i="27"/>
  <c r="M1998" i="27"/>
  <c r="M1997" i="27"/>
  <c r="M1996" i="27"/>
  <c r="M1995" i="27"/>
  <c r="M1994" i="27"/>
  <c r="M1993" i="27"/>
  <c r="M1992" i="27"/>
  <c r="M1991" i="27"/>
  <c r="M1990" i="27"/>
  <c r="M1989" i="27"/>
  <c r="M1988" i="27"/>
  <c r="M1987" i="27"/>
  <c r="M1986" i="27"/>
  <c r="M1985" i="27"/>
  <c r="M1984" i="27"/>
  <c r="M1983" i="27"/>
  <c r="M1982" i="27"/>
  <c r="M1981" i="27"/>
  <c r="M1980" i="27"/>
  <c r="M1979" i="27"/>
  <c r="M1978" i="27"/>
  <c r="M1977" i="27"/>
  <c r="M1976" i="27"/>
  <c r="M1975" i="27"/>
  <c r="M1974" i="27"/>
  <c r="M1973" i="27"/>
  <c r="M1972" i="27"/>
  <c r="M1971" i="27"/>
  <c r="M1970" i="27"/>
  <c r="M1969" i="27"/>
  <c r="M1968" i="27"/>
  <c r="M1967" i="27"/>
  <c r="M1966" i="27"/>
  <c r="M1965" i="27"/>
  <c r="M1964" i="27"/>
  <c r="M1963" i="27"/>
  <c r="M1962" i="27"/>
  <c r="M1961" i="27"/>
  <c r="M1960" i="27"/>
  <c r="M1959" i="27"/>
  <c r="M1958" i="27"/>
  <c r="M1957" i="27"/>
  <c r="M1956" i="27"/>
  <c r="M1955" i="27"/>
  <c r="M1954" i="27"/>
  <c r="M1953" i="27"/>
  <c r="M1952" i="27"/>
  <c r="M1951" i="27"/>
  <c r="M1950" i="27"/>
  <c r="M1949" i="27"/>
  <c r="M1948" i="27"/>
  <c r="M1947" i="27"/>
  <c r="M1946" i="27"/>
  <c r="M1945" i="27"/>
  <c r="M1944" i="27"/>
  <c r="M1943" i="27"/>
  <c r="M1942" i="27"/>
  <c r="M1941" i="27"/>
  <c r="M1940" i="27"/>
  <c r="M1939" i="27"/>
  <c r="M1938" i="27"/>
  <c r="M1937" i="27"/>
  <c r="M1936" i="27"/>
  <c r="M1935" i="27"/>
  <c r="M1934" i="27"/>
  <c r="M1933" i="27"/>
  <c r="M1932" i="27"/>
  <c r="M1931" i="27"/>
  <c r="M1930" i="27"/>
  <c r="M1929" i="27"/>
  <c r="M1928" i="27"/>
  <c r="M1927" i="27"/>
  <c r="M1926" i="27"/>
  <c r="M1925" i="27"/>
  <c r="M1924" i="27"/>
  <c r="M1923" i="27"/>
  <c r="M1922" i="27"/>
  <c r="M1921" i="27"/>
  <c r="M1920" i="27"/>
  <c r="M1919" i="27"/>
  <c r="M1918" i="27"/>
  <c r="M1917" i="27"/>
  <c r="M1916" i="27"/>
  <c r="M1915" i="27"/>
  <c r="M1914" i="27"/>
  <c r="M1913" i="27"/>
  <c r="M1912" i="27"/>
  <c r="M1911" i="27"/>
  <c r="M1910" i="27"/>
  <c r="M1909" i="27"/>
  <c r="M1908" i="27"/>
  <c r="M1907" i="27"/>
  <c r="M1906" i="27"/>
  <c r="M1905" i="27"/>
  <c r="M1904" i="27"/>
  <c r="M1903" i="27"/>
  <c r="M1902" i="27"/>
  <c r="M1901" i="27"/>
  <c r="M1900" i="27"/>
  <c r="M1899" i="27"/>
  <c r="M1898" i="27"/>
  <c r="M1897" i="27"/>
  <c r="M1896" i="27"/>
  <c r="M1895" i="27"/>
  <c r="M1894" i="27"/>
  <c r="M1893" i="27"/>
  <c r="M1892" i="27"/>
  <c r="M1891" i="27"/>
  <c r="M1890" i="27"/>
  <c r="M1889" i="27"/>
  <c r="M1888" i="27"/>
  <c r="M1887" i="27"/>
  <c r="M1886" i="27"/>
  <c r="M1885" i="27"/>
  <c r="M1884" i="27"/>
  <c r="M1883" i="27"/>
  <c r="M1882" i="27"/>
  <c r="M1881" i="27"/>
  <c r="M1880" i="27"/>
  <c r="M1879" i="27"/>
  <c r="M1878" i="27"/>
  <c r="M1877" i="27"/>
  <c r="M1876" i="27"/>
  <c r="M1875" i="27"/>
  <c r="M1874" i="27"/>
  <c r="M1873" i="27"/>
  <c r="M1872" i="27"/>
  <c r="M1871" i="27"/>
  <c r="M1870" i="27"/>
  <c r="M1869" i="27"/>
  <c r="M1868" i="27"/>
  <c r="M1867" i="27"/>
  <c r="M1866" i="27"/>
  <c r="M1865" i="27"/>
  <c r="M1864" i="27"/>
  <c r="M1863" i="27"/>
  <c r="M1862" i="27"/>
  <c r="M1861" i="27"/>
  <c r="M1860" i="27"/>
  <c r="M1859" i="27"/>
  <c r="M1858" i="27"/>
  <c r="M1857" i="27"/>
  <c r="M1856" i="27"/>
  <c r="M1855" i="27"/>
  <c r="M1854" i="27"/>
  <c r="M1853" i="27"/>
  <c r="M1852" i="27"/>
  <c r="M1851" i="27"/>
  <c r="M1850" i="27"/>
  <c r="M1849" i="27"/>
  <c r="M1848" i="27"/>
  <c r="M1847" i="27"/>
  <c r="M1846" i="27"/>
  <c r="M1845" i="27"/>
  <c r="M1844" i="27"/>
  <c r="M1843" i="27"/>
  <c r="M1842" i="27"/>
  <c r="M1841" i="27"/>
  <c r="M1840" i="27"/>
  <c r="M1839" i="27"/>
  <c r="M1838" i="27"/>
  <c r="M1837" i="27"/>
  <c r="M1836" i="27"/>
  <c r="M1835" i="27"/>
  <c r="M1834" i="27"/>
  <c r="M1833" i="27"/>
  <c r="M1832" i="27"/>
  <c r="M1831" i="27"/>
  <c r="M1830" i="27"/>
  <c r="M1829" i="27"/>
  <c r="M1828" i="27"/>
  <c r="M1827" i="27"/>
  <c r="M1826" i="27"/>
  <c r="M1825" i="27"/>
  <c r="M1824" i="27"/>
  <c r="M1823" i="27"/>
  <c r="M1822" i="27"/>
  <c r="M1821" i="27"/>
  <c r="M1820" i="27"/>
  <c r="M1819" i="27"/>
  <c r="M1818" i="27"/>
  <c r="M1817" i="27"/>
  <c r="M1816" i="27"/>
  <c r="M1815" i="27"/>
  <c r="M1814" i="27"/>
  <c r="M1813" i="27"/>
  <c r="M1812" i="27"/>
  <c r="M1811" i="27"/>
  <c r="M1810" i="27"/>
  <c r="M1809" i="27"/>
  <c r="M1808" i="27"/>
  <c r="M1807" i="27"/>
  <c r="M1806" i="27"/>
  <c r="M1805" i="27"/>
  <c r="M1804" i="27"/>
  <c r="M1803" i="27"/>
  <c r="M1802" i="27"/>
  <c r="M1801" i="27"/>
  <c r="M1800" i="27"/>
  <c r="M1799" i="27"/>
  <c r="M1798" i="27"/>
  <c r="M1797" i="27"/>
  <c r="M1796" i="27"/>
  <c r="M1795" i="27"/>
  <c r="M1794" i="27"/>
  <c r="M1793" i="27"/>
  <c r="M1792" i="27"/>
  <c r="M1791" i="27"/>
  <c r="M1790" i="27"/>
  <c r="M1789" i="27"/>
  <c r="M1788" i="27"/>
  <c r="M1787" i="27"/>
  <c r="M1786" i="27"/>
  <c r="M1785" i="27"/>
  <c r="M1784" i="27"/>
  <c r="M1783" i="27"/>
  <c r="M1782" i="27"/>
  <c r="M1781" i="27"/>
  <c r="M1780" i="27"/>
  <c r="M1779" i="27"/>
  <c r="M1778" i="27"/>
  <c r="M1777" i="27"/>
  <c r="M1776" i="27"/>
  <c r="M1775" i="27"/>
  <c r="M1774" i="27"/>
  <c r="M1773" i="27"/>
  <c r="M1772" i="27"/>
  <c r="M1771" i="27"/>
  <c r="M1770" i="27"/>
  <c r="M1769" i="27"/>
  <c r="M1768" i="27"/>
  <c r="M1767" i="27"/>
  <c r="M1766" i="27"/>
  <c r="M1765" i="27"/>
  <c r="M1764" i="27"/>
  <c r="M1763" i="27"/>
  <c r="M1762" i="27"/>
  <c r="M1761" i="27"/>
  <c r="M1760" i="27"/>
  <c r="M1759" i="27"/>
  <c r="M1758" i="27"/>
  <c r="M1757" i="27"/>
  <c r="M1756" i="27"/>
  <c r="M1755" i="27"/>
  <c r="M1754" i="27"/>
  <c r="M1753" i="27"/>
  <c r="M1752" i="27"/>
  <c r="M1751" i="27"/>
  <c r="M1750" i="27"/>
  <c r="M1749" i="27"/>
  <c r="M1748" i="27"/>
  <c r="M1747" i="27"/>
  <c r="M1746" i="27"/>
  <c r="M1745" i="27"/>
  <c r="M1744" i="27"/>
  <c r="M1743" i="27"/>
  <c r="M1742" i="27"/>
  <c r="M1741" i="27"/>
  <c r="M1740" i="27"/>
  <c r="M1739" i="27"/>
  <c r="M1738" i="27"/>
  <c r="M1737" i="27"/>
  <c r="M1736" i="27"/>
  <c r="M1735" i="27"/>
  <c r="M1734" i="27"/>
  <c r="M1733" i="27"/>
  <c r="M1732" i="27"/>
  <c r="M1731" i="27"/>
  <c r="M1730" i="27"/>
  <c r="M1729" i="27"/>
  <c r="M1728" i="27"/>
  <c r="M1727" i="27"/>
  <c r="M1726" i="27"/>
  <c r="M1725" i="27"/>
  <c r="M1724" i="27"/>
  <c r="M1723" i="27"/>
  <c r="M1722" i="27"/>
  <c r="M1721" i="27"/>
  <c r="M1720" i="27"/>
  <c r="M1719" i="27"/>
  <c r="M1718" i="27"/>
  <c r="M1717" i="27"/>
  <c r="M1716" i="27"/>
  <c r="M1715" i="27"/>
  <c r="M1714" i="27"/>
  <c r="M1713" i="27"/>
  <c r="M1712" i="27"/>
  <c r="M1711" i="27"/>
  <c r="M1710" i="27"/>
  <c r="M1709" i="27"/>
  <c r="M1708" i="27"/>
  <c r="M1707" i="27"/>
  <c r="M1706" i="27"/>
  <c r="M1705" i="27"/>
  <c r="M1704" i="27"/>
  <c r="M1703" i="27"/>
  <c r="M1702" i="27"/>
  <c r="M1701" i="27"/>
  <c r="M1700" i="27"/>
  <c r="M1699" i="27"/>
  <c r="M1698" i="27"/>
  <c r="M1697" i="27"/>
  <c r="M1696" i="27"/>
  <c r="M1695" i="27"/>
  <c r="M1694" i="27"/>
  <c r="M1693" i="27"/>
  <c r="M1692" i="27"/>
  <c r="M1691" i="27"/>
  <c r="M1690" i="27"/>
  <c r="M1689" i="27"/>
  <c r="M1688" i="27"/>
  <c r="M1687" i="27"/>
  <c r="M1686" i="27"/>
  <c r="M1685" i="27"/>
  <c r="M1684" i="27"/>
  <c r="M1683" i="27"/>
  <c r="M1682" i="27"/>
  <c r="M1681" i="27"/>
  <c r="M1680" i="27"/>
  <c r="M1679" i="27"/>
  <c r="M1678" i="27"/>
  <c r="M1677" i="27"/>
  <c r="M1676" i="27"/>
  <c r="M1675" i="27"/>
  <c r="M1674" i="27"/>
  <c r="M1673" i="27"/>
  <c r="M1672" i="27"/>
  <c r="M1671" i="27"/>
  <c r="M1670" i="27"/>
  <c r="M1669" i="27"/>
  <c r="M1668" i="27"/>
  <c r="M1667" i="27"/>
  <c r="M1666" i="27"/>
  <c r="M1665" i="27"/>
  <c r="M1664" i="27"/>
  <c r="M1663" i="27"/>
  <c r="M1662" i="27"/>
  <c r="M1661" i="27"/>
  <c r="M1660" i="27"/>
  <c r="M1659" i="27"/>
  <c r="M1658" i="27"/>
  <c r="M1657" i="27"/>
  <c r="M1656" i="27"/>
  <c r="M1655" i="27"/>
  <c r="M1654" i="27"/>
  <c r="M1653" i="27"/>
  <c r="M1652" i="27"/>
  <c r="M1651" i="27"/>
  <c r="M1650" i="27"/>
  <c r="M1649" i="27"/>
  <c r="M1648" i="27"/>
  <c r="M1647" i="27"/>
  <c r="M1646" i="27"/>
  <c r="M1645" i="27"/>
  <c r="M1644" i="27"/>
  <c r="M1643" i="27"/>
  <c r="M1642" i="27"/>
  <c r="M1641" i="27"/>
  <c r="M1640" i="27"/>
  <c r="M1639" i="27"/>
  <c r="M1638" i="27"/>
  <c r="M1637" i="27"/>
  <c r="M1636" i="27"/>
  <c r="M1635" i="27"/>
  <c r="M1634" i="27"/>
  <c r="M1633" i="27"/>
  <c r="M1632" i="27"/>
  <c r="M1631" i="27"/>
  <c r="M1630" i="27"/>
  <c r="M1629" i="27"/>
  <c r="M1628" i="27"/>
  <c r="M1627" i="27"/>
  <c r="M1626" i="27"/>
  <c r="M1625" i="27"/>
  <c r="M1624" i="27"/>
  <c r="M1623" i="27"/>
  <c r="M1622" i="27"/>
  <c r="M1621" i="27"/>
  <c r="M1620" i="27"/>
  <c r="M1619" i="27"/>
  <c r="M1618" i="27"/>
  <c r="M1617" i="27"/>
  <c r="M1616" i="27"/>
  <c r="M1615" i="27"/>
  <c r="M1614" i="27"/>
  <c r="M1613" i="27"/>
  <c r="M1612" i="27"/>
  <c r="M1611" i="27"/>
  <c r="M1610" i="27"/>
  <c r="M1609" i="27"/>
  <c r="M1608" i="27"/>
  <c r="M1607" i="27"/>
  <c r="M1606" i="27"/>
  <c r="M1605" i="27"/>
  <c r="M1604" i="27"/>
  <c r="M1603" i="27"/>
  <c r="M1602" i="27"/>
  <c r="M1601" i="27"/>
  <c r="M1600" i="27"/>
  <c r="M1599" i="27"/>
  <c r="M1598" i="27"/>
  <c r="M1597" i="27"/>
  <c r="M1596" i="27"/>
  <c r="M1595" i="27"/>
  <c r="M1594" i="27"/>
  <c r="M1593" i="27"/>
  <c r="M1592" i="27"/>
  <c r="M1591" i="27"/>
  <c r="M1590" i="27"/>
  <c r="M1589" i="27"/>
  <c r="M1588" i="27"/>
  <c r="M1587" i="27"/>
  <c r="M1586" i="27"/>
  <c r="M1585" i="27"/>
  <c r="M1584" i="27"/>
  <c r="M1583" i="27"/>
  <c r="M1582" i="27"/>
  <c r="M1581" i="27"/>
  <c r="M1580" i="27"/>
  <c r="M1579" i="27"/>
  <c r="M1578" i="27"/>
  <c r="M1577" i="27"/>
  <c r="M1576" i="27"/>
  <c r="M1575" i="27"/>
  <c r="M1574" i="27"/>
  <c r="M1573" i="27"/>
  <c r="M1572" i="27"/>
  <c r="M1571" i="27"/>
  <c r="M1570" i="27"/>
  <c r="M1569" i="27"/>
  <c r="M1568" i="27"/>
  <c r="M1567" i="27"/>
  <c r="M1566" i="27"/>
  <c r="M1565" i="27"/>
  <c r="M1564" i="27"/>
  <c r="M1563" i="27"/>
  <c r="M1562" i="27"/>
  <c r="M1561" i="27"/>
  <c r="M1560" i="27"/>
  <c r="M1559" i="27"/>
  <c r="M1558" i="27"/>
  <c r="M1557" i="27"/>
  <c r="M1556" i="27"/>
  <c r="M1555" i="27"/>
  <c r="M1554" i="27"/>
  <c r="M1553" i="27"/>
  <c r="M1552" i="27"/>
  <c r="M1551" i="27"/>
  <c r="M1550" i="27"/>
  <c r="M1549" i="27"/>
  <c r="M1548" i="27"/>
  <c r="M1547" i="27"/>
  <c r="M1546" i="27"/>
  <c r="M1545" i="27"/>
  <c r="M1544" i="27"/>
  <c r="M1543" i="27"/>
  <c r="M1542" i="27"/>
  <c r="M1541" i="27"/>
  <c r="M1540" i="27"/>
  <c r="M1539" i="27"/>
  <c r="M1538" i="27"/>
  <c r="M1537" i="27"/>
  <c r="M1536" i="27"/>
  <c r="M1535" i="27"/>
  <c r="M1534" i="27"/>
  <c r="M1533" i="27"/>
  <c r="M1532" i="27"/>
  <c r="M1531" i="27"/>
  <c r="M1530" i="27"/>
  <c r="M1529" i="27"/>
  <c r="M1528" i="27"/>
  <c r="M1527" i="27"/>
  <c r="M1526" i="27"/>
  <c r="M1525" i="27"/>
  <c r="M1524" i="27"/>
  <c r="M1523" i="27"/>
  <c r="M1522" i="27"/>
  <c r="M1521" i="27"/>
  <c r="M1520" i="27"/>
  <c r="M1519" i="27"/>
  <c r="M1518" i="27"/>
  <c r="M1517" i="27"/>
  <c r="M1516" i="27"/>
  <c r="M1515" i="27"/>
  <c r="M1514" i="27"/>
  <c r="M1513" i="27"/>
  <c r="M1512" i="27"/>
  <c r="M1511" i="27"/>
  <c r="M1510" i="27"/>
  <c r="M1509" i="27"/>
  <c r="M1508" i="27"/>
  <c r="M1507" i="27"/>
  <c r="M1506" i="27"/>
  <c r="M1505" i="27"/>
  <c r="M1504" i="27"/>
  <c r="M1503" i="27"/>
  <c r="M1502" i="27"/>
  <c r="M1501" i="27"/>
  <c r="M1500" i="27"/>
  <c r="M1499" i="27"/>
  <c r="M1498" i="27"/>
  <c r="M1497" i="27"/>
  <c r="M1496" i="27"/>
  <c r="M1495" i="27"/>
  <c r="M1494" i="27"/>
  <c r="M1493" i="27"/>
  <c r="M1492" i="27"/>
  <c r="M1491" i="27"/>
  <c r="M1490" i="27"/>
  <c r="M1489" i="27"/>
  <c r="M1488" i="27"/>
  <c r="M1487" i="27"/>
  <c r="M1486" i="27"/>
  <c r="M1485" i="27"/>
  <c r="M1484" i="27"/>
  <c r="M1483" i="27"/>
  <c r="M1482" i="27"/>
  <c r="M1481" i="27"/>
  <c r="M1480" i="27"/>
  <c r="M1479" i="27"/>
  <c r="M1478" i="27"/>
  <c r="M1477" i="27"/>
  <c r="M1476" i="27"/>
  <c r="M1475" i="27"/>
  <c r="M1474" i="27"/>
  <c r="M1473" i="27"/>
  <c r="M1472" i="27"/>
  <c r="M1471" i="27"/>
  <c r="M1470" i="27"/>
  <c r="M1469" i="27"/>
  <c r="M1468" i="27"/>
  <c r="M1467" i="27"/>
  <c r="M1466" i="27"/>
  <c r="M1465" i="27"/>
  <c r="M1464" i="27"/>
  <c r="M1463" i="27"/>
  <c r="M1462" i="27"/>
  <c r="M1461" i="27"/>
  <c r="M1460" i="27"/>
  <c r="M1459" i="27"/>
  <c r="M1458" i="27"/>
  <c r="M1457" i="27"/>
  <c r="M1456" i="27"/>
  <c r="M1455" i="27"/>
  <c r="M1454" i="27"/>
  <c r="M1453" i="27"/>
  <c r="M1452" i="27"/>
  <c r="M1451" i="27"/>
  <c r="M1450" i="27"/>
  <c r="M1449" i="27"/>
  <c r="M1448" i="27"/>
  <c r="M1447" i="27"/>
  <c r="M1446" i="27"/>
  <c r="M1445" i="27"/>
  <c r="M1444" i="27"/>
  <c r="M1443" i="27"/>
  <c r="M1442" i="27"/>
  <c r="M1441" i="27"/>
  <c r="M1440" i="27"/>
  <c r="M1439" i="27"/>
  <c r="M1438" i="27"/>
  <c r="M1437" i="27"/>
  <c r="M1436" i="27"/>
  <c r="M1435" i="27"/>
  <c r="M1434" i="27"/>
  <c r="M1433" i="27"/>
  <c r="M1432" i="27"/>
  <c r="M1431" i="27"/>
  <c r="M1430" i="27"/>
  <c r="M1429" i="27"/>
  <c r="M1428" i="27"/>
  <c r="M1427" i="27"/>
  <c r="M1426" i="27"/>
  <c r="M1425" i="27"/>
  <c r="M1424" i="27"/>
  <c r="M1423" i="27"/>
  <c r="M1422" i="27"/>
  <c r="M1421" i="27"/>
  <c r="M1420" i="27"/>
  <c r="M1419" i="27"/>
  <c r="M1418" i="27"/>
  <c r="M1417" i="27"/>
  <c r="M1416" i="27"/>
  <c r="M1415" i="27"/>
  <c r="M1414" i="27"/>
  <c r="M1413" i="27"/>
  <c r="M1412" i="27"/>
  <c r="M1411" i="27"/>
  <c r="M1410" i="27"/>
  <c r="M1409" i="27"/>
  <c r="M1408" i="27"/>
  <c r="M1407" i="27"/>
  <c r="M1406" i="27"/>
  <c r="M1405" i="27"/>
  <c r="M1404" i="27"/>
  <c r="M1403" i="27"/>
  <c r="M1402" i="27"/>
  <c r="M1401" i="27"/>
  <c r="M1400" i="27"/>
  <c r="M1399" i="27"/>
  <c r="M1398" i="27"/>
  <c r="M1397" i="27"/>
  <c r="M1396" i="27"/>
  <c r="M1395" i="27"/>
  <c r="M1394" i="27"/>
  <c r="M1393" i="27"/>
  <c r="M1392" i="27"/>
  <c r="M1391" i="27"/>
  <c r="M1390" i="27"/>
  <c r="M1389" i="27"/>
  <c r="M1388" i="27"/>
  <c r="M1387" i="27"/>
  <c r="M1386" i="27"/>
  <c r="M1385" i="27"/>
  <c r="M1384" i="27"/>
  <c r="M1383" i="27"/>
  <c r="M1382" i="27"/>
  <c r="M1381" i="27"/>
  <c r="M1380" i="27"/>
  <c r="M1379" i="27"/>
  <c r="M1378" i="27"/>
  <c r="M1377" i="27"/>
  <c r="M1376" i="27"/>
  <c r="M1375" i="27"/>
  <c r="M1374" i="27"/>
  <c r="M1373" i="27"/>
  <c r="M1372" i="27"/>
  <c r="M1371" i="27"/>
  <c r="M1370" i="27"/>
  <c r="M1369" i="27"/>
  <c r="M1368" i="27"/>
  <c r="M1367" i="27"/>
  <c r="M1366" i="27"/>
  <c r="M1365" i="27"/>
  <c r="M1364" i="27"/>
  <c r="M1363" i="27"/>
  <c r="M1362" i="27"/>
  <c r="M1361" i="27"/>
  <c r="M1360" i="27"/>
  <c r="M1359" i="27"/>
  <c r="M1358" i="27"/>
  <c r="M1357" i="27"/>
  <c r="M1356" i="27"/>
  <c r="M1355" i="27"/>
  <c r="M1354" i="27"/>
  <c r="M1353" i="27"/>
  <c r="M1352" i="27"/>
  <c r="M1351" i="27"/>
  <c r="M1350" i="27"/>
  <c r="M1349" i="27"/>
  <c r="M1348" i="27"/>
  <c r="M1347" i="27"/>
  <c r="M1346" i="27"/>
  <c r="M1345" i="27"/>
  <c r="M1344" i="27"/>
  <c r="M1343" i="27"/>
  <c r="M1342" i="27"/>
  <c r="M1341" i="27"/>
  <c r="M1340" i="27"/>
  <c r="M1339" i="27"/>
  <c r="M1338" i="27"/>
  <c r="M1337" i="27"/>
  <c r="M1336" i="27"/>
  <c r="M1335" i="27"/>
  <c r="M1334" i="27"/>
  <c r="M1333" i="27"/>
  <c r="M1332" i="27"/>
  <c r="M1331" i="27"/>
  <c r="M1330" i="27"/>
  <c r="M1329" i="27"/>
  <c r="M1328" i="27"/>
  <c r="M1327" i="27"/>
  <c r="M1326" i="27"/>
  <c r="M1325" i="27"/>
  <c r="M1324" i="27"/>
  <c r="M1323" i="27"/>
  <c r="M1322" i="27"/>
  <c r="M1321" i="27"/>
  <c r="M1320" i="27"/>
  <c r="M1319" i="27"/>
  <c r="M1318" i="27"/>
  <c r="M1317" i="27"/>
  <c r="M1316" i="27"/>
  <c r="M1315" i="27"/>
  <c r="M1314" i="27"/>
  <c r="M1313" i="27"/>
  <c r="M1312" i="27"/>
  <c r="M1311" i="27"/>
  <c r="M1310" i="27"/>
  <c r="M1309" i="27"/>
  <c r="M1308" i="27"/>
  <c r="M1307" i="27"/>
  <c r="M1306" i="27"/>
  <c r="M1305" i="27"/>
  <c r="M1304" i="27"/>
  <c r="M1303" i="27"/>
  <c r="M1302" i="27"/>
  <c r="M1301" i="27"/>
  <c r="M1300" i="27"/>
  <c r="M1299" i="27"/>
  <c r="M1298" i="27"/>
  <c r="M1297" i="27"/>
  <c r="M1296" i="27"/>
  <c r="M1295" i="27"/>
  <c r="M1294" i="27"/>
  <c r="M1293" i="27"/>
  <c r="M1292" i="27"/>
  <c r="M1291" i="27"/>
  <c r="M1290" i="27"/>
  <c r="M1289" i="27"/>
  <c r="M1288" i="27"/>
  <c r="M1287" i="27"/>
  <c r="M1286" i="27"/>
  <c r="M1285" i="27"/>
  <c r="M1284" i="27"/>
  <c r="M1283" i="27"/>
  <c r="M1282" i="27"/>
  <c r="M1281" i="27"/>
  <c r="M1280" i="27"/>
  <c r="M1279" i="27"/>
  <c r="M1278" i="27"/>
  <c r="M1277" i="27"/>
  <c r="M1276" i="27"/>
  <c r="M1275" i="27"/>
  <c r="M1274" i="27"/>
  <c r="M1273" i="27"/>
  <c r="M1272" i="27"/>
  <c r="M1271" i="27"/>
  <c r="M1270" i="27"/>
  <c r="M1269" i="27"/>
  <c r="M1268" i="27"/>
  <c r="M1267" i="27"/>
  <c r="M1266" i="27"/>
  <c r="M1265" i="27"/>
  <c r="M1264" i="27"/>
  <c r="M1263" i="27"/>
  <c r="M1262" i="27"/>
  <c r="M1261" i="27"/>
  <c r="M1260" i="27"/>
  <c r="M1259" i="27"/>
  <c r="M1258" i="27"/>
  <c r="M1257" i="27"/>
  <c r="M1256" i="27"/>
  <c r="M1255" i="27"/>
  <c r="M1254" i="27"/>
  <c r="M1253" i="27"/>
  <c r="M1252" i="27"/>
  <c r="M1251" i="27"/>
  <c r="M1250" i="27"/>
  <c r="M1249" i="27"/>
  <c r="M1248" i="27"/>
  <c r="M1247" i="27"/>
  <c r="M1246" i="27"/>
  <c r="M1245" i="27"/>
  <c r="M1244" i="27"/>
  <c r="M1243" i="27"/>
  <c r="M1242" i="27"/>
  <c r="M1241" i="27"/>
  <c r="M1240" i="27"/>
  <c r="M1239" i="27"/>
  <c r="M1238" i="27"/>
  <c r="M1237" i="27"/>
  <c r="M1236" i="27"/>
  <c r="M1235" i="27"/>
  <c r="M1234" i="27"/>
  <c r="M1233" i="27"/>
  <c r="M1232" i="27"/>
  <c r="M1231" i="27"/>
  <c r="M1230" i="27"/>
  <c r="M1229" i="27"/>
  <c r="M1228" i="27"/>
  <c r="M1227" i="27"/>
  <c r="M1226" i="27"/>
  <c r="M1225" i="27"/>
  <c r="M1224" i="27"/>
  <c r="M1223" i="27"/>
  <c r="M1222" i="27"/>
  <c r="M1221" i="27"/>
  <c r="M1220" i="27"/>
  <c r="M1219" i="27"/>
  <c r="M1218" i="27"/>
  <c r="M1217" i="27"/>
  <c r="M1216" i="27"/>
  <c r="M1215" i="27"/>
  <c r="M1214" i="27"/>
  <c r="M1213" i="27"/>
  <c r="M1212" i="27"/>
  <c r="M1211" i="27"/>
  <c r="M1210" i="27"/>
  <c r="M1209" i="27"/>
  <c r="M1208" i="27"/>
  <c r="M1207" i="27"/>
  <c r="M1206" i="27"/>
  <c r="M1205" i="27"/>
  <c r="M1204" i="27"/>
  <c r="M1203" i="27"/>
  <c r="M1202" i="27"/>
  <c r="M1201" i="27"/>
  <c r="M1200" i="27"/>
  <c r="M1199" i="27"/>
  <c r="M1198" i="27"/>
  <c r="M1197" i="27"/>
  <c r="M1196" i="27"/>
  <c r="M1195" i="27"/>
  <c r="M1194" i="27"/>
  <c r="M1193" i="27"/>
  <c r="M1192" i="27"/>
  <c r="M1191" i="27"/>
  <c r="M1190" i="27"/>
  <c r="M1189" i="27"/>
  <c r="M1188" i="27"/>
  <c r="M1187" i="27"/>
  <c r="M1186" i="27"/>
  <c r="M1185" i="27"/>
  <c r="M1184" i="27"/>
  <c r="M1183" i="27"/>
  <c r="M1182" i="27"/>
  <c r="M1181" i="27"/>
  <c r="M1180" i="27"/>
  <c r="M1179" i="27"/>
  <c r="M1178" i="27"/>
  <c r="M1177" i="27"/>
  <c r="M1176" i="27"/>
  <c r="M1175" i="27"/>
  <c r="M1174" i="27"/>
  <c r="M1173" i="27"/>
  <c r="M1172" i="27"/>
  <c r="M1171" i="27"/>
  <c r="M1170" i="27"/>
  <c r="M1169" i="27"/>
  <c r="M1168" i="27"/>
  <c r="M1167" i="27"/>
  <c r="M1166" i="27"/>
  <c r="M1165" i="27"/>
  <c r="M1164" i="27"/>
  <c r="M1163" i="27"/>
  <c r="M1162" i="27"/>
  <c r="M1161" i="27"/>
  <c r="M1160" i="27"/>
  <c r="M1159" i="27"/>
  <c r="M1158" i="27"/>
  <c r="M1157" i="27"/>
  <c r="M1156" i="27"/>
  <c r="M1155" i="27"/>
  <c r="M1154" i="27"/>
  <c r="M1153" i="27"/>
  <c r="M1152" i="27"/>
  <c r="M1151" i="27"/>
  <c r="M1150" i="27"/>
  <c r="M1149" i="27"/>
  <c r="M1148" i="27"/>
  <c r="M1147" i="27"/>
  <c r="M1146" i="27"/>
  <c r="M1145" i="27"/>
  <c r="M1144" i="27"/>
  <c r="M1143" i="27"/>
  <c r="M1142" i="27"/>
  <c r="M1141" i="27"/>
  <c r="M1140" i="27"/>
  <c r="M1139" i="27"/>
  <c r="M1138" i="27"/>
  <c r="M1137" i="27"/>
  <c r="M1136" i="27"/>
  <c r="M1135" i="27"/>
  <c r="M1134" i="27"/>
  <c r="M1133" i="27"/>
  <c r="M1132" i="27"/>
  <c r="M1131" i="27"/>
  <c r="M1130" i="27"/>
  <c r="M1129" i="27"/>
  <c r="M1128" i="27"/>
  <c r="M1127" i="27"/>
  <c r="M1126" i="27"/>
  <c r="M1125" i="27"/>
  <c r="M1124" i="27"/>
  <c r="M1123" i="27"/>
  <c r="M1122" i="27"/>
  <c r="M1121" i="27"/>
  <c r="M1120" i="27"/>
  <c r="M1119" i="27"/>
  <c r="M1118" i="27"/>
  <c r="M1117" i="27"/>
  <c r="M1116" i="27"/>
  <c r="M1115" i="27"/>
  <c r="M1114" i="27"/>
  <c r="M1113" i="27"/>
  <c r="M1112" i="27"/>
  <c r="M1111" i="27"/>
  <c r="M1110" i="27"/>
  <c r="M1109" i="27"/>
  <c r="M1108" i="27"/>
  <c r="M1107" i="27"/>
  <c r="M1106" i="27"/>
  <c r="M1105" i="27"/>
  <c r="M1104" i="27"/>
  <c r="M1103" i="27"/>
  <c r="M1102" i="27"/>
  <c r="M1101" i="27"/>
  <c r="M1100" i="27"/>
  <c r="M1099" i="27"/>
  <c r="M1098" i="27"/>
  <c r="M1097" i="27"/>
  <c r="M1096" i="27"/>
  <c r="M1095" i="27"/>
  <c r="M1094" i="27"/>
  <c r="M1093" i="27"/>
  <c r="M1092" i="27"/>
  <c r="M1091" i="27"/>
  <c r="M1090" i="27"/>
  <c r="M1089" i="27"/>
  <c r="M1088" i="27"/>
  <c r="M1087" i="27"/>
  <c r="M1086" i="27"/>
  <c r="M1085" i="27"/>
  <c r="M1084" i="27"/>
  <c r="M1083" i="27"/>
  <c r="M1082" i="27"/>
  <c r="M1081" i="27"/>
  <c r="M1080" i="27"/>
  <c r="M1079" i="27"/>
  <c r="M1078" i="27"/>
  <c r="M1077" i="27"/>
  <c r="M1076" i="27"/>
  <c r="M1075" i="27"/>
  <c r="M1074" i="27"/>
  <c r="M1073" i="27"/>
  <c r="M1072" i="27"/>
  <c r="M1071" i="27"/>
  <c r="M1070" i="27"/>
  <c r="M1069" i="27"/>
  <c r="M1068" i="27"/>
  <c r="M1067" i="27"/>
  <c r="M1066" i="27"/>
  <c r="M1065" i="27"/>
  <c r="M1064" i="27"/>
  <c r="M1063" i="27"/>
  <c r="M1062" i="27"/>
  <c r="M1061" i="27"/>
  <c r="M1060" i="27"/>
  <c r="M1059" i="27"/>
  <c r="M1058" i="27"/>
  <c r="M1057" i="27"/>
  <c r="M1056" i="27"/>
  <c r="M1055" i="27"/>
  <c r="M1054" i="27"/>
  <c r="M1053" i="27"/>
  <c r="M1052" i="27"/>
  <c r="M1051" i="27"/>
  <c r="M1050" i="27"/>
  <c r="M1049" i="27"/>
  <c r="M1048" i="27"/>
  <c r="M1047" i="27"/>
  <c r="M1046" i="27"/>
  <c r="M1045" i="27"/>
  <c r="M1044" i="27"/>
  <c r="M1043" i="27"/>
  <c r="M1042" i="27"/>
  <c r="M1041" i="27"/>
  <c r="M1040" i="27"/>
  <c r="M1039" i="27"/>
  <c r="M1038" i="27"/>
  <c r="M1037" i="27"/>
  <c r="M1036" i="27"/>
  <c r="M1035" i="27"/>
  <c r="M1034" i="27"/>
  <c r="M1033" i="27"/>
  <c r="M1032" i="27"/>
  <c r="M1031" i="27"/>
  <c r="M1030" i="27"/>
  <c r="M1029" i="27"/>
  <c r="M1028" i="27"/>
  <c r="M1027" i="27"/>
  <c r="M1026" i="27"/>
  <c r="M1025" i="27"/>
  <c r="M1024" i="27"/>
  <c r="M1023" i="27"/>
  <c r="M1022" i="27"/>
  <c r="M1021" i="27"/>
  <c r="M1020" i="27"/>
  <c r="M1019" i="27"/>
  <c r="M1018" i="27"/>
  <c r="M1017" i="27"/>
  <c r="M1016" i="27"/>
  <c r="M1015" i="27"/>
  <c r="M1014" i="27"/>
  <c r="M1013" i="27"/>
  <c r="M1012" i="27"/>
  <c r="M1011" i="27"/>
  <c r="M1010" i="27"/>
  <c r="M1009" i="27"/>
  <c r="M1008" i="27"/>
  <c r="M1007" i="27"/>
  <c r="M1006" i="27"/>
  <c r="M1005" i="27"/>
  <c r="M1004" i="27"/>
  <c r="M1003" i="27"/>
  <c r="M1002" i="27"/>
  <c r="M1001" i="27"/>
  <c r="M1000" i="27"/>
  <c r="M999" i="27"/>
  <c r="M998" i="27"/>
  <c r="M997" i="27"/>
  <c r="M996" i="27"/>
  <c r="M995" i="27"/>
  <c r="M994" i="27"/>
  <c r="M993" i="27"/>
  <c r="M992" i="27"/>
  <c r="M991" i="27"/>
  <c r="M990" i="27"/>
  <c r="M989" i="27"/>
  <c r="M988" i="27"/>
  <c r="M987" i="27"/>
  <c r="M986" i="27"/>
  <c r="M985" i="27"/>
  <c r="M984" i="27"/>
  <c r="M983" i="27"/>
  <c r="M982" i="27"/>
  <c r="M981" i="27"/>
  <c r="M980" i="27"/>
  <c r="M979" i="27"/>
  <c r="M978" i="27"/>
  <c r="M977" i="27"/>
  <c r="M976" i="27"/>
  <c r="M975" i="27"/>
  <c r="M974" i="27"/>
  <c r="M973" i="27"/>
  <c r="M972" i="27"/>
  <c r="M971" i="27"/>
  <c r="M970" i="27"/>
  <c r="M969" i="27"/>
  <c r="M968" i="27"/>
  <c r="M967" i="27"/>
  <c r="M966" i="27"/>
  <c r="M965" i="27"/>
  <c r="M964" i="27"/>
  <c r="M963" i="27"/>
  <c r="M962" i="27"/>
  <c r="M961" i="27"/>
  <c r="M960" i="27"/>
  <c r="M959" i="27"/>
  <c r="M958" i="27"/>
  <c r="M957" i="27"/>
  <c r="M956" i="27"/>
  <c r="M955" i="27"/>
  <c r="M954" i="27"/>
  <c r="M953" i="27"/>
  <c r="M952" i="27"/>
  <c r="M951" i="27"/>
  <c r="M950" i="27"/>
  <c r="M949" i="27"/>
  <c r="M948" i="27"/>
  <c r="M947" i="27"/>
  <c r="M946" i="27"/>
  <c r="M945" i="27"/>
  <c r="M944" i="27"/>
  <c r="M943" i="27"/>
  <c r="M942" i="27"/>
  <c r="M941" i="27"/>
  <c r="M940" i="27"/>
  <c r="M939" i="27"/>
  <c r="M938" i="27"/>
  <c r="M937" i="27"/>
  <c r="M936" i="27"/>
  <c r="M935" i="27"/>
  <c r="M934" i="27"/>
  <c r="M933" i="27"/>
  <c r="M932" i="27"/>
  <c r="M931" i="27"/>
  <c r="M930" i="27"/>
  <c r="M929" i="27"/>
  <c r="M928" i="27"/>
  <c r="M927" i="27"/>
  <c r="M926" i="27"/>
  <c r="M925" i="27"/>
  <c r="M924" i="27"/>
  <c r="M923" i="27"/>
  <c r="M922" i="27"/>
  <c r="M921" i="27"/>
  <c r="M920" i="27"/>
  <c r="M919" i="27"/>
  <c r="M918" i="27"/>
  <c r="M917" i="27"/>
  <c r="M916" i="27"/>
  <c r="M915" i="27"/>
  <c r="M914" i="27"/>
  <c r="M913" i="27"/>
  <c r="M912" i="27"/>
  <c r="M911" i="27"/>
  <c r="M910" i="27"/>
  <c r="M909" i="27"/>
  <c r="M908" i="27"/>
  <c r="M907" i="27"/>
  <c r="M906" i="27"/>
  <c r="M905" i="27"/>
  <c r="M904" i="27"/>
  <c r="M903" i="27"/>
  <c r="M902" i="27"/>
  <c r="M901" i="27"/>
  <c r="M900" i="27"/>
  <c r="M899" i="27"/>
  <c r="M898" i="27"/>
  <c r="M897" i="27"/>
  <c r="M896" i="27"/>
  <c r="M895" i="27"/>
  <c r="M894" i="27"/>
  <c r="M893" i="27"/>
  <c r="M892" i="27"/>
  <c r="M891" i="27"/>
  <c r="M890" i="27"/>
  <c r="M889" i="27"/>
  <c r="M888" i="27"/>
  <c r="M887" i="27"/>
  <c r="M886" i="27"/>
  <c r="M885" i="27"/>
  <c r="M884" i="27"/>
  <c r="M883" i="27"/>
  <c r="M882" i="27"/>
  <c r="M881" i="27"/>
  <c r="M880" i="27"/>
  <c r="M879" i="27"/>
  <c r="M878" i="27"/>
  <c r="M877" i="27"/>
  <c r="M876" i="27"/>
  <c r="M875" i="27"/>
  <c r="M874" i="27"/>
  <c r="M873" i="27"/>
  <c r="M872" i="27"/>
  <c r="M871" i="27"/>
  <c r="M870" i="27"/>
  <c r="M869" i="27"/>
  <c r="M868" i="27"/>
  <c r="M867" i="27"/>
  <c r="M866" i="27"/>
  <c r="M865" i="27"/>
  <c r="M864" i="27"/>
  <c r="M863" i="27"/>
  <c r="M862" i="27"/>
  <c r="M861" i="27"/>
  <c r="M860" i="27"/>
  <c r="M859" i="27"/>
  <c r="M858" i="27"/>
  <c r="M857" i="27"/>
  <c r="M856" i="27"/>
  <c r="M855" i="27"/>
  <c r="M854" i="27"/>
  <c r="M853" i="27"/>
  <c r="M852" i="27"/>
  <c r="M851" i="27"/>
  <c r="M850" i="27"/>
  <c r="M849" i="27"/>
  <c r="M848" i="27"/>
  <c r="M847" i="27"/>
  <c r="M846" i="27"/>
  <c r="M845" i="27"/>
  <c r="M844" i="27"/>
  <c r="M843" i="27"/>
  <c r="M842" i="27"/>
  <c r="M841" i="27"/>
  <c r="M840" i="27"/>
  <c r="M839" i="27"/>
  <c r="M838" i="27"/>
  <c r="M837" i="27"/>
  <c r="M836" i="27"/>
  <c r="M835" i="27"/>
  <c r="M834" i="27"/>
  <c r="M833" i="27"/>
  <c r="M832" i="27"/>
  <c r="M831" i="27"/>
  <c r="M830" i="27"/>
  <c r="M829" i="27"/>
  <c r="M828" i="27"/>
  <c r="M827" i="27"/>
  <c r="M826" i="27"/>
  <c r="M825" i="27"/>
  <c r="M824" i="27"/>
  <c r="M823" i="27"/>
  <c r="M822" i="27"/>
  <c r="M821" i="27"/>
  <c r="M820" i="27"/>
  <c r="M819" i="27"/>
  <c r="M818" i="27"/>
  <c r="M817" i="27"/>
  <c r="M816" i="27"/>
  <c r="M815" i="27"/>
  <c r="M814" i="27"/>
  <c r="M813" i="27"/>
  <c r="M812" i="27"/>
  <c r="M811" i="27"/>
  <c r="M810" i="27"/>
  <c r="M809" i="27"/>
  <c r="M808" i="27"/>
  <c r="M807" i="27"/>
  <c r="M806" i="27"/>
  <c r="M805" i="27"/>
  <c r="M804" i="27"/>
  <c r="M803" i="27"/>
  <c r="M802" i="27"/>
  <c r="M801" i="27"/>
  <c r="M800" i="27"/>
  <c r="M799" i="27"/>
  <c r="M798" i="27"/>
  <c r="M797" i="27"/>
  <c r="M796" i="27"/>
  <c r="M795" i="27"/>
  <c r="M794" i="27"/>
  <c r="M793" i="27"/>
  <c r="M792" i="27"/>
  <c r="M791" i="27"/>
  <c r="M790" i="27"/>
  <c r="M789" i="27"/>
  <c r="M788" i="27"/>
  <c r="M787" i="27"/>
  <c r="M786" i="27"/>
  <c r="M785" i="27"/>
  <c r="M784" i="27"/>
  <c r="M783" i="27"/>
  <c r="M782" i="27"/>
  <c r="M781" i="27"/>
  <c r="M780" i="27"/>
  <c r="M779" i="27"/>
  <c r="M778" i="27"/>
  <c r="M777" i="27"/>
  <c r="M776" i="27"/>
  <c r="M775" i="27"/>
  <c r="M774" i="27"/>
  <c r="M773" i="27"/>
  <c r="M772" i="27"/>
  <c r="M771" i="27"/>
  <c r="M770" i="27"/>
  <c r="M769" i="27"/>
  <c r="M768" i="27"/>
  <c r="M767" i="27"/>
  <c r="M766" i="27"/>
  <c r="M765" i="27"/>
  <c r="M764" i="27"/>
  <c r="M763" i="27"/>
  <c r="M762" i="27"/>
  <c r="M761" i="27"/>
  <c r="M760" i="27"/>
  <c r="M759" i="27"/>
  <c r="M758" i="27"/>
  <c r="M757" i="27"/>
  <c r="M756" i="27"/>
  <c r="M755" i="27"/>
  <c r="M754" i="27"/>
  <c r="M753" i="27"/>
  <c r="M752" i="27"/>
  <c r="M751" i="27"/>
  <c r="M750" i="27"/>
  <c r="M749" i="27"/>
  <c r="M748" i="27"/>
  <c r="M747" i="27"/>
  <c r="M746" i="27"/>
  <c r="M745" i="27"/>
  <c r="M744" i="27"/>
  <c r="M743" i="27"/>
  <c r="M742" i="27"/>
  <c r="M741" i="27"/>
  <c r="M740" i="27"/>
  <c r="M739" i="27"/>
  <c r="M738" i="27"/>
  <c r="M737" i="27"/>
  <c r="M736" i="27"/>
  <c r="M735" i="27"/>
  <c r="M734" i="27"/>
  <c r="M733" i="27"/>
  <c r="M732" i="27"/>
  <c r="M731" i="27"/>
  <c r="M730" i="27"/>
  <c r="M729" i="27"/>
  <c r="M728" i="27"/>
  <c r="M727" i="27"/>
  <c r="M726" i="27"/>
  <c r="M725" i="27"/>
  <c r="M724" i="27"/>
  <c r="M723" i="27"/>
  <c r="M722" i="27"/>
  <c r="M721" i="27"/>
  <c r="M720" i="27"/>
  <c r="M719" i="27"/>
  <c r="M718" i="27"/>
  <c r="M717" i="27"/>
  <c r="M716" i="27"/>
  <c r="M715" i="27"/>
  <c r="M714" i="27"/>
  <c r="M713" i="27"/>
  <c r="M712" i="27"/>
  <c r="M711" i="27"/>
  <c r="M710" i="27"/>
  <c r="M709" i="27"/>
  <c r="M708" i="27"/>
  <c r="M707" i="27"/>
  <c r="M706" i="27"/>
  <c r="M705" i="27"/>
  <c r="M704" i="27"/>
  <c r="M703" i="27"/>
  <c r="M702" i="27"/>
  <c r="M701" i="27"/>
  <c r="M700" i="27"/>
  <c r="M699" i="27"/>
  <c r="M698" i="27"/>
  <c r="M697" i="27"/>
  <c r="M696" i="27"/>
  <c r="M695" i="27"/>
  <c r="M694" i="27"/>
  <c r="M693" i="27"/>
  <c r="M692" i="27"/>
  <c r="M691" i="27"/>
  <c r="M690" i="27"/>
  <c r="M689" i="27"/>
  <c r="M688" i="27"/>
  <c r="M687" i="27"/>
  <c r="M686" i="27"/>
  <c r="M685" i="27"/>
  <c r="M684" i="27"/>
  <c r="M683" i="27"/>
  <c r="M682" i="27"/>
  <c r="M681" i="27"/>
  <c r="M680" i="27"/>
  <c r="M679" i="27"/>
  <c r="M678" i="27"/>
  <c r="M677" i="27"/>
  <c r="M676" i="27"/>
  <c r="M675" i="27"/>
  <c r="M674" i="27"/>
  <c r="M673" i="27"/>
  <c r="M672" i="27"/>
  <c r="M671" i="27"/>
  <c r="M670" i="27"/>
  <c r="M669" i="27"/>
  <c r="M668" i="27"/>
  <c r="M667" i="27"/>
  <c r="M666" i="27"/>
  <c r="M665" i="27"/>
  <c r="M664" i="27"/>
  <c r="M663" i="27"/>
  <c r="M662" i="27"/>
  <c r="M661" i="27"/>
  <c r="M660" i="27"/>
  <c r="M659" i="27"/>
  <c r="M658" i="27"/>
  <c r="M657" i="27"/>
  <c r="M656" i="27"/>
  <c r="M655" i="27"/>
  <c r="M654" i="27"/>
  <c r="M653" i="27"/>
  <c r="M652" i="27"/>
  <c r="M651" i="27"/>
  <c r="M650" i="27"/>
  <c r="M649" i="27"/>
  <c r="M648" i="27"/>
  <c r="M647" i="27"/>
  <c r="M646" i="27"/>
  <c r="M645" i="27"/>
  <c r="M644" i="27"/>
  <c r="M643" i="27"/>
  <c r="M642" i="27"/>
  <c r="M641" i="27"/>
  <c r="M640" i="27"/>
  <c r="M639" i="27"/>
  <c r="M638" i="27"/>
  <c r="M637" i="27"/>
  <c r="M636" i="27"/>
  <c r="M635" i="27"/>
  <c r="M634" i="27"/>
  <c r="M633" i="27"/>
  <c r="M632" i="27"/>
  <c r="M631" i="27"/>
  <c r="M630" i="27"/>
  <c r="M629" i="27"/>
  <c r="M628" i="27"/>
  <c r="M627" i="27"/>
  <c r="M626" i="27"/>
  <c r="M625" i="27"/>
  <c r="M624" i="27"/>
  <c r="M623" i="27"/>
  <c r="M622" i="27"/>
  <c r="M621" i="27"/>
  <c r="M620" i="27"/>
  <c r="M619" i="27"/>
  <c r="M618" i="27"/>
  <c r="M617" i="27"/>
  <c r="M616" i="27"/>
  <c r="M615" i="27"/>
  <c r="M614" i="27"/>
  <c r="M613" i="27"/>
  <c r="M612" i="27"/>
  <c r="M611" i="27"/>
  <c r="M610" i="27"/>
  <c r="M609" i="27"/>
  <c r="M608" i="27"/>
  <c r="M607" i="27"/>
  <c r="M606" i="27"/>
  <c r="M605" i="27"/>
  <c r="M604" i="27"/>
  <c r="M603" i="27"/>
  <c r="M602" i="27"/>
  <c r="M601" i="27"/>
  <c r="M600" i="27"/>
  <c r="M599" i="27"/>
  <c r="M598" i="27"/>
  <c r="M597" i="27"/>
  <c r="M596" i="27"/>
  <c r="M595" i="27"/>
  <c r="M594" i="27"/>
  <c r="M593" i="27"/>
  <c r="M592" i="27"/>
  <c r="M591" i="27"/>
  <c r="M590" i="27"/>
  <c r="M589" i="27"/>
  <c r="M588" i="27"/>
  <c r="M587" i="27"/>
  <c r="M586" i="27"/>
  <c r="M585" i="27"/>
  <c r="M584" i="27"/>
  <c r="M583" i="27"/>
  <c r="M582" i="27"/>
  <c r="M581" i="27"/>
  <c r="M580" i="27"/>
  <c r="M579" i="27"/>
  <c r="M578" i="27"/>
  <c r="M577" i="27"/>
  <c r="M576" i="27"/>
  <c r="M575" i="27"/>
  <c r="M574" i="27"/>
  <c r="M573" i="27"/>
  <c r="M572" i="27"/>
  <c r="M571" i="27"/>
  <c r="M570" i="27"/>
  <c r="M569" i="27"/>
  <c r="M568" i="27"/>
  <c r="M567" i="27"/>
  <c r="M566" i="27"/>
  <c r="M565" i="27"/>
  <c r="M564" i="27"/>
  <c r="M563" i="27"/>
  <c r="M562" i="27"/>
  <c r="M561" i="27"/>
  <c r="M560" i="27"/>
  <c r="M559" i="27"/>
  <c r="M558" i="27"/>
  <c r="M557" i="27"/>
  <c r="M556" i="27"/>
  <c r="M555" i="27"/>
  <c r="M554" i="27"/>
  <c r="M553" i="27"/>
  <c r="M552" i="27"/>
  <c r="M551" i="27"/>
  <c r="M550" i="27"/>
  <c r="M549" i="27"/>
  <c r="M548" i="27"/>
  <c r="M547" i="27"/>
  <c r="M546" i="27"/>
  <c r="M545" i="27"/>
  <c r="M544" i="27"/>
  <c r="M543" i="27"/>
  <c r="M542" i="27"/>
  <c r="M541" i="27"/>
  <c r="M540" i="27"/>
  <c r="M539" i="27"/>
  <c r="M538" i="27"/>
  <c r="M537" i="27"/>
  <c r="M536" i="27"/>
  <c r="M535" i="27"/>
  <c r="M534" i="27"/>
  <c r="M533" i="27"/>
  <c r="M532" i="27"/>
  <c r="M531" i="27"/>
  <c r="M530" i="27"/>
  <c r="M529" i="27"/>
  <c r="M528" i="27"/>
  <c r="M527" i="27"/>
  <c r="M526" i="27"/>
  <c r="M525" i="27"/>
  <c r="M524" i="27"/>
  <c r="M523" i="27"/>
  <c r="M522" i="27"/>
  <c r="M521" i="27"/>
  <c r="M520" i="27"/>
  <c r="M519" i="27"/>
  <c r="M518" i="27"/>
  <c r="M517" i="27"/>
  <c r="M516" i="27"/>
  <c r="M515" i="27"/>
  <c r="M514" i="27"/>
  <c r="M513" i="27"/>
  <c r="M512" i="27"/>
  <c r="M511" i="27"/>
  <c r="M510" i="27"/>
  <c r="M509" i="27"/>
  <c r="M508" i="27"/>
  <c r="M507" i="27"/>
  <c r="M506" i="27"/>
  <c r="M505" i="27"/>
  <c r="M504" i="27"/>
  <c r="M503" i="27"/>
  <c r="M502" i="27"/>
  <c r="M501" i="27"/>
  <c r="M500" i="27"/>
  <c r="M499" i="27"/>
  <c r="M498" i="27"/>
  <c r="M497" i="27"/>
  <c r="M496" i="27"/>
  <c r="M495" i="27"/>
  <c r="M494" i="27"/>
  <c r="M493" i="27"/>
  <c r="M492" i="27"/>
  <c r="M491" i="27"/>
  <c r="M490" i="27"/>
  <c r="M489" i="27"/>
  <c r="M488" i="27"/>
  <c r="M487" i="27"/>
  <c r="M486" i="27"/>
  <c r="M485" i="27"/>
  <c r="M484" i="27"/>
  <c r="M483" i="27"/>
  <c r="M482" i="27"/>
  <c r="M481" i="27"/>
  <c r="M480" i="27"/>
  <c r="M479" i="27"/>
  <c r="M478" i="27"/>
  <c r="M477" i="27"/>
  <c r="M476" i="27"/>
  <c r="M475" i="27"/>
  <c r="M474" i="27"/>
  <c r="M473" i="27"/>
  <c r="M472" i="27"/>
  <c r="M471" i="27"/>
  <c r="M470" i="27"/>
  <c r="M469" i="27"/>
  <c r="M468" i="27"/>
  <c r="M467" i="27"/>
  <c r="M466" i="27"/>
  <c r="M465" i="27"/>
  <c r="M464" i="27"/>
  <c r="M463" i="27"/>
  <c r="M462" i="27"/>
  <c r="M461" i="27"/>
  <c r="M460" i="27"/>
  <c r="M459" i="27"/>
  <c r="M458" i="27"/>
  <c r="M457" i="27"/>
  <c r="M456" i="27"/>
  <c r="M455" i="27"/>
  <c r="M454" i="27"/>
  <c r="M453" i="27"/>
  <c r="M452" i="27"/>
  <c r="M451" i="27"/>
  <c r="M450" i="27"/>
  <c r="M449" i="27"/>
  <c r="M448" i="27"/>
  <c r="M447" i="27"/>
  <c r="M446" i="27"/>
  <c r="M445" i="27"/>
  <c r="M444" i="27"/>
  <c r="M443" i="27"/>
  <c r="M442" i="27"/>
  <c r="M441" i="27"/>
  <c r="M440" i="27"/>
  <c r="M439" i="27"/>
  <c r="M438" i="27"/>
  <c r="M437" i="27"/>
  <c r="M436" i="27"/>
  <c r="M435" i="27"/>
  <c r="M434" i="27"/>
  <c r="M433" i="27"/>
  <c r="M432" i="27"/>
  <c r="M431" i="27"/>
  <c r="M430" i="27"/>
  <c r="M429" i="27"/>
  <c r="M428" i="27"/>
  <c r="M427" i="27"/>
  <c r="M426" i="27"/>
  <c r="M425" i="27"/>
  <c r="M424" i="27"/>
  <c r="M423" i="27"/>
  <c r="M422" i="27"/>
  <c r="M421" i="27"/>
  <c r="M420" i="27"/>
  <c r="M419" i="27"/>
  <c r="M418" i="27"/>
  <c r="M417" i="27"/>
  <c r="M416" i="27"/>
  <c r="M415" i="27"/>
  <c r="M414" i="27"/>
  <c r="M413" i="27"/>
  <c r="M412" i="27"/>
  <c r="M411" i="27"/>
  <c r="M410" i="27"/>
  <c r="M409" i="27"/>
  <c r="M408" i="27"/>
  <c r="M407" i="27"/>
  <c r="M406" i="27"/>
  <c r="M405" i="27"/>
  <c r="M404" i="27"/>
  <c r="M403" i="27"/>
  <c r="M402" i="27"/>
  <c r="M401" i="27"/>
  <c r="M400" i="27"/>
  <c r="M399" i="27"/>
  <c r="M398" i="27"/>
  <c r="M397" i="27"/>
  <c r="M396" i="27"/>
  <c r="M395" i="27"/>
  <c r="M394" i="27"/>
  <c r="M393" i="27"/>
  <c r="M392" i="27"/>
  <c r="M391" i="27"/>
  <c r="M390" i="27"/>
  <c r="M389" i="27"/>
  <c r="M388" i="27"/>
  <c r="M387" i="27"/>
  <c r="M386" i="27"/>
  <c r="M385" i="27"/>
  <c r="M384" i="27"/>
  <c r="M383" i="27"/>
  <c r="M382" i="27"/>
  <c r="M381" i="27"/>
  <c r="M380" i="27"/>
  <c r="M379" i="27"/>
  <c r="M378" i="27"/>
  <c r="M377" i="27"/>
  <c r="M376" i="27"/>
  <c r="M375" i="27"/>
  <c r="M374" i="27"/>
  <c r="M373" i="27"/>
  <c r="M372" i="27"/>
  <c r="M371" i="27"/>
  <c r="M370" i="27"/>
  <c r="M369" i="27"/>
  <c r="M368" i="27"/>
  <c r="M367" i="27"/>
  <c r="M366" i="27"/>
  <c r="M365" i="27"/>
  <c r="M364" i="27"/>
  <c r="M363" i="27"/>
  <c r="M362" i="27"/>
  <c r="M361" i="27"/>
  <c r="M360" i="27"/>
  <c r="M359" i="27"/>
  <c r="M358" i="27"/>
  <c r="M357" i="27"/>
  <c r="M356" i="27"/>
  <c r="M355" i="27"/>
  <c r="M354" i="27"/>
  <c r="M353" i="27"/>
  <c r="M352" i="27"/>
  <c r="M351" i="27"/>
  <c r="M350" i="27"/>
  <c r="M349" i="27"/>
  <c r="M348" i="27"/>
  <c r="M347" i="27"/>
  <c r="M346" i="27"/>
  <c r="M345" i="27"/>
  <c r="M344" i="27"/>
  <c r="M343" i="27"/>
  <c r="M342" i="27"/>
  <c r="M341" i="27"/>
  <c r="M340" i="27"/>
  <c r="M339" i="27"/>
  <c r="M338" i="27"/>
  <c r="M337" i="27"/>
  <c r="M336" i="27"/>
  <c r="M335" i="27"/>
  <c r="M334" i="27"/>
  <c r="M333" i="27"/>
  <c r="M332" i="27"/>
  <c r="M331" i="27"/>
  <c r="M330" i="27"/>
  <c r="M329" i="27"/>
  <c r="M328" i="27"/>
  <c r="M327" i="27"/>
  <c r="M326" i="27"/>
  <c r="M325" i="27"/>
  <c r="M324" i="27"/>
  <c r="M323" i="27"/>
  <c r="M322" i="27"/>
  <c r="M321" i="27"/>
  <c r="M320" i="27"/>
  <c r="M319" i="27"/>
  <c r="M318" i="27"/>
  <c r="M317" i="27"/>
  <c r="M316" i="27"/>
  <c r="M315" i="27"/>
  <c r="M314" i="27"/>
  <c r="M313" i="27"/>
  <c r="M312" i="27"/>
  <c r="M311" i="27"/>
  <c r="M310" i="27"/>
  <c r="M309" i="27"/>
  <c r="M308" i="27"/>
  <c r="M307" i="27"/>
  <c r="M306" i="27"/>
  <c r="M305" i="27"/>
  <c r="M304" i="27"/>
  <c r="M303" i="27"/>
  <c r="M302" i="27"/>
  <c r="M301" i="27"/>
  <c r="M300" i="27"/>
  <c r="M299" i="27"/>
  <c r="M298" i="27"/>
  <c r="M297" i="27"/>
  <c r="M296" i="27"/>
  <c r="M295" i="27"/>
  <c r="M294" i="27"/>
  <c r="M293" i="27"/>
  <c r="M292" i="27"/>
  <c r="M291" i="27"/>
  <c r="M290" i="27"/>
  <c r="M289" i="27"/>
  <c r="M288" i="27"/>
  <c r="M287" i="27"/>
  <c r="M286" i="27"/>
  <c r="M285" i="27"/>
  <c r="M284" i="27"/>
  <c r="M283" i="27"/>
  <c r="M282" i="27"/>
  <c r="M281" i="27"/>
  <c r="M280" i="27"/>
  <c r="M279" i="27"/>
  <c r="M278" i="27"/>
  <c r="M277" i="27"/>
  <c r="M276" i="27"/>
  <c r="M275" i="27"/>
  <c r="M274" i="27"/>
  <c r="M273" i="27"/>
  <c r="M272" i="27"/>
  <c r="M271" i="27"/>
  <c r="M270" i="27"/>
  <c r="M269" i="27"/>
  <c r="M268" i="27"/>
  <c r="M267" i="27"/>
  <c r="M266" i="27"/>
  <c r="M265" i="27"/>
  <c r="M264" i="27"/>
  <c r="M263" i="27"/>
  <c r="M262" i="27"/>
  <c r="M261" i="27"/>
  <c r="M260" i="27"/>
  <c r="M259" i="27"/>
  <c r="M258" i="27"/>
  <c r="M257" i="27"/>
  <c r="M256" i="27"/>
  <c r="M255" i="27"/>
  <c r="M254" i="27"/>
  <c r="M253" i="27"/>
  <c r="M252" i="27"/>
  <c r="M251" i="27"/>
  <c r="M250" i="27"/>
  <c r="M249" i="27"/>
  <c r="M248" i="27"/>
  <c r="M247" i="27"/>
  <c r="M246" i="27"/>
  <c r="M245" i="27"/>
  <c r="M244" i="27"/>
  <c r="M243" i="27"/>
  <c r="M242" i="27"/>
  <c r="M241" i="27"/>
  <c r="M240" i="27"/>
  <c r="M239" i="27"/>
  <c r="M238" i="27"/>
  <c r="M237" i="27"/>
  <c r="M236" i="27"/>
  <c r="M235" i="27"/>
  <c r="M234" i="27"/>
  <c r="M233" i="27"/>
  <c r="M232" i="27"/>
  <c r="M231" i="27"/>
  <c r="M230" i="27"/>
  <c r="M229" i="27"/>
  <c r="M228" i="27"/>
  <c r="M227" i="27"/>
  <c r="M226" i="27"/>
  <c r="M225" i="27"/>
  <c r="M224" i="27"/>
  <c r="M223" i="27"/>
  <c r="M222" i="27"/>
  <c r="M221" i="27"/>
  <c r="M220" i="27"/>
  <c r="M219" i="27"/>
  <c r="M218" i="27"/>
  <c r="M217" i="27"/>
  <c r="M216" i="27"/>
  <c r="M215" i="27"/>
  <c r="M214" i="27"/>
  <c r="M213" i="27"/>
  <c r="M212" i="27"/>
  <c r="M211" i="27"/>
  <c r="M210" i="27"/>
  <c r="M209" i="27"/>
  <c r="M208" i="27"/>
  <c r="M207" i="27"/>
  <c r="M206" i="27"/>
  <c r="M205" i="27"/>
  <c r="M204" i="27"/>
  <c r="M203" i="27"/>
  <c r="M202" i="27"/>
  <c r="M201" i="27"/>
  <c r="M200" i="27"/>
  <c r="M199" i="27"/>
  <c r="M198" i="27"/>
  <c r="M197" i="27"/>
  <c r="M196" i="27"/>
  <c r="M195" i="27"/>
  <c r="M194" i="27"/>
  <c r="M193" i="27"/>
  <c r="M192" i="27"/>
  <c r="M191" i="27"/>
  <c r="M190" i="27"/>
  <c r="M189" i="27"/>
  <c r="M188" i="27"/>
  <c r="M187" i="27"/>
  <c r="M186" i="27"/>
  <c r="M185" i="27"/>
  <c r="M184" i="27"/>
  <c r="M183" i="27"/>
  <c r="M182" i="27"/>
  <c r="M181" i="27"/>
  <c r="M180" i="27"/>
  <c r="M179" i="27"/>
  <c r="M178" i="27"/>
  <c r="M177" i="27"/>
  <c r="M176" i="27"/>
  <c r="M175" i="27"/>
  <c r="M174" i="27"/>
  <c r="M173" i="27"/>
  <c r="M172" i="27"/>
  <c r="M171" i="27"/>
  <c r="M170" i="27"/>
  <c r="M169" i="27"/>
  <c r="M168" i="27"/>
  <c r="M167" i="27"/>
  <c r="M166" i="27"/>
  <c r="M165" i="27"/>
  <c r="M164" i="27"/>
  <c r="M163" i="27"/>
  <c r="M162" i="27"/>
  <c r="M161" i="27"/>
  <c r="M160" i="27"/>
  <c r="M159" i="27"/>
  <c r="M158" i="27"/>
  <c r="M157" i="27"/>
  <c r="M156" i="27"/>
  <c r="M155" i="27"/>
  <c r="M154" i="27"/>
  <c r="M153" i="27"/>
  <c r="M152" i="27"/>
  <c r="M151" i="27"/>
  <c r="M150" i="27"/>
  <c r="M149" i="27"/>
  <c r="M148" i="27"/>
  <c r="M147" i="27"/>
  <c r="M146" i="27"/>
  <c r="M145" i="27"/>
  <c r="M144" i="27"/>
  <c r="M143" i="27"/>
  <c r="M142" i="27"/>
  <c r="M141" i="27"/>
  <c r="M140" i="27"/>
  <c r="M139" i="27"/>
  <c r="M138" i="27"/>
  <c r="M137" i="27"/>
  <c r="M136" i="27"/>
  <c r="M135" i="27"/>
  <c r="M134" i="27"/>
  <c r="M133" i="27"/>
  <c r="M132" i="27"/>
  <c r="M131" i="27"/>
  <c r="M130" i="27"/>
  <c r="M129" i="27"/>
  <c r="M128" i="27"/>
  <c r="M127" i="27"/>
  <c r="M126" i="27"/>
  <c r="M125" i="27"/>
  <c r="M124" i="27"/>
  <c r="M123" i="27"/>
  <c r="M122" i="27"/>
  <c r="M121" i="27"/>
  <c r="M120" i="27"/>
  <c r="M119" i="27"/>
  <c r="M118" i="27"/>
  <c r="M117" i="27"/>
  <c r="M116" i="27"/>
  <c r="M115" i="27"/>
  <c r="M114" i="27"/>
  <c r="M113" i="27"/>
  <c r="M112" i="27"/>
  <c r="M111" i="27"/>
  <c r="M110" i="27"/>
  <c r="M109" i="27"/>
  <c r="M108" i="27"/>
  <c r="M107" i="27"/>
  <c r="M106" i="27"/>
  <c r="M105" i="27"/>
  <c r="M104" i="27"/>
  <c r="M103" i="27"/>
  <c r="M102" i="27"/>
  <c r="M101" i="27"/>
  <c r="M100" i="27"/>
  <c r="M99" i="27"/>
  <c r="M98" i="27"/>
  <c r="M97" i="27"/>
  <c r="M96" i="27"/>
  <c r="M95" i="27"/>
  <c r="M94" i="27"/>
  <c r="M93" i="27"/>
  <c r="M92" i="27"/>
  <c r="M91" i="27"/>
  <c r="M90" i="27"/>
  <c r="M89" i="27"/>
  <c r="M88" i="27"/>
  <c r="M87" i="27"/>
  <c r="M86" i="27"/>
  <c r="M85" i="27"/>
  <c r="M84" i="27"/>
  <c r="M83" i="27"/>
  <c r="M82" i="27"/>
  <c r="M81" i="27"/>
  <c r="M80" i="27"/>
  <c r="M79" i="27"/>
  <c r="M78" i="27"/>
  <c r="M77" i="27"/>
  <c r="M76" i="27"/>
  <c r="M75" i="27"/>
  <c r="M74" i="27"/>
  <c r="M73" i="27"/>
  <c r="M72" i="27"/>
  <c r="M71" i="27"/>
  <c r="M70" i="27"/>
  <c r="M69" i="27"/>
  <c r="M68" i="27"/>
  <c r="M67" i="27"/>
  <c r="M66" i="27"/>
  <c r="M65" i="27"/>
  <c r="M64" i="27"/>
  <c r="M63" i="27"/>
  <c r="M62" i="27"/>
  <c r="M61" i="27"/>
  <c r="M60" i="27"/>
  <c r="M59" i="27"/>
  <c r="M58" i="27"/>
  <c r="M57" i="27"/>
  <c r="M56" i="27"/>
  <c r="M55" i="27"/>
  <c r="M54" i="27"/>
  <c r="M53" i="27"/>
  <c r="M52" i="27"/>
  <c r="M51" i="27"/>
  <c r="M50" i="27"/>
  <c r="M49" i="27"/>
  <c r="M48" i="27"/>
  <c r="M47" i="27"/>
  <c r="M46" i="27"/>
  <c r="M45" i="27"/>
  <c r="M44" i="27"/>
  <c r="M43" i="27"/>
  <c r="M42" i="27"/>
  <c r="M41" i="27"/>
  <c r="M40" i="27"/>
  <c r="M39" i="27"/>
  <c r="M38" i="27"/>
  <c r="M37" i="27"/>
  <c r="M36" i="27"/>
  <c r="M35" i="27"/>
  <c r="M34" i="27"/>
  <c r="M33" i="27"/>
  <c r="M32" i="27"/>
  <c r="M31" i="27"/>
  <c r="M30" i="27"/>
  <c r="M29" i="27"/>
  <c r="M28" i="27"/>
  <c r="M27" i="27"/>
  <c r="M26" i="27"/>
  <c r="M25" i="27"/>
  <c r="M24" i="27"/>
  <c r="M23" i="27"/>
  <c r="M22" i="27"/>
  <c r="M21" i="27"/>
  <c r="M20" i="27"/>
  <c r="M19" i="27"/>
  <c r="M18" i="27"/>
  <c r="M17" i="27"/>
  <c r="M16" i="27"/>
  <c r="M15" i="27"/>
  <c r="M14" i="27"/>
  <c r="M13" i="27"/>
  <c r="M12" i="27"/>
  <c r="M11" i="27"/>
  <c r="M10" i="27"/>
  <c r="M9" i="27"/>
  <c r="M8" i="27"/>
  <c r="M7" i="27"/>
  <c r="M6" i="27"/>
  <c r="M5" i="27"/>
  <c r="M4" i="27"/>
  <c r="M3" i="27"/>
  <c r="M2" i="27"/>
  <c r="M1" i="27"/>
  <c r="K1819" i="27"/>
  <c r="K1772" i="27"/>
  <c r="K1587" i="27"/>
  <c r="K1540" i="27"/>
  <c r="K833" i="27"/>
  <c r="K769" i="27"/>
  <c r="K552" i="27"/>
  <c r="K520" i="27"/>
  <c r="K488" i="27"/>
  <c r="K296" i="27"/>
  <c r="K273" i="27"/>
  <c r="K272" i="27"/>
  <c r="K145" i="27"/>
  <c r="K144" i="27"/>
  <c r="K121" i="27"/>
  <c r="K81" i="27"/>
  <c r="I2777" i="27"/>
  <c r="K2777" i="27" s="1"/>
  <c r="I2434" i="27"/>
  <c r="K2434" i="27" s="1"/>
  <c r="I1889" i="27"/>
  <c r="K1889" i="27" s="1"/>
  <c r="I1451" i="27"/>
  <c r="K1451" i="27" s="1"/>
  <c r="I1322" i="27"/>
  <c r="K1322" i="27" s="1"/>
  <c r="I1321" i="27"/>
  <c r="K1321" i="27" s="1"/>
  <c r="I1131" i="27"/>
  <c r="K1131" i="27" s="1"/>
  <c r="I809" i="27"/>
  <c r="K809" i="27" s="1"/>
  <c r="I618" i="27"/>
  <c r="K618" i="27" s="1"/>
  <c r="I600" i="27"/>
  <c r="K600" i="27" s="1"/>
  <c r="I522" i="27"/>
  <c r="K522" i="27" s="1"/>
  <c r="I89" i="27"/>
  <c r="K89" i="27" s="1"/>
  <c r="I51" i="27"/>
  <c r="K51" i="27" s="1"/>
  <c r="I50" i="27"/>
  <c r="K50" i="27" s="1"/>
  <c r="I3" i="27"/>
  <c r="K3" i="27" s="1"/>
  <c r="F2979" i="27"/>
  <c r="I2979" i="27" s="1"/>
  <c r="K2979" i="27" s="1"/>
  <c r="F2978" i="27"/>
  <c r="I2978" i="27" s="1"/>
  <c r="K2978" i="27" s="1"/>
  <c r="F2977" i="27"/>
  <c r="I2977" i="27" s="1"/>
  <c r="K2977" i="27" s="1"/>
  <c r="F2976" i="27"/>
  <c r="I2976" i="27" s="1"/>
  <c r="K2976" i="27" s="1"/>
  <c r="F2975" i="27"/>
  <c r="I2975" i="27" s="1"/>
  <c r="K2975" i="27" s="1"/>
  <c r="F2974" i="27"/>
  <c r="I2974" i="27" s="1"/>
  <c r="K2974" i="27" s="1"/>
  <c r="F2973" i="27"/>
  <c r="I2973" i="27" s="1"/>
  <c r="K2973" i="27" s="1"/>
  <c r="F2972" i="27"/>
  <c r="I2972" i="27" s="1"/>
  <c r="K2972" i="27" s="1"/>
  <c r="F2971" i="27"/>
  <c r="I2971" i="27" s="1"/>
  <c r="K2971" i="27" s="1"/>
  <c r="F2970" i="27"/>
  <c r="I2970" i="27" s="1"/>
  <c r="K2970" i="27" s="1"/>
  <c r="F2969" i="27"/>
  <c r="I2969" i="27" s="1"/>
  <c r="K2969" i="27" s="1"/>
  <c r="F2968" i="27"/>
  <c r="I2968" i="27" s="1"/>
  <c r="K2968" i="27" s="1"/>
  <c r="F2967" i="27"/>
  <c r="I2967" i="27" s="1"/>
  <c r="K2967" i="27" s="1"/>
  <c r="F2966" i="27"/>
  <c r="I2966" i="27" s="1"/>
  <c r="K2966" i="27" s="1"/>
  <c r="F2965" i="27"/>
  <c r="I2965" i="27" s="1"/>
  <c r="K2965" i="27" s="1"/>
  <c r="F2964" i="27"/>
  <c r="I2964" i="27" s="1"/>
  <c r="K2964" i="27" s="1"/>
  <c r="F2963" i="27"/>
  <c r="I2963" i="27" s="1"/>
  <c r="K2963" i="27" s="1"/>
  <c r="F2962" i="27"/>
  <c r="I2962" i="27" s="1"/>
  <c r="K2962" i="27" s="1"/>
  <c r="F2961" i="27"/>
  <c r="I2961" i="27" s="1"/>
  <c r="K2961" i="27" s="1"/>
  <c r="F2960" i="27"/>
  <c r="I2960" i="27" s="1"/>
  <c r="K2960" i="27" s="1"/>
  <c r="F2959" i="27"/>
  <c r="I2959" i="27" s="1"/>
  <c r="K2959" i="27" s="1"/>
  <c r="F2958" i="27"/>
  <c r="I2958" i="27" s="1"/>
  <c r="K2958" i="27" s="1"/>
  <c r="F2957" i="27"/>
  <c r="I2957" i="27" s="1"/>
  <c r="K2957" i="27" s="1"/>
  <c r="F2956" i="27"/>
  <c r="I2956" i="27" s="1"/>
  <c r="K2956" i="27" s="1"/>
  <c r="F2955" i="27"/>
  <c r="I2955" i="27" s="1"/>
  <c r="K2955" i="27" s="1"/>
  <c r="F2954" i="27"/>
  <c r="I2954" i="27" s="1"/>
  <c r="K2954" i="27" s="1"/>
  <c r="F2953" i="27"/>
  <c r="I2953" i="27" s="1"/>
  <c r="K2953" i="27" s="1"/>
  <c r="F2952" i="27"/>
  <c r="I2952" i="27" s="1"/>
  <c r="K2952" i="27" s="1"/>
  <c r="F2951" i="27"/>
  <c r="I2951" i="27" s="1"/>
  <c r="K2951" i="27" s="1"/>
  <c r="F2950" i="27"/>
  <c r="I2950" i="27" s="1"/>
  <c r="K2950" i="27" s="1"/>
  <c r="F2949" i="27"/>
  <c r="I2949" i="27" s="1"/>
  <c r="K2949" i="27" s="1"/>
  <c r="F2948" i="27"/>
  <c r="I2948" i="27" s="1"/>
  <c r="K2948" i="27" s="1"/>
  <c r="F2947" i="27"/>
  <c r="I2947" i="27" s="1"/>
  <c r="K2947" i="27" s="1"/>
  <c r="F2946" i="27"/>
  <c r="I2946" i="27" s="1"/>
  <c r="K2946" i="27" s="1"/>
  <c r="F2945" i="27"/>
  <c r="I2945" i="27" s="1"/>
  <c r="K2945" i="27" s="1"/>
  <c r="F2944" i="27"/>
  <c r="I2944" i="27" s="1"/>
  <c r="K2944" i="27" s="1"/>
  <c r="F2943" i="27"/>
  <c r="I2943" i="27" s="1"/>
  <c r="K2943" i="27" s="1"/>
  <c r="F2942" i="27"/>
  <c r="I2942" i="27" s="1"/>
  <c r="K2942" i="27" s="1"/>
  <c r="F2941" i="27"/>
  <c r="I2941" i="27" s="1"/>
  <c r="K2941" i="27" s="1"/>
  <c r="F2940" i="27"/>
  <c r="I2940" i="27" s="1"/>
  <c r="K2940" i="27" s="1"/>
  <c r="F2939" i="27"/>
  <c r="I2939" i="27" s="1"/>
  <c r="K2939" i="27" s="1"/>
  <c r="F2938" i="27"/>
  <c r="I2938" i="27" s="1"/>
  <c r="K2938" i="27" s="1"/>
  <c r="F2937" i="27"/>
  <c r="I2937" i="27" s="1"/>
  <c r="K2937" i="27" s="1"/>
  <c r="F2936" i="27"/>
  <c r="I2936" i="27" s="1"/>
  <c r="K2936" i="27" s="1"/>
  <c r="F2935" i="27"/>
  <c r="I2935" i="27" s="1"/>
  <c r="K2935" i="27" s="1"/>
  <c r="F2934" i="27"/>
  <c r="I2934" i="27" s="1"/>
  <c r="K2934" i="27" s="1"/>
  <c r="F2933" i="27"/>
  <c r="I2933" i="27" s="1"/>
  <c r="K2933" i="27" s="1"/>
  <c r="F2932" i="27"/>
  <c r="I2932" i="27" s="1"/>
  <c r="K2932" i="27" s="1"/>
  <c r="F2931" i="27"/>
  <c r="I2931" i="27" s="1"/>
  <c r="K2931" i="27" s="1"/>
  <c r="F2930" i="27"/>
  <c r="I2930" i="27" s="1"/>
  <c r="K2930" i="27" s="1"/>
  <c r="F2929" i="27"/>
  <c r="I2929" i="27" s="1"/>
  <c r="K2929" i="27" s="1"/>
  <c r="F2928" i="27"/>
  <c r="I2928" i="27" s="1"/>
  <c r="K2928" i="27" s="1"/>
  <c r="F2927" i="27"/>
  <c r="I2927" i="27" s="1"/>
  <c r="K2927" i="27" s="1"/>
  <c r="F2926" i="27"/>
  <c r="I2926" i="27" s="1"/>
  <c r="K2926" i="27" s="1"/>
  <c r="F2925" i="27"/>
  <c r="I2925" i="27" s="1"/>
  <c r="K2925" i="27" s="1"/>
  <c r="F2924" i="27"/>
  <c r="I2924" i="27" s="1"/>
  <c r="K2924" i="27" s="1"/>
  <c r="F2923" i="27"/>
  <c r="I2923" i="27" s="1"/>
  <c r="K2923" i="27" s="1"/>
  <c r="F2922" i="27"/>
  <c r="I2922" i="27" s="1"/>
  <c r="K2922" i="27" s="1"/>
  <c r="F2921" i="27"/>
  <c r="I2921" i="27" s="1"/>
  <c r="K2921" i="27" s="1"/>
  <c r="F2920" i="27"/>
  <c r="I2920" i="27" s="1"/>
  <c r="K2920" i="27" s="1"/>
  <c r="F2919" i="27"/>
  <c r="I2919" i="27" s="1"/>
  <c r="K2919" i="27" s="1"/>
  <c r="F2918" i="27"/>
  <c r="I2918" i="27" s="1"/>
  <c r="K2918" i="27" s="1"/>
  <c r="F2917" i="27"/>
  <c r="I2917" i="27" s="1"/>
  <c r="K2917" i="27" s="1"/>
  <c r="F2916" i="27"/>
  <c r="I2916" i="27" s="1"/>
  <c r="K2916" i="27" s="1"/>
  <c r="F2915" i="27"/>
  <c r="I2915" i="27" s="1"/>
  <c r="K2915" i="27" s="1"/>
  <c r="F2914" i="27"/>
  <c r="I2914" i="27" s="1"/>
  <c r="K2914" i="27" s="1"/>
  <c r="F2913" i="27"/>
  <c r="I2913" i="27" s="1"/>
  <c r="K2913" i="27" s="1"/>
  <c r="F2912" i="27"/>
  <c r="I2912" i="27" s="1"/>
  <c r="K2912" i="27" s="1"/>
  <c r="F2911" i="27"/>
  <c r="I2911" i="27" s="1"/>
  <c r="K2911" i="27" s="1"/>
  <c r="F2910" i="27"/>
  <c r="I2910" i="27" s="1"/>
  <c r="K2910" i="27" s="1"/>
  <c r="F2909" i="27"/>
  <c r="I2909" i="27" s="1"/>
  <c r="K2909" i="27" s="1"/>
  <c r="F2908" i="27"/>
  <c r="I2908" i="27" s="1"/>
  <c r="K2908" i="27" s="1"/>
  <c r="F2907" i="27"/>
  <c r="I2907" i="27" s="1"/>
  <c r="K2907" i="27" s="1"/>
  <c r="F2906" i="27"/>
  <c r="I2906" i="27" s="1"/>
  <c r="K2906" i="27" s="1"/>
  <c r="F2905" i="27"/>
  <c r="I2905" i="27" s="1"/>
  <c r="K2905" i="27" s="1"/>
  <c r="F2904" i="27"/>
  <c r="I2904" i="27" s="1"/>
  <c r="K2904" i="27" s="1"/>
  <c r="F2903" i="27"/>
  <c r="I2903" i="27" s="1"/>
  <c r="K2903" i="27" s="1"/>
  <c r="F2902" i="27"/>
  <c r="I2902" i="27" s="1"/>
  <c r="K2902" i="27" s="1"/>
  <c r="F2901" i="27"/>
  <c r="I2901" i="27" s="1"/>
  <c r="K2901" i="27" s="1"/>
  <c r="F2900" i="27"/>
  <c r="I2900" i="27" s="1"/>
  <c r="K2900" i="27" s="1"/>
  <c r="F2899" i="27"/>
  <c r="I2899" i="27" s="1"/>
  <c r="K2899" i="27" s="1"/>
  <c r="F2898" i="27"/>
  <c r="I2898" i="27" s="1"/>
  <c r="K2898" i="27" s="1"/>
  <c r="F2897" i="27"/>
  <c r="I2897" i="27" s="1"/>
  <c r="K2897" i="27" s="1"/>
  <c r="F2896" i="27"/>
  <c r="I2896" i="27" s="1"/>
  <c r="K2896" i="27" s="1"/>
  <c r="F2895" i="27"/>
  <c r="I2895" i="27" s="1"/>
  <c r="K2895" i="27" s="1"/>
  <c r="F2894" i="27"/>
  <c r="I2894" i="27" s="1"/>
  <c r="K2894" i="27" s="1"/>
  <c r="F2893" i="27"/>
  <c r="I2893" i="27" s="1"/>
  <c r="K2893" i="27" s="1"/>
  <c r="F2892" i="27"/>
  <c r="I2892" i="27" s="1"/>
  <c r="K2892" i="27" s="1"/>
  <c r="F2891" i="27"/>
  <c r="I2891" i="27" s="1"/>
  <c r="K2891" i="27" s="1"/>
  <c r="F2890" i="27"/>
  <c r="I2890" i="27" s="1"/>
  <c r="K2890" i="27" s="1"/>
  <c r="F2889" i="27"/>
  <c r="I2889" i="27" s="1"/>
  <c r="K2889" i="27" s="1"/>
  <c r="F2888" i="27"/>
  <c r="I2888" i="27" s="1"/>
  <c r="K2888" i="27" s="1"/>
  <c r="F2887" i="27"/>
  <c r="I2887" i="27" s="1"/>
  <c r="K2887" i="27" s="1"/>
  <c r="F2886" i="27"/>
  <c r="I2886" i="27" s="1"/>
  <c r="K2886" i="27" s="1"/>
  <c r="F2885" i="27"/>
  <c r="I2885" i="27" s="1"/>
  <c r="K2885" i="27" s="1"/>
  <c r="F2884" i="27"/>
  <c r="I2884" i="27" s="1"/>
  <c r="K2884" i="27" s="1"/>
  <c r="F2883" i="27"/>
  <c r="I2883" i="27" s="1"/>
  <c r="K2883" i="27" s="1"/>
  <c r="F2882" i="27"/>
  <c r="I2882" i="27" s="1"/>
  <c r="K2882" i="27" s="1"/>
  <c r="F2881" i="27"/>
  <c r="I2881" i="27" s="1"/>
  <c r="K2881" i="27" s="1"/>
  <c r="F2880" i="27"/>
  <c r="I2880" i="27" s="1"/>
  <c r="K2880" i="27" s="1"/>
  <c r="F2879" i="27"/>
  <c r="I2879" i="27" s="1"/>
  <c r="K2879" i="27" s="1"/>
  <c r="F2878" i="27"/>
  <c r="I2878" i="27" s="1"/>
  <c r="K2878" i="27" s="1"/>
  <c r="F2877" i="27"/>
  <c r="I2877" i="27" s="1"/>
  <c r="K2877" i="27" s="1"/>
  <c r="F2876" i="27"/>
  <c r="I2876" i="27" s="1"/>
  <c r="K2876" i="27" s="1"/>
  <c r="F2875" i="27"/>
  <c r="I2875" i="27" s="1"/>
  <c r="K2875" i="27" s="1"/>
  <c r="F2874" i="27"/>
  <c r="I2874" i="27" s="1"/>
  <c r="K2874" i="27" s="1"/>
  <c r="F2873" i="27"/>
  <c r="I2873" i="27" s="1"/>
  <c r="K2873" i="27" s="1"/>
  <c r="F2872" i="27"/>
  <c r="I2872" i="27" s="1"/>
  <c r="K2872" i="27" s="1"/>
  <c r="F2871" i="27"/>
  <c r="I2871" i="27" s="1"/>
  <c r="K2871" i="27" s="1"/>
  <c r="F2870" i="27"/>
  <c r="I2870" i="27" s="1"/>
  <c r="K2870" i="27" s="1"/>
  <c r="F2869" i="27"/>
  <c r="I2869" i="27" s="1"/>
  <c r="K2869" i="27" s="1"/>
  <c r="F2868" i="27"/>
  <c r="I2868" i="27" s="1"/>
  <c r="K2868" i="27" s="1"/>
  <c r="F2867" i="27"/>
  <c r="I2867" i="27" s="1"/>
  <c r="K2867" i="27" s="1"/>
  <c r="F2866" i="27"/>
  <c r="I2866" i="27" s="1"/>
  <c r="K2866" i="27" s="1"/>
  <c r="F2865" i="27"/>
  <c r="I2865" i="27" s="1"/>
  <c r="K2865" i="27" s="1"/>
  <c r="F2864" i="27"/>
  <c r="I2864" i="27" s="1"/>
  <c r="K2864" i="27" s="1"/>
  <c r="F2863" i="27"/>
  <c r="I2863" i="27" s="1"/>
  <c r="K2863" i="27" s="1"/>
  <c r="F2862" i="27"/>
  <c r="I2862" i="27" s="1"/>
  <c r="K2862" i="27" s="1"/>
  <c r="F2861" i="27"/>
  <c r="I2861" i="27" s="1"/>
  <c r="K2861" i="27" s="1"/>
  <c r="F2860" i="27"/>
  <c r="I2860" i="27" s="1"/>
  <c r="K2860" i="27" s="1"/>
  <c r="F2859" i="27"/>
  <c r="I2859" i="27" s="1"/>
  <c r="K2859" i="27" s="1"/>
  <c r="F2858" i="27"/>
  <c r="I2858" i="27" s="1"/>
  <c r="K2858" i="27" s="1"/>
  <c r="F2857" i="27"/>
  <c r="I2857" i="27" s="1"/>
  <c r="K2857" i="27" s="1"/>
  <c r="F2856" i="27"/>
  <c r="I2856" i="27" s="1"/>
  <c r="K2856" i="27" s="1"/>
  <c r="F2855" i="27"/>
  <c r="I2855" i="27" s="1"/>
  <c r="K2855" i="27" s="1"/>
  <c r="F2854" i="27"/>
  <c r="I2854" i="27" s="1"/>
  <c r="K2854" i="27" s="1"/>
  <c r="F2853" i="27"/>
  <c r="I2853" i="27" s="1"/>
  <c r="K2853" i="27" s="1"/>
  <c r="F2852" i="27"/>
  <c r="I2852" i="27" s="1"/>
  <c r="K2852" i="27" s="1"/>
  <c r="F2851" i="27"/>
  <c r="I2851" i="27" s="1"/>
  <c r="K2851" i="27" s="1"/>
  <c r="F2850" i="27"/>
  <c r="I2850" i="27" s="1"/>
  <c r="K2850" i="27" s="1"/>
  <c r="F2849" i="27"/>
  <c r="I2849" i="27" s="1"/>
  <c r="K2849" i="27" s="1"/>
  <c r="F2848" i="27"/>
  <c r="I2848" i="27" s="1"/>
  <c r="K2848" i="27" s="1"/>
  <c r="F2847" i="27"/>
  <c r="I2847" i="27" s="1"/>
  <c r="K2847" i="27" s="1"/>
  <c r="F2846" i="27"/>
  <c r="I2846" i="27" s="1"/>
  <c r="K2846" i="27" s="1"/>
  <c r="F2845" i="27"/>
  <c r="I2845" i="27" s="1"/>
  <c r="K2845" i="27" s="1"/>
  <c r="F2844" i="27"/>
  <c r="I2844" i="27" s="1"/>
  <c r="K2844" i="27" s="1"/>
  <c r="F2843" i="27"/>
  <c r="I2843" i="27" s="1"/>
  <c r="K2843" i="27" s="1"/>
  <c r="F2842" i="27"/>
  <c r="I2842" i="27" s="1"/>
  <c r="K2842" i="27" s="1"/>
  <c r="F2841" i="27"/>
  <c r="I2841" i="27" s="1"/>
  <c r="K2841" i="27" s="1"/>
  <c r="F2840" i="27"/>
  <c r="I2840" i="27" s="1"/>
  <c r="K2840" i="27" s="1"/>
  <c r="F2839" i="27"/>
  <c r="I2839" i="27" s="1"/>
  <c r="K2839" i="27" s="1"/>
  <c r="F2838" i="27"/>
  <c r="I2838" i="27" s="1"/>
  <c r="K2838" i="27" s="1"/>
  <c r="F2837" i="27"/>
  <c r="I2837" i="27" s="1"/>
  <c r="K2837" i="27" s="1"/>
  <c r="F2836" i="27"/>
  <c r="I2836" i="27" s="1"/>
  <c r="K2836" i="27" s="1"/>
  <c r="F2835" i="27"/>
  <c r="I2835" i="27" s="1"/>
  <c r="K2835" i="27" s="1"/>
  <c r="F2834" i="27"/>
  <c r="I2834" i="27" s="1"/>
  <c r="K2834" i="27" s="1"/>
  <c r="F2833" i="27"/>
  <c r="I2833" i="27" s="1"/>
  <c r="K2833" i="27" s="1"/>
  <c r="F2832" i="27"/>
  <c r="I2832" i="27" s="1"/>
  <c r="K2832" i="27" s="1"/>
  <c r="F2831" i="27"/>
  <c r="I2831" i="27" s="1"/>
  <c r="K2831" i="27" s="1"/>
  <c r="F2830" i="27"/>
  <c r="I2830" i="27" s="1"/>
  <c r="K2830" i="27" s="1"/>
  <c r="F2829" i="27"/>
  <c r="I2829" i="27" s="1"/>
  <c r="K2829" i="27" s="1"/>
  <c r="F2828" i="27"/>
  <c r="I2828" i="27" s="1"/>
  <c r="K2828" i="27" s="1"/>
  <c r="F2827" i="27"/>
  <c r="I2827" i="27" s="1"/>
  <c r="K2827" i="27" s="1"/>
  <c r="F2826" i="27"/>
  <c r="I2826" i="27" s="1"/>
  <c r="K2826" i="27" s="1"/>
  <c r="F2825" i="27"/>
  <c r="I2825" i="27" s="1"/>
  <c r="K2825" i="27" s="1"/>
  <c r="F2824" i="27"/>
  <c r="I2824" i="27" s="1"/>
  <c r="K2824" i="27" s="1"/>
  <c r="F2823" i="27"/>
  <c r="I2823" i="27" s="1"/>
  <c r="K2823" i="27" s="1"/>
  <c r="F2822" i="27"/>
  <c r="I2822" i="27" s="1"/>
  <c r="K2822" i="27" s="1"/>
  <c r="F2821" i="27"/>
  <c r="I2821" i="27" s="1"/>
  <c r="K2821" i="27" s="1"/>
  <c r="F2820" i="27"/>
  <c r="I2820" i="27" s="1"/>
  <c r="K2820" i="27" s="1"/>
  <c r="F2819" i="27"/>
  <c r="I2819" i="27" s="1"/>
  <c r="K2819" i="27" s="1"/>
  <c r="F2818" i="27"/>
  <c r="I2818" i="27" s="1"/>
  <c r="K2818" i="27" s="1"/>
  <c r="F2817" i="27"/>
  <c r="I2817" i="27" s="1"/>
  <c r="K2817" i="27" s="1"/>
  <c r="F2816" i="27"/>
  <c r="I2816" i="27" s="1"/>
  <c r="K2816" i="27" s="1"/>
  <c r="F2815" i="27"/>
  <c r="I2815" i="27" s="1"/>
  <c r="K2815" i="27" s="1"/>
  <c r="F2814" i="27"/>
  <c r="I2814" i="27" s="1"/>
  <c r="K2814" i="27" s="1"/>
  <c r="F2813" i="27"/>
  <c r="I2813" i="27" s="1"/>
  <c r="K2813" i="27" s="1"/>
  <c r="F2812" i="27"/>
  <c r="I2812" i="27" s="1"/>
  <c r="K2812" i="27" s="1"/>
  <c r="F2811" i="27"/>
  <c r="I2811" i="27" s="1"/>
  <c r="K2811" i="27" s="1"/>
  <c r="F2810" i="27"/>
  <c r="I2810" i="27" s="1"/>
  <c r="K2810" i="27" s="1"/>
  <c r="F2809" i="27"/>
  <c r="I2809" i="27" s="1"/>
  <c r="K2809" i="27" s="1"/>
  <c r="F2808" i="27"/>
  <c r="I2808" i="27" s="1"/>
  <c r="K2808" i="27" s="1"/>
  <c r="F2807" i="27"/>
  <c r="I2807" i="27" s="1"/>
  <c r="K2807" i="27" s="1"/>
  <c r="F2806" i="27"/>
  <c r="I2806" i="27" s="1"/>
  <c r="K2806" i="27" s="1"/>
  <c r="F2805" i="27"/>
  <c r="I2805" i="27" s="1"/>
  <c r="K2805" i="27" s="1"/>
  <c r="F2804" i="27"/>
  <c r="I2804" i="27" s="1"/>
  <c r="K2804" i="27" s="1"/>
  <c r="F2803" i="27"/>
  <c r="I2803" i="27" s="1"/>
  <c r="K2803" i="27" s="1"/>
  <c r="F2802" i="27"/>
  <c r="I2802" i="27" s="1"/>
  <c r="K2802" i="27" s="1"/>
  <c r="F2801" i="27"/>
  <c r="I2801" i="27" s="1"/>
  <c r="K2801" i="27" s="1"/>
  <c r="F2800" i="27"/>
  <c r="I2800" i="27" s="1"/>
  <c r="K2800" i="27" s="1"/>
  <c r="F2799" i="27"/>
  <c r="I2799" i="27" s="1"/>
  <c r="K2799" i="27" s="1"/>
  <c r="F2798" i="27"/>
  <c r="I2798" i="27" s="1"/>
  <c r="K2798" i="27" s="1"/>
  <c r="F2797" i="27"/>
  <c r="I2797" i="27" s="1"/>
  <c r="K2797" i="27" s="1"/>
  <c r="F2796" i="27"/>
  <c r="I2796" i="27" s="1"/>
  <c r="K2796" i="27" s="1"/>
  <c r="F2795" i="27"/>
  <c r="I2795" i="27" s="1"/>
  <c r="K2795" i="27" s="1"/>
  <c r="F2794" i="27"/>
  <c r="I2794" i="27" s="1"/>
  <c r="K2794" i="27" s="1"/>
  <c r="F2793" i="27"/>
  <c r="I2793" i="27" s="1"/>
  <c r="K2793" i="27" s="1"/>
  <c r="F2792" i="27"/>
  <c r="I2792" i="27" s="1"/>
  <c r="K2792" i="27" s="1"/>
  <c r="F2791" i="27"/>
  <c r="I2791" i="27" s="1"/>
  <c r="K2791" i="27" s="1"/>
  <c r="F2790" i="27"/>
  <c r="I2790" i="27" s="1"/>
  <c r="K2790" i="27" s="1"/>
  <c r="F2789" i="27"/>
  <c r="I2789" i="27" s="1"/>
  <c r="K2789" i="27" s="1"/>
  <c r="F2788" i="27"/>
  <c r="I2788" i="27" s="1"/>
  <c r="K2788" i="27" s="1"/>
  <c r="F2787" i="27"/>
  <c r="I2787" i="27" s="1"/>
  <c r="K2787" i="27" s="1"/>
  <c r="F2786" i="27"/>
  <c r="I2786" i="27" s="1"/>
  <c r="K2786" i="27" s="1"/>
  <c r="F2785" i="27"/>
  <c r="I2785" i="27" s="1"/>
  <c r="K2785" i="27" s="1"/>
  <c r="F2784" i="27"/>
  <c r="I2784" i="27" s="1"/>
  <c r="K2784" i="27" s="1"/>
  <c r="F2783" i="27"/>
  <c r="I2783" i="27" s="1"/>
  <c r="K2783" i="27" s="1"/>
  <c r="F2782" i="27"/>
  <c r="I2782" i="27" s="1"/>
  <c r="K2782" i="27" s="1"/>
  <c r="F2781" i="27"/>
  <c r="I2781" i="27" s="1"/>
  <c r="K2781" i="27" s="1"/>
  <c r="F2780" i="27"/>
  <c r="I2780" i="27" s="1"/>
  <c r="K2780" i="27" s="1"/>
  <c r="F2779" i="27"/>
  <c r="I2779" i="27" s="1"/>
  <c r="K2779" i="27" s="1"/>
  <c r="F2778" i="27"/>
  <c r="I2778" i="27" s="1"/>
  <c r="K2778" i="27" s="1"/>
  <c r="F2777" i="27"/>
  <c r="F2776" i="27"/>
  <c r="I2776" i="27" s="1"/>
  <c r="K2776" i="27" s="1"/>
  <c r="F2775" i="27"/>
  <c r="I2775" i="27" s="1"/>
  <c r="K2775" i="27" s="1"/>
  <c r="F2774" i="27"/>
  <c r="I2774" i="27" s="1"/>
  <c r="K2774" i="27" s="1"/>
  <c r="F2773" i="27"/>
  <c r="I2773" i="27" s="1"/>
  <c r="K2773" i="27" s="1"/>
  <c r="F2772" i="27"/>
  <c r="I2772" i="27" s="1"/>
  <c r="K2772" i="27" s="1"/>
  <c r="F2771" i="27"/>
  <c r="I2771" i="27" s="1"/>
  <c r="K2771" i="27" s="1"/>
  <c r="F2770" i="27"/>
  <c r="I2770" i="27" s="1"/>
  <c r="K2770" i="27" s="1"/>
  <c r="F2769" i="27"/>
  <c r="I2769" i="27" s="1"/>
  <c r="K2769" i="27" s="1"/>
  <c r="F2768" i="27"/>
  <c r="I2768" i="27" s="1"/>
  <c r="K2768" i="27" s="1"/>
  <c r="F2767" i="27"/>
  <c r="I2767" i="27" s="1"/>
  <c r="K2767" i="27" s="1"/>
  <c r="F2766" i="27"/>
  <c r="I2766" i="27" s="1"/>
  <c r="K2766" i="27" s="1"/>
  <c r="F2765" i="27"/>
  <c r="I2765" i="27" s="1"/>
  <c r="K2765" i="27" s="1"/>
  <c r="F2764" i="27"/>
  <c r="I2764" i="27" s="1"/>
  <c r="K2764" i="27" s="1"/>
  <c r="F2763" i="27"/>
  <c r="I2763" i="27" s="1"/>
  <c r="K2763" i="27" s="1"/>
  <c r="F2762" i="27"/>
  <c r="I2762" i="27" s="1"/>
  <c r="K2762" i="27" s="1"/>
  <c r="F2761" i="27"/>
  <c r="I2761" i="27" s="1"/>
  <c r="K2761" i="27" s="1"/>
  <c r="F2760" i="27"/>
  <c r="I2760" i="27" s="1"/>
  <c r="K2760" i="27" s="1"/>
  <c r="F2759" i="27"/>
  <c r="I2759" i="27" s="1"/>
  <c r="K2759" i="27" s="1"/>
  <c r="F2758" i="27"/>
  <c r="I2758" i="27" s="1"/>
  <c r="K2758" i="27" s="1"/>
  <c r="F2757" i="27"/>
  <c r="I2757" i="27" s="1"/>
  <c r="K2757" i="27" s="1"/>
  <c r="F2756" i="27"/>
  <c r="I2756" i="27" s="1"/>
  <c r="K2756" i="27" s="1"/>
  <c r="F2755" i="27"/>
  <c r="I2755" i="27" s="1"/>
  <c r="K2755" i="27" s="1"/>
  <c r="F2754" i="27"/>
  <c r="I2754" i="27" s="1"/>
  <c r="K2754" i="27" s="1"/>
  <c r="F2753" i="27"/>
  <c r="I2753" i="27" s="1"/>
  <c r="K2753" i="27" s="1"/>
  <c r="F2752" i="27"/>
  <c r="I2752" i="27" s="1"/>
  <c r="K2752" i="27" s="1"/>
  <c r="F2751" i="27"/>
  <c r="I2751" i="27" s="1"/>
  <c r="K2751" i="27" s="1"/>
  <c r="F2750" i="27"/>
  <c r="I2750" i="27" s="1"/>
  <c r="K2750" i="27" s="1"/>
  <c r="F2749" i="27"/>
  <c r="I2749" i="27" s="1"/>
  <c r="K2749" i="27" s="1"/>
  <c r="F2748" i="27"/>
  <c r="I2748" i="27" s="1"/>
  <c r="K2748" i="27" s="1"/>
  <c r="F2747" i="27"/>
  <c r="I2747" i="27" s="1"/>
  <c r="K2747" i="27" s="1"/>
  <c r="F2746" i="27"/>
  <c r="I2746" i="27" s="1"/>
  <c r="K2746" i="27" s="1"/>
  <c r="F2745" i="27"/>
  <c r="I2745" i="27" s="1"/>
  <c r="K2745" i="27" s="1"/>
  <c r="F2744" i="27"/>
  <c r="I2744" i="27" s="1"/>
  <c r="K2744" i="27" s="1"/>
  <c r="F2743" i="27"/>
  <c r="I2743" i="27" s="1"/>
  <c r="K2743" i="27" s="1"/>
  <c r="F2742" i="27"/>
  <c r="I2742" i="27" s="1"/>
  <c r="K2742" i="27" s="1"/>
  <c r="F2741" i="27"/>
  <c r="I2741" i="27" s="1"/>
  <c r="K2741" i="27" s="1"/>
  <c r="F2740" i="27"/>
  <c r="I2740" i="27" s="1"/>
  <c r="K2740" i="27" s="1"/>
  <c r="F2739" i="27"/>
  <c r="I2739" i="27" s="1"/>
  <c r="K2739" i="27" s="1"/>
  <c r="F2738" i="27"/>
  <c r="I2738" i="27" s="1"/>
  <c r="K2738" i="27" s="1"/>
  <c r="F2737" i="27"/>
  <c r="I2737" i="27" s="1"/>
  <c r="K2737" i="27" s="1"/>
  <c r="F2736" i="27"/>
  <c r="I2736" i="27" s="1"/>
  <c r="K2736" i="27" s="1"/>
  <c r="F2735" i="27"/>
  <c r="I2735" i="27" s="1"/>
  <c r="K2735" i="27" s="1"/>
  <c r="F2734" i="27"/>
  <c r="I2734" i="27" s="1"/>
  <c r="K2734" i="27" s="1"/>
  <c r="F2733" i="27"/>
  <c r="I2733" i="27" s="1"/>
  <c r="K2733" i="27" s="1"/>
  <c r="F2732" i="27"/>
  <c r="I2732" i="27" s="1"/>
  <c r="K2732" i="27" s="1"/>
  <c r="F2731" i="27"/>
  <c r="I2731" i="27" s="1"/>
  <c r="K2731" i="27" s="1"/>
  <c r="F2730" i="27"/>
  <c r="I2730" i="27" s="1"/>
  <c r="K2730" i="27" s="1"/>
  <c r="F2729" i="27"/>
  <c r="I2729" i="27" s="1"/>
  <c r="K2729" i="27" s="1"/>
  <c r="F2728" i="27"/>
  <c r="I2728" i="27" s="1"/>
  <c r="K2728" i="27" s="1"/>
  <c r="F2727" i="27"/>
  <c r="I2727" i="27" s="1"/>
  <c r="K2727" i="27" s="1"/>
  <c r="F2726" i="27"/>
  <c r="I2726" i="27" s="1"/>
  <c r="K2726" i="27" s="1"/>
  <c r="F2725" i="27"/>
  <c r="I2725" i="27" s="1"/>
  <c r="K2725" i="27" s="1"/>
  <c r="F2724" i="27"/>
  <c r="I2724" i="27" s="1"/>
  <c r="K2724" i="27" s="1"/>
  <c r="F2723" i="27"/>
  <c r="I2723" i="27" s="1"/>
  <c r="K2723" i="27" s="1"/>
  <c r="F2722" i="27"/>
  <c r="I2722" i="27" s="1"/>
  <c r="K2722" i="27" s="1"/>
  <c r="F2721" i="27"/>
  <c r="I2721" i="27" s="1"/>
  <c r="K2721" i="27" s="1"/>
  <c r="F2720" i="27"/>
  <c r="I2720" i="27" s="1"/>
  <c r="K2720" i="27" s="1"/>
  <c r="F2719" i="27"/>
  <c r="I2719" i="27" s="1"/>
  <c r="K2719" i="27" s="1"/>
  <c r="F2718" i="27"/>
  <c r="I2718" i="27" s="1"/>
  <c r="K2718" i="27" s="1"/>
  <c r="F2717" i="27"/>
  <c r="I2717" i="27" s="1"/>
  <c r="K2717" i="27" s="1"/>
  <c r="F2716" i="27"/>
  <c r="I2716" i="27" s="1"/>
  <c r="K2716" i="27" s="1"/>
  <c r="F2715" i="27"/>
  <c r="I2715" i="27" s="1"/>
  <c r="K2715" i="27" s="1"/>
  <c r="F2714" i="27"/>
  <c r="I2714" i="27" s="1"/>
  <c r="K2714" i="27" s="1"/>
  <c r="F2713" i="27"/>
  <c r="I2713" i="27" s="1"/>
  <c r="K2713" i="27" s="1"/>
  <c r="F2712" i="27"/>
  <c r="I2712" i="27" s="1"/>
  <c r="K2712" i="27" s="1"/>
  <c r="F2711" i="27"/>
  <c r="I2711" i="27" s="1"/>
  <c r="K2711" i="27" s="1"/>
  <c r="F2710" i="27"/>
  <c r="I2710" i="27" s="1"/>
  <c r="K2710" i="27" s="1"/>
  <c r="F2709" i="27"/>
  <c r="I2709" i="27" s="1"/>
  <c r="K2709" i="27" s="1"/>
  <c r="F2708" i="27"/>
  <c r="I2708" i="27" s="1"/>
  <c r="K2708" i="27" s="1"/>
  <c r="F2707" i="27"/>
  <c r="I2707" i="27" s="1"/>
  <c r="K2707" i="27" s="1"/>
  <c r="F2706" i="27"/>
  <c r="I2706" i="27" s="1"/>
  <c r="K2706" i="27" s="1"/>
  <c r="F2705" i="27"/>
  <c r="I2705" i="27" s="1"/>
  <c r="K2705" i="27" s="1"/>
  <c r="F2704" i="27"/>
  <c r="I2704" i="27" s="1"/>
  <c r="K2704" i="27" s="1"/>
  <c r="F2703" i="27"/>
  <c r="I2703" i="27" s="1"/>
  <c r="K2703" i="27" s="1"/>
  <c r="F2702" i="27"/>
  <c r="I2702" i="27" s="1"/>
  <c r="K2702" i="27" s="1"/>
  <c r="F2701" i="27"/>
  <c r="I2701" i="27" s="1"/>
  <c r="K2701" i="27" s="1"/>
  <c r="F2700" i="27"/>
  <c r="I2700" i="27" s="1"/>
  <c r="K2700" i="27" s="1"/>
  <c r="F2699" i="27"/>
  <c r="I2699" i="27" s="1"/>
  <c r="K2699" i="27" s="1"/>
  <c r="F2698" i="27"/>
  <c r="I2698" i="27" s="1"/>
  <c r="K2698" i="27" s="1"/>
  <c r="F2697" i="27"/>
  <c r="I2697" i="27" s="1"/>
  <c r="K2697" i="27" s="1"/>
  <c r="F2696" i="27"/>
  <c r="I2696" i="27" s="1"/>
  <c r="K2696" i="27" s="1"/>
  <c r="F2695" i="27"/>
  <c r="I2695" i="27" s="1"/>
  <c r="K2695" i="27" s="1"/>
  <c r="F2694" i="27"/>
  <c r="I2694" i="27" s="1"/>
  <c r="K2694" i="27" s="1"/>
  <c r="F2693" i="27"/>
  <c r="I2693" i="27" s="1"/>
  <c r="K2693" i="27" s="1"/>
  <c r="F2692" i="27"/>
  <c r="I2692" i="27" s="1"/>
  <c r="K2692" i="27" s="1"/>
  <c r="F2691" i="27"/>
  <c r="I2691" i="27" s="1"/>
  <c r="K2691" i="27" s="1"/>
  <c r="F2690" i="27"/>
  <c r="I2690" i="27" s="1"/>
  <c r="K2690" i="27" s="1"/>
  <c r="F2689" i="27"/>
  <c r="I2689" i="27" s="1"/>
  <c r="K2689" i="27" s="1"/>
  <c r="F2688" i="27"/>
  <c r="I2688" i="27" s="1"/>
  <c r="K2688" i="27" s="1"/>
  <c r="F2687" i="27"/>
  <c r="I2687" i="27" s="1"/>
  <c r="K2687" i="27" s="1"/>
  <c r="F2686" i="27"/>
  <c r="I2686" i="27" s="1"/>
  <c r="K2686" i="27" s="1"/>
  <c r="F2685" i="27"/>
  <c r="I2685" i="27" s="1"/>
  <c r="K2685" i="27" s="1"/>
  <c r="F2684" i="27"/>
  <c r="I2684" i="27" s="1"/>
  <c r="K2684" i="27" s="1"/>
  <c r="F2683" i="27"/>
  <c r="I2683" i="27" s="1"/>
  <c r="K2683" i="27" s="1"/>
  <c r="F2682" i="27"/>
  <c r="I2682" i="27" s="1"/>
  <c r="K2682" i="27" s="1"/>
  <c r="F2681" i="27"/>
  <c r="I2681" i="27" s="1"/>
  <c r="K2681" i="27" s="1"/>
  <c r="F2680" i="27"/>
  <c r="I2680" i="27" s="1"/>
  <c r="K2680" i="27" s="1"/>
  <c r="F2679" i="27"/>
  <c r="I2679" i="27" s="1"/>
  <c r="K2679" i="27" s="1"/>
  <c r="F2678" i="27"/>
  <c r="I2678" i="27" s="1"/>
  <c r="K2678" i="27" s="1"/>
  <c r="F2677" i="27"/>
  <c r="I2677" i="27" s="1"/>
  <c r="K2677" i="27" s="1"/>
  <c r="F2676" i="27"/>
  <c r="I2676" i="27" s="1"/>
  <c r="K2676" i="27" s="1"/>
  <c r="F2675" i="27"/>
  <c r="I2675" i="27" s="1"/>
  <c r="K2675" i="27" s="1"/>
  <c r="F2674" i="27"/>
  <c r="I2674" i="27" s="1"/>
  <c r="K2674" i="27" s="1"/>
  <c r="F2673" i="27"/>
  <c r="I2673" i="27" s="1"/>
  <c r="K2673" i="27" s="1"/>
  <c r="F2672" i="27"/>
  <c r="I2672" i="27" s="1"/>
  <c r="K2672" i="27" s="1"/>
  <c r="F2671" i="27"/>
  <c r="I2671" i="27" s="1"/>
  <c r="K2671" i="27" s="1"/>
  <c r="F2670" i="27"/>
  <c r="I2670" i="27" s="1"/>
  <c r="K2670" i="27" s="1"/>
  <c r="F2669" i="27"/>
  <c r="I2669" i="27" s="1"/>
  <c r="K2669" i="27" s="1"/>
  <c r="F2668" i="27"/>
  <c r="I2668" i="27" s="1"/>
  <c r="K2668" i="27" s="1"/>
  <c r="F2667" i="27"/>
  <c r="I2667" i="27" s="1"/>
  <c r="K2667" i="27" s="1"/>
  <c r="F2666" i="27"/>
  <c r="I2666" i="27" s="1"/>
  <c r="K2666" i="27" s="1"/>
  <c r="F2665" i="27"/>
  <c r="I2665" i="27" s="1"/>
  <c r="K2665" i="27" s="1"/>
  <c r="F2664" i="27"/>
  <c r="I2664" i="27" s="1"/>
  <c r="K2664" i="27" s="1"/>
  <c r="F2663" i="27"/>
  <c r="I2663" i="27" s="1"/>
  <c r="K2663" i="27" s="1"/>
  <c r="F2662" i="27"/>
  <c r="I2662" i="27" s="1"/>
  <c r="K2662" i="27" s="1"/>
  <c r="F2661" i="27"/>
  <c r="I2661" i="27" s="1"/>
  <c r="K2661" i="27" s="1"/>
  <c r="F2660" i="27"/>
  <c r="I2660" i="27" s="1"/>
  <c r="K2660" i="27" s="1"/>
  <c r="F2659" i="27"/>
  <c r="I2659" i="27" s="1"/>
  <c r="K2659" i="27" s="1"/>
  <c r="F2658" i="27"/>
  <c r="I2658" i="27" s="1"/>
  <c r="K2658" i="27" s="1"/>
  <c r="F2657" i="27"/>
  <c r="I2657" i="27" s="1"/>
  <c r="K2657" i="27" s="1"/>
  <c r="F2656" i="27"/>
  <c r="I2656" i="27" s="1"/>
  <c r="K2656" i="27" s="1"/>
  <c r="F2655" i="27"/>
  <c r="I2655" i="27" s="1"/>
  <c r="K2655" i="27" s="1"/>
  <c r="F2654" i="27"/>
  <c r="I2654" i="27" s="1"/>
  <c r="K2654" i="27" s="1"/>
  <c r="F2653" i="27"/>
  <c r="I2653" i="27" s="1"/>
  <c r="K2653" i="27" s="1"/>
  <c r="F2652" i="27"/>
  <c r="I2652" i="27" s="1"/>
  <c r="K2652" i="27" s="1"/>
  <c r="F2651" i="27"/>
  <c r="I2651" i="27" s="1"/>
  <c r="K2651" i="27" s="1"/>
  <c r="F2650" i="27"/>
  <c r="I2650" i="27" s="1"/>
  <c r="K2650" i="27" s="1"/>
  <c r="F2649" i="27"/>
  <c r="I2649" i="27" s="1"/>
  <c r="K2649" i="27" s="1"/>
  <c r="F2648" i="27"/>
  <c r="I2648" i="27" s="1"/>
  <c r="K2648" i="27" s="1"/>
  <c r="F2647" i="27"/>
  <c r="I2647" i="27" s="1"/>
  <c r="K2647" i="27" s="1"/>
  <c r="F2646" i="27"/>
  <c r="I2646" i="27" s="1"/>
  <c r="K2646" i="27" s="1"/>
  <c r="F2645" i="27"/>
  <c r="I2645" i="27" s="1"/>
  <c r="K2645" i="27" s="1"/>
  <c r="F2644" i="27"/>
  <c r="I2644" i="27" s="1"/>
  <c r="K2644" i="27" s="1"/>
  <c r="F2643" i="27"/>
  <c r="I2643" i="27" s="1"/>
  <c r="K2643" i="27" s="1"/>
  <c r="F2642" i="27"/>
  <c r="I2642" i="27" s="1"/>
  <c r="K2642" i="27" s="1"/>
  <c r="F2641" i="27"/>
  <c r="I2641" i="27" s="1"/>
  <c r="K2641" i="27" s="1"/>
  <c r="F2640" i="27"/>
  <c r="I2640" i="27" s="1"/>
  <c r="K2640" i="27" s="1"/>
  <c r="F2639" i="27"/>
  <c r="I2639" i="27" s="1"/>
  <c r="K2639" i="27" s="1"/>
  <c r="F2638" i="27"/>
  <c r="I2638" i="27" s="1"/>
  <c r="K2638" i="27" s="1"/>
  <c r="F2637" i="27"/>
  <c r="I2637" i="27" s="1"/>
  <c r="K2637" i="27" s="1"/>
  <c r="F2636" i="27"/>
  <c r="I2636" i="27" s="1"/>
  <c r="K2636" i="27" s="1"/>
  <c r="F2635" i="27"/>
  <c r="I2635" i="27" s="1"/>
  <c r="K2635" i="27" s="1"/>
  <c r="F2634" i="27"/>
  <c r="I2634" i="27" s="1"/>
  <c r="K2634" i="27" s="1"/>
  <c r="F2633" i="27"/>
  <c r="I2633" i="27" s="1"/>
  <c r="K2633" i="27" s="1"/>
  <c r="F2632" i="27"/>
  <c r="I2632" i="27" s="1"/>
  <c r="K2632" i="27" s="1"/>
  <c r="F2631" i="27"/>
  <c r="I2631" i="27" s="1"/>
  <c r="K2631" i="27" s="1"/>
  <c r="F2630" i="27"/>
  <c r="I2630" i="27" s="1"/>
  <c r="K2630" i="27" s="1"/>
  <c r="F2629" i="27"/>
  <c r="I2629" i="27" s="1"/>
  <c r="K2629" i="27" s="1"/>
  <c r="F2628" i="27"/>
  <c r="I2628" i="27" s="1"/>
  <c r="K2628" i="27" s="1"/>
  <c r="F2627" i="27"/>
  <c r="I2627" i="27" s="1"/>
  <c r="K2627" i="27" s="1"/>
  <c r="F2626" i="27"/>
  <c r="I2626" i="27" s="1"/>
  <c r="K2626" i="27" s="1"/>
  <c r="F2625" i="27"/>
  <c r="I2625" i="27" s="1"/>
  <c r="K2625" i="27" s="1"/>
  <c r="F2624" i="27"/>
  <c r="I2624" i="27" s="1"/>
  <c r="K2624" i="27" s="1"/>
  <c r="F2623" i="27"/>
  <c r="I2623" i="27" s="1"/>
  <c r="K2623" i="27" s="1"/>
  <c r="F2622" i="27"/>
  <c r="I2622" i="27" s="1"/>
  <c r="K2622" i="27" s="1"/>
  <c r="F2621" i="27"/>
  <c r="I2621" i="27" s="1"/>
  <c r="K2621" i="27" s="1"/>
  <c r="F2620" i="27"/>
  <c r="I2620" i="27" s="1"/>
  <c r="K2620" i="27" s="1"/>
  <c r="F2619" i="27"/>
  <c r="I2619" i="27" s="1"/>
  <c r="K2619" i="27" s="1"/>
  <c r="F2618" i="27"/>
  <c r="I2618" i="27" s="1"/>
  <c r="K2618" i="27" s="1"/>
  <c r="F2617" i="27"/>
  <c r="I2617" i="27" s="1"/>
  <c r="K2617" i="27" s="1"/>
  <c r="F2616" i="27"/>
  <c r="I2616" i="27" s="1"/>
  <c r="K2616" i="27" s="1"/>
  <c r="F2615" i="27"/>
  <c r="I2615" i="27" s="1"/>
  <c r="K2615" i="27" s="1"/>
  <c r="F2614" i="27"/>
  <c r="I2614" i="27" s="1"/>
  <c r="K2614" i="27" s="1"/>
  <c r="F2613" i="27"/>
  <c r="I2613" i="27" s="1"/>
  <c r="K2613" i="27" s="1"/>
  <c r="F2612" i="27"/>
  <c r="I2612" i="27" s="1"/>
  <c r="K2612" i="27" s="1"/>
  <c r="F2611" i="27"/>
  <c r="I2611" i="27" s="1"/>
  <c r="K2611" i="27" s="1"/>
  <c r="F2610" i="27"/>
  <c r="I2610" i="27" s="1"/>
  <c r="K2610" i="27" s="1"/>
  <c r="F2609" i="27"/>
  <c r="I2609" i="27" s="1"/>
  <c r="K2609" i="27" s="1"/>
  <c r="F2608" i="27"/>
  <c r="I2608" i="27" s="1"/>
  <c r="K2608" i="27" s="1"/>
  <c r="F2607" i="27"/>
  <c r="I2607" i="27" s="1"/>
  <c r="K2607" i="27" s="1"/>
  <c r="F2606" i="27"/>
  <c r="I2606" i="27" s="1"/>
  <c r="K2606" i="27" s="1"/>
  <c r="F2605" i="27"/>
  <c r="I2605" i="27" s="1"/>
  <c r="K2605" i="27" s="1"/>
  <c r="F2604" i="27"/>
  <c r="I2604" i="27" s="1"/>
  <c r="K2604" i="27" s="1"/>
  <c r="F2603" i="27"/>
  <c r="I2603" i="27" s="1"/>
  <c r="K2603" i="27" s="1"/>
  <c r="F2602" i="27"/>
  <c r="I2602" i="27" s="1"/>
  <c r="K2602" i="27" s="1"/>
  <c r="F2601" i="27"/>
  <c r="I2601" i="27" s="1"/>
  <c r="K2601" i="27" s="1"/>
  <c r="F2600" i="27"/>
  <c r="I2600" i="27" s="1"/>
  <c r="K2600" i="27" s="1"/>
  <c r="F2599" i="27"/>
  <c r="I2599" i="27" s="1"/>
  <c r="K2599" i="27" s="1"/>
  <c r="F2598" i="27"/>
  <c r="I2598" i="27" s="1"/>
  <c r="K2598" i="27" s="1"/>
  <c r="F2597" i="27"/>
  <c r="I2597" i="27" s="1"/>
  <c r="K2597" i="27" s="1"/>
  <c r="F2596" i="27"/>
  <c r="I2596" i="27" s="1"/>
  <c r="K2596" i="27" s="1"/>
  <c r="F2595" i="27"/>
  <c r="I2595" i="27" s="1"/>
  <c r="K2595" i="27" s="1"/>
  <c r="F2594" i="27"/>
  <c r="I2594" i="27" s="1"/>
  <c r="K2594" i="27" s="1"/>
  <c r="F2593" i="27"/>
  <c r="I2593" i="27" s="1"/>
  <c r="K2593" i="27" s="1"/>
  <c r="F2592" i="27"/>
  <c r="I2592" i="27" s="1"/>
  <c r="K2592" i="27" s="1"/>
  <c r="F2591" i="27"/>
  <c r="I2591" i="27" s="1"/>
  <c r="K2591" i="27" s="1"/>
  <c r="F2590" i="27"/>
  <c r="I2590" i="27" s="1"/>
  <c r="K2590" i="27" s="1"/>
  <c r="F2589" i="27"/>
  <c r="I2589" i="27" s="1"/>
  <c r="K2589" i="27" s="1"/>
  <c r="F2588" i="27"/>
  <c r="I2588" i="27" s="1"/>
  <c r="K2588" i="27" s="1"/>
  <c r="F2587" i="27"/>
  <c r="I2587" i="27" s="1"/>
  <c r="K2587" i="27" s="1"/>
  <c r="F2586" i="27"/>
  <c r="I2586" i="27" s="1"/>
  <c r="K2586" i="27" s="1"/>
  <c r="F2585" i="27"/>
  <c r="I2585" i="27" s="1"/>
  <c r="K2585" i="27" s="1"/>
  <c r="F2584" i="27"/>
  <c r="I2584" i="27" s="1"/>
  <c r="K2584" i="27" s="1"/>
  <c r="F2583" i="27"/>
  <c r="I2583" i="27" s="1"/>
  <c r="K2583" i="27" s="1"/>
  <c r="F2582" i="27"/>
  <c r="I2582" i="27" s="1"/>
  <c r="K2582" i="27" s="1"/>
  <c r="F2581" i="27"/>
  <c r="I2581" i="27" s="1"/>
  <c r="K2581" i="27" s="1"/>
  <c r="F2580" i="27"/>
  <c r="I2580" i="27" s="1"/>
  <c r="K2580" i="27" s="1"/>
  <c r="F2579" i="27"/>
  <c r="I2579" i="27" s="1"/>
  <c r="K2579" i="27" s="1"/>
  <c r="F2578" i="27"/>
  <c r="I2578" i="27" s="1"/>
  <c r="K2578" i="27" s="1"/>
  <c r="F2577" i="27"/>
  <c r="I2577" i="27" s="1"/>
  <c r="K2577" i="27" s="1"/>
  <c r="F2576" i="27"/>
  <c r="I2576" i="27" s="1"/>
  <c r="K2576" i="27" s="1"/>
  <c r="F2575" i="27"/>
  <c r="I2575" i="27" s="1"/>
  <c r="K2575" i="27" s="1"/>
  <c r="F2574" i="27"/>
  <c r="I2574" i="27" s="1"/>
  <c r="K2574" i="27" s="1"/>
  <c r="F2573" i="27"/>
  <c r="I2573" i="27" s="1"/>
  <c r="K2573" i="27" s="1"/>
  <c r="F2572" i="27"/>
  <c r="I2572" i="27" s="1"/>
  <c r="K2572" i="27" s="1"/>
  <c r="F2571" i="27"/>
  <c r="I2571" i="27" s="1"/>
  <c r="K2571" i="27" s="1"/>
  <c r="F2570" i="27"/>
  <c r="I2570" i="27" s="1"/>
  <c r="K2570" i="27" s="1"/>
  <c r="F2569" i="27"/>
  <c r="I2569" i="27" s="1"/>
  <c r="K2569" i="27" s="1"/>
  <c r="F2568" i="27"/>
  <c r="I2568" i="27" s="1"/>
  <c r="K2568" i="27" s="1"/>
  <c r="F2567" i="27"/>
  <c r="I2567" i="27" s="1"/>
  <c r="K2567" i="27" s="1"/>
  <c r="F2566" i="27"/>
  <c r="I2566" i="27" s="1"/>
  <c r="K2566" i="27" s="1"/>
  <c r="F2565" i="27"/>
  <c r="I2565" i="27" s="1"/>
  <c r="K2565" i="27" s="1"/>
  <c r="F2564" i="27"/>
  <c r="I2564" i="27" s="1"/>
  <c r="K2564" i="27" s="1"/>
  <c r="F2563" i="27"/>
  <c r="I2563" i="27" s="1"/>
  <c r="K2563" i="27" s="1"/>
  <c r="F2562" i="27"/>
  <c r="I2562" i="27" s="1"/>
  <c r="K2562" i="27" s="1"/>
  <c r="F2561" i="27"/>
  <c r="I2561" i="27" s="1"/>
  <c r="K2561" i="27" s="1"/>
  <c r="F2560" i="27"/>
  <c r="I2560" i="27" s="1"/>
  <c r="K2560" i="27" s="1"/>
  <c r="F2559" i="27"/>
  <c r="I2559" i="27" s="1"/>
  <c r="K2559" i="27" s="1"/>
  <c r="F2558" i="27"/>
  <c r="I2558" i="27" s="1"/>
  <c r="K2558" i="27" s="1"/>
  <c r="F2557" i="27"/>
  <c r="I2557" i="27" s="1"/>
  <c r="K2557" i="27" s="1"/>
  <c r="F2556" i="27"/>
  <c r="I2556" i="27" s="1"/>
  <c r="K2556" i="27" s="1"/>
  <c r="F2555" i="27"/>
  <c r="I2555" i="27" s="1"/>
  <c r="K2555" i="27" s="1"/>
  <c r="F2554" i="27"/>
  <c r="I2554" i="27" s="1"/>
  <c r="K2554" i="27" s="1"/>
  <c r="F2553" i="27"/>
  <c r="I2553" i="27" s="1"/>
  <c r="K2553" i="27" s="1"/>
  <c r="F2552" i="27"/>
  <c r="I2552" i="27" s="1"/>
  <c r="K2552" i="27" s="1"/>
  <c r="F2551" i="27"/>
  <c r="I2551" i="27" s="1"/>
  <c r="K2551" i="27" s="1"/>
  <c r="F2550" i="27"/>
  <c r="I2550" i="27" s="1"/>
  <c r="K2550" i="27" s="1"/>
  <c r="F2549" i="27"/>
  <c r="I2549" i="27" s="1"/>
  <c r="K2549" i="27" s="1"/>
  <c r="F2548" i="27"/>
  <c r="I2548" i="27" s="1"/>
  <c r="K2548" i="27" s="1"/>
  <c r="F2547" i="27"/>
  <c r="I2547" i="27" s="1"/>
  <c r="K2547" i="27" s="1"/>
  <c r="F2546" i="27"/>
  <c r="I2546" i="27" s="1"/>
  <c r="K2546" i="27" s="1"/>
  <c r="F2545" i="27"/>
  <c r="I2545" i="27" s="1"/>
  <c r="K2545" i="27" s="1"/>
  <c r="F2544" i="27"/>
  <c r="I2544" i="27" s="1"/>
  <c r="K2544" i="27" s="1"/>
  <c r="F2543" i="27"/>
  <c r="I2543" i="27" s="1"/>
  <c r="K2543" i="27" s="1"/>
  <c r="F2542" i="27"/>
  <c r="I2542" i="27" s="1"/>
  <c r="K2542" i="27" s="1"/>
  <c r="F2541" i="27"/>
  <c r="I2541" i="27" s="1"/>
  <c r="K2541" i="27" s="1"/>
  <c r="F2540" i="27"/>
  <c r="I2540" i="27" s="1"/>
  <c r="K2540" i="27" s="1"/>
  <c r="F2539" i="27"/>
  <c r="I2539" i="27" s="1"/>
  <c r="K2539" i="27" s="1"/>
  <c r="F2538" i="27"/>
  <c r="I2538" i="27" s="1"/>
  <c r="K2538" i="27" s="1"/>
  <c r="F2537" i="27"/>
  <c r="I2537" i="27" s="1"/>
  <c r="K2537" i="27" s="1"/>
  <c r="F2536" i="27"/>
  <c r="I2536" i="27" s="1"/>
  <c r="K2536" i="27" s="1"/>
  <c r="F2535" i="27"/>
  <c r="I2535" i="27" s="1"/>
  <c r="K2535" i="27" s="1"/>
  <c r="F2534" i="27"/>
  <c r="I2534" i="27" s="1"/>
  <c r="K2534" i="27" s="1"/>
  <c r="F2533" i="27"/>
  <c r="I2533" i="27" s="1"/>
  <c r="K2533" i="27" s="1"/>
  <c r="F2532" i="27"/>
  <c r="I2532" i="27" s="1"/>
  <c r="K2532" i="27" s="1"/>
  <c r="F2531" i="27"/>
  <c r="I2531" i="27" s="1"/>
  <c r="K2531" i="27" s="1"/>
  <c r="F2530" i="27"/>
  <c r="I2530" i="27" s="1"/>
  <c r="K2530" i="27" s="1"/>
  <c r="F2529" i="27"/>
  <c r="I2529" i="27" s="1"/>
  <c r="K2529" i="27" s="1"/>
  <c r="F2528" i="27"/>
  <c r="I2528" i="27" s="1"/>
  <c r="K2528" i="27" s="1"/>
  <c r="F2527" i="27"/>
  <c r="I2527" i="27" s="1"/>
  <c r="K2527" i="27" s="1"/>
  <c r="F2526" i="27"/>
  <c r="I2526" i="27" s="1"/>
  <c r="K2526" i="27" s="1"/>
  <c r="F2525" i="27"/>
  <c r="I2525" i="27" s="1"/>
  <c r="K2525" i="27" s="1"/>
  <c r="F2524" i="27"/>
  <c r="I2524" i="27" s="1"/>
  <c r="K2524" i="27" s="1"/>
  <c r="F2523" i="27"/>
  <c r="I2523" i="27" s="1"/>
  <c r="K2523" i="27" s="1"/>
  <c r="F2522" i="27"/>
  <c r="I2522" i="27" s="1"/>
  <c r="K2522" i="27" s="1"/>
  <c r="F2521" i="27"/>
  <c r="I2521" i="27" s="1"/>
  <c r="K2521" i="27" s="1"/>
  <c r="F2520" i="27"/>
  <c r="I2520" i="27" s="1"/>
  <c r="K2520" i="27" s="1"/>
  <c r="F2519" i="27"/>
  <c r="I2519" i="27" s="1"/>
  <c r="K2519" i="27" s="1"/>
  <c r="F2518" i="27"/>
  <c r="I2518" i="27" s="1"/>
  <c r="K2518" i="27" s="1"/>
  <c r="F2517" i="27"/>
  <c r="I2517" i="27" s="1"/>
  <c r="K2517" i="27" s="1"/>
  <c r="F2516" i="27"/>
  <c r="I2516" i="27" s="1"/>
  <c r="K2516" i="27" s="1"/>
  <c r="F2515" i="27"/>
  <c r="I2515" i="27" s="1"/>
  <c r="K2515" i="27" s="1"/>
  <c r="F2514" i="27"/>
  <c r="I2514" i="27" s="1"/>
  <c r="K2514" i="27" s="1"/>
  <c r="F2513" i="27"/>
  <c r="I2513" i="27" s="1"/>
  <c r="K2513" i="27" s="1"/>
  <c r="F2512" i="27"/>
  <c r="I2512" i="27" s="1"/>
  <c r="K2512" i="27" s="1"/>
  <c r="F2511" i="27"/>
  <c r="I2511" i="27" s="1"/>
  <c r="K2511" i="27" s="1"/>
  <c r="F2510" i="27"/>
  <c r="I2510" i="27" s="1"/>
  <c r="K2510" i="27" s="1"/>
  <c r="F2509" i="27"/>
  <c r="I2509" i="27" s="1"/>
  <c r="K2509" i="27" s="1"/>
  <c r="F2508" i="27"/>
  <c r="I2508" i="27" s="1"/>
  <c r="K2508" i="27" s="1"/>
  <c r="F2507" i="27"/>
  <c r="I2507" i="27" s="1"/>
  <c r="K2507" i="27" s="1"/>
  <c r="F2506" i="27"/>
  <c r="I2506" i="27" s="1"/>
  <c r="K2506" i="27" s="1"/>
  <c r="F2505" i="27"/>
  <c r="I2505" i="27" s="1"/>
  <c r="K2505" i="27" s="1"/>
  <c r="F2504" i="27"/>
  <c r="I2504" i="27" s="1"/>
  <c r="K2504" i="27" s="1"/>
  <c r="F2503" i="27"/>
  <c r="I2503" i="27" s="1"/>
  <c r="K2503" i="27" s="1"/>
  <c r="F2502" i="27"/>
  <c r="I2502" i="27" s="1"/>
  <c r="K2502" i="27" s="1"/>
  <c r="F2501" i="27"/>
  <c r="I2501" i="27" s="1"/>
  <c r="K2501" i="27" s="1"/>
  <c r="F2500" i="27"/>
  <c r="I2500" i="27" s="1"/>
  <c r="K2500" i="27" s="1"/>
  <c r="F2499" i="27"/>
  <c r="I2499" i="27" s="1"/>
  <c r="K2499" i="27" s="1"/>
  <c r="F2498" i="27"/>
  <c r="I2498" i="27" s="1"/>
  <c r="K2498" i="27" s="1"/>
  <c r="F2497" i="27"/>
  <c r="I2497" i="27" s="1"/>
  <c r="K2497" i="27" s="1"/>
  <c r="F2496" i="27"/>
  <c r="I2496" i="27" s="1"/>
  <c r="K2496" i="27" s="1"/>
  <c r="F2495" i="27"/>
  <c r="I2495" i="27" s="1"/>
  <c r="K2495" i="27" s="1"/>
  <c r="F2494" i="27"/>
  <c r="I2494" i="27" s="1"/>
  <c r="K2494" i="27" s="1"/>
  <c r="F2493" i="27"/>
  <c r="I2493" i="27" s="1"/>
  <c r="K2493" i="27" s="1"/>
  <c r="F2492" i="27"/>
  <c r="I2492" i="27" s="1"/>
  <c r="K2492" i="27" s="1"/>
  <c r="F2491" i="27"/>
  <c r="I2491" i="27" s="1"/>
  <c r="K2491" i="27" s="1"/>
  <c r="F2490" i="27"/>
  <c r="I2490" i="27" s="1"/>
  <c r="K2490" i="27" s="1"/>
  <c r="F2489" i="27"/>
  <c r="I2489" i="27" s="1"/>
  <c r="K2489" i="27" s="1"/>
  <c r="F2488" i="27"/>
  <c r="I2488" i="27" s="1"/>
  <c r="K2488" i="27" s="1"/>
  <c r="F2487" i="27"/>
  <c r="I2487" i="27" s="1"/>
  <c r="K2487" i="27" s="1"/>
  <c r="F2486" i="27"/>
  <c r="I2486" i="27" s="1"/>
  <c r="K2486" i="27" s="1"/>
  <c r="F2485" i="27"/>
  <c r="I2485" i="27" s="1"/>
  <c r="K2485" i="27" s="1"/>
  <c r="F2484" i="27"/>
  <c r="I2484" i="27" s="1"/>
  <c r="K2484" i="27" s="1"/>
  <c r="F2483" i="27"/>
  <c r="I2483" i="27" s="1"/>
  <c r="K2483" i="27" s="1"/>
  <c r="F2482" i="27"/>
  <c r="I2482" i="27" s="1"/>
  <c r="K2482" i="27" s="1"/>
  <c r="F2481" i="27"/>
  <c r="I2481" i="27" s="1"/>
  <c r="K2481" i="27" s="1"/>
  <c r="F2480" i="27"/>
  <c r="I2480" i="27" s="1"/>
  <c r="K2480" i="27" s="1"/>
  <c r="F2479" i="27"/>
  <c r="I2479" i="27" s="1"/>
  <c r="K2479" i="27" s="1"/>
  <c r="F2478" i="27"/>
  <c r="I2478" i="27" s="1"/>
  <c r="K2478" i="27" s="1"/>
  <c r="F2477" i="27"/>
  <c r="I2477" i="27" s="1"/>
  <c r="K2477" i="27" s="1"/>
  <c r="F2476" i="27"/>
  <c r="I2476" i="27" s="1"/>
  <c r="K2476" i="27" s="1"/>
  <c r="F2475" i="27"/>
  <c r="I2475" i="27" s="1"/>
  <c r="K2475" i="27" s="1"/>
  <c r="F2474" i="27"/>
  <c r="I2474" i="27" s="1"/>
  <c r="K2474" i="27" s="1"/>
  <c r="F2473" i="27"/>
  <c r="I2473" i="27" s="1"/>
  <c r="K2473" i="27" s="1"/>
  <c r="F2472" i="27"/>
  <c r="I2472" i="27" s="1"/>
  <c r="K2472" i="27" s="1"/>
  <c r="F2471" i="27"/>
  <c r="I2471" i="27" s="1"/>
  <c r="K2471" i="27" s="1"/>
  <c r="F2470" i="27"/>
  <c r="I2470" i="27" s="1"/>
  <c r="K2470" i="27" s="1"/>
  <c r="F2469" i="27"/>
  <c r="I2469" i="27" s="1"/>
  <c r="K2469" i="27" s="1"/>
  <c r="F2468" i="27"/>
  <c r="I2468" i="27" s="1"/>
  <c r="K2468" i="27" s="1"/>
  <c r="F2467" i="27"/>
  <c r="I2467" i="27" s="1"/>
  <c r="K2467" i="27" s="1"/>
  <c r="F2466" i="27"/>
  <c r="I2466" i="27" s="1"/>
  <c r="K2466" i="27" s="1"/>
  <c r="F2465" i="27"/>
  <c r="I2465" i="27" s="1"/>
  <c r="K2465" i="27" s="1"/>
  <c r="F2464" i="27"/>
  <c r="I2464" i="27" s="1"/>
  <c r="K2464" i="27" s="1"/>
  <c r="F2463" i="27"/>
  <c r="I2463" i="27" s="1"/>
  <c r="K2463" i="27" s="1"/>
  <c r="F2462" i="27"/>
  <c r="I2462" i="27" s="1"/>
  <c r="K2462" i="27" s="1"/>
  <c r="F2461" i="27"/>
  <c r="I2461" i="27" s="1"/>
  <c r="K2461" i="27" s="1"/>
  <c r="F2460" i="27"/>
  <c r="I2460" i="27" s="1"/>
  <c r="K2460" i="27" s="1"/>
  <c r="F2459" i="27"/>
  <c r="I2459" i="27" s="1"/>
  <c r="K2459" i="27" s="1"/>
  <c r="F2458" i="27"/>
  <c r="I2458" i="27" s="1"/>
  <c r="K2458" i="27" s="1"/>
  <c r="F2457" i="27"/>
  <c r="I2457" i="27" s="1"/>
  <c r="K2457" i="27" s="1"/>
  <c r="F2456" i="27"/>
  <c r="I2456" i="27" s="1"/>
  <c r="K2456" i="27" s="1"/>
  <c r="F2455" i="27"/>
  <c r="I2455" i="27" s="1"/>
  <c r="K2455" i="27" s="1"/>
  <c r="F2454" i="27"/>
  <c r="I2454" i="27" s="1"/>
  <c r="K2454" i="27" s="1"/>
  <c r="F2453" i="27"/>
  <c r="I2453" i="27" s="1"/>
  <c r="K2453" i="27" s="1"/>
  <c r="F2452" i="27"/>
  <c r="I2452" i="27" s="1"/>
  <c r="K2452" i="27" s="1"/>
  <c r="F2451" i="27"/>
  <c r="I2451" i="27" s="1"/>
  <c r="K2451" i="27" s="1"/>
  <c r="F2450" i="27"/>
  <c r="I2450" i="27" s="1"/>
  <c r="K2450" i="27" s="1"/>
  <c r="F2449" i="27"/>
  <c r="I2449" i="27" s="1"/>
  <c r="K2449" i="27" s="1"/>
  <c r="F2448" i="27"/>
  <c r="I2448" i="27" s="1"/>
  <c r="K2448" i="27" s="1"/>
  <c r="F2447" i="27"/>
  <c r="I2447" i="27" s="1"/>
  <c r="K2447" i="27" s="1"/>
  <c r="F2446" i="27"/>
  <c r="I2446" i="27" s="1"/>
  <c r="K2446" i="27" s="1"/>
  <c r="F2445" i="27"/>
  <c r="I2445" i="27" s="1"/>
  <c r="K2445" i="27" s="1"/>
  <c r="F2444" i="27"/>
  <c r="I2444" i="27" s="1"/>
  <c r="K2444" i="27" s="1"/>
  <c r="F2443" i="27"/>
  <c r="I2443" i="27" s="1"/>
  <c r="K2443" i="27" s="1"/>
  <c r="F2442" i="27"/>
  <c r="I2442" i="27" s="1"/>
  <c r="K2442" i="27" s="1"/>
  <c r="F2441" i="27"/>
  <c r="I2441" i="27" s="1"/>
  <c r="K2441" i="27" s="1"/>
  <c r="F2440" i="27"/>
  <c r="I2440" i="27" s="1"/>
  <c r="K2440" i="27" s="1"/>
  <c r="F2439" i="27"/>
  <c r="I2439" i="27" s="1"/>
  <c r="K2439" i="27" s="1"/>
  <c r="F2438" i="27"/>
  <c r="I2438" i="27" s="1"/>
  <c r="K2438" i="27" s="1"/>
  <c r="F2437" i="27"/>
  <c r="I2437" i="27" s="1"/>
  <c r="K2437" i="27" s="1"/>
  <c r="F2436" i="27"/>
  <c r="I2436" i="27" s="1"/>
  <c r="K2436" i="27" s="1"/>
  <c r="F2435" i="27"/>
  <c r="I2435" i="27" s="1"/>
  <c r="K2435" i="27" s="1"/>
  <c r="F2434" i="27"/>
  <c r="F2433" i="27"/>
  <c r="I2433" i="27" s="1"/>
  <c r="K2433" i="27" s="1"/>
  <c r="F2432" i="27"/>
  <c r="I2432" i="27" s="1"/>
  <c r="K2432" i="27" s="1"/>
  <c r="F2431" i="27"/>
  <c r="I2431" i="27" s="1"/>
  <c r="K2431" i="27" s="1"/>
  <c r="F2430" i="27"/>
  <c r="I2430" i="27" s="1"/>
  <c r="K2430" i="27" s="1"/>
  <c r="F2429" i="27"/>
  <c r="I2429" i="27" s="1"/>
  <c r="K2429" i="27" s="1"/>
  <c r="F2428" i="27"/>
  <c r="I2428" i="27" s="1"/>
  <c r="K2428" i="27" s="1"/>
  <c r="F2427" i="27"/>
  <c r="I2427" i="27" s="1"/>
  <c r="K2427" i="27" s="1"/>
  <c r="F2426" i="27"/>
  <c r="I2426" i="27" s="1"/>
  <c r="K2426" i="27" s="1"/>
  <c r="F2425" i="27"/>
  <c r="I2425" i="27" s="1"/>
  <c r="K2425" i="27" s="1"/>
  <c r="F2424" i="27"/>
  <c r="I2424" i="27" s="1"/>
  <c r="K2424" i="27" s="1"/>
  <c r="F2423" i="27"/>
  <c r="I2423" i="27" s="1"/>
  <c r="K2423" i="27" s="1"/>
  <c r="F2422" i="27"/>
  <c r="I2422" i="27" s="1"/>
  <c r="K2422" i="27" s="1"/>
  <c r="F2421" i="27"/>
  <c r="I2421" i="27" s="1"/>
  <c r="K2421" i="27" s="1"/>
  <c r="F2420" i="27"/>
  <c r="I2420" i="27" s="1"/>
  <c r="K2420" i="27" s="1"/>
  <c r="F2419" i="27"/>
  <c r="I2419" i="27" s="1"/>
  <c r="K2419" i="27" s="1"/>
  <c r="F2418" i="27"/>
  <c r="I2418" i="27" s="1"/>
  <c r="K2418" i="27" s="1"/>
  <c r="F2417" i="27"/>
  <c r="I2417" i="27" s="1"/>
  <c r="K2417" i="27" s="1"/>
  <c r="F2416" i="27"/>
  <c r="I2416" i="27" s="1"/>
  <c r="K2416" i="27" s="1"/>
  <c r="F2415" i="27"/>
  <c r="I2415" i="27" s="1"/>
  <c r="K2415" i="27" s="1"/>
  <c r="F2414" i="27"/>
  <c r="I2414" i="27" s="1"/>
  <c r="K2414" i="27" s="1"/>
  <c r="F2413" i="27"/>
  <c r="I2413" i="27" s="1"/>
  <c r="K2413" i="27" s="1"/>
  <c r="F2412" i="27"/>
  <c r="I2412" i="27" s="1"/>
  <c r="K2412" i="27" s="1"/>
  <c r="F2411" i="27"/>
  <c r="I2411" i="27" s="1"/>
  <c r="K2411" i="27" s="1"/>
  <c r="F2410" i="27"/>
  <c r="I2410" i="27" s="1"/>
  <c r="K2410" i="27" s="1"/>
  <c r="F2409" i="27"/>
  <c r="I2409" i="27" s="1"/>
  <c r="K2409" i="27" s="1"/>
  <c r="F2408" i="27"/>
  <c r="I2408" i="27" s="1"/>
  <c r="K2408" i="27" s="1"/>
  <c r="F2407" i="27"/>
  <c r="I2407" i="27" s="1"/>
  <c r="K2407" i="27" s="1"/>
  <c r="F2406" i="27"/>
  <c r="I2406" i="27" s="1"/>
  <c r="K2406" i="27" s="1"/>
  <c r="F2405" i="27"/>
  <c r="I2405" i="27" s="1"/>
  <c r="K2405" i="27" s="1"/>
  <c r="F2404" i="27"/>
  <c r="I2404" i="27" s="1"/>
  <c r="K2404" i="27" s="1"/>
  <c r="F2403" i="27"/>
  <c r="I2403" i="27" s="1"/>
  <c r="K2403" i="27" s="1"/>
  <c r="F2402" i="27"/>
  <c r="I2402" i="27" s="1"/>
  <c r="K2402" i="27" s="1"/>
  <c r="F2401" i="27"/>
  <c r="I2401" i="27" s="1"/>
  <c r="K2401" i="27" s="1"/>
  <c r="F2400" i="27"/>
  <c r="I2400" i="27" s="1"/>
  <c r="K2400" i="27" s="1"/>
  <c r="F2399" i="27"/>
  <c r="I2399" i="27" s="1"/>
  <c r="K2399" i="27" s="1"/>
  <c r="F2398" i="27"/>
  <c r="I2398" i="27" s="1"/>
  <c r="K2398" i="27" s="1"/>
  <c r="F2397" i="27"/>
  <c r="I2397" i="27" s="1"/>
  <c r="K2397" i="27" s="1"/>
  <c r="F2396" i="27"/>
  <c r="I2396" i="27" s="1"/>
  <c r="K2396" i="27" s="1"/>
  <c r="F2395" i="27"/>
  <c r="I2395" i="27" s="1"/>
  <c r="K2395" i="27" s="1"/>
  <c r="F2394" i="27"/>
  <c r="I2394" i="27" s="1"/>
  <c r="K2394" i="27" s="1"/>
  <c r="F2393" i="27"/>
  <c r="I2393" i="27" s="1"/>
  <c r="K2393" i="27" s="1"/>
  <c r="F2392" i="27"/>
  <c r="I2392" i="27" s="1"/>
  <c r="K2392" i="27" s="1"/>
  <c r="F2391" i="27"/>
  <c r="I2391" i="27" s="1"/>
  <c r="K2391" i="27" s="1"/>
  <c r="F2390" i="27"/>
  <c r="I2390" i="27" s="1"/>
  <c r="K2390" i="27" s="1"/>
  <c r="F2389" i="27"/>
  <c r="I2389" i="27" s="1"/>
  <c r="K2389" i="27" s="1"/>
  <c r="F2388" i="27"/>
  <c r="I2388" i="27" s="1"/>
  <c r="K2388" i="27" s="1"/>
  <c r="F2387" i="27"/>
  <c r="I2387" i="27" s="1"/>
  <c r="K2387" i="27" s="1"/>
  <c r="F2386" i="27"/>
  <c r="I2386" i="27" s="1"/>
  <c r="K2386" i="27" s="1"/>
  <c r="F2385" i="27"/>
  <c r="I2385" i="27" s="1"/>
  <c r="K2385" i="27" s="1"/>
  <c r="F2384" i="27"/>
  <c r="I2384" i="27" s="1"/>
  <c r="K2384" i="27" s="1"/>
  <c r="F2383" i="27"/>
  <c r="I2383" i="27" s="1"/>
  <c r="K2383" i="27" s="1"/>
  <c r="F2382" i="27"/>
  <c r="I2382" i="27" s="1"/>
  <c r="K2382" i="27" s="1"/>
  <c r="F2381" i="27"/>
  <c r="I2381" i="27" s="1"/>
  <c r="K2381" i="27" s="1"/>
  <c r="F2380" i="27"/>
  <c r="I2380" i="27" s="1"/>
  <c r="K2380" i="27" s="1"/>
  <c r="F2379" i="27"/>
  <c r="I2379" i="27" s="1"/>
  <c r="K2379" i="27" s="1"/>
  <c r="F2378" i="27"/>
  <c r="I2378" i="27" s="1"/>
  <c r="K2378" i="27" s="1"/>
  <c r="F2377" i="27"/>
  <c r="I2377" i="27" s="1"/>
  <c r="K2377" i="27" s="1"/>
  <c r="F2376" i="27"/>
  <c r="I2376" i="27" s="1"/>
  <c r="K2376" i="27" s="1"/>
  <c r="F2375" i="27"/>
  <c r="I2375" i="27" s="1"/>
  <c r="K2375" i="27" s="1"/>
  <c r="F2374" i="27"/>
  <c r="I2374" i="27" s="1"/>
  <c r="K2374" i="27" s="1"/>
  <c r="F2373" i="27"/>
  <c r="I2373" i="27" s="1"/>
  <c r="K2373" i="27" s="1"/>
  <c r="F2372" i="27"/>
  <c r="I2372" i="27" s="1"/>
  <c r="K2372" i="27" s="1"/>
  <c r="F2371" i="27"/>
  <c r="I2371" i="27" s="1"/>
  <c r="K2371" i="27" s="1"/>
  <c r="F2370" i="27"/>
  <c r="I2370" i="27" s="1"/>
  <c r="K2370" i="27" s="1"/>
  <c r="F2369" i="27"/>
  <c r="I2369" i="27" s="1"/>
  <c r="K2369" i="27" s="1"/>
  <c r="F2368" i="27"/>
  <c r="I2368" i="27" s="1"/>
  <c r="K2368" i="27" s="1"/>
  <c r="F2367" i="27"/>
  <c r="I2367" i="27" s="1"/>
  <c r="K2367" i="27" s="1"/>
  <c r="F2366" i="27"/>
  <c r="I2366" i="27" s="1"/>
  <c r="K2366" i="27" s="1"/>
  <c r="F2365" i="27"/>
  <c r="I2365" i="27" s="1"/>
  <c r="K2365" i="27" s="1"/>
  <c r="F2364" i="27"/>
  <c r="I2364" i="27" s="1"/>
  <c r="K2364" i="27" s="1"/>
  <c r="F2363" i="27"/>
  <c r="I2363" i="27" s="1"/>
  <c r="K2363" i="27" s="1"/>
  <c r="F2362" i="27"/>
  <c r="I2362" i="27" s="1"/>
  <c r="K2362" i="27" s="1"/>
  <c r="F2361" i="27"/>
  <c r="I2361" i="27" s="1"/>
  <c r="K2361" i="27" s="1"/>
  <c r="F2360" i="27"/>
  <c r="I2360" i="27" s="1"/>
  <c r="K2360" i="27" s="1"/>
  <c r="F2359" i="27"/>
  <c r="I2359" i="27" s="1"/>
  <c r="K2359" i="27" s="1"/>
  <c r="F2358" i="27"/>
  <c r="I2358" i="27" s="1"/>
  <c r="K2358" i="27" s="1"/>
  <c r="F2357" i="27"/>
  <c r="I2357" i="27" s="1"/>
  <c r="K2357" i="27" s="1"/>
  <c r="F2356" i="27"/>
  <c r="I2356" i="27" s="1"/>
  <c r="K2356" i="27" s="1"/>
  <c r="F2355" i="27"/>
  <c r="I2355" i="27" s="1"/>
  <c r="K2355" i="27" s="1"/>
  <c r="F2354" i="27"/>
  <c r="I2354" i="27" s="1"/>
  <c r="K2354" i="27" s="1"/>
  <c r="F2353" i="27"/>
  <c r="I2353" i="27" s="1"/>
  <c r="K2353" i="27" s="1"/>
  <c r="F2352" i="27"/>
  <c r="I2352" i="27" s="1"/>
  <c r="K2352" i="27" s="1"/>
  <c r="F2351" i="27"/>
  <c r="I2351" i="27" s="1"/>
  <c r="K2351" i="27" s="1"/>
  <c r="F2350" i="27"/>
  <c r="I2350" i="27" s="1"/>
  <c r="K2350" i="27" s="1"/>
  <c r="F2349" i="27"/>
  <c r="I2349" i="27" s="1"/>
  <c r="K2349" i="27" s="1"/>
  <c r="F2348" i="27"/>
  <c r="I2348" i="27" s="1"/>
  <c r="K2348" i="27" s="1"/>
  <c r="F2347" i="27"/>
  <c r="I2347" i="27" s="1"/>
  <c r="K2347" i="27" s="1"/>
  <c r="F2346" i="27"/>
  <c r="I2346" i="27" s="1"/>
  <c r="K2346" i="27" s="1"/>
  <c r="F2345" i="27"/>
  <c r="I2345" i="27" s="1"/>
  <c r="K2345" i="27" s="1"/>
  <c r="F2344" i="27"/>
  <c r="I2344" i="27" s="1"/>
  <c r="K2344" i="27" s="1"/>
  <c r="F2343" i="27"/>
  <c r="I2343" i="27" s="1"/>
  <c r="K2343" i="27" s="1"/>
  <c r="F2342" i="27"/>
  <c r="I2342" i="27" s="1"/>
  <c r="K2342" i="27" s="1"/>
  <c r="F2341" i="27"/>
  <c r="I2341" i="27" s="1"/>
  <c r="K2341" i="27" s="1"/>
  <c r="F2340" i="27"/>
  <c r="I2340" i="27" s="1"/>
  <c r="K2340" i="27" s="1"/>
  <c r="F2339" i="27"/>
  <c r="I2339" i="27" s="1"/>
  <c r="K2339" i="27" s="1"/>
  <c r="F2338" i="27"/>
  <c r="I2338" i="27" s="1"/>
  <c r="K2338" i="27" s="1"/>
  <c r="F2337" i="27"/>
  <c r="I2337" i="27" s="1"/>
  <c r="K2337" i="27" s="1"/>
  <c r="F2336" i="27"/>
  <c r="I2336" i="27" s="1"/>
  <c r="K2336" i="27" s="1"/>
  <c r="F2335" i="27"/>
  <c r="I2335" i="27" s="1"/>
  <c r="K2335" i="27" s="1"/>
  <c r="F2334" i="27"/>
  <c r="I2334" i="27" s="1"/>
  <c r="K2334" i="27" s="1"/>
  <c r="F2333" i="27"/>
  <c r="I2333" i="27" s="1"/>
  <c r="K2333" i="27" s="1"/>
  <c r="F2332" i="27"/>
  <c r="I2332" i="27" s="1"/>
  <c r="K2332" i="27" s="1"/>
  <c r="F2331" i="27"/>
  <c r="I2331" i="27" s="1"/>
  <c r="K2331" i="27" s="1"/>
  <c r="F2330" i="27"/>
  <c r="I2330" i="27" s="1"/>
  <c r="K2330" i="27" s="1"/>
  <c r="F2329" i="27"/>
  <c r="I2329" i="27" s="1"/>
  <c r="K2329" i="27" s="1"/>
  <c r="F2328" i="27"/>
  <c r="I2328" i="27" s="1"/>
  <c r="K2328" i="27" s="1"/>
  <c r="F2327" i="27"/>
  <c r="I2327" i="27" s="1"/>
  <c r="K2327" i="27" s="1"/>
  <c r="F2326" i="27"/>
  <c r="I2326" i="27" s="1"/>
  <c r="K2326" i="27" s="1"/>
  <c r="F2325" i="27"/>
  <c r="I2325" i="27" s="1"/>
  <c r="K2325" i="27" s="1"/>
  <c r="F2324" i="27"/>
  <c r="I2324" i="27" s="1"/>
  <c r="K2324" i="27" s="1"/>
  <c r="F2323" i="27"/>
  <c r="I2323" i="27" s="1"/>
  <c r="K2323" i="27" s="1"/>
  <c r="F2322" i="27"/>
  <c r="I2322" i="27" s="1"/>
  <c r="K2322" i="27" s="1"/>
  <c r="F2321" i="27"/>
  <c r="I2321" i="27" s="1"/>
  <c r="K2321" i="27" s="1"/>
  <c r="F2320" i="27"/>
  <c r="I2320" i="27" s="1"/>
  <c r="K2320" i="27" s="1"/>
  <c r="F2319" i="27"/>
  <c r="I2319" i="27" s="1"/>
  <c r="K2319" i="27" s="1"/>
  <c r="F2318" i="27"/>
  <c r="I2318" i="27" s="1"/>
  <c r="K2318" i="27" s="1"/>
  <c r="F2317" i="27"/>
  <c r="I2317" i="27" s="1"/>
  <c r="K2317" i="27" s="1"/>
  <c r="F2316" i="27"/>
  <c r="I2316" i="27" s="1"/>
  <c r="K2316" i="27" s="1"/>
  <c r="F2315" i="27"/>
  <c r="I2315" i="27" s="1"/>
  <c r="K2315" i="27" s="1"/>
  <c r="F2314" i="27"/>
  <c r="I2314" i="27" s="1"/>
  <c r="K2314" i="27" s="1"/>
  <c r="F2313" i="27"/>
  <c r="I2313" i="27" s="1"/>
  <c r="K2313" i="27" s="1"/>
  <c r="F2312" i="27"/>
  <c r="I2312" i="27" s="1"/>
  <c r="K2312" i="27" s="1"/>
  <c r="F2311" i="27"/>
  <c r="I2311" i="27" s="1"/>
  <c r="K2311" i="27" s="1"/>
  <c r="F2310" i="27"/>
  <c r="I2310" i="27" s="1"/>
  <c r="K2310" i="27" s="1"/>
  <c r="F2309" i="27"/>
  <c r="I2309" i="27" s="1"/>
  <c r="K2309" i="27" s="1"/>
  <c r="F2308" i="27"/>
  <c r="I2308" i="27" s="1"/>
  <c r="K2308" i="27" s="1"/>
  <c r="F2307" i="27"/>
  <c r="I2307" i="27" s="1"/>
  <c r="K2307" i="27" s="1"/>
  <c r="F2306" i="27"/>
  <c r="I2306" i="27" s="1"/>
  <c r="K2306" i="27" s="1"/>
  <c r="F2305" i="27"/>
  <c r="I2305" i="27" s="1"/>
  <c r="K2305" i="27" s="1"/>
  <c r="F2304" i="27"/>
  <c r="I2304" i="27" s="1"/>
  <c r="K2304" i="27" s="1"/>
  <c r="F2303" i="27"/>
  <c r="I2303" i="27" s="1"/>
  <c r="K2303" i="27" s="1"/>
  <c r="F2302" i="27"/>
  <c r="I2302" i="27" s="1"/>
  <c r="K2302" i="27" s="1"/>
  <c r="F2301" i="27"/>
  <c r="I2301" i="27" s="1"/>
  <c r="K2301" i="27" s="1"/>
  <c r="F2300" i="27"/>
  <c r="I2300" i="27" s="1"/>
  <c r="K2300" i="27" s="1"/>
  <c r="F2299" i="27"/>
  <c r="I2299" i="27" s="1"/>
  <c r="K2299" i="27" s="1"/>
  <c r="F2298" i="27"/>
  <c r="I2298" i="27" s="1"/>
  <c r="K2298" i="27" s="1"/>
  <c r="F2297" i="27"/>
  <c r="I2297" i="27" s="1"/>
  <c r="K2297" i="27" s="1"/>
  <c r="F2296" i="27"/>
  <c r="I2296" i="27" s="1"/>
  <c r="K2296" i="27" s="1"/>
  <c r="F2295" i="27"/>
  <c r="I2295" i="27" s="1"/>
  <c r="K2295" i="27" s="1"/>
  <c r="F2294" i="27"/>
  <c r="I2294" i="27" s="1"/>
  <c r="K2294" i="27" s="1"/>
  <c r="F2293" i="27"/>
  <c r="I2293" i="27" s="1"/>
  <c r="K2293" i="27" s="1"/>
  <c r="F2292" i="27"/>
  <c r="I2292" i="27" s="1"/>
  <c r="K2292" i="27" s="1"/>
  <c r="F2291" i="27"/>
  <c r="I2291" i="27" s="1"/>
  <c r="K2291" i="27" s="1"/>
  <c r="F2290" i="27"/>
  <c r="I2290" i="27" s="1"/>
  <c r="K2290" i="27" s="1"/>
  <c r="F2289" i="27"/>
  <c r="I2289" i="27" s="1"/>
  <c r="K2289" i="27" s="1"/>
  <c r="F2288" i="27"/>
  <c r="I2288" i="27" s="1"/>
  <c r="K2288" i="27" s="1"/>
  <c r="F2287" i="27"/>
  <c r="I2287" i="27" s="1"/>
  <c r="K2287" i="27" s="1"/>
  <c r="F2286" i="27"/>
  <c r="I2286" i="27" s="1"/>
  <c r="K2286" i="27" s="1"/>
  <c r="F2285" i="27"/>
  <c r="I2285" i="27" s="1"/>
  <c r="K2285" i="27" s="1"/>
  <c r="F2284" i="27"/>
  <c r="I2284" i="27" s="1"/>
  <c r="K2284" i="27" s="1"/>
  <c r="F2283" i="27"/>
  <c r="I2283" i="27" s="1"/>
  <c r="K2283" i="27" s="1"/>
  <c r="F2282" i="27"/>
  <c r="I2282" i="27" s="1"/>
  <c r="K2282" i="27" s="1"/>
  <c r="F2281" i="27"/>
  <c r="I2281" i="27" s="1"/>
  <c r="K2281" i="27" s="1"/>
  <c r="F2280" i="27"/>
  <c r="I2280" i="27" s="1"/>
  <c r="K2280" i="27" s="1"/>
  <c r="F2279" i="27"/>
  <c r="I2279" i="27" s="1"/>
  <c r="K2279" i="27" s="1"/>
  <c r="F2278" i="27"/>
  <c r="I2278" i="27" s="1"/>
  <c r="K2278" i="27" s="1"/>
  <c r="F2277" i="27"/>
  <c r="I2277" i="27" s="1"/>
  <c r="K2277" i="27" s="1"/>
  <c r="F2276" i="27"/>
  <c r="I2276" i="27" s="1"/>
  <c r="K2276" i="27" s="1"/>
  <c r="F2275" i="27"/>
  <c r="I2275" i="27" s="1"/>
  <c r="K2275" i="27" s="1"/>
  <c r="F2274" i="27"/>
  <c r="I2274" i="27" s="1"/>
  <c r="K2274" i="27" s="1"/>
  <c r="F2273" i="27"/>
  <c r="I2273" i="27" s="1"/>
  <c r="K2273" i="27" s="1"/>
  <c r="F2272" i="27"/>
  <c r="I2272" i="27" s="1"/>
  <c r="K2272" i="27" s="1"/>
  <c r="F2271" i="27"/>
  <c r="I2271" i="27" s="1"/>
  <c r="K2271" i="27" s="1"/>
  <c r="F2270" i="27"/>
  <c r="I2270" i="27" s="1"/>
  <c r="K2270" i="27" s="1"/>
  <c r="F2269" i="27"/>
  <c r="I2269" i="27" s="1"/>
  <c r="K2269" i="27" s="1"/>
  <c r="F2268" i="27"/>
  <c r="I2268" i="27" s="1"/>
  <c r="K2268" i="27" s="1"/>
  <c r="F2267" i="27"/>
  <c r="I2267" i="27" s="1"/>
  <c r="K2267" i="27" s="1"/>
  <c r="F2266" i="27"/>
  <c r="I2266" i="27" s="1"/>
  <c r="K2266" i="27" s="1"/>
  <c r="F2265" i="27"/>
  <c r="I2265" i="27" s="1"/>
  <c r="K2265" i="27" s="1"/>
  <c r="F2264" i="27"/>
  <c r="I2264" i="27" s="1"/>
  <c r="K2264" i="27" s="1"/>
  <c r="F2263" i="27"/>
  <c r="I2263" i="27" s="1"/>
  <c r="K2263" i="27" s="1"/>
  <c r="F2262" i="27"/>
  <c r="I2262" i="27" s="1"/>
  <c r="K2262" i="27" s="1"/>
  <c r="F2261" i="27"/>
  <c r="I2261" i="27" s="1"/>
  <c r="K2261" i="27" s="1"/>
  <c r="F2260" i="27"/>
  <c r="I2260" i="27" s="1"/>
  <c r="K2260" i="27" s="1"/>
  <c r="F2259" i="27"/>
  <c r="I2259" i="27" s="1"/>
  <c r="K2259" i="27" s="1"/>
  <c r="F2258" i="27"/>
  <c r="I2258" i="27" s="1"/>
  <c r="K2258" i="27" s="1"/>
  <c r="F2257" i="27"/>
  <c r="I2257" i="27" s="1"/>
  <c r="K2257" i="27" s="1"/>
  <c r="F2256" i="27"/>
  <c r="I2256" i="27" s="1"/>
  <c r="K2256" i="27" s="1"/>
  <c r="F2255" i="27"/>
  <c r="I2255" i="27" s="1"/>
  <c r="K2255" i="27" s="1"/>
  <c r="F2254" i="27"/>
  <c r="I2254" i="27" s="1"/>
  <c r="K2254" i="27" s="1"/>
  <c r="F2253" i="27"/>
  <c r="I2253" i="27" s="1"/>
  <c r="K2253" i="27" s="1"/>
  <c r="F2252" i="27"/>
  <c r="I2252" i="27" s="1"/>
  <c r="K2252" i="27" s="1"/>
  <c r="F2251" i="27"/>
  <c r="I2251" i="27" s="1"/>
  <c r="K2251" i="27" s="1"/>
  <c r="F2250" i="27"/>
  <c r="I2250" i="27" s="1"/>
  <c r="K2250" i="27" s="1"/>
  <c r="F2249" i="27"/>
  <c r="I2249" i="27" s="1"/>
  <c r="K2249" i="27" s="1"/>
  <c r="F2248" i="27"/>
  <c r="I2248" i="27" s="1"/>
  <c r="K2248" i="27" s="1"/>
  <c r="F2247" i="27"/>
  <c r="I2247" i="27" s="1"/>
  <c r="K2247" i="27" s="1"/>
  <c r="F2246" i="27"/>
  <c r="I2246" i="27" s="1"/>
  <c r="K2246" i="27" s="1"/>
  <c r="F2245" i="27"/>
  <c r="I2245" i="27" s="1"/>
  <c r="K2245" i="27" s="1"/>
  <c r="F2244" i="27"/>
  <c r="I2244" i="27" s="1"/>
  <c r="K2244" i="27" s="1"/>
  <c r="F2243" i="27"/>
  <c r="I2243" i="27" s="1"/>
  <c r="K2243" i="27" s="1"/>
  <c r="F2242" i="27"/>
  <c r="I2242" i="27" s="1"/>
  <c r="K2242" i="27" s="1"/>
  <c r="F2241" i="27"/>
  <c r="I2241" i="27" s="1"/>
  <c r="K2241" i="27" s="1"/>
  <c r="F2240" i="27"/>
  <c r="I2240" i="27" s="1"/>
  <c r="K2240" i="27" s="1"/>
  <c r="F2239" i="27"/>
  <c r="I2239" i="27" s="1"/>
  <c r="K2239" i="27" s="1"/>
  <c r="F2238" i="27"/>
  <c r="I2238" i="27" s="1"/>
  <c r="K2238" i="27" s="1"/>
  <c r="F2237" i="27"/>
  <c r="I2237" i="27" s="1"/>
  <c r="K2237" i="27" s="1"/>
  <c r="F2236" i="27"/>
  <c r="I2236" i="27" s="1"/>
  <c r="K2236" i="27" s="1"/>
  <c r="F2235" i="27"/>
  <c r="I2235" i="27" s="1"/>
  <c r="K2235" i="27" s="1"/>
  <c r="F2234" i="27"/>
  <c r="I2234" i="27" s="1"/>
  <c r="K2234" i="27" s="1"/>
  <c r="F2233" i="27"/>
  <c r="I2233" i="27" s="1"/>
  <c r="K2233" i="27" s="1"/>
  <c r="F2232" i="27"/>
  <c r="I2232" i="27" s="1"/>
  <c r="K2232" i="27" s="1"/>
  <c r="F2231" i="27"/>
  <c r="I2231" i="27" s="1"/>
  <c r="K2231" i="27" s="1"/>
  <c r="F2230" i="27"/>
  <c r="I2230" i="27" s="1"/>
  <c r="K2230" i="27" s="1"/>
  <c r="F2229" i="27"/>
  <c r="I2229" i="27" s="1"/>
  <c r="K2229" i="27" s="1"/>
  <c r="F2228" i="27"/>
  <c r="I2228" i="27" s="1"/>
  <c r="K2228" i="27" s="1"/>
  <c r="F2227" i="27"/>
  <c r="I2227" i="27" s="1"/>
  <c r="K2227" i="27" s="1"/>
  <c r="F2226" i="27"/>
  <c r="I2226" i="27" s="1"/>
  <c r="K2226" i="27" s="1"/>
  <c r="F2225" i="27"/>
  <c r="I2225" i="27" s="1"/>
  <c r="K2225" i="27" s="1"/>
  <c r="F2224" i="27"/>
  <c r="I2224" i="27" s="1"/>
  <c r="K2224" i="27" s="1"/>
  <c r="F2223" i="27"/>
  <c r="I2223" i="27" s="1"/>
  <c r="K2223" i="27" s="1"/>
  <c r="F2222" i="27"/>
  <c r="I2222" i="27" s="1"/>
  <c r="K2222" i="27" s="1"/>
  <c r="F2221" i="27"/>
  <c r="I2221" i="27" s="1"/>
  <c r="K2221" i="27" s="1"/>
  <c r="F2220" i="27"/>
  <c r="I2220" i="27" s="1"/>
  <c r="K2220" i="27" s="1"/>
  <c r="F2219" i="27"/>
  <c r="I2219" i="27" s="1"/>
  <c r="K2219" i="27" s="1"/>
  <c r="F2218" i="27"/>
  <c r="I2218" i="27" s="1"/>
  <c r="K2218" i="27" s="1"/>
  <c r="F2217" i="27"/>
  <c r="I2217" i="27" s="1"/>
  <c r="K2217" i="27" s="1"/>
  <c r="F2216" i="27"/>
  <c r="I2216" i="27" s="1"/>
  <c r="K2216" i="27" s="1"/>
  <c r="F2215" i="27"/>
  <c r="I2215" i="27" s="1"/>
  <c r="K2215" i="27" s="1"/>
  <c r="F2214" i="27"/>
  <c r="I2214" i="27" s="1"/>
  <c r="K2214" i="27" s="1"/>
  <c r="F2213" i="27"/>
  <c r="I2213" i="27" s="1"/>
  <c r="K2213" i="27" s="1"/>
  <c r="F2212" i="27"/>
  <c r="I2212" i="27" s="1"/>
  <c r="K2212" i="27" s="1"/>
  <c r="F2211" i="27"/>
  <c r="I2211" i="27" s="1"/>
  <c r="K2211" i="27" s="1"/>
  <c r="F2210" i="27"/>
  <c r="I2210" i="27" s="1"/>
  <c r="K2210" i="27" s="1"/>
  <c r="F2209" i="27"/>
  <c r="I2209" i="27" s="1"/>
  <c r="K2209" i="27" s="1"/>
  <c r="F2208" i="27"/>
  <c r="I2208" i="27" s="1"/>
  <c r="K2208" i="27" s="1"/>
  <c r="F2207" i="27"/>
  <c r="I2207" i="27" s="1"/>
  <c r="K2207" i="27" s="1"/>
  <c r="F2206" i="27"/>
  <c r="I2206" i="27" s="1"/>
  <c r="K2206" i="27" s="1"/>
  <c r="F2205" i="27"/>
  <c r="I2205" i="27" s="1"/>
  <c r="K2205" i="27" s="1"/>
  <c r="F2204" i="27"/>
  <c r="I2204" i="27" s="1"/>
  <c r="K2204" i="27" s="1"/>
  <c r="F2203" i="27"/>
  <c r="I2203" i="27" s="1"/>
  <c r="K2203" i="27" s="1"/>
  <c r="F2202" i="27"/>
  <c r="I2202" i="27" s="1"/>
  <c r="K2202" i="27" s="1"/>
  <c r="F2201" i="27"/>
  <c r="I2201" i="27" s="1"/>
  <c r="K2201" i="27" s="1"/>
  <c r="F2200" i="27"/>
  <c r="I2200" i="27" s="1"/>
  <c r="K2200" i="27" s="1"/>
  <c r="F2199" i="27"/>
  <c r="I2199" i="27" s="1"/>
  <c r="K2199" i="27" s="1"/>
  <c r="F2198" i="27"/>
  <c r="I2198" i="27" s="1"/>
  <c r="K2198" i="27" s="1"/>
  <c r="F2197" i="27"/>
  <c r="I2197" i="27" s="1"/>
  <c r="K2197" i="27" s="1"/>
  <c r="F2196" i="27"/>
  <c r="I2196" i="27" s="1"/>
  <c r="K2196" i="27" s="1"/>
  <c r="F2195" i="27"/>
  <c r="I2195" i="27" s="1"/>
  <c r="K2195" i="27" s="1"/>
  <c r="F2194" i="27"/>
  <c r="I2194" i="27" s="1"/>
  <c r="K2194" i="27" s="1"/>
  <c r="F2193" i="27"/>
  <c r="I2193" i="27" s="1"/>
  <c r="K2193" i="27" s="1"/>
  <c r="F2192" i="27"/>
  <c r="I2192" i="27" s="1"/>
  <c r="K2192" i="27" s="1"/>
  <c r="F2191" i="27"/>
  <c r="I2191" i="27" s="1"/>
  <c r="K2191" i="27" s="1"/>
  <c r="F2190" i="27"/>
  <c r="I2190" i="27" s="1"/>
  <c r="K2190" i="27" s="1"/>
  <c r="F2189" i="27"/>
  <c r="I2189" i="27" s="1"/>
  <c r="K2189" i="27" s="1"/>
  <c r="F2188" i="27"/>
  <c r="I2188" i="27" s="1"/>
  <c r="K2188" i="27" s="1"/>
  <c r="F2187" i="27"/>
  <c r="I2187" i="27" s="1"/>
  <c r="K2187" i="27" s="1"/>
  <c r="F2186" i="27"/>
  <c r="I2186" i="27" s="1"/>
  <c r="K2186" i="27" s="1"/>
  <c r="F2185" i="27"/>
  <c r="I2185" i="27" s="1"/>
  <c r="K2185" i="27" s="1"/>
  <c r="F2184" i="27"/>
  <c r="I2184" i="27" s="1"/>
  <c r="K2184" i="27" s="1"/>
  <c r="F2183" i="27"/>
  <c r="I2183" i="27" s="1"/>
  <c r="K2183" i="27" s="1"/>
  <c r="F2182" i="27"/>
  <c r="I2182" i="27" s="1"/>
  <c r="K2182" i="27" s="1"/>
  <c r="F2181" i="27"/>
  <c r="I2181" i="27" s="1"/>
  <c r="K2181" i="27" s="1"/>
  <c r="F2180" i="27"/>
  <c r="I2180" i="27" s="1"/>
  <c r="K2180" i="27" s="1"/>
  <c r="F2179" i="27"/>
  <c r="I2179" i="27" s="1"/>
  <c r="K2179" i="27" s="1"/>
  <c r="F2178" i="27"/>
  <c r="I2178" i="27" s="1"/>
  <c r="K2178" i="27" s="1"/>
  <c r="F2177" i="27"/>
  <c r="I2177" i="27" s="1"/>
  <c r="K2177" i="27" s="1"/>
  <c r="F2176" i="27"/>
  <c r="I2176" i="27" s="1"/>
  <c r="K2176" i="27" s="1"/>
  <c r="F2175" i="27"/>
  <c r="I2175" i="27" s="1"/>
  <c r="K2175" i="27" s="1"/>
  <c r="F2174" i="27"/>
  <c r="I2174" i="27" s="1"/>
  <c r="K2174" i="27" s="1"/>
  <c r="F2173" i="27"/>
  <c r="I2173" i="27" s="1"/>
  <c r="K2173" i="27" s="1"/>
  <c r="F2172" i="27"/>
  <c r="I2172" i="27" s="1"/>
  <c r="K2172" i="27" s="1"/>
  <c r="F2171" i="27"/>
  <c r="I2171" i="27" s="1"/>
  <c r="K2171" i="27" s="1"/>
  <c r="F2170" i="27"/>
  <c r="I2170" i="27" s="1"/>
  <c r="K2170" i="27" s="1"/>
  <c r="F2169" i="27"/>
  <c r="I2169" i="27" s="1"/>
  <c r="K2169" i="27" s="1"/>
  <c r="F2168" i="27"/>
  <c r="I2168" i="27" s="1"/>
  <c r="K2168" i="27" s="1"/>
  <c r="F2167" i="27"/>
  <c r="I2167" i="27" s="1"/>
  <c r="K2167" i="27" s="1"/>
  <c r="F2166" i="27"/>
  <c r="I2166" i="27" s="1"/>
  <c r="K2166" i="27" s="1"/>
  <c r="F2165" i="27"/>
  <c r="I2165" i="27" s="1"/>
  <c r="K2165" i="27" s="1"/>
  <c r="F2164" i="27"/>
  <c r="I2164" i="27" s="1"/>
  <c r="K2164" i="27" s="1"/>
  <c r="F2163" i="27"/>
  <c r="I2163" i="27" s="1"/>
  <c r="K2163" i="27" s="1"/>
  <c r="F2162" i="27"/>
  <c r="I2162" i="27" s="1"/>
  <c r="K2162" i="27" s="1"/>
  <c r="F2161" i="27"/>
  <c r="I2161" i="27" s="1"/>
  <c r="K2161" i="27" s="1"/>
  <c r="F2160" i="27"/>
  <c r="I2160" i="27" s="1"/>
  <c r="K2160" i="27" s="1"/>
  <c r="F2159" i="27"/>
  <c r="I2159" i="27" s="1"/>
  <c r="K2159" i="27" s="1"/>
  <c r="F2158" i="27"/>
  <c r="I2158" i="27" s="1"/>
  <c r="K2158" i="27" s="1"/>
  <c r="F2157" i="27"/>
  <c r="I2157" i="27" s="1"/>
  <c r="K2157" i="27" s="1"/>
  <c r="F2156" i="27"/>
  <c r="I2156" i="27" s="1"/>
  <c r="K2156" i="27" s="1"/>
  <c r="F2155" i="27"/>
  <c r="I2155" i="27" s="1"/>
  <c r="K2155" i="27" s="1"/>
  <c r="F2154" i="27"/>
  <c r="I2154" i="27" s="1"/>
  <c r="K2154" i="27" s="1"/>
  <c r="F2153" i="27"/>
  <c r="I2153" i="27" s="1"/>
  <c r="K2153" i="27" s="1"/>
  <c r="F2152" i="27"/>
  <c r="I2152" i="27" s="1"/>
  <c r="K2152" i="27" s="1"/>
  <c r="F2151" i="27"/>
  <c r="I2151" i="27" s="1"/>
  <c r="K2151" i="27" s="1"/>
  <c r="F2150" i="27"/>
  <c r="I2150" i="27" s="1"/>
  <c r="K2150" i="27" s="1"/>
  <c r="F2149" i="27"/>
  <c r="I2149" i="27" s="1"/>
  <c r="K2149" i="27" s="1"/>
  <c r="F2148" i="27"/>
  <c r="I2148" i="27" s="1"/>
  <c r="K2148" i="27" s="1"/>
  <c r="F2147" i="27"/>
  <c r="I2147" i="27" s="1"/>
  <c r="K2147" i="27" s="1"/>
  <c r="F2146" i="27"/>
  <c r="I2146" i="27" s="1"/>
  <c r="K2146" i="27" s="1"/>
  <c r="F2145" i="27"/>
  <c r="I2145" i="27" s="1"/>
  <c r="K2145" i="27" s="1"/>
  <c r="F2144" i="27"/>
  <c r="I2144" i="27" s="1"/>
  <c r="K2144" i="27" s="1"/>
  <c r="F2143" i="27"/>
  <c r="I2143" i="27" s="1"/>
  <c r="K2143" i="27" s="1"/>
  <c r="F2142" i="27"/>
  <c r="I2142" i="27" s="1"/>
  <c r="K2142" i="27" s="1"/>
  <c r="F2141" i="27"/>
  <c r="I2141" i="27" s="1"/>
  <c r="K2141" i="27" s="1"/>
  <c r="F2140" i="27"/>
  <c r="I2140" i="27" s="1"/>
  <c r="K2140" i="27" s="1"/>
  <c r="F2139" i="27"/>
  <c r="I2139" i="27" s="1"/>
  <c r="K2139" i="27" s="1"/>
  <c r="F2138" i="27"/>
  <c r="I2138" i="27" s="1"/>
  <c r="K2138" i="27" s="1"/>
  <c r="F2137" i="27"/>
  <c r="I2137" i="27" s="1"/>
  <c r="K2137" i="27" s="1"/>
  <c r="F2136" i="27"/>
  <c r="I2136" i="27" s="1"/>
  <c r="K2136" i="27" s="1"/>
  <c r="F2135" i="27"/>
  <c r="I2135" i="27" s="1"/>
  <c r="K2135" i="27" s="1"/>
  <c r="F2134" i="27"/>
  <c r="I2134" i="27" s="1"/>
  <c r="K2134" i="27" s="1"/>
  <c r="F2133" i="27"/>
  <c r="I2133" i="27" s="1"/>
  <c r="K2133" i="27" s="1"/>
  <c r="F2132" i="27"/>
  <c r="I2132" i="27" s="1"/>
  <c r="K2132" i="27" s="1"/>
  <c r="F2131" i="27"/>
  <c r="I2131" i="27" s="1"/>
  <c r="K2131" i="27" s="1"/>
  <c r="F2130" i="27"/>
  <c r="I2130" i="27" s="1"/>
  <c r="K2130" i="27" s="1"/>
  <c r="F2129" i="27"/>
  <c r="I2129" i="27" s="1"/>
  <c r="K2129" i="27" s="1"/>
  <c r="F2128" i="27"/>
  <c r="I2128" i="27" s="1"/>
  <c r="K2128" i="27" s="1"/>
  <c r="F2127" i="27"/>
  <c r="I2127" i="27" s="1"/>
  <c r="K2127" i="27" s="1"/>
  <c r="F2126" i="27"/>
  <c r="I2126" i="27" s="1"/>
  <c r="K2126" i="27" s="1"/>
  <c r="F2125" i="27"/>
  <c r="I2125" i="27" s="1"/>
  <c r="K2125" i="27" s="1"/>
  <c r="F2124" i="27"/>
  <c r="I2124" i="27" s="1"/>
  <c r="K2124" i="27" s="1"/>
  <c r="F2123" i="27"/>
  <c r="I2123" i="27" s="1"/>
  <c r="K2123" i="27" s="1"/>
  <c r="F2122" i="27"/>
  <c r="I2122" i="27" s="1"/>
  <c r="K2122" i="27" s="1"/>
  <c r="F2121" i="27"/>
  <c r="I2121" i="27" s="1"/>
  <c r="K2121" i="27" s="1"/>
  <c r="F2120" i="27"/>
  <c r="I2120" i="27" s="1"/>
  <c r="K2120" i="27" s="1"/>
  <c r="F2119" i="27"/>
  <c r="I2119" i="27" s="1"/>
  <c r="K2119" i="27" s="1"/>
  <c r="F2118" i="27"/>
  <c r="I2118" i="27" s="1"/>
  <c r="K2118" i="27" s="1"/>
  <c r="F2117" i="27"/>
  <c r="I2117" i="27" s="1"/>
  <c r="K2117" i="27" s="1"/>
  <c r="F2116" i="27"/>
  <c r="I2116" i="27" s="1"/>
  <c r="K2116" i="27" s="1"/>
  <c r="F2115" i="27"/>
  <c r="I2115" i="27" s="1"/>
  <c r="K2115" i="27" s="1"/>
  <c r="F2114" i="27"/>
  <c r="I2114" i="27" s="1"/>
  <c r="K2114" i="27" s="1"/>
  <c r="F2113" i="27"/>
  <c r="I2113" i="27" s="1"/>
  <c r="K2113" i="27" s="1"/>
  <c r="F2112" i="27"/>
  <c r="I2112" i="27" s="1"/>
  <c r="K2112" i="27" s="1"/>
  <c r="F2111" i="27"/>
  <c r="I2111" i="27" s="1"/>
  <c r="K2111" i="27" s="1"/>
  <c r="F2110" i="27"/>
  <c r="I2110" i="27" s="1"/>
  <c r="K2110" i="27" s="1"/>
  <c r="F2109" i="27"/>
  <c r="I2109" i="27" s="1"/>
  <c r="K2109" i="27" s="1"/>
  <c r="F2108" i="27"/>
  <c r="I2108" i="27" s="1"/>
  <c r="K2108" i="27" s="1"/>
  <c r="F2107" i="27"/>
  <c r="I2107" i="27" s="1"/>
  <c r="K2107" i="27" s="1"/>
  <c r="F2106" i="27"/>
  <c r="I2106" i="27" s="1"/>
  <c r="K2106" i="27" s="1"/>
  <c r="F2105" i="27"/>
  <c r="I2105" i="27" s="1"/>
  <c r="K2105" i="27" s="1"/>
  <c r="F2104" i="27"/>
  <c r="I2104" i="27" s="1"/>
  <c r="K2104" i="27" s="1"/>
  <c r="F2103" i="27"/>
  <c r="I2103" i="27" s="1"/>
  <c r="K2103" i="27" s="1"/>
  <c r="F2102" i="27"/>
  <c r="I2102" i="27" s="1"/>
  <c r="K2102" i="27" s="1"/>
  <c r="F2101" i="27"/>
  <c r="I2101" i="27" s="1"/>
  <c r="K2101" i="27" s="1"/>
  <c r="F2100" i="27"/>
  <c r="I2100" i="27" s="1"/>
  <c r="K2100" i="27" s="1"/>
  <c r="F2099" i="27"/>
  <c r="I2099" i="27" s="1"/>
  <c r="K2099" i="27" s="1"/>
  <c r="F2098" i="27"/>
  <c r="I2098" i="27" s="1"/>
  <c r="K2098" i="27" s="1"/>
  <c r="F2097" i="27"/>
  <c r="I2097" i="27" s="1"/>
  <c r="K2097" i="27" s="1"/>
  <c r="F2096" i="27"/>
  <c r="I2096" i="27" s="1"/>
  <c r="K2096" i="27" s="1"/>
  <c r="F2095" i="27"/>
  <c r="I2095" i="27" s="1"/>
  <c r="K2095" i="27" s="1"/>
  <c r="F2094" i="27"/>
  <c r="I2094" i="27" s="1"/>
  <c r="K2094" i="27" s="1"/>
  <c r="F2093" i="27"/>
  <c r="I2093" i="27" s="1"/>
  <c r="K2093" i="27" s="1"/>
  <c r="F2092" i="27"/>
  <c r="I2092" i="27" s="1"/>
  <c r="K2092" i="27" s="1"/>
  <c r="F2091" i="27"/>
  <c r="I2091" i="27" s="1"/>
  <c r="K2091" i="27" s="1"/>
  <c r="F2090" i="27"/>
  <c r="I2090" i="27" s="1"/>
  <c r="K2090" i="27" s="1"/>
  <c r="F2089" i="27"/>
  <c r="I2089" i="27" s="1"/>
  <c r="K2089" i="27" s="1"/>
  <c r="F2088" i="27"/>
  <c r="I2088" i="27" s="1"/>
  <c r="K2088" i="27" s="1"/>
  <c r="F2087" i="27"/>
  <c r="I2087" i="27" s="1"/>
  <c r="K2087" i="27" s="1"/>
  <c r="F2086" i="27"/>
  <c r="I2086" i="27" s="1"/>
  <c r="K2086" i="27" s="1"/>
  <c r="F2085" i="27"/>
  <c r="I2085" i="27" s="1"/>
  <c r="K2085" i="27" s="1"/>
  <c r="F2084" i="27"/>
  <c r="I2084" i="27" s="1"/>
  <c r="K2084" i="27" s="1"/>
  <c r="F2083" i="27"/>
  <c r="I2083" i="27" s="1"/>
  <c r="K2083" i="27" s="1"/>
  <c r="F2082" i="27"/>
  <c r="I2082" i="27" s="1"/>
  <c r="K2082" i="27" s="1"/>
  <c r="F2081" i="27"/>
  <c r="I2081" i="27" s="1"/>
  <c r="K2081" i="27" s="1"/>
  <c r="F2080" i="27"/>
  <c r="I2080" i="27" s="1"/>
  <c r="K2080" i="27" s="1"/>
  <c r="F2079" i="27"/>
  <c r="I2079" i="27" s="1"/>
  <c r="K2079" i="27" s="1"/>
  <c r="F2078" i="27"/>
  <c r="I2078" i="27" s="1"/>
  <c r="K2078" i="27" s="1"/>
  <c r="F2077" i="27"/>
  <c r="I2077" i="27" s="1"/>
  <c r="K2077" i="27" s="1"/>
  <c r="F2076" i="27"/>
  <c r="I2076" i="27" s="1"/>
  <c r="K2076" i="27" s="1"/>
  <c r="F2075" i="27"/>
  <c r="I2075" i="27" s="1"/>
  <c r="K2075" i="27" s="1"/>
  <c r="F2074" i="27"/>
  <c r="I2074" i="27" s="1"/>
  <c r="K2074" i="27" s="1"/>
  <c r="F2073" i="27"/>
  <c r="I2073" i="27" s="1"/>
  <c r="K2073" i="27" s="1"/>
  <c r="F2072" i="27"/>
  <c r="I2072" i="27" s="1"/>
  <c r="K2072" i="27" s="1"/>
  <c r="F2071" i="27"/>
  <c r="I2071" i="27" s="1"/>
  <c r="K2071" i="27" s="1"/>
  <c r="F2070" i="27"/>
  <c r="I2070" i="27" s="1"/>
  <c r="K2070" i="27" s="1"/>
  <c r="F2069" i="27"/>
  <c r="I2069" i="27" s="1"/>
  <c r="K2069" i="27" s="1"/>
  <c r="F2068" i="27"/>
  <c r="I2068" i="27" s="1"/>
  <c r="K2068" i="27" s="1"/>
  <c r="F2067" i="27"/>
  <c r="I2067" i="27" s="1"/>
  <c r="K2067" i="27" s="1"/>
  <c r="F2066" i="27"/>
  <c r="I2066" i="27" s="1"/>
  <c r="K2066" i="27" s="1"/>
  <c r="F2065" i="27"/>
  <c r="I2065" i="27" s="1"/>
  <c r="K2065" i="27" s="1"/>
  <c r="F2064" i="27"/>
  <c r="I2064" i="27" s="1"/>
  <c r="K2064" i="27" s="1"/>
  <c r="F2063" i="27"/>
  <c r="I2063" i="27" s="1"/>
  <c r="K2063" i="27" s="1"/>
  <c r="F2062" i="27"/>
  <c r="I2062" i="27" s="1"/>
  <c r="K2062" i="27" s="1"/>
  <c r="F2061" i="27"/>
  <c r="I2061" i="27" s="1"/>
  <c r="K2061" i="27" s="1"/>
  <c r="F2060" i="27"/>
  <c r="I2060" i="27" s="1"/>
  <c r="K2060" i="27" s="1"/>
  <c r="F2059" i="27"/>
  <c r="I2059" i="27" s="1"/>
  <c r="K2059" i="27" s="1"/>
  <c r="F2058" i="27"/>
  <c r="I2058" i="27" s="1"/>
  <c r="K2058" i="27" s="1"/>
  <c r="F2057" i="27"/>
  <c r="I2057" i="27" s="1"/>
  <c r="K2057" i="27" s="1"/>
  <c r="F2056" i="27"/>
  <c r="I2056" i="27" s="1"/>
  <c r="K2056" i="27" s="1"/>
  <c r="F2055" i="27"/>
  <c r="I2055" i="27" s="1"/>
  <c r="K2055" i="27" s="1"/>
  <c r="F2054" i="27"/>
  <c r="I2054" i="27" s="1"/>
  <c r="K2054" i="27" s="1"/>
  <c r="F2053" i="27"/>
  <c r="I2053" i="27" s="1"/>
  <c r="K2053" i="27" s="1"/>
  <c r="F2052" i="27"/>
  <c r="I2052" i="27" s="1"/>
  <c r="K2052" i="27" s="1"/>
  <c r="F2051" i="27"/>
  <c r="I2051" i="27" s="1"/>
  <c r="K2051" i="27" s="1"/>
  <c r="F2050" i="27"/>
  <c r="I2050" i="27" s="1"/>
  <c r="K2050" i="27" s="1"/>
  <c r="F2049" i="27"/>
  <c r="I2049" i="27" s="1"/>
  <c r="K2049" i="27" s="1"/>
  <c r="F2048" i="27"/>
  <c r="I2048" i="27" s="1"/>
  <c r="K2048" i="27" s="1"/>
  <c r="F2047" i="27"/>
  <c r="I2047" i="27" s="1"/>
  <c r="K2047" i="27" s="1"/>
  <c r="F2046" i="27"/>
  <c r="I2046" i="27" s="1"/>
  <c r="K2046" i="27" s="1"/>
  <c r="F2045" i="27"/>
  <c r="I2045" i="27" s="1"/>
  <c r="K2045" i="27" s="1"/>
  <c r="F2044" i="27"/>
  <c r="I2044" i="27" s="1"/>
  <c r="K2044" i="27" s="1"/>
  <c r="F2043" i="27"/>
  <c r="I2043" i="27" s="1"/>
  <c r="K2043" i="27" s="1"/>
  <c r="F2042" i="27"/>
  <c r="I2042" i="27" s="1"/>
  <c r="K2042" i="27" s="1"/>
  <c r="F2041" i="27"/>
  <c r="I2041" i="27" s="1"/>
  <c r="K2041" i="27" s="1"/>
  <c r="F2040" i="27"/>
  <c r="I2040" i="27" s="1"/>
  <c r="K2040" i="27" s="1"/>
  <c r="F2039" i="27"/>
  <c r="I2039" i="27" s="1"/>
  <c r="K2039" i="27" s="1"/>
  <c r="F2038" i="27"/>
  <c r="I2038" i="27" s="1"/>
  <c r="K2038" i="27" s="1"/>
  <c r="F2037" i="27"/>
  <c r="I2037" i="27" s="1"/>
  <c r="K2037" i="27" s="1"/>
  <c r="F2036" i="27"/>
  <c r="I2036" i="27" s="1"/>
  <c r="K2036" i="27" s="1"/>
  <c r="F2035" i="27"/>
  <c r="I2035" i="27" s="1"/>
  <c r="K2035" i="27" s="1"/>
  <c r="F2034" i="27"/>
  <c r="I2034" i="27" s="1"/>
  <c r="K2034" i="27" s="1"/>
  <c r="F2033" i="27"/>
  <c r="I2033" i="27" s="1"/>
  <c r="K2033" i="27" s="1"/>
  <c r="F2032" i="27"/>
  <c r="I2032" i="27" s="1"/>
  <c r="K2032" i="27" s="1"/>
  <c r="F2031" i="27"/>
  <c r="I2031" i="27" s="1"/>
  <c r="K2031" i="27" s="1"/>
  <c r="F2030" i="27"/>
  <c r="I2030" i="27" s="1"/>
  <c r="K2030" i="27" s="1"/>
  <c r="F2029" i="27"/>
  <c r="I2029" i="27" s="1"/>
  <c r="K2029" i="27" s="1"/>
  <c r="F2028" i="27"/>
  <c r="I2028" i="27" s="1"/>
  <c r="K2028" i="27" s="1"/>
  <c r="F2027" i="27"/>
  <c r="I2027" i="27" s="1"/>
  <c r="K2027" i="27" s="1"/>
  <c r="F2026" i="27"/>
  <c r="I2026" i="27" s="1"/>
  <c r="K2026" i="27" s="1"/>
  <c r="F2025" i="27"/>
  <c r="I2025" i="27" s="1"/>
  <c r="K2025" i="27" s="1"/>
  <c r="F2024" i="27"/>
  <c r="I2024" i="27" s="1"/>
  <c r="K2024" i="27" s="1"/>
  <c r="F2023" i="27"/>
  <c r="I2023" i="27" s="1"/>
  <c r="K2023" i="27" s="1"/>
  <c r="F2022" i="27"/>
  <c r="I2022" i="27" s="1"/>
  <c r="K2022" i="27" s="1"/>
  <c r="F2021" i="27"/>
  <c r="I2021" i="27" s="1"/>
  <c r="K2021" i="27" s="1"/>
  <c r="F2020" i="27"/>
  <c r="I2020" i="27" s="1"/>
  <c r="K2020" i="27" s="1"/>
  <c r="F2019" i="27"/>
  <c r="I2019" i="27" s="1"/>
  <c r="K2019" i="27" s="1"/>
  <c r="F2018" i="27"/>
  <c r="I2018" i="27" s="1"/>
  <c r="K2018" i="27" s="1"/>
  <c r="F2017" i="27"/>
  <c r="I2017" i="27" s="1"/>
  <c r="K2017" i="27" s="1"/>
  <c r="F2016" i="27"/>
  <c r="I2016" i="27" s="1"/>
  <c r="K2016" i="27" s="1"/>
  <c r="F2015" i="27"/>
  <c r="I2015" i="27" s="1"/>
  <c r="K2015" i="27" s="1"/>
  <c r="F2014" i="27"/>
  <c r="I2014" i="27" s="1"/>
  <c r="K2014" i="27" s="1"/>
  <c r="F2013" i="27"/>
  <c r="I2013" i="27" s="1"/>
  <c r="K2013" i="27" s="1"/>
  <c r="F2012" i="27"/>
  <c r="I2012" i="27" s="1"/>
  <c r="K2012" i="27" s="1"/>
  <c r="F2011" i="27"/>
  <c r="I2011" i="27" s="1"/>
  <c r="K2011" i="27" s="1"/>
  <c r="F2010" i="27"/>
  <c r="I2010" i="27" s="1"/>
  <c r="K2010" i="27" s="1"/>
  <c r="F2009" i="27"/>
  <c r="I2009" i="27" s="1"/>
  <c r="K2009" i="27" s="1"/>
  <c r="F2008" i="27"/>
  <c r="I2008" i="27" s="1"/>
  <c r="K2008" i="27" s="1"/>
  <c r="F2007" i="27"/>
  <c r="I2007" i="27" s="1"/>
  <c r="K2007" i="27" s="1"/>
  <c r="F2006" i="27"/>
  <c r="I2006" i="27" s="1"/>
  <c r="K2006" i="27" s="1"/>
  <c r="F2005" i="27"/>
  <c r="I2005" i="27" s="1"/>
  <c r="K2005" i="27" s="1"/>
  <c r="F2004" i="27"/>
  <c r="I2004" i="27" s="1"/>
  <c r="K2004" i="27" s="1"/>
  <c r="F2003" i="27"/>
  <c r="I2003" i="27" s="1"/>
  <c r="K2003" i="27" s="1"/>
  <c r="F2002" i="27"/>
  <c r="I2002" i="27" s="1"/>
  <c r="K2002" i="27" s="1"/>
  <c r="F2001" i="27"/>
  <c r="I2001" i="27" s="1"/>
  <c r="K2001" i="27" s="1"/>
  <c r="F2000" i="27"/>
  <c r="I2000" i="27" s="1"/>
  <c r="K2000" i="27" s="1"/>
  <c r="F1999" i="27"/>
  <c r="I1999" i="27" s="1"/>
  <c r="K1999" i="27" s="1"/>
  <c r="F1998" i="27"/>
  <c r="I1998" i="27" s="1"/>
  <c r="K1998" i="27" s="1"/>
  <c r="F1997" i="27"/>
  <c r="I1997" i="27" s="1"/>
  <c r="K1997" i="27" s="1"/>
  <c r="F1996" i="27"/>
  <c r="I1996" i="27" s="1"/>
  <c r="K1996" i="27" s="1"/>
  <c r="F1995" i="27"/>
  <c r="I1995" i="27" s="1"/>
  <c r="K1995" i="27" s="1"/>
  <c r="F1994" i="27"/>
  <c r="I1994" i="27" s="1"/>
  <c r="K1994" i="27" s="1"/>
  <c r="F1993" i="27"/>
  <c r="I1993" i="27" s="1"/>
  <c r="K1993" i="27" s="1"/>
  <c r="F1992" i="27"/>
  <c r="I1992" i="27" s="1"/>
  <c r="K1992" i="27" s="1"/>
  <c r="F1991" i="27"/>
  <c r="I1991" i="27" s="1"/>
  <c r="K1991" i="27" s="1"/>
  <c r="F1990" i="27"/>
  <c r="I1990" i="27" s="1"/>
  <c r="K1990" i="27" s="1"/>
  <c r="F1989" i="27"/>
  <c r="I1989" i="27" s="1"/>
  <c r="K1989" i="27" s="1"/>
  <c r="F1988" i="27"/>
  <c r="I1988" i="27" s="1"/>
  <c r="K1988" i="27" s="1"/>
  <c r="F1987" i="27"/>
  <c r="I1987" i="27" s="1"/>
  <c r="K1987" i="27" s="1"/>
  <c r="F1986" i="27"/>
  <c r="I1986" i="27" s="1"/>
  <c r="K1986" i="27" s="1"/>
  <c r="F1985" i="27"/>
  <c r="I1985" i="27" s="1"/>
  <c r="K1985" i="27" s="1"/>
  <c r="F1984" i="27"/>
  <c r="I1984" i="27" s="1"/>
  <c r="K1984" i="27" s="1"/>
  <c r="F1983" i="27"/>
  <c r="I1983" i="27" s="1"/>
  <c r="K1983" i="27" s="1"/>
  <c r="F1982" i="27"/>
  <c r="I1982" i="27" s="1"/>
  <c r="K1982" i="27" s="1"/>
  <c r="F1981" i="27"/>
  <c r="I1981" i="27" s="1"/>
  <c r="K1981" i="27" s="1"/>
  <c r="F1980" i="27"/>
  <c r="I1980" i="27" s="1"/>
  <c r="K1980" i="27" s="1"/>
  <c r="F1979" i="27"/>
  <c r="I1979" i="27" s="1"/>
  <c r="K1979" i="27" s="1"/>
  <c r="F1978" i="27"/>
  <c r="I1978" i="27" s="1"/>
  <c r="K1978" i="27" s="1"/>
  <c r="F1977" i="27"/>
  <c r="I1977" i="27" s="1"/>
  <c r="K1977" i="27" s="1"/>
  <c r="F1976" i="27"/>
  <c r="I1976" i="27" s="1"/>
  <c r="K1976" i="27" s="1"/>
  <c r="F1975" i="27"/>
  <c r="I1975" i="27" s="1"/>
  <c r="K1975" i="27" s="1"/>
  <c r="F1974" i="27"/>
  <c r="I1974" i="27" s="1"/>
  <c r="K1974" i="27" s="1"/>
  <c r="F1973" i="27"/>
  <c r="I1973" i="27" s="1"/>
  <c r="K1973" i="27" s="1"/>
  <c r="F1972" i="27"/>
  <c r="I1972" i="27" s="1"/>
  <c r="K1972" i="27" s="1"/>
  <c r="F1971" i="27"/>
  <c r="I1971" i="27" s="1"/>
  <c r="K1971" i="27" s="1"/>
  <c r="F1970" i="27"/>
  <c r="I1970" i="27" s="1"/>
  <c r="K1970" i="27" s="1"/>
  <c r="F1969" i="27"/>
  <c r="I1969" i="27" s="1"/>
  <c r="K1969" i="27" s="1"/>
  <c r="F1968" i="27"/>
  <c r="I1968" i="27" s="1"/>
  <c r="K1968" i="27" s="1"/>
  <c r="F1967" i="27"/>
  <c r="I1967" i="27" s="1"/>
  <c r="K1967" i="27" s="1"/>
  <c r="F1966" i="27"/>
  <c r="I1966" i="27" s="1"/>
  <c r="K1966" i="27" s="1"/>
  <c r="F1965" i="27"/>
  <c r="I1965" i="27" s="1"/>
  <c r="K1965" i="27" s="1"/>
  <c r="F1964" i="27"/>
  <c r="I1964" i="27" s="1"/>
  <c r="K1964" i="27" s="1"/>
  <c r="F1963" i="27"/>
  <c r="I1963" i="27" s="1"/>
  <c r="K1963" i="27" s="1"/>
  <c r="F1962" i="27"/>
  <c r="I1962" i="27" s="1"/>
  <c r="K1962" i="27" s="1"/>
  <c r="F1961" i="27"/>
  <c r="I1961" i="27" s="1"/>
  <c r="K1961" i="27" s="1"/>
  <c r="F1960" i="27"/>
  <c r="I1960" i="27" s="1"/>
  <c r="K1960" i="27" s="1"/>
  <c r="F1959" i="27"/>
  <c r="I1959" i="27" s="1"/>
  <c r="K1959" i="27" s="1"/>
  <c r="F1958" i="27"/>
  <c r="I1958" i="27" s="1"/>
  <c r="K1958" i="27" s="1"/>
  <c r="F1957" i="27"/>
  <c r="I1957" i="27" s="1"/>
  <c r="K1957" i="27" s="1"/>
  <c r="F1956" i="27"/>
  <c r="I1956" i="27" s="1"/>
  <c r="K1956" i="27" s="1"/>
  <c r="F1955" i="27"/>
  <c r="I1955" i="27" s="1"/>
  <c r="K1955" i="27" s="1"/>
  <c r="F1954" i="27"/>
  <c r="I1954" i="27" s="1"/>
  <c r="K1954" i="27" s="1"/>
  <c r="F1953" i="27"/>
  <c r="I1953" i="27" s="1"/>
  <c r="K1953" i="27" s="1"/>
  <c r="F1952" i="27"/>
  <c r="I1952" i="27" s="1"/>
  <c r="K1952" i="27" s="1"/>
  <c r="F1951" i="27"/>
  <c r="I1951" i="27" s="1"/>
  <c r="K1951" i="27" s="1"/>
  <c r="F1950" i="27"/>
  <c r="I1950" i="27" s="1"/>
  <c r="K1950" i="27" s="1"/>
  <c r="F1949" i="27"/>
  <c r="I1949" i="27" s="1"/>
  <c r="K1949" i="27" s="1"/>
  <c r="F1948" i="27"/>
  <c r="I1948" i="27" s="1"/>
  <c r="K1948" i="27" s="1"/>
  <c r="F1947" i="27"/>
  <c r="I1947" i="27" s="1"/>
  <c r="K1947" i="27" s="1"/>
  <c r="F1946" i="27"/>
  <c r="I1946" i="27" s="1"/>
  <c r="K1946" i="27" s="1"/>
  <c r="F1945" i="27"/>
  <c r="I1945" i="27" s="1"/>
  <c r="K1945" i="27" s="1"/>
  <c r="F1944" i="27"/>
  <c r="I1944" i="27" s="1"/>
  <c r="K1944" i="27" s="1"/>
  <c r="F1943" i="27"/>
  <c r="I1943" i="27" s="1"/>
  <c r="K1943" i="27" s="1"/>
  <c r="F1942" i="27"/>
  <c r="I1942" i="27" s="1"/>
  <c r="K1942" i="27" s="1"/>
  <c r="F1941" i="27"/>
  <c r="I1941" i="27" s="1"/>
  <c r="K1941" i="27" s="1"/>
  <c r="F1940" i="27"/>
  <c r="I1940" i="27" s="1"/>
  <c r="K1940" i="27" s="1"/>
  <c r="F1939" i="27"/>
  <c r="I1939" i="27" s="1"/>
  <c r="K1939" i="27" s="1"/>
  <c r="F1938" i="27"/>
  <c r="I1938" i="27" s="1"/>
  <c r="K1938" i="27" s="1"/>
  <c r="F1937" i="27"/>
  <c r="I1937" i="27" s="1"/>
  <c r="K1937" i="27" s="1"/>
  <c r="F1936" i="27"/>
  <c r="I1936" i="27" s="1"/>
  <c r="K1936" i="27" s="1"/>
  <c r="F1935" i="27"/>
  <c r="I1935" i="27" s="1"/>
  <c r="K1935" i="27" s="1"/>
  <c r="F1934" i="27"/>
  <c r="I1934" i="27" s="1"/>
  <c r="K1934" i="27" s="1"/>
  <c r="F1933" i="27"/>
  <c r="I1933" i="27" s="1"/>
  <c r="K1933" i="27" s="1"/>
  <c r="F1932" i="27"/>
  <c r="I1932" i="27" s="1"/>
  <c r="K1932" i="27" s="1"/>
  <c r="F1931" i="27"/>
  <c r="I1931" i="27" s="1"/>
  <c r="K1931" i="27" s="1"/>
  <c r="F1930" i="27"/>
  <c r="I1930" i="27" s="1"/>
  <c r="K1930" i="27" s="1"/>
  <c r="F1929" i="27"/>
  <c r="I1929" i="27" s="1"/>
  <c r="K1929" i="27" s="1"/>
  <c r="F1928" i="27"/>
  <c r="I1928" i="27" s="1"/>
  <c r="K1928" i="27" s="1"/>
  <c r="F1927" i="27"/>
  <c r="I1927" i="27" s="1"/>
  <c r="K1927" i="27" s="1"/>
  <c r="F1926" i="27"/>
  <c r="I1926" i="27" s="1"/>
  <c r="K1926" i="27" s="1"/>
  <c r="F1925" i="27"/>
  <c r="I1925" i="27" s="1"/>
  <c r="K1925" i="27" s="1"/>
  <c r="F1924" i="27"/>
  <c r="I1924" i="27" s="1"/>
  <c r="K1924" i="27" s="1"/>
  <c r="F1923" i="27"/>
  <c r="I1923" i="27" s="1"/>
  <c r="K1923" i="27" s="1"/>
  <c r="F1922" i="27"/>
  <c r="I1922" i="27" s="1"/>
  <c r="K1922" i="27" s="1"/>
  <c r="F1921" i="27"/>
  <c r="I1921" i="27" s="1"/>
  <c r="K1921" i="27" s="1"/>
  <c r="F1920" i="27"/>
  <c r="I1920" i="27" s="1"/>
  <c r="K1920" i="27" s="1"/>
  <c r="F1919" i="27"/>
  <c r="I1919" i="27" s="1"/>
  <c r="K1919" i="27" s="1"/>
  <c r="F1918" i="27"/>
  <c r="I1918" i="27" s="1"/>
  <c r="K1918" i="27" s="1"/>
  <c r="F1917" i="27"/>
  <c r="I1917" i="27" s="1"/>
  <c r="K1917" i="27" s="1"/>
  <c r="F1916" i="27"/>
  <c r="I1916" i="27" s="1"/>
  <c r="K1916" i="27" s="1"/>
  <c r="F1915" i="27"/>
  <c r="I1915" i="27" s="1"/>
  <c r="K1915" i="27" s="1"/>
  <c r="F1914" i="27"/>
  <c r="I1914" i="27" s="1"/>
  <c r="K1914" i="27" s="1"/>
  <c r="F1913" i="27"/>
  <c r="I1913" i="27" s="1"/>
  <c r="K1913" i="27" s="1"/>
  <c r="F1912" i="27"/>
  <c r="I1912" i="27" s="1"/>
  <c r="K1912" i="27" s="1"/>
  <c r="F1911" i="27"/>
  <c r="I1911" i="27" s="1"/>
  <c r="K1911" i="27" s="1"/>
  <c r="F1910" i="27"/>
  <c r="I1910" i="27" s="1"/>
  <c r="K1910" i="27" s="1"/>
  <c r="F1909" i="27"/>
  <c r="I1909" i="27" s="1"/>
  <c r="K1909" i="27" s="1"/>
  <c r="F1908" i="27"/>
  <c r="I1908" i="27" s="1"/>
  <c r="K1908" i="27" s="1"/>
  <c r="F1907" i="27"/>
  <c r="I1907" i="27" s="1"/>
  <c r="K1907" i="27" s="1"/>
  <c r="F1906" i="27"/>
  <c r="I1906" i="27" s="1"/>
  <c r="K1906" i="27" s="1"/>
  <c r="F1905" i="27"/>
  <c r="I1905" i="27" s="1"/>
  <c r="K1905" i="27" s="1"/>
  <c r="F1904" i="27"/>
  <c r="I1904" i="27" s="1"/>
  <c r="K1904" i="27" s="1"/>
  <c r="F1903" i="27"/>
  <c r="I1903" i="27" s="1"/>
  <c r="K1903" i="27" s="1"/>
  <c r="F1902" i="27"/>
  <c r="I1902" i="27" s="1"/>
  <c r="K1902" i="27" s="1"/>
  <c r="F1901" i="27"/>
  <c r="I1901" i="27" s="1"/>
  <c r="K1901" i="27" s="1"/>
  <c r="F1900" i="27"/>
  <c r="I1900" i="27" s="1"/>
  <c r="K1900" i="27" s="1"/>
  <c r="F1899" i="27"/>
  <c r="I1899" i="27" s="1"/>
  <c r="K1899" i="27" s="1"/>
  <c r="F1898" i="27"/>
  <c r="I1898" i="27" s="1"/>
  <c r="K1898" i="27" s="1"/>
  <c r="F1897" i="27"/>
  <c r="I1897" i="27" s="1"/>
  <c r="K1897" i="27" s="1"/>
  <c r="F1896" i="27"/>
  <c r="I1896" i="27" s="1"/>
  <c r="K1896" i="27" s="1"/>
  <c r="F1895" i="27"/>
  <c r="I1895" i="27" s="1"/>
  <c r="K1895" i="27" s="1"/>
  <c r="F1894" i="27"/>
  <c r="I1894" i="27" s="1"/>
  <c r="K1894" i="27" s="1"/>
  <c r="F1893" i="27"/>
  <c r="I1893" i="27" s="1"/>
  <c r="K1893" i="27" s="1"/>
  <c r="F1892" i="27"/>
  <c r="I1892" i="27" s="1"/>
  <c r="K1892" i="27" s="1"/>
  <c r="F1891" i="27"/>
  <c r="I1891" i="27" s="1"/>
  <c r="K1891" i="27" s="1"/>
  <c r="F1890" i="27"/>
  <c r="I1890" i="27" s="1"/>
  <c r="K1890" i="27" s="1"/>
  <c r="F1889" i="27"/>
  <c r="F1888" i="27"/>
  <c r="I1888" i="27" s="1"/>
  <c r="K1888" i="27" s="1"/>
  <c r="F1887" i="27"/>
  <c r="I1887" i="27" s="1"/>
  <c r="K1887" i="27" s="1"/>
  <c r="F1886" i="27"/>
  <c r="I1886" i="27" s="1"/>
  <c r="K1886" i="27" s="1"/>
  <c r="F1885" i="27"/>
  <c r="I1885" i="27" s="1"/>
  <c r="K1885" i="27" s="1"/>
  <c r="F1884" i="27"/>
  <c r="I1884" i="27" s="1"/>
  <c r="K1884" i="27" s="1"/>
  <c r="F1883" i="27"/>
  <c r="I1883" i="27" s="1"/>
  <c r="K1883" i="27" s="1"/>
  <c r="F1882" i="27"/>
  <c r="I1882" i="27" s="1"/>
  <c r="K1882" i="27" s="1"/>
  <c r="F1881" i="27"/>
  <c r="I1881" i="27" s="1"/>
  <c r="K1881" i="27" s="1"/>
  <c r="F1880" i="27"/>
  <c r="I1880" i="27" s="1"/>
  <c r="K1880" i="27" s="1"/>
  <c r="F1879" i="27"/>
  <c r="I1879" i="27" s="1"/>
  <c r="K1879" i="27" s="1"/>
  <c r="F1878" i="27"/>
  <c r="I1878" i="27" s="1"/>
  <c r="K1878" i="27" s="1"/>
  <c r="F1877" i="27"/>
  <c r="I1877" i="27" s="1"/>
  <c r="K1877" i="27" s="1"/>
  <c r="F1876" i="27"/>
  <c r="I1876" i="27" s="1"/>
  <c r="K1876" i="27" s="1"/>
  <c r="F1875" i="27"/>
  <c r="I1875" i="27" s="1"/>
  <c r="K1875" i="27" s="1"/>
  <c r="F1874" i="27"/>
  <c r="I1874" i="27" s="1"/>
  <c r="K1874" i="27" s="1"/>
  <c r="F1873" i="27"/>
  <c r="I1873" i="27" s="1"/>
  <c r="K1873" i="27" s="1"/>
  <c r="F1872" i="27"/>
  <c r="I1872" i="27" s="1"/>
  <c r="K1872" i="27" s="1"/>
  <c r="F1871" i="27"/>
  <c r="I1871" i="27" s="1"/>
  <c r="K1871" i="27" s="1"/>
  <c r="F1870" i="27"/>
  <c r="I1870" i="27" s="1"/>
  <c r="K1870" i="27" s="1"/>
  <c r="F1869" i="27"/>
  <c r="I1869" i="27" s="1"/>
  <c r="K1869" i="27" s="1"/>
  <c r="F1868" i="27"/>
  <c r="I1868" i="27" s="1"/>
  <c r="K1868" i="27" s="1"/>
  <c r="F1867" i="27"/>
  <c r="I1867" i="27" s="1"/>
  <c r="K1867" i="27" s="1"/>
  <c r="F1866" i="27"/>
  <c r="I1866" i="27" s="1"/>
  <c r="K1866" i="27" s="1"/>
  <c r="F1865" i="27"/>
  <c r="I1865" i="27" s="1"/>
  <c r="K1865" i="27" s="1"/>
  <c r="F1864" i="27"/>
  <c r="I1864" i="27" s="1"/>
  <c r="K1864" i="27" s="1"/>
  <c r="F1863" i="27"/>
  <c r="I1863" i="27" s="1"/>
  <c r="K1863" i="27" s="1"/>
  <c r="F1862" i="27"/>
  <c r="I1862" i="27" s="1"/>
  <c r="K1862" i="27" s="1"/>
  <c r="F1861" i="27"/>
  <c r="I1861" i="27" s="1"/>
  <c r="K1861" i="27" s="1"/>
  <c r="F1860" i="27"/>
  <c r="I1860" i="27" s="1"/>
  <c r="K1860" i="27" s="1"/>
  <c r="F1859" i="27"/>
  <c r="I1859" i="27" s="1"/>
  <c r="K1859" i="27" s="1"/>
  <c r="F1858" i="27"/>
  <c r="I1858" i="27" s="1"/>
  <c r="K1858" i="27" s="1"/>
  <c r="F1857" i="27"/>
  <c r="I1857" i="27" s="1"/>
  <c r="K1857" i="27" s="1"/>
  <c r="F1856" i="27"/>
  <c r="I1856" i="27" s="1"/>
  <c r="K1856" i="27" s="1"/>
  <c r="F1855" i="27"/>
  <c r="I1855" i="27" s="1"/>
  <c r="K1855" i="27" s="1"/>
  <c r="F1854" i="27"/>
  <c r="I1854" i="27" s="1"/>
  <c r="K1854" i="27" s="1"/>
  <c r="F1853" i="27"/>
  <c r="I1853" i="27" s="1"/>
  <c r="K1853" i="27" s="1"/>
  <c r="F1852" i="27"/>
  <c r="I1852" i="27" s="1"/>
  <c r="K1852" i="27" s="1"/>
  <c r="F1851" i="27"/>
  <c r="I1851" i="27" s="1"/>
  <c r="K1851" i="27" s="1"/>
  <c r="F1850" i="27"/>
  <c r="I1850" i="27" s="1"/>
  <c r="K1850" i="27" s="1"/>
  <c r="F1849" i="27"/>
  <c r="I1849" i="27" s="1"/>
  <c r="K1849" i="27" s="1"/>
  <c r="F1848" i="27"/>
  <c r="I1848" i="27" s="1"/>
  <c r="K1848" i="27" s="1"/>
  <c r="F1847" i="27"/>
  <c r="I1847" i="27" s="1"/>
  <c r="K1847" i="27" s="1"/>
  <c r="F1846" i="27"/>
  <c r="I1846" i="27" s="1"/>
  <c r="K1846" i="27" s="1"/>
  <c r="F1845" i="27"/>
  <c r="I1845" i="27" s="1"/>
  <c r="K1845" i="27" s="1"/>
  <c r="F1844" i="27"/>
  <c r="I1844" i="27" s="1"/>
  <c r="K1844" i="27" s="1"/>
  <c r="F1843" i="27"/>
  <c r="I1843" i="27" s="1"/>
  <c r="K1843" i="27" s="1"/>
  <c r="F1842" i="27"/>
  <c r="I1842" i="27" s="1"/>
  <c r="K1842" i="27" s="1"/>
  <c r="F1841" i="27"/>
  <c r="I1841" i="27" s="1"/>
  <c r="K1841" i="27" s="1"/>
  <c r="F1840" i="27"/>
  <c r="I1840" i="27" s="1"/>
  <c r="K1840" i="27" s="1"/>
  <c r="F1839" i="27"/>
  <c r="I1839" i="27" s="1"/>
  <c r="K1839" i="27" s="1"/>
  <c r="F1838" i="27"/>
  <c r="I1838" i="27" s="1"/>
  <c r="K1838" i="27" s="1"/>
  <c r="F1837" i="27"/>
  <c r="I1837" i="27" s="1"/>
  <c r="K1837" i="27" s="1"/>
  <c r="F1836" i="27"/>
  <c r="I1836" i="27" s="1"/>
  <c r="K1836" i="27" s="1"/>
  <c r="F1835" i="27"/>
  <c r="I1835" i="27" s="1"/>
  <c r="K1835" i="27" s="1"/>
  <c r="F1834" i="27"/>
  <c r="I1834" i="27" s="1"/>
  <c r="K1834" i="27" s="1"/>
  <c r="F1833" i="27"/>
  <c r="I1833" i="27" s="1"/>
  <c r="K1833" i="27" s="1"/>
  <c r="F1832" i="27"/>
  <c r="I1832" i="27" s="1"/>
  <c r="K1832" i="27" s="1"/>
  <c r="F1831" i="27"/>
  <c r="I1831" i="27" s="1"/>
  <c r="K1831" i="27" s="1"/>
  <c r="F1830" i="27"/>
  <c r="I1830" i="27" s="1"/>
  <c r="K1830" i="27" s="1"/>
  <c r="F1829" i="27"/>
  <c r="I1829" i="27" s="1"/>
  <c r="K1829" i="27" s="1"/>
  <c r="F1828" i="27"/>
  <c r="I1828" i="27" s="1"/>
  <c r="K1828" i="27" s="1"/>
  <c r="F1827" i="27"/>
  <c r="I1827" i="27" s="1"/>
  <c r="K1827" i="27" s="1"/>
  <c r="F1826" i="27"/>
  <c r="I1826" i="27" s="1"/>
  <c r="K1826" i="27" s="1"/>
  <c r="F1825" i="27"/>
  <c r="I1825" i="27" s="1"/>
  <c r="K1825" i="27" s="1"/>
  <c r="F1824" i="27"/>
  <c r="I1824" i="27" s="1"/>
  <c r="K1824" i="27" s="1"/>
  <c r="F1823" i="27"/>
  <c r="I1823" i="27" s="1"/>
  <c r="K1823" i="27" s="1"/>
  <c r="F1822" i="27"/>
  <c r="I1822" i="27" s="1"/>
  <c r="K1822" i="27" s="1"/>
  <c r="F1821" i="27"/>
  <c r="I1821" i="27" s="1"/>
  <c r="K1821" i="27" s="1"/>
  <c r="F1820" i="27"/>
  <c r="I1820" i="27" s="1"/>
  <c r="K1820" i="27" s="1"/>
  <c r="F1819" i="27"/>
  <c r="I1819" i="27" s="1"/>
  <c r="F1818" i="27"/>
  <c r="I1818" i="27" s="1"/>
  <c r="K1818" i="27" s="1"/>
  <c r="F1817" i="27"/>
  <c r="I1817" i="27" s="1"/>
  <c r="K1817" i="27" s="1"/>
  <c r="F1816" i="27"/>
  <c r="I1816" i="27" s="1"/>
  <c r="K1816" i="27" s="1"/>
  <c r="F1815" i="27"/>
  <c r="I1815" i="27" s="1"/>
  <c r="K1815" i="27" s="1"/>
  <c r="F1814" i="27"/>
  <c r="I1814" i="27" s="1"/>
  <c r="K1814" i="27" s="1"/>
  <c r="F1813" i="27"/>
  <c r="I1813" i="27" s="1"/>
  <c r="K1813" i="27" s="1"/>
  <c r="F1812" i="27"/>
  <c r="I1812" i="27" s="1"/>
  <c r="K1812" i="27" s="1"/>
  <c r="F1811" i="27"/>
  <c r="I1811" i="27" s="1"/>
  <c r="K1811" i="27" s="1"/>
  <c r="F1810" i="27"/>
  <c r="I1810" i="27" s="1"/>
  <c r="K1810" i="27" s="1"/>
  <c r="F1809" i="27"/>
  <c r="I1809" i="27" s="1"/>
  <c r="K1809" i="27" s="1"/>
  <c r="F1808" i="27"/>
  <c r="I1808" i="27" s="1"/>
  <c r="K1808" i="27" s="1"/>
  <c r="F1807" i="27"/>
  <c r="I1807" i="27" s="1"/>
  <c r="K1807" i="27" s="1"/>
  <c r="F1806" i="27"/>
  <c r="I1806" i="27" s="1"/>
  <c r="K1806" i="27" s="1"/>
  <c r="F1805" i="27"/>
  <c r="I1805" i="27" s="1"/>
  <c r="K1805" i="27" s="1"/>
  <c r="F1804" i="27"/>
  <c r="I1804" i="27" s="1"/>
  <c r="K1804" i="27" s="1"/>
  <c r="F1803" i="27"/>
  <c r="I1803" i="27" s="1"/>
  <c r="K1803" i="27" s="1"/>
  <c r="F1802" i="27"/>
  <c r="I1802" i="27" s="1"/>
  <c r="K1802" i="27" s="1"/>
  <c r="F1801" i="27"/>
  <c r="I1801" i="27" s="1"/>
  <c r="K1801" i="27" s="1"/>
  <c r="F1800" i="27"/>
  <c r="I1800" i="27" s="1"/>
  <c r="K1800" i="27" s="1"/>
  <c r="F1799" i="27"/>
  <c r="I1799" i="27" s="1"/>
  <c r="K1799" i="27" s="1"/>
  <c r="F1798" i="27"/>
  <c r="I1798" i="27" s="1"/>
  <c r="K1798" i="27" s="1"/>
  <c r="F1797" i="27"/>
  <c r="I1797" i="27" s="1"/>
  <c r="K1797" i="27" s="1"/>
  <c r="F1796" i="27"/>
  <c r="I1796" i="27" s="1"/>
  <c r="K1796" i="27" s="1"/>
  <c r="F1795" i="27"/>
  <c r="I1795" i="27" s="1"/>
  <c r="K1795" i="27" s="1"/>
  <c r="F1794" i="27"/>
  <c r="I1794" i="27" s="1"/>
  <c r="K1794" i="27" s="1"/>
  <c r="F1793" i="27"/>
  <c r="I1793" i="27" s="1"/>
  <c r="K1793" i="27" s="1"/>
  <c r="F1792" i="27"/>
  <c r="I1792" i="27" s="1"/>
  <c r="K1792" i="27" s="1"/>
  <c r="F1791" i="27"/>
  <c r="I1791" i="27" s="1"/>
  <c r="K1791" i="27" s="1"/>
  <c r="F1790" i="27"/>
  <c r="I1790" i="27" s="1"/>
  <c r="K1790" i="27" s="1"/>
  <c r="F1789" i="27"/>
  <c r="I1789" i="27" s="1"/>
  <c r="K1789" i="27" s="1"/>
  <c r="F1788" i="27"/>
  <c r="I1788" i="27" s="1"/>
  <c r="K1788" i="27" s="1"/>
  <c r="F1787" i="27"/>
  <c r="I1787" i="27" s="1"/>
  <c r="K1787" i="27" s="1"/>
  <c r="F1786" i="27"/>
  <c r="I1786" i="27" s="1"/>
  <c r="K1786" i="27" s="1"/>
  <c r="F1785" i="27"/>
  <c r="I1785" i="27" s="1"/>
  <c r="K1785" i="27" s="1"/>
  <c r="F1784" i="27"/>
  <c r="I1784" i="27" s="1"/>
  <c r="K1784" i="27" s="1"/>
  <c r="F1783" i="27"/>
  <c r="I1783" i="27" s="1"/>
  <c r="K1783" i="27" s="1"/>
  <c r="F1782" i="27"/>
  <c r="I1782" i="27" s="1"/>
  <c r="K1782" i="27" s="1"/>
  <c r="F1781" i="27"/>
  <c r="I1781" i="27" s="1"/>
  <c r="K1781" i="27" s="1"/>
  <c r="F1780" i="27"/>
  <c r="I1780" i="27" s="1"/>
  <c r="K1780" i="27" s="1"/>
  <c r="F1779" i="27"/>
  <c r="I1779" i="27" s="1"/>
  <c r="K1779" i="27" s="1"/>
  <c r="F1778" i="27"/>
  <c r="I1778" i="27" s="1"/>
  <c r="K1778" i="27" s="1"/>
  <c r="F1777" i="27"/>
  <c r="I1777" i="27" s="1"/>
  <c r="K1777" i="27" s="1"/>
  <c r="F1776" i="27"/>
  <c r="I1776" i="27" s="1"/>
  <c r="K1776" i="27" s="1"/>
  <c r="F1775" i="27"/>
  <c r="I1775" i="27" s="1"/>
  <c r="K1775" i="27" s="1"/>
  <c r="F1774" i="27"/>
  <c r="I1774" i="27" s="1"/>
  <c r="K1774" i="27" s="1"/>
  <c r="F1773" i="27"/>
  <c r="I1773" i="27" s="1"/>
  <c r="K1773" i="27" s="1"/>
  <c r="F1772" i="27"/>
  <c r="I1772" i="27" s="1"/>
  <c r="F1771" i="27"/>
  <c r="I1771" i="27" s="1"/>
  <c r="K1771" i="27" s="1"/>
  <c r="F1770" i="27"/>
  <c r="I1770" i="27" s="1"/>
  <c r="K1770" i="27" s="1"/>
  <c r="F1769" i="27"/>
  <c r="I1769" i="27" s="1"/>
  <c r="K1769" i="27" s="1"/>
  <c r="F1768" i="27"/>
  <c r="I1768" i="27" s="1"/>
  <c r="K1768" i="27" s="1"/>
  <c r="F1767" i="27"/>
  <c r="I1767" i="27" s="1"/>
  <c r="K1767" i="27" s="1"/>
  <c r="F1766" i="27"/>
  <c r="I1766" i="27" s="1"/>
  <c r="K1766" i="27" s="1"/>
  <c r="F1765" i="27"/>
  <c r="I1765" i="27" s="1"/>
  <c r="K1765" i="27" s="1"/>
  <c r="F1764" i="27"/>
  <c r="I1764" i="27" s="1"/>
  <c r="K1764" i="27" s="1"/>
  <c r="F1763" i="27"/>
  <c r="I1763" i="27" s="1"/>
  <c r="K1763" i="27" s="1"/>
  <c r="F1762" i="27"/>
  <c r="I1762" i="27" s="1"/>
  <c r="K1762" i="27" s="1"/>
  <c r="F1761" i="27"/>
  <c r="I1761" i="27" s="1"/>
  <c r="K1761" i="27" s="1"/>
  <c r="F1760" i="27"/>
  <c r="I1760" i="27" s="1"/>
  <c r="K1760" i="27" s="1"/>
  <c r="F1759" i="27"/>
  <c r="I1759" i="27" s="1"/>
  <c r="K1759" i="27" s="1"/>
  <c r="F1758" i="27"/>
  <c r="I1758" i="27" s="1"/>
  <c r="K1758" i="27" s="1"/>
  <c r="F1757" i="27"/>
  <c r="I1757" i="27" s="1"/>
  <c r="K1757" i="27" s="1"/>
  <c r="F1756" i="27"/>
  <c r="I1756" i="27" s="1"/>
  <c r="K1756" i="27" s="1"/>
  <c r="F1755" i="27"/>
  <c r="I1755" i="27" s="1"/>
  <c r="K1755" i="27" s="1"/>
  <c r="F1754" i="27"/>
  <c r="I1754" i="27" s="1"/>
  <c r="K1754" i="27" s="1"/>
  <c r="F1753" i="27"/>
  <c r="I1753" i="27" s="1"/>
  <c r="K1753" i="27" s="1"/>
  <c r="F1752" i="27"/>
  <c r="I1752" i="27" s="1"/>
  <c r="K1752" i="27" s="1"/>
  <c r="F1751" i="27"/>
  <c r="I1751" i="27" s="1"/>
  <c r="K1751" i="27" s="1"/>
  <c r="F1750" i="27"/>
  <c r="I1750" i="27" s="1"/>
  <c r="K1750" i="27" s="1"/>
  <c r="F1749" i="27"/>
  <c r="I1749" i="27" s="1"/>
  <c r="K1749" i="27" s="1"/>
  <c r="F1748" i="27"/>
  <c r="I1748" i="27" s="1"/>
  <c r="K1748" i="27" s="1"/>
  <c r="F1747" i="27"/>
  <c r="I1747" i="27" s="1"/>
  <c r="K1747" i="27" s="1"/>
  <c r="F1746" i="27"/>
  <c r="I1746" i="27" s="1"/>
  <c r="K1746" i="27" s="1"/>
  <c r="F1745" i="27"/>
  <c r="I1745" i="27" s="1"/>
  <c r="K1745" i="27" s="1"/>
  <c r="F1744" i="27"/>
  <c r="I1744" i="27" s="1"/>
  <c r="K1744" i="27" s="1"/>
  <c r="F1743" i="27"/>
  <c r="I1743" i="27" s="1"/>
  <c r="K1743" i="27" s="1"/>
  <c r="F1742" i="27"/>
  <c r="I1742" i="27" s="1"/>
  <c r="K1742" i="27" s="1"/>
  <c r="F1741" i="27"/>
  <c r="I1741" i="27" s="1"/>
  <c r="K1741" i="27" s="1"/>
  <c r="F1740" i="27"/>
  <c r="I1740" i="27" s="1"/>
  <c r="K1740" i="27" s="1"/>
  <c r="F1739" i="27"/>
  <c r="I1739" i="27" s="1"/>
  <c r="K1739" i="27" s="1"/>
  <c r="F1738" i="27"/>
  <c r="I1738" i="27" s="1"/>
  <c r="K1738" i="27" s="1"/>
  <c r="F1737" i="27"/>
  <c r="I1737" i="27" s="1"/>
  <c r="K1737" i="27" s="1"/>
  <c r="F1736" i="27"/>
  <c r="I1736" i="27" s="1"/>
  <c r="K1736" i="27" s="1"/>
  <c r="F1735" i="27"/>
  <c r="I1735" i="27" s="1"/>
  <c r="K1735" i="27" s="1"/>
  <c r="F1734" i="27"/>
  <c r="I1734" i="27" s="1"/>
  <c r="K1734" i="27" s="1"/>
  <c r="F1733" i="27"/>
  <c r="I1733" i="27" s="1"/>
  <c r="K1733" i="27" s="1"/>
  <c r="F1732" i="27"/>
  <c r="I1732" i="27" s="1"/>
  <c r="K1732" i="27" s="1"/>
  <c r="F1731" i="27"/>
  <c r="I1731" i="27" s="1"/>
  <c r="K1731" i="27" s="1"/>
  <c r="F1730" i="27"/>
  <c r="I1730" i="27" s="1"/>
  <c r="K1730" i="27" s="1"/>
  <c r="F1729" i="27"/>
  <c r="I1729" i="27" s="1"/>
  <c r="K1729" i="27" s="1"/>
  <c r="F1728" i="27"/>
  <c r="I1728" i="27" s="1"/>
  <c r="K1728" i="27" s="1"/>
  <c r="F1727" i="27"/>
  <c r="I1727" i="27" s="1"/>
  <c r="K1727" i="27" s="1"/>
  <c r="F1726" i="27"/>
  <c r="I1726" i="27" s="1"/>
  <c r="K1726" i="27" s="1"/>
  <c r="F1725" i="27"/>
  <c r="I1725" i="27" s="1"/>
  <c r="K1725" i="27" s="1"/>
  <c r="F1724" i="27"/>
  <c r="I1724" i="27" s="1"/>
  <c r="K1724" i="27" s="1"/>
  <c r="F1723" i="27"/>
  <c r="I1723" i="27" s="1"/>
  <c r="K1723" i="27" s="1"/>
  <c r="F1722" i="27"/>
  <c r="I1722" i="27" s="1"/>
  <c r="K1722" i="27" s="1"/>
  <c r="F1721" i="27"/>
  <c r="I1721" i="27" s="1"/>
  <c r="K1721" i="27" s="1"/>
  <c r="F1720" i="27"/>
  <c r="I1720" i="27" s="1"/>
  <c r="K1720" i="27" s="1"/>
  <c r="F1719" i="27"/>
  <c r="I1719" i="27" s="1"/>
  <c r="K1719" i="27" s="1"/>
  <c r="F1718" i="27"/>
  <c r="I1718" i="27" s="1"/>
  <c r="K1718" i="27" s="1"/>
  <c r="F1717" i="27"/>
  <c r="I1717" i="27" s="1"/>
  <c r="K1717" i="27" s="1"/>
  <c r="F1716" i="27"/>
  <c r="I1716" i="27" s="1"/>
  <c r="K1716" i="27" s="1"/>
  <c r="F1715" i="27"/>
  <c r="I1715" i="27" s="1"/>
  <c r="K1715" i="27" s="1"/>
  <c r="F1714" i="27"/>
  <c r="I1714" i="27" s="1"/>
  <c r="K1714" i="27" s="1"/>
  <c r="F1713" i="27"/>
  <c r="I1713" i="27" s="1"/>
  <c r="K1713" i="27" s="1"/>
  <c r="F1712" i="27"/>
  <c r="I1712" i="27" s="1"/>
  <c r="K1712" i="27" s="1"/>
  <c r="F1711" i="27"/>
  <c r="I1711" i="27" s="1"/>
  <c r="K1711" i="27" s="1"/>
  <c r="F1710" i="27"/>
  <c r="I1710" i="27" s="1"/>
  <c r="K1710" i="27" s="1"/>
  <c r="F1709" i="27"/>
  <c r="I1709" i="27" s="1"/>
  <c r="K1709" i="27" s="1"/>
  <c r="F1708" i="27"/>
  <c r="I1708" i="27" s="1"/>
  <c r="K1708" i="27" s="1"/>
  <c r="F1707" i="27"/>
  <c r="I1707" i="27" s="1"/>
  <c r="K1707" i="27" s="1"/>
  <c r="F1706" i="27"/>
  <c r="I1706" i="27" s="1"/>
  <c r="K1706" i="27" s="1"/>
  <c r="F1705" i="27"/>
  <c r="I1705" i="27" s="1"/>
  <c r="K1705" i="27" s="1"/>
  <c r="F1704" i="27"/>
  <c r="I1704" i="27" s="1"/>
  <c r="K1704" i="27" s="1"/>
  <c r="F1703" i="27"/>
  <c r="I1703" i="27" s="1"/>
  <c r="K1703" i="27" s="1"/>
  <c r="F1702" i="27"/>
  <c r="I1702" i="27" s="1"/>
  <c r="K1702" i="27" s="1"/>
  <c r="F1701" i="27"/>
  <c r="I1701" i="27" s="1"/>
  <c r="K1701" i="27" s="1"/>
  <c r="F1700" i="27"/>
  <c r="I1700" i="27" s="1"/>
  <c r="K1700" i="27" s="1"/>
  <c r="F1699" i="27"/>
  <c r="I1699" i="27" s="1"/>
  <c r="K1699" i="27" s="1"/>
  <c r="F1698" i="27"/>
  <c r="I1698" i="27" s="1"/>
  <c r="K1698" i="27" s="1"/>
  <c r="F1697" i="27"/>
  <c r="I1697" i="27" s="1"/>
  <c r="K1697" i="27" s="1"/>
  <c r="F1696" i="27"/>
  <c r="I1696" i="27" s="1"/>
  <c r="K1696" i="27" s="1"/>
  <c r="F1695" i="27"/>
  <c r="I1695" i="27" s="1"/>
  <c r="K1695" i="27" s="1"/>
  <c r="F1694" i="27"/>
  <c r="I1694" i="27" s="1"/>
  <c r="K1694" i="27" s="1"/>
  <c r="F1693" i="27"/>
  <c r="I1693" i="27" s="1"/>
  <c r="K1693" i="27" s="1"/>
  <c r="F1692" i="27"/>
  <c r="I1692" i="27" s="1"/>
  <c r="K1692" i="27" s="1"/>
  <c r="F1691" i="27"/>
  <c r="I1691" i="27" s="1"/>
  <c r="K1691" i="27" s="1"/>
  <c r="F1690" i="27"/>
  <c r="I1690" i="27" s="1"/>
  <c r="K1690" i="27" s="1"/>
  <c r="F1689" i="27"/>
  <c r="I1689" i="27" s="1"/>
  <c r="K1689" i="27" s="1"/>
  <c r="F1688" i="27"/>
  <c r="I1688" i="27" s="1"/>
  <c r="K1688" i="27" s="1"/>
  <c r="F1687" i="27"/>
  <c r="I1687" i="27" s="1"/>
  <c r="K1687" i="27" s="1"/>
  <c r="F1686" i="27"/>
  <c r="I1686" i="27" s="1"/>
  <c r="K1686" i="27" s="1"/>
  <c r="F1685" i="27"/>
  <c r="I1685" i="27" s="1"/>
  <c r="K1685" i="27" s="1"/>
  <c r="F1684" i="27"/>
  <c r="I1684" i="27" s="1"/>
  <c r="K1684" i="27" s="1"/>
  <c r="F1683" i="27"/>
  <c r="I1683" i="27" s="1"/>
  <c r="K1683" i="27" s="1"/>
  <c r="F1682" i="27"/>
  <c r="I1682" i="27" s="1"/>
  <c r="K1682" i="27" s="1"/>
  <c r="F1681" i="27"/>
  <c r="I1681" i="27" s="1"/>
  <c r="K1681" i="27" s="1"/>
  <c r="F1680" i="27"/>
  <c r="I1680" i="27" s="1"/>
  <c r="K1680" i="27" s="1"/>
  <c r="F1679" i="27"/>
  <c r="I1679" i="27" s="1"/>
  <c r="K1679" i="27" s="1"/>
  <c r="F1678" i="27"/>
  <c r="I1678" i="27" s="1"/>
  <c r="K1678" i="27" s="1"/>
  <c r="F1677" i="27"/>
  <c r="I1677" i="27" s="1"/>
  <c r="K1677" i="27" s="1"/>
  <c r="F1676" i="27"/>
  <c r="I1676" i="27" s="1"/>
  <c r="K1676" i="27" s="1"/>
  <c r="F1675" i="27"/>
  <c r="I1675" i="27" s="1"/>
  <c r="K1675" i="27" s="1"/>
  <c r="F1674" i="27"/>
  <c r="I1674" i="27" s="1"/>
  <c r="K1674" i="27" s="1"/>
  <c r="F1673" i="27"/>
  <c r="I1673" i="27" s="1"/>
  <c r="K1673" i="27" s="1"/>
  <c r="F1672" i="27"/>
  <c r="I1672" i="27" s="1"/>
  <c r="K1672" i="27" s="1"/>
  <c r="F1671" i="27"/>
  <c r="I1671" i="27" s="1"/>
  <c r="K1671" i="27" s="1"/>
  <c r="F1670" i="27"/>
  <c r="I1670" i="27" s="1"/>
  <c r="K1670" i="27" s="1"/>
  <c r="F1669" i="27"/>
  <c r="I1669" i="27" s="1"/>
  <c r="K1669" i="27" s="1"/>
  <c r="F1668" i="27"/>
  <c r="I1668" i="27" s="1"/>
  <c r="K1668" i="27" s="1"/>
  <c r="F1667" i="27"/>
  <c r="I1667" i="27" s="1"/>
  <c r="K1667" i="27" s="1"/>
  <c r="F1666" i="27"/>
  <c r="I1666" i="27" s="1"/>
  <c r="K1666" i="27" s="1"/>
  <c r="F1665" i="27"/>
  <c r="I1665" i="27" s="1"/>
  <c r="K1665" i="27" s="1"/>
  <c r="F1664" i="27"/>
  <c r="I1664" i="27" s="1"/>
  <c r="K1664" i="27" s="1"/>
  <c r="F1663" i="27"/>
  <c r="I1663" i="27" s="1"/>
  <c r="K1663" i="27" s="1"/>
  <c r="F1662" i="27"/>
  <c r="I1662" i="27" s="1"/>
  <c r="K1662" i="27" s="1"/>
  <c r="F1661" i="27"/>
  <c r="I1661" i="27" s="1"/>
  <c r="K1661" i="27" s="1"/>
  <c r="F1660" i="27"/>
  <c r="I1660" i="27" s="1"/>
  <c r="K1660" i="27" s="1"/>
  <c r="F1659" i="27"/>
  <c r="I1659" i="27" s="1"/>
  <c r="K1659" i="27" s="1"/>
  <c r="F1658" i="27"/>
  <c r="I1658" i="27" s="1"/>
  <c r="K1658" i="27" s="1"/>
  <c r="F1657" i="27"/>
  <c r="I1657" i="27" s="1"/>
  <c r="K1657" i="27" s="1"/>
  <c r="F1656" i="27"/>
  <c r="I1656" i="27" s="1"/>
  <c r="K1656" i="27" s="1"/>
  <c r="F1655" i="27"/>
  <c r="I1655" i="27" s="1"/>
  <c r="K1655" i="27" s="1"/>
  <c r="F1654" i="27"/>
  <c r="I1654" i="27" s="1"/>
  <c r="K1654" i="27" s="1"/>
  <c r="F1653" i="27"/>
  <c r="I1653" i="27" s="1"/>
  <c r="K1653" i="27" s="1"/>
  <c r="F1652" i="27"/>
  <c r="I1652" i="27" s="1"/>
  <c r="K1652" i="27" s="1"/>
  <c r="F1651" i="27"/>
  <c r="I1651" i="27" s="1"/>
  <c r="K1651" i="27" s="1"/>
  <c r="F1650" i="27"/>
  <c r="I1650" i="27" s="1"/>
  <c r="K1650" i="27" s="1"/>
  <c r="F1649" i="27"/>
  <c r="I1649" i="27" s="1"/>
  <c r="K1649" i="27" s="1"/>
  <c r="F1648" i="27"/>
  <c r="I1648" i="27" s="1"/>
  <c r="K1648" i="27" s="1"/>
  <c r="F1647" i="27"/>
  <c r="I1647" i="27" s="1"/>
  <c r="K1647" i="27" s="1"/>
  <c r="F1646" i="27"/>
  <c r="I1646" i="27" s="1"/>
  <c r="K1646" i="27" s="1"/>
  <c r="F1645" i="27"/>
  <c r="I1645" i="27" s="1"/>
  <c r="K1645" i="27" s="1"/>
  <c r="F1644" i="27"/>
  <c r="I1644" i="27" s="1"/>
  <c r="K1644" i="27" s="1"/>
  <c r="F1643" i="27"/>
  <c r="I1643" i="27" s="1"/>
  <c r="K1643" i="27" s="1"/>
  <c r="F1642" i="27"/>
  <c r="I1642" i="27" s="1"/>
  <c r="K1642" i="27" s="1"/>
  <c r="F1641" i="27"/>
  <c r="I1641" i="27" s="1"/>
  <c r="K1641" i="27" s="1"/>
  <c r="F1640" i="27"/>
  <c r="I1640" i="27" s="1"/>
  <c r="K1640" i="27" s="1"/>
  <c r="F1639" i="27"/>
  <c r="I1639" i="27" s="1"/>
  <c r="K1639" i="27" s="1"/>
  <c r="F1638" i="27"/>
  <c r="I1638" i="27" s="1"/>
  <c r="K1638" i="27" s="1"/>
  <c r="F1637" i="27"/>
  <c r="I1637" i="27" s="1"/>
  <c r="K1637" i="27" s="1"/>
  <c r="F1636" i="27"/>
  <c r="I1636" i="27" s="1"/>
  <c r="K1636" i="27" s="1"/>
  <c r="F1635" i="27"/>
  <c r="I1635" i="27" s="1"/>
  <c r="K1635" i="27" s="1"/>
  <c r="F1634" i="27"/>
  <c r="I1634" i="27" s="1"/>
  <c r="K1634" i="27" s="1"/>
  <c r="F1633" i="27"/>
  <c r="I1633" i="27" s="1"/>
  <c r="K1633" i="27" s="1"/>
  <c r="F1632" i="27"/>
  <c r="I1632" i="27" s="1"/>
  <c r="K1632" i="27" s="1"/>
  <c r="F1631" i="27"/>
  <c r="I1631" i="27" s="1"/>
  <c r="K1631" i="27" s="1"/>
  <c r="F1630" i="27"/>
  <c r="I1630" i="27" s="1"/>
  <c r="K1630" i="27" s="1"/>
  <c r="F1629" i="27"/>
  <c r="I1629" i="27" s="1"/>
  <c r="K1629" i="27" s="1"/>
  <c r="F1628" i="27"/>
  <c r="I1628" i="27" s="1"/>
  <c r="K1628" i="27" s="1"/>
  <c r="F1627" i="27"/>
  <c r="I1627" i="27" s="1"/>
  <c r="K1627" i="27" s="1"/>
  <c r="F1626" i="27"/>
  <c r="I1626" i="27" s="1"/>
  <c r="K1626" i="27" s="1"/>
  <c r="F1625" i="27"/>
  <c r="I1625" i="27" s="1"/>
  <c r="K1625" i="27" s="1"/>
  <c r="F1624" i="27"/>
  <c r="I1624" i="27" s="1"/>
  <c r="K1624" i="27" s="1"/>
  <c r="F1623" i="27"/>
  <c r="I1623" i="27" s="1"/>
  <c r="K1623" i="27" s="1"/>
  <c r="F1622" i="27"/>
  <c r="I1622" i="27" s="1"/>
  <c r="K1622" i="27" s="1"/>
  <c r="F1621" i="27"/>
  <c r="I1621" i="27" s="1"/>
  <c r="K1621" i="27" s="1"/>
  <c r="F1620" i="27"/>
  <c r="I1620" i="27" s="1"/>
  <c r="K1620" i="27" s="1"/>
  <c r="F1619" i="27"/>
  <c r="I1619" i="27" s="1"/>
  <c r="K1619" i="27" s="1"/>
  <c r="F1618" i="27"/>
  <c r="I1618" i="27" s="1"/>
  <c r="K1618" i="27" s="1"/>
  <c r="F1617" i="27"/>
  <c r="I1617" i="27" s="1"/>
  <c r="K1617" i="27" s="1"/>
  <c r="F1616" i="27"/>
  <c r="I1616" i="27" s="1"/>
  <c r="K1616" i="27" s="1"/>
  <c r="F1615" i="27"/>
  <c r="I1615" i="27" s="1"/>
  <c r="K1615" i="27" s="1"/>
  <c r="F1614" i="27"/>
  <c r="I1614" i="27" s="1"/>
  <c r="K1614" i="27" s="1"/>
  <c r="F1613" i="27"/>
  <c r="I1613" i="27" s="1"/>
  <c r="K1613" i="27" s="1"/>
  <c r="F1612" i="27"/>
  <c r="I1612" i="27" s="1"/>
  <c r="K1612" i="27" s="1"/>
  <c r="F1611" i="27"/>
  <c r="I1611" i="27" s="1"/>
  <c r="K1611" i="27" s="1"/>
  <c r="F1610" i="27"/>
  <c r="I1610" i="27" s="1"/>
  <c r="K1610" i="27" s="1"/>
  <c r="F1609" i="27"/>
  <c r="I1609" i="27" s="1"/>
  <c r="K1609" i="27" s="1"/>
  <c r="F1608" i="27"/>
  <c r="I1608" i="27" s="1"/>
  <c r="K1608" i="27" s="1"/>
  <c r="F1607" i="27"/>
  <c r="I1607" i="27" s="1"/>
  <c r="K1607" i="27" s="1"/>
  <c r="F1606" i="27"/>
  <c r="I1606" i="27" s="1"/>
  <c r="K1606" i="27" s="1"/>
  <c r="F1605" i="27"/>
  <c r="I1605" i="27" s="1"/>
  <c r="K1605" i="27" s="1"/>
  <c r="F1604" i="27"/>
  <c r="I1604" i="27" s="1"/>
  <c r="K1604" i="27" s="1"/>
  <c r="F1603" i="27"/>
  <c r="I1603" i="27" s="1"/>
  <c r="K1603" i="27" s="1"/>
  <c r="F1602" i="27"/>
  <c r="I1602" i="27" s="1"/>
  <c r="K1602" i="27" s="1"/>
  <c r="F1601" i="27"/>
  <c r="I1601" i="27" s="1"/>
  <c r="K1601" i="27" s="1"/>
  <c r="F1600" i="27"/>
  <c r="I1600" i="27" s="1"/>
  <c r="K1600" i="27" s="1"/>
  <c r="F1599" i="27"/>
  <c r="I1599" i="27" s="1"/>
  <c r="K1599" i="27" s="1"/>
  <c r="F1598" i="27"/>
  <c r="I1598" i="27" s="1"/>
  <c r="K1598" i="27" s="1"/>
  <c r="F1597" i="27"/>
  <c r="I1597" i="27" s="1"/>
  <c r="K1597" i="27" s="1"/>
  <c r="F1596" i="27"/>
  <c r="I1596" i="27" s="1"/>
  <c r="K1596" i="27" s="1"/>
  <c r="F1595" i="27"/>
  <c r="I1595" i="27" s="1"/>
  <c r="K1595" i="27" s="1"/>
  <c r="F1594" i="27"/>
  <c r="I1594" i="27" s="1"/>
  <c r="K1594" i="27" s="1"/>
  <c r="F1593" i="27"/>
  <c r="I1593" i="27" s="1"/>
  <c r="K1593" i="27" s="1"/>
  <c r="F1592" i="27"/>
  <c r="I1592" i="27" s="1"/>
  <c r="K1592" i="27" s="1"/>
  <c r="F1591" i="27"/>
  <c r="I1591" i="27" s="1"/>
  <c r="K1591" i="27" s="1"/>
  <c r="F1590" i="27"/>
  <c r="I1590" i="27" s="1"/>
  <c r="K1590" i="27" s="1"/>
  <c r="F1589" i="27"/>
  <c r="I1589" i="27" s="1"/>
  <c r="K1589" i="27" s="1"/>
  <c r="F1588" i="27"/>
  <c r="I1588" i="27" s="1"/>
  <c r="K1588" i="27" s="1"/>
  <c r="F1587" i="27"/>
  <c r="I1587" i="27" s="1"/>
  <c r="F1586" i="27"/>
  <c r="I1586" i="27" s="1"/>
  <c r="K1586" i="27" s="1"/>
  <c r="F1585" i="27"/>
  <c r="I1585" i="27" s="1"/>
  <c r="K1585" i="27" s="1"/>
  <c r="F1584" i="27"/>
  <c r="I1584" i="27" s="1"/>
  <c r="K1584" i="27" s="1"/>
  <c r="F1583" i="27"/>
  <c r="I1583" i="27" s="1"/>
  <c r="K1583" i="27" s="1"/>
  <c r="F1582" i="27"/>
  <c r="I1582" i="27" s="1"/>
  <c r="K1582" i="27" s="1"/>
  <c r="F1581" i="27"/>
  <c r="I1581" i="27" s="1"/>
  <c r="K1581" i="27" s="1"/>
  <c r="F1580" i="27"/>
  <c r="I1580" i="27" s="1"/>
  <c r="K1580" i="27" s="1"/>
  <c r="F1579" i="27"/>
  <c r="I1579" i="27" s="1"/>
  <c r="K1579" i="27" s="1"/>
  <c r="F1578" i="27"/>
  <c r="I1578" i="27" s="1"/>
  <c r="K1578" i="27" s="1"/>
  <c r="F1577" i="27"/>
  <c r="I1577" i="27" s="1"/>
  <c r="K1577" i="27" s="1"/>
  <c r="F1576" i="27"/>
  <c r="I1576" i="27" s="1"/>
  <c r="K1576" i="27" s="1"/>
  <c r="F1575" i="27"/>
  <c r="I1575" i="27" s="1"/>
  <c r="K1575" i="27" s="1"/>
  <c r="F1574" i="27"/>
  <c r="I1574" i="27" s="1"/>
  <c r="K1574" i="27" s="1"/>
  <c r="F1573" i="27"/>
  <c r="I1573" i="27" s="1"/>
  <c r="K1573" i="27" s="1"/>
  <c r="F1572" i="27"/>
  <c r="I1572" i="27" s="1"/>
  <c r="K1572" i="27" s="1"/>
  <c r="F1571" i="27"/>
  <c r="I1571" i="27" s="1"/>
  <c r="K1571" i="27" s="1"/>
  <c r="F1570" i="27"/>
  <c r="I1570" i="27" s="1"/>
  <c r="K1570" i="27" s="1"/>
  <c r="F1569" i="27"/>
  <c r="I1569" i="27" s="1"/>
  <c r="K1569" i="27" s="1"/>
  <c r="F1568" i="27"/>
  <c r="I1568" i="27" s="1"/>
  <c r="K1568" i="27" s="1"/>
  <c r="F1567" i="27"/>
  <c r="I1567" i="27" s="1"/>
  <c r="K1567" i="27" s="1"/>
  <c r="F1566" i="27"/>
  <c r="I1566" i="27" s="1"/>
  <c r="K1566" i="27" s="1"/>
  <c r="F1565" i="27"/>
  <c r="I1565" i="27" s="1"/>
  <c r="K1565" i="27" s="1"/>
  <c r="F1564" i="27"/>
  <c r="I1564" i="27" s="1"/>
  <c r="K1564" i="27" s="1"/>
  <c r="F1563" i="27"/>
  <c r="I1563" i="27" s="1"/>
  <c r="K1563" i="27" s="1"/>
  <c r="F1562" i="27"/>
  <c r="I1562" i="27" s="1"/>
  <c r="K1562" i="27" s="1"/>
  <c r="F1561" i="27"/>
  <c r="I1561" i="27" s="1"/>
  <c r="K1561" i="27" s="1"/>
  <c r="F1560" i="27"/>
  <c r="I1560" i="27" s="1"/>
  <c r="K1560" i="27" s="1"/>
  <c r="F1559" i="27"/>
  <c r="I1559" i="27" s="1"/>
  <c r="K1559" i="27" s="1"/>
  <c r="F1558" i="27"/>
  <c r="I1558" i="27" s="1"/>
  <c r="K1558" i="27" s="1"/>
  <c r="F1557" i="27"/>
  <c r="I1557" i="27" s="1"/>
  <c r="K1557" i="27" s="1"/>
  <c r="F1556" i="27"/>
  <c r="I1556" i="27" s="1"/>
  <c r="K1556" i="27" s="1"/>
  <c r="F1555" i="27"/>
  <c r="I1555" i="27" s="1"/>
  <c r="K1555" i="27" s="1"/>
  <c r="F1554" i="27"/>
  <c r="I1554" i="27" s="1"/>
  <c r="K1554" i="27" s="1"/>
  <c r="F1553" i="27"/>
  <c r="I1553" i="27" s="1"/>
  <c r="K1553" i="27" s="1"/>
  <c r="F1552" i="27"/>
  <c r="I1552" i="27" s="1"/>
  <c r="K1552" i="27" s="1"/>
  <c r="F1551" i="27"/>
  <c r="I1551" i="27" s="1"/>
  <c r="K1551" i="27" s="1"/>
  <c r="F1550" i="27"/>
  <c r="I1550" i="27" s="1"/>
  <c r="K1550" i="27" s="1"/>
  <c r="F1549" i="27"/>
  <c r="I1549" i="27" s="1"/>
  <c r="K1549" i="27" s="1"/>
  <c r="F1548" i="27"/>
  <c r="I1548" i="27" s="1"/>
  <c r="K1548" i="27" s="1"/>
  <c r="F1547" i="27"/>
  <c r="I1547" i="27" s="1"/>
  <c r="K1547" i="27" s="1"/>
  <c r="F1546" i="27"/>
  <c r="I1546" i="27" s="1"/>
  <c r="K1546" i="27" s="1"/>
  <c r="F1545" i="27"/>
  <c r="I1545" i="27" s="1"/>
  <c r="K1545" i="27" s="1"/>
  <c r="F1544" i="27"/>
  <c r="I1544" i="27" s="1"/>
  <c r="K1544" i="27" s="1"/>
  <c r="F1543" i="27"/>
  <c r="I1543" i="27" s="1"/>
  <c r="K1543" i="27" s="1"/>
  <c r="F1542" i="27"/>
  <c r="I1542" i="27" s="1"/>
  <c r="K1542" i="27" s="1"/>
  <c r="F1541" i="27"/>
  <c r="I1541" i="27" s="1"/>
  <c r="K1541" i="27" s="1"/>
  <c r="F1540" i="27"/>
  <c r="I1540" i="27" s="1"/>
  <c r="F1539" i="27"/>
  <c r="I1539" i="27" s="1"/>
  <c r="K1539" i="27" s="1"/>
  <c r="F1538" i="27"/>
  <c r="I1538" i="27" s="1"/>
  <c r="K1538" i="27" s="1"/>
  <c r="F1537" i="27"/>
  <c r="I1537" i="27" s="1"/>
  <c r="K1537" i="27" s="1"/>
  <c r="F1536" i="27"/>
  <c r="I1536" i="27" s="1"/>
  <c r="K1536" i="27" s="1"/>
  <c r="F1535" i="27"/>
  <c r="I1535" i="27" s="1"/>
  <c r="K1535" i="27" s="1"/>
  <c r="F1534" i="27"/>
  <c r="I1534" i="27" s="1"/>
  <c r="K1534" i="27" s="1"/>
  <c r="F1533" i="27"/>
  <c r="I1533" i="27" s="1"/>
  <c r="K1533" i="27" s="1"/>
  <c r="F1532" i="27"/>
  <c r="I1532" i="27" s="1"/>
  <c r="K1532" i="27" s="1"/>
  <c r="F1531" i="27"/>
  <c r="I1531" i="27" s="1"/>
  <c r="K1531" i="27" s="1"/>
  <c r="F1530" i="27"/>
  <c r="I1530" i="27" s="1"/>
  <c r="K1530" i="27" s="1"/>
  <c r="F1529" i="27"/>
  <c r="I1529" i="27" s="1"/>
  <c r="K1529" i="27" s="1"/>
  <c r="F1528" i="27"/>
  <c r="I1528" i="27" s="1"/>
  <c r="K1528" i="27" s="1"/>
  <c r="F1527" i="27"/>
  <c r="I1527" i="27" s="1"/>
  <c r="K1527" i="27" s="1"/>
  <c r="F1526" i="27"/>
  <c r="I1526" i="27" s="1"/>
  <c r="K1526" i="27" s="1"/>
  <c r="F1525" i="27"/>
  <c r="I1525" i="27" s="1"/>
  <c r="K1525" i="27" s="1"/>
  <c r="F1524" i="27"/>
  <c r="I1524" i="27" s="1"/>
  <c r="K1524" i="27" s="1"/>
  <c r="F1523" i="27"/>
  <c r="I1523" i="27" s="1"/>
  <c r="K1523" i="27" s="1"/>
  <c r="F1522" i="27"/>
  <c r="I1522" i="27" s="1"/>
  <c r="K1522" i="27" s="1"/>
  <c r="F1521" i="27"/>
  <c r="I1521" i="27" s="1"/>
  <c r="K1521" i="27" s="1"/>
  <c r="F1520" i="27"/>
  <c r="I1520" i="27" s="1"/>
  <c r="K1520" i="27" s="1"/>
  <c r="F1519" i="27"/>
  <c r="I1519" i="27" s="1"/>
  <c r="K1519" i="27" s="1"/>
  <c r="F1518" i="27"/>
  <c r="I1518" i="27" s="1"/>
  <c r="K1518" i="27" s="1"/>
  <c r="F1517" i="27"/>
  <c r="I1517" i="27" s="1"/>
  <c r="K1517" i="27" s="1"/>
  <c r="F1516" i="27"/>
  <c r="I1516" i="27" s="1"/>
  <c r="K1516" i="27" s="1"/>
  <c r="F1515" i="27"/>
  <c r="I1515" i="27" s="1"/>
  <c r="K1515" i="27" s="1"/>
  <c r="F1514" i="27"/>
  <c r="I1514" i="27" s="1"/>
  <c r="K1514" i="27" s="1"/>
  <c r="F1513" i="27"/>
  <c r="I1513" i="27" s="1"/>
  <c r="K1513" i="27" s="1"/>
  <c r="F1512" i="27"/>
  <c r="I1512" i="27" s="1"/>
  <c r="K1512" i="27" s="1"/>
  <c r="F1511" i="27"/>
  <c r="I1511" i="27" s="1"/>
  <c r="K1511" i="27" s="1"/>
  <c r="F1510" i="27"/>
  <c r="I1510" i="27" s="1"/>
  <c r="K1510" i="27" s="1"/>
  <c r="F1509" i="27"/>
  <c r="I1509" i="27" s="1"/>
  <c r="K1509" i="27" s="1"/>
  <c r="F1508" i="27"/>
  <c r="I1508" i="27" s="1"/>
  <c r="K1508" i="27" s="1"/>
  <c r="F1507" i="27"/>
  <c r="I1507" i="27" s="1"/>
  <c r="K1507" i="27" s="1"/>
  <c r="F1506" i="27"/>
  <c r="I1506" i="27" s="1"/>
  <c r="K1506" i="27" s="1"/>
  <c r="F1505" i="27"/>
  <c r="I1505" i="27" s="1"/>
  <c r="K1505" i="27" s="1"/>
  <c r="F1504" i="27"/>
  <c r="I1504" i="27" s="1"/>
  <c r="K1504" i="27" s="1"/>
  <c r="F1503" i="27"/>
  <c r="I1503" i="27" s="1"/>
  <c r="K1503" i="27" s="1"/>
  <c r="F1502" i="27"/>
  <c r="I1502" i="27" s="1"/>
  <c r="K1502" i="27" s="1"/>
  <c r="F1501" i="27"/>
  <c r="I1501" i="27" s="1"/>
  <c r="K1501" i="27" s="1"/>
  <c r="F1500" i="27"/>
  <c r="I1500" i="27" s="1"/>
  <c r="K1500" i="27" s="1"/>
  <c r="F1499" i="27"/>
  <c r="I1499" i="27" s="1"/>
  <c r="K1499" i="27" s="1"/>
  <c r="F1498" i="27"/>
  <c r="I1498" i="27" s="1"/>
  <c r="K1498" i="27" s="1"/>
  <c r="F1497" i="27"/>
  <c r="I1497" i="27" s="1"/>
  <c r="K1497" i="27" s="1"/>
  <c r="F1496" i="27"/>
  <c r="I1496" i="27" s="1"/>
  <c r="K1496" i="27" s="1"/>
  <c r="F1495" i="27"/>
  <c r="I1495" i="27" s="1"/>
  <c r="K1495" i="27" s="1"/>
  <c r="F1494" i="27"/>
  <c r="I1494" i="27" s="1"/>
  <c r="K1494" i="27" s="1"/>
  <c r="F1493" i="27"/>
  <c r="I1493" i="27" s="1"/>
  <c r="K1493" i="27" s="1"/>
  <c r="F1492" i="27"/>
  <c r="I1492" i="27" s="1"/>
  <c r="K1492" i="27" s="1"/>
  <c r="F1491" i="27"/>
  <c r="I1491" i="27" s="1"/>
  <c r="K1491" i="27" s="1"/>
  <c r="F1490" i="27"/>
  <c r="I1490" i="27" s="1"/>
  <c r="K1490" i="27" s="1"/>
  <c r="F1489" i="27"/>
  <c r="I1489" i="27" s="1"/>
  <c r="K1489" i="27" s="1"/>
  <c r="F1488" i="27"/>
  <c r="I1488" i="27" s="1"/>
  <c r="K1488" i="27" s="1"/>
  <c r="F1487" i="27"/>
  <c r="I1487" i="27" s="1"/>
  <c r="K1487" i="27" s="1"/>
  <c r="F1486" i="27"/>
  <c r="I1486" i="27" s="1"/>
  <c r="K1486" i="27" s="1"/>
  <c r="F1485" i="27"/>
  <c r="I1485" i="27" s="1"/>
  <c r="K1485" i="27" s="1"/>
  <c r="F1484" i="27"/>
  <c r="I1484" i="27" s="1"/>
  <c r="K1484" i="27" s="1"/>
  <c r="F1483" i="27"/>
  <c r="I1483" i="27" s="1"/>
  <c r="K1483" i="27" s="1"/>
  <c r="F1482" i="27"/>
  <c r="I1482" i="27" s="1"/>
  <c r="K1482" i="27" s="1"/>
  <c r="F1481" i="27"/>
  <c r="I1481" i="27" s="1"/>
  <c r="K1481" i="27" s="1"/>
  <c r="F1480" i="27"/>
  <c r="I1480" i="27" s="1"/>
  <c r="K1480" i="27" s="1"/>
  <c r="F1479" i="27"/>
  <c r="I1479" i="27" s="1"/>
  <c r="K1479" i="27" s="1"/>
  <c r="F1478" i="27"/>
  <c r="I1478" i="27" s="1"/>
  <c r="K1478" i="27" s="1"/>
  <c r="F1477" i="27"/>
  <c r="I1477" i="27" s="1"/>
  <c r="K1477" i="27" s="1"/>
  <c r="F1476" i="27"/>
  <c r="I1476" i="27" s="1"/>
  <c r="K1476" i="27" s="1"/>
  <c r="F1475" i="27"/>
  <c r="I1475" i="27" s="1"/>
  <c r="K1475" i="27" s="1"/>
  <c r="F1474" i="27"/>
  <c r="I1474" i="27" s="1"/>
  <c r="K1474" i="27" s="1"/>
  <c r="F1473" i="27"/>
  <c r="I1473" i="27" s="1"/>
  <c r="K1473" i="27" s="1"/>
  <c r="F1472" i="27"/>
  <c r="I1472" i="27" s="1"/>
  <c r="K1472" i="27" s="1"/>
  <c r="F1471" i="27"/>
  <c r="I1471" i="27" s="1"/>
  <c r="K1471" i="27" s="1"/>
  <c r="F1470" i="27"/>
  <c r="I1470" i="27" s="1"/>
  <c r="K1470" i="27" s="1"/>
  <c r="F1469" i="27"/>
  <c r="I1469" i="27" s="1"/>
  <c r="K1469" i="27" s="1"/>
  <c r="F1468" i="27"/>
  <c r="I1468" i="27" s="1"/>
  <c r="K1468" i="27" s="1"/>
  <c r="F1467" i="27"/>
  <c r="I1467" i="27" s="1"/>
  <c r="K1467" i="27" s="1"/>
  <c r="F1466" i="27"/>
  <c r="I1466" i="27" s="1"/>
  <c r="K1466" i="27" s="1"/>
  <c r="F1465" i="27"/>
  <c r="I1465" i="27" s="1"/>
  <c r="K1465" i="27" s="1"/>
  <c r="F1464" i="27"/>
  <c r="I1464" i="27" s="1"/>
  <c r="K1464" i="27" s="1"/>
  <c r="F1463" i="27"/>
  <c r="I1463" i="27" s="1"/>
  <c r="K1463" i="27" s="1"/>
  <c r="F1462" i="27"/>
  <c r="I1462" i="27" s="1"/>
  <c r="K1462" i="27" s="1"/>
  <c r="F1461" i="27"/>
  <c r="I1461" i="27" s="1"/>
  <c r="K1461" i="27" s="1"/>
  <c r="F1460" i="27"/>
  <c r="I1460" i="27" s="1"/>
  <c r="K1460" i="27" s="1"/>
  <c r="F1459" i="27"/>
  <c r="I1459" i="27" s="1"/>
  <c r="K1459" i="27" s="1"/>
  <c r="F1458" i="27"/>
  <c r="I1458" i="27" s="1"/>
  <c r="K1458" i="27" s="1"/>
  <c r="F1457" i="27"/>
  <c r="I1457" i="27" s="1"/>
  <c r="K1457" i="27" s="1"/>
  <c r="F1456" i="27"/>
  <c r="I1456" i="27" s="1"/>
  <c r="K1456" i="27" s="1"/>
  <c r="F1455" i="27"/>
  <c r="I1455" i="27" s="1"/>
  <c r="K1455" i="27" s="1"/>
  <c r="F1454" i="27"/>
  <c r="I1454" i="27" s="1"/>
  <c r="K1454" i="27" s="1"/>
  <c r="F1453" i="27"/>
  <c r="I1453" i="27" s="1"/>
  <c r="K1453" i="27" s="1"/>
  <c r="F1452" i="27"/>
  <c r="I1452" i="27" s="1"/>
  <c r="K1452" i="27" s="1"/>
  <c r="F1451" i="27"/>
  <c r="F1450" i="27"/>
  <c r="I1450" i="27" s="1"/>
  <c r="K1450" i="27" s="1"/>
  <c r="F1449" i="27"/>
  <c r="I1449" i="27" s="1"/>
  <c r="K1449" i="27" s="1"/>
  <c r="F1448" i="27"/>
  <c r="I1448" i="27" s="1"/>
  <c r="K1448" i="27" s="1"/>
  <c r="F1447" i="27"/>
  <c r="I1447" i="27" s="1"/>
  <c r="K1447" i="27" s="1"/>
  <c r="F1446" i="27"/>
  <c r="I1446" i="27" s="1"/>
  <c r="K1446" i="27" s="1"/>
  <c r="F1445" i="27"/>
  <c r="I1445" i="27" s="1"/>
  <c r="K1445" i="27" s="1"/>
  <c r="F1444" i="27"/>
  <c r="I1444" i="27" s="1"/>
  <c r="K1444" i="27" s="1"/>
  <c r="F1443" i="27"/>
  <c r="I1443" i="27" s="1"/>
  <c r="K1443" i="27" s="1"/>
  <c r="F1442" i="27"/>
  <c r="I1442" i="27" s="1"/>
  <c r="K1442" i="27" s="1"/>
  <c r="F1441" i="27"/>
  <c r="I1441" i="27" s="1"/>
  <c r="K1441" i="27" s="1"/>
  <c r="F1440" i="27"/>
  <c r="I1440" i="27" s="1"/>
  <c r="K1440" i="27" s="1"/>
  <c r="F1439" i="27"/>
  <c r="I1439" i="27" s="1"/>
  <c r="K1439" i="27" s="1"/>
  <c r="F1438" i="27"/>
  <c r="I1438" i="27" s="1"/>
  <c r="K1438" i="27" s="1"/>
  <c r="F1437" i="27"/>
  <c r="I1437" i="27" s="1"/>
  <c r="K1437" i="27" s="1"/>
  <c r="F1436" i="27"/>
  <c r="I1436" i="27" s="1"/>
  <c r="K1436" i="27" s="1"/>
  <c r="F1435" i="27"/>
  <c r="I1435" i="27" s="1"/>
  <c r="K1435" i="27" s="1"/>
  <c r="F1434" i="27"/>
  <c r="I1434" i="27" s="1"/>
  <c r="K1434" i="27" s="1"/>
  <c r="F1433" i="27"/>
  <c r="I1433" i="27" s="1"/>
  <c r="K1433" i="27" s="1"/>
  <c r="F1432" i="27"/>
  <c r="I1432" i="27" s="1"/>
  <c r="K1432" i="27" s="1"/>
  <c r="F1431" i="27"/>
  <c r="I1431" i="27" s="1"/>
  <c r="K1431" i="27" s="1"/>
  <c r="F1430" i="27"/>
  <c r="I1430" i="27" s="1"/>
  <c r="K1430" i="27" s="1"/>
  <c r="F1429" i="27"/>
  <c r="I1429" i="27" s="1"/>
  <c r="K1429" i="27" s="1"/>
  <c r="F1428" i="27"/>
  <c r="I1428" i="27" s="1"/>
  <c r="K1428" i="27" s="1"/>
  <c r="F1427" i="27"/>
  <c r="I1427" i="27" s="1"/>
  <c r="K1427" i="27" s="1"/>
  <c r="F1426" i="27"/>
  <c r="I1426" i="27" s="1"/>
  <c r="K1426" i="27" s="1"/>
  <c r="F1425" i="27"/>
  <c r="I1425" i="27" s="1"/>
  <c r="K1425" i="27" s="1"/>
  <c r="F1424" i="27"/>
  <c r="I1424" i="27" s="1"/>
  <c r="K1424" i="27" s="1"/>
  <c r="F1423" i="27"/>
  <c r="I1423" i="27" s="1"/>
  <c r="K1423" i="27" s="1"/>
  <c r="F1422" i="27"/>
  <c r="I1422" i="27" s="1"/>
  <c r="K1422" i="27" s="1"/>
  <c r="F1421" i="27"/>
  <c r="I1421" i="27" s="1"/>
  <c r="K1421" i="27" s="1"/>
  <c r="F1420" i="27"/>
  <c r="I1420" i="27" s="1"/>
  <c r="K1420" i="27" s="1"/>
  <c r="F1419" i="27"/>
  <c r="I1419" i="27" s="1"/>
  <c r="K1419" i="27" s="1"/>
  <c r="F1418" i="27"/>
  <c r="I1418" i="27" s="1"/>
  <c r="K1418" i="27" s="1"/>
  <c r="F1417" i="27"/>
  <c r="I1417" i="27" s="1"/>
  <c r="K1417" i="27" s="1"/>
  <c r="F1416" i="27"/>
  <c r="I1416" i="27" s="1"/>
  <c r="K1416" i="27" s="1"/>
  <c r="F1415" i="27"/>
  <c r="I1415" i="27" s="1"/>
  <c r="K1415" i="27" s="1"/>
  <c r="F1414" i="27"/>
  <c r="I1414" i="27" s="1"/>
  <c r="K1414" i="27" s="1"/>
  <c r="F1413" i="27"/>
  <c r="I1413" i="27" s="1"/>
  <c r="K1413" i="27" s="1"/>
  <c r="F1412" i="27"/>
  <c r="I1412" i="27" s="1"/>
  <c r="K1412" i="27" s="1"/>
  <c r="F1411" i="27"/>
  <c r="I1411" i="27" s="1"/>
  <c r="K1411" i="27" s="1"/>
  <c r="F1410" i="27"/>
  <c r="I1410" i="27" s="1"/>
  <c r="K1410" i="27" s="1"/>
  <c r="F1409" i="27"/>
  <c r="I1409" i="27" s="1"/>
  <c r="K1409" i="27" s="1"/>
  <c r="F1408" i="27"/>
  <c r="I1408" i="27" s="1"/>
  <c r="K1408" i="27" s="1"/>
  <c r="F1407" i="27"/>
  <c r="I1407" i="27" s="1"/>
  <c r="K1407" i="27" s="1"/>
  <c r="F1406" i="27"/>
  <c r="I1406" i="27" s="1"/>
  <c r="K1406" i="27" s="1"/>
  <c r="F1405" i="27"/>
  <c r="I1405" i="27" s="1"/>
  <c r="K1405" i="27" s="1"/>
  <c r="F1404" i="27"/>
  <c r="I1404" i="27" s="1"/>
  <c r="K1404" i="27" s="1"/>
  <c r="F1403" i="27"/>
  <c r="I1403" i="27" s="1"/>
  <c r="K1403" i="27" s="1"/>
  <c r="F1402" i="27"/>
  <c r="I1402" i="27" s="1"/>
  <c r="K1402" i="27" s="1"/>
  <c r="F1401" i="27"/>
  <c r="I1401" i="27" s="1"/>
  <c r="K1401" i="27" s="1"/>
  <c r="F1400" i="27"/>
  <c r="I1400" i="27" s="1"/>
  <c r="K1400" i="27" s="1"/>
  <c r="F1399" i="27"/>
  <c r="I1399" i="27" s="1"/>
  <c r="K1399" i="27" s="1"/>
  <c r="F1398" i="27"/>
  <c r="I1398" i="27" s="1"/>
  <c r="K1398" i="27" s="1"/>
  <c r="F1397" i="27"/>
  <c r="I1397" i="27" s="1"/>
  <c r="K1397" i="27" s="1"/>
  <c r="F1396" i="27"/>
  <c r="I1396" i="27" s="1"/>
  <c r="K1396" i="27" s="1"/>
  <c r="F1395" i="27"/>
  <c r="I1395" i="27" s="1"/>
  <c r="K1395" i="27" s="1"/>
  <c r="F1394" i="27"/>
  <c r="I1394" i="27" s="1"/>
  <c r="K1394" i="27" s="1"/>
  <c r="F1393" i="27"/>
  <c r="I1393" i="27" s="1"/>
  <c r="K1393" i="27" s="1"/>
  <c r="F1392" i="27"/>
  <c r="I1392" i="27" s="1"/>
  <c r="K1392" i="27" s="1"/>
  <c r="F1391" i="27"/>
  <c r="I1391" i="27" s="1"/>
  <c r="K1391" i="27" s="1"/>
  <c r="F1390" i="27"/>
  <c r="I1390" i="27" s="1"/>
  <c r="K1390" i="27" s="1"/>
  <c r="F1389" i="27"/>
  <c r="I1389" i="27" s="1"/>
  <c r="K1389" i="27" s="1"/>
  <c r="F1388" i="27"/>
  <c r="I1388" i="27" s="1"/>
  <c r="K1388" i="27" s="1"/>
  <c r="F1387" i="27"/>
  <c r="I1387" i="27" s="1"/>
  <c r="K1387" i="27" s="1"/>
  <c r="F1386" i="27"/>
  <c r="I1386" i="27" s="1"/>
  <c r="K1386" i="27" s="1"/>
  <c r="F1385" i="27"/>
  <c r="I1385" i="27" s="1"/>
  <c r="K1385" i="27" s="1"/>
  <c r="F1384" i="27"/>
  <c r="I1384" i="27" s="1"/>
  <c r="K1384" i="27" s="1"/>
  <c r="F1383" i="27"/>
  <c r="I1383" i="27" s="1"/>
  <c r="K1383" i="27" s="1"/>
  <c r="F1382" i="27"/>
  <c r="I1382" i="27" s="1"/>
  <c r="K1382" i="27" s="1"/>
  <c r="F1381" i="27"/>
  <c r="I1381" i="27" s="1"/>
  <c r="K1381" i="27" s="1"/>
  <c r="F1380" i="27"/>
  <c r="I1380" i="27" s="1"/>
  <c r="K1380" i="27" s="1"/>
  <c r="F1379" i="27"/>
  <c r="I1379" i="27" s="1"/>
  <c r="K1379" i="27" s="1"/>
  <c r="F1378" i="27"/>
  <c r="I1378" i="27" s="1"/>
  <c r="K1378" i="27" s="1"/>
  <c r="F1377" i="27"/>
  <c r="I1377" i="27" s="1"/>
  <c r="K1377" i="27" s="1"/>
  <c r="F1376" i="27"/>
  <c r="I1376" i="27" s="1"/>
  <c r="K1376" i="27" s="1"/>
  <c r="F1375" i="27"/>
  <c r="I1375" i="27" s="1"/>
  <c r="K1375" i="27" s="1"/>
  <c r="F1374" i="27"/>
  <c r="I1374" i="27" s="1"/>
  <c r="K1374" i="27" s="1"/>
  <c r="F1373" i="27"/>
  <c r="I1373" i="27" s="1"/>
  <c r="K1373" i="27" s="1"/>
  <c r="F1372" i="27"/>
  <c r="I1372" i="27" s="1"/>
  <c r="K1372" i="27" s="1"/>
  <c r="F1371" i="27"/>
  <c r="I1371" i="27" s="1"/>
  <c r="K1371" i="27" s="1"/>
  <c r="F1370" i="27"/>
  <c r="I1370" i="27" s="1"/>
  <c r="K1370" i="27" s="1"/>
  <c r="F1369" i="27"/>
  <c r="I1369" i="27" s="1"/>
  <c r="K1369" i="27" s="1"/>
  <c r="F1368" i="27"/>
  <c r="I1368" i="27" s="1"/>
  <c r="K1368" i="27" s="1"/>
  <c r="F1367" i="27"/>
  <c r="I1367" i="27" s="1"/>
  <c r="K1367" i="27" s="1"/>
  <c r="F1366" i="27"/>
  <c r="I1366" i="27" s="1"/>
  <c r="K1366" i="27" s="1"/>
  <c r="F1365" i="27"/>
  <c r="I1365" i="27" s="1"/>
  <c r="K1365" i="27" s="1"/>
  <c r="F1364" i="27"/>
  <c r="I1364" i="27" s="1"/>
  <c r="K1364" i="27" s="1"/>
  <c r="F1363" i="27"/>
  <c r="I1363" i="27" s="1"/>
  <c r="K1363" i="27" s="1"/>
  <c r="F1362" i="27"/>
  <c r="I1362" i="27" s="1"/>
  <c r="K1362" i="27" s="1"/>
  <c r="F1361" i="27"/>
  <c r="I1361" i="27" s="1"/>
  <c r="K1361" i="27" s="1"/>
  <c r="F1360" i="27"/>
  <c r="I1360" i="27" s="1"/>
  <c r="K1360" i="27" s="1"/>
  <c r="F1359" i="27"/>
  <c r="I1359" i="27" s="1"/>
  <c r="K1359" i="27" s="1"/>
  <c r="F1358" i="27"/>
  <c r="I1358" i="27" s="1"/>
  <c r="K1358" i="27" s="1"/>
  <c r="F1357" i="27"/>
  <c r="I1357" i="27" s="1"/>
  <c r="K1357" i="27" s="1"/>
  <c r="F1356" i="27"/>
  <c r="I1356" i="27" s="1"/>
  <c r="K1356" i="27" s="1"/>
  <c r="F1355" i="27"/>
  <c r="I1355" i="27" s="1"/>
  <c r="K1355" i="27" s="1"/>
  <c r="F1354" i="27"/>
  <c r="I1354" i="27" s="1"/>
  <c r="K1354" i="27" s="1"/>
  <c r="F1353" i="27"/>
  <c r="I1353" i="27" s="1"/>
  <c r="K1353" i="27" s="1"/>
  <c r="F1352" i="27"/>
  <c r="I1352" i="27" s="1"/>
  <c r="K1352" i="27" s="1"/>
  <c r="F1351" i="27"/>
  <c r="I1351" i="27" s="1"/>
  <c r="K1351" i="27" s="1"/>
  <c r="F1350" i="27"/>
  <c r="I1350" i="27" s="1"/>
  <c r="K1350" i="27" s="1"/>
  <c r="F1349" i="27"/>
  <c r="I1349" i="27" s="1"/>
  <c r="K1349" i="27" s="1"/>
  <c r="F1348" i="27"/>
  <c r="I1348" i="27" s="1"/>
  <c r="K1348" i="27" s="1"/>
  <c r="F1347" i="27"/>
  <c r="I1347" i="27" s="1"/>
  <c r="K1347" i="27" s="1"/>
  <c r="F1346" i="27"/>
  <c r="I1346" i="27" s="1"/>
  <c r="K1346" i="27" s="1"/>
  <c r="F1345" i="27"/>
  <c r="I1345" i="27" s="1"/>
  <c r="K1345" i="27" s="1"/>
  <c r="F1344" i="27"/>
  <c r="I1344" i="27" s="1"/>
  <c r="K1344" i="27" s="1"/>
  <c r="F1343" i="27"/>
  <c r="I1343" i="27" s="1"/>
  <c r="K1343" i="27" s="1"/>
  <c r="F1342" i="27"/>
  <c r="I1342" i="27" s="1"/>
  <c r="K1342" i="27" s="1"/>
  <c r="F1341" i="27"/>
  <c r="I1341" i="27" s="1"/>
  <c r="K1341" i="27" s="1"/>
  <c r="F1340" i="27"/>
  <c r="I1340" i="27" s="1"/>
  <c r="K1340" i="27" s="1"/>
  <c r="F1339" i="27"/>
  <c r="I1339" i="27" s="1"/>
  <c r="K1339" i="27" s="1"/>
  <c r="F1338" i="27"/>
  <c r="I1338" i="27" s="1"/>
  <c r="K1338" i="27" s="1"/>
  <c r="F1337" i="27"/>
  <c r="I1337" i="27" s="1"/>
  <c r="K1337" i="27" s="1"/>
  <c r="F1336" i="27"/>
  <c r="I1336" i="27" s="1"/>
  <c r="K1336" i="27" s="1"/>
  <c r="F1335" i="27"/>
  <c r="I1335" i="27" s="1"/>
  <c r="K1335" i="27" s="1"/>
  <c r="F1334" i="27"/>
  <c r="I1334" i="27" s="1"/>
  <c r="K1334" i="27" s="1"/>
  <c r="F1333" i="27"/>
  <c r="I1333" i="27" s="1"/>
  <c r="K1333" i="27" s="1"/>
  <c r="F1332" i="27"/>
  <c r="I1332" i="27" s="1"/>
  <c r="K1332" i="27" s="1"/>
  <c r="F1331" i="27"/>
  <c r="I1331" i="27" s="1"/>
  <c r="K1331" i="27" s="1"/>
  <c r="F1330" i="27"/>
  <c r="I1330" i="27" s="1"/>
  <c r="K1330" i="27" s="1"/>
  <c r="F1329" i="27"/>
  <c r="I1329" i="27" s="1"/>
  <c r="K1329" i="27" s="1"/>
  <c r="F1328" i="27"/>
  <c r="I1328" i="27" s="1"/>
  <c r="K1328" i="27" s="1"/>
  <c r="F1327" i="27"/>
  <c r="I1327" i="27" s="1"/>
  <c r="K1327" i="27" s="1"/>
  <c r="F1326" i="27"/>
  <c r="I1326" i="27" s="1"/>
  <c r="K1326" i="27" s="1"/>
  <c r="F1325" i="27"/>
  <c r="I1325" i="27" s="1"/>
  <c r="K1325" i="27" s="1"/>
  <c r="F1324" i="27"/>
  <c r="I1324" i="27" s="1"/>
  <c r="K1324" i="27" s="1"/>
  <c r="F1323" i="27"/>
  <c r="I1323" i="27" s="1"/>
  <c r="K1323" i="27" s="1"/>
  <c r="F1322" i="27"/>
  <c r="F1321" i="27"/>
  <c r="F1320" i="27"/>
  <c r="I1320" i="27" s="1"/>
  <c r="K1320" i="27" s="1"/>
  <c r="F1319" i="27"/>
  <c r="I1319" i="27" s="1"/>
  <c r="K1319" i="27" s="1"/>
  <c r="F1318" i="27"/>
  <c r="I1318" i="27" s="1"/>
  <c r="K1318" i="27" s="1"/>
  <c r="F1317" i="27"/>
  <c r="I1317" i="27" s="1"/>
  <c r="K1317" i="27" s="1"/>
  <c r="F1316" i="27"/>
  <c r="I1316" i="27" s="1"/>
  <c r="K1316" i="27" s="1"/>
  <c r="F1315" i="27"/>
  <c r="I1315" i="27" s="1"/>
  <c r="K1315" i="27" s="1"/>
  <c r="F1314" i="27"/>
  <c r="I1314" i="27" s="1"/>
  <c r="K1314" i="27" s="1"/>
  <c r="F1313" i="27"/>
  <c r="I1313" i="27" s="1"/>
  <c r="K1313" i="27" s="1"/>
  <c r="F1312" i="27"/>
  <c r="I1312" i="27" s="1"/>
  <c r="K1312" i="27" s="1"/>
  <c r="F1311" i="27"/>
  <c r="I1311" i="27" s="1"/>
  <c r="K1311" i="27" s="1"/>
  <c r="F1310" i="27"/>
  <c r="I1310" i="27" s="1"/>
  <c r="K1310" i="27" s="1"/>
  <c r="F1309" i="27"/>
  <c r="I1309" i="27" s="1"/>
  <c r="K1309" i="27" s="1"/>
  <c r="F1308" i="27"/>
  <c r="I1308" i="27" s="1"/>
  <c r="K1308" i="27" s="1"/>
  <c r="F1307" i="27"/>
  <c r="I1307" i="27" s="1"/>
  <c r="K1307" i="27" s="1"/>
  <c r="F1306" i="27"/>
  <c r="I1306" i="27" s="1"/>
  <c r="K1306" i="27" s="1"/>
  <c r="F1305" i="27"/>
  <c r="I1305" i="27" s="1"/>
  <c r="K1305" i="27" s="1"/>
  <c r="F1304" i="27"/>
  <c r="I1304" i="27" s="1"/>
  <c r="K1304" i="27" s="1"/>
  <c r="F1303" i="27"/>
  <c r="I1303" i="27" s="1"/>
  <c r="K1303" i="27" s="1"/>
  <c r="F1302" i="27"/>
  <c r="I1302" i="27" s="1"/>
  <c r="K1302" i="27" s="1"/>
  <c r="F1301" i="27"/>
  <c r="I1301" i="27" s="1"/>
  <c r="K1301" i="27" s="1"/>
  <c r="F1300" i="27"/>
  <c r="I1300" i="27" s="1"/>
  <c r="K1300" i="27" s="1"/>
  <c r="F1299" i="27"/>
  <c r="I1299" i="27" s="1"/>
  <c r="K1299" i="27" s="1"/>
  <c r="F1298" i="27"/>
  <c r="I1298" i="27" s="1"/>
  <c r="K1298" i="27" s="1"/>
  <c r="F1297" i="27"/>
  <c r="I1297" i="27" s="1"/>
  <c r="K1297" i="27" s="1"/>
  <c r="F1296" i="27"/>
  <c r="I1296" i="27" s="1"/>
  <c r="K1296" i="27" s="1"/>
  <c r="F1295" i="27"/>
  <c r="I1295" i="27" s="1"/>
  <c r="K1295" i="27" s="1"/>
  <c r="F1294" i="27"/>
  <c r="I1294" i="27" s="1"/>
  <c r="K1294" i="27" s="1"/>
  <c r="F1293" i="27"/>
  <c r="I1293" i="27" s="1"/>
  <c r="K1293" i="27" s="1"/>
  <c r="F1292" i="27"/>
  <c r="I1292" i="27" s="1"/>
  <c r="K1292" i="27" s="1"/>
  <c r="F1291" i="27"/>
  <c r="I1291" i="27" s="1"/>
  <c r="K1291" i="27" s="1"/>
  <c r="F1290" i="27"/>
  <c r="I1290" i="27" s="1"/>
  <c r="K1290" i="27" s="1"/>
  <c r="F1289" i="27"/>
  <c r="I1289" i="27" s="1"/>
  <c r="K1289" i="27" s="1"/>
  <c r="F1288" i="27"/>
  <c r="I1288" i="27" s="1"/>
  <c r="K1288" i="27" s="1"/>
  <c r="F1287" i="27"/>
  <c r="I1287" i="27" s="1"/>
  <c r="K1287" i="27" s="1"/>
  <c r="F1286" i="27"/>
  <c r="I1286" i="27" s="1"/>
  <c r="K1286" i="27" s="1"/>
  <c r="F1285" i="27"/>
  <c r="I1285" i="27" s="1"/>
  <c r="K1285" i="27" s="1"/>
  <c r="F1284" i="27"/>
  <c r="I1284" i="27" s="1"/>
  <c r="K1284" i="27" s="1"/>
  <c r="F1283" i="27"/>
  <c r="I1283" i="27" s="1"/>
  <c r="K1283" i="27" s="1"/>
  <c r="F1282" i="27"/>
  <c r="I1282" i="27" s="1"/>
  <c r="K1282" i="27" s="1"/>
  <c r="F1281" i="27"/>
  <c r="I1281" i="27" s="1"/>
  <c r="K1281" i="27" s="1"/>
  <c r="F1280" i="27"/>
  <c r="I1280" i="27" s="1"/>
  <c r="K1280" i="27" s="1"/>
  <c r="F1279" i="27"/>
  <c r="I1279" i="27" s="1"/>
  <c r="K1279" i="27" s="1"/>
  <c r="F1278" i="27"/>
  <c r="I1278" i="27" s="1"/>
  <c r="K1278" i="27" s="1"/>
  <c r="F1277" i="27"/>
  <c r="I1277" i="27" s="1"/>
  <c r="K1277" i="27" s="1"/>
  <c r="F1276" i="27"/>
  <c r="I1276" i="27" s="1"/>
  <c r="K1276" i="27" s="1"/>
  <c r="F1275" i="27"/>
  <c r="I1275" i="27" s="1"/>
  <c r="K1275" i="27" s="1"/>
  <c r="F1274" i="27"/>
  <c r="I1274" i="27" s="1"/>
  <c r="K1274" i="27" s="1"/>
  <c r="F1273" i="27"/>
  <c r="I1273" i="27" s="1"/>
  <c r="K1273" i="27" s="1"/>
  <c r="F1272" i="27"/>
  <c r="I1272" i="27" s="1"/>
  <c r="K1272" i="27" s="1"/>
  <c r="F1271" i="27"/>
  <c r="I1271" i="27" s="1"/>
  <c r="K1271" i="27" s="1"/>
  <c r="F1270" i="27"/>
  <c r="I1270" i="27" s="1"/>
  <c r="K1270" i="27" s="1"/>
  <c r="F1269" i="27"/>
  <c r="I1269" i="27" s="1"/>
  <c r="K1269" i="27" s="1"/>
  <c r="F1268" i="27"/>
  <c r="I1268" i="27" s="1"/>
  <c r="K1268" i="27" s="1"/>
  <c r="F1267" i="27"/>
  <c r="I1267" i="27" s="1"/>
  <c r="K1267" i="27" s="1"/>
  <c r="F1266" i="27"/>
  <c r="I1266" i="27" s="1"/>
  <c r="K1266" i="27" s="1"/>
  <c r="F1265" i="27"/>
  <c r="I1265" i="27" s="1"/>
  <c r="K1265" i="27" s="1"/>
  <c r="F1264" i="27"/>
  <c r="I1264" i="27" s="1"/>
  <c r="K1264" i="27" s="1"/>
  <c r="F1263" i="27"/>
  <c r="I1263" i="27" s="1"/>
  <c r="K1263" i="27" s="1"/>
  <c r="F1262" i="27"/>
  <c r="I1262" i="27" s="1"/>
  <c r="K1262" i="27" s="1"/>
  <c r="F1261" i="27"/>
  <c r="I1261" i="27" s="1"/>
  <c r="K1261" i="27" s="1"/>
  <c r="F1260" i="27"/>
  <c r="I1260" i="27" s="1"/>
  <c r="K1260" i="27" s="1"/>
  <c r="F1259" i="27"/>
  <c r="I1259" i="27" s="1"/>
  <c r="K1259" i="27" s="1"/>
  <c r="F1258" i="27"/>
  <c r="I1258" i="27" s="1"/>
  <c r="K1258" i="27" s="1"/>
  <c r="F1257" i="27"/>
  <c r="I1257" i="27" s="1"/>
  <c r="K1257" i="27" s="1"/>
  <c r="F1256" i="27"/>
  <c r="I1256" i="27" s="1"/>
  <c r="K1256" i="27" s="1"/>
  <c r="F1255" i="27"/>
  <c r="I1255" i="27" s="1"/>
  <c r="K1255" i="27" s="1"/>
  <c r="F1254" i="27"/>
  <c r="I1254" i="27" s="1"/>
  <c r="K1254" i="27" s="1"/>
  <c r="F1253" i="27"/>
  <c r="I1253" i="27" s="1"/>
  <c r="K1253" i="27" s="1"/>
  <c r="F1252" i="27"/>
  <c r="I1252" i="27" s="1"/>
  <c r="K1252" i="27" s="1"/>
  <c r="F1251" i="27"/>
  <c r="I1251" i="27" s="1"/>
  <c r="K1251" i="27" s="1"/>
  <c r="F1250" i="27"/>
  <c r="I1250" i="27" s="1"/>
  <c r="K1250" i="27" s="1"/>
  <c r="F1249" i="27"/>
  <c r="I1249" i="27" s="1"/>
  <c r="K1249" i="27" s="1"/>
  <c r="F1248" i="27"/>
  <c r="I1248" i="27" s="1"/>
  <c r="K1248" i="27" s="1"/>
  <c r="F1247" i="27"/>
  <c r="I1247" i="27" s="1"/>
  <c r="K1247" i="27" s="1"/>
  <c r="F1246" i="27"/>
  <c r="I1246" i="27" s="1"/>
  <c r="K1246" i="27" s="1"/>
  <c r="F1245" i="27"/>
  <c r="I1245" i="27" s="1"/>
  <c r="K1245" i="27" s="1"/>
  <c r="F1244" i="27"/>
  <c r="I1244" i="27" s="1"/>
  <c r="K1244" i="27" s="1"/>
  <c r="F1243" i="27"/>
  <c r="I1243" i="27" s="1"/>
  <c r="K1243" i="27" s="1"/>
  <c r="F1242" i="27"/>
  <c r="I1242" i="27" s="1"/>
  <c r="K1242" i="27" s="1"/>
  <c r="F1241" i="27"/>
  <c r="I1241" i="27" s="1"/>
  <c r="K1241" i="27" s="1"/>
  <c r="F1240" i="27"/>
  <c r="I1240" i="27" s="1"/>
  <c r="K1240" i="27" s="1"/>
  <c r="F1239" i="27"/>
  <c r="I1239" i="27" s="1"/>
  <c r="K1239" i="27" s="1"/>
  <c r="F1238" i="27"/>
  <c r="I1238" i="27" s="1"/>
  <c r="K1238" i="27" s="1"/>
  <c r="F1237" i="27"/>
  <c r="I1237" i="27" s="1"/>
  <c r="K1237" i="27" s="1"/>
  <c r="F1236" i="27"/>
  <c r="I1236" i="27" s="1"/>
  <c r="K1236" i="27" s="1"/>
  <c r="F1235" i="27"/>
  <c r="I1235" i="27" s="1"/>
  <c r="K1235" i="27" s="1"/>
  <c r="F1234" i="27"/>
  <c r="I1234" i="27" s="1"/>
  <c r="K1234" i="27" s="1"/>
  <c r="F1233" i="27"/>
  <c r="I1233" i="27" s="1"/>
  <c r="K1233" i="27" s="1"/>
  <c r="F1232" i="27"/>
  <c r="I1232" i="27" s="1"/>
  <c r="K1232" i="27" s="1"/>
  <c r="F1231" i="27"/>
  <c r="I1231" i="27" s="1"/>
  <c r="K1231" i="27" s="1"/>
  <c r="F1230" i="27"/>
  <c r="I1230" i="27" s="1"/>
  <c r="K1230" i="27" s="1"/>
  <c r="F1229" i="27"/>
  <c r="I1229" i="27" s="1"/>
  <c r="K1229" i="27" s="1"/>
  <c r="F1228" i="27"/>
  <c r="I1228" i="27" s="1"/>
  <c r="K1228" i="27" s="1"/>
  <c r="F1227" i="27"/>
  <c r="I1227" i="27" s="1"/>
  <c r="K1227" i="27" s="1"/>
  <c r="F1226" i="27"/>
  <c r="I1226" i="27" s="1"/>
  <c r="K1226" i="27" s="1"/>
  <c r="F1225" i="27"/>
  <c r="I1225" i="27" s="1"/>
  <c r="K1225" i="27" s="1"/>
  <c r="F1224" i="27"/>
  <c r="I1224" i="27" s="1"/>
  <c r="K1224" i="27" s="1"/>
  <c r="F1223" i="27"/>
  <c r="I1223" i="27" s="1"/>
  <c r="K1223" i="27" s="1"/>
  <c r="F1222" i="27"/>
  <c r="I1222" i="27" s="1"/>
  <c r="K1222" i="27" s="1"/>
  <c r="F1221" i="27"/>
  <c r="I1221" i="27" s="1"/>
  <c r="K1221" i="27" s="1"/>
  <c r="F1220" i="27"/>
  <c r="I1220" i="27" s="1"/>
  <c r="K1220" i="27" s="1"/>
  <c r="F1219" i="27"/>
  <c r="I1219" i="27" s="1"/>
  <c r="K1219" i="27" s="1"/>
  <c r="F1218" i="27"/>
  <c r="I1218" i="27" s="1"/>
  <c r="K1218" i="27" s="1"/>
  <c r="F1217" i="27"/>
  <c r="I1217" i="27" s="1"/>
  <c r="K1217" i="27" s="1"/>
  <c r="F1216" i="27"/>
  <c r="I1216" i="27" s="1"/>
  <c r="K1216" i="27" s="1"/>
  <c r="F1215" i="27"/>
  <c r="I1215" i="27" s="1"/>
  <c r="K1215" i="27" s="1"/>
  <c r="F1214" i="27"/>
  <c r="I1214" i="27" s="1"/>
  <c r="K1214" i="27" s="1"/>
  <c r="F1213" i="27"/>
  <c r="I1213" i="27" s="1"/>
  <c r="K1213" i="27" s="1"/>
  <c r="F1212" i="27"/>
  <c r="I1212" i="27" s="1"/>
  <c r="K1212" i="27" s="1"/>
  <c r="F1211" i="27"/>
  <c r="I1211" i="27" s="1"/>
  <c r="K1211" i="27" s="1"/>
  <c r="F1210" i="27"/>
  <c r="I1210" i="27" s="1"/>
  <c r="K1210" i="27" s="1"/>
  <c r="F1209" i="27"/>
  <c r="I1209" i="27" s="1"/>
  <c r="K1209" i="27" s="1"/>
  <c r="F1208" i="27"/>
  <c r="I1208" i="27" s="1"/>
  <c r="K1208" i="27" s="1"/>
  <c r="F1207" i="27"/>
  <c r="I1207" i="27" s="1"/>
  <c r="K1207" i="27" s="1"/>
  <c r="F1206" i="27"/>
  <c r="I1206" i="27" s="1"/>
  <c r="K1206" i="27" s="1"/>
  <c r="F1205" i="27"/>
  <c r="I1205" i="27" s="1"/>
  <c r="K1205" i="27" s="1"/>
  <c r="F1204" i="27"/>
  <c r="I1204" i="27" s="1"/>
  <c r="K1204" i="27" s="1"/>
  <c r="F1203" i="27"/>
  <c r="I1203" i="27" s="1"/>
  <c r="K1203" i="27" s="1"/>
  <c r="F1202" i="27"/>
  <c r="I1202" i="27" s="1"/>
  <c r="K1202" i="27" s="1"/>
  <c r="F1201" i="27"/>
  <c r="I1201" i="27" s="1"/>
  <c r="K1201" i="27" s="1"/>
  <c r="F1200" i="27"/>
  <c r="I1200" i="27" s="1"/>
  <c r="K1200" i="27" s="1"/>
  <c r="F1199" i="27"/>
  <c r="I1199" i="27" s="1"/>
  <c r="K1199" i="27" s="1"/>
  <c r="F1198" i="27"/>
  <c r="I1198" i="27" s="1"/>
  <c r="K1198" i="27" s="1"/>
  <c r="F1197" i="27"/>
  <c r="I1197" i="27" s="1"/>
  <c r="K1197" i="27" s="1"/>
  <c r="F1196" i="27"/>
  <c r="I1196" i="27" s="1"/>
  <c r="K1196" i="27" s="1"/>
  <c r="F1195" i="27"/>
  <c r="I1195" i="27" s="1"/>
  <c r="K1195" i="27" s="1"/>
  <c r="F1194" i="27"/>
  <c r="I1194" i="27" s="1"/>
  <c r="K1194" i="27" s="1"/>
  <c r="F1193" i="27"/>
  <c r="I1193" i="27" s="1"/>
  <c r="K1193" i="27" s="1"/>
  <c r="F1192" i="27"/>
  <c r="I1192" i="27" s="1"/>
  <c r="K1192" i="27" s="1"/>
  <c r="F1191" i="27"/>
  <c r="I1191" i="27" s="1"/>
  <c r="K1191" i="27" s="1"/>
  <c r="F1190" i="27"/>
  <c r="I1190" i="27" s="1"/>
  <c r="K1190" i="27" s="1"/>
  <c r="F1189" i="27"/>
  <c r="I1189" i="27" s="1"/>
  <c r="K1189" i="27" s="1"/>
  <c r="F1188" i="27"/>
  <c r="I1188" i="27" s="1"/>
  <c r="K1188" i="27" s="1"/>
  <c r="F1187" i="27"/>
  <c r="I1187" i="27" s="1"/>
  <c r="K1187" i="27" s="1"/>
  <c r="F1186" i="27"/>
  <c r="I1186" i="27" s="1"/>
  <c r="K1186" i="27" s="1"/>
  <c r="F1185" i="27"/>
  <c r="I1185" i="27" s="1"/>
  <c r="K1185" i="27" s="1"/>
  <c r="F1184" i="27"/>
  <c r="I1184" i="27" s="1"/>
  <c r="K1184" i="27" s="1"/>
  <c r="F1183" i="27"/>
  <c r="I1183" i="27" s="1"/>
  <c r="K1183" i="27" s="1"/>
  <c r="F1182" i="27"/>
  <c r="I1182" i="27" s="1"/>
  <c r="K1182" i="27" s="1"/>
  <c r="F1181" i="27"/>
  <c r="I1181" i="27" s="1"/>
  <c r="K1181" i="27" s="1"/>
  <c r="F1180" i="27"/>
  <c r="I1180" i="27" s="1"/>
  <c r="K1180" i="27" s="1"/>
  <c r="F1179" i="27"/>
  <c r="I1179" i="27" s="1"/>
  <c r="K1179" i="27" s="1"/>
  <c r="F1178" i="27"/>
  <c r="I1178" i="27" s="1"/>
  <c r="K1178" i="27" s="1"/>
  <c r="F1177" i="27"/>
  <c r="I1177" i="27" s="1"/>
  <c r="K1177" i="27" s="1"/>
  <c r="F1176" i="27"/>
  <c r="I1176" i="27" s="1"/>
  <c r="K1176" i="27" s="1"/>
  <c r="F1175" i="27"/>
  <c r="I1175" i="27" s="1"/>
  <c r="K1175" i="27" s="1"/>
  <c r="F1174" i="27"/>
  <c r="I1174" i="27" s="1"/>
  <c r="K1174" i="27" s="1"/>
  <c r="F1173" i="27"/>
  <c r="I1173" i="27" s="1"/>
  <c r="K1173" i="27" s="1"/>
  <c r="F1172" i="27"/>
  <c r="I1172" i="27" s="1"/>
  <c r="K1172" i="27" s="1"/>
  <c r="F1171" i="27"/>
  <c r="I1171" i="27" s="1"/>
  <c r="K1171" i="27" s="1"/>
  <c r="F1170" i="27"/>
  <c r="I1170" i="27" s="1"/>
  <c r="K1170" i="27" s="1"/>
  <c r="F1169" i="27"/>
  <c r="I1169" i="27" s="1"/>
  <c r="K1169" i="27" s="1"/>
  <c r="F1168" i="27"/>
  <c r="I1168" i="27" s="1"/>
  <c r="K1168" i="27" s="1"/>
  <c r="F1167" i="27"/>
  <c r="I1167" i="27" s="1"/>
  <c r="K1167" i="27" s="1"/>
  <c r="F1166" i="27"/>
  <c r="I1166" i="27" s="1"/>
  <c r="K1166" i="27" s="1"/>
  <c r="F1165" i="27"/>
  <c r="I1165" i="27" s="1"/>
  <c r="K1165" i="27" s="1"/>
  <c r="F1164" i="27"/>
  <c r="I1164" i="27" s="1"/>
  <c r="K1164" i="27" s="1"/>
  <c r="F1163" i="27"/>
  <c r="I1163" i="27" s="1"/>
  <c r="K1163" i="27" s="1"/>
  <c r="F1162" i="27"/>
  <c r="I1162" i="27" s="1"/>
  <c r="K1162" i="27" s="1"/>
  <c r="F1161" i="27"/>
  <c r="I1161" i="27" s="1"/>
  <c r="K1161" i="27" s="1"/>
  <c r="F1160" i="27"/>
  <c r="I1160" i="27" s="1"/>
  <c r="K1160" i="27" s="1"/>
  <c r="F1159" i="27"/>
  <c r="I1159" i="27" s="1"/>
  <c r="K1159" i="27" s="1"/>
  <c r="F1158" i="27"/>
  <c r="I1158" i="27" s="1"/>
  <c r="K1158" i="27" s="1"/>
  <c r="F1157" i="27"/>
  <c r="I1157" i="27" s="1"/>
  <c r="K1157" i="27" s="1"/>
  <c r="F1156" i="27"/>
  <c r="I1156" i="27" s="1"/>
  <c r="K1156" i="27" s="1"/>
  <c r="F1155" i="27"/>
  <c r="I1155" i="27" s="1"/>
  <c r="K1155" i="27" s="1"/>
  <c r="F1154" i="27"/>
  <c r="I1154" i="27" s="1"/>
  <c r="K1154" i="27" s="1"/>
  <c r="F1153" i="27"/>
  <c r="I1153" i="27" s="1"/>
  <c r="K1153" i="27" s="1"/>
  <c r="F1152" i="27"/>
  <c r="I1152" i="27" s="1"/>
  <c r="K1152" i="27" s="1"/>
  <c r="F1151" i="27"/>
  <c r="I1151" i="27" s="1"/>
  <c r="K1151" i="27" s="1"/>
  <c r="F1150" i="27"/>
  <c r="I1150" i="27" s="1"/>
  <c r="K1150" i="27" s="1"/>
  <c r="F1149" i="27"/>
  <c r="I1149" i="27" s="1"/>
  <c r="K1149" i="27" s="1"/>
  <c r="F1148" i="27"/>
  <c r="I1148" i="27" s="1"/>
  <c r="K1148" i="27" s="1"/>
  <c r="F1147" i="27"/>
  <c r="I1147" i="27" s="1"/>
  <c r="K1147" i="27" s="1"/>
  <c r="F1146" i="27"/>
  <c r="I1146" i="27" s="1"/>
  <c r="K1146" i="27" s="1"/>
  <c r="F1145" i="27"/>
  <c r="I1145" i="27" s="1"/>
  <c r="K1145" i="27" s="1"/>
  <c r="F1144" i="27"/>
  <c r="I1144" i="27" s="1"/>
  <c r="K1144" i="27" s="1"/>
  <c r="F1143" i="27"/>
  <c r="I1143" i="27" s="1"/>
  <c r="K1143" i="27" s="1"/>
  <c r="F1142" i="27"/>
  <c r="I1142" i="27" s="1"/>
  <c r="K1142" i="27" s="1"/>
  <c r="F1141" i="27"/>
  <c r="I1141" i="27" s="1"/>
  <c r="K1141" i="27" s="1"/>
  <c r="F1140" i="27"/>
  <c r="I1140" i="27" s="1"/>
  <c r="K1140" i="27" s="1"/>
  <c r="F1139" i="27"/>
  <c r="I1139" i="27" s="1"/>
  <c r="K1139" i="27" s="1"/>
  <c r="F1138" i="27"/>
  <c r="I1138" i="27" s="1"/>
  <c r="K1138" i="27" s="1"/>
  <c r="F1137" i="27"/>
  <c r="I1137" i="27" s="1"/>
  <c r="K1137" i="27" s="1"/>
  <c r="F1136" i="27"/>
  <c r="I1136" i="27" s="1"/>
  <c r="K1136" i="27" s="1"/>
  <c r="F1135" i="27"/>
  <c r="I1135" i="27" s="1"/>
  <c r="K1135" i="27" s="1"/>
  <c r="F1134" i="27"/>
  <c r="I1134" i="27" s="1"/>
  <c r="K1134" i="27" s="1"/>
  <c r="F1133" i="27"/>
  <c r="I1133" i="27" s="1"/>
  <c r="K1133" i="27" s="1"/>
  <c r="F1132" i="27"/>
  <c r="I1132" i="27" s="1"/>
  <c r="K1132" i="27" s="1"/>
  <c r="F1131" i="27"/>
  <c r="F1130" i="27"/>
  <c r="I1130" i="27" s="1"/>
  <c r="K1130" i="27" s="1"/>
  <c r="F1129" i="27"/>
  <c r="I1129" i="27" s="1"/>
  <c r="K1129" i="27" s="1"/>
  <c r="F1128" i="27"/>
  <c r="I1128" i="27" s="1"/>
  <c r="K1128" i="27" s="1"/>
  <c r="F1127" i="27"/>
  <c r="I1127" i="27" s="1"/>
  <c r="K1127" i="27" s="1"/>
  <c r="F1126" i="27"/>
  <c r="I1126" i="27" s="1"/>
  <c r="K1126" i="27" s="1"/>
  <c r="F1125" i="27"/>
  <c r="I1125" i="27" s="1"/>
  <c r="K1125" i="27" s="1"/>
  <c r="F1124" i="27"/>
  <c r="I1124" i="27" s="1"/>
  <c r="K1124" i="27" s="1"/>
  <c r="F1123" i="27"/>
  <c r="I1123" i="27" s="1"/>
  <c r="K1123" i="27" s="1"/>
  <c r="F1122" i="27"/>
  <c r="I1122" i="27" s="1"/>
  <c r="K1122" i="27" s="1"/>
  <c r="F1121" i="27"/>
  <c r="I1121" i="27" s="1"/>
  <c r="K1121" i="27" s="1"/>
  <c r="F1120" i="27"/>
  <c r="I1120" i="27" s="1"/>
  <c r="K1120" i="27" s="1"/>
  <c r="F1119" i="27"/>
  <c r="I1119" i="27" s="1"/>
  <c r="K1119" i="27" s="1"/>
  <c r="F1118" i="27"/>
  <c r="I1118" i="27" s="1"/>
  <c r="K1118" i="27" s="1"/>
  <c r="F1117" i="27"/>
  <c r="I1117" i="27" s="1"/>
  <c r="K1117" i="27" s="1"/>
  <c r="F1116" i="27"/>
  <c r="I1116" i="27" s="1"/>
  <c r="K1116" i="27" s="1"/>
  <c r="F1115" i="27"/>
  <c r="I1115" i="27" s="1"/>
  <c r="K1115" i="27" s="1"/>
  <c r="F1114" i="27"/>
  <c r="I1114" i="27" s="1"/>
  <c r="K1114" i="27" s="1"/>
  <c r="F1113" i="27"/>
  <c r="I1113" i="27" s="1"/>
  <c r="K1113" i="27" s="1"/>
  <c r="F1112" i="27"/>
  <c r="I1112" i="27" s="1"/>
  <c r="K1112" i="27" s="1"/>
  <c r="F1111" i="27"/>
  <c r="I1111" i="27" s="1"/>
  <c r="K1111" i="27" s="1"/>
  <c r="F1110" i="27"/>
  <c r="I1110" i="27" s="1"/>
  <c r="K1110" i="27" s="1"/>
  <c r="F1109" i="27"/>
  <c r="I1109" i="27" s="1"/>
  <c r="K1109" i="27" s="1"/>
  <c r="F1108" i="27"/>
  <c r="I1108" i="27" s="1"/>
  <c r="K1108" i="27" s="1"/>
  <c r="F1107" i="27"/>
  <c r="I1107" i="27" s="1"/>
  <c r="K1107" i="27" s="1"/>
  <c r="F1106" i="27"/>
  <c r="I1106" i="27" s="1"/>
  <c r="K1106" i="27" s="1"/>
  <c r="F1105" i="27"/>
  <c r="I1105" i="27" s="1"/>
  <c r="K1105" i="27" s="1"/>
  <c r="F1104" i="27"/>
  <c r="I1104" i="27" s="1"/>
  <c r="K1104" i="27" s="1"/>
  <c r="F1103" i="27"/>
  <c r="I1103" i="27" s="1"/>
  <c r="K1103" i="27" s="1"/>
  <c r="F1102" i="27"/>
  <c r="I1102" i="27" s="1"/>
  <c r="K1102" i="27" s="1"/>
  <c r="F1101" i="27"/>
  <c r="I1101" i="27" s="1"/>
  <c r="K1101" i="27" s="1"/>
  <c r="F1100" i="27"/>
  <c r="I1100" i="27" s="1"/>
  <c r="K1100" i="27" s="1"/>
  <c r="F1099" i="27"/>
  <c r="I1099" i="27" s="1"/>
  <c r="K1099" i="27" s="1"/>
  <c r="F1098" i="27"/>
  <c r="I1098" i="27" s="1"/>
  <c r="K1098" i="27" s="1"/>
  <c r="F1097" i="27"/>
  <c r="I1097" i="27" s="1"/>
  <c r="K1097" i="27" s="1"/>
  <c r="F1096" i="27"/>
  <c r="I1096" i="27" s="1"/>
  <c r="K1096" i="27" s="1"/>
  <c r="F1095" i="27"/>
  <c r="I1095" i="27" s="1"/>
  <c r="K1095" i="27" s="1"/>
  <c r="F1094" i="27"/>
  <c r="I1094" i="27" s="1"/>
  <c r="K1094" i="27" s="1"/>
  <c r="F1093" i="27"/>
  <c r="I1093" i="27" s="1"/>
  <c r="K1093" i="27" s="1"/>
  <c r="F1092" i="27"/>
  <c r="I1092" i="27" s="1"/>
  <c r="K1092" i="27" s="1"/>
  <c r="F1091" i="27"/>
  <c r="I1091" i="27" s="1"/>
  <c r="K1091" i="27" s="1"/>
  <c r="F1090" i="27"/>
  <c r="I1090" i="27" s="1"/>
  <c r="K1090" i="27" s="1"/>
  <c r="F1089" i="27"/>
  <c r="I1089" i="27" s="1"/>
  <c r="K1089" i="27" s="1"/>
  <c r="F1088" i="27"/>
  <c r="I1088" i="27" s="1"/>
  <c r="K1088" i="27" s="1"/>
  <c r="F1087" i="27"/>
  <c r="I1087" i="27" s="1"/>
  <c r="K1087" i="27" s="1"/>
  <c r="F1086" i="27"/>
  <c r="I1086" i="27" s="1"/>
  <c r="K1086" i="27" s="1"/>
  <c r="F1085" i="27"/>
  <c r="I1085" i="27" s="1"/>
  <c r="K1085" i="27" s="1"/>
  <c r="F1084" i="27"/>
  <c r="I1084" i="27" s="1"/>
  <c r="K1084" i="27" s="1"/>
  <c r="F1083" i="27"/>
  <c r="I1083" i="27" s="1"/>
  <c r="K1083" i="27" s="1"/>
  <c r="F1082" i="27"/>
  <c r="I1082" i="27" s="1"/>
  <c r="K1082" i="27" s="1"/>
  <c r="F1081" i="27"/>
  <c r="I1081" i="27" s="1"/>
  <c r="K1081" i="27" s="1"/>
  <c r="F1080" i="27"/>
  <c r="I1080" i="27" s="1"/>
  <c r="K1080" i="27" s="1"/>
  <c r="F1079" i="27"/>
  <c r="I1079" i="27" s="1"/>
  <c r="K1079" i="27" s="1"/>
  <c r="F1078" i="27"/>
  <c r="I1078" i="27" s="1"/>
  <c r="K1078" i="27" s="1"/>
  <c r="F1077" i="27"/>
  <c r="I1077" i="27" s="1"/>
  <c r="K1077" i="27" s="1"/>
  <c r="F1076" i="27"/>
  <c r="I1076" i="27" s="1"/>
  <c r="K1076" i="27" s="1"/>
  <c r="F1075" i="27"/>
  <c r="I1075" i="27" s="1"/>
  <c r="K1075" i="27" s="1"/>
  <c r="F1074" i="27"/>
  <c r="I1074" i="27" s="1"/>
  <c r="K1074" i="27" s="1"/>
  <c r="F1073" i="27"/>
  <c r="I1073" i="27" s="1"/>
  <c r="K1073" i="27" s="1"/>
  <c r="F1072" i="27"/>
  <c r="I1072" i="27" s="1"/>
  <c r="K1072" i="27" s="1"/>
  <c r="F1071" i="27"/>
  <c r="I1071" i="27" s="1"/>
  <c r="K1071" i="27" s="1"/>
  <c r="F1070" i="27"/>
  <c r="I1070" i="27" s="1"/>
  <c r="K1070" i="27" s="1"/>
  <c r="F1069" i="27"/>
  <c r="I1069" i="27" s="1"/>
  <c r="K1069" i="27" s="1"/>
  <c r="F1068" i="27"/>
  <c r="I1068" i="27" s="1"/>
  <c r="K1068" i="27" s="1"/>
  <c r="F1067" i="27"/>
  <c r="I1067" i="27" s="1"/>
  <c r="K1067" i="27" s="1"/>
  <c r="F1066" i="27"/>
  <c r="I1066" i="27" s="1"/>
  <c r="K1066" i="27" s="1"/>
  <c r="F1065" i="27"/>
  <c r="I1065" i="27" s="1"/>
  <c r="K1065" i="27" s="1"/>
  <c r="F1064" i="27"/>
  <c r="I1064" i="27" s="1"/>
  <c r="K1064" i="27" s="1"/>
  <c r="F1063" i="27"/>
  <c r="I1063" i="27" s="1"/>
  <c r="K1063" i="27" s="1"/>
  <c r="F1062" i="27"/>
  <c r="I1062" i="27" s="1"/>
  <c r="K1062" i="27" s="1"/>
  <c r="F1061" i="27"/>
  <c r="I1061" i="27" s="1"/>
  <c r="K1061" i="27" s="1"/>
  <c r="F1060" i="27"/>
  <c r="I1060" i="27" s="1"/>
  <c r="K1060" i="27" s="1"/>
  <c r="F1059" i="27"/>
  <c r="I1059" i="27" s="1"/>
  <c r="K1059" i="27" s="1"/>
  <c r="F1058" i="27"/>
  <c r="I1058" i="27" s="1"/>
  <c r="K1058" i="27" s="1"/>
  <c r="F1057" i="27"/>
  <c r="I1057" i="27" s="1"/>
  <c r="K1057" i="27" s="1"/>
  <c r="F1056" i="27"/>
  <c r="I1056" i="27" s="1"/>
  <c r="K1056" i="27" s="1"/>
  <c r="F1055" i="27"/>
  <c r="I1055" i="27" s="1"/>
  <c r="K1055" i="27" s="1"/>
  <c r="F1054" i="27"/>
  <c r="I1054" i="27" s="1"/>
  <c r="K1054" i="27" s="1"/>
  <c r="F1053" i="27"/>
  <c r="I1053" i="27" s="1"/>
  <c r="K1053" i="27" s="1"/>
  <c r="F1052" i="27"/>
  <c r="I1052" i="27" s="1"/>
  <c r="K1052" i="27" s="1"/>
  <c r="F1051" i="27"/>
  <c r="I1051" i="27" s="1"/>
  <c r="K1051" i="27" s="1"/>
  <c r="F1050" i="27"/>
  <c r="I1050" i="27" s="1"/>
  <c r="K1050" i="27" s="1"/>
  <c r="F1049" i="27"/>
  <c r="I1049" i="27" s="1"/>
  <c r="K1049" i="27" s="1"/>
  <c r="F1048" i="27"/>
  <c r="I1048" i="27" s="1"/>
  <c r="K1048" i="27" s="1"/>
  <c r="F1047" i="27"/>
  <c r="I1047" i="27" s="1"/>
  <c r="K1047" i="27" s="1"/>
  <c r="F1046" i="27"/>
  <c r="I1046" i="27" s="1"/>
  <c r="K1046" i="27" s="1"/>
  <c r="F1045" i="27"/>
  <c r="I1045" i="27" s="1"/>
  <c r="K1045" i="27" s="1"/>
  <c r="F1044" i="27"/>
  <c r="I1044" i="27" s="1"/>
  <c r="K1044" i="27" s="1"/>
  <c r="F1043" i="27"/>
  <c r="I1043" i="27" s="1"/>
  <c r="K1043" i="27" s="1"/>
  <c r="F1042" i="27"/>
  <c r="I1042" i="27" s="1"/>
  <c r="K1042" i="27" s="1"/>
  <c r="F1041" i="27"/>
  <c r="I1041" i="27" s="1"/>
  <c r="K1041" i="27" s="1"/>
  <c r="F1040" i="27"/>
  <c r="I1040" i="27" s="1"/>
  <c r="K1040" i="27" s="1"/>
  <c r="F1039" i="27"/>
  <c r="I1039" i="27" s="1"/>
  <c r="K1039" i="27" s="1"/>
  <c r="F1038" i="27"/>
  <c r="I1038" i="27" s="1"/>
  <c r="K1038" i="27" s="1"/>
  <c r="F1037" i="27"/>
  <c r="I1037" i="27" s="1"/>
  <c r="K1037" i="27" s="1"/>
  <c r="F1036" i="27"/>
  <c r="I1036" i="27" s="1"/>
  <c r="K1036" i="27" s="1"/>
  <c r="F1035" i="27"/>
  <c r="I1035" i="27" s="1"/>
  <c r="K1035" i="27" s="1"/>
  <c r="F1034" i="27"/>
  <c r="I1034" i="27" s="1"/>
  <c r="K1034" i="27" s="1"/>
  <c r="F1033" i="27"/>
  <c r="I1033" i="27" s="1"/>
  <c r="K1033" i="27" s="1"/>
  <c r="F1032" i="27"/>
  <c r="I1032" i="27" s="1"/>
  <c r="K1032" i="27" s="1"/>
  <c r="F1031" i="27"/>
  <c r="I1031" i="27" s="1"/>
  <c r="K1031" i="27" s="1"/>
  <c r="F1030" i="27"/>
  <c r="I1030" i="27" s="1"/>
  <c r="K1030" i="27" s="1"/>
  <c r="F1029" i="27"/>
  <c r="I1029" i="27" s="1"/>
  <c r="K1029" i="27" s="1"/>
  <c r="F1028" i="27"/>
  <c r="I1028" i="27" s="1"/>
  <c r="K1028" i="27" s="1"/>
  <c r="F1027" i="27"/>
  <c r="I1027" i="27" s="1"/>
  <c r="K1027" i="27" s="1"/>
  <c r="F1026" i="27"/>
  <c r="I1026" i="27" s="1"/>
  <c r="K1026" i="27" s="1"/>
  <c r="F1025" i="27"/>
  <c r="I1025" i="27" s="1"/>
  <c r="K1025" i="27" s="1"/>
  <c r="F1024" i="27"/>
  <c r="I1024" i="27" s="1"/>
  <c r="K1024" i="27" s="1"/>
  <c r="F1023" i="27"/>
  <c r="I1023" i="27" s="1"/>
  <c r="K1023" i="27" s="1"/>
  <c r="F1022" i="27"/>
  <c r="I1022" i="27" s="1"/>
  <c r="K1022" i="27" s="1"/>
  <c r="F1021" i="27"/>
  <c r="I1021" i="27" s="1"/>
  <c r="K1021" i="27" s="1"/>
  <c r="F1020" i="27"/>
  <c r="I1020" i="27" s="1"/>
  <c r="K1020" i="27" s="1"/>
  <c r="F1019" i="27"/>
  <c r="I1019" i="27" s="1"/>
  <c r="K1019" i="27" s="1"/>
  <c r="F1018" i="27"/>
  <c r="I1018" i="27" s="1"/>
  <c r="K1018" i="27" s="1"/>
  <c r="F1017" i="27"/>
  <c r="I1017" i="27" s="1"/>
  <c r="K1017" i="27" s="1"/>
  <c r="F1016" i="27"/>
  <c r="I1016" i="27" s="1"/>
  <c r="K1016" i="27" s="1"/>
  <c r="F1015" i="27"/>
  <c r="I1015" i="27" s="1"/>
  <c r="K1015" i="27" s="1"/>
  <c r="F1014" i="27"/>
  <c r="I1014" i="27" s="1"/>
  <c r="K1014" i="27" s="1"/>
  <c r="F1013" i="27"/>
  <c r="I1013" i="27" s="1"/>
  <c r="K1013" i="27" s="1"/>
  <c r="F1012" i="27"/>
  <c r="I1012" i="27" s="1"/>
  <c r="K1012" i="27" s="1"/>
  <c r="F1011" i="27"/>
  <c r="I1011" i="27" s="1"/>
  <c r="K1011" i="27" s="1"/>
  <c r="F1010" i="27"/>
  <c r="I1010" i="27" s="1"/>
  <c r="K1010" i="27" s="1"/>
  <c r="F1009" i="27"/>
  <c r="I1009" i="27" s="1"/>
  <c r="K1009" i="27" s="1"/>
  <c r="F1008" i="27"/>
  <c r="I1008" i="27" s="1"/>
  <c r="K1008" i="27" s="1"/>
  <c r="F1007" i="27"/>
  <c r="I1007" i="27" s="1"/>
  <c r="K1007" i="27" s="1"/>
  <c r="F1006" i="27"/>
  <c r="I1006" i="27" s="1"/>
  <c r="K1006" i="27" s="1"/>
  <c r="F1005" i="27"/>
  <c r="I1005" i="27" s="1"/>
  <c r="K1005" i="27" s="1"/>
  <c r="F1004" i="27"/>
  <c r="I1004" i="27" s="1"/>
  <c r="K1004" i="27" s="1"/>
  <c r="F1003" i="27"/>
  <c r="I1003" i="27" s="1"/>
  <c r="K1003" i="27" s="1"/>
  <c r="F1002" i="27"/>
  <c r="I1002" i="27" s="1"/>
  <c r="K1002" i="27" s="1"/>
  <c r="F1001" i="27"/>
  <c r="I1001" i="27" s="1"/>
  <c r="K1001" i="27" s="1"/>
  <c r="F1000" i="27"/>
  <c r="I1000" i="27" s="1"/>
  <c r="K1000" i="27" s="1"/>
  <c r="F999" i="27"/>
  <c r="I999" i="27" s="1"/>
  <c r="K999" i="27" s="1"/>
  <c r="F998" i="27"/>
  <c r="I998" i="27" s="1"/>
  <c r="K998" i="27" s="1"/>
  <c r="F997" i="27"/>
  <c r="I997" i="27" s="1"/>
  <c r="K997" i="27" s="1"/>
  <c r="F996" i="27"/>
  <c r="I996" i="27" s="1"/>
  <c r="K996" i="27" s="1"/>
  <c r="F995" i="27"/>
  <c r="I995" i="27" s="1"/>
  <c r="K995" i="27" s="1"/>
  <c r="F994" i="27"/>
  <c r="I994" i="27" s="1"/>
  <c r="K994" i="27" s="1"/>
  <c r="F993" i="27"/>
  <c r="I993" i="27" s="1"/>
  <c r="K993" i="27" s="1"/>
  <c r="F992" i="27"/>
  <c r="I992" i="27" s="1"/>
  <c r="K992" i="27" s="1"/>
  <c r="F991" i="27"/>
  <c r="I991" i="27" s="1"/>
  <c r="K991" i="27" s="1"/>
  <c r="F990" i="27"/>
  <c r="I990" i="27" s="1"/>
  <c r="K990" i="27" s="1"/>
  <c r="F989" i="27"/>
  <c r="I989" i="27" s="1"/>
  <c r="K989" i="27" s="1"/>
  <c r="F988" i="27"/>
  <c r="I988" i="27" s="1"/>
  <c r="K988" i="27" s="1"/>
  <c r="F987" i="27"/>
  <c r="I987" i="27" s="1"/>
  <c r="K987" i="27" s="1"/>
  <c r="F986" i="27"/>
  <c r="I986" i="27" s="1"/>
  <c r="K986" i="27" s="1"/>
  <c r="F985" i="27"/>
  <c r="I985" i="27" s="1"/>
  <c r="K985" i="27" s="1"/>
  <c r="F984" i="27"/>
  <c r="I984" i="27" s="1"/>
  <c r="K984" i="27" s="1"/>
  <c r="F983" i="27"/>
  <c r="I983" i="27" s="1"/>
  <c r="K983" i="27" s="1"/>
  <c r="F982" i="27"/>
  <c r="I982" i="27" s="1"/>
  <c r="K982" i="27" s="1"/>
  <c r="F981" i="27"/>
  <c r="I981" i="27" s="1"/>
  <c r="K981" i="27" s="1"/>
  <c r="F980" i="27"/>
  <c r="I980" i="27" s="1"/>
  <c r="K980" i="27" s="1"/>
  <c r="F979" i="27"/>
  <c r="I979" i="27" s="1"/>
  <c r="K979" i="27" s="1"/>
  <c r="F978" i="27"/>
  <c r="I978" i="27" s="1"/>
  <c r="K978" i="27" s="1"/>
  <c r="F977" i="27"/>
  <c r="I977" i="27" s="1"/>
  <c r="K977" i="27" s="1"/>
  <c r="F976" i="27"/>
  <c r="I976" i="27" s="1"/>
  <c r="K976" i="27" s="1"/>
  <c r="F975" i="27"/>
  <c r="I975" i="27" s="1"/>
  <c r="K975" i="27" s="1"/>
  <c r="F974" i="27"/>
  <c r="I974" i="27" s="1"/>
  <c r="K974" i="27" s="1"/>
  <c r="F973" i="27"/>
  <c r="I973" i="27" s="1"/>
  <c r="K973" i="27" s="1"/>
  <c r="F972" i="27"/>
  <c r="I972" i="27" s="1"/>
  <c r="K972" i="27" s="1"/>
  <c r="F971" i="27"/>
  <c r="I971" i="27" s="1"/>
  <c r="K971" i="27" s="1"/>
  <c r="F970" i="27"/>
  <c r="I970" i="27" s="1"/>
  <c r="K970" i="27" s="1"/>
  <c r="F969" i="27"/>
  <c r="I969" i="27" s="1"/>
  <c r="K969" i="27" s="1"/>
  <c r="F968" i="27"/>
  <c r="I968" i="27" s="1"/>
  <c r="K968" i="27" s="1"/>
  <c r="F967" i="27"/>
  <c r="I967" i="27" s="1"/>
  <c r="K967" i="27" s="1"/>
  <c r="F966" i="27"/>
  <c r="I966" i="27" s="1"/>
  <c r="K966" i="27" s="1"/>
  <c r="F965" i="27"/>
  <c r="I965" i="27" s="1"/>
  <c r="K965" i="27" s="1"/>
  <c r="F964" i="27"/>
  <c r="I964" i="27" s="1"/>
  <c r="K964" i="27" s="1"/>
  <c r="F963" i="27"/>
  <c r="I963" i="27" s="1"/>
  <c r="K963" i="27" s="1"/>
  <c r="F962" i="27"/>
  <c r="I962" i="27" s="1"/>
  <c r="K962" i="27" s="1"/>
  <c r="F961" i="27"/>
  <c r="I961" i="27" s="1"/>
  <c r="K961" i="27" s="1"/>
  <c r="F960" i="27"/>
  <c r="I960" i="27" s="1"/>
  <c r="K960" i="27" s="1"/>
  <c r="F959" i="27"/>
  <c r="I959" i="27" s="1"/>
  <c r="K959" i="27" s="1"/>
  <c r="F958" i="27"/>
  <c r="I958" i="27" s="1"/>
  <c r="K958" i="27" s="1"/>
  <c r="F957" i="27"/>
  <c r="I957" i="27" s="1"/>
  <c r="K957" i="27" s="1"/>
  <c r="F956" i="27"/>
  <c r="I956" i="27" s="1"/>
  <c r="K956" i="27" s="1"/>
  <c r="F955" i="27"/>
  <c r="I955" i="27" s="1"/>
  <c r="K955" i="27" s="1"/>
  <c r="F954" i="27"/>
  <c r="I954" i="27" s="1"/>
  <c r="K954" i="27" s="1"/>
  <c r="F953" i="27"/>
  <c r="I953" i="27" s="1"/>
  <c r="K953" i="27" s="1"/>
  <c r="F952" i="27"/>
  <c r="I952" i="27" s="1"/>
  <c r="K952" i="27" s="1"/>
  <c r="F951" i="27"/>
  <c r="I951" i="27" s="1"/>
  <c r="K951" i="27" s="1"/>
  <c r="F950" i="27"/>
  <c r="I950" i="27" s="1"/>
  <c r="K950" i="27" s="1"/>
  <c r="F949" i="27"/>
  <c r="I949" i="27" s="1"/>
  <c r="K949" i="27" s="1"/>
  <c r="F948" i="27"/>
  <c r="I948" i="27" s="1"/>
  <c r="K948" i="27" s="1"/>
  <c r="F947" i="27"/>
  <c r="I947" i="27" s="1"/>
  <c r="K947" i="27" s="1"/>
  <c r="F946" i="27"/>
  <c r="I946" i="27" s="1"/>
  <c r="K946" i="27" s="1"/>
  <c r="F945" i="27"/>
  <c r="I945" i="27" s="1"/>
  <c r="K945" i="27" s="1"/>
  <c r="F944" i="27"/>
  <c r="I944" i="27" s="1"/>
  <c r="K944" i="27" s="1"/>
  <c r="F943" i="27"/>
  <c r="I943" i="27" s="1"/>
  <c r="K943" i="27" s="1"/>
  <c r="F942" i="27"/>
  <c r="I942" i="27" s="1"/>
  <c r="K942" i="27" s="1"/>
  <c r="F941" i="27"/>
  <c r="I941" i="27" s="1"/>
  <c r="K941" i="27" s="1"/>
  <c r="F940" i="27"/>
  <c r="I940" i="27" s="1"/>
  <c r="K940" i="27" s="1"/>
  <c r="F939" i="27"/>
  <c r="I939" i="27" s="1"/>
  <c r="K939" i="27" s="1"/>
  <c r="F938" i="27"/>
  <c r="I938" i="27" s="1"/>
  <c r="K938" i="27" s="1"/>
  <c r="F937" i="27"/>
  <c r="I937" i="27" s="1"/>
  <c r="K937" i="27" s="1"/>
  <c r="F936" i="27"/>
  <c r="I936" i="27" s="1"/>
  <c r="K936" i="27" s="1"/>
  <c r="F935" i="27"/>
  <c r="I935" i="27" s="1"/>
  <c r="K935" i="27" s="1"/>
  <c r="F934" i="27"/>
  <c r="I934" i="27" s="1"/>
  <c r="K934" i="27" s="1"/>
  <c r="F933" i="27"/>
  <c r="I933" i="27" s="1"/>
  <c r="K933" i="27" s="1"/>
  <c r="F932" i="27"/>
  <c r="I932" i="27" s="1"/>
  <c r="K932" i="27" s="1"/>
  <c r="F931" i="27"/>
  <c r="I931" i="27" s="1"/>
  <c r="K931" i="27" s="1"/>
  <c r="F930" i="27"/>
  <c r="I930" i="27" s="1"/>
  <c r="K930" i="27" s="1"/>
  <c r="F929" i="27"/>
  <c r="I929" i="27" s="1"/>
  <c r="K929" i="27" s="1"/>
  <c r="F928" i="27"/>
  <c r="I928" i="27" s="1"/>
  <c r="K928" i="27" s="1"/>
  <c r="F927" i="27"/>
  <c r="I927" i="27" s="1"/>
  <c r="K927" i="27" s="1"/>
  <c r="F926" i="27"/>
  <c r="I926" i="27" s="1"/>
  <c r="K926" i="27" s="1"/>
  <c r="F925" i="27"/>
  <c r="I925" i="27" s="1"/>
  <c r="K925" i="27" s="1"/>
  <c r="F924" i="27"/>
  <c r="I924" i="27" s="1"/>
  <c r="K924" i="27" s="1"/>
  <c r="F923" i="27"/>
  <c r="I923" i="27" s="1"/>
  <c r="K923" i="27" s="1"/>
  <c r="F922" i="27"/>
  <c r="I922" i="27" s="1"/>
  <c r="K922" i="27" s="1"/>
  <c r="F921" i="27"/>
  <c r="I921" i="27" s="1"/>
  <c r="K921" i="27" s="1"/>
  <c r="F920" i="27"/>
  <c r="I920" i="27" s="1"/>
  <c r="K920" i="27" s="1"/>
  <c r="F919" i="27"/>
  <c r="I919" i="27" s="1"/>
  <c r="K919" i="27" s="1"/>
  <c r="F918" i="27"/>
  <c r="I918" i="27" s="1"/>
  <c r="K918" i="27" s="1"/>
  <c r="F917" i="27"/>
  <c r="I917" i="27" s="1"/>
  <c r="K917" i="27" s="1"/>
  <c r="F916" i="27"/>
  <c r="I916" i="27" s="1"/>
  <c r="K916" i="27" s="1"/>
  <c r="F915" i="27"/>
  <c r="I915" i="27" s="1"/>
  <c r="K915" i="27" s="1"/>
  <c r="F914" i="27"/>
  <c r="I914" i="27" s="1"/>
  <c r="K914" i="27" s="1"/>
  <c r="F913" i="27"/>
  <c r="I913" i="27" s="1"/>
  <c r="K913" i="27" s="1"/>
  <c r="F912" i="27"/>
  <c r="I912" i="27" s="1"/>
  <c r="K912" i="27" s="1"/>
  <c r="F911" i="27"/>
  <c r="I911" i="27" s="1"/>
  <c r="K911" i="27" s="1"/>
  <c r="F910" i="27"/>
  <c r="I910" i="27" s="1"/>
  <c r="K910" i="27" s="1"/>
  <c r="F909" i="27"/>
  <c r="I909" i="27" s="1"/>
  <c r="K909" i="27" s="1"/>
  <c r="F908" i="27"/>
  <c r="I908" i="27" s="1"/>
  <c r="K908" i="27" s="1"/>
  <c r="F907" i="27"/>
  <c r="I907" i="27" s="1"/>
  <c r="K907" i="27" s="1"/>
  <c r="F906" i="27"/>
  <c r="I906" i="27" s="1"/>
  <c r="K906" i="27" s="1"/>
  <c r="F905" i="27"/>
  <c r="I905" i="27" s="1"/>
  <c r="K905" i="27" s="1"/>
  <c r="F904" i="27"/>
  <c r="I904" i="27" s="1"/>
  <c r="K904" i="27" s="1"/>
  <c r="F903" i="27"/>
  <c r="I903" i="27" s="1"/>
  <c r="K903" i="27" s="1"/>
  <c r="F902" i="27"/>
  <c r="I902" i="27" s="1"/>
  <c r="K902" i="27" s="1"/>
  <c r="F901" i="27"/>
  <c r="I901" i="27" s="1"/>
  <c r="K901" i="27" s="1"/>
  <c r="F900" i="27"/>
  <c r="I900" i="27" s="1"/>
  <c r="K900" i="27" s="1"/>
  <c r="F899" i="27"/>
  <c r="I899" i="27" s="1"/>
  <c r="K899" i="27" s="1"/>
  <c r="F898" i="27"/>
  <c r="I898" i="27" s="1"/>
  <c r="K898" i="27" s="1"/>
  <c r="F897" i="27"/>
  <c r="I897" i="27" s="1"/>
  <c r="K897" i="27" s="1"/>
  <c r="F896" i="27"/>
  <c r="I896" i="27" s="1"/>
  <c r="K896" i="27" s="1"/>
  <c r="F895" i="27"/>
  <c r="I895" i="27" s="1"/>
  <c r="K895" i="27" s="1"/>
  <c r="F894" i="27"/>
  <c r="I894" i="27" s="1"/>
  <c r="K894" i="27" s="1"/>
  <c r="F893" i="27"/>
  <c r="I893" i="27" s="1"/>
  <c r="K893" i="27" s="1"/>
  <c r="F892" i="27"/>
  <c r="I892" i="27" s="1"/>
  <c r="K892" i="27" s="1"/>
  <c r="F891" i="27"/>
  <c r="I891" i="27" s="1"/>
  <c r="K891" i="27" s="1"/>
  <c r="F890" i="27"/>
  <c r="I890" i="27" s="1"/>
  <c r="K890" i="27" s="1"/>
  <c r="F889" i="27"/>
  <c r="I889" i="27" s="1"/>
  <c r="K889" i="27" s="1"/>
  <c r="F888" i="27"/>
  <c r="I888" i="27" s="1"/>
  <c r="K888" i="27" s="1"/>
  <c r="F887" i="27"/>
  <c r="I887" i="27" s="1"/>
  <c r="K887" i="27" s="1"/>
  <c r="F886" i="27"/>
  <c r="I886" i="27" s="1"/>
  <c r="K886" i="27" s="1"/>
  <c r="F885" i="27"/>
  <c r="I885" i="27" s="1"/>
  <c r="K885" i="27" s="1"/>
  <c r="F884" i="27"/>
  <c r="I884" i="27" s="1"/>
  <c r="K884" i="27" s="1"/>
  <c r="F883" i="27"/>
  <c r="I883" i="27" s="1"/>
  <c r="K883" i="27" s="1"/>
  <c r="F882" i="27"/>
  <c r="I882" i="27" s="1"/>
  <c r="K882" i="27" s="1"/>
  <c r="F881" i="27"/>
  <c r="I881" i="27" s="1"/>
  <c r="K881" i="27" s="1"/>
  <c r="F880" i="27"/>
  <c r="I880" i="27" s="1"/>
  <c r="K880" i="27" s="1"/>
  <c r="F879" i="27"/>
  <c r="I879" i="27" s="1"/>
  <c r="K879" i="27" s="1"/>
  <c r="F878" i="27"/>
  <c r="I878" i="27" s="1"/>
  <c r="K878" i="27" s="1"/>
  <c r="F877" i="27"/>
  <c r="I877" i="27" s="1"/>
  <c r="K877" i="27" s="1"/>
  <c r="F876" i="27"/>
  <c r="I876" i="27" s="1"/>
  <c r="K876" i="27" s="1"/>
  <c r="F875" i="27"/>
  <c r="I875" i="27" s="1"/>
  <c r="K875" i="27" s="1"/>
  <c r="F874" i="27"/>
  <c r="I874" i="27" s="1"/>
  <c r="K874" i="27" s="1"/>
  <c r="F873" i="27"/>
  <c r="I873" i="27" s="1"/>
  <c r="K873" i="27" s="1"/>
  <c r="F872" i="27"/>
  <c r="I872" i="27" s="1"/>
  <c r="K872" i="27" s="1"/>
  <c r="F871" i="27"/>
  <c r="I871" i="27" s="1"/>
  <c r="K871" i="27" s="1"/>
  <c r="F870" i="27"/>
  <c r="I870" i="27" s="1"/>
  <c r="K870" i="27" s="1"/>
  <c r="F869" i="27"/>
  <c r="I869" i="27" s="1"/>
  <c r="K869" i="27" s="1"/>
  <c r="F868" i="27"/>
  <c r="I868" i="27" s="1"/>
  <c r="K868" i="27" s="1"/>
  <c r="F867" i="27"/>
  <c r="I867" i="27" s="1"/>
  <c r="K867" i="27" s="1"/>
  <c r="F866" i="27"/>
  <c r="I866" i="27" s="1"/>
  <c r="K866" i="27" s="1"/>
  <c r="F865" i="27"/>
  <c r="I865" i="27" s="1"/>
  <c r="K865" i="27" s="1"/>
  <c r="F864" i="27"/>
  <c r="I864" i="27" s="1"/>
  <c r="K864" i="27" s="1"/>
  <c r="F863" i="27"/>
  <c r="I863" i="27" s="1"/>
  <c r="K863" i="27" s="1"/>
  <c r="F862" i="27"/>
  <c r="I862" i="27" s="1"/>
  <c r="K862" i="27" s="1"/>
  <c r="F861" i="27"/>
  <c r="I861" i="27" s="1"/>
  <c r="K861" i="27" s="1"/>
  <c r="F860" i="27"/>
  <c r="I860" i="27" s="1"/>
  <c r="K860" i="27" s="1"/>
  <c r="F859" i="27"/>
  <c r="I859" i="27" s="1"/>
  <c r="K859" i="27" s="1"/>
  <c r="F858" i="27"/>
  <c r="I858" i="27" s="1"/>
  <c r="K858" i="27" s="1"/>
  <c r="F857" i="27"/>
  <c r="I857" i="27" s="1"/>
  <c r="K857" i="27" s="1"/>
  <c r="F856" i="27"/>
  <c r="I856" i="27" s="1"/>
  <c r="K856" i="27" s="1"/>
  <c r="F855" i="27"/>
  <c r="I855" i="27" s="1"/>
  <c r="K855" i="27" s="1"/>
  <c r="F854" i="27"/>
  <c r="I854" i="27" s="1"/>
  <c r="K854" i="27" s="1"/>
  <c r="F853" i="27"/>
  <c r="I853" i="27" s="1"/>
  <c r="K853" i="27" s="1"/>
  <c r="F852" i="27"/>
  <c r="I852" i="27" s="1"/>
  <c r="K852" i="27" s="1"/>
  <c r="F851" i="27"/>
  <c r="I851" i="27" s="1"/>
  <c r="K851" i="27" s="1"/>
  <c r="F850" i="27"/>
  <c r="I850" i="27" s="1"/>
  <c r="K850" i="27" s="1"/>
  <c r="F849" i="27"/>
  <c r="I849" i="27" s="1"/>
  <c r="K849" i="27" s="1"/>
  <c r="F848" i="27"/>
  <c r="I848" i="27" s="1"/>
  <c r="K848" i="27" s="1"/>
  <c r="F847" i="27"/>
  <c r="I847" i="27" s="1"/>
  <c r="K847" i="27" s="1"/>
  <c r="F846" i="27"/>
  <c r="I846" i="27" s="1"/>
  <c r="K846" i="27" s="1"/>
  <c r="F845" i="27"/>
  <c r="I845" i="27" s="1"/>
  <c r="K845" i="27" s="1"/>
  <c r="F844" i="27"/>
  <c r="I844" i="27" s="1"/>
  <c r="K844" i="27" s="1"/>
  <c r="F843" i="27"/>
  <c r="I843" i="27" s="1"/>
  <c r="K843" i="27" s="1"/>
  <c r="F842" i="27"/>
  <c r="I842" i="27" s="1"/>
  <c r="K842" i="27" s="1"/>
  <c r="F841" i="27"/>
  <c r="I841" i="27" s="1"/>
  <c r="K841" i="27" s="1"/>
  <c r="F840" i="27"/>
  <c r="I840" i="27" s="1"/>
  <c r="K840" i="27" s="1"/>
  <c r="F839" i="27"/>
  <c r="I839" i="27" s="1"/>
  <c r="K839" i="27" s="1"/>
  <c r="F838" i="27"/>
  <c r="I838" i="27" s="1"/>
  <c r="K838" i="27" s="1"/>
  <c r="F837" i="27"/>
  <c r="I837" i="27" s="1"/>
  <c r="K837" i="27" s="1"/>
  <c r="F836" i="27"/>
  <c r="I836" i="27" s="1"/>
  <c r="K836" i="27" s="1"/>
  <c r="F835" i="27"/>
  <c r="I835" i="27" s="1"/>
  <c r="K835" i="27" s="1"/>
  <c r="F834" i="27"/>
  <c r="I834" i="27" s="1"/>
  <c r="K834" i="27" s="1"/>
  <c r="F833" i="27"/>
  <c r="I833" i="27" s="1"/>
  <c r="F832" i="27"/>
  <c r="I832" i="27" s="1"/>
  <c r="K832" i="27" s="1"/>
  <c r="F831" i="27"/>
  <c r="I831" i="27" s="1"/>
  <c r="K831" i="27" s="1"/>
  <c r="F830" i="27"/>
  <c r="I830" i="27" s="1"/>
  <c r="K830" i="27" s="1"/>
  <c r="F829" i="27"/>
  <c r="I829" i="27" s="1"/>
  <c r="K829" i="27" s="1"/>
  <c r="F828" i="27"/>
  <c r="I828" i="27" s="1"/>
  <c r="K828" i="27" s="1"/>
  <c r="F827" i="27"/>
  <c r="I827" i="27" s="1"/>
  <c r="K827" i="27" s="1"/>
  <c r="F826" i="27"/>
  <c r="I826" i="27" s="1"/>
  <c r="K826" i="27" s="1"/>
  <c r="F825" i="27"/>
  <c r="I825" i="27" s="1"/>
  <c r="K825" i="27" s="1"/>
  <c r="F824" i="27"/>
  <c r="I824" i="27" s="1"/>
  <c r="K824" i="27" s="1"/>
  <c r="F823" i="27"/>
  <c r="I823" i="27" s="1"/>
  <c r="K823" i="27" s="1"/>
  <c r="F822" i="27"/>
  <c r="I822" i="27" s="1"/>
  <c r="K822" i="27" s="1"/>
  <c r="F821" i="27"/>
  <c r="I821" i="27" s="1"/>
  <c r="K821" i="27" s="1"/>
  <c r="F820" i="27"/>
  <c r="I820" i="27" s="1"/>
  <c r="K820" i="27" s="1"/>
  <c r="F819" i="27"/>
  <c r="I819" i="27" s="1"/>
  <c r="K819" i="27" s="1"/>
  <c r="F818" i="27"/>
  <c r="I818" i="27" s="1"/>
  <c r="K818" i="27" s="1"/>
  <c r="F817" i="27"/>
  <c r="I817" i="27" s="1"/>
  <c r="K817" i="27" s="1"/>
  <c r="F816" i="27"/>
  <c r="I816" i="27" s="1"/>
  <c r="K816" i="27" s="1"/>
  <c r="F815" i="27"/>
  <c r="I815" i="27" s="1"/>
  <c r="K815" i="27" s="1"/>
  <c r="F814" i="27"/>
  <c r="I814" i="27" s="1"/>
  <c r="K814" i="27" s="1"/>
  <c r="F813" i="27"/>
  <c r="I813" i="27" s="1"/>
  <c r="K813" i="27" s="1"/>
  <c r="F812" i="27"/>
  <c r="I812" i="27" s="1"/>
  <c r="K812" i="27" s="1"/>
  <c r="F811" i="27"/>
  <c r="I811" i="27" s="1"/>
  <c r="K811" i="27" s="1"/>
  <c r="F810" i="27"/>
  <c r="I810" i="27" s="1"/>
  <c r="K810" i="27" s="1"/>
  <c r="F809" i="27"/>
  <c r="F808" i="27"/>
  <c r="I808" i="27" s="1"/>
  <c r="K808" i="27" s="1"/>
  <c r="F807" i="27"/>
  <c r="I807" i="27" s="1"/>
  <c r="K807" i="27" s="1"/>
  <c r="F806" i="27"/>
  <c r="I806" i="27" s="1"/>
  <c r="K806" i="27" s="1"/>
  <c r="F805" i="27"/>
  <c r="I805" i="27" s="1"/>
  <c r="K805" i="27" s="1"/>
  <c r="F804" i="27"/>
  <c r="I804" i="27" s="1"/>
  <c r="K804" i="27" s="1"/>
  <c r="F803" i="27"/>
  <c r="I803" i="27" s="1"/>
  <c r="K803" i="27" s="1"/>
  <c r="F802" i="27"/>
  <c r="I802" i="27" s="1"/>
  <c r="K802" i="27" s="1"/>
  <c r="F801" i="27"/>
  <c r="I801" i="27" s="1"/>
  <c r="K801" i="27" s="1"/>
  <c r="F800" i="27"/>
  <c r="I800" i="27" s="1"/>
  <c r="K800" i="27" s="1"/>
  <c r="F799" i="27"/>
  <c r="I799" i="27" s="1"/>
  <c r="K799" i="27" s="1"/>
  <c r="F798" i="27"/>
  <c r="I798" i="27" s="1"/>
  <c r="K798" i="27" s="1"/>
  <c r="F797" i="27"/>
  <c r="I797" i="27" s="1"/>
  <c r="K797" i="27" s="1"/>
  <c r="F796" i="27"/>
  <c r="I796" i="27" s="1"/>
  <c r="K796" i="27" s="1"/>
  <c r="F795" i="27"/>
  <c r="I795" i="27" s="1"/>
  <c r="K795" i="27" s="1"/>
  <c r="F794" i="27"/>
  <c r="I794" i="27" s="1"/>
  <c r="K794" i="27" s="1"/>
  <c r="F793" i="27"/>
  <c r="I793" i="27" s="1"/>
  <c r="K793" i="27" s="1"/>
  <c r="F792" i="27"/>
  <c r="I792" i="27" s="1"/>
  <c r="K792" i="27" s="1"/>
  <c r="F791" i="27"/>
  <c r="I791" i="27" s="1"/>
  <c r="K791" i="27" s="1"/>
  <c r="F790" i="27"/>
  <c r="I790" i="27" s="1"/>
  <c r="K790" i="27" s="1"/>
  <c r="F789" i="27"/>
  <c r="I789" i="27" s="1"/>
  <c r="K789" i="27" s="1"/>
  <c r="F788" i="27"/>
  <c r="I788" i="27" s="1"/>
  <c r="K788" i="27" s="1"/>
  <c r="F787" i="27"/>
  <c r="I787" i="27" s="1"/>
  <c r="K787" i="27" s="1"/>
  <c r="F786" i="27"/>
  <c r="I786" i="27" s="1"/>
  <c r="K786" i="27" s="1"/>
  <c r="F785" i="27"/>
  <c r="I785" i="27" s="1"/>
  <c r="K785" i="27" s="1"/>
  <c r="F784" i="27"/>
  <c r="I784" i="27" s="1"/>
  <c r="K784" i="27" s="1"/>
  <c r="F783" i="27"/>
  <c r="I783" i="27" s="1"/>
  <c r="K783" i="27" s="1"/>
  <c r="F782" i="27"/>
  <c r="I782" i="27" s="1"/>
  <c r="K782" i="27" s="1"/>
  <c r="F781" i="27"/>
  <c r="I781" i="27" s="1"/>
  <c r="K781" i="27" s="1"/>
  <c r="F780" i="27"/>
  <c r="I780" i="27" s="1"/>
  <c r="K780" i="27" s="1"/>
  <c r="F779" i="27"/>
  <c r="I779" i="27" s="1"/>
  <c r="K779" i="27" s="1"/>
  <c r="F778" i="27"/>
  <c r="I778" i="27" s="1"/>
  <c r="K778" i="27" s="1"/>
  <c r="F777" i="27"/>
  <c r="I777" i="27" s="1"/>
  <c r="K777" i="27" s="1"/>
  <c r="F776" i="27"/>
  <c r="I776" i="27" s="1"/>
  <c r="K776" i="27" s="1"/>
  <c r="F775" i="27"/>
  <c r="I775" i="27" s="1"/>
  <c r="K775" i="27" s="1"/>
  <c r="F774" i="27"/>
  <c r="I774" i="27" s="1"/>
  <c r="K774" i="27" s="1"/>
  <c r="F773" i="27"/>
  <c r="I773" i="27" s="1"/>
  <c r="K773" i="27" s="1"/>
  <c r="F772" i="27"/>
  <c r="I772" i="27" s="1"/>
  <c r="K772" i="27" s="1"/>
  <c r="F771" i="27"/>
  <c r="I771" i="27" s="1"/>
  <c r="K771" i="27" s="1"/>
  <c r="F770" i="27"/>
  <c r="I770" i="27" s="1"/>
  <c r="K770" i="27" s="1"/>
  <c r="F769" i="27"/>
  <c r="I769" i="27" s="1"/>
  <c r="F768" i="27"/>
  <c r="I768" i="27" s="1"/>
  <c r="K768" i="27" s="1"/>
  <c r="F767" i="27"/>
  <c r="I767" i="27" s="1"/>
  <c r="K767" i="27" s="1"/>
  <c r="F766" i="27"/>
  <c r="I766" i="27" s="1"/>
  <c r="K766" i="27" s="1"/>
  <c r="F765" i="27"/>
  <c r="I765" i="27" s="1"/>
  <c r="K765" i="27" s="1"/>
  <c r="F764" i="27"/>
  <c r="I764" i="27" s="1"/>
  <c r="K764" i="27" s="1"/>
  <c r="F763" i="27"/>
  <c r="I763" i="27" s="1"/>
  <c r="K763" i="27" s="1"/>
  <c r="F762" i="27"/>
  <c r="I762" i="27" s="1"/>
  <c r="K762" i="27" s="1"/>
  <c r="F761" i="27"/>
  <c r="I761" i="27" s="1"/>
  <c r="K761" i="27" s="1"/>
  <c r="F760" i="27"/>
  <c r="I760" i="27" s="1"/>
  <c r="K760" i="27" s="1"/>
  <c r="F759" i="27"/>
  <c r="I759" i="27" s="1"/>
  <c r="K759" i="27" s="1"/>
  <c r="F758" i="27"/>
  <c r="I758" i="27" s="1"/>
  <c r="K758" i="27" s="1"/>
  <c r="F757" i="27"/>
  <c r="I757" i="27" s="1"/>
  <c r="K757" i="27" s="1"/>
  <c r="F756" i="27"/>
  <c r="I756" i="27" s="1"/>
  <c r="K756" i="27" s="1"/>
  <c r="F755" i="27"/>
  <c r="I755" i="27" s="1"/>
  <c r="K755" i="27" s="1"/>
  <c r="F754" i="27"/>
  <c r="I754" i="27" s="1"/>
  <c r="K754" i="27" s="1"/>
  <c r="F753" i="27"/>
  <c r="I753" i="27" s="1"/>
  <c r="K753" i="27" s="1"/>
  <c r="F752" i="27"/>
  <c r="I752" i="27" s="1"/>
  <c r="K752" i="27" s="1"/>
  <c r="F751" i="27"/>
  <c r="I751" i="27" s="1"/>
  <c r="K751" i="27" s="1"/>
  <c r="F750" i="27"/>
  <c r="I750" i="27" s="1"/>
  <c r="K750" i="27" s="1"/>
  <c r="F749" i="27"/>
  <c r="I749" i="27" s="1"/>
  <c r="K749" i="27" s="1"/>
  <c r="F748" i="27"/>
  <c r="I748" i="27" s="1"/>
  <c r="K748" i="27" s="1"/>
  <c r="F747" i="27"/>
  <c r="I747" i="27" s="1"/>
  <c r="K747" i="27" s="1"/>
  <c r="F746" i="27"/>
  <c r="I746" i="27" s="1"/>
  <c r="K746" i="27" s="1"/>
  <c r="F745" i="27"/>
  <c r="I745" i="27" s="1"/>
  <c r="K745" i="27" s="1"/>
  <c r="F744" i="27"/>
  <c r="I744" i="27" s="1"/>
  <c r="K744" i="27" s="1"/>
  <c r="F743" i="27"/>
  <c r="I743" i="27" s="1"/>
  <c r="K743" i="27" s="1"/>
  <c r="F742" i="27"/>
  <c r="I742" i="27" s="1"/>
  <c r="K742" i="27" s="1"/>
  <c r="F741" i="27"/>
  <c r="I741" i="27" s="1"/>
  <c r="K741" i="27" s="1"/>
  <c r="F740" i="27"/>
  <c r="I740" i="27" s="1"/>
  <c r="K740" i="27" s="1"/>
  <c r="F739" i="27"/>
  <c r="I739" i="27" s="1"/>
  <c r="K739" i="27" s="1"/>
  <c r="F738" i="27"/>
  <c r="I738" i="27" s="1"/>
  <c r="K738" i="27" s="1"/>
  <c r="F737" i="27"/>
  <c r="I737" i="27" s="1"/>
  <c r="K737" i="27" s="1"/>
  <c r="F736" i="27"/>
  <c r="I736" i="27" s="1"/>
  <c r="K736" i="27" s="1"/>
  <c r="F735" i="27"/>
  <c r="I735" i="27" s="1"/>
  <c r="K735" i="27" s="1"/>
  <c r="F734" i="27"/>
  <c r="I734" i="27" s="1"/>
  <c r="K734" i="27" s="1"/>
  <c r="F733" i="27"/>
  <c r="I733" i="27" s="1"/>
  <c r="K733" i="27" s="1"/>
  <c r="F732" i="27"/>
  <c r="I732" i="27" s="1"/>
  <c r="K732" i="27" s="1"/>
  <c r="F731" i="27"/>
  <c r="I731" i="27" s="1"/>
  <c r="K731" i="27" s="1"/>
  <c r="F730" i="27"/>
  <c r="I730" i="27" s="1"/>
  <c r="K730" i="27" s="1"/>
  <c r="F729" i="27"/>
  <c r="I729" i="27" s="1"/>
  <c r="K729" i="27" s="1"/>
  <c r="F728" i="27"/>
  <c r="I728" i="27" s="1"/>
  <c r="K728" i="27" s="1"/>
  <c r="F727" i="27"/>
  <c r="I727" i="27" s="1"/>
  <c r="K727" i="27" s="1"/>
  <c r="F726" i="27"/>
  <c r="I726" i="27" s="1"/>
  <c r="K726" i="27" s="1"/>
  <c r="F725" i="27"/>
  <c r="I725" i="27" s="1"/>
  <c r="K725" i="27" s="1"/>
  <c r="F724" i="27"/>
  <c r="I724" i="27" s="1"/>
  <c r="K724" i="27" s="1"/>
  <c r="F723" i="27"/>
  <c r="I723" i="27" s="1"/>
  <c r="K723" i="27" s="1"/>
  <c r="F722" i="27"/>
  <c r="I722" i="27" s="1"/>
  <c r="K722" i="27" s="1"/>
  <c r="F721" i="27"/>
  <c r="I721" i="27" s="1"/>
  <c r="K721" i="27" s="1"/>
  <c r="F720" i="27"/>
  <c r="I720" i="27" s="1"/>
  <c r="K720" i="27" s="1"/>
  <c r="F719" i="27"/>
  <c r="I719" i="27" s="1"/>
  <c r="K719" i="27" s="1"/>
  <c r="F718" i="27"/>
  <c r="I718" i="27" s="1"/>
  <c r="K718" i="27" s="1"/>
  <c r="F717" i="27"/>
  <c r="I717" i="27" s="1"/>
  <c r="K717" i="27" s="1"/>
  <c r="F716" i="27"/>
  <c r="I716" i="27" s="1"/>
  <c r="K716" i="27" s="1"/>
  <c r="F715" i="27"/>
  <c r="I715" i="27" s="1"/>
  <c r="K715" i="27" s="1"/>
  <c r="F714" i="27"/>
  <c r="I714" i="27" s="1"/>
  <c r="K714" i="27" s="1"/>
  <c r="F713" i="27"/>
  <c r="I713" i="27" s="1"/>
  <c r="K713" i="27" s="1"/>
  <c r="F712" i="27"/>
  <c r="I712" i="27" s="1"/>
  <c r="K712" i="27" s="1"/>
  <c r="F711" i="27"/>
  <c r="I711" i="27" s="1"/>
  <c r="K711" i="27" s="1"/>
  <c r="F710" i="27"/>
  <c r="I710" i="27" s="1"/>
  <c r="K710" i="27" s="1"/>
  <c r="F709" i="27"/>
  <c r="I709" i="27" s="1"/>
  <c r="K709" i="27" s="1"/>
  <c r="F708" i="27"/>
  <c r="I708" i="27" s="1"/>
  <c r="K708" i="27" s="1"/>
  <c r="F707" i="27"/>
  <c r="I707" i="27" s="1"/>
  <c r="K707" i="27" s="1"/>
  <c r="F706" i="27"/>
  <c r="I706" i="27" s="1"/>
  <c r="K706" i="27" s="1"/>
  <c r="F705" i="27"/>
  <c r="I705" i="27" s="1"/>
  <c r="K705" i="27" s="1"/>
  <c r="F704" i="27"/>
  <c r="I704" i="27" s="1"/>
  <c r="K704" i="27" s="1"/>
  <c r="F703" i="27"/>
  <c r="I703" i="27" s="1"/>
  <c r="K703" i="27" s="1"/>
  <c r="F702" i="27"/>
  <c r="I702" i="27" s="1"/>
  <c r="K702" i="27" s="1"/>
  <c r="F701" i="27"/>
  <c r="I701" i="27" s="1"/>
  <c r="K701" i="27" s="1"/>
  <c r="F700" i="27"/>
  <c r="I700" i="27" s="1"/>
  <c r="K700" i="27" s="1"/>
  <c r="F699" i="27"/>
  <c r="I699" i="27" s="1"/>
  <c r="K699" i="27" s="1"/>
  <c r="F698" i="27"/>
  <c r="I698" i="27" s="1"/>
  <c r="K698" i="27" s="1"/>
  <c r="F697" i="27"/>
  <c r="I697" i="27" s="1"/>
  <c r="K697" i="27" s="1"/>
  <c r="F696" i="27"/>
  <c r="I696" i="27" s="1"/>
  <c r="K696" i="27" s="1"/>
  <c r="F695" i="27"/>
  <c r="I695" i="27" s="1"/>
  <c r="K695" i="27" s="1"/>
  <c r="F694" i="27"/>
  <c r="I694" i="27" s="1"/>
  <c r="K694" i="27" s="1"/>
  <c r="F693" i="27"/>
  <c r="I693" i="27" s="1"/>
  <c r="K693" i="27" s="1"/>
  <c r="F692" i="27"/>
  <c r="I692" i="27" s="1"/>
  <c r="K692" i="27" s="1"/>
  <c r="F691" i="27"/>
  <c r="I691" i="27" s="1"/>
  <c r="K691" i="27" s="1"/>
  <c r="F690" i="27"/>
  <c r="I690" i="27" s="1"/>
  <c r="K690" i="27" s="1"/>
  <c r="F689" i="27"/>
  <c r="I689" i="27" s="1"/>
  <c r="K689" i="27" s="1"/>
  <c r="F688" i="27"/>
  <c r="I688" i="27" s="1"/>
  <c r="K688" i="27" s="1"/>
  <c r="F687" i="27"/>
  <c r="I687" i="27" s="1"/>
  <c r="K687" i="27" s="1"/>
  <c r="F686" i="27"/>
  <c r="I686" i="27" s="1"/>
  <c r="K686" i="27" s="1"/>
  <c r="F685" i="27"/>
  <c r="I685" i="27" s="1"/>
  <c r="K685" i="27" s="1"/>
  <c r="F684" i="27"/>
  <c r="I684" i="27" s="1"/>
  <c r="K684" i="27" s="1"/>
  <c r="F683" i="27"/>
  <c r="I683" i="27" s="1"/>
  <c r="K683" i="27" s="1"/>
  <c r="F682" i="27"/>
  <c r="I682" i="27" s="1"/>
  <c r="K682" i="27" s="1"/>
  <c r="F681" i="27"/>
  <c r="I681" i="27" s="1"/>
  <c r="K681" i="27" s="1"/>
  <c r="F680" i="27"/>
  <c r="I680" i="27" s="1"/>
  <c r="K680" i="27" s="1"/>
  <c r="F679" i="27"/>
  <c r="I679" i="27" s="1"/>
  <c r="K679" i="27" s="1"/>
  <c r="F678" i="27"/>
  <c r="I678" i="27" s="1"/>
  <c r="K678" i="27" s="1"/>
  <c r="F677" i="27"/>
  <c r="I677" i="27" s="1"/>
  <c r="K677" i="27" s="1"/>
  <c r="F676" i="27"/>
  <c r="I676" i="27" s="1"/>
  <c r="K676" i="27" s="1"/>
  <c r="F675" i="27"/>
  <c r="I675" i="27" s="1"/>
  <c r="K675" i="27" s="1"/>
  <c r="F674" i="27"/>
  <c r="I674" i="27" s="1"/>
  <c r="K674" i="27" s="1"/>
  <c r="F673" i="27"/>
  <c r="I673" i="27" s="1"/>
  <c r="K673" i="27" s="1"/>
  <c r="F672" i="27"/>
  <c r="I672" i="27" s="1"/>
  <c r="K672" i="27" s="1"/>
  <c r="F671" i="27"/>
  <c r="I671" i="27" s="1"/>
  <c r="K671" i="27" s="1"/>
  <c r="F670" i="27"/>
  <c r="I670" i="27" s="1"/>
  <c r="K670" i="27" s="1"/>
  <c r="F669" i="27"/>
  <c r="I669" i="27" s="1"/>
  <c r="K669" i="27" s="1"/>
  <c r="F668" i="27"/>
  <c r="I668" i="27" s="1"/>
  <c r="K668" i="27" s="1"/>
  <c r="F667" i="27"/>
  <c r="I667" i="27" s="1"/>
  <c r="K667" i="27" s="1"/>
  <c r="F666" i="27"/>
  <c r="I666" i="27" s="1"/>
  <c r="K666" i="27" s="1"/>
  <c r="F665" i="27"/>
  <c r="I665" i="27" s="1"/>
  <c r="K665" i="27" s="1"/>
  <c r="F664" i="27"/>
  <c r="I664" i="27" s="1"/>
  <c r="K664" i="27" s="1"/>
  <c r="F663" i="27"/>
  <c r="I663" i="27" s="1"/>
  <c r="K663" i="27" s="1"/>
  <c r="F662" i="27"/>
  <c r="I662" i="27" s="1"/>
  <c r="K662" i="27" s="1"/>
  <c r="F661" i="27"/>
  <c r="I661" i="27" s="1"/>
  <c r="K661" i="27" s="1"/>
  <c r="F660" i="27"/>
  <c r="I660" i="27" s="1"/>
  <c r="K660" i="27" s="1"/>
  <c r="F659" i="27"/>
  <c r="I659" i="27" s="1"/>
  <c r="K659" i="27" s="1"/>
  <c r="F658" i="27"/>
  <c r="I658" i="27" s="1"/>
  <c r="K658" i="27" s="1"/>
  <c r="F657" i="27"/>
  <c r="I657" i="27" s="1"/>
  <c r="K657" i="27" s="1"/>
  <c r="F656" i="27"/>
  <c r="I656" i="27" s="1"/>
  <c r="K656" i="27" s="1"/>
  <c r="F655" i="27"/>
  <c r="I655" i="27" s="1"/>
  <c r="K655" i="27" s="1"/>
  <c r="F654" i="27"/>
  <c r="I654" i="27" s="1"/>
  <c r="K654" i="27" s="1"/>
  <c r="F653" i="27"/>
  <c r="I653" i="27" s="1"/>
  <c r="K653" i="27" s="1"/>
  <c r="F652" i="27"/>
  <c r="I652" i="27" s="1"/>
  <c r="K652" i="27" s="1"/>
  <c r="F651" i="27"/>
  <c r="I651" i="27" s="1"/>
  <c r="K651" i="27" s="1"/>
  <c r="F650" i="27"/>
  <c r="I650" i="27" s="1"/>
  <c r="K650" i="27" s="1"/>
  <c r="F649" i="27"/>
  <c r="I649" i="27" s="1"/>
  <c r="K649" i="27" s="1"/>
  <c r="F648" i="27"/>
  <c r="I648" i="27" s="1"/>
  <c r="K648" i="27" s="1"/>
  <c r="F647" i="27"/>
  <c r="I647" i="27" s="1"/>
  <c r="K647" i="27" s="1"/>
  <c r="F646" i="27"/>
  <c r="I646" i="27" s="1"/>
  <c r="K646" i="27" s="1"/>
  <c r="F645" i="27"/>
  <c r="I645" i="27" s="1"/>
  <c r="K645" i="27" s="1"/>
  <c r="F644" i="27"/>
  <c r="I644" i="27" s="1"/>
  <c r="K644" i="27" s="1"/>
  <c r="F643" i="27"/>
  <c r="I643" i="27" s="1"/>
  <c r="K643" i="27" s="1"/>
  <c r="F642" i="27"/>
  <c r="I642" i="27" s="1"/>
  <c r="K642" i="27" s="1"/>
  <c r="F641" i="27"/>
  <c r="I641" i="27" s="1"/>
  <c r="K641" i="27" s="1"/>
  <c r="F640" i="27"/>
  <c r="I640" i="27" s="1"/>
  <c r="K640" i="27" s="1"/>
  <c r="F639" i="27"/>
  <c r="I639" i="27" s="1"/>
  <c r="K639" i="27" s="1"/>
  <c r="F638" i="27"/>
  <c r="I638" i="27" s="1"/>
  <c r="K638" i="27" s="1"/>
  <c r="F637" i="27"/>
  <c r="I637" i="27" s="1"/>
  <c r="K637" i="27" s="1"/>
  <c r="F636" i="27"/>
  <c r="I636" i="27" s="1"/>
  <c r="K636" i="27" s="1"/>
  <c r="F635" i="27"/>
  <c r="I635" i="27" s="1"/>
  <c r="K635" i="27" s="1"/>
  <c r="F634" i="27"/>
  <c r="I634" i="27" s="1"/>
  <c r="K634" i="27" s="1"/>
  <c r="F633" i="27"/>
  <c r="I633" i="27" s="1"/>
  <c r="K633" i="27" s="1"/>
  <c r="F632" i="27"/>
  <c r="I632" i="27" s="1"/>
  <c r="K632" i="27" s="1"/>
  <c r="F631" i="27"/>
  <c r="I631" i="27" s="1"/>
  <c r="K631" i="27" s="1"/>
  <c r="F630" i="27"/>
  <c r="I630" i="27" s="1"/>
  <c r="K630" i="27" s="1"/>
  <c r="F629" i="27"/>
  <c r="I629" i="27" s="1"/>
  <c r="K629" i="27" s="1"/>
  <c r="F628" i="27"/>
  <c r="I628" i="27" s="1"/>
  <c r="K628" i="27" s="1"/>
  <c r="F627" i="27"/>
  <c r="I627" i="27" s="1"/>
  <c r="K627" i="27" s="1"/>
  <c r="F626" i="27"/>
  <c r="I626" i="27" s="1"/>
  <c r="K626" i="27" s="1"/>
  <c r="F625" i="27"/>
  <c r="I625" i="27" s="1"/>
  <c r="K625" i="27" s="1"/>
  <c r="F624" i="27"/>
  <c r="I624" i="27" s="1"/>
  <c r="K624" i="27" s="1"/>
  <c r="F623" i="27"/>
  <c r="I623" i="27" s="1"/>
  <c r="K623" i="27" s="1"/>
  <c r="F622" i="27"/>
  <c r="I622" i="27" s="1"/>
  <c r="K622" i="27" s="1"/>
  <c r="F621" i="27"/>
  <c r="I621" i="27" s="1"/>
  <c r="K621" i="27" s="1"/>
  <c r="F620" i="27"/>
  <c r="I620" i="27" s="1"/>
  <c r="K620" i="27" s="1"/>
  <c r="F619" i="27"/>
  <c r="I619" i="27" s="1"/>
  <c r="K619" i="27" s="1"/>
  <c r="F618" i="27"/>
  <c r="F617" i="27"/>
  <c r="I617" i="27" s="1"/>
  <c r="K617" i="27" s="1"/>
  <c r="F616" i="27"/>
  <c r="I616" i="27" s="1"/>
  <c r="K616" i="27" s="1"/>
  <c r="F615" i="27"/>
  <c r="I615" i="27" s="1"/>
  <c r="K615" i="27" s="1"/>
  <c r="F614" i="27"/>
  <c r="I614" i="27" s="1"/>
  <c r="K614" i="27" s="1"/>
  <c r="F613" i="27"/>
  <c r="I613" i="27" s="1"/>
  <c r="K613" i="27" s="1"/>
  <c r="F612" i="27"/>
  <c r="I612" i="27" s="1"/>
  <c r="K612" i="27" s="1"/>
  <c r="F611" i="27"/>
  <c r="I611" i="27" s="1"/>
  <c r="K611" i="27" s="1"/>
  <c r="F610" i="27"/>
  <c r="I610" i="27" s="1"/>
  <c r="K610" i="27" s="1"/>
  <c r="F609" i="27"/>
  <c r="I609" i="27" s="1"/>
  <c r="K609" i="27" s="1"/>
  <c r="F608" i="27"/>
  <c r="I608" i="27" s="1"/>
  <c r="K608" i="27" s="1"/>
  <c r="F607" i="27"/>
  <c r="I607" i="27" s="1"/>
  <c r="K607" i="27" s="1"/>
  <c r="F606" i="27"/>
  <c r="I606" i="27" s="1"/>
  <c r="K606" i="27" s="1"/>
  <c r="F605" i="27"/>
  <c r="I605" i="27" s="1"/>
  <c r="K605" i="27" s="1"/>
  <c r="F604" i="27"/>
  <c r="I604" i="27" s="1"/>
  <c r="K604" i="27" s="1"/>
  <c r="F603" i="27"/>
  <c r="I603" i="27" s="1"/>
  <c r="K603" i="27" s="1"/>
  <c r="F602" i="27"/>
  <c r="I602" i="27" s="1"/>
  <c r="K602" i="27" s="1"/>
  <c r="F601" i="27"/>
  <c r="I601" i="27" s="1"/>
  <c r="K601" i="27" s="1"/>
  <c r="F600" i="27"/>
  <c r="F599" i="27"/>
  <c r="I599" i="27" s="1"/>
  <c r="K599" i="27" s="1"/>
  <c r="F598" i="27"/>
  <c r="I598" i="27" s="1"/>
  <c r="K598" i="27" s="1"/>
  <c r="F597" i="27"/>
  <c r="I597" i="27" s="1"/>
  <c r="K597" i="27" s="1"/>
  <c r="F596" i="27"/>
  <c r="I596" i="27" s="1"/>
  <c r="K596" i="27" s="1"/>
  <c r="F595" i="27"/>
  <c r="I595" i="27" s="1"/>
  <c r="K595" i="27" s="1"/>
  <c r="F594" i="27"/>
  <c r="I594" i="27" s="1"/>
  <c r="K594" i="27" s="1"/>
  <c r="F593" i="27"/>
  <c r="I593" i="27" s="1"/>
  <c r="K593" i="27" s="1"/>
  <c r="F592" i="27"/>
  <c r="I592" i="27" s="1"/>
  <c r="K592" i="27" s="1"/>
  <c r="F591" i="27"/>
  <c r="I591" i="27" s="1"/>
  <c r="K591" i="27" s="1"/>
  <c r="F590" i="27"/>
  <c r="I590" i="27" s="1"/>
  <c r="K590" i="27" s="1"/>
  <c r="F589" i="27"/>
  <c r="I589" i="27" s="1"/>
  <c r="K589" i="27" s="1"/>
  <c r="F588" i="27"/>
  <c r="I588" i="27" s="1"/>
  <c r="K588" i="27" s="1"/>
  <c r="F587" i="27"/>
  <c r="I587" i="27" s="1"/>
  <c r="K587" i="27" s="1"/>
  <c r="F586" i="27"/>
  <c r="I586" i="27" s="1"/>
  <c r="K586" i="27" s="1"/>
  <c r="F585" i="27"/>
  <c r="I585" i="27" s="1"/>
  <c r="K585" i="27" s="1"/>
  <c r="F584" i="27"/>
  <c r="I584" i="27" s="1"/>
  <c r="K584" i="27" s="1"/>
  <c r="F583" i="27"/>
  <c r="I583" i="27" s="1"/>
  <c r="K583" i="27" s="1"/>
  <c r="F582" i="27"/>
  <c r="I582" i="27" s="1"/>
  <c r="K582" i="27" s="1"/>
  <c r="F581" i="27"/>
  <c r="I581" i="27" s="1"/>
  <c r="K581" i="27" s="1"/>
  <c r="F580" i="27"/>
  <c r="I580" i="27" s="1"/>
  <c r="K580" i="27" s="1"/>
  <c r="F579" i="27"/>
  <c r="I579" i="27" s="1"/>
  <c r="K579" i="27" s="1"/>
  <c r="F578" i="27"/>
  <c r="I578" i="27" s="1"/>
  <c r="K578" i="27" s="1"/>
  <c r="F577" i="27"/>
  <c r="I577" i="27" s="1"/>
  <c r="K577" i="27" s="1"/>
  <c r="F576" i="27"/>
  <c r="I576" i="27" s="1"/>
  <c r="K576" i="27" s="1"/>
  <c r="F575" i="27"/>
  <c r="I575" i="27" s="1"/>
  <c r="K575" i="27" s="1"/>
  <c r="F574" i="27"/>
  <c r="I574" i="27" s="1"/>
  <c r="K574" i="27" s="1"/>
  <c r="F573" i="27"/>
  <c r="I573" i="27" s="1"/>
  <c r="K573" i="27" s="1"/>
  <c r="F572" i="27"/>
  <c r="I572" i="27" s="1"/>
  <c r="K572" i="27" s="1"/>
  <c r="F571" i="27"/>
  <c r="I571" i="27" s="1"/>
  <c r="K571" i="27" s="1"/>
  <c r="F570" i="27"/>
  <c r="I570" i="27" s="1"/>
  <c r="K570" i="27" s="1"/>
  <c r="F569" i="27"/>
  <c r="I569" i="27" s="1"/>
  <c r="K569" i="27" s="1"/>
  <c r="F568" i="27"/>
  <c r="I568" i="27" s="1"/>
  <c r="K568" i="27" s="1"/>
  <c r="F567" i="27"/>
  <c r="I567" i="27" s="1"/>
  <c r="K567" i="27" s="1"/>
  <c r="F566" i="27"/>
  <c r="I566" i="27" s="1"/>
  <c r="K566" i="27" s="1"/>
  <c r="F565" i="27"/>
  <c r="I565" i="27" s="1"/>
  <c r="K565" i="27" s="1"/>
  <c r="F564" i="27"/>
  <c r="I564" i="27" s="1"/>
  <c r="K564" i="27" s="1"/>
  <c r="F563" i="27"/>
  <c r="I563" i="27" s="1"/>
  <c r="K563" i="27" s="1"/>
  <c r="F562" i="27"/>
  <c r="I562" i="27" s="1"/>
  <c r="K562" i="27" s="1"/>
  <c r="F561" i="27"/>
  <c r="I561" i="27" s="1"/>
  <c r="K561" i="27" s="1"/>
  <c r="F560" i="27"/>
  <c r="I560" i="27" s="1"/>
  <c r="K560" i="27" s="1"/>
  <c r="F559" i="27"/>
  <c r="I559" i="27" s="1"/>
  <c r="K559" i="27" s="1"/>
  <c r="F558" i="27"/>
  <c r="I558" i="27" s="1"/>
  <c r="K558" i="27" s="1"/>
  <c r="F557" i="27"/>
  <c r="I557" i="27" s="1"/>
  <c r="K557" i="27" s="1"/>
  <c r="F556" i="27"/>
  <c r="I556" i="27" s="1"/>
  <c r="K556" i="27" s="1"/>
  <c r="F555" i="27"/>
  <c r="I555" i="27" s="1"/>
  <c r="K555" i="27" s="1"/>
  <c r="F554" i="27"/>
  <c r="I554" i="27" s="1"/>
  <c r="K554" i="27" s="1"/>
  <c r="F553" i="27"/>
  <c r="I553" i="27" s="1"/>
  <c r="K553" i="27" s="1"/>
  <c r="F552" i="27"/>
  <c r="I552" i="27" s="1"/>
  <c r="F551" i="27"/>
  <c r="I551" i="27" s="1"/>
  <c r="K551" i="27" s="1"/>
  <c r="F550" i="27"/>
  <c r="I550" i="27" s="1"/>
  <c r="K550" i="27" s="1"/>
  <c r="F549" i="27"/>
  <c r="I549" i="27" s="1"/>
  <c r="K549" i="27" s="1"/>
  <c r="F548" i="27"/>
  <c r="I548" i="27" s="1"/>
  <c r="K548" i="27" s="1"/>
  <c r="F547" i="27"/>
  <c r="I547" i="27" s="1"/>
  <c r="K547" i="27" s="1"/>
  <c r="F546" i="27"/>
  <c r="I546" i="27" s="1"/>
  <c r="K546" i="27" s="1"/>
  <c r="F545" i="27"/>
  <c r="I545" i="27" s="1"/>
  <c r="K545" i="27" s="1"/>
  <c r="F544" i="27"/>
  <c r="I544" i="27" s="1"/>
  <c r="K544" i="27" s="1"/>
  <c r="F543" i="27"/>
  <c r="I543" i="27" s="1"/>
  <c r="K543" i="27" s="1"/>
  <c r="F542" i="27"/>
  <c r="I542" i="27" s="1"/>
  <c r="K542" i="27" s="1"/>
  <c r="F541" i="27"/>
  <c r="I541" i="27" s="1"/>
  <c r="K541" i="27" s="1"/>
  <c r="F540" i="27"/>
  <c r="I540" i="27" s="1"/>
  <c r="K540" i="27" s="1"/>
  <c r="F539" i="27"/>
  <c r="I539" i="27" s="1"/>
  <c r="K539" i="27" s="1"/>
  <c r="F538" i="27"/>
  <c r="I538" i="27" s="1"/>
  <c r="K538" i="27" s="1"/>
  <c r="F537" i="27"/>
  <c r="I537" i="27" s="1"/>
  <c r="K537" i="27" s="1"/>
  <c r="F536" i="27"/>
  <c r="I536" i="27" s="1"/>
  <c r="K536" i="27" s="1"/>
  <c r="F535" i="27"/>
  <c r="I535" i="27" s="1"/>
  <c r="K535" i="27" s="1"/>
  <c r="F534" i="27"/>
  <c r="I534" i="27" s="1"/>
  <c r="K534" i="27" s="1"/>
  <c r="F533" i="27"/>
  <c r="I533" i="27" s="1"/>
  <c r="K533" i="27" s="1"/>
  <c r="F532" i="27"/>
  <c r="I532" i="27" s="1"/>
  <c r="K532" i="27" s="1"/>
  <c r="F531" i="27"/>
  <c r="I531" i="27" s="1"/>
  <c r="K531" i="27" s="1"/>
  <c r="F530" i="27"/>
  <c r="I530" i="27" s="1"/>
  <c r="K530" i="27" s="1"/>
  <c r="F529" i="27"/>
  <c r="I529" i="27" s="1"/>
  <c r="K529" i="27" s="1"/>
  <c r="F528" i="27"/>
  <c r="I528" i="27" s="1"/>
  <c r="K528" i="27" s="1"/>
  <c r="F527" i="27"/>
  <c r="I527" i="27" s="1"/>
  <c r="K527" i="27" s="1"/>
  <c r="F526" i="27"/>
  <c r="I526" i="27" s="1"/>
  <c r="K526" i="27" s="1"/>
  <c r="F525" i="27"/>
  <c r="I525" i="27" s="1"/>
  <c r="K525" i="27" s="1"/>
  <c r="F524" i="27"/>
  <c r="I524" i="27" s="1"/>
  <c r="K524" i="27" s="1"/>
  <c r="F523" i="27"/>
  <c r="I523" i="27" s="1"/>
  <c r="K523" i="27" s="1"/>
  <c r="F522" i="27"/>
  <c r="F521" i="27"/>
  <c r="I521" i="27" s="1"/>
  <c r="K521" i="27" s="1"/>
  <c r="F520" i="27"/>
  <c r="I520" i="27" s="1"/>
  <c r="F519" i="27"/>
  <c r="I519" i="27" s="1"/>
  <c r="K519" i="27" s="1"/>
  <c r="F518" i="27"/>
  <c r="I518" i="27" s="1"/>
  <c r="K518" i="27" s="1"/>
  <c r="F517" i="27"/>
  <c r="I517" i="27" s="1"/>
  <c r="K517" i="27" s="1"/>
  <c r="F516" i="27"/>
  <c r="I516" i="27" s="1"/>
  <c r="K516" i="27" s="1"/>
  <c r="F515" i="27"/>
  <c r="I515" i="27" s="1"/>
  <c r="K515" i="27" s="1"/>
  <c r="F514" i="27"/>
  <c r="I514" i="27" s="1"/>
  <c r="K514" i="27" s="1"/>
  <c r="F513" i="27"/>
  <c r="I513" i="27" s="1"/>
  <c r="K513" i="27" s="1"/>
  <c r="F512" i="27"/>
  <c r="I512" i="27" s="1"/>
  <c r="K512" i="27" s="1"/>
  <c r="F511" i="27"/>
  <c r="I511" i="27" s="1"/>
  <c r="K511" i="27" s="1"/>
  <c r="F510" i="27"/>
  <c r="I510" i="27" s="1"/>
  <c r="K510" i="27" s="1"/>
  <c r="F509" i="27"/>
  <c r="I509" i="27" s="1"/>
  <c r="K509" i="27" s="1"/>
  <c r="F508" i="27"/>
  <c r="I508" i="27" s="1"/>
  <c r="K508" i="27" s="1"/>
  <c r="F507" i="27"/>
  <c r="I507" i="27" s="1"/>
  <c r="K507" i="27" s="1"/>
  <c r="F506" i="27"/>
  <c r="I506" i="27" s="1"/>
  <c r="K506" i="27" s="1"/>
  <c r="F505" i="27"/>
  <c r="I505" i="27" s="1"/>
  <c r="K505" i="27" s="1"/>
  <c r="F504" i="27"/>
  <c r="I504" i="27" s="1"/>
  <c r="K504" i="27" s="1"/>
  <c r="F503" i="27"/>
  <c r="I503" i="27" s="1"/>
  <c r="K503" i="27" s="1"/>
  <c r="F502" i="27"/>
  <c r="I502" i="27" s="1"/>
  <c r="K502" i="27" s="1"/>
  <c r="F501" i="27"/>
  <c r="I501" i="27" s="1"/>
  <c r="K501" i="27" s="1"/>
  <c r="F500" i="27"/>
  <c r="I500" i="27" s="1"/>
  <c r="K500" i="27" s="1"/>
  <c r="F499" i="27"/>
  <c r="I499" i="27" s="1"/>
  <c r="K499" i="27" s="1"/>
  <c r="F498" i="27"/>
  <c r="I498" i="27" s="1"/>
  <c r="K498" i="27" s="1"/>
  <c r="F497" i="27"/>
  <c r="I497" i="27" s="1"/>
  <c r="K497" i="27" s="1"/>
  <c r="F496" i="27"/>
  <c r="I496" i="27" s="1"/>
  <c r="K496" i="27" s="1"/>
  <c r="F495" i="27"/>
  <c r="I495" i="27" s="1"/>
  <c r="K495" i="27" s="1"/>
  <c r="F494" i="27"/>
  <c r="I494" i="27" s="1"/>
  <c r="K494" i="27" s="1"/>
  <c r="F493" i="27"/>
  <c r="I493" i="27" s="1"/>
  <c r="K493" i="27" s="1"/>
  <c r="F492" i="27"/>
  <c r="I492" i="27" s="1"/>
  <c r="K492" i="27" s="1"/>
  <c r="F491" i="27"/>
  <c r="I491" i="27" s="1"/>
  <c r="K491" i="27" s="1"/>
  <c r="F490" i="27"/>
  <c r="I490" i="27" s="1"/>
  <c r="K490" i="27" s="1"/>
  <c r="F489" i="27"/>
  <c r="I489" i="27" s="1"/>
  <c r="K489" i="27" s="1"/>
  <c r="F488" i="27"/>
  <c r="I488" i="27" s="1"/>
  <c r="F487" i="27"/>
  <c r="I487" i="27" s="1"/>
  <c r="K487" i="27" s="1"/>
  <c r="F486" i="27"/>
  <c r="I486" i="27" s="1"/>
  <c r="K486" i="27" s="1"/>
  <c r="F485" i="27"/>
  <c r="I485" i="27" s="1"/>
  <c r="K485" i="27" s="1"/>
  <c r="F484" i="27"/>
  <c r="I484" i="27" s="1"/>
  <c r="K484" i="27" s="1"/>
  <c r="F483" i="27"/>
  <c r="I483" i="27" s="1"/>
  <c r="K483" i="27" s="1"/>
  <c r="F482" i="27"/>
  <c r="I482" i="27" s="1"/>
  <c r="K482" i="27" s="1"/>
  <c r="F481" i="27"/>
  <c r="I481" i="27" s="1"/>
  <c r="K481" i="27" s="1"/>
  <c r="F480" i="27"/>
  <c r="I480" i="27" s="1"/>
  <c r="K480" i="27" s="1"/>
  <c r="F479" i="27"/>
  <c r="I479" i="27" s="1"/>
  <c r="K479" i="27" s="1"/>
  <c r="F478" i="27"/>
  <c r="I478" i="27" s="1"/>
  <c r="K478" i="27" s="1"/>
  <c r="F477" i="27"/>
  <c r="I477" i="27" s="1"/>
  <c r="K477" i="27" s="1"/>
  <c r="F476" i="27"/>
  <c r="I476" i="27" s="1"/>
  <c r="K476" i="27" s="1"/>
  <c r="F475" i="27"/>
  <c r="I475" i="27" s="1"/>
  <c r="K475" i="27" s="1"/>
  <c r="F474" i="27"/>
  <c r="I474" i="27" s="1"/>
  <c r="K474" i="27" s="1"/>
  <c r="F473" i="27"/>
  <c r="I473" i="27" s="1"/>
  <c r="K473" i="27" s="1"/>
  <c r="F472" i="27"/>
  <c r="I472" i="27" s="1"/>
  <c r="K472" i="27" s="1"/>
  <c r="F471" i="27"/>
  <c r="I471" i="27" s="1"/>
  <c r="K471" i="27" s="1"/>
  <c r="F470" i="27"/>
  <c r="I470" i="27" s="1"/>
  <c r="K470" i="27" s="1"/>
  <c r="F469" i="27"/>
  <c r="I469" i="27" s="1"/>
  <c r="K469" i="27" s="1"/>
  <c r="F468" i="27"/>
  <c r="I468" i="27" s="1"/>
  <c r="K468" i="27" s="1"/>
  <c r="F467" i="27"/>
  <c r="I467" i="27" s="1"/>
  <c r="K467" i="27" s="1"/>
  <c r="F466" i="27"/>
  <c r="I466" i="27" s="1"/>
  <c r="K466" i="27" s="1"/>
  <c r="F465" i="27"/>
  <c r="I465" i="27" s="1"/>
  <c r="K465" i="27" s="1"/>
  <c r="F464" i="27"/>
  <c r="I464" i="27" s="1"/>
  <c r="K464" i="27" s="1"/>
  <c r="F463" i="27"/>
  <c r="I463" i="27" s="1"/>
  <c r="K463" i="27" s="1"/>
  <c r="F462" i="27"/>
  <c r="I462" i="27" s="1"/>
  <c r="K462" i="27" s="1"/>
  <c r="F461" i="27"/>
  <c r="I461" i="27" s="1"/>
  <c r="K461" i="27" s="1"/>
  <c r="F460" i="27"/>
  <c r="I460" i="27" s="1"/>
  <c r="K460" i="27" s="1"/>
  <c r="F459" i="27"/>
  <c r="I459" i="27" s="1"/>
  <c r="K459" i="27" s="1"/>
  <c r="F458" i="27"/>
  <c r="I458" i="27" s="1"/>
  <c r="K458" i="27" s="1"/>
  <c r="F457" i="27"/>
  <c r="I457" i="27" s="1"/>
  <c r="K457" i="27" s="1"/>
  <c r="F456" i="27"/>
  <c r="I456" i="27" s="1"/>
  <c r="K456" i="27" s="1"/>
  <c r="F455" i="27"/>
  <c r="I455" i="27" s="1"/>
  <c r="K455" i="27" s="1"/>
  <c r="F454" i="27"/>
  <c r="I454" i="27" s="1"/>
  <c r="K454" i="27" s="1"/>
  <c r="F453" i="27"/>
  <c r="I453" i="27" s="1"/>
  <c r="K453" i="27" s="1"/>
  <c r="F452" i="27"/>
  <c r="I452" i="27" s="1"/>
  <c r="K452" i="27" s="1"/>
  <c r="F451" i="27"/>
  <c r="I451" i="27" s="1"/>
  <c r="K451" i="27" s="1"/>
  <c r="F450" i="27"/>
  <c r="I450" i="27" s="1"/>
  <c r="K450" i="27" s="1"/>
  <c r="F449" i="27"/>
  <c r="I449" i="27" s="1"/>
  <c r="K449" i="27" s="1"/>
  <c r="F448" i="27"/>
  <c r="I448" i="27" s="1"/>
  <c r="K448" i="27" s="1"/>
  <c r="F447" i="27"/>
  <c r="I447" i="27" s="1"/>
  <c r="K447" i="27" s="1"/>
  <c r="F446" i="27"/>
  <c r="I446" i="27" s="1"/>
  <c r="K446" i="27" s="1"/>
  <c r="F445" i="27"/>
  <c r="I445" i="27" s="1"/>
  <c r="K445" i="27" s="1"/>
  <c r="F444" i="27"/>
  <c r="I444" i="27" s="1"/>
  <c r="K444" i="27" s="1"/>
  <c r="F443" i="27"/>
  <c r="I443" i="27" s="1"/>
  <c r="K443" i="27" s="1"/>
  <c r="F442" i="27"/>
  <c r="I442" i="27" s="1"/>
  <c r="K442" i="27" s="1"/>
  <c r="F441" i="27"/>
  <c r="I441" i="27" s="1"/>
  <c r="K441" i="27" s="1"/>
  <c r="F440" i="27"/>
  <c r="I440" i="27" s="1"/>
  <c r="K440" i="27" s="1"/>
  <c r="F439" i="27"/>
  <c r="I439" i="27" s="1"/>
  <c r="K439" i="27" s="1"/>
  <c r="F438" i="27"/>
  <c r="I438" i="27" s="1"/>
  <c r="K438" i="27" s="1"/>
  <c r="F437" i="27"/>
  <c r="I437" i="27" s="1"/>
  <c r="K437" i="27" s="1"/>
  <c r="F436" i="27"/>
  <c r="I436" i="27" s="1"/>
  <c r="K436" i="27" s="1"/>
  <c r="F435" i="27"/>
  <c r="I435" i="27" s="1"/>
  <c r="K435" i="27" s="1"/>
  <c r="F434" i="27"/>
  <c r="I434" i="27" s="1"/>
  <c r="K434" i="27" s="1"/>
  <c r="F433" i="27"/>
  <c r="I433" i="27" s="1"/>
  <c r="K433" i="27" s="1"/>
  <c r="F432" i="27"/>
  <c r="I432" i="27" s="1"/>
  <c r="K432" i="27" s="1"/>
  <c r="F431" i="27"/>
  <c r="I431" i="27" s="1"/>
  <c r="K431" i="27" s="1"/>
  <c r="F430" i="27"/>
  <c r="I430" i="27" s="1"/>
  <c r="K430" i="27" s="1"/>
  <c r="F429" i="27"/>
  <c r="I429" i="27" s="1"/>
  <c r="K429" i="27" s="1"/>
  <c r="F428" i="27"/>
  <c r="I428" i="27" s="1"/>
  <c r="K428" i="27" s="1"/>
  <c r="F427" i="27"/>
  <c r="I427" i="27" s="1"/>
  <c r="K427" i="27" s="1"/>
  <c r="F426" i="27"/>
  <c r="I426" i="27" s="1"/>
  <c r="K426" i="27" s="1"/>
  <c r="F425" i="27"/>
  <c r="I425" i="27" s="1"/>
  <c r="K425" i="27" s="1"/>
  <c r="F424" i="27"/>
  <c r="I424" i="27" s="1"/>
  <c r="K424" i="27" s="1"/>
  <c r="F423" i="27"/>
  <c r="I423" i="27" s="1"/>
  <c r="K423" i="27" s="1"/>
  <c r="F422" i="27"/>
  <c r="I422" i="27" s="1"/>
  <c r="K422" i="27" s="1"/>
  <c r="F421" i="27"/>
  <c r="I421" i="27" s="1"/>
  <c r="K421" i="27" s="1"/>
  <c r="F420" i="27"/>
  <c r="I420" i="27" s="1"/>
  <c r="K420" i="27" s="1"/>
  <c r="F419" i="27"/>
  <c r="I419" i="27" s="1"/>
  <c r="K419" i="27" s="1"/>
  <c r="F418" i="27"/>
  <c r="I418" i="27" s="1"/>
  <c r="K418" i="27" s="1"/>
  <c r="F417" i="27"/>
  <c r="I417" i="27" s="1"/>
  <c r="K417" i="27" s="1"/>
  <c r="F416" i="27"/>
  <c r="I416" i="27" s="1"/>
  <c r="K416" i="27" s="1"/>
  <c r="F415" i="27"/>
  <c r="I415" i="27" s="1"/>
  <c r="K415" i="27" s="1"/>
  <c r="F414" i="27"/>
  <c r="I414" i="27" s="1"/>
  <c r="K414" i="27" s="1"/>
  <c r="F413" i="27"/>
  <c r="I413" i="27" s="1"/>
  <c r="K413" i="27" s="1"/>
  <c r="F412" i="27"/>
  <c r="I412" i="27" s="1"/>
  <c r="K412" i="27" s="1"/>
  <c r="F411" i="27"/>
  <c r="I411" i="27" s="1"/>
  <c r="K411" i="27" s="1"/>
  <c r="F410" i="27"/>
  <c r="I410" i="27" s="1"/>
  <c r="K410" i="27" s="1"/>
  <c r="F409" i="27"/>
  <c r="I409" i="27" s="1"/>
  <c r="K409" i="27" s="1"/>
  <c r="F408" i="27"/>
  <c r="I408" i="27" s="1"/>
  <c r="K408" i="27" s="1"/>
  <c r="F407" i="27"/>
  <c r="I407" i="27" s="1"/>
  <c r="K407" i="27" s="1"/>
  <c r="F406" i="27"/>
  <c r="I406" i="27" s="1"/>
  <c r="K406" i="27" s="1"/>
  <c r="F405" i="27"/>
  <c r="I405" i="27" s="1"/>
  <c r="K405" i="27" s="1"/>
  <c r="F404" i="27"/>
  <c r="I404" i="27" s="1"/>
  <c r="K404" i="27" s="1"/>
  <c r="F403" i="27"/>
  <c r="I403" i="27" s="1"/>
  <c r="K403" i="27" s="1"/>
  <c r="F402" i="27"/>
  <c r="I402" i="27" s="1"/>
  <c r="K402" i="27" s="1"/>
  <c r="F401" i="27"/>
  <c r="I401" i="27" s="1"/>
  <c r="K401" i="27" s="1"/>
  <c r="F400" i="27"/>
  <c r="I400" i="27" s="1"/>
  <c r="K400" i="27" s="1"/>
  <c r="F399" i="27"/>
  <c r="I399" i="27" s="1"/>
  <c r="K399" i="27" s="1"/>
  <c r="F398" i="27"/>
  <c r="I398" i="27" s="1"/>
  <c r="K398" i="27" s="1"/>
  <c r="F397" i="27"/>
  <c r="I397" i="27" s="1"/>
  <c r="K397" i="27" s="1"/>
  <c r="F396" i="27"/>
  <c r="I396" i="27" s="1"/>
  <c r="K396" i="27" s="1"/>
  <c r="F395" i="27"/>
  <c r="I395" i="27" s="1"/>
  <c r="K395" i="27" s="1"/>
  <c r="F394" i="27"/>
  <c r="I394" i="27" s="1"/>
  <c r="K394" i="27" s="1"/>
  <c r="F393" i="27"/>
  <c r="I393" i="27" s="1"/>
  <c r="K393" i="27" s="1"/>
  <c r="F392" i="27"/>
  <c r="I392" i="27" s="1"/>
  <c r="K392" i="27" s="1"/>
  <c r="F391" i="27"/>
  <c r="I391" i="27" s="1"/>
  <c r="K391" i="27" s="1"/>
  <c r="F390" i="27"/>
  <c r="I390" i="27" s="1"/>
  <c r="K390" i="27" s="1"/>
  <c r="F389" i="27"/>
  <c r="I389" i="27" s="1"/>
  <c r="K389" i="27" s="1"/>
  <c r="F388" i="27"/>
  <c r="I388" i="27" s="1"/>
  <c r="K388" i="27" s="1"/>
  <c r="F387" i="27"/>
  <c r="I387" i="27" s="1"/>
  <c r="K387" i="27" s="1"/>
  <c r="F386" i="27"/>
  <c r="I386" i="27" s="1"/>
  <c r="K386" i="27" s="1"/>
  <c r="F385" i="27"/>
  <c r="I385" i="27" s="1"/>
  <c r="K385" i="27" s="1"/>
  <c r="F384" i="27"/>
  <c r="I384" i="27" s="1"/>
  <c r="K384" i="27" s="1"/>
  <c r="F383" i="27"/>
  <c r="I383" i="27" s="1"/>
  <c r="K383" i="27" s="1"/>
  <c r="F382" i="27"/>
  <c r="I382" i="27" s="1"/>
  <c r="K382" i="27" s="1"/>
  <c r="F381" i="27"/>
  <c r="I381" i="27" s="1"/>
  <c r="K381" i="27" s="1"/>
  <c r="F380" i="27"/>
  <c r="I380" i="27" s="1"/>
  <c r="K380" i="27" s="1"/>
  <c r="F379" i="27"/>
  <c r="I379" i="27" s="1"/>
  <c r="K379" i="27" s="1"/>
  <c r="F378" i="27"/>
  <c r="I378" i="27" s="1"/>
  <c r="K378" i="27" s="1"/>
  <c r="F377" i="27"/>
  <c r="I377" i="27" s="1"/>
  <c r="K377" i="27" s="1"/>
  <c r="F376" i="27"/>
  <c r="I376" i="27" s="1"/>
  <c r="K376" i="27" s="1"/>
  <c r="F375" i="27"/>
  <c r="I375" i="27" s="1"/>
  <c r="K375" i="27" s="1"/>
  <c r="F374" i="27"/>
  <c r="I374" i="27" s="1"/>
  <c r="K374" i="27" s="1"/>
  <c r="F373" i="27"/>
  <c r="I373" i="27" s="1"/>
  <c r="K373" i="27" s="1"/>
  <c r="F372" i="27"/>
  <c r="I372" i="27" s="1"/>
  <c r="K372" i="27" s="1"/>
  <c r="F371" i="27"/>
  <c r="I371" i="27" s="1"/>
  <c r="K371" i="27" s="1"/>
  <c r="F370" i="27"/>
  <c r="I370" i="27" s="1"/>
  <c r="K370" i="27" s="1"/>
  <c r="F369" i="27"/>
  <c r="I369" i="27" s="1"/>
  <c r="K369" i="27" s="1"/>
  <c r="F368" i="27"/>
  <c r="I368" i="27" s="1"/>
  <c r="K368" i="27" s="1"/>
  <c r="F367" i="27"/>
  <c r="I367" i="27" s="1"/>
  <c r="K367" i="27" s="1"/>
  <c r="F366" i="27"/>
  <c r="I366" i="27" s="1"/>
  <c r="K366" i="27" s="1"/>
  <c r="F365" i="27"/>
  <c r="I365" i="27" s="1"/>
  <c r="K365" i="27" s="1"/>
  <c r="F364" i="27"/>
  <c r="I364" i="27" s="1"/>
  <c r="K364" i="27" s="1"/>
  <c r="F363" i="27"/>
  <c r="I363" i="27" s="1"/>
  <c r="K363" i="27" s="1"/>
  <c r="F362" i="27"/>
  <c r="I362" i="27" s="1"/>
  <c r="K362" i="27" s="1"/>
  <c r="F361" i="27"/>
  <c r="I361" i="27" s="1"/>
  <c r="K361" i="27" s="1"/>
  <c r="F360" i="27"/>
  <c r="I360" i="27" s="1"/>
  <c r="K360" i="27" s="1"/>
  <c r="F359" i="27"/>
  <c r="I359" i="27" s="1"/>
  <c r="K359" i="27" s="1"/>
  <c r="F358" i="27"/>
  <c r="I358" i="27" s="1"/>
  <c r="K358" i="27" s="1"/>
  <c r="F357" i="27"/>
  <c r="I357" i="27" s="1"/>
  <c r="K357" i="27" s="1"/>
  <c r="F356" i="27"/>
  <c r="I356" i="27" s="1"/>
  <c r="K356" i="27" s="1"/>
  <c r="F355" i="27"/>
  <c r="I355" i="27" s="1"/>
  <c r="K355" i="27" s="1"/>
  <c r="F354" i="27"/>
  <c r="I354" i="27" s="1"/>
  <c r="K354" i="27" s="1"/>
  <c r="F353" i="27"/>
  <c r="I353" i="27" s="1"/>
  <c r="K353" i="27" s="1"/>
  <c r="F352" i="27"/>
  <c r="I352" i="27" s="1"/>
  <c r="K352" i="27" s="1"/>
  <c r="F351" i="27"/>
  <c r="I351" i="27" s="1"/>
  <c r="K351" i="27" s="1"/>
  <c r="F350" i="27"/>
  <c r="I350" i="27" s="1"/>
  <c r="K350" i="27" s="1"/>
  <c r="F349" i="27"/>
  <c r="I349" i="27" s="1"/>
  <c r="K349" i="27" s="1"/>
  <c r="F348" i="27"/>
  <c r="I348" i="27" s="1"/>
  <c r="K348" i="27" s="1"/>
  <c r="F347" i="27"/>
  <c r="I347" i="27" s="1"/>
  <c r="K347" i="27" s="1"/>
  <c r="F346" i="27"/>
  <c r="I346" i="27" s="1"/>
  <c r="K346" i="27" s="1"/>
  <c r="F345" i="27"/>
  <c r="I345" i="27" s="1"/>
  <c r="K345" i="27" s="1"/>
  <c r="F344" i="27"/>
  <c r="I344" i="27" s="1"/>
  <c r="K344" i="27" s="1"/>
  <c r="F343" i="27"/>
  <c r="I343" i="27" s="1"/>
  <c r="K343" i="27" s="1"/>
  <c r="F342" i="27"/>
  <c r="I342" i="27" s="1"/>
  <c r="K342" i="27" s="1"/>
  <c r="F341" i="27"/>
  <c r="I341" i="27" s="1"/>
  <c r="K341" i="27" s="1"/>
  <c r="F340" i="27"/>
  <c r="I340" i="27" s="1"/>
  <c r="K340" i="27" s="1"/>
  <c r="F339" i="27"/>
  <c r="I339" i="27" s="1"/>
  <c r="K339" i="27" s="1"/>
  <c r="F338" i="27"/>
  <c r="I338" i="27" s="1"/>
  <c r="K338" i="27" s="1"/>
  <c r="F337" i="27"/>
  <c r="I337" i="27" s="1"/>
  <c r="K337" i="27" s="1"/>
  <c r="F336" i="27"/>
  <c r="I336" i="27" s="1"/>
  <c r="K336" i="27" s="1"/>
  <c r="F335" i="27"/>
  <c r="I335" i="27" s="1"/>
  <c r="K335" i="27" s="1"/>
  <c r="F334" i="27"/>
  <c r="I334" i="27" s="1"/>
  <c r="K334" i="27" s="1"/>
  <c r="F333" i="27"/>
  <c r="I333" i="27" s="1"/>
  <c r="K333" i="27" s="1"/>
  <c r="F332" i="27"/>
  <c r="I332" i="27" s="1"/>
  <c r="K332" i="27" s="1"/>
  <c r="F331" i="27"/>
  <c r="I331" i="27" s="1"/>
  <c r="K331" i="27" s="1"/>
  <c r="F330" i="27"/>
  <c r="I330" i="27" s="1"/>
  <c r="K330" i="27" s="1"/>
  <c r="F329" i="27"/>
  <c r="I329" i="27" s="1"/>
  <c r="K329" i="27" s="1"/>
  <c r="F328" i="27"/>
  <c r="I328" i="27" s="1"/>
  <c r="K328" i="27" s="1"/>
  <c r="F327" i="27"/>
  <c r="I327" i="27" s="1"/>
  <c r="K327" i="27" s="1"/>
  <c r="F326" i="27"/>
  <c r="I326" i="27" s="1"/>
  <c r="K326" i="27" s="1"/>
  <c r="F325" i="27"/>
  <c r="I325" i="27" s="1"/>
  <c r="K325" i="27" s="1"/>
  <c r="F324" i="27"/>
  <c r="I324" i="27" s="1"/>
  <c r="K324" i="27" s="1"/>
  <c r="F323" i="27"/>
  <c r="I323" i="27" s="1"/>
  <c r="K323" i="27" s="1"/>
  <c r="F322" i="27"/>
  <c r="I322" i="27" s="1"/>
  <c r="K322" i="27" s="1"/>
  <c r="F321" i="27"/>
  <c r="I321" i="27" s="1"/>
  <c r="K321" i="27" s="1"/>
  <c r="F320" i="27"/>
  <c r="I320" i="27" s="1"/>
  <c r="K320" i="27" s="1"/>
  <c r="F319" i="27"/>
  <c r="I319" i="27" s="1"/>
  <c r="K319" i="27" s="1"/>
  <c r="F318" i="27"/>
  <c r="I318" i="27" s="1"/>
  <c r="K318" i="27" s="1"/>
  <c r="F317" i="27"/>
  <c r="I317" i="27" s="1"/>
  <c r="K317" i="27" s="1"/>
  <c r="F316" i="27"/>
  <c r="I316" i="27" s="1"/>
  <c r="K316" i="27" s="1"/>
  <c r="F315" i="27"/>
  <c r="I315" i="27" s="1"/>
  <c r="K315" i="27" s="1"/>
  <c r="F314" i="27"/>
  <c r="I314" i="27" s="1"/>
  <c r="K314" i="27" s="1"/>
  <c r="F313" i="27"/>
  <c r="I313" i="27" s="1"/>
  <c r="K313" i="27" s="1"/>
  <c r="F312" i="27"/>
  <c r="I312" i="27" s="1"/>
  <c r="K312" i="27" s="1"/>
  <c r="F311" i="27"/>
  <c r="I311" i="27" s="1"/>
  <c r="K311" i="27" s="1"/>
  <c r="F310" i="27"/>
  <c r="I310" i="27" s="1"/>
  <c r="K310" i="27" s="1"/>
  <c r="F309" i="27"/>
  <c r="I309" i="27" s="1"/>
  <c r="K309" i="27" s="1"/>
  <c r="F308" i="27"/>
  <c r="I308" i="27" s="1"/>
  <c r="K308" i="27" s="1"/>
  <c r="F307" i="27"/>
  <c r="I307" i="27" s="1"/>
  <c r="K307" i="27" s="1"/>
  <c r="F306" i="27"/>
  <c r="I306" i="27" s="1"/>
  <c r="K306" i="27" s="1"/>
  <c r="F305" i="27"/>
  <c r="I305" i="27" s="1"/>
  <c r="K305" i="27" s="1"/>
  <c r="F304" i="27"/>
  <c r="I304" i="27" s="1"/>
  <c r="K304" i="27" s="1"/>
  <c r="F303" i="27"/>
  <c r="I303" i="27" s="1"/>
  <c r="K303" i="27" s="1"/>
  <c r="F302" i="27"/>
  <c r="I302" i="27" s="1"/>
  <c r="K302" i="27" s="1"/>
  <c r="F301" i="27"/>
  <c r="I301" i="27" s="1"/>
  <c r="K301" i="27" s="1"/>
  <c r="F300" i="27"/>
  <c r="I300" i="27" s="1"/>
  <c r="K300" i="27" s="1"/>
  <c r="F299" i="27"/>
  <c r="I299" i="27" s="1"/>
  <c r="K299" i="27" s="1"/>
  <c r="F298" i="27"/>
  <c r="I298" i="27" s="1"/>
  <c r="K298" i="27" s="1"/>
  <c r="F297" i="27"/>
  <c r="I297" i="27" s="1"/>
  <c r="K297" i="27" s="1"/>
  <c r="F296" i="27"/>
  <c r="I296" i="27" s="1"/>
  <c r="F295" i="27"/>
  <c r="I295" i="27" s="1"/>
  <c r="K295" i="27" s="1"/>
  <c r="F294" i="27"/>
  <c r="I294" i="27" s="1"/>
  <c r="K294" i="27" s="1"/>
  <c r="F293" i="27"/>
  <c r="I293" i="27" s="1"/>
  <c r="K293" i="27" s="1"/>
  <c r="F292" i="27"/>
  <c r="I292" i="27" s="1"/>
  <c r="K292" i="27" s="1"/>
  <c r="F291" i="27"/>
  <c r="I291" i="27" s="1"/>
  <c r="K291" i="27" s="1"/>
  <c r="F290" i="27"/>
  <c r="I290" i="27" s="1"/>
  <c r="K290" i="27" s="1"/>
  <c r="F289" i="27"/>
  <c r="I289" i="27" s="1"/>
  <c r="K289" i="27" s="1"/>
  <c r="F288" i="27"/>
  <c r="I288" i="27" s="1"/>
  <c r="K288" i="27" s="1"/>
  <c r="F287" i="27"/>
  <c r="I287" i="27" s="1"/>
  <c r="K287" i="27" s="1"/>
  <c r="F286" i="27"/>
  <c r="I286" i="27" s="1"/>
  <c r="K286" i="27" s="1"/>
  <c r="F285" i="27"/>
  <c r="I285" i="27" s="1"/>
  <c r="K285" i="27" s="1"/>
  <c r="F284" i="27"/>
  <c r="I284" i="27" s="1"/>
  <c r="K284" i="27" s="1"/>
  <c r="F283" i="27"/>
  <c r="I283" i="27" s="1"/>
  <c r="K283" i="27" s="1"/>
  <c r="F282" i="27"/>
  <c r="I282" i="27" s="1"/>
  <c r="K282" i="27" s="1"/>
  <c r="F281" i="27"/>
  <c r="I281" i="27" s="1"/>
  <c r="K281" i="27" s="1"/>
  <c r="F280" i="27"/>
  <c r="I280" i="27" s="1"/>
  <c r="K280" i="27" s="1"/>
  <c r="F279" i="27"/>
  <c r="I279" i="27" s="1"/>
  <c r="K279" i="27" s="1"/>
  <c r="F278" i="27"/>
  <c r="I278" i="27" s="1"/>
  <c r="K278" i="27" s="1"/>
  <c r="F277" i="27"/>
  <c r="I277" i="27" s="1"/>
  <c r="K277" i="27" s="1"/>
  <c r="F276" i="27"/>
  <c r="I276" i="27" s="1"/>
  <c r="K276" i="27" s="1"/>
  <c r="F275" i="27"/>
  <c r="I275" i="27" s="1"/>
  <c r="K275" i="27" s="1"/>
  <c r="F274" i="27"/>
  <c r="I274" i="27" s="1"/>
  <c r="K274" i="27" s="1"/>
  <c r="F273" i="27"/>
  <c r="I273" i="27" s="1"/>
  <c r="F272" i="27"/>
  <c r="I272" i="27" s="1"/>
  <c r="F271" i="27"/>
  <c r="I271" i="27" s="1"/>
  <c r="K271" i="27" s="1"/>
  <c r="F270" i="27"/>
  <c r="I270" i="27" s="1"/>
  <c r="K270" i="27" s="1"/>
  <c r="F269" i="27"/>
  <c r="I269" i="27" s="1"/>
  <c r="K269" i="27" s="1"/>
  <c r="F268" i="27"/>
  <c r="I268" i="27" s="1"/>
  <c r="K268" i="27" s="1"/>
  <c r="F267" i="27"/>
  <c r="I267" i="27" s="1"/>
  <c r="K267" i="27" s="1"/>
  <c r="F266" i="27"/>
  <c r="I266" i="27" s="1"/>
  <c r="K266" i="27" s="1"/>
  <c r="F265" i="27"/>
  <c r="I265" i="27" s="1"/>
  <c r="K265" i="27" s="1"/>
  <c r="F264" i="27"/>
  <c r="I264" i="27" s="1"/>
  <c r="K264" i="27" s="1"/>
  <c r="F263" i="27"/>
  <c r="I263" i="27" s="1"/>
  <c r="K263" i="27" s="1"/>
  <c r="F262" i="27"/>
  <c r="I262" i="27" s="1"/>
  <c r="K262" i="27" s="1"/>
  <c r="F261" i="27"/>
  <c r="I261" i="27" s="1"/>
  <c r="K261" i="27" s="1"/>
  <c r="F260" i="27"/>
  <c r="I260" i="27" s="1"/>
  <c r="K260" i="27" s="1"/>
  <c r="F259" i="27"/>
  <c r="I259" i="27" s="1"/>
  <c r="K259" i="27" s="1"/>
  <c r="F258" i="27"/>
  <c r="I258" i="27" s="1"/>
  <c r="K258" i="27" s="1"/>
  <c r="F257" i="27"/>
  <c r="I257" i="27" s="1"/>
  <c r="K257" i="27" s="1"/>
  <c r="F256" i="27"/>
  <c r="I256" i="27" s="1"/>
  <c r="K256" i="27" s="1"/>
  <c r="F255" i="27"/>
  <c r="I255" i="27" s="1"/>
  <c r="K255" i="27" s="1"/>
  <c r="F254" i="27"/>
  <c r="I254" i="27" s="1"/>
  <c r="K254" i="27" s="1"/>
  <c r="F253" i="27"/>
  <c r="I253" i="27" s="1"/>
  <c r="K253" i="27" s="1"/>
  <c r="F252" i="27"/>
  <c r="I252" i="27" s="1"/>
  <c r="K252" i="27" s="1"/>
  <c r="F251" i="27"/>
  <c r="I251" i="27" s="1"/>
  <c r="K251" i="27" s="1"/>
  <c r="F250" i="27"/>
  <c r="I250" i="27" s="1"/>
  <c r="K250" i="27" s="1"/>
  <c r="F249" i="27"/>
  <c r="I249" i="27" s="1"/>
  <c r="K249" i="27" s="1"/>
  <c r="F248" i="27"/>
  <c r="I248" i="27" s="1"/>
  <c r="K248" i="27" s="1"/>
  <c r="F247" i="27"/>
  <c r="I247" i="27" s="1"/>
  <c r="K247" i="27" s="1"/>
  <c r="F246" i="27"/>
  <c r="I246" i="27" s="1"/>
  <c r="K246" i="27" s="1"/>
  <c r="F245" i="27"/>
  <c r="I245" i="27" s="1"/>
  <c r="K245" i="27" s="1"/>
  <c r="F244" i="27"/>
  <c r="I244" i="27" s="1"/>
  <c r="K244" i="27" s="1"/>
  <c r="F243" i="27"/>
  <c r="I243" i="27" s="1"/>
  <c r="K243" i="27" s="1"/>
  <c r="F242" i="27"/>
  <c r="I242" i="27" s="1"/>
  <c r="K242" i="27" s="1"/>
  <c r="F241" i="27"/>
  <c r="I241" i="27" s="1"/>
  <c r="K241" i="27" s="1"/>
  <c r="F240" i="27"/>
  <c r="I240" i="27" s="1"/>
  <c r="K240" i="27" s="1"/>
  <c r="F239" i="27"/>
  <c r="I239" i="27" s="1"/>
  <c r="K239" i="27" s="1"/>
  <c r="F238" i="27"/>
  <c r="I238" i="27" s="1"/>
  <c r="K238" i="27" s="1"/>
  <c r="F237" i="27"/>
  <c r="I237" i="27" s="1"/>
  <c r="K237" i="27" s="1"/>
  <c r="F236" i="27"/>
  <c r="I236" i="27" s="1"/>
  <c r="K236" i="27" s="1"/>
  <c r="F235" i="27"/>
  <c r="I235" i="27" s="1"/>
  <c r="K235" i="27" s="1"/>
  <c r="F234" i="27"/>
  <c r="I234" i="27" s="1"/>
  <c r="K234" i="27" s="1"/>
  <c r="F233" i="27"/>
  <c r="I233" i="27" s="1"/>
  <c r="K233" i="27" s="1"/>
  <c r="F232" i="27"/>
  <c r="I232" i="27" s="1"/>
  <c r="K232" i="27" s="1"/>
  <c r="F231" i="27"/>
  <c r="I231" i="27" s="1"/>
  <c r="K231" i="27" s="1"/>
  <c r="F230" i="27"/>
  <c r="I230" i="27" s="1"/>
  <c r="K230" i="27" s="1"/>
  <c r="F229" i="27"/>
  <c r="I229" i="27" s="1"/>
  <c r="K229" i="27" s="1"/>
  <c r="F228" i="27"/>
  <c r="I228" i="27" s="1"/>
  <c r="K228" i="27" s="1"/>
  <c r="F227" i="27"/>
  <c r="I227" i="27" s="1"/>
  <c r="K227" i="27" s="1"/>
  <c r="F226" i="27"/>
  <c r="I226" i="27" s="1"/>
  <c r="K226" i="27" s="1"/>
  <c r="F225" i="27"/>
  <c r="I225" i="27" s="1"/>
  <c r="K225" i="27" s="1"/>
  <c r="F224" i="27"/>
  <c r="I224" i="27" s="1"/>
  <c r="K224" i="27" s="1"/>
  <c r="F223" i="27"/>
  <c r="I223" i="27" s="1"/>
  <c r="K223" i="27" s="1"/>
  <c r="F222" i="27"/>
  <c r="I222" i="27" s="1"/>
  <c r="K222" i="27" s="1"/>
  <c r="F221" i="27"/>
  <c r="I221" i="27" s="1"/>
  <c r="K221" i="27" s="1"/>
  <c r="F220" i="27"/>
  <c r="I220" i="27" s="1"/>
  <c r="K220" i="27" s="1"/>
  <c r="F219" i="27"/>
  <c r="I219" i="27" s="1"/>
  <c r="K219" i="27" s="1"/>
  <c r="F218" i="27"/>
  <c r="I218" i="27" s="1"/>
  <c r="K218" i="27" s="1"/>
  <c r="F217" i="27"/>
  <c r="I217" i="27" s="1"/>
  <c r="K217" i="27" s="1"/>
  <c r="F216" i="27"/>
  <c r="I216" i="27" s="1"/>
  <c r="K216" i="27" s="1"/>
  <c r="F215" i="27"/>
  <c r="I215" i="27" s="1"/>
  <c r="K215" i="27" s="1"/>
  <c r="F214" i="27"/>
  <c r="I214" i="27" s="1"/>
  <c r="K214" i="27" s="1"/>
  <c r="F213" i="27"/>
  <c r="I213" i="27" s="1"/>
  <c r="K213" i="27" s="1"/>
  <c r="F212" i="27"/>
  <c r="I212" i="27" s="1"/>
  <c r="K212" i="27" s="1"/>
  <c r="F211" i="27"/>
  <c r="I211" i="27" s="1"/>
  <c r="K211" i="27" s="1"/>
  <c r="F210" i="27"/>
  <c r="I210" i="27" s="1"/>
  <c r="K210" i="27" s="1"/>
  <c r="F209" i="27"/>
  <c r="I209" i="27" s="1"/>
  <c r="K209" i="27" s="1"/>
  <c r="F208" i="27"/>
  <c r="I208" i="27" s="1"/>
  <c r="K208" i="27" s="1"/>
  <c r="F207" i="27"/>
  <c r="I207" i="27" s="1"/>
  <c r="K207" i="27" s="1"/>
  <c r="F206" i="27"/>
  <c r="I206" i="27" s="1"/>
  <c r="K206" i="27" s="1"/>
  <c r="F205" i="27"/>
  <c r="I205" i="27" s="1"/>
  <c r="K205" i="27" s="1"/>
  <c r="F204" i="27"/>
  <c r="I204" i="27" s="1"/>
  <c r="K204" i="27" s="1"/>
  <c r="F203" i="27"/>
  <c r="I203" i="27" s="1"/>
  <c r="K203" i="27" s="1"/>
  <c r="F202" i="27"/>
  <c r="I202" i="27" s="1"/>
  <c r="K202" i="27" s="1"/>
  <c r="F201" i="27"/>
  <c r="I201" i="27" s="1"/>
  <c r="K201" i="27" s="1"/>
  <c r="F200" i="27"/>
  <c r="I200" i="27" s="1"/>
  <c r="K200" i="27" s="1"/>
  <c r="F199" i="27"/>
  <c r="I199" i="27" s="1"/>
  <c r="K199" i="27" s="1"/>
  <c r="F198" i="27"/>
  <c r="I198" i="27" s="1"/>
  <c r="K198" i="27" s="1"/>
  <c r="F197" i="27"/>
  <c r="I197" i="27" s="1"/>
  <c r="K197" i="27" s="1"/>
  <c r="F196" i="27"/>
  <c r="I196" i="27" s="1"/>
  <c r="K196" i="27" s="1"/>
  <c r="F195" i="27"/>
  <c r="I195" i="27" s="1"/>
  <c r="K195" i="27" s="1"/>
  <c r="F194" i="27"/>
  <c r="I194" i="27" s="1"/>
  <c r="K194" i="27" s="1"/>
  <c r="F193" i="27"/>
  <c r="I193" i="27" s="1"/>
  <c r="K193" i="27" s="1"/>
  <c r="F192" i="27"/>
  <c r="I192" i="27" s="1"/>
  <c r="K192" i="27" s="1"/>
  <c r="F191" i="27"/>
  <c r="I191" i="27" s="1"/>
  <c r="K191" i="27" s="1"/>
  <c r="F190" i="27"/>
  <c r="I190" i="27" s="1"/>
  <c r="K190" i="27" s="1"/>
  <c r="F189" i="27"/>
  <c r="I189" i="27" s="1"/>
  <c r="K189" i="27" s="1"/>
  <c r="F188" i="27"/>
  <c r="I188" i="27" s="1"/>
  <c r="K188" i="27" s="1"/>
  <c r="F187" i="27"/>
  <c r="I187" i="27" s="1"/>
  <c r="K187" i="27" s="1"/>
  <c r="F186" i="27"/>
  <c r="I186" i="27" s="1"/>
  <c r="K186" i="27" s="1"/>
  <c r="F185" i="27"/>
  <c r="I185" i="27" s="1"/>
  <c r="K185" i="27" s="1"/>
  <c r="F184" i="27"/>
  <c r="I184" i="27" s="1"/>
  <c r="K184" i="27" s="1"/>
  <c r="F183" i="27"/>
  <c r="I183" i="27" s="1"/>
  <c r="K183" i="27" s="1"/>
  <c r="F182" i="27"/>
  <c r="I182" i="27" s="1"/>
  <c r="K182" i="27" s="1"/>
  <c r="F181" i="27"/>
  <c r="I181" i="27" s="1"/>
  <c r="K181" i="27" s="1"/>
  <c r="F180" i="27"/>
  <c r="I180" i="27" s="1"/>
  <c r="K180" i="27" s="1"/>
  <c r="F179" i="27"/>
  <c r="I179" i="27" s="1"/>
  <c r="K179" i="27" s="1"/>
  <c r="F178" i="27"/>
  <c r="I178" i="27" s="1"/>
  <c r="K178" i="27" s="1"/>
  <c r="F177" i="27"/>
  <c r="I177" i="27" s="1"/>
  <c r="K177" i="27" s="1"/>
  <c r="F176" i="27"/>
  <c r="I176" i="27" s="1"/>
  <c r="K176" i="27" s="1"/>
  <c r="F175" i="27"/>
  <c r="I175" i="27" s="1"/>
  <c r="K175" i="27" s="1"/>
  <c r="F174" i="27"/>
  <c r="I174" i="27" s="1"/>
  <c r="K174" i="27" s="1"/>
  <c r="F173" i="27"/>
  <c r="I173" i="27" s="1"/>
  <c r="K173" i="27" s="1"/>
  <c r="F172" i="27"/>
  <c r="I172" i="27" s="1"/>
  <c r="K172" i="27" s="1"/>
  <c r="F171" i="27"/>
  <c r="I171" i="27" s="1"/>
  <c r="K171" i="27" s="1"/>
  <c r="F170" i="27"/>
  <c r="I170" i="27" s="1"/>
  <c r="K170" i="27" s="1"/>
  <c r="F169" i="27"/>
  <c r="I169" i="27" s="1"/>
  <c r="K169" i="27" s="1"/>
  <c r="F168" i="27"/>
  <c r="I168" i="27" s="1"/>
  <c r="K168" i="27" s="1"/>
  <c r="F167" i="27"/>
  <c r="I167" i="27" s="1"/>
  <c r="K167" i="27" s="1"/>
  <c r="F166" i="27"/>
  <c r="I166" i="27" s="1"/>
  <c r="K166" i="27" s="1"/>
  <c r="F165" i="27"/>
  <c r="I165" i="27" s="1"/>
  <c r="K165" i="27" s="1"/>
  <c r="F164" i="27"/>
  <c r="I164" i="27" s="1"/>
  <c r="K164" i="27" s="1"/>
  <c r="F163" i="27"/>
  <c r="I163" i="27" s="1"/>
  <c r="K163" i="27" s="1"/>
  <c r="F162" i="27"/>
  <c r="I162" i="27" s="1"/>
  <c r="K162" i="27" s="1"/>
  <c r="F161" i="27"/>
  <c r="I161" i="27" s="1"/>
  <c r="K161" i="27" s="1"/>
  <c r="F160" i="27"/>
  <c r="I160" i="27" s="1"/>
  <c r="K160" i="27" s="1"/>
  <c r="F159" i="27"/>
  <c r="I159" i="27" s="1"/>
  <c r="K159" i="27" s="1"/>
  <c r="F158" i="27"/>
  <c r="I158" i="27" s="1"/>
  <c r="K158" i="27" s="1"/>
  <c r="F157" i="27"/>
  <c r="I157" i="27" s="1"/>
  <c r="K157" i="27" s="1"/>
  <c r="F156" i="27"/>
  <c r="I156" i="27" s="1"/>
  <c r="K156" i="27" s="1"/>
  <c r="F155" i="27"/>
  <c r="I155" i="27" s="1"/>
  <c r="K155" i="27" s="1"/>
  <c r="F154" i="27"/>
  <c r="I154" i="27" s="1"/>
  <c r="K154" i="27" s="1"/>
  <c r="F153" i="27"/>
  <c r="I153" i="27" s="1"/>
  <c r="K153" i="27" s="1"/>
  <c r="F152" i="27"/>
  <c r="I152" i="27" s="1"/>
  <c r="K152" i="27" s="1"/>
  <c r="F151" i="27"/>
  <c r="I151" i="27" s="1"/>
  <c r="K151" i="27" s="1"/>
  <c r="F150" i="27"/>
  <c r="I150" i="27" s="1"/>
  <c r="K150" i="27" s="1"/>
  <c r="F149" i="27"/>
  <c r="I149" i="27" s="1"/>
  <c r="K149" i="27" s="1"/>
  <c r="F148" i="27"/>
  <c r="I148" i="27" s="1"/>
  <c r="K148" i="27" s="1"/>
  <c r="F147" i="27"/>
  <c r="I147" i="27" s="1"/>
  <c r="K147" i="27" s="1"/>
  <c r="F146" i="27"/>
  <c r="I146" i="27" s="1"/>
  <c r="K146" i="27" s="1"/>
  <c r="F145" i="27"/>
  <c r="I145" i="27" s="1"/>
  <c r="F144" i="27"/>
  <c r="I144" i="27" s="1"/>
  <c r="F143" i="27"/>
  <c r="I143" i="27" s="1"/>
  <c r="K143" i="27" s="1"/>
  <c r="F142" i="27"/>
  <c r="I142" i="27" s="1"/>
  <c r="K142" i="27" s="1"/>
  <c r="F141" i="27"/>
  <c r="I141" i="27" s="1"/>
  <c r="K141" i="27" s="1"/>
  <c r="F140" i="27"/>
  <c r="I140" i="27" s="1"/>
  <c r="K140" i="27" s="1"/>
  <c r="F139" i="27"/>
  <c r="I139" i="27" s="1"/>
  <c r="K139" i="27" s="1"/>
  <c r="F138" i="27"/>
  <c r="I138" i="27" s="1"/>
  <c r="K138" i="27" s="1"/>
  <c r="F137" i="27"/>
  <c r="I137" i="27" s="1"/>
  <c r="K137" i="27" s="1"/>
  <c r="F136" i="27"/>
  <c r="I136" i="27" s="1"/>
  <c r="K136" i="27" s="1"/>
  <c r="F135" i="27"/>
  <c r="I135" i="27" s="1"/>
  <c r="K135" i="27" s="1"/>
  <c r="F134" i="27"/>
  <c r="I134" i="27" s="1"/>
  <c r="K134" i="27" s="1"/>
  <c r="F133" i="27"/>
  <c r="I133" i="27" s="1"/>
  <c r="K133" i="27" s="1"/>
  <c r="F132" i="27"/>
  <c r="I132" i="27" s="1"/>
  <c r="K132" i="27" s="1"/>
  <c r="F131" i="27"/>
  <c r="I131" i="27" s="1"/>
  <c r="K131" i="27" s="1"/>
  <c r="F130" i="27"/>
  <c r="I130" i="27" s="1"/>
  <c r="K130" i="27" s="1"/>
  <c r="F129" i="27"/>
  <c r="I129" i="27" s="1"/>
  <c r="K129" i="27" s="1"/>
  <c r="F128" i="27"/>
  <c r="I128" i="27" s="1"/>
  <c r="K128" i="27" s="1"/>
  <c r="F127" i="27"/>
  <c r="I127" i="27" s="1"/>
  <c r="K127" i="27" s="1"/>
  <c r="F126" i="27"/>
  <c r="I126" i="27" s="1"/>
  <c r="K126" i="27" s="1"/>
  <c r="F125" i="27"/>
  <c r="I125" i="27" s="1"/>
  <c r="K125" i="27" s="1"/>
  <c r="F124" i="27"/>
  <c r="I124" i="27" s="1"/>
  <c r="K124" i="27" s="1"/>
  <c r="F123" i="27"/>
  <c r="I123" i="27" s="1"/>
  <c r="K123" i="27" s="1"/>
  <c r="F122" i="27"/>
  <c r="I122" i="27" s="1"/>
  <c r="K122" i="27" s="1"/>
  <c r="F121" i="27"/>
  <c r="I121" i="27" s="1"/>
  <c r="F120" i="27"/>
  <c r="I120" i="27" s="1"/>
  <c r="K120" i="27" s="1"/>
  <c r="F119" i="27"/>
  <c r="I119" i="27" s="1"/>
  <c r="K119" i="27" s="1"/>
  <c r="F118" i="27"/>
  <c r="I118" i="27" s="1"/>
  <c r="K118" i="27" s="1"/>
  <c r="F117" i="27"/>
  <c r="I117" i="27" s="1"/>
  <c r="K117" i="27" s="1"/>
  <c r="F116" i="27"/>
  <c r="I116" i="27" s="1"/>
  <c r="K116" i="27" s="1"/>
  <c r="F115" i="27"/>
  <c r="I115" i="27" s="1"/>
  <c r="K115" i="27" s="1"/>
  <c r="F114" i="27"/>
  <c r="I114" i="27" s="1"/>
  <c r="K114" i="27" s="1"/>
  <c r="F113" i="27"/>
  <c r="I113" i="27" s="1"/>
  <c r="K113" i="27" s="1"/>
  <c r="F112" i="27"/>
  <c r="I112" i="27" s="1"/>
  <c r="K112" i="27" s="1"/>
  <c r="F111" i="27"/>
  <c r="I111" i="27" s="1"/>
  <c r="K111" i="27" s="1"/>
  <c r="F110" i="27"/>
  <c r="I110" i="27" s="1"/>
  <c r="K110" i="27" s="1"/>
  <c r="F109" i="27"/>
  <c r="I109" i="27" s="1"/>
  <c r="K109" i="27" s="1"/>
  <c r="F108" i="27"/>
  <c r="I108" i="27" s="1"/>
  <c r="K108" i="27" s="1"/>
  <c r="F107" i="27"/>
  <c r="I107" i="27" s="1"/>
  <c r="K107" i="27" s="1"/>
  <c r="F106" i="27"/>
  <c r="I106" i="27" s="1"/>
  <c r="K106" i="27" s="1"/>
  <c r="F105" i="27"/>
  <c r="I105" i="27" s="1"/>
  <c r="K105" i="27" s="1"/>
  <c r="F104" i="27"/>
  <c r="I104" i="27" s="1"/>
  <c r="K104" i="27" s="1"/>
  <c r="F103" i="27"/>
  <c r="I103" i="27" s="1"/>
  <c r="K103" i="27" s="1"/>
  <c r="F102" i="27"/>
  <c r="I102" i="27" s="1"/>
  <c r="K102" i="27" s="1"/>
  <c r="F101" i="27"/>
  <c r="I101" i="27" s="1"/>
  <c r="K101" i="27" s="1"/>
  <c r="F100" i="27"/>
  <c r="I100" i="27" s="1"/>
  <c r="K100" i="27" s="1"/>
  <c r="F99" i="27"/>
  <c r="I99" i="27" s="1"/>
  <c r="K99" i="27" s="1"/>
  <c r="F98" i="27"/>
  <c r="I98" i="27" s="1"/>
  <c r="K98" i="27" s="1"/>
  <c r="F97" i="27"/>
  <c r="I97" i="27" s="1"/>
  <c r="K97" i="27" s="1"/>
  <c r="F96" i="27"/>
  <c r="I96" i="27" s="1"/>
  <c r="K96" i="27" s="1"/>
  <c r="F95" i="27"/>
  <c r="I95" i="27" s="1"/>
  <c r="K95" i="27" s="1"/>
  <c r="F94" i="27"/>
  <c r="I94" i="27" s="1"/>
  <c r="K94" i="27" s="1"/>
  <c r="F93" i="27"/>
  <c r="I93" i="27" s="1"/>
  <c r="K93" i="27" s="1"/>
  <c r="F92" i="27"/>
  <c r="I92" i="27" s="1"/>
  <c r="K92" i="27" s="1"/>
  <c r="F91" i="27"/>
  <c r="I91" i="27" s="1"/>
  <c r="K91" i="27" s="1"/>
  <c r="F90" i="27"/>
  <c r="I90" i="27" s="1"/>
  <c r="K90" i="27" s="1"/>
  <c r="F89" i="27"/>
  <c r="F88" i="27"/>
  <c r="I88" i="27" s="1"/>
  <c r="K88" i="27" s="1"/>
  <c r="F87" i="27"/>
  <c r="I87" i="27" s="1"/>
  <c r="K87" i="27" s="1"/>
  <c r="F86" i="27"/>
  <c r="I86" i="27" s="1"/>
  <c r="K86" i="27" s="1"/>
  <c r="F85" i="27"/>
  <c r="I85" i="27" s="1"/>
  <c r="K85" i="27" s="1"/>
  <c r="F84" i="27"/>
  <c r="I84" i="27" s="1"/>
  <c r="K84" i="27" s="1"/>
  <c r="F83" i="27"/>
  <c r="I83" i="27" s="1"/>
  <c r="K83" i="27" s="1"/>
  <c r="F82" i="27"/>
  <c r="I82" i="27" s="1"/>
  <c r="K82" i="27" s="1"/>
  <c r="F81" i="27"/>
  <c r="I81" i="27" s="1"/>
  <c r="F80" i="27"/>
  <c r="I80" i="27" s="1"/>
  <c r="K80" i="27" s="1"/>
  <c r="F79" i="27"/>
  <c r="I79" i="27" s="1"/>
  <c r="K79" i="27" s="1"/>
  <c r="F78" i="27"/>
  <c r="I78" i="27" s="1"/>
  <c r="K78" i="27" s="1"/>
  <c r="F77" i="27"/>
  <c r="I77" i="27" s="1"/>
  <c r="K77" i="27" s="1"/>
  <c r="F76" i="27"/>
  <c r="I76" i="27" s="1"/>
  <c r="K76" i="27" s="1"/>
  <c r="F75" i="27"/>
  <c r="I75" i="27" s="1"/>
  <c r="K75" i="27" s="1"/>
  <c r="F74" i="27"/>
  <c r="I74" i="27" s="1"/>
  <c r="K74" i="27" s="1"/>
  <c r="F73" i="27"/>
  <c r="I73" i="27" s="1"/>
  <c r="K73" i="27" s="1"/>
  <c r="F72" i="27"/>
  <c r="I72" i="27" s="1"/>
  <c r="K72" i="27" s="1"/>
  <c r="F71" i="27"/>
  <c r="I71" i="27" s="1"/>
  <c r="K71" i="27" s="1"/>
  <c r="F70" i="27"/>
  <c r="I70" i="27" s="1"/>
  <c r="K70" i="27" s="1"/>
  <c r="F69" i="27"/>
  <c r="I69" i="27" s="1"/>
  <c r="K69" i="27" s="1"/>
  <c r="F68" i="27"/>
  <c r="I68" i="27" s="1"/>
  <c r="K68" i="27" s="1"/>
  <c r="F67" i="27"/>
  <c r="I67" i="27" s="1"/>
  <c r="K67" i="27" s="1"/>
  <c r="F66" i="27"/>
  <c r="I66" i="27" s="1"/>
  <c r="K66" i="27" s="1"/>
  <c r="F65" i="27"/>
  <c r="I65" i="27" s="1"/>
  <c r="K65" i="27" s="1"/>
  <c r="F64" i="27"/>
  <c r="I64" i="27" s="1"/>
  <c r="K64" i="27" s="1"/>
  <c r="F63" i="27"/>
  <c r="I63" i="27" s="1"/>
  <c r="K63" i="27" s="1"/>
  <c r="F62" i="27"/>
  <c r="I62" i="27" s="1"/>
  <c r="K62" i="27" s="1"/>
  <c r="F61" i="27"/>
  <c r="I61" i="27" s="1"/>
  <c r="K61" i="27" s="1"/>
  <c r="F60" i="27"/>
  <c r="I60" i="27" s="1"/>
  <c r="K60" i="27" s="1"/>
  <c r="F59" i="27"/>
  <c r="I59" i="27" s="1"/>
  <c r="K59" i="27" s="1"/>
  <c r="F58" i="27"/>
  <c r="I58" i="27" s="1"/>
  <c r="K58" i="27" s="1"/>
  <c r="F57" i="27"/>
  <c r="I57" i="27" s="1"/>
  <c r="K57" i="27" s="1"/>
  <c r="F56" i="27"/>
  <c r="I56" i="27" s="1"/>
  <c r="K56" i="27" s="1"/>
  <c r="F55" i="27"/>
  <c r="I55" i="27" s="1"/>
  <c r="K55" i="27" s="1"/>
  <c r="F54" i="27"/>
  <c r="I54" i="27" s="1"/>
  <c r="K54" i="27" s="1"/>
  <c r="F53" i="27"/>
  <c r="I53" i="27" s="1"/>
  <c r="K53" i="27" s="1"/>
  <c r="F52" i="27"/>
  <c r="I52" i="27" s="1"/>
  <c r="K52" i="27" s="1"/>
  <c r="F51" i="27"/>
  <c r="F50" i="27"/>
  <c r="F49" i="27"/>
  <c r="I49" i="27" s="1"/>
  <c r="K49" i="27" s="1"/>
  <c r="F48" i="27"/>
  <c r="I48" i="27" s="1"/>
  <c r="K48" i="27" s="1"/>
  <c r="F47" i="27"/>
  <c r="I47" i="27" s="1"/>
  <c r="K47" i="27" s="1"/>
  <c r="F46" i="27"/>
  <c r="I46" i="27" s="1"/>
  <c r="K46" i="27" s="1"/>
  <c r="F45" i="27"/>
  <c r="I45" i="27" s="1"/>
  <c r="K45" i="27" s="1"/>
  <c r="F44" i="27"/>
  <c r="I44" i="27" s="1"/>
  <c r="K44" i="27" s="1"/>
  <c r="F43" i="27"/>
  <c r="I43" i="27" s="1"/>
  <c r="K43" i="27" s="1"/>
  <c r="F42" i="27"/>
  <c r="I42" i="27" s="1"/>
  <c r="K42" i="27" s="1"/>
  <c r="F41" i="27"/>
  <c r="I41" i="27" s="1"/>
  <c r="K41" i="27" s="1"/>
  <c r="F40" i="27"/>
  <c r="I40" i="27" s="1"/>
  <c r="K40" i="27" s="1"/>
  <c r="F39" i="27"/>
  <c r="I39" i="27" s="1"/>
  <c r="K39" i="27" s="1"/>
  <c r="F38" i="27"/>
  <c r="I38" i="27" s="1"/>
  <c r="K38" i="27" s="1"/>
  <c r="F37" i="27"/>
  <c r="I37" i="27" s="1"/>
  <c r="K37" i="27" s="1"/>
  <c r="F36" i="27"/>
  <c r="I36" i="27" s="1"/>
  <c r="K36" i="27" s="1"/>
  <c r="F35" i="27"/>
  <c r="I35" i="27" s="1"/>
  <c r="K35" i="27" s="1"/>
  <c r="F34" i="27"/>
  <c r="I34" i="27" s="1"/>
  <c r="K34" i="27" s="1"/>
  <c r="F33" i="27"/>
  <c r="I33" i="27" s="1"/>
  <c r="K33" i="27" s="1"/>
  <c r="F32" i="27"/>
  <c r="I32" i="27" s="1"/>
  <c r="K32" i="27" s="1"/>
  <c r="F31" i="27"/>
  <c r="I31" i="27" s="1"/>
  <c r="K31" i="27" s="1"/>
  <c r="F30" i="27"/>
  <c r="I30" i="27" s="1"/>
  <c r="K30" i="27" s="1"/>
  <c r="F29" i="27"/>
  <c r="I29" i="27" s="1"/>
  <c r="K29" i="27" s="1"/>
  <c r="F28" i="27"/>
  <c r="I28" i="27" s="1"/>
  <c r="K28" i="27" s="1"/>
  <c r="F27" i="27"/>
  <c r="I27" i="27" s="1"/>
  <c r="K27" i="27" s="1"/>
  <c r="F26" i="27"/>
  <c r="I26" i="27" s="1"/>
  <c r="K26" i="27" s="1"/>
  <c r="F25" i="27"/>
  <c r="I25" i="27" s="1"/>
  <c r="K25" i="27" s="1"/>
  <c r="F24" i="27"/>
  <c r="I24" i="27" s="1"/>
  <c r="K24" i="27" s="1"/>
  <c r="F23" i="27"/>
  <c r="I23" i="27" s="1"/>
  <c r="K23" i="27" s="1"/>
  <c r="F22" i="27"/>
  <c r="I22" i="27" s="1"/>
  <c r="K22" i="27" s="1"/>
  <c r="F21" i="27"/>
  <c r="I21" i="27" s="1"/>
  <c r="K21" i="27" s="1"/>
  <c r="F20" i="27"/>
  <c r="I20" i="27" s="1"/>
  <c r="K20" i="27" s="1"/>
  <c r="F19" i="27"/>
  <c r="I19" i="27" s="1"/>
  <c r="K19" i="27" s="1"/>
  <c r="F18" i="27"/>
  <c r="I18" i="27" s="1"/>
  <c r="K18" i="27" s="1"/>
  <c r="F17" i="27"/>
  <c r="I17" i="27" s="1"/>
  <c r="K17" i="27" s="1"/>
  <c r="F16" i="27"/>
  <c r="I16" i="27" s="1"/>
  <c r="K16" i="27" s="1"/>
  <c r="F15" i="27"/>
  <c r="I15" i="27" s="1"/>
  <c r="K15" i="27" s="1"/>
  <c r="F14" i="27"/>
  <c r="I14" i="27" s="1"/>
  <c r="K14" i="27" s="1"/>
  <c r="F13" i="27"/>
  <c r="I13" i="27" s="1"/>
  <c r="K13" i="27" s="1"/>
  <c r="F12" i="27"/>
  <c r="I12" i="27" s="1"/>
  <c r="K12" i="27" s="1"/>
  <c r="F11" i="27"/>
  <c r="I11" i="27" s="1"/>
  <c r="K11" i="27" s="1"/>
  <c r="F10" i="27"/>
  <c r="I10" i="27" s="1"/>
  <c r="K10" i="27" s="1"/>
  <c r="F9" i="27"/>
  <c r="I9" i="27" s="1"/>
  <c r="K9" i="27" s="1"/>
  <c r="F8" i="27"/>
  <c r="I8" i="27" s="1"/>
  <c r="K8" i="27" s="1"/>
  <c r="F7" i="27"/>
  <c r="I7" i="27" s="1"/>
  <c r="K7" i="27" s="1"/>
  <c r="F6" i="27"/>
  <c r="I6" i="27" s="1"/>
  <c r="K6" i="27" s="1"/>
  <c r="F5" i="27"/>
  <c r="I5" i="27" s="1"/>
  <c r="K5" i="27" s="1"/>
  <c r="F4" i="27"/>
  <c r="I4" i="27" s="1"/>
  <c r="K4" i="27" s="1"/>
  <c r="F3" i="27"/>
  <c r="F2" i="27"/>
  <c r="I2" i="27" s="1"/>
  <c r="K2" i="27" s="1"/>
  <c r="F1" i="27"/>
  <c r="I1" i="27" s="1"/>
  <c r="K1" i="27" s="1"/>
  <c r="D971" i="26"/>
  <c r="D970" i="26"/>
  <c r="D969" i="26"/>
  <c r="D968" i="26"/>
  <c r="D967" i="26"/>
  <c r="D966" i="26"/>
  <c r="D965" i="26"/>
  <c r="D964" i="26"/>
  <c r="D963" i="26"/>
  <c r="D962" i="26"/>
  <c r="D961" i="26"/>
  <c r="D960" i="26"/>
  <c r="D959" i="26"/>
  <c r="D958" i="26"/>
  <c r="D957" i="26"/>
  <c r="D956" i="26"/>
  <c r="D955" i="26"/>
  <c r="D954" i="26"/>
  <c r="D953" i="26"/>
  <c r="D952" i="26"/>
  <c r="D951" i="26"/>
  <c r="D950" i="26"/>
  <c r="D949" i="26"/>
  <c r="D948" i="26"/>
  <c r="D947" i="26"/>
  <c r="D946" i="26"/>
  <c r="D945" i="26"/>
  <c r="D944" i="26"/>
  <c r="D943" i="26"/>
  <c r="D942" i="26"/>
  <c r="D941" i="26"/>
  <c r="D940" i="26"/>
  <c r="D939" i="26"/>
  <c r="D938" i="26"/>
  <c r="D937" i="26"/>
  <c r="D936" i="26"/>
  <c r="D935" i="26"/>
  <c r="D934" i="26"/>
  <c r="D933" i="26"/>
  <c r="D932" i="26"/>
  <c r="D931" i="26"/>
  <c r="D930" i="26"/>
  <c r="D929" i="26"/>
  <c r="D928" i="26"/>
  <c r="D927" i="26"/>
  <c r="D926" i="26"/>
  <c r="D925" i="26"/>
  <c r="D924" i="26"/>
  <c r="D923" i="26"/>
  <c r="D922" i="26"/>
  <c r="D921" i="26"/>
  <c r="D920" i="26"/>
  <c r="D919" i="26"/>
  <c r="D918" i="26"/>
  <c r="D917" i="26"/>
  <c r="D916" i="26"/>
  <c r="D915" i="26"/>
  <c r="D914" i="26"/>
  <c r="D913" i="26"/>
  <c r="D912" i="26"/>
  <c r="D911" i="26"/>
  <c r="D910" i="26"/>
  <c r="D909" i="26"/>
  <c r="D908" i="26"/>
  <c r="D907" i="26"/>
  <c r="D906" i="26"/>
  <c r="D905" i="26"/>
  <c r="D904" i="26"/>
  <c r="D903" i="26"/>
  <c r="D902" i="26"/>
  <c r="D901" i="26"/>
  <c r="D900" i="26"/>
  <c r="D899" i="26"/>
  <c r="D898" i="26"/>
  <c r="D897" i="26"/>
  <c r="D896" i="26"/>
  <c r="D895" i="26"/>
  <c r="D894" i="26"/>
  <c r="D893" i="26"/>
  <c r="D892" i="26"/>
  <c r="D891" i="26"/>
  <c r="D890" i="26"/>
  <c r="D889" i="26"/>
  <c r="D888" i="26"/>
  <c r="D887" i="26"/>
  <c r="D886" i="26"/>
  <c r="D885" i="26"/>
  <c r="D884" i="26"/>
  <c r="D883" i="26"/>
  <c r="D882" i="26"/>
  <c r="D881" i="26"/>
  <c r="D880" i="26"/>
  <c r="D879" i="26"/>
  <c r="D878" i="26"/>
  <c r="D877" i="26"/>
  <c r="D876" i="26"/>
  <c r="D875" i="26"/>
  <c r="D874" i="26"/>
  <c r="D873" i="26"/>
  <c r="D872" i="26"/>
  <c r="D871" i="26"/>
  <c r="D870" i="26"/>
  <c r="D869" i="26"/>
  <c r="D868" i="26"/>
  <c r="D867" i="26"/>
  <c r="D866" i="26"/>
  <c r="D865" i="26"/>
  <c r="D864" i="26"/>
  <c r="D863" i="26"/>
  <c r="D862" i="26"/>
  <c r="D861" i="26"/>
  <c r="D860" i="26"/>
  <c r="D859" i="26"/>
  <c r="D858" i="26"/>
  <c r="D857" i="26"/>
  <c r="D856" i="26"/>
  <c r="D855" i="26"/>
  <c r="D854" i="26"/>
  <c r="D853" i="26"/>
  <c r="D852" i="26"/>
  <c r="D851" i="26"/>
  <c r="D850" i="26"/>
  <c r="D849" i="26"/>
  <c r="D848" i="26"/>
  <c r="D847" i="26"/>
  <c r="D846" i="26"/>
  <c r="D845" i="26"/>
  <c r="D844" i="26"/>
  <c r="D843" i="26"/>
  <c r="D842" i="26"/>
  <c r="D841" i="26"/>
  <c r="D840" i="26"/>
  <c r="D839" i="26"/>
  <c r="D838" i="26"/>
  <c r="D837" i="26"/>
  <c r="D836" i="26"/>
  <c r="D835" i="26"/>
  <c r="D834" i="26"/>
  <c r="D833" i="26"/>
  <c r="D832" i="26"/>
  <c r="D831" i="26"/>
  <c r="D830" i="26"/>
  <c r="D829" i="26"/>
  <c r="D828" i="26"/>
  <c r="D827" i="26"/>
  <c r="D826" i="26"/>
  <c r="D825" i="26"/>
  <c r="D824" i="26"/>
  <c r="D823" i="26"/>
  <c r="D822" i="26"/>
  <c r="D821" i="26"/>
  <c r="D820" i="26"/>
  <c r="D819" i="26"/>
  <c r="D818" i="26"/>
  <c r="D817" i="26"/>
  <c r="D816" i="26"/>
  <c r="D815" i="26"/>
  <c r="D814" i="26"/>
  <c r="D813" i="26"/>
  <c r="D812" i="26"/>
  <c r="D811" i="26"/>
  <c r="D810" i="26"/>
  <c r="D809" i="26"/>
  <c r="D808" i="26"/>
  <c r="D807" i="26"/>
  <c r="D806" i="26"/>
  <c r="D805" i="26"/>
  <c r="D804" i="26"/>
  <c r="D803" i="26"/>
  <c r="D802" i="26"/>
  <c r="D801" i="26"/>
  <c r="D800" i="26"/>
  <c r="D799" i="26"/>
  <c r="D798" i="26"/>
  <c r="D797" i="26"/>
  <c r="D796" i="26"/>
  <c r="D795" i="26"/>
  <c r="D794" i="26"/>
  <c r="D793" i="26"/>
  <c r="D792" i="26"/>
  <c r="D791" i="26"/>
  <c r="D790" i="26"/>
  <c r="D789" i="26"/>
  <c r="D788" i="26"/>
  <c r="D787" i="26"/>
  <c r="D786" i="26"/>
  <c r="D785" i="26"/>
  <c r="D784" i="26"/>
  <c r="D783" i="26"/>
  <c r="D782" i="26"/>
  <c r="D781" i="26"/>
  <c r="D780" i="26"/>
  <c r="D779" i="26"/>
  <c r="D778" i="26"/>
  <c r="D777" i="26"/>
  <c r="D776" i="26"/>
  <c r="D775" i="26"/>
  <c r="D774" i="26"/>
  <c r="D773" i="26"/>
  <c r="D772" i="26"/>
  <c r="D771" i="26"/>
  <c r="D770" i="26"/>
  <c r="D769" i="26"/>
  <c r="D768" i="26"/>
  <c r="D767" i="26"/>
  <c r="D766" i="26"/>
  <c r="D765" i="26"/>
  <c r="D764" i="26"/>
  <c r="D763" i="26"/>
  <c r="D762" i="26"/>
  <c r="D761" i="26"/>
  <c r="D760" i="26"/>
  <c r="D759" i="26"/>
  <c r="D758" i="26"/>
  <c r="D757" i="26"/>
  <c r="D756" i="26"/>
  <c r="D755" i="26"/>
  <c r="D754" i="26"/>
  <c r="D753" i="26"/>
  <c r="D752" i="26"/>
  <c r="D751" i="26"/>
  <c r="D750" i="26"/>
  <c r="D749" i="26"/>
  <c r="D748" i="26"/>
  <c r="D747" i="26"/>
  <c r="D746" i="26"/>
  <c r="D745" i="26"/>
  <c r="D744" i="26"/>
  <c r="D743" i="26"/>
  <c r="D742" i="26"/>
  <c r="D741" i="26"/>
  <c r="D740" i="26"/>
  <c r="D739" i="26"/>
  <c r="D738" i="26"/>
  <c r="D737" i="26"/>
  <c r="D736" i="26"/>
  <c r="D735" i="26"/>
  <c r="D734" i="26"/>
  <c r="D733" i="26"/>
  <c r="D732" i="26"/>
  <c r="D731" i="26"/>
  <c r="D730" i="26"/>
  <c r="D729" i="26"/>
  <c r="D728" i="26"/>
  <c r="D727" i="26"/>
  <c r="D726" i="26"/>
  <c r="D725" i="26"/>
  <c r="D724" i="26"/>
  <c r="D723" i="26"/>
  <c r="D722" i="26"/>
  <c r="D721" i="26"/>
  <c r="D720" i="26"/>
  <c r="D719" i="26"/>
  <c r="D718" i="26"/>
  <c r="D717" i="26"/>
  <c r="D716" i="26"/>
  <c r="D715" i="26"/>
  <c r="D714" i="26"/>
  <c r="D713" i="26"/>
  <c r="D712" i="26"/>
  <c r="D711" i="26"/>
  <c r="D710" i="26"/>
  <c r="D709" i="26"/>
  <c r="D708" i="26"/>
  <c r="D707" i="26"/>
  <c r="D706" i="26"/>
  <c r="D705" i="26"/>
  <c r="D704" i="26"/>
  <c r="D703" i="26"/>
  <c r="D702" i="26"/>
  <c r="D701" i="26"/>
  <c r="D700" i="26"/>
  <c r="D699" i="26"/>
  <c r="D698" i="26"/>
  <c r="D697" i="26"/>
  <c r="D696" i="26"/>
  <c r="D695" i="26"/>
  <c r="D694" i="26"/>
  <c r="D693" i="26"/>
  <c r="D692" i="26"/>
  <c r="D691" i="26"/>
  <c r="D690" i="26"/>
  <c r="D689" i="26"/>
  <c r="D688" i="26"/>
  <c r="D687" i="26"/>
  <c r="D686" i="26"/>
  <c r="D685" i="26"/>
  <c r="D684" i="26"/>
  <c r="D683" i="26"/>
  <c r="D682" i="26"/>
  <c r="D681" i="26"/>
  <c r="D680" i="26"/>
  <c r="D679" i="26"/>
  <c r="D678" i="26"/>
  <c r="D677" i="26"/>
  <c r="D676" i="26"/>
  <c r="D675" i="26"/>
  <c r="D674" i="26"/>
  <c r="D673" i="26"/>
  <c r="D672" i="26"/>
  <c r="D671" i="26"/>
  <c r="D670" i="26"/>
  <c r="D669" i="26"/>
  <c r="D668" i="26"/>
  <c r="D667" i="26"/>
  <c r="D666" i="26"/>
  <c r="D665" i="26"/>
  <c r="D664" i="26"/>
  <c r="D663" i="26"/>
  <c r="D662" i="26"/>
  <c r="D661" i="26"/>
  <c r="D660" i="26"/>
  <c r="D659" i="26"/>
  <c r="D658" i="26"/>
  <c r="D657" i="26"/>
  <c r="D656" i="26"/>
  <c r="D655" i="26"/>
  <c r="D654" i="26"/>
  <c r="D653" i="26"/>
  <c r="D652" i="26"/>
  <c r="D651" i="26"/>
  <c r="D650" i="26"/>
  <c r="D649" i="26"/>
  <c r="D648" i="26"/>
  <c r="D647" i="26"/>
  <c r="D646" i="26"/>
  <c r="D645" i="26"/>
  <c r="D644" i="26"/>
  <c r="D643" i="26"/>
  <c r="D642" i="26"/>
  <c r="D641" i="26"/>
  <c r="D640" i="26"/>
  <c r="D639" i="26"/>
  <c r="D638" i="26"/>
  <c r="D637" i="26"/>
  <c r="D636" i="26"/>
  <c r="D635" i="26"/>
  <c r="D634" i="26"/>
  <c r="D633" i="26"/>
  <c r="D632" i="26"/>
  <c r="D631" i="26"/>
  <c r="D630" i="26"/>
  <c r="D629" i="26"/>
  <c r="D628" i="26"/>
  <c r="D627" i="26"/>
  <c r="D626" i="26"/>
  <c r="D625" i="26"/>
  <c r="D624" i="26"/>
  <c r="D623" i="26"/>
  <c r="D622" i="26"/>
  <c r="D621" i="26"/>
  <c r="D620" i="26"/>
  <c r="D619" i="26"/>
  <c r="D618" i="26"/>
  <c r="D617" i="26"/>
  <c r="D616" i="26"/>
  <c r="D615" i="26"/>
  <c r="D614" i="26"/>
  <c r="D613" i="26"/>
  <c r="D612" i="26"/>
  <c r="D611" i="26"/>
  <c r="D610" i="26"/>
  <c r="D609" i="26"/>
  <c r="D608" i="26"/>
  <c r="D607" i="26"/>
  <c r="D606" i="26"/>
  <c r="D605" i="26"/>
  <c r="D604" i="26"/>
  <c r="D603" i="26"/>
  <c r="D602" i="26"/>
  <c r="D601" i="26"/>
  <c r="D600" i="26"/>
  <c r="D599" i="26"/>
  <c r="D598" i="26"/>
  <c r="D597" i="26"/>
  <c r="D596" i="26"/>
  <c r="D595" i="26"/>
  <c r="D594" i="26"/>
  <c r="D593" i="26"/>
  <c r="D592" i="26"/>
  <c r="D591" i="26"/>
  <c r="D590" i="26"/>
  <c r="D589" i="26"/>
  <c r="D588" i="26"/>
  <c r="D587" i="26"/>
  <c r="D586" i="26"/>
  <c r="D585" i="26"/>
  <c r="D584" i="26"/>
  <c r="D583" i="26"/>
  <c r="D582" i="26"/>
  <c r="D581" i="26"/>
  <c r="D580" i="26"/>
  <c r="D579" i="26"/>
  <c r="D578" i="26"/>
  <c r="D577" i="26"/>
  <c r="D576" i="26"/>
  <c r="D575" i="26"/>
  <c r="D574" i="26"/>
  <c r="D573" i="26"/>
  <c r="D572" i="26"/>
  <c r="D571" i="26"/>
  <c r="D570" i="26"/>
  <c r="D569" i="26"/>
  <c r="D568" i="26"/>
  <c r="D567" i="26"/>
  <c r="D566" i="26"/>
  <c r="D565" i="26"/>
  <c r="D564" i="26"/>
  <c r="D563" i="26"/>
  <c r="D562" i="26"/>
  <c r="D561" i="26"/>
  <c r="D560" i="26"/>
  <c r="D559" i="26"/>
  <c r="D558" i="26"/>
  <c r="D557" i="26"/>
  <c r="D556" i="26"/>
  <c r="D555" i="26"/>
  <c r="D554" i="26"/>
  <c r="D553" i="26"/>
  <c r="D552" i="26"/>
  <c r="D551" i="26"/>
  <c r="D550" i="26"/>
  <c r="D549" i="26"/>
  <c r="D548" i="26"/>
  <c r="D547" i="26"/>
  <c r="D546" i="26"/>
  <c r="D545" i="26"/>
  <c r="D544" i="26"/>
  <c r="D543" i="26"/>
  <c r="D542" i="26"/>
  <c r="D541" i="26"/>
  <c r="D540" i="26"/>
  <c r="D539" i="26"/>
  <c r="D538" i="26"/>
  <c r="D537" i="26"/>
  <c r="D536" i="26"/>
  <c r="D535" i="26"/>
  <c r="D534" i="26"/>
  <c r="D533" i="26"/>
  <c r="D532" i="26"/>
  <c r="D531" i="26"/>
  <c r="D530" i="26"/>
  <c r="D529" i="26"/>
  <c r="D528" i="26"/>
  <c r="D527" i="26"/>
  <c r="D526" i="26"/>
  <c r="D525" i="26"/>
  <c r="D524" i="26"/>
  <c r="D523" i="26"/>
  <c r="D522" i="26"/>
  <c r="D521" i="26"/>
  <c r="D520" i="26"/>
  <c r="D519" i="26"/>
  <c r="D518" i="26"/>
  <c r="D517" i="26"/>
  <c r="D516" i="26"/>
  <c r="D515" i="26"/>
  <c r="D514" i="26"/>
  <c r="D513" i="26"/>
  <c r="D512" i="26"/>
  <c r="D511" i="26"/>
  <c r="D510" i="26"/>
  <c r="D509" i="26"/>
  <c r="D508" i="26"/>
  <c r="D507" i="26"/>
  <c r="D506" i="26"/>
  <c r="D505" i="26"/>
  <c r="D504" i="26"/>
  <c r="D503" i="26"/>
  <c r="D502" i="26"/>
  <c r="D501" i="26"/>
  <c r="D500" i="26"/>
  <c r="D499" i="26"/>
  <c r="D498" i="26"/>
  <c r="D497" i="26"/>
  <c r="D496" i="26"/>
  <c r="D495" i="26"/>
  <c r="D494" i="26"/>
  <c r="D493" i="26"/>
  <c r="D492" i="26"/>
  <c r="D491" i="26"/>
  <c r="D490" i="26"/>
  <c r="D489" i="26"/>
  <c r="D488" i="26"/>
  <c r="D487" i="26"/>
  <c r="D486" i="26"/>
  <c r="D485" i="26"/>
  <c r="D484" i="26"/>
  <c r="D483" i="26"/>
  <c r="D482" i="26"/>
  <c r="D481" i="26"/>
  <c r="D480" i="26"/>
  <c r="D479" i="26"/>
  <c r="D478" i="26"/>
  <c r="D477" i="26"/>
  <c r="D476" i="26"/>
  <c r="D475" i="26"/>
  <c r="D474" i="26"/>
  <c r="D473" i="26"/>
  <c r="D472" i="26"/>
  <c r="D471" i="26"/>
  <c r="D470" i="26"/>
  <c r="D469" i="26"/>
  <c r="D468" i="26"/>
  <c r="D467" i="26"/>
  <c r="D466" i="26"/>
  <c r="D465" i="26"/>
  <c r="D464" i="26"/>
  <c r="D463" i="26"/>
  <c r="D462" i="26"/>
  <c r="D461" i="26"/>
  <c r="D460" i="26"/>
  <c r="D459" i="26"/>
  <c r="D458" i="26"/>
  <c r="D457" i="26"/>
  <c r="D456" i="26"/>
  <c r="D455" i="26"/>
  <c r="D454" i="26"/>
  <c r="D453" i="26"/>
  <c r="D452" i="26"/>
  <c r="D451" i="26"/>
  <c r="D450" i="26"/>
  <c r="D449" i="26"/>
  <c r="D448" i="26"/>
  <c r="D447" i="26"/>
  <c r="D446" i="26"/>
  <c r="D445" i="26"/>
  <c r="D444" i="26"/>
  <c r="D443" i="26"/>
  <c r="D442" i="26"/>
  <c r="D441" i="26"/>
  <c r="D440" i="26"/>
  <c r="D439" i="26"/>
  <c r="D438" i="26"/>
  <c r="D437" i="26"/>
  <c r="D436" i="26"/>
  <c r="D435" i="26"/>
  <c r="D434" i="26"/>
  <c r="D433" i="26"/>
  <c r="D432" i="26"/>
  <c r="D431" i="26"/>
  <c r="D430" i="26"/>
  <c r="D429" i="26"/>
  <c r="D428" i="26"/>
  <c r="D427" i="26"/>
  <c r="D426" i="26"/>
  <c r="D425" i="26"/>
  <c r="D424" i="26"/>
  <c r="D423" i="26"/>
  <c r="D422" i="26"/>
  <c r="D421" i="26"/>
  <c r="D420" i="26"/>
  <c r="D419" i="26"/>
  <c r="D418" i="26"/>
  <c r="D417" i="26"/>
  <c r="D416" i="26"/>
  <c r="D415" i="26"/>
  <c r="D414" i="26"/>
  <c r="D413" i="26"/>
  <c r="D412" i="26"/>
  <c r="D411" i="26"/>
  <c r="D410" i="26"/>
  <c r="D409" i="26"/>
  <c r="D408" i="26"/>
  <c r="D407" i="26"/>
  <c r="D406" i="26"/>
  <c r="D405" i="26"/>
  <c r="D404" i="26"/>
  <c r="D403" i="26"/>
  <c r="D402" i="26"/>
  <c r="D401" i="26"/>
  <c r="D400" i="26"/>
  <c r="D399" i="26"/>
  <c r="D398" i="26"/>
  <c r="D397" i="26"/>
  <c r="D396" i="26"/>
  <c r="D395" i="26"/>
  <c r="D394" i="26"/>
  <c r="D393" i="26"/>
  <c r="D392" i="26"/>
  <c r="D391" i="26"/>
  <c r="D390" i="26"/>
  <c r="D389" i="26"/>
  <c r="D388" i="26"/>
  <c r="D387" i="26"/>
  <c r="D386" i="26"/>
  <c r="D385" i="26"/>
  <c r="D384" i="26"/>
  <c r="D383" i="26"/>
  <c r="D382" i="26"/>
  <c r="D381" i="26"/>
  <c r="D380" i="26"/>
  <c r="D379" i="26"/>
  <c r="D378" i="26"/>
  <c r="D377" i="26"/>
  <c r="D376" i="26"/>
  <c r="D375" i="26"/>
  <c r="D374" i="26"/>
  <c r="D373" i="26"/>
  <c r="D372" i="26"/>
  <c r="D371" i="26"/>
  <c r="D370" i="26"/>
  <c r="D369" i="26"/>
  <c r="D368" i="26"/>
  <c r="D367" i="26"/>
  <c r="D366" i="26"/>
  <c r="D365" i="26"/>
  <c r="D364" i="26"/>
  <c r="D363" i="26"/>
  <c r="D362" i="26"/>
  <c r="D361" i="26"/>
  <c r="D360" i="26"/>
  <c r="D359" i="26"/>
  <c r="D358" i="26"/>
  <c r="D357" i="26"/>
  <c r="D356" i="26"/>
  <c r="D355" i="26"/>
  <c r="D354" i="26"/>
  <c r="D353" i="26"/>
  <c r="D352" i="26"/>
  <c r="D351" i="26"/>
  <c r="D350" i="26"/>
  <c r="D349" i="26"/>
  <c r="D348" i="26"/>
  <c r="D347" i="26"/>
  <c r="D346" i="26"/>
  <c r="D345" i="26"/>
  <c r="D344" i="26"/>
  <c r="D343" i="26"/>
  <c r="D342" i="26"/>
  <c r="D341" i="26"/>
  <c r="D340" i="26"/>
  <c r="D339" i="26"/>
  <c r="D338" i="26"/>
  <c r="D337" i="26"/>
  <c r="D336" i="26"/>
  <c r="D335" i="26"/>
  <c r="D334" i="26"/>
  <c r="D333" i="26"/>
  <c r="D332" i="26"/>
  <c r="D331" i="26"/>
  <c r="D330" i="26"/>
  <c r="D329" i="26"/>
  <c r="D328" i="26"/>
  <c r="D327" i="26"/>
  <c r="D326" i="26"/>
  <c r="D325" i="26"/>
  <c r="D324" i="26"/>
  <c r="D323" i="26"/>
  <c r="D322" i="26"/>
  <c r="D321" i="26"/>
  <c r="D320" i="26"/>
  <c r="D319" i="26"/>
  <c r="D318" i="26"/>
  <c r="D317" i="26"/>
  <c r="D316" i="26"/>
  <c r="D315" i="26"/>
  <c r="D314" i="26"/>
  <c r="D313" i="26"/>
  <c r="D312" i="26"/>
  <c r="D311" i="26"/>
  <c r="D310" i="26"/>
  <c r="D309" i="26"/>
  <c r="D308" i="26"/>
  <c r="D307" i="26"/>
  <c r="D306" i="26"/>
  <c r="D305" i="26"/>
  <c r="D304" i="26"/>
  <c r="D303" i="26"/>
  <c r="D302" i="26"/>
  <c r="D301" i="26"/>
  <c r="D300" i="26"/>
  <c r="D299" i="26"/>
  <c r="D298" i="26"/>
  <c r="D297" i="26"/>
  <c r="D296" i="26"/>
  <c r="D295" i="26"/>
  <c r="D294" i="26"/>
  <c r="D293" i="26"/>
  <c r="D292" i="26"/>
  <c r="D291" i="26"/>
  <c r="D290" i="26"/>
  <c r="D289" i="26"/>
  <c r="D288" i="26"/>
  <c r="D287" i="26"/>
  <c r="D286" i="26"/>
  <c r="D285" i="26"/>
  <c r="D284" i="26"/>
  <c r="D283" i="26"/>
  <c r="D282" i="26"/>
  <c r="D281" i="26"/>
  <c r="D280" i="26"/>
  <c r="D279" i="26"/>
  <c r="D278" i="26"/>
  <c r="D277" i="26"/>
  <c r="D276" i="26"/>
  <c r="D275" i="26"/>
  <c r="D274" i="26"/>
  <c r="D273" i="26"/>
  <c r="D272" i="26"/>
  <c r="D271" i="26"/>
  <c r="D270" i="26"/>
  <c r="D269" i="26"/>
  <c r="D268" i="26"/>
  <c r="D267" i="26"/>
  <c r="D266" i="26"/>
  <c r="D265" i="26"/>
  <c r="D264" i="26"/>
  <c r="D263" i="26"/>
  <c r="D262" i="26"/>
  <c r="D261" i="26"/>
  <c r="D260" i="26"/>
  <c r="D259" i="26"/>
  <c r="D258" i="26"/>
  <c r="D257" i="26"/>
  <c r="D256" i="26"/>
  <c r="D255" i="26"/>
  <c r="D254" i="26"/>
  <c r="D253" i="26"/>
  <c r="D252" i="26"/>
  <c r="D251" i="26"/>
  <c r="D250" i="26"/>
  <c r="D249" i="26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D227" i="26"/>
  <c r="D226" i="26"/>
  <c r="D225" i="26"/>
  <c r="D224" i="26"/>
  <c r="D223" i="26"/>
  <c r="D222" i="26"/>
  <c r="D221" i="26"/>
  <c r="D220" i="26"/>
  <c r="D219" i="26"/>
  <c r="D218" i="26"/>
  <c r="D217" i="26"/>
  <c r="D216" i="26"/>
  <c r="D215" i="26"/>
  <c r="D214" i="26"/>
  <c r="D213" i="26"/>
  <c r="D212" i="26"/>
  <c r="D211" i="26"/>
  <c r="D210" i="26"/>
  <c r="D209" i="26"/>
  <c r="D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D189" i="26"/>
  <c r="D188" i="26"/>
  <c r="D187" i="26"/>
  <c r="D186" i="26"/>
  <c r="D185" i="26"/>
  <c r="D184" i="26"/>
  <c r="D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D151" i="26"/>
  <c r="D150" i="26"/>
  <c r="D149" i="26"/>
  <c r="D148" i="26"/>
  <c r="D147" i="26"/>
  <c r="D146" i="26"/>
  <c r="D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D113" i="26"/>
  <c r="D112" i="26"/>
  <c r="D111" i="26"/>
  <c r="D110" i="26"/>
  <c r="D109" i="26"/>
  <c r="D108" i="26"/>
  <c r="D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D75" i="26"/>
  <c r="D74" i="26"/>
  <c r="D73" i="26"/>
  <c r="D72" i="26"/>
  <c r="D71" i="26"/>
  <c r="D70" i="26"/>
  <c r="D69" i="26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8" i="26"/>
  <c r="D27" i="26"/>
  <c r="D26" i="26"/>
  <c r="D25" i="26"/>
  <c r="D24" i="26"/>
  <c r="D23" i="26"/>
  <c r="D22" i="26"/>
  <c r="D21" i="26"/>
  <c r="D20" i="26"/>
  <c r="D19" i="26"/>
  <c r="D18" i="26"/>
  <c r="D17" i="26"/>
  <c r="D16" i="26"/>
  <c r="D15" i="26"/>
  <c r="D14" i="26"/>
  <c r="D13" i="26"/>
  <c r="D12" i="26"/>
  <c r="D11" i="26"/>
  <c r="D10" i="26"/>
  <c r="D9" i="26"/>
  <c r="D8" i="26"/>
  <c r="D7" i="26"/>
  <c r="D6" i="26"/>
  <c r="D5" i="26"/>
  <c r="D4" i="26"/>
  <c r="D3" i="26"/>
  <c r="D2" i="26"/>
  <c r="D1" i="26"/>
  <c r="C1" i="26" a="1"/>
  <c r="C1" i="26" s="1"/>
  <c r="D737" i="25"/>
  <c r="D736" i="25"/>
  <c r="D735" i="25"/>
  <c r="D734" i="25"/>
  <c r="D733" i="25"/>
  <c r="D732" i="25"/>
  <c r="D731" i="25"/>
  <c r="D730" i="25"/>
  <c r="D729" i="25"/>
  <c r="D728" i="25"/>
  <c r="D727" i="25"/>
  <c r="D726" i="25"/>
  <c r="D725" i="25"/>
  <c r="D724" i="25"/>
  <c r="D723" i="25"/>
  <c r="D722" i="25"/>
  <c r="D721" i="25"/>
  <c r="D720" i="25"/>
  <c r="D719" i="25"/>
  <c r="D718" i="25"/>
  <c r="D717" i="25"/>
  <c r="D716" i="25"/>
  <c r="D715" i="25"/>
  <c r="D714" i="25"/>
  <c r="D713" i="25"/>
  <c r="D712" i="25"/>
  <c r="D711" i="25"/>
  <c r="D710" i="25"/>
  <c r="D709" i="25"/>
  <c r="D708" i="25"/>
  <c r="D707" i="25"/>
  <c r="D706" i="25"/>
  <c r="D705" i="25"/>
  <c r="D704" i="25"/>
  <c r="D703" i="25"/>
  <c r="D702" i="25"/>
  <c r="D701" i="25"/>
  <c r="D700" i="25"/>
  <c r="D699" i="25"/>
  <c r="D698" i="25"/>
  <c r="D697" i="25"/>
  <c r="D696" i="25"/>
  <c r="D695" i="25"/>
  <c r="D694" i="25"/>
  <c r="D693" i="25"/>
  <c r="D692" i="25"/>
  <c r="D691" i="25"/>
  <c r="D690" i="25"/>
  <c r="D689" i="25"/>
  <c r="D688" i="25"/>
  <c r="D687" i="25"/>
  <c r="D686" i="25"/>
  <c r="D685" i="25"/>
  <c r="D684" i="25"/>
  <c r="D683" i="25"/>
  <c r="D682" i="25"/>
  <c r="D681" i="25"/>
  <c r="D680" i="25"/>
  <c r="D679" i="25"/>
  <c r="D678" i="25"/>
  <c r="D677" i="25"/>
  <c r="D676" i="25"/>
  <c r="D675" i="25"/>
  <c r="D674" i="25"/>
  <c r="D673" i="25"/>
  <c r="D672" i="25"/>
  <c r="D671" i="25"/>
  <c r="D670" i="25"/>
  <c r="D669" i="25"/>
  <c r="D668" i="25"/>
  <c r="D667" i="25"/>
  <c r="D666" i="25"/>
  <c r="D665" i="25"/>
  <c r="D664" i="25"/>
  <c r="D663" i="25"/>
  <c r="D662" i="25"/>
  <c r="D661" i="25"/>
  <c r="D660" i="25"/>
  <c r="D659" i="25"/>
  <c r="D658" i="25"/>
  <c r="D657" i="25"/>
  <c r="D656" i="25"/>
  <c r="D655" i="25"/>
  <c r="D654" i="25"/>
  <c r="D653" i="25"/>
  <c r="D652" i="25"/>
  <c r="D651" i="25"/>
  <c r="D650" i="25"/>
  <c r="D649" i="25"/>
  <c r="D648" i="25"/>
  <c r="D647" i="25"/>
  <c r="D646" i="25"/>
  <c r="D645" i="25"/>
  <c r="D644" i="25"/>
  <c r="D643" i="25"/>
  <c r="D642" i="25"/>
  <c r="D641" i="25"/>
  <c r="D640" i="25"/>
  <c r="D639" i="25"/>
  <c r="D638" i="25"/>
  <c r="D637" i="25"/>
  <c r="D636" i="25"/>
  <c r="D635" i="25"/>
  <c r="D634" i="25"/>
  <c r="D633" i="25"/>
  <c r="D632" i="25"/>
  <c r="D631" i="25"/>
  <c r="D630" i="25"/>
  <c r="D629" i="25"/>
  <c r="D628" i="25"/>
  <c r="D627" i="25"/>
  <c r="D626" i="25"/>
  <c r="D625" i="25"/>
  <c r="D624" i="25"/>
  <c r="D623" i="25"/>
  <c r="D622" i="25"/>
  <c r="D621" i="25"/>
  <c r="D620" i="25"/>
  <c r="D619" i="25"/>
  <c r="D618" i="25"/>
  <c r="D617" i="25"/>
  <c r="D616" i="25"/>
  <c r="D615" i="25"/>
  <c r="D614" i="25"/>
  <c r="D613" i="25"/>
  <c r="D612" i="25"/>
  <c r="D611" i="25"/>
  <c r="D610" i="25"/>
  <c r="D609" i="25"/>
  <c r="D608" i="25"/>
  <c r="D607" i="25"/>
  <c r="D606" i="25"/>
  <c r="D605" i="25"/>
  <c r="D604" i="25"/>
  <c r="D603" i="25"/>
  <c r="D602" i="25"/>
  <c r="D601" i="25"/>
  <c r="D600" i="25"/>
  <c r="D599" i="25"/>
  <c r="D598" i="25"/>
  <c r="D597" i="25"/>
  <c r="D596" i="25"/>
  <c r="D595" i="25"/>
  <c r="D594" i="25"/>
  <c r="D593" i="25"/>
  <c r="D592" i="25"/>
  <c r="D591" i="25"/>
  <c r="D590" i="25"/>
  <c r="D589" i="25"/>
  <c r="D588" i="25"/>
  <c r="D587" i="25"/>
  <c r="D586" i="25"/>
  <c r="D585" i="25"/>
  <c r="D584" i="25"/>
  <c r="D583" i="25"/>
  <c r="D582" i="25"/>
  <c r="D581" i="25"/>
  <c r="D580" i="25"/>
  <c r="D579" i="25"/>
  <c r="D578" i="25"/>
  <c r="D577" i="25"/>
  <c r="D576" i="25"/>
  <c r="D575" i="25"/>
  <c r="D574" i="25"/>
  <c r="D573" i="25"/>
  <c r="D572" i="25"/>
  <c r="D571" i="25"/>
  <c r="D570" i="25"/>
  <c r="D569" i="25"/>
  <c r="D568" i="25"/>
  <c r="D567" i="25"/>
  <c r="D566" i="25"/>
  <c r="D565" i="25"/>
  <c r="D564" i="25"/>
  <c r="D563" i="25"/>
  <c r="D562" i="25"/>
  <c r="D561" i="25"/>
  <c r="D560" i="25"/>
  <c r="D559" i="25"/>
  <c r="D558" i="25"/>
  <c r="D557" i="25"/>
  <c r="D556" i="25"/>
  <c r="D555" i="25"/>
  <c r="D554" i="25"/>
  <c r="D553" i="25"/>
  <c r="D552" i="25"/>
  <c r="D551" i="25"/>
  <c r="D550" i="25"/>
  <c r="D549" i="25"/>
  <c r="D548" i="25"/>
  <c r="D547" i="25"/>
  <c r="D546" i="25"/>
  <c r="D545" i="25"/>
  <c r="D544" i="25"/>
  <c r="D543" i="25"/>
  <c r="D542" i="25"/>
  <c r="D541" i="25"/>
  <c r="D540" i="25"/>
  <c r="D539" i="25"/>
  <c r="D538" i="25"/>
  <c r="D537" i="25"/>
  <c r="D536" i="25"/>
  <c r="D535" i="25"/>
  <c r="D534" i="25"/>
  <c r="D533" i="25"/>
  <c r="D532" i="25"/>
  <c r="D531" i="25"/>
  <c r="D530" i="25"/>
  <c r="D529" i="25"/>
  <c r="D528" i="25"/>
  <c r="D527" i="25"/>
  <c r="D526" i="25"/>
  <c r="D525" i="25"/>
  <c r="D524" i="25"/>
  <c r="D523" i="25"/>
  <c r="D522" i="25"/>
  <c r="D521" i="25"/>
  <c r="D520" i="25"/>
  <c r="D519" i="25"/>
  <c r="D518" i="25"/>
  <c r="D517" i="25"/>
  <c r="D516" i="25"/>
  <c r="D515" i="25"/>
  <c r="D514" i="25"/>
  <c r="D513" i="25"/>
  <c r="D512" i="25"/>
  <c r="D511" i="25"/>
  <c r="D510" i="25"/>
  <c r="D509" i="25"/>
  <c r="D508" i="25"/>
  <c r="D507" i="25"/>
  <c r="D506" i="25"/>
  <c r="D505" i="25"/>
  <c r="D504" i="25"/>
  <c r="D503" i="25"/>
  <c r="D502" i="25"/>
  <c r="D501" i="25"/>
  <c r="D500" i="25"/>
  <c r="D499" i="25"/>
  <c r="D498" i="25"/>
  <c r="D497" i="25"/>
  <c r="D496" i="25"/>
  <c r="D495" i="25"/>
  <c r="D494" i="25"/>
  <c r="D493" i="25"/>
  <c r="D492" i="25"/>
  <c r="D491" i="25"/>
  <c r="D490" i="25"/>
  <c r="D489" i="25"/>
  <c r="D488" i="25"/>
  <c r="D487" i="25"/>
  <c r="D486" i="25"/>
  <c r="D485" i="25"/>
  <c r="D484" i="25"/>
  <c r="D483" i="25"/>
  <c r="D482" i="25"/>
  <c r="D481" i="25"/>
  <c r="D480" i="25"/>
  <c r="D479" i="25"/>
  <c r="D478" i="25"/>
  <c r="D477" i="25"/>
  <c r="D476" i="25"/>
  <c r="D475" i="25"/>
  <c r="D474" i="25"/>
  <c r="D473" i="25"/>
  <c r="D472" i="25"/>
  <c r="D471" i="25"/>
  <c r="D470" i="25"/>
  <c r="D469" i="25"/>
  <c r="D468" i="25"/>
  <c r="D467" i="25"/>
  <c r="D466" i="25"/>
  <c r="D465" i="25"/>
  <c r="D464" i="25"/>
  <c r="D463" i="25"/>
  <c r="D462" i="25"/>
  <c r="D461" i="25"/>
  <c r="D460" i="25"/>
  <c r="D459" i="25"/>
  <c r="D458" i="25"/>
  <c r="D457" i="25"/>
  <c r="D456" i="25"/>
  <c r="D455" i="25"/>
  <c r="D454" i="25"/>
  <c r="D453" i="25"/>
  <c r="D452" i="25"/>
  <c r="D451" i="25"/>
  <c r="D450" i="25"/>
  <c r="D449" i="25"/>
  <c r="D448" i="25"/>
  <c r="D447" i="25"/>
  <c r="D446" i="25"/>
  <c r="D445" i="25"/>
  <c r="D444" i="25"/>
  <c r="D443" i="25"/>
  <c r="D442" i="25"/>
  <c r="D441" i="25"/>
  <c r="D440" i="25"/>
  <c r="D439" i="25"/>
  <c r="D438" i="25"/>
  <c r="D437" i="25"/>
  <c r="D436" i="25"/>
  <c r="D435" i="25"/>
  <c r="D434" i="25"/>
  <c r="D433" i="25"/>
  <c r="D432" i="25"/>
  <c r="D431" i="25"/>
  <c r="D430" i="25"/>
  <c r="D429" i="25"/>
  <c r="D428" i="25"/>
  <c r="D427" i="25"/>
  <c r="D426" i="25"/>
  <c r="D425" i="25"/>
  <c r="D424" i="25"/>
  <c r="D423" i="25"/>
  <c r="D422" i="25"/>
  <c r="D421" i="25"/>
  <c r="D420" i="25"/>
  <c r="D419" i="25"/>
  <c r="D418" i="25"/>
  <c r="D417" i="25"/>
  <c r="D416" i="25"/>
  <c r="D415" i="25"/>
  <c r="D414" i="25"/>
  <c r="D413" i="25"/>
  <c r="D412" i="25"/>
  <c r="D411" i="25"/>
  <c r="D410" i="25"/>
  <c r="D409" i="25"/>
  <c r="D408" i="25"/>
  <c r="D407" i="25"/>
  <c r="D406" i="25"/>
  <c r="D405" i="25"/>
  <c r="D404" i="25"/>
  <c r="D403" i="25"/>
  <c r="D402" i="25"/>
  <c r="D401" i="25"/>
  <c r="D400" i="25"/>
  <c r="D399" i="25"/>
  <c r="D398" i="25"/>
  <c r="D397" i="25"/>
  <c r="D396" i="25"/>
  <c r="D395" i="25"/>
  <c r="D394" i="25"/>
  <c r="D393" i="25"/>
  <c r="D392" i="25"/>
  <c r="D391" i="25"/>
  <c r="D390" i="25"/>
  <c r="D389" i="25"/>
  <c r="D388" i="25"/>
  <c r="D387" i="25"/>
  <c r="D386" i="25"/>
  <c r="D385" i="25"/>
  <c r="D384" i="25"/>
  <c r="D383" i="25"/>
  <c r="D382" i="25"/>
  <c r="D381" i="25"/>
  <c r="D380" i="25"/>
  <c r="D379" i="25"/>
  <c r="D378" i="25"/>
  <c r="D377" i="25"/>
  <c r="D376" i="25"/>
  <c r="D375" i="25"/>
  <c r="D374" i="25"/>
  <c r="D373" i="25"/>
  <c r="D372" i="25"/>
  <c r="D371" i="25"/>
  <c r="D370" i="25"/>
  <c r="D369" i="25"/>
  <c r="D368" i="25"/>
  <c r="D367" i="25"/>
  <c r="D366" i="25"/>
  <c r="D365" i="25"/>
  <c r="D364" i="25"/>
  <c r="D363" i="25"/>
  <c r="D362" i="25"/>
  <c r="D361" i="25"/>
  <c r="D360" i="25"/>
  <c r="D359" i="25"/>
  <c r="D358" i="25"/>
  <c r="D357" i="25"/>
  <c r="D356" i="25"/>
  <c r="D355" i="25"/>
  <c r="D354" i="25"/>
  <c r="D353" i="25"/>
  <c r="D352" i="25"/>
  <c r="D351" i="25"/>
  <c r="D350" i="25"/>
  <c r="D349" i="25"/>
  <c r="D348" i="25"/>
  <c r="D347" i="25"/>
  <c r="D346" i="25"/>
  <c r="D345" i="25"/>
  <c r="D344" i="25"/>
  <c r="D343" i="25"/>
  <c r="D342" i="25"/>
  <c r="D341" i="25"/>
  <c r="D340" i="25"/>
  <c r="D339" i="25"/>
  <c r="D338" i="25"/>
  <c r="D337" i="25"/>
  <c r="D336" i="25"/>
  <c r="D335" i="25"/>
  <c r="D334" i="25"/>
  <c r="D333" i="25"/>
  <c r="D332" i="25"/>
  <c r="D331" i="25"/>
  <c r="D330" i="25"/>
  <c r="D329" i="25"/>
  <c r="D328" i="25"/>
  <c r="D327" i="25"/>
  <c r="D326" i="25"/>
  <c r="D325" i="25"/>
  <c r="D324" i="25"/>
  <c r="D323" i="25"/>
  <c r="D322" i="25"/>
  <c r="D321" i="25"/>
  <c r="D320" i="25"/>
  <c r="D319" i="25"/>
  <c r="D318" i="25"/>
  <c r="D317" i="25"/>
  <c r="D316" i="25"/>
  <c r="D315" i="25"/>
  <c r="D314" i="25"/>
  <c r="D313" i="25"/>
  <c r="D312" i="25"/>
  <c r="D311" i="25"/>
  <c r="D310" i="25"/>
  <c r="D309" i="25"/>
  <c r="D308" i="25"/>
  <c r="D307" i="25"/>
  <c r="D306" i="25"/>
  <c r="D305" i="25"/>
  <c r="D304" i="25"/>
  <c r="D303" i="25"/>
  <c r="D302" i="25"/>
  <c r="D301" i="25"/>
  <c r="D300" i="25"/>
  <c r="D299" i="25"/>
  <c r="D298" i="25"/>
  <c r="D297" i="25"/>
  <c r="D296" i="25"/>
  <c r="D295" i="25"/>
  <c r="D294" i="25"/>
  <c r="D293" i="25"/>
  <c r="D292" i="25"/>
  <c r="D291" i="25"/>
  <c r="D290" i="25"/>
  <c r="D289" i="25"/>
  <c r="D288" i="25"/>
  <c r="D287" i="25"/>
  <c r="D286" i="25"/>
  <c r="D285" i="25"/>
  <c r="D284" i="25"/>
  <c r="D283" i="25"/>
  <c r="D282" i="25"/>
  <c r="D281" i="25"/>
  <c r="D280" i="25"/>
  <c r="D279" i="25"/>
  <c r="D278" i="25"/>
  <c r="D277" i="25"/>
  <c r="D276" i="25"/>
  <c r="D275" i="25"/>
  <c r="D274" i="25"/>
  <c r="D273" i="25"/>
  <c r="D272" i="25"/>
  <c r="D271" i="25"/>
  <c r="D270" i="25"/>
  <c r="D269" i="25"/>
  <c r="D268" i="25"/>
  <c r="D267" i="25"/>
  <c r="D266" i="25"/>
  <c r="D265" i="25"/>
  <c r="D264" i="25"/>
  <c r="D263" i="25"/>
  <c r="D262" i="25"/>
  <c r="D261" i="25"/>
  <c r="D260" i="25"/>
  <c r="D259" i="25"/>
  <c r="D258" i="25"/>
  <c r="D257" i="25"/>
  <c r="D256" i="25"/>
  <c r="D255" i="25"/>
  <c r="D254" i="25"/>
  <c r="D253" i="25"/>
  <c r="D252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D14" i="25"/>
  <c r="D13" i="25"/>
  <c r="D12" i="25"/>
  <c r="D11" i="25"/>
  <c r="D10" i="25"/>
  <c r="D9" i="25"/>
  <c r="D8" i="25"/>
  <c r="D7" i="25"/>
  <c r="D6" i="25"/>
  <c r="D5" i="25"/>
  <c r="D4" i="25"/>
  <c r="D3" i="25"/>
  <c r="D1" i="25"/>
  <c r="D2" i="25"/>
  <c r="C1" i="25" a="1"/>
  <c r="C1" i="25" s="1"/>
  <c r="E5" i="24"/>
  <c r="E4" i="24"/>
  <c r="E3" i="24"/>
  <c r="E2" i="24"/>
  <c r="E1" i="24"/>
  <c r="D6" i="24"/>
  <c r="D5" i="24"/>
  <c r="D4" i="24"/>
  <c r="D3" i="24"/>
  <c r="D2" i="24"/>
  <c r="D1" i="24"/>
  <c r="C1" i="24" a="1"/>
  <c r="C1" i="24" s="1"/>
  <c r="E5" i="23"/>
  <c r="E3" i="23"/>
  <c r="E2" i="23"/>
  <c r="E1" i="23"/>
  <c r="D5" i="23"/>
  <c r="C1" i="23" a="1"/>
  <c r="E3" i="22"/>
  <c r="E2" i="22"/>
  <c r="E1" i="22"/>
  <c r="D4" i="22"/>
  <c r="D3" i="22"/>
  <c r="D2" i="22"/>
  <c r="D1" i="22"/>
  <c r="C1" i="22" a="1"/>
  <c r="C1" i="22" s="1"/>
  <c r="G29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F4" i="21"/>
  <c r="F3" i="21"/>
  <c r="F2" i="21"/>
  <c r="F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E1" i="21"/>
  <c r="B922" i="21"/>
  <c r="B921" i="21"/>
  <c r="B920" i="21"/>
  <c r="B919" i="21"/>
  <c r="B918" i="21"/>
  <c r="B917" i="21"/>
  <c r="B916" i="21"/>
  <c r="B915" i="21"/>
  <c r="B914" i="21"/>
  <c r="B913" i="21"/>
  <c r="B912" i="21"/>
  <c r="B911" i="21"/>
  <c r="B910" i="21"/>
  <c r="B909" i="21"/>
  <c r="B908" i="21"/>
  <c r="B907" i="21"/>
  <c r="B906" i="21"/>
  <c r="B905" i="21"/>
  <c r="B904" i="21"/>
  <c r="B903" i="21"/>
  <c r="B902" i="21"/>
  <c r="B901" i="21"/>
  <c r="B900" i="21"/>
  <c r="B899" i="21"/>
  <c r="B898" i="21"/>
  <c r="B897" i="21"/>
  <c r="B896" i="21"/>
  <c r="B895" i="21"/>
  <c r="B894" i="21"/>
  <c r="B893" i="21"/>
  <c r="B892" i="21"/>
  <c r="B891" i="21"/>
  <c r="B890" i="21"/>
  <c r="B889" i="21"/>
  <c r="B888" i="21"/>
  <c r="B887" i="21"/>
  <c r="B886" i="21"/>
  <c r="B885" i="21"/>
  <c r="B884" i="21"/>
  <c r="B883" i="21"/>
  <c r="B882" i="21"/>
  <c r="B881" i="21"/>
  <c r="B880" i="21"/>
  <c r="B879" i="21"/>
  <c r="B878" i="21"/>
  <c r="B877" i="21"/>
  <c r="B876" i="21"/>
  <c r="B875" i="21"/>
  <c r="B874" i="21"/>
  <c r="B873" i="21"/>
  <c r="B872" i="21"/>
  <c r="B871" i="21"/>
  <c r="B870" i="21"/>
  <c r="B869" i="21"/>
  <c r="B868" i="21"/>
  <c r="B867" i="21"/>
  <c r="B866" i="21"/>
  <c r="B865" i="21"/>
  <c r="B864" i="21"/>
  <c r="B863" i="21"/>
  <c r="B862" i="21"/>
  <c r="B861" i="21"/>
  <c r="B860" i="21"/>
  <c r="B859" i="21"/>
  <c r="B858" i="21"/>
  <c r="B857" i="21"/>
  <c r="B856" i="21"/>
  <c r="B855" i="21"/>
  <c r="B854" i="21"/>
  <c r="B853" i="21"/>
  <c r="B852" i="21"/>
  <c r="B851" i="21"/>
  <c r="B850" i="21"/>
  <c r="B849" i="21"/>
  <c r="B848" i="21"/>
  <c r="B847" i="21"/>
  <c r="B846" i="21"/>
  <c r="B845" i="21"/>
  <c r="B844" i="21"/>
  <c r="B843" i="21"/>
  <c r="B842" i="21"/>
  <c r="B841" i="21"/>
  <c r="B840" i="21"/>
  <c r="B839" i="21"/>
  <c r="B838" i="21"/>
  <c r="B837" i="21"/>
  <c r="B836" i="21"/>
  <c r="B835" i="21"/>
  <c r="B834" i="21"/>
  <c r="B833" i="21"/>
  <c r="B832" i="21"/>
  <c r="B831" i="21"/>
  <c r="B830" i="21"/>
  <c r="B829" i="21"/>
  <c r="B828" i="21"/>
  <c r="B827" i="21"/>
  <c r="B826" i="21"/>
  <c r="B825" i="21"/>
  <c r="B824" i="21"/>
  <c r="B823" i="21"/>
  <c r="B822" i="21"/>
  <c r="B821" i="21"/>
  <c r="B820" i="21"/>
  <c r="B819" i="21"/>
  <c r="B818" i="21"/>
  <c r="B817" i="21"/>
  <c r="B816" i="21"/>
  <c r="B815" i="21"/>
  <c r="B814" i="21"/>
  <c r="B813" i="21"/>
  <c r="B812" i="21"/>
  <c r="B811" i="21"/>
  <c r="B810" i="21"/>
  <c r="B809" i="21"/>
  <c r="B808" i="21"/>
  <c r="B807" i="21"/>
  <c r="B806" i="21"/>
  <c r="B805" i="21"/>
  <c r="B804" i="21"/>
  <c r="B803" i="21"/>
  <c r="B802" i="21"/>
  <c r="B801" i="21"/>
  <c r="B800" i="21"/>
  <c r="B799" i="21"/>
  <c r="B798" i="21"/>
  <c r="B797" i="21"/>
  <c r="B796" i="21"/>
  <c r="B795" i="21"/>
  <c r="B794" i="21"/>
  <c r="B793" i="21"/>
  <c r="B792" i="21"/>
  <c r="B791" i="21"/>
  <c r="B790" i="21"/>
  <c r="B789" i="21"/>
  <c r="B788" i="21"/>
  <c r="B787" i="21"/>
  <c r="B786" i="21"/>
  <c r="B785" i="21"/>
  <c r="B784" i="21"/>
  <c r="B783" i="21"/>
  <c r="B782" i="21"/>
  <c r="B781" i="21"/>
  <c r="B780" i="21"/>
  <c r="B779" i="21"/>
  <c r="B778" i="21"/>
  <c r="B777" i="21"/>
  <c r="B776" i="21"/>
  <c r="B775" i="21"/>
  <c r="B774" i="21"/>
  <c r="B773" i="21"/>
  <c r="B772" i="21"/>
  <c r="B771" i="21"/>
  <c r="B770" i="21"/>
  <c r="B769" i="21"/>
  <c r="B768" i="21"/>
  <c r="B767" i="21"/>
  <c r="B766" i="21"/>
  <c r="B765" i="21"/>
  <c r="B764" i="21"/>
  <c r="B763" i="21"/>
  <c r="B762" i="21"/>
  <c r="B761" i="21"/>
  <c r="B760" i="21"/>
  <c r="B759" i="21"/>
  <c r="B758" i="21"/>
  <c r="B757" i="21"/>
  <c r="B756" i="21"/>
  <c r="B755" i="21"/>
  <c r="B754" i="21"/>
  <c r="B753" i="21"/>
  <c r="B752" i="21"/>
  <c r="B751" i="21"/>
  <c r="B750" i="21"/>
  <c r="B749" i="21"/>
  <c r="B748" i="21"/>
  <c r="B747" i="21"/>
  <c r="B746" i="21"/>
  <c r="B745" i="21"/>
  <c r="B744" i="21"/>
  <c r="B743" i="21"/>
  <c r="B742" i="21"/>
  <c r="B741" i="21"/>
  <c r="B740" i="21"/>
  <c r="B739" i="21"/>
  <c r="B738" i="21"/>
  <c r="B737" i="21"/>
  <c r="B736" i="21"/>
  <c r="B735" i="21"/>
  <c r="B734" i="21"/>
  <c r="B733" i="21"/>
  <c r="B732" i="21"/>
  <c r="B731" i="21"/>
  <c r="B730" i="21"/>
  <c r="B729" i="21"/>
  <c r="B728" i="21"/>
  <c r="B727" i="21"/>
  <c r="B726" i="21"/>
  <c r="B725" i="21"/>
  <c r="B724" i="21"/>
  <c r="B723" i="21"/>
  <c r="B722" i="21"/>
  <c r="B721" i="21"/>
  <c r="B720" i="21"/>
  <c r="B719" i="21"/>
  <c r="B718" i="21"/>
  <c r="B717" i="21"/>
  <c r="B716" i="21"/>
  <c r="B715" i="21"/>
  <c r="B714" i="21"/>
  <c r="B713" i="21"/>
  <c r="B712" i="21"/>
  <c r="B711" i="21"/>
  <c r="B710" i="21"/>
  <c r="B709" i="21"/>
  <c r="B708" i="21"/>
  <c r="B707" i="21"/>
  <c r="B706" i="21"/>
  <c r="B705" i="21"/>
  <c r="B704" i="21"/>
  <c r="B703" i="21"/>
  <c r="B702" i="21"/>
  <c r="B701" i="21"/>
  <c r="B700" i="21"/>
  <c r="B699" i="21"/>
  <c r="B698" i="21"/>
  <c r="B697" i="21"/>
  <c r="B696" i="21"/>
  <c r="B695" i="21"/>
  <c r="B694" i="21"/>
  <c r="B693" i="21"/>
  <c r="B692" i="21"/>
  <c r="B691" i="21"/>
  <c r="B690" i="21"/>
  <c r="B689" i="21"/>
  <c r="B688" i="21"/>
  <c r="B687" i="21"/>
  <c r="B686" i="21"/>
  <c r="B685" i="21"/>
  <c r="B684" i="21"/>
  <c r="B683" i="21"/>
  <c r="B682" i="21"/>
  <c r="B681" i="21"/>
  <c r="B680" i="21"/>
  <c r="B679" i="21"/>
  <c r="B678" i="21"/>
  <c r="B677" i="21"/>
  <c r="B676" i="21"/>
  <c r="B675" i="21"/>
  <c r="B674" i="21"/>
  <c r="B673" i="21"/>
  <c r="B672" i="21"/>
  <c r="B671" i="21"/>
  <c r="B670" i="21"/>
  <c r="B669" i="21"/>
  <c r="B668" i="21"/>
  <c r="B667" i="21"/>
  <c r="B666" i="21"/>
  <c r="B665" i="21"/>
  <c r="B664" i="21"/>
  <c r="B663" i="21"/>
  <c r="B662" i="21"/>
  <c r="B661" i="21"/>
  <c r="B660" i="21"/>
  <c r="B659" i="21"/>
  <c r="B658" i="21"/>
  <c r="B657" i="21"/>
  <c r="B656" i="21"/>
  <c r="B655" i="21"/>
  <c r="B654" i="21"/>
  <c r="B653" i="21"/>
  <c r="B652" i="21"/>
  <c r="B651" i="21"/>
  <c r="B650" i="21"/>
  <c r="B649" i="21"/>
  <c r="B648" i="21"/>
  <c r="B647" i="21"/>
  <c r="B646" i="21"/>
  <c r="B645" i="21"/>
  <c r="B644" i="21"/>
  <c r="B643" i="21"/>
  <c r="B642" i="21"/>
  <c r="B641" i="21"/>
  <c r="B640" i="21"/>
  <c r="B639" i="21"/>
  <c r="B638" i="21"/>
  <c r="B637" i="21"/>
  <c r="B636" i="21"/>
  <c r="B635" i="21"/>
  <c r="B634" i="21"/>
  <c r="B633" i="21"/>
  <c r="B632" i="21"/>
  <c r="B631" i="21"/>
  <c r="B630" i="21"/>
  <c r="B629" i="21"/>
  <c r="B628" i="21"/>
  <c r="B627" i="21"/>
  <c r="B626" i="21"/>
  <c r="B625" i="21"/>
  <c r="B624" i="21"/>
  <c r="B623" i="21"/>
  <c r="B622" i="21"/>
  <c r="B621" i="21"/>
  <c r="B620" i="21"/>
  <c r="B619" i="21"/>
  <c r="B618" i="21"/>
  <c r="B617" i="21"/>
  <c r="B616" i="21"/>
  <c r="B615" i="21"/>
  <c r="B614" i="21"/>
  <c r="B613" i="21"/>
  <c r="B612" i="21"/>
  <c r="B611" i="21"/>
  <c r="B610" i="21"/>
  <c r="B609" i="21"/>
  <c r="B608" i="21"/>
  <c r="B607" i="21"/>
  <c r="B606" i="21"/>
  <c r="B605" i="21"/>
  <c r="B604" i="21"/>
  <c r="B603" i="21"/>
  <c r="B602" i="21"/>
  <c r="B601" i="21"/>
  <c r="B600" i="21"/>
  <c r="B599" i="21"/>
  <c r="B598" i="21"/>
  <c r="B597" i="21"/>
  <c r="B596" i="21"/>
  <c r="B595" i="21"/>
  <c r="B594" i="21"/>
  <c r="B593" i="21"/>
  <c r="B592" i="21"/>
  <c r="B591" i="21"/>
  <c r="B590" i="21"/>
  <c r="B589" i="21"/>
  <c r="B588" i="21"/>
  <c r="B587" i="21"/>
  <c r="B586" i="21"/>
  <c r="B585" i="21"/>
  <c r="B584" i="21"/>
  <c r="B583" i="21"/>
  <c r="B582" i="21"/>
  <c r="B581" i="21"/>
  <c r="B580" i="21"/>
  <c r="B579" i="21"/>
  <c r="B578" i="21"/>
  <c r="B577" i="2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B533" i="21"/>
  <c r="B532" i="21"/>
  <c r="B531" i="21"/>
  <c r="B530" i="21"/>
  <c r="B529" i="21"/>
  <c r="B528" i="21"/>
  <c r="B527" i="21"/>
  <c r="B526" i="21"/>
  <c r="B525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B481" i="21"/>
  <c r="B480" i="21"/>
  <c r="B479" i="21"/>
  <c r="B478" i="21"/>
  <c r="B477" i="21"/>
  <c r="B476" i="21"/>
  <c r="B475" i="21"/>
  <c r="B474" i="21"/>
  <c r="B473" i="21"/>
  <c r="B472" i="21"/>
  <c r="B471" i="21"/>
  <c r="B470" i="21"/>
  <c r="B469" i="21"/>
  <c r="B468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B451" i="21"/>
  <c r="B450" i="21"/>
  <c r="B449" i="21"/>
  <c r="B448" i="21"/>
  <c r="B447" i="21"/>
  <c r="B446" i="21"/>
  <c r="B445" i="21"/>
  <c r="B444" i="21"/>
  <c r="B443" i="21"/>
  <c r="B442" i="21"/>
  <c r="B441" i="21"/>
  <c r="B440" i="21"/>
  <c r="B439" i="21"/>
  <c r="B438" i="21"/>
  <c r="B437" i="21"/>
  <c r="B436" i="21"/>
  <c r="B435" i="21"/>
  <c r="B434" i="21"/>
  <c r="B433" i="21"/>
  <c r="B432" i="21"/>
  <c r="B431" i="21"/>
  <c r="B430" i="21"/>
  <c r="B429" i="21"/>
  <c r="B428" i="21"/>
  <c r="B427" i="21"/>
  <c r="B426" i="21"/>
  <c r="B425" i="21"/>
  <c r="B424" i="21"/>
  <c r="B423" i="2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B398" i="21"/>
  <c r="B397" i="21"/>
  <c r="B396" i="21"/>
  <c r="B395" i="21"/>
  <c r="B394" i="21"/>
  <c r="B393" i="21"/>
  <c r="B392" i="21"/>
  <c r="B391" i="21"/>
  <c r="B390" i="21"/>
  <c r="B389" i="21"/>
  <c r="B388" i="21"/>
  <c r="B387" i="21"/>
  <c r="B386" i="21"/>
  <c r="B385" i="21"/>
  <c r="B384" i="21"/>
  <c r="B383" i="21"/>
  <c r="B382" i="21"/>
  <c r="B381" i="21"/>
  <c r="B380" i="21"/>
  <c r="B379" i="21"/>
  <c r="B378" i="21"/>
  <c r="B377" i="21"/>
  <c r="B376" i="21"/>
  <c r="B375" i="21"/>
  <c r="B374" i="21"/>
  <c r="B373" i="21"/>
  <c r="B372" i="21"/>
  <c r="B371" i="21"/>
  <c r="B370" i="21"/>
  <c r="B369" i="21"/>
  <c r="B368" i="21"/>
  <c r="B367" i="21"/>
  <c r="B366" i="21"/>
  <c r="B365" i="21"/>
  <c r="B364" i="21"/>
  <c r="B363" i="21"/>
  <c r="B362" i="21"/>
  <c r="B361" i="21"/>
  <c r="B360" i="21"/>
  <c r="B359" i="21"/>
  <c r="B358" i="21"/>
  <c r="B357" i="21"/>
  <c r="B356" i="21"/>
  <c r="B355" i="21"/>
  <c r="B354" i="21"/>
  <c r="B353" i="21"/>
  <c r="B352" i="21"/>
  <c r="B351" i="21"/>
  <c r="B350" i="21"/>
  <c r="B349" i="21"/>
  <c r="B348" i="21"/>
  <c r="B347" i="21"/>
  <c r="B346" i="21"/>
  <c r="B345" i="21"/>
  <c r="B344" i="21"/>
  <c r="B343" i="21"/>
  <c r="B342" i="21"/>
  <c r="B341" i="21"/>
  <c r="B340" i="21"/>
  <c r="B339" i="21"/>
  <c r="B338" i="21"/>
  <c r="B337" i="21"/>
  <c r="B336" i="21"/>
  <c r="B335" i="21"/>
  <c r="B334" i="21"/>
  <c r="B333" i="21"/>
  <c r="B332" i="21"/>
  <c r="B331" i="21"/>
  <c r="B330" i="21"/>
  <c r="B329" i="21"/>
  <c r="B328" i="21"/>
  <c r="B327" i="21"/>
  <c r="B326" i="21"/>
  <c r="B325" i="21"/>
  <c r="B324" i="21"/>
  <c r="B323" i="21"/>
  <c r="B322" i="21"/>
  <c r="B321" i="21"/>
  <c r="B320" i="21"/>
  <c r="B319" i="21"/>
  <c r="B318" i="21"/>
  <c r="B317" i="21"/>
  <c r="B316" i="21"/>
  <c r="B315" i="21"/>
  <c r="B314" i="21"/>
  <c r="B313" i="21"/>
  <c r="B312" i="21"/>
  <c r="B311" i="21"/>
  <c r="B310" i="21"/>
  <c r="B309" i="21"/>
  <c r="B308" i="21"/>
  <c r="B307" i="21"/>
  <c r="B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9" i="21"/>
  <c r="B288" i="21"/>
  <c r="B287" i="21"/>
  <c r="B286" i="21"/>
  <c r="B285" i="21"/>
  <c r="B284" i="21"/>
  <c r="B283" i="21"/>
  <c r="B282" i="21"/>
  <c r="B281" i="21"/>
  <c r="B280" i="21"/>
  <c r="B279" i="21"/>
  <c r="B278" i="21"/>
  <c r="B277" i="21"/>
  <c r="B276" i="21"/>
  <c r="B275" i="21"/>
  <c r="B274" i="21"/>
  <c r="B273" i="21"/>
  <c r="B272" i="21"/>
  <c r="B271" i="21"/>
  <c r="B270" i="21"/>
  <c r="B269" i="21"/>
  <c r="B268" i="21"/>
  <c r="B267" i="21"/>
  <c r="B266" i="21"/>
  <c r="B265" i="21"/>
  <c r="B264" i="21"/>
  <c r="B263" i="21"/>
  <c r="B262" i="21"/>
  <c r="B261" i="21"/>
  <c r="B260" i="21"/>
  <c r="B259" i="21"/>
  <c r="B258" i="21"/>
  <c r="B257" i="21"/>
  <c r="B256" i="21"/>
  <c r="B255" i="21"/>
  <c r="B254" i="21"/>
  <c r="B253" i="21"/>
  <c r="B252" i="21"/>
  <c r="B251" i="21"/>
  <c r="B250" i="21"/>
  <c r="B249" i="21"/>
  <c r="B248" i="21"/>
  <c r="B247" i="21"/>
  <c r="B246" i="21"/>
  <c r="B245" i="21"/>
  <c r="B244" i="21"/>
  <c r="B243" i="21"/>
  <c r="B242" i="21"/>
  <c r="B241" i="21"/>
  <c r="B240" i="21"/>
  <c r="B239" i="21"/>
  <c r="B238" i="21"/>
  <c r="B237" i="21"/>
  <c r="B236" i="21"/>
  <c r="B235" i="21"/>
  <c r="B234" i="21"/>
  <c r="B233" i="21"/>
  <c r="B232" i="21"/>
  <c r="B231" i="21"/>
  <c r="B230" i="21"/>
  <c r="B229" i="21"/>
  <c r="B228" i="21"/>
  <c r="B227" i="21"/>
  <c r="B226" i="21"/>
  <c r="B225" i="21"/>
  <c r="B224" i="21"/>
  <c r="B223" i="21"/>
  <c r="B222" i="21"/>
  <c r="B221" i="21"/>
  <c r="B220" i="21"/>
  <c r="B219" i="21"/>
  <c r="B218" i="21"/>
  <c r="B217" i="21"/>
  <c r="B216" i="21"/>
  <c r="B215" i="21"/>
  <c r="B214" i="21"/>
  <c r="B213" i="21"/>
  <c r="B212" i="21"/>
  <c r="B211" i="21"/>
  <c r="B210" i="21"/>
  <c r="B209" i="21"/>
  <c r="B208" i="21"/>
  <c r="B207" i="21"/>
  <c r="B206" i="21"/>
  <c r="B205" i="21"/>
  <c r="B204" i="21"/>
  <c r="B203" i="21"/>
  <c r="B202" i="21"/>
  <c r="B201" i="21"/>
  <c r="B200" i="21"/>
  <c r="B199" i="21"/>
  <c r="B198" i="21"/>
  <c r="B197" i="21"/>
  <c r="B196" i="21"/>
  <c r="B195" i="21"/>
  <c r="B194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6" i="21"/>
  <c r="B165" i="21"/>
  <c r="B164" i="21"/>
  <c r="B163" i="21"/>
  <c r="B162" i="21"/>
  <c r="B161" i="21"/>
  <c r="B160" i="21"/>
  <c r="B159" i="21"/>
  <c r="B158" i="21"/>
  <c r="B157" i="21"/>
  <c r="B156" i="21"/>
  <c r="B155" i="21"/>
  <c r="B154" i="21"/>
  <c r="B153" i="21"/>
  <c r="B152" i="21"/>
  <c r="B151" i="21"/>
  <c r="B150" i="21"/>
  <c r="B149" i="21"/>
  <c r="B148" i="21"/>
  <c r="B147" i="21"/>
  <c r="B146" i="21"/>
  <c r="B145" i="21"/>
  <c r="B144" i="21"/>
  <c r="B143" i="21"/>
  <c r="B142" i="21"/>
  <c r="B141" i="21"/>
  <c r="B140" i="21"/>
  <c r="B139" i="21"/>
  <c r="B138" i="21"/>
  <c r="B137" i="21"/>
  <c r="B13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D1" i="21" s="1" a="1"/>
  <c r="D1" i="21" s="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B1" i="21"/>
  <c r="E3" i="20"/>
  <c r="E2" i="20"/>
  <c r="E1" i="20"/>
  <c r="D3" i="20"/>
  <c r="D2" i="20"/>
  <c r="D1" i="20"/>
  <c r="C1" i="20" a="1"/>
  <c r="C1" i="20" s="1"/>
  <c r="E3" i="19"/>
  <c r="E2" i="19"/>
  <c r="E1" i="19"/>
  <c r="D3" i="19"/>
  <c r="D2" i="19"/>
  <c r="D1" i="19"/>
  <c r="C1" i="19" a="1"/>
  <c r="C1" i="19" s="1"/>
  <c r="E13" i="16"/>
  <c r="E16" i="15"/>
  <c r="E8" i="14"/>
  <c r="E20" i="13"/>
  <c r="E11" i="12"/>
  <c r="E9" i="11"/>
  <c r="E17" i="10"/>
  <c r="E8" i="9"/>
  <c r="E14" i="8"/>
  <c r="E16" i="7"/>
  <c r="E30" i="6"/>
  <c r="E10" i="5"/>
  <c r="E2" i="28" l="1"/>
  <c r="E3" i="28" s="1"/>
  <c r="E4" i="28" s="1"/>
  <c r="E5" i="28" s="1"/>
  <c r="E6" i="28" s="1"/>
  <c r="E7" i="28" s="1"/>
  <c r="E8" i="28" s="1"/>
  <c r="E9" i="28" s="1"/>
  <c r="E10" i="28" s="1"/>
  <c r="R3" i="27"/>
  <c r="E6" i="24"/>
  <c r="C1" i="23"/>
  <c r="D1" i="23" s="1"/>
  <c r="D4" i="23"/>
  <c r="D3" i="23"/>
  <c r="D2" i="23"/>
  <c r="E4" i="22"/>
  <c r="F30" i="2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<sst xmlns="http://schemas.openxmlformats.org/spreadsheetml/2006/main" count="73309" uniqueCount="7410">
  <si>
    <t>Fecha</t>
  </si>
  <si>
    <t>Procedencia</t>
  </si>
  <si>
    <t>Institución</t>
  </si>
  <si>
    <t>Sector</t>
  </si>
  <si>
    <t>Código ATC</t>
  </si>
  <si>
    <t>Name</t>
  </si>
  <si>
    <t>Fórmula</t>
  </si>
  <si>
    <t>Derecho de explotación</t>
  </si>
  <si>
    <t>Nombre comercial</t>
  </si>
  <si>
    <t>Tipo de forma farmacéutica</t>
  </si>
  <si>
    <t>Forma farmacéutica</t>
  </si>
  <si>
    <t>Vía de administración</t>
  </si>
  <si>
    <t>Cantidad remanente</t>
  </si>
  <si>
    <t>Envase</t>
  </si>
  <si>
    <t>Lote</t>
  </si>
  <si>
    <t>Caducidad</t>
  </si>
  <si>
    <t>Laboratorio productor</t>
  </si>
  <si>
    <t>País de origen</t>
  </si>
  <si>
    <t>Registro Sanitario</t>
  </si>
  <si>
    <t>Fracción</t>
  </si>
  <si>
    <t>Grupo</t>
  </si>
  <si>
    <t>Venta</t>
  </si>
  <si>
    <t>PIRMCT-005</t>
  </si>
  <si>
    <t>Departamento de Operación Sanitaria, COFEPRIS, Secretaría de Salud, Tabasco</t>
  </si>
  <si>
    <t>Privado</t>
  </si>
  <si>
    <t>A02AF01 </t>
  </si>
  <si>
    <t>magaldrate and antiflatulents </t>
  </si>
  <si>
    <t>MALAGRATO 80MG/ DIMETICONA 10MG /1mL</t>
  </si>
  <si>
    <t>Marca</t>
  </si>
  <si>
    <t>Riopan</t>
  </si>
  <si>
    <t>Semisólido</t>
  </si>
  <si>
    <t>Gel</t>
  </si>
  <si>
    <t>Oral</t>
  </si>
  <si>
    <t>Primario</t>
  </si>
  <si>
    <t>12084572</t>
  </si>
  <si>
    <t>MAY/23</t>
  </si>
  <si>
    <t>Takeda México, S.A. de C.V.</t>
  </si>
  <si>
    <t>México</t>
  </si>
  <si>
    <t>186M88</t>
  </si>
  <si>
    <t>SSA VI</t>
  </si>
  <si>
    <t>No controlado</t>
  </si>
  <si>
    <t>Venta libre</t>
  </si>
  <si>
    <t>A02BX02 </t>
  </si>
  <si>
    <t>sucralfate </t>
  </si>
  <si>
    <t>SUCRALFATO 1 G/5 ML</t>
  </si>
  <si>
    <t>UNIVAL</t>
  </si>
  <si>
    <t>Líquido</t>
  </si>
  <si>
    <t>SUSPENSION</t>
  </si>
  <si>
    <t>ORAL</t>
  </si>
  <si>
    <t>Ambos</t>
  </si>
  <si>
    <t>S3J611</t>
  </si>
  <si>
    <t>OCT/25</t>
  </si>
  <si>
    <t>SENOSIAIN</t>
  </si>
  <si>
    <t>MEXICO</t>
  </si>
  <si>
    <t>121M2012</t>
  </si>
  <si>
    <t>SSA IV</t>
  </si>
  <si>
    <t>Con receta</t>
  </si>
  <si>
    <t>S2F455</t>
  </si>
  <si>
    <t>JUN/24</t>
  </si>
  <si>
    <t>A03AX30 </t>
  </si>
  <si>
    <t>trimethyldiphenylpropylamine </t>
  </si>
  <si>
    <t>Difenidol, 100 mg</t>
  </si>
  <si>
    <t>Vontrol LP</t>
  </si>
  <si>
    <t>Sólido</t>
  </si>
  <si>
    <t>Tabletas</t>
  </si>
  <si>
    <t>311KY023B</t>
  </si>
  <si>
    <t>SEP/23</t>
  </si>
  <si>
    <t>GRIMANN</t>
  </si>
  <si>
    <t>051M2015</t>
  </si>
  <si>
    <t>A07FA</t>
  </si>
  <si>
    <t>Antidiarrheal microorganisms</t>
  </si>
  <si>
    <t>ESPORAS DE BACILLUS CLAUSII 5ML</t>
  </si>
  <si>
    <t>SINUBERASE</t>
  </si>
  <si>
    <t>AMPOLLETA</t>
  </si>
  <si>
    <t>Secundario</t>
  </si>
  <si>
    <t>31245</t>
  </si>
  <si>
    <t>NOV/25</t>
  </si>
  <si>
    <t>SANOFIL</t>
  </si>
  <si>
    <t>ITALIA</t>
  </si>
  <si>
    <t>35955</t>
  </si>
  <si>
    <t>A10BA02 </t>
  </si>
  <si>
    <t>metformin </t>
  </si>
  <si>
    <t>METFORMIN 750MG</t>
  </si>
  <si>
    <t>PREDIAL PLUS</t>
  </si>
  <si>
    <t>22C259M1</t>
  </si>
  <si>
    <t>MAR/24</t>
  </si>
  <si>
    <t>Laboratorios Silanes, S.A. de C.V.</t>
  </si>
  <si>
    <t>386M2004</t>
  </si>
  <si>
    <t>Metformina, 850 mg</t>
  </si>
  <si>
    <t>Genérico</t>
  </si>
  <si>
    <t>Metformina</t>
  </si>
  <si>
    <t>U22J603</t>
  </si>
  <si>
    <t>Laboratorios PiSA</t>
  </si>
  <si>
    <t>299M2000</t>
  </si>
  <si>
    <t>A11CC04 </t>
  </si>
  <si>
    <t>calcitriol </t>
  </si>
  <si>
    <t>CALCITRIOL 0.25 MCG</t>
  </si>
  <si>
    <t>DELCATRIOL</t>
  </si>
  <si>
    <t>CAPSULA</t>
  </si>
  <si>
    <t>416764</t>
  </si>
  <si>
    <t>MAR/25</t>
  </si>
  <si>
    <t>TECNO FARMA</t>
  </si>
  <si>
    <t>271M93</t>
  </si>
  <si>
    <t>398952</t>
  </si>
  <si>
    <t>ABR/24</t>
  </si>
  <si>
    <t>379324</t>
  </si>
  <si>
    <t>JUL/24</t>
  </si>
  <si>
    <t>402190</t>
  </si>
  <si>
    <t>AGO/24</t>
  </si>
  <si>
    <t>A11GA01 </t>
  </si>
  <si>
    <t>ascorbic acid (vit C)</t>
  </si>
  <si>
    <t>Ácido ascórbico, 2g</t>
  </si>
  <si>
    <t>Ácido ascórbico VITAMINA C</t>
  </si>
  <si>
    <t>220516</t>
  </si>
  <si>
    <t>SERRAL</t>
  </si>
  <si>
    <t>001V2017</t>
  </si>
  <si>
    <t>B01AC04 </t>
  </si>
  <si>
    <t>clopidogrel </t>
  </si>
  <si>
    <t>CLOPIDOGREL, 75 MG</t>
  </si>
  <si>
    <t>TABLETA</t>
  </si>
  <si>
    <t>3BN118A</t>
  </si>
  <si>
    <t>FEB/26</t>
  </si>
  <si>
    <t>ULTRA</t>
  </si>
  <si>
    <t>303M2011</t>
  </si>
  <si>
    <t>CLOPIDOGREL 75 MG</t>
  </si>
  <si>
    <t>CIDORIX</t>
  </si>
  <si>
    <t>SL23427</t>
  </si>
  <si>
    <t>DIC/25</t>
  </si>
  <si>
    <t>Solara, S. A. de C. V.</t>
  </si>
  <si>
    <t>001M2012</t>
  </si>
  <si>
    <t>C01DA02 </t>
  </si>
  <si>
    <t>glyceryl trinitrate </t>
  </si>
  <si>
    <t>TRINITRATO DE GLICERILO, 18 MG</t>
  </si>
  <si>
    <t>MINITRAN</t>
  </si>
  <si>
    <t>PARCHE</t>
  </si>
  <si>
    <t>TRANSDERMICO</t>
  </si>
  <si>
    <t>104756</t>
  </si>
  <si>
    <t>SEP/26</t>
  </si>
  <si>
    <t>3M DRUG DELVERY SISTEM</t>
  </si>
  <si>
    <t>ESTADOS UNIDOS</t>
  </si>
  <si>
    <t>074M91</t>
  </si>
  <si>
    <t>C01DA08 </t>
  </si>
  <si>
    <t>isosorbide dinitrate </t>
  </si>
  <si>
    <t>DINITRATO ISOBORBIDA 40 MG</t>
  </si>
  <si>
    <t>ISORBID</t>
  </si>
  <si>
    <t>22070015</t>
  </si>
  <si>
    <t>RMSTRONG</t>
  </si>
  <si>
    <t>63050</t>
  </si>
  <si>
    <t>DINITRATO ISOBORBIDA 20 MG</t>
  </si>
  <si>
    <t>221100789</t>
  </si>
  <si>
    <t>22110080</t>
  </si>
  <si>
    <t>C03AA03 </t>
  </si>
  <si>
    <t>hydrochlorothiazide </t>
  </si>
  <si>
    <t>HIDROCLOROTIAZIDA 25 MG</t>
  </si>
  <si>
    <t>ROFUCAL</t>
  </si>
  <si>
    <t>2301220627</t>
  </si>
  <si>
    <t>PROBIOMED</t>
  </si>
  <si>
    <t>74276</t>
  </si>
  <si>
    <t>C05CA03 </t>
  </si>
  <si>
    <t>diosmin </t>
  </si>
  <si>
    <t>DIOSMINA 450 MG/ HESPERIDINA 50 MG</t>
  </si>
  <si>
    <t>Flexar</t>
  </si>
  <si>
    <t>D01091</t>
  </si>
  <si>
    <t>ENE/24</t>
  </si>
  <si>
    <t>Laboratorios Liomont, S. A. de C. V.</t>
  </si>
  <si>
    <t>173M2019</t>
  </si>
  <si>
    <t>C05CA53 </t>
  </si>
  <si>
    <t>diosmin, combinations </t>
  </si>
  <si>
    <t>DIOSMINA 450MG, HESPERIDINA 50MG</t>
  </si>
  <si>
    <t>214909</t>
  </si>
  <si>
    <t>AGO/23</t>
  </si>
  <si>
    <t>PRODUCTOS MAVER, S.A. DE C.V.</t>
  </si>
  <si>
    <t>080M2016</t>
  </si>
  <si>
    <t>Público</t>
  </si>
  <si>
    <t>C07AB02 </t>
  </si>
  <si>
    <t>metoprolol </t>
  </si>
  <si>
    <t>METOPROLOL 100MG</t>
  </si>
  <si>
    <t>D6173</t>
  </si>
  <si>
    <t>Bioresearch de México, S.A de C.V.</t>
  </si>
  <si>
    <t>117M95</t>
  </si>
  <si>
    <t>C07AB12 </t>
  </si>
  <si>
    <t>nebivolol </t>
  </si>
  <si>
    <t>Nebivolol, 5 mg</t>
  </si>
  <si>
    <t>Nebivolol</t>
  </si>
  <si>
    <t>E233817</t>
  </si>
  <si>
    <t>HETERO LABS LIMITED</t>
  </si>
  <si>
    <t>India</t>
  </si>
  <si>
    <t>196M2020</t>
  </si>
  <si>
    <t>C07FB03 </t>
  </si>
  <si>
    <t>atenolol and nifedipine </t>
  </si>
  <si>
    <t>ATENOLOL, 50 MG; NIFEDIPINO 20 MG</t>
  </si>
  <si>
    <t>PLENACOR LP</t>
  </si>
  <si>
    <t>20020032</t>
  </si>
  <si>
    <t>AMSTRON</t>
  </si>
  <si>
    <t>380M93</t>
  </si>
  <si>
    <t>Atenolol, 50 mg / Nifedipino, 20 mg</t>
  </si>
  <si>
    <t>Plenacor LP</t>
  </si>
  <si>
    <t>Cápsulas</t>
  </si>
  <si>
    <t>23020032</t>
  </si>
  <si>
    <t>OSMOPHARM SA</t>
  </si>
  <si>
    <t>Suiza</t>
  </si>
  <si>
    <t>C08DB01 </t>
  </si>
  <si>
    <t>diltiazem </t>
  </si>
  <si>
    <t>DILTIAZEM, 30 MG</t>
  </si>
  <si>
    <t>220826</t>
  </si>
  <si>
    <t>MAY/24</t>
  </si>
  <si>
    <t>445M98</t>
  </si>
  <si>
    <t>C09BB04 </t>
  </si>
  <si>
    <t>perindopril and amlodipine </t>
  </si>
  <si>
    <t>Perindopril arginina, 14 mg/ Amlodipino 10 mg</t>
  </si>
  <si>
    <t>VIALIBRAM</t>
  </si>
  <si>
    <t>Comprimidos</t>
  </si>
  <si>
    <t>720599</t>
  </si>
  <si>
    <t>Servier Industries</t>
  </si>
  <si>
    <t>Irlanda</t>
  </si>
  <si>
    <t>259M2019</t>
  </si>
  <si>
    <t>Perindopril, 10 mg / Amlodipino, 10 mg</t>
  </si>
  <si>
    <t>COVERSAM</t>
  </si>
  <si>
    <t>710054</t>
  </si>
  <si>
    <t>282M2012</t>
  </si>
  <si>
    <t>C09DA01 </t>
  </si>
  <si>
    <t>losartan and diuretics </t>
  </si>
  <si>
    <t>LOSARTÁN 50 MG/ HIDROCLOROTIAZIDA 12.5MG</t>
  </si>
  <si>
    <t>3NM144A</t>
  </si>
  <si>
    <t>AGO/25</t>
  </si>
  <si>
    <t>Ultra Laboratorios, S.A. de C.V.</t>
  </si>
  <si>
    <t>272M2009</t>
  </si>
  <si>
    <t>C10AA03 </t>
  </si>
  <si>
    <t>pravastatin </t>
  </si>
  <si>
    <t>pravastatina, 10mg</t>
  </si>
  <si>
    <t>novina</t>
  </si>
  <si>
    <t>640122</t>
  </si>
  <si>
    <t>NOVAG INFANCIA</t>
  </si>
  <si>
    <t>136M2000</t>
  </si>
  <si>
    <t>C10AA05 </t>
  </si>
  <si>
    <t>atorvastatin </t>
  </si>
  <si>
    <t>ATORVASTATINA 20MG</t>
  </si>
  <si>
    <t>8391223</t>
  </si>
  <si>
    <t>Psicofarma, S.A. de C.V.</t>
  </si>
  <si>
    <t>277M2011</t>
  </si>
  <si>
    <t>C10AB02 </t>
  </si>
  <si>
    <t>bezafibrate </t>
  </si>
  <si>
    <t>BEZAFIBRATO 200MG</t>
  </si>
  <si>
    <t>6720522</t>
  </si>
  <si>
    <t>Neolpharma, S. A. de C. V.</t>
  </si>
  <si>
    <t>542M96</t>
  </si>
  <si>
    <t>C10AB04 </t>
  </si>
  <si>
    <t>gemfibrozil </t>
  </si>
  <si>
    <t>Gemfibrozilo, 600 mg</t>
  </si>
  <si>
    <t>Progemlip</t>
  </si>
  <si>
    <t>2206669</t>
  </si>
  <si>
    <t>INVESTIGACIÓN FARMACÉUTICA</t>
  </si>
  <si>
    <t>300M2008</t>
  </si>
  <si>
    <t>C10AB08 </t>
  </si>
  <si>
    <t>ciprofibrate </t>
  </si>
  <si>
    <t>CIPROFIBRATO 100 MG</t>
  </si>
  <si>
    <t>Cápsula</t>
  </si>
  <si>
    <t>222142</t>
  </si>
  <si>
    <t>Productos Maver, S.A. de C.V.</t>
  </si>
  <si>
    <t>235M2021</t>
  </si>
  <si>
    <t>D01AC10</t>
  </si>
  <si>
    <t>bifonazole</t>
  </si>
  <si>
    <t>BIFONAZOL 1G/100G</t>
  </si>
  <si>
    <t>Unesia</t>
  </si>
  <si>
    <t>Ungüento</t>
  </si>
  <si>
    <t>Tópica</t>
  </si>
  <si>
    <t>2355SA</t>
  </si>
  <si>
    <t>DIC/20</t>
  </si>
  <si>
    <t>Laboratorios Kener, S.A. de C.V.</t>
  </si>
  <si>
    <t>010m2009</t>
  </si>
  <si>
    <t>D07CC01</t>
  </si>
  <si>
    <t>betamethasone and antibiotics</t>
  </si>
  <si>
    <t>BETAMETASONA. 0.05G; CLOTRIMAZOL, 1G; GENTAMICINA, 0.1 G</t>
  </si>
  <si>
    <t>QUADRIDERM</t>
  </si>
  <si>
    <t>CREMA</t>
  </si>
  <si>
    <t>CUTANEA</t>
  </si>
  <si>
    <t>W017026</t>
  </si>
  <si>
    <t>Schering-Plough</t>
  </si>
  <si>
    <t>BELGICA</t>
  </si>
  <si>
    <t>76782</t>
  </si>
  <si>
    <t>D10AD</t>
  </si>
  <si>
    <t>Retinoids for topical use in acne</t>
  </si>
  <si>
    <t>ADAPALENO 0.1 G, PEROXIDO DE BENZOILO 2.5 G</t>
  </si>
  <si>
    <t>EFFEZEL</t>
  </si>
  <si>
    <t>gel</t>
  </si>
  <si>
    <t>topico</t>
  </si>
  <si>
    <t>2324204</t>
  </si>
  <si>
    <t>JUN/23</t>
  </si>
  <si>
    <t>GALDERMA</t>
  </si>
  <si>
    <t>FRANCIA</t>
  </si>
  <si>
    <t>008M2012</t>
  </si>
  <si>
    <t>D10AD53</t>
  </si>
  <si>
    <t>adapalene, combinations</t>
  </si>
  <si>
    <t>ADAPALENO, 0.3G; PEROXIDO DE BENZOILO, 2.5 G</t>
  </si>
  <si>
    <t>GEL</t>
  </si>
  <si>
    <t>CUTANEO</t>
  </si>
  <si>
    <t>355305</t>
  </si>
  <si>
    <t>G PRODUCTION</t>
  </si>
  <si>
    <t>CANADA</t>
  </si>
  <si>
    <t>358679</t>
  </si>
  <si>
    <t>346733</t>
  </si>
  <si>
    <t>D11AX10</t>
  </si>
  <si>
    <t>finasteride</t>
  </si>
  <si>
    <t>FINASTERIDA 5MG</t>
  </si>
  <si>
    <t>Fixdater</t>
  </si>
  <si>
    <t>201354</t>
  </si>
  <si>
    <t>OCT/23</t>
  </si>
  <si>
    <t>VICTORY ENTERPRISES, S.A. DE C.V.</t>
  </si>
  <si>
    <t>044M2019</t>
  </si>
  <si>
    <t>G03AB07</t>
  </si>
  <si>
    <t>chlormadinone and ethinylestradiol</t>
  </si>
  <si>
    <t>Acetato de Clormadinona, 2 mg/ Etinilestradiol, 0.03 mg</t>
  </si>
  <si>
    <t>LIBERFEM</t>
  </si>
  <si>
    <t>LF30870B</t>
  </si>
  <si>
    <t>ABR/25</t>
  </si>
  <si>
    <t>LABORATORIOS LEÓN FARMA,S.A.</t>
  </si>
  <si>
    <t>España</t>
  </si>
  <si>
    <t>105M2017</t>
  </si>
  <si>
    <t>G04BD07</t>
  </si>
  <si>
    <t>tolterodine</t>
  </si>
  <si>
    <t>TOLTERODINA</t>
  </si>
  <si>
    <t>U22A409</t>
  </si>
  <si>
    <t>PISA</t>
  </si>
  <si>
    <t>472M2015</t>
  </si>
  <si>
    <t>J01CA04</t>
  </si>
  <si>
    <t>amoxicillin</t>
  </si>
  <si>
    <t>amoxicilina, 500 MG</t>
  </si>
  <si>
    <t>2006175</t>
  </si>
  <si>
    <t>BRULUAGSA</t>
  </si>
  <si>
    <t>518M99</t>
  </si>
  <si>
    <t>Amoxicilina trihidratada, 500 mg</t>
  </si>
  <si>
    <t>DIMOPEN</t>
  </si>
  <si>
    <t>206175</t>
  </si>
  <si>
    <t>J01FA09</t>
  </si>
  <si>
    <t>clarithromycin</t>
  </si>
  <si>
    <t>CLARITROMICINA</t>
  </si>
  <si>
    <t>215654</t>
  </si>
  <si>
    <t>Mexico</t>
  </si>
  <si>
    <t>205M2001</t>
  </si>
  <si>
    <t>L04AH01</t>
  </si>
  <si>
    <t>sirolimus</t>
  </si>
  <si>
    <t>SIROLIMUS 1 MG</t>
  </si>
  <si>
    <t>P-HIYSPLAN</t>
  </si>
  <si>
    <t>RPH233</t>
  </si>
  <si>
    <t>JUL/23</t>
  </si>
  <si>
    <t>RAAM</t>
  </si>
  <si>
    <t>448M2015</t>
  </si>
  <si>
    <t>M01AC06</t>
  </si>
  <si>
    <t>meloxicam</t>
  </si>
  <si>
    <t>Meloxicam, 1.8 g/ ketorolaco trometamina, 0.60 g</t>
  </si>
  <si>
    <t>Exel-ACT</t>
  </si>
  <si>
    <t>Cutánea</t>
  </si>
  <si>
    <t>S1G142</t>
  </si>
  <si>
    <t>Laboratorios Senosiain</t>
  </si>
  <si>
    <t>041M2020</t>
  </si>
  <si>
    <t>Meloxicam, 1g</t>
  </si>
  <si>
    <t>Exel</t>
  </si>
  <si>
    <t>S2B978</t>
  </si>
  <si>
    <t>FEB/24</t>
  </si>
  <si>
    <t>LABORATORIOS SENOSIAIN</t>
  </si>
  <si>
    <t>263M2012</t>
  </si>
  <si>
    <t>M01AE01</t>
  </si>
  <si>
    <t>ibuprofen</t>
  </si>
  <si>
    <t>Ibuprofeno, 400 mg</t>
  </si>
  <si>
    <t>Ibuprofeno</t>
  </si>
  <si>
    <t>P192</t>
  </si>
  <si>
    <t>PROGELA</t>
  </si>
  <si>
    <t>263M2014</t>
  </si>
  <si>
    <t>N02AJ15</t>
  </si>
  <si>
    <t>tramadol and other non-opioid analgesics</t>
  </si>
  <si>
    <t>Tramadol, 25 mg/ Ketorolaco, 10 mg</t>
  </si>
  <si>
    <t>SINERGIX</t>
  </si>
  <si>
    <t>00032</t>
  </si>
  <si>
    <t>MAY/22</t>
  </si>
  <si>
    <t>REPRESENTACIONES E INVESTIGACIONES MÉDICAS</t>
  </si>
  <si>
    <t>117M2003</t>
  </si>
  <si>
    <t>N02BE01</t>
  </si>
  <si>
    <t>paracetamol</t>
  </si>
  <si>
    <t>Paracetamol, 500 mg</t>
  </si>
  <si>
    <t>Paracetamol</t>
  </si>
  <si>
    <t>AMXA042</t>
  </si>
  <si>
    <t>JUN/22</t>
  </si>
  <si>
    <t>Sanofi Aventis de México</t>
  </si>
  <si>
    <t>77669</t>
  </si>
  <si>
    <t>N03AA03</t>
  </si>
  <si>
    <t>primidone</t>
  </si>
  <si>
    <t>P´RIMIDONA, 250 MG</t>
  </si>
  <si>
    <t>PRIDONA</t>
  </si>
  <si>
    <t>6760521</t>
  </si>
  <si>
    <t>NEOLFARMA</t>
  </si>
  <si>
    <t>141M83</t>
  </si>
  <si>
    <t>N06AB03</t>
  </si>
  <si>
    <t>fluoxetine</t>
  </si>
  <si>
    <t>fluoxetina, 20 MG</t>
  </si>
  <si>
    <t>022Y523</t>
  </si>
  <si>
    <t>MEXICIO</t>
  </si>
  <si>
    <t>319M2001</t>
  </si>
  <si>
    <t>N06AB04</t>
  </si>
  <si>
    <t>citalopram</t>
  </si>
  <si>
    <t>CITALOPRAM 20 MG</t>
  </si>
  <si>
    <t>022U339</t>
  </si>
  <si>
    <t>099M2019</t>
  </si>
  <si>
    <t>N06AX23</t>
  </si>
  <si>
    <t>desvenlafaxine</t>
  </si>
  <si>
    <t>Desvenlafaxina, 50 mg</t>
  </si>
  <si>
    <t>FAPRIS</t>
  </si>
  <si>
    <t>92770</t>
  </si>
  <si>
    <t>MONTE VERDE</t>
  </si>
  <si>
    <t>Argentina</t>
  </si>
  <si>
    <t>054M2019</t>
  </si>
  <si>
    <t>N06BX03</t>
  </si>
  <si>
    <t>piracetam</t>
  </si>
  <si>
    <t>PIRACETAM 800 MG</t>
  </si>
  <si>
    <t>Nootropil</t>
  </si>
  <si>
    <t>Tableta</t>
  </si>
  <si>
    <t>BAD069</t>
  </si>
  <si>
    <t>ABR/23</t>
  </si>
  <si>
    <t>Productos Farmacéuticos, S.A. de C.V.</t>
  </si>
  <si>
    <t>R01AD09</t>
  </si>
  <si>
    <t>mometasone</t>
  </si>
  <si>
    <t>Mometasona, 0.5 mg</t>
  </si>
  <si>
    <t>Dutina</t>
  </si>
  <si>
    <t>Suspensión</t>
  </si>
  <si>
    <t>Nasal</t>
  </si>
  <si>
    <t>A22002</t>
  </si>
  <si>
    <t>Dankel Medical</t>
  </si>
  <si>
    <t>336M2016</t>
  </si>
  <si>
    <t>R05CB01</t>
  </si>
  <si>
    <t>acetylcysteine</t>
  </si>
  <si>
    <t>Acetilcisteína, 600 mg</t>
  </si>
  <si>
    <t>Sensemoc</t>
  </si>
  <si>
    <t>00273</t>
  </si>
  <si>
    <t>ROEMMERS</t>
  </si>
  <si>
    <t>205M2014</t>
  </si>
  <si>
    <t>R05CB06</t>
  </si>
  <si>
    <t>ambroxol</t>
  </si>
  <si>
    <t>AMBROXOL 30 MG</t>
  </si>
  <si>
    <t>Cloxan</t>
  </si>
  <si>
    <t>SC2227</t>
  </si>
  <si>
    <t>BIOMEP, S.A. de C.V.</t>
  </si>
  <si>
    <t>305M2015</t>
  </si>
  <si>
    <t>R06AX26</t>
  </si>
  <si>
    <t>fexofenadine</t>
  </si>
  <si>
    <t>FEXONADINA 120 MG</t>
  </si>
  <si>
    <t>Pirquet</t>
  </si>
  <si>
    <t>Comprimido</t>
  </si>
  <si>
    <t>U219340</t>
  </si>
  <si>
    <t>Laboratorios Pisa S.A. de C.V.</t>
  </si>
  <si>
    <t>416M2015</t>
  </si>
  <si>
    <t>S01AA01</t>
  </si>
  <si>
    <t>chloramphenicol</t>
  </si>
  <si>
    <t>CLORAMFENICOL 5 MG</t>
  </si>
  <si>
    <t>UNGÜENTO</t>
  </si>
  <si>
    <t>OFTALMICA</t>
  </si>
  <si>
    <t>22139P</t>
  </si>
  <si>
    <t>PHARMACOS EXAKTA</t>
  </si>
  <si>
    <t>513M2001</t>
  </si>
  <si>
    <t>PIRMCT-001c</t>
  </si>
  <si>
    <t>DACB-UJAT LQFB-2</t>
  </si>
  <si>
    <t>A02BC01 </t>
  </si>
  <si>
    <t>omeprazole </t>
  </si>
  <si>
    <t>Omeprazol 20mg</t>
  </si>
  <si>
    <t>Domer</t>
  </si>
  <si>
    <t>Capsulas</t>
  </si>
  <si>
    <t>oral</t>
  </si>
  <si>
    <t>2106125</t>
  </si>
  <si>
    <t>Jun/23</t>
  </si>
  <si>
    <t>Laboratorios best</t>
  </si>
  <si>
    <t>174M99</t>
  </si>
  <si>
    <t>A03AA05 </t>
  </si>
  <si>
    <t>trimebutine </t>
  </si>
  <si>
    <t>Trimebutina 200mg /Simeticona75mg</t>
  </si>
  <si>
    <t>Libertrim</t>
  </si>
  <si>
    <t>32107229</t>
  </si>
  <si>
    <t>May/23</t>
  </si>
  <si>
    <t>Productos cientificos</t>
  </si>
  <si>
    <t>410M2008</t>
  </si>
  <si>
    <t>A03CC</t>
  </si>
  <si>
    <t>Other antispasmodics in combination with psycholeptics</t>
  </si>
  <si>
    <t>AMBROXOL 150 MG/ CLEMBUTEROL 100MCG / 100 ML</t>
  </si>
  <si>
    <t>Ebromin-P</t>
  </si>
  <si>
    <t>Solución</t>
  </si>
  <si>
    <t>923R</t>
  </si>
  <si>
    <t>FEB/22</t>
  </si>
  <si>
    <t>Degort´s Chemical, S.A. de C.V.</t>
  </si>
  <si>
    <t>513M96</t>
  </si>
  <si>
    <t>A03FA</t>
  </si>
  <si>
    <t>Propulsives</t>
  </si>
  <si>
    <t>Metoclopramida</t>
  </si>
  <si>
    <t>110101</t>
  </si>
  <si>
    <t>Ene/24</t>
  </si>
  <si>
    <t>Novag Infancia</t>
  </si>
  <si>
    <t>0214M80 SSA</t>
  </si>
  <si>
    <t>A03FA02 </t>
  </si>
  <si>
    <t>cisapride </t>
  </si>
  <si>
    <t>Cisaprida</t>
  </si>
  <si>
    <t>Presistin</t>
  </si>
  <si>
    <t>221796</t>
  </si>
  <si>
    <t>Mar/24</t>
  </si>
  <si>
    <t>Productos Maver</t>
  </si>
  <si>
    <t>155M99</t>
  </si>
  <si>
    <t>A10BF01 </t>
  </si>
  <si>
    <t>acarbose </t>
  </si>
  <si>
    <t>Acarbosa 50mg</t>
  </si>
  <si>
    <t>2308075</t>
  </si>
  <si>
    <t>Ago/25</t>
  </si>
  <si>
    <t>Laboratorios Alpharma</t>
  </si>
  <si>
    <t>571M2001</t>
  </si>
  <si>
    <t>A11A</t>
  </si>
  <si>
    <t>Multivitamins, combinations</t>
  </si>
  <si>
    <t>TIAMINA 10MG/ PIRIDOXINA 5MG/ CIANOCOBALAMINA 50MG</t>
  </si>
  <si>
    <t>TRIBEDOCE</t>
  </si>
  <si>
    <t>205921</t>
  </si>
  <si>
    <t>may/24</t>
  </si>
  <si>
    <t>BRULUAGSA, S.A. DE C.V.</t>
  </si>
  <si>
    <t>MÉXICO</t>
  </si>
  <si>
    <t>83930</t>
  </si>
  <si>
    <t>A11B</t>
  </si>
  <si>
    <t>Multivitamins, plain</t>
  </si>
  <si>
    <t>TIAMINA 100 MG/ PIRIDOXINA 5 MG/ CIANOCOBALAMINA 50 MCG</t>
  </si>
  <si>
    <t>TRIAMCOVIT-T</t>
  </si>
  <si>
    <t>2205965</t>
  </si>
  <si>
    <t>Laboratorios Alpharma, S.A. de C.V.</t>
  </si>
  <si>
    <t>005V2018</t>
  </si>
  <si>
    <t>C09CA01 </t>
  </si>
  <si>
    <t>losartan </t>
  </si>
  <si>
    <t>Losartan  50mg</t>
  </si>
  <si>
    <t>224019</t>
  </si>
  <si>
    <t>Abr/24</t>
  </si>
  <si>
    <t>Laboratorios Maver</t>
  </si>
  <si>
    <t>042M2010</t>
  </si>
  <si>
    <t>losartan 60 mg</t>
  </si>
  <si>
    <t>COLUMBIA</t>
  </si>
  <si>
    <t>D08AG02</t>
  </si>
  <si>
    <t>povidone-iodine</t>
  </si>
  <si>
    <t>LODOPOVIDONA 8MG/100ML</t>
  </si>
  <si>
    <t>0047672</t>
  </si>
  <si>
    <t>Laboratorios Jaloma S.A. de C.V.</t>
  </si>
  <si>
    <t>0946M2009</t>
  </si>
  <si>
    <t>H02AB07</t>
  </si>
  <si>
    <t>prednisone</t>
  </si>
  <si>
    <t>PREDNISONA .5MG</t>
  </si>
  <si>
    <t>PREMAGNOL</t>
  </si>
  <si>
    <t>22338001</t>
  </si>
  <si>
    <t>Allen Laboratorios, S.A de C.V.</t>
  </si>
  <si>
    <t>84678</t>
  </si>
  <si>
    <t>J01DB05</t>
  </si>
  <si>
    <t>cefadroxil</t>
  </si>
  <si>
    <t>Cefadroxilo</t>
  </si>
  <si>
    <t>Teroxina</t>
  </si>
  <si>
    <t>203568</t>
  </si>
  <si>
    <t>Bruluagsa</t>
  </si>
  <si>
    <t>327M2001</t>
  </si>
  <si>
    <t>J01DC02</t>
  </si>
  <si>
    <t>cefuroxime</t>
  </si>
  <si>
    <t>Cefuroxima</t>
  </si>
  <si>
    <t>Cefagen</t>
  </si>
  <si>
    <t>224510</t>
  </si>
  <si>
    <t>May/24</t>
  </si>
  <si>
    <t>Productos maver</t>
  </si>
  <si>
    <t>258M2004</t>
  </si>
  <si>
    <t>J01DD04</t>
  </si>
  <si>
    <t>ceftriaxone</t>
  </si>
  <si>
    <t>CEFTRIAXONA 1G</t>
  </si>
  <si>
    <t>Intravenosa</t>
  </si>
  <si>
    <t>J23J030</t>
  </si>
  <si>
    <t>JUN/25</t>
  </si>
  <si>
    <t>Laboratorios Pisa, S.A. de C.V.</t>
  </si>
  <si>
    <t>456M2001</t>
  </si>
  <si>
    <t>Trixona</t>
  </si>
  <si>
    <t>Sólucion</t>
  </si>
  <si>
    <t>308174</t>
  </si>
  <si>
    <t>JUL/25</t>
  </si>
  <si>
    <t>Bruluagsa, S.A. de C.V._x000D_
Laboratorios Pisa S.A. de C.V.</t>
  </si>
  <si>
    <t>240M2001</t>
  </si>
  <si>
    <t>M02AA15</t>
  </si>
  <si>
    <t>diclofenac</t>
  </si>
  <si>
    <t>DICLOFENACO 50 MG</t>
  </si>
  <si>
    <t>Mafena</t>
  </si>
  <si>
    <t>220659</t>
  </si>
  <si>
    <t>081M97</t>
  </si>
  <si>
    <t>Paracetamol  500mg</t>
  </si>
  <si>
    <t>Tempra</t>
  </si>
  <si>
    <t>AAN5036</t>
  </si>
  <si>
    <t>Mar/23</t>
  </si>
  <si>
    <t>RB SALUTE MÉXICO</t>
  </si>
  <si>
    <t>90865</t>
  </si>
  <si>
    <t>N02BE51</t>
  </si>
  <si>
    <t>paracetamol, combinations excl. psycholeptics</t>
  </si>
  <si>
    <t>DICLOFENACO 50MG/ PARACETAMOL 500 MG</t>
  </si>
  <si>
    <t>Tofel</t>
  </si>
  <si>
    <t>221087</t>
  </si>
  <si>
    <t>Victory Enterprises S.A de C.V.</t>
  </si>
  <si>
    <t>289M2004</t>
  </si>
  <si>
    <t>PARACETAMOL 500 MG/ FENILEFRINA 5 MG/ DEXTROMETORFANO 15 MG</t>
  </si>
  <si>
    <t>Exalver</t>
  </si>
  <si>
    <t>224421</t>
  </si>
  <si>
    <t>049M98</t>
  </si>
  <si>
    <t>N03AX11</t>
  </si>
  <si>
    <t>topiramate</t>
  </si>
  <si>
    <t>Topiramato 25mg</t>
  </si>
  <si>
    <t>Tomzy</t>
  </si>
  <si>
    <t>M113542</t>
  </si>
  <si>
    <t>Oct/23</t>
  </si>
  <si>
    <t>CADILA HEALTHCARE</t>
  </si>
  <si>
    <t>149M2013</t>
  </si>
  <si>
    <t>PIRMCT-001a</t>
  </si>
  <si>
    <t>DACB-UJAT, LBMyFG</t>
  </si>
  <si>
    <t>MOMETASONA .04G/100ML</t>
  </si>
  <si>
    <t>LEVANTE</t>
  </si>
  <si>
    <t>Suspension</t>
  </si>
  <si>
    <t>Inhalatoria</t>
  </si>
  <si>
    <t>1342438</t>
  </si>
  <si>
    <t>Pharmayect, S.A.</t>
  </si>
  <si>
    <t>Colombia</t>
  </si>
  <si>
    <t>053M2016</t>
  </si>
  <si>
    <t>R06AX27</t>
  </si>
  <si>
    <t>desloratadine</t>
  </si>
  <si>
    <t>Desloratadina 5mg</t>
  </si>
  <si>
    <t>Bennet</t>
  </si>
  <si>
    <t>215260</t>
  </si>
  <si>
    <t>Ago/23</t>
  </si>
  <si>
    <t>044M2016</t>
  </si>
  <si>
    <t>S01BC01</t>
  </si>
  <si>
    <t>indometacin</t>
  </si>
  <si>
    <t>Indometacina 25mg</t>
  </si>
  <si>
    <t>BIOMETACIN</t>
  </si>
  <si>
    <t>00397</t>
  </si>
  <si>
    <t>69809</t>
  </si>
  <si>
    <t>S01EE03</t>
  </si>
  <si>
    <t>bimatoprost</t>
  </si>
  <si>
    <t>BIMATROPOST .3MG/ML</t>
  </si>
  <si>
    <t>Mictrobil</t>
  </si>
  <si>
    <t>Oftamlmologica</t>
  </si>
  <si>
    <t>22070010</t>
  </si>
  <si>
    <t>Micro Labs Limited</t>
  </si>
  <si>
    <t>360M2017</t>
  </si>
  <si>
    <t>S01XA20</t>
  </si>
  <si>
    <t>artificial tears and other indifferent preparations</t>
  </si>
  <si>
    <t>Hipromelosa</t>
  </si>
  <si>
    <t>Solucion</t>
  </si>
  <si>
    <t>Oftalmica</t>
  </si>
  <si>
    <t>G22A138</t>
  </si>
  <si>
    <t>Laboratorios Pisa</t>
  </si>
  <si>
    <t>152M2012</t>
  </si>
  <si>
    <t>PIRMCT-006a</t>
  </si>
  <si>
    <t>Coordinación de los Servicios Médicos UJAT Unidad Central</t>
  </si>
  <si>
    <t>A02BC05 </t>
  </si>
  <si>
    <t>esomeprazole </t>
  </si>
  <si>
    <t>ESOMEPRAZOL 40 MG</t>
  </si>
  <si>
    <t>3BM032A</t>
  </si>
  <si>
    <t>FEB/25</t>
  </si>
  <si>
    <t>039M2020</t>
  </si>
  <si>
    <t>Trimebutina, 200 mg/Simeticona, 75 mg</t>
  </si>
  <si>
    <t>S2204947</t>
  </si>
  <si>
    <t>Productos Científicos</t>
  </si>
  <si>
    <t>Trimebutina, 200 mg</t>
  </si>
  <si>
    <t>Espabion</t>
  </si>
  <si>
    <t>849Y</t>
  </si>
  <si>
    <t>DEGORT'S CHEMICAL</t>
  </si>
  <si>
    <t>556M95</t>
  </si>
  <si>
    <t>A03BA03 </t>
  </si>
  <si>
    <t>hyoscyamine </t>
  </si>
  <si>
    <t>Hioscina</t>
  </si>
  <si>
    <t>Grafin</t>
  </si>
  <si>
    <t>AQ22002</t>
  </si>
  <si>
    <t>Industrias Químico Farmacéuticas Americanas</t>
  </si>
  <si>
    <t>292M97</t>
  </si>
  <si>
    <t>AGO/22</t>
  </si>
  <si>
    <t>Serral</t>
  </si>
  <si>
    <t>304M97</t>
  </si>
  <si>
    <t>A03DC</t>
  </si>
  <si>
    <t>Other antispasmodics in combination with analgesics</t>
  </si>
  <si>
    <t>Clonixinato de lisina, 125 mg/Hioscina, 10 mg</t>
  </si>
  <si>
    <t>Espacil</t>
  </si>
  <si>
    <t>380656</t>
  </si>
  <si>
    <t>Grossman</t>
  </si>
  <si>
    <t>74286</t>
  </si>
  <si>
    <t>A03FA07 </t>
  </si>
  <si>
    <t>itopride </t>
  </si>
  <si>
    <t>Itoprida</t>
  </si>
  <si>
    <t>233672</t>
  </si>
  <si>
    <t>MAY/25</t>
  </si>
  <si>
    <t>Maver</t>
  </si>
  <si>
    <t>185M2019</t>
  </si>
  <si>
    <t>227238</t>
  </si>
  <si>
    <t>SEP/24</t>
  </si>
  <si>
    <t>A07DA03 </t>
  </si>
  <si>
    <t>loperamide </t>
  </si>
  <si>
    <t>Loperamida, 2 mg</t>
  </si>
  <si>
    <t>7526</t>
  </si>
  <si>
    <t>OCT/20</t>
  </si>
  <si>
    <t>Farmacéuticos Rayere</t>
  </si>
  <si>
    <t>428M99</t>
  </si>
  <si>
    <t>A10AE05 </t>
  </si>
  <si>
    <t>insulin detemir </t>
  </si>
  <si>
    <t>Insulina Detemir, 100 UI</t>
  </si>
  <si>
    <t>Levemir Flexpen</t>
  </si>
  <si>
    <t>Parenteral Subcutánea</t>
  </si>
  <si>
    <t>MT66B77</t>
  </si>
  <si>
    <t>Novo Nordisk Production SAS</t>
  </si>
  <si>
    <t>Francia</t>
  </si>
  <si>
    <t>372M2005</t>
  </si>
  <si>
    <t>A10BB12 </t>
  </si>
  <si>
    <t>glimepiride </t>
  </si>
  <si>
    <t>Glimepirida, 4 mg</t>
  </si>
  <si>
    <t>Adiripem</t>
  </si>
  <si>
    <t>M2212735</t>
  </si>
  <si>
    <t>Intas Pharmaceuticals</t>
  </si>
  <si>
    <t>107M2014</t>
  </si>
  <si>
    <t>A11AA01 </t>
  </si>
  <si>
    <t>multivitamins and iron </t>
  </si>
  <si>
    <t>Vitaminas/Hierro</t>
  </si>
  <si>
    <t>Autrin 600</t>
  </si>
  <si>
    <t>22030083</t>
  </si>
  <si>
    <t>Takeda México</t>
  </si>
  <si>
    <t>80151</t>
  </si>
  <si>
    <t>A11DB</t>
  </si>
  <si>
    <t>Vitamin B1 in combination with vitamin B6 and/or vitamin B12</t>
  </si>
  <si>
    <t>Tiamina, Piridoxina, Cianocobalamina</t>
  </si>
  <si>
    <t>Tribedoce</t>
  </si>
  <si>
    <t>207333</t>
  </si>
  <si>
    <t>83980</t>
  </si>
  <si>
    <t>ÁCIDO ASCORBICO 500MG</t>
  </si>
  <si>
    <t>Redoxon</t>
  </si>
  <si>
    <t>X24RPH</t>
  </si>
  <si>
    <t>BAYER DE MEXICO, S.A. DE C.V.</t>
  </si>
  <si>
    <t>20022</t>
  </si>
  <si>
    <t>Ácido ascórbico</t>
  </si>
  <si>
    <t>N1T911</t>
  </si>
  <si>
    <t>62535</t>
  </si>
  <si>
    <t>N0K936</t>
  </si>
  <si>
    <t>A16AA01 </t>
  </si>
  <si>
    <t>levocarnitine </t>
  </si>
  <si>
    <t>LEVOCARNITINA 1G</t>
  </si>
  <si>
    <t>Cardispan</t>
  </si>
  <si>
    <t>304587</t>
  </si>
  <si>
    <t>ABR/21</t>
  </si>
  <si>
    <t>LABORATORIOS GROSSMAN, S.A.	Merck, S.A. de C.V</t>
  </si>
  <si>
    <t>037M93</t>
  </si>
  <si>
    <t>Clopidogrel</t>
  </si>
  <si>
    <t>Deviplat</t>
  </si>
  <si>
    <t>920631</t>
  </si>
  <si>
    <t>NOV/23</t>
  </si>
  <si>
    <t>313M2011</t>
  </si>
  <si>
    <t>SG22201</t>
  </si>
  <si>
    <t>C04AD03 </t>
  </si>
  <si>
    <t>pentoxifylline </t>
  </si>
  <si>
    <t>Pentoxifilina</t>
  </si>
  <si>
    <t>Trental</t>
  </si>
  <si>
    <t>8MXA001</t>
  </si>
  <si>
    <t>DIC/19</t>
  </si>
  <si>
    <t>Sanofi-Aventis</t>
  </si>
  <si>
    <t>145M86</t>
  </si>
  <si>
    <t>C04AE54 </t>
  </si>
  <si>
    <t>dihydroergocristine, combinations</t>
  </si>
  <si>
    <t>Lomifilina, 80 mg / Dihidroergocristina, 0.800 mg</t>
  </si>
  <si>
    <t>Cervilan</t>
  </si>
  <si>
    <t>731DZ038</t>
  </si>
  <si>
    <t>Grimann</t>
  </si>
  <si>
    <t>515M2016</t>
  </si>
  <si>
    <t>Metoprolol</t>
  </si>
  <si>
    <t>670012</t>
  </si>
  <si>
    <t>585M94</t>
  </si>
  <si>
    <t>Metoprolol, 100 mg</t>
  </si>
  <si>
    <t>2201145</t>
  </si>
  <si>
    <t>Laboratorios Best</t>
  </si>
  <si>
    <t>259M87</t>
  </si>
  <si>
    <t>Atorvastatina</t>
  </si>
  <si>
    <t>Atorlip</t>
  </si>
  <si>
    <t>2I704</t>
  </si>
  <si>
    <t>Mavi Farmacéutica</t>
  </si>
  <si>
    <t>494M2004</t>
  </si>
  <si>
    <t>Atorvastatina, 40 mg</t>
  </si>
  <si>
    <t>211704</t>
  </si>
  <si>
    <t>494N2003</t>
  </si>
  <si>
    <t>D03AX03</t>
  </si>
  <si>
    <t>dexpanthenol</t>
  </si>
  <si>
    <t>Dexpantenol 5%</t>
  </si>
  <si>
    <t>Cornegel</t>
  </si>
  <si>
    <t>Oftalmologico</t>
  </si>
  <si>
    <t>042</t>
  </si>
  <si>
    <t>Dr. Herhad Mann Chem.-Pharm</t>
  </si>
  <si>
    <t>Alemania</t>
  </si>
  <si>
    <t>02216C2000</t>
  </si>
  <si>
    <t>D03AX05</t>
  </si>
  <si>
    <t>hyaluronic acid</t>
  </si>
  <si>
    <t>HIALURONATO DE SODIO 4MG/ML</t>
  </si>
  <si>
    <t>Lagricel</t>
  </si>
  <si>
    <t>Ofalmológico</t>
  </si>
  <si>
    <t>4022632</t>
  </si>
  <si>
    <t>MAR/23</t>
  </si>
  <si>
    <t>Laboratorios Sophia</t>
  </si>
  <si>
    <t>0208BC99</t>
  </si>
  <si>
    <t>D06AX09</t>
  </si>
  <si>
    <t>mupirocin</t>
  </si>
  <si>
    <t>Mupirocina</t>
  </si>
  <si>
    <t>Berniver</t>
  </si>
  <si>
    <t>216149</t>
  </si>
  <si>
    <t>356M2015</t>
  </si>
  <si>
    <t>D07AC13</t>
  </si>
  <si>
    <t>MOMETASONA 50mg</t>
  </si>
  <si>
    <t>QUIMAFRON</t>
  </si>
  <si>
    <t>Inhalación</t>
  </si>
  <si>
    <t>21JX32</t>
  </si>
  <si>
    <t>Laboratorios QUIMPHARMA S.A de C.V</t>
  </si>
  <si>
    <t>481M2015</t>
  </si>
  <si>
    <t>J01MA12</t>
  </si>
  <si>
    <t>levofloxacin</t>
  </si>
  <si>
    <t>Levofloxacino</t>
  </si>
  <si>
    <t>U22F461</t>
  </si>
  <si>
    <t>162M2009</t>
  </si>
  <si>
    <t>J01XE01</t>
  </si>
  <si>
    <t>nitrofurantoin</t>
  </si>
  <si>
    <t>Nitrofurantoina</t>
  </si>
  <si>
    <t>NF02122</t>
  </si>
  <si>
    <t>Servet</t>
  </si>
  <si>
    <t>213M92</t>
  </si>
  <si>
    <t>J01XX01</t>
  </si>
  <si>
    <t>fosfomycin</t>
  </si>
  <si>
    <t>Fosfomicina</t>
  </si>
  <si>
    <t>Fosfocil</t>
  </si>
  <si>
    <t>S2G548</t>
  </si>
  <si>
    <t>84970</t>
  </si>
  <si>
    <t>L01DB07</t>
  </si>
  <si>
    <t>mitoxantrone</t>
  </si>
  <si>
    <t>Mitoxantrona, 20 mg</t>
  </si>
  <si>
    <t>Tonaxten</t>
  </si>
  <si>
    <t>KN20433</t>
  </si>
  <si>
    <t>NOV/22</t>
  </si>
  <si>
    <t>Zurich Pharma</t>
  </si>
  <si>
    <t>365M2015</t>
  </si>
  <si>
    <t>M01AB05</t>
  </si>
  <si>
    <t>DICLOFENACO 60G</t>
  </si>
  <si>
    <t>Fenagel</t>
  </si>
  <si>
    <t>2G1389</t>
  </si>
  <si>
    <t>Mavi Farmacéutica, S.A. de C.V.</t>
  </si>
  <si>
    <t>242M98</t>
  </si>
  <si>
    <t>M01AC56</t>
  </si>
  <si>
    <t>meloxicam, combinations</t>
  </si>
  <si>
    <t>Meloxicam/Metocarbamol</t>
  </si>
  <si>
    <t>Flexiver</t>
  </si>
  <si>
    <t>226444</t>
  </si>
  <si>
    <t>189M2007</t>
  </si>
  <si>
    <t>223602</t>
  </si>
  <si>
    <t>N01BA05</t>
  </si>
  <si>
    <t>benzocaine</t>
  </si>
  <si>
    <t>Benzocaina, 10 mg</t>
  </si>
  <si>
    <t>Graneodin B</t>
  </si>
  <si>
    <t>Pastillas</t>
  </si>
  <si>
    <t>661BB2</t>
  </si>
  <si>
    <t>Reckitt Benckiser</t>
  </si>
  <si>
    <t>Tailandia</t>
  </si>
  <si>
    <t>40662</t>
  </si>
  <si>
    <t>N01BB52</t>
  </si>
  <si>
    <t>lidocaine, combinations</t>
  </si>
  <si>
    <t>Lidocaína 20mg/Epinefrina .005mg</t>
  </si>
  <si>
    <t>Intralesional</t>
  </si>
  <si>
    <t>C22M377</t>
  </si>
  <si>
    <t>Méxicio</t>
  </si>
  <si>
    <t>166M89</t>
  </si>
  <si>
    <t>C22FG859</t>
  </si>
  <si>
    <t>N02BA01</t>
  </si>
  <si>
    <t>acetylsalicylic acid</t>
  </si>
  <si>
    <t>Ácido acetilsalicílico</t>
  </si>
  <si>
    <t>Aspirina</t>
  </si>
  <si>
    <t>X24259</t>
  </si>
  <si>
    <t>Bayer de México</t>
  </si>
  <si>
    <t>57607</t>
  </si>
  <si>
    <t>N02BB02</t>
  </si>
  <si>
    <t>metamizole sodium</t>
  </si>
  <si>
    <t>METAMIZOL SÓDICO 500 MG</t>
  </si>
  <si>
    <t>1022395</t>
  </si>
  <si>
    <t>OCT/24</t>
  </si>
  <si>
    <t>NEOLPHARMA, S.A. de C.V.</t>
  </si>
  <si>
    <t>477M2015</t>
  </si>
  <si>
    <t>PARACETAMOL 650 MG</t>
  </si>
  <si>
    <t>208305</t>
  </si>
  <si>
    <t>DIC/22</t>
  </si>
  <si>
    <t>061M97</t>
  </si>
  <si>
    <t>Jarabe</t>
  </si>
  <si>
    <t>AARO416</t>
  </si>
  <si>
    <t>RB Salute</t>
  </si>
  <si>
    <t>48690</t>
  </si>
  <si>
    <t>AARZ3185</t>
  </si>
  <si>
    <t>N05CH01</t>
  </si>
  <si>
    <t>melatonin</t>
  </si>
  <si>
    <t>Melatonina</t>
  </si>
  <si>
    <t>345926</t>
  </si>
  <si>
    <t>Tecnofarma</t>
  </si>
  <si>
    <t>389M98</t>
  </si>
  <si>
    <t>PIRMCT-006b</t>
  </si>
  <si>
    <t>Coordinación de los Servicios Médicos UJAT Unidad Chontalpa</t>
  </si>
  <si>
    <t>N07CA02</t>
  </si>
  <si>
    <t>cinnarizine</t>
  </si>
  <si>
    <t>Cinarizina</t>
  </si>
  <si>
    <t>Ceretec</t>
  </si>
  <si>
    <t>344292</t>
  </si>
  <si>
    <t>267M2001</t>
  </si>
  <si>
    <t>P01AX11</t>
  </si>
  <si>
    <t>nitazoxanide</t>
  </si>
  <si>
    <t>Nitazoxanida, 200 mg</t>
  </si>
  <si>
    <t>Daxon</t>
  </si>
  <si>
    <t>702090</t>
  </si>
  <si>
    <t>FEB/19</t>
  </si>
  <si>
    <t>Laboratorios Columbia</t>
  </si>
  <si>
    <t>132M96</t>
  </si>
  <si>
    <t>R03AK06</t>
  </si>
  <si>
    <t>salmeterol and fluticasone</t>
  </si>
  <si>
    <t>Salmeterol/Fluticasona</t>
  </si>
  <si>
    <t>UlFHinlas-Air</t>
  </si>
  <si>
    <t>Aerosol</t>
  </si>
  <si>
    <t>Bucal</t>
  </si>
  <si>
    <t>3L050</t>
  </si>
  <si>
    <t>Farmacéutica Hispanoamericana</t>
  </si>
  <si>
    <t>361M2016</t>
  </si>
  <si>
    <t>R03BA02</t>
  </si>
  <si>
    <t>budesonide</t>
  </si>
  <si>
    <t>Budesonida, 0.250 mg</t>
  </si>
  <si>
    <t>Budesonida</t>
  </si>
  <si>
    <t>SDNY</t>
  </si>
  <si>
    <t>AstraZeneca AB</t>
  </si>
  <si>
    <t>Suecia</t>
  </si>
  <si>
    <t>001M99</t>
  </si>
  <si>
    <t>R03DA54</t>
  </si>
  <si>
    <t>theophylline, combinations excl. psycholeptics</t>
  </si>
  <si>
    <t>Teofilina, 0.700 g / Ambroxol, 0.150 g</t>
  </si>
  <si>
    <t>Fedrimin</t>
  </si>
  <si>
    <t>232682</t>
  </si>
  <si>
    <t>PRODUCTOS MAVER</t>
  </si>
  <si>
    <t>283M2018</t>
  </si>
  <si>
    <t>R05DB01</t>
  </si>
  <si>
    <t>benzonatate</t>
  </si>
  <si>
    <t>BENZONATATO 100 MG</t>
  </si>
  <si>
    <t>Progelben</t>
  </si>
  <si>
    <t>2166</t>
  </si>
  <si>
    <t>PROGELA, S.A. DE C.V.</t>
  </si>
  <si>
    <t>169M2016</t>
  </si>
  <si>
    <t>R06AE07</t>
  </si>
  <si>
    <t>cetirizine</t>
  </si>
  <si>
    <t>Cetirizina</t>
  </si>
  <si>
    <t>Visertral</t>
  </si>
  <si>
    <t>220432</t>
  </si>
  <si>
    <t>357M2001</t>
  </si>
  <si>
    <t>R06AE09</t>
  </si>
  <si>
    <t>levocetirizine</t>
  </si>
  <si>
    <t>Levocetirizina, 500 mg</t>
  </si>
  <si>
    <t>Levigrix</t>
  </si>
  <si>
    <t>210740</t>
  </si>
  <si>
    <t>LABORATORIOS COLUMBIA</t>
  </si>
  <si>
    <t>333M2017</t>
  </si>
  <si>
    <t>V06DD</t>
  </si>
  <si>
    <t>Amino acids, incl. combinations with polypeptides</t>
  </si>
  <si>
    <t>Alfa-ceteanálogo de Isoleucina de Calcio 67mg/ Alfa-ceteanálogo de Leucina de Calcio 101mg/  Alfa-ceteanálogo de fenilanina de Calcio 68mg/ Alfa-ceteanálogo de valina de Calcio 86 mg</t>
  </si>
  <si>
    <t>Someral</t>
  </si>
  <si>
    <t>D263012</t>
  </si>
  <si>
    <t>DIC/24</t>
  </si>
  <si>
    <t>NUCITEC Av. Jurica No. 116</t>
  </si>
  <si>
    <t>C</t>
  </si>
  <si>
    <t>220M2004</t>
  </si>
  <si>
    <t>A02AB10 </t>
  </si>
  <si>
    <t>combinations </t>
  </si>
  <si>
    <t>HIDROXIDO DE ALUMINIO 2.7G, HIDROXIDO DE MAGNESIO 4 G</t>
  </si>
  <si>
    <t>ALUMAG</t>
  </si>
  <si>
    <t>87158</t>
  </si>
  <si>
    <t>PIRMCT-001b</t>
  </si>
  <si>
    <t>DACB-UJAT, Difusión Cultural DACB</t>
  </si>
  <si>
    <t>3CN150A</t>
  </si>
  <si>
    <t>MAR/26</t>
  </si>
  <si>
    <t>Bionova Laboratorios, S.A. de C.V.,_x000D_
Ultra Laboratorios, S.A. de C.V.</t>
  </si>
  <si>
    <t>148M2003</t>
  </si>
  <si>
    <t>A03AX12 </t>
  </si>
  <si>
    <t>phloroglucinol </t>
  </si>
  <si>
    <t>Floroglucinol 80mg/Trimetilfloroglucinol 80mg</t>
  </si>
  <si>
    <t>caposulas</t>
  </si>
  <si>
    <t>393721</t>
  </si>
  <si>
    <t>TECNOFARMA</t>
  </si>
  <si>
    <t>67904 SSA</t>
  </si>
  <si>
    <t>HIOSCINA 10 MG</t>
  </si>
  <si>
    <t>BUSCAPINA</t>
  </si>
  <si>
    <t>BOEHRINGER ANGELHEIM PROMECO</t>
  </si>
  <si>
    <t>39657</t>
  </si>
  <si>
    <t>A07AX03 </t>
  </si>
  <si>
    <t>nifuroxazide </t>
  </si>
  <si>
    <t>Nifuroxazida</t>
  </si>
  <si>
    <t>Rexurdir</t>
  </si>
  <si>
    <t>22072384</t>
  </si>
  <si>
    <t>Laboratorios Quimica</t>
  </si>
  <si>
    <t>031M2017</t>
  </si>
  <si>
    <t>Loperamida 2mg</t>
  </si>
  <si>
    <t>EXCLEFIN</t>
  </si>
  <si>
    <t>SG2266</t>
  </si>
  <si>
    <t>Biomep, S.A. de C.V.</t>
  </si>
  <si>
    <t>236M2000</t>
  </si>
  <si>
    <t>A11AA03 </t>
  </si>
  <si>
    <t>multivitamins and other minerals, incl. combinations </t>
  </si>
  <si>
    <t>Multivitaminicos 2000mg/6666mg/9.68mg/13.25mg/11.38</t>
  </si>
  <si>
    <t>PRIMKO</t>
  </si>
  <si>
    <t>P055001101</t>
  </si>
  <si>
    <t>OCY/24</t>
  </si>
  <si>
    <t>Soho Flordis International Switzerland SA</t>
  </si>
  <si>
    <t>382M97</t>
  </si>
  <si>
    <t>A12AA20 </t>
  </si>
  <si>
    <t>calcium (different salts in combination) </t>
  </si>
  <si>
    <t>CALCIO 600 MG</t>
  </si>
  <si>
    <t>CALTRON</t>
  </si>
  <si>
    <t>OPERADORA DE NEGOCIOS</t>
  </si>
  <si>
    <t>0011VI2008</t>
  </si>
  <si>
    <t>A12AX</t>
  </si>
  <si>
    <t>Calcium, combinations with vitamin D and/or other drugs</t>
  </si>
  <si>
    <t>CALCIO 600 MG, COLECALCIFEROL 4 MG</t>
  </si>
  <si>
    <t>SENFEM NOVO</t>
  </si>
  <si>
    <t>BIOFARMACIA NATURAL</t>
  </si>
  <si>
    <t>OMEXICP</t>
  </si>
  <si>
    <t>006V2021</t>
  </si>
  <si>
    <t>Diosmina 450mg/ hesperidina 50 mg</t>
  </si>
  <si>
    <t>Rovemax</t>
  </si>
  <si>
    <t>C50362</t>
  </si>
  <si>
    <t>Nov/24</t>
  </si>
  <si>
    <t>048M2018</t>
  </si>
  <si>
    <t>METOPROLOL 100 MG</t>
  </si>
  <si>
    <t>AMANTADINA .50G/ CLORFENAMINA .02G/ PARACETAMOL 3G</t>
  </si>
  <si>
    <t>TEMITEV</t>
  </si>
  <si>
    <t>21103450</t>
  </si>
  <si>
    <t>BALKANPHARMA – DUPNITSA AD</t>
  </si>
  <si>
    <t>124M2018</t>
  </si>
  <si>
    <t>SSA V</t>
  </si>
  <si>
    <t>C08CA05 </t>
  </si>
  <si>
    <t>nifedipine </t>
  </si>
  <si>
    <t>NIFEDIPINO 30MG</t>
  </si>
  <si>
    <t>NOTINZALTEN</t>
  </si>
  <si>
    <t>NDF026F22</t>
  </si>
  <si>
    <t>Laboratorios Vanquish, S. A. de C. V.</t>
  </si>
  <si>
    <t>114M2013</t>
  </si>
  <si>
    <t>C09CA07 </t>
  </si>
  <si>
    <t>telmisartan </t>
  </si>
  <si>
    <t>TELMISARTAN 40 MG</t>
  </si>
  <si>
    <t>NATRAZIM</t>
  </si>
  <si>
    <t>288M2014</t>
  </si>
  <si>
    <t>TELMISARTÁN 80MG</t>
  </si>
  <si>
    <t>Natrazim</t>
  </si>
  <si>
    <t>870102</t>
  </si>
  <si>
    <t>Pravastatina 10MG</t>
  </si>
  <si>
    <t>NOVINA</t>
  </si>
  <si>
    <t>640341</t>
  </si>
  <si>
    <t>130M2000</t>
  </si>
  <si>
    <t>Atorvastatina 20mg</t>
  </si>
  <si>
    <t>BACAT</t>
  </si>
  <si>
    <t>L22E0242</t>
  </si>
  <si>
    <t>Landsteiner Scientific, S. A. de C.V.</t>
  </si>
  <si>
    <t>017M2013</t>
  </si>
  <si>
    <t>BIFONAZOL 1 G</t>
  </si>
  <si>
    <t>LOTRIMIN-UNO</t>
  </si>
  <si>
    <t>TOPICA</t>
  </si>
  <si>
    <t>JUN/21</t>
  </si>
  <si>
    <t>GP GRENZACH PRODUKTIONS</t>
  </si>
  <si>
    <t>ALEMANIA</t>
  </si>
  <si>
    <t>496M89</t>
  </si>
  <si>
    <t>D10AD01</t>
  </si>
  <si>
    <t>tretinoin</t>
  </si>
  <si>
    <t>TRETINOINA</t>
  </si>
  <si>
    <t>RETIN-A</t>
  </si>
  <si>
    <t>JANSSEN-CILAG</t>
  </si>
  <si>
    <t>81842</t>
  </si>
  <si>
    <t>G03A</t>
  </si>
  <si>
    <t>HORMONAL CONTRACEPTIVES FOR SYSTEMIC USE</t>
  </si>
  <si>
    <t>Drospirenona 3.00 mg/ Etinilestradiol 0.03mg</t>
  </si>
  <si>
    <t>Ilimitet</t>
  </si>
  <si>
    <t>LF276594</t>
  </si>
  <si>
    <t>Laboratorios Leon farma</t>
  </si>
  <si>
    <t>143M2010</t>
  </si>
  <si>
    <t>G04BX06</t>
  </si>
  <si>
    <t>phenazopyridine</t>
  </si>
  <si>
    <t>FENAZOPIRIDINA 100 MG</t>
  </si>
  <si>
    <t>PSICOFARMA</t>
  </si>
  <si>
    <t>101M99</t>
  </si>
  <si>
    <t>H03AA01</t>
  </si>
  <si>
    <t>levothyroxine sodium</t>
  </si>
  <si>
    <t>LEVOTIROXINA SODICA 25 MCG</t>
  </si>
  <si>
    <t>EUTIROX</t>
  </si>
  <si>
    <t>MERCK</t>
  </si>
  <si>
    <t>297M89</t>
  </si>
  <si>
    <t>J01CF01</t>
  </si>
  <si>
    <t>dicloxacillin</t>
  </si>
  <si>
    <t>Dicloxacilina 500mg</t>
  </si>
  <si>
    <t>BUTIMAXIL</t>
  </si>
  <si>
    <t>Bruluagsa, S.A. de C.V.</t>
  </si>
  <si>
    <t>093M2001</t>
  </si>
  <si>
    <t>J01EE01</t>
  </si>
  <si>
    <t>sulfamethoxazole and trimethoprim</t>
  </si>
  <si>
    <t>SUFAMETOXAZOL 4G/ TRIMETOPRIMA .8G</t>
  </si>
  <si>
    <t>BATERAL</t>
  </si>
  <si>
    <t>Susupensión</t>
  </si>
  <si>
    <t>24108006</t>
  </si>
  <si>
    <t>MAY/26</t>
  </si>
  <si>
    <t>Allen Laboratorios, S.A. de C.V.</t>
  </si>
  <si>
    <t>221M95</t>
  </si>
  <si>
    <t>J02AB02</t>
  </si>
  <si>
    <t>ketoconazole</t>
  </si>
  <si>
    <t>Ketaconazol 800 mg</t>
  </si>
  <si>
    <t>FEMEDUAL</t>
  </si>
  <si>
    <t>Óvulo</t>
  </si>
  <si>
    <t>Vaginal</t>
  </si>
  <si>
    <t>231142</t>
  </si>
  <si>
    <t>Exeltis Ilac San. Ve Tic. A. S.</t>
  </si>
  <si>
    <t>Turquía</t>
  </si>
  <si>
    <t>146M2022</t>
  </si>
  <si>
    <t>M01AB01</t>
  </si>
  <si>
    <t>Indometacina</t>
  </si>
  <si>
    <t>INDANET</t>
  </si>
  <si>
    <t>2030524</t>
  </si>
  <si>
    <t>Importadora y Manufacturera Bruluart, S.A.</t>
  </si>
  <si>
    <t>87138</t>
  </si>
  <si>
    <t>DICLOFENACO 100 MG</t>
  </si>
  <si>
    <t>SUPRAMED</t>
  </si>
  <si>
    <t>0618298</t>
  </si>
  <si>
    <t>JUN/20</t>
  </si>
  <si>
    <t>NEOLPHARMA</t>
  </si>
  <si>
    <t>191M2016</t>
  </si>
  <si>
    <t>Ibuprofeno / 400mg</t>
  </si>
  <si>
    <t>Advil</t>
  </si>
  <si>
    <t>1266989</t>
  </si>
  <si>
    <t>AGO/21</t>
  </si>
  <si>
    <t>PFIZER</t>
  </si>
  <si>
    <t>272M2004</t>
  </si>
  <si>
    <t>M01AE02</t>
  </si>
  <si>
    <t>naproxen</t>
  </si>
  <si>
    <t>NAPROXENO 250 MG</t>
  </si>
  <si>
    <t>BIOXAN</t>
  </si>
  <si>
    <t>02619</t>
  </si>
  <si>
    <t>146M93</t>
  </si>
  <si>
    <t>M01AH05</t>
  </si>
  <si>
    <t>etoricoxib</t>
  </si>
  <si>
    <t>Etoricoxib 90mg</t>
  </si>
  <si>
    <t>040833</t>
  </si>
  <si>
    <t>286M2017</t>
  </si>
  <si>
    <t>M02AA07</t>
  </si>
  <si>
    <t>piroxicam</t>
  </si>
  <si>
    <t>Piroxicam .5%</t>
  </si>
  <si>
    <t>Dolzycam</t>
  </si>
  <si>
    <t>18030076</t>
  </si>
  <si>
    <t>MAR/20</t>
  </si>
  <si>
    <t>Laboratorios Quimica Son´s, S. A. de C. V.</t>
  </si>
  <si>
    <t>559M95</t>
  </si>
  <si>
    <t>PARACETAMOL 500 MG</t>
  </si>
  <si>
    <t>CORIVER</t>
  </si>
  <si>
    <t>Metamizol Sodico 250mg/ml</t>
  </si>
  <si>
    <t>NEO-MELUBRINA</t>
  </si>
  <si>
    <t>DMXA021</t>
  </si>
  <si>
    <t>Sanofi-Aventis de México, S.A. de C.V.</t>
  </si>
  <si>
    <t>72220</t>
  </si>
  <si>
    <t>PHARMACEN-T</t>
  </si>
  <si>
    <t>2210427</t>
  </si>
  <si>
    <t>LABORATORIOS ALPHARMA, S.A. DE C.V.</t>
  </si>
  <si>
    <t>311MM96</t>
  </si>
  <si>
    <t>N07CA01</t>
  </si>
  <si>
    <t>betahistine</t>
  </si>
  <si>
    <t>BETAHISTINA 24 MFG</t>
  </si>
  <si>
    <t>OARL</t>
  </si>
  <si>
    <t>ENE/23</t>
  </si>
  <si>
    <t>LABORATORIOS PISA</t>
  </si>
  <si>
    <t>006M2019</t>
  </si>
  <si>
    <t>R01AA05</t>
  </si>
  <si>
    <t>oxymetazoline</t>
  </si>
  <si>
    <t>OXIMETAZOLINA 25 MG</t>
  </si>
  <si>
    <t>AFRIN LUB</t>
  </si>
  <si>
    <t>SOLUCION</t>
  </si>
  <si>
    <t>NASAL</t>
  </si>
  <si>
    <t>BAYER</t>
  </si>
  <si>
    <t>63955</t>
  </si>
  <si>
    <t>R01BA53</t>
  </si>
  <si>
    <t>phenylephrine, combinations</t>
  </si>
  <si>
    <t>FENILEFRINA 30 MG/ LORATADINA 5 MG</t>
  </si>
  <si>
    <t>LARITOL* D</t>
  </si>
  <si>
    <t>131266</t>
  </si>
  <si>
    <t>FEB/20</t>
  </si>
  <si>
    <t>468M2004</t>
  </si>
  <si>
    <t>R02AX03</t>
  </si>
  <si>
    <t>benzydamine</t>
  </si>
  <si>
    <t>BENCIDAMINA 150 MG</t>
  </si>
  <si>
    <t>ARTROBEN</t>
  </si>
  <si>
    <t>BUCAL</t>
  </si>
  <si>
    <t>MAVI FARMACEUTICA</t>
  </si>
  <si>
    <t>489M2003</t>
  </si>
  <si>
    <t>R03CC</t>
  </si>
  <si>
    <t>Selective beta-2-adrenoreceptor agonists</t>
  </si>
  <si>
    <t>Salbutamol 2mg/ Ambroxol 9.5mg/5mL</t>
  </si>
  <si>
    <t>WEXPEC</t>
  </si>
  <si>
    <t>LI2301</t>
  </si>
  <si>
    <t>SEP/25</t>
  </si>
  <si>
    <t>BIOMEP, S.A DE C.V.</t>
  </si>
  <si>
    <t>129M2008</t>
  </si>
  <si>
    <t>R03DC03</t>
  </si>
  <si>
    <t>montelukast</t>
  </si>
  <si>
    <t>MONTELUKAST 10 MG</t>
  </si>
  <si>
    <t>ABBATIN</t>
  </si>
  <si>
    <t>LABORATORIOS CORNE</t>
  </si>
  <si>
    <t>261M2012</t>
  </si>
  <si>
    <t>Benzonatato</t>
  </si>
  <si>
    <t>PHARBEN</t>
  </si>
  <si>
    <t>CAPSULAS</t>
  </si>
  <si>
    <t>221345</t>
  </si>
  <si>
    <t>Jul/24</t>
  </si>
  <si>
    <t>GELPHARMA</t>
  </si>
  <si>
    <t>275M2001</t>
  </si>
  <si>
    <t>R05FB01</t>
  </si>
  <si>
    <t>cough suppressants and mucolytics</t>
  </si>
  <si>
    <t>DEXTROMETORFANO 113 MG, AMBROXOL 150 MG</t>
  </si>
  <si>
    <t>HISTIACIL</t>
  </si>
  <si>
    <t>JARABE</t>
  </si>
  <si>
    <t>SANOFI-AVENTIS</t>
  </si>
  <si>
    <t>38889NF</t>
  </si>
  <si>
    <t>R05FB02</t>
  </si>
  <si>
    <t>cough suppressants and expectorants</t>
  </si>
  <si>
    <t>DROPROPIZUINA 300 MG, BROMHEXINA 160 MG</t>
  </si>
  <si>
    <t>DALVEAR</t>
  </si>
  <si>
    <t>211M20011</t>
  </si>
  <si>
    <t>R06AB04</t>
  </si>
  <si>
    <t>chlorphenamine</t>
  </si>
  <si>
    <t>CLORPENAMINA</t>
  </si>
  <si>
    <t>NEXT</t>
  </si>
  <si>
    <t>348M2003</t>
  </si>
  <si>
    <t>R06AX13</t>
  </si>
  <si>
    <t>loratadine</t>
  </si>
  <si>
    <t>LORATADINA 5MG/ML</t>
  </si>
  <si>
    <t>GRIMERAL</t>
  </si>
  <si>
    <t>LC2404</t>
  </si>
  <si>
    <t>Biomep, S. A. de C.V</t>
  </si>
  <si>
    <t>309M2007</t>
  </si>
  <si>
    <t>LORATADINA 10 MG</t>
  </si>
  <si>
    <t>SEP/22</t>
  </si>
  <si>
    <t>ULTRA LABORATORIOS</t>
  </si>
  <si>
    <t>110M2003</t>
  </si>
  <si>
    <t>Clorhidrato de fexofenadina /120</t>
  </si>
  <si>
    <t>Allegra</t>
  </si>
  <si>
    <t>tabletas</t>
  </si>
  <si>
    <t>CMXA004</t>
  </si>
  <si>
    <t>Nov/23</t>
  </si>
  <si>
    <t>Sanofi-Aventis Farmaceutica Ltda</t>
  </si>
  <si>
    <t>075M98 SSA</t>
  </si>
  <si>
    <t>Alcohol polivinilico 14mg/</t>
  </si>
  <si>
    <t>Acuafil</t>
  </si>
  <si>
    <t>40209289</t>
  </si>
  <si>
    <t>NOV/21</t>
  </si>
  <si>
    <t>295M93 SSA</t>
  </si>
  <si>
    <t>A01AB22 </t>
  </si>
  <si>
    <t>doxycycline </t>
  </si>
  <si>
    <t>100 mg</t>
  </si>
  <si>
    <t>Roxidolin</t>
  </si>
  <si>
    <t>RRD211</t>
  </si>
  <si>
    <t>Laboratorio Raam de Sahuayo, S.A. de C.V.</t>
  </si>
  <si>
    <t>311M2007</t>
  </si>
  <si>
    <t>A03AX04 </t>
  </si>
  <si>
    <t>pinaverium </t>
  </si>
  <si>
    <t>Bromuro de pinaverio</t>
  </si>
  <si>
    <t>129091</t>
  </si>
  <si>
    <t>Laboratorios Schoen</t>
  </si>
  <si>
    <t>008M2018</t>
  </si>
  <si>
    <t>A03FA01 </t>
  </si>
  <si>
    <t>metoclopramide </t>
  </si>
  <si>
    <t>METOCLOPRAMIDA 10 MG</t>
  </si>
  <si>
    <t>CARNOT PRIM</t>
  </si>
  <si>
    <t>PERITENIAL</t>
  </si>
  <si>
    <t>12005455</t>
  </si>
  <si>
    <t>0324M80</t>
  </si>
  <si>
    <t>A06AX01 </t>
  </si>
  <si>
    <t>glycerol </t>
  </si>
  <si>
    <t>GLICEROL 1478 MG</t>
  </si>
  <si>
    <t>SENOSIAN</t>
  </si>
  <si>
    <t>SUPOSITORIO</t>
  </si>
  <si>
    <t>RECTAL</t>
  </si>
  <si>
    <t>S1D916</t>
  </si>
  <si>
    <t>LABORATORIO SENOSIAIN</t>
  </si>
  <si>
    <t>68960</t>
  </si>
  <si>
    <t>A07AA11 </t>
  </si>
  <si>
    <t>rifaximin </t>
  </si>
  <si>
    <t>550 mg</t>
  </si>
  <si>
    <t>Arfla</t>
  </si>
  <si>
    <t>S1K681</t>
  </si>
  <si>
    <t>Laboratorios Senosiain, S.A de C.V.</t>
  </si>
  <si>
    <t>300M2016</t>
  </si>
  <si>
    <t>METFORMINA 850MG</t>
  </si>
  <si>
    <t>022J060</t>
  </si>
  <si>
    <t>Metformina 850mg</t>
  </si>
  <si>
    <t>22G102V1</t>
  </si>
  <si>
    <t>Silanes</t>
  </si>
  <si>
    <t>323M96</t>
  </si>
  <si>
    <t>B01AF02 </t>
  </si>
  <si>
    <t>apixaban </t>
  </si>
  <si>
    <t>APIXABAN 5 MG</t>
  </si>
  <si>
    <t>ELICUIS</t>
  </si>
  <si>
    <t>8018169</t>
  </si>
  <si>
    <t>BRISTOL-MYERS SQUIBB MANUFACTURING COMPANY</t>
  </si>
  <si>
    <t>PUERTO RICO</t>
  </si>
  <si>
    <t>044M2013</t>
  </si>
  <si>
    <t>B01AF03 </t>
  </si>
  <si>
    <t>edoxaban </t>
  </si>
  <si>
    <t>EDOXABAN</t>
  </si>
  <si>
    <t>LIXIANA 60 MG</t>
  </si>
  <si>
    <t>221237</t>
  </si>
  <si>
    <t>DAIICHI SANKYO BRASIL FARMACEUTICA</t>
  </si>
  <si>
    <t>BRASIL</t>
  </si>
  <si>
    <t>017M2020</t>
  </si>
  <si>
    <t>Telmisartan 80mg/ Amlodipino 5mg</t>
  </si>
  <si>
    <t>Micardis Duo</t>
  </si>
  <si>
    <t>106950</t>
  </si>
  <si>
    <t>Jun/24</t>
  </si>
  <si>
    <t>Boehringer Iingelheim</t>
  </si>
  <si>
    <t>134M20123</t>
  </si>
  <si>
    <t>2346k21</t>
  </si>
  <si>
    <t>Sep/23</t>
  </si>
  <si>
    <t>Apotex incorporated</t>
  </si>
  <si>
    <t>Canada</t>
  </si>
  <si>
    <t>221M2011</t>
  </si>
  <si>
    <t>G03XC01</t>
  </si>
  <si>
    <t>raloxifene</t>
  </si>
  <si>
    <t>RALOXIFENO 60 MG</t>
  </si>
  <si>
    <t>ALVISVER</t>
  </si>
  <si>
    <t>225130</t>
  </si>
  <si>
    <t>251M2017</t>
  </si>
  <si>
    <t>G04BE03</t>
  </si>
  <si>
    <t>sildenafil</t>
  </si>
  <si>
    <t>50 mg</t>
  </si>
  <si>
    <t>S/N</t>
  </si>
  <si>
    <t>3JN205H</t>
  </si>
  <si>
    <t>273M2011</t>
  </si>
  <si>
    <t>J01CR02</t>
  </si>
  <si>
    <t>amoxicillin and beta-lactamase inhibitor</t>
  </si>
  <si>
    <t>Amoxicilina 875mg/Acido clavulanico125mg</t>
  </si>
  <si>
    <t>Ampliron</t>
  </si>
  <si>
    <t>100334</t>
  </si>
  <si>
    <t>jul/24</t>
  </si>
  <si>
    <t>Siegfried RHEIN</t>
  </si>
  <si>
    <t>057M2007</t>
  </si>
  <si>
    <t>AMOXICILINA 875MG /ACIDO CLAVULANICO 125</t>
  </si>
  <si>
    <t>AMPLIRON</t>
  </si>
  <si>
    <t>TABLETAS</t>
  </si>
  <si>
    <t>00312</t>
  </si>
  <si>
    <t>siegfried rhein</t>
  </si>
  <si>
    <t>mexico</t>
  </si>
  <si>
    <t>875/125 mg</t>
  </si>
  <si>
    <t>Clamoxin 12 H</t>
  </si>
  <si>
    <t>236623</t>
  </si>
  <si>
    <t>128M2003</t>
  </si>
  <si>
    <t>M01AB15</t>
  </si>
  <si>
    <t>ketorolac</t>
  </si>
  <si>
    <t>30 mg</t>
  </si>
  <si>
    <t>Superadol</t>
  </si>
  <si>
    <t>Sublingual</t>
  </si>
  <si>
    <t>H04230</t>
  </si>
  <si>
    <t>ABR/26</t>
  </si>
  <si>
    <t>PRODUCTOS FARMACÉUTICOS COLLINS, S.A. DE C.V.</t>
  </si>
  <si>
    <t>096M2000</t>
  </si>
  <si>
    <t>120 mg</t>
  </si>
  <si>
    <t>Arcoxia</t>
  </si>
  <si>
    <t>S018135</t>
  </si>
  <si>
    <t>ENE/21</t>
  </si>
  <si>
    <t>Rovi Pharma Industrial Services, S.A.</t>
  </si>
  <si>
    <t>464M2001</t>
  </si>
  <si>
    <t>Piroxicam 20mg</t>
  </si>
  <si>
    <t>05020</t>
  </si>
  <si>
    <t>Oct/24</t>
  </si>
  <si>
    <t>Bioresearch</t>
  </si>
  <si>
    <t>167M96</t>
  </si>
  <si>
    <t>N01B</t>
  </si>
  <si>
    <t>ANESTHETICS, LOCAL</t>
  </si>
  <si>
    <t>LIDOCAINA 20MG /EPINEFRINA 0.005MG</t>
  </si>
  <si>
    <t>Troncular intralesional</t>
  </si>
  <si>
    <t>pisa</t>
  </si>
  <si>
    <t>N01BB02</t>
  </si>
  <si>
    <t>lidocaine</t>
  </si>
  <si>
    <t>LIDOCAINA 10 G</t>
  </si>
  <si>
    <t>PHARMACAINE</t>
  </si>
  <si>
    <t>INTRAVENOSA</t>
  </si>
  <si>
    <t>22ER19</t>
  </si>
  <si>
    <t>LABORATORIOS QUIMPHARMA</t>
  </si>
  <si>
    <t>476M2005</t>
  </si>
  <si>
    <t>LIDOCAINA 1G, EPINEFRINA 0.25 MG</t>
  </si>
  <si>
    <t>METAMIZOL SODICO 1 G</t>
  </si>
  <si>
    <t>IV</t>
  </si>
  <si>
    <t>B20J4J3</t>
  </si>
  <si>
    <t>52005</t>
  </si>
  <si>
    <t>37.5/325 mg</t>
  </si>
  <si>
    <t>Salpifar DT</t>
  </si>
  <si>
    <t>U21J367</t>
  </si>
  <si>
    <t>LABORATORIOS PISA SA DE CV</t>
  </si>
  <si>
    <t>296M2017</t>
  </si>
  <si>
    <t>N02BF02</t>
  </si>
  <si>
    <t>pregabalin</t>
  </si>
  <si>
    <t>PREGABALINA 75 MG</t>
  </si>
  <si>
    <t>VIRAVIR</t>
  </si>
  <si>
    <t>S1F050</t>
  </si>
  <si>
    <t>300M2014</t>
  </si>
  <si>
    <t>N03AX</t>
  </si>
  <si>
    <t>Other antiepileptics</t>
  </si>
  <si>
    <t>Gabapentina 300mg</t>
  </si>
  <si>
    <t>Blugat</t>
  </si>
  <si>
    <t>L22H0495</t>
  </si>
  <si>
    <t>Feb/24</t>
  </si>
  <si>
    <t>Landsteiner Scientific</t>
  </si>
  <si>
    <t>640M2005</t>
  </si>
  <si>
    <t>N04AA02</t>
  </si>
  <si>
    <t>biperiden</t>
  </si>
  <si>
    <t>Biperideno 2mg</t>
  </si>
  <si>
    <t>9271121</t>
  </si>
  <si>
    <t>nov/24</t>
  </si>
  <si>
    <t>psicofarma</t>
  </si>
  <si>
    <t>184M2000</t>
  </si>
  <si>
    <t>N04BA</t>
  </si>
  <si>
    <t>Dopa and dopa derivatives</t>
  </si>
  <si>
    <t>Levodopa250mg/ Carbidopa 25mg</t>
  </si>
  <si>
    <t>Cloisone</t>
  </si>
  <si>
    <t>3770722</t>
  </si>
  <si>
    <t>Psicofarma</t>
  </si>
  <si>
    <t>451M97</t>
  </si>
  <si>
    <t>N06BA07</t>
  </si>
  <si>
    <t>modafinil</t>
  </si>
  <si>
    <t>Modafinilo 200mg</t>
  </si>
  <si>
    <t>Aditral</t>
  </si>
  <si>
    <t>91337</t>
  </si>
  <si>
    <t>Monte verde</t>
  </si>
  <si>
    <t>046M2018</t>
  </si>
  <si>
    <t>Mometasona  50ug</t>
  </si>
  <si>
    <t>nasal</t>
  </si>
  <si>
    <t>L23955</t>
  </si>
  <si>
    <t>Dic/25</t>
  </si>
  <si>
    <t>486M2015</t>
  </si>
  <si>
    <t>Mometasona 50ug</t>
  </si>
  <si>
    <t>R03AL02</t>
  </si>
  <si>
    <t>salbutamol and ipratropium bromide</t>
  </si>
  <si>
    <t>Bromuro de Ipratropio 0.5mg/ Salbutamol 2.5mg</t>
  </si>
  <si>
    <t>solucion</t>
  </si>
  <si>
    <t>2205087</t>
  </si>
  <si>
    <t>Stern Pharma GmbH</t>
  </si>
  <si>
    <t>483M2016</t>
  </si>
  <si>
    <t>A01AB09 </t>
  </si>
  <si>
    <t>miconazole </t>
  </si>
  <si>
    <t>Miconazol 2g</t>
  </si>
  <si>
    <t>Darktain</t>
  </si>
  <si>
    <t>AU9556</t>
  </si>
  <si>
    <t>NOV/26</t>
  </si>
  <si>
    <t>Janssen-Cilag, S.A. de C.V.</t>
  </si>
  <si>
    <t>396M79</t>
  </si>
  <si>
    <t>PIRMCT-003</t>
  </si>
  <si>
    <t>Universidad Popular de la Chontalpa</t>
  </si>
  <si>
    <t>A02BA02 </t>
  </si>
  <si>
    <t>ranitidine </t>
  </si>
  <si>
    <t>Ranitidina 150mg</t>
  </si>
  <si>
    <t>Ranisen</t>
  </si>
  <si>
    <t>S8F897</t>
  </si>
  <si>
    <t>150M96</t>
  </si>
  <si>
    <t>A02BC</t>
  </si>
  <si>
    <t>Proton pump inhibitors</t>
  </si>
  <si>
    <t>20 mg</t>
  </si>
  <si>
    <t>Norutec</t>
  </si>
  <si>
    <t>21208</t>
  </si>
  <si>
    <t>Il-Yang Bio pharm</t>
  </si>
  <si>
    <t>Corea</t>
  </si>
  <si>
    <t>077M2018</t>
  </si>
  <si>
    <t>40 MG</t>
  </si>
  <si>
    <t>AMABLY</t>
  </si>
  <si>
    <t>B80024</t>
  </si>
  <si>
    <t>Dr Readdy´s Laboratories Ltd._x000D_
Dr Reddy’s Laboratories Limited</t>
  </si>
  <si>
    <t>233M2019</t>
  </si>
  <si>
    <t>Trimebutina 300mg</t>
  </si>
  <si>
    <t>Tempolib</t>
  </si>
  <si>
    <t>21K0030</t>
  </si>
  <si>
    <t>Productos Medix S.A de C.V.</t>
  </si>
  <si>
    <t>179M2011</t>
  </si>
  <si>
    <t>Hioscina 10 mg</t>
  </si>
  <si>
    <t>2204270</t>
  </si>
  <si>
    <t>84636</t>
  </si>
  <si>
    <t>15 mg</t>
  </si>
  <si>
    <t>CARNOTPRIMLP</t>
  </si>
  <si>
    <t>S2110798</t>
  </si>
  <si>
    <t>Productos Científicos, S.A. de C.V.</t>
  </si>
  <si>
    <t>284M2007</t>
  </si>
  <si>
    <t>A03FA08 </t>
  </si>
  <si>
    <t>cinitapride </t>
  </si>
  <si>
    <t>CINITAPRIDA 1 MG</t>
  </si>
  <si>
    <t>COMPRIMIDO</t>
  </si>
  <si>
    <t>434M2016</t>
  </si>
  <si>
    <t>A04AD</t>
  </si>
  <si>
    <t>Other antiemetics</t>
  </si>
  <si>
    <t>DIFENIDOL 25 MG</t>
  </si>
  <si>
    <t>SONS</t>
  </si>
  <si>
    <t>21061977</t>
  </si>
  <si>
    <t>LABORATORIO QUIMICA SONS</t>
  </si>
  <si>
    <t>189M92</t>
  </si>
  <si>
    <t>A05AA02 </t>
  </si>
  <si>
    <t>ursodeoxycholic acid </t>
  </si>
  <si>
    <t>500 mg</t>
  </si>
  <si>
    <t>Ursofalk T500</t>
  </si>
  <si>
    <t>0201021</t>
  </si>
  <si>
    <t>SCHWABE MEXICO, S.A. DE C.V.</t>
  </si>
  <si>
    <t>167M2018</t>
  </si>
  <si>
    <t>2207299</t>
  </si>
  <si>
    <t>347M2000</t>
  </si>
  <si>
    <t>242682</t>
  </si>
  <si>
    <t>A10BA02</t>
  </si>
  <si>
    <t>249M2002</t>
  </si>
  <si>
    <t>U22F006</t>
  </si>
  <si>
    <t>LABORATORIOS PISA S.A. DE C.V.</t>
  </si>
  <si>
    <t>A10BG03 </t>
  </si>
  <si>
    <t>pioglitazone </t>
  </si>
  <si>
    <t>Pioglitazona 15mg</t>
  </si>
  <si>
    <t>PLAGOX</t>
  </si>
  <si>
    <t>L21B0148</t>
  </si>
  <si>
    <t>FEB/23</t>
  </si>
  <si>
    <t>Landsteiner Scientific, S.A. de C.V.</t>
  </si>
  <si>
    <t>278M2014</t>
  </si>
  <si>
    <t>ACIDO ASCORBICO 2G</t>
  </si>
  <si>
    <t>OXITAL-C</t>
  </si>
  <si>
    <t>TABLETA EFERVESCENTE</t>
  </si>
  <si>
    <t>221211</t>
  </si>
  <si>
    <t>Hidroclorotiazida 25mg</t>
  </si>
  <si>
    <t>23012011213</t>
  </si>
  <si>
    <t>Laboratorios Columbia, S.A. de C.V.</t>
  </si>
  <si>
    <t>C09AA01 </t>
  </si>
  <si>
    <t>captopril </t>
  </si>
  <si>
    <t>Captopril 25mg</t>
  </si>
  <si>
    <t>20E132</t>
  </si>
  <si>
    <t>Química y Farmacia, S.A. de C.V.</t>
  </si>
  <si>
    <t>130M39</t>
  </si>
  <si>
    <t>Losartán</t>
  </si>
  <si>
    <t>U21F323</t>
  </si>
  <si>
    <t>LABORATORIOS PISA, S.A. DE C.V.</t>
  </si>
  <si>
    <t>303M2008</t>
  </si>
  <si>
    <t>C09CA04 </t>
  </si>
  <si>
    <t>irbesartan </t>
  </si>
  <si>
    <t>300</t>
  </si>
  <si>
    <t>IST21163</t>
  </si>
  <si>
    <t>Hetero Labs Limited</t>
  </si>
  <si>
    <t>185M2014</t>
  </si>
  <si>
    <t>C09DA07 </t>
  </si>
  <si>
    <t>telmisartan and diuretics </t>
  </si>
  <si>
    <t>Telmisartán 80mg/ Hidroclorotiazida 12.5mg</t>
  </si>
  <si>
    <t>ARCHER-COMPUESTO</t>
  </si>
  <si>
    <t>215269</t>
  </si>
  <si>
    <t>364M2017</t>
  </si>
  <si>
    <t>80/12.5 mg</t>
  </si>
  <si>
    <t>U21N472</t>
  </si>
  <si>
    <t>010M2021</t>
  </si>
  <si>
    <t>D01AC02</t>
  </si>
  <si>
    <t>miconazole</t>
  </si>
  <si>
    <t>Miconazol 20g</t>
  </si>
  <si>
    <t>Crema</t>
  </si>
  <si>
    <t>2210371</t>
  </si>
  <si>
    <t>251M2000</t>
  </si>
  <si>
    <t>D07AC04</t>
  </si>
  <si>
    <t>fluocinolone acetonide</t>
  </si>
  <si>
    <t>Acetónido de Fluocinolona 5g</t>
  </si>
  <si>
    <t>SYNALAR SIMPLE</t>
  </si>
  <si>
    <t>Tópico</t>
  </si>
  <si>
    <t>BAC044</t>
  </si>
  <si>
    <t>Grimann, S.A. de C.V._x000D_
Productos Farmacéuticos, S.A. de C.V.</t>
  </si>
  <si>
    <t>55749</t>
  </si>
  <si>
    <t>D08AJ01</t>
  </si>
  <si>
    <t>benzalkonium</t>
  </si>
  <si>
    <t>BENZALCONIO 0.133 G</t>
  </si>
  <si>
    <t>0049664</t>
  </si>
  <si>
    <t>LABOERATORIOS JALOMA</t>
  </si>
  <si>
    <t>0501C95</t>
  </si>
  <si>
    <t>G02CX04</t>
  </si>
  <si>
    <t>Cimicifugae rhizoma</t>
  </si>
  <si>
    <t>6-22 mcg</t>
  </si>
  <si>
    <t>Mensifem</t>
  </si>
  <si>
    <t>0000765037</t>
  </si>
  <si>
    <t>Bionorica SE</t>
  </si>
  <si>
    <t>047P97</t>
  </si>
  <si>
    <t>2523K23I</t>
  </si>
  <si>
    <t>Protein, S.A. de C.V.</t>
  </si>
  <si>
    <t>342M2003</t>
  </si>
  <si>
    <t>J01AA02</t>
  </si>
  <si>
    <t>doxycycline</t>
  </si>
  <si>
    <t>Doxicilina 100mg</t>
  </si>
  <si>
    <t>2204957</t>
  </si>
  <si>
    <t>392M96</t>
  </si>
  <si>
    <t>AMOXICILINA 500 MG</t>
  </si>
  <si>
    <t>109010</t>
  </si>
  <si>
    <t>bruluagsa</t>
  </si>
  <si>
    <t>J01CA20</t>
  </si>
  <si>
    <t>combinations</t>
  </si>
  <si>
    <t>500/8 mg</t>
  </si>
  <si>
    <t>Amoxibron</t>
  </si>
  <si>
    <t>002MZ019A</t>
  </si>
  <si>
    <t>NOV/24</t>
  </si>
  <si>
    <t>GRIMANN, S.A. DE C.V.</t>
  </si>
  <si>
    <t>89989</t>
  </si>
  <si>
    <t>J01DB01</t>
  </si>
  <si>
    <t>cefalexin</t>
  </si>
  <si>
    <t>500</t>
  </si>
  <si>
    <t>195652</t>
  </si>
  <si>
    <t>Productos MAVER, S. A. DE C. V.</t>
  </si>
  <si>
    <t>84204</t>
  </si>
  <si>
    <t>Levofloxacino 750 mg</t>
  </si>
  <si>
    <t>0125141</t>
  </si>
  <si>
    <t>ENE/25</t>
  </si>
  <si>
    <t>128M2017</t>
  </si>
  <si>
    <t>J02AC02</t>
  </si>
  <si>
    <t>itraconazole</t>
  </si>
  <si>
    <t>100</t>
  </si>
  <si>
    <t>Zitriasol</t>
  </si>
  <si>
    <t>SD21093</t>
  </si>
  <si>
    <t>Solara S.A de C.V.</t>
  </si>
  <si>
    <t>439M2005</t>
  </si>
  <si>
    <t>BIORESEARCH</t>
  </si>
  <si>
    <t>M01AE17</t>
  </si>
  <si>
    <t>dexketoprofen</t>
  </si>
  <si>
    <t>DEXKETOPROFENO 50MG/2ML</t>
  </si>
  <si>
    <t>KERAL</t>
  </si>
  <si>
    <t>1049A</t>
  </si>
  <si>
    <t>A. Menarini Manufacturing Logistics and Services S.R.L.</t>
  </si>
  <si>
    <t>Italia</t>
  </si>
  <si>
    <t>166M2008</t>
  </si>
  <si>
    <t>M01AE51</t>
  </si>
  <si>
    <t>ibuprofen, combinations</t>
  </si>
  <si>
    <t>325/200 mg</t>
  </si>
  <si>
    <t>Dualgos</t>
  </si>
  <si>
    <t>23J092</t>
  </si>
  <si>
    <t>Liferpal MD, S.A. de C.V.</t>
  </si>
  <si>
    <t>201M2004</t>
  </si>
  <si>
    <t>M01AH01</t>
  </si>
  <si>
    <t>celecoxib</t>
  </si>
  <si>
    <t>CELECOXIB 200 MG</t>
  </si>
  <si>
    <t>ALPHARMA</t>
  </si>
  <si>
    <t>355M2017</t>
  </si>
  <si>
    <t>M03BA53</t>
  </si>
  <si>
    <t>methocarbamol, combinations excl. psycholeptics</t>
  </si>
  <si>
    <t>METOCARBAMOL 400 MG, PARACETAMOL 350 MG</t>
  </si>
  <si>
    <t>CARBAFEN</t>
  </si>
  <si>
    <t>22B087</t>
  </si>
  <si>
    <t>LIFERPAL MD</t>
  </si>
  <si>
    <t>85581</t>
  </si>
  <si>
    <t>M04AC01</t>
  </si>
  <si>
    <t>colchicine</t>
  </si>
  <si>
    <t>Colchicina 1mg</t>
  </si>
  <si>
    <t>TICOLCIN</t>
  </si>
  <si>
    <t>400211</t>
  </si>
  <si>
    <t>Tecnofarma, S.A. de C.V.</t>
  </si>
  <si>
    <t>116M97</t>
  </si>
  <si>
    <t>100/300 mg</t>
  </si>
  <si>
    <t>Dolfort-DE</t>
  </si>
  <si>
    <t>868A</t>
  </si>
  <si>
    <t>ENE/26</t>
  </si>
  <si>
    <t>DEGORT'S CHEMICAL, S.A. de C.V.</t>
  </si>
  <si>
    <t>119M2011</t>
  </si>
  <si>
    <t>Clorfenamina 2mg/ Fenilefrina 5mg/ Paracetamol 500 mg</t>
  </si>
  <si>
    <t>DESENFRIOL D</t>
  </si>
  <si>
    <t>X24FD0</t>
  </si>
  <si>
    <t>Bayer de México, S.A. de C.V.</t>
  </si>
  <si>
    <t>55563</t>
  </si>
  <si>
    <t>PARACETAMOL 300MG/ LORATADINA 2MG/ DEXTROMETORFANO 10MG</t>
  </si>
  <si>
    <t>Ladexgel</t>
  </si>
  <si>
    <t>R940</t>
  </si>
  <si>
    <t>Progela, S. A. de C. V.</t>
  </si>
  <si>
    <t>222M2012</t>
  </si>
  <si>
    <t>N02BF01</t>
  </si>
  <si>
    <t>gabapentin</t>
  </si>
  <si>
    <t>3AH0305</t>
  </si>
  <si>
    <t>075M2008</t>
  </si>
  <si>
    <t>Gabapentina 300 mg</t>
  </si>
  <si>
    <t>0867E22</t>
  </si>
  <si>
    <t>Protein, S. A. de C. V._x000D_
Apotex Inc.</t>
  </si>
  <si>
    <t>35M2006</t>
  </si>
  <si>
    <t>LYRICA</t>
  </si>
  <si>
    <t>Capsula</t>
  </si>
  <si>
    <t>FM1324</t>
  </si>
  <si>
    <t>Pfizer Manufacturing Deutschland GmbH</t>
  </si>
  <si>
    <t>530M2004</t>
  </si>
  <si>
    <t>U22J363</t>
  </si>
  <si>
    <t>200M2013</t>
  </si>
  <si>
    <t>P02CA03</t>
  </si>
  <si>
    <t>albendazole</t>
  </si>
  <si>
    <t>Albenazol 2G/100mL</t>
  </si>
  <si>
    <t>2207870</t>
  </si>
  <si>
    <t>510M2000</t>
  </si>
  <si>
    <t>Mometasona</t>
  </si>
  <si>
    <t>A23N899</t>
  </si>
  <si>
    <t>322M2015</t>
  </si>
  <si>
    <t>S01GA01</t>
  </si>
  <si>
    <t>naphazoline</t>
  </si>
  <si>
    <t>NEFAZOLINA 1MG</t>
  </si>
  <si>
    <t>NAZIL</t>
  </si>
  <si>
    <t>4025362</t>
  </si>
  <si>
    <t>OPHIA</t>
  </si>
  <si>
    <t>44305</t>
  </si>
  <si>
    <t>S02CA03</t>
  </si>
  <si>
    <t>hydrocortisone and antiinfectives</t>
  </si>
  <si>
    <t>Hidroclorotiazida 10mg/ Cloranfenicol 25mg/ Benzocaína 20 mg</t>
  </si>
  <si>
    <t>Poral</t>
  </si>
  <si>
    <t>Ótica</t>
  </si>
  <si>
    <t>22072240</t>
  </si>
  <si>
    <t>Laboratorios Quimica Son's S.A. de C.V.</t>
  </si>
  <si>
    <t>083M2008</t>
  </si>
  <si>
    <t>Bromuro de pinaverio, 100 mg</t>
  </si>
  <si>
    <t>1221929</t>
  </si>
  <si>
    <t>DIC/23</t>
  </si>
  <si>
    <t>Neolpharma</t>
  </si>
  <si>
    <t>106m2016</t>
  </si>
  <si>
    <t>190M2004</t>
  </si>
  <si>
    <t>ABR/22</t>
  </si>
  <si>
    <t>Cinitaprida, 1 mg</t>
  </si>
  <si>
    <t>1021350</t>
  </si>
  <si>
    <t>343M2016</t>
  </si>
  <si>
    <t>G04CB01</t>
  </si>
  <si>
    <t>Finasterida, 5 mg</t>
  </si>
  <si>
    <t>06391</t>
  </si>
  <si>
    <t>079M2020</t>
  </si>
  <si>
    <t>J01GB03</t>
  </si>
  <si>
    <t>gentamicin</t>
  </si>
  <si>
    <t>Gentamicina 160 mg</t>
  </si>
  <si>
    <t>Inyectable</t>
  </si>
  <si>
    <t>21093049</t>
  </si>
  <si>
    <t>Laboratorios Química Son's</t>
  </si>
  <si>
    <t>87882</t>
  </si>
  <si>
    <t>J01MB02</t>
  </si>
  <si>
    <t>nalidixic acid</t>
  </si>
  <si>
    <t>Ácido Nalidixico, 500 mg/Fenazopiridina, 50 mg</t>
  </si>
  <si>
    <t>Azuron</t>
  </si>
  <si>
    <t>22E035</t>
  </si>
  <si>
    <t>Liferpal</t>
  </si>
  <si>
    <t>88948</t>
  </si>
  <si>
    <t>J05AH02</t>
  </si>
  <si>
    <t>oseltamivir</t>
  </si>
  <si>
    <t>Oseltamivir, 75 mg</t>
  </si>
  <si>
    <t>2007668</t>
  </si>
  <si>
    <t>JUL/22</t>
  </si>
  <si>
    <t>176M2016</t>
  </si>
  <si>
    <t>Indometacina 50 mg</t>
  </si>
  <si>
    <t>Malival AP</t>
  </si>
  <si>
    <t>12H044</t>
  </si>
  <si>
    <t>AGO/14</t>
  </si>
  <si>
    <t>Laboratorio Silanes</t>
  </si>
  <si>
    <t>71254</t>
  </si>
  <si>
    <t>R22U76</t>
  </si>
  <si>
    <t>Pisa</t>
  </si>
  <si>
    <t>538M98</t>
  </si>
  <si>
    <t>Hioscina, 20 mg/Ibuprofeno 400 mg</t>
  </si>
  <si>
    <t>Realdrax MXD</t>
  </si>
  <si>
    <t>20L073</t>
  </si>
  <si>
    <t>224M2017</t>
  </si>
  <si>
    <t>Celecoxib, 200 mg</t>
  </si>
  <si>
    <t>2207288</t>
  </si>
  <si>
    <t>Metocarbamol, 400 mg/Paracetamol, 350 mg</t>
  </si>
  <si>
    <t>Carbafen</t>
  </si>
  <si>
    <t>Liferpal MD</t>
  </si>
  <si>
    <t>Metocarbamol 400 mg/Paracetamol, 350 mg</t>
  </si>
  <si>
    <t>M05BA04</t>
  </si>
  <si>
    <t>alendronic acid</t>
  </si>
  <si>
    <t>Ácido alendrónico, 70 mg</t>
  </si>
  <si>
    <t>U22Y324</t>
  </si>
  <si>
    <t>225M2005</t>
  </si>
  <si>
    <t>N02AE01</t>
  </si>
  <si>
    <t>buprenorphine</t>
  </si>
  <si>
    <t>Buprenorfina 20 mg</t>
  </si>
  <si>
    <t>Transtec</t>
  </si>
  <si>
    <t>Parche</t>
  </si>
  <si>
    <t>Transdermica</t>
  </si>
  <si>
    <t>70560C204</t>
  </si>
  <si>
    <t>LTS Lohmann Therapie-Systeme AG</t>
  </si>
  <si>
    <t>289M2006</t>
  </si>
  <si>
    <t>SSA II</t>
  </si>
  <si>
    <t>Controlado</t>
  </si>
  <si>
    <t>Paracetamol 500 mg</t>
  </si>
  <si>
    <t>Icetazol</t>
  </si>
  <si>
    <t>ar22007</t>
  </si>
  <si>
    <t>363M96</t>
  </si>
  <si>
    <t>Biperideno 2 mg</t>
  </si>
  <si>
    <t>0960120</t>
  </si>
  <si>
    <t>N05BA06</t>
  </si>
  <si>
    <t>lorazepam</t>
  </si>
  <si>
    <t>Lorazepam, 1 mg</t>
  </si>
  <si>
    <t>Lozam</t>
  </si>
  <si>
    <t>5001120</t>
  </si>
  <si>
    <t>196M2002</t>
  </si>
  <si>
    <t>N05BA12</t>
  </si>
  <si>
    <t>alprazolam</t>
  </si>
  <si>
    <t>Alprazolam 75 mg</t>
  </si>
  <si>
    <t>Neupax</t>
  </si>
  <si>
    <t>20050154</t>
  </si>
  <si>
    <t>Armstron Laboratorios</t>
  </si>
  <si>
    <t>142M2008</t>
  </si>
  <si>
    <t>Melatonina 5 mg</t>
  </si>
  <si>
    <t>Sub Z</t>
  </si>
  <si>
    <t>23K0028</t>
  </si>
  <si>
    <t>---/--</t>
  </si>
  <si>
    <t>Productos Medix</t>
  </si>
  <si>
    <t>128M2012</t>
  </si>
  <si>
    <t>R06AB54</t>
  </si>
  <si>
    <t>chlorphenamine, combinations</t>
  </si>
  <si>
    <t>Paracetamol, 500 mg/Cafeína, 25 mg/Clohidrato de fenilefrina, 5 mg/Maleato de clorfenamina, 4 mg</t>
  </si>
  <si>
    <t>U23N089</t>
  </si>
  <si>
    <t>43803NF</t>
  </si>
  <si>
    <t>Loratadina, 5 mg/Betametasona, 0.25 mg</t>
  </si>
  <si>
    <t>Erispan Compuesto</t>
  </si>
  <si>
    <t>226986</t>
  </si>
  <si>
    <t>514M2016</t>
  </si>
  <si>
    <t>Loratadina</t>
  </si>
  <si>
    <t>2GN345A</t>
  </si>
  <si>
    <t>Ultra Laboratorios</t>
  </si>
  <si>
    <t>PINAVERIO 100 MG</t>
  </si>
  <si>
    <t>391567</t>
  </si>
  <si>
    <t>106M2016</t>
  </si>
  <si>
    <t>A03BB01 </t>
  </si>
  <si>
    <t>butylscopolamine </t>
  </si>
  <si>
    <t>hioscina 10 mg</t>
  </si>
  <si>
    <t>tableta</t>
  </si>
  <si>
    <t>2004065</t>
  </si>
  <si>
    <t>abr/22</t>
  </si>
  <si>
    <t>neolpharma</t>
  </si>
  <si>
    <t>C02CA01 </t>
  </si>
  <si>
    <t>prazosin </t>
  </si>
  <si>
    <t>1 mg</t>
  </si>
  <si>
    <t>Minipres</t>
  </si>
  <si>
    <t>AP0916</t>
  </si>
  <si>
    <t>Pfizer, S.A. DE C.V.</t>
  </si>
  <si>
    <t>79195</t>
  </si>
  <si>
    <t>C03DA01 </t>
  </si>
  <si>
    <t>spironolactone </t>
  </si>
  <si>
    <t>25 mg</t>
  </si>
  <si>
    <t>0JM154A</t>
  </si>
  <si>
    <t>ULTRA LABIRATORIOS S.A. DE C.V.</t>
  </si>
  <si>
    <t>085M2009</t>
  </si>
  <si>
    <t>FINASTERIDA 5 MG</t>
  </si>
  <si>
    <t>H02BX</t>
  </si>
  <si>
    <t>Corticosteroids for systemic use, combinations</t>
  </si>
  <si>
    <t>0.25/0.5 mg</t>
  </si>
  <si>
    <t>231637</t>
  </si>
  <si>
    <t>PRODUCTOS MEDIX, S.A. DE C.V.</t>
  </si>
  <si>
    <t>212M2013</t>
  </si>
  <si>
    <t>OSELTAMIVIR 75 MG</t>
  </si>
  <si>
    <t>INDOMETACINA 50 MG</t>
  </si>
  <si>
    <t>MALIVAL AP</t>
  </si>
  <si>
    <t>12HO44</t>
  </si>
  <si>
    <t>LABORATORIOS SILANES</t>
  </si>
  <si>
    <t>600 mg</t>
  </si>
  <si>
    <t>Algidol</t>
  </si>
  <si>
    <t>220549</t>
  </si>
  <si>
    <t>Gelpharma, S.A. DE C.V.</t>
  </si>
  <si>
    <t>343M2014</t>
  </si>
  <si>
    <t>HIOSCINA 20 MG, IBUPROFENO 400 MG</t>
  </si>
  <si>
    <t>REALDRAX-MXD</t>
  </si>
  <si>
    <t>LIFERPAL</t>
  </si>
  <si>
    <t>M01BX</t>
  </si>
  <si>
    <t>Other antiinflammatory/antirheumatic agents in combination with other drugs</t>
  </si>
  <si>
    <t>100 mg / 5 mg/ 50 mcg</t>
  </si>
  <si>
    <t>Biotrivin</t>
  </si>
  <si>
    <t>109539</t>
  </si>
  <si>
    <t>Bioreserch de México, S.A. de C.V.</t>
  </si>
  <si>
    <t>258M93</t>
  </si>
  <si>
    <t>M03BX02</t>
  </si>
  <si>
    <t>tizanidine</t>
  </si>
  <si>
    <t>2 mg</t>
  </si>
  <si>
    <t>R2309813</t>
  </si>
  <si>
    <t>Laboratorios Russek, S de R.L. de C.V.</t>
  </si>
  <si>
    <t>028M2021</t>
  </si>
  <si>
    <t>BUPRENORFINA 35 UG</t>
  </si>
  <si>
    <t>TRANSTEC</t>
  </si>
  <si>
    <t>TOPICO</t>
  </si>
  <si>
    <t>LTS LOHMANN THERAPIE-SYSTEME</t>
  </si>
  <si>
    <t>BIPERIDENO 2 MG</t>
  </si>
  <si>
    <t>LORAZEPAM 1 MG</t>
  </si>
  <si>
    <t>LOZAM</t>
  </si>
  <si>
    <t>ALPRAZOLAM 0.75 MG</t>
  </si>
  <si>
    <t>NEUPAX</t>
  </si>
  <si>
    <t>S01AA12</t>
  </si>
  <si>
    <t>tobramycin</t>
  </si>
  <si>
    <t>KETOROLACO 30 MG</t>
  </si>
  <si>
    <t>oftalmico</t>
  </si>
  <si>
    <t>22216P</t>
  </si>
  <si>
    <t>Pharmacos Exakta</t>
  </si>
  <si>
    <t>138M2004</t>
  </si>
  <si>
    <t>S01ED51</t>
  </si>
  <si>
    <t>timolol, combinations</t>
  </si>
  <si>
    <t>0.5/0.2%</t>
  </si>
  <si>
    <t>Comigan-D</t>
  </si>
  <si>
    <t>T1216</t>
  </si>
  <si>
    <t>OCT/22</t>
  </si>
  <si>
    <t>Allergan Sales, LLC</t>
  </si>
  <si>
    <t>Estados Unidos</t>
  </si>
  <si>
    <t>627M2005</t>
  </si>
  <si>
    <t>NIFUROXAZIDA 400 MG</t>
  </si>
  <si>
    <t>REXURDIR</t>
  </si>
  <si>
    <t>22032623</t>
  </si>
  <si>
    <t>LABORATORIOS QUIMICA SON'S</t>
  </si>
  <si>
    <t>B03BA03 </t>
  </si>
  <si>
    <t>hydroxocobalamin </t>
  </si>
  <si>
    <t>HIDROXOCOBALAMINA 100 MCG</t>
  </si>
  <si>
    <t>INTRAMUSCULAR</t>
  </si>
  <si>
    <t>R22J94</t>
  </si>
  <si>
    <t>40090</t>
  </si>
  <si>
    <t>B03BB01 </t>
  </si>
  <si>
    <t>folic acid </t>
  </si>
  <si>
    <t>ACIDO FOLICO 400 MCG</t>
  </si>
  <si>
    <t>SIMIFOL</t>
  </si>
  <si>
    <t>23M09561</t>
  </si>
  <si>
    <t>BIOFARMACIA NATURAL CMD</t>
  </si>
  <si>
    <t>004V2005</t>
  </si>
  <si>
    <t>H02AB02</t>
  </si>
  <si>
    <t>dexamethasone</t>
  </si>
  <si>
    <t>DEXAMETASONA 0.5 MG</t>
  </si>
  <si>
    <t>ADRECORT</t>
  </si>
  <si>
    <t>22021006</t>
  </si>
  <si>
    <t>LABORATORIOS ALLEN</t>
  </si>
  <si>
    <t>84747</t>
  </si>
  <si>
    <t>J23E086</t>
  </si>
  <si>
    <t>462M2000</t>
  </si>
  <si>
    <t>NITROFURANTOINA 100 MG</t>
  </si>
  <si>
    <t>30133</t>
  </si>
  <si>
    <t>LABORATORIOS SOLFRAN</t>
  </si>
  <si>
    <t>340M2018</t>
  </si>
  <si>
    <t>MELOXICAM 7.5 MG, METOCARBAMOL 215 MG</t>
  </si>
  <si>
    <t>FLEXIVER</t>
  </si>
  <si>
    <t>225652</t>
  </si>
  <si>
    <t>METOCARBAMOL 375 MG, IBUPROFENO 200 MG</t>
  </si>
  <si>
    <t>ML-PRIM</t>
  </si>
  <si>
    <t>220593</t>
  </si>
  <si>
    <t>065M2019</t>
  </si>
  <si>
    <t>MXB018</t>
  </si>
  <si>
    <t>SANOFI AVENTIS</t>
  </si>
  <si>
    <t>OJMOO4A</t>
  </si>
  <si>
    <t>ULTRA LABORATORIOS S.A. DE C.V.</t>
  </si>
  <si>
    <t>20144</t>
  </si>
  <si>
    <t>LABORATORIOS SOLFRAN S.A.</t>
  </si>
  <si>
    <t>40 mg</t>
  </si>
  <si>
    <t>Nov Olexin</t>
  </si>
  <si>
    <t>1147</t>
  </si>
  <si>
    <t>FARMACEUTICOS RAYERE, S.A. DE C.V.</t>
  </si>
  <si>
    <t>284M98</t>
  </si>
  <si>
    <t>OMEPRAZOL 20 MG</t>
  </si>
  <si>
    <t>065M2018</t>
  </si>
  <si>
    <t>A03DB04 </t>
  </si>
  <si>
    <t>butylscopolamine and analgesics</t>
  </si>
  <si>
    <t>250/10 mg</t>
  </si>
  <si>
    <t>Busconet</t>
  </si>
  <si>
    <t>21113595</t>
  </si>
  <si>
    <t>LABORATIOS QUIMICA S.A. DE C.V.</t>
  </si>
  <si>
    <t>87619</t>
  </si>
  <si>
    <t>80/80 mg</t>
  </si>
  <si>
    <t>391461</t>
  </si>
  <si>
    <t>Tecnofarma, S.A. DE C.V.</t>
  </si>
  <si>
    <t>67904</t>
  </si>
  <si>
    <t>10 mg</t>
  </si>
  <si>
    <t>Dirpasid</t>
  </si>
  <si>
    <t>208727</t>
  </si>
  <si>
    <t>166M2003</t>
  </si>
  <si>
    <t>Biomitin</t>
  </si>
  <si>
    <t>11003</t>
  </si>
  <si>
    <t>Bioresearch, S.A. DE C.V.</t>
  </si>
  <si>
    <t>493M94</t>
  </si>
  <si>
    <t>VITAMINA C 2000 MG</t>
  </si>
  <si>
    <t>EFERVESCENTE</t>
  </si>
  <si>
    <t>240021</t>
  </si>
  <si>
    <t>SRRRAL</t>
  </si>
  <si>
    <t>MICONAZOL 20 G</t>
  </si>
  <si>
    <t>912363</t>
  </si>
  <si>
    <t>488M2000</t>
  </si>
  <si>
    <t>MUPIROCINA 15 G</t>
  </si>
  <si>
    <t>SINPEBAC</t>
  </si>
  <si>
    <t>400834</t>
  </si>
  <si>
    <t>dic/25</t>
  </si>
  <si>
    <t>laboratorios grossman</t>
  </si>
  <si>
    <t>375M2001</t>
  </si>
  <si>
    <t>D08AH30</t>
  </si>
  <si>
    <t>clioquinol</t>
  </si>
  <si>
    <t>CLIOQUINOL 3 G</t>
  </si>
  <si>
    <t>BIONDER-C</t>
  </si>
  <si>
    <t>107476</t>
  </si>
  <si>
    <t>540M2000</t>
  </si>
  <si>
    <t>cefalexina 500 mg</t>
  </si>
  <si>
    <t>CEPOBROM</t>
  </si>
  <si>
    <t>232539</t>
  </si>
  <si>
    <t>MAVER</t>
  </si>
  <si>
    <t>427M2004</t>
  </si>
  <si>
    <t>250 Mg</t>
  </si>
  <si>
    <t>Klarpharma</t>
  </si>
  <si>
    <t>2106338</t>
  </si>
  <si>
    <t>66279</t>
  </si>
  <si>
    <t>J01GB06</t>
  </si>
  <si>
    <t>amikacin</t>
  </si>
  <si>
    <t>500 mg / 2 ml</t>
  </si>
  <si>
    <t>IM/IV</t>
  </si>
  <si>
    <t>R22F67</t>
  </si>
  <si>
    <t>Laboratorios PiSA, S.A. DE C.V.</t>
  </si>
  <si>
    <t>249M87</t>
  </si>
  <si>
    <t>J01XD01</t>
  </si>
  <si>
    <t>metronidazole</t>
  </si>
  <si>
    <t>500 Mg</t>
  </si>
  <si>
    <t>04754</t>
  </si>
  <si>
    <t>Biorsearch, S.A. DE C.V.</t>
  </si>
  <si>
    <t>J05AB01</t>
  </si>
  <si>
    <t>aciclovir</t>
  </si>
  <si>
    <t>4.5 g</t>
  </si>
  <si>
    <t>22107P</t>
  </si>
  <si>
    <t>PHARMACOS EXAKTA, S.A. DE C.V.</t>
  </si>
  <si>
    <t>248M2002</t>
  </si>
  <si>
    <t>Indanet</t>
  </si>
  <si>
    <t>1070817</t>
  </si>
  <si>
    <t>Importadora y Manufacturera Bruluart, S.A. DE C.V.</t>
  </si>
  <si>
    <t>Nediclon</t>
  </si>
  <si>
    <t>112776</t>
  </si>
  <si>
    <t>Bruluagsa, S.A. DE C.V.</t>
  </si>
  <si>
    <t>370M94</t>
  </si>
  <si>
    <t>U23Y421</t>
  </si>
  <si>
    <t>299M2005</t>
  </si>
  <si>
    <t>M01AC01</t>
  </si>
  <si>
    <t>Brucam</t>
  </si>
  <si>
    <t>1060807</t>
  </si>
  <si>
    <t>441M89</t>
  </si>
  <si>
    <t>210954</t>
  </si>
  <si>
    <t>GELPHARMA, S.A. DE C.V.</t>
  </si>
  <si>
    <t>250 mg</t>
  </si>
  <si>
    <t>02694</t>
  </si>
  <si>
    <t>M01AE09</t>
  </si>
  <si>
    <t>flurbiprofen</t>
  </si>
  <si>
    <t>8.75 mg</t>
  </si>
  <si>
    <t>Graneodin  F</t>
  </si>
  <si>
    <t>Pastilla</t>
  </si>
  <si>
    <t>LY053</t>
  </si>
  <si>
    <t>Reckitt Benckiser Healthcare International Limited, S.A. DE C.V.</t>
  </si>
  <si>
    <t>Inglaterra</t>
  </si>
  <si>
    <t>029M2017</t>
  </si>
  <si>
    <t>2EM446A</t>
  </si>
  <si>
    <t>ULTRA LABORATORIOS, S.A. DE C.V.</t>
  </si>
  <si>
    <t>158M2012</t>
  </si>
  <si>
    <t>PIRMCT-004</t>
  </si>
  <si>
    <t>Universidad del Valle de México, Campus Villahermosa</t>
  </si>
  <si>
    <t>660163</t>
  </si>
  <si>
    <t>JUL/21</t>
  </si>
  <si>
    <t>53000</t>
  </si>
  <si>
    <t>Messelfenil</t>
  </si>
  <si>
    <t>SE2218</t>
  </si>
  <si>
    <t>BIOMEP S.A. DE C.V.</t>
  </si>
  <si>
    <t>BMXA033</t>
  </si>
  <si>
    <t>Sanofi-aventis Winthrop, S.A. DE C.V.</t>
  </si>
  <si>
    <t>BMXA088</t>
  </si>
  <si>
    <t>SANOFI-AVENTIS WINTHROP</t>
  </si>
  <si>
    <t>R06AK</t>
  </si>
  <si>
    <t>Combinations of antihistamines</t>
  </si>
  <si>
    <t>LORATADINA 5 MG, BETAMETASONA .25 MG</t>
  </si>
  <si>
    <t>ERISPAN</t>
  </si>
  <si>
    <t>226606</t>
  </si>
  <si>
    <t>A11CB</t>
  </si>
  <si>
    <t>Vitamin A and D in combination</t>
  </si>
  <si>
    <t>Retinol 3.3 mg/Ergocalciferol, 0.03 mg/Ácido ascórbico, 8.56 mg</t>
  </si>
  <si>
    <t>ADerogyl</t>
  </si>
  <si>
    <t>0MXA021</t>
  </si>
  <si>
    <t>38878</t>
  </si>
  <si>
    <t>Ácido fólico, 5 mg</t>
  </si>
  <si>
    <t>Cilocid</t>
  </si>
  <si>
    <t>809380</t>
  </si>
  <si>
    <t>AGO/20</t>
  </si>
  <si>
    <t>004V2001</t>
  </si>
  <si>
    <t>803422</t>
  </si>
  <si>
    <t>Dicloxacilina, 500 mg</t>
  </si>
  <si>
    <t>Butimaxil</t>
  </si>
  <si>
    <t>208686</t>
  </si>
  <si>
    <t>Meloxicam, 7.5 mg/Metocarbamol, 215 mg</t>
  </si>
  <si>
    <t>225651</t>
  </si>
  <si>
    <t>213555</t>
  </si>
  <si>
    <t>M01AX21</t>
  </si>
  <si>
    <t>diacerein</t>
  </si>
  <si>
    <t>Diacereína</t>
  </si>
  <si>
    <t>Cartigen</t>
  </si>
  <si>
    <t>20060</t>
  </si>
  <si>
    <t>Representaciones e investigaciones médicas</t>
  </si>
  <si>
    <t>237M2004</t>
  </si>
  <si>
    <t>Coriver</t>
  </si>
  <si>
    <t>222798</t>
  </si>
  <si>
    <t>Pregabalina, 150 mg</t>
  </si>
  <si>
    <t>U21U358</t>
  </si>
  <si>
    <t>Betahistina, 24 mg</t>
  </si>
  <si>
    <t>5540820</t>
  </si>
  <si>
    <t>Neolphama</t>
  </si>
  <si>
    <t>409M2016</t>
  </si>
  <si>
    <t>Teofilina, 700 mg/Ambroxol, 150 mg</t>
  </si>
  <si>
    <t>Atroxolam</t>
  </si>
  <si>
    <t>B90122</t>
  </si>
  <si>
    <t>101M2018</t>
  </si>
  <si>
    <t>Ambroxol 30 mg</t>
  </si>
  <si>
    <t>Loexom</t>
  </si>
  <si>
    <t>BD22013</t>
  </si>
  <si>
    <t>143M96</t>
  </si>
  <si>
    <t>Cetirizina, 10 mg</t>
  </si>
  <si>
    <t>S01KA01</t>
  </si>
  <si>
    <t>Hialuronato de sodio, 2 mg</t>
  </si>
  <si>
    <t>Oftálmica</t>
  </si>
  <si>
    <t>4024426</t>
  </si>
  <si>
    <t>0208C99</t>
  </si>
  <si>
    <t>A03AA07 </t>
  </si>
  <si>
    <t>dicycloverine </t>
  </si>
  <si>
    <t>Dicicloverina 10mg</t>
  </si>
  <si>
    <t>Sediclon</t>
  </si>
  <si>
    <t>569X</t>
  </si>
  <si>
    <t>DEGORT´S CHEMICAL, S.A. DE C.V.</t>
  </si>
  <si>
    <t>78564</t>
  </si>
  <si>
    <t>Metoclopramida 10mg/2mL</t>
  </si>
  <si>
    <t>R22G61</t>
  </si>
  <si>
    <t>173M94</t>
  </si>
  <si>
    <t>J01DC04</t>
  </si>
  <si>
    <t>cefaclor</t>
  </si>
  <si>
    <t>Cefaclor 250mg</t>
  </si>
  <si>
    <t>Fasiclor</t>
  </si>
  <si>
    <t>226525</t>
  </si>
  <si>
    <t>238M2004</t>
  </si>
  <si>
    <t>Ácido acetilsalicílico 500mg</t>
  </si>
  <si>
    <t>Midolen</t>
  </si>
  <si>
    <t>2272</t>
  </si>
  <si>
    <t>Degort´s Chemical, S. A. de C. V.</t>
  </si>
  <si>
    <t>002M92</t>
  </si>
  <si>
    <t>R05CB02</t>
  </si>
  <si>
    <t>bromhexine</t>
  </si>
  <si>
    <t>Bromhexina 160mg</t>
  </si>
  <si>
    <t>Normoflex</t>
  </si>
  <si>
    <t>204Z</t>
  </si>
  <si>
    <t>303M2000</t>
  </si>
  <si>
    <t>Cetrizina 100mg/100ml</t>
  </si>
  <si>
    <t>Retirix</t>
  </si>
  <si>
    <t>LH2240</t>
  </si>
  <si>
    <t>092M2014</t>
  </si>
  <si>
    <t>SUCRALFATO 1 G</t>
  </si>
  <si>
    <t>ALIVOATO</t>
  </si>
  <si>
    <t>2H334</t>
  </si>
  <si>
    <t>INDUSTRIAS SUANCA</t>
  </si>
  <si>
    <t>187M2015</t>
  </si>
  <si>
    <t>CISAPRIDA 1 MG/ML</t>
  </si>
  <si>
    <t>UNAMOL</t>
  </si>
  <si>
    <t>S2F495</t>
  </si>
  <si>
    <t>023M90</t>
  </si>
  <si>
    <t>ACIDO URSODEOXICOLICO 250 MG</t>
  </si>
  <si>
    <t>B50552</t>
  </si>
  <si>
    <t>340M2015</t>
  </si>
  <si>
    <t>METFORMINA 850  MG</t>
  </si>
  <si>
    <t>U22G634</t>
  </si>
  <si>
    <t>A11EA</t>
  </si>
  <si>
    <t>Vitamin B-complex, plain</t>
  </si>
  <si>
    <t>TIAMINA 100 MG, PIRIDOXINA 5 MG, CIANOCOBALAMINA 0.05 MG</t>
  </si>
  <si>
    <t>CB22001A</t>
  </si>
  <si>
    <t>SYDENHAM</t>
  </si>
  <si>
    <t>235M2019</t>
  </si>
  <si>
    <t>L01BC06</t>
  </si>
  <si>
    <t>capecitabine</t>
  </si>
  <si>
    <t>CAPECITABINA 500 MG</t>
  </si>
  <si>
    <t>PLEXODA</t>
  </si>
  <si>
    <t>01210071</t>
  </si>
  <si>
    <t>FARMABIOT</t>
  </si>
  <si>
    <t>311M2016</t>
  </si>
  <si>
    <t>PIROXICAM, 20 MG</t>
  </si>
  <si>
    <t>03282</t>
  </si>
  <si>
    <t>N06B</t>
  </si>
  <si>
    <t>PSYCHOSTIMULANTS, AGENTS USED FOR ADHD AND NOOTROPICS</t>
  </si>
  <si>
    <t>FLUOXETINA 20 MG</t>
  </si>
  <si>
    <t>0822855</t>
  </si>
  <si>
    <t>166M2019</t>
  </si>
  <si>
    <t>S01EC03</t>
  </si>
  <si>
    <t>dorzolamide</t>
  </si>
  <si>
    <t>DORZOLAMIDA 20 MG/ML</t>
  </si>
  <si>
    <t>22141728</t>
  </si>
  <si>
    <t>PRODUCTOS FARMACEUTICOS COLLINS</t>
  </si>
  <si>
    <t>340 ml</t>
  </si>
  <si>
    <t>Libeny</t>
  </si>
  <si>
    <t>Y255039</t>
  </si>
  <si>
    <t>Nucitec SA de CV</t>
  </si>
  <si>
    <t>037V2002</t>
  </si>
  <si>
    <t>0.5 mg</t>
  </si>
  <si>
    <t>Adrecort</t>
  </si>
  <si>
    <t>22021003</t>
  </si>
  <si>
    <t>Allen laboratorios</t>
  </si>
  <si>
    <t>5 g / 100 ml</t>
  </si>
  <si>
    <t>Farlin</t>
  </si>
  <si>
    <t>9D359</t>
  </si>
  <si>
    <t>Farmacos continentales</t>
  </si>
  <si>
    <t>081M2003</t>
  </si>
  <si>
    <t>SF22164</t>
  </si>
  <si>
    <t>Solara, SA de CV</t>
  </si>
  <si>
    <t>333M2023</t>
  </si>
  <si>
    <t>U19M220</t>
  </si>
  <si>
    <t>MAR/21</t>
  </si>
  <si>
    <t>275M2018</t>
  </si>
  <si>
    <t>normavon</t>
  </si>
  <si>
    <t>solución</t>
  </si>
  <si>
    <t>IM</t>
  </si>
  <si>
    <t>10723</t>
  </si>
  <si>
    <t>Laboratprios cryofarma SA de CV</t>
  </si>
  <si>
    <t>190M85</t>
  </si>
  <si>
    <t>A06AB06 </t>
  </si>
  <si>
    <t>senna glycosides </t>
  </si>
  <si>
    <t>8.6 mg</t>
  </si>
  <si>
    <t>540102</t>
  </si>
  <si>
    <t>HOVAG INFANCIA SA de CV</t>
  </si>
  <si>
    <t>410M2016</t>
  </si>
  <si>
    <t>A07EC02 </t>
  </si>
  <si>
    <t>mesalazine </t>
  </si>
  <si>
    <t>pentasa</t>
  </si>
  <si>
    <t>N17519A</t>
  </si>
  <si>
    <t>Ferring International Center Sa</t>
  </si>
  <si>
    <t>suiza</t>
  </si>
  <si>
    <t>063M98</t>
  </si>
  <si>
    <t>PIRMCT-002</t>
  </si>
  <si>
    <t>Universidad Autónoma de Guadalajara, Campus Villahermosa</t>
  </si>
  <si>
    <t>C09AA02 </t>
  </si>
  <si>
    <t>enalapril </t>
  </si>
  <si>
    <t>1EB069A</t>
  </si>
  <si>
    <t>182M2003</t>
  </si>
  <si>
    <t>D06AX02</t>
  </si>
  <si>
    <t>5 mg</t>
  </si>
  <si>
    <t>Oftalmico</t>
  </si>
  <si>
    <t>X200992</t>
  </si>
  <si>
    <t>Laboratorios Grin</t>
  </si>
  <si>
    <t>86845</t>
  </si>
  <si>
    <t>G01AF02</t>
  </si>
  <si>
    <t>clotrimazole</t>
  </si>
  <si>
    <t>2 g / 100 mg</t>
  </si>
  <si>
    <t>Sognohsin</t>
  </si>
  <si>
    <t>1810148</t>
  </si>
  <si>
    <t>Laboratorios Best SA</t>
  </si>
  <si>
    <t>214M2006</t>
  </si>
  <si>
    <t>J01CR03</t>
  </si>
  <si>
    <t>ticarcillin and beta-lactamase inhibitor</t>
  </si>
  <si>
    <t>875 mg / 125 mg</t>
  </si>
  <si>
    <t>ROEMMERS SAICF</t>
  </si>
  <si>
    <t>macrofurin</t>
  </si>
  <si>
    <t>cápsulas</t>
  </si>
  <si>
    <t>0G1221</t>
  </si>
  <si>
    <t>Mavi farmaceutica SA de CV</t>
  </si>
  <si>
    <t>64168</t>
  </si>
  <si>
    <t>Indocid</t>
  </si>
  <si>
    <t>cápsula</t>
  </si>
  <si>
    <t>A897416</t>
  </si>
  <si>
    <t>Aspen Port Elizabeth (PTY) Ltd</t>
  </si>
  <si>
    <t>Sudáfrica</t>
  </si>
  <si>
    <t>61533</t>
  </si>
  <si>
    <t>955FDS</t>
  </si>
  <si>
    <t>N02BG</t>
  </si>
  <si>
    <t>Other analgesics and antipyretics</t>
  </si>
  <si>
    <t>Cloxinato de lisina 250mg</t>
  </si>
  <si>
    <t>Lonixer</t>
  </si>
  <si>
    <t>211952</t>
  </si>
  <si>
    <t>SERRAL, S.A. DE C.V.</t>
  </si>
  <si>
    <t>305M98</t>
  </si>
  <si>
    <t>Benzonato 100mg</t>
  </si>
  <si>
    <t>220579</t>
  </si>
  <si>
    <t>Gelpharma, S.A. de C.V.</t>
  </si>
  <si>
    <t>SH21241</t>
  </si>
  <si>
    <t>Solara SA de CV</t>
  </si>
  <si>
    <t>333M2003</t>
  </si>
  <si>
    <t>TRIMEBUTINA 2G</t>
  </si>
  <si>
    <t>ESPABION</t>
  </si>
  <si>
    <t>725V</t>
  </si>
  <si>
    <t>DEGORT´S CHEMICAL</t>
  </si>
  <si>
    <t>105M95</t>
  </si>
  <si>
    <t>A10BD13 </t>
  </si>
  <si>
    <t>metformin and alogliptin </t>
  </si>
  <si>
    <t>Alogliptina, Metformina [12.5mg/850mg]</t>
  </si>
  <si>
    <t>Incresina Duo</t>
  </si>
  <si>
    <t>12409448</t>
  </si>
  <si>
    <t>Takeda GmbH</t>
  </si>
  <si>
    <t>269M2014</t>
  </si>
  <si>
    <t>A10BH04 </t>
  </si>
  <si>
    <t>alogliptin </t>
  </si>
  <si>
    <t>Alogliptina 25mg</t>
  </si>
  <si>
    <t>Incresina</t>
  </si>
  <si>
    <t>12393307</t>
  </si>
  <si>
    <t>Takeda Pharmaceutical Company Limited.</t>
  </si>
  <si>
    <t>163M2012</t>
  </si>
  <si>
    <t>B03BB51 </t>
  </si>
  <si>
    <t>folic acid, combinations</t>
  </si>
  <si>
    <t>Ciprofibrato 100mg</t>
  </si>
  <si>
    <t>Foetran</t>
  </si>
  <si>
    <t>U22U385</t>
  </si>
  <si>
    <t>053M2019</t>
  </si>
  <si>
    <t>C03CA02 </t>
  </si>
  <si>
    <t>bumetanide </t>
  </si>
  <si>
    <t>Bumetadina 1mg</t>
  </si>
  <si>
    <t>Miccil</t>
  </si>
  <si>
    <t>S2H734</t>
  </si>
  <si>
    <t>Laboratorios Senosiain S. A. de C. V.</t>
  </si>
  <si>
    <t>86174</t>
  </si>
  <si>
    <t>0634D22B</t>
  </si>
  <si>
    <t>PROTEIN</t>
  </si>
  <si>
    <t>308M2015</t>
  </si>
  <si>
    <t>C08CA01 </t>
  </si>
  <si>
    <t>amlodipine </t>
  </si>
  <si>
    <t>Amlodipino 5mg</t>
  </si>
  <si>
    <t>Norvas</t>
  </si>
  <si>
    <t>GN2923</t>
  </si>
  <si>
    <t>Pfizer, S.A. de C.V.</t>
  </si>
  <si>
    <t>108M90</t>
  </si>
  <si>
    <t>C09BB02 </t>
  </si>
  <si>
    <t>enalapril and lercanidipine </t>
  </si>
  <si>
    <t>20mg/10mg</t>
  </si>
  <si>
    <t>Zanidual</t>
  </si>
  <si>
    <t>CE2F05</t>
  </si>
  <si>
    <t>Recordati Industria Chimica e Farmaceutica</t>
  </si>
  <si>
    <t>327M2015</t>
  </si>
  <si>
    <t>7mg/5mg</t>
  </si>
  <si>
    <t>VIALIBGRAM</t>
  </si>
  <si>
    <t>323523</t>
  </si>
  <si>
    <t>80mg/125mg</t>
  </si>
  <si>
    <t>OKSEN</t>
  </si>
  <si>
    <t>S2H782</t>
  </si>
  <si>
    <t>Senosiain</t>
  </si>
  <si>
    <t>052M2015</t>
  </si>
  <si>
    <t>S2J954</t>
  </si>
  <si>
    <t>ATORVASTATINA 40 MG</t>
  </si>
  <si>
    <t>ETURION</t>
  </si>
  <si>
    <t>FRS8997</t>
  </si>
  <si>
    <t>1295M2009</t>
  </si>
  <si>
    <t>D01A</t>
  </si>
  <si>
    <t>ANTIFUNGALS FOR TOPICAL USE</t>
  </si>
  <si>
    <t>BETAMETASONA 50 MG, CLOTRIMAZOL 1G, GENTAMICINA 0.1 G</t>
  </si>
  <si>
    <t>BARMICIL</t>
  </si>
  <si>
    <t>22030745</t>
  </si>
  <si>
    <t>LABORATORIO QUIMICA SON´S</t>
  </si>
  <si>
    <t>341M96</t>
  </si>
  <si>
    <t>D07AC01</t>
  </si>
  <si>
    <t>betamethasone</t>
  </si>
  <si>
    <t>BETAMETASONA 8MG</t>
  </si>
  <si>
    <t>CELESBITAN</t>
  </si>
  <si>
    <t>1122043</t>
  </si>
  <si>
    <t>BRULUART</t>
  </si>
  <si>
    <t>012M2007</t>
  </si>
  <si>
    <t>G01BA</t>
  </si>
  <si>
    <t>Antibiotics and corticosteroids</t>
  </si>
  <si>
    <t>ACETONIDO DE FLUOCINOLONA 0.50MG, METRONIDAZOL 500MG, NISTATINA 100000UI</t>
  </si>
  <si>
    <t>VAGITROL-V</t>
  </si>
  <si>
    <t>OVULOS</t>
  </si>
  <si>
    <t>VAGINAL</t>
  </si>
  <si>
    <t>XB30RD3A</t>
  </si>
  <si>
    <t>89312</t>
  </si>
  <si>
    <t>CLARITROMICINA 250 MG</t>
  </si>
  <si>
    <t>KROBICIN</t>
  </si>
  <si>
    <t>4A0179</t>
  </si>
  <si>
    <t>207M2001</t>
  </si>
  <si>
    <t>MELOXICAM 7.5MG, METOCRBAMOL 215 MG</t>
  </si>
  <si>
    <t>224709</t>
  </si>
  <si>
    <t>IBUPROFENO 2G</t>
  </si>
  <si>
    <t>DOLPRIN</t>
  </si>
  <si>
    <t>24140689</t>
  </si>
  <si>
    <t>COLLINS</t>
  </si>
  <si>
    <t>371M99</t>
  </si>
  <si>
    <t>IBUPROGENO 2G</t>
  </si>
  <si>
    <t>BESTAFEN</t>
  </si>
  <si>
    <t>2401164</t>
  </si>
  <si>
    <t>BEST</t>
  </si>
  <si>
    <t>161M2007</t>
  </si>
  <si>
    <t>ANALGESICS</t>
  </si>
  <si>
    <t>FENILEFRINA 33.33MG, LORATADINA 16MG, PARACETAMOL 3G</t>
  </si>
  <si>
    <t>H11028</t>
  </si>
  <si>
    <t>LIOMONT</t>
  </si>
  <si>
    <t>560M2004</t>
  </si>
  <si>
    <t>PARACETAMOL 3.2MG</t>
  </si>
  <si>
    <t>22082868</t>
  </si>
  <si>
    <t>QUIMICA SON´S</t>
  </si>
  <si>
    <t>550M97</t>
  </si>
  <si>
    <t>PARACETAMOL 3.2 G</t>
  </si>
  <si>
    <t>TEMPRA</t>
  </si>
  <si>
    <t>ABB1599</t>
  </si>
  <si>
    <t>OCT/26</t>
  </si>
  <si>
    <t>RB SALUTE</t>
  </si>
  <si>
    <t>ALBENDAZOL 2G</t>
  </si>
  <si>
    <t>220157</t>
  </si>
  <si>
    <t>R01AD05</t>
  </si>
  <si>
    <t>BUDESONIDA 0.125 MG</t>
  </si>
  <si>
    <t>INHALACION</t>
  </si>
  <si>
    <t>EAHZ</t>
  </si>
  <si>
    <t>ASTRAZENECA</t>
  </si>
  <si>
    <t>SUECIA</t>
  </si>
  <si>
    <t>SALBUTAMOL 2MG, AMBROXOL 7.5 MG</t>
  </si>
  <si>
    <t>LA2418</t>
  </si>
  <si>
    <t>BIOMNEP</t>
  </si>
  <si>
    <t>MONTELUKAST 4 MG</t>
  </si>
  <si>
    <t>VALTROVER G</t>
  </si>
  <si>
    <t>GRANULADO</t>
  </si>
  <si>
    <t>240314</t>
  </si>
  <si>
    <t>102M2012</t>
  </si>
  <si>
    <t>LORATADINA 100 MG</t>
  </si>
  <si>
    <t>LARITOL</t>
  </si>
  <si>
    <t>238043</t>
  </si>
  <si>
    <t>454M2000</t>
  </si>
  <si>
    <t>Luvik</t>
  </si>
  <si>
    <t>00028</t>
  </si>
  <si>
    <t>Roemmers SAICF</t>
  </si>
  <si>
    <t>510M2016</t>
  </si>
  <si>
    <t>A10BK03 </t>
  </si>
  <si>
    <t>empagliflozin </t>
  </si>
  <si>
    <t>Jardianz</t>
  </si>
  <si>
    <t>F13290</t>
  </si>
  <si>
    <t>Boehring Ingelhiem Promeco</t>
  </si>
  <si>
    <t>212M2014</t>
  </si>
  <si>
    <t>5mg</t>
  </si>
  <si>
    <t>Elicuis</t>
  </si>
  <si>
    <t>Bristol-Myers Squibb Manufacturing Company</t>
  </si>
  <si>
    <t>Puerto Rico</t>
  </si>
  <si>
    <t>C01BA03 </t>
  </si>
  <si>
    <t>disopyramide </t>
  </si>
  <si>
    <t>Dimodan</t>
  </si>
  <si>
    <t>705LZ035B</t>
  </si>
  <si>
    <t>GRIMAMN SA de CV</t>
  </si>
  <si>
    <t>75550</t>
  </si>
  <si>
    <t>705FZ032B</t>
  </si>
  <si>
    <t>Grimann, SA de CV</t>
  </si>
  <si>
    <t>Isorbid</t>
  </si>
  <si>
    <t>21080128</t>
  </si>
  <si>
    <t>79395</t>
  </si>
  <si>
    <t>C01DA14 </t>
  </si>
  <si>
    <t>isosorbide mononitrate </t>
  </si>
  <si>
    <t>Isorbid AP</t>
  </si>
  <si>
    <t>22070012</t>
  </si>
  <si>
    <t>Osmopharm SA</t>
  </si>
  <si>
    <t>C03DA05 </t>
  </si>
  <si>
    <t>finerenone </t>
  </si>
  <si>
    <t>Firialta</t>
  </si>
  <si>
    <t>BXJZC61</t>
  </si>
  <si>
    <t>Bayer AG</t>
  </si>
  <si>
    <t>193M2022</t>
  </si>
  <si>
    <t>450mg/50mg</t>
  </si>
  <si>
    <t>Mutirot</t>
  </si>
  <si>
    <t>U22D318</t>
  </si>
  <si>
    <t>Laboratoeios PiSa SA de CV</t>
  </si>
  <si>
    <t>335M2017</t>
  </si>
  <si>
    <t>Diosmina 900mg /Hesperedina 100mg</t>
  </si>
  <si>
    <t>elatec</t>
  </si>
  <si>
    <t>S700115</t>
  </si>
  <si>
    <t>Laboratoire Unither</t>
  </si>
  <si>
    <t>485M2016</t>
  </si>
  <si>
    <t>C07AB07 </t>
  </si>
  <si>
    <t>bisoprolol </t>
  </si>
  <si>
    <t>1.25 mg</t>
  </si>
  <si>
    <t>Sig</t>
  </si>
  <si>
    <t>222161</t>
  </si>
  <si>
    <t>SIEGFRIED RHEIN SA de CV</t>
  </si>
  <si>
    <t>433M2014</t>
  </si>
  <si>
    <t>C08CA13 </t>
  </si>
  <si>
    <t>lercanidipine </t>
  </si>
  <si>
    <t>Lercanidipino/10 mg</t>
  </si>
  <si>
    <t>Zanidip</t>
  </si>
  <si>
    <t>314KZ435A</t>
  </si>
  <si>
    <t>Grimann, S.A. de C.V.</t>
  </si>
  <si>
    <t>135M2002</t>
  </si>
  <si>
    <t>300 mg</t>
  </si>
  <si>
    <t>Angiotrofin Retard</t>
  </si>
  <si>
    <t>22050106</t>
  </si>
  <si>
    <t>México}</t>
  </si>
  <si>
    <t>020M92</t>
  </si>
  <si>
    <t>Diltiazem 120mg</t>
  </si>
  <si>
    <t>ANGIOTROFIN</t>
  </si>
  <si>
    <t>21060088</t>
  </si>
  <si>
    <t>ARMSTRONG LABORATORIOS DE MEXICO, S.A DE C.V.</t>
  </si>
  <si>
    <t>383M2016</t>
  </si>
  <si>
    <t>C08GA02 </t>
  </si>
  <si>
    <t>amlodipine and diuretics </t>
  </si>
  <si>
    <t>NEXUS H</t>
  </si>
  <si>
    <t>S2J035</t>
  </si>
  <si>
    <t>Laboratorios Senosian</t>
  </si>
  <si>
    <t>049M2018</t>
  </si>
  <si>
    <t>Enalapril 5mg</t>
  </si>
  <si>
    <t>Glioten</t>
  </si>
  <si>
    <t>22050103</t>
  </si>
  <si>
    <t>ARMSTRONG LABORATORIOS DE MEXICO, S.A. DE C.V.</t>
  </si>
  <si>
    <t>279M87</t>
  </si>
  <si>
    <t>C09BA02 </t>
  </si>
  <si>
    <t>enalapril and diuretics </t>
  </si>
  <si>
    <t>10mg/25mg</t>
  </si>
  <si>
    <t>Gliotenzide</t>
  </si>
  <si>
    <t>22020086</t>
  </si>
  <si>
    <t>138M93</t>
  </si>
  <si>
    <t>Perindropil 3.5mg/ Amlodipino 2.5mg</t>
  </si>
  <si>
    <t>Vialibram</t>
  </si>
  <si>
    <t>692551</t>
  </si>
  <si>
    <t>Servier (Ireland) Industries Limited.</t>
  </si>
  <si>
    <t>C09BX01 </t>
  </si>
  <si>
    <t>perindopril, amlodipine and indapamide </t>
  </si>
  <si>
    <t>Perindopril 10mg/ Indapamida 2.5mg/ Amlodipino 5mg</t>
  </si>
  <si>
    <t>TRIPLIXAM</t>
  </si>
  <si>
    <t>703695</t>
  </si>
  <si>
    <t>Servier (Ireland) Industries Ltd.</t>
  </si>
  <si>
    <t>101M2017</t>
  </si>
  <si>
    <t>C09DB05 </t>
  </si>
  <si>
    <t>irbesartan and amlodipine </t>
  </si>
  <si>
    <t>Ibesartán 300mg/ Amlodipino 10mg</t>
  </si>
  <si>
    <t>APROVASC</t>
  </si>
  <si>
    <t>CNXB004</t>
  </si>
  <si>
    <t>180M2011</t>
  </si>
  <si>
    <t>C09DB06 </t>
  </si>
  <si>
    <t>losartan and amlodipine </t>
  </si>
  <si>
    <t>5mg/100mg</t>
  </si>
  <si>
    <t>Bicartial</t>
  </si>
  <si>
    <t>2206451</t>
  </si>
  <si>
    <t>Laboratorios Salines Sa de CV</t>
  </si>
  <si>
    <t>071M2009</t>
  </si>
  <si>
    <t>C09DB09 </t>
  </si>
  <si>
    <t>fimasartan and amlodipine</t>
  </si>
  <si>
    <t>60mg/5mg</t>
  </si>
  <si>
    <t>ARAHKOR.DUO</t>
  </si>
  <si>
    <t>B00103</t>
  </si>
  <si>
    <t>Boryung Pharmaceutical Co., Ltd.</t>
  </si>
  <si>
    <t>Republica de Corea</t>
  </si>
  <si>
    <t>072M2019</t>
  </si>
  <si>
    <t>C10BA05 </t>
  </si>
  <si>
    <t>atorvastatin and ezetimibe </t>
  </si>
  <si>
    <t>10mg/20mg</t>
  </si>
  <si>
    <t>Atozet</t>
  </si>
  <si>
    <t>X011787</t>
  </si>
  <si>
    <t>MSD International GmbH LLC</t>
  </si>
  <si>
    <t>022M2017</t>
  </si>
  <si>
    <t>Aceltiseína 600mg</t>
  </si>
  <si>
    <t>Lysomucil</t>
  </si>
  <si>
    <t>385477</t>
  </si>
  <si>
    <t>Zambon Switzerland Ltd</t>
  </si>
  <si>
    <t>506M99</t>
  </si>
  <si>
    <t>A01AD05 </t>
  </si>
  <si>
    <t>acetylsalicylic acid </t>
  </si>
  <si>
    <t>100mg</t>
  </si>
  <si>
    <t>Ácido Acetilsalicílico</t>
  </si>
  <si>
    <t>OHN393A</t>
  </si>
  <si>
    <t>HIDROXIDO DE ALUMINIO 200MG, HIDROXIDO DE MG 200MG, DIMETICONA 20MG</t>
  </si>
  <si>
    <t>PLUSGEL</t>
  </si>
  <si>
    <t>22140596</t>
  </si>
  <si>
    <t>82520</t>
  </si>
  <si>
    <t>SENOSIDOS A-B 8.6MG</t>
  </si>
  <si>
    <t>202092</t>
  </si>
  <si>
    <t>LABORATORIOS SCHOEN</t>
  </si>
  <si>
    <t>254M2018</t>
  </si>
  <si>
    <t>A07AA51 </t>
  </si>
  <si>
    <t>neomycin, combinations </t>
  </si>
  <si>
    <t>NEOMICINA 129 MG,</t>
  </si>
  <si>
    <t>KAOPECTATE</t>
  </si>
  <si>
    <t>B60039</t>
  </si>
  <si>
    <t>154M2015</t>
  </si>
  <si>
    <t>LOPERAMIDA 2MG</t>
  </si>
  <si>
    <t>221842</t>
  </si>
  <si>
    <t>281M97</t>
  </si>
  <si>
    <t>LORABEST</t>
  </si>
  <si>
    <t>2209131</t>
  </si>
  <si>
    <t>LABORATORIOS BEST</t>
  </si>
  <si>
    <t>243M92</t>
  </si>
  <si>
    <t>850mg</t>
  </si>
  <si>
    <t>03096</t>
  </si>
  <si>
    <t>Bioreserch</t>
  </si>
  <si>
    <t>015M2016</t>
  </si>
  <si>
    <t>24672</t>
  </si>
  <si>
    <t>Novag Infancia SA de CV</t>
  </si>
  <si>
    <t>45mg</t>
  </si>
  <si>
    <t>Zactos</t>
  </si>
  <si>
    <t>D217708</t>
  </si>
  <si>
    <t>Tokeda Pharmaceutical Company Limited</t>
  </si>
  <si>
    <t>Jabon</t>
  </si>
  <si>
    <t>081M2000</t>
  </si>
  <si>
    <t>A12AA06 </t>
  </si>
  <si>
    <t>calcium lactate gluconate </t>
  </si>
  <si>
    <t>GLUCONOLACTATO DE CALCIO 380 MG</t>
  </si>
  <si>
    <t>VAN-CAL</t>
  </si>
  <si>
    <t>AG284J22</t>
  </si>
  <si>
    <t>LABORATORIOS VANQUISH</t>
  </si>
  <si>
    <t>001V2019</t>
  </si>
  <si>
    <t>B03AA07 </t>
  </si>
  <si>
    <t>ferrous sulfate </t>
  </si>
  <si>
    <t>60.27mg</t>
  </si>
  <si>
    <t>04829</t>
  </si>
  <si>
    <t>Bioreserch SA de CV</t>
  </si>
  <si>
    <t>216M93</t>
  </si>
  <si>
    <t>400mg</t>
  </si>
  <si>
    <t>108819</t>
  </si>
  <si>
    <t>Bruluagsa SA de CV</t>
  </si>
  <si>
    <t>005V2001</t>
  </si>
  <si>
    <t>1mg</t>
  </si>
  <si>
    <t>0422875</t>
  </si>
  <si>
    <t>Neolpharma SA de CV</t>
  </si>
  <si>
    <t>179M2020</t>
  </si>
  <si>
    <t>Prabioquim</t>
  </si>
  <si>
    <t>21G146</t>
  </si>
  <si>
    <t>Laboratorios bioquímicos mexic</t>
  </si>
  <si>
    <t>235M92</t>
  </si>
  <si>
    <t>25mg</t>
  </si>
  <si>
    <t>Diziver</t>
  </si>
  <si>
    <t>226712</t>
  </si>
  <si>
    <t>276M2017</t>
  </si>
  <si>
    <t>C03CA01 </t>
  </si>
  <si>
    <t>furosemide </t>
  </si>
  <si>
    <t>40mg</t>
  </si>
  <si>
    <t>1221825</t>
  </si>
  <si>
    <t>015M2019</t>
  </si>
  <si>
    <t>0322549</t>
  </si>
  <si>
    <t>Neolpharma Sa de CV</t>
  </si>
  <si>
    <t>C10AA07 </t>
  </si>
  <si>
    <t>rosuvastatin </t>
  </si>
  <si>
    <t>ROSUVASTATINA 10 MG</t>
  </si>
  <si>
    <t>CRESTOR</t>
  </si>
  <si>
    <t>77639</t>
  </si>
  <si>
    <t>IPR PHARMACEUTICALS</t>
  </si>
  <si>
    <t>177M2003</t>
  </si>
  <si>
    <t>40 ml</t>
  </si>
  <si>
    <t>Mertodol</t>
  </si>
  <si>
    <t>Topico</t>
  </si>
  <si>
    <t>1137925</t>
  </si>
  <si>
    <t>Laboratorios jaloma</t>
  </si>
  <si>
    <t>0500C95</t>
  </si>
  <si>
    <t>G02CC02</t>
  </si>
  <si>
    <t>550mg</t>
  </si>
  <si>
    <t>2108050</t>
  </si>
  <si>
    <t>551M99</t>
  </si>
  <si>
    <t>H02AB01</t>
  </si>
  <si>
    <t>8mg/2mL</t>
  </si>
  <si>
    <t>Betametasona</t>
  </si>
  <si>
    <t>Intramuslcular/Intravenosa</t>
  </si>
  <si>
    <t>221174</t>
  </si>
  <si>
    <t>440M2003</t>
  </si>
  <si>
    <t>H02AB04</t>
  </si>
  <si>
    <t>methylprednisolone</t>
  </si>
  <si>
    <t>METILPREDNISONA 40MG</t>
  </si>
  <si>
    <t>C22J612</t>
  </si>
  <si>
    <t>317M2005</t>
  </si>
  <si>
    <t>LEVOTIROXINA SODICA 50 MCG</t>
  </si>
  <si>
    <t>M14208</t>
  </si>
  <si>
    <t>M01492</t>
  </si>
  <si>
    <t>500mg</t>
  </si>
  <si>
    <t>Gramaxin</t>
  </si>
  <si>
    <t>00422200</t>
  </si>
  <si>
    <t>Antibióticos de México</t>
  </si>
  <si>
    <t>178M2005</t>
  </si>
  <si>
    <t>J01CE</t>
  </si>
  <si>
    <t>Beta-lactamase sensitive penicillins</t>
  </si>
  <si>
    <t>800.000 UI</t>
  </si>
  <si>
    <t>intramuscular</t>
  </si>
  <si>
    <t>119A896</t>
  </si>
  <si>
    <t>ENE/22</t>
  </si>
  <si>
    <t>Laboratorios PISA</t>
  </si>
  <si>
    <t>35148</t>
  </si>
  <si>
    <t>J01FA10</t>
  </si>
  <si>
    <t>azithromycin</t>
  </si>
  <si>
    <t>AZIBIOT</t>
  </si>
  <si>
    <t>2BO445</t>
  </si>
  <si>
    <t>MAVI FRMACÉUTICA</t>
  </si>
  <si>
    <t>350M2002</t>
  </si>
  <si>
    <t>Macrozit</t>
  </si>
  <si>
    <t>A06091</t>
  </si>
  <si>
    <t>Laboratorios liomont SA de CV</t>
  </si>
  <si>
    <t>015M2001</t>
  </si>
  <si>
    <t>J01FF01</t>
  </si>
  <si>
    <t>clindamycin</t>
  </si>
  <si>
    <t>CLINDAMICINA 1G</t>
  </si>
  <si>
    <t>PERIPLUM</t>
  </si>
  <si>
    <t>D1809773</t>
  </si>
  <si>
    <t>SEP/20</t>
  </si>
  <si>
    <t>PRODUCTOS CIENTIFICOS</t>
  </si>
  <si>
    <t>085M2010</t>
  </si>
  <si>
    <t>Aciclovir</t>
  </si>
  <si>
    <t>2210054</t>
  </si>
  <si>
    <t>052M97</t>
  </si>
  <si>
    <t>L01BA01</t>
  </si>
  <si>
    <t>methotrexate</t>
  </si>
  <si>
    <t>2.5mg</t>
  </si>
  <si>
    <t>Ledertrexate</t>
  </si>
  <si>
    <t>2018060001</t>
  </si>
  <si>
    <t>Exella GmbH</t>
  </si>
  <si>
    <t>56216</t>
  </si>
  <si>
    <t>INDOMETACINA 100MG</t>
  </si>
  <si>
    <t>R2005385</t>
  </si>
  <si>
    <t>LABORATORIOS RUSSEK</t>
  </si>
  <si>
    <t>566M2002</t>
  </si>
  <si>
    <t>10423</t>
  </si>
  <si>
    <t>Bioreserch Sa de CV</t>
  </si>
  <si>
    <t>0922106</t>
  </si>
  <si>
    <t>NEOLPHARMA SA de CV</t>
  </si>
  <si>
    <t>0.5%</t>
  </si>
  <si>
    <t>22072460</t>
  </si>
  <si>
    <t>Laboratorios Quimica Son's</t>
  </si>
  <si>
    <t>15mg</t>
  </si>
  <si>
    <t>Mavicam</t>
  </si>
  <si>
    <t>2E0925</t>
  </si>
  <si>
    <t>Mavi Farmaceutica SA de CV</t>
  </si>
  <si>
    <t>505M2000</t>
  </si>
  <si>
    <t>MAVICAM</t>
  </si>
  <si>
    <t>2A0040</t>
  </si>
  <si>
    <t>600mg</t>
  </si>
  <si>
    <t>212062</t>
  </si>
  <si>
    <t>Bixen</t>
  </si>
  <si>
    <t>SA2203</t>
  </si>
  <si>
    <t>Biomep</t>
  </si>
  <si>
    <t>026M96</t>
  </si>
  <si>
    <t>200mg</t>
  </si>
  <si>
    <t>Cpasuls</t>
  </si>
  <si>
    <t>2FN188B</t>
  </si>
  <si>
    <t>Ultra laboratorios SA de CV</t>
  </si>
  <si>
    <t>289M2016</t>
  </si>
  <si>
    <t>PIROXICAM 0.5G</t>
  </si>
  <si>
    <t>DOLZYCAM</t>
  </si>
  <si>
    <t>207424</t>
  </si>
  <si>
    <t>212395</t>
  </si>
  <si>
    <t>7.5mg/215mg</t>
  </si>
  <si>
    <t>capsulas</t>
  </si>
  <si>
    <t>226445</t>
  </si>
  <si>
    <t>650mg</t>
  </si>
  <si>
    <t>21L643</t>
  </si>
  <si>
    <t>QUÍMICA Y FARMACIA</t>
  </si>
  <si>
    <t>039M2017</t>
  </si>
  <si>
    <t>22J678</t>
  </si>
  <si>
    <t>QUIMICA Y FARMACIA</t>
  </si>
  <si>
    <t>PARACETAMOL 250MG</t>
  </si>
  <si>
    <t>TABCIN NOCHE</t>
  </si>
  <si>
    <t>723SFK</t>
  </si>
  <si>
    <t>NOV/20</t>
  </si>
  <si>
    <t>BERLIMED</t>
  </si>
  <si>
    <t>ESPAÑA</t>
  </si>
  <si>
    <t>486M2000</t>
  </si>
  <si>
    <t>PARACETAMOL 500MG</t>
  </si>
  <si>
    <t>PORTEM</t>
  </si>
  <si>
    <t>106507</t>
  </si>
  <si>
    <t>89994</t>
  </si>
  <si>
    <t>Portem</t>
  </si>
  <si>
    <t>IM Bruluat</t>
  </si>
  <si>
    <t>75mg</t>
  </si>
  <si>
    <t>U22A447</t>
  </si>
  <si>
    <t>AMSA</t>
  </si>
  <si>
    <t>150mg</t>
  </si>
  <si>
    <t>Bipalver</t>
  </si>
  <si>
    <t>221470</t>
  </si>
  <si>
    <t>214M2014</t>
  </si>
  <si>
    <t>N04BB01</t>
  </si>
  <si>
    <t>amantadine</t>
  </si>
  <si>
    <t>50mg</t>
  </si>
  <si>
    <t>2FN338A</t>
  </si>
  <si>
    <t>092M2019</t>
  </si>
  <si>
    <t>AMBROXOL 0.150G, TEOFILINA 0.700G</t>
  </si>
  <si>
    <t>AMINOefedrison</t>
  </si>
  <si>
    <t>jarabe</t>
  </si>
  <si>
    <t>211395</t>
  </si>
  <si>
    <t>85911NF</t>
  </si>
  <si>
    <t>30mg</t>
  </si>
  <si>
    <t>Comprimdos</t>
  </si>
  <si>
    <t>SA2229</t>
  </si>
  <si>
    <t>BIOMEP</t>
  </si>
  <si>
    <t>PROGELBEN</t>
  </si>
  <si>
    <t>P291</t>
  </si>
  <si>
    <t>CLOFENAMINA 50MG</t>
  </si>
  <si>
    <t>CRONAL</t>
  </si>
  <si>
    <t>220114</t>
  </si>
  <si>
    <t>LABORATORIOS VALDECASAS</t>
  </si>
  <si>
    <t>832227</t>
  </si>
  <si>
    <t>4mg</t>
  </si>
  <si>
    <t>DOCSI</t>
  </si>
  <si>
    <t>SI2229</t>
  </si>
  <si>
    <t>BIOMEP SA de CV</t>
  </si>
  <si>
    <t>250M98</t>
  </si>
  <si>
    <t>HIALURO D SODIO 4MG</t>
  </si>
  <si>
    <t>LAGRICEL</t>
  </si>
  <si>
    <t>4023891</t>
  </si>
  <si>
    <t>LABORATORIOS SOPHIA</t>
  </si>
  <si>
    <t>2CM176A</t>
  </si>
  <si>
    <t>Ultra laboratoprios SA de CV</t>
  </si>
  <si>
    <t>0.25 ug</t>
  </si>
  <si>
    <t>ErcatrivM</t>
  </si>
  <si>
    <t>P414</t>
  </si>
  <si>
    <t>Progela SA de CV</t>
  </si>
  <si>
    <t>232M2019</t>
  </si>
  <si>
    <t>B03AC</t>
  </si>
  <si>
    <t>Iron, parenteral preparations</t>
  </si>
  <si>
    <t>100mg/5ml</t>
  </si>
  <si>
    <t>Venoferrum</t>
  </si>
  <si>
    <t>1242343</t>
  </si>
  <si>
    <t>Takeda GmbH Robert-Bosch-Str.</t>
  </si>
  <si>
    <t>65668</t>
  </si>
  <si>
    <t>0.05g/1g/0.1g</t>
  </si>
  <si>
    <t>Quadriderm NF</t>
  </si>
  <si>
    <t>Cutanea</t>
  </si>
  <si>
    <t>X010264</t>
  </si>
  <si>
    <t>Schering-Plough Labo NV</t>
  </si>
  <si>
    <t>Bélgica</t>
  </si>
  <si>
    <t>Premagol</t>
  </si>
  <si>
    <t>21148018</t>
  </si>
  <si>
    <t>Allen laboratorios SA de CV</t>
  </si>
  <si>
    <t>1 g</t>
  </si>
  <si>
    <t>J23J015</t>
  </si>
  <si>
    <t>Laboratios PiSA SA de CV</t>
  </si>
  <si>
    <t>168M93</t>
  </si>
  <si>
    <t>J01E</t>
  </si>
  <si>
    <t>SULFONAMIDES AND TRIMETHOPRIM</t>
  </si>
  <si>
    <t>160mg/800mg</t>
  </si>
  <si>
    <t>226019</t>
  </si>
  <si>
    <t>Quimica y farmcaia Sa de CV</t>
  </si>
  <si>
    <t>0310M79</t>
  </si>
  <si>
    <t>2g/100ml</t>
  </si>
  <si>
    <t>Bestafen</t>
  </si>
  <si>
    <t>2209079</t>
  </si>
  <si>
    <t>161m2007</t>
  </si>
  <si>
    <t>200 mg</t>
  </si>
  <si>
    <t>2FN081A</t>
  </si>
  <si>
    <t>Ultra laboratotios SA de CV</t>
  </si>
  <si>
    <t>BMXA065</t>
  </si>
  <si>
    <t>Sanofi Aventis de México SA de CV</t>
  </si>
  <si>
    <t>N06DX</t>
  </si>
  <si>
    <t>Other anti-dementia drugs</t>
  </si>
  <si>
    <t>215.2mg/1ml</t>
  </si>
  <si>
    <t>Renacenz</t>
  </si>
  <si>
    <t>D2MW1A</t>
  </si>
  <si>
    <t>EVER PhaRMA Jena GmbH</t>
  </si>
  <si>
    <t>526M2005</t>
  </si>
  <si>
    <t>A03A</t>
  </si>
  <si>
    <t>Drugs for functional gastrointestinal disorders</t>
  </si>
  <si>
    <t>1ml</t>
  </si>
  <si>
    <t>IV/IM</t>
  </si>
  <si>
    <t>2202162</t>
  </si>
  <si>
    <t>Psicofarma SA de CV</t>
  </si>
  <si>
    <t>157M2013</t>
  </si>
  <si>
    <t>20mg/ml</t>
  </si>
  <si>
    <t>C01AA</t>
  </si>
  <si>
    <t>Digitalis glycosides</t>
  </si>
  <si>
    <t>0.25mg</t>
  </si>
  <si>
    <t>Vidaxil</t>
  </si>
  <si>
    <t>221798</t>
  </si>
  <si>
    <t>Victory</t>
  </si>
  <si>
    <t>448M2004</t>
  </si>
  <si>
    <t>C01AA05 </t>
  </si>
  <si>
    <t>digoxin </t>
  </si>
  <si>
    <t>Apotex</t>
  </si>
  <si>
    <t>2372K22A</t>
  </si>
  <si>
    <t>Protein SA de CV</t>
  </si>
  <si>
    <t>90688</t>
  </si>
  <si>
    <t>140071</t>
  </si>
  <si>
    <t>Nivag Infancia SA de CV</t>
  </si>
  <si>
    <t>86333</t>
  </si>
  <si>
    <t>C09A</t>
  </si>
  <si>
    <t>ACE INHIBITORS, PLAIN</t>
  </si>
  <si>
    <t>10mg</t>
  </si>
  <si>
    <t>Tabeltas</t>
  </si>
  <si>
    <t>8111122</t>
  </si>
  <si>
    <t>567M97</t>
  </si>
  <si>
    <t>Bionafil</t>
  </si>
  <si>
    <t>05715</t>
  </si>
  <si>
    <t>Bioreserch de Méxcio SA de CV</t>
  </si>
  <si>
    <t>Méxcio</t>
  </si>
  <si>
    <t>530M96</t>
  </si>
  <si>
    <t>C09DX01 </t>
  </si>
  <si>
    <t>valsartan, amlodipine and hydrochlorothiazide </t>
  </si>
  <si>
    <t>5mg/60mg/12.5mg</t>
  </si>
  <si>
    <t>B8812E</t>
  </si>
  <si>
    <t>PVC/PVD/AI</t>
  </si>
  <si>
    <t>200M"009</t>
  </si>
  <si>
    <t>G01AA01</t>
  </si>
  <si>
    <t>nystatin</t>
  </si>
  <si>
    <t>100000UI</t>
  </si>
  <si>
    <t>03756</t>
  </si>
  <si>
    <t>66017</t>
  </si>
  <si>
    <t>G01AF01</t>
  </si>
  <si>
    <t>Biomona</t>
  </si>
  <si>
    <t>05011</t>
  </si>
  <si>
    <t>Bioreserch de México</t>
  </si>
  <si>
    <t>66041</t>
  </si>
  <si>
    <t>G01AX</t>
  </si>
  <si>
    <t>Other antiinfectives and antiseptics</t>
  </si>
  <si>
    <t>800mg/100mg/100mg</t>
  </si>
  <si>
    <t>Femedual</t>
  </si>
  <si>
    <t>Ovulo</t>
  </si>
  <si>
    <t>Vginal</t>
  </si>
  <si>
    <t>Exeltis Ilac San Ve Tic AS</t>
  </si>
  <si>
    <t>Dicleiophen</t>
  </si>
  <si>
    <t>B2209367</t>
  </si>
  <si>
    <t>Antibioticos de peubla SA de CV</t>
  </si>
  <si>
    <t>454M97</t>
  </si>
  <si>
    <t>Klaricid hp</t>
  </si>
  <si>
    <t>43207MC</t>
  </si>
  <si>
    <t>Abbott Laboratories de México</t>
  </si>
  <si>
    <t>335M93</t>
  </si>
  <si>
    <t>300mg</t>
  </si>
  <si>
    <t>RFFS487</t>
  </si>
  <si>
    <t>May/26</t>
  </si>
  <si>
    <t>laBORATORIOS Raam de SHUyo SA de CV</t>
  </si>
  <si>
    <t>171M2007</t>
  </si>
  <si>
    <t>J01GB01</t>
  </si>
  <si>
    <t>3mg/ml</t>
  </si>
  <si>
    <t>Trazil ofteno</t>
  </si>
  <si>
    <t>4025610</t>
  </si>
  <si>
    <t>Laboratorios Sophia SA de CV</t>
  </si>
  <si>
    <t>118M92</t>
  </si>
  <si>
    <t>Biofurin</t>
  </si>
  <si>
    <t>capsula</t>
  </si>
  <si>
    <t>03662</t>
  </si>
  <si>
    <t>392M2016</t>
  </si>
  <si>
    <t>Landvir</t>
  </si>
  <si>
    <t>L22G0446A</t>
  </si>
  <si>
    <t>Landsteiner Scientific SA de CV</t>
  </si>
  <si>
    <t>229M3004</t>
  </si>
  <si>
    <t>J06AA03</t>
  </si>
  <si>
    <t>snake venom antiserum</t>
  </si>
  <si>
    <t>5ml</t>
  </si>
  <si>
    <t>Coralym</t>
  </si>
  <si>
    <t>B-2K-32</t>
  </si>
  <si>
    <t>Salines</t>
  </si>
  <si>
    <t>Mpéxico</t>
  </si>
  <si>
    <t>393M98</t>
  </si>
  <si>
    <t>N03AB02</t>
  </si>
  <si>
    <t>phenytoin</t>
  </si>
  <si>
    <t>100mg}</t>
  </si>
  <si>
    <t>04874</t>
  </si>
  <si>
    <t>371M96</t>
  </si>
  <si>
    <t>N03AF01</t>
  </si>
  <si>
    <t>carbamazepine</t>
  </si>
  <si>
    <t>21370</t>
  </si>
  <si>
    <t>Laboratorio Salfran Sa de CV</t>
  </si>
  <si>
    <t>251M2018</t>
  </si>
  <si>
    <t>Bioneuryl</t>
  </si>
  <si>
    <t>00432</t>
  </si>
  <si>
    <t>532M95</t>
  </si>
  <si>
    <t>20mg</t>
  </si>
  <si>
    <t>ovisen</t>
  </si>
  <si>
    <t>SL2252</t>
  </si>
  <si>
    <t>388M2001</t>
  </si>
  <si>
    <t>P01A</t>
  </si>
  <si>
    <t>AGENTS AGAINST AMOEBIASIS AND OTHER PROTOZOAL DISEASES</t>
  </si>
  <si>
    <t>Mitafar</t>
  </si>
  <si>
    <t>22ER56</t>
  </si>
  <si>
    <t>Quimpharma Sa de CV</t>
  </si>
  <si>
    <t>556M2004</t>
  </si>
  <si>
    <t>P01AB01</t>
  </si>
  <si>
    <t>04755</t>
  </si>
  <si>
    <t>20ml</t>
  </si>
  <si>
    <t>2201057</t>
  </si>
  <si>
    <t>Laboratoriios alpharma SA de CV</t>
  </si>
  <si>
    <t>120ml</t>
  </si>
  <si>
    <t>Bisolvon</t>
  </si>
  <si>
    <t>24HA085V</t>
  </si>
  <si>
    <t>Pharmetique SA</t>
  </si>
  <si>
    <t>78884</t>
  </si>
  <si>
    <t>S01AD03</t>
  </si>
  <si>
    <t>22391P</t>
  </si>
  <si>
    <t>Pharmacos Axakta SA de CV</t>
  </si>
  <si>
    <t>248M20002</t>
  </si>
  <si>
    <t>A03FA03 </t>
  </si>
  <si>
    <t>domperidone </t>
  </si>
  <si>
    <t>60mg</t>
  </si>
  <si>
    <t>Seronex LP</t>
  </si>
  <si>
    <t>22J0029</t>
  </si>
  <si>
    <t>Medix</t>
  </si>
  <si>
    <t>158M2011</t>
  </si>
  <si>
    <t>A11DA02 </t>
  </si>
  <si>
    <t>sulbutiamine </t>
  </si>
  <si>
    <t>Sulverion</t>
  </si>
  <si>
    <t>6033777</t>
  </si>
  <si>
    <t>Les Laboratoires Servier</t>
  </si>
  <si>
    <t>169M2018</t>
  </si>
  <si>
    <t>A16AA02 </t>
  </si>
  <si>
    <t>ademetionine </t>
  </si>
  <si>
    <t>SAMYR</t>
  </si>
  <si>
    <t>1179300</t>
  </si>
  <si>
    <t>AbbVie S.r.l.</t>
  </si>
  <si>
    <t>147M99</t>
  </si>
  <si>
    <t>B01AF01 </t>
  </si>
  <si>
    <t>rivaroxaban </t>
  </si>
  <si>
    <t>Xarelto</t>
  </si>
  <si>
    <t>BXJZ23T1</t>
  </si>
  <si>
    <t>sep/24</t>
  </si>
  <si>
    <t>357M2008</t>
  </si>
  <si>
    <t>BXJXGS1</t>
  </si>
  <si>
    <t>B03AE02 </t>
  </si>
  <si>
    <t>iron, multivitamins and folic acid </t>
  </si>
  <si>
    <t>80mg/0.350mg</t>
  </si>
  <si>
    <t>Tardyferon Fol</t>
  </si>
  <si>
    <t>2G3AG</t>
  </si>
  <si>
    <t>Pierre Fabre</t>
  </si>
  <si>
    <t>001M2006</t>
  </si>
  <si>
    <t>C01AA07 </t>
  </si>
  <si>
    <t>deslanoside </t>
  </si>
  <si>
    <t>Robotek</t>
  </si>
  <si>
    <t>U22U350</t>
  </si>
  <si>
    <t>337M2014</t>
  </si>
  <si>
    <t>C01BD01 </t>
  </si>
  <si>
    <t>amiodarone </t>
  </si>
  <si>
    <t>Braxan</t>
  </si>
  <si>
    <t>22090125</t>
  </si>
  <si>
    <t>Amstrong</t>
  </si>
  <si>
    <t>307M81</t>
  </si>
  <si>
    <t>C01EB17 </t>
  </si>
  <si>
    <t>ivabradine </t>
  </si>
  <si>
    <t>Procoralan</t>
  </si>
  <si>
    <t>6042341</t>
  </si>
  <si>
    <t>204M2007</t>
  </si>
  <si>
    <t>C03BA11 </t>
  </si>
  <si>
    <t>indapamide </t>
  </si>
  <si>
    <t>1.5mg</t>
  </si>
  <si>
    <t>Natralix</t>
  </si>
  <si>
    <t>6066487</t>
  </si>
  <si>
    <t>Les Laboratories Servier</t>
  </si>
  <si>
    <t>133M2003</t>
  </si>
  <si>
    <t>C07FX06 </t>
  </si>
  <si>
    <t>carvedilol and ivabradine</t>
  </si>
  <si>
    <t>25mg/5mg</t>
  </si>
  <si>
    <t>APSUM</t>
  </si>
  <si>
    <t>Solido</t>
  </si>
  <si>
    <t>6068661</t>
  </si>
  <si>
    <t>224M2021</t>
  </si>
  <si>
    <t>22090123</t>
  </si>
  <si>
    <t>22080056</t>
  </si>
  <si>
    <t>3.5mg/2.5mg</t>
  </si>
  <si>
    <t>694300</t>
  </si>
  <si>
    <t>Servier</t>
  </si>
  <si>
    <t>691513</t>
  </si>
  <si>
    <t>14mg/10mg</t>
  </si>
  <si>
    <t>692334</t>
  </si>
  <si>
    <t>5mg/1.25mg/5mg</t>
  </si>
  <si>
    <t>Triplixam</t>
  </si>
  <si>
    <t>Comprmidos</t>
  </si>
  <si>
    <t>714051</t>
  </si>
  <si>
    <t>712870</t>
  </si>
  <si>
    <t>C09DA08 </t>
  </si>
  <si>
    <t>olmesartan medoxomil and diuretics </t>
  </si>
  <si>
    <t>20mg/12.5mg</t>
  </si>
  <si>
    <t>ILTUX2HCT</t>
  </si>
  <si>
    <t>705583</t>
  </si>
  <si>
    <t>FARMACÉUTICA PARAGUAYA</t>
  </si>
  <si>
    <t>Paraguay</t>
  </si>
  <si>
    <t>193M2013</t>
  </si>
  <si>
    <t>300mg/10mg</t>
  </si>
  <si>
    <t>Aprovasc</t>
  </si>
  <si>
    <t>CMXB004</t>
  </si>
  <si>
    <t>Sanofi-aventis</t>
  </si>
  <si>
    <t>C09DX</t>
  </si>
  <si>
    <t>Angiotensin II receptor blockers (ARBs), other combinations</t>
  </si>
  <si>
    <t>5mg/100mg/20mg</t>
  </si>
  <si>
    <t>Lodarta</t>
  </si>
  <si>
    <t>812422011</t>
  </si>
  <si>
    <t>Hanmi Pharm</t>
  </si>
  <si>
    <t>Corea del Sur</t>
  </si>
  <si>
    <t>078M2022</t>
  </si>
  <si>
    <t>812322011</t>
  </si>
  <si>
    <t>C09DX03 </t>
  </si>
  <si>
    <t>olmesartan medoxomil, amlodipine and hydrochlorothiazide </t>
  </si>
  <si>
    <t>23mg/5mg/12.5mg</t>
  </si>
  <si>
    <t>ALMETEC-TRI</t>
  </si>
  <si>
    <t>X007556</t>
  </si>
  <si>
    <t>oct/24</t>
  </si>
  <si>
    <t>Daiichi Sankyo Europe GmbH</t>
  </si>
  <si>
    <t>078M2016</t>
  </si>
  <si>
    <t>C10AX06 </t>
  </si>
  <si>
    <t>omega-3-triglycerides incl. other esters and acids </t>
  </si>
  <si>
    <t>1000mg</t>
  </si>
  <si>
    <t>OMACOR</t>
  </si>
  <si>
    <t>T001</t>
  </si>
  <si>
    <t>BASF AS, Sandefjord site</t>
  </si>
  <si>
    <t>Noruega</t>
  </si>
  <si>
    <t>065M2010</t>
  </si>
  <si>
    <t>G01AA51</t>
  </si>
  <si>
    <t>nystatin, combinations</t>
  </si>
  <si>
    <t>500mg/100000UI</t>
  </si>
  <si>
    <t>Flagenase VG</t>
  </si>
  <si>
    <t>1424112</t>
  </si>
  <si>
    <t>Procaps</t>
  </si>
  <si>
    <t>019M2012</t>
  </si>
  <si>
    <t>G03DB08</t>
  </si>
  <si>
    <t>dienogest</t>
  </si>
  <si>
    <t>2mg</t>
  </si>
  <si>
    <t>Nuntera</t>
  </si>
  <si>
    <t>2210926</t>
  </si>
  <si>
    <t>032M2021</t>
  </si>
  <si>
    <t>G04BD12</t>
  </si>
  <si>
    <t>mirabegron</t>
  </si>
  <si>
    <t>MYRBETRIC</t>
  </si>
  <si>
    <t>21J2836</t>
  </si>
  <si>
    <t>Avara Pharmaceutical Technologies</t>
  </si>
  <si>
    <t>EUA</t>
  </si>
  <si>
    <t>314M2016</t>
  </si>
  <si>
    <t>H04AA</t>
  </si>
  <si>
    <t>Glycogenolytic hormones</t>
  </si>
  <si>
    <t>Creon</t>
  </si>
  <si>
    <t>39100MC11</t>
  </si>
  <si>
    <t>Abbott</t>
  </si>
  <si>
    <t>035M86</t>
  </si>
  <si>
    <t>Granudoxy</t>
  </si>
  <si>
    <t>MXN434</t>
  </si>
  <si>
    <t>PIERRE FABRE MEDICAMENT PRODUCTION</t>
  </si>
  <si>
    <t>672M2005</t>
  </si>
  <si>
    <t>J05AC02</t>
  </si>
  <si>
    <t>rimantadine</t>
  </si>
  <si>
    <t>5mg/100mL</t>
  </si>
  <si>
    <t>Gabirol</t>
  </si>
  <si>
    <t>BAL013</t>
  </si>
  <si>
    <t>Productos Farmacéuticos</t>
  </si>
  <si>
    <t>237M98</t>
  </si>
  <si>
    <t>Rolodiquim</t>
  </si>
  <si>
    <t>22J070</t>
  </si>
  <si>
    <t>Quimica y Farmacia</t>
  </si>
  <si>
    <t>363M2018</t>
  </si>
  <si>
    <t>SupraDol Duet</t>
  </si>
  <si>
    <t>D09130</t>
  </si>
  <si>
    <t>Liomont</t>
  </si>
  <si>
    <t>090M2014</t>
  </si>
  <si>
    <t>N05AH04</t>
  </si>
  <si>
    <t>quetiapine</t>
  </si>
  <si>
    <t>Dextion</t>
  </si>
  <si>
    <t>221OS77</t>
  </si>
  <si>
    <t>INTESTIGACIÓN FARMACÉUTICA</t>
  </si>
  <si>
    <t>011M2022</t>
  </si>
  <si>
    <t>93551</t>
  </si>
  <si>
    <t>P01BA01</t>
  </si>
  <si>
    <t>chloroquine</t>
  </si>
  <si>
    <t>Aralen</t>
  </si>
  <si>
    <t>249K2016</t>
  </si>
  <si>
    <t>30336</t>
  </si>
  <si>
    <t>2g/1g/100mL</t>
  </si>
  <si>
    <t>Guaxoquim</t>
  </si>
  <si>
    <t>24BN32</t>
  </si>
  <si>
    <t>QUIMPHARMA</t>
  </si>
  <si>
    <t>349M2006</t>
  </si>
  <si>
    <t>A02A</t>
  </si>
  <si>
    <t>A02B</t>
  </si>
  <si>
    <t>A03E</t>
  </si>
  <si>
    <t>A06A</t>
  </si>
  <si>
    <t>A07A</t>
  </si>
  <si>
    <t>A07E</t>
  </si>
  <si>
    <t>A09A</t>
  </si>
  <si>
    <t>A12B</t>
  </si>
  <si>
    <t>B03B</t>
  </si>
  <si>
    <t>C01B</t>
  </si>
  <si>
    <t>C04A</t>
  </si>
  <si>
    <t>C09C</t>
  </si>
  <si>
    <t>C10A</t>
  </si>
  <si>
    <t>D03A</t>
  </si>
  <si>
    <t>J01C</t>
  </si>
  <si>
    <t>J02A</t>
  </si>
  <si>
    <t>J05A</t>
  </si>
  <si>
    <t>M01A</t>
  </si>
  <si>
    <t>N01A</t>
  </si>
  <si>
    <t>N02A</t>
  </si>
  <si>
    <t>N02B</t>
  </si>
  <si>
    <t>N03A</t>
  </si>
  <si>
    <t>N05B</t>
  </si>
  <si>
    <t>P01B</t>
  </si>
  <si>
    <t>P02C</t>
  </si>
  <si>
    <t>R01B</t>
  </si>
  <si>
    <t>R03D</t>
  </si>
  <si>
    <t>R05C</t>
  </si>
  <si>
    <t>R06A</t>
  </si>
  <si>
    <t>S01G</t>
  </si>
  <si>
    <t>S01X</t>
  </si>
  <si>
    <t>V03A</t>
  </si>
  <si>
    <t>A04A</t>
  </si>
  <si>
    <t>A07D</t>
  </si>
  <si>
    <t>A10A</t>
  </si>
  <si>
    <t>A10B</t>
  </si>
  <si>
    <t>B01A</t>
  </si>
  <si>
    <t>B01AC04</t>
  </si>
  <si>
    <t>C01D</t>
  </si>
  <si>
    <t>C05C</t>
  </si>
  <si>
    <t>C07B</t>
  </si>
  <si>
    <t>C08C</t>
  </si>
  <si>
    <t>C09D</t>
  </si>
  <si>
    <t>D10A</t>
  </si>
  <si>
    <t>D10AF02</t>
  </si>
  <si>
    <t>G03D</t>
  </si>
  <si>
    <t>G03DB01</t>
  </si>
  <si>
    <t>G04C</t>
  </si>
  <si>
    <t>G04CA02</t>
  </si>
  <si>
    <t>H02A</t>
  </si>
  <si>
    <t>J01B</t>
  </si>
  <si>
    <t>J01D</t>
  </si>
  <si>
    <t>J01M</t>
  </si>
  <si>
    <t>L01X</t>
  </si>
  <si>
    <t>M09A</t>
  </si>
  <si>
    <t>N04B</t>
  </si>
  <si>
    <t>N05A</t>
  </si>
  <si>
    <t>N06A</t>
  </si>
  <si>
    <t>N06AX21</t>
  </si>
  <si>
    <t>N06D</t>
  </si>
  <si>
    <t>R05F</t>
  </si>
  <si>
    <t>S01B</t>
  </si>
  <si>
    <t>S01E</t>
  </si>
  <si>
    <t>S01EA05</t>
  </si>
  <si>
    <t>A03D</t>
  </si>
  <si>
    <t>A03F</t>
  </si>
  <si>
    <t>A07C</t>
  </si>
  <si>
    <t>A11D</t>
  </si>
  <si>
    <t>A11G</t>
  </si>
  <si>
    <t>A12A</t>
  </si>
  <si>
    <t>B05B</t>
  </si>
  <si>
    <t>C03D</t>
  </si>
  <si>
    <t>C05B</t>
  </si>
  <si>
    <t>C10B</t>
  </si>
  <si>
    <t>D06A</t>
  </si>
  <si>
    <t>D06B</t>
  </si>
  <si>
    <t>D08A</t>
  </si>
  <si>
    <t>J01F</t>
  </si>
  <si>
    <t>R05D</t>
  </si>
  <si>
    <t>A03B</t>
  </si>
  <si>
    <t>C01A</t>
  </si>
  <si>
    <t>C03A</t>
  </si>
  <si>
    <t>C03C</t>
  </si>
  <si>
    <t>C07A</t>
  </si>
  <si>
    <t>G04B</t>
  </si>
  <si>
    <t>J01X</t>
  </si>
  <si>
    <t>M03B</t>
  </si>
  <si>
    <t>M05B</t>
  </si>
  <si>
    <t>N05C</t>
  </si>
  <si>
    <t>R01A</t>
  </si>
  <si>
    <t>R05X</t>
  </si>
  <si>
    <t>V06D</t>
  </si>
  <si>
    <t>A01A</t>
  </si>
  <si>
    <t>A05A</t>
  </si>
  <si>
    <t>A07B</t>
  </si>
  <si>
    <t>A11C</t>
  </si>
  <si>
    <t>A11H</t>
  </si>
  <si>
    <t>B02B</t>
  </si>
  <si>
    <t>B03A</t>
  </si>
  <si>
    <t>B05C</t>
  </si>
  <si>
    <t>C01C</t>
  </si>
  <si>
    <t>C08D</t>
  </si>
  <si>
    <t>C08G</t>
  </si>
  <si>
    <t>C09B</t>
  </si>
  <si>
    <t>D01B</t>
  </si>
  <si>
    <t>D07B</t>
  </si>
  <si>
    <t>D07C</t>
  </si>
  <si>
    <t>D11A</t>
  </si>
  <si>
    <t>H03A</t>
  </si>
  <si>
    <t>J01G</t>
  </si>
  <si>
    <t>M01B</t>
  </si>
  <si>
    <t>M02A</t>
  </si>
  <si>
    <t>M04A</t>
  </si>
  <si>
    <t>N07C</t>
  </si>
  <si>
    <t>P03A</t>
  </si>
  <si>
    <t>R03A</t>
  </si>
  <si>
    <t>R03B</t>
  </si>
  <si>
    <t>R03C</t>
  </si>
  <si>
    <t>S01C</t>
  </si>
  <si>
    <t>A08A</t>
  </si>
  <si>
    <t>C02C</t>
  </si>
  <si>
    <t>C03B</t>
  </si>
  <si>
    <t>D02A</t>
  </si>
  <si>
    <t>D07A</t>
  </si>
  <si>
    <t>G01A</t>
  </si>
  <si>
    <t>G03C</t>
  </si>
  <si>
    <t>G03F</t>
  </si>
  <si>
    <t>J01A</t>
  </si>
  <si>
    <t>J01R</t>
  </si>
  <si>
    <t>L03A</t>
  </si>
  <si>
    <t>N04A</t>
  </si>
  <si>
    <t>N06C</t>
  </si>
  <si>
    <t>R02A</t>
  </si>
  <si>
    <t>S01A</t>
  </si>
  <si>
    <t>S02A</t>
  </si>
  <si>
    <t>A07F</t>
  </si>
  <si>
    <t>A16A</t>
  </si>
  <si>
    <t>C05A</t>
  </si>
  <si>
    <t>N02C</t>
  </si>
  <si>
    <t>292M2000 SSA IV</t>
  </si>
  <si>
    <t>PIRMCT-007</t>
  </si>
  <si>
    <t>Patente</t>
  </si>
  <si>
    <t>Nacional</t>
  </si>
  <si>
    <t>Transnacional</t>
  </si>
  <si>
    <t>Carnot</t>
  </si>
  <si>
    <t>Famar</t>
  </si>
  <si>
    <t>Streger</t>
  </si>
  <si>
    <t>Novaginfancia</t>
  </si>
  <si>
    <t>Arlex de México</t>
  </si>
  <si>
    <t>Laboratorios Sydenham</t>
  </si>
  <si>
    <t>Nartex Laboratorios Homeopáticos</t>
  </si>
  <si>
    <t>Probiomed</t>
  </si>
  <si>
    <t>Química Franco Mexicana Nordin</t>
  </si>
  <si>
    <t>Raam</t>
  </si>
  <si>
    <t>Productos Farmacéuticos Collins</t>
  </si>
  <si>
    <t>Gelpharma</t>
  </si>
  <si>
    <t>Rovi Pharma Industrial Services</t>
  </si>
  <si>
    <t>Madaus</t>
  </si>
  <si>
    <t>Importadora y Manufacturera Bruluart</t>
  </si>
  <si>
    <t>Georg Friedrich Henning Chemische Fabrik Walldorf</t>
  </si>
  <si>
    <t>Bayer</t>
  </si>
  <si>
    <t>Industrias Quimicofarmacéuticas Americanas</t>
  </si>
  <si>
    <t>Laboratorios Liomont</t>
  </si>
  <si>
    <t>Boehringer Ingelheim Promeco</t>
  </si>
  <si>
    <t>Vitae Laboratorios</t>
  </si>
  <si>
    <t>Schering Plough</t>
  </si>
  <si>
    <t>Bausch &amp; Lomb</t>
  </si>
  <si>
    <t>Alcon Research</t>
  </si>
  <si>
    <t>Laboratorios Silanes</t>
  </si>
  <si>
    <t>L2109612</t>
  </si>
  <si>
    <t>L18D0437</t>
  </si>
  <si>
    <t>L20F0495B</t>
  </si>
  <si>
    <t>22F019</t>
  </si>
  <si>
    <t>341839</t>
  </si>
  <si>
    <t>308758</t>
  </si>
  <si>
    <t>M3216R</t>
  </si>
  <si>
    <t>AJJ060</t>
  </si>
  <si>
    <t>BZD063</t>
  </si>
  <si>
    <t>RV0U1T</t>
  </si>
  <si>
    <t>940320</t>
  </si>
  <si>
    <t>0005375</t>
  </si>
  <si>
    <t>540123</t>
  </si>
  <si>
    <t>351024</t>
  </si>
  <si>
    <t>AF22007R</t>
  </si>
  <si>
    <t>B20F967</t>
  </si>
  <si>
    <t>138</t>
  </si>
  <si>
    <t>2202017</t>
  </si>
  <si>
    <t>0655201005</t>
  </si>
  <si>
    <t>708</t>
  </si>
  <si>
    <t>Q0420284</t>
  </si>
  <si>
    <t>035KA03A</t>
  </si>
  <si>
    <t>212362</t>
  </si>
  <si>
    <t>112831</t>
  </si>
  <si>
    <t>909072</t>
  </si>
  <si>
    <t>RMZ105</t>
  </si>
  <si>
    <t>A06101</t>
  </si>
  <si>
    <t>2B0422</t>
  </si>
  <si>
    <t>20H1218</t>
  </si>
  <si>
    <t>W018177</t>
  </si>
  <si>
    <t>B2001814</t>
  </si>
  <si>
    <t>0050933</t>
  </si>
  <si>
    <t>LN099</t>
  </si>
  <si>
    <t>90817936</t>
  </si>
  <si>
    <t>90617266</t>
  </si>
  <si>
    <t>91117119</t>
  </si>
  <si>
    <t>U22F442</t>
  </si>
  <si>
    <t>X24E02</t>
  </si>
  <si>
    <t>AS21007</t>
  </si>
  <si>
    <t>230883</t>
  </si>
  <si>
    <t>0L2147</t>
  </si>
  <si>
    <t>331022</t>
  </si>
  <si>
    <t>BMXA002</t>
  </si>
  <si>
    <t>23E036</t>
  </si>
  <si>
    <t>223781</t>
  </si>
  <si>
    <t>H09081</t>
  </si>
  <si>
    <t>2202153</t>
  </si>
  <si>
    <t>240JA095</t>
  </si>
  <si>
    <t>231290</t>
  </si>
  <si>
    <t>12303060</t>
  </si>
  <si>
    <t>L01230280</t>
  </si>
  <si>
    <t>SF2152</t>
  </si>
  <si>
    <t>R034500</t>
  </si>
  <si>
    <t>16K069</t>
  </si>
  <si>
    <t>U22F381</t>
  </si>
  <si>
    <t>1912134</t>
  </si>
  <si>
    <t>202804</t>
  </si>
  <si>
    <t>GG9047</t>
  </si>
  <si>
    <t>4018743</t>
  </si>
  <si>
    <t>1095W</t>
  </si>
  <si>
    <t>B5L05</t>
  </si>
  <si>
    <t>S2306463</t>
  </si>
  <si>
    <t>21B059</t>
  </si>
  <si>
    <t>521461</t>
  </si>
  <si>
    <t>1K21778</t>
  </si>
  <si>
    <t>912188</t>
  </si>
  <si>
    <t>595X</t>
  </si>
  <si>
    <t>111356</t>
  </si>
  <si>
    <t>BH21001</t>
  </si>
  <si>
    <t>1040512</t>
  </si>
  <si>
    <t>S21E946</t>
  </si>
  <si>
    <t>R2105073</t>
  </si>
  <si>
    <t>109270</t>
  </si>
  <si>
    <t>036570</t>
  </si>
  <si>
    <t>CS931A</t>
  </si>
  <si>
    <t>920621</t>
  </si>
  <si>
    <t>21080112</t>
  </si>
  <si>
    <t>C50071</t>
  </si>
  <si>
    <t>C50371</t>
  </si>
  <si>
    <t>523T</t>
  </si>
  <si>
    <t>SG21216</t>
  </si>
  <si>
    <t>3CM481A</t>
  </si>
  <si>
    <t>S013512</t>
  </si>
  <si>
    <t>R2106080</t>
  </si>
  <si>
    <t>1021247</t>
  </si>
  <si>
    <t>1308221</t>
  </si>
  <si>
    <t>364782</t>
  </si>
  <si>
    <t>363808</t>
  </si>
  <si>
    <t>030291</t>
  </si>
  <si>
    <t>B23135</t>
  </si>
  <si>
    <t>1608070</t>
  </si>
  <si>
    <t>M2111028</t>
  </si>
  <si>
    <t>CX1C21004</t>
  </si>
  <si>
    <t>1080951</t>
  </si>
  <si>
    <t>V211342</t>
  </si>
  <si>
    <t>4025499</t>
  </si>
  <si>
    <t>IKN205C</t>
  </si>
  <si>
    <t>X24C9W</t>
  </si>
  <si>
    <t>P095</t>
  </si>
  <si>
    <t>D40271</t>
  </si>
  <si>
    <t>20D086</t>
  </si>
  <si>
    <t>X100455</t>
  </si>
  <si>
    <t>X100136</t>
  </si>
  <si>
    <t>20083581</t>
  </si>
  <si>
    <t>R2005391</t>
  </si>
  <si>
    <t>006226</t>
  </si>
  <si>
    <t>AS21017</t>
  </si>
  <si>
    <t>B23E343</t>
  </si>
  <si>
    <t>201168</t>
  </si>
  <si>
    <t>A90011</t>
  </si>
  <si>
    <t>1401021</t>
  </si>
  <si>
    <t>4070519</t>
  </si>
  <si>
    <t>190131</t>
  </si>
  <si>
    <t>U20T370</t>
  </si>
  <si>
    <t>U21M302</t>
  </si>
  <si>
    <t>d032678</t>
  </si>
  <si>
    <t>22010314</t>
  </si>
  <si>
    <t>RK073</t>
  </si>
  <si>
    <t>0219C22C</t>
  </si>
  <si>
    <t>20L1875</t>
  </si>
  <si>
    <t>2GN344D</t>
  </si>
  <si>
    <t>9020289</t>
  </si>
  <si>
    <t>1787H21</t>
  </si>
  <si>
    <t>S122236</t>
  </si>
  <si>
    <t>1249</t>
  </si>
  <si>
    <t>235207</t>
  </si>
  <si>
    <t>U22A063</t>
  </si>
  <si>
    <t>SI22236</t>
  </si>
  <si>
    <t>4022703</t>
  </si>
  <si>
    <t>20019P</t>
  </si>
  <si>
    <t>T2833</t>
  </si>
  <si>
    <t>0KM270A</t>
  </si>
  <si>
    <t>BJ23003</t>
  </si>
  <si>
    <t>BJ2290</t>
  </si>
  <si>
    <t>U20Y303</t>
  </si>
  <si>
    <t>0321165</t>
  </si>
  <si>
    <t>2011910</t>
  </si>
  <si>
    <t>21002</t>
  </si>
  <si>
    <t>RCN032</t>
  </si>
  <si>
    <t>6006200401</t>
  </si>
  <si>
    <t>280322</t>
  </si>
  <si>
    <t>281681</t>
  </si>
  <si>
    <t>U21G187</t>
  </si>
  <si>
    <t>711210</t>
  </si>
  <si>
    <t>201990</t>
  </si>
  <si>
    <t>2111129</t>
  </si>
  <si>
    <t>SJ2146</t>
  </si>
  <si>
    <t>B21S397</t>
  </si>
  <si>
    <t>20062643</t>
  </si>
  <si>
    <t>4024205</t>
  </si>
  <si>
    <t>5770521</t>
  </si>
  <si>
    <t>11068</t>
  </si>
  <si>
    <t>202199</t>
  </si>
  <si>
    <t>P22F747</t>
  </si>
  <si>
    <t>1KM407A</t>
  </si>
  <si>
    <t>22S03669</t>
  </si>
  <si>
    <t>2JL1074</t>
  </si>
  <si>
    <t>212153</t>
  </si>
  <si>
    <t>U21M445</t>
  </si>
  <si>
    <t>226508</t>
  </si>
  <si>
    <t>U23M479</t>
  </si>
  <si>
    <t>U23E317</t>
  </si>
  <si>
    <t>216296</t>
  </si>
  <si>
    <t>SK2145</t>
  </si>
  <si>
    <t>RDC022</t>
  </si>
  <si>
    <t>1683H21</t>
  </si>
  <si>
    <t>1231F21</t>
  </si>
  <si>
    <t>0166A22</t>
  </si>
  <si>
    <t>450281</t>
  </si>
  <si>
    <t>218272</t>
  </si>
  <si>
    <t>PVA00122</t>
  </si>
  <si>
    <t>2223503</t>
  </si>
  <si>
    <t>21143760</t>
  </si>
  <si>
    <t>207943</t>
  </si>
  <si>
    <t>207007</t>
  </si>
  <si>
    <t>9A154</t>
  </si>
  <si>
    <t>C20020020</t>
  </si>
  <si>
    <t>L04161</t>
  </si>
  <si>
    <t>21342145</t>
  </si>
  <si>
    <t>1B346</t>
  </si>
  <si>
    <t>S1466</t>
  </si>
  <si>
    <t>0081360</t>
  </si>
  <si>
    <t>0111771</t>
  </si>
  <si>
    <t>911190B</t>
  </si>
  <si>
    <t>RVD126</t>
  </si>
  <si>
    <t>390444</t>
  </si>
  <si>
    <t>RF441</t>
  </si>
  <si>
    <t>0421382</t>
  </si>
  <si>
    <t>20M148</t>
  </si>
  <si>
    <t>23H0028</t>
  </si>
  <si>
    <t>AMXA053</t>
  </si>
  <si>
    <t>RRG135</t>
  </si>
  <si>
    <t>1043987</t>
  </si>
  <si>
    <t>LAC21032</t>
  </si>
  <si>
    <t>00009</t>
  </si>
  <si>
    <t>M2118343</t>
  </si>
  <si>
    <t>2127200123</t>
  </si>
  <si>
    <t>20A30252</t>
  </si>
  <si>
    <t>220984</t>
  </si>
  <si>
    <t>RK045</t>
  </si>
  <si>
    <t>RK028</t>
  </si>
  <si>
    <t>-</t>
  </si>
  <si>
    <t>9010023</t>
  </si>
  <si>
    <t>AMXAO</t>
  </si>
  <si>
    <t>00579</t>
  </si>
  <si>
    <t>B90092</t>
  </si>
  <si>
    <t>Sl21385</t>
  </si>
  <si>
    <t>218719</t>
  </si>
  <si>
    <t>222984</t>
  </si>
  <si>
    <t>216573</t>
  </si>
  <si>
    <t>22141738</t>
  </si>
  <si>
    <t>21341014</t>
  </si>
  <si>
    <t>L2009347</t>
  </si>
  <si>
    <t>12099912</t>
  </si>
  <si>
    <t>U21S428</t>
  </si>
  <si>
    <t>SH2004</t>
  </si>
  <si>
    <t>BAM059</t>
  </si>
  <si>
    <t>1121681</t>
  </si>
  <si>
    <t>RR113</t>
  </si>
  <si>
    <t>M2101299</t>
  </si>
  <si>
    <t>21020456</t>
  </si>
  <si>
    <t>113KY434</t>
  </si>
  <si>
    <t>LO36IR</t>
  </si>
  <si>
    <t>AL3180</t>
  </si>
  <si>
    <t>201492</t>
  </si>
  <si>
    <t>18034463</t>
  </si>
  <si>
    <t>BTA05</t>
  </si>
  <si>
    <t>00024</t>
  </si>
  <si>
    <t>00021</t>
  </si>
  <si>
    <t>U23E303</t>
  </si>
  <si>
    <t>CMXA001</t>
  </si>
  <si>
    <t>CMXA003</t>
  </si>
  <si>
    <t>B0779</t>
  </si>
  <si>
    <t>0321225</t>
  </si>
  <si>
    <t>S1B664</t>
  </si>
  <si>
    <t>0882D20</t>
  </si>
  <si>
    <t>114850</t>
  </si>
  <si>
    <t>2108113</t>
  </si>
  <si>
    <t>L004220</t>
  </si>
  <si>
    <t>1JH292B</t>
  </si>
  <si>
    <t>108541</t>
  </si>
  <si>
    <t>220743</t>
  </si>
  <si>
    <t>B2308600</t>
  </si>
  <si>
    <t>319255</t>
  </si>
  <si>
    <t>J21E915</t>
  </si>
  <si>
    <t>SL2239</t>
  </si>
  <si>
    <t>BMXA003</t>
  </si>
  <si>
    <t>00952</t>
  </si>
  <si>
    <t>0050965</t>
  </si>
  <si>
    <t>SD2120</t>
  </si>
  <si>
    <t>211601</t>
  </si>
  <si>
    <t>330390</t>
  </si>
  <si>
    <t>RMZ117</t>
  </si>
  <si>
    <t>R599</t>
  </si>
  <si>
    <t>217568</t>
  </si>
  <si>
    <t>232144</t>
  </si>
  <si>
    <t>20153092A</t>
  </si>
  <si>
    <t>1111885</t>
  </si>
  <si>
    <t>211119</t>
  </si>
  <si>
    <t>1122090</t>
  </si>
  <si>
    <t>RFL012</t>
  </si>
  <si>
    <t>T042358</t>
  </si>
  <si>
    <t>1DN052A</t>
  </si>
  <si>
    <t>22103505</t>
  </si>
  <si>
    <t>TKT22</t>
  </si>
  <si>
    <t>30492</t>
  </si>
  <si>
    <t>RFN021</t>
  </si>
  <si>
    <t>101247</t>
  </si>
  <si>
    <t>U21U374</t>
  </si>
  <si>
    <t>21110023</t>
  </si>
  <si>
    <t>190101</t>
  </si>
  <si>
    <t>BMXA001</t>
  </si>
  <si>
    <t>T11138</t>
  </si>
  <si>
    <t>364156</t>
  </si>
  <si>
    <t>210709</t>
  </si>
  <si>
    <t>215382</t>
  </si>
  <si>
    <t>12220010</t>
  </si>
  <si>
    <t>S0J091</t>
  </si>
  <si>
    <t>2004165</t>
  </si>
  <si>
    <t>LF8609</t>
  </si>
  <si>
    <t>X24868</t>
  </si>
  <si>
    <t>C01091</t>
  </si>
  <si>
    <t>RRC089</t>
  </si>
  <si>
    <t>109158</t>
  </si>
  <si>
    <t>215075</t>
  </si>
  <si>
    <t>N163013</t>
  </si>
  <si>
    <t>R2012420</t>
  </si>
  <si>
    <t>1103031</t>
  </si>
  <si>
    <t>G0409A</t>
  </si>
  <si>
    <t>234V</t>
  </si>
  <si>
    <t>020339</t>
  </si>
  <si>
    <t>90667</t>
  </si>
  <si>
    <t>204740</t>
  </si>
  <si>
    <t>213174</t>
  </si>
  <si>
    <t>195126</t>
  </si>
  <si>
    <t>2108420</t>
  </si>
  <si>
    <t>902489</t>
  </si>
  <si>
    <t>16a093</t>
  </si>
  <si>
    <t>16D130</t>
  </si>
  <si>
    <t>0216412</t>
  </si>
  <si>
    <t>C06052</t>
  </si>
  <si>
    <t>U20G406</t>
  </si>
  <si>
    <t>BJ21138</t>
  </si>
  <si>
    <t>BJ20075</t>
  </si>
  <si>
    <t>A11052</t>
  </si>
  <si>
    <t>2K572</t>
  </si>
  <si>
    <t>16H0077</t>
  </si>
  <si>
    <t>BD0053</t>
  </si>
  <si>
    <t>201434</t>
  </si>
  <si>
    <t>1221930</t>
  </si>
  <si>
    <t>411N</t>
  </si>
  <si>
    <t>12192919</t>
  </si>
  <si>
    <t>S2110739</t>
  </si>
  <si>
    <t>---</t>
  </si>
  <si>
    <t>9EN139A</t>
  </si>
  <si>
    <t>331217</t>
  </si>
  <si>
    <t>13007</t>
  </si>
  <si>
    <t>211148</t>
  </si>
  <si>
    <t>22142552</t>
  </si>
  <si>
    <t>SJ1801</t>
  </si>
  <si>
    <t>214737</t>
  </si>
  <si>
    <t>15J087</t>
  </si>
  <si>
    <t>350341</t>
  </si>
  <si>
    <t>RCNO35</t>
  </si>
  <si>
    <t>8MXA002</t>
  </si>
  <si>
    <t>BG23001</t>
  </si>
  <si>
    <t>110190</t>
  </si>
  <si>
    <t>810596</t>
  </si>
  <si>
    <t>187671</t>
  </si>
  <si>
    <t>L2103610</t>
  </si>
  <si>
    <t>RRO76</t>
  </si>
  <si>
    <t>B50030</t>
  </si>
  <si>
    <t>SAB-20K048</t>
  </si>
  <si>
    <t>120091</t>
  </si>
  <si>
    <t>SS06717</t>
  </si>
  <si>
    <t>12484354K0</t>
  </si>
  <si>
    <t>12484354KO</t>
  </si>
  <si>
    <t>1I1487</t>
  </si>
  <si>
    <t>281371</t>
  </si>
  <si>
    <t>1911036</t>
  </si>
  <si>
    <t>BDN0088</t>
  </si>
  <si>
    <t>0691122</t>
  </si>
  <si>
    <t>0720323</t>
  </si>
  <si>
    <t>15J010A</t>
  </si>
  <si>
    <t>16A07MB</t>
  </si>
  <si>
    <t>21H147M1</t>
  </si>
  <si>
    <t>R2105067</t>
  </si>
  <si>
    <t>S1C792</t>
  </si>
  <si>
    <t>911476</t>
  </si>
  <si>
    <t>TC0014</t>
  </si>
  <si>
    <t>WVL20</t>
  </si>
  <si>
    <t>2112044</t>
  </si>
  <si>
    <t>2207119</t>
  </si>
  <si>
    <t>1811747</t>
  </si>
  <si>
    <t>KHE71</t>
  </si>
  <si>
    <t>19D11391</t>
  </si>
  <si>
    <t>6833804</t>
  </si>
  <si>
    <t>7H054</t>
  </si>
  <si>
    <t>21C002</t>
  </si>
  <si>
    <t>18072557</t>
  </si>
  <si>
    <t>206207</t>
  </si>
  <si>
    <t>M07053</t>
  </si>
  <si>
    <t>N1Z581</t>
  </si>
  <si>
    <t>162074</t>
  </si>
  <si>
    <t>19E565</t>
  </si>
  <si>
    <t>170217</t>
  </si>
  <si>
    <t>211881</t>
  </si>
  <si>
    <t>920481</t>
  </si>
  <si>
    <t>382EY355</t>
  </si>
  <si>
    <t>11182429</t>
  </si>
  <si>
    <t>1FN341B</t>
  </si>
  <si>
    <t>907305</t>
  </si>
  <si>
    <t>708246</t>
  </si>
  <si>
    <t>Y19Y238</t>
  </si>
  <si>
    <t>73F6H0282</t>
  </si>
  <si>
    <t>198111</t>
  </si>
  <si>
    <t>5933801</t>
  </si>
  <si>
    <t>AX22028</t>
  </si>
  <si>
    <t>SH1912</t>
  </si>
  <si>
    <t>0850621</t>
  </si>
  <si>
    <t>377G</t>
  </si>
  <si>
    <t>220603</t>
  </si>
  <si>
    <t>278G</t>
  </si>
  <si>
    <t>04600</t>
  </si>
  <si>
    <t>06174</t>
  </si>
  <si>
    <t>220054</t>
  </si>
  <si>
    <t>XDT0209</t>
  </si>
  <si>
    <t>M13525</t>
  </si>
  <si>
    <t>E0033A</t>
  </si>
  <si>
    <t>00004</t>
  </si>
  <si>
    <t>142581</t>
  </si>
  <si>
    <t>BYY73</t>
  </si>
  <si>
    <t>699808</t>
  </si>
  <si>
    <t>150542</t>
  </si>
  <si>
    <t>JA8586</t>
  </si>
  <si>
    <t>20708</t>
  </si>
  <si>
    <t>022E252</t>
  </si>
  <si>
    <t>151616</t>
  </si>
  <si>
    <t>OJM344A</t>
  </si>
  <si>
    <t>68393</t>
  </si>
  <si>
    <t>HU5123</t>
  </si>
  <si>
    <t>210442</t>
  </si>
  <si>
    <t>23A148A1</t>
  </si>
  <si>
    <t>8631219</t>
  </si>
  <si>
    <t>450716</t>
  </si>
  <si>
    <t>909158</t>
  </si>
  <si>
    <t>PV02219</t>
  </si>
  <si>
    <t>8420919</t>
  </si>
  <si>
    <t>5089</t>
  </si>
  <si>
    <t>0948E20</t>
  </si>
  <si>
    <t>S1G226</t>
  </si>
  <si>
    <t>T04081</t>
  </si>
  <si>
    <t>200711</t>
  </si>
  <si>
    <t>S01026</t>
  </si>
  <si>
    <t>S0I208</t>
  </si>
  <si>
    <t>21082595</t>
  </si>
  <si>
    <t>C19040513</t>
  </si>
  <si>
    <t>X830L9AA</t>
  </si>
  <si>
    <t>1130372</t>
  </si>
  <si>
    <t>44BAE15</t>
  </si>
  <si>
    <t>3A208004</t>
  </si>
  <si>
    <t>07210027</t>
  </si>
  <si>
    <t>8112372</t>
  </si>
  <si>
    <t>15340363</t>
  </si>
  <si>
    <t>WET67C</t>
  </si>
  <si>
    <t>1EH2076</t>
  </si>
  <si>
    <t>B19E134</t>
  </si>
  <si>
    <t>U21M332</t>
  </si>
  <si>
    <t>5050920</t>
  </si>
  <si>
    <t>FB284-1</t>
  </si>
  <si>
    <t>109091</t>
  </si>
  <si>
    <t>C2846</t>
  </si>
  <si>
    <t>Q0521087</t>
  </si>
  <si>
    <t>006414</t>
  </si>
  <si>
    <t>911312</t>
  </si>
  <si>
    <t>217036</t>
  </si>
  <si>
    <t>109005</t>
  </si>
  <si>
    <t>19240788</t>
  </si>
  <si>
    <t>E202680</t>
  </si>
  <si>
    <t>215592</t>
  </si>
  <si>
    <t>606818</t>
  </si>
  <si>
    <t>903952</t>
  </si>
  <si>
    <t>15240133</t>
  </si>
  <si>
    <t>170883</t>
  </si>
  <si>
    <t>391296</t>
  </si>
  <si>
    <t>8061210</t>
  </si>
  <si>
    <t>215315</t>
  </si>
  <si>
    <t>1907053</t>
  </si>
  <si>
    <t>19103050</t>
  </si>
  <si>
    <t>SB2064</t>
  </si>
  <si>
    <t>225009</t>
  </si>
  <si>
    <t>135HY089</t>
  </si>
  <si>
    <t>0121961</t>
  </si>
  <si>
    <t>2102173</t>
  </si>
  <si>
    <t>7B355</t>
  </si>
  <si>
    <t>S5D818</t>
  </si>
  <si>
    <t>S1G193</t>
  </si>
  <si>
    <t>2101297</t>
  </si>
  <si>
    <t>410070</t>
  </si>
  <si>
    <t>SR187</t>
  </si>
  <si>
    <t>186955</t>
  </si>
  <si>
    <t>5B318</t>
  </si>
  <si>
    <t>2101P</t>
  </si>
  <si>
    <t>C06184</t>
  </si>
  <si>
    <t>2105256</t>
  </si>
  <si>
    <t>1091329</t>
  </si>
  <si>
    <t>U22G307</t>
  </si>
  <si>
    <t>SJ2120</t>
  </si>
  <si>
    <t>U20T322</t>
  </si>
  <si>
    <t>S1A542</t>
  </si>
  <si>
    <t>9J756</t>
  </si>
  <si>
    <t>008488</t>
  </si>
  <si>
    <t>R2009974</t>
  </si>
  <si>
    <t>107152</t>
  </si>
  <si>
    <t>0004621</t>
  </si>
  <si>
    <t>L19L0919</t>
  </si>
  <si>
    <t>YCV0039</t>
  </si>
  <si>
    <t>SJ20209</t>
  </si>
  <si>
    <t>C06176</t>
  </si>
  <si>
    <t>A04103</t>
  </si>
  <si>
    <t>380654</t>
  </si>
  <si>
    <t>506176</t>
  </si>
  <si>
    <t>2104233</t>
  </si>
  <si>
    <t>ACV289</t>
  </si>
  <si>
    <t>R1802600A</t>
  </si>
  <si>
    <t>171246</t>
  </si>
  <si>
    <t>U21M427</t>
  </si>
  <si>
    <t>1060746</t>
  </si>
  <si>
    <t>M94316</t>
  </si>
  <si>
    <t>107684</t>
  </si>
  <si>
    <t>R1911705</t>
  </si>
  <si>
    <t>004163</t>
  </si>
  <si>
    <t>18D085</t>
  </si>
  <si>
    <t>20140714</t>
  </si>
  <si>
    <t>002181</t>
  </si>
  <si>
    <t>2EM238A</t>
  </si>
  <si>
    <t>8061293</t>
  </si>
  <si>
    <t>002123</t>
  </si>
  <si>
    <t>1906123</t>
  </si>
  <si>
    <t>A04013</t>
  </si>
  <si>
    <t>SO39851</t>
  </si>
  <si>
    <t>ID06316</t>
  </si>
  <si>
    <t>008395</t>
  </si>
  <si>
    <t>105291</t>
  </si>
  <si>
    <t>S7B703</t>
  </si>
  <si>
    <t>2201224</t>
  </si>
  <si>
    <t>230933</t>
  </si>
  <si>
    <t>637T</t>
  </si>
  <si>
    <t>198617</t>
  </si>
  <si>
    <t>AJD036</t>
  </si>
  <si>
    <t>19J1343</t>
  </si>
  <si>
    <t>19I1236</t>
  </si>
  <si>
    <t>809913</t>
  </si>
  <si>
    <t>T8078</t>
  </si>
  <si>
    <t>21141461</t>
  </si>
  <si>
    <t>T12072</t>
  </si>
  <si>
    <t>U23F373</t>
  </si>
  <si>
    <t>151407</t>
  </si>
  <si>
    <t>21A015</t>
  </si>
  <si>
    <t>X248E9</t>
  </si>
  <si>
    <t>222615</t>
  </si>
  <si>
    <t>SH2211</t>
  </si>
  <si>
    <t>865T</t>
  </si>
  <si>
    <t>R1412118</t>
  </si>
  <si>
    <t>2003153</t>
  </si>
  <si>
    <t>1Y1DC</t>
  </si>
  <si>
    <t>182789</t>
  </si>
  <si>
    <t>AGG383</t>
  </si>
  <si>
    <t>KT585</t>
  </si>
  <si>
    <t>17J108</t>
  </si>
  <si>
    <t>KT038</t>
  </si>
  <si>
    <t>18F227V1</t>
  </si>
  <si>
    <t>04997</t>
  </si>
  <si>
    <t>SB2338</t>
  </si>
  <si>
    <t>H019768</t>
  </si>
  <si>
    <t>1028M</t>
  </si>
  <si>
    <t>RMS055</t>
  </si>
  <si>
    <t>N18T067</t>
  </si>
  <si>
    <t>7370521</t>
  </si>
  <si>
    <t>N19J141</t>
  </si>
  <si>
    <t>N18T118</t>
  </si>
  <si>
    <t>X23053</t>
  </si>
  <si>
    <t>19113173</t>
  </si>
  <si>
    <t>801172</t>
  </si>
  <si>
    <t>BMXA016</t>
  </si>
  <si>
    <t>211201</t>
  </si>
  <si>
    <t>0A046</t>
  </si>
  <si>
    <t>LMXA064</t>
  </si>
  <si>
    <t>20031076</t>
  </si>
  <si>
    <t>U21M442</t>
  </si>
  <si>
    <t>BMXA053</t>
  </si>
  <si>
    <t>7L202</t>
  </si>
  <si>
    <t>SI2107</t>
  </si>
  <si>
    <t>20113026</t>
  </si>
  <si>
    <t>B19A412</t>
  </si>
  <si>
    <t>9MXA010</t>
  </si>
  <si>
    <t>2731021</t>
  </si>
  <si>
    <t>220624</t>
  </si>
  <si>
    <t>1HN240A</t>
  </si>
  <si>
    <t>AAL5529</t>
  </si>
  <si>
    <t>VMXA024</t>
  </si>
  <si>
    <t>20140795</t>
  </si>
  <si>
    <t>214626</t>
  </si>
  <si>
    <t>2108566</t>
  </si>
  <si>
    <t>19092600</t>
  </si>
  <si>
    <t>21060085</t>
  </si>
  <si>
    <t>1811020</t>
  </si>
  <si>
    <t>860602</t>
  </si>
  <si>
    <t>1D756</t>
  </si>
  <si>
    <t>EF6025</t>
  </si>
  <si>
    <t>2540821</t>
  </si>
  <si>
    <t>HV7521013B</t>
  </si>
  <si>
    <t>BZM011</t>
  </si>
  <si>
    <t>5210220</t>
  </si>
  <si>
    <t>1703727</t>
  </si>
  <si>
    <t>201771</t>
  </si>
  <si>
    <t>ITL21L475</t>
  </si>
  <si>
    <t>82183</t>
  </si>
  <si>
    <t>5C320</t>
  </si>
  <si>
    <t>N031242</t>
  </si>
  <si>
    <t>19143900</t>
  </si>
  <si>
    <t>FE2167B</t>
  </si>
  <si>
    <t>C09124</t>
  </si>
  <si>
    <t>214721</t>
  </si>
  <si>
    <t>208684</t>
  </si>
  <si>
    <t>30464354UO</t>
  </si>
  <si>
    <t>3002620E00</t>
  </si>
  <si>
    <t>XKHW</t>
  </si>
  <si>
    <t>EACZ</t>
  </si>
  <si>
    <t>SCPG</t>
  </si>
  <si>
    <t>927R</t>
  </si>
  <si>
    <t>224047</t>
  </si>
  <si>
    <t>S81297</t>
  </si>
  <si>
    <t>T09082</t>
  </si>
  <si>
    <t>0050685</t>
  </si>
  <si>
    <t>LA1808</t>
  </si>
  <si>
    <t>19032347</t>
  </si>
  <si>
    <t>KE5443</t>
  </si>
  <si>
    <t>1711023</t>
  </si>
  <si>
    <t>2003157</t>
  </si>
  <si>
    <t>00087</t>
  </si>
  <si>
    <t>T100131</t>
  </si>
  <si>
    <t>9050628</t>
  </si>
  <si>
    <t>380023</t>
  </si>
  <si>
    <t>606M</t>
  </si>
  <si>
    <t>186044</t>
  </si>
  <si>
    <t>8040881</t>
  </si>
  <si>
    <t>110566</t>
  </si>
  <si>
    <t>M98W</t>
  </si>
  <si>
    <t>9030444</t>
  </si>
  <si>
    <t>LG1813</t>
  </si>
  <si>
    <t>BMXA008</t>
  </si>
  <si>
    <t>AJC302</t>
  </si>
  <si>
    <t>645F</t>
  </si>
  <si>
    <t>S9A697</t>
  </si>
  <si>
    <t>C171</t>
  </si>
  <si>
    <t>182576</t>
  </si>
  <si>
    <t>N024959</t>
  </si>
  <si>
    <t>SC2035</t>
  </si>
  <si>
    <t>181658</t>
  </si>
  <si>
    <t>19082158</t>
  </si>
  <si>
    <t>T002</t>
  </si>
  <si>
    <t>1705243</t>
  </si>
  <si>
    <t>C19041085</t>
  </si>
  <si>
    <t>2104244</t>
  </si>
  <si>
    <t>230966</t>
  </si>
  <si>
    <t>20090045</t>
  </si>
  <si>
    <t>M19J181</t>
  </si>
  <si>
    <t>R1503571</t>
  </si>
  <si>
    <t>18062196</t>
  </si>
  <si>
    <t>210840</t>
  </si>
  <si>
    <t>7MXA004</t>
  </si>
  <si>
    <t>9RA02224</t>
  </si>
  <si>
    <t>7010192</t>
  </si>
  <si>
    <t>1010002</t>
  </si>
  <si>
    <t>0507</t>
  </si>
  <si>
    <t>15AM11</t>
  </si>
  <si>
    <t>150491</t>
  </si>
  <si>
    <t>--</t>
  </si>
  <si>
    <t>151405995</t>
  </si>
  <si>
    <t>A02009</t>
  </si>
  <si>
    <t>200134</t>
  </si>
  <si>
    <t>10840</t>
  </si>
  <si>
    <t>T07059</t>
  </si>
  <si>
    <t>230398</t>
  </si>
  <si>
    <t>AJD007</t>
  </si>
  <si>
    <t>4019864</t>
  </si>
  <si>
    <t>AMXA002</t>
  </si>
  <si>
    <t>L2304971</t>
  </si>
  <si>
    <t>X248AX</t>
  </si>
  <si>
    <t>CS00</t>
  </si>
  <si>
    <t>020607</t>
  </si>
  <si>
    <t>258981</t>
  </si>
  <si>
    <t>197008</t>
  </si>
  <si>
    <t>15C018</t>
  </si>
  <si>
    <t>8D113</t>
  </si>
  <si>
    <t>211214085</t>
  </si>
  <si>
    <t>248612</t>
  </si>
  <si>
    <t>1F183</t>
  </si>
  <si>
    <t>70781</t>
  </si>
  <si>
    <t>1808149</t>
  </si>
  <si>
    <t>Z21028A</t>
  </si>
  <si>
    <t>E200622</t>
  </si>
  <si>
    <t>0HN318C</t>
  </si>
  <si>
    <t>18F048</t>
  </si>
  <si>
    <t>75219</t>
  </si>
  <si>
    <t>13H183</t>
  </si>
  <si>
    <t>248611</t>
  </si>
  <si>
    <t>U21A013</t>
  </si>
  <si>
    <t>89367</t>
  </si>
  <si>
    <t>C04129</t>
  </si>
  <si>
    <t>S2205166</t>
  </si>
  <si>
    <t>82110739</t>
  </si>
  <si>
    <t>212Z</t>
  </si>
  <si>
    <t>1928200019</t>
  </si>
  <si>
    <t>D4030A</t>
  </si>
  <si>
    <t>12130229</t>
  </si>
  <si>
    <t>211006</t>
  </si>
  <si>
    <t>VN8571</t>
  </si>
  <si>
    <t>0403OA</t>
  </si>
  <si>
    <t>311468</t>
  </si>
  <si>
    <t>9KN203A</t>
  </si>
  <si>
    <t>382398</t>
  </si>
  <si>
    <t>18K265</t>
  </si>
  <si>
    <t>5K2610</t>
  </si>
  <si>
    <t>21F066</t>
  </si>
  <si>
    <t>170902</t>
  </si>
  <si>
    <t>0030481</t>
  </si>
  <si>
    <t>2103003</t>
  </si>
  <si>
    <t>R22U74</t>
  </si>
  <si>
    <t>202255</t>
  </si>
  <si>
    <t>SL1923</t>
  </si>
  <si>
    <t>1801255</t>
  </si>
  <si>
    <t>321580</t>
  </si>
  <si>
    <t>L2204982</t>
  </si>
  <si>
    <t>008467</t>
  </si>
  <si>
    <t>L2204125</t>
  </si>
  <si>
    <t>804666</t>
  </si>
  <si>
    <t>0722744</t>
  </si>
  <si>
    <t>021Y310</t>
  </si>
  <si>
    <t>0AN109A</t>
  </si>
  <si>
    <t>1021351</t>
  </si>
  <si>
    <t>215344</t>
  </si>
  <si>
    <t>181824</t>
  </si>
  <si>
    <t>RSN40</t>
  </si>
  <si>
    <t>RCN034</t>
  </si>
  <si>
    <t>170942</t>
  </si>
  <si>
    <t>807527</t>
  </si>
  <si>
    <t>001613</t>
  </si>
  <si>
    <t>RR118</t>
  </si>
  <si>
    <t>171569</t>
  </si>
  <si>
    <t>540332</t>
  </si>
  <si>
    <t>ABD353</t>
  </si>
  <si>
    <t>706X</t>
  </si>
  <si>
    <t>/</t>
  </si>
  <si>
    <t>215X</t>
  </si>
  <si>
    <t>21040118</t>
  </si>
  <si>
    <t>20020044</t>
  </si>
  <si>
    <t>E10159</t>
  </si>
  <si>
    <t>E10219</t>
  </si>
  <si>
    <t>941129</t>
  </si>
  <si>
    <t>22082628</t>
  </si>
  <si>
    <t>0296171952</t>
  </si>
  <si>
    <t>280841</t>
  </si>
  <si>
    <t>73BS0014G</t>
  </si>
  <si>
    <t>107675</t>
  </si>
  <si>
    <t>2106640</t>
  </si>
  <si>
    <t>18A63</t>
  </si>
  <si>
    <t>2003125</t>
  </si>
  <si>
    <t>Rv104</t>
  </si>
  <si>
    <t>N18Y159</t>
  </si>
  <si>
    <t>S76271</t>
  </si>
  <si>
    <t>856716</t>
  </si>
  <si>
    <t>001145</t>
  </si>
  <si>
    <t>OANO42A</t>
  </si>
  <si>
    <t>505032</t>
  </si>
  <si>
    <t>U177116</t>
  </si>
  <si>
    <t>WW6J</t>
  </si>
  <si>
    <t>19143350</t>
  </si>
  <si>
    <t>108904</t>
  </si>
  <si>
    <t>U19J060</t>
  </si>
  <si>
    <t>U18Y132</t>
  </si>
  <si>
    <t>U18U068</t>
  </si>
  <si>
    <t>U19F043</t>
  </si>
  <si>
    <t>801435</t>
  </si>
  <si>
    <t>R2105065</t>
  </si>
  <si>
    <t>BVX55</t>
  </si>
  <si>
    <t>856952</t>
  </si>
  <si>
    <t>U17C166</t>
  </si>
  <si>
    <t>B8737HA</t>
  </si>
  <si>
    <t>19V321C1</t>
  </si>
  <si>
    <t>YVL0108</t>
  </si>
  <si>
    <t>Y065094</t>
  </si>
  <si>
    <t>BMXA018</t>
  </si>
  <si>
    <t>23G0021</t>
  </si>
  <si>
    <t>20E6996</t>
  </si>
  <si>
    <t>008336</t>
  </si>
  <si>
    <t>16B160</t>
  </si>
  <si>
    <t>003297</t>
  </si>
  <si>
    <t>911459</t>
  </si>
  <si>
    <t>911452</t>
  </si>
  <si>
    <t>08478</t>
  </si>
  <si>
    <t>190879</t>
  </si>
  <si>
    <t>181442</t>
  </si>
  <si>
    <t>21B00014</t>
  </si>
  <si>
    <t>MA03JBS</t>
  </si>
  <si>
    <t>MA707102</t>
  </si>
  <si>
    <t>22540062</t>
  </si>
  <si>
    <t>SA19012</t>
  </si>
  <si>
    <t>211328</t>
  </si>
  <si>
    <t>220206</t>
  </si>
  <si>
    <t>BXJH281</t>
  </si>
  <si>
    <t>ABN3730</t>
  </si>
  <si>
    <t>4SL90</t>
  </si>
  <si>
    <t>12035099</t>
  </si>
  <si>
    <t>10765883</t>
  </si>
  <si>
    <t>901276</t>
  </si>
  <si>
    <t>190239</t>
  </si>
  <si>
    <t>909059</t>
  </si>
  <si>
    <t>001094</t>
  </si>
  <si>
    <t>003588</t>
  </si>
  <si>
    <t>18G302</t>
  </si>
  <si>
    <t>206070</t>
  </si>
  <si>
    <t>1397G18</t>
  </si>
  <si>
    <t>0531C18</t>
  </si>
  <si>
    <t>140048</t>
  </si>
  <si>
    <t>17A144</t>
  </si>
  <si>
    <t>150219</t>
  </si>
  <si>
    <t>905185</t>
  </si>
  <si>
    <t>808137</t>
  </si>
  <si>
    <t>904218</t>
  </si>
  <si>
    <t>19E143</t>
  </si>
  <si>
    <t>052058</t>
  </si>
  <si>
    <t>0298B48</t>
  </si>
  <si>
    <t>370248</t>
  </si>
  <si>
    <t>1806893</t>
  </si>
  <si>
    <t>9GN297A</t>
  </si>
  <si>
    <t>2405L17A</t>
  </si>
  <si>
    <t>1802369</t>
  </si>
  <si>
    <t>S6L390</t>
  </si>
  <si>
    <t>SE1836</t>
  </si>
  <si>
    <t>812233</t>
  </si>
  <si>
    <t>903106</t>
  </si>
  <si>
    <t>809333</t>
  </si>
  <si>
    <t>805438</t>
  </si>
  <si>
    <t>ARA06770E</t>
  </si>
  <si>
    <t>154GV054</t>
  </si>
  <si>
    <t>21408/18</t>
  </si>
  <si>
    <t>164GV057</t>
  </si>
  <si>
    <t>164GV045</t>
  </si>
  <si>
    <t>30077G</t>
  </si>
  <si>
    <t>300685</t>
  </si>
  <si>
    <t>194178</t>
  </si>
  <si>
    <t>N196090</t>
  </si>
  <si>
    <t>1330F23</t>
  </si>
  <si>
    <t>N012</t>
  </si>
  <si>
    <t>01007</t>
  </si>
  <si>
    <t>805457</t>
  </si>
  <si>
    <t>801088</t>
  </si>
  <si>
    <t>M02421</t>
  </si>
  <si>
    <t>804225</t>
  </si>
  <si>
    <t>902155</t>
  </si>
  <si>
    <t>807290</t>
  </si>
  <si>
    <t>OJN216B</t>
  </si>
  <si>
    <t>NF047J19</t>
  </si>
  <si>
    <t>NF011E20</t>
  </si>
  <si>
    <t>BA018C22</t>
  </si>
  <si>
    <t>RPR320</t>
  </si>
  <si>
    <t>0KlN026A</t>
  </si>
  <si>
    <t>V00217</t>
  </si>
  <si>
    <t>0118018</t>
  </si>
  <si>
    <t>007249</t>
  </si>
  <si>
    <t>105225</t>
  </si>
  <si>
    <t>107136</t>
  </si>
  <si>
    <t>111280</t>
  </si>
  <si>
    <t>17M061</t>
  </si>
  <si>
    <t>4450421</t>
  </si>
  <si>
    <t>2010050</t>
  </si>
  <si>
    <t>111281</t>
  </si>
  <si>
    <t>220228</t>
  </si>
  <si>
    <t>PAAH</t>
  </si>
  <si>
    <t>15140518</t>
  </si>
  <si>
    <t>058060</t>
  </si>
  <si>
    <t>222016</t>
  </si>
  <si>
    <t>B4D547</t>
  </si>
  <si>
    <t>JC0178</t>
  </si>
  <si>
    <t>2516L21</t>
  </si>
  <si>
    <t>SV00218</t>
  </si>
  <si>
    <t>1328G20</t>
  </si>
  <si>
    <t>709190</t>
  </si>
  <si>
    <t>1710026</t>
  </si>
  <si>
    <t>21K14S1</t>
  </si>
  <si>
    <t>211023</t>
  </si>
  <si>
    <t>104359</t>
  </si>
  <si>
    <t>0500422</t>
  </si>
  <si>
    <t>2103203</t>
  </si>
  <si>
    <t>8500919</t>
  </si>
  <si>
    <t>1115F20</t>
  </si>
  <si>
    <t>U19Y207</t>
  </si>
  <si>
    <t>160559</t>
  </si>
  <si>
    <t>17M031</t>
  </si>
  <si>
    <t>1909202</t>
  </si>
  <si>
    <t>128088</t>
  </si>
  <si>
    <t>0H1432</t>
  </si>
  <si>
    <t>2104337</t>
  </si>
  <si>
    <t>201430</t>
  </si>
  <si>
    <t>211664</t>
  </si>
  <si>
    <t>S1B655</t>
  </si>
  <si>
    <t>171998</t>
  </si>
  <si>
    <t>2010108</t>
  </si>
  <si>
    <t>1135414</t>
  </si>
  <si>
    <t>200158</t>
  </si>
  <si>
    <t>0F896</t>
  </si>
  <si>
    <t>20141186</t>
  </si>
  <si>
    <t>15030537</t>
  </si>
  <si>
    <t>XB30AGFB</t>
  </si>
  <si>
    <t>31AG02014</t>
  </si>
  <si>
    <t>DEZSH00</t>
  </si>
  <si>
    <t>410793</t>
  </si>
  <si>
    <t>J31354</t>
  </si>
  <si>
    <t>82261</t>
  </si>
  <si>
    <t>21I063</t>
  </si>
  <si>
    <t>N17A101</t>
  </si>
  <si>
    <t>18E199</t>
  </si>
  <si>
    <t>8092035</t>
  </si>
  <si>
    <t>201028</t>
  </si>
  <si>
    <t>10817</t>
  </si>
  <si>
    <t>147108</t>
  </si>
  <si>
    <t>U21U351</t>
  </si>
  <si>
    <t>50205513</t>
  </si>
  <si>
    <t>AJB407</t>
  </si>
  <si>
    <t>E122338A</t>
  </si>
  <si>
    <t>M04101</t>
  </si>
  <si>
    <t>2006267</t>
  </si>
  <si>
    <t>EM2101010</t>
  </si>
  <si>
    <t>039KY097</t>
  </si>
  <si>
    <t>039LY101</t>
  </si>
  <si>
    <t>238964</t>
  </si>
  <si>
    <t>Q059445</t>
  </si>
  <si>
    <t>I19S062</t>
  </si>
  <si>
    <t>215831</t>
  </si>
  <si>
    <t>206971</t>
  </si>
  <si>
    <t>S0094</t>
  </si>
  <si>
    <t>01071</t>
  </si>
  <si>
    <t>301100</t>
  </si>
  <si>
    <t>005883</t>
  </si>
  <si>
    <t>19240777</t>
  </si>
  <si>
    <t>E208357</t>
  </si>
  <si>
    <t>J23U046</t>
  </si>
  <si>
    <t>143533</t>
  </si>
  <si>
    <t>J18F662</t>
  </si>
  <si>
    <t>J20N696</t>
  </si>
  <si>
    <t>217145</t>
  </si>
  <si>
    <t>215671</t>
  </si>
  <si>
    <t>2016200014</t>
  </si>
  <si>
    <t>OTXID21032A</t>
  </si>
  <si>
    <t>183039</t>
  </si>
  <si>
    <t>J21G410</t>
  </si>
  <si>
    <t>J21U333</t>
  </si>
  <si>
    <t>J17E332</t>
  </si>
  <si>
    <t>W220074</t>
  </si>
  <si>
    <t>1911249</t>
  </si>
  <si>
    <t>21104003</t>
  </si>
  <si>
    <t>211835</t>
  </si>
  <si>
    <t>18103070</t>
  </si>
  <si>
    <t>196493</t>
  </si>
  <si>
    <t>D05122</t>
  </si>
  <si>
    <t>202059</t>
  </si>
  <si>
    <t>206200</t>
  </si>
  <si>
    <t>1810309</t>
  </si>
  <si>
    <t>2106206</t>
  </si>
  <si>
    <t>B17J905</t>
  </si>
  <si>
    <t>18072548</t>
  </si>
  <si>
    <t>7H1367</t>
  </si>
  <si>
    <t>180586</t>
  </si>
  <si>
    <t>B19G099</t>
  </si>
  <si>
    <t>S8H134</t>
  </si>
  <si>
    <t>1902230</t>
  </si>
  <si>
    <t>2001161</t>
  </si>
  <si>
    <t>143DX427</t>
  </si>
  <si>
    <t>U19S</t>
  </si>
  <si>
    <t>U21S349</t>
  </si>
  <si>
    <t>10157</t>
  </si>
  <si>
    <t>1070965</t>
  </si>
  <si>
    <t>15E105</t>
  </si>
  <si>
    <t>180721</t>
  </si>
  <si>
    <t>330190</t>
  </si>
  <si>
    <t>330530</t>
  </si>
  <si>
    <t>H04217</t>
  </si>
  <si>
    <t>NF01119</t>
  </si>
  <si>
    <t>1E930</t>
  </si>
  <si>
    <t>004342</t>
  </si>
  <si>
    <t>906244</t>
  </si>
  <si>
    <t>9F550</t>
  </si>
  <si>
    <t>9F558</t>
  </si>
  <si>
    <t>330580</t>
  </si>
  <si>
    <t>NF04121</t>
  </si>
  <si>
    <t>NF03520</t>
  </si>
  <si>
    <t>004532</t>
  </si>
  <si>
    <t>2211271</t>
  </si>
  <si>
    <t>AZ20001</t>
  </si>
  <si>
    <t>BCV0249</t>
  </si>
  <si>
    <t>SD2119</t>
  </si>
  <si>
    <t>2012181</t>
  </si>
  <si>
    <t>U20N208</t>
  </si>
  <si>
    <t>M310913</t>
  </si>
  <si>
    <t>SFZI</t>
  </si>
  <si>
    <t>1908102</t>
  </si>
  <si>
    <t>190205</t>
  </si>
  <si>
    <t>1905275</t>
  </si>
  <si>
    <t>21090111</t>
  </si>
  <si>
    <t>21S393</t>
  </si>
  <si>
    <t>C06085</t>
  </si>
  <si>
    <t>T110888</t>
  </si>
  <si>
    <t>X900508</t>
  </si>
  <si>
    <t>191292</t>
  </si>
  <si>
    <t>1030416</t>
  </si>
  <si>
    <t>630120</t>
  </si>
  <si>
    <t>001207</t>
  </si>
  <si>
    <t>10140265601</t>
  </si>
  <si>
    <t>9BM102A</t>
  </si>
  <si>
    <t>17E135</t>
  </si>
  <si>
    <t>2107255</t>
  </si>
  <si>
    <t>2001139</t>
  </si>
  <si>
    <t>2009175</t>
  </si>
  <si>
    <t>003188</t>
  </si>
  <si>
    <t>109380</t>
  </si>
  <si>
    <t>2003038</t>
  </si>
  <si>
    <t>0321199</t>
  </si>
  <si>
    <t>003514</t>
  </si>
  <si>
    <t>1261371</t>
  </si>
  <si>
    <t>N17079</t>
  </si>
  <si>
    <t>R399</t>
  </si>
  <si>
    <t>215129</t>
  </si>
  <si>
    <t>DXC2116</t>
  </si>
  <si>
    <t>C09109</t>
  </si>
  <si>
    <t>P07136</t>
  </si>
  <si>
    <t>R20M50</t>
  </si>
  <si>
    <t>8112258</t>
  </si>
  <si>
    <t>9HN027A</t>
  </si>
  <si>
    <t>0BN257A</t>
  </si>
  <si>
    <t>2108086</t>
  </si>
  <si>
    <t>0100247</t>
  </si>
  <si>
    <t>1204772</t>
  </si>
  <si>
    <t>1204771</t>
  </si>
  <si>
    <t>0020352</t>
  </si>
  <si>
    <t>U21S393</t>
  </si>
  <si>
    <t>CN6075</t>
  </si>
  <si>
    <t>1JM355A</t>
  </si>
  <si>
    <t>042382</t>
  </si>
  <si>
    <t>1DN055A</t>
  </si>
  <si>
    <t>213610</t>
  </si>
  <si>
    <t>215096</t>
  </si>
  <si>
    <t>19E302S1</t>
  </si>
  <si>
    <t>1020200</t>
  </si>
  <si>
    <t>1070866</t>
  </si>
  <si>
    <t>SOK242</t>
  </si>
  <si>
    <t>18051794</t>
  </si>
  <si>
    <t>19041200</t>
  </si>
  <si>
    <t>217658</t>
  </si>
  <si>
    <t>20125793</t>
  </si>
  <si>
    <t>04842</t>
  </si>
  <si>
    <t>04577</t>
  </si>
  <si>
    <t>02987</t>
  </si>
  <si>
    <t>0521482</t>
  </si>
  <si>
    <t>7020302</t>
  </si>
  <si>
    <t>H019937</t>
  </si>
  <si>
    <t>U21T308</t>
  </si>
  <si>
    <t>R021</t>
  </si>
  <si>
    <t>SM6802</t>
  </si>
  <si>
    <t>SI6725</t>
  </si>
  <si>
    <t>1806151</t>
  </si>
  <si>
    <t>RRG094</t>
  </si>
  <si>
    <t>B20N126</t>
  </si>
  <si>
    <t>340440</t>
  </si>
  <si>
    <t>112004</t>
  </si>
  <si>
    <t>B17E230</t>
  </si>
  <si>
    <t>RRG080</t>
  </si>
  <si>
    <t>125M</t>
  </si>
  <si>
    <t>2108605</t>
  </si>
  <si>
    <t>16112776</t>
  </si>
  <si>
    <t>F21MO17</t>
  </si>
  <si>
    <t>22K045</t>
  </si>
  <si>
    <t>1060656</t>
  </si>
  <si>
    <t>20113034</t>
  </si>
  <si>
    <t>0BN259D</t>
  </si>
  <si>
    <t>201044</t>
  </si>
  <si>
    <t>201049</t>
  </si>
  <si>
    <t>190684</t>
  </si>
  <si>
    <t>210758</t>
  </si>
  <si>
    <t>0419246</t>
  </si>
  <si>
    <t>ABA4734</t>
  </si>
  <si>
    <t>9040499</t>
  </si>
  <si>
    <t>SF2063</t>
  </si>
  <si>
    <t>15D037</t>
  </si>
  <si>
    <t>0010136</t>
  </si>
  <si>
    <t>660229</t>
  </si>
  <si>
    <t>BMXB003</t>
  </si>
  <si>
    <t>9MXA035</t>
  </si>
  <si>
    <t>AMXA023</t>
  </si>
  <si>
    <t>BMXA035</t>
  </si>
  <si>
    <t>1070846</t>
  </si>
  <si>
    <t>216431</t>
  </si>
  <si>
    <t>B18S539</t>
  </si>
  <si>
    <t>SF2119</t>
  </si>
  <si>
    <t>AS21001</t>
  </si>
  <si>
    <t>19113109</t>
  </si>
  <si>
    <t>011101</t>
  </si>
  <si>
    <t>AW723302</t>
  </si>
  <si>
    <t>211004</t>
  </si>
  <si>
    <t>1503001</t>
  </si>
  <si>
    <t>1DN18183A</t>
  </si>
  <si>
    <t>18H060</t>
  </si>
  <si>
    <t>L19C0228</t>
  </si>
  <si>
    <t>SC2249</t>
  </si>
  <si>
    <t>----------</t>
  </si>
  <si>
    <t>395257</t>
  </si>
  <si>
    <t>16016MC</t>
  </si>
  <si>
    <t>8F212</t>
  </si>
  <si>
    <t>105531</t>
  </si>
  <si>
    <t>151102</t>
  </si>
  <si>
    <t>090377</t>
  </si>
  <si>
    <t>090229</t>
  </si>
  <si>
    <t>0110718</t>
  </si>
  <si>
    <t>6351114</t>
  </si>
  <si>
    <t>M2137B12</t>
  </si>
  <si>
    <t>S186A08</t>
  </si>
  <si>
    <t>N17D170</t>
  </si>
  <si>
    <t>2358071</t>
  </si>
  <si>
    <t>M17D170</t>
  </si>
  <si>
    <t>9920920</t>
  </si>
  <si>
    <t>U18J228</t>
  </si>
  <si>
    <t>RXY039</t>
  </si>
  <si>
    <t>2003034</t>
  </si>
  <si>
    <t>1702486A</t>
  </si>
  <si>
    <t>U19T278</t>
  </si>
  <si>
    <t>A918527C</t>
  </si>
  <si>
    <t>A874956A</t>
  </si>
  <si>
    <t>7610521CAD</t>
  </si>
  <si>
    <t>TAE168</t>
  </si>
  <si>
    <t>TA197</t>
  </si>
  <si>
    <t>2105236</t>
  </si>
  <si>
    <t>20DP50</t>
  </si>
  <si>
    <t>211074</t>
  </si>
  <si>
    <t>R1607203</t>
  </si>
  <si>
    <t>204313</t>
  </si>
  <si>
    <t>342835</t>
  </si>
  <si>
    <t>CO4127</t>
  </si>
  <si>
    <t>7160921</t>
  </si>
  <si>
    <t>1418002</t>
  </si>
  <si>
    <t>C04127</t>
  </si>
  <si>
    <t>348116</t>
  </si>
  <si>
    <t>727EW060</t>
  </si>
  <si>
    <t>OXO321</t>
  </si>
  <si>
    <t>X230JX</t>
  </si>
  <si>
    <t>A08133</t>
  </si>
  <si>
    <t>X23HP</t>
  </si>
  <si>
    <t>225600303</t>
  </si>
  <si>
    <t>8984005</t>
  </si>
  <si>
    <t>2123841</t>
  </si>
  <si>
    <t>A216395</t>
  </si>
  <si>
    <t>405846</t>
  </si>
  <si>
    <t>2010242</t>
  </si>
  <si>
    <t>2002213</t>
  </si>
  <si>
    <t>2103010</t>
  </si>
  <si>
    <t>210243</t>
  </si>
  <si>
    <t>361JW066V</t>
  </si>
  <si>
    <t>L1801264</t>
  </si>
  <si>
    <t>010107</t>
  </si>
  <si>
    <t>00108</t>
  </si>
  <si>
    <t>00104</t>
  </si>
  <si>
    <t>210235</t>
  </si>
  <si>
    <t>342798</t>
  </si>
  <si>
    <t>AGA376</t>
  </si>
  <si>
    <t>N581</t>
  </si>
  <si>
    <t>111447</t>
  </si>
  <si>
    <t>1297016901</t>
  </si>
  <si>
    <t>CMXA016</t>
  </si>
  <si>
    <t>9MXA003</t>
  </si>
  <si>
    <t>1809021</t>
  </si>
  <si>
    <t>873X</t>
  </si>
  <si>
    <t>2011146</t>
  </si>
  <si>
    <t>BAK069</t>
  </si>
  <si>
    <t>187915</t>
  </si>
  <si>
    <t>N1ST042</t>
  </si>
  <si>
    <t>RMP031</t>
  </si>
  <si>
    <t>9362</t>
  </si>
  <si>
    <t>15075</t>
  </si>
  <si>
    <t>200465</t>
  </si>
  <si>
    <t>FK4011</t>
  </si>
  <si>
    <t>1431017</t>
  </si>
  <si>
    <t>21143138</t>
  </si>
  <si>
    <t>230318</t>
  </si>
  <si>
    <t>T022737</t>
  </si>
  <si>
    <t>SB0036</t>
  </si>
  <si>
    <t>18062197</t>
  </si>
  <si>
    <t>U20J461</t>
  </si>
  <si>
    <t>230754</t>
  </si>
  <si>
    <t>202098</t>
  </si>
  <si>
    <t>17040975</t>
  </si>
  <si>
    <t>17051181</t>
  </si>
  <si>
    <t>211908</t>
  </si>
  <si>
    <t>U21U338</t>
  </si>
  <si>
    <t>194432</t>
  </si>
  <si>
    <t>151160</t>
  </si>
  <si>
    <t>1906180</t>
  </si>
  <si>
    <t>N19Y069</t>
  </si>
  <si>
    <t>162224</t>
  </si>
  <si>
    <t>210581</t>
  </si>
  <si>
    <t>21142471</t>
  </si>
  <si>
    <t>RRC107</t>
  </si>
  <si>
    <t>U22M330</t>
  </si>
  <si>
    <t>0372B22</t>
  </si>
  <si>
    <t>210190</t>
  </si>
  <si>
    <t>4023637</t>
  </si>
  <si>
    <t>4017549</t>
  </si>
  <si>
    <t>98234</t>
  </si>
  <si>
    <t>90856</t>
  </si>
  <si>
    <t>5J122</t>
  </si>
  <si>
    <t>561V</t>
  </si>
  <si>
    <t>BJ22090</t>
  </si>
  <si>
    <t>106029</t>
  </si>
  <si>
    <t>SC2169</t>
  </si>
  <si>
    <t>0JM002A</t>
  </si>
  <si>
    <t>BJ21003</t>
  </si>
  <si>
    <t>U21A015</t>
  </si>
  <si>
    <t>U21Y003</t>
  </si>
  <si>
    <t>021J353</t>
  </si>
  <si>
    <t>20LO38</t>
  </si>
  <si>
    <t>2110900038</t>
  </si>
  <si>
    <t>328M216</t>
  </si>
  <si>
    <t>377322</t>
  </si>
  <si>
    <t>20K1823</t>
  </si>
  <si>
    <t>836X</t>
  </si>
  <si>
    <t>189082</t>
  </si>
  <si>
    <t>190326</t>
  </si>
  <si>
    <t>N258</t>
  </si>
  <si>
    <t>380R</t>
  </si>
  <si>
    <t>21C069</t>
  </si>
  <si>
    <t>207070</t>
  </si>
  <si>
    <t>B18GA37</t>
  </si>
  <si>
    <t>2103004</t>
  </si>
  <si>
    <t>2106390</t>
  </si>
  <si>
    <t>201900</t>
  </si>
  <si>
    <t>0851E18</t>
  </si>
  <si>
    <t>RCNO36</t>
  </si>
  <si>
    <t>21030021</t>
  </si>
  <si>
    <t>21100171</t>
  </si>
  <si>
    <t>RR107</t>
  </si>
  <si>
    <t>21072264</t>
  </si>
  <si>
    <t>AX21036</t>
  </si>
  <si>
    <t>R50030</t>
  </si>
  <si>
    <t>05I269</t>
  </si>
  <si>
    <t>SS04121</t>
  </si>
  <si>
    <t>S1I415</t>
  </si>
  <si>
    <t>3722</t>
  </si>
  <si>
    <t>941161</t>
  </si>
  <si>
    <t>941090</t>
  </si>
  <si>
    <t>6235171951</t>
  </si>
  <si>
    <t>0304B20</t>
  </si>
  <si>
    <t>281301</t>
  </si>
  <si>
    <t>1903010</t>
  </si>
  <si>
    <t>11173</t>
  </si>
  <si>
    <t>AB2343A</t>
  </si>
  <si>
    <t>WVY13</t>
  </si>
  <si>
    <t>WVY14</t>
  </si>
  <si>
    <t>WVM15</t>
  </si>
  <si>
    <t>105651</t>
  </si>
  <si>
    <t>U20Y016</t>
  </si>
  <si>
    <t>U21D121</t>
  </si>
  <si>
    <t>2110195</t>
  </si>
  <si>
    <t>SF2139</t>
  </si>
  <si>
    <t>0</t>
  </si>
  <si>
    <t>007377</t>
  </si>
  <si>
    <t>21080105</t>
  </si>
  <si>
    <t>AG130C22</t>
  </si>
  <si>
    <t>808312</t>
  </si>
  <si>
    <t>367540</t>
  </si>
  <si>
    <t>20K009</t>
  </si>
  <si>
    <t>BT12W52</t>
  </si>
  <si>
    <t>BT14UW3</t>
  </si>
  <si>
    <t>BT13PB3</t>
  </si>
  <si>
    <t>4SH94</t>
  </si>
  <si>
    <t>S23M452</t>
  </si>
  <si>
    <t>S21N552</t>
  </si>
  <si>
    <t>108878</t>
  </si>
  <si>
    <t>150110</t>
  </si>
  <si>
    <t>2224K18</t>
  </si>
  <si>
    <t>1CM357A</t>
  </si>
  <si>
    <t>0104019331</t>
  </si>
  <si>
    <t>20094149</t>
  </si>
  <si>
    <t>6016330</t>
  </si>
  <si>
    <t>201750</t>
  </si>
  <si>
    <t>0717206</t>
  </si>
  <si>
    <t>1FM262A</t>
  </si>
  <si>
    <t>00673</t>
  </si>
  <si>
    <t>22C056</t>
  </si>
  <si>
    <t>RL018</t>
  </si>
  <si>
    <t>RL030</t>
  </si>
  <si>
    <t>312174</t>
  </si>
  <si>
    <t>3BM180A</t>
  </si>
  <si>
    <t>AMXA075</t>
  </si>
  <si>
    <t>68578</t>
  </si>
  <si>
    <t>68546</t>
  </si>
  <si>
    <t>68547</t>
  </si>
  <si>
    <t>68543</t>
  </si>
  <si>
    <t>2211117</t>
  </si>
  <si>
    <t>20112169</t>
  </si>
  <si>
    <t>68392</t>
  </si>
  <si>
    <t>666004</t>
  </si>
  <si>
    <t>U21G375</t>
  </si>
  <si>
    <t>301160</t>
  </si>
  <si>
    <t>191921</t>
  </si>
  <si>
    <t>220663</t>
  </si>
  <si>
    <t>006327</t>
  </si>
  <si>
    <t>02440201</t>
  </si>
  <si>
    <t>AC6770</t>
  </si>
  <si>
    <t>7P06CC</t>
  </si>
  <si>
    <t>20J003</t>
  </si>
  <si>
    <t>9030260</t>
  </si>
  <si>
    <t>S1C704</t>
  </si>
  <si>
    <t>077C21</t>
  </si>
  <si>
    <t>20060032</t>
  </si>
  <si>
    <t>20080150</t>
  </si>
  <si>
    <t>203294</t>
  </si>
  <si>
    <t>S0I028</t>
  </si>
  <si>
    <t>2302204</t>
  </si>
  <si>
    <t>2111262</t>
  </si>
  <si>
    <t>21140206</t>
  </si>
  <si>
    <t>KT07PBV</t>
  </si>
  <si>
    <t>Z00621</t>
  </si>
  <si>
    <t>21GO78</t>
  </si>
  <si>
    <t>6860619</t>
  </si>
  <si>
    <t>6TS4</t>
  </si>
  <si>
    <t>C21148</t>
  </si>
  <si>
    <t>U19G231</t>
  </si>
  <si>
    <t>20340565</t>
  </si>
  <si>
    <t>N20F036</t>
  </si>
  <si>
    <t>U20S412</t>
  </si>
  <si>
    <t>9G574</t>
  </si>
  <si>
    <t>FV684-1</t>
  </si>
  <si>
    <t>M16284</t>
  </si>
  <si>
    <t>562690</t>
  </si>
  <si>
    <t>S8I297</t>
  </si>
  <si>
    <t>Q0720580</t>
  </si>
  <si>
    <t>T9263</t>
  </si>
  <si>
    <t>302243</t>
  </si>
  <si>
    <t>010701</t>
  </si>
  <si>
    <t>907065</t>
  </si>
  <si>
    <t>21511</t>
  </si>
  <si>
    <t>205397</t>
  </si>
  <si>
    <t>3ET-2050</t>
  </si>
  <si>
    <t>FF015A</t>
  </si>
  <si>
    <t>J21U319</t>
  </si>
  <si>
    <t>9M0460A31</t>
  </si>
  <si>
    <t>216215</t>
  </si>
  <si>
    <t>19C118</t>
  </si>
  <si>
    <t>1040480</t>
  </si>
  <si>
    <t>RC202</t>
  </si>
  <si>
    <t>90224MC</t>
  </si>
  <si>
    <t>C01037</t>
  </si>
  <si>
    <t>05549</t>
  </si>
  <si>
    <t>R21G69</t>
  </si>
  <si>
    <t>SA2315</t>
  </si>
  <si>
    <t>2012190</t>
  </si>
  <si>
    <t>1C460</t>
  </si>
  <si>
    <t>111293</t>
  </si>
  <si>
    <t>A09151</t>
  </si>
  <si>
    <t>0071245</t>
  </si>
  <si>
    <t>SL18023</t>
  </si>
  <si>
    <t>SI2035</t>
  </si>
  <si>
    <t>SH21223</t>
  </si>
  <si>
    <t>9L1783</t>
  </si>
  <si>
    <t>5E1437</t>
  </si>
  <si>
    <t>M2101919</t>
  </si>
  <si>
    <t>P200918</t>
  </si>
  <si>
    <t>336316</t>
  </si>
  <si>
    <t>284973</t>
  </si>
  <si>
    <t>190051</t>
  </si>
  <si>
    <t>DXC2124</t>
  </si>
  <si>
    <t>C07049</t>
  </si>
  <si>
    <t>1012</t>
  </si>
  <si>
    <t>20083570</t>
  </si>
  <si>
    <t>1101684</t>
  </si>
  <si>
    <t>R1503661</t>
  </si>
  <si>
    <t>U23F371</t>
  </si>
  <si>
    <t>M05141</t>
  </si>
  <si>
    <t>3BM260A</t>
  </si>
  <si>
    <t>1091459</t>
  </si>
  <si>
    <t>U23E415</t>
  </si>
  <si>
    <t>2110256</t>
  </si>
  <si>
    <t>1801134</t>
  </si>
  <si>
    <t>212111</t>
  </si>
  <si>
    <t>AM20003</t>
  </si>
  <si>
    <t>N20Y048</t>
  </si>
  <si>
    <t>042213</t>
  </si>
  <si>
    <t>1A072</t>
  </si>
  <si>
    <t>20A351V1</t>
  </si>
  <si>
    <t>009238</t>
  </si>
  <si>
    <t>AHM333</t>
  </si>
  <si>
    <t>DC998</t>
  </si>
  <si>
    <t>200863</t>
  </si>
  <si>
    <t>20H079</t>
  </si>
  <si>
    <t>T08078</t>
  </si>
  <si>
    <t>1KN205D</t>
  </si>
  <si>
    <t>1GN428A</t>
  </si>
  <si>
    <t>80073</t>
  </si>
  <si>
    <t>1CN077A</t>
  </si>
  <si>
    <t>1EN1300</t>
  </si>
  <si>
    <t>18051791</t>
  </si>
  <si>
    <t>6V3X</t>
  </si>
  <si>
    <t>050016</t>
  </si>
  <si>
    <t>2003893</t>
  </si>
  <si>
    <t>0840120</t>
  </si>
  <si>
    <t>9091121</t>
  </si>
  <si>
    <t>X249ZU</t>
  </si>
  <si>
    <t>X252EV</t>
  </si>
  <si>
    <t>B20A216</t>
  </si>
  <si>
    <t>221691</t>
  </si>
  <si>
    <t>AMXA026</t>
  </si>
  <si>
    <t>210584</t>
  </si>
  <si>
    <t>0DN109B</t>
  </si>
  <si>
    <t>446X</t>
  </si>
  <si>
    <t>660125</t>
  </si>
  <si>
    <t>1101546</t>
  </si>
  <si>
    <t>1040477</t>
  </si>
  <si>
    <t>20G035</t>
  </si>
  <si>
    <t>213983</t>
  </si>
  <si>
    <t>1101704</t>
  </si>
  <si>
    <t>20G050</t>
  </si>
  <si>
    <t>19M613</t>
  </si>
  <si>
    <t>U213448</t>
  </si>
  <si>
    <t>0020349</t>
  </si>
  <si>
    <t>23140119</t>
  </si>
  <si>
    <t>W99374</t>
  </si>
  <si>
    <t>0J1762</t>
  </si>
  <si>
    <t>A40192</t>
  </si>
  <si>
    <t>211475</t>
  </si>
  <si>
    <t>S166A08</t>
  </si>
  <si>
    <t>399010</t>
  </si>
  <si>
    <t>18M80481</t>
  </si>
  <si>
    <t>YU7521019A</t>
  </si>
  <si>
    <t>RCDG084</t>
  </si>
  <si>
    <t>EF60</t>
  </si>
  <si>
    <t>7590521</t>
  </si>
  <si>
    <t>N20F056</t>
  </si>
  <si>
    <t>D03131</t>
  </si>
  <si>
    <t>1122072</t>
  </si>
  <si>
    <t>0771021</t>
  </si>
  <si>
    <t>X2443D</t>
  </si>
  <si>
    <t>X24UDX</t>
  </si>
  <si>
    <t>213078</t>
  </si>
  <si>
    <t>19U157</t>
  </si>
  <si>
    <t>A21036</t>
  </si>
  <si>
    <t>106874A</t>
  </si>
  <si>
    <t>007156A</t>
  </si>
  <si>
    <t>AX8K</t>
  </si>
  <si>
    <t>903021</t>
  </si>
  <si>
    <t>12210310</t>
  </si>
  <si>
    <t>05211687</t>
  </si>
  <si>
    <t>220105</t>
  </si>
  <si>
    <t>U031746</t>
  </si>
  <si>
    <t>SD2008</t>
  </si>
  <si>
    <t>S1811150</t>
  </si>
  <si>
    <t>12111232</t>
  </si>
  <si>
    <t>19090102</t>
  </si>
  <si>
    <t>LC2005</t>
  </si>
  <si>
    <t>BZL125</t>
  </si>
  <si>
    <t>230662</t>
  </si>
  <si>
    <t>T003</t>
  </si>
  <si>
    <t>V001</t>
  </si>
  <si>
    <t>195966</t>
  </si>
  <si>
    <t>B80080</t>
  </si>
  <si>
    <t>SL2006</t>
  </si>
  <si>
    <t>U20S308</t>
  </si>
  <si>
    <t>200968</t>
  </si>
  <si>
    <t>20L054</t>
  </si>
  <si>
    <t>T12009</t>
  </si>
  <si>
    <t>210804</t>
  </si>
  <si>
    <t>8MXB028</t>
  </si>
  <si>
    <t>9MXA005</t>
  </si>
  <si>
    <t>X25176</t>
  </si>
  <si>
    <t>4012357</t>
  </si>
  <si>
    <t>G21S268</t>
  </si>
  <si>
    <t>21268P</t>
  </si>
  <si>
    <t>4025478</t>
  </si>
  <si>
    <t>047V</t>
  </si>
  <si>
    <t>021A003</t>
  </si>
  <si>
    <t>U21J352</t>
  </si>
  <si>
    <t>U22F355</t>
  </si>
  <si>
    <t>U21A003</t>
  </si>
  <si>
    <t>224197</t>
  </si>
  <si>
    <t>0521499</t>
  </si>
  <si>
    <t>20F356</t>
  </si>
  <si>
    <t>105424</t>
  </si>
  <si>
    <t>905694</t>
  </si>
  <si>
    <t>9DN222A</t>
  </si>
  <si>
    <t>N19S170</t>
  </si>
  <si>
    <t>215574</t>
  </si>
  <si>
    <t>-------</t>
  </si>
  <si>
    <t>111LQ055V</t>
  </si>
  <si>
    <t>RR101</t>
  </si>
  <si>
    <t>187121</t>
  </si>
  <si>
    <t>SS02919</t>
  </si>
  <si>
    <t>541L</t>
  </si>
  <si>
    <t>738GV022</t>
  </si>
  <si>
    <t>1812025</t>
  </si>
  <si>
    <t>2112839</t>
  </si>
  <si>
    <t>U19N178</t>
  </si>
  <si>
    <t>19113304</t>
  </si>
  <si>
    <t>112763</t>
  </si>
  <si>
    <t>012401</t>
  </si>
  <si>
    <t>B21J044</t>
  </si>
  <si>
    <t>V066D21</t>
  </si>
  <si>
    <t>006393</t>
  </si>
  <si>
    <t>012979</t>
  </si>
  <si>
    <t>2CM255A</t>
  </si>
  <si>
    <t>U20J323</t>
  </si>
  <si>
    <t>20052</t>
  </si>
  <si>
    <t>U22N444</t>
  </si>
  <si>
    <t>U21F351</t>
  </si>
  <si>
    <t>472DW329</t>
  </si>
  <si>
    <t>359692</t>
  </si>
  <si>
    <t>550011</t>
  </si>
  <si>
    <t>U21A321</t>
  </si>
  <si>
    <t>2003907</t>
  </si>
  <si>
    <t>215754</t>
  </si>
  <si>
    <t>011582</t>
  </si>
  <si>
    <t>2110723</t>
  </si>
  <si>
    <t>215582</t>
  </si>
  <si>
    <t>PV01120</t>
  </si>
  <si>
    <t>C26965</t>
  </si>
  <si>
    <t>C26465</t>
  </si>
  <si>
    <t>ACF755</t>
  </si>
  <si>
    <t>26BAB19</t>
  </si>
  <si>
    <t>011235</t>
  </si>
  <si>
    <t>U20T375</t>
  </si>
  <si>
    <t>171415</t>
  </si>
  <si>
    <t>9L852</t>
  </si>
  <si>
    <t>B19G973</t>
  </si>
  <si>
    <t>G00449</t>
  </si>
  <si>
    <t>191299</t>
  </si>
  <si>
    <t>B2112274</t>
  </si>
  <si>
    <t>218187</t>
  </si>
  <si>
    <t>740100</t>
  </si>
  <si>
    <t>2004105</t>
  </si>
  <si>
    <t>730111</t>
  </si>
  <si>
    <t>410560</t>
  </si>
  <si>
    <t>b198149</t>
  </si>
  <si>
    <t>310082</t>
  </si>
  <si>
    <t>7081790</t>
  </si>
  <si>
    <t>U21J357</t>
  </si>
  <si>
    <t>U20S304</t>
  </si>
  <si>
    <t>N19D067</t>
  </si>
  <si>
    <t>230237</t>
  </si>
  <si>
    <t>0KN130A</t>
  </si>
  <si>
    <t>112888</t>
  </si>
  <si>
    <t>8J1787</t>
  </si>
  <si>
    <t>003511</t>
  </si>
  <si>
    <t>U19F246</t>
  </si>
  <si>
    <t>107510</t>
  </si>
  <si>
    <t>D40221</t>
  </si>
  <si>
    <t>A10143</t>
  </si>
  <si>
    <t>R19G77</t>
  </si>
  <si>
    <t>0220091</t>
  </si>
  <si>
    <t>13709007</t>
  </si>
  <si>
    <t>1HN237D</t>
  </si>
  <si>
    <t>1111815</t>
  </si>
  <si>
    <t>D02071</t>
  </si>
  <si>
    <t>BT13C54</t>
  </si>
  <si>
    <t>U21J405</t>
  </si>
  <si>
    <t>X24V8B</t>
  </si>
  <si>
    <t>AAJ7449</t>
  </si>
  <si>
    <t>BMXB002</t>
  </si>
  <si>
    <t>U20S303</t>
  </si>
  <si>
    <t>19143172</t>
  </si>
  <si>
    <t>LW5021012B</t>
  </si>
  <si>
    <t>107599</t>
  </si>
  <si>
    <t>7001121</t>
  </si>
  <si>
    <t>2201031</t>
  </si>
  <si>
    <t>3250221</t>
  </si>
  <si>
    <t>AHH645</t>
  </si>
  <si>
    <t>RE8153B</t>
  </si>
  <si>
    <t>1091281</t>
  </si>
  <si>
    <t>0F379</t>
  </si>
  <si>
    <t>2111090</t>
  </si>
  <si>
    <t>0123111</t>
  </si>
  <si>
    <t>HL8043</t>
  </si>
  <si>
    <t>220916</t>
  </si>
  <si>
    <t>B80191</t>
  </si>
  <si>
    <t>SD23063</t>
  </si>
  <si>
    <t>T033467</t>
  </si>
  <si>
    <t>1169</t>
  </si>
  <si>
    <t>1502501A</t>
  </si>
  <si>
    <t>ABR/20</t>
  </si>
  <si>
    <t>SEP/21</t>
  </si>
  <si>
    <t>Sep/22</t>
  </si>
  <si>
    <t>MAR/22</t>
  </si>
  <si>
    <t>SEP/18</t>
  </si>
  <si>
    <t>OCT/21</t>
  </si>
  <si>
    <t>FEB/21</t>
  </si>
  <si>
    <t>DIC/21</t>
  </si>
  <si>
    <t>JUL/12</t>
  </si>
  <si>
    <t>OCT/19</t>
  </si>
  <si>
    <t>JUN/26</t>
  </si>
  <si>
    <t>Feb/23</t>
  </si>
  <si>
    <t>Ago/18</t>
  </si>
  <si>
    <t>Mar/25</t>
  </si>
  <si>
    <t>AGO/16</t>
  </si>
  <si>
    <t>MAR725</t>
  </si>
  <si>
    <t>Abr/23</t>
  </si>
  <si>
    <t>MAY/ 22</t>
  </si>
  <si>
    <t>Ene/27</t>
  </si>
  <si>
    <t>0CT/23</t>
  </si>
  <si>
    <t>May/25</t>
  </si>
  <si>
    <t>Sep/24</t>
  </si>
  <si>
    <t>Jul/25</t>
  </si>
  <si>
    <t>ENE /25</t>
  </si>
  <si>
    <t>SEP /24</t>
  </si>
  <si>
    <t>AGOS/23</t>
  </si>
  <si>
    <t>SEP/ 23</t>
  </si>
  <si>
    <t>ENE / 24</t>
  </si>
  <si>
    <t>Sep / 24</t>
  </si>
  <si>
    <t>NOV /23</t>
  </si>
  <si>
    <t>NOM / 23</t>
  </si>
  <si>
    <t>DIC /23</t>
  </si>
  <si>
    <t>ENE /24</t>
  </si>
  <si>
    <t>DIC / 22</t>
  </si>
  <si>
    <t>JUL / 23</t>
  </si>
  <si>
    <t>ABR/16</t>
  </si>
  <si>
    <t>OCT/17</t>
  </si>
  <si>
    <t>ENE/20</t>
  </si>
  <si>
    <t>JUN/19</t>
  </si>
  <si>
    <t>MAY/21</t>
  </si>
  <si>
    <t>ENE/19</t>
  </si>
  <si>
    <t>ABR/19</t>
  </si>
  <si>
    <t>AGO/18</t>
  </si>
  <si>
    <t>MAY/17</t>
  </si>
  <si>
    <t>MAY/20</t>
  </si>
  <si>
    <t>SEP/17</t>
  </si>
  <si>
    <t>DIC/17</t>
  </si>
  <si>
    <t>AGO/19</t>
  </si>
  <si>
    <t>NOV/18</t>
  </si>
  <si>
    <t>JUL/19</t>
  </si>
  <si>
    <t>MAR/17</t>
  </si>
  <si>
    <t>MAY/19</t>
  </si>
  <si>
    <t>ENE/17</t>
  </si>
  <si>
    <t>FEB/17</t>
  </si>
  <si>
    <t>ABR/17</t>
  </si>
  <si>
    <t>OCT/18</t>
  </si>
  <si>
    <t>JUN/18</t>
  </si>
  <si>
    <t>JUN/17</t>
  </si>
  <si>
    <t>DIC/16</t>
  </si>
  <si>
    <t>NOV/19</t>
  </si>
  <si>
    <t>MAR/14</t>
  </si>
  <si>
    <t>SEP/19</t>
  </si>
  <si>
    <t>MAR/19</t>
  </si>
  <si>
    <t>OTC/22</t>
  </si>
  <si>
    <t>JUL/20</t>
  </si>
  <si>
    <t>JUL/17</t>
  </si>
  <si>
    <t>AGO/12</t>
  </si>
  <si>
    <t>JUL/16</t>
  </si>
  <si>
    <t>AGO/15</t>
  </si>
  <si>
    <t>NOV/17</t>
  </si>
  <si>
    <t>ABR/15</t>
  </si>
  <si>
    <t>OCT/16</t>
  </si>
  <si>
    <t>FEB/18</t>
  </si>
  <si>
    <t>SEP/16</t>
  </si>
  <si>
    <t>JUN/00</t>
  </si>
  <si>
    <t>AGO /21</t>
  </si>
  <si>
    <t>MAR/15</t>
  </si>
  <si>
    <t>MAY/16</t>
  </si>
  <si>
    <t>JUL/18</t>
  </si>
  <si>
    <t>SEP/12</t>
  </si>
  <si>
    <t>MAR/16</t>
  </si>
  <si>
    <t>MAY/18</t>
  </si>
  <si>
    <t>NOV/16</t>
  </si>
  <si>
    <t>DIC/18</t>
  </si>
  <si>
    <t>OCT/14</t>
  </si>
  <si>
    <t>MAY/14</t>
  </si>
  <si>
    <t>FEB/15</t>
  </si>
  <si>
    <t>FEB/13</t>
  </si>
  <si>
    <t>JUN/16</t>
  </si>
  <si>
    <t>ENE/18</t>
  </si>
  <si>
    <t>DIC/15</t>
  </si>
  <si>
    <t>JUN/14</t>
  </si>
  <si>
    <t>JUN/15</t>
  </si>
  <si>
    <t>NOV/11</t>
  </si>
  <si>
    <t>Jun/18</t>
  </si>
  <si>
    <t>Tabletas solubles</t>
  </si>
  <si>
    <t>Cápsulas de liberación retardada</t>
  </si>
  <si>
    <t>Tabletas efervescentes</t>
  </si>
  <si>
    <t>crema</t>
  </si>
  <si>
    <t>Grageas</t>
  </si>
  <si>
    <t>suspensión</t>
  </si>
  <si>
    <t>Solución oftálmica</t>
  </si>
  <si>
    <t>Polvo</t>
  </si>
  <si>
    <t>INY</t>
  </si>
  <si>
    <t>Perlas</t>
  </si>
  <si>
    <t>Enemas</t>
  </si>
  <si>
    <t>Càpsula</t>
  </si>
  <si>
    <t>tTableta</t>
  </si>
  <si>
    <t>Suspensiòn</t>
  </si>
  <si>
    <t>Tabletas masticables</t>
  </si>
  <si>
    <t>Solución bucofaríngea</t>
  </si>
  <si>
    <t>Supositorios</t>
  </si>
  <si>
    <t>Comprimidos efervescentes</t>
  </si>
  <si>
    <t>Tabletas de liberación retardada</t>
  </si>
  <si>
    <t>Tintura</t>
  </si>
  <si>
    <t>Solución ótica</t>
  </si>
  <si>
    <t>Tabletas sublinguales</t>
  </si>
  <si>
    <t>Ampolleta</t>
  </si>
  <si>
    <t>Cápsulas de liberación prolongada</t>
  </si>
  <si>
    <t>Emulsión</t>
  </si>
  <si>
    <t>Granulado</t>
  </si>
  <si>
    <t>Polvo para inhalación</t>
  </si>
  <si>
    <t>Suspensión para nebulizar</t>
  </si>
  <si>
    <t>Polvo efervescente</t>
  </si>
  <si>
    <t>Suspensión rectal</t>
  </si>
  <si>
    <t>Tabletas de liberación prolongada</t>
  </si>
  <si>
    <t>comprimidos</t>
  </si>
  <si>
    <t>Grageas de liberación controlada</t>
  </si>
  <si>
    <t>Comprimidos de liberación prolongada</t>
  </si>
  <si>
    <t>Pomada</t>
  </si>
  <si>
    <t>Óvulos</t>
  </si>
  <si>
    <t>Parches</t>
  </si>
  <si>
    <t>polvo</t>
  </si>
  <si>
    <t>Solución oftámica</t>
  </si>
  <si>
    <t>Polvo para suspensión</t>
  </si>
  <si>
    <t>Metoclopramida/Aluminio/Magnesio/Simeticona</t>
  </si>
  <si>
    <t>Omeprazol</t>
  </si>
  <si>
    <t>Trimebutina</t>
  </si>
  <si>
    <t>Florgucinol/Trimetilflorgucinol</t>
  </si>
  <si>
    <t>Simeticona Metoclopramida</t>
  </si>
  <si>
    <t>Citrato de sodio/Laurilsulfato</t>
  </si>
  <si>
    <t>Picosulfato sódico</t>
  </si>
  <si>
    <t>Neomicina/Caolín/Pectina</t>
  </si>
  <si>
    <t>Lidocaína/Hidrocortizona/Subacetato de aluminio</t>
  </si>
  <si>
    <t>Senósidos A-B</t>
  </si>
  <si>
    <t>Bicarbonato de potasio/Bitartrato de potasio/Ácido cítrico</t>
  </si>
  <si>
    <t>Ácido fólico</t>
  </si>
  <si>
    <t>Lidocaína</t>
  </si>
  <si>
    <t>Collinsonia/Hamamelis/Aesculus</t>
  </si>
  <si>
    <t>Telmisartán</t>
  </si>
  <si>
    <t>Bezafibrato</t>
  </si>
  <si>
    <t>Ácido bórico/Óxido de zinc/Sulfatiazol</t>
  </si>
  <si>
    <t>Dicloxacilina</t>
  </si>
  <si>
    <t>Amoxicilina/Ácido clavulánico</t>
  </si>
  <si>
    <t>Ampicilina</t>
  </si>
  <si>
    <t>Fluconazol</t>
  </si>
  <si>
    <t>Oseltamivir</t>
  </si>
  <si>
    <t>Meloxicam</t>
  </si>
  <si>
    <t>Etoricoxib</t>
  </si>
  <si>
    <t>Acemetacina</t>
  </si>
  <si>
    <t>Metamizol / Hioscina</t>
  </si>
  <si>
    <t>Benzocaína</t>
  </si>
  <si>
    <t>Cloruro de etilo</t>
  </si>
  <si>
    <t>Tramadol/Paracetamol</t>
  </si>
  <si>
    <t>Metamizol Sódico</t>
  </si>
  <si>
    <t>Gabapentina/Tiamina/Cianocobalamina</t>
  </si>
  <si>
    <t>Hidroxizina</t>
  </si>
  <si>
    <t>Diazepam</t>
  </si>
  <si>
    <t>Hidroxicloroquina</t>
  </si>
  <si>
    <t>Albendazol/Quinfamida</t>
  </si>
  <si>
    <t>Paracetamol/Fenilefrina/Clorfenamina</t>
  </si>
  <si>
    <t>Montelukast</t>
  </si>
  <si>
    <t>Ambroxol</t>
  </si>
  <si>
    <t>Bromhexina</t>
  </si>
  <si>
    <t>Levocetirizina</t>
  </si>
  <si>
    <t>Loratadina/Betametasona</t>
  </si>
  <si>
    <t>Clorfenamina</t>
  </si>
  <si>
    <t>Fexofenadina</t>
  </si>
  <si>
    <t>Feniramina/Nafazolina</t>
  </si>
  <si>
    <t>Nafazolina/Hipromelosa</t>
  </si>
  <si>
    <t>Propilenglicol/Hidroxipropil guar/Sorbitol/Aminometilpropanol/Acido bórico/Cloruro de potasio/Cloruro de sodio/Polyquad</t>
  </si>
  <si>
    <t>Fragmentos F(ab´)2 de inmunoglobulina polivalente antiofídico</t>
  </si>
  <si>
    <t>Metoclopramida/Aluminio/Magnesio</t>
  </si>
  <si>
    <t>Difenidol</t>
  </si>
  <si>
    <t>Nistatina</t>
  </si>
  <si>
    <t>Loperamida</t>
  </si>
  <si>
    <t>Prednisona</t>
  </si>
  <si>
    <t>Insulina humana</t>
  </si>
  <si>
    <t>Glimepirida</t>
  </si>
  <si>
    <t>Glibenclamida</t>
  </si>
  <si>
    <t>Sitagliptina/ Metformina</t>
  </si>
  <si>
    <t>Enoxaparina Sódica</t>
  </si>
  <si>
    <t>Diltiazem</t>
  </si>
  <si>
    <t>Diosmina/Hesperidina</t>
  </si>
  <si>
    <t>Atenolol</t>
  </si>
  <si>
    <t>Amlodipino</t>
  </si>
  <si>
    <t>Telmisartán/Hidroclorotiazida</t>
  </si>
  <si>
    <t>Ezetimiba/Simvastatina</t>
  </si>
  <si>
    <t>Terbinafina</t>
  </si>
  <si>
    <t>Peróxido de benzoilo</t>
  </si>
  <si>
    <t>Eritromicina</t>
  </si>
  <si>
    <t>Didrogesterona</t>
  </si>
  <si>
    <t>Tamsulosina</t>
  </si>
  <si>
    <t>Dexametasona/Lidocaína</t>
  </si>
  <si>
    <t>Trimetoprim/Sulfametoxazol</t>
  </si>
  <si>
    <t>Amoxicilina</t>
  </si>
  <si>
    <t>Ceftriaxona</t>
  </si>
  <si>
    <t>Ciprofloxacino</t>
  </si>
  <si>
    <t>Celecoxib</t>
  </si>
  <si>
    <t>Piroxicam</t>
  </si>
  <si>
    <t>Tripsina/Quimotripsina</t>
  </si>
  <si>
    <t>Amantadina/Clorfenamina/Paracetamol</t>
  </si>
  <si>
    <t>Olanzapina</t>
  </si>
  <si>
    <t>Imipramina</t>
  </si>
  <si>
    <t>Fluoxetina</t>
  </si>
  <si>
    <t>Duloxetina</t>
  </si>
  <si>
    <t>Memantina</t>
  </si>
  <si>
    <t>Nitazoxanida</t>
  </si>
  <si>
    <t>Pancreatina/Extracto seco de bilis de buey/Dimeticona</t>
  </si>
  <si>
    <t>Dimenhidrinato</t>
  </si>
  <si>
    <t>Loratadina/Fenielfrina</t>
  </si>
  <si>
    <t>Paracetamol/Cafeína/Fenilefrina</t>
  </si>
  <si>
    <t>Bromfenaco</t>
  </si>
  <si>
    <t>Latanoprost</t>
  </si>
  <si>
    <t>Brimonidina</t>
  </si>
  <si>
    <t>Pantoprazol</t>
  </si>
  <si>
    <t>Hioscina/Paracetamol</t>
  </si>
  <si>
    <t>Ondansetrón</t>
  </si>
  <si>
    <t>Electrolitos orales</t>
  </si>
  <si>
    <t>Metformina/Glibenclamida</t>
  </si>
  <si>
    <t>Tiamina/Piridoxina/Cianocobalamina</t>
  </si>
  <si>
    <t>Tiamina/Piridoxina/Lidocaina/Cianocobalamina/Diclofenaco</t>
  </si>
  <si>
    <t>Edetato disodico / Acido sorbico</t>
  </si>
  <si>
    <t>Calcio</t>
  </si>
  <si>
    <t>Solución Hartmann</t>
  </si>
  <si>
    <t>Espironolactona</t>
  </si>
  <si>
    <t>Aesculos hippocastanum / Ruscus aculeatus</t>
  </si>
  <si>
    <t>Nifedipino</t>
  </si>
  <si>
    <t>Irbesartán</t>
  </si>
  <si>
    <t>Pravastatina</t>
  </si>
  <si>
    <t>Ketoconazol</t>
  </si>
  <si>
    <t>Clioquinol/Fluocinolona</t>
  </si>
  <si>
    <t>Progesterona</t>
  </si>
  <si>
    <t>Azitromicina</t>
  </si>
  <si>
    <t>Ketorolaco</t>
  </si>
  <si>
    <t>Sulindaco</t>
  </si>
  <si>
    <t>Naproxeno/Paracetamol</t>
  </si>
  <si>
    <t>Diclofenaco</t>
  </si>
  <si>
    <t>Lacosamida</t>
  </si>
  <si>
    <t>Carbamazepina</t>
  </si>
  <si>
    <t>Sertralina</t>
  </si>
  <si>
    <t>Paroxetina</t>
  </si>
  <si>
    <t>Ivermectina</t>
  </si>
  <si>
    <t>Dextrometorfano/Ambroxol</t>
  </si>
  <si>
    <t>Teofilina/ Ambroxol</t>
  </si>
  <si>
    <t>Fenilefrina/Loratadina</t>
  </si>
  <si>
    <t>Dorsolamida</t>
  </si>
  <si>
    <t>Nafazolina/Feniramina</t>
  </si>
  <si>
    <t>Magaldrato/Dimeticona</t>
  </si>
  <si>
    <t>Butilhioscina/ Metamizol sòdico</t>
  </si>
  <si>
    <t>Cinitrapida</t>
  </si>
  <si>
    <t>Vildagliptina</t>
  </si>
  <si>
    <t>Pioglitazona</t>
  </si>
  <si>
    <t>Rivaroxabán</t>
  </si>
  <si>
    <t>Fluvastatina</t>
  </si>
  <si>
    <t>Hidroclorotiazida</t>
  </si>
  <si>
    <t>Bumetanida</t>
  </si>
  <si>
    <t>Fenazopiridina</t>
  </si>
  <si>
    <t>Tadalafil</t>
  </si>
  <si>
    <t>Amoxicilina/Bromhexina</t>
  </si>
  <si>
    <t>Cefalexina</t>
  </si>
  <si>
    <t>Metronidazol</t>
  </si>
  <si>
    <t>Metocarbamol / Ibuprofeno</t>
  </si>
  <si>
    <t>Ácido alendrónico</t>
  </si>
  <si>
    <t>Ácido acetilsalicílico/Cafeína</t>
  </si>
  <si>
    <t>Oxcarbazepina</t>
  </si>
  <si>
    <t>Furosemida</t>
  </si>
  <si>
    <t>Zolpidem</t>
  </si>
  <si>
    <t>Secnidazol</t>
  </si>
  <si>
    <t>Metronidazol/Diyodohidroxiquinoleína</t>
  </si>
  <si>
    <t>Fluticasona</t>
  </si>
  <si>
    <t>Acetilcisteína</t>
  </si>
  <si>
    <t>Clorfenamina/Fenilefrina/Paracetamol</t>
  </si>
  <si>
    <t>Fenilefrina/Loratadina/Paracetamol</t>
  </si>
  <si>
    <t>Alfa cetoanálogos de aminoácidos</t>
  </si>
  <si>
    <t>Bencidamina</t>
  </si>
  <si>
    <t>Iodopovidona</t>
  </si>
  <si>
    <t>Aluminio/Magnesio/Metoclopramida/Dimeticona</t>
  </si>
  <si>
    <t>Hidróxido de aluminio/Hidróxido de magnesio</t>
  </si>
  <si>
    <t>Magaldrato/Simeticona</t>
  </si>
  <si>
    <t>Hidróxido de magnesio</t>
  </si>
  <si>
    <t>Sucralfato</t>
  </si>
  <si>
    <t>Lansoprazol/Claritromicina/Amoxicilina</t>
  </si>
  <si>
    <t>Pargeverina/Clonixinato de lisina</t>
  </si>
  <si>
    <t>Bromuro de pinaverio/Dimeticona</t>
  </si>
  <si>
    <t>Trimebutina/Simeticona</t>
  </si>
  <si>
    <t>Butilhioscina</t>
  </si>
  <si>
    <t>Clonixinato de lisina/Butilhioscina</t>
  </si>
  <si>
    <t>Paracetamol/Hioscina</t>
  </si>
  <si>
    <t>Simeticona/Pancreatina</t>
  </si>
  <si>
    <t>Ácido ursodeoxicólico</t>
  </si>
  <si>
    <t>Subsalicilato de bismuto</t>
  </si>
  <si>
    <t>Mesalazina</t>
  </si>
  <si>
    <t>Glimepirida/Metformina</t>
  </si>
  <si>
    <t>Dapagliflozina</t>
  </si>
  <si>
    <t>Vildagliptina/Metformina</t>
  </si>
  <si>
    <t>Acarbosa</t>
  </si>
  <si>
    <t>Retinol/Tiamina/Rivoflavina/Piridoxina/Cianocobalamina/Ácido ascórbico/Colecalciferol/Tocofersolán/Pantotenato cálcico/Biotina/Ácido fólico/Nicotinamida</t>
  </si>
  <si>
    <t>Calcio/Colecalciferol</t>
  </si>
  <si>
    <t>Colecalciferol</t>
  </si>
  <si>
    <t>Piridoxina</t>
  </si>
  <si>
    <t>Tocofersolán</t>
  </si>
  <si>
    <t>Edoxabán</t>
  </si>
  <si>
    <t>Carbazocromo/Bisulfito sódico de menadiona</t>
  </si>
  <si>
    <t>Hierro/Ácido fólico</t>
  </si>
  <si>
    <t>Fumarato ferroso/Ácido fólico</t>
  </si>
  <si>
    <t>Hierro</t>
  </si>
  <si>
    <t>Cloruro de sodio</t>
  </si>
  <si>
    <t>Norfenefrina</t>
  </si>
  <si>
    <t>Dinhidrato de isosorbida</t>
  </si>
  <si>
    <t>Diosmina</t>
  </si>
  <si>
    <t>Bisoprolol</t>
  </si>
  <si>
    <t>Bisoprolol/Hidroclorotiazida</t>
  </si>
  <si>
    <t>Amlodipino/Valsartán/Hidroclorotiazida</t>
  </si>
  <si>
    <t>Perindopril/Indapamida</t>
  </si>
  <si>
    <t>Captopril/Hidroclorotiazida</t>
  </si>
  <si>
    <t>Candesartán</t>
  </si>
  <si>
    <t>Valsartán</t>
  </si>
  <si>
    <t>Olmesartán Metoxomilo/Hidroclorotiazida</t>
  </si>
  <si>
    <t>Valsartán/Hidroclorotiazida</t>
  </si>
  <si>
    <t>Candesartán/Hidroclorotiazida</t>
  </si>
  <si>
    <t>Gemfibrozilo</t>
  </si>
  <si>
    <t>Ácido fusídico</t>
  </si>
  <si>
    <t>Betametasona/Clotrimazol/Gentamicina</t>
  </si>
  <si>
    <t>Clotrimazol/Dexametasona</t>
  </si>
  <si>
    <t>Peróxido de hidrógeno</t>
  </si>
  <si>
    <t>Cloruro de benzalconio</t>
  </si>
  <si>
    <t>Solución electrolizada de superoxidación</t>
  </si>
  <si>
    <t>Pimecrolimus</t>
  </si>
  <si>
    <t>Algestona/Estradiol</t>
  </si>
  <si>
    <t>Estradiol/Dienogest</t>
  </si>
  <si>
    <t>Levonorgestrel</t>
  </si>
  <si>
    <t>Dexametasona</t>
  </si>
  <si>
    <t>Deflazacort</t>
  </si>
  <si>
    <t>Levotiroxina sódica</t>
  </si>
  <si>
    <t>Cefixima</t>
  </si>
  <si>
    <t>Cefaclor</t>
  </si>
  <si>
    <t>Clindamicina</t>
  </si>
  <si>
    <t>Claritromicina</t>
  </si>
  <si>
    <t>Tobramacina</t>
  </si>
  <si>
    <t>Lidocaína/Ofloxacino/Hidrocortisona</t>
  </si>
  <si>
    <t>Nitrofurantoína</t>
  </si>
  <si>
    <t>Itraconazol</t>
  </si>
  <si>
    <t>Ribavirina</t>
  </si>
  <si>
    <t>Nimesulida</t>
  </si>
  <si>
    <t>Naproxeno</t>
  </si>
  <si>
    <t>Diclofenaco/Cianocobalamina/Piridoxina/Tiamina</t>
  </si>
  <si>
    <t>Indometacina/Dexametasona</t>
  </si>
  <si>
    <t>Naproxeno/Lidocaína</t>
  </si>
  <si>
    <t>Tolperisona/Paracetamol</t>
  </si>
  <si>
    <t>Tizanidina</t>
  </si>
  <si>
    <t>Paracetamol/Metocarbamol</t>
  </si>
  <si>
    <t>Indometacina/Metocarbamol</t>
  </si>
  <si>
    <t>Paracetamol/Clorzoxazona</t>
  </si>
  <si>
    <t>Colchicina</t>
  </si>
  <si>
    <t>Ácido alendrónico/Colecalciferol</t>
  </si>
  <si>
    <t>Clonixinato de lisina/Tramadol</t>
  </si>
  <si>
    <t>Paracetamol/Tramadol</t>
  </si>
  <si>
    <t>Metamizol sódico</t>
  </si>
  <si>
    <t>Pregabalina</t>
  </si>
  <si>
    <t>Gabapentina</t>
  </si>
  <si>
    <t>Quetiapina</t>
  </si>
  <si>
    <t>Venlafaxina</t>
  </si>
  <si>
    <t>Piracetam</t>
  </si>
  <si>
    <t>Betahistina</t>
  </si>
  <si>
    <t>Quinfamida/Albendazol</t>
  </si>
  <si>
    <t>Albendazol</t>
  </si>
  <si>
    <t>Benzoato de bencilo</t>
  </si>
  <si>
    <t>Oximetazolina</t>
  </si>
  <si>
    <t>Agua de mar</t>
  </si>
  <si>
    <t>Paracetamol/Fenilefrina/Dextrometorfano</t>
  </si>
  <si>
    <t>Paracetamol/Fenilefrina</t>
  </si>
  <si>
    <t>Budesonida/Formoterol</t>
  </si>
  <si>
    <t>Ambroxol/Salbutamol</t>
  </si>
  <si>
    <t>Lidocaína/Teofilina/Guayafenesina</t>
  </si>
  <si>
    <t>Dextrometorfano</t>
  </si>
  <si>
    <t>Dropropizina</t>
  </si>
  <si>
    <t>Paracetamol/Dextrometorfano</t>
  </si>
  <si>
    <t>Guaifenesina/Oxolamina</t>
  </si>
  <si>
    <t>Dropropizina/Ambroxol</t>
  </si>
  <si>
    <t>Loratadina/Fenilefrina</t>
  </si>
  <si>
    <t>Loratadina/Fenilefrina/Paracetamol</t>
  </si>
  <si>
    <t>Clorfenamina/Paracetamol</t>
  </si>
  <si>
    <t>Meclizina/Piridoxina</t>
  </si>
  <si>
    <t>Rupatadina</t>
  </si>
  <si>
    <t>Difenhidramina</t>
  </si>
  <si>
    <t>Ketotifeno</t>
  </si>
  <si>
    <t>Loratadina/Paracetamol/Ácido ascórbico</t>
  </si>
  <si>
    <t>Desloratadina</t>
  </si>
  <si>
    <t>Loratadina/Ambroxol</t>
  </si>
  <si>
    <t>Acetónido de fluocinolona/Polimixina B/Neomicina</t>
  </si>
  <si>
    <t>Oximetazolina/Carmelosa</t>
  </si>
  <si>
    <t>Polimixina B/Neomicina/Lidocaína</t>
  </si>
  <si>
    <t>Aluminio/Magnesio/Metoclopramida/Simeticona</t>
  </si>
  <si>
    <t>Bicarbonato de sodio/Ácido cítrico/Ácido acetilsalicílico</t>
  </si>
  <si>
    <t>Bicarbonato de sodio/Ácido tartárico/Ácido cítrico</t>
  </si>
  <si>
    <t>Hidróxido de aluminio/Hidróxido de magnesio/Simeticona</t>
  </si>
  <si>
    <t>Ranitidina</t>
  </si>
  <si>
    <t>Levopantoprazol</t>
  </si>
  <si>
    <t>Trimebutina/Simeticona/Galactosidasa</t>
  </si>
  <si>
    <t>Dimeticona</t>
  </si>
  <si>
    <t>Bromuro de otilonio</t>
  </si>
  <si>
    <t>Alverina/Simeticona</t>
  </si>
  <si>
    <t>Floroglucinol/Trimetilfloroglucinol/Clonixinato de lisina</t>
  </si>
  <si>
    <t>Simeticona/Pancreatina/Extracto seco de bilis de buey/Celulasa de Aspergillus niger</t>
  </si>
  <si>
    <t>Picosulfato de sodio</t>
  </si>
  <si>
    <t>Nifuroxazida/Metronidazol</t>
  </si>
  <si>
    <t>Fentermina</t>
  </si>
  <si>
    <t>Orlistat</t>
  </si>
  <si>
    <t>Orlistat Resveratrol</t>
  </si>
  <si>
    <t>Rosiglitazona/Metformina</t>
  </si>
  <si>
    <t>Empaglifozina/Metformina</t>
  </si>
  <si>
    <t>Linagliptina</t>
  </si>
  <si>
    <t>Retinol/Colecalciferol/Ácido ascórbico</t>
  </si>
  <si>
    <t>Retinol/Ácido ascórbico/Ergocalciferol</t>
  </si>
  <si>
    <t>Calcitriol</t>
  </si>
  <si>
    <t>Calcio/Ergocalciferol</t>
  </si>
  <si>
    <t>Apixabán</t>
  </si>
  <si>
    <t>Enoxaparina sódica</t>
  </si>
  <si>
    <t>Hierro polimatosado</t>
  </si>
  <si>
    <t>Sulfato ferroso</t>
  </si>
  <si>
    <t>Fumarato ferroso</t>
  </si>
  <si>
    <t>Hidroxocobalamina</t>
  </si>
  <si>
    <t>Prazosina</t>
  </si>
  <si>
    <t>Clortalidona</t>
  </si>
  <si>
    <t>Fumarato de bisoprolol</t>
  </si>
  <si>
    <t>Verapamilo</t>
  </si>
  <si>
    <t>Enalapril</t>
  </si>
  <si>
    <t>Candesartán Cilexetilo</t>
  </si>
  <si>
    <t>Irbersartán / Hidroclorotiazida</t>
  </si>
  <si>
    <t>Simvastatina</t>
  </si>
  <si>
    <t>Fenofibrato</t>
  </si>
  <si>
    <t>Clotrimazol</t>
  </si>
  <si>
    <t>Miconazol</t>
  </si>
  <si>
    <t>Polividona</t>
  </si>
  <si>
    <t>Desonida</t>
  </si>
  <si>
    <t>Nitrofural</t>
  </si>
  <si>
    <t>Furazolidona/Diyodohidroxiquinoleína/Caolín/Pectina/Metilbromuro de homatropina</t>
  </si>
  <si>
    <t>Metronidazol/Nistatina</t>
  </si>
  <si>
    <t>Isoconazol</t>
  </si>
  <si>
    <t>Norelgestromina/Etinilestradiol</t>
  </si>
  <si>
    <t>Progesterona/Estradiol</t>
  </si>
  <si>
    <t>Estrógenos Conjugados</t>
  </si>
  <si>
    <t>17-beta-estradiol/Trimegestona</t>
  </si>
  <si>
    <t>Ácido nalidíxico/Fenazopiridina</t>
  </si>
  <si>
    <t>Metilprednisolona</t>
  </si>
  <si>
    <t>Doxiciclina</t>
  </si>
  <si>
    <t>Bencilpenicilina Procaína/Bencilpenicilina cristalina</t>
  </si>
  <si>
    <t>Cefalexina/Bromhexina</t>
  </si>
  <si>
    <t>Cefuroxina</t>
  </si>
  <si>
    <t>Lincomicina</t>
  </si>
  <si>
    <t>Gentamicina</t>
  </si>
  <si>
    <t>Itraconazol/Secnidazol</t>
  </si>
  <si>
    <t>Efavirenz/Emtricitabina/Tenofovir</t>
  </si>
  <si>
    <t>Pidotimod</t>
  </si>
  <si>
    <t>Keterolaco</t>
  </si>
  <si>
    <t>Keterolaco Trometamina</t>
  </si>
  <si>
    <t>Loxoprofeno</t>
  </si>
  <si>
    <t>Naproxeno sódico</t>
  </si>
  <si>
    <t>Dexketoprofeno</t>
  </si>
  <si>
    <t>Aceclofenaco</t>
  </si>
  <si>
    <t>Alopurinol</t>
  </si>
  <si>
    <t>Citidín-5-monofosfato/Uridin-5-monofosfato disódico/Uridín-5-trifosfato trisódico</t>
  </si>
  <si>
    <t>Lidocaína/Prilocaína</t>
  </si>
  <si>
    <t>Tramadol</t>
  </si>
  <si>
    <t>Keterolaco/Tramadol</t>
  </si>
  <si>
    <t>Paracetamol/Ibuprofeno</t>
  </si>
  <si>
    <t>Clonixinato de lisina</t>
  </si>
  <si>
    <t>Paracetamol/Cafeína</t>
  </si>
  <si>
    <t>Ácido valproico</t>
  </si>
  <si>
    <t>Valproato de magensio</t>
  </si>
  <si>
    <t>Fenitoina</t>
  </si>
  <si>
    <t>Biperideno</t>
  </si>
  <si>
    <t>Levodopa/Benserazida</t>
  </si>
  <si>
    <t>Pramipexol</t>
  </si>
  <si>
    <t>Risperidona</t>
  </si>
  <si>
    <t>Zuclopentixol</t>
  </si>
  <si>
    <t>Alprazolam</t>
  </si>
  <si>
    <t>Escitalopram</t>
  </si>
  <si>
    <t>Atomoxetina</t>
  </si>
  <si>
    <t>Amitriptilina/Diazepam/Perfenazina</t>
  </si>
  <si>
    <t>Galantamina</t>
  </si>
  <si>
    <t>Mebendazol/Quinfamida</t>
  </si>
  <si>
    <t>Pirantel</t>
  </si>
  <si>
    <t>Ácido acetilsalicílico/Fenilefrina/Clorfenamina</t>
  </si>
  <si>
    <t>Paracetamol/Fenilefrina/Dextrometorfano/Clorfenamina</t>
  </si>
  <si>
    <t>Bromuro de ipratropio/Salbutamol</t>
  </si>
  <si>
    <t>Salbutamol</t>
  </si>
  <si>
    <t>Tiotropio</t>
  </si>
  <si>
    <t>Ambroxol/Teofilina</t>
  </si>
  <si>
    <t>Guayacol</t>
  </si>
  <si>
    <t>Bromhexina/Oxeladina</t>
  </si>
  <si>
    <t>Guaifenesina/Dextrometorfano</t>
  </si>
  <si>
    <t>Dextrometorfano/Guaifenesina</t>
  </si>
  <si>
    <t>Guifenesina/Fenilefrina/Dextrometorfano</t>
  </si>
  <si>
    <t>Epinastina</t>
  </si>
  <si>
    <t>Levocitirizina</t>
  </si>
  <si>
    <t>Meclizina/Piridoxina/Lidocaína</t>
  </si>
  <si>
    <t>Neomicina/Polimixina B/Bacitracina</t>
  </si>
  <si>
    <t>Brimonidina/Timolol</t>
  </si>
  <si>
    <t>Neomicina/Polimixina B/Acetónido de fluocinolona/Lidocaína</t>
  </si>
  <si>
    <t>Cloranfenicol/Benzocaina</t>
  </si>
  <si>
    <t>Esomeprazol</t>
  </si>
  <si>
    <t>Floroglucinol/Trimetilfloroglucinol</t>
  </si>
  <si>
    <t>Bromuro de pinaverio/Simeticona</t>
  </si>
  <si>
    <t>Hioscina/Ibuprofeno</t>
  </si>
  <si>
    <t>Hioscina/Metamizol sódico</t>
  </si>
  <si>
    <t>Acetilsalicilato de lisina/Metoclopramida</t>
  </si>
  <si>
    <t>Palonosetrón</t>
  </si>
  <si>
    <t>Bisacodilo</t>
  </si>
  <si>
    <t>Rifaximina</t>
  </si>
  <si>
    <t>Esporas de Bacillus clausii</t>
  </si>
  <si>
    <t>Empagliflozina</t>
  </si>
  <si>
    <t>Ácido ascórbico/Cianocobalamina/Ácido fólico/D-alfa-tocoferol/Hierro</t>
  </si>
  <si>
    <t>Gluconolactado de calcio/Carbonato de calcio</t>
  </si>
  <si>
    <t>Citrato de Potasio/Ácido cítrico</t>
  </si>
  <si>
    <t>Carnitina/Metionina/Tiamina</t>
  </si>
  <si>
    <t>Ruscus aculeatus/Lactobacillus sporogenes/Ácido ascórbico</t>
  </si>
  <si>
    <t>Lidocaína/Hidrocortisona/Óxido de zinc/Subacetato de aluminio</t>
  </si>
  <si>
    <t>Olmesartán Medoxomilo</t>
  </si>
  <si>
    <t>Rosuvastatina</t>
  </si>
  <si>
    <t>Ezetimiba/Rosuvastatina</t>
  </si>
  <si>
    <t>Ácido undecilénico/Undecilenato de zinc</t>
  </si>
  <si>
    <t>Ácido acexámico</t>
  </si>
  <si>
    <t>Ácido acexámico/Neomicina</t>
  </si>
  <si>
    <t>Diyodohidroxiquinoleína/Metronidazol</t>
  </si>
  <si>
    <t>Drospirenona/Etinilestradiol</t>
  </si>
  <si>
    <t>Medroxiprogesterona</t>
  </si>
  <si>
    <t>Dutasterida</t>
  </si>
  <si>
    <t>Tetracilina</t>
  </si>
  <si>
    <t>Cloranfenicol</t>
  </si>
  <si>
    <t>Cefotaxima</t>
  </si>
  <si>
    <t>Clindamicina/Ketoconazol</t>
  </si>
  <si>
    <t>Amikacina</t>
  </si>
  <si>
    <t>Carboplatino</t>
  </si>
  <si>
    <t>Ketoprofeno</t>
  </si>
  <si>
    <t>Diacereína/Meloxicam</t>
  </si>
  <si>
    <t>Nitazoxadina</t>
  </si>
  <si>
    <t>Montelukast/Levocetirizina</t>
  </si>
  <si>
    <t>Montelukast/Loratadina</t>
  </si>
  <si>
    <t>Carbocisteina</t>
  </si>
  <si>
    <t>Levodropropizina</t>
  </si>
  <si>
    <t>Oxitetraciclina/Polimixina B</t>
  </si>
  <si>
    <t>Neomicina/Polimixina B/Gramicidina</t>
  </si>
  <si>
    <t>Retinol/Ergocalciferol</t>
  </si>
  <si>
    <t>Tiamina/Piridoxina/Cianocobalamina/Dexametasona/Lidocaína</t>
  </si>
  <si>
    <t>Dobesilato de calcio/Diosmina/Hesperidina</t>
  </si>
  <si>
    <t>Captopril</t>
  </si>
  <si>
    <t>Losartán/Hidroclorotiazida</t>
  </si>
  <si>
    <t>Acetónido de fluocinolona</t>
  </si>
  <si>
    <t>Zolmitriptano</t>
  </si>
  <si>
    <t>Levetiracetam</t>
  </si>
  <si>
    <t>Permetrina</t>
  </si>
  <si>
    <t>Paracetamol/Cafeína/Fenilefrina/Clorfenamina</t>
  </si>
  <si>
    <t>Pramigel</t>
  </si>
  <si>
    <t>Promezal</t>
  </si>
  <si>
    <t>Espaven Enzimático</t>
  </si>
  <si>
    <t>Microlax</t>
  </si>
  <si>
    <t>Anara</t>
  </si>
  <si>
    <t>Enterodar Compuesto</t>
  </si>
  <si>
    <t>Nineka</t>
  </si>
  <si>
    <t>Artizon</t>
  </si>
  <si>
    <t>Novakosid</t>
  </si>
  <si>
    <t>Kaposalt</t>
  </si>
  <si>
    <t>Pisacaína</t>
  </si>
  <si>
    <t>Narhemo</t>
  </si>
  <si>
    <t>Saprame</t>
  </si>
  <si>
    <t>Rojtier</t>
  </si>
  <si>
    <t>Ormopen</t>
  </si>
  <si>
    <t>Clavipen</t>
  </si>
  <si>
    <t>Brupen</t>
  </si>
  <si>
    <t>Ameztram</t>
  </si>
  <si>
    <t>Seltaferon</t>
  </si>
  <si>
    <t>Rantudil</t>
  </si>
  <si>
    <t>Rantudil Retard</t>
  </si>
  <si>
    <t>Brupacil Compuesto</t>
  </si>
  <si>
    <t>Graneodin-B</t>
  </si>
  <si>
    <t>Traumazol</t>
  </si>
  <si>
    <t>Indigo</t>
  </si>
  <si>
    <t>Hidroxin</t>
  </si>
  <si>
    <t>Ortopsique</t>
  </si>
  <si>
    <t>Plaquenil</t>
  </si>
  <si>
    <t>Loxcell NF</t>
  </si>
  <si>
    <t>Exaliv</t>
  </si>
  <si>
    <t>Everest</t>
  </si>
  <si>
    <t>Mucotoxol</t>
  </si>
  <si>
    <t>Bocetix</t>
  </si>
  <si>
    <t>Tamex</t>
  </si>
  <si>
    <t>Grimeral</t>
  </si>
  <si>
    <t>Clorotrimeton</t>
  </si>
  <si>
    <t>Sitinir</t>
  </si>
  <si>
    <t>Opcon-A</t>
  </si>
  <si>
    <t>Naphacel Ofteno</t>
  </si>
  <si>
    <t>Systane Ultra</t>
  </si>
  <si>
    <t>Antivipmyn</t>
  </si>
  <si>
    <t>PRAMIGEL</t>
  </si>
  <si>
    <t>Dolbutin</t>
  </si>
  <si>
    <t>NEOKAP-LF</t>
  </si>
  <si>
    <t>BISTATIN-V</t>
  </si>
  <si>
    <t>Nodiamex</t>
  </si>
  <si>
    <t>Norapred</t>
  </si>
  <si>
    <t>BRUCEN</t>
  </si>
  <si>
    <t>Janumet</t>
  </si>
  <si>
    <t>Clexane</t>
  </si>
  <si>
    <t>DEVIPLAT</t>
  </si>
  <si>
    <t>ANGIOTROFIN AP</t>
  </si>
  <si>
    <t>ROVEMAX</t>
  </si>
  <si>
    <t>Biofilen</t>
  </si>
  <si>
    <t>Avivia</t>
  </si>
  <si>
    <t>Zintrepid</t>
  </si>
  <si>
    <t>ERBITRAX</t>
  </si>
  <si>
    <t>Benzac Ac</t>
  </si>
  <si>
    <t>TROPHARMA</t>
  </si>
  <si>
    <t>Duphaston</t>
  </si>
  <si>
    <t>DUPHASTON</t>
  </si>
  <si>
    <t>Amzuvag</t>
  </si>
  <si>
    <t>AMZUVAG</t>
  </si>
  <si>
    <t>Sinkel</t>
  </si>
  <si>
    <t>Vanadyl</t>
  </si>
  <si>
    <t>Moxpharma</t>
  </si>
  <si>
    <t>Traxicoll</t>
  </si>
  <si>
    <t>Soltrim</t>
  </si>
  <si>
    <t>Sophixin Ofteno</t>
  </si>
  <si>
    <t>IYALIB</t>
  </si>
  <si>
    <t>REUTRICAM</t>
  </si>
  <si>
    <t>Ribotripsin</t>
  </si>
  <si>
    <t>Aspitak-p</t>
  </si>
  <si>
    <t>Prosedal</t>
  </si>
  <si>
    <t>Indigon</t>
  </si>
  <si>
    <t>Fayrus</t>
  </si>
  <si>
    <t>FAYRUS</t>
  </si>
  <si>
    <t>BOSNOV</t>
  </si>
  <si>
    <t>F-exina</t>
  </si>
  <si>
    <t>paramix</t>
  </si>
  <si>
    <t>Zimeton</t>
  </si>
  <si>
    <t>KATSORAAM</t>
  </si>
  <si>
    <t>PROSPEC</t>
  </si>
  <si>
    <t>Pharben</t>
  </si>
  <si>
    <t>Derimeton</t>
  </si>
  <si>
    <t>Vomisin</t>
  </si>
  <si>
    <t>Laritol</t>
  </si>
  <si>
    <t>ZEBESTEN</t>
  </si>
  <si>
    <t>ALPHAGAN</t>
  </si>
  <si>
    <t>Opramid</t>
  </si>
  <si>
    <t>POPRAM</t>
  </si>
  <si>
    <t>Lemophar</t>
  </si>
  <si>
    <t>precicol</t>
  </si>
  <si>
    <t>Conysmin</t>
  </si>
  <si>
    <t>Amal</t>
  </si>
  <si>
    <t>Reglusan</t>
  </si>
  <si>
    <t>DIMEFOR</t>
  </si>
  <si>
    <t>IMALET</t>
  </si>
  <si>
    <t>OCRIX</t>
  </si>
  <si>
    <t>Combedi</t>
  </si>
  <si>
    <t>DICLOVIR</t>
  </si>
  <si>
    <t>Prolub</t>
  </si>
  <si>
    <t>CILOCID</t>
  </si>
  <si>
    <t>Solución HT</t>
  </si>
  <si>
    <t>HUCIUS</t>
  </si>
  <si>
    <t>Gelprim</t>
  </si>
  <si>
    <t>Alderán</t>
  </si>
  <si>
    <t>Archer-Compuesto</t>
  </si>
  <si>
    <t>Colpradin</t>
  </si>
  <si>
    <t>Deslocron</t>
  </si>
  <si>
    <t>NIBEZVAG</t>
  </si>
  <si>
    <t>Prasiver</t>
  </si>
  <si>
    <t>Glicosar</t>
  </si>
  <si>
    <t>Golidonez</t>
  </si>
  <si>
    <t>AKORAZOL</t>
  </si>
  <si>
    <t>Maclov</t>
  </si>
  <si>
    <t>Bentix</t>
  </si>
  <si>
    <t>GESLUTIN</t>
  </si>
  <si>
    <t>NOSIPREN</t>
  </si>
  <si>
    <t>Mexapin</t>
  </si>
  <si>
    <t>BRUBIOL</t>
  </si>
  <si>
    <t>VOYDOL</t>
  </si>
  <si>
    <t>Renidac</t>
  </si>
  <si>
    <t>Flaxenol</t>
  </si>
  <si>
    <t>Eufenil Forte</t>
  </si>
  <si>
    <t>Ordegan</t>
  </si>
  <si>
    <t>ACORTRAL</t>
  </si>
  <si>
    <t>PAXIL</t>
  </si>
  <si>
    <t>VERIDEX</t>
  </si>
  <si>
    <t>Katsoraam</t>
  </si>
  <si>
    <t>Oxalvan</t>
  </si>
  <si>
    <t>HISTIACIL NF</t>
  </si>
  <si>
    <t>Benzonal</t>
  </si>
  <si>
    <t>Antroxolam</t>
  </si>
  <si>
    <t>Laritol D</t>
  </si>
  <si>
    <t>Truglad</t>
  </si>
  <si>
    <t>Fazolin F</t>
  </si>
  <si>
    <t>Biomesina compuesta</t>
  </si>
  <si>
    <t>Talnesis</t>
  </si>
  <si>
    <t>HT-BLOC</t>
  </si>
  <si>
    <t>Sons</t>
  </si>
  <si>
    <t>Lomotil</t>
  </si>
  <si>
    <t>DIMEFOR-G</t>
  </si>
  <si>
    <t>Akspri</t>
  </si>
  <si>
    <t>Galvus</t>
  </si>
  <si>
    <t>Loventrax</t>
  </si>
  <si>
    <t>Lescol XL</t>
  </si>
  <si>
    <t>Temitev</t>
  </si>
  <si>
    <t>Docupren</t>
  </si>
  <si>
    <t>InVictus</t>
  </si>
  <si>
    <t>Acroxil-C</t>
  </si>
  <si>
    <t>Nafacil</t>
  </si>
  <si>
    <t>Bisultrim</t>
  </si>
  <si>
    <t>Fluixacord</t>
  </si>
  <si>
    <t>Brubiol</t>
  </si>
  <si>
    <t>Z-Xin</t>
  </si>
  <si>
    <t>Fossin</t>
  </si>
  <si>
    <t>Dolver</t>
  </si>
  <si>
    <t>Celebrex</t>
  </si>
  <si>
    <t>Ml- Prim</t>
  </si>
  <si>
    <t>Ofelicon</t>
  </si>
  <si>
    <t>FOSAMAX</t>
  </si>
  <si>
    <t>Trileptal</t>
  </si>
  <si>
    <t>Eflecon</t>
  </si>
  <si>
    <t>Biomisen</t>
  </si>
  <si>
    <t>Nocte</t>
  </si>
  <si>
    <t>Secnidal</t>
  </si>
  <si>
    <t>Ivexterm</t>
  </si>
  <si>
    <t>Veridex</t>
  </si>
  <si>
    <t>Aytugre NS</t>
  </si>
  <si>
    <t>Senovital</t>
  </si>
  <si>
    <t>Desenfriol-ito plus</t>
  </si>
  <si>
    <t>Sensibit D</t>
  </si>
  <si>
    <t>Padamina</t>
  </si>
  <si>
    <t>Beniflant</t>
  </si>
  <si>
    <t>Isodine</t>
  </si>
  <si>
    <t>Espraden</t>
  </si>
  <si>
    <t>Alumag</t>
  </si>
  <si>
    <t>Galaver</t>
  </si>
  <si>
    <t>Noraxidexina</t>
  </si>
  <si>
    <t>Phillip's</t>
  </si>
  <si>
    <t>Inhibitron F</t>
  </si>
  <si>
    <t>Omaprid</t>
  </si>
  <si>
    <t>Pylopac</t>
  </si>
  <si>
    <t>Plidán Compuesto</t>
  </si>
  <si>
    <t>Espabión</t>
  </si>
  <si>
    <t>Alevian Duo</t>
  </si>
  <si>
    <t>Genecar</t>
  </si>
  <si>
    <t>Pasmodil Duo</t>
  </si>
  <si>
    <t>Serralpina</t>
  </si>
  <si>
    <t>Biomesina</t>
  </si>
  <si>
    <t>Doltrix</t>
  </si>
  <si>
    <t>Precicol</t>
  </si>
  <si>
    <t>Espavén</t>
  </si>
  <si>
    <t>Plasil</t>
  </si>
  <si>
    <t>Mipramid</t>
  </si>
  <si>
    <t>Cirulan</t>
  </si>
  <si>
    <t>Presistín</t>
  </si>
  <si>
    <t>Carnotprim</t>
  </si>
  <si>
    <t>Raamfen</t>
  </si>
  <si>
    <t>Nilamsel</t>
  </si>
  <si>
    <t>Pepto-Bismol</t>
  </si>
  <si>
    <t>Itamol</t>
  </si>
  <si>
    <t>Lorabest</t>
  </si>
  <si>
    <t>Salofalk</t>
  </si>
  <si>
    <t>Miflonide</t>
  </si>
  <si>
    <t>Glimetal Lex</t>
  </si>
  <si>
    <t>Zukedib</t>
  </si>
  <si>
    <t>Sirza</t>
  </si>
  <si>
    <t>Brucen</t>
  </si>
  <si>
    <t>Galvus Met</t>
  </si>
  <si>
    <t>Elevit</t>
  </si>
  <si>
    <t>Citracal+T</t>
  </si>
  <si>
    <t>Histofil</t>
  </si>
  <si>
    <t>Meclison</t>
  </si>
  <si>
    <t>Trobedoce</t>
  </si>
  <si>
    <t>Neurobion</t>
  </si>
  <si>
    <t>Redoxon Forte</t>
  </si>
  <si>
    <t>Oxital C</t>
  </si>
  <si>
    <t>Lixiana</t>
  </si>
  <si>
    <t>Hemosin-K</t>
  </si>
  <si>
    <t>Ferranina fol</t>
  </si>
  <si>
    <t>Dunox SOL</t>
  </si>
  <si>
    <t>Solución CS</t>
  </si>
  <si>
    <t>Frinver</t>
  </si>
  <si>
    <t>Klimyn</t>
  </si>
  <si>
    <t>Diurmessel</t>
  </si>
  <si>
    <t>Duplat</t>
  </si>
  <si>
    <t>Mevedim</t>
  </si>
  <si>
    <t>Promiced</t>
  </si>
  <si>
    <t>Concor</t>
  </si>
  <si>
    <t>Combi-Sig</t>
  </si>
  <si>
    <t>Exforge HCT</t>
  </si>
  <si>
    <t>Preterax</t>
  </si>
  <si>
    <t>Co-Altiver</t>
  </si>
  <si>
    <t>Safebul</t>
  </si>
  <si>
    <t>Lospotar</t>
  </si>
  <si>
    <t>Versalver</t>
  </si>
  <si>
    <t>Iltux2HCT</t>
  </si>
  <si>
    <t>Co-Diovan</t>
  </si>
  <si>
    <t>Coriatros Duo</t>
  </si>
  <si>
    <t>Nibezvag</t>
  </si>
  <si>
    <t>Bionolip</t>
  </si>
  <si>
    <t>Novina</t>
  </si>
  <si>
    <t>Raypid</t>
  </si>
  <si>
    <t>Unasal</t>
  </si>
  <si>
    <t>Mycelvan</t>
  </si>
  <si>
    <t>Aceler</t>
  </si>
  <si>
    <t>Barmicil</t>
  </si>
  <si>
    <t>Baycuten</t>
  </si>
  <si>
    <t>Merthiolate</t>
  </si>
  <si>
    <t>Estericide</t>
  </si>
  <si>
    <t>Elidel</t>
  </si>
  <si>
    <t>Perludil</t>
  </si>
  <si>
    <t>Qlaira</t>
  </si>
  <si>
    <t>Celesbitan</t>
  </si>
  <si>
    <t>Karet</t>
  </si>
  <si>
    <t>Dimopen</t>
  </si>
  <si>
    <t>Amifarin</t>
  </si>
  <si>
    <t>Clamoxin</t>
  </si>
  <si>
    <t>Denvar</t>
  </si>
  <si>
    <t>Beneventol</t>
  </si>
  <si>
    <t>Bixelor-C</t>
  </si>
  <si>
    <t>Nixelaf-C</t>
  </si>
  <si>
    <t>Ceflacid</t>
  </si>
  <si>
    <t>Cefalver</t>
  </si>
  <si>
    <t>Bateral</t>
  </si>
  <si>
    <t>Bactiver</t>
  </si>
  <si>
    <t>Ormoprin</t>
  </si>
  <si>
    <t>Amonadin</t>
  </si>
  <si>
    <t>Krobicin</t>
  </si>
  <si>
    <t>Adel</t>
  </si>
  <si>
    <t>Craztronin</t>
  </si>
  <si>
    <t>Klarix</t>
  </si>
  <si>
    <t>Evocs III</t>
  </si>
  <si>
    <t>Floxinobest</t>
  </si>
  <si>
    <t>Orecil NF</t>
  </si>
  <si>
    <t>Terfhicid</t>
  </si>
  <si>
    <t>Stomffler</t>
  </si>
  <si>
    <t>Furitex</t>
  </si>
  <si>
    <t>Steitraz</t>
  </si>
  <si>
    <t>Konaturil</t>
  </si>
  <si>
    <t>Cicloferon</t>
  </si>
  <si>
    <t>Virazide</t>
  </si>
  <si>
    <t>Clirbest</t>
  </si>
  <si>
    <t>Tempra Fen</t>
  </si>
  <si>
    <t>Dolo-Neurobión Forte</t>
  </si>
  <si>
    <t>Dolprim</t>
  </si>
  <si>
    <t>Supradol</t>
  </si>
  <si>
    <t>Biometacin</t>
  </si>
  <si>
    <t>Bioximil</t>
  </si>
  <si>
    <t>Facicam</t>
  </si>
  <si>
    <t>Viaflex</t>
  </si>
  <si>
    <t>Proxalin plus</t>
  </si>
  <si>
    <t>Dolxen</t>
  </si>
  <si>
    <t>Severin NF</t>
  </si>
  <si>
    <t>Febrax</t>
  </si>
  <si>
    <t>Dafloxen F</t>
  </si>
  <si>
    <t>Volfenac</t>
  </si>
  <si>
    <t>Dolprofen</t>
  </si>
  <si>
    <t>Actron</t>
  </si>
  <si>
    <t>Brax</t>
  </si>
  <si>
    <t>Doflatem</t>
  </si>
  <si>
    <t>Indarzona</t>
  </si>
  <si>
    <t>Lumboxen</t>
  </si>
  <si>
    <t>Mydocalm-A</t>
  </si>
  <si>
    <t>Sirdalud</t>
  </si>
  <si>
    <t>Malival</t>
  </si>
  <si>
    <t>Tafirol Flex</t>
  </si>
  <si>
    <t>Sixol</t>
  </si>
  <si>
    <t>Fosamax Plus</t>
  </si>
  <si>
    <t>Dorixina-TMR</t>
  </si>
  <si>
    <t>Rominsol</t>
  </si>
  <si>
    <t>Cafiaspirina</t>
  </si>
  <si>
    <t>Metapirona</t>
  </si>
  <si>
    <t>Coriver 750</t>
  </si>
  <si>
    <t>Neo-Melubrina</t>
  </si>
  <si>
    <t>Wermy</t>
  </si>
  <si>
    <t>Tempire</t>
  </si>
  <si>
    <t>Actinium</t>
  </si>
  <si>
    <t>Gaelorax</t>
  </si>
  <si>
    <t>Efexor XR</t>
  </si>
  <si>
    <t>Arquera</t>
  </si>
  <si>
    <t>Exidena</t>
  </si>
  <si>
    <t>Farmiver</t>
  </si>
  <si>
    <t>Xermixil</t>
  </si>
  <si>
    <t>Hastilan</t>
  </si>
  <si>
    <t>Afrin</t>
  </si>
  <si>
    <t>Sterimar</t>
  </si>
  <si>
    <t>Sensibit-RIN</t>
  </si>
  <si>
    <t>Pyrena</t>
  </si>
  <si>
    <t>Vannair</t>
  </si>
  <si>
    <t>Symbicort</t>
  </si>
  <si>
    <t>Pulmicort</t>
  </si>
  <si>
    <t>Fluvicil</t>
  </si>
  <si>
    <t>Senociclin</t>
  </si>
  <si>
    <t>Oxolvan</t>
  </si>
  <si>
    <t>Mucovibrol</t>
  </si>
  <si>
    <t>Debequin</t>
  </si>
  <si>
    <t>Bioxover</t>
  </si>
  <si>
    <t>Brudex</t>
  </si>
  <si>
    <t>Bioquida</t>
  </si>
  <si>
    <t>Theraflu Daytime</t>
  </si>
  <si>
    <t>Fenocol</t>
  </si>
  <si>
    <t>Histiacil FAM</t>
  </si>
  <si>
    <t>Troferit</t>
  </si>
  <si>
    <t>Bramin-flu</t>
  </si>
  <si>
    <t>Dimegan-D</t>
  </si>
  <si>
    <t>XL3</t>
  </si>
  <si>
    <t>Desenfriolito</t>
  </si>
  <si>
    <t>Docsi</t>
  </si>
  <si>
    <t>Repafet</t>
  </si>
  <si>
    <t>Gelbeck</t>
  </si>
  <si>
    <t>Keraffler</t>
  </si>
  <si>
    <t>Rosel</t>
  </si>
  <si>
    <t>KY6</t>
  </si>
  <si>
    <t>Oxigricol</t>
  </si>
  <si>
    <t>Histapharm</t>
  </si>
  <si>
    <t>Sensibit</t>
  </si>
  <si>
    <t>Lovarin</t>
  </si>
  <si>
    <t>Sensibit XP</t>
  </si>
  <si>
    <t>Synalar oftálmico</t>
  </si>
  <si>
    <t>Borcatho</t>
  </si>
  <si>
    <t>Alka-Seltzer</t>
  </si>
  <si>
    <t>Sal de Uvas Picot</t>
  </si>
  <si>
    <t>Espavén Alcalino</t>
  </si>
  <si>
    <t>Alivoato</t>
  </si>
  <si>
    <t>Phartidine</t>
  </si>
  <si>
    <t>Mornin</t>
  </si>
  <si>
    <t>Discral</t>
  </si>
  <si>
    <t>Nexium</t>
  </si>
  <si>
    <t>Gamo</t>
  </si>
  <si>
    <t>Losec a10</t>
  </si>
  <si>
    <t>Popram</t>
  </si>
  <si>
    <t>Zoltum</t>
  </si>
  <si>
    <t>Prazolan</t>
  </si>
  <si>
    <t>Libertrim Alfa</t>
  </si>
  <si>
    <t>Dintrefergot</t>
  </si>
  <si>
    <t>Omuro</t>
  </si>
  <si>
    <t>Cineprac</t>
  </si>
  <si>
    <t>Meteospasmil</t>
  </si>
  <si>
    <t>Klonaza</t>
  </si>
  <si>
    <t>Lutropen</t>
  </si>
  <si>
    <t>Brupacil</t>
  </si>
  <si>
    <t>Braxigort</t>
  </si>
  <si>
    <t>Neokap-LF</t>
  </si>
  <si>
    <t>Eskapar</t>
  </si>
  <si>
    <t>Kaopectate</t>
  </si>
  <si>
    <t>Pepto bismol</t>
  </si>
  <si>
    <t>Tarmin</t>
  </si>
  <si>
    <t>Acxion</t>
  </si>
  <si>
    <t>Vasdecom</t>
  </si>
  <si>
    <t>Lindeza</t>
  </si>
  <si>
    <t>Conagrad</t>
  </si>
  <si>
    <t>Robergen</t>
  </si>
  <si>
    <t>Avandamet</t>
  </si>
  <si>
    <t>Duo-Anglucid</t>
  </si>
  <si>
    <t>Jardianz Duo</t>
  </si>
  <si>
    <t>Trayenta</t>
  </si>
  <si>
    <t>Diglexol</t>
  </si>
  <si>
    <t>Zartid</t>
  </si>
  <si>
    <t>Aderogyl</t>
  </si>
  <si>
    <t>E-400</t>
  </si>
  <si>
    <t>Eternal</t>
  </si>
  <si>
    <t>E-fertoc</t>
  </si>
  <si>
    <t>Caltron 600+D</t>
  </si>
  <si>
    <t>Agreless</t>
  </si>
  <si>
    <t>Ferranina Fol</t>
  </si>
  <si>
    <t>Ferranina</t>
  </si>
  <si>
    <t>Biofenor</t>
  </si>
  <si>
    <t>Ferval</t>
  </si>
  <si>
    <t>Insucar</t>
  </si>
  <si>
    <t>Isoket</t>
  </si>
  <si>
    <t>Debisor</t>
  </si>
  <si>
    <t>Lasix</t>
  </si>
  <si>
    <t>Tecxifil</t>
  </si>
  <si>
    <t>Hesven</t>
  </si>
  <si>
    <t>Kenaprol</t>
  </si>
  <si>
    <t>Bioprol</t>
  </si>
  <si>
    <t>Notinzantel</t>
  </si>
  <si>
    <t>Preslopin</t>
  </si>
  <si>
    <t>Coriatros</t>
  </si>
  <si>
    <t>Atacand</t>
  </si>
  <si>
    <t>Staars</t>
  </si>
  <si>
    <t>Co-Aprovel</t>
  </si>
  <si>
    <t>Xanterok</t>
  </si>
  <si>
    <t>Lesbest</t>
  </si>
  <si>
    <t>Silka Medic</t>
  </si>
  <si>
    <t>Sognosin</t>
  </si>
  <si>
    <t>Lecoder</t>
  </si>
  <si>
    <t>Baño coloide</t>
  </si>
  <si>
    <t>Dermalive</t>
  </si>
  <si>
    <t>Mertodol blanco</t>
  </si>
  <si>
    <t>Furacim</t>
  </si>
  <si>
    <t>Dalatina</t>
  </si>
  <si>
    <t>Threchop</t>
  </si>
  <si>
    <t>Fenimeth-V</t>
  </si>
  <si>
    <t>Icaden</t>
  </si>
  <si>
    <t>Evra</t>
  </si>
  <si>
    <t>Gestrygen</t>
  </si>
  <si>
    <t>CremaV</t>
  </si>
  <si>
    <t>Totelle</t>
  </si>
  <si>
    <t>Solsolona</t>
  </si>
  <si>
    <t>Nopradet</t>
  </si>
  <si>
    <t>Alin</t>
  </si>
  <si>
    <t>Eutirox</t>
  </si>
  <si>
    <t>Diclo-tecno</t>
  </si>
  <si>
    <t>Clamoxín</t>
  </si>
  <si>
    <t>Valclan</t>
  </si>
  <si>
    <t>Gimalxina</t>
  </si>
  <si>
    <t>CepoBrom</t>
  </si>
  <si>
    <t>Zinnat</t>
  </si>
  <si>
    <t>Auroviax</t>
  </si>
  <si>
    <t>Cefurocet</t>
  </si>
  <si>
    <t>Bacteral</t>
  </si>
  <si>
    <t>Ectaprim</t>
  </si>
  <si>
    <t>Lisonin</t>
  </si>
  <si>
    <t>Azibiot</t>
  </si>
  <si>
    <t>Ciprobac</t>
  </si>
  <si>
    <t>Fluxacord</t>
  </si>
  <si>
    <t>Sepia</t>
  </si>
  <si>
    <t>Lamblit</t>
  </si>
  <si>
    <t>Flagenase</t>
  </si>
  <si>
    <t>Futroken</t>
  </si>
  <si>
    <t>Macrofurin</t>
  </si>
  <si>
    <t>Brotazol</t>
  </si>
  <si>
    <t>Broxel</t>
  </si>
  <si>
    <t>Sinozol</t>
  </si>
  <si>
    <t>Messelzol</t>
  </si>
  <si>
    <t>Atripla</t>
  </si>
  <si>
    <t>Adimod</t>
  </si>
  <si>
    <t>Godex</t>
  </si>
  <si>
    <t>Loxonin</t>
  </si>
  <si>
    <t>Novaxen</t>
  </si>
  <si>
    <t>Alli-Triple</t>
  </si>
  <si>
    <t>Lacomin</t>
  </si>
  <si>
    <t>Diferbest</t>
  </si>
  <si>
    <t>Advil Max</t>
  </si>
  <si>
    <t>Dolo-Neurobión</t>
  </si>
  <si>
    <t>Doxon</t>
  </si>
  <si>
    <t>Velian</t>
  </si>
  <si>
    <t>Dafloxen</t>
  </si>
  <si>
    <t>Onexmol</t>
  </si>
  <si>
    <t>Clebrex</t>
  </si>
  <si>
    <t>Exicort</t>
  </si>
  <si>
    <t>Mycinadol</t>
  </si>
  <si>
    <t>Puribel</t>
  </si>
  <si>
    <t>Núcleo CMP</t>
  </si>
  <si>
    <t>Emla</t>
  </si>
  <si>
    <t>Tradol</t>
  </si>
  <si>
    <t>Supradol Duet</t>
  </si>
  <si>
    <t>Gencatrol</t>
  </si>
  <si>
    <t>Westepiron</t>
  </si>
  <si>
    <t>Dominion</t>
  </si>
  <si>
    <t>Dorixina</t>
  </si>
  <si>
    <t>Adinol</t>
  </si>
  <si>
    <t>Quitadol</t>
  </si>
  <si>
    <t>DEFIN</t>
  </si>
  <si>
    <t>Acetif</t>
  </si>
  <si>
    <t>Microleptin</t>
  </si>
  <si>
    <t>Tempra Forte</t>
  </si>
  <si>
    <t>Depakene</t>
  </si>
  <si>
    <t>Pasuato</t>
  </si>
  <si>
    <t>Biodan</t>
  </si>
  <si>
    <t>Sinfonil</t>
  </si>
  <si>
    <t>Madopar</t>
  </si>
  <si>
    <t>Bromid</t>
  </si>
  <si>
    <t>Clopixol Depot</t>
  </si>
  <si>
    <t>Xylam</t>
  </si>
  <si>
    <t>Bixilan</t>
  </si>
  <si>
    <t>Cravicem</t>
  </si>
  <si>
    <t>Strattera</t>
  </si>
  <si>
    <t>Adepsique</t>
  </si>
  <si>
    <t>Reminyl ER</t>
  </si>
  <si>
    <t>Racinbest</t>
  </si>
  <si>
    <t>Rosanil</t>
  </si>
  <si>
    <t>L-Ombrix-Duet</t>
  </si>
  <si>
    <t>Combantrin</t>
  </si>
  <si>
    <t>Lombrix</t>
  </si>
  <si>
    <t>Lubyox</t>
  </si>
  <si>
    <t>Tabcin</t>
  </si>
  <si>
    <t>Tabcin Active</t>
  </si>
  <si>
    <t>Gargax</t>
  </si>
  <si>
    <t>Combivent Respimat</t>
  </si>
  <si>
    <t>Bresaltec</t>
  </si>
  <si>
    <t>Spiriva</t>
  </si>
  <si>
    <t>Frenderil</t>
  </si>
  <si>
    <t>Aminoefedrison</t>
  </si>
  <si>
    <t>Eucaliptol</t>
  </si>
  <si>
    <t>Fluxedan</t>
  </si>
  <si>
    <t>Bionoxol</t>
  </si>
  <si>
    <t>Texoven</t>
  </si>
  <si>
    <t>Tukol-D</t>
  </si>
  <si>
    <t>Histiacil NF</t>
  </si>
  <si>
    <t>Surdril</t>
  </si>
  <si>
    <t>Flemigor</t>
  </si>
  <si>
    <t>Troferit Flow</t>
  </si>
  <si>
    <t>Nanixin</t>
  </si>
  <si>
    <t>Emproxen</t>
  </si>
  <si>
    <t>Erispan</t>
  </si>
  <si>
    <t>Aliren</t>
  </si>
  <si>
    <t>Bonadoxina</t>
  </si>
  <si>
    <t>Antiflu-Des</t>
  </si>
  <si>
    <t>Cloro-Trimetón</t>
  </si>
  <si>
    <t>Bonazin</t>
  </si>
  <si>
    <t>Raamcninet</t>
  </si>
  <si>
    <t>Trazil</t>
  </si>
  <si>
    <t>Polixin</t>
  </si>
  <si>
    <t>Combigan-D</t>
  </si>
  <si>
    <t>Vazyl</t>
  </si>
  <si>
    <t>Omygen</t>
  </si>
  <si>
    <t>Supacid 40</t>
  </si>
  <si>
    <t>Blocafer</t>
  </si>
  <si>
    <t>Panclasa</t>
  </si>
  <si>
    <t>Nesajar</t>
  </si>
  <si>
    <t>Divelgel</t>
  </si>
  <si>
    <t>Realdrax-MXD</t>
  </si>
  <si>
    <t>Antigram</t>
  </si>
  <si>
    <t>Gesent</t>
  </si>
  <si>
    <t>Dulcolax</t>
  </si>
  <si>
    <t>Pepto-Bismol Plus</t>
  </si>
  <si>
    <t>Enterogermina</t>
  </si>
  <si>
    <t>Wadil</t>
  </si>
  <si>
    <t>Vancal</t>
  </si>
  <si>
    <t>Uroclasio-NF</t>
  </si>
  <si>
    <t>Lipovitasi</t>
  </si>
  <si>
    <t>Asa 100</t>
  </si>
  <si>
    <t>Aspirina Protect</t>
  </si>
  <si>
    <t>Bolentax</t>
  </si>
  <si>
    <t>Nikzon</t>
  </si>
  <si>
    <t>Elated</t>
  </si>
  <si>
    <t>Nifezzard</t>
  </si>
  <si>
    <t>Olavac</t>
  </si>
  <si>
    <t>Iltux</t>
  </si>
  <si>
    <t>Telarteq-Urti</t>
  </si>
  <si>
    <t>Brufiza</t>
  </si>
  <si>
    <t>Rovartal NF</t>
  </si>
  <si>
    <t>Redalip</t>
  </si>
  <si>
    <t>Rosuzet</t>
  </si>
  <si>
    <t>Daktarin</t>
  </si>
  <si>
    <t>Lotrimin</t>
  </si>
  <si>
    <t>Ketowest</t>
  </si>
  <si>
    <t>Derman</t>
  </si>
  <si>
    <t>Recoverón</t>
  </si>
  <si>
    <t>Recoverón-NC</t>
  </si>
  <si>
    <t>Ginatrifil</t>
  </si>
  <si>
    <t>Lasalar-Y</t>
  </si>
  <si>
    <t>Flagosil 400</t>
  </si>
  <si>
    <t>Depo-provera</t>
  </si>
  <si>
    <t>Avodart</t>
  </si>
  <si>
    <t>Nosipren</t>
  </si>
  <si>
    <t>Roixotán</t>
  </si>
  <si>
    <t>Tetra Atlantis</t>
  </si>
  <si>
    <t>Xendin</t>
  </si>
  <si>
    <t>Keflex</t>
  </si>
  <si>
    <t>Triasensi</t>
  </si>
  <si>
    <t>Trexen Duo</t>
  </si>
  <si>
    <t>Z- Xin</t>
  </si>
  <si>
    <t>Bacproin</t>
  </si>
  <si>
    <t>Flagenase 400</t>
  </si>
  <si>
    <t>Rixtal</t>
  </si>
  <si>
    <t>Terplex</t>
  </si>
  <si>
    <t>Zitriazol</t>
  </si>
  <si>
    <t>Lesaclor</t>
  </si>
  <si>
    <t>Difetril</t>
  </si>
  <si>
    <t>Doscoxel</t>
  </si>
  <si>
    <t>Dolflam</t>
  </si>
  <si>
    <t>Arthril</t>
  </si>
  <si>
    <t>Flamozin T</t>
  </si>
  <si>
    <t>Lusemil</t>
  </si>
  <si>
    <t>Doket</t>
  </si>
  <si>
    <t>Igef</t>
  </si>
  <si>
    <t>Dolocartigen</t>
  </si>
  <si>
    <t>Dolzycan</t>
  </si>
  <si>
    <t>Voltaren Emulgel</t>
  </si>
  <si>
    <t>Cuyulid</t>
  </si>
  <si>
    <t>Lonixert</t>
  </si>
  <si>
    <t>Pirinovag</t>
  </si>
  <si>
    <t>Salpifar</t>
  </si>
  <si>
    <t>Tempire PFC</t>
  </si>
  <si>
    <t>Neurontin</t>
  </si>
  <si>
    <t>Regalden</t>
  </si>
  <si>
    <t>Aniernov</t>
  </si>
  <si>
    <t>Bronid</t>
  </si>
  <si>
    <t>Micropramcit</t>
  </si>
  <si>
    <t>Paramix</t>
  </si>
  <si>
    <t>Bruzol</t>
  </si>
  <si>
    <t>Vinza</t>
  </si>
  <si>
    <t>Seretide</t>
  </si>
  <si>
    <t>Aitubre NS</t>
  </si>
  <si>
    <t>Misdapre RAC</t>
  </si>
  <si>
    <t>Abbatin</t>
  </si>
  <si>
    <t>Montaclar</t>
  </si>
  <si>
    <t>Arbistin</t>
  </si>
  <si>
    <t>Zyplo</t>
  </si>
  <si>
    <t>Groobe</t>
  </si>
  <si>
    <t>Biostafex</t>
  </si>
  <si>
    <t>Nytol</t>
  </si>
  <si>
    <t>Terramicina</t>
  </si>
  <si>
    <t>Cloramfeni Ofteno</t>
  </si>
  <si>
    <t>Zebesten</t>
  </si>
  <si>
    <t>Synespramid</t>
  </si>
  <si>
    <t>Vontrol</t>
  </si>
  <si>
    <t>Treda</t>
  </si>
  <si>
    <t>A-D-Kan</t>
  </si>
  <si>
    <t>Adriphel</t>
  </si>
  <si>
    <t>Vascuflow</t>
  </si>
  <si>
    <t>Variton</t>
  </si>
  <si>
    <t>Metopresol</t>
  </si>
  <si>
    <t>Co-Tarsan</t>
  </si>
  <si>
    <t>Odivitor</t>
  </si>
  <si>
    <t>Progemplip</t>
  </si>
  <si>
    <t>Fucidin</t>
  </si>
  <si>
    <t>Synalar Simple</t>
  </si>
  <si>
    <t>Posipen 12h</t>
  </si>
  <si>
    <t>Dicleophen</t>
  </si>
  <si>
    <t>Sulfawal T</t>
  </si>
  <si>
    <t>Marzivag</t>
  </si>
  <si>
    <t>Amk</t>
  </si>
  <si>
    <t>Avidal 500</t>
  </si>
  <si>
    <t>Inflanox</t>
  </si>
  <si>
    <t>IgrexaRD</t>
  </si>
  <si>
    <t>Garbican</t>
  </si>
  <si>
    <t>Carimpa</t>
  </si>
  <si>
    <t>Alzam</t>
  </si>
  <si>
    <t>Scabisan</t>
  </si>
  <si>
    <t>Salbutis 100</t>
  </si>
  <si>
    <t>Histina</t>
  </si>
  <si>
    <t>Solida</t>
  </si>
  <si>
    <t>88438 SSA</t>
  </si>
  <si>
    <t>070M2005 SSA VI</t>
  </si>
  <si>
    <t>228M2003 SSA IV</t>
  </si>
  <si>
    <t>67904 SSA VI</t>
  </si>
  <si>
    <t>74399 SSA VI</t>
  </si>
  <si>
    <t>60013 SSA V</t>
  </si>
  <si>
    <t>82370 SSA VI</t>
  </si>
  <si>
    <t>87758 SSA IV</t>
  </si>
  <si>
    <t>051M2014 SSA VI</t>
  </si>
  <si>
    <t>502M2001 SSA VI</t>
  </si>
  <si>
    <t>410M2016 SSA VI</t>
  </si>
  <si>
    <t>368M93 SSA IV</t>
  </si>
  <si>
    <t>144M2017 SSA IV</t>
  </si>
  <si>
    <t>067M88 SSA IV</t>
  </si>
  <si>
    <t>007H86 SSA VI</t>
  </si>
  <si>
    <t>292M2015 SSA IV</t>
  </si>
  <si>
    <t>423M89 SSA IV</t>
  </si>
  <si>
    <t>35629 SSA VI</t>
  </si>
  <si>
    <t>059M2003 SSA IV</t>
  </si>
  <si>
    <t>259M93 SSA IV</t>
  </si>
  <si>
    <t>128M2003 SSA IV</t>
  </si>
  <si>
    <t>480M2001 SSA IV</t>
  </si>
  <si>
    <t>037M2001 SSA IV</t>
  </si>
  <si>
    <t>278M2015 SSA IV</t>
  </si>
  <si>
    <t>179M2016 SSA IV</t>
  </si>
  <si>
    <t>505M2000 SSA IV</t>
  </si>
  <si>
    <t>343M2014 SSA IV</t>
  </si>
  <si>
    <t>464M2001 SSA IV</t>
  </si>
  <si>
    <t>247M96 SSA IV</t>
  </si>
  <si>
    <t>240M96 SSA IV</t>
  </si>
  <si>
    <t>444M2002 SSA IV</t>
  </si>
  <si>
    <t>40662 SSA IV</t>
  </si>
  <si>
    <t>85574 SSA IV</t>
  </si>
  <si>
    <t>296M2017 SSA IV</t>
  </si>
  <si>
    <t>57607 SSA</t>
  </si>
  <si>
    <t>88453 SSA IV</t>
  </si>
  <si>
    <t>121M2019 SSA IV</t>
  </si>
  <si>
    <t>093M85 SSA IV</t>
  </si>
  <si>
    <t>194M2006 SSA II</t>
  </si>
  <si>
    <t>258M2014 SSA IV</t>
  </si>
  <si>
    <t>188M2013 SSA VI</t>
  </si>
  <si>
    <t>478M98 SSA VI</t>
  </si>
  <si>
    <t>298M2011 SSA IV</t>
  </si>
  <si>
    <t>069M88 SSA VI</t>
  </si>
  <si>
    <t>78884 SSA VI</t>
  </si>
  <si>
    <t>072M2015 SSA IV</t>
  </si>
  <si>
    <t>133M2020 SSA IV</t>
  </si>
  <si>
    <t>212M2013 SSA IV</t>
  </si>
  <si>
    <t>376M2017 SSA VI</t>
  </si>
  <si>
    <t>38053 SSA V</t>
  </si>
  <si>
    <t>003M91 SSA VI</t>
  </si>
  <si>
    <t>416M2015 SSA VI</t>
  </si>
  <si>
    <t>491M2002 SSA VI</t>
  </si>
  <si>
    <t>514M2016 SSA IV</t>
  </si>
  <si>
    <t>316M2003 SSA VI</t>
  </si>
  <si>
    <t>79689 SSA IV</t>
  </si>
  <si>
    <t>1056C2011 SSA VI</t>
  </si>
  <si>
    <t>129M84 SSA IV</t>
  </si>
  <si>
    <t>87632 SSA IV</t>
  </si>
  <si>
    <t>228M003 SSA IV</t>
  </si>
  <si>
    <t>90513 SSA IV</t>
  </si>
  <si>
    <t>004M2005 SSA IV</t>
  </si>
  <si>
    <t>493M94 SSA	 IV</t>
  </si>
  <si>
    <t>025M2015  SSA VI</t>
  </si>
  <si>
    <t>66017 SSA IV</t>
  </si>
  <si>
    <t>213M2000 SSA</t>
  </si>
  <si>
    <t>231M93 SSA</t>
  </si>
  <si>
    <t>398M94 SSA IV</t>
  </si>
  <si>
    <t>445M2005 SSA</t>
  </si>
  <si>
    <t>360M96 SSA IV</t>
  </si>
  <si>
    <t>134M2007 SSA IV</t>
  </si>
  <si>
    <t>037M92 SSA IV</t>
  </si>
  <si>
    <t>313M2011 SSA IV</t>
  </si>
  <si>
    <t>383M2016 SSA</t>
  </si>
  <si>
    <t>048M2018 SSA</t>
  </si>
  <si>
    <t>048M2018 SSA IV</t>
  </si>
  <si>
    <t>276M2003 SSA</t>
  </si>
  <si>
    <t>197M2008 SSA</t>
  </si>
  <si>
    <t>424M2015 SSA IV</t>
  </si>
  <si>
    <t>126M2004 SSA</t>
  </si>
  <si>
    <t>107M2004 SSA</t>
  </si>
  <si>
    <t>023M94 SSA VI</t>
  </si>
  <si>
    <t>110M2006 SSA</t>
  </si>
  <si>
    <t>110M2006 SSA IV</t>
  </si>
  <si>
    <t>291M2008 SSA</t>
  </si>
  <si>
    <t>291M2008 SSA IV</t>
  </si>
  <si>
    <t>259M2014 SSA	 IV</t>
  </si>
  <si>
    <t>80249 SSA IV</t>
  </si>
  <si>
    <t>232M2013 SSA IV</t>
  </si>
  <si>
    <t>240M2017 SSA IV</t>
  </si>
  <si>
    <t>89701 SSA</t>
  </si>
  <si>
    <t>187M99 SSA</t>
  </si>
  <si>
    <t>127M94 SSA	 IV</t>
  </si>
  <si>
    <t>289M2016 SSA IV</t>
  </si>
  <si>
    <t>263M2014 SSA</t>
  </si>
  <si>
    <t>286M2017 SSA IV</t>
  </si>
  <si>
    <t>508M96 SSA IV</t>
  </si>
  <si>
    <t>65517 SSA IV</t>
  </si>
  <si>
    <t>382M2008 SSA</t>
  </si>
  <si>
    <t>070M2002 SSA</t>
  </si>
  <si>
    <t>89994 SSA</t>
  </si>
  <si>
    <t>52005 SSA IV</t>
  </si>
  <si>
    <t>321M2018 SSA V</t>
  </si>
  <si>
    <t>139M2014 SSA</t>
  </si>
  <si>
    <t>476M2015 SSA</t>
  </si>
  <si>
    <t>88138 SSA</t>
  </si>
  <si>
    <t>112M2004 SSA IV</t>
  </si>
  <si>
    <t>174M2014 SSA IV</t>
  </si>
  <si>
    <t>329M2017 SSA</t>
  </si>
  <si>
    <t>235M2000 SSA IV</t>
  </si>
  <si>
    <t>89972 SSA</t>
  </si>
  <si>
    <t>399M2014 SSA IV</t>
  </si>
  <si>
    <t>219M91 SSA VI</t>
  </si>
  <si>
    <t>275M2001 SSA	 VI</t>
  </si>
  <si>
    <t>110M2003 SSA	 IV</t>
  </si>
  <si>
    <t>89979 SSA</t>
  </si>
  <si>
    <t>191M2004 SSA IV</t>
  </si>
  <si>
    <t>333M2003 SSA IV</t>
  </si>
  <si>
    <t>90179 SSA IV</t>
  </si>
  <si>
    <t>273M2003 SSA IV</t>
  </si>
  <si>
    <t>43803NF SSA</t>
  </si>
  <si>
    <t>108M2014 SSA</t>
  </si>
  <si>
    <t>198M2007 SSA</t>
  </si>
  <si>
    <t>147M98 SSA IV</t>
  </si>
  <si>
    <t>148M2003 SSA</t>
  </si>
  <si>
    <t>251M98 SSA VI</t>
  </si>
  <si>
    <t>468M2005 SSA</t>
  </si>
  <si>
    <t>106M2016 SSA IV</t>
  </si>
  <si>
    <t>008M2018 SSA IV</t>
  </si>
  <si>
    <t>84636 SSA VI</t>
  </si>
  <si>
    <t>600M2001 SSA IV</t>
  </si>
  <si>
    <t>080M2015 SSA</t>
  </si>
  <si>
    <t>078M95 SSA</t>
  </si>
  <si>
    <t>094M2007</t>
  </si>
  <si>
    <t>299M2000 SSA IV</t>
  </si>
  <si>
    <t>390M89 SSA IV</t>
  </si>
  <si>
    <t>142M2018 SSA IV</t>
  </si>
  <si>
    <t>346M2000 SSA IV</t>
  </si>
  <si>
    <t>014M2003 SSA</t>
  </si>
  <si>
    <t>003M2019 SSA IV</t>
  </si>
  <si>
    <t>174M2019 SSA IV</t>
  </si>
  <si>
    <t>0540C2015 SSA</t>
  </si>
  <si>
    <t>016V2002 SSA VI</t>
  </si>
  <si>
    <t>239M2014 SSA IV</t>
  </si>
  <si>
    <t>004V2001 SSA</t>
  </si>
  <si>
    <t>82172 SSA IV</t>
  </si>
  <si>
    <t>085M2009 SSA</t>
  </si>
  <si>
    <t>001P2017 SSA VI</t>
  </si>
  <si>
    <t>34346M2005 SSA IV</t>
  </si>
  <si>
    <t>2366M2001 SSA IV</t>
  </si>
  <si>
    <t>303M2008 SSA IV</t>
  </si>
  <si>
    <t>042M2010 SSA IV</t>
  </si>
  <si>
    <t>336M2017 SSA IV</t>
  </si>
  <si>
    <t>364M2017 SSA IV</t>
  </si>
  <si>
    <t>451M200 SSA IV</t>
  </si>
  <si>
    <t>002M2020 SSA IV</t>
  </si>
  <si>
    <t>221M2011 SSA IV</t>
  </si>
  <si>
    <t>155M2009 SSA</t>
  </si>
  <si>
    <t>483M2001 SSA IV</t>
  </si>
  <si>
    <t>416M97 SSA IV</t>
  </si>
  <si>
    <t>088M2018 SSA IV</t>
  </si>
  <si>
    <t>359M97 SSA</t>
  </si>
  <si>
    <t>356M2015 SSA IV</t>
  </si>
  <si>
    <t>356M202015 SSA IV</t>
  </si>
  <si>
    <t>570M96 SSA</t>
  </si>
  <si>
    <t>577M2000 SSA IV</t>
  </si>
  <si>
    <t>594M99 SSA</t>
  </si>
  <si>
    <t>040M99 SSA</t>
  </si>
  <si>
    <t>350M2002 SSA IV</t>
  </si>
  <si>
    <t>584M2003 SSA IV</t>
  </si>
  <si>
    <t>116M94 SSA</t>
  </si>
  <si>
    <t>87138 SSA IV</t>
  </si>
  <si>
    <t>394M20015 SSA IV</t>
  </si>
  <si>
    <t>012M99 SSA</t>
  </si>
  <si>
    <t>118M2011 SSA IV</t>
  </si>
  <si>
    <t>191M2016 SSA IV</t>
  </si>
  <si>
    <t>493M2001 SSA IV</t>
  </si>
  <si>
    <t>490M97 SSA</t>
  </si>
  <si>
    <t>77669 SSA</t>
  </si>
  <si>
    <t>268M2025 SSA IV</t>
  </si>
  <si>
    <t>414M2015 SSA</t>
  </si>
  <si>
    <t>069M2018 SSA IV</t>
  </si>
  <si>
    <t>393M94 SSA IV</t>
  </si>
  <si>
    <t>276M2008 SSA IV</t>
  </si>
  <si>
    <t>008M93 SSA</t>
  </si>
  <si>
    <t>0211M79 SSA</t>
  </si>
  <si>
    <t>211M2019 SSA</t>
  </si>
  <si>
    <t>324M2016 SSA IV</t>
  </si>
  <si>
    <t>279M89 SSA</t>
  </si>
  <si>
    <t>563M2001 SSA</t>
  </si>
  <si>
    <t>167M85 SSA</t>
  </si>
  <si>
    <t>101M2018 SSA IV</t>
  </si>
  <si>
    <t>333M2003 SSA</t>
  </si>
  <si>
    <t>202M2001 SSA IV</t>
  </si>
  <si>
    <t>468M2004 SSA</t>
  </si>
  <si>
    <t>468M2004 SSA IV</t>
  </si>
  <si>
    <t>166M2012 SSA IV</t>
  </si>
  <si>
    <t>209M2008 SSA VI</t>
  </si>
  <si>
    <t>186M88 SSA</t>
  </si>
  <si>
    <t>301M2014 SSA</t>
  </si>
  <si>
    <t>606M98 SSA IV</t>
  </si>
  <si>
    <t>218M2018 SSA IV</t>
  </si>
  <si>
    <t>343M2016 SSA IV</t>
  </si>
  <si>
    <t>046M2008 SSA</t>
  </si>
  <si>
    <t>443M2008 SSA</t>
  </si>
  <si>
    <t>189M92 SSA IV</t>
  </si>
  <si>
    <t>66975 SSA IV</t>
  </si>
  <si>
    <t>60013 SSA</t>
  </si>
  <si>
    <t>58510 SSA</t>
  </si>
  <si>
    <t>494M2005 SSA</t>
  </si>
  <si>
    <t>052M2009 SSA</t>
  </si>
  <si>
    <t>045M2007 SSA</t>
  </si>
  <si>
    <t>510M2016 SSA IV</t>
  </si>
  <si>
    <t>130M2013 SSA IV</t>
  </si>
  <si>
    <t>097M2021 SSA IV</t>
  </si>
  <si>
    <t>449M2000 SSA</t>
  </si>
  <si>
    <t>334M2016 SSA IV</t>
  </si>
  <si>
    <t>86174 SSA</t>
  </si>
  <si>
    <t>308M2015 SSA IV</t>
  </si>
  <si>
    <t>124M2018 SSA IV</t>
  </si>
  <si>
    <t>259M87 SSA IV</t>
  </si>
  <si>
    <t>107M2009 SSA IV</t>
  </si>
  <si>
    <t>374M2014 SSA IV</t>
  </si>
  <si>
    <t>039M94 SSA</t>
  </si>
  <si>
    <t>145M2020 SSA IV</t>
  </si>
  <si>
    <t>546M2003 SSA IV</t>
  </si>
  <si>
    <t>315M97 SSA</t>
  </si>
  <si>
    <t>456M2001 SSA IV</t>
  </si>
  <si>
    <t>253M96 SSA IV</t>
  </si>
  <si>
    <t>090M2004 SSA</t>
  </si>
  <si>
    <t>283M2008 SSA</t>
  </si>
  <si>
    <t>474M97 SSA IV</t>
  </si>
  <si>
    <t>361M2018 SSA IV</t>
  </si>
  <si>
    <t>009M85 SSA IV</t>
  </si>
  <si>
    <t>263M2014 SSA VI</t>
  </si>
  <si>
    <t>094M97 SSA IV</t>
  </si>
  <si>
    <t>031M99 SSA</t>
  </si>
  <si>
    <t>065M2019 SSA VI</t>
  </si>
  <si>
    <t>441M89 SSA IV</t>
  </si>
  <si>
    <t>190M2019 SSA IV</t>
  </si>
  <si>
    <t>279M94 SSA IV</t>
  </si>
  <si>
    <t>230M2014 SSA VI</t>
  </si>
  <si>
    <t>071M96 SSA V</t>
  </si>
  <si>
    <t>236M90 SSA</t>
  </si>
  <si>
    <t>251M2018 SSA IV</t>
  </si>
  <si>
    <t>367M2018 SSA IV</t>
  </si>
  <si>
    <t>278M93 SSA IV</t>
  </si>
  <si>
    <t>140N2012 SSA IV</t>
  </si>
  <si>
    <t>043M2000 SSA III</t>
  </si>
  <si>
    <t>82710 SSA</t>
  </si>
  <si>
    <t>75910 SSA IV</t>
  </si>
  <si>
    <t>566M2001 SSA</t>
  </si>
  <si>
    <t>211M2019 SSA IV</t>
  </si>
  <si>
    <t>158M2013 SSA IV</t>
  </si>
  <si>
    <t>051M2012 SSA IV</t>
  </si>
  <si>
    <t>081M99 SSA</t>
  </si>
  <si>
    <t>45221 SSA</t>
  </si>
  <si>
    <t>560M2004 SSA VI</t>
  </si>
  <si>
    <t>025M2009 SSA</t>
  </si>
  <si>
    <t>093M2021 SSA</t>
  </si>
  <si>
    <t>220M2004 SSA</t>
  </si>
  <si>
    <t>236M93 SSA</t>
  </si>
  <si>
    <t>277M2001 SSA</t>
  </si>
  <si>
    <t>1416 SSA</t>
  </si>
  <si>
    <t>141M2003 SSA</t>
  </si>
  <si>
    <t>217M2013 SSA</t>
  </si>
  <si>
    <t>506M99 SSA</t>
  </si>
  <si>
    <t>58380 SSA</t>
  </si>
  <si>
    <t>577M2002 SSA</t>
  </si>
  <si>
    <t>331M2007 SSA</t>
  </si>
  <si>
    <t>214M2000 SSA</t>
  </si>
  <si>
    <t>510M2004 SSA</t>
  </si>
  <si>
    <t>131M97 SSA</t>
  </si>
  <si>
    <t>373M97 SSA</t>
  </si>
  <si>
    <t>55749 SSA</t>
  </si>
  <si>
    <t>C01E</t>
  </si>
  <si>
    <t>C07F</t>
  </si>
  <si>
    <t>X</t>
  </si>
  <si>
    <t>H04A</t>
  </si>
  <si>
    <t>A</t>
  </si>
  <si>
    <t>J06A</t>
  </si>
  <si>
    <t>G02C</t>
  </si>
  <si>
    <t>E</t>
  </si>
  <si>
    <t>L01B</t>
  </si>
  <si>
    <t>G01B</t>
  </si>
  <si>
    <t>D</t>
  </si>
  <si>
    <t>G</t>
  </si>
  <si>
    <t>A11E</t>
  </si>
  <si>
    <t>B</t>
  </si>
  <si>
    <t>S01K</t>
  </si>
  <si>
    <t>K</t>
  </si>
  <si>
    <t>H02B</t>
  </si>
  <si>
    <t>S02C</t>
  </si>
  <si>
    <t>G03X</t>
  </si>
  <si>
    <t>L01D</t>
  </si>
  <si>
    <t>A03C</t>
  </si>
  <si>
    <t>L04A</t>
  </si>
  <si>
    <t>03</t>
  </si>
  <si>
    <t>F</t>
  </si>
  <si>
    <t>11</t>
  </si>
  <si>
    <t>16</t>
  </si>
  <si>
    <t>01</t>
  </si>
  <si>
    <t>07</t>
  </si>
  <si>
    <t>09</t>
  </si>
  <si>
    <t>10</t>
  </si>
  <si>
    <t>04</t>
  </si>
  <si>
    <t>H</t>
  </si>
  <si>
    <t>J</t>
  </si>
  <si>
    <t>05</t>
  </si>
  <si>
    <t>M</t>
  </si>
  <si>
    <t>N</t>
  </si>
  <si>
    <t>02</t>
  </si>
  <si>
    <t>06</t>
  </si>
  <si>
    <t>P</t>
  </si>
  <si>
    <t>R</t>
  </si>
  <si>
    <t>S</t>
  </si>
  <si>
    <t>12</t>
  </si>
  <si>
    <t>08</t>
  </si>
  <si>
    <t>L</t>
  </si>
  <si>
    <t>V</t>
  </si>
  <si>
    <t>Anatómico</t>
  </si>
  <si>
    <t>Terapéutico</t>
  </si>
  <si>
    <t>Farmacológico</t>
  </si>
  <si>
    <t>Cuenta de Anatómico</t>
  </si>
  <si>
    <t>Grupo terapéutico</t>
  </si>
  <si>
    <t>Grupo farmacológico</t>
  </si>
  <si>
    <t>Frecuencia</t>
  </si>
  <si>
    <t>Preparados estomatológicos</t>
  </si>
  <si>
    <t>Fármacos para desórdenes de acidez</t>
  </si>
  <si>
    <t>Fármacos para trastornos de la función gastrointestinal</t>
  </si>
  <si>
    <t>Antieméticos y antinauseosos</t>
  </si>
  <si>
    <t>Terapia hepática y biliar</t>
  </si>
  <si>
    <t>Fármacos para el estreñimiento</t>
  </si>
  <si>
    <t>Antidiarréicos, agentes antiinflamatorios y antiinfecciosos</t>
  </si>
  <si>
    <t>Fármacos para la obesidad, excluyendo productos de dietas</t>
  </si>
  <si>
    <t>Digestivos, incluyendo enzimas</t>
  </si>
  <si>
    <t>Fármacos para la diabetes</t>
  </si>
  <si>
    <t>Vitaminas</t>
  </si>
  <si>
    <t>Suplementos minerales</t>
  </si>
  <si>
    <t>Otros fármacos del sistema digestivo</t>
  </si>
  <si>
    <t>Antiácidos</t>
  </si>
  <si>
    <t>Fármacos para úlcera péptica y reflujo</t>
  </si>
  <si>
    <t>Fármacos para desórdenes de la función gastrointestinal</t>
  </si>
  <si>
    <t>Belladona y derivados, solos</t>
  </si>
  <si>
    <t>Antiespasmódicos combinados con psicolépticos</t>
  </si>
  <si>
    <t>Antiespasmódicos combinados con analgésicos</t>
  </si>
  <si>
    <t>Antiespasmódicos y anticolinérgicos con otros fármacos</t>
  </si>
  <si>
    <t>Propulsivos</t>
  </si>
  <si>
    <t>Terapia biliar</t>
  </si>
  <si>
    <t>Antiinfecciosos intestinales</t>
  </si>
  <si>
    <t>Adsorbentes intestinales</t>
  </si>
  <si>
    <t>Electrolitos con carbohidratos</t>
  </si>
  <si>
    <t>Antipropulsivos</t>
  </si>
  <si>
    <t>Antiinflamtorios intestinales</t>
  </si>
  <si>
    <t>Microorganismos antidiarréicos</t>
  </si>
  <si>
    <t>Insulinas y análogos</t>
  </si>
  <si>
    <t>Hipoglucemiantes, excluyendo insulinas</t>
  </si>
  <si>
    <t>Multivitamínicos, combinados</t>
  </si>
  <si>
    <t>Vitamina A y D, incluyendo combinaciones de ambos</t>
  </si>
  <si>
    <t>Vitamina B1, sola y en combinación con Vitamina B6 y B12</t>
  </si>
  <si>
    <t>Ácido ascórbico, incluyendo combinaciones</t>
  </si>
  <si>
    <t>Otras preparaciones de vitaminas solas</t>
  </si>
  <si>
    <t>Multivitamínicos, solos</t>
  </si>
  <si>
    <t>Complejo B, incluyendo combinaciones</t>
  </si>
  <si>
    <t>Potasio</t>
  </si>
  <si>
    <t>Total</t>
  </si>
  <si>
    <t>Tabla X. Frecuencia de medicamentos del grupo anatómico A: Tracto digestivo y metabolismo, por grupo terapéutico y farmacológico</t>
  </si>
  <si>
    <t>Tabla X. Frecuencia de medicamentos del grupo anatómico B: Sangre y órganos formadores de sangre, por grupo terapéutico y farmacológico</t>
  </si>
  <si>
    <t>Grupo Terapéutico</t>
  </si>
  <si>
    <t>Grupo Farmacológico</t>
  </si>
  <si>
    <t>Antitrombóticos</t>
  </si>
  <si>
    <t>Antihemorrágicos</t>
  </si>
  <si>
    <t>Vitamina K y otros hemostáticos</t>
  </si>
  <si>
    <t>Antianémicos</t>
  </si>
  <si>
    <t>Preparados de Hierro</t>
  </si>
  <si>
    <t>Vitamina B12 y ácido fólico</t>
  </si>
  <si>
    <t>Sustitutos sanguíneos y soluciones para perfusión</t>
  </si>
  <si>
    <t>Soluciones intravenosas</t>
  </si>
  <si>
    <t>Soluciones para irrigación</t>
  </si>
  <si>
    <t>Tabla X. Frecuencia de medicamentos del grupo anatómico C: Sistema cardiovascular, por grupo terapéutico y farmacológico</t>
  </si>
  <si>
    <t>Glucósidos cardíacos</t>
  </si>
  <si>
    <t>Antiarrítmicos, clase I y III</t>
  </si>
  <si>
    <t>Estimulantes cardíacos, excluyendo glucósidos cardíacos</t>
  </si>
  <si>
    <t>Vasodilatadores usados en enfermedades cardíacas</t>
  </si>
  <si>
    <t>Antihipertensivos</t>
  </si>
  <si>
    <t>Antiadrenérgicos de acción periférica</t>
  </si>
  <si>
    <t>Diuréticos</t>
  </si>
  <si>
    <t>Diuréticos de baja potencia, tiazidas</t>
  </si>
  <si>
    <t>Diuréticos de baja potencia, excluyendo tiazidas</t>
  </si>
  <si>
    <t>Diuréticos de alta potencia</t>
  </si>
  <si>
    <t>Antagonistas de la aldosterona y otros ahorradores de potasio</t>
  </si>
  <si>
    <t>Vasodilatadores periféricos</t>
  </si>
  <si>
    <t>Vasoprotectores</t>
  </si>
  <si>
    <t>Fármacos para el tratamiento de hemorroides y fisuras anales de uso tópico</t>
  </si>
  <si>
    <t>Terapia antivaricosa</t>
  </si>
  <si>
    <t>Estabilizadores capilares</t>
  </si>
  <si>
    <t>Beta-bloqueadores</t>
  </si>
  <si>
    <t>Betabloqueadores</t>
  </si>
  <si>
    <t>Betabloqueadores y tiazidas</t>
  </si>
  <si>
    <t>Bloqueadores de canales de calcio</t>
  </si>
  <si>
    <t>Bloqueadores de canales de calcio selectivos con efecto principalmente vascular</t>
  </si>
  <si>
    <t>Bloqueadores de canales de calcio selectivos con efecto cardíaco directo</t>
  </si>
  <si>
    <t>Bloqueadores de canales de calcio y diuréticos</t>
  </si>
  <si>
    <t>Fármacos que actúan sobre el sistema renina-angiotensina</t>
  </si>
  <si>
    <t>Inhibidores de la ECA, solos</t>
  </si>
  <si>
    <t>Inhibidores de la ECA, combinaciones</t>
  </si>
  <si>
    <t>Bloqueadores del receptor de angiotensina II, solos</t>
  </si>
  <si>
    <t>Bloqueadores del receptor de angiotensina II, combinaciones</t>
  </si>
  <si>
    <t>Modificadores de lípidos</t>
  </si>
  <si>
    <t>Modificadores de lípidos, solos</t>
  </si>
  <si>
    <t>Modificadores de lípidos, combinaciones</t>
  </si>
  <si>
    <t>Terapia cardíaca</t>
  </si>
  <si>
    <t>Otros fármacos cardíacos</t>
  </si>
  <si>
    <t>Betabloqueadores, otras combinaciones</t>
  </si>
  <si>
    <t>Tabla X. Frecuencia de medicamentos del grupo anatómico D: Dermatológicos, por grupo terapéutico y farmacológico</t>
  </si>
  <si>
    <t>Antifúngicos de uso dermatológico</t>
  </si>
  <si>
    <t>Antifúngicos tópicos</t>
  </si>
  <si>
    <t>Antifúngicos sistémicos</t>
  </si>
  <si>
    <t>Emolientes y protectores</t>
  </si>
  <si>
    <t>Preparados para el tratamiento de heridas y úlceras</t>
  </si>
  <si>
    <t>Cicatrizantes</t>
  </si>
  <si>
    <t>Antibióticos y quimioterapéuticos de uso dermatológico</t>
  </si>
  <si>
    <t>Antibióticos de uso tópico</t>
  </si>
  <si>
    <t>Quimioterapéuticos de uso tópico</t>
  </si>
  <si>
    <t>Corticosteroides, preparados dermatológicos</t>
  </si>
  <si>
    <t>Corticosteroides, solos</t>
  </si>
  <si>
    <t>Corticosteroides, combinados con antisépticos</t>
  </si>
  <si>
    <t>Corticosteroides, combinados con antibióticos</t>
  </si>
  <si>
    <t>Antisépticos y desinfectantes</t>
  </si>
  <si>
    <t>Preparados antiacné</t>
  </si>
  <si>
    <t>Preparados antiacné de uso tópico</t>
  </si>
  <si>
    <t>Otros preparados dermatológicos</t>
  </si>
  <si>
    <t>Tabla X. Frecuencia de medicamentos del grupo anatómico G: Sistema genitourinario y hormonas sexuales, por grupo terapéutico y farmacológico</t>
  </si>
  <si>
    <t>Antiinfecciosos y antisépticos ginecológicos</t>
  </si>
  <si>
    <t>Antiinfecciosos y antisépticos, excluyendo combinaciones con corticosteroides</t>
  </si>
  <si>
    <t>Hormonas sexuales y moduladores del sistema genital</t>
  </si>
  <si>
    <t>Anticonceptivos orales sistémicos</t>
  </si>
  <si>
    <t>Estrógenos</t>
  </si>
  <si>
    <t>Progestágenos</t>
  </si>
  <si>
    <t>Progestágenos y estrógenos combinados</t>
  </si>
  <si>
    <t>Urológicos</t>
  </si>
  <si>
    <t>Fármacos usados en la hiperplasia prostática benigna</t>
  </si>
  <si>
    <t>Otros ginecológicos</t>
  </si>
  <si>
    <t>Antiinfecciosos/antisépticos en combinación con corticosteroides</t>
  </si>
  <si>
    <t>Otras hormonas sexuales y moduladores del sistema genital</t>
  </si>
  <si>
    <t>Tabla X. Frecuencia de medicamentos del grupo anatómico H: Hormonas sistémicas, excluyendo hormonas sexuales e insulinas, por grupo terapéutico y farmacológico</t>
  </si>
  <si>
    <t>Corticosteroides de uso sistémico</t>
  </si>
  <si>
    <t>Terapia tiroidea</t>
  </si>
  <si>
    <t>Hormonas pancreáticas</t>
  </si>
  <si>
    <t>Tabla X. Frecuencia de medicamentos del grupo anatómico J: Antiinfecciosos sistémicos, por grupo terapéutico y farmacológico</t>
  </si>
  <si>
    <t>Antibacterianos de uso sistémico</t>
  </si>
  <si>
    <t>Tetraciclinas</t>
  </si>
  <si>
    <t>Anfenicoles</t>
  </si>
  <si>
    <t>Betalactámicos, penicilinas</t>
  </si>
  <si>
    <t>Otros betalactámicos</t>
  </si>
  <si>
    <t>Sulfonamidas y trimetoprima</t>
  </si>
  <si>
    <t>Macrólidos, lincosamidas y estreptograminas</t>
  </si>
  <si>
    <t>Aminoglucósidos</t>
  </si>
  <si>
    <t>Quinolonas</t>
  </si>
  <si>
    <t>Combinaciones de antibacterianos</t>
  </si>
  <si>
    <t>Otros antibacterianos</t>
  </si>
  <si>
    <t>Antimicóticos de uso sistémico</t>
  </si>
  <si>
    <t>Antivirales de uso sistémico</t>
  </si>
  <si>
    <t>Antivirales de acción directa</t>
  </si>
  <si>
    <t>Sueros inmunes e inmunoglobulinas</t>
  </si>
  <si>
    <t>Sueros inmunes</t>
  </si>
  <si>
    <t>Tabla X. Frecuencia de medicamentos del grupo anatómico L: Antineoplásicos y agentes inmunomoduladores, por grupo terapéutico y farmacológico</t>
  </si>
  <si>
    <t>Antineoplásicos</t>
  </si>
  <si>
    <t>Otros agentes antineoplásicos</t>
  </si>
  <si>
    <t>Inmunoestimulantes</t>
  </si>
  <si>
    <t>Inmunosupresores</t>
  </si>
  <si>
    <t>Antimetabolitos</t>
  </si>
  <si>
    <t>Antibióticos citotóxicos y sustancias relacionadas</t>
  </si>
  <si>
    <t>Tabla X. Frecuencia de medicamentos del grupo anatómico M: Sistema musculoesquelético, por grupo terapéutico y farmacológico</t>
  </si>
  <si>
    <t>Antiinflamatorios y antirreumáticos</t>
  </si>
  <si>
    <t>Antiinflamatorios y antirreumáticos, no esteroideos</t>
  </si>
  <si>
    <t>Antiinflamatorios y antirreumáticos, combinados</t>
  </si>
  <si>
    <t>Productos tópicos para el dolor muscular y de articulaciones</t>
  </si>
  <si>
    <t>Relajantes musculares</t>
  </si>
  <si>
    <t>Relajantes musculares de acción central</t>
  </si>
  <si>
    <t>Antigotosos</t>
  </si>
  <si>
    <t>Fármacos para el tratamiento de enfermedades óseas</t>
  </si>
  <si>
    <t>Fármacos que alteran la estructura ósea y mineralización</t>
  </si>
  <si>
    <t>Otros fármacos para desórdenes del sistema musculoesquelético</t>
  </si>
  <si>
    <t>R01AB01</t>
  </si>
  <si>
    <t>Tabla X. Frecuencia de medicamentos del grupo anatómico N: Sistema nervioso, por grupo terapéutico y farmacológico</t>
  </si>
  <si>
    <t>Anestésicos</t>
  </si>
  <si>
    <t>Anestésicos generales</t>
  </si>
  <si>
    <t>Anestésicos locales</t>
  </si>
  <si>
    <t>Analgésicos</t>
  </si>
  <si>
    <t>Opioides</t>
  </si>
  <si>
    <t>Otros analgésicos y antipiréticos</t>
  </si>
  <si>
    <t>Fármacos para la migraña</t>
  </si>
  <si>
    <t>Antiepilépticos</t>
  </si>
  <si>
    <t>Antiparkinsonianos</t>
  </si>
  <si>
    <t>Anticolinérgicos</t>
  </si>
  <si>
    <t>Dopaminérgicos</t>
  </si>
  <si>
    <t>Psicolépticos</t>
  </si>
  <si>
    <t>Antipsicóticos</t>
  </si>
  <si>
    <t>Ansiolíticos</t>
  </si>
  <si>
    <t>Hipnóticos y sedantes</t>
  </si>
  <si>
    <t>Psicoanalépticos</t>
  </si>
  <si>
    <t>Antidepresivos</t>
  </si>
  <si>
    <t>Psicoestimulantes usados para TDAH y nootrópicos</t>
  </si>
  <si>
    <t>Psicolépticos y psicoanalépticos combinados</t>
  </si>
  <si>
    <t>Fármacos contra la demencia</t>
  </si>
  <si>
    <t>Otros fármacos del sistema nervioso</t>
  </si>
  <si>
    <t>Antivertiginosos</t>
  </si>
  <si>
    <t>Tabla X. Frecuencia de medicamentos del grupo anatómico P: Antiparasitarios, insecticidas y repelentes, por grupo terapéutico y farmacológico</t>
  </si>
  <si>
    <t>Antiprotozoarios</t>
  </si>
  <si>
    <t>Fármacos para la amebiasis y otras enfermedades causadas por protozoarios</t>
  </si>
  <si>
    <t>Antimaláricos</t>
  </si>
  <si>
    <t>Antihelmínticos</t>
  </si>
  <si>
    <t>Antinematodos</t>
  </si>
  <si>
    <t>Ectoparaciticidas, incluyendo escabicidas, insecticidas y repelentes</t>
  </si>
  <si>
    <t>Ectoparaciticidas, incluyendo escabicidas</t>
  </si>
  <si>
    <t>Tabla X. Frecuencia de medicamentos del grupo anatómico R: Sistema respiratorio, por grupo terapéutico y farmacológico</t>
  </si>
  <si>
    <t>Preparados nasales</t>
  </si>
  <si>
    <t>Descongestionantes y otros preparados nasales de uso tópico</t>
  </si>
  <si>
    <t>Descongestionantes nasales sistémicos</t>
  </si>
  <si>
    <t>Preparados para la garganta</t>
  </si>
  <si>
    <t>Fármacos para enfermedades obstructivas de las vías respiratorias</t>
  </si>
  <si>
    <t>Adrenérgicos inhalados</t>
  </si>
  <si>
    <t>Otros fármacos para enfermedades obstructivas de vías respiratorias, inhalados</t>
  </si>
  <si>
    <t>Adrenérgicos de uso sistémico</t>
  </si>
  <si>
    <t>Otros fármacos para enfermedades obstructivas de vías respiratorias, sistémicos</t>
  </si>
  <si>
    <t>Preparados para la gripe y tos</t>
  </si>
  <si>
    <t>Expectorantes, excluyendo combinaciones con antitusivos</t>
  </si>
  <si>
    <t>Antitusivos, excluyendo combinaciones con expectorantes</t>
  </si>
  <si>
    <t>Antitusivos y expectorantes, combinados</t>
  </si>
  <si>
    <t>Otros preparados antigripales</t>
  </si>
  <si>
    <t>Antihistamínicos de uso sistémico</t>
  </si>
  <si>
    <t>Tabla X. Frecuencia de medicamentos del grupo anatómico S: Órganos sensoriales, por grupo terapéutico y farmacológico</t>
  </si>
  <si>
    <t>Oftalmológicos</t>
  </si>
  <si>
    <t>Antiinfecciosos</t>
  </si>
  <si>
    <t>Antiinflamatorios</t>
  </si>
  <si>
    <t>Antiinflamatorios y antiinfecciosos combinados</t>
  </si>
  <si>
    <t>Mióticos y preparados anti-glaucoma</t>
  </si>
  <si>
    <t>Descongestionantes y antialérgicos</t>
  </si>
  <si>
    <t>Otros oftalmológicos</t>
  </si>
  <si>
    <t>Otológicos</t>
  </si>
  <si>
    <t>Auxiliares quirúrgicos</t>
  </si>
  <si>
    <t>Corticosteroides y antiinfecciosos en combinación</t>
  </si>
  <si>
    <t>Tabla X. Frecuencia de medicamentos del grupo anatómico V:Varios</t>
  </si>
  <si>
    <t>Cualquier otro producto terapéutico</t>
  </si>
  <si>
    <t>Nutrientes generales</t>
  </si>
  <si>
    <t>Otros nutrientes</t>
  </si>
  <si>
    <t>Hormonas glucogenolíticas</t>
  </si>
  <si>
    <t>Preparados tiroideos</t>
  </si>
  <si>
    <t>Japón</t>
  </si>
  <si>
    <t>agents against amoebiasis and other protozoal diseases</t>
  </si>
  <si>
    <t>analgesics</t>
  </si>
  <si>
    <t>antibiotics and corticosteroids</t>
  </si>
  <si>
    <t>antidiarrheal microorganisms</t>
  </si>
  <si>
    <t>antifungals for topical use</t>
  </si>
  <si>
    <t>ascorbic acid (vit c)</t>
  </si>
  <si>
    <t>beta-lactamase sensitive penicillins</t>
  </si>
  <si>
    <t>cimicifugae rhizoma</t>
  </si>
  <si>
    <t>combinations of antihistamines</t>
  </si>
  <si>
    <t>digitalis glycosides</t>
  </si>
  <si>
    <t>dopa and dopa derivatives</t>
  </si>
  <si>
    <t>drugs for functional gastrointestinal disorders</t>
  </si>
  <si>
    <t>glycogenolytic hormones</t>
  </si>
  <si>
    <t>hormonal contraceptives for systemic use</t>
  </si>
  <si>
    <t>other analgesics and antipyretics</t>
  </si>
  <si>
    <t>other anti-dementia drugs</t>
  </si>
  <si>
    <t>other antiemetics</t>
  </si>
  <si>
    <t>other antiepileptics</t>
  </si>
  <si>
    <t>other antiinfectives and antiseptics</t>
  </si>
  <si>
    <t>other antispasmodics in combination with analgesics</t>
  </si>
  <si>
    <t>other antispasmodics in combination with psycholeptics</t>
  </si>
  <si>
    <t>propulsives</t>
  </si>
  <si>
    <t>proton pump inhibitors</t>
  </si>
  <si>
    <t>retinoids for topical use in acne</t>
  </si>
  <si>
    <t>selective beta-2-adrenoreceptor agonists</t>
  </si>
  <si>
    <t>sulfonamides and trimethoprim</t>
  </si>
  <si>
    <t>vitamin a and d in combination</t>
  </si>
  <si>
    <t>acarbosa</t>
  </si>
  <si>
    <t>aceclofenaco</t>
  </si>
  <si>
    <t>acemetacina</t>
  </si>
  <si>
    <t>acetilcisteína</t>
  </si>
  <si>
    <t>acetónido de fluocinolona</t>
  </si>
  <si>
    <t>ácido acetilsalicílico</t>
  </si>
  <si>
    <t>ácido acexámico</t>
  </si>
  <si>
    <t>ácido alendrónico</t>
  </si>
  <si>
    <t>ácido ascórbico</t>
  </si>
  <si>
    <t>ácido fólico</t>
  </si>
  <si>
    <t>ácido fusídico</t>
  </si>
  <si>
    <t>ácido ursodeoxicólico</t>
  </si>
  <si>
    <t>ácido valproico</t>
  </si>
  <si>
    <t>agua de mar</t>
  </si>
  <si>
    <t>albendazol</t>
  </si>
  <si>
    <t>alfa cetoanálogos de aminoácidos</t>
  </si>
  <si>
    <t>alopurinol</t>
  </si>
  <si>
    <t>amikacina</t>
  </si>
  <si>
    <t>amlodipino</t>
  </si>
  <si>
    <t>amoxicilina</t>
  </si>
  <si>
    <t>ampicilina</t>
  </si>
  <si>
    <t>apixabán</t>
  </si>
  <si>
    <t>atenolol</t>
  </si>
  <si>
    <t>atomoxetina</t>
  </si>
  <si>
    <t>atorvastatina</t>
  </si>
  <si>
    <t>azitromicina</t>
  </si>
  <si>
    <t>bencidamina</t>
  </si>
  <si>
    <t>benzoato de bencilo</t>
  </si>
  <si>
    <t>benzocaína</t>
  </si>
  <si>
    <t>benzonatato</t>
  </si>
  <si>
    <t>betahistina</t>
  </si>
  <si>
    <t>betametasona</t>
  </si>
  <si>
    <t>bezafibrato</t>
  </si>
  <si>
    <t>biperideno</t>
  </si>
  <si>
    <t>bisacodilo</t>
  </si>
  <si>
    <t>bisoprolol</t>
  </si>
  <si>
    <t>brimonidina</t>
  </si>
  <si>
    <t>bromfenaco</t>
  </si>
  <si>
    <t>bromhexina</t>
  </si>
  <si>
    <t>bromuro de otilonio</t>
  </si>
  <si>
    <t>bromuro de pinaverio</t>
  </si>
  <si>
    <t>budesonida</t>
  </si>
  <si>
    <t>bumetanida</t>
  </si>
  <si>
    <t>butilhioscina</t>
  </si>
  <si>
    <t>calcio</t>
  </si>
  <si>
    <t>calcitriol</t>
  </si>
  <si>
    <t>candesartán</t>
  </si>
  <si>
    <t>candesartán cilexetilo</t>
  </si>
  <si>
    <t>captopril</t>
  </si>
  <si>
    <t>carbamazepina</t>
  </si>
  <si>
    <t>carbocisteina</t>
  </si>
  <si>
    <t>carboplatino</t>
  </si>
  <si>
    <t>cefalexina</t>
  </si>
  <si>
    <t>cefixima</t>
  </si>
  <si>
    <t>cefotaxima</t>
  </si>
  <si>
    <t>ceftriaxona</t>
  </si>
  <si>
    <t>cefuroxima</t>
  </si>
  <si>
    <t>cefuroxina</t>
  </si>
  <si>
    <t>cetirizina</t>
  </si>
  <si>
    <t>cinarizina</t>
  </si>
  <si>
    <t>cinitrapida</t>
  </si>
  <si>
    <t>ciprofloxacino</t>
  </si>
  <si>
    <t>cisaprida</t>
  </si>
  <si>
    <t>claritromicina</t>
  </si>
  <si>
    <t>clindamicina</t>
  </si>
  <si>
    <t>clonixinato de lisina</t>
  </si>
  <si>
    <t>clopidogrel</t>
  </si>
  <si>
    <t>cloranfenicol</t>
  </si>
  <si>
    <t>clorfenamina</t>
  </si>
  <si>
    <t>clortalidona</t>
  </si>
  <si>
    <t>cloruro de benzalconio</t>
  </si>
  <si>
    <t>cloruro de etilo</t>
  </si>
  <si>
    <t>cloruro de sodio</t>
  </si>
  <si>
    <t>clotrimazol</t>
  </si>
  <si>
    <t>colchicina</t>
  </si>
  <si>
    <t>colecalciferol</t>
  </si>
  <si>
    <t>dapagliflozina</t>
  </si>
  <si>
    <t>deflazacort</t>
  </si>
  <si>
    <t>desloratadina</t>
  </si>
  <si>
    <t>desonida</t>
  </si>
  <si>
    <t>dexametasona</t>
  </si>
  <si>
    <t>dexketoprofeno</t>
  </si>
  <si>
    <t>dextrometorfano</t>
  </si>
  <si>
    <t>diacereína</t>
  </si>
  <si>
    <t>diazepam</t>
  </si>
  <si>
    <t>diclofenaco</t>
  </si>
  <si>
    <t>dicloxacilina</t>
  </si>
  <si>
    <t>didrogesterona</t>
  </si>
  <si>
    <t>difenhidramina</t>
  </si>
  <si>
    <t>difenidol</t>
  </si>
  <si>
    <t>diltiazem</t>
  </si>
  <si>
    <t>dimenhidrinato</t>
  </si>
  <si>
    <t>dimeticona</t>
  </si>
  <si>
    <t>dinhidrato de isosorbida</t>
  </si>
  <si>
    <t>diosmina</t>
  </si>
  <si>
    <t>dorsolamida</t>
  </si>
  <si>
    <t>doxiciclina</t>
  </si>
  <si>
    <t>dropropizina</t>
  </si>
  <si>
    <t>duloxetina</t>
  </si>
  <si>
    <t>dutasterida</t>
  </si>
  <si>
    <t>edoxabán</t>
  </si>
  <si>
    <t>electrolitos orales</t>
  </si>
  <si>
    <t>empagliflozina</t>
  </si>
  <si>
    <t>enalapril</t>
  </si>
  <si>
    <t>enoxaparina sódica</t>
  </si>
  <si>
    <t>epinastina</t>
  </si>
  <si>
    <t>eritromicina</t>
  </si>
  <si>
    <t>escitalopram</t>
  </si>
  <si>
    <t>esomeprazol</t>
  </si>
  <si>
    <t>espironolactona</t>
  </si>
  <si>
    <t>esporas de bacillus clausii</t>
  </si>
  <si>
    <t>estrógenos conjugados</t>
  </si>
  <si>
    <t>fenazopiridina</t>
  </si>
  <si>
    <t>fenitoina</t>
  </si>
  <si>
    <t>fenofibrato</t>
  </si>
  <si>
    <t>fentermina</t>
  </si>
  <si>
    <t>fexofenadina</t>
  </si>
  <si>
    <t>fluconazol</t>
  </si>
  <si>
    <t>fluoxetina</t>
  </si>
  <si>
    <t>fluticasona</t>
  </si>
  <si>
    <t>fluvastatina</t>
  </si>
  <si>
    <t>fosfomicina</t>
  </si>
  <si>
    <t>fragmentos f(ab´)2 de inmunoglobulina polivalente antiofídico</t>
  </si>
  <si>
    <t>fumarato de bisoprolol</t>
  </si>
  <si>
    <t>fumarato ferroso</t>
  </si>
  <si>
    <t>furosemida</t>
  </si>
  <si>
    <t>gabapentina</t>
  </si>
  <si>
    <t>galantamina</t>
  </si>
  <si>
    <t>gemfibrozilo</t>
  </si>
  <si>
    <t>gentamicina</t>
  </si>
  <si>
    <t>glibenclamida</t>
  </si>
  <si>
    <t>glimepirida</t>
  </si>
  <si>
    <t>guayacol</t>
  </si>
  <si>
    <t>hidroclorotiazida</t>
  </si>
  <si>
    <t>hidroxicloroquina</t>
  </si>
  <si>
    <t>hidróxido de magnesio</t>
  </si>
  <si>
    <t>hidroxizina</t>
  </si>
  <si>
    <t>hidroxocobalamina</t>
  </si>
  <si>
    <t>hierro</t>
  </si>
  <si>
    <t>hierro polimatosado</t>
  </si>
  <si>
    <t>hioscina</t>
  </si>
  <si>
    <t>ibuprofeno</t>
  </si>
  <si>
    <t>imipramina</t>
  </si>
  <si>
    <t>indometacina</t>
  </si>
  <si>
    <t>insulina humana</t>
  </si>
  <si>
    <t>iodopovidona</t>
  </si>
  <si>
    <t>irbesartán</t>
  </si>
  <si>
    <t>isoconazol</t>
  </si>
  <si>
    <t>itoprida</t>
  </si>
  <si>
    <t>itraconazol</t>
  </si>
  <si>
    <t>ivermectina</t>
  </si>
  <si>
    <t>keterolaco</t>
  </si>
  <si>
    <t>keterolaco trometamina</t>
  </si>
  <si>
    <t>ketoconazol</t>
  </si>
  <si>
    <t>ketoprofeno</t>
  </si>
  <si>
    <t>ketorolaco</t>
  </si>
  <si>
    <t>ketotifeno</t>
  </si>
  <si>
    <t>lacosamida</t>
  </si>
  <si>
    <t>latanoprost</t>
  </si>
  <si>
    <t>levetiracetam</t>
  </si>
  <si>
    <t>levocetirizina</t>
  </si>
  <si>
    <t>levocitirizina</t>
  </si>
  <si>
    <t>levodropropizina</t>
  </si>
  <si>
    <t>levofloxacino</t>
  </si>
  <si>
    <t>levonorgestrel</t>
  </si>
  <si>
    <t>levopantoprazol</t>
  </si>
  <si>
    <t>levotiroxina sódica</t>
  </si>
  <si>
    <t>lidocaína</t>
  </si>
  <si>
    <t>linagliptina</t>
  </si>
  <si>
    <t>lincomicina</t>
  </si>
  <si>
    <t>loperamida</t>
  </si>
  <si>
    <t>loratadina</t>
  </si>
  <si>
    <t>losartán</t>
  </si>
  <si>
    <t>loxoprofeno</t>
  </si>
  <si>
    <t>medroxiprogesterona</t>
  </si>
  <si>
    <t>melatonina</t>
  </si>
  <si>
    <t>memantina</t>
  </si>
  <si>
    <t>mesalazina</t>
  </si>
  <si>
    <t>metamizol sódico</t>
  </si>
  <si>
    <t>metformina</t>
  </si>
  <si>
    <t>metilprednisolona</t>
  </si>
  <si>
    <t>metoclopramida</t>
  </si>
  <si>
    <t>metoprolol</t>
  </si>
  <si>
    <t>metronidazol</t>
  </si>
  <si>
    <t>miconazol</t>
  </si>
  <si>
    <t>mometasona</t>
  </si>
  <si>
    <t>mupirocina</t>
  </si>
  <si>
    <t>naproxeno</t>
  </si>
  <si>
    <t>naproxeno sódico</t>
  </si>
  <si>
    <t>nebivolol</t>
  </si>
  <si>
    <t>nifedipino</t>
  </si>
  <si>
    <t>nifuroxazida</t>
  </si>
  <si>
    <t>nimesulida</t>
  </si>
  <si>
    <t>nistatina</t>
  </si>
  <si>
    <t>nitazoxadina</t>
  </si>
  <si>
    <t>nitazoxanida</t>
  </si>
  <si>
    <t>nitrofural</t>
  </si>
  <si>
    <t>nitrofurantoína</t>
  </si>
  <si>
    <t>norfenefrina</t>
  </si>
  <si>
    <t>olanzapina</t>
  </si>
  <si>
    <t>olmesartán medoxomilo</t>
  </si>
  <si>
    <t>omeprazol</t>
  </si>
  <si>
    <t>ondansetrón</t>
  </si>
  <si>
    <t>orlistat</t>
  </si>
  <si>
    <t>orlistat resveratrol</t>
  </si>
  <si>
    <t>oxcarbazepina</t>
  </si>
  <si>
    <t>oximetazolina</t>
  </si>
  <si>
    <t>palonosetrón</t>
  </si>
  <si>
    <t>pantoprazol</t>
  </si>
  <si>
    <t>paroxetina</t>
  </si>
  <si>
    <t>pentoxifilina</t>
  </si>
  <si>
    <t>permetrina</t>
  </si>
  <si>
    <t>peróxido de benzoilo</t>
  </si>
  <si>
    <t>peróxido de hidrógeno</t>
  </si>
  <si>
    <t>picosulfato de sodio</t>
  </si>
  <si>
    <t>picosulfato sódico</t>
  </si>
  <si>
    <t>pidotimod</t>
  </si>
  <si>
    <t>pimecrolimus</t>
  </si>
  <si>
    <t>pioglitazona</t>
  </si>
  <si>
    <t>pirantel</t>
  </si>
  <si>
    <t>piridoxina</t>
  </si>
  <si>
    <t>polividona</t>
  </si>
  <si>
    <t>pramipexol</t>
  </si>
  <si>
    <t>pravastatina</t>
  </si>
  <si>
    <t>prazosina</t>
  </si>
  <si>
    <t>prednisona</t>
  </si>
  <si>
    <t>pregabalina</t>
  </si>
  <si>
    <t>progesterona</t>
  </si>
  <si>
    <t>quetiapina</t>
  </si>
  <si>
    <t>ranitidina</t>
  </si>
  <si>
    <t>ribavirina</t>
  </si>
  <si>
    <t>rifaximina</t>
  </si>
  <si>
    <t>risperidona</t>
  </si>
  <si>
    <t>rivaroxabán</t>
  </si>
  <si>
    <t>rosuvastatina</t>
  </si>
  <si>
    <t>rupatadina</t>
  </si>
  <si>
    <t>salbutamol</t>
  </si>
  <si>
    <t>secnidazol</t>
  </si>
  <si>
    <t>senósidos a-b</t>
  </si>
  <si>
    <t>sertralina</t>
  </si>
  <si>
    <t>simeticona metoclopramida</t>
  </si>
  <si>
    <t>simvastatina</t>
  </si>
  <si>
    <t>solución electrolizada de superoxidación</t>
  </si>
  <si>
    <t>solución hartmann</t>
  </si>
  <si>
    <t>subsalicilato de bismuto</t>
  </si>
  <si>
    <t>sucralfato</t>
  </si>
  <si>
    <t>sulfato ferroso</t>
  </si>
  <si>
    <t>sulindaco</t>
  </si>
  <si>
    <t>tadalafil</t>
  </si>
  <si>
    <t>tamsulosina</t>
  </si>
  <si>
    <t>telmisartán</t>
  </si>
  <si>
    <t>terbinafina</t>
  </si>
  <si>
    <t>tetracilina</t>
  </si>
  <si>
    <t>tiotropio</t>
  </si>
  <si>
    <t>tizanidina</t>
  </si>
  <si>
    <t>tobramacina</t>
  </si>
  <si>
    <t>tocofersolán</t>
  </si>
  <si>
    <t>tramadol</t>
  </si>
  <si>
    <t>trimebutina</t>
  </si>
  <si>
    <t>valproato de magensio</t>
  </si>
  <si>
    <t>valsartán</t>
  </si>
  <si>
    <t>venlafaxina</t>
  </si>
  <si>
    <t>verapamilo</t>
  </si>
  <si>
    <t>vildagliptina</t>
  </si>
  <si>
    <t>zolmitriptano</t>
  </si>
  <si>
    <t>zolpidem</t>
  </si>
  <si>
    <t>zuclopentixol</t>
  </si>
  <si>
    <t>acido ursodeoxicolico 250 mg</t>
  </si>
  <si>
    <t>albendazol 2g</t>
  </si>
  <si>
    <t>alogliptina 25mg</t>
  </si>
  <si>
    <t>alprazolam 75 mg</t>
  </si>
  <si>
    <t>ambroxol 30 mg</t>
  </si>
  <si>
    <t>amlodipino 5mg</t>
  </si>
  <si>
    <t>amoxicilina 500 mg</t>
  </si>
  <si>
    <t>apixaban 5 mg</t>
  </si>
  <si>
    <t>atorvastatina 20mg</t>
  </si>
  <si>
    <t>atorvastatina 40 mg</t>
  </si>
  <si>
    <t>bencidamina 150 mg</t>
  </si>
  <si>
    <t>benzonatato 100 mg</t>
  </si>
  <si>
    <t>benzonato 100mg</t>
  </si>
  <si>
    <t>betahistina 24 mfg</t>
  </si>
  <si>
    <t>betametasona 8mg</t>
  </si>
  <si>
    <t>bezafibrato 200mg</t>
  </si>
  <si>
    <t>bifonazol 1 g</t>
  </si>
  <si>
    <t>biperideno 2 mg</t>
  </si>
  <si>
    <t>biperideno 2mg</t>
  </si>
  <si>
    <t>bromhexina 160mg</t>
  </si>
  <si>
    <t>bumetadina 1mg</t>
  </si>
  <si>
    <t>buprenorfina 20 mg</t>
  </si>
  <si>
    <t>buprenorfina 35 ug</t>
  </si>
  <si>
    <t>calcio 600 mg</t>
  </si>
  <si>
    <t>capecitabina 500 mg</t>
  </si>
  <si>
    <t>captopril 25mg</t>
  </si>
  <si>
    <t>cefaclor 250mg</t>
  </si>
  <si>
    <t>cefadroxilo</t>
  </si>
  <si>
    <t>ceftriaxona 1g</t>
  </si>
  <si>
    <t>celecoxib 200 mg</t>
  </si>
  <si>
    <t>cinitaprida 1 mg</t>
  </si>
  <si>
    <t>ciprofibrato 100 mg</t>
  </si>
  <si>
    <t>ciprofibrato 100mg</t>
  </si>
  <si>
    <t>citalopram 20 mg</t>
  </si>
  <si>
    <t>claritromicina 250 mg</t>
  </si>
  <si>
    <t>clindamicina 1g</t>
  </si>
  <si>
    <t>clioquinol 3 g</t>
  </si>
  <si>
    <t>clofenamina 50mg</t>
  </si>
  <si>
    <t>clopidogrel 75 mg</t>
  </si>
  <si>
    <t>cloramfenicol 5 mg</t>
  </si>
  <si>
    <t>clorpenamina</t>
  </si>
  <si>
    <t>cloxinato de lisina 250mg</t>
  </si>
  <si>
    <t>colchicina 1mg</t>
  </si>
  <si>
    <t>desloratadina 5mg</t>
  </si>
  <si>
    <t>dexpantenol 5%</t>
  </si>
  <si>
    <t>dicicloverina 10mg</t>
  </si>
  <si>
    <t>diclofenaco 100 mg</t>
  </si>
  <si>
    <t>diclofenaco 50 mg</t>
  </si>
  <si>
    <t>diclofenaco 60g</t>
  </si>
  <si>
    <t>dicloxacilina 500mg</t>
  </si>
  <si>
    <t>difenidol 25 mg</t>
  </si>
  <si>
    <t>diltiazem 120mg</t>
  </si>
  <si>
    <t>dinitrato isoborbida 20 mg</t>
  </si>
  <si>
    <t>dinitrato isoborbida 40 mg</t>
  </si>
  <si>
    <t>doxicilina 100mg</t>
  </si>
  <si>
    <t>edoxaban</t>
  </si>
  <si>
    <t>enalapril 5mg</t>
  </si>
  <si>
    <t>esomeprazol 40 mg</t>
  </si>
  <si>
    <t>esporas de bacillus clausii 5ml</t>
  </si>
  <si>
    <t>etoricoxib 90mg</t>
  </si>
  <si>
    <t>fenazopiridina 100 mg</t>
  </si>
  <si>
    <t>fexonadina 120 mg</t>
  </si>
  <si>
    <t>finasterida 5 mg</t>
  </si>
  <si>
    <t>finasterida 5mg</t>
  </si>
  <si>
    <t>fluoxetina 20 mg</t>
  </si>
  <si>
    <t>gabapentina 300 mg</t>
  </si>
  <si>
    <t>gabapentina 300mg</t>
  </si>
  <si>
    <t>gentamicina 160 mg</t>
  </si>
  <si>
    <t>glicerol 1478 mg</t>
  </si>
  <si>
    <t>gluconolactato de calcio 380 mg</t>
  </si>
  <si>
    <t>hialuro d sodio 4mg</t>
  </si>
  <si>
    <t>hidroclorotiazida 25 mg</t>
  </si>
  <si>
    <t>hidroclorotiazida 25mg</t>
  </si>
  <si>
    <t>hidroxocobalamina 100 mcg</t>
  </si>
  <si>
    <t>hipromelosa</t>
  </si>
  <si>
    <t>ibuprofeno 2g</t>
  </si>
  <si>
    <t>ibuprogeno 2g</t>
  </si>
  <si>
    <t>indometacina 100mg</t>
  </si>
  <si>
    <t>indometacina 25mg</t>
  </si>
  <si>
    <t>indometacina 50 mg</t>
  </si>
  <si>
    <t>ketaconazol 800 mg</t>
  </si>
  <si>
    <t>ketorolaco 30 mg</t>
  </si>
  <si>
    <t>levocarnitina 1g</t>
  </si>
  <si>
    <t>levofloxacino 750 mg</t>
  </si>
  <si>
    <t>levotiroxina sodica 25 mcg</t>
  </si>
  <si>
    <t>levotiroxina sodica 50 mcg</t>
  </si>
  <si>
    <t>lidocaina 10 g</t>
  </si>
  <si>
    <t>loperamida 2mg</t>
  </si>
  <si>
    <t>loratadina 10 mg</t>
  </si>
  <si>
    <t>loratadina 100 mg</t>
  </si>
  <si>
    <t>lorazepam 1 mg</t>
  </si>
  <si>
    <t>losartan  50mg</t>
  </si>
  <si>
    <t>melatonina 5 mg</t>
  </si>
  <si>
    <t>metamizol sodico 1 g</t>
  </si>
  <si>
    <t>metamizol sódico 500 mg</t>
  </si>
  <si>
    <t>metformin 750mg</t>
  </si>
  <si>
    <t>metformina 850  mg</t>
  </si>
  <si>
    <t>metformina 850mg</t>
  </si>
  <si>
    <t>metilprednisona 40mg</t>
  </si>
  <si>
    <t>metoclopramida 10 mg</t>
  </si>
  <si>
    <t>metoprolol 100 mg</t>
  </si>
  <si>
    <t>metoprolol 100mg</t>
  </si>
  <si>
    <t>miconazol 20 g</t>
  </si>
  <si>
    <t>miconazol 20g</t>
  </si>
  <si>
    <t>miconazol 2g</t>
  </si>
  <si>
    <t>modafinilo 200mg</t>
  </si>
  <si>
    <t>mometasona  50ug</t>
  </si>
  <si>
    <t>mometasona 50mg</t>
  </si>
  <si>
    <t>mometasona 50ug</t>
  </si>
  <si>
    <t>montelukast 10 mg</t>
  </si>
  <si>
    <t>montelukast 4 mg</t>
  </si>
  <si>
    <t>mupirocina 15 g</t>
  </si>
  <si>
    <t>naproxeno 250 mg</t>
  </si>
  <si>
    <t>nefazolina 1mg</t>
  </si>
  <si>
    <t>nifedipino 30mg</t>
  </si>
  <si>
    <t>nifuroxazida 400 mg</t>
  </si>
  <si>
    <t>nitrofurantoina</t>
  </si>
  <si>
    <t>nitrofurantoina 100 mg</t>
  </si>
  <si>
    <t>omeprazol 20 mg</t>
  </si>
  <si>
    <t>omeprazol 20mg</t>
  </si>
  <si>
    <t>oseltamivir 75 mg</t>
  </si>
  <si>
    <t>oximetazolina 25 mg</t>
  </si>
  <si>
    <t>paracetamol  500mg</t>
  </si>
  <si>
    <t>paracetamol 250mg</t>
  </si>
  <si>
    <t>paracetamol 500 mg</t>
  </si>
  <si>
    <t>paracetamol 500mg</t>
  </si>
  <si>
    <t>paracetamol 650 mg</t>
  </si>
  <si>
    <t>pinaverio 100 mg</t>
  </si>
  <si>
    <t>pioglitazona 15mg</t>
  </si>
  <si>
    <t>piracetam 800 mg</t>
  </si>
  <si>
    <t>piroxicam 20mg</t>
  </si>
  <si>
    <t>pravastatina 10mg</t>
  </si>
  <si>
    <t>pregabalina 75 mg</t>
  </si>
  <si>
    <t>raloxifeno 60 mg</t>
  </si>
  <si>
    <t>ranitidina 150mg</t>
  </si>
  <si>
    <t>rosuvastatina 10 mg</t>
  </si>
  <si>
    <t>sirolimus 1 mg</t>
  </si>
  <si>
    <t>sucralfato 1 g</t>
  </si>
  <si>
    <t>telmisartan 40 mg</t>
  </si>
  <si>
    <t>telmisartán 80mg</t>
  </si>
  <si>
    <t>tolterodina</t>
  </si>
  <si>
    <t>topiramato 25mg</t>
  </si>
  <si>
    <t>tretinoina</t>
  </si>
  <si>
    <t>trimebutina 2g</t>
  </si>
  <si>
    <t>trimebutina 300mg</t>
  </si>
  <si>
    <t>vitamina c 2000 mg</t>
  </si>
  <si>
    <t>17-beta-estradiol</t>
  </si>
  <si>
    <t>trimegestona</t>
  </si>
  <si>
    <t>acetilsalicilato de lisina</t>
  </si>
  <si>
    <t>polimixina b</t>
  </si>
  <si>
    <t>neomicina</t>
  </si>
  <si>
    <t>cafeína</t>
  </si>
  <si>
    <t>fenilefrina</t>
  </si>
  <si>
    <t>cianocobalamina</t>
  </si>
  <si>
    <t>d-alfa-tocoferol</t>
  </si>
  <si>
    <t>ácido bórico</t>
  </si>
  <si>
    <t>óxido de zinc</t>
  </si>
  <si>
    <t>sulfatiazol</t>
  </si>
  <si>
    <t>ácido nalidíxico</t>
  </si>
  <si>
    <t>ácido undecilénico</t>
  </si>
  <si>
    <t>undecilenato de zinc</t>
  </si>
  <si>
    <t xml:space="preserve">aesculos hippocastanum </t>
  </si>
  <si>
    <t>quinfamida</t>
  </si>
  <si>
    <t>algestona</t>
  </si>
  <si>
    <t>estradiol</t>
  </si>
  <si>
    <t>aluminio</t>
  </si>
  <si>
    <t>magnesio</t>
  </si>
  <si>
    <t>simeticona</t>
  </si>
  <si>
    <t>alverina</t>
  </si>
  <si>
    <t>amantadina</t>
  </si>
  <si>
    <t>teofilina</t>
  </si>
  <si>
    <t>amitriptilina</t>
  </si>
  <si>
    <t>perfenazina</t>
  </si>
  <si>
    <t>ácido clavulánico</t>
  </si>
  <si>
    <t>bencilpenicilina procaína</t>
  </si>
  <si>
    <t>bencilpenicilina cristalina</t>
  </si>
  <si>
    <t>bicarbonato de potasio</t>
  </si>
  <si>
    <t>bitartrato de potasio</t>
  </si>
  <si>
    <t>ácido cítrico</t>
  </si>
  <si>
    <t>bicarbonato de sodio</t>
  </si>
  <si>
    <t>ácido tartárico</t>
  </si>
  <si>
    <t>timolol</t>
  </si>
  <si>
    <t>oxeladina</t>
  </si>
  <si>
    <t>bromuro de ipratropio</t>
  </si>
  <si>
    <t>formoterol</t>
  </si>
  <si>
    <t>ergocalciferol</t>
  </si>
  <si>
    <t>carbazocromo</t>
  </si>
  <si>
    <t>bisulfito sódico de menadiona</t>
  </si>
  <si>
    <t>carnitina</t>
  </si>
  <si>
    <t>metionina</t>
  </si>
  <si>
    <t>tiamina</t>
  </si>
  <si>
    <t>citidín-5-monofosfato</t>
  </si>
  <si>
    <t>uridin-5-monofosfato disódico</t>
  </si>
  <si>
    <t>uridín-5-trifosfato trisódico</t>
  </si>
  <si>
    <t>citrato de potasio</t>
  </si>
  <si>
    <t>citrato de sodio</t>
  </si>
  <si>
    <t>laurilsulfato</t>
  </si>
  <si>
    <t>fluocinolona</t>
  </si>
  <si>
    <t>benzocaina</t>
  </si>
  <si>
    <t>collinsonia</t>
  </si>
  <si>
    <t>hamamelis</t>
  </si>
  <si>
    <t>aesculus</t>
  </si>
  <si>
    <t>guaifenesina</t>
  </si>
  <si>
    <t>hesperidina</t>
  </si>
  <si>
    <t>diyodohidroxiquinoleína</t>
  </si>
  <si>
    <t>dobesilato de calcio</t>
  </si>
  <si>
    <t>drospirenona</t>
  </si>
  <si>
    <t>etinilestradiol</t>
  </si>
  <si>
    <t xml:space="preserve">edetato disodico </t>
  </si>
  <si>
    <t>efavirenz</t>
  </si>
  <si>
    <t>emtricitabina</t>
  </si>
  <si>
    <t>tenofovir</t>
  </si>
  <si>
    <t>empaglifozina</t>
  </si>
  <si>
    <t>ezetimiba</t>
  </si>
  <si>
    <t>feniramina</t>
  </si>
  <si>
    <t>nafazolina</t>
  </si>
  <si>
    <t>florgucinol</t>
  </si>
  <si>
    <t>trimetilflorgucinol</t>
  </si>
  <si>
    <t>floroglucinol</t>
  </si>
  <si>
    <t>trimetilfloroglucinol</t>
  </si>
  <si>
    <t>furazolidona</t>
  </si>
  <si>
    <t>caolín</t>
  </si>
  <si>
    <t>pectina</t>
  </si>
  <si>
    <t>metilbromuro de homatropina</t>
  </si>
  <si>
    <t>gluconolactado de calcio</t>
  </si>
  <si>
    <t>carbonato de calcio</t>
  </si>
  <si>
    <t>oxolamina</t>
  </si>
  <si>
    <t>guifenesina</t>
  </si>
  <si>
    <t>hidróxido de aluminio</t>
  </si>
  <si>
    <t>metocarbamol</t>
  </si>
  <si>
    <t xml:space="preserve">irbersartán </t>
  </si>
  <si>
    <t>lansoprazol</t>
  </si>
  <si>
    <t>levodopa</t>
  </si>
  <si>
    <t>benserazida</t>
  </si>
  <si>
    <t>hidrocortisona</t>
  </si>
  <si>
    <t>subacetato de aluminio</t>
  </si>
  <si>
    <t>hidrocortizona</t>
  </si>
  <si>
    <t>ofloxacino</t>
  </si>
  <si>
    <t>prilocaína</t>
  </si>
  <si>
    <t>guayafenesina</t>
  </si>
  <si>
    <t>fenielfrina</t>
  </si>
  <si>
    <t>magaldrato</t>
  </si>
  <si>
    <t>mebendazol</t>
  </si>
  <si>
    <t>meclizina</t>
  </si>
  <si>
    <t xml:space="preserve">metamizol </t>
  </si>
  <si>
    <t xml:space="preserve">metocarbamol </t>
  </si>
  <si>
    <t>bacitracina</t>
  </si>
  <si>
    <t>gramicidina</t>
  </si>
  <si>
    <t>norelgestromina</t>
  </si>
  <si>
    <t>olmesartán metoxomilo</t>
  </si>
  <si>
    <t>carmelosa</t>
  </si>
  <si>
    <t>oxitetraciclina</t>
  </si>
  <si>
    <t>pancreatina</t>
  </si>
  <si>
    <t>extracto seco de bilis de buey</t>
  </si>
  <si>
    <t>clorzoxazona</t>
  </si>
  <si>
    <t>pargeverina</t>
  </si>
  <si>
    <t>perindopril</t>
  </si>
  <si>
    <t>indapamida</t>
  </si>
  <si>
    <t>retinol</t>
  </si>
  <si>
    <t>rosiglitazona</t>
  </si>
  <si>
    <t>ruscus aculeatus</t>
  </si>
  <si>
    <t>lactobacillus sporogenes</t>
  </si>
  <si>
    <t>salmeterol</t>
  </si>
  <si>
    <t>celulasa de aspergillus niger</t>
  </si>
  <si>
    <t>sitagliptina</t>
  </si>
  <si>
    <t>lidocaina</t>
  </si>
  <si>
    <t>tolperisona</t>
  </si>
  <si>
    <t>galactosidasa</t>
  </si>
  <si>
    <t>trimetoprim</t>
  </si>
  <si>
    <t>sulfametoxazol</t>
  </si>
  <si>
    <t>tripsina</t>
  </si>
  <si>
    <t>quimotripsina</t>
  </si>
  <si>
    <t>albenazol 2g</t>
  </si>
  <si>
    <t>alcohol polivinilico 14mg</t>
  </si>
  <si>
    <t>alfa-ceteanálogo de isoleucina de calcio 67mg</t>
  </si>
  <si>
    <t>ambroxol 150 mg</t>
  </si>
  <si>
    <t xml:space="preserve">amoxicilina 875mg </t>
  </si>
  <si>
    <t>amoxicilina 875mg</t>
  </si>
  <si>
    <t>bifonazol 1g</t>
  </si>
  <si>
    <t>ml</t>
  </si>
  <si>
    <t>cetrizina 100mg</t>
  </si>
  <si>
    <t>cisaprida 1 mg</t>
  </si>
  <si>
    <t>clorfenamina 2mg</t>
  </si>
  <si>
    <t xml:space="preserve">clorhidrato de fexofenadina </t>
  </si>
  <si>
    <t>dexketoprofeno 50mg</t>
  </si>
  <si>
    <t>diclofenaco 50mg</t>
  </si>
  <si>
    <t>diosmina 450 mg</t>
  </si>
  <si>
    <t>diosmina 450mg</t>
  </si>
  <si>
    <t xml:space="preserve">diosmina 900mg </t>
  </si>
  <si>
    <t>hesperedina 100mg</t>
  </si>
  <si>
    <t>dorzolamida 20 mg</t>
  </si>
  <si>
    <t>fenilefrina 30 mg</t>
  </si>
  <si>
    <t>floroglucinol 80mg</t>
  </si>
  <si>
    <t>trimetilfloroglucinol 80mg</t>
  </si>
  <si>
    <t>hialuronato de sodio 4mg</t>
  </si>
  <si>
    <t>hidroclorotiazida 10mg</t>
  </si>
  <si>
    <t>ibuprofeno 400 mg</t>
  </si>
  <si>
    <t>ibesartán 300mg</t>
  </si>
  <si>
    <t xml:space="preserve">ibuprofeno </t>
  </si>
  <si>
    <t>lercanidipino</t>
  </si>
  <si>
    <t>levodopa250mg</t>
  </si>
  <si>
    <t xml:space="preserve">lidocaina 20mg </t>
  </si>
  <si>
    <t>lidocaína 20mg</t>
  </si>
  <si>
    <t>lodopovidona 8mg</t>
  </si>
  <si>
    <t>loratadina 5mg</t>
  </si>
  <si>
    <t>losartán 50 mg</t>
  </si>
  <si>
    <t>malagrato 80mg</t>
  </si>
  <si>
    <t>metamizol sodico 250mg</t>
  </si>
  <si>
    <t>metocarbamol 400 mg</t>
  </si>
  <si>
    <t>metoclopramida 10mg</t>
  </si>
  <si>
    <t>multivitaminicos 2000mg</t>
  </si>
  <si>
    <t>paracetamol 300mg</t>
  </si>
  <si>
    <t>perindopril 10mg</t>
  </si>
  <si>
    <t>salbutamol 2mg</t>
  </si>
  <si>
    <t>sufametoxazol 4g</t>
  </si>
  <si>
    <t>telmisartan 80mg</t>
  </si>
  <si>
    <t>tiamina 100 mg</t>
  </si>
  <si>
    <t>tiamina 10mg</t>
  </si>
  <si>
    <t xml:space="preserve">trimebutina 200mg </t>
  </si>
  <si>
    <t>simeticona75mg</t>
  </si>
  <si>
    <t>vitaminas</t>
  </si>
  <si>
    <t>other antiinflammatory antirheumatic agents in combination with other drugs</t>
  </si>
  <si>
    <t>vitamin b1 in combination with vitamin b6 and or vitamin b12</t>
  </si>
  <si>
    <t>acetato de clormadinona</t>
  </si>
  <si>
    <t>ácido nalidixico</t>
  </si>
  <si>
    <t>adapalene</t>
  </si>
  <si>
    <t>adapaleno 0</t>
  </si>
  <si>
    <t>adapaleno</t>
  </si>
  <si>
    <t>alogliptina</t>
  </si>
  <si>
    <t>alprazolam 0</t>
  </si>
  <si>
    <t xml:space="preserve">amantadina </t>
  </si>
  <si>
    <t>ambroxol 0</t>
  </si>
  <si>
    <t>amino acids</t>
  </si>
  <si>
    <t>amoxicilina trihidratada</t>
  </si>
  <si>
    <t>anesthetics</t>
  </si>
  <si>
    <t>angiotensin ii receptor blockers (arbs)</t>
  </si>
  <si>
    <t>benzalconio 0</t>
  </si>
  <si>
    <t>betametasona 50 mg</t>
  </si>
  <si>
    <t xml:space="preserve">bimatropost </t>
  </si>
  <si>
    <t>bromuro de ipratropio 0</t>
  </si>
  <si>
    <t>budesonida 0</t>
  </si>
  <si>
    <t>calcitriol 0</t>
  </si>
  <si>
    <t>calcium</t>
  </si>
  <si>
    <t>cinitaprida</t>
  </si>
  <si>
    <t>corticosteroids for systemic use</t>
  </si>
  <si>
    <t>desvenlafaxina</t>
  </si>
  <si>
    <t>dexametasona 0</t>
  </si>
  <si>
    <t>dextrometorfano 113 mg</t>
  </si>
  <si>
    <t>dihydroergocristine</t>
  </si>
  <si>
    <t>diosmin</t>
  </si>
  <si>
    <t>dropropizuina 300 mg</t>
  </si>
  <si>
    <t>drospirenona 3</t>
  </si>
  <si>
    <t>fenilefrina 33</t>
  </si>
  <si>
    <t>finasterida</t>
  </si>
  <si>
    <t>folic acid</t>
  </si>
  <si>
    <t>hialuronato de sodio</t>
  </si>
  <si>
    <t>hidroxido de aluminio 2</t>
  </si>
  <si>
    <t>hidroxido de aluminio 200mg</t>
  </si>
  <si>
    <t>hioscina 20 mg</t>
  </si>
  <si>
    <t>insulina detemir</t>
  </si>
  <si>
    <t>iron</t>
  </si>
  <si>
    <t>lidocaina 1g</t>
  </si>
  <si>
    <t>lomifilina</t>
  </si>
  <si>
    <t>loratadina 5 mg</t>
  </si>
  <si>
    <t>meloxicam 7</t>
  </si>
  <si>
    <t>methocarbamol</t>
  </si>
  <si>
    <t>metocarbamol 375 mg</t>
  </si>
  <si>
    <t>mitoxantrona</t>
  </si>
  <si>
    <t xml:space="preserve">mometasona </t>
  </si>
  <si>
    <t>multivitamins and other minerals</t>
  </si>
  <si>
    <t>multivitamins</t>
  </si>
  <si>
    <t>neomicina 129 mg</t>
  </si>
  <si>
    <t>neomycin</t>
  </si>
  <si>
    <t>olmesartan medoxomil</t>
  </si>
  <si>
    <t>omega-3-triglycerides incl</t>
  </si>
  <si>
    <t>p´rimidona</t>
  </si>
  <si>
    <t>paracetamol 3</t>
  </si>
  <si>
    <t>perindopril arginina</t>
  </si>
  <si>
    <t>perindropil 3</t>
  </si>
  <si>
    <t>phenylephrine</t>
  </si>
  <si>
    <t xml:space="preserve">piroxicam </t>
  </si>
  <si>
    <t>piroxicam 0</t>
  </si>
  <si>
    <t xml:space="preserve">prednisona </t>
  </si>
  <si>
    <t>psychostimulants</t>
  </si>
  <si>
    <t>retinol 3</t>
  </si>
  <si>
    <t>senosidos a-b 8</t>
  </si>
  <si>
    <t>theophylline</t>
  </si>
  <si>
    <t>trinitrato de glicerilo</t>
  </si>
  <si>
    <t>valsartan</t>
  </si>
  <si>
    <t>vitamin b-complex</t>
  </si>
  <si>
    <t>maleato de clorfenamina</t>
  </si>
  <si>
    <t>clohidrato de fenilefrina</t>
  </si>
  <si>
    <t xml:space="preserve">epinefrina </t>
  </si>
  <si>
    <t>epinefrina 0</t>
  </si>
  <si>
    <t>agents used for adhd and nootropics</t>
  </si>
  <si>
    <t>ambroxol 7</t>
  </si>
  <si>
    <t>amlodipine and hydrochlorothiazide </t>
  </si>
  <si>
    <t>amlodipine and indapamide </t>
  </si>
  <si>
    <t>bromhexina 160 mg</t>
  </si>
  <si>
    <t>clotrimazol 1g</t>
  </si>
  <si>
    <t>colecalciferol 4 mg</t>
  </si>
  <si>
    <t>hesperidina 50mg</t>
  </si>
  <si>
    <t>hidroxido de mg 200mg</t>
  </si>
  <si>
    <t>ibuprofeno 200 mg</t>
  </si>
  <si>
    <t>multivitamins and folic acid </t>
  </si>
  <si>
    <t>paracetamol 350 mg</t>
  </si>
  <si>
    <t>piridoxina 5 mg</t>
  </si>
  <si>
    <t>alfa-ceteanálogo de fenilanina de calcio 68mg</t>
  </si>
  <si>
    <t>acido sorbico</t>
  </si>
  <si>
    <t>alfa-ceteanálogo de leucina de calcio 101mg</t>
  </si>
  <si>
    <t>alfa-ceteanálogo de valina de calcio 86 mg</t>
  </si>
  <si>
    <t>ambroxol 9</t>
  </si>
  <si>
    <t>amlodipino 10 mg</t>
  </si>
  <si>
    <t>amlodipino 10mg</t>
  </si>
  <si>
    <t>amlodipino 2</t>
  </si>
  <si>
    <t>benzocaína 20 mg</t>
  </si>
  <si>
    <t>carbidopa 25mg</t>
  </si>
  <si>
    <t>cianocobalamina 0</t>
  </si>
  <si>
    <t>cianocobalamina 50 mcg</t>
  </si>
  <si>
    <t>cianocobalamina 50mg</t>
  </si>
  <si>
    <t>clembuterol 100mcg</t>
  </si>
  <si>
    <t>cloranfenicol 25mg</t>
  </si>
  <si>
    <t>dextrometorfano 10mg</t>
  </si>
  <si>
    <t>dextrometorfano 15 mg</t>
  </si>
  <si>
    <t>dihidroergocristina</t>
  </si>
  <si>
    <t>dimeticona 10mg</t>
  </si>
  <si>
    <t>dimeticona 20mg</t>
  </si>
  <si>
    <t>etinilestradiol 0</t>
  </si>
  <si>
    <t>fenilefrina 5 mg</t>
  </si>
  <si>
    <t>fenilefrina 5mg</t>
  </si>
  <si>
    <t>gentamicina 0</t>
  </si>
  <si>
    <t>hesperidina 50 mg</t>
  </si>
  <si>
    <t>hidroclorotiazida 12</t>
  </si>
  <si>
    <t>hidroxido de magnesio 4 g</t>
  </si>
  <si>
    <t>indapamida 2</t>
  </si>
  <si>
    <t>ketorolaco trometamina</t>
  </si>
  <si>
    <t>loratadina 16mg</t>
  </si>
  <si>
    <t>loratadina 2mg</t>
  </si>
  <si>
    <t>metamizol sòdico</t>
  </si>
  <si>
    <t>metocarbamol 215 mg</t>
  </si>
  <si>
    <t>metocrbamol 215 mg</t>
  </si>
  <si>
    <t>metronidazol 500mg</t>
  </si>
  <si>
    <t>nifedipino 20 mg</t>
  </si>
  <si>
    <t>nistatina 100000ui</t>
  </si>
  <si>
    <t>paracetamol 3g</t>
  </si>
  <si>
    <t>peroxido de benzoilo</t>
  </si>
  <si>
    <t>peroxido de benzoilo 2</t>
  </si>
  <si>
    <t>piridoxina 5mg</t>
  </si>
  <si>
    <t>salbutamol 2</t>
  </si>
  <si>
    <t>teofilina 0</t>
  </si>
  <si>
    <t>trimetoprima</t>
  </si>
  <si>
    <t>SEP</t>
  </si>
  <si>
    <t>ENE</t>
  </si>
  <si>
    <t>OCT</t>
  </si>
  <si>
    <t>sep</t>
  </si>
  <si>
    <t>JUL</t>
  </si>
  <si>
    <t>NOV</t>
  </si>
  <si>
    <t>oct</t>
  </si>
  <si>
    <t>AGO</t>
  </si>
  <si>
    <t>FEB</t>
  </si>
  <si>
    <t>Feb</t>
  </si>
  <si>
    <t>May</t>
  </si>
  <si>
    <t>DIC</t>
  </si>
  <si>
    <t>JUN</t>
  </si>
  <si>
    <t>MAR</t>
  </si>
  <si>
    <t>ABR</t>
  </si>
  <si>
    <t>MAY</t>
  </si>
  <si>
    <t>Jul</t>
  </si>
  <si>
    <t>dic</t>
  </si>
  <si>
    <t>abr</t>
  </si>
  <si>
    <t>Ago</t>
  </si>
  <si>
    <t>Jun</t>
  </si>
  <si>
    <t>Sep</t>
  </si>
  <si>
    <t>jul</t>
  </si>
  <si>
    <t>Mar</t>
  </si>
  <si>
    <t>Oct</t>
  </si>
  <si>
    <t>nov</t>
  </si>
  <si>
    <t>Nov</t>
  </si>
  <si>
    <t>Dic</t>
  </si>
  <si>
    <t>OCY</t>
  </si>
  <si>
    <t>Ene</t>
  </si>
  <si>
    <t>may</t>
  </si>
  <si>
    <t>Abr</t>
  </si>
  <si>
    <t>0CT</t>
  </si>
  <si>
    <t xml:space="preserve">ENE </t>
  </si>
  <si>
    <t xml:space="preserve">SEP </t>
  </si>
  <si>
    <t>AGOS</t>
  </si>
  <si>
    <t xml:space="preserve">Sep </t>
  </si>
  <si>
    <t xml:space="preserve">NOV </t>
  </si>
  <si>
    <t xml:space="preserve">NOM </t>
  </si>
  <si>
    <t xml:space="preserve">DIC </t>
  </si>
  <si>
    <t xml:space="preserve">JUL </t>
  </si>
  <si>
    <t>OTC</t>
  </si>
  <si>
    <t xml:space="preserve">AGO </t>
  </si>
  <si>
    <t>No caducado en entrega</t>
  </si>
  <si>
    <t>Caducado en entrega</t>
  </si>
  <si>
    <t>91%-100%</t>
  </si>
  <si>
    <t>81%-90%</t>
  </si>
  <si>
    <t>71%-80%</t>
  </si>
  <si>
    <t>61%-70%</t>
  </si>
  <si>
    <t>51%-60%</t>
  </si>
  <si>
    <t>41%-50%</t>
  </si>
  <si>
    <t>31%-40%</t>
  </si>
  <si>
    <t>21%-30%</t>
  </si>
  <si>
    <t>11%-20%</t>
  </si>
  <si>
    <t>0%-10%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</si>
</sst>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C80E"/>
        <bgColor indexed="64"/>
      </patternFill>
    </fill>
    <fill>
      <patternFill patternType="solid">
        <fgColor rgb="FFF8EF9A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0" fontId="0" fillId="2" borderId="2" xfId="0" applyFont="1" applyFill="1" applyBorder="1"/>
    <xf numFmtId="49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3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Alignment="1"/>
    <xf numFmtId="0" fontId="3" fillId="0" borderId="3" xfId="0" applyFont="1" applyBorder="1" applyAlignment="1">
      <alignment horizontal="center" vertical="center"/>
    </xf>
    <xf numFmtId="171" fontId="0" fillId="0" borderId="0" xfId="0" applyNumberFormat="1"/>
    <xf numFmtId="14" fontId="0" fillId="0" borderId="0" xfId="0" applyNumberFormat="1"/>
    <xf numFmtId="0" fontId="0" fillId="3" borderId="2" xfId="0" applyFont="1" applyFill="1" applyBorder="1"/>
  </cellXfs>
  <cellStyles count="1">
    <cellStyle name="Normal" xfId="0" builtinId="0"/>
  </cellStyles>
  <dxfs count="2">
    <dxf>
      <numFmt numFmtId="19" formatCode="dd/mm/yyyy"/>
    </dxf>
    <dxf>
      <numFmt numFmtId="30" formatCode="@"/>
    </dxf>
  </dxfs>
  <tableStyles count="0" defaultTableStyle="TableStyleMedium2" defaultPivotStyle="PivotStyleLight16"/>
  <colors>
    <mruColors>
      <color rgb="FFDCC80E"/>
      <color rgb="FFF8EF9A"/>
      <color rgb="FFC5DAF7"/>
      <color rgb="FF7D9ED8"/>
      <color rgb="FF52A179"/>
      <color rgb="FFBDDE85"/>
      <color rgb="FFF98988"/>
      <color rgb="FF3483A2"/>
      <color rgb="FF8DCDB0"/>
      <color rgb="FFA58B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[Estadísticas PIRMCT 2025.xlsx]ATC_Gráfico!TablaDinámica9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Medicamentos</a:t>
            </a:r>
            <a:r>
              <a:rPr lang="es-MX" baseline="0"/>
              <a:t> agrupados por grupo anatómico </a:t>
            </a:r>
          </a:p>
          <a:p>
            <a:pPr>
              <a:defRPr/>
            </a:pPr>
            <a:r>
              <a:rPr lang="es-MX" baseline="0"/>
              <a:t>(Total = 2981, equivalente a aproximadamente 110.8 kg)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rgbClr val="DCC80E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4545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DFAF6D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8E6B1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E895EB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A58BD4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8DCDB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3483A2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98988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BDDE85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52A179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7D9ED8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C5DAF7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ATC_Gráfico!$D$3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CC80E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ED4545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FA6-47F7-81AE-6A4908418619}"/>
              </c:ext>
            </c:extLst>
          </c:dPt>
          <c:dPt>
            <c:idx val="2"/>
            <c:invertIfNegative val="0"/>
            <c:bubble3D val="0"/>
            <c:spPr>
              <a:solidFill>
                <a:srgbClr val="DFAF6D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A6-47F7-81AE-6A4908418619}"/>
              </c:ext>
            </c:extLst>
          </c:dPt>
          <c:dPt>
            <c:idx val="3"/>
            <c:invertIfNegative val="0"/>
            <c:bubble3D val="0"/>
            <c:spPr>
              <a:solidFill>
                <a:srgbClr val="F8E6B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FA6-47F7-81AE-6A4908418619}"/>
              </c:ext>
            </c:extLst>
          </c:dPt>
          <c:dPt>
            <c:idx val="4"/>
            <c:invertIfNegative val="0"/>
            <c:bubble3D val="0"/>
            <c:spPr>
              <a:solidFill>
                <a:srgbClr val="E895EB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A6-47F7-81AE-6A4908418619}"/>
              </c:ext>
            </c:extLst>
          </c:dPt>
          <c:dPt>
            <c:idx val="5"/>
            <c:invertIfNegative val="0"/>
            <c:bubble3D val="0"/>
            <c:spPr>
              <a:solidFill>
                <a:srgbClr val="A58BD4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FA6-47F7-81AE-6A4908418619}"/>
              </c:ext>
            </c:extLst>
          </c:dPt>
          <c:dPt>
            <c:idx val="6"/>
            <c:invertIfNegative val="0"/>
            <c:bubble3D val="0"/>
            <c:spPr>
              <a:solidFill>
                <a:srgbClr val="8DCDB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A6-47F7-81AE-6A4908418619}"/>
              </c:ext>
            </c:extLst>
          </c:dPt>
          <c:dPt>
            <c:idx val="7"/>
            <c:invertIfNegative val="0"/>
            <c:bubble3D val="0"/>
            <c:spPr>
              <a:solidFill>
                <a:srgbClr val="3483A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FA6-47F7-81AE-6A4908418619}"/>
              </c:ext>
            </c:extLst>
          </c:dPt>
          <c:dPt>
            <c:idx val="8"/>
            <c:invertIfNegative val="0"/>
            <c:bubble3D val="0"/>
            <c:spPr>
              <a:solidFill>
                <a:srgbClr val="F9898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A6-47F7-81AE-6A4908418619}"/>
              </c:ext>
            </c:extLst>
          </c:dPt>
          <c:dPt>
            <c:idx val="9"/>
            <c:invertIfNegative val="0"/>
            <c:bubble3D val="0"/>
            <c:spPr>
              <a:solidFill>
                <a:srgbClr val="BDDE85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FA6-47F7-81AE-6A4908418619}"/>
              </c:ext>
            </c:extLst>
          </c:dPt>
          <c:dPt>
            <c:idx val="10"/>
            <c:invertIfNegative val="0"/>
            <c:bubble3D val="0"/>
            <c:spPr>
              <a:solidFill>
                <a:srgbClr val="52A179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FA6-47F7-81AE-6A4908418619}"/>
              </c:ext>
            </c:extLst>
          </c:dPt>
          <c:dPt>
            <c:idx val="11"/>
            <c:invertIfNegative val="0"/>
            <c:bubble3D val="0"/>
            <c:spPr>
              <a:solidFill>
                <a:srgbClr val="7D9ED8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FA6-47F7-81AE-6A4908418619}"/>
              </c:ext>
            </c:extLst>
          </c:dPt>
          <c:dPt>
            <c:idx val="12"/>
            <c:invertIfNegative val="0"/>
            <c:bubble3D val="0"/>
            <c:spPr>
              <a:solidFill>
                <a:srgbClr val="C5DAF7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FA6-47F7-81AE-6A4908418619}"/>
              </c:ext>
            </c:extLst>
          </c:dPt>
          <c:dPt>
            <c:idx val="13"/>
            <c:invertIfNegative val="0"/>
            <c:bubble3D val="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FA6-47F7-81AE-6A49084186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ATC_Gráfico!$A$4:$C$17</c:f>
              <c:strCache>
                <c:ptCount val="1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G</c:v>
                </c:pt>
                <c:pt idx="5">
                  <c:v>H</c:v>
                </c:pt>
                <c:pt idx="6">
                  <c:v>J</c:v>
                </c:pt>
                <c:pt idx="7">
                  <c:v>L</c:v>
                </c:pt>
                <c:pt idx="8">
                  <c:v>M</c:v>
                </c:pt>
                <c:pt idx="9">
                  <c:v>N</c:v>
                </c:pt>
                <c:pt idx="10">
                  <c:v>P</c:v>
                </c:pt>
                <c:pt idx="11">
                  <c:v>R</c:v>
                </c:pt>
                <c:pt idx="12">
                  <c:v>S</c:v>
                </c:pt>
                <c:pt idx="13">
                  <c:v>V</c:v>
                </c:pt>
              </c:strCache>
            </c:strRef>
          </c:cat>
          <c:val>
            <c:numRef>
              <c:f>ATC_Gráfico!$D$4:$D$17</c:f>
              <c:numCache>
                <c:formatCode>General</c:formatCode>
                <c:ptCount val="14"/>
                <c:pt idx="0">
                  <c:v>653</c:v>
                </c:pt>
                <c:pt idx="1">
                  <c:v>84</c:v>
                </c:pt>
                <c:pt idx="2">
                  <c:v>447</c:v>
                </c:pt>
                <c:pt idx="3">
                  <c:v>83</c:v>
                </c:pt>
                <c:pt idx="4">
                  <c:v>69</c:v>
                </c:pt>
                <c:pt idx="5">
                  <c:v>47</c:v>
                </c:pt>
                <c:pt idx="6">
                  <c:v>377</c:v>
                </c:pt>
                <c:pt idx="7">
                  <c:v>10</c:v>
                </c:pt>
                <c:pt idx="8">
                  <c:v>312</c:v>
                </c:pt>
                <c:pt idx="9">
                  <c:v>435</c:v>
                </c:pt>
                <c:pt idx="10">
                  <c:v>97</c:v>
                </c:pt>
                <c:pt idx="11">
                  <c:v>317</c:v>
                </c:pt>
                <c:pt idx="12">
                  <c:v>44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6-47F7-81AE-6A4908418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393340480"/>
        <c:axId val="1393340000"/>
      </c:barChart>
      <c:catAx>
        <c:axId val="139334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Grupo Anatómico ATC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3340000"/>
        <c:crosses val="autoZero"/>
        <c:auto val="1"/>
        <c:lblAlgn val="ctr"/>
        <c:lblOffset val="100"/>
        <c:noMultiLvlLbl val="0"/>
      </c:catAx>
      <c:valAx>
        <c:axId val="13933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Medicamentos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334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179070</xdr:rowOff>
    </xdr:from>
    <xdr:to>
      <xdr:col>11</xdr:col>
      <xdr:colOff>701040</xdr:colOff>
      <xdr:row>22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7D145A-D611-FC51-00F0-F4D1903C7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6QV97LA_1909" refreshedDate="45679.058702546296" createdVersion="8" refreshedVersion="8" minRefreshableVersion="3" recordCount="2981" xr:uid="{EE518DAE-46E3-4EB1-BD88-3F156B3BDBBB}">
  <cacheSource type="worksheet">
    <worksheetSource name="Tabla3"/>
  </cacheSource>
  <cacheFields count="3">
    <cacheField name="Anatómico" numFmtId="0">
      <sharedItems count="14">
        <s v="A"/>
        <s v="B"/>
        <s v="C"/>
        <s v="D"/>
        <s v="G"/>
        <s v="H"/>
        <s v="J"/>
        <s v="L"/>
        <s v="M"/>
        <s v="N"/>
        <s v="R"/>
        <s v="P"/>
        <s v="S"/>
        <s v="V"/>
      </sharedItems>
    </cacheField>
    <cacheField name="Terapéutico" numFmtId="49">
      <sharedItems count="13">
        <s v="01"/>
        <s v="02"/>
        <s v="03"/>
        <s v="04"/>
        <s v="05"/>
        <s v="06"/>
        <s v="07"/>
        <s v="08"/>
        <s v="09"/>
        <s v="10"/>
        <s v="11"/>
        <s v="12"/>
        <s v="16"/>
      </sharedItems>
    </cacheField>
    <cacheField name="Farmacológico" numFmtId="0">
      <sharedItems containsBlank="1" count="13">
        <s v="A"/>
        <s v="B"/>
        <s v="F"/>
        <s v="D"/>
        <s v="C"/>
        <s v="E"/>
        <s v="G"/>
        <s v="H"/>
        <s v="X"/>
        <s v="M"/>
        <s v="R"/>
        <s v="K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1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1"/>
    <x v="1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0"/>
  </r>
  <r>
    <x v="0"/>
    <x v="1"/>
    <x v="1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0"/>
  </r>
  <r>
    <x v="0"/>
    <x v="1"/>
    <x v="0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1"/>
    <x v="1"/>
  </r>
  <r>
    <x v="0"/>
    <x v="2"/>
    <x v="2"/>
  </r>
  <r>
    <x v="0"/>
    <x v="2"/>
    <x v="0"/>
  </r>
  <r>
    <x v="0"/>
    <x v="2"/>
    <x v="1"/>
  </r>
  <r>
    <x v="0"/>
    <x v="2"/>
    <x v="0"/>
  </r>
  <r>
    <x v="0"/>
    <x v="2"/>
    <x v="1"/>
  </r>
  <r>
    <x v="0"/>
    <x v="2"/>
    <x v="2"/>
  </r>
  <r>
    <x v="0"/>
    <x v="2"/>
    <x v="2"/>
  </r>
  <r>
    <x v="0"/>
    <x v="2"/>
    <x v="0"/>
  </r>
  <r>
    <x v="0"/>
    <x v="2"/>
    <x v="0"/>
  </r>
  <r>
    <x v="0"/>
    <x v="2"/>
    <x v="2"/>
  </r>
  <r>
    <x v="0"/>
    <x v="2"/>
    <x v="3"/>
  </r>
  <r>
    <x v="0"/>
    <x v="2"/>
    <x v="3"/>
  </r>
  <r>
    <x v="0"/>
    <x v="2"/>
    <x v="3"/>
  </r>
  <r>
    <x v="0"/>
    <x v="2"/>
    <x v="2"/>
  </r>
  <r>
    <x v="0"/>
    <x v="2"/>
    <x v="0"/>
  </r>
  <r>
    <x v="0"/>
    <x v="2"/>
    <x v="0"/>
  </r>
  <r>
    <x v="0"/>
    <x v="2"/>
    <x v="1"/>
  </r>
  <r>
    <x v="0"/>
    <x v="2"/>
    <x v="2"/>
  </r>
  <r>
    <x v="0"/>
    <x v="2"/>
    <x v="0"/>
  </r>
  <r>
    <x v="0"/>
    <x v="2"/>
    <x v="0"/>
  </r>
  <r>
    <x v="0"/>
    <x v="2"/>
    <x v="1"/>
  </r>
  <r>
    <x v="0"/>
    <x v="2"/>
    <x v="2"/>
  </r>
  <r>
    <x v="0"/>
    <x v="2"/>
    <x v="0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0"/>
  </r>
  <r>
    <x v="0"/>
    <x v="2"/>
    <x v="2"/>
  </r>
  <r>
    <x v="0"/>
    <x v="2"/>
    <x v="0"/>
  </r>
  <r>
    <x v="0"/>
    <x v="2"/>
    <x v="1"/>
  </r>
  <r>
    <x v="0"/>
    <x v="2"/>
    <x v="0"/>
  </r>
  <r>
    <x v="0"/>
    <x v="2"/>
    <x v="0"/>
  </r>
  <r>
    <x v="0"/>
    <x v="2"/>
    <x v="1"/>
  </r>
  <r>
    <x v="0"/>
    <x v="2"/>
    <x v="1"/>
  </r>
  <r>
    <x v="0"/>
    <x v="2"/>
    <x v="3"/>
  </r>
  <r>
    <x v="0"/>
    <x v="2"/>
    <x v="2"/>
  </r>
  <r>
    <x v="0"/>
    <x v="2"/>
    <x v="2"/>
  </r>
  <r>
    <x v="0"/>
    <x v="2"/>
    <x v="2"/>
  </r>
  <r>
    <x v="0"/>
    <x v="2"/>
    <x v="0"/>
  </r>
  <r>
    <x v="0"/>
    <x v="2"/>
    <x v="4"/>
  </r>
  <r>
    <x v="0"/>
    <x v="2"/>
    <x v="2"/>
  </r>
  <r>
    <x v="0"/>
    <x v="2"/>
    <x v="2"/>
  </r>
  <r>
    <x v="0"/>
    <x v="2"/>
    <x v="0"/>
  </r>
  <r>
    <x v="0"/>
    <x v="2"/>
    <x v="0"/>
  </r>
  <r>
    <x v="0"/>
    <x v="2"/>
    <x v="0"/>
  </r>
  <r>
    <x v="0"/>
    <x v="2"/>
    <x v="5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3"/>
  </r>
  <r>
    <x v="0"/>
    <x v="2"/>
    <x v="3"/>
  </r>
  <r>
    <x v="0"/>
    <x v="2"/>
    <x v="2"/>
  </r>
  <r>
    <x v="0"/>
    <x v="2"/>
    <x v="1"/>
  </r>
  <r>
    <x v="0"/>
    <x v="2"/>
    <x v="2"/>
  </r>
  <r>
    <x v="0"/>
    <x v="2"/>
    <x v="2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5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5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0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1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0"/>
  </r>
  <r>
    <x v="0"/>
    <x v="2"/>
    <x v="0"/>
  </r>
  <r>
    <x v="0"/>
    <x v="2"/>
    <x v="1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2"/>
    <x v="2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3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4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5"/>
    <x v="0"/>
  </r>
  <r>
    <x v="0"/>
    <x v="6"/>
    <x v="0"/>
  </r>
  <r>
    <x v="0"/>
    <x v="6"/>
    <x v="0"/>
  </r>
  <r>
    <x v="0"/>
    <x v="6"/>
    <x v="3"/>
  </r>
  <r>
    <x v="0"/>
    <x v="6"/>
    <x v="3"/>
  </r>
  <r>
    <x v="0"/>
    <x v="6"/>
    <x v="5"/>
  </r>
  <r>
    <x v="0"/>
    <x v="6"/>
    <x v="0"/>
  </r>
  <r>
    <x v="0"/>
    <x v="6"/>
    <x v="3"/>
  </r>
  <r>
    <x v="0"/>
    <x v="6"/>
    <x v="0"/>
  </r>
  <r>
    <x v="0"/>
    <x v="6"/>
    <x v="0"/>
  </r>
  <r>
    <x v="0"/>
    <x v="6"/>
    <x v="3"/>
  </r>
  <r>
    <x v="0"/>
    <x v="6"/>
    <x v="3"/>
  </r>
  <r>
    <x v="0"/>
    <x v="6"/>
    <x v="3"/>
  </r>
  <r>
    <x v="0"/>
    <x v="6"/>
    <x v="2"/>
  </r>
  <r>
    <x v="0"/>
    <x v="6"/>
    <x v="2"/>
  </r>
  <r>
    <x v="0"/>
    <x v="6"/>
    <x v="0"/>
  </r>
  <r>
    <x v="0"/>
    <x v="6"/>
    <x v="0"/>
  </r>
  <r>
    <x v="0"/>
    <x v="6"/>
    <x v="5"/>
  </r>
  <r>
    <x v="0"/>
    <x v="6"/>
    <x v="0"/>
  </r>
  <r>
    <x v="0"/>
    <x v="6"/>
    <x v="0"/>
  </r>
  <r>
    <x v="0"/>
    <x v="6"/>
    <x v="3"/>
  </r>
  <r>
    <x v="0"/>
    <x v="6"/>
    <x v="5"/>
  </r>
  <r>
    <x v="0"/>
    <x v="6"/>
    <x v="5"/>
  </r>
  <r>
    <x v="0"/>
    <x v="6"/>
    <x v="5"/>
  </r>
  <r>
    <x v="0"/>
    <x v="6"/>
    <x v="5"/>
  </r>
  <r>
    <x v="0"/>
    <x v="6"/>
    <x v="4"/>
  </r>
  <r>
    <x v="0"/>
    <x v="6"/>
    <x v="4"/>
  </r>
  <r>
    <x v="0"/>
    <x v="6"/>
    <x v="3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4"/>
  </r>
  <r>
    <x v="0"/>
    <x v="6"/>
    <x v="3"/>
  </r>
  <r>
    <x v="0"/>
    <x v="6"/>
    <x v="3"/>
  </r>
  <r>
    <x v="0"/>
    <x v="6"/>
    <x v="5"/>
  </r>
  <r>
    <x v="0"/>
    <x v="6"/>
    <x v="5"/>
  </r>
  <r>
    <x v="0"/>
    <x v="6"/>
    <x v="5"/>
  </r>
  <r>
    <x v="0"/>
    <x v="6"/>
    <x v="5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4"/>
  </r>
  <r>
    <x v="0"/>
    <x v="6"/>
    <x v="4"/>
  </r>
  <r>
    <x v="0"/>
    <x v="6"/>
    <x v="3"/>
  </r>
  <r>
    <x v="0"/>
    <x v="6"/>
    <x v="3"/>
  </r>
  <r>
    <x v="0"/>
    <x v="6"/>
    <x v="5"/>
  </r>
  <r>
    <x v="0"/>
    <x v="6"/>
    <x v="5"/>
  </r>
  <r>
    <x v="0"/>
    <x v="6"/>
    <x v="5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0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4"/>
  </r>
  <r>
    <x v="0"/>
    <x v="6"/>
    <x v="4"/>
  </r>
  <r>
    <x v="0"/>
    <x v="6"/>
    <x v="3"/>
  </r>
  <r>
    <x v="0"/>
    <x v="6"/>
    <x v="2"/>
  </r>
  <r>
    <x v="0"/>
    <x v="6"/>
    <x v="2"/>
  </r>
  <r>
    <x v="0"/>
    <x v="6"/>
    <x v="0"/>
  </r>
  <r>
    <x v="0"/>
    <x v="6"/>
    <x v="0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1"/>
  </r>
  <r>
    <x v="0"/>
    <x v="6"/>
    <x v="3"/>
  </r>
  <r>
    <x v="0"/>
    <x v="7"/>
    <x v="0"/>
  </r>
  <r>
    <x v="0"/>
    <x v="7"/>
    <x v="0"/>
  </r>
  <r>
    <x v="0"/>
    <x v="7"/>
    <x v="0"/>
  </r>
  <r>
    <x v="0"/>
    <x v="7"/>
    <x v="0"/>
  </r>
  <r>
    <x v="0"/>
    <x v="8"/>
    <x v="0"/>
  </r>
  <r>
    <x v="0"/>
    <x v="8"/>
    <x v="0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0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0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9"/>
    <x v="1"/>
  </r>
  <r>
    <x v="0"/>
    <x v="10"/>
    <x v="3"/>
  </r>
  <r>
    <x v="0"/>
    <x v="10"/>
    <x v="4"/>
  </r>
  <r>
    <x v="0"/>
    <x v="10"/>
    <x v="0"/>
  </r>
  <r>
    <x v="0"/>
    <x v="10"/>
    <x v="5"/>
  </r>
  <r>
    <x v="0"/>
    <x v="10"/>
    <x v="4"/>
  </r>
  <r>
    <x v="0"/>
    <x v="10"/>
    <x v="6"/>
  </r>
  <r>
    <x v="0"/>
    <x v="10"/>
    <x v="6"/>
  </r>
  <r>
    <x v="0"/>
    <x v="10"/>
    <x v="0"/>
  </r>
  <r>
    <x v="0"/>
    <x v="10"/>
    <x v="0"/>
  </r>
  <r>
    <x v="0"/>
    <x v="10"/>
    <x v="3"/>
  </r>
  <r>
    <x v="0"/>
    <x v="10"/>
    <x v="3"/>
  </r>
  <r>
    <x v="0"/>
    <x v="10"/>
    <x v="6"/>
  </r>
  <r>
    <x v="0"/>
    <x v="10"/>
    <x v="6"/>
  </r>
  <r>
    <x v="0"/>
    <x v="10"/>
    <x v="6"/>
  </r>
  <r>
    <x v="0"/>
    <x v="10"/>
    <x v="0"/>
  </r>
  <r>
    <x v="0"/>
    <x v="10"/>
    <x v="1"/>
  </r>
  <r>
    <x v="0"/>
    <x v="10"/>
    <x v="4"/>
  </r>
  <r>
    <x v="0"/>
    <x v="10"/>
    <x v="4"/>
  </r>
  <r>
    <x v="0"/>
    <x v="10"/>
    <x v="4"/>
  </r>
  <r>
    <x v="0"/>
    <x v="10"/>
    <x v="4"/>
  </r>
  <r>
    <x v="0"/>
    <x v="10"/>
    <x v="6"/>
  </r>
  <r>
    <x v="0"/>
    <x v="10"/>
    <x v="3"/>
  </r>
  <r>
    <x v="0"/>
    <x v="10"/>
    <x v="3"/>
  </r>
  <r>
    <x v="0"/>
    <x v="10"/>
    <x v="6"/>
  </r>
  <r>
    <x v="0"/>
    <x v="10"/>
    <x v="0"/>
  </r>
  <r>
    <x v="0"/>
    <x v="10"/>
    <x v="4"/>
  </r>
  <r>
    <x v="0"/>
    <x v="10"/>
    <x v="4"/>
  </r>
  <r>
    <x v="0"/>
    <x v="10"/>
    <x v="3"/>
  </r>
  <r>
    <x v="0"/>
    <x v="10"/>
    <x v="3"/>
  </r>
  <r>
    <x v="0"/>
    <x v="10"/>
    <x v="3"/>
  </r>
  <r>
    <x v="0"/>
    <x v="10"/>
    <x v="6"/>
  </r>
  <r>
    <x v="0"/>
    <x v="10"/>
    <x v="6"/>
  </r>
  <r>
    <x v="0"/>
    <x v="10"/>
    <x v="7"/>
  </r>
  <r>
    <x v="0"/>
    <x v="10"/>
    <x v="4"/>
  </r>
  <r>
    <x v="0"/>
    <x v="10"/>
    <x v="4"/>
  </r>
  <r>
    <x v="0"/>
    <x v="10"/>
    <x v="4"/>
  </r>
  <r>
    <x v="0"/>
    <x v="10"/>
    <x v="4"/>
  </r>
  <r>
    <x v="0"/>
    <x v="10"/>
    <x v="3"/>
  </r>
  <r>
    <x v="0"/>
    <x v="10"/>
    <x v="3"/>
  </r>
  <r>
    <x v="0"/>
    <x v="10"/>
    <x v="3"/>
  </r>
  <r>
    <x v="0"/>
    <x v="10"/>
    <x v="3"/>
  </r>
  <r>
    <x v="0"/>
    <x v="10"/>
    <x v="3"/>
  </r>
  <r>
    <x v="0"/>
    <x v="10"/>
    <x v="3"/>
  </r>
  <r>
    <x v="0"/>
    <x v="10"/>
    <x v="6"/>
  </r>
  <r>
    <x v="0"/>
    <x v="10"/>
    <x v="6"/>
  </r>
  <r>
    <x v="0"/>
    <x v="10"/>
    <x v="7"/>
  </r>
  <r>
    <x v="0"/>
    <x v="10"/>
    <x v="7"/>
  </r>
  <r>
    <x v="0"/>
    <x v="10"/>
    <x v="7"/>
  </r>
  <r>
    <x v="0"/>
    <x v="10"/>
    <x v="3"/>
  </r>
  <r>
    <x v="0"/>
    <x v="10"/>
    <x v="6"/>
  </r>
  <r>
    <x v="0"/>
    <x v="10"/>
    <x v="7"/>
  </r>
  <r>
    <x v="0"/>
    <x v="10"/>
    <x v="4"/>
  </r>
  <r>
    <x v="0"/>
    <x v="10"/>
    <x v="3"/>
  </r>
  <r>
    <x v="0"/>
    <x v="10"/>
    <x v="3"/>
  </r>
  <r>
    <x v="0"/>
    <x v="10"/>
    <x v="3"/>
  </r>
  <r>
    <x v="0"/>
    <x v="10"/>
    <x v="3"/>
  </r>
  <r>
    <x v="0"/>
    <x v="10"/>
    <x v="6"/>
  </r>
  <r>
    <x v="0"/>
    <x v="11"/>
    <x v="0"/>
  </r>
  <r>
    <x v="0"/>
    <x v="11"/>
    <x v="0"/>
  </r>
  <r>
    <x v="0"/>
    <x v="11"/>
    <x v="0"/>
  </r>
  <r>
    <x v="0"/>
    <x v="11"/>
    <x v="1"/>
  </r>
  <r>
    <x v="0"/>
    <x v="11"/>
    <x v="0"/>
  </r>
  <r>
    <x v="0"/>
    <x v="11"/>
    <x v="0"/>
  </r>
  <r>
    <x v="0"/>
    <x v="11"/>
    <x v="0"/>
  </r>
  <r>
    <x v="0"/>
    <x v="11"/>
    <x v="0"/>
  </r>
  <r>
    <x v="0"/>
    <x v="11"/>
    <x v="1"/>
  </r>
  <r>
    <x v="0"/>
    <x v="12"/>
    <x v="0"/>
  </r>
  <r>
    <x v="0"/>
    <x v="12"/>
    <x v="0"/>
  </r>
  <r>
    <x v="0"/>
    <x v="12"/>
    <x v="0"/>
  </r>
  <r>
    <x v="0"/>
    <x v="12"/>
    <x v="0"/>
  </r>
  <r>
    <x v="0"/>
    <x v="12"/>
    <x v="0"/>
  </r>
  <r>
    <x v="0"/>
    <x v="12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1"/>
    <x v="1"/>
  </r>
  <r>
    <x v="1"/>
    <x v="2"/>
    <x v="0"/>
  </r>
  <r>
    <x v="1"/>
    <x v="2"/>
    <x v="0"/>
  </r>
  <r>
    <x v="1"/>
    <x v="2"/>
    <x v="0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0"/>
  </r>
  <r>
    <x v="1"/>
    <x v="2"/>
    <x v="0"/>
  </r>
  <r>
    <x v="1"/>
    <x v="2"/>
    <x v="0"/>
  </r>
  <r>
    <x v="1"/>
    <x v="2"/>
    <x v="1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0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1"/>
  </r>
  <r>
    <x v="1"/>
    <x v="2"/>
    <x v="0"/>
  </r>
  <r>
    <x v="1"/>
    <x v="2"/>
    <x v="1"/>
  </r>
  <r>
    <x v="1"/>
    <x v="2"/>
    <x v="1"/>
  </r>
  <r>
    <x v="1"/>
    <x v="4"/>
    <x v="1"/>
  </r>
  <r>
    <x v="1"/>
    <x v="4"/>
    <x v="4"/>
  </r>
  <r>
    <x v="1"/>
    <x v="4"/>
    <x v="4"/>
  </r>
  <r>
    <x v="2"/>
    <x v="0"/>
    <x v="0"/>
  </r>
  <r>
    <x v="2"/>
    <x v="0"/>
    <x v="1"/>
  </r>
  <r>
    <x v="2"/>
    <x v="0"/>
    <x v="1"/>
  </r>
  <r>
    <x v="2"/>
    <x v="0"/>
    <x v="5"/>
  </r>
  <r>
    <x v="2"/>
    <x v="0"/>
    <x v="0"/>
  </r>
  <r>
    <x v="2"/>
    <x v="0"/>
    <x v="0"/>
  </r>
  <r>
    <x v="2"/>
    <x v="0"/>
    <x v="0"/>
  </r>
  <r>
    <x v="2"/>
    <x v="0"/>
    <x v="0"/>
  </r>
  <r>
    <x v="2"/>
    <x v="0"/>
    <x v="3"/>
  </r>
  <r>
    <x v="2"/>
    <x v="0"/>
    <x v="1"/>
  </r>
  <r>
    <x v="2"/>
    <x v="0"/>
    <x v="1"/>
  </r>
  <r>
    <x v="2"/>
    <x v="0"/>
    <x v="1"/>
  </r>
  <r>
    <x v="2"/>
    <x v="0"/>
    <x v="1"/>
  </r>
  <r>
    <x v="2"/>
    <x v="0"/>
    <x v="1"/>
  </r>
  <r>
    <x v="2"/>
    <x v="0"/>
    <x v="1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1"/>
  </r>
  <r>
    <x v="2"/>
    <x v="0"/>
    <x v="3"/>
  </r>
  <r>
    <x v="2"/>
    <x v="0"/>
    <x v="0"/>
  </r>
  <r>
    <x v="2"/>
    <x v="0"/>
    <x v="4"/>
  </r>
  <r>
    <x v="2"/>
    <x v="0"/>
    <x v="3"/>
  </r>
  <r>
    <x v="2"/>
    <x v="0"/>
    <x v="3"/>
  </r>
  <r>
    <x v="2"/>
    <x v="0"/>
    <x v="4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0"/>
    <x v="3"/>
  </r>
  <r>
    <x v="2"/>
    <x v="1"/>
    <x v="4"/>
  </r>
  <r>
    <x v="2"/>
    <x v="1"/>
    <x v="4"/>
  </r>
  <r>
    <x v="2"/>
    <x v="1"/>
    <x v="4"/>
  </r>
  <r>
    <x v="2"/>
    <x v="1"/>
    <x v="4"/>
  </r>
  <r>
    <x v="2"/>
    <x v="2"/>
    <x v="1"/>
  </r>
  <r>
    <x v="2"/>
    <x v="2"/>
    <x v="0"/>
  </r>
  <r>
    <x v="2"/>
    <x v="2"/>
    <x v="4"/>
  </r>
  <r>
    <x v="2"/>
    <x v="2"/>
    <x v="4"/>
  </r>
  <r>
    <x v="2"/>
    <x v="2"/>
    <x v="3"/>
  </r>
  <r>
    <x v="2"/>
    <x v="2"/>
    <x v="4"/>
  </r>
  <r>
    <x v="2"/>
    <x v="2"/>
    <x v="4"/>
  </r>
  <r>
    <x v="2"/>
    <x v="2"/>
    <x v="4"/>
  </r>
  <r>
    <x v="2"/>
    <x v="2"/>
    <x v="3"/>
  </r>
  <r>
    <x v="2"/>
    <x v="2"/>
    <x v="0"/>
  </r>
  <r>
    <x v="2"/>
    <x v="2"/>
    <x v="0"/>
  </r>
  <r>
    <x v="2"/>
    <x v="2"/>
    <x v="0"/>
  </r>
  <r>
    <x v="2"/>
    <x v="2"/>
    <x v="3"/>
  </r>
  <r>
    <x v="2"/>
    <x v="2"/>
    <x v="0"/>
  </r>
  <r>
    <x v="2"/>
    <x v="2"/>
    <x v="0"/>
  </r>
  <r>
    <x v="2"/>
    <x v="2"/>
    <x v="4"/>
  </r>
  <r>
    <x v="2"/>
    <x v="2"/>
    <x v="4"/>
  </r>
  <r>
    <x v="2"/>
    <x v="2"/>
    <x v="4"/>
  </r>
  <r>
    <x v="2"/>
    <x v="2"/>
    <x v="0"/>
  </r>
  <r>
    <x v="2"/>
    <x v="2"/>
    <x v="1"/>
  </r>
  <r>
    <x v="2"/>
    <x v="2"/>
    <x v="1"/>
  </r>
  <r>
    <x v="2"/>
    <x v="2"/>
    <x v="1"/>
  </r>
  <r>
    <x v="2"/>
    <x v="2"/>
    <x v="1"/>
  </r>
  <r>
    <x v="2"/>
    <x v="2"/>
    <x v="1"/>
  </r>
  <r>
    <x v="2"/>
    <x v="2"/>
    <x v="1"/>
  </r>
  <r>
    <x v="2"/>
    <x v="2"/>
    <x v="1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4"/>
  </r>
  <r>
    <x v="2"/>
    <x v="2"/>
    <x v="0"/>
  </r>
  <r>
    <x v="2"/>
    <x v="2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3"/>
    <x v="0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1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4"/>
  </r>
  <r>
    <x v="2"/>
    <x v="4"/>
    <x v="0"/>
  </r>
  <r>
    <x v="2"/>
    <x v="4"/>
    <x v="0"/>
  </r>
  <r>
    <x v="2"/>
    <x v="4"/>
    <x v="4"/>
  </r>
  <r>
    <x v="2"/>
    <x v="4"/>
    <x v="1"/>
  </r>
  <r>
    <x v="2"/>
    <x v="4"/>
    <x v="4"/>
  </r>
  <r>
    <x v="2"/>
    <x v="4"/>
    <x v="4"/>
  </r>
  <r>
    <x v="2"/>
    <x v="4"/>
    <x v="4"/>
  </r>
  <r>
    <x v="2"/>
    <x v="4"/>
    <x v="4"/>
  </r>
  <r>
    <x v="2"/>
    <x v="6"/>
    <x v="2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2"/>
  </r>
  <r>
    <x v="2"/>
    <x v="6"/>
    <x v="2"/>
  </r>
  <r>
    <x v="2"/>
    <x v="6"/>
    <x v="2"/>
  </r>
  <r>
    <x v="2"/>
    <x v="6"/>
    <x v="2"/>
  </r>
  <r>
    <x v="2"/>
    <x v="6"/>
    <x v="2"/>
  </r>
  <r>
    <x v="2"/>
    <x v="6"/>
    <x v="1"/>
  </r>
  <r>
    <x v="2"/>
    <x v="6"/>
    <x v="1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1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6"/>
    <x v="0"/>
  </r>
  <r>
    <x v="2"/>
    <x v="7"/>
    <x v="4"/>
  </r>
  <r>
    <x v="2"/>
    <x v="7"/>
    <x v="4"/>
  </r>
  <r>
    <x v="2"/>
    <x v="7"/>
    <x v="3"/>
  </r>
  <r>
    <x v="2"/>
    <x v="7"/>
    <x v="3"/>
  </r>
  <r>
    <x v="2"/>
    <x v="7"/>
    <x v="3"/>
  </r>
  <r>
    <x v="2"/>
    <x v="7"/>
    <x v="6"/>
  </r>
  <r>
    <x v="2"/>
    <x v="7"/>
    <x v="6"/>
  </r>
  <r>
    <x v="2"/>
    <x v="7"/>
    <x v="6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3"/>
  </r>
  <r>
    <x v="2"/>
    <x v="7"/>
    <x v="4"/>
  </r>
  <r>
    <x v="2"/>
    <x v="7"/>
    <x v="4"/>
  </r>
  <r>
    <x v="2"/>
    <x v="7"/>
    <x v="4"/>
  </r>
  <r>
    <x v="2"/>
    <x v="7"/>
    <x v="3"/>
  </r>
  <r>
    <x v="2"/>
    <x v="7"/>
    <x v="6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4"/>
  </r>
  <r>
    <x v="2"/>
    <x v="7"/>
    <x v="3"/>
  </r>
  <r>
    <x v="2"/>
    <x v="7"/>
    <x v="3"/>
  </r>
  <r>
    <x v="2"/>
    <x v="7"/>
    <x v="3"/>
  </r>
  <r>
    <x v="2"/>
    <x v="7"/>
    <x v="3"/>
  </r>
  <r>
    <x v="2"/>
    <x v="7"/>
    <x v="4"/>
  </r>
  <r>
    <x v="2"/>
    <x v="7"/>
    <x v="4"/>
  </r>
  <r>
    <x v="2"/>
    <x v="8"/>
    <x v="0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3"/>
  </r>
  <r>
    <x v="2"/>
    <x v="8"/>
    <x v="0"/>
  </r>
  <r>
    <x v="2"/>
    <x v="8"/>
    <x v="0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1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0"/>
  </r>
  <r>
    <x v="2"/>
    <x v="8"/>
    <x v="0"/>
  </r>
  <r>
    <x v="2"/>
    <x v="8"/>
    <x v="4"/>
  </r>
  <r>
    <x v="2"/>
    <x v="8"/>
    <x v="4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1"/>
  </r>
  <r>
    <x v="2"/>
    <x v="8"/>
    <x v="1"/>
  </r>
  <r>
    <x v="2"/>
    <x v="8"/>
    <x v="3"/>
  </r>
  <r>
    <x v="2"/>
    <x v="8"/>
    <x v="4"/>
  </r>
  <r>
    <x v="2"/>
    <x v="8"/>
    <x v="3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3"/>
  </r>
  <r>
    <x v="2"/>
    <x v="8"/>
    <x v="4"/>
  </r>
  <r>
    <x v="2"/>
    <x v="8"/>
    <x v="1"/>
  </r>
  <r>
    <x v="2"/>
    <x v="8"/>
    <x v="1"/>
  </r>
  <r>
    <x v="2"/>
    <x v="8"/>
    <x v="1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3"/>
  </r>
  <r>
    <x v="2"/>
    <x v="8"/>
    <x v="3"/>
  </r>
  <r>
    <x v="2"/>
    <x v="8"/>
    <x v="3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0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3"/>
  </r>
  <r>
    <x v="2"/>
    <x v="8"/>
    <x v="3"/>
  </r>
  <r>
    <x v="2"/>
    <x v="8"/>
    <x v="3"/>
  </r>
  <r>
    <x v="2"/>
    <x v="8"/>
    <x v="0"/>
  </r>
  <r>
    <x v="2"/>
    <x v="8"/>
    <x v="0"/>
  </r>
  <r>
    <x v="2"/>
    <x v="8"/>
    <x v="0"/>
  </r>
  <r>
    <x v="2"/>
    <x v="8"/>
    <x v="1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4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3"/>
  </r>
  <r>
    <x v="2"/>
    <x v="8"/>
    <x v="0"/>
  </r>
  <r>
    <x v="2"/>
    <x v="8"/>
    <x v="4"/>
  </r>
  <r>
    <x v="2"/>
    <x v="8"/>
    <x v="4"/>
  </r>
  <r>
    <x v="2"/>
    <x v="8"/>
    <x v="4"/>
  </r>
  <r>
    <x v="2"/>
    <x v="8"/>
    <x v="3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1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1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0"/>
  </r>
  <r>
    <x v="2"/>
    <x v="9"/>
    <x v="1"/>
  </r>
  <r>
    <x v="2"/>
    <x v="9"/>
    <x v="1"/>
  </r>
  <r>
    <x v="2"/>
    <x v="9"/>
    <x v="0"/>
  </r>
  <r>
    <x v="2"/>
    <x v="9"/>
    <x v="0"/>
  </r>
  <r>
    <x v="2"/>
    <x v="9"/>
    <x v="0"/>
  </r>
  <r>
    <x v="2"/>
    <x v="9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1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0"/>
    <x v="0"/>
  </r>
  <r>
    <x v="3"/>
    <x v="1"/>
    <x v="0"/>
  </r>
  <r>
    <x v="3"/>
    <x v="1"/>
    <x v="0"/>
  </r>
  <r>
    <x v="3"/>
    <x v="2"/>
    <x v="0"/>
  </r>
  <r>
    <x v="3"/>
    <x v="2"/>
    <x v="0"/>
  </r>
  <r>
    <x v="3"/>
    <x v="2"/>
    <x v="0"/>
  </r>
  <r>
    <x v="3"/>
    <x v="2"/>
    <x v="0"/>
  </r>
  <r>
    <x v="3"/>
    <x v="2"/>
    <x v="0"/>
  </r>
  <r>
    <x v="3"/>
    <x v="2"/>
    <x v="0"/>
  </r>
  <r>
    <x v="3"/>
    <x v="2"/>
    <x v="0"/>
  </r>
  <r>
    <x v="3"/>
    <x v="5"/>
    <x v="0"/>
  </r>
  <r>
    <x v="3"/>
    <x v="5"/>
    <x v="0"/>
  </r>
  <r>
    <x v="3"/>
    <x v="5"/>
    <x v="0"/>
  </r>
  <r>
    <x v="3"/>
    <x v="5"/>
    <x v="0"/>
  </r>
  <r>
    <x v="3"/>
    <x v="5"/>
    <x v="0"/>
  </r>
  <r>
    <x v="3"/>
    <x v="5"/>
    <x v="1"/>
  </r>
  <r>
    <x v="3"/>
    <x v="5"/>
    <x v="0"/>
  </r>
  <r>
    <x v="3"/>
    <x v="5"/>
    <x v="0"/>
  </r>
  <r>
    <x v="3"/>
    <x v="5"/>
    <x v="0"/>
  </r>
  <r>
    <x v="3"/>
    <x v="5"/>
    <x v="0"/>
  </r>
  <r>
    <x v="3"/>
    <x v="5"/>
    <x v="0"/>
  </r>
  <r>
    <x v="3"/>
    <x v="5"/>
    <x v="0"/>
  </r>
  <r>
    <x v="3"/>
    <x v="5"/>
    <x v="0"/>
  </r>
  <r>
    <x v="3"/>
    <x v="6"/>
    <x v="4"/>
  </r>
  <r>
    <x v="3"/>
    <x v="6"/>
    <x v="0"/>
  </r>
  <r>
    <x v="3"/>
    <x v="6"/>
    <x v="0"/>
  </r>
  <r>
    <x v="3"/>
    <x v="6"/>
    <x v="0"/>
  </r>
  <r>
    <x v="3"/>
    <x v="6"/>
    <x v="4"/>
  </r>
  <r>
    <x v="3"/>
    <x v="6"/>
    <x v="1"/>
  </r>
  <r>
    <x v="3"/>
    <x v="6"/>
    <x v="1"/>
  </r>
  <r>
    <x v="3"/>
    <x v="6"/>
    <x v="4"/>
  </r>
  <r>
    <x v="3"/>
    <x v="6"/>
    <x v="0"/>
  </r>
  <r>
    <x v="3"/>
    <x v="6"/>
    <x v="1"/>
  </r>
  <r>
    <x v="3"/>
    <x v="6"/>
    <x v="1"/>
  </r>
  <r>
    <x v="3"/>
    <x v="6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7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9"/>
    <x v="0"/>
  </r>
  <r>
    <x v="3"/>
    <x v="10"/>
    <x v="0"/>
  </r>
  <r>
    <x v="3"/>
    <x v="1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1"/>
  </r>
  <r>
    <x v="4"/>
    <x v="0"/>
    <x v="0"/>
  </r>
  <r>
    <x v="4"/>
    <x v="0"/>
    <x v="0"/>
  </r>
  <r>
    <x v="4"/>
    <x v="0"/>
    <x v="0"/>
  </r>
  <r>
    <x v="4"/>
    <x v="0"/>
    <x v="0"/>
  </r>
  <r>
    <x v="4"/>
    <x v="0"/>
    <x v="0"/>
  </r>
  <r>
    <x v="4"/>
    <x v="1"/>
    <x v="4"/>
  </r>
  <r>
    <x v="4"/>
    <x v="1"/>
    <x v="4"/>
  </r>
  <r>
    <x v="4"/>
    <x v="2"/>
    <x v="3"/>
  </r>
  <r>
    <x v="4"/>
    <x v="2"/>
    <x v="8"/>
  </r>
  <r>
    <x v="4"/>
    <x v="2"/>
    <x v="0"/>
  </r>
  <r>
    <x v="4"/>
    <x v="2"/>
    <x v="0"/>
  </r>
  <r>
    <x v="4"/>
    <x v="2"/>
    <x v="3"/>
  </r>
  <r>
    <x v="4"/>
    <x v="2"/>
    <x v="3"/>
  </r>
  <r>
    <x v="4"/>
    <x v="2"/>
    <x v="3"/>
  </r>
  <r>
    <x v="4"/>
    <x v="2"/>
    <x v="3"/>
  </r>
  <r>
    <x v="4"/>
    <x v="2"/>
    <x v="3"/>
  </r>
  <r>
    <x v="4"/>
    <x v="2"/>
    <x v="0"/>
  </r>
  <r>
    <x v="4"/>
    <x v="2"/>
    <x v="0"/>
  </r>
  <r>
    <x v="4"/>
    <x v="2"/>
    <x v="0"/>
  </r>
  <r>
    <x v="4"/>
    <x v="2"/>
    <x v="0"/>
  </r>
  <r>
    <x v="4"/>
    <x v="2"/>
    <x v="0"/>
  </r>
  <r>
    <x v="4"/>
    <x v="2"/>
    <x v="0"/>
  </r>
  <r>
    <x v="4"/>
    <x v="2"/>
    <x v="4"/>
  </r>
  <r>
    <x v="4"/>
    <x v="2"/>
    <x v="2"/>
  </r>
  <r>
    <x v="4"/>
    <x v="2"/>
    <x v="2"/>
  </r>
  <r>
    <x v="4"/>
    <x v="2"/>
    <x v="2"/>
  </r>
  <r>
    <x v="4"/>
    <x v="2"/>
    <x v="2"/>
  </r>
  <r>
    <x v="4"/>
    <x v="2"/>
    <x v="2"/>
  </r>
  <r>
    <x v="4"/>
    <x v="2"/>
    <x v="0"/>
  </r>
  <r>
    <x v="4"/>
    <x v="2"/>
    <x v="0"/>
  </r>
  <r>
    <x v="4"/>
    <x v="2"/>
    <x v="0"/>
  </r>
  <r>
    <x v="4"/>
    <x v="2"/>
    <x v="0"/>
  </r>
  <r>
    <x v="4"/>
    <x v="2"/>
    <x v="2"/>
  </r>
  <r>
    <x v="4"/>
    <x v="3"/>
    <x v="1"/>
  </r>
  <r>
    <x v="4"/>
    <x v="3"/>
    <x v="4"/>
  </r>
  <r>
    <x v="4"/>
    <x v="3"/>
    <x v="4"/>
  </r>
  <r>
    <x v="4"/>
    <x v="3"/>
    <x v="1"/>
  </r>
  <r>
    <x v="4"/>
    <x v="3"/>
    <x v="1"/>
  </r>
  <r>
    <x v="4"/>
    <x v="3"/>
    <x v="1"/>
  </r>
  <r>
    <x v="4"/>
    <x v="3"/>
    <x v="1"/>
  </r>
  <r>
    <x v="4"/>
    <x v="3"/>
    <x v="4"/>
  </r>
  <r>
    <x v="4"/>
    <x v="3"/>
    <x v="4"/>
  </r>
  <r>
    <x v="4"/>
    <x v="3"/>
    <x v="1"/>
  </r>
  <r>
    <x v="4"/>
    <x v="3"/>
    <x v="1"/>
  </r>
  <r>
    <x v="4"/>
    <x v="3"/>
    <x v="1"/>
  </r>
  <r>
    <x v="4"/>
    <x v="3"/>
    <x v="4"/>
  </r>
  <r>
    <x v="4"/>
    <x v="3"/>
    <x v="4"/>
  </r>
  <r>
    <x v="4"/>
    <x v="3"/>
    <x v="1"/>
  </r>
  <r>
    <x v="4"/>
    <x v="3"/>
    <x v="1"/>
  </r>
  <r>
    <x v="4"/>
    <x v="3"/>
    <x v="4"/>
  </r>
  <r>
    <x v="4"/>
    <x v="3"/>
    <x v="4"/>
  </r>
  <r>
    <x v="4"/>
    <x v="3"/>
    <x v="1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1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1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2"/>
    <x v="0"/>
  </r>
  <r>
    <x v="5"/>
    <x v="3"/>
    <x v="0"/>
  </r>
  <r>
    <x v="5"/>
    <x v="3"/>
    <x v="0"/>
  </r>
  <r>
    <x v="6"/>
    <x v="0"/>
    <x v="0"/>
  </r>
  <r>
    <x v="6"/>
    <x v="0"/>
    <x v="4"/>
  </r>
  <r>
    <x v="6"/>
    <x v="0"/>
    <x v="2"/>
  </r>
  <r>
    <x v="6"/>
    <x v="0"/>
    <x v="2"/>
  </r>
  <r>
    <x v="6"/>
    <x v="0"/>
    <x v="6"/>
  </r>
  <r>
    <x v="6"/>
    <x v="0"/>
    <x v="8"/>
  </r>
  <r>
    <x v="6"/>
    <x v="0"/>
    <x v="3"/>
  </r>
  <r>
    <x v="6"/>
    <x v="0"/>
    <x v="5"/>
  </r>
  <r>
    <x v="6"/>
    <x v="0"/>
    <x v="4"/>
  </r>
  <r>
    <x v="6"/>
    <x v="0"/>
    <x v="4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4"/>
  </r>
  <r>
    <x v="6"/>
    <x v="0"/>
    <x v="8"/>
  </r>
  <r>
    <x v="6"/>
    <x v="0"/>
    <x v="3"/>
  </r>
  <r>
    <x v="6"/>
    <x v="0"/>
    <x v="4"/>
  </r>
  <r>
    <x v="6"/>
    <x v="0"/>
    <x v="3"/>
  </r>
  <r>
    <x v="6"/>
    <x v="0"/>
    <x v="2"/>
  </r>
  <r>
    <x v="6"/>
    <x v="0"/>
    <x v="6"/>
  </r>
  <r>
    <x v="6"/>
    <x v="0"/>
    <x v="8"/>
  </r>
  <r>
    <x v="6"/>
    <x v="0"/>
    <x v="3"/>
  </r>
  <r>
    <x v="6"/>
    <x v="0"/>
    <x v="8"/>
  </r>
  <r>
    <x v="6"/>
    <x v="0"/>
    <x v="6"/>
  </r>
  <r>
    <x v="6"/>
    <x v="0"/>
    <x v="9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0"/>
  </r>
  <r>
    <x v="6"/>
    <x v="0"/>
    <x v="4"/>
  </r>
  <r>
    <x v="6"/>
    <x v="0"/>
    <x v="4"/>
  </r>
  <r>
    <x v="6"/>
    <x v="0"/>
    <x v="3"/>
  </r>
  <r>
    <x v="6"/>
    <x v="0"/>
    <x v="9"/>
  </r>
  <r>
    <x v="6"/>
    <x v="0"/>
    <x v="9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5"/>
  </r>
  <r>
    <x v="6"/>
    <x v="0"/>
    <x v="9"/>
  </r>
  <r>
    <x v="6"/>
    <x v="0"/>
    <x v="8"/>
  </r>
  <r>
    <x v="6"/>
    <x v="0"/>
    <x v="8"/>
  </r>
  <r>
    <x v="6"/>
    <x v="0"/>
    <x v="8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2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1"/>
  </r>
  <r>
    <x v="6"/>
    <x v="0"/>
    <x v="4"/>
  </r>
  <r>
    <x v="6"/>
    <x v="0"/>
    <x v="3"/>
  </r>
  <r>
    <x v="6"/>
    <x v="0"/>
    <x v="5"/>
  </r>
  <r>
    <x v="6"/>
    <x v="0"/>
    <x v="9"/>
  </r>
  <r>
    <x v="6"/>
    <x v="0"/>
    <x v="9"/>
  </r>
  <r>
    <x v="6"/>
    <x v="0"/>
    <x v="2"/>
  </r>
  <r>
    <x v="6"/>
    <x v="0"/>
    <x v="4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4"/>
  </r>
  <r>
    <x v="6"/>
    <x v="0"/>
    <x v="3"/>
  </r>
  <r>
    <x v="6"/>
    <x v="0"/>
    <x v="3"/>
  </r>
  <r>
    <x v="6"/>
    <x v="0"/>
    <x v="3"/>
  </r>
  <r>
    <x v="6"/>
    <x v="0"/>
    <x v="5"/>
  </r>
  <r>
    <x v="6"/>
    <x v="0"/>
    <x v="2"/>
  </r>
  <r>
    <x v="6"/>
    <x v="0"/>
    <x v="9"/>
  </r>
  <r>
    <x v="6"/>
    <x v="0"/>
    <x v="9"/>
  </r>
  <r>
    <x v="6"/>
    <x v="0"/>
    <x v="9"/>
  </r>
  <r>
    <x v="6"/>
    <x v="0"/>
    <x v="8"/>
  </r>
  <r>
    <x v="6"/>
    <x v="0"/>
    <x v="8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6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0"/>
  </r>
  <r>
    <x v="6"/>
    <x v="0"/>
    <x v="0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6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10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8"/>
  </r>
  <r>
    <x v="6"/>
    <x v="0"/>
    <x v="0"/>
  </r>
  <r>
    <x v="6"/>
    <x v="0"/>
    <x v="0"/>
  </r>
  <r>
    <x v="6"/>
    <x v="0"/>
    <x v="1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3"/>
  </r>
  <r>
    <x v="6"/>
    <x v="0"/>
    <x v="5"/>
  </r>
  <r>
    <x v="6"/>
    <x v="0"/>
    <x v="5"/>
  </r>
  <r>
    <x v="6"/>
    <x v="0"/>
    <x v="5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2"/>
  </r>
  <r>
    <x v="6"/>
    <x v="0"/>
    <x v="6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9"/>
  </r>
  <r>
    <x v="6"/>
    <x v="0"/>
    <x v="8"/>
  </r>
  <r>
    <x v="6"/>
    <x v="0"/>
    <x v="8"/>
  </r>
  <r>
    <x v="6"/>
    <x v="0"/>
    <x v="8"/>
  </r>
  <r>
    <x v="6"/>
    <x v="0"/>
    <x v="0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4"/>
  </r>
  <r>
    <x v="6"/>
    <x v="0"/>
    <x v="3"/>
  </r>
  <r>
    <x v="6"/>
    <x v="0"/>
    <x v="5"/>
  </r>
  <r>
    <x v="6"/>
    <x v="0"/>
    <x v="5"/>
  </r>
  <r>
    <x v="6"/>
    <x v="0"/>
    <x v="5"/>
  </r>
  <r>
    <x v="6"/>
    <x v="0"/>
    <x v="5"/>
  </r>
  <r>
    <x v="6"/>
    <x v="0"/>
    <x v="2"/>
  </r>
  <r>
    <x v="6"/>
    <x v="0"/>
    <x v="6"/>
  </r>
  <r>
    <x v="6"/>
    <x v="0"/>
    <x v="8"/>
  </r>
  <r>
    <x v="6"/>
    <x v="0"/>
    <x v="8"/>
  </r>
  <r>
    <x v="6"/>
    <x v="0"/>
    <x v="8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1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4"/>
    <x v="0"/>
  </r>
  <r>
    <x v="6"/>
    <x v="5"/>
    <x v="0"/>
  </r>
  <r>
    <x v="7"/>
    <x v="0"/>
    <x v="1"/>
  </r>
  <r>
    <x v="7"/>
    <x v="0"/>
    <x v="1"/>
  </r>
  <r>
    <x v="7"/>
    <x v="0"/>
    <x v="3"/>
  </r>
  <r>
    <x v="7"/>
    <x v="0"/>
    <x v="8"/>
  </r>
  <r>
    <x v="7"/>
    <x v="0"/>
    <x v="8"/>
  </r>
  <r>
    <x v="7"/>
    <x v="2"/>
    <x v="0"/>
  </r>
  <r>
    <x v="7"/>
    <x v="2"/>
    <x v="0"/>
  </r>
  <r>
    <x v="7"/>
    <x v="3"/>
    <x v="0"/>
  </r>
  <r>
    <x v="7"/>
    <x v="3"/>
    <x v="0"/>
  </r>
  <r>
    <x v="7"/>
    <x v="3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1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1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1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0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1"/>
    <x v="0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2"/>
    <x v="1"/>
  </r>
  <r>
    <x v="8"/>
    <x v="3"/>
    <x v="0"/>
  </r>
  <r>
    <x v="8"/>
    <x v="3"/>
    <x v="0"/>
  </r>
  <r>
    <x v="8"/>
    <x v="3"/>
    <x v="0"/>
  </r>
  <r>
    <x v="8"/>
    <x v="3"/>
    <x v="0"/>
  </r>
  <r>
    <x v="8"/>
    <x v="3"/>
    <x v="0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4"/>
    <x v="1"/>
  </r>
  <r>
    <x v="8"/>
    <x v="8"/>
    <x v="0"/>
  </r>
  <r>
    <x v="8"/>
    <x v="8"/>
    <x v="0"/>
  </r>
  <r>
    <x v="8"/>
    <x v="8"/>
    <x v="0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0"/>
  </r>
  <r>
    <x v="9"/>
    <x v="0"/>
    <x v="1"/>
  </r>
  <r>
    <x v="9"/>
    <x v="0"/>
    <x v="1"/>
  </r>
  <r>
    <x v="9"/>
    <x v="0"/>
    <x v="1"/>
  </r>
  <r>
    <x v="9"/>
    <x v="0"/>
    <x v="1"/>
  </r>
  <r>
    <x v="9"/>
    <x v="0"/>
    <x v="0"/>
  </r>
  <r>
    <x v="9"/>
    <x v="0"/>
    <x v="1"/>
  </r>
  <r>
    <x v="9"/>
    <x v="0"/>
    <x v="1"/>
  </r>
  <r>
    <x v="9"/>
    <x v="1"/>
    <x v="0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10"/>
    <x v="0"/>
    <x v="0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0"/>
  </r>
  <r>
    <x v="9"/>
    <x v="1"/>
    <x v="0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0"/>
  </r>
  <r>
    <x v="9"/>
    <x v="1"/>
    <x v="1"/>
  </r>
  <r>
    <x v="9"/>
    <x v="1"/>
    <x v="0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0"/>
  </r>
  <r>
    <x v="9"/>
    <x v="1"/>
    <x v="1"/>
  </r>
  <r>
    <x v="9"/>
    <x v="1"/>
    <x v="1"/>
  </r>
  <r>
    <x v="9"/>
    <x v="1"/>
    <x v="1"/>
  </r>
  <r>
    <x v="9"/>
    <x v="1"/>
    <x v="0"/>
  </r>
  <r>
    <x v="9"/>
    <x v="1"/>
    <x v="0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0"/>
  </r>
  <r>
    <x v="9"/>
    <x v="1"/>
    <x v="0"/>
  </r>
  <r>
    <x v="9"/>
    <x v="1"/>
    <x v="0"/>
  </r>
  <r>
    <x v="9"/>
    <x v="1"/>
    <x v="0"/>
  </r>
  <r>
    <x v="9"/>
    <x v="1"/>
    <x v="0"/>
  </r>
  <r>
    <x v="9"/>
    <x v="1"/>
    <x v="0"/>
  </r>
  <r>
    <x v="9"/>
    <x v="1"/>
    <x v="0"/>
  </r>
  <r>
    <x v="9"/>
    <x v="1"/>
    <x v="0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1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1"/>
    <x v="4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2"/>
    <x v="0"/>
  </r>
  <r>
    <x v="9"/>
    <x v="3"/>
    <x v="1"/>
  </r>
  <r>
    <x v="9"/>
    <x v="3"/>
    <x v="0"/>
  </r>
  <r>
    <x v="9"/>
    <x v="3"/>
    <x v="0"/>
  </r>
  <r>
    <x v="9"/>
    <x v="3"/>
    <x v="0"/>
  </r>
  <r>
    <x v="9"/>
    <x v="3"/>
    <x v="1"/>
  </r>
  <r>
    <x v="9"/>
    <x v="3"/>
    <x v="1"/>
  </r>
  <r>
    <x v="9"/>
    <x v="3"/>
    <x v="1"/>
  </r>
  <r>
    <x v="9"/>
    <x v="3"/>
    <x v="1"/>
  </r>
  <r>
    <x v="9"/>
    <x v="3"/>
    <x v="0"/>
  </r>
  <r>
    <x v="9"/>
    <x v="3"/>
    <x v="1"/>
  </r>
  <r>
    <x v="9"/>
    <x v="3"/>
    <x v="1"/>
  </r>
  <r>
    <x v="9"/>
    <x v="3"/>
    <x v="1"/>
  </r>
  <r>
    <x v="9"/>
    <x v="3"/>
    <x v="1"/>
  </r>
  <r>
    <x v="9"/>
    <x v="3"/>
    <x v="1"/>
  </r>
  <r>
    <x v="9"/>
    <x v="3"/>
    <x v="1"/>
  </r>
  <r>
    <x v="9"/>
    <x v="3"/>
    <x v="1"/>
  </r>
  <r>
    <x v="9"/>
    <x v="4"/>
    <x v="0"/>
  </r>
  <r>
    <x v="9"/>
    <x v="4"/>
    <x v="0"/>
  </r>
  <r>
    <x v="9"/>
    <x v="4"/>
    <x v="1"/>
  </r>
  <r>
    <x v="9"/>
    <x v="4"/>
    <x v="1"/>
  </r>
  <r>
    <x v="9"/>
    <x v="4"/>
    <x v="1"/>
  </r>
  <r>
    <x v="9"/>
    <x v="4"/>
    <x v="1"/>
  </r>
  <r>
    <x v="9"/>
    <x v="4"/>
    <x v="4"/>
  </r>
  <r>
    <x v="9"/>
    <x v="4"/>
    <x v="4"/>
  </r>
  <r>
    <x v="9"/>
    <x v="4"/>
    <x v="1"/>
  </r>
  <r>
    <x v="9"/>
    <x v="4"/>
    <x v="1"/>
  </r>
  <r>
    <x v="9"/>
    <x v="4"/>
    <x v="0"/>
  </r>
  <r>
    <x v="9"/>
    <x v="4"/>
    <x v="1"/>
  </r>
  <r>
    <x v="9"/>
    <x v="4"/>
    <x v="0"/>
  </r>
  <r>
    <x v="9"/>
    <x v="4"/>
    <x v="4"/>
  </r>
  <r>
    <x v="9"/>
    <x v="4"/>
    <x v="4"/>
  </r>
  <r>
    <x v="9"/>
    <x v="4"/>
    <x v="4"/>
  </r>
  <r>
    <x v="9"/>
    <x v="4"/>
    <x v="0"/>
  </r>
  <r>
    <x v="9"/>
    <x v="4"/>
    <x v="1"/>
  </r>
  <r>
    <x v="9"/>
    <x v="4"/>
    <x v="0"/>
  </r>
  <r>
    <x v="9"/>
    <x v="4"/>
    <x v="0"/>
  </r>
  <r>
    <x v="9"/>
    <x v="4"/>
    <x v="0"/>
  </r>
  <r>
    <x v="9"/>
    <x v="4"/>
    <x v="0"/>
  </r>
  <r>
    <x v="9"/>
    <x v="4"/>
    <x v="0"/>
  </r>
  <r>
    <x v="9"/>
    <x v="4"/>
    <x v="0"/>
  </r>
  <r>
    <x v="9"/>
    <x v="4"/>
    <x v="1"/>
  </r>
  <r>
    <x v="9"/>
    <x v="4"/>
    <x v="1"/>
  </r>
  <r>
    <x v="9"/>
    <x v="4"/>
    <x v="1"/>
  </r>
  <r>
    <x v="9"/>
    <x v="4"/>
    <x v="0"/>
  </r>
  <r>
    <x v="9"/>
    <x v="4"/>
    <x v="0"/>
  </r>
  <r>
    <x v="9"/>
    <x v="4"/>
    <x v="4"/>
  </r>
  <r>
    <x v="9"/>
    <x v="4"/>
    <x v="1"/>
  </r>
  <r>
    <x v="9"/>
    <x v="5"/>
    <x v="1"/>
  </r>
  <r>
    <x v="9"/>
    <x v="5"/>
    <x v="0"/>
  </r>
  <r>
    <x v="9"/>
    <x v="5"/>
    <x v="0"/>
  </r>
  <r>
    <x v="9"/>
    <x v="5"/>
    <x v="3"/>
  </r>
  <r>
    <x v="9"/>
    <x v="5"/>
    <x v="1"/>
  </r>
  <r>
    <x v="9"/>
    <x v="5"/>
    <x v="1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1"/>
  </r>
  <r>
    <x v="9"/>
    <x v="5"/>
    <x v="0"/>
  </r>
  <r>
    <x v="9"/>
    <x v="5"/>
    <x v="0"/>
  </r>
  <r>
    <x v="9"/>
    <x v="5"/>
    <x v="0"/>
  </r>
  <r>
    <x v="9"/>
    <x v="5"/>
    <x v="3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1"/>
  </r>
  <r>
    <x v="9"/>
    <x v="5"/>
    <x v="0"/>
  </r>
  <r>
    <x v="9"/>
    <x v="5"/>
    <x v="0"/>
  </r>
  <r>
    <x v="9"/>
    <x v="5"/>
    <x v="0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1"/>
  </r>
  <r>
    <x v="9"/>
    <x v="5"/>
    <x v="4"/>
  </r>
  <r>
    <x v="9"/>
    <x v="5"/>
    <x v="3"/>
  </r>
  <r>
    <x v="9"/>
    <x v="5"/>
    <x v="3"/>
  </r>
  <r>
    <x v="9"/>
    <x v="5"/>
    <x v="3"/>
  </r>
  <r>
    <x v="9"/>
    <x v="5"/>
    <x v="3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0"/>
  </r>
  <r>
    <x v="9"/>
    <x v="5"/>
    <x v="4"/>
  </r>
  <r>
    <x v="9"/>
    <x v="5"/>
    <x v="3"/>
  </r>
  <r>
    <x v="9"/>
    <x v="6"/>
    <x v="4"/>
  </r>
  <r>
    <x v="9"/>
    <x v="6"/>
    <x v="4"/>
  </r>
  <r>
    <x v="9"/>
    <x v="6"/>
    <x v="4"/>
  </r>
  <r>
    <x v="9"/>
    <x v="6"/>
    <x v="4"/>
  </r>
  <r>
    <x v="9"/>
    <x v="6"/>
    <x v="4"/>
  </r>
  <r>
    <x v="9"/>
    <x v="6"/>
    <x v="4"/>
  </r>
  <r>
    <x v="9"/>
    <x v="6"/>
    <x v="4"/>
  </r>
  <r>
    <x v="9"/>
    <x v="6"/>
    <x v="4"/>
  </r>
  <r>
    <x v="11"/>
    <x v="0"/>
    <x v="1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1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0"/>
    <x v="0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1"/>
    <x v="4"/>
  </r>
  <r>
    <x v="11"/>
    <x v="2"/>
    <x v="0"/>
  </r>
  <r>
    <x v="11"/>
    <x v="2"/>
    <x v="0"/>
  </r>
  <r>
    <x v="11"/>
    <x v="2"/>
    <x v="0"/>
  </r>
  <r>
    <x v="10"/>
    <x v="0"/>
    <x v="0"/>
  </r>
  <r>
    <x v="10"/>
    <x v="0"/>
    <x v="0"/>
  </r>
  <r>
    <x v="10"/>
    <x v="0"/>
    <x v="0"/>
  </r>
  <r>
    <x v="10"/>
    <x v="0"/>
    <x v="0"/>
  </r>
  <r>
    <x v="10"/>
    <x v="0"/>
    <x v="0"/>
  </r>
  <r>
    <x v="10"/>
    <x v="0"/>
    <x v="1"/>
  </r>
  <r>
    <x v="10"/>
    <x v="0"/>
    <x v="0"/>
  </r>
  <r>
    <x v="10"/>
    <x v="0"/>
    <x v="0"/>
  </r>
  <r>
    <x v="10"/>
    <x v="0"/>
    <x v="1"/>
  </r>
  <r>
    <x v="10"/>
    <x v="0"/>
    <x v="0"/>
  </r>
  <r>
    <x v="10"/>
    <x v="0"/>
    <x v="0"/>
  </r>
  <r>
    <x v="10"/>
    <x v="0"/>
    <x v="0"/>
  </r>
  <r>
    <x v="10"/>
    <x v="0"/>
    <x v="0"/>
  </r>
  <r>
    <x v="10"/>
    <x v="0"/>
    <x v="1"/>
  </r>
  <r>
    <x v="10"/>
    <x v="0"/>
    <x v="1"/>
  </r>
  <r>
    <x v="10"/>
    <x v="0"/>
    <x v="1"/>
  </r>
  <r>
    <x v="10"/>
    <x v="0"/>
    <x v="1"/>
  </r>
  <r>
    <x v="10"/>
    <x v="0"/>
    <x v="0"/>
  </r>
  <r>
    <x v="10"/>
    <x v="0"/>
    <x v="1"/>
  </r>
  <r>
    <x v="10"/>
    <x v="0"/>
    <x v="1"/>
  </r>
  <r>
    <x v="10"/>
    <x v="0"/>
    <x v="1"/>
  </r>
  <r>
    <x v="10"/>
    <x v="0"/>
    <x v="1"/>
  </r>
  <r>
    <x v="10"/>
    <x v="0"/>
    <x v="1"/>
  </r>
  <r>
    <x v="10"/>
    <x v="0"/>
    <x v="1"/>
  </r>
  <r>
    <x v="10"/>
    <x v="0"/>
    <x v="0"/>
  </r>
  <r>
    <x v="10"/>
    <x v="0"/>
    <x v="1"/>
  </r>
  <r>
    <x v="10"/>
    <x v="0"/>
    <x v="1"/>
  </r>
  <r>
    <x v="10"/>
    <x v="0"/>
    <x v="1"/>
  </r>
  <r>
    <x v="10"/>
    <x v="1"/>
    <x v="0"/>
  </r>
  <r>
    <x v="10"/>
    <x v="1"/>
    <x v="0"/>
  </r>
  <r>
    <x v="10"/>
    <x v="2"/>
    <x v="3"/>
  </r>
  <r>
    <x v="10"/>
    <x v="2"/>
    <x v="4"/>
  </r>
  <r>
    <x v="10"/>
    <x v="2"/>
    <x v="4"/>
  </r>
  <r>
    <x v="10"/>
    <x v="2"/>
    <x v="3"/>
  </r>
  <r>
    <x v="10"/>
    <x v="2"/>
    <x v="3"/>
  </r>
  <r>
    <x v="10"/>
    <x v="2"/>
    <x v="0"/>
  </r>
  <r>
    <x v="10"/>
    <x v="2"/>
    <x v="4"/>
  </r>
  <r>
    <x v="10"/>
    <x v="2"/>
    <x v="3"/>
  </r>
  <r>
    <x v="10"/>
    <x v="2"/>
    <x v="0"/>
  </r>
  <r>
    <x v="10"/>
    <x v="2"/>
    <x v="1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0"/>
  </r>
  <r>
    <x v="10"/>
    <x v="2"/>
    <x v="0"/>
  </r>
  <r>
    <x v="10"/>
    <x v="2"/>
    <x v="1"/>
  </r>
  <r>
    <x v="10"/>
    <x v="2"/>
    <x v="1"/>
  </r>
  <r>
    <x v="10"/>
    <x v="2"/>
    <x v="1"/>
  </r>
  <r>
    <x v="10"/>
    <x v="2"/>
    <x v="4"/>
  </r>
  <r>
    <x v="10"/>
    <x v="2"/>
    <x v="3"/>
  </r>
  <r>
    <x v="10"/>
    <x v="2"/>
    <x v="3"/>
  </r>
  <r>
    <x v="10"/>
    <x v="2"/>
    <x v="3"/>
  </r>
  <r>
    <x v="10"/>
    <x v="2"/>
    <x v="0"/>
  </r>
  <r>
    <x v="10"/>
    <x v="2"/>
    <x v="0"/>
  </r>
  <r>
    <x v="10"/>
    <x v="2"/>
    <x v="0"/>
  </r>
  <r>
    <x v="10"/>
    <x v="2"/>
    <x v="1"/>
  </r>
  <r>
    <x v="10"/>
    <x v="2"/>
    <x v="1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0"/>
  </r>
  <r>
    <x v="10"/>
    <x v="2"/>
    <x v="0"/>
  </r>
  <r>
    <x v="10"/>
    <x v="2"/>
    <x v="0"/>
  </r>
  <r>
    <x v="10"/>
    <x v="2"/>
    <x v="0"/>
  </r>
  <r>
    <x v="10"/>
    <x v="2"/>
    <x v="0"/>
  </r>
  <r>
    <x v="10"/>
    <x v="2"/>
    <x v="0"/>
  </r>
  <r>
    <x v="10"/>
    <x v="2"/>
    <x v="0"/>
  </r>
  <r>
    <x v="10"/>
    <x v="2"/>
    <x v="1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3"/>
  </r>
  <r>
    <x v="10"/>
    <x v="2"/>
    <x v="0"/>
  </r>
  <r>
    <x v="10"/>
    <x v="2"/>
    <x v="0"/>
  </r>
  <r>
    <x v="10"/>
    <x v="2"/>
    <x v="3"/>
  </r>
  <r>
    <x v="10"/>
    <x v="2"/>
    <x v="3"/>
  </r>
  <r>
    <x v="10"/>
    <x v="4"/>
    <x v="2"/>
  </r>
  <r>
    <x v="10"/>
    <x v="4"/>
    <x v="4"/>
  </r>
  <r>
    <x v="10"/>
    <x v="4"/>
    <x v="4"/>
  </r>
  <r>
    <x v="10"/>
    <x v="4"/>
    <x v="3"/>
  </r>
  <r>
    <x v="10"/>
    <x v="4"/>
    <x v="3"/>
  </r>
  <r>
    <x v="10"/>
    <x v="4"/>
    <x v="4"/>
  </r>
  <r>
    <x v="10"/>
    <x v="4"/>
    <x v="4"/>
  </r>
  <r>
    <x v="10"/>
    <x v="4"/>
    <x v="3"/>
  </r>
  <r>
    <x v="10"/>
    <x v="4"/>
    <x v="2"/>
  </r>
  <r>
    <x v="10"/>
    <x v="4"/>
    <x v="4"/>
  </r>
  <r>
    <x v="10"/>
    <x v="4"/>
    <x v="4"/>
  </r>
  <r>
    <x v="10"/>
    <x v="4"/>
    <x v="4"/>
  </r>
  <r>
    <x v="10"/>
    <x v="4"/>
    <x v="3"/>
  </r>
  <r>
    <x v="10"/>
    <x v="4"/>
    <x v="2"/>
  </r>
  <r>
    <x v="10"/>
    <x v="4"/>
    <x v="2"/>
  </r>
  <r>
    <x v="10"/>
    <x v="4"/>
    <x v="3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2"/>
  </r>
  <r>
    <x v="10"/>
    <x v="4"/>
    <x v="4"/>
  </r>
  <r>
    <x v="10"/>
    <x v="4"/>
    <x v="4"/>
  </r>
  <r>
    <x v="10"/>
    <x v="4"/>
    <x v="4"/>
  </r>
  <r>
    <x v="10"/>
    <x v="4"/>
    <x v="3"/>
  </r>
  <r>
    <x v="10"/>
    <x v="4"/>
    <x v="3"/>
  </r>
  <r>
    <x v="10"/>
    <x v="4"/>
    <x v="2"/>
  </r>
  <r>
    <x v="10"/>
    <x v="4"/>
    <x v="4"/>
  </r>
  <r>
    <x v="10"/>
    <x v="4"/>
    <x v="4"/>
  </r>
  <r>
    <x v="10"/>
    <x v="4"/>
    <x v="8"/>
  </r>
  <r>
    <x v="10"/>
    <x v="4"/>
    <x v="8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3"/>
  </r>
  <r>
    <x v="10"/>
    <x v="4"/>
    <x v="3"/>
  </r>
  <r>
    <x v="10"/>
    <x v="4"/>
    <x v="3"/>
  </r>
  <r>
    <x v="10"/>
    <x v="4"/>
    <x v="3"/>
  </r>
  <r>
    <x v="10"/>
    <x v="4"/>
    <x v="3"/>
  </r>
  <r>
    <x v="10"/>
    <x v="4"/>
    <x v="3"/>
  </r>
  <r>
    <x v="10"/>
    <x v="4"/>
    <x v="2"/>
  </r>
  <r>
    <x v="10"/>
    <x v="4"/>
    <x v="2"/>
  </r>
  <r>
    <x v="10"/>
    <x v="4"/>
    <x v="2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4"/>
  </r>
  <r>
    <x v="10"/>
    <x v="4"/>
    <x v="3"/>
  </r>
  <r>
    <x v="10"/>
    <x v="4"/>
    <x v="3"/>
  </r>
  <r>
    <x v="10"/>
    <x v="4"/>
    <x v="3"/>
  </r>
  <r>
    <x v="10"/>
    <x v="4"/>
    <x v="3"/>
  </r>
  <r>
    <x v="10"/>
    <x v="4"/>
    <x v="3"/>
  </r>
  <r>
    <x v="10"/>
    <x v="4"/>
    <x v="2"/>
  </r>
  <r>
    <x v="10"/>
    <x v="4"/>
    <x v="2"/>
  </r>
  <r>
    <x v="10"/>
    <x v="4"/>
    <x v="2"/>
  </r>
  <r>
    <x v="10"/>
    <x v="4"/>
    <x v="2"/>
  </r>
  <r>
    <x v="10"/>
    <x v="4"/>
    <x v="2"/>
  </r>
  <r>
    <x v="10"/>
    <x v="4"/>
    <x v="2"/>
  </r>
  <r>
    <x v="10"/>
    <x v="4"/>
    <x v="2"/>
  </r>
  <r>
    <x v="10"/>
    <x v="4"/>
    <x v="4"/>
  </r>
  <r>
    <x v="10"/>
    <x v="4"/>
    <x v="4"/>
  </r>
  <r>
    <x v="10"/>
    <x v="4"/>
    <x v="4"/>
  </r>
  <r>
    <x v="10"/>
    <x v="4"/>
    <x v="3"/>
  </r>
  <r>
    <x v="10"/>
    <x v="4"/>
    <x v="2"/>
  </r>
  <r>
    <x v="10"/>
    <x v="4"/>
    <x v="4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0"/>
    <x v="5"/>
    <x v="0"/>
  </r>
  <r>
    <x v="12"/>
    <x v="0"/>
    <x v="0"/>
  </r>
  <r>
    <x v="12"/>
    <x v="0"/>
    <x v="0"/>
  </r>
  <r>
    <x v="12"/>
    <x v="0"/>
    <x v="0"/>
  </r>
  <r>
    <x v="12"/>
    <x v="0"/>
    <x v="0"/>
  </r>
  <r>
    <x v="12"/>
    <x v="0"/>
    <x v="8"/>
  </r>
  <r>
    <x v="12"/>
    <x v="0"/>
    <x v="5"/>
  </r>
  <r>
    <x v="12"/>
    <x v="0"/>
    <x v="11"/>
  </r>
  <r>
    <x v="12"/>
    <x v="0"/>
    <x v="0"/>
  </r>
  <r>
    <x v="12"/>
    <x v="0"/>
    <x v="5"/>
  </r>
  <r>
    <x v="12"/>
    <x v="0"/>
    <x v="6"/>
  </r>
  <r>
    <x v="12"/>
    <x v="0"/>
    <x v="8"/>
  </r>
  <r>
    <x v="12"/>
    <x v="0"/>
    <x v="1"/>
  </r>
  <r>
    <x v="12"/>
    <x v="0"/>
    <x v="5"/>
  </r>
  <r>
    <x v="12"/>
    <x v="0"/>
    <x v="5"/>
  </r>
  <r>
    <x v="12"/>
    <x v="0"/>
    <x v="5"/>
  </r>
  <r>
    <x v="12"/>
    <x v="0"/>
    <x v="5"/>
  </r>
  <r>
    <x v="12"/>
    <x v="0"/>
    <x v="8"/>
  </r>
  <r>
    <x v="12"/>
    <x v="0"/>
    <x v="0"/>
  </r>
  <r>
    <x v="12"/>
    <x v="0"/>
    <x v="6"/>
  </r>
  <r>
    <x v="12"/>
    <x v="0"/>
    <x v="6"/>
  </r>
  <r>
    <x v="12"/>
    <x v="0"/>
    <x v="8"/>
  </r>
  <r>
    <x v="12"/>
    <x v="0"/>
    <x v="1"/>
  </r>
  <r>
    <x v="12"/>
    <x v="0"/>
    <x v="5"/>
  </r>
  <r>
    <x v="12"/>
    <x v="0"/>
    <x v="5"/>
  </r>
  <r>
    <x v="12"/>
    <x v="0"/>
    <x v="5"/>
  </r>
  <r>
    <x v="12"/>
    <x v="0"/>
    <x v="5"/>
  </r>
  <r>
    <x v="12"/>
    <x v="0"/>
    <x v="5"/>
  </r>
  <r>
    <x v="12"/>
    <x v="0"/>
    <x v="6"/>
  </r>
  <r>
    <x v="12"/>
    <x v="0"/>
    <x v="6"/>
  </r>
  <r>
    <x v="12"/>
    <x v="0"/>
    <x v="4"/>
  </r>
  <r>
    <x v="12"/>
    <x v="0"/>
    <x v="6"/>
  </r>
  <r>
    <x v="12"/>
    <x v="0"/>
    <x v="0"/>
  </r>
  <r>
    <x v="12"/>
    <x v="0"/>
    <x v="0"/>
  </r>
  <r>
    <x v="12"/>
    <x v="0"/>
    <x v="5"/>
  </r>
  <r>
    <x v="12"/>
    <x v="0"/>
    <x v="0"/>
  </r>
  <r>
    <x v="12"/>
    <x v="0"/>
    <x v="0"/>
  </r>
  <r>
    <x v="12"/>
    <x v="0"/>
    <x v="0"/>
  </r>
  <r>
    <x v="12"/>
    <x v="0"/>
    <x v="0"/>
  </r>
  <r>
    <x v="12"/>
    <x v="0"/>
    <x v="1"/>
  </r>
  <r>
    <x v="12"/>
    <x v="0"/>
    <x v="1"/>
  </r>
  <r>
    <x v="12"/>
    <x v="0"/>
    <x v="0"/>
  </r>
  <r>
    <x v="12"/>
    <x v="1"/>
    <x v="4"/>
  </r>
  <r>
    <x v="12"/>
    <x v="1"/>
    <x v="0"/>
  </r>
  <r>
    <x v="12"/>
    <x v="1"/>
    <x v="0"/>
  </r>
  <r>
    <x v="13"/>
    <x v="2"/>
    <x v="0"/>
  </r>
  <r>
    <x v="13"/>
    <x v="5"/>
    <x v="3"/>
  </r>
  <r>
    <x v="13"/>
    <x v="5"/>
    <x v="3"/>
  </r>
  <r>
    <x v="13"/>
    <x v="5"/>
    <x v="3"/>
  </r>
  <r>
    <x v="13"/>
    <x v="5"/>
    <x v="3"/>
  </r>
  <r>
    <x v="13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DD6DF-EC79-49B6-AFDB-C114975282E9}" name="TablaDinámica9" cacheId="2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47">
  <location ref="A3:D17" firstHeaderRow="1" firstDataRow="1" firstDataCol="3"/>
  <pivotFields count="3">
    <pivotField axis="axisRow" dataField="1"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1"/>
        <item sd="0" x="10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0"/>
        <item x="1"/>
        <item x="4"/>
        <item x="3"/>
        <item x="5"/>
        <item x="2"/>
        <item x="6"/>
        <item x="7"/>
        <item x="11"/>
        <item x="9"/>
        <item x="10"/>
        <item x="8"/>
        <item m="1" x="1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1"/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Cuenta de Anatómico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60E1C5-A516-4F72-978C-14546D9AF9D6}" name="Tabla2" displayName="Tabla2" ref="A1:V2982" totalsRowShown="0">
  <autoFilter ref="A1:V2982" xr:uid="{E460E1C5-A516-4F72-978C-14546D9AF9D6}"/>
  <tableColumns count="22">
    <tableColumn id="1" xr3:uid="{0B0C02EC-5803-46FE-8F61-076C4E9C6C8C}" name="Fecha" dataDxfId="0"/>
    <tableColumn id="2" xr3:uid="{08F53C23-B429-4A86-BE60-E34F738E5885}" name="Procedencia"/>
    <tableColumn id="3" xr3:uid="{3F99739C-C66C-4B88-B88C-5F1563091151}" name="Institución"/>
    <tableColumn id="4" xr3:uid="{FD780786-A7DF-497F-A14A-AAFFCF554E84}" name="Sector"/>
    <tableColumn id="5" xr3:uid="{3614EF2D-0F44-4132-AA12-B01AC4F7526F}" name="Código ATC"/>
    <tableColumn id="6" xr3:uid="{EB44B370-F07E-4AF3-A0ED-06F6BB64F84A}" name="Name"/>
    <tableColumn id="7" xr3:uid="{D6453854-532F-4ED0-BB92-19C6A4D01E2F}" name="Fórmula"/>
    <tableColumn id="8" xr3:uid="{F2D8E168-2651-4721-805C-8632BBEA859B}" name="Derecho de explotación"/>
    <tableColumn id="9" xr3:uid="{B9A3C737-9945-45A6-9CEB-EC4DA41A4CE6}" name="Nombre comercial"/>
    <tableColumn id="10" xr3:uid="{6DFEE002-5CEE-4F66-98B2-DE38A06648EB}" name="Tipo de forma farmacéutica"/>
    <tableColumn id="11" xr3:uid="{D4DE5CCE-1F6A-47A3-90B3-18AE001298ED}" name="Forma farmacéutica"/>
    <tableColumn id="12" xr3:uid="{A4B98AE8-DEEE-4133-883E-DA16097B3E18}" name="Vía de administración"/>
    <tableColumn id="13" xr3:uid="{3702DD77-AE8D-4CD0-B615-D5762509A4BB}" name="Cantidad remanente"/>
    <tableColumn id="14" xr3:uid="{EA346A12-4D18-4526-B686-536ADF9F387E}" name="Envase"/>
    <tableColumn id="15" xr3:uid="{9C77FC13-F5D2-4FBA-AC80-DEE35D0FA6A2}" name="Lote"/>
    <tableColumn id="16" xr3:uid="{7B5C2F46-FE8C-4A93-8489-A6D0520FE632}" name="Caducidad"/>
    <tableColumn id="17" xr3:uid="{DF0CD370-8868-4CB7-A0BB-BB5CF4623E21}" name="Laboratorio productor"/>
    <tableColumn id="18" xr3:uid="{3D75D43C-E555-44EB-9A38-C93EBB4D0FAF}" name="País de origen"/>
    <tableColumn id="19" xr3:uid="{5DF7EA11-F17D-4C0D-A730-68DE036B070A}" name="Registro Sanitario"/>
    <tableColumn id="20" xr3:uid="{C902FFC5-620A-4E64-AE4F-FCE226A0C457}" name="Fracción"/>
    <tableColumn id="21" xr3:uid="{BF72E101-2FF9-4638-AE0C-9496EA7475F2}" name="Grupo"/>
    <tableColumn id="22" xr3:uid="{D0849367-465F-432A-98CF-3DA7649A3B61}" name="Vent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D980A-B899-4414-9A29-486E3CF24F23}" name="Tabla3" displayName="Tabla3" ref="A1:C2982" totalsRowShown="0">
  <autoFilter ref="A1:C2982" xr:uid="{291D980A-B899-4414-9A29-486E3CF24F23}"/>
  <sortState xmlns:xlrd2="http://schemas.microsoft.com/office/spreadsheetml/2017/richdata2" ref="A2:C2982">
    <sortCondition ref="A1:A2982"/>
  </sortState>
  <tableColumns count="3">
    <tableColumn id="1" xr3:uid="{BF386C56-D287-4360-B511-77CCE288B649}" name="Anatómico"/>
    <tableColumn id="2" xr3:uid="{9E81D18A-E363-4E4E-A1A6-913232317E33}" name="Terapéutico" dataDxfId="1"/>
    <tableColumn id="3" xr3:uid="{152BBA9C-DA8D-41FC-BBB7-D4C14A99546B}" name="Farmacológ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1D26-AF95-489D-90F6-F58C134919FF}">
  <dimension ref="A1:V2982"/>
  <sheetViews>
    <sheetView topLeftCell="H22" workbookViewId="0">
      <selection activeCell="M2" sqref="M2:M2982"/>
    </sheetView>
  </sheetViews>
  <sheetFormatPr baseColWidth="10" defaultRowHeight="14.4" x14ac:dyDescent="0.3"/>
  <cols>
    <col min="1" max="1" width="10.33203125" style="49" bestFit="1" customWidth="1"/>
    <col min="2" max="2" width="13.6640625" bestFit="1" customWidth="1"/>
    <col min="3" max="3" width="65.33203125" bestFit="1" customWidth="1"/>
    <col min="4" max="4" width="8.6640625" bestFit="1" customWidth="1"/>
    <col min="5" max="5" width="12.5546875" customWidth="1"/>
    <col min="6" max="6" width="63.21875" bestFit="1" customWidth="1"/>
    <col min="7" max="7" width="151.33203125" bestFit="1" customWidth="1"/>
    <col min="8" max="8" width="22.77734375" bestFit="1" customWidth="1"/>
    <col min="9" max="9" width="23.88671875" bestFit="1" customWidth="1"/>
    <col min="10" max="10" width="26.109375" customWidth="1"/>
    <col min="11" max="11" width="21.21875" bestFit="1" customWidth="1"/>
    <col min="12" max="12" width="22.88671875" bestFit="1" customWidth="1"/>
    <col min="13" max="13" width="20.33203125" bestFit="1" customWidth="1"/>
    <col min="14" max="14" width="10.109375" bestFit="1" customWidth="1"/>
    <col min="15" max="15" width="12" bestFit="1" customWidth="1"/>
    <col min="16" max="16" width="12.33203125" bestFit="1" customWidth="1"/>
    <col min="17" max="17" width="54.88671875" bestFit="1" customWidth="1"/>
    <col min="18" max="18" width="16.6640625" bestFit="1" customWidth="1"/>
    <col min="19" max="19" width="17.88671875" bestFit="1" customWidth="1"/>
    <col min="20" max="20" width="10.44140625" bestFit="1" customWidth="1"/>
    <col min="21" max="21" width="12.33203125" bestFit="1" customWidth="1"/>
    <col min="22" max="22" width="9.77734375" bestFit="1" customWidth="1"/>
  </cols>
  <sheetData>
    <row r="1" spans="1:22" x14ac:dyDescent="0.3">
      <c r="A1" s="4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s="49">
        <v>45663</v>
      </c>
      <c r="B2" t="s">
        <v>22</v>
      </c>
      <c r="C2" t="s">
        <v>23</v>
      </c>
      <c r="D2" t="s">
        <v>173</v>
      </c>
      <c r="E2" t="s">
        <v>2929</v>
      </c>
      <c r="F2" t="s">
        <v>2930</v>
      </c>
      <c r="G2" t="s">
        <v>2931</v>
      </c>
      <c r="H2" t="s">
        <v>28</v>
      </c>
      <c r="I2" t="s">
        <v>2932</v>
      </c>
      <c r="J2" t="s">
        <v>63</v>
      </c>
      <c r="K2" t="s">
        <v>64</v>
      </c>
      <c r="L2" t="s">
        <v>32</v>
      </c>
      <c r="M2">
        <v>100</v>
      </c>
      <c r="N2" t="s">
        <v>49</v>
      </c>
      <c r="O2" t="s">
        <v>2933</v>
      </c>
      <c r="P2" t="s">
        <v>686</v>
      </c>
      <c r="Q2" t="s">
        <v>2934</v>
      </c>
      <c r="R2" t="s">
        <v>37</v>
      </c>
      <c r="S2" t="s">
        <v>2935</v>
      </c>
      <c r="T2" t="s">
        <v>55</v>
      </c>
      <c r="U2" t="s">
        <v>56</v>
      </c>
      <c r="V2" t="s">
        <v>56</v>
      </c>
    </row>
    <row r="3" spans="1:22" x14ac:dyDescent="0.3">
      <c r="A3" s="49">
        <v>45663</v>
      </c>
      <c r="B3" t="s">
        <v>22</v>
      </c>
      <c r="C3" t="s">
        <v>23</v>
      </c>
      <c r="D3" t="s">
        <v>173</v>
      </c>
      <c r="E3" t="s">
        <v>2936</v>
      </c>
      <c r="F3" t="s">
        <v>2937</v>
      </c>
      <c r="G3" t="s">
        <v>2682</v>
      </c>
      <c r="H3" t="s">
        <v>28</v>
      </c>
      <c r="I3" t="s">
        <v>2938</v>
      </c>
      <c r="J3" t="s">
        <v>63</v>
      </c>
      <c r="K3" t="s">
        <v>211</v>
      </c>
      <c r="L3" t="s">
        <v>32</v>
      </c>
      <c r="M3">
        <v>100</v>
      </c>
      <c r="N3" t="s">
        <v>49</v>
      </c>
      <c r="O3" t="s">
        <v>2939</v>
      </c>
      <c r="P3" t="s">
        <v>1159</v>
      </c>
      <c r="Q3" t="s">
        <v>2940</v>
      </c>
      <c r="R3" t="s">
        <v>701</v>
      </c>
      <c r="S3" t="s">
        <v>2941</v>
      </c>
      <c r="T3" t="s">
        <v>55</v>
      </c>
      <c r="U3" t="s">
        <v>56</v>
      </c>
      <c r="V3" t="s">
        <v>56</v>
      </c>
    </row>
    <row r="4" spans="1:22" x14ac:dyDescent="0.3">
      <c r="A4" s="49">
        <v>45663</v>
      </c>
      <c r="B4" t="s">
        <v>22</v>
      </c>
      <c r="C4" t="s">
        <v>23</v>
      </c>
      <c r="D4" t="s">
        <v>173</v>
      </c>
      <c r="E4" t="s">
        <v>2942</v>
      </c>
      <c r="F4" t="s">
        <v>2943</v>
      </c>
      <c r="G4" t="s">
        <v>2617</v>
      </c>
      <c r="H4" t="s">
        <v>28</v>
      </c>
      <c r="I4" t="s">
        <v>2944</v>
      </c>
      <c r="J4" t="s">
        <v>63</v>
      </c>
      <c r="K4" t="s">
        <v>64</v>
      </c>
      <c r="L4" t="s">
        <v>32</v>
      </c>
      <c r="M4">
        <v>100</v>
      </c>
      <c r="N4" t="s">
        <v>49</v>
      </c>
      <c r="O4" t="s">
        <v>2945</v>
      </c>
      <c r="P4" t="s">
        <v>873</v>
      </c>
      <c r="Q4" t="s">
        <v>2946</v>
      </c>
      <c r="R4" t="s">
        <v>1613</v>
      </c>
      <c r="S4" t="s">
        <v>2947</v>
      </c>
      <c r="T4" t="s">
        <v>55</v>
      </c>
      <c r="U4" t="s">
        <v>56</v>
      </c>
      <c r="V4" t="s">
        <v>56</v>
      </c>
    </row>
    <row r="5" spans="1:22" x14ac:dyDescent="0.3">
      <c r="A5" s="49">
        <v>45663</v>
      </c>
      <c r="B5" t="s">
        <v>22</v>
      </c>
      <c r="C5" t="s">
        <v>23</v>
      </c>
      <c r="D5" t="s">
        <v>173</v>
      </c>
      <c r="E5" t="s">
        <v>2948</v>
      </c>
      <c r="F5" t="s">
        <v>2949</v>
      </c>
      <c r="G5" t="s">
        <v>2905</v>
      </c>
      <c r="H5" t="s">
        <v>28</v>
      </c>
      <c r="I5" t="s">
        <v>2950</v>
      </c>
      <c r="J5" t="s">
        <v>63</v>
      </c>
      <c r="K5" t="s">
        <v>211</v>
      </c>
      <c r="L5" t="s">
        <v>32</v>
      </c>
      <c r="M5">
        <v>100</v>
      </c>
      <c r="N5" t="s">
        <v>49</v>
      </c>
      <c r="O5" t="s">
        <v>2951</v>
      </c>
      <c r="P5" t="s">
        <v>2952</v>
      </c>
      <c r="Q5" t="s">
        <v>2415</v>
      </c>
      <c r="R5" t="s">
        <v>783</v>
      </c>
      <c r="S5" t="s">
        <v>2953</v>
      </c>
      <c r="T5" t="s">
        <v>55</v>
      </c>
      <c r="U5" t="s">
        <v>56</v>
      </c>
      <c r="V5" t="s">
        <v>56</v>
      </c>
    </row>
    <row r="6" spans="1:22" x14ac:dyDescent="0.3">
      <c r="A6" s="49">
        <v>45663</v>
      </c>
      <c r="B6" t="s">
        <v>22</v>
      </c>
      <c r="C6" t="s">
        <v>23</v>
      </c>
      <c r="D6" t="s">
        <v>173</v>
      </c>
      <c r="E6" t="s">
        <v>2948</v>
      </c>
      <c r="F6" t="s">
        <v>2949</v>
      </c>
      <c r="G6" t="s">
        <v>2905</v>
      </c>
      <c r="H6" t="s">
        <v>28</v>
      </c>
      <c r="I6" t="s">
        <v>2950</v>
      </c>
      <c r="J6" t="s">
        <v>63</v>
      </c>
      <c r="K6" t="s">
        <v>211</v>
      </c>
      <c r="L6" t="s">
        <v>32</v>
      </c>
      <c r="M6">
        <v>100</v>
      </c>
      <c r="N6" t="s">
        <v>49</v>
      </c>
      <c r="O6" t="s">
        <v>2951</v>
      </c>
      <c r="P6" t="s">
        <v>2952</v>
      </c>
      <c r="Q6" t="s">
        <v>2415</v>
      </c>
      <c r="R6" t="s">
        <v>783</v>
      </c>
      <c r="S6" t="s">
        <v>2953</v>
      </c>
      <c r="T6" t="s">
        <v>55</v>
      </c>
      <c r="U6" t="s">
        <v>56</v>
      </c>
      <c r="V6" t="s">
        <v>56</v>
      </c>
    </row>
    <row r="7" spans="1:22" x14ac:dyDescent="0.3">
      <c r="A7" s="49">
        <v>45663</v>
      </c>
      <c r="B7" t="s">
        <v>22</v>
      </c>
      <c r="C7" t="s">
        <v>23</v>
      </c>
      <c r="D7" t="s">
        <v>173</v>
      </c>
      <c r="E7" t="s">
        <v>2948</v>
      </c>
      <c r="F7" t="s">
        <v>2949</v>
      </c>
      <c r="G7" t="s">
        <v>2669</v>
      </c>
      <c r="H7" t="s">
        <v>28</v>
      </c>
      <c r="I7" t="s">
        <v>2950</v>
      </c>
      <c r="J7" t="s">
        <v>63</v>
      </c>
      <c r="K7" t="s">
        <v>211</v>
      </c>
      <c r="L7" t="s">
        <v>32</v>
      </c>
      <c r="M7">
        <v>100</v>
      </c>
      <c r="N7" t="s">
        <v>49</v>
      </c>
      <c r="O7" t="s">
        <v>2954</v>
      </c>
      <c r="P7" t="s">
        <v>686</v>
      </c>
      <c r="Q7" t="s">
        <v>2415</v>
      </c>
      <c r="R7" t="s">
        <v>783</v>
      </c>
      <c r="S7" t="s">
        <v>2953</v>
      </c>
      <c r="T7" t="s">
        <v>55</v>
      </c>
      <c r="U7" t="s">
        <v>56</v>
      </c>
      <c r="V7" t="s">
        <v>56</v>
      </c>
    </row>
    <row r="8" spans="1:22" x14ac:dyDescent="0.3">
      <c r="A8" s="49">
        <v>45663</v>
      </c>
      <c r="B8" t="s">
        <v>22</v>
      </c>
      <c r="C8" t="s">
        <v>23</v>
      </c>
      <c r="D8" t="s">
        <v>173</v>
      </c>
      <c r="E8" t="s">
        <v>2955</v>
      </c>
      <c r="F8" t="s">
        <v>2956</v>
      </c>
      <c r="G8" t="s">
        <v>2957</v>
      </c>
      <c r="H8" t="s">
        <v>28</v>
      </c>
      <c r="I8" t="s">
        <v>2958</v>
      </c>
      <c r="J8" t="s">
        <v>63</v>
      </c>
      <c r="K8" t="s">
        <v>64</v>
      </c>
      <c r="L8" t="s">
        <v>32</v>
      </c>
      <c r="M8">
        <v>100</v>
      </c>
      <c r="N8" t="s">
        <v>49</v>
      </c>
      <c r="O8" t="s">
        <v>2959</v>
      </c>
      <c r="P8" t="s">
        <v>873</v>
      </c>
      <c r="Q8" t="s">
        <v>2960</v>
      </c>
      <c r="R8" t="s">
        <v>701</v>
      </c>
      <c r="S8" t="s">
        <v>2961</v>
      </c>
      <c r="T8" t="s">
        <v>55</v>
      </c>
      <c r="U8" t="s">
        <v>56</v>
      </c>
      <c r="V8" t="s">
        <v>56</v>
      </c>
    </row>
    <row r="9" spans="1:22" x14ac:dyDescent="0.3">
      <c r="A9" s="49">
        <v>45663</v>
      </c>
      <c r="B9" t="s">
        <v>22</v>
      </c>
      <c r="C9" t="s">
        <v>23</v>
      </c>
      <c r="D9" t="s">
        <v>173</v>
      </c>
      <c r="E9" t="s">
        <v>2962</v>
      </c>
      <c r="F9" t="s">
        <v>2963</v>
      </c>
      <c r="G9" t="s">
        <v>2825</v>
      </c>
      <c r="H9" t="s">
        <v>28</v>
      </c>
      <c r="I9" t="s">
        <v>2964</v>
      </c>
      <c r="J9" t="s">
        <v>63</v>
      </c>
      <c r="K9" t="s">
        <v>64</v>
      </c>
      <c r="L9" t="s">
        <v>32</v>
      </c>
      <c r="M9">
        <v>100</v>
      </c>
      <c r="N9" t="s">
        <v>49</v>
      </c>
      <c r="O9" t="s">
        <v>2965</v>
      </c>
      <c r="P9" t="s">
        <v>106</v>
      </c>
      <c r="Q9" t="s">
        <v>1736</v>
      </c>
      <c r="R9" t="s">
        <v>37</v>
      </c>
      <c r="S9" t="s">
        <v>2966</v>
      </c>
      <c r="T9" t="s">
        <v>55</v>
      </c>
      <c r="U9" t="s">
        <v>56</v>
      </c>
      <c r="V9" t="s">
        <v>56</v>
      </c>
    </row>
    <row r="10" spans="1:22" x14ac:dyDescent="0.3">
      <c r="A10" s="49">
        <v>45663</v>
      </c>
      <c r="B10" t="s">
        <v>22</v>
      </c>
      <c r="C10" t="s">
        <v>23</v>
      </c>
      <c r="D10" t="s">
        <v>173</v>
      </c>
      <c r="E10" t="s">
        <v>2967</v>
      </c>
      <c r="F10" t="s">
        <v>2968</v>
      </c>
      <c r="G10" t="s">
        <v>2682</v>
      </c>
      <c r="H10" t="s">
        <v>28</v>
      </c>
      <c r="I10" t="s">
        <v>2969</v>
      </c>
      <c r="J10" t="s">
        <v>63</v>
      </c>
      <c r="K10" t="s">
        <v>64</v>
      </c>
      <c r="L10" t="s">
        <v>32</v>
      </c>
      <c r="M10">
        <v>100</v>
      </c>
      <c r="N10" t="s">
        <v>49</v>
      </c>
      <c r="O10" t="s">
        <v>2970</v>
      </c>
      <c r="P10" t="s">
        <v>873</v>
      </c>
      <c r="Q10" t="s">
        <v>2971</v>
      </c>
      <c r="R10" t="s">
        <v>37</v>
      </c>
      <c r="S10" t="s">
        <v>2972</v>
      </c>
      <c r="T10" t="s">
        <v>55</v>
      </c>
      <c r="U10" t="s">
        <v>56</v>
      </c>
      <c r="V10" t="s">
        <v>56</v>
      </c>
    </row>
    <row r="11" spans="1:22" x14ac:dyDescent="0.3">
      <c r="A11" s="49">
        <v>45663</v>
      </c>
      <c r="B11" t="s">
        <v>22</v>
      </c>
      <c r="C11" t="s">
        <v>23</v>
      </c>
      <c r="D11" t="s">
        <v>173</v>
      </c>
      <c r="E11" t="s">
        <v>2967</v>
      </c>
      <c r="F11" t="s">
        <v>2968</v>
      </c>
      <c r="G11" t="s">
        <v>2682</v>
      </c>
      <c r="H11" t="s">
        <v>28</v>
      </c>
      <c r="I11" t="s">
        <v>2969</v>
      </c>
      <c r="J11" t="s">
        <v>63</v>
      </c>
      <c r="K11" t="s">
        <v>64</v>
      </c>
      <c r="L11" t="s">
        <v>32</v>
      </c>
      <c r="M11">
        <v>100</v>
      </c>
      <c r="N11" t="s">
        <v>49</v>
      </c>
      <c r="O11" t="s">
        <v>2970</v>
      </c>
      <c r="P11" t="s">
        <v>873</v>
      </c>
      <c r="Q11" t="s">
        <v>2971</v>
      </c>
      <c r="R11" t="s">
        <v>37</v>
      </c>
      <c r="S11" t="s">
        <v>2972</v>
      </c>
      <c r="T11" t="s">
        <v>55</v>
      </c>
      <c r="U11" t="s">
        <v>56</v>
      </c>
      <c r="V11" t="s">
        <v>56</v>
      </c>
    </row>
    <row r="12" spans="1:22" x14ac:dyDescent="0.3">
      <c r="A12" s="49">
        <v>45663</v>
      </c>
      <c r="B12" t="s">
        <v>22</v>
      </c>
      <c r="C12" t="s">
        <v>23</v>
      </c>
      <c r="D12" t="s">
        <v>173</v>
      </c>
      <c r="E12" t="s">
        <v>2973</v>
      </c>
      <c r="F12" t="s">
        <v>2974</v>
      </c>
      <c r="G12" t="s">
        <v>2391</v>
      </c>
      <c r="H12" t="s">
        <v>28</v>
      </c>
      <c r="I12" t="s">
        <v>2975</v>
      </c>
      <c r="J12" t="s">
        <v>63</v>
      </c>
      <c r="K12" t="s">
        <v>445</v>
      </c>
      <c r="L12" t="s">
        <v>32</v>
      </c>
      <c r="M12">
        <v>100</v>
      </c>
      <c r="N12" t="s">
        <v>49</v>
      </c>
      <c r="O12" t="s">
        <v>2976</v>
      </c>
      <c r="P12" t="s">
        <v>686</v>
      </c>
      <c r="Q12" t="s">
        <v>2940</v>
      </c>
      <c r="R12" t="s">
        <v>701</v>
      </c>
      <c r="S12" t="s">
        <v>2977</v>
      </c>
      <c r="T12" t="s">
        <v>55</v>
      </c>
      <c r="U12" t="s">
        <v>56</v>
      </c>
      <c r="V12" t="s">
        <v>56</v>
      </c>
    </row>
    <row r="13" spans="1:22" x14ac:dyDescent="0.3">
      <c r="A13" s="49">
        <v>45663</v>
      </c>
      <c r="B13" t="s">
        <v>22</v>
      </c>
      <c r="C13" t="s">
        <v>23</v>
      </c>
      <c r="D13" t="s">
        <v>173</v>
      </c>
      <c r="E13" t="s">
        <v>2978</v>
      </c>
      <c r="F13" t="s">
        <v>2979</v>
      </c>
      <c r="G13" t="s">
        <v>2980</v>
      </c>
      <c r="H13" t="s">
        <v>28</v>
      </c>
      <c r="I13" t="s">
        <v>2981</v>
      </c>
      <c r="J13" t="s">
        <v>63</v>
      </c>
      <c r="K13" t="s">
        <v>211</v>
      </c>
      <c r="L13" t="s">
        <v>32</v>
      </c>
      <c r="M13">
        <v>100</v>
      </c>
      <c r="N13" t="s">
        <v>49</v>
      </c>
      <c r="O13" t="s">
        <v>2982</v>
      </c>
      <c r="P13" t="s">
        <v>873</v>
      </c>
      <c r="Q13" t="s">
        <v>2983</v>
      </c>
      <c r="R13" t="s">
        <v>701</v>
      </c>
      <c r="S13" t="s">
        <v>2984</v>
      </c>
      <c r="T13" t="s">
        <v>55</v>
      </c>
      <c r="U13" t="s">
        <v>56</v>
      </c>
      <c r="V13" t="s">
        <v>56</v>
      </c>
    </row>
    <row r="14" spans="1:22" x14ac:dyDescent="0.3">
      <c r="A14" s="49">
        <v>45663</v>
      </c>
      <c r="B14" t="s">
        <v>22</v>
      </c>
      <c r="C14" t="s">
        <v>23</v>
      </c>
      <c r="D14" t="s">
        <v>173</v>
      </c>
      <c r="E14" t="s">
        <v>2985</v>
      </c>
      <c r="F14" t="s">
        <v>2986</v>
      </c>
      <c r="G14" t="s">
        <v>2987</v>
      </c>
      <c r="H14" t="s">
        <v>28</v>
      </c>
      <c r="I14" t="s">
        <v>2988</v>
      </c>
      <c r="J14" t="s">
        <v>63</v>
      </c>
      <c r="K14" t="s">
        <v>2989</v>
      </c>
      <c r="L14" t="s">
        <v>32</v>
      </c>
      <c r="M14">
        <v>100</v>
      </c>
      <c r="N14" t="s">
        <v>49</v>
      </c>
      <c r="O14" t="s">
        <v>2990</v>
      </c>
      <c r="P14" t="s">
        <v>873</v>
      </c>
      <c r="Q14" t="s">
        <v>2940</v>
      </c>
      <c r="R14" t="s">
        <v>701</v>
      </c>
      <c r="S14" t="s">
        <v>2991</v>
      </c>
      <c r="T14" t="s">
        <v>55</v>
      </c>
      <c r="U14" t="s">
        <v>56</v>
      </c>
      <c r="V14" t="s">
        <v>56</v>
      </c>
    </row>
    <row r="15" spans="1:22" x14ac:dyDescent="0.3">
      <c r="A15" s="49">
        <v>45663</v>
      </c>
      <c r="B15" t="s">
        <v>22</v>
      </c>
      <c r="C15" t="s">
        <v>23</v>
      </c>
      <c r="D15" t="s">
        <v>173</v>
      </c>
      <c r="E15" t="s">
        <v>2201</v>
      </c>
      <c r="F15" t="s">
        <v>2202</v>
      </c>
      <c r="G15" t="s">
        <v>2825</v>
      </c>
      <c r="H15" t="s">
        <v>28</v>
      </c>
      <c r="I15" t="s">
        <v>2458</v>
      </c>
      <c r="J15" t="s">
        <v>63</v>
      </c>
      <c r="K15" t="s">
        <v>64</v>
      </c>
      <c r="L15" t="s">
        <v>32</v>
      </c>
      <c r="M15">
        <v>100</v>
      </c>
      <c r="N15" t="s">
        <v>49</v>
      </c>
      <c r="O15" t="s">
        <v>2992</v>
      </c>
      <c r="P15" t="s">
        <v>873</v>
      </c>
      <c r="Q15" t="s">
        <v>2971</v>
      </c>
      <c r="R15" t="s">
        <v>37</v>
      </c>
      <c r="S15" t="s">
        <v>2461</v>
      </c>
      <c r="T15" t="s">
        <v>55</v>
      </c>
      <c r="U15" t="s">
        <v>56</v>
      </c>
      <c r="V15" t="s">
        <v>56</v>
      </c>
    </row>
    <row r="16" spans="1:22" x14ac:dyDescent="0.3">
      <c r="A16" s="49">
        <v>45663</v>
      </c>
      <c r="B16" t="s">
        <v>22</v>
      </c>
      <c r="C16" t="s">
        <v>23</v>
      </c>
      <c r="D16" t="s">
        <v>173</v>
      </c>
      <c r="E16" t="s">
        <v>2462</v>
      </c>
      <c r="F16" t="s">
        <v>2463</v>
      </c>
      <c r="G16" t="s">
        <v>2464</v>
      </c>
      <c r="H16" t="s">
        <v>28</v>
      </c>
      <c r="I16" t="s">
        <v>2465</v>
      </c>
      <c r="J16" t="s">
        <v>63</v>
      </c>
      <c r="K16" t="s">
        <v>64</v>
      </c>
      <c r="L16" t="s">
        <v>32</v>
      </c>
      <c r="M16">
        <v>100</v>
      </c>
      <c r="N16" t="s">
        <v>49</v>
      </c>
      <c r="O16" t="s">
        <v>2993</v>
      </c>
      <c r="P16" t="s">
        <v>686</v>
      </c>
      <c r="Q16" t="s">
        <v>2971</v>
      </c>
      <c r="R16" t="s">
        <v>37</v>
      </c>
      <c r="S16" t="s">
        <v>2467</v>
      </c>
      <c r="T16" t="s">
        <v>55</v>
      </c>
      <c r="U16" t="s">
        <v>56</v>
      </c>
      <c r="V16" t="s">
        <v>56</v>
      </c>
    </row>
    <row r="17" spans="1:22" x14ac:dyDescent="0.3">
      <c r="A17" s="49">
        <v>45663</v>
      </c>
      <c r="B17" t="s">
        <v>22</v>
      </c>
      <c r="C17" t="s">
        <v>23</v>
      </c>
      <c r="D17" t="s">
        <v>173</v>
      </c>
      <c r="E17" t="s">
        <v>2462</v>
      </c>
      <c r="F17" t="s">
        <v>2463</v>
      </c>
      <c r="G17" t="s">
        <v>2464</v>
      </c>
      <c r="H17" t="s">
        <v>28</v>
      </c>
      <c r="I17" t="s">
        <v>2465</v>
      </c>
      <c r="J17" t="s">
        <v>63</v>
      </c>
      <c r="K17" t="s">
        <v>64</v>
      </c>
      <c r="L17" t="s">
        <v>32</v>
      </c>
      <c r="M17">
        <v>100</v>
      </c>
      <c r="N17" t="s">
        <v>49</v>
      </c>
      <c r="O17" t="s">
        <v>2993</v>
      </c>
      <c r="P17" t="s">
        <v>686</v>
      </c>
      <c r="Q17" t="s">
        <v>2971</v>
      </c>
      <c r="R17" t="s">
        <v>37</v>
      </c>
      <c r="S17" t="s">
        <v>2467</v>
      </c>
      <c r="T17" t="s">
        <v>55</v>
      </c>
      <c r="U17" t="s">
        <v>56</v>
      </c>
      <c r="V17" t="s">
        <v>56</v>
      </c>
    </row>
    <row r="18" spans="1:22" x14ac:dyDescent="0.3">
      <c r="A18" s="49">
        <v>45663</v>
      </c>
      <c r="B18" t="s">
        <v>22</v>
      </c>
      <c r="C18" t="s">
        <v>23</v>
      </c>
      <c r="D18" t="s">
        <v>173</v>
      </c>
      <c r="E18" t="s">
        <v>2462</v>
      </c>
      <c r="F18" t="s">
        <v>2463</v>
      </c>
      <c r="G18" t="s">
        <v>2464</v>
      </c>
      <c r="H18" t="s">
        <v>28</v>
      </c>
      <c r="I18" t="s">
        <v>2465</v>
      </c>
      <c r="J18" t="s">
        <v>63</v>
      </c>
      <c r="K18" t="s">
        <v>64</v>
      </c>
      <c r="L18" t="s">
        <v>32</v>
      </c>
      <c r="M18">
        <v>100</v>
      </c>
      <c r="N18" t="s">
        <v>49</v>
      </c>
      <c r="O18" t="s">
        <v>2993</v>
      </c>
      <c r="P18" t="s">
        <v>686</v>
      </c>
      <c r="Q18" t="s">
        <v>2971</v>
      </c>
      <c r="R18" t="s">
        <v>37</v>
      </c>
      <c r="S18" t="s">
        <v>2467</v>
      </c>
      <c r="T18" t="s">
        <v>55</v>
      </c>
      <c r="U18" t="s">
        <v>56</v>
      </c>
      <c r="V18" t="s">
        <v>56</v>
      </c>
    </row>
    <row r="19" spans="1:22" x14ac:dyDescent="0.3">
      <c r="A19" s="49">
        <v>45663</v>
      </c>
      <c r="B19" t="s">
        <v>22</v>
      </c>
      <c r="C19" t="s">
        <v>23</v>
      </c>
      <c r="D19" t="s">
        <v>173</v>
      </c>
      <c r="E19" t="s">
        <v>2462</v>
      </c>
      <c r="F19" t="s">
        <v>2463</v>
      </c>
      <c r="G19" t="s">
        <v>2464</v>
      </c>
      <c r="H19" t="s">
        <v>28</v>
      </c>
      <c r="I19" t="s">
        <v>2465</v>
      </c>
      <c r="J19" t="s">
        <v>63</v>
      </c>
      <c r="K19" t="s">
        <v>64</v>
      </c>
      <c r="L19" t="s">
        <v>32</v>
      </c>
      <c r="M19">
        <v>100</v>
      </c>
      <c r="N19" t="s">
        <v>49</v>
      </c>
      <c r="O19" t="s">
        <v>2993</v>
      </c>
      <c r="P19" t="s">
        <v>686</v>
      </c>
      <c r="Q19" t="s">
        <v>2971</v>
      </c>
      <c r="R19" t="s">
        <v>37</v>
      </c>
      <c r="S19" t="s">
        <v>2467</v>
      </c>
      <c r="T19" t="s">
        <v>55</v>
      </c>
      <c r="U19" t="s">
        <v>56</v>
      </c>
      <c r="V19" t="s">
        <v>56</v>
      </c>
    </row>
    <row r="20" spans="1:22" x14ac:dyDescent="0.3">
      <c r="A20" s="49">
        <v>45663</v>
      </c>
      <c r="B20" t="s">
        <v>22</v>
      </c>
      <c r="C20" t="s">
        <v>23</v>
      </c>
      <c r="D20" t="s">
        <v>173</v>
      </c>
      <c r="E20" t="s">
        <v>207</v>
      </c>
      <c r="F20" t="s">
        <v>208</v>
      </c>
      <c r="G20" t="s">
        <v>2994</v>
      </c>
      <c r="H20" t="s">
        <v>28</v>
      </c>
      <c r="I20" t="s">
        <v>2469</v>
      </c>
      <c r="J20" t="s">
        <v>63</v>
      </c>
      <c r="K20" t="s">
        <v>211</v>
      </c>
      <c r="L20" t="s">
        <v>464</v>
      </c>
      <c r="M20">
        <v>100</v>
      </c>
      <c r="N20" t="s">
        <v>49</v>
      </c>
      <c r="O20" t="s">
        <v>2995</v>
      </c>
      <c r="P20" t="s">
        <v>686</v>
      </c>
      <c r="Q20" t="s">
        <v>2996</v>
      </c>
      <c r="R20" t="s">
        <v>214</v>
      </c>
      <c r="S20" t="s">
        <v>215</v>
      </c>
      <c r="T20" t="s">
        <v>55</v>
      </c>
      <c r="U20" t="s">
        <v>56</v>
      </c>
      <c r="V20" t="s">
        <v>56</v>
      </c>
    </row>
    <row r="21" spans="1:22" x14ac:dyDescent="0.3">
      <c r="A21" s="49">
        <v>45663</v>
      </c>
      <c r="B21" t="s">
        <v>22</v>
      </c>
      <c r="C21" t="s">
        <v>23</v>
      </c>
      <c r="D21" t="s">
        <v>173</v>
      </c>
      <c r="E21" t="s">
        <v>207</v>
      </c>
      <c r="F21" t="s">
        <v>208</v>
      </c>
      <c r="G21" t="s">
        <v>2994</v>
      </c>
      <c r="H21" t="s">
        <v>28</v>
      </c>
      <c r="I21" t="s">
        <v>2469</v>
      </c>
      <c r="J21" t="s">
        <v>63</v>
      </c>
      <c r="K21" t="s">
        <v>211</v>
      </c>
      <c r="L21" t="s">
        <v>464</v>
      </c>
      <c r="M21">
        <v>100</v>
      </c>
      <c r="N21" t="s">
        <v>49</v>
      </c>
      <c r="O21" t="s">
        <v>2995</v>
      </c>
      <c r="P21" t="s">
        <v>686</v>
      </c>
      <c r="Q21" t="s">
        <v>2996</v>
      </c>
      <c r="R21" t="s">
        <v>214</v>
      </c>
      <c r="S21" t="s">
        <v>215</v>
      </c>
      <c r="T21" t="s">
        <v>55</v>
      </c>
      <c r="U21" t="s">
        <v>56</v>
      </c>
      <c r="V21" t="s">
        <v>56</v>
      </c>
    </row>
    <row r="22" spans="1:22" x14ac:dyDescent="0.3">
      <c r="A22" s="49">
        <v>45663</v>
      </c>
      <c r="B22" t="s">
        <v>22</v>
      </c>
      <c r="C22" t="s">
        <v>23</v>
      </c>
      <c r="D22" t="s">
        <v>173</v>
      </c>
      <c r="E22" t="s">
        <v>207</v>
      </c>
      <c r="F22" t="s">
        <v>208</v>
      </c>
      <c r="G22" t="s">
        <v>2994</v>
      </c>
      <c r="H22" t="s">
        <v>28</v>
      </c>
      <c r="I22" t="s">
        <v>2469</v>
      </c>
      <c r="J22" t="s">
        <v>63</v>
      </c>
      <c r="K22" t="s">
        <v>211</v>
      </c>
      <c r="L22" t="s">
        <v>464</v>
      </c>
      <c r="M22">
        <v>100</v>
      </c>
      <c r="N22" t="s">
        <v>49</v>
      </c>
      <c r="O22" t="s">
        <v>2995</v>
      </c>
      <c r="P22" t="s">
        <v>686</v>
      </c>
      <c r="Q22" t="s">
        <v>2996</v>
      </c>
      <c r="R22" t="s">
        <v>214</v>
      </c>
      <c r="S22" t="s">
        <v>215</v>
      </c>
      <c r="T22" t="s">
        <v>55</v>
      </c>
      <c r="U22" t="s">
        <v>56</v>
      </c>
      <c r="V22" t="s">
        <v>56</v>
      </c>
    </row>
    <row r="23" spans="1:22" x14ac:dyDescent="0.3">
      <c r="A23" s="49">
        <v>45663</v>
      </c>
      <c r="B23" t="s">
        <v>22</v>
      </c>
      <c r="C23" t="s">
        <v>23</v>
      </c>
      <c r="D23" t="s">
        <v>173</v>
      </c>
      <c r="E23" t="s">
        <v>207</v>
      </c>
      <c r="F23" t="s">
        <v>208</v>
      </c>
      <c r="G23" t="s">
        <v>2296</v>
      </c>
      <c r="H23" t="s">
        <v>28</v>
      </c>
      <c r="I23" t="s">
        <v>2469</v>
      </c>
      <c r="J23" t="s">
        <v>63</v>
      </c>
      <c r="K23" t="s">
        <v>211</v>
      </c>
      <c r="L23" t="s">
        <v>32</v>
      </c>
      <c r="M23">
        <v>100</v>
      </c>
      <c r="N23" t="s">
        <v>49</v>
      </c>
      <c r="O23" t="s">
        <v>2997</v>
      </c>
      <c r="P23" t="s">
        <v>686</v>
      </c>
      <c r="Q23" t="s">
        <v>2996</v>
      </c>
      <c r="R23" t="s">
        <v>214</v>
      </c>
      <c r="S23" t="s">
        <v>215</v>
      </c>
      <c r="T23" t="s">
        <v>55</v>
      </c>
      <c r="U23" t="s">
        <v>56</v>
      </c>
      <c r="V23" t="s">
        <v>56</v>
      </c>
    </row>
    <row r="24" spans="1:22" x14ac:dyDescent="0.3">
      <c r="A24" s="49">
        <v>45663</v>
      </c>
      <c r="B24" t="s">
        <v>22</v>
      </c>
      <c r="C24" t="s">
        <v>23</v>
      </c>
      <c r="D24" t="s">
        <v>173</v>
      </c>
      <c r="E24" t="s">
        <v>207</v>
      </c>
      <c r="F24" t="s">
        <v>208</v>
      </c>
      <c r="G24" t="s">
        <v>2998</v>
      </c>
      <c r="H24" t="s">
        <v>28</v>
      </c>
      <c r="I24" t="s">
        <v>2469</v>
      </c>
      <c r="J24" t="s">
        <v>63</v>
      </c>
      <c r="K24" t="s">
        <v>211</v>
      </c>
      <c r="L24" t="s">
        <v>32</v>
      </c>
      <c r="M24">
        <v>100</v>
      </c>
      <c r="N24" t="s">
        <v>49</v>
      </c>
      <c r="O24" t="s">
        <v>2999</v>
      </c>
      <c r="P24" t="s">
        <v>686</v>
      </c>
      <c r="Q24" t="s">
        <v>2996</v>
      </c>
      <c r="R24" t="s">
        <v>214</v>
      </c>
      <c r="S24" t="s">
        <v>215</v>
      </c>
      <c r="T24" t="s">
        <v>55</v>
      </c>
      <c r="U24" t="s">
        <v>56</v>
      </c>
      <c r="V24" t="s">
        <v>56</v>
      </c>
    </row>
    <row r="25" spans="1:22" x14ac:dyDescent="0.3">
      <c r="A25" s="49">
        <v>45663</v>
      </c>
      <c r="B25" t="s">
        <v>22</v>
      </c>
      <c r="C25" t="s">
        <v>23</v>
      </c>
      <c r="D25" t="s">
        <v>173</v>
      </c>
      <c r="E25" t="s">
        <v>207</v>
      </c>
      <c r="F25" t="s">
        <v>208</v>
      </c>
      <c r="G25" t="s">
        <v>2998</v>
      </c>
      <c r="H25" t="s">
        <v>28</v>
      </c>
      <c r="I25" t="s">
        <v>2469</v>
      </c>
      <c r="J25" t="s">
        <v>63</v>
      </c>
      <c r="K25" t="s">
        <v>211</v>
      </c>
      <c r="L25" t="s">
        <v>32</v>
      </c>
      <c r="M25">
        <v>100</v>
      </c>
      <c r="N25" t="s">
        <v>49</v>
      </c>
      <c r="O25" t="s">
        <v>2999</v>
      </c>
      <c r="P25" t="s">
        <v>686</v>
      </c>
      <c r="Q25" t="s">
        <v>2996</v>
      </c>
      <c r="R25" t="s">
        <v>214</v>
      </c>
      <c r="S25" t="s">
        <v>215</v>
      </c>
      <c r="T25" t="s">
        <v>55</v>
      </c>
      <c r="U25" t="s">
        <v>56</v>
      </c>
      <c r="V25" t="s">
        <v>56</v>
      </c>
    </row>
    <row r="26" spans="1:22" x14ac:dyDescent="0.3">
      <c r="A26" s="49">
        <v>45663</v>
      </c>
      <c r="B26" t="s">
        <v>22</v>
      </c>
      <c r="C26" t="s">
        <v>23</v>
      </c>
      <c r="D26" t="s">
        <v>173</v>
      </c>
      <c r="E26" t="s">
        <v>207</v>
      </c>
      <c r="F26" t="s">
        <v>208</v>
      </c>
      <c r="G26" t="s">
        <v>2998</v>
      </c>
      <c r="H26" t="s">
        <v>28</v>
      </c>
      <c r="I26" t="s">
        <v>2469</v>
      </c>
      <c r="J26" t="s">
        <v>63</v>
      </c>
      <c r="K26" t="s">
        <v>211</v>
      </c>
      <c r="L26" t="s">
        <v>32</v>
      </c>
      <c r="M26">
        <v>100</v>
      </c>
      <c r="N26" t="s">
        <v>49</v>
      </c>
      <c r="O26" t="s">
        <v>2999</v>
      </c>
      <c r="P26" t="s">
        <v>686</v>
      </c>
      <c r="Q26" t="s">
        <v>2996</v>
      </c>
      <c r="R26" t="s">
        <v>214</v>
      </c>
      <c r="S26" t="s">
        <v>215</v>
      </c>
      <c r="T26" t="s">
        <v>55</v>
      </c>
      <c r="U26" t="s">
        <v>56</v>
      </c>
      <c r="V26" t="s">
        <v>56</v>
      </c>
    </row>
    <row r="27" spans="1:22" x14ac:dyDescent="0.3">
      <c r="A27" s="49">
        <v>45663</v>
      </c>
      <c r="B27" t="s">
        <v>22</v>
      </c>
      <c r="C27" t="s">
        <v>23</v>
      </c>
      <c r="D27" t="s">
        <v>173</v>
      </c>
      <c r="E27" t="s">
        <v>207</v>
      </c>
      <c r="F27" t="s">
        <v>208</v>
      </c>
      <c r="G27" t="s">
        <v>2998</v>
      </c>
      <c r="H27" t="s">
        <v>28</v>
      </c>
      <c r="I27" t="s">
        <v>2469</v>
      </c>
      <c r="J27" t="s">
        <v>63</v>
      </c>
      <c r="K27" t="s">
        <v>211</v>
      </c>
      <c r="L27" t="s">
        <v>32</v>
      </c>
      <c r="M27">
        <v>100</v>
      </c>
      <c r="N27" t="s">
        <v>49</v>
      </c>
      <c r="O27" t="s">
        <v>2999</v>
      </c>
      <c r="P27" t="s">
        <v>686</v>
      </c>
      <c r="Q27" t="s">
        <v>2996</v>
      </c>
      <c r="R27" t="s">
        <v>214</v>
      </c>
      <c r="S27" t="s">
        <v>215</v>
      </c>
      <c r="T27" t="s">
        <v>55</v>
      </c>
      <c r="U27" t="s">
        <v>56</v>
      </c>
      <c r="V27" t="s">
        <v>56</v>
      </c>
    </row>
    <row r="28" spans="1:22" x14ac:dyDescent="0.3">
      <c r="A28" s="49">
        <v>45663</v>
      </c>
      <c r="B28" t="s">
        <v>22</v>
      </c>
      <c r="C28" t="s">
        <v>23</v>
      </c>
      <c r="D28" t="s">
        <v>173</v>
      </c>
      <c r="E28" t="s">
        <v>207</v>
      </c>
      <c r="F28" t="s">
        <v>208</v>
      </c>
      <c r="G28" t="s">
        <v>2998</v>
      </c>
      <c r="H28" t="s">
        <v>28</v>
      </c>
      <c r="I28" t="s">
        <v>2469</v>
      </c>
      <c r="J28" t="s">
        <v>63</v>
      </c>
      <c r="K28" t="s">
        <v>211</v>
      </c>
      <c r="L28" t="s">
        <v>32</v>
      </c>
      <c r="M28">
        <v>100</v>
      </c>
      <c r="N28" t="s">
        <v>49</v>
      </c>
      <c r="O28" t="s">
        <v>2999</v>
      </c>
      <c r="P28" t="s">
        <v>686</v>
      </c>
      <c r="Q28" t="s">
        <v>2996</v>
      </c>
      <c r="R28" t="s">
        <v>214</v>
      </c>
      <c r="S28" t="s">
        <v>215</v>
      </c>
      <c r="T28" t="s">
        <v>55</v>
      </c>
      <c r="U28" t="s">
        <v>56</v>
      </c>
      <c r="V28" t="s">
        <v>56</v>
      </c>
    </row>
    <row r="29" spans="1:22" x14ac:dyDescent="0.3">
      <c r="A29" s="49">
        <v>45663</v>
      </c>
      <c r="B29" t="s">
        <v>22</v>
      </c>
      <c r="C29" t="s">
        <v>23</v>
      </c>
      <c r="D29" t="s">
        <v>173</v>
      </c>
      <c r="E29" t="s">
        <v>207</v>
      </c>
      <c r="F29" t="s">
        <v>208</v>
      </c>
      <c r="G29" t="s">
        <v>2998</v>
      </c>
      <c r="H29" t="s">
        <v>28</v>
      </c>
      <c r="I29" t="s">
        <v>2469</v>
      </c>
      <c r="J29" t="s">
        <v>63</v>
      </c>
      <c r="K29" t="s">
        <v>211</v>
      </c>
      <c r="L29" t="s">
        <v>32</v>
      </c>
      <c r="M29">
        <v>100</v>
      </c>
      <c r="N29" t="s">
        <v>49</v>
      </c>
      <c r="O29" t="s">
        <v>2999</v>
      </c>
      <c r="P29" t="s">
        <v>686</v>
      </c>
      <c r="Q29" t="s">
        <v>2996</v>
      </c>
      <c r="R29" t="s">
        <v>214</v>
      </c>
      <c r="S29" t="s">
        <v>215</v>
      </c>
      <c r="T29" t="s">
        <v>55</v>
      </c>
      <c r="U29" t="s">
        <v>56</v>
      </c>
      <c r="V29" t="s">
        <v>56</v>
      </c>
    </row>
    <row r="30" spans="1:22" x14ac:dyDescent="0.3">
      <c r="A30" s="49">
        <v>45663</v>
      </c>
      <c r="B30" t="s">
        <v>22</v>
      </c>
      <c r="C30" t="s">
        <v>23</v>
      </c>
      <c r="D30" t="s">
        <v>173</v>
      </c>
      <c r="E30" t="s">
        <v>2472</v>
      </c>
      <c r="F30" t="s">
        <v>2473</v>
      </c>
      <c r="G30" t="s">
        <v>3000</v>
      </c>
      <c r="H30" t="s">
        <v>28</v>
      </c>
      <c r="I30" t="s">
        <v>3001</v>
      </c>
      <c r="J30" t="s">
        <v>63</v>
      </c>
      <c r="K30" t="s">
        <v>3002</v>
      </c>
      <c r="L30" t="s">
        <v>32</v>
      </c>
      <c r="M30">
        <v>100</v>
      </c>
      <c r="N30" t="s">
        <v>49</v>
      </c>
      <c r="O30" t="s">
        <v>3003</v>
      </c>
      <c r="P30" t="s">
        <v>1586</v>
      </c>
      <c r="Q30" t="s">
        <v>2996</v>
      </c>
      <c r="R30" t="s">
        <v>214</v>
      </c>
      <c r="S30" t="s">
        <v>2478</v>
      </c>
      <c r="T30" t="s">
        <v>55</v>
      </c>
      <c r="U30" t="s">
        <v>56</v>
      </c>
      <c r="V30" t="s">
        <v>56</v>
      </c>
    </row>
    <row r="31" spans="1:22" x14ac:dyDescent="0.3">
      <c r="A31" s="49">
        <v>45663</v>
      </c>
      <c r="B31" t="s">
        <v>22</v>
      </c>
      <c r="C31" t="s">
        <v>23</v>
      </c>
      <c r="D31" t="s">
        <v>173</v>
      </c>
      <c r="E31" t="s">
        <v>2472</v>
      </c>
      <c r="F31" t="s">
        <v>2473</v>
      </c>
      <c r="G31" t="s">
        <v>3000</v>
      </c>
      <c r="H31" t="s">
        <v>28</v>
      </c>
      <c r="I31" t="s">
        <v>3001</v>
      </c>
      <c r="J31" t="s">
        <v>63</v>
      </c>
      <c r="K31" t="s">
        <v>3002</v>
      </c>
      <c r="L31" t="s">
        <v>32</v>
      </c>
      <c r="M31">
        <v>100</v>
      </c>
      <c r="N31" t="s">
        <v>49</v>
      </c>
      <c r="O31" t="s">
        <v>3003</v>
      </c>
      <c r="P31" t="s">
        <v>1586</v>
      </c>
      <c r="Q31" t="s">
        <v>2996</v>
      </c>
      <c r="R31" t="s">
        <v>214</v>
      </c>
      <c r="S31" t="s">
        <v>2478</v>
      </c>
      <c r="T31" t="s">
        <v>55</v>
      </c>
      <c r="U31" t="s">
        <v>56</v>
      </c>
      <c r="V31" t="s">
        <v>56</v>
      </c>
    </row>
    <row r="32" spans="1:22" x14ac:dyDescent="0.3">
      <c r="A32" s="49">
        <v>45663</v>
      </c>
      <c r="B32" t="s">
        <v>22</v>
      </c>
      <c r="C32" t="s">
        <v>23</v>
      </c>
      <c r="D32" t="s">
        <v>173</v>
      </c>
      <c r="E32" t="s">
        <v>2472</v>
      </c>
      <c r="F32" t="s">
        <v>2473</v>
      </c>
      <c r="G32" t="s">
        <v>3000</v>
      </c>
      <c r="H32" t="s">
        <v>28</v>
      </c>
      <c r="I32" t="s">
        <v>3001</v>
      </c>
      <c r="J32" t="s">
        <v>63</v>
      </c>
      <c r="K32" t="s">
        <v>3002</v>
      </c>
      <c r="L32" t="s">
        <v>32</v>
      </c>
      <c r="M32">
        <v>100</v>
      </c>
      <c r="N32" t="s">
        <v>49</v>
      </c>
      <c r="O32" t="s">
        <v>3004</v>
      </c>
      <c r="P32" t="s">
        <v>873</v>
      </c>
      <c r="Q32" t="s">
        <v>2996</v>
      </c>
      <c r="R32" t="s">
        <v>214</v>
      </c>
      <c r="S32" t="s">
        <v>2478</v>
      </c>
      <c r="T32" t="s">
        <v>55</v>
      </c>
      <c r="U32" t="s">
        <v>56</v>
      </c>
      <c r="V32" t="s">
        <v>56</v>
      </c>
    </row>
    <row r="33" spans="1:22" x14ac:dyDescent="0.3">
      <c r="A33" s="49">
        <v>45663</v>
      </c>
      <c r="B33" t="s">
        <v>22</v>
      </c>
      <c r="C33" t="s">
        <v>23</v>
      </c>
      <c r="D33" t="s">
        <v>173</v>
      </c>
      <c r="E33" t="s">
        <v>2472</v>
      </c>
      <c r="F33" t="s">
        <v>2473</v>
      </c>
      <c r="G33" t="s">
        <v>3000</v>
      </c>
      <c r="H33" t="s">
        <v>28</v>
      </c>
      <c r="I33" t="s">
        <v>3001</v>
      </c>
      <c r="J33" t="s">
        <v>63</v>
      </c>
      <c r="K33" t="s">
        <v>3002</v>
      </c>
      <c r="L33" t="s">
        <v>32</v>
      </c>
      <c r="M33">
        <v>100</v>
      </c>
      <c r="N33" t="s">
        <v>49</v>
      </c>
      <c r="O33" t="s">
        <v>3004</v>
      </c>
      <c r="P33" t="s">
        <v>873</v>
      </c>
      <c r="Q33" t="s">
        <v>2996</v>
      </c>
      <c r="R33" t="s">
        <v>214</v>
      </c>
      <c r="S33" t="s">
        <v>2478</v>
      </c>
      <c r="T33" t="s">
        <v>55</v>
      </c>
      <c r="U33" t="s">
        <v>56</v>
      </c>
      <c r="V33" t="s">
        <v>56</v>
      </c>
    </row>
    <row r="34" spans="1:22" x14ac:dyDescent="0.3">
      <c r="A34" s="49">
        <v>45663</v>
      </c>
      <c r="B34" t="s">
        <v>22</v>
      </c>
      <c r="C34" t="s">
        <v>23</v>
      </c>
      <c r="D34" t="s">
        <v>173</v>
      </c>
      <c r="E34" t="s">
        <v>3005</v>
      </c>
      <c r="F34" t="s">
        <v>3006</v>
      </c>
      <c r="G34" t="s">
        <v>3007</v>
      </c>
      <c r="H34" t="s">
        <v>28</v>
      </c>
      <c r="I34" t="s">
        <v>3008</v>
      </c>
      <c r="J34" t="s">
        <v>63</v>
      </c>
      <c r="K34" t="s">
        <v>64</v>
      </c>
      <c r="L34" t="s">
        <v>32</v>
      </c>
      <c r="M34">
        <v>100</v>
      </c>
      <c r="N34" t="s">
        <v>49</v>
      </c>
      <c r="O34" t="s">
        <v>3009</v>
      </c>
      <c r="P34" t="s">
        <v>686</v>
      </c>
      <c r="Q34" t="s">
        <v>3010</v>
      </c>
      <c r="R34" t="s">
        <v>3011</v>
      </c>
      <c r="S34" t="s">
        <v>3012</v>
      </c>
      <c r="T34" t="s">
        <v>55</v>
      </c>
      <c r="U34" t="s">
        <v>56</v>
      </c>
      <c r="V34" t="s">
        <v>56</v>
      </c>
    </row>
    <row r="35" spans="1:22" x14ac:dyDescent="0.3">
      <c r="A35" s="49">
        <v>45663</v>
      </c>
      <c r="B35" t="s">
        <v>22</v>
      </c>
      <c r="C35" t="s">
        <v>23</v>
      </c>
      <c r="D35" t="s">
        <v>173</v>
      </c>
      <c r="E35" t="s">
        <v>2479</v>
      </c>
      <c r="F35" t="s">
        <v>2480</v>
      </c>
      <c r="G35" t="s">
        <v>3013</v>
      </c>
      <c r="H35" t="s">
        <v>28</v>
      </c>
      <c r="I35" t="s">
        <v>3014</v>
      </c>
      <c r="J35" t="s">
        <v>63</v>
      </c>
      <c r="K35" t="s">
        <v>64</v>
      </c>
      <c r="L35" t="s">
        <v>32</v>
      </c>
      <c r="M35">
        <v>100</v>
      </c>
      <c r="N35" t="s">
        <v>49</v>
      </c>
      <c r="O35" t="s">
        <v>3015</v>
      </c>
      <c r="P35" t="s">
        <v>686</v>
      </c>
      <c r="Q35" t="s">
        <v>3016</v>
      </c>
      <c r="R35" t="s">
        <v>37</v>
      </c>
      <c r="S35" t="s">
        <v>2484</v>
      </c>
      <c r="T35" t="s">
        <v>55</v>
      </c>
      <c r="U35" t="s">
        <v>56</v>
      </c>
      <c r="V35" t="s">
        <v>56</v>
      </c>
    </row>
    <row r="36" spans="1:22" x14ac:dyDescent="0.3">
      <c r="A36" s="49">
        <v>45663</v>
      </c>
      <c r="B36" t="s">
        <v>22</v>
      </c>
      <c r="C36" t="s">
        <v>23</v>
      </c>
      <c r="D36" t="s">
        <v>173</v>
      </c>
      <c r="E36" t="s">
        <v>2479</v>
      </c>
      <c r="F36" t="s">
        <v>2480</v>
      </c>
      <c r="G36" t="s">
        <v>3013</v>
      </c>
      <c r="H36" t="s">
        <v>28</v>
      </c>
      <c r="I36" t="s">
        <v>3014</v>
      </c>
      <c r="J36" t="s">
        <v>63</v>
      </c>
      <c r="K36" t="s">
        <v>64</v>
      </c>
      <c r="L36" t="s">
        <v>32</v>
      </c>
      <c r="M36">
        <v>100</v>
      </c>
      <c r="N36" t="s">
        <v>49</v>
      </c>
      <c r="O36" t="s">
        <v>3015</v>
      </c>
      <c r="P36" t="s">
        <v>686</v>
      </c>
      <c r="Q36" t="s">
        <v>3016</v>
      </c>
      <c r="R36" t="s">
        <v>37</v>
      </c>
      <c r="S36" t="s">
        <v>2484</v>
      </c>
      <c r="T36" t="s">
        <v>55</v>
      </c>
      <c r="U36" t="s">
        <v>56</v>
      </c>
      <c r="V36" t="s">
        <v>56</v>
      </c>
    </row>
    <row r="37" spans="1:22" x14ac:dyDescent="0.3">
      <c r="A37" s="49">
        <v>45663</v>
      </c>
      <c r="B37" t="s">
        <v>22</v>
      </c>
      <c r="C37" t="s">
        <v>23</v>
      </c>
      <c r="D37" t="s">
        <v>173</v>
      </c>
      <c r="E37" t="s">
        <v>3017</v>
      </c>
      <c r="F37" t="s">
        <v>3018</v>
      </c>
      <c r="G37" t="s">
        <v>3019</v>
      </c>
      <c r="H37" t="s">
        <v>28</v>
      </c>
      <c r="I37" t="s">
        <v>3020</v>
      </c>
      <c r="J37" t="s">
        <v>63</v>
      </c>
      <c r="K37" t="s">
        <v>64</v>
      </c>
      <c r="L37" t="s">
        <v>464</v>
      </c>
      <c r="M37">
        <v>100</v>
      </c>
      <c r="N37" t="s">
        <v>49</v>
      </c>
      <c r="O37" t="s">
        <v>3021</v>
      </c>
      <c r="P37" t="s">
        <v>873</v>
      </c>
      <c r="Q37" t="s">
        <v>3022</v>
      </c>
      <c r="R37" t="s">
        <v>3023</v>
      </c>
      <c r="S37" t="s">
        <v>3024</v>
      </c>
      <c r="T37" t="s">
        <v>55</v>
      </c>
      <c r="U37" t="s">
        <v>56</v>
      </c>
      <c r="V37" t="s">
        <v>56</v>
      </c>
    </row>
    <row r="38" spans="1:22" x14ac:dyDescent="0.3">
      <c r="A38" s="49">
        <v>45663</v>
      </c>
      <c r="B38" t="s">
        <v>22</v>
      </c>
      <c r="C38" t="s">
        <v>23</v>
      </c>
      <c r="D38" t="s">
        <v>173</v>
      </c>
      <c r="E38" t="s">
        <v>3017</v>
      </c>
      <c r="F38" t="s">
        <v>3018</v>
      </c>
      <c r="G38" t="s">
        <v>3019</v>
      </c>
      <c r="H38" t="s">
        <v>28</v>
      </c>
      <c r="I38" t="s">
        <v>3020</v>
      </c>
      <c r="J38" t="s">
        <v>63</v>
      </c>
      <c r="K38" t="s">
        <v>64</v>
      </c>
      <c r="L38" t="s">
        <v>464</v>
      </c>
      <c r="M38">
        <v>100</v>
      </c>
      <c r="N38" t="s">
        <v>49</v>
      </c>
      <c r="O38" t="s">
        <v>3025</v>
      </c>
      <c r="P38" t="s">
        <v>686</v>
      </c>
      <c r="Q38" t="s">
        <v>3022</v>
      </c>
      <c r="R38" t="s">
        <v>3023</v>
      </c>
      <c r="S38" t="s">
        <v>3024</v>
      </c>
      <c r="T38" t="s">
        <v>55</v>
      </c>
      <c r="U38" t="s">
        <v>56</v>
      </c>
      <c r="V38" t="s">
        <v>56</v>
      </c>
    </row>
    <row r="39" spans="1:22" x14ac:dyDescent="0.3">
      <c r="A39" s="49">
        <v>45663</v>
      </c>
      <c r="B39" t="s">
        <v>22</v>
      </c>
      <c r="C39" t="s">
        <v>23</v>
      </c>
      <c r="D39" t="s">
        <v>173</v>
      </c>
      <c r="E39" t="s">
        <v>3026</v>
      </c>
      <c r="F39" t="s">
        <v>3027</v>
      </c>
      <c r="G39" t="s">
        <v>3028</v>
      </c>
      <c r="H39" t="s">
        <v>28</v>
      </c>
      <c r="I39" t="s">
        <v>3029</v>
      </c>
      <c r="J39" t="s">
        <v>63</v>
      </c>
      <c r="K39" t="s">
        <v>64</v>
      </c>
      <c r="L39" t="s">
        <v>464</v>
      </c>
      <c r="M39">
        <v>100</v>
      </c>
      <c r="N39" t="s">
        <v>49</v>
      </c>
      <c r="O39" t="s">
        <v>3030</v>
      </c>
      <c r="P39" t="s">
        <v>3031</v>
      </c>
      <c r="Q39" t="s">
        <v>3032</v>
      </c>
      <c r="R39" t="s">
        <v>783</v>
      </c>
      <c r="S39" t="s">
        <v>3033</v>
      </c>
      <c r="T39" t="s">
        <v>55</v>
      </c>
      <c r="U39" t="s">
        <v>56</v>
      </c>
      <c r="V39" t="s">
        <v>56</v>
      </c>
    </row>
    <row r="40" spans="1:22" x14ac:dyDescent="0.3">
      <c r="A40" s="49">
        <v>45663</v>
      </c>
      <c r="B40" t="s">
        <v>22</v>
      </c>
      <c r="C40" t="s">
        <v>23</v>
      </c>
      <c r="D40" t="s">
        <v>173</v>
      </c>
      <c r="E40" t="s">
        <v>3034</v>
      </c>
      <c r="F40" t="s">
        <v>3035</v>
      </c>
      <c r="G40" t="s">
        <v>3036</v>
      </c>
      <c r="H40" t="s">
        <v>28</v>
      </c>
      <c r="I40" t="s">
        <v>3037</v>
      </c>
      <c r="J40" t="s">
        <v>63</v>
      </c>
      <c r="K40" t="s">
        <v>256</v>
      </c>
      <c r="L40" t="s">
        <v>32</v>
      </c>
      <c r="M40">
        <v>100</v>
      </c>
      <c r="N40" t="s">
        <v>49</v>
      </c>
      <c r="O40" t="s">
        <v>3038</v>
      </c>
      <c r="P40" t="s">
        <v>873</v>
      </c>
      <c r="Q40" t="s">
        <v>3039</v>
      </c>
      <c r="R40" t="s">
        <v>3040</v>
      </c>
      <c r="S40" t="s">
        <v>3041</v>
      </c>
      <c r="T40" t="s">
        <v>55</v>
      </c>
      <c r="U40" t="s">
        <v>56</v>
      </c>
      <c r="V40" t="s">
        <v>56</v>
      </c>
    </row>
    <row r="41" spans="1:22" x14ac:dyDescent="0.3">
      <c r="A41" s="49">
        <v>45663</v>
      </c>
      <c r="B41" t="s">
        <v>22</v>
      </c>
      <c r="C41" t="s">
        <v>23</v>
      </c>
      <c r="D41" t="s">
        <v>173</v>
      </c>
      <c r="E41" t="s">
        <v>3042</v>
      </c>
      <c r="F41" t="s">
        <v>3043</v>
      </c>
      <c r="G41" t="s">
        <v>3044</v>
      </c>
      <c r="H41" t="s">
        <v>28</v>
      </c>
      <c r="I41" t="s">
        <v>3045</v>
      </c>
      <c r="J41" t="s">
        <v>63</v>
      </c>
      <c r="K41" t="s">
        <v>463</v>
      </c>
      <c r="L41" t="s">
        <v>32</v>
      </c>
      <c r="M41">
        <v>100</v>
      </c>
      <c r="N41" t="s">
        <v>49</v>
      </c>
      <c r="O41" t="s">
        <v>3046</v>
      </c>
      <c r="P41" t="s">
        <v>108</v>
      </c>
      <c r="Q41" t="s">
        <v>3047</v>
      </c>
      <c r="R41" t="s">
        <v>614</v>
      </c>
      <c r="S41" t="s">
        <v>3048</v>
      </c>
      <c r="T41" t="s">
        <v>1026</v>
      </c>
      <c r="U41" t="s">
        <v>40</v>
      </c>
      <c r="V41" t="s">
        <v>41</v>
      </c>
    </row>
    <row r="42" spans="1:22" x14ac:dyDescent="0.3">
      <c r="A42" s="49">
        <v>45663</v>
      </c>
      <c r="B42" t="s">
        <v>22</v>
      </c>
      <c r="C42" t="s">
        <v>23</v>
      </c>
      <c r="D42" t="s">
        <v>173</v>
      </c>
      <c r="E42" t="s">
        <v>3042</v>
      </c>
      <c r="F42" t="s">
        <v>3043</v>
      </c>
      <c r="G42" t="s">
        <v>3044</v>
      </c>
      <c r="H42" t="s">
        <v>28</v>
      </c>
      <c r="I42" t="s">
        <v>3045</v>
      </c>
      <c r="J42" t="s">
        <v>63</v>
      </c>
      <c r="K42" t="s">
        <v>463</v>
      </c>
      <c r="L42" t="s">
        <v>32</v>
      </c>
      <c r="M42">
        <v>100</v>
      </c>
      <c r="N42" t="s">
        <v>49</v>
      </c>
      <c r="O42" t="s">
        <v>3046</v>
      </c>
      <c r="P42" t="s">
        <v>108</v>
      </c>
      <c r="Q42" t="s">
        <v>3047</v>
      </c>
      <c r="R42" t="s">
        <v>614</v>
      </c>
      <c r="S42" t="s">
        <v>3048</v>
      </c>
      <c r="T42" t="s">
        <v>1026</v>
      </c>
      <c r="U42" t="s">
        <v>40</v>
      </c>
      <c r="V42" t="s">
        <v>41</v>
      </c>
    </row>
    <row r="43" spans="1:22" x14ac:dyDescent="0.3">
      <c r="A43" s="49">
        <v>45663</v>
      </c>
      <c r="B43" t="s">
        <v>22</v>
      </c>
      <c r="C43" t="s">
        <v>23</v>
      </c>
      <c r="D43" t="s">
        <v>173</v>
      </c>
      <c r="E43" t="s">
        <v>3042</v>
      </c>
      <c r="F43" t="s">
        <v>3043</v>
      </c>
      <c r="G43" t="s">
        <v>3044</v>
      </c>
      <c r="H43" t="s">
        <v>28</v>
      </c>
      <c r="I43" t="s">
        <v>3045</v>
      </c>
      <c r="J43" t="s">
        <v>63</v>
      </c>
      <c r="K43" t="s">
        <v>463</v>
      </c>
      <c r="L43" t="s">
        <v>32</v>
      </c>
      <c r="M43">
        <v>100</v>
      </c>
      <c r="N43" t="s">
        <v>49</v>
      </c>
      <c r="O43" t="s">
        <v>3046</v>
      </c>
      <c r="P43" t="s">
        <v>108</v>
      </c>
      <c r="Q43" t="s">
        <v>3047</v>
      </c>
      <c r="R43" t="s">
        <v>614</v>
      </c>
      <c r="S43" t="s">
        <v>3048</v>
      </c>
      <c r="T43" t="s">
        <v>1026</v>
      </c>
      <c r="U43" t="s">
        <v>40</v>
      </c>
      <c r="V43" t="s">
        <v>41</v>
      </c>
    </row>
    <row r="44" spans="1:22" x14ac:dyDescent="0.3">
      <c r="A44" s="49">
        <v>45663</v>
      </c>
      <c r="B44" t="s">
        <v>22</v>
      </c>
      <c r="C44" t="s">
        <v>23</v>
      </c>
      <c r="D44" t="s">
        <v>173</v>
      </c>
      <c r="E44" t="s">
        <v>3049</v>
      </c>
      <c r="F44" t="s">
        <v>3050</v>
      </c>
      <c r="G44" t="s">
        <v>3051</v>
      </c>
      <c r="H44" t="s">
        <v>28</v>
      </c>
      <c r="I44" t="s">
        <v>3052</v>
      </c>
      <c r="J44" t="s">
        <v>63</v>
      </c>
      <c r="K44" t="s">
        <v>414</v>
      </c>
      <c r="L44" t="s">
        <v>32</v>
      </c>
      <c r="M44">
        <v>100</v>
      </c>
      <c r="N44" t="s">
        <v>49</v>
      </c>
      <c r="O44" t="s">
        <v>3053</v>
      </c>
      <c r="P44" t="s">
        <v>686</v>
      </c>
      <c r="Q44" t="s">
        <v>251</v>
      </c>
      <c r="R44" t="s">
        <v>37</v>
      </c>
      <c r="S44" t="s">
        <v>3054</v>
      </c>
      <c r="T44" t="s">
        <v>55</v>
      </c>
      <c r="U44" t="s">
        <v>56</v>
      </c>
      <c r="V44" t="s">
        <v>56</v>
      </c>
    </row>
    <row r="45" spans="1:22" x14ac:dyDescent="0.3">
      <c r="A45" s="49">
        <v>45663</v>
      </c>
      <c r="B45" t="s">
        <v>22</v>
      </c>
      <c r="C45" t="s">
        <v>23</v>
      </c>
      <c r="D45" t="s">
        <v>173</v>
      </c>
      <c r="E45" t="s">
        <v>3055</v>
      </c>
      <c r="F45" t="s">
        <v>3056</v>
      </c>
      <c r="G45" t="s">
        <v>2722</v>
      </c>
      <c r="H45" t="s">
        <v>28</v>
      </c>
      <c r="I45" t="s">
        <v>3057</v>
      </c>
      <c r="J45" t="s">
        <v>63</v>
      </c>
      <c r="K45" t="s">
        <v>64</v>
      </c>
      <c r="L45" t="s">
        <v>32</v>
      </c>
      <c r="M45">
        <v>100</v>
      </c>
      <c r="N45" t="s">
        <v>49</v>
      </c>
      <c r="O45" t="s">
        <v>3058</v>
      </c>
      <c r="P45" t="s">
        <v>686</v>
      </c>
      <c r="Q45" t="s">
        <v>3059</v>
      </c>
      <c r="R45" t="s">
        <v>3060</v>
      </c>
      <c r="S45" t="s">
        <v>3061</v>
      </c>
      <c r="T45" t="s">
        <v>55</v>
      </c>
      <c r="U45" t="s">
        <v>56</v>
      </c>
      <c r="V45" t="s">
        <v>56</v>
      </c>
    </row>
    <row r="46" spans="1:22" x14ac:dyDescent="0.3">
      <c r="A46" s="49">
        <v>45663</v>
      </c>
      <c r="B46" t="s">
        <v>22</v>
      </c>
      <c r="C46" t="s">
        <v>23</v>
      </c>
      <c r="D46" t="s">
        <v>173</v>
      </c>
      <c r="E46" t="s">
        <v>3062</v>
      </c>
      <c r="F46" t="s">
        <v>3063</v>
      </c>
      <c r="G46" t="s">
        <v>2716</v>
      </c>
      <c r="H46" t="s">
        <v>28</v>
      </c>
      <c r="I46" t="s">
        <v>3064</v>
      </c>
      <c r="J46" t="s">
        <v>63</v>
      </c>
      <c r="K46" t="s">
        <v>463</v>
      </c>
      <c r="L46" t="s">
        <v>32</v>
      </c>
      <c r="M46">
        <v>100</v>
      </c>
      <c r="N46" t="s">
        <v>49</v>
      </c>
      <c r="O46" t="s">
        <v>3065</v>
      </c>
      <c r="P46" t="s">
        <v>873</v>
      </c>
      <c r="Q46" t="s">
        <v>3066</v>
      </c>
      <c r="R46" t="s">
        <v>37</v>
      </c>
      <c r="S46" t="s">
        <v>3067</v>
      </c>
      <c r="T46" t="s">
        <v>55</v>
      </c>
      <c r="U46" t="s">
        <v>56</v>
      </c>
      <c r="V46" t="s">
        <v>56</v>
      </c>
    </row>
    <row r="47" spans="1:22" x14ac:dyDescent="0.3">
      <c r="A47" s="49">
        <v>45663</v>
      </c>
      <c r="B47" t="s">
        <v>22</v>
      </c>
      <c r="C47" t="s">
        <v>23</v>
      </c>
      <c r="D47" t="s">
        <v>173</v>
      </c>
      <c r="E47" t="s">
        <v>3062</v>
      </c>
      <c r="F47" t="s">
        <v>3063</v>
      </c>
      <c r="G47" t="s">
        <v>2716</v>
      </c>
      <c r="H47" t="s">
        <v>28</v>
      </c>
      <c r="I47" t="s">
        <v>3064</v>
      </c>
      <c r="J47" t="s">
        <v>63</v>
      </c>
      <c r="K47" t="s">
        <v>463</v>
      </c>
      <c r="L47" t="s">
        <v>32</v>
      </c>
      <c r="M47">
        <v>100</v>
      </c>
      <c r="N47" t="s">
        <v>49</v>
      </c>
      <c r="O47" t="s">
        <v>3065</v>
      </c>
      <c r="P47" t="s">
        <v>873</v>
      </c>
      <c r="Q47" t="s">
        <v>3066</v>
      </c>
      <c r="R47" t="s">
        <v>37</v>
      </c>
      <c r="S47" t="s">
        <v>3067</v>
      </c>
      <c r="T47" t="s">
        <v>55</v>
      </c>
      <c r="U47" t="s">
        <v>56</v>
      </c>
      <c r="V47" t="s">
        <v>56</v>
      </c>
    </row>
    <row r="48" spans="1:22" x14ac:dyDescent="0.3">
      <c r="A48" s="49">
        <v>45663</v>
      </c>
      <c r="B48" t="s">
        <v>22</v>
      </c>
      <c r="C48" t="s">
        <v>23</v>
      </c>
      <c r="D48" t="s">
        <v>173</v>
      </c>
      <c r="E48" t="s">
        <v>1573</v>
      </c>
      <c r="F48" t="s">
        <v>1574</v>
      </c>
      <c r="G48" t="s">
        <v>2514</v>
      </c>
      <c r="H48" t="s">
        <v>28</v>
      </c>
      <c r="I48" t="s">
        <v>3068</v>
      </c>
      <c r="J48" t="s">
        <v>63</v>
      </c>
      <c r="K48" t="s">
        <v>64</v>
      </c>
      <c r="L48" t="s">
        <v>32</v>
      </c>
      <c r="M48">
        <v>100</v>
      </c>
      <c r="N48" t="s">
        <v>49</v>
      </c>
      <c r="O48" t="s">
        <v>3069</v>
      </c>
      <c r="P48" t="s">
        <v>873</v>
      </c>
      <c r="Q48" t="s">
        <v>3070</v>
      </c>
      <c r="R48" t="s">
        <v>701</v>
      </c>
      <c r="S48" t="s">
        <v>3071</v>
      </c>
      <c r="T48" t="s">
        <v>55</v>
      </c>
      <c r="U48" t="s">
        <v>56</v>
      </c>
      <c r="V48" t="s">
        <v>56</v>
      </c>
    </row>
    <row r="49" spans="1:22" x14ac:dyDescent="0.3">
      <c r="A49" s="49">
        <v>45663</v>
      </c>
      <c r="B49" t="s">
        <v>22</v>
      </c>
      <c r="C49" t="s">
        <v>23</v>
      </c>
      <c r="D49" t="s">
        <v>173</v>
      </c>
      <c r="E49" t="s">
        <v>3072</v>
      </c>
      <c r="F49" t="s">
        <v>3073</v>
      </c>
      <c r="G49" t="s">
        <v>3074</v>
      </c>
      <c r="H49" t="s">
        <v>28</v>
      </c>
      <c r="I49" t="s">
        <v>3075</v>
      </c>
      <c r="J49" t="s">
        <v>30</v>
      </c>
      <c r="K49" t="s">
        <v>481</v>
      </c>
      <c r="L49" t="s">
        <v>32</v>
      </c>
      <c r="M49">
        <v>100</v>
      </c>
      <c r="N49" t="s">
        <v>49</v>
      </c>
      <c r="O49" t="s">
        <v>3076</v>
      </c>
      <c r="P49" t="s">
        <v>1586</v>
      </c>
      <c r="Q49" t="s">
        <v>3077</v>
      </c>
      <c r="R49" t="s">
        <v>37</v>
      </c>
      <c r="S49" t="s">
        <v>3078</v>
      </c>
      <c r="T49" t="s">
        <v>55</v>
      </c>
      <c r="U49" t="s">
        <v>56</v>
      </c>
      <c r="V49" t="s">
        <v>56</v>
      </c>
    </row>
    <row r="50" spans="1:22" x14ac:dyDescent="0.3">
      <c r="A50" s="49">
        <v>45663</v>
      </c>
      <c r="B50" t="s">
        <v>22</v>
      </c>
      <c r="C50" t="s">
        <v>23</v>
      </c>
      <c r="D50" t="s">
        <v>173</v>
      </c>
      <c r="E50" t="s">
        <v>1344</v>
      </c>
      <c r="F50" t="s">
        <v>1345</v>
      </c>
      <c r="G50" t="s">
        <v>2730</v>
      </c>
      <c r="H50" t="s">
        <v>28</v>
      </c>
      <c r="I50" t="s">
        <v>3079</v>
      </c>
      <c r="J50" t="s">
        <v>63</v>
      </c>
      <c r="K50" t="s">
        <v>64</v>
      </c>
      <c r="L50" t="s">
        <v>32</v>
      </c>
      <c r="M50">
        <v>100</v>
      </c>
      <c r="N50" t="s">
        <v>49</v>
      </c>
      <c r="O50" t="s">
        <v>3080</v>
      </c>
      <c r="P50" t="s">
        <v>686</v>
      </c>
      <c r="Q50" t="s">
        <v>3081</v>
      </c>
      <c r="R50" t="s">
        <v>37</v>
      </c>
      <c r="S50" t="s">
        <v>3082</v>
      </c>
      <c r="T50" t="s">
        <v>55</v>
      </c>
      <c r="U50" t="s">
        <v>56</v>
      </c>
      <c r="V50" t="s">
        <v>56</v>
      </c>
    </row>
    <row r="51" spans="1:22" x14ac:dyDescent="0.3">
      <c r="A51" s="49">
        <v>45663</v>
      </c>
      <c r="B51" t="s">
        <v>22</v>
      </c>
      <c r="C51" t="s">
        <v>23</v>
      </c>
      <c r="D51" t="s">
        <v>173</v>
      </c>
      <c r="E51" t="s">
        <v>368</v>
      </c>
      <c r="F51" t="s">
        <v>369</v>
      </c>
      <c r="G51" t="s">
        <v>2464</v>
      </c>
      <c r="H51" t="s">
        <v>28</v>
      </c>
      <c r="I51" t="s">
        <v>3083</v>
      </c>
      <c r="J51" t="s">
        <v>30</v>
      </c>
      <c r="K51" t="s">
        <v>481</v>
      </c>
      <c r="L51" t="s">
        <v>1712</v>
      </c>
      <c r="M51">
        <v>100</v>
      </c>
      <c r="N51" t="s">
        <v>49</v>
      </c>
      <c r="O51" t="s">
        <v>3084</v>
      </c>
      <c r="P51" t="s">
        <v>2952</v>
      </c>
      <c r="Q51" t="s">
        <v>3085</v>
      </c>
      <c r="R51" t="s">
        <v>37</v>
      </c>
      <c r="S51" t="s">
        <v>3086</v>
      </c>
      <c r="T51" t="s">
        <v>55</v>
      </c>
      <c r="U51" t="s">
        <v>56</v>
      </c>
      <c r="V51" t="s">
        <v>56</v>
      </c>
    </row>
    <row r="52" spans="1:22" x14ac:dyDescent="0.3">
      <c r="A52" s="49">
        <v>45663</v>
      </c>
      <c r="B52" t="s">
        <v>22</v>
      </c>
      <c r="C52" t="s">
        <v>23</v>
      </c>
      <c r="D52" t="s">
        <v>173</v>
      </c>
      <c r="E52" t="s">
        <v>3087</v>
      </c>
      <c r="F52" t="s">
        <v>3088</v>
      </c>
      <c r="G52" t="s">
        <v>2514</v>
      </c>
      <c r="H52" t="s">
        <v>28</v>
      </c>
      <c r="I52" t="s">
        <v>3089</v>
      </c>
      <c r="J52" t="s">
        <v>63</v>
      </c>
      <c r="K52" t="s">
        <v>64</v>
      </c>
      <c r="L52" t="s">
        <v>464</v>
      </c>
      <c r="M52">
        <v>100</v>
      </c>
      <c r="N52" t="s">
        <v>49</v>
      </c>
      <c r="O52" t="s">
        <v>3090</v>
      </c>
      <c r="P52" t="s">
        <v>686</v>
      </c>
      <c r="Q52" t="s">
        <v>3091</v>
      </c>
      <c r="R52" t="s">
        <v>37</v>
      </c>
      <c r="S52" t="s">
        <v>3092</v>
      </c>
      <c r="T52" t="s">
        <v>55</v>
      </c>
      <c r="U52" t="s">
        <v>56</v>
      </c>
      <c r="V52" t="s">
        <v>56</v>
      </c>
    </row>
    <row r="53" spans="1:22" x14ac:dyDescent="0.3">
      <c r="A53" s="49">
        <v>45663</v>
      </c>
      <c r="B53" t="s">
        <v>22</v>
      </c>
      <c r="C53" t="s">
        <v>23</v>
      </c>
      <c r="D53" t="s">
        <v>173</v>
      </c>
      <c r="E53" t="s">
        <v>3087</v>
      </c>
      <c r="F53" t="s">
        <v>3088</v>
      </c>
      <c r="G53" t="s">
        <v>2514</v>
      </c>
      <c r="H53" t="s">
        <v>28</v>
      </c>
      <c r="I53" t="s">
        <v>3089</v>
      </c>
      <c r="J53" t="s">
        <v>63</v>
      </c>
      <c r="K53" t="s">
        <v>64</v>
      </c>
      <c r="L53" t="s">
        <v>464</v>
      </c>
      <c r="M53">
        <v>100</v>
      </c>
      <c r="N53" t="s">
        <v>49</v>
      </c>
      <c r="O53" t="s">
        <v>3090</v>
      </c>
      <c r="P53" t="s">
        <v>686</v>
      </c>
      <c r="Q53" t="s">
        <v>3091</v>
      </c>
      <c r="R53" t="s">
        <v>37</v>
      </c>
      <c r="S53" t="s">
        <v>3092</v>
      </c>
      <c r="T53" t="s">
        <v>55</v>
      </c>
      <c r="U53" t="s">
        <v>56</v>
      </c>
      <c r="V53" t="s">
        <v>56</v>
      </c>
    </row>
    <row r="54" spans="1:22" x14ac:dyDescent="0.3">
      <c r="A54" s="49">
        <v>45663</v>
      </c>
      <c r="B54" t="s">
        <v>22</v>
      </c>
      <c r="C54" t="s">
        <v>23</v>
      </c>
      <c r="D54" t="s">
        <v>173</v>
      </c>
      <c r="E54" t="s">
        <v>1415</v>
      </c>
      <c r="F54" t="s">
        <v>1416</v>
      </c>
      <c r="G54" t="s">
        <v>2682</v>
      </c>
      <c r="H54" t="s">
        <v>28</v>
      </c>
      <c r="I54" t="s">
        <v>1418</v>
      </c>
      <c r="J54" t="s">
        <v>63</v>
      </c>
      <c r="K54" t="s">
        <v>64</v>
      </c>
      <c r="L54" t="s">
        <v>32</v>
      </c>
      <c r="M54">
        <v>100</v>
      </c>
      <c r="N54" t="s">
        <v>49</v>
      </c>
      <c r="O54" t="s">
        <v>3093</v>
      </c>
      <c r="P54" t="s">
        <v>686</v>
      </c>
      <c r="Q54" t="s">
        <v>407</v>
      </c>
      <c r="R54" t="s">
        <v>408</v>
      </c>
      <c r="S54" t="s">
        <v>1421</v>
      </c>
      <c r="T54" t="s">
        <v>55</v>
      </c>
      <c r="U54" t="s">
        <v>56</v>
      </c>
      <c r="V54" t="s">
        <v>56</v>
      </c>
    </row>
    <row r="55" spans="1:22" x14ac:dyDescent="0.3">
      <c r="A55" s="49">
        <v>45663</v>
      </c>
      <c r="B55" t="s">
        <v>22</v>
      </c>
      <c r="C55" t="s">
        <v>23</v>
      </c>
      <c r="D55" t="s">
        <v>173</v>
      </c>
      <c r="E55" t="s">
        <v>3094</v>
      </c>
      <c r="F55" t="s">
        <v>3095</v>
      </c>
      <c r="G55" t="s">
        <v>2716</v>
      </c>
      <c r="H55" t="s">
        <v>28</v>
      </c>
      <c r="I55" t="s">
        <v>3096</v>
      </c>
      <c r="J55" t="s">
        <v>63</v>
      </c>
      <c r="K55" t="s">
        <v>64</v>
      </c>
      <c r="L55" t="s">
        <v>32</v>
      </c>
      <c r="M55">
        <v>100</v>
      </c>
      <c r="N55" t="s">
        <v>49</v>
      </c>
      <c r="O55" t="s">
        <v>3097</v>
      </c>
      <c r="P55" t="s">
        <v>686</v>
      </c>
      <c r="Q55" t="s">
        <v>759</v>
      </c>
      <c r="R55" t="s">
        <v>37</v>
      </c>
      <c r="S55" t="s">
        <v>3098</v>
      </c>
      <c r="T55" t="s">
        <v>55</v>
      </c>
      <c r="U55" t="s">
        <v>56</v>
      </c>
      <c r="V55" t="s">
        <v>56</v>
      </c>
    </row>
    <row r="56" spans="1:22" x14ac:dyDescent="0.3">
      <c r="A56" s="49">
        <v>45663</v>
      </c>
      <c r="B56" t="s">
        <v>22</v>
      </c>
      <c r="C56" t="s">
        <v>23</v>
      </c>
      <c r="D56" t="s">
        <v>173</v>
      </c>
      <c r="E56" t="s">
        <v>1212</v>
      </c>
      <c r="F56" t="s">
        <v>1213</v>
      </c>
      <c r="G56" t="s">
        <v>3099</v>
      </c>
      <c r="H56" t="s">
        <v>28</v>
      </c>
      <c r="I56" t="s">
        <v>3100</v>
      </c>
      <c r="J56" t="s">
        <v>46</v>
      </c>
      <c r="K56" t="s">
        <v>880</v>
      </c>
      <c r="L56" t="s">
        <v>32</v>
      </c>
      <c r="M56">
        <v>100</v>
      </c>
      <c r="N56" t="s">
        <v>49</v>
      </c>
      <c r="O56" t="s">
        <v>3101</v>
      </c>
      <c r="P56" t="s">
        <v>121</v>
      </c>
      <c r="Q56" t="s">
        <v>3102</v>
      </c>
      <c r="R56" t="s">
        <v>37</v>
      </c>
      <c r="S56" t="s">
        <v>3103</v>
      </c>
      <c r="T56" t="s">
        <v>39</v>
      </c>
      <c r="U56" t="s">
        <v>40</v>
      </c>
      <c r="V56" t="s">
        <v>41</v>
      </c>
    </row>
    <row r="57" spans="1:22" x14ac:dyDescent="0.3">
      <c r="A57" s="49">
        <v>45632</v>
      </c>
      <c r="B57" t="s">
        <v>965</v>
      </c>
      <c r="C57" t="s">
        <v>966</v>
      </c>
      <c r="D57" t="s">
        <v>173</v>
      </c>
      <c r="E57" t="s">
        <v>2799</v>
      </c>
      <c r="F57" t="s">
        <v>2800</v>
      </c>
      <c r="G57" t="s">
        <v>2801</v>
      </c>
      <c r="H57" t="s">
        <v>89</v>
      </c>
      <c r="J57" t="s">
        <v>46</v>
      </c>
      <c r="K57" t="s">
        <v>640</v>
      </c>
      <c r="L57" t="s">
        <v>2802</v>
      </c>
      <c r="M57">
        <v>100</v>
      </c>
      <c r="N57" t="s">
        <v>49</v>
      </c>
      <c r="O57" t="s">
        <v>2803</v>
      </c>
      <c r="P57" t="s">
        <v>358</v>
      </c>
      <c r="Q57" t="s">
        <v>2804</v>
      </c>
      <c r="R57" t="s">
        <v>37</v>
      </c>
      <c r="S57" t="s">
        <v>2805</v>
      </c>
      <c r="T57" t="s">
        <v>55</v>
      </c>
      <c r="U57" t="s">
        <v>56</v>
      </c>
      <c r="V57" t="s">
        <v>56</v>
      </c>
    </row>
    <row r="58" spans="1:22" x14ac:dyDescent="0.3">
      <c r="A58" s="49">
        <v>45632</v>
      </c>
      <c r="B58" t="s">
        <v>965</v>
      </c>
      <c r="C58" t="s">
        <v>966</v>
      </c>
      <c r="D58" t="s">
        <v>173</v>
      </c>
      <c r="E58" t="s">
        <v>1804</v>
      </c>
      <c r="F58" t="s">
        <v>1805</v>
      </c>
      <c r="G58" t="s">
        <v>2806</v>
      </c>
      <c r="H58" t="s">
        <v>89</v>
      </c>
      <c r="J58" t="s">
        <v>46</v>
      </c>
      <c r="K58" t="s">
        <v>640</v>
      </c>
      <c r="L58" t="s">
        <v>2802</v>
      </c>
      <c r="M58">
        <v>100</v>
      </c>
      <c r="N58" t="s">
        <v>49</v>
      </c>
      <c r="O58" t="s">
        <v>2803</v>
      </c>
      <c r="P58" t="s">
        <v>1398</v>
      </c>
      <c r="Q58" t="s">
        <v>2804</v>
      </c>
      <c r="R58" t="s">
        <v>37</v>
      </c>
      <c r="S58" t="s">
        <v>2805</v>
      </c>
      <c r="T58" t="s">
        <v>55</v>
      </c>
      <c r="U58" t="s">
        <v>56</v>
      </c>
      <c r="V58" t="s">
        <v>56</v>
      </c>
    </row>
    <row r="59" spans="1:22" x14ac:dyDescent="0.3">
      <c r="A59" s="49">
        <v>45632</v>
      </c>
      <c r="B59" t="s">
        <v>965</v>
      </c>
      <c r="C59" t="s">
        <v>966</v>
      </c>
      <c r="D59" t="s">
        <v>173</v>
      </c>
      <c r="E59" t="s">
        <v>2807</v>
      </c>
      <c r="F59" t="s">
        <v>2808</v>
      </c>
      <c r="G59" t="s">
        <v>2809</v>
      </c>
      <c r="H59" t="s">
        <v>28</v>
      </c>
      <c r="I59" t="s">
        <v>2810</v>
      </c>
      <c r="J59" t="s">
        <v>63</v>
      </c>
      <c r="K59" t="s">
        <v>414</v>
      </c>
      <c r="L59" t="s">
        <v>32</v>
      </c>
      <c r="M59">
        <v>100</v>
      </c>
      <c r="N59" t="s">
        <v>33</v>
      </c>
      <c r="O59" t="s">
        <v>2811</v>
      </c>
      <c r="P59" t="s">
        <v>873</v>
      </c>
      <c r="Q59" t="s">
        <v>2812</v>
      </c>
      <c r="R59" t="s">
        <v>37</v>
      </c>
      <c r="S59" t="s">
        <v>2813</v>
      </c>
      <c r="T59" t="s">
        <v>55</v>
      </c>
      <c r="U59" t="s">
        <v>56</v>
      </c>
      <c r="V59" t="s">
        <v>56</v>
      </c>
    </row>
    <row r="60" spans="1:22" x14ac:dyDescent="0.3">
      <c r="A60" s="49">
        <v>45632</v>
      </c>
      <c r="B60" t="s">
        <v>965</v>
      </c>
      <c r="C60" t="s">
        <v>966</v>
      </c>
      <c r="D60" t="s">
        <v>173</v>
      </c>
      <c r="E60" t="s">
        <v>2814</v>
      </c>
      <c r="F60" t="s">
        <v>2815</v>
      </c>
      <c r="G60" t="s">
        <v>2581</v>
      </c>
      <c r="H60" t="s">
        <v>28</v>
      </c>
      <c r="I60" t="s">
        <v>2816</v>
      </c>
      <c r="J60" t="s">
        <v>63</v>
      </c>
      <c r="K60" t="s">
        <v>414</v>
      </c>
      <c r="L60" t="s">
        <v>32</v>
      </c>
      <c r="M60">
        <v>100</v>
      </c>
      <c r="N60" t="s">
        <v>33</v>
      </c>
      <c r="O60" t="s">
        <v>2817</v>
      </c>
      <c r="P60" t="s">
        <v>1586</v>
      </c>
      <c r="Q60" t="s">
        <v>2818</v>
      </c>
      <c r="R60" t="s">
        <v>37</v>
      </c>
      <c r="S60" t="s">
        <v>2819</v>
      </c>
      <c r="T60" t="s">
        <v>55</v>
      </c>
      <c r="U60" t="s">
        <v>56</v>
      </c>
      <c r="V60" t="s">
        <v>56</v>
      </c>
    </row>
    <row r="61" spans="1:22" x14ac:dyDescent="0.3">
      <c r="A61" s="49">
        <v>45632</v>
      </c>
      <c r="B61" t="s">
        <v>965</v>
      </c>
      <c r="C61" t="s">
        <v>966</v>
      </c>
      <c r="D61" t="s">
        <v>173</v>
      </c>
      <c r="E61" t="s">
        <v>2814</v>
      </c>
      <c r="F61" t="s">
        <v>2815</v>
      </c>
      <c r="G61" t="s">
        <v>2581</v>
      </c>
      <c r="H61" t="s">
        <v>28</v>
      </c>
      <c r="I61" t="s">
        <v>2816</v>
      </c>
      <c r="J61" t="s">
        <v>63</v>
      </c>
      <c r="K61" t="s">
        <v>414</v>
      </c>
      <c r="L61" t="s">
        <v>32</v>
      </c>
      <c r="M61">
        <v>100</v>
      </c>
      <c r="N61" t="s">
        <v>33</v>
      </c>
      <c r="O61" t="s">
        <v>2817</v>
      </c>
      <c r="P61" t="s">
        <v>1586</v>
      </c>
      <c r="Q61" t="s">
        <v>2818</v>
      </c>
      <c r="R61" t="s">
        <v>37</v>
      </c>
      <c r="S61" t="s">
        <v>2819</v>
      </c>
      <c r="T61" t="s">
        <v>55</v>
      </c>
      <c r="U61" t="s">
        <v>56</v>
      </c>
      <c r="V61" t="s">
        <v>56</v>
      </c>
    </row>
    <row r="62" spans="1:22" x14ac:dyDescent="0.3">
      <c r="A62" s="49">
        <v>45632</v>
      </c>
      <c r="B62" t="s">
        <v>965</v>
      </c>
      <c r="C62" t="s">
        <v>966</v>
      </c>
      <c r="D62" t="s">
        <v>173</v>
      </c>
      <c r="E62" t="s">
        <v>2814</v>
      </c>
      <c r="F62" t="s">
        <v>2815</v>
      </c>
      <c r="G62" t="s">
        <v>2581</v>
      </c>
      <c r="H62" t="s">
        <v>28</v>
      </c>
      <c r="I62" t="s">
        <v>2816</v>
      </c>
      <c r="J62" t="s">
        <v>63</v>
      </c>
      <c r="K62" t="s">
        <v>414</v>
      </c>
      <c r="L62" t="s">
        <v>32</v>
      </c>
      <c r="M62">
        <v>100</v>
      </c>
      <c r="N62" t="s">
        <v>33</v>
      </c>
      <c r="O62" t="s">
        <v>2817</v>
      </c>
      <c r="P62" t="s">
        <v>1586</v>
      </c>
      <c r="Q62" t="s">
        <v>2818</v>
      </c>
      <c r="R62" t="s">
        <v>37</v>
      </c>
      <c r="S62" t="s">
        <v>2819</v>
      </c>
      <c r="T62" t="s">
        <v>55</v>
      </c>
      <c r="U62" t="s">
        <v>56</v>
      </c>
      <c r="V62" t="s">
        <v>56</v>
      </c>
    </row>
    <row r="63" spans="1:22" x14ac:dyDescent="0.3">
      <c r="A63" s="49">
        <v>45632</v>
      </c>
      <c r="B63" t="s">
        <v>965</v>
      </c>
      <c r="C63" t="s">
        <v>966</v>
      </c>
      <c r="D63" t="s">
        <v>173</v>
      </c>
      <c r="E63" t="s">
        <v>141</v>
      </c>
      <c r="F63" t="s">
        <v>142</v>
      </c>
      <c r="G63" t="s">
        <v>2391</v>
      </c>
      <c r="H63" t="s">
        <v>89</v>
      </c>
      <c r="J63" t="s">
        <v>63</v>
      </c>
      <c r="K63" t="s">
        <v>414</v>
      </c>
      <c r="L63" t="s">
        <v>32</v>
      </c>
      <c r="M63">
        <v>100</v>
      </c>
      <c r="N63" t="s">
        <v>33</v>
      </c>
      <c r="O63" t="s">
        <v>2820</v>
      </c>
      <c r="P63" t="s">
        <v>1586</v>
      </c>
      <c r="Q63" t="s">
        <v>2821</v>
      </c>
      <c r="R63" t="s">
        <v>37</v>
      </c>
      <c r="S63" t="s">
        <v>2822</v>
      </c>
      <c r="T63" t="s">
        <v>55</v>
      </c>
      <c r="U63" t="s">
        <v>56</v>
      </c>
      <c r="V63" t="s">
        <v>56</v>
      </c>
    </row>
    <row r="64" spans="1:22" x14ac:dyDescent="0.3">
      <c r="A64" s="49">
        <v>45632</v>
      </c>
      <c r="B64" t="s">
        <v>965</v>
      </c>
      <c r="C64" t="s">
        <v>966</v>
      </c>
      <c r="D64" t="s">
        <v>24</v>
      </c>
      <c r="E64" t="s">
        <v>2823</v>
      </c>
      <c r="F64" t="s">
        <v>2824</v>
      </c>
      <c r="G64" t="s">
        <v>2825</v>
      </c>
      <c r="H64" t="s">
        <v>89</v>
      </c>
      <c r="J64" t="s">
        <v>63</v>
      </c>
      <c r="K64" t="s">
        <v>2826</v>
      </c>
      <c r="L64" t="s">
        <v>32</v>
      </c>
      <c r="M64">
        <v>100</v>
      </c>
      <c r="N64" t="s">
        <v>49</v>
      </c>
      <c r="O64" t="s">
        <v>2827</v>
      </c>
      <c r="P64" t="s">
        <v>1586</v>
      </c>
      <c r="Q64" t="s">
        <v>2804</v>
      </c>
      <c r="R64" t="s">
        <v>37</v>
      </c>
      <c r="S64" t="s">
        <v>2828</v>
      </c>
      <c r="T64" t="s">
        <v>55</v>
      </c>
      <c r="U64" t="s">
        <v>56</v>
      </c>
      <c r="V64" t="s">
        <v>56</v>
      </c>
    </row>
    <row r="65" spans="1:22" x14ac:dyDescent="0.3">
      <c r="A65" s="49">
        <v>45632</v>
      </c>
      <c r="B65" t="s">
        <v>965</v>
      </c>
      <c r="C65" t="s">
        <v>966</v>
      </c>
      <c r="D65" t="s">
        <v>173</v>
      </c>
      <c r="E65" t="s">
        <v>2201</v>
      </c>
      <c r="F65" t="s">
        <v>2202</v>
      </c>
      <c r="G65" t="s">
        <v>2825</v>
      </c>
      <c r="H65" t="s">
        <v>28</v>
      </c>
      <c r="I65" t="s">
        <v>2829</v>
      </c>
      <c r="J65" t="s">
        <v>63</v>
      </c>
      <c r="K65" t="s">
        <v>414</v>
      </c>
      <c r="L65" t="s">
        <v>32</v>
      </c>
      <c r="M65">
        <v>0</v>
      </c>
      <c r="N65" t="s">
        <v>74</v>
      </c>
      <c r="O65" t="s">
        <v>2830</v>
      </c>
      <c r="P65" t="s">
        <v>1586</v>
      </c>
      <c r="Q65" t="s">
        <v>2831</v>
      </c>
      <c r="R65" t="s">
        <v>2832</v>
      </c>
      <c r="S65" t="s">
        <v>2833</v>
      </c>
      <c r="T65" t="s">
        <v>55</v>
      </c>
      <c r="U65" t="s">
        <v>56</v>
      </c>
      <c r="V65" t="s">
        <v>56</v>
      </c>
    </row>
    <row r="66" spans="1:22" x14ac:dyDescent="0.3">
      <c r="A66" s="49">
        <v>45632</v>
      </c>
      <c r="B66" t="s">
        <v>965</v>
      </c>
      <c r="C66" t="s">
        <v>966</v>
      </c>
      <c r="D66" t="s">
        <v>173</v>
      </c>
      <c r="E66" t="s">
        <v>2201</v>
      </c>
      <c r="F66" t="s">
        <v>2202</v>
      </c>
      <c r="G66" t="s">
        <v>2825</v>
      </c>
      <c r="H66" t="s">
        <v>28</v>
      </c>
      <c r="I66" t="s">
        <v>2829</v>
      </c>
      <c r="J66" t="s">
        <v>63</v>
      </c>
      <c r="K66" t="s">
        <v>414</v>
      </c>
      <c r="L66" t="s">
        <v>32</v>
      </c>
      <c r="M66">
        <v>0</v>
      </c>
      <c r="N66" t="s">
        <v>74</v>
      </c>
      <c r="O66" t="s">
        <v>2830</v>
      </c>
      <c r="P66" t="s">
        <v>1586</v>
      </c>
      <c r="Q66" t="s">
        <v>2831</v>
      </c>
      <c r="R66" t="s">
        <v>2832</v>
      </c>
      <c r="S66" t="s">
        <v>2833</v>
      </c>
      <c r="T66" t="s">
        <v>55</v>
      </c>
      <c r="U66" t="s">
        <v>56</v>
      </c>
      <c r="V66" t="s">
        <v>56</v>
      </c>
    </row>
    <row r="67" spans="1:22" x14ac:dyDescent="0.3">
      <c r="A67" s="49">
        <v>45632</v>
      </c>
      <c r="B67" t="s">
        <v>965</v>
      </c>
      <c r="C67" t="s">
        <v>966</v>
      </c>
      <c r="D67" t="s">
        <v>173</v>
      </c>
      <c r="E67" t="s">
        <v>2201</v>
      </c>
      <c r="F67" t="s">
        <v>2202</v>
      </c>
      <c r="G67" t="s">
        <v>2825</v>
      </c>
      <c r="H67" t="s">
        <v>28</v>
      </c>
      <c r="I67" t="s">
        <v>2829</v>
      </c>
      <c r="J67" t="s">
        <v>63</v>
      </c>
      <c r="K67" t="s">
        <v>414</v>
      </c>
      <c r="L67" t="s">
        <v>32</v>
      </c>
      <c r="M67">
        <v>0</v>
      </c>
      <c r="N67" t="s">
        <v>74</v>
      </c>
      <c r="O67" t="s">
        <v>2830</v>
      </c>
      <c r="P67" t="s">
        <v>1586</v>
      </c>
      <c r="Q67" t="s">
        <v>2831</v>
      </c>
      <c r="R67" t="s">
        <v>2832</v>
      </c>
      <c r="S67" t="s">
        <v>2833</v>
      </c>
      <c r="T67" t="s">
        <v>55</v>
      </c>
      <c r="U67" t="s">
        <v>56</v>
      </c>
      <c r="V67" t="s">
        <v>56</v>
      </c>
    </row>
    <row r="68" spans="1:22" x14ac:dyDescent="0.3">
      <c r="A68" s="49">
        <v>45632</v>
      </c>
      <c r="B68" t="s">
        <v>965</v>
      </c>
      <c r="C68" t="s">
        <v>966</v>
      </c>
      <c r="D68" t="s">
        <v>173</v>
      </c>
      <c r="E68" t="s">
        <v>2201</v>
      </c>
      <c r="F68" t="s">
        <v>2202</v>
      </c>
      <c r="G68" t="s">
        <v>2825</v>
      </c>
      <c r="H68" t="s">
        <v>28</v>
      </c>
      <c r="I68" t="s">
        <v>2829</v>
      </c>
      <c r="J68" t="s">
        <v>63</v>
      </c>
      <c r="K68" t="s">
        <v>414</v>
      </c>
      <c r="L68" t="s">
        <v>32</v>
      </c>
      <c r="M68">
        <v>0</v>
      </c>
      <c r="N68" t="s">
        <v>74</v>
      </c>
      <c r="O68" t="s">
        <v>2830</v>
      </c>
      <c r="P68" t="s">
        <v>1586</v>
      </c>
      <c r="Q68" t="s">
        <v>2831</v>
      </c>
      <c r="R68" t="s">
        <v>2832</v>
      </c>
      <c r="S68" t="s">
        <v>2833</v>
      </c>
      <c r="T68" t="s">
        <v>55</v>
      </c>
      <c r="U68" t="s">
        <v>56</v>
      </c>
      <c r="V68" t="s">
        <v>56</v>
      </c>
    </row>
    <row r="69" spans="1:22" x14ac:dyDescent="0.3">
      <c r="A69" s="49">
        <v>45632</v>
      </c>
      <c r="B69" t="s">
        <v>965</v>
      </c>
      <c r="C69" t="s">
        <v>966</v>
      </c>
      <c r="D69" t="s">
        <v>173</v>
      </c>
      <c r="E69" t="s">
        <v>2201</v>
      </c>
      <c r="F69" t="s">
        <v>2202</v>
      </c>
      <c r="G69" t="s">
        <v>2825</v>
      </c>
      <c r="H69" t="s">
        <v>28</v>
      </c>
      <c r="I69" t="s">
        <v>2829</v>
      </c>
      <c r="J69" t="s">
        <v>63</v>
      </c>
      <c r="K69" t="s">
        <v>414</v>
      </c>
      <c r="L69" t="s">
        <v>32</v>
      </c>
      <c r="M69">
        <v>0</v>
      </c>
      <c r="N69" t="s">
        <v>74</v>
      </c>
      <c r="O69" t="s">
        <v>2830</v>
      </c>
      <c r="P69" t="s">
        <v>1586</v>
      </c>
      <c r="Q69" t="s">
        <v>2831</v>
      </c>
      <c r="R69" t="s">
        <v>2832</v>
      </c>
      <c r="S69" t="s">
        <v>2833</v>
      </c>
      <c r="T69" t="s">
        <v>55</v>
      </c>
      <c r="U69" t="s">
        <v>56</v>
      </c>
      <c r="V69" t="s">
        <v>56</v>
      </c>
    </row>
    <row r="70" spans="1:22" x14ac:dyDescent="0.3">
      <c r="A70" s="49">
        <v>45632</v>
      </c>
      <c r="B70" t="s">
        <v>965</v>
      </c>
      <c r="C70" t="s">
        <v>966</v>
      </c>
      <c r="D70" t="s">
        <v>173</v>
      </c>
      <c r="E70" t="s">
        <v>2201</v>
      </c>
      <c r="F70" t="s">
        <v>2202</v>
      </c>
      <c r="G70" t="s">
        <v>2825</v>
      </c>
      <c r="H70" t="s">
        <v>28</v>
      </c>
      <c r="I70" t="s">
        <v>2829</v>
      </c>
      <c r="J70" t="s">
        <v>63</v>
      </c>
      <c r="K70" t="s">
        <v>414</v>
      </c>
      <c r="L70" t="s">
        <v>32</v>
      </c>
      <c r="M70">
        <v>0</v>
      </c>
      <c r="N70" t="s">
        <v>74</v>
      </c>
      <c r="O70" t="s">
        <v>2830</v>
      </c>
      <c r="P70" t="s">
        <v>1586</v>
      </c>
      <c r="Q70" t="s">
        <v>2831</v>
      </c>
      <c r="R70" t="s">
        <v>2832</v>
      </c>
      <c r="S70" t="s">
        <v>2833</v>
      </c>
      <c r="T70" t="s">
        <v>55</v>
      </c>
      <c r="U70" t="s">
        <v>56</v>
      </c>
      <c r="V70" t="s">
        <v>56</v>
      </c>
    </row>
    <row r="71" spans="1:22" x14ac:dyDescent="0.3">
      <c r="A71" s="49">
        <v>45632</v>
      </c>
      <c r="B71" t="s">
        <v>965</v>
      </c>
      <c r="C71" t="s">
        <v>966</v>
      </c>
      <c r="D71" t="s">
        <v>173</v>
      </c>
      <c r="E71" t="s">
        <v>2201</v>
      </c>
      <c r="F71" t="s">
        <v>2202</v>
      </c>
      <c r="G71" t="s">
        <v>2825</v>
      </c>
      <c r="H71" t="s">
        <v>28</v>
      </c>
      <c r="I71" t="s">
        <v>2829</v>
      </c>
      <c r="J71" t="s">
        <v>63</v>
      </c>
      <c r="K71" t="s">
        <v>414</v>
      </c>
      <c r="L71" t="s">
        <v>32</v>
      </c>
      <c r="M71">
        <v>0</v>
      </c>
      <c r="N71" t="s">
        <v>74</v>
      </c>
      <c r="O71" t="s">
        <v>2830</v>
      </c>
      <c r="P71" t="s">
        <v>1586</v>
      </c>
      <c r="Q71" t="s">
        <v>2831</v>
      </c>
      <c r="R71" t="s">
        <v>2832</v>
      </c>
      <c r="S71" t="s">
        <v>2833</v>
      </c>
      <c r="T71" t="s">
        <v>55</v>
      </c>
      <c r="U71" t="s">
        <v>56</v>
      </c>
      <c r="V71" t="s">
        <v>56</v>
      </c>
    </row>
    <row r="72" spans="1:22" x14ac:dyDescent="0.3">
      <c r="A72" s="49">
        <v>45632</v>
      </c>
      <c r="B72" t="s">
        <v>965</v>
      </c>
      <c r="C72" t="s">
        <v>966</v>
      </c>
      <c r="D72" t="s">
        <v>173</v>
      </c>
      <c r="E72" t="s">
        <v>2201</v>
      </c>
      <c r="F72" t="s">
        <v>2202</v>
      </c>
      <c r="G72" t="s">
        <v>2825</v>
      </c>
      <c r="H72" t="s">
        <v>28</v>
      </c>
      <c r="I72" t="s">
        <v>2829</v>
      </c>
      <c r="J72" t="s">
        <v>63</v>
      </c>
      <c r="K72" t="s">
        <v>414</v>
      </c>
      <c r="L72" t="s">
        <v>32</v>
      </c>
      <c r="M72">
        <v>0</v>
      </c>
      <c r="N72" t="s">
        <v>74</v>
      </c>
      <c r="O72" t="s">
        <v>2830</v>
      </c>
      <c r="P72" t="s">
        <v>1586</v>
      </c>
      <c r="Q72" t="s">
        <v>2831</v>
      </c>
      <c r="R72" t="s">
        <v>2832</v>
      </c>
      <c r="S72" t="s">
        <v>2833</v>
      </c>
      <c r="T72" t="s">
        <v>55</v>
      </c>
      <c r="U72" t="s">
        <v>56</v>
      </c>
      <c r="V72" t="s">
        <v>56</v>
      </c>
    </row>
    <row r="73" spans="1:22" x14ac:dyDescent="0.3">
      <c r="A73" s="49">
        <v>45632</v>
      </c>
      <c r="B73" t="s">
        <v>965</v>
      </c>
      <c r="C73" t="s">
        <v>966</v>
      </c>
      <c r="D73" t="s">
        <v>173</v>
      </c>
      <c r="E73" t="s">
        <v>2201</v>
      </c>
      <c r="F73" t="s">
        <v>2202</v>
      </c>
      <c r="G73" t="s">
        <v>2825</v>
      </c>
      <c r="H73" t="s">
        <v>28</v>
      </c>
      <c r="I73" t="s">
        <v>2829</v>
      </c>
      <c r="J73" t="s">
        <v>63</v>
      </c>
      <c r="K73" t="s">
        <v>414</v>
      </c>
      <c r="L73" t="s">
        <v>32</v>
      </c>
      <c r="M73">
        <v>0</v>
      </c>
      <c r="N73" t="s">
        <v>74</v>
      </c>
      <c r="O73" t="s">
        <v>2830</v>
      </c>
      <c r="P73" t="s">
        <v>1586</v>
      </c>
      <c r="Q73" t="s">
        <v>2831</v>
      </c>
      <c r="R73" t="s">
        <v>2832</v>
      </c>
      <c r="S73" t="s">
        <v>2833</v>
      </c>
      <c r="T73" t="s">
        <v>55</v>
      </c>
      <c r="U73" t="s">
        <v>56</v>
      </c>
      <c r="V73" t="s">
        <v>56</v>
      </c>
    </row>
    <row r="74" spans="1:22" x14ac:dyDescent="0.3">
      <c r="A74" s="49">
        <v>45632</v>
      </c>
      <c r="B74" t="s">
        <v>965</v>
      </c>
      <c r="C74" t="s">
        <v>966</v>
      </c>
      <c r="D74" t="s">
        <v>173</v>
      </c>
      <c r="E74" t="s">
        <v>2201</v>
      </c>
      <c r="F74" t="s">
        <v>2202</v>
      </c>
      <c r="G74" t="s">
        <v>2825</v>
      </c>
      <c r="H74" t="s">
        <v>28</v>
      </c>
      <c r="I74" t="s">
        <v>2829</v>
      </c>
      <c r="J74" t="s">
        <v>63</v>
      </c>
      <c r="K74" t="s">
        <v>414</v>
      </c>
      <c r="L74" t="s">
        <v>32</v>
      </c>
      <c r="M74">
        <v>0</v>
      </c>
      <c r="N74" t="s">
        <v>74</v>
      </c>
      <c r="O74" t="s">
        <v>2830</v>
      </c>
      <c r="P74" t="s">
        <v>1586</v>
      </c>
      <c r="Q74" t="s">
        <v>2831</v>
      </c>
      <c r="R74" t="s">
        <v>2832</v>
      </c>
      <c r="S74" t="s">
        <v>2833</v>
      </c>
      <c r="T74" t="s">
        <v>55</v>
      </c>
      <c r="U74" t="s">
        <v>56</v>
      </c>
      <c r="V74" t="s">
        <v>56</v>
      </c>
    </row>
    <row r="75" spans="1:22" x14ac:dyDescent="0.3">
      <c r="A75" s="49">
        <v>45632</v>
      </c>
      <c r="B75" t="s">
        <v>965</v>
      </c>
      <c r="C75" t="s">
        <v>966</v>
      </c>
      <c r="D75" t="s">
        <v>173</v>
      </c>
      <c r="E75" t="s">
        <v>2201</v>
      </c>
      <c r="F75" t="s">
        <v>2202</v>
      </c>
      <c r="G75" t="s">
        <v>2825</v>
      </c>
      <c r="H75" t="s">
        <v>28</v>
      </c>
      <c r="I75" t="s">
        <v>2829</v>
      </c>
      <c r="J75" t="s">
        <v>63</v>
      </c>
      <c r="K75" t="s">
        <v>414</v>
      </c>
      <c r="L75" t="s">
        <v>32</v>
      </c>
      <c r="M75">
        <v>0</v>
      </c>
      <c r="N75" t="s">
        <v>74</v>
      </c>
      <c r="O75" t="s">
        <v>2830</v>
      </c>
      <c r="P75" t="s">
        <v>1586</v>
      </c>
      <c r="Q75" t="s">
        <v>2831</v>
      </c>
      <c r="R75" t="s">
        <v>2832</v>
      </c>
      <c r="S75" t="s">
        <v>2833</v>
      </c>
      <c r="T75" t="s">
        <v>55</v>
      </c>
      <c r="U75" t="s">
        <v>56</v>
      </c>
      <c r="V75" t="s">
        <v>56</v>
      </c>
    </row>
    <row r="76" spans="1:22" x14ac:dyDescent="0.3">
      <c r="A76" s="49">
        <v>45632</v>
      </c>
      <c r="B76" t="s">
        <v>965</v>
      </c>
      <c r="C76" t="s">
        <v>966</v>
      </c>
      <c r="D76" t="s">
        <v>173</v>
      </c>
      <c r="E76" t="s">
        <v>2201</v>
      </c>
      <c r="F76" t="s">
        <v>2202</v>
      </c>
      <c r="G76" t="s">
        <v>2825</v>
      </c>
      <c r="H76" t="s">
        <v>28</v>
      </c>
      <c r="I76" t="s">
        <v>2829</v>
      </c>
      <c r="J76" t="s">
        <v>63</v>
      </c>
      <c r="K76" t="s">
        <v>414</v>
      </c>
      <c r="L76" t="s">
        <v>32</v>
      </c>
      <c r="M76">
        <v>0</v>
      </c>
      <c r="N76" t="s">
        <v>74</v>
      </c>
      <c r="O76" t="s">
        <v>2830</v>
      </c>
      <c r="P76" t="s">
        <v>1586</v>
      </c>
      <c r="Q76" t="s">
        <v>2831</v>
      </c>
      <c r="R76" t="s">
        <v>2832</v>
      </c>
      <c r="S76" t="s">
        <v>2833</v>
      </c>
      <c r="T76" t="s">
        <v>55</v>
      </c>
      <c r="U76" t="s">
        <v>56</v>
      </c>
      <c r="V76" t="s">
        <v>56</v>
      </c>
    </row>
    <row r="77" spans="1:22" x14ac:dyDescent="0.3">
      <c r="A77" s="49">
        <v>45632</v>
      </c>
      <c r="B77" t="s">
        <v>965</v>
      </c>
      <c r="C77" t="s">
        <v>966</v>
      </c>
      <c r="D77" t="s">
        <v>173</v>
      </c>
      <c r="E77" t="s">
        <v>2201</v>
      </c>
      <c r="F77" t="s">
        <v>2202</v>
      </c>
      <c r="G77" t="s">
        <v>2825</v>
      </c>
      <c r="H77" t="s">
        <v>28</v>
      </c>
      <c r="I77" t="s">
        <v>2829</v>
      </c>
      <c r="J77" t="s">
        <v>63</v>
      </c>
      <c r="K77" t="s">
        <v>414</v>
      </c>
      <c r="L77" t="s">
        <v>32</v>
      </c>
      <c r="M77">
        <v>0</v>
      </c>
      <c r="N77" t="s">
        <v>74</v>
      </c>
      <c r="O77" t="s">
        <v>2830</v>
      </c>
      <c r="P77" t="s">
        <v>1586</v>
      </c>
      <c r="Q77" t="s">
        <v>2831</v>
      </c>
      <c r="R77" t="s">
        <v>2832</v>
      </c>
      <c r="S77" t="s">
        <v>2833</v>
      </c>
      <c r="T77" t="s">
        <v>55</v>
      </c>
      <c r="U77" t="s">
        <v>56</v>
      </c>
      <c r="V77" t="s">
        <v>56</v>
      </c>
    </row>
    <row r="78" spans="1:22" x14ac:dyDescent="0.3">
      <c r="A78" s="49">
        <v>45632</v>
      </c>
      <c r="B78" t="s">
        <v>965</v>
      </c>
      <c r="C78" t="s">
        <v>966</v>
      </c>
      <c r="D78" t="s">
        <v>173</v>
      </c>
      <c r="E78" t="s">
        <v>2201</v>
      </c>
      <c r="F78" t="s">
        <v>2202</v>
      </c>
      <c r="G78" t="s">
        <v>2825</v>
      </c>
      <c r="H78" t="s">
        <v>28</v>
      </c>
      <c r="I78" t="s">
        <v>2829</v>
      </c>
      <c r="J78" t="s">
        <v>63</v>
      </c>
      <c r="K78" t="s">
        <v>414</v>
      </c>
      <c r="L78" t="s">
        <v>32</v>
      </c>
      <c r="M78">
        <v>0</v>
      </c>
      <c r="N78" t="s">
        <v>74</v>
      </c>
      <c r="O78" t="s">
        <v>2830</v>
      </c>
      <c r="P78" t="s">
        <v>1586</v>
      </c>
      <c r="Q78" t="s">
        <v>2831</v>
      </c>
      <c r="R78" t="s">
        <v>2832</v>
      </c>
      <c r="S78" t="s">
        <v>2833</v>
      </c>
      <c r="T78" t="s">
        <v>55</v>
      </c>
      <c r="U78" t="s">
        <v>56</v>
      </c>
      <c r="V78" t="s">
        <v>56</v>
      </c>
    </row>
    <row r="79" spans="1:22" x14ac:dyDescent="0.3">
      <c r="A79" s="49">
        <v>45632</v>
      </c>
      <c r="B79" t="s">
        <v>965</v>
      </c>
      <c r="C79" t="s">
        <v>966</v>
      </c>
      <c r="D79" t="s">
        <v>173</v>
      </c>
      <c r="E79" t="s">
        <v>2201</v>
      </c>
      <c r="F79" t="s">
        <v>2202</v>
      </c>
      <c r="G79" t="s">
        <v>2825</v>
      </c>
      <c r="H79" t="s">
        <v>28</v>
      </c>
      <c r="I79" t="s">
        <v>2829</v>
      </c>
      <c r="J79" t="s">
        <v>63</v>
      </c>
      <c r="K79" t="s">
        <v>414</v>
      </c>
      <c r="L79" t="s">
        <v>32</v>
      </c>
      <c r="M79">
        <v>0</v>
      </c>
      <c r="N79" t="s">
        <v>74</v>
      </c>
      <c r="O79" t="s">
        <v>2830</v>
      </c>
      <c r="P79" t="s">
        <v>1586</v>
      </c>
      <c r="Q79" t="s">
        <v>2831</v>
      </c>
      <c r="R79" t="s">
        <v>2832</v>
      </c>
      <c r="S79" t="s">
        <v>2833</v>
      </c>
      <c r="T79" t="s">
        <v>55</v>
      </c>
      <c r="U79" t="s">
        <v>56</v>
      </c>
      <c r="V79" t="s">
        <v>56</v>
      </c>
    </row>
    <row r="80" spans="1:22" x14ac:dyDescent="0.3">
      <c r="A80" s="49">
        <v>45632</v>
      </c>
      <c r="B80" t="s">
        <v>965</v>
      </c>
      <c r="C80" t="s">
        <v>966</v>
      </c>
      <c r="D80" t="s">
        <v>173</v>
      </c>
      <c r="E80" t="s">
        <v>2201</v>
      </c>
      <c r="F80" t="s">
        <v>2202</v>
      </c>
      <c r="G80" t="s">
        <v>2825</v>
      </c>
      <c r="H80" t="s">
        <v>28</v>
      </c>
      <c r="I80" t="s">
        <v>2829</v>
      </c>
      <c r="J80" t="s">
        <v>63</v>
      </c>
      <c r="K80" t="s">
        <v>414</v>
      </c>
      <c r="L80" t="s">
        <v>32</v>
      </c>
      <c r="M80">
        <v>0</v>
      </c>
      <c r="N80" t="s">
        <v>74</v>
      </c>
      <c r="O80" t="s">
        <v>2830</v>
      </c>
      <c r="P80" t="s">
        <v>1586</v>
      </c>
      <c r="Q80" t="s">
        <v>2831</v>
      </c>
      <c r="R80" t="s">
        <v>2832</v>
      </c>
      <c r="S80" t="s">
        <v>2833</v>
      </c>
      <c r="T80" t="s">
        <v>55</v>
      </c>
      <c r="U80" t="s">
        <v>56</v>
      </c>
      <c r="V80" t="s">
        <v>56</v>
      </c>
    </row>
    <row r="81" spans="1:22" x14ac:dyDescent="0.3">
      <c r="A81" s="49">
        <v>45632</v>
      </c>
      <c r="B81" t="s">
        <v>965</v>
      </c>
      <c r="C81" t="s">
        <v>966</v>
      </c>
      <c r="D81" t="s">
        <v>173</v>
      </c>
      <c r="E81" t="s">
        <v>2201</v>
      </c>
      <c r="F81" t="s">
        <v>2202</v>
      </c>
      <c r="G81" t="s">
        <v>2825</v>
      </c>
      <c r="H81" t="s">
        <v>28</v>
      </c>
      <c r="I81" t="s">
        <v>2829</v>
      </c>
      <c r="J81" t="s">
        <v>63</v>
      </c>
      <c r="K81" t="s">
        <v>414</v>
      </c>
      <c r="L81" t="s">
        <v>32</v>
      </c>
      <c r="M81">
        <v>0</v>
      </c>
      <c r="N81" t="s">
        <v>74</v>
      </c>
      <c r="O81" t="s">
        <v>2830</v>
      </c>
      <c r="P81" t="s">
        <v>1586</v>
      </c>
      <c r="Q81" t="s">
        <v>2831</v>
      </c>
      <c r="R81" t="s">
        <v>2832</v>
      </c>
      <c r="S81" t="s">
        <v>2833</v>
      </c>
      <c r="T81" t="s">
        <v>55</v>
      </c>
      <c r="U81" t="s">
        <v>56</v>
      </c>
      <c r="V81" t="s">
        <v>56</v>
      </c>
    </row>
    <row r="82" spans="1:22" x14ac:dyDescent="0.3">
      <c r="A82" s="49">
        <v>45632</v>
      </c>
      <c r="B82" t="s">
        <v>965</v>
      </c>
      <c r="C82" t="s">
        <v>966</v>
      </c>
      <c r="D82" t="s">
        <v>173</v>
      </c>
      <c r="E82" t="s">
        <v>2201</v>
      </c>
      <c r="F82" t="s">
        <v>2202</v>
      </c>
      <c r="G82" t="s">
        <v>2825</v>
      </c>
      <c r="H82" t="s">
        <v>28</v>
      </c>
      <c r="I82" t="s">
        <v>2829</v>
      </c>
      <c r="J82" t="s">
        <v>63</v>
      </c>
      <c r="K82" t="s">
        <v>414</v>
      </c>
      <c r="L82" t="s">
        <v>32</v>
      </c>
      <c r="M82">
        <v>0</v>
      </c>
      <c r="N82" t="s">
        <v>74</v>
      </c>
      <c r="O82" t="s">
        <v>2830</v>
      </c>
      <c r="P82" t="s">
        <v>1586</v>
      </c>
      <c r="Q82" t="s">
        <v>2831</v>
      </c>
      <c r="R82" t="s">
        <v>2832</v>
      </c>
      <c r="S82" t="s">
        <v>2833</v>
      </c>
      <c r="T82" t="s">
        <v>55</v>
      </c>
      <c r="U82" t="s">
        <v>56</v>
      </c>
      <c r="V82" t="s">
        <v>56</v>
      </c>
    </row>
    <row r="83" spans="1:22" x14ac:dyDescent="0.3">
      <c r="A83" s="49">
        <v>45632</v>
      </c>
      <c r="B83" t="s">
        <v>965</v>
      </c>
      <c r="C83" t="s">
        <v>966</v>
      </c>
      <c r="D83" t="s">
        <v>173</v>
      </c>
      <c r="E83" t="s">
        <v>2201</v>
      </c>
      <c r="F83" t="s">
        <v>2202</v>
      </c>
      <c r="G83" t="s">
        <v>2825</v>
      </c>
      <c r="H83" t="s">
        <v>28</v>
      </c>
      <c r="I83" t="s">
        <v>2829</v>
      </c>
      <c r="J83" t="s">
        <v>63</v>
      </c>
      <c r="K83" t="s">
        <v>414</v>
      </c>
      <c r="L83" t="s">
        <v>32</v>
      </c>
      <c r="M83">
        <v>0</v>
      </c>
      <c r="N83" t="s">
        <v>74</v>
      </c>
      <c r="O83" t="s">
        <v>2830</v>
      </c>
      <c r="P83" t="s">
        <v>1586</v>
      </c>
      <c r="Q83" t="s">
        <v>2831</v>
      </c>
      <c r="R83" t="s">
        <v>2832</v>
      </c>
      <c r="S83" t="s">
        <v>2833</v>
      </c>
      <c r="T83" t="s">
        <v>55</v>
      </c>
      <c r="U83" t="s">
        <v>56</v>
      </c>
      <c r="V83" t="s">
        <v>56</v>
      </c>
    </row>
    <row r="84" spans="1:22" x14ac:dyDescent="0.3">
      <c r="A84" s="49">
        <v>45632</v>
      </c>
      <c r="B84" t="s">
        <v>965</v>
      </c>
      <c r="C84" t="s">
        <v>966</v>
      </c>
      <c r="D84" t="s">
        <v>173</v>
      </c>
      <c r="E84" t="s">
        <v>2201</v>
      </c>
      <c r="F84" t="s">
        <v>2202</v>
      </c>
      <c r="G84" t="s">
        <v>2825</v>
      </c>
      <c r="H84" t="s">
        <v>28</v>
      </c>
      <c r="I84" t="s">
        <v>2829</v>
      </c>
      <c r="J84" t="s">
        <v>63</v>
      </c>
      <c r="K84" t="s">
        <v>414</v>
      </c>
      <c r="L84" t="s">
        <v>32</v>
      </c>
      <c r="M84">
        <v>0</v>
      </c>
      <c r="N84" t="s">
        <v>74</v>
      </c>
      <c r="O84" t="s">
        <v>2830</v>
      </c>
      <c r="P84" t="s">
        <v>1586</v>
      </c>
      <c r="Q84" t="s">
        <v>2831</v>
      </c>
      <c r="R84" t="s">
        <v>2832</v>
      </c>
      <c r="S84" t="s">
        <v>2833</v>
      </c>
      <c r="T84" t="s">
        <v>55</v>
      </c>
      <c r="U84" t="s">
        <v>56</v>
      </c>
      <c r="V84" t="s">
        <v>56</v>
      </c>
    </row>
    <row r="85" spans="1:22" x14ac:dyDescent="0.3">
      <c r="A85" s="49">
        <v>45632</v>
      </c>
      <c r="B85" t="s">
        <v>965</v>
      </c>
      <c r="C85" t="s">
        <v>966</v>
      </c>
      <c r="D85" t="s">
        <v>173</v>
      </c>
      <c r="E85" t="s">
        <v>2834</v>
      </c>
      <c r="F85" t="s">
        <v>2835</v>
      </c>
      <c r="G85" t="s">
        <v>2836</v>
      </c>
      <c r="H85" t="s">
        <v>89</v>
      </c>
      <c r="J85" t="s">
        <v>63</v>
      </c>
      <c r="K85" t="s">
        <v>445</v>
      </c>
      <c r="L85" t="s">
        <v>32</v>
      </c>
      <c r="M85">
        <v>90</v>
      </c>
      <c r="N85" t="s">
        <v>33</v>
      </c>
      <c r="O85" t="s">
        <v>2837</v>
      </c>
      <c r="P85" t="s">
        <v>1586</v>
      </c>
      <c r="Q85" t="s">
        <v>2838</v>
      </c>
      <c r="R85" t="s">
        <v>37</v>
      </c>
      <c r="S85" t="s">
        <v>2839</v>
      </c>
      <c r="T85" t="s">
        <v>55</v>
      </c>
      <c r="U85" t="s">
        <v>56</v>
      </c>
      <c r="V85" t="s">
        <v>56</v>
      </c>
    </row>
    <row r="86" spans="1:22" x14ac:dyDescent="0.3">
      <c r="A86" s="49">
        <v>45632</v>
      </c>
      <c r="B86" t="s">
        <v>965</v>
      </c>
      <c r="C86" t="s">
        <v>966</v>
      </c>
      <c r="D86" t="s">
        <v>173</v>
      </c>
      <c r="E86" t="s">
        <v>2840</v>
      </c>
      <c r="F86" t="s">
        <v>2841</v>
      </c>
      <c r="G86" t="s">
        <v>2842</v>
      </c>
      <c r="H86" t="s">
        <v>89</v>
      </c>
      <c r="J86" t="s">
        <v>63</v>
      </c>
      <c r="K86" t="s">
        <v>414</v>
      </c>
      <c r="L86" t="s">
        <v>32</v>
      </c>
      <c r="M86">
        <v>100</v>
      </c>
      <c r="N86" t="s">
        <v>33</v>
      </c>
      <c r="O86" t="s">
        <v>2843</v>
      </c>
      <c r="P86" t="s">
        <v>108</v>
      </c>
      <c r="Q86" t="s">
        <v>2561</v>
      </c>
      <c r="R86" t="s">
        <v>37</v>
      </c>
      <c r="S86" t="s">
        <v>2844</v>
      </c>
      <c r="T86" t="s">
        <v>55</v>
      </c>
      <c r="U86" t="s">
        <v>56</v>
      </c>
      <c r="V86" t="s">
        <v>56</v>
      </c>
    </row>
    <row r="87" spans="1:22" x14ac:dyDescent="0.3">
      <c r="A87" s="49">
        <v>45632</v>
      </c>
      <c r="B87" t="s">
        <v>965</v>
      </c>
      <c r="C87" t="s">
        <v>966</v>
      </c>
      <c r="D87" t="s">
        <v>173</v>
      </c>
      <c r="E87" t="s">
        <v>2840</v>
      </c>
      <c r="F87" t="s">
        <v>2841</v>
      </c>
      <c r="G87" t="s">
        <v>2842</v>
      </c>
      <c r="H87" t="s">
        <v>89</v>
      </c>
      <c r="J87" t="s">
        <v>63</v>
      </c>
      <c r="K87" t="s">
        <v>414</v>
      </c>
      <c r="L87" t="s">
        <v>32</v>
      </c>
      <c r="M87">
        <v>100</v>
      </c>
      <c r="N87" t="s">
        <v>33</v>
      </c>
      <c r="O87" t="s">
        <v>2843</v>
      </c>
      <c r="P87" t="s">
        <v>108</v>
      </c>
      <c r="Q87" t="s">
        <v>2561</v>
      </c>
      <c r="R87" t="s">
        <v>37</v>
      </c>
      <c r="S87" t="s">
        <v>2844</v>
      </c>
      <c r="T87" t="s">
        <v>55</v>
      </c>
      <c r="U87" t="s">
        <v>56</v>
      </c>
      <c r="V87" t="s">
        <v>56</v>
      </c>
    </row>
    <row r="88" spans="1:22" x14ac:dyDescent="0.3">
      <c r="A88" s="49">
        <v>45632</v>
      </c>
      <c r="B88" t="s">
        <v>965</v>
      </c>
      <c r="C88" t="s">
        <v>966</v>
      </c>
      <c r="D88" t="s">
        <v>173</v>
      </c>
      <c r="E88" t="s">
        <v>2840</v>
      </c>
      <c r="F88" t="s">
        <v>2841</v>
      </c>
      <c r="G88" t="s">
        <v>2842</v>
      </c>
      <c r="H88" t="s">
        <v>89</v>
      </c>
      <c r="J88" t="s">
        <v>63</v>
      </c>
      <c r="K88" t="s">
        <v>414</v>
      </c>
      <c r="L88" t="s">
        <v>32</v>
      </c>
      <c r="M88">
        <v>100</v>
      </c>
      <c r="N88" t="s">
        <v>33</v>
      </c>
      <c r="O88" t="s">
        <v>2843</v>
      </c>
      <c r="P88" t="s">
        <v>108</v>
      </c>
      <c r="Q88" t="s">
        <v>2561</v>
      </c>
      <c r="R88" t="s">
        <v>37</v>
      </c>
      <c r="S88" t="s">
        <v>2844</v>
      </c>
      <c r="T88" t="s">
        <v>55</v>
      </c>
      <c r="U88" t="s">
        <v>56</v>
      </c>
      <c r="V88" t="s">
        <v>56</v>
      </c>
    </row>
    <row r="89" spans="1:22" x14ac:dyDescent="0.3">
      <c r="A89" s="49">
        <v>45632</v>
      </c>
      <c r="B89" t="s">
        <v>965</v>
      </c>
      <c r="C89" t="s">
        <v>966</v>
      </c>
      <c r="D89" t="s">
        <v>173</v>
      </c>
      <c r="E89" t="s">
        <v>2840</v>
      </c>
      <c r="F89" t="s">
        <v>2841</v>
      </c>
      <c r="G89" t="s">
        <v>2842</v>
      </c>
      <c r="H89" t="s">
        <v>89</v>
      </c>
      <c r="J89" t="s">
        <v>63</v>
      </c>
      <c r="K89" t="s">
        <v>414</v>
      </c>
      <c r="L89" t="s">
        <v>32</v>
      </c>
      <c r="M89">
        <v>100</v>
      </c>
      <c r="N89" t="s">
        <v>33</v>
      </c>
      <c r="O89" t="s">
        <v>2843</v>
      </c>
      <c r="P89" t="s">
        <v>108</v>
      </c>
      <c r="Q89" t="s">
        <v>2561</v>
      </c>
      <c r="R89" t="s">
        <v>37</v>
      </c>
      <c r="S89" t="s">
        <v>2844</v>
      </c>
      <c r="T89" t="s">
        <v>55</v>
      </c>
      <c r="U89" t="s">
        <v>56</v>
      </c>
      <c r="V89" t="s">
        <v>56</v>
      </c>
    </row>
    <row r="90" spans="1:22" x14ac:dyDescent="0.3">
      <c r="A90" s="49">
        <v>45632</v>
      </c>
      <c r="B90" t="s">
        <v>965</v>
      </c>
      <c r="C90" t="s">
        <v>966</v>
      </c>
      <c r="D90" t="s">
        <v>173</v>
      </c>
      <c r="E90" t="s">
        <v>2845</v>
      </c>
      <c r="F90" t="s">
        <v>1987</v>
      </c>
      <c r="G90" t="s">
        <v>2617</v>
      </c>
      <c r="H90" t="s">
        <v>28</v>
      </c>
      <c r="I90" t="s">
        <v>2846</v>
      </c>
      <c r="J90" t="s">
        <v>63</v>
      </c>
      <c r="K90" t="s">
        <v>414</v>
      </c>
      <c r="L90" t="s">
        <v>32</v>
      </c>
      <c r="M90">
        <v>100</v>
      </c>
      <c r="N90" t="s">
        <v>33</v>
      </c>
      <c r="O90" t="s">
        <v>2847</v>
      </c>
      <c r="P90" t="s">
        <v>873</v>
      </c>
      <c r="Q90" t="s">
        <v>2848</v>
      </c>
      <c r="R90" t="s">
        <v>337</v>
      </c>
      <c r="S90" t="s">
        <v>2849</v>
      </c>
      <c r="T90" t="s">
        <v>55</v>
      </c>
      <c r="U90" t="s">
        <v>56</v>
      </c>
      <c r="V90" t="s">
        <v>56</v>
      </c>
    </row>
    <row r="91" spans="1:22" x14ac:dyDescent="0.3">
      <c r="A91" s="49">
        <v>45632</v>
      </c>
      <c r="B91" t="s">
        <v>965</v>
      </c>
      <c r="C91" t="s">
        <v>966</v>
      </c>
      <c r="D91" t="s">
        <v>173</v>
      </c>
      <c r="E91" t="s">
        <v>2845</v>
      </c>
      <c r="F91" t="s">
        <v>1987</v>
      </c>
      <c r="G91" t="s">
        <v>2617</v>
      </c>
      <c r="H91" t="s">
        <v>28</v>
      </c>
      <c r="I91" t="s">
        <v>2846</v>
      </c>
      <c r="J91" t="s">
        <v>63</v>
      </c>
      <c r="K91" t="s">
        <v>414</v>
      </c>
      <c r="L91" t="s">
        <v>32</v>
      </c>
      <c r="M91">
        <v>100</v>
      </c>
      <c r="N91" t="s">
        <v>33</v>
      </c>
      <c r="O91" t="s">
        <v>2847</v>
      </c>
      <c r="P91" t="s">
        <v>873</v>
      </c>
      <c r="Q91" t="s">
        <v>2848</v>
      </c>
      <c r="R91" t="s">
        <v>337</v>
      </c>
      <c r="S91" t="s">
        <v>2849</v>
      </c>
      <c r="T91" t="s">
        <v>55</v>
      </c>
      <c r="U91" t="s">
        <v>56</v>
      </c>
      <c r="V91" t="s">
        <v>56</v>
      </c>
    </row>
    <row r="92" spans="1:22" x14ac:dyDescent="0.3">
      <c r="A92" s="49">
        <v>45632</v>
      </c>
      <c r="B92" t="s">
        <v>965</v>
      </c>
      <c r="C92" t="s">
        <v>966</v>
      </c>
      <c r="D92" t="s">
        <v>173</v>
      </c>
      <c r="E92" t="s">
        <v>2845</v>
      </c>
      <c r="F92" t="s">
        <v>1987</v>
      </c>
      <c r="G92" t="s">
        <v>2617</v>
      </c>
      <c r="H92" t="s">
        <v>28</v>
      </c>
      <c r="I92" t="s">
        <v>2846</v>
      </c>
      <c r="J92" t="s">
        <v>63</v>
      </c>
      <c r="K92" t="s">
        <v>414</v>
      </c>
      <c r="L92" t="s">
        <v>32</v>
      </c>
      <c r="M92">
        <v>100</v>
      </c>
      <c r="N92" t="s">
        <v>33</v>
      </c>
      <c r="O92" t="s">
        <v>2847</v>
      </c>
      <c r="P92" t="s">
        <v>873</v>
      </c>
      <c r="Q92" t="s">
        <v>2848</v>
      </c>
      <c r="R92" t="s">
        <v>337</v>
      </c>
      <c r="S92" t="s">
        <v>2849</v>
      </c>
      <c r="T92" t="s">
        <v>55</v>
      </c>
      <c r="U92" t="s">
        <v>56</v>
      </c>
      <c r="V92" t="s">
        <v>56</v>
      </c>
    </row>
    <row r="93" spans="1:22" x14ac:dyDescent="0.3">
      <c r="A93" s="49">
        <v>45632</v>
      </c>
      <c r="B93" t="s">
        <v>965</v>
      </c>
      <c r="C93" t="s">
        <v>966</v>
      </c>
      <c r="D93" t="s">
        <v>173</v>
      </c>
      <c r="E93" t="s">
        <v>2845</v>
      </c>
      <c r="F93" t="s">
        <v>1987</v>
      </c>
      <c r="G93" t="s">
        <v>2617</v>
      </c>
      <c r="H93" t="s">
        <v>28</v>
      </c>
      <c r="I93" t="s">
        <v>2846</v>
      </c>
      <c r="J93" t="s">
        <v>63</v>
      </c>
      <c r="K93" t="s">
        <v>414</v>
      </c>
      <c r="L93" t="s">
        <v>32</v>
      </c>
      <c r="M93">
        <v>100</v>
      </c>
      <c r="N93" t="s">
        <v>33</v>
      </c>
      <c r="O93" t="s">
        <v>2847</v>
      </c>
      <c r="P93" t="s">
        <v>873</v>
      </c>
      <c r="Q93" t="s">
        <v>2848</v>
      </c>
      <c r="R93" t="s">
        <v>337</v>
      </c>
      <c r="S93" t="s">
        <v>2849</v>
      </c>
      <c r="T93" t="s">
        <v>55</v>
      </c>
      <c r="U93" t="s">
        <v>56</v>
      </c>
      <c r="V93" t="s">
        <v>56</v>
      </c>
    </row>
    <row r="94" spans="1:22" x14ac:dyDescent="0.3">
      <c r="A94" s="49">
        <v>45632</v>
      </c>
      <c r="B94" t="s">
        <v>965</v>
      </c>
      <c r="C94" t="s">
        <v>966</v>
      </c>
      <c r="D94" t="s">
        <v>173</v>
      </c>
      <c r="E94" t="s">
        <v>2845</v>
      </c>
      <c r="F94" t="s">
        <v>1987</v>
      </c>
      <c r="G94" t="s">
        <v>2617</v>
      </c>
      <c r="H94" t="s">
        <v>28</v>
      </c>
      <c r="I94" t="s">
        <v>2846</v>
      </c>
      <c r="J94" t="s">
        <v>63</v>
      </c>
      <c r="K94" t="s">
        <v>414</v>
      </c>
      <c r="L94" t="s">
        <v>32</v>
      </c>
      <c r="M94">
        <v>100</v>
      </c>
      <c r="N94" t="s">
        <v>33</v>
      </c>
      <c r="O94" t="s">
        <v>2847</v>
      </c>
      <c r="P94" t="s">
        <v>873</v>
      </c>
      <c r="Q94" t="s">
        <v>2848</v>
      </c>
      <c r="R94" t="s">
        <v>337</v>
      </c>
      <c r="S94" t="s">
        <v>2849</v>
      </c>
      <c r="T94" t="s">
        <v>55</v>
      </c>
      <c r="U94" t="s">
        <v>56</v>
      </c>
      <c r="V94" t="s">
        <v>56</v>
      </c>
    </row>
    <row r="95" spans="1:22" x14ac:dyDescent="0.3">
      <c r="A95" s="49">
        <v>45632</v>
      </c>
      <c r="B95" t="s">
        <v>965</v>
      </c>
      <c r="C95" t="s">
        <v>966</v>
      </c>
      <c r="D95" t="s">
        <v>173</v>
      </c>
      <c r="E95" t="s">
        <v>2845</v>
      </c>
      <c r="F95" t="s">
        <v>1987</v>
      </c>
      <c r="G95" t="s">
        <v>2617</v>
      </c>
      <c r="H95" t="s">
        <v>28</v>
      </c>
      <c r="I95" t="s">
        <v>2846</v>
      </c>
      <c r="J95" t="s">
        <v>63</v>
      </c>
      <c r="K95" t="s">
        <v>414</v>
      </c>
      <c r="L95" t="s">
        <v>32</v>
      </c>
      <c r="M95">
        <v>100</v>
      </c>
      <c r="N95" t="s">
        <v>33</v>
      </c>
      <c r="O95" t="s">
        <v>2847</v>
      </c>
      <c r="P95" t="s">
        <v>873</v>
      </c>
      <c r="Q95" t="s">
        <v>2848</v>
      </c>
      <c r="R95" t="s">
        <v>337</v>
      </c>
      <c r="S95" t="s">
        <v>2849</v>
      </c>
      <c r="T95" t="s">
        <v>55</v>
      </c>
      <c r="U95" t="s">
        <v>56</v>
      </c>
      <c r="V95" t="s">
        <v>56</v>
      </c>
    </row>
    <row r="96" spans="1:22" x14ac:dyDescent="0.3">
      <c r="A96" s="49">
        <v>45632</v>
      </c>
      <c r="B96" t="s">
        <v>965</v>
      </c>
      <c r="C96" t="s">
        <v>966</v>
      </c>
      <c r="D96" t="s">
        <v>173</v>
      </c>
      <c r="E96" t="s">
        <v>2845</v>
      </c>
      <c r="F96" t="s">
        <v>1987</v>
      </c>
      <c r="G96" t="s">
        <v>2617</v>
      </c>
      <c r="H96" t="s">
        <v>28</v>
      </c>
      <c r="I96" t="s">
        <v>2846</v>
      </c>
      <c r="J96" t="s">
        <v>63</v>
      </c>
      <c r="K96" t="s">
        <v>414</v>
      </c>
      <c r="L96" t="s">
        <v>32</v>
      </c>
      <c r="M96">
        <v>100</v>
      </c>
      <c r="N96" t="s">
        <v>33</v>
      </c>
      <c r="O96" t="s">
        <v>2847</v>
      </c>
      <c r="P96" t="s">
        <v>873</v>
      </c>
      <c r="Q96" t="s">
        <v>2848</v>
      </c>
      <c r="R96" t="s">
        <v>337</v>
      </c>
      <c r="S96" t="s">
        <v>2849</v>
      </c>
      <c r="T96" t="s">
        <v>55</v>
      </c>
      <c r="U96" t="s">
        <v>56</v>
      </c>
      <c r="V96" t="s">
        <v>56</v>
      </c>
    </row>
    <row r="97" spans="1:22" x14ac:dyDescent="0.3">
      <c r="A97" s="49">
        <v>45632</v>
      </c>
      <c r="B97" t="s">
        <v>965</v>
      </c>
      <c r="C97" t="s">
        <v>966</v>
      </c>
      <c r="D97" t="s">
        <v>173</v>
      </c>
      <c r="E97" t="s">
        <v>2850</v>
      </c>
      <c r="F97" t="s">
        <v>2851</v>
      </c>
      <c r="G97" t="s">
        <v>2852</v>
      </c>
      <c r="H97" t="s">
        <v>28</v>
      </c>
      <c r="I97" t="s">
        <v>2853</v>
      </c>
      <c r="J97" t="s">
        <v>63</v>
      </c>
      <c r="K97" t="s">
        <v>2854</v>
      </c>
      <c r="L97" t="s">
        <v>2855</v>
      </c>
      <c r="M97">
        <v>100</v>
      </c>
      <c r="N97" t="s">
        <v>49</v>
      </c>
      <c r="O97" t="s">
        <v>1103</v>
      </c>
      <c r="P97" t="s">
        <v>572</v>
      </c>
      <c r="Q97" t="s">
        <v>2856</v>
      </c>
      <c r="R97" t="s">
        <v>1105</v>
      </c>
      <c r="S97" t="s">
        <v>1106</v>
      </c>
      <c r="T97" t="s">
        <v>55</v>
      </c>
      <c r="U97" t="s">
        <v>56</v>
      </c>
      <c r="V97" t="s">
        <v>56</v>
      </c>
    </row>
    <row r="98" spans="1:22" x14ac:dyDescent="0.3">
      <c r="A98" s="49">
        <v>45632</v>
      </c>
      <c r="B98" t="s">
        <v>965</v>
      </c>
      <c r="C98" t="s">
        <v>966</v>
      </c>
      <c r="D98" t="s">
        <v>173</v>
      </c>
      <c r="E98" t="s">
        <v>2850</v>
      </c>
      <c r="F98" t="s">
        <v>2851</v>
      </c>
      <c r="G98" t="s">
        <v>2852</v>
      </c>
      <c r="H98" t="s">
        <v>28</v>
      </c>
      <c r="I98" t="s">
        <v>2853</v>
      </c>
      <c r="J98" t="s">
        <v>63</v>
      </c>
      <c r="K98" t="s">
        <v>2854</v>
      </c>
      <c r="L98" t="s">
        <v>2855</v>
      </c>
      <c r="M98">
        <v>100</v>
      </c>
      <c r="N98" t="s">
        <v>49</v>
      </c>
      <c r="O98" t="s">
        <v>1103</v>
      </c>
      <c r="P98" t="s">
        <v>572</v>
      </c>
      <c r="Q98" t="s">
        <v>2856</v>
      </c>
      <c r="R98" t="s">
        <v>1105</v>
      </c>
      <c r="S98" t="s">
        <v>1106</v>
      </c>
      <c r="T98" t="s">
        <v>55</v>
      </c>
      <c r="U98" t="s">
        <v>56</v>
      </c>
      <c r="V98" t="s">
        <v>56</v>
      </c>
    </row>
    <row r="99" spans="1:22" x14ac:dyDescent="0.3">
      <c r="A99" s="49">
        <v>45632</v>
      </c>
      <c r="B99" t="s">
        <v>965</v>
      </c>
      <c r="C99" t="s">
        <v>966</v>
      </c>
      <c r="D99" t="s">
        <v>173</v>
      </c>
      <c r="E99" t="s">
        <v>1082</v>
      </c>
      <c r="F99" t="s">
        <v>1083</v>
      </c>
      <c r="G99" t="s">
        <v>2617</v>
      </c>
      <c r="H99" t="s">
        <v>28</v>
      </c>
      <c r="I99" t="s">
        <v>2857</v>
      </c>
      <c r="J99" t="s">
        <v>63</v>
      </c>
      <c r="K99" t="s">
        <v>463</v>
      </c>
      <c r="L99" t="s">
        <v>32</v>
      </c>
      <c r="M99">
        <v>50</v>
      </c>
      <c r="N99" t="s">
        <v>33</v>
      </c>
      <c r="O99" t="s">
        <v>2858</v>
      </c>
      <c r="P99" t="s">
        <v>686</v>
      </c>
      <c r="Q99" t="s">
        <v>2859</v>
      </c>
      <c r="R99" t="s">
        <v>37</v>
      </c>
      <c r="S99" t="s">
        <v>2860</v>
      </c>
      <c r="T99" t="s">
        <v>55</v>
      </c>
      <c r="U99" t="s">
        <v>56</v>
      </c>
      <c r="V99" t="s">
        <v>56</v>
      </c>
    </row>
    <row r="100" spans="1:22" x14ac:dyDescent="0.3">
      <c r="A100" s="49">
        <v>45632</v>
      </c>
      <c r="B100" t="s">
        <v>965</v>
      </c>
      <c r="C100" t="s">
        <v>966</v>
      </c>
      <c r="D100" t="s">
        <v>173</v>
      </c>
      <c r="E100" t="s">
        <v>333</v>
      </c>
      <c r="F100" t="s">
        <v>334</v>
      </c>
      <c r="G100" t="s">
        <v>2617</v>
      </c>
      <c r="H100" t="s">
        <v>28</v>
      </c>
      <c r="I100" t="s">
        <v>2861</v>
      </c>
      <c r="J100" t="s">
        <v>63</v>
      </c>
      <c r="K100" t="s">
        <v>414</v>
      </c>
      <c r="L100" t="s">
        <v>32</v>
      </c>
      <c r="M100">
        <v>50</v>
      </c>
      <c r="N100" t="s">
        <v>49</v>
      </c>
      <c r="O100" t="s">
        <v>2862</v>
      </c>
      <c r="P100" t="s">
        <v>106</v>
      </c>
      <c r="Q100" t="s">
        <v>2863</v>
      </c>
      <c r="R100" t="s">
        <v>37</v>
      </c>
      <c r="S100" t="s">
        <v>2864</v>
      </c>
      <c r="T100" t="s">
        <v>55</v>
      </c>
      <c r="U100" t="s">
        <v>56</v>
      </c>
      <c r="V100" t="s">
        <v>56</v>
      </c>
    </row>
    <row r="101" spans="1:22" x14ac:dyDescent="0.3">
      <c r="A101" s="49">
        <v>45632</v>
      </c>
      <c r="B101" t="s">
        <v>965</v>
      </c>
      <c r="C101" t="s">
        <v>966</v>
      </c>
      <c r="D101" t="s">
        <v>173</v>
      </c>
      <c r="E101" t="s">
        <v>2640</v>
      </c>
      <c r="F101" t="s">
        <v>2641</v>
      </c>
      <c r="G101" t="s">
        <v>2865</v>
      </c>
      <c r="H101" t="s">
        <v>89</v>
      </c>
      <c r="J101" t="s">
        <v>63</v>
      </c>
      <c r="K101" t="s">
        <v>1666</v>
      </c>
      <c r="L101" t="s">
        <v>32</v>
      </c>
      <c r="M101">
        <v>0</v>
      </c>
      <c r="N101" t="s">
        <v>49</v>
      </c>
      <c r="O101" t="s">
        <v>2866</v>
      </c>
      <c r="P101" t="s">
        <v>2867</v>
      </c>
      <c r="Q101" t="s">
        <v>2868</v>
      </c>
      <c r="R101" t="s">
        <v>37</v>
      </c>
      <c r="S101" t="s">
        <v>2869</v>
      </c>
      <c r="T101" t="s">
        <v>55</v>
      </c>
      <c r="U101" t="s">
        <v>56</v>
      </c>
      <c r="V101" t="s">
        <v>56</v>
      </c>
    </row>
    <row r="102" spans="1:22" x14ac:dyDescent="0.3">
      <c r="A102" s="49">
        <v>45632</v>
      </c>
      <c r="B102" t="s">
        <v>965</v>
      </c>
      <c r="C102" t="s">
        <v>966</v>
      </c>
      <c r="D102" t="s">
        <v>173</v>
      </c>
      <c r="E102" t="s">
        <v>2870</v>
      </c>
      <c r="F102" t="s">
        <v>1867</v>
      </c>
      <c r="G102" t="s">
        <v>2871</v>
      </c>
      <c r="H102" t="s">
        <v>28</v>
      </c>
      <c r="I102" t="s">
        <v>2872</v>
      </c>
      <c r="J102" t="s">
        <v>46</v>
      </c>
      <c r="K102" t="s">
        <v>481</v>
      </c>
      <c r="L102" t="s">
        <v>641</v>
      </c>
      <c r="M102">
        <v>100</v>
      </c>
      <c r="N102" t="s">
        <v>49</v>
      </c>
      <c r="O102" t="s">
        <v>2873</v>
      </c>
      <c r="P102" t="s">
        <v>873</v>
      </c>
      <c r="Q102" t="s">
        <v>2874</v>
      </c>
      <c r="R102" t="s">
        <v>37</v>
      </c>
      <c r="S102" t="s">
        <v>2875</v>
      </c>
      <c r="T102" t="s">
        <v>55</v>
      </c>
      <c r="U102" t="s">
        <v>56</v>
      </c>
      <c r="V102" t="s">
        <v>56</v>
      </c>
    </row>
    <row r="103" spans="1:22" x14ac:dyDescent="0.3">
      <c r="A103" s="49">
        <v>45632</v>
      </c>
      <c r="B103" t="s">
        <v>965</v>
      </c>
      <c r="C103" t="s">
        <v>966</v>
      </c>
      <c r="D103" t="s">
        <v>173</v>
      </c>
      <c r="E103" t="s">
        <v>818</v>
      </c>
      <c r="F103" t="s">
        <v>819</v>
      </c>
      <c r="G103" t="s">
        <v>2514</v>
      </c>
      <c r="H103" t="s">
        <v>28</v>
      </c>
      <c r="I103" t="s">
        <v>2876</v>
      </c>
      <c r="J103" t="s">
        <v>63</v>
      </c>
      <c r="K103" t="s">
        <v>2877</v>
      </c>
      <c r="L103" t="s">
        <v>32</v>
      </c>
      <c r="M103">
        <v>100</v>
      </c>
      <c r="N103" t="s">
        <v>33</v>
      </c>
      <c r="O103" t="s">
        <v>2878</v>
      </c>
      <c r="P103" t="s">
        <v>108</v>
      </c>
      <c r="Q103" t="s">
        <v>2561</v>
      </c>
      <c r="R103" t="s">
        <v>37</v>
      </c>
      <c r="S103" t="s">
        <v>2879</v>
      </c>
      <c r="T103" t="s">
        <v>55</v>
      </c>
      <c r="U103" t="s">
        <v>56</v>
      </c>
      <c r="V103" t="s">
        <v>56</v>
      </c>
    </row>
    <row r="104" spans="1:22" x14ac:dyDescent="0.3">
      <c r="A104" s="49">
        <v>45632</v>
      </c>
      <c r="B104" t="s">
        <v>965</v>
      </c>
      <c r="C104" t="s">
        <v>966</v>
      </c>
      <c r="D104" t="s">
        <v>173</v>
      </c>
      <c r="E104" t="s">
        <v>1991</v>
      </c>
      <c r="F104" t="s">
        <v>1992</v>
      </c>
      <c r="G104" t="s">
        <v>2682</v>
      </c>
      <c r="H104" t="s">
        <v>28</v>
      </c>
      <c r="I104" t="s">
        <v>2880</v>
      </c>
      <c r="J104" t="s">
        <v>63</v>
      </c>
      <c r="K104" t="s">
        <v>414</v>
      </c>
      <c r="L104" t="s">
        <v>32</v>
      </c>
      <c r="M104">
        <v>100</v>
      </c>
      <c r="N104" t="s">
        <v>49</v>
      </c>
      <c r="O104" t="s">
        <v>2881</v>
      </c>
      <c r="P104" t="s">
        <v>106</v>
      </c>
      <c r="Q104" t="s">
        <v>2882</v>
      </c>
      <c r="R104" t="s">
        <v>37</v>
      </c>
      <c r="S104" t="s">
        <v>2883</v>
      </c>
      <c r="T104" t="s">
        <v>55</v>
      </c>
      <c r="U104" t="s">
        <v>56</v>
      </c>
      <c r="V104" t="s">
        <v>56</v>
      </c>
    </row>
    <row r="105" spans="1:22" x14ac:dyDescent="0.3">
      <c r="A105" s="49">
        <v>45632</v>
      </c>
      <c r="B105" t="s">
        <v>965</v>
      </c>
      <c r="C105" t="s">
        <v>966</v>
      </c>
      <c r="D105" t="s">
        <v>173</v>
      </c>
      <c r="E105" t="s">
        <v>1991</v>
      </c>
      <c r="F105" t="s">
        <v>1992</v>
      </c>
      <c r="G105" t="s">
        <v>2682</v>
      </c>
      <c r="H105" t="s">
        <v>28</v>
      </c>
      <c r="I105" t="s">
        <v>2880</v>
      </c>
      <c r="J105" t="s">
        <v>63</v>
      </c>
      <c r="K105" t="s">
        <v>414</v>
      </c>
      <c r="L105" t="s">
        <v>32</v>
      </c>
      <c r="M105">
        <v>100</v>
      </c>
      <c r="N105" t="s">
        <v>49</v>
      </c>
      <c r="O105" t="s">
        <v>2881</v>
      </c>
      <c r="P105" t="s">
        <v>106</v>
      </c>
      <c r="Q105" t="s">
        <v>2882</v>
      </c>
      <c r="R105" t="s">
        <v>37</v>
      </c>
      <c r="S105" t="s">
        <v>2883</v>
      </c>
      <c r="T105" t="s">
        <v>55</v>
      </c>
      <c r="U105" t="s">
        <v>56</v>
      </c>
      <c r="V105" t="s">
        <v>56</v>
      </c>
    </row>
    <row r="106" spans="1:22" x14ac:dyDescent="0.3">
      <c r="A106" s="49">
        <v>45632</v>
      </c>
      <c r="B106" t="s">
        <v>965</v>
      </c>
      <c r="C106" t="s">
        <v>966</v>
      </c>
      <c r="D106" t="s">
        <v>173</v>
      </c>
      <c r="E106" t="s">
        <v>2884</v>
      </c>
      <c r="F106" t="s">
        <v>2885</v>
      </c>
      <c r="G106" t="s">
        <v>2886</v>
      </c>
      <c r="H106" t="s">
        <v>28</v>
      </c>
      <c r="I106" t="s">
        <v>2887</v>
      </c>
      <c r="J106" t="s">
        <v>46</v>
      </c>
      <c r="K106" t="s">
        <v>481</v>
      </c>
      <c r="L106" t="s">
        <v>1379</v>
      </c>
      <c r="M106">
        <v>100</v>
      </c>
      <c r="N106" t="s">
        <v>33</v>
      </c>
      <c r="O106" t="s">
        <v>2888</v>
      </c>
      <c r="P106" t="s">
        <v>686</v>
      </c>
      <c r="Q106" t="s">
        <v>2889</v>
      </c>
      <c r="R106" t="s">
        <v>2890</v>
      </c>
      <c r="S106" t="s">
        <v>2891</v>
      </c>
      <c r="T106" t="s">
        <v>55</v>
      </c>
      <c r="U106" t="s">
        <v>56</v>
      </c>
      <c r="V106" t="s">
        <v>56</v>
      </c>
    </row>
    <row r="107" spans="1:22" x14ac:dyDescent="0.3">
      <c r="A107" s="49">
        <v>45632</v>
      </c>
      <c r="B107" t="s">
        <v>965</v>
      </c>
      <c r="C107" t="s">
        <v>966</v>
      </c>
      <c r="D107" t="s">
        <v>173</v>
      </c>
      <c r="E107" t="s">
        <v>2892</v>
      </c>
      <c r="F107" t="s">
        <v>2893</v>
      </c>
      <c r="G107" t="s">
        <v>2894</v>
      </c>
      <c r="H107" t="s">
        <v>89</v>
      </c>
      <c r="J107" t="s">
        <v>63</v>
      </c>
      <c r="K107" t="s">
        <v>414</v>
      </c>
      <c r="L107" t="s">
        <v>32</v>
      </c>
      <c r="M107">
        <v>100</v>
      </c>
      <c r="N107" t="s">
        <v>33</v>
      </c>
      <c r="O107" t="s">
        <v>2895</v>
      </c>
      <c r="P107" t="s">
        <v>873</v>
      </c>
      <c r="Q107" t="s">
        <v>2561</v>
      </c>
      <c r="R107" t="s">
        <v>37</v>
      </c>
      <c r="S107" t="s">
        <v>2896</v>
      </c>
      <c r="T107" t="s">
        <v>55</v>
      </c>
      <c r="U107" t="s">
        <v>56</v>
      </c>
      <c r="V107" t="s">
        <v>56</v>
      </c>
    </row>
    <row r="108" spans="1:22" x14ac:dyDescent="0.3">
      <c r="A108" s="49">
        <v>45632</v>
      </c>
      <c r="B108" t="s">
        <v>965</v>
      </c>
      <c r="C108" t="s">
        <v>966</v>
      </c>
      <c r="D108" t="s">
        <v>173</v>
      </c>
      <c r="E108" t="s">
        <v>2892</v>
      </c>
      <c r="F108" t="s">
        <v>2893</v>
      </c>
      <c r="G108" t="s">
        <v>2894</v>
      </c>
      <c r="H108" t="s">
        <v>89</v>
      </c>
      <c r="J108" t="s">
        <v>63</v>
      </c>
      <c r="K108" t="s">
        <v>414</v>
      </c>
      <c r="L108" t="s">
        <v>32</v>
      </c>
      <c r="M108">
        <v>100</v>
      </c>
      <c r="N108" t="s">
        <v>33</v>
      </c>
      <c r="O108" t="s">
        <v>2895</v>
      </c>
      <c r="P108" t="s">
        <v>873</v>
      </c>
      <c r="Q108" t="s">
        <v>2561</v>
      </c>
      <c r="R108" t="s">
        <v>37</v>
      </c>
      <c r="S108" t="s">
        <v>2896</v>
      </c>
      <c r="T108" t="s">
        <v>55</v>
      </c>
      <c r="U108" t="s">
        <v>56</v>
      </c>
      <c r="V108" t="s">
        <v>56</v>
      </c>
    </row>
    <row r="109" spans="1:22" x14ac:dyDescent="0.3">
      <c r="A109" s="49">
        <v>45632</v>
      </c>
      <c r="B109" t="s">
        <v>965</v>
      </c>
      <c r="C109" t="s">
        <v>966</v>
      </c>
      <c r="D109" t="s">
        <v>173</v>
      </c>
      <c r="E109" t="s">
        <v>2897</v>
      </c>
      <c r="F109" t="s">
        <v>2898</v>
      </c>
      <c r="G109" t="s">
        <v>2682</v>
      </c>
      <c r="H109" t="s">
        <v>89</v>
      </c>
      <c r="J109" t="s">
        <v>63</v>
      </c>
      <c r="K109" t="s">
        <v>1235</v>
      </c>
      <c r="L109" t="s">
        <v>32</v>
      </c>
      <c r="M109">
        <v>100</v>
      </c>
      <c r="N109" t="s">
        <v>33</v>
      </c>
      <c r="O109" t="s">
        <v>2899</v>
      </c>
      <c r="P109" t="s">
        <v>686</v>
      </c>
      <c r="Q109" t="s">
        <v>2900</v>
      </c>
      <c r="R109" t="s">
        <v>37</v>
      </c>
      <c r="S109" t="s">
        <v>2901</v>
      </c>
      <c r="T109" t="s">
        <v>55</v>
      </c>
      <c r="U109" t="s">
        <v>56</v>
      </c>
      <c r="V109" t="s">
        <v>56</v>
      </c>
    </row>
    <row r="110" spans="1:22" x14ac:dyDescent="0.3">
      <c r="A110" s="49">
        <v>45632</v>
      </c>
      <c r="B110" t="s">
        <v>965</v>
      </c>
      <c r="C110" t="s">
        <v>966</v>
      </c>
      <c r="D110" t="s">
        <v>173</v>
      </c>
      <c r="E110" t="s">
        <v>2897</v>
      </c>
      <c r="F110" t="s">
        <v>2898</v>
      </c>
      <c r="G110" t="s">
        <v>2682</v>
      </c>
      <c r="H110" t="s">
        <v>89</v>
      </c>
      <c r="J110" t="s">
        <v>63</v>
      </c>
      <c r="K110" t="s">
        <v>1235</v>
      </c>
      <c r="L110" t="s">
        <v>32</v>
      </c>
      <c r="M110">
        <v>100</v>
      </c>
      <c r="N110" t="s">
        <v>33</v>
      </c>
      <c r="O110" t="s">
        <v>2899</v>
      </c>
      <c r="P110" t="s">
        <v>686</v>
      </c>
      <c r="Q110" t="s">
        <v>2900</v>
      </c>
      <c r="R110" t="s">
        <v>37</v>
      </c>
      <c r="S110" t="s">
        <v>2901</v>
      </c>
      <c r="T110" t="s">
        <v>55</v>
      </c>
      <c r="U110" t="s">
        <v>56</v>
      </c>
      <c r="V110" t="s">
        <v>56</v>
      </c>
    </row>
    <row r="111" spans="1:22" x14ac:dyDescent="0.3">
      <c r="A111" s="49">
        <v>45632</v>
      </c>
      <c r="B111" t="s">
        <v>965</v>
      </c>
      <c r="C111" t="s">
        <v>966</v>
      </c>
      <c r="D111" t="s">
        <v>173</v>
      </c>
      <c r="E111" t="s">
        <v>2897</v>
      </c>
      <c r="F111" t="s">
        <v>2898</v>
      </c>
      <c r="G111" t="s">
        <v>2682</v>
      </c>
      <c r="H111" t="s">
        <v>89</v>
      </c>
      <c r="J111" t="s">
        <v>63</v>
      </c>
      <c r="K111" t="s">
        <v>1235</v>
      </c>
      <c r="L111" t="s">
        <v>32</v>
      </c>
      <c r="M111">
        <v>100</v>
      </c>
      <c r="N111" t="s">
        <v>33</v>
      </c>
      <c r="O111" t="s">
        <v>2899</v>
      </c>
      <c r="P111" t="s">
        <v>686</v>
      </c>
      <c r="Q111" t="s">
        <v>2900</v>
      </c>
      <c r="R111" t="s">
        <v>37</v>
      </c>
      <c r="S111" t="s">
        <v>2901</v>
      </c>
      <c r="T111" t="s">
        <v>55</v>
      </c>
      <c r="U111" t="s">
        <v>56</v>
      </c>
      <c r="V111" t="s">
        <v>56</v>
      </c>
    </row>
    <row r="112" spans="1:22" x14ac:dyDescent="0.3">
      <c r="A112" s="49">
        <v>45632</v>
      </c>
      <c r="B112" t="s">
        <v>965</v>
      </c>
      <c r="C112" t="s">
        <v>966</v>
      </c>
      <c r="D112" t="s">
        <v>173</v>
      </c>
      <c r="E112" t="s">
        <v>2897</v>
      </c>
      <c r="F112" t="s">
        <v>2898</v>
      </c>
      <c r="G112" t="s">
        <v>2682</v>
      </c>
      <c r="H112" t="s">
        <v>89</v>
      </c>
      <c r="J112" t="s">
        <v>63</v>
      </c>
      <c r="K112" t="s">
        <v>1235</v>
      </c>
      <c r="L112" t="s">
        <v>32</v>
      </c>
      <c r="M112">
        <v>100</v>
      </c>
      <c r="N112" t="s">
        <v>33</v>
      </c>
      <c r="O112" t="s">
        <v>2899</v>
      </c>
      <c r="P112" t="s">
        <v>686</v>
      </c>
      <c r="Q112" t="s">
        <v>2900</v>
      </c>
      <c r="R112" t="s">
        <v>37</v>
      </c>
      <c r="S112" t="s">
        <v>2901</v>
      </c>
      <c r="T112" t="s">
        <v>55</v>
      </c>
      <c r="U112" t="s">
        <v>56</v>
      </c>
      <c r="V112" t="s">
        <v>56</v>
      </c>
    </row>
    <row r="113" spans="1:22" x14ac:dyDescent="0.3">
      <c r="A113" s="49">
        <v>45632</v>
      </c>
      <c r="B113" t="s">
        <v>965</v>
      </c>
      <c r="C113" t="s">
        <v>966</v>
      </c>
      <c r="D113" t="s">
        <v>173</v>
      </c>
      <c r="E113" t="s">
        <v>2897</v>
      </c>
      <c r="F113" t="s">
        <v>2898</v>
      </c>
      <c r="G113" t="s">
        <v>2682</v>
      </c>
      <c r="H113" t="s">
        <v>89</v>
      </c>
      <c r="J113" t="s">
        <v>63</v>
      </c>
      <c r="K113" t="s">
        <v>1235</v>
      </c>
      <c r="L113" t="s">
        <v>32</v>
      </c>
      <c r="M113">
        <v>100</v>
      </c>
      <c r="N113" t="s">
        <v>33</v>
      </c>
      <c r="O113" t="s">
        <v>2899</v>
      </c>
      <c r="P113" t="s">
        <v>686</v>
      </c>
      <c r="Q113" t="s">
        <v>2900</v>
      </c>
      <c r="R113" t="s">
        <v>37</v>
      </c>
      <c r="S113" t="s">
        <v>2901</v>
      </c>
      <c r="T113" t="s">
        <v>55</v>
      </c>
      <c r="U113" t="s">
        <v>56</v>
      </c>
      <c r="V113" t="s">
        <v>56</v>
      </c>
    </row>
    <row r="114" spans="1:22" x14ac:dyDescent="0.3">
      <c r="A114" s="49">
        <v>45632</v>
      </c>
      <c r="B114" t="s">
        <v>965</v>
      </c>
      <c r="C114" t="s">
        <v>966</v>
      </c>
      <c r="D114" t="s">
        <v>173</v>
      </c>
      <c r="E114" t="s">
        <v>2897</v>
      </c>
      <c r="F114" t="s">
        <v>2898</v>
      </c>
      <c r="G114" t="s">
        <v>2682</v>
      </c>
      <c r="H114" t="s">
        <v>89</v>
      </c>
      <c r="J114" t="s">
        <v>63</v>
      </c>
      <c r="K114" t="s">
        <v>1235</v>
      </c>
      <c r="L114" t="s">
        <v>32</v>
      </c>
      <c r="M114">
        <v>100</v>
      </c>
      <c r="N114" t="s">
        <v>33</v>
      </c>
      <c r="O114" t="s">
        <v>2899</v>
      </c>
      <c r="P114" t="s">
        <v>686</v>
      </c>
      <c r="Q114" t="s">
        <v>2900</v>
      </c>
      <c r="R114" t="s">
        <v>37</v>
      </c>
      <c r="S114" t="s">
        <v>2901</v>
      </c>
      <c r="T114" t="s">
        <v>55</v>
      </c>
      <c r="U114" t="s">
        <v>56</v>
      </c>
      <c r="V114" t="s">
        <v>56</v>
      </c>
    </row>
    <row r="115" spans="1:22" x14ac:dyDescent="0.3">
      <c r="A115" s="49">
        <v>45632</v>
      </c>
      <c r="B115" t="s">
        <v>965</v>
      </c>
      <c r="C115" t="s">
        <v>966</v>
      </c>
      <c r="D115" t="s">
        <v>173</v>
      </c>
      <c r="E115" t="s">
        <v>2897</v>
      </c>
      <c r="F115" t="s">
        <v>2898</v>
      </c>
      <c r="G115" t="s">
        <v>2783</v>
      </c>
      <c r="H115" t="s">
        <v>28</v>
      </c>
      <c r="I115" t="s">
        <v>2902</v>
      </c>
      <c r="J115" t="s">
        <v>46</v>
      </c>
      <c r="K115" t="s">
        <v>610</v>
      </c>
      <c r="L115" t="s">
        <v>32</v>
      </c>
      <c r="M115">
        <v>100</v>
      </c>
      <c r="N115" t="s">
        <v>33</v>
      </c>
      <c r="O115" t="s">
        <v>2903</v>
      </c>
      <c r="P115" t="s">
        <v>106</v>
      </c>
      <c r="Q115" t="s">
        <v>2561</v>
      </c>
      <c r="R115" t="s">
        <v>37</v>
      </c>
      <c r="S115" t="s">
        <v>2904</v>
      </c>
      <c r="T115" t="s">
        <v>55</v>
      </c>
      <c r="U115" t="s">
        <v>56</v>
      </c>
      <c r="V115" t="s">
        <v>56</v>
      </c>
    </row>
    <row r="116" spans="1:22" x14ac:dyDescent="0.3">
      <c r="A116" s="49">
        <v>45632</v>
      </c>
      <c r="B116" t="s">
        <v>965</v>
      </c>
      <c r="C116" t="s">
        <v>966</v>
      </c>
      <c r="D116" t="s">
        <v>173</v>
      </c>
      <c r="E116" t="s">
        <v>391</v>
      </c>
      <c r="F116" t="s">
        <v>392</v>
      </c>
      <c r="G116" t="s">
        <v>2905</v>
      </c>
      <c r="H116" t="s">
        <v>28</v>
      </c>
      <c r="I116" t="s">
        <v>2906</v>
      </c>
      <c r="J116" t="s">
        <v>63</v>
      </c>
      <c r="K116" t="s">
        <v>414</v>
      </c>
      <c r="L116" t="s">
        <v>32</v>
      </c>
      <c r="M116">
        <v>100</v>
      </c>
      <c r="N116" t="s">
        <v>33</v>
      </c>
      <c r="O116" t="s">
        <v>2907</v>
      </c>
      <c r="P116" t="s">
        <v>956</v>
      </c>
      <c r="Q116" t="s">
        <v>2680</v>
      </c>
      <c r="R116" t="s">
        <v>37</v>
      </c>
      <c r="S116" t="s">
        <v>2908</v>
      </c>
      <c r="T116" t="s">
        <v>55</v>
      </c>
      <c r="U116" t="s">
        <v>56</v>
      </c>
      <c r="V116" t="s">
        <v>56</v>
      </c>
    </row>
    <row r="117" spans="1:22" x14ac:dyDescent="0.3">
      <c r="A117" s="49">
        <v>45632</v>
      </c>
      <c r="B117" t="s">
        <v>965</v>
      </c>
      <c r="C117" t="s">
        <v>966</v>
      </c>
      <c r="D117" t="s">
        <v>173</v>
      </c>
      <c r="E117" t="s">
        <v>391</v>
      </c>
      <c r="F117" t="s">
        <v>392</v>
      </c>
      <c r="G117" t="s">
        <v>2905</v>
      </c>
      <c r="H117" t="s">
        <v>28</v>
      </c>
      <c r="I117" t="s">
        <v>2906</v>
      </c>
      <c r="J117" t="s">
        <v>63</v>
      </c>
      <c r="K117" t="s">
        <v>414</v>
      </c>
      <c r="L117" t="s">
        <v>32</v>
      </c>
      <c r="M117">
        <v>100</v>
      </c>
      <c r="N117" t="s">
        <v>33</v>
      </c>
      <c r="O117" t="s">
        <v>2907</v>
      </c>
      <c r="P117" t="s">
        <v>956</v>
      </c>
      <c r="Q117" t="s">
        <v>2680</v>
      </c>
      <c r="R117" t="s">
        <v>37</v>
      </c>
      <c r="S117" t="s">
        <v>2908</v>
      </c>
      <c r="T117" t="s">
        <v>55</v>
      </c>
      <c r="U117" t="s">
        <v>56</v>
      </c>
      <c r="V117" t="s">
        <v>56</v>
      </c>
    </row>
    <row r="118" spans="1:22" x14ac:dyDescent="0.3">
      <c r="A118" s="49">
        <v>45632</v>
      </c>
      <c r="B118" t="s">
        <v>965</v>
      </c>
      <c r="C118" t="s">
        <v>966</v>
      </c>
      <c r="D118" t="s">
        <v>173</v>
      </c>
      <c r="E118" t="s">
        <v>2909</v>
      </c>
      <c r="F118" t="s">
        <v>2910</v>
      </c>
      <c r="G118" t="s">
        <v>2759</v>
      </c>
      <c r="H118" t="s">
        <v>28</v>
      </c>
      <c r="I118" t="s">
        <v>2911</v>
      </c>
      <c r="J118" t="s">
        <v>46</v>
      </c>
      <c r="K118" t="s">
        <v>422</v>
      </c>
      <c r="L118" t="s">
        <v>32</v>
      </c>
      <c r="M118">
        <v>100</v>
      </c>
      <c r="N118" t="s">
        <v>49</v>
      </c>
      <c r="O118" t="s">
        <v>2912</v>
      </c>
      <c r="P118" t="s">
        <v>58</v>
      </c>
      <c r="Q118" t="s">
        <v>2913</v>
      </c>
      <c r="R118" t="s">
        <v>37</v>
      </c>
      <c r="S118" t="s">
        <v>2914</v>
      </c>
      <c r="T118" t="s">
        <v>55</v>
      </c>
      <c r="U118" t="s">
        <v>56</v>
      </c>
      <c r="V118" t="s">
        <v>56</v>
      </c>
    </row>
    <row r="119" spans="1:22" x14ac:dyDescent="0.3">
      <c r="A119" s="49">
        <v>45632</v>
      </c>
      <c r="B119" t="s">
        <v>965</v>
      </c>
      <c r="C119" t="s">
        <v>966</v>
      </c>
      <c r="D119" t="s">
        <v>173</v>
      </c>
      <c r="E119" t="s">
        <v>2909</v>
      </c>
      <c r="F119" t="s">
        <v>2910</v>
      </c>
      <c r="G119" t="s">
        <v>2759</v>
      </c>
      <c r="H119" t="s">
        <v>28</v>
      </c>
      <c r="I119" t="s">
        <v>2911</v>
      </c>
      <c r="J119" t="s">
        <v>46</v>
      </c>
      <c r="K119" t="s">
        <v>422</v>
      </c>
      <c r="L119" t="s">
        <v>32</v>
      </c>
      <c r="M119">
        <v>100</v>
      </c>
      <c r="N119" t="s">
        <v>49</v>
      </c>
      <c r="O119" t="s">
        <v>2912</v>
      </c>
      <c r="P119" t="s">
        <v>58</v>
      </c>
      <c r="Q119" t="s">
        <v>2913</v>
      </c>
      <c r="R119" t="s">
        <v>37</v>
      </c>
      <c r="S119" t="s">
        <v>2914</v>
      </c>
      <c r="T119" t="s">
        <v>55</v>
      </c>
      <c r="U119" t="s">
        <v>56</v>
      </c>
      <c r="V119" t="s">
        <v>56</v>
      </c>
    </row>
    <row r="120" spans="1:22" x14ac:dyDescent="0.3">
      <c r="A120" s="49">
        <v>45632</v>
      </c>
      <c r="B120" t="s">
        <v>965</v>
      </c>
      <c r="C120" t="s">
        <v>966</v>
      </c>
      <c r="D120" t="s">
        <v>173</v>
      </c>
      <c r="E120" t="s">
        <v>2909</v>
      </c>
      <c r="F120" t="s">
        <v>2910</v>
      </c>
      <c r="G120" t="s">
        <v>2759</v>
      </c>
      <c r="H120" t="s">
        <v>28</v>
      </c>
      <c r="I120" t="s">
        <v>2911</v>
      </c>
      <c r="J120" t="s">
        <v>46</v>
      </c>
      <c r="K120" t="s">
        <v>422</v>
      </c>
      <c r="L120" t="s">
        <v>32</v>
      </c>
      <c r="M120">
        <v>100</v>
      </c>
      <c r="N120" t="s">
        <v>49</v>
      </c>
      <c r="O120" t="s">
        <v>2912</v>
      </c>
      <c r="P120" t="s">
        <v>58</v>
      </c>
      <c r="Q120" t="s">
        <v>2913</v>
      </c>
      <c r="R120" t="s">
        <v>37</v>
      </c>
      <c r="S120" t="s">
        <v>2914</v>
      </c>
      <c r="T120" t="s">
        <v>55</v>
      </c>
      <c r="U120" t="s">
        <v>56</v>
      </c>
      <c r="V120" t="s">
        <v>56</v>
      </c>
    </row>
    <row r="121" spans="1:22" x14ac:dyDescent="0.3">
      <c r="A121" s="49">
        <v>45632</v>
      </c>
      <c r="B121" t="s">
        <v>965</v>
      </c>
      <c r="C121" t="s">
        <v>966</v>
      </c>
      <c r="D121" t="s">
        <v>173</v>
      </c>
      <c r="E121" t="s">
        <v>2909</v>
      </c>
      <c r="F121" t="s">
        <v>2910</v>
      </c>
      <c r="G121" t="s">
        <v>2759</v>
      </c>
      <c r="H121" t="s">
        <v>28</v>
      </c>
      <c r="I121" t="s">
        <v>2911</v>
      </c>
      <c r="J121" t="s">
        <v>46</v>
      </c>
      <c r="K121" t="s">
        <v>422</v>
      </c>
      <c r="L121" t="s">
        <v>32</v>
      </c>
      <c r="M121">
        <v>100</v>
      </c>
      <c r="N121" t="s">
        <v>49</v>
      </c>
      <c r="O121" t="s">
        <v>2912</v>
      </c>
      <c r="P121" t="s">
        <v>58</v>
      </c>
      <c r="Q121" t="s">
        <v>2913</v>
      </c>
      <c r="R121" t="s">
        <v>37</v>
      </c>
      <c r="S121" t="s">
        <v>2914</v>
      </c>
      <c r="T121" t="s">
        <v>55</v>
      </c>
      <c r="U121" t="s">
        <v>56</v>
      </c>
      <c r="V121" t="s">
        <v>56</v>
      </c>
    </row>
    <row r="122" spans="1:22" x14ac:dyDescent="0.3">
      <c r="A122" s="49">
        <v>45632</v>
      </c>
      <c r="B122" t="s">
        <v>965</v>
      </c>
      <c r="C122" t="s">
        <v>966</v>
      </c>
      <c r="D122" t="s">
        <v>173</v>
      </c>
      <c r="E122" t="s">
        <v>2909</v>
      </c>
      <c r="F122" t="s">
        <v>2910</v>
      </c>
      <c r="G122" t="s">
        <v>2759</v>
      </c>
      <c r="H122" t="s">
        <v>28</v>
      </c>
      <c r="I122" t="s">
        <v>2911</v>
      </c>
      <c r="J122" t="s">
        <v>46</v>
      </c>
      <c r="K122" t="s">
        <v>422</v>
      </c>
      <c r="L122" t="s">
        <v>32</v>
      </c>
      <c r="M122">
        <v>100</v>
      </c>
      <c r="N122" t="s">
        <v>49</v>
      </c>
      <c r="O122" t="s">
        <v>2912</v>
      </c>
      <c r="P122" t="s">
        <v>58</v>
      </c>
      <c r="Q122" t="s">
        <v>2913</v>
      </c>
      <c r="R122" t="s">
        <v>37</v>
      </c>
      <c r="S122" t="s">
        <v>2914</v>
      </c>
      <c r="T122" t="s">
        <v>55</v>
      </c>
      <c r="U122" t="s">
        <v>56</v>
      </c>
      <c r="V122" t="s">
        <v>56</v>
      </c>
    </row>
    <row r="123" spans="1:22" x14ac:dyDescent="0.3">
      <c r="A123" s="49">
        <v>45632</v>
      </c>
      <c r="B123" t="s">
        <v>965</v>
      </c>
      <c r="C123" t="s">
        <v>966</v>
      </c>
      <c r="D123" t="s">
        <v>173</v>
      </c>
      <c r="E123" t="s">
        <v>2909</v>
      </c>
      <c r="F123" t="s">
        <v>2910</v>
      </c>
      <c r="G123" t="s">
        <v>2759</v>
      </c>
      <c r="H123" t="s">
        <v>28</v>
      </c>
      <c r="I123" t="s">
        <v>2911</v>
      </c>
      <c r="J123" t="s">
        <v>46</v>
      </c>
      <c r="K123" t="s">
        <v>422</v>
      </c>
      <c r="L123" t="s">
        <v>32</v>
      </c>
      <c r="M123">
        <v>100</v>
      </c>
      <c r="N123" t="s">
        <v>49</v>
      </c>
      <c r="O123" t="s">
        <v>2912</v>
      </c>
      <c r="P123" t="s">
        <v>58</v>
      </c>
      <c r="Q123" t="s">
        <v>2913</v>
      </c>
      <c r="R123" t="s">
        <v>37</v>
      </c>
      <c r="S123" t="s">
        <v>2914</v>
      </c>
      <c r="T123" t="s">
        <v>55</v>
      </c>
      <c r="U123" t="s">
        <v>56</v>
      </c>
      <c r="V123" t="s">
        <v>56</v>
      </c>
    </row>
    <row r="124" spans="1:22" x14ac:dyDescent="0.3">
      <c r="A124" s="49">
        <v>45632</v>
      </c>
      <c r="B124" t="s">
        <v>965</v>
      </c>
      <c r="C124" t="s">
        <v>966</v>
      </c>
      <c r="D124" t="s">
        <v>173</v>
      </c>
      <c r="E124" t="s">
        <v>2909</v>
      </c>
      <c r="F124" t="s">
        <v>2910</v>
      </c>
      <c r="G124" t="s">
        <v>2759</v>
      </c>
      <c r="H124" t="s">
        <v>28</v>
      </c>
      <c r="I124" t="s">
        <v>2911</v>
      </c>
      <c r="J124" t="s">
        <v>46</v>
      </c>
      <c r="K124" t="s">
        <v>422</v>
      </c>
      <c r="L124" t="s">
        <v>32</v>
      </c>
      <c r="M124">
        <v>100</v>
      </c>
      <c r="N124" t="s">
        <v>49</v>
      </c>
      <c r="O124" t="s">
        <v>2912</v>
      </c>
      <c r="P124" t="s">
        <v>58</v>
      </c>
      <c r="Q124" t="s">
        <v>2913</v>
      </c>
      <c r="R124" t="s">
        <v>37</v>
      </c>
      <c r="S124" t="s">
        <v>2914</v>
      </c>
      <c r="T124" t="s">
        <v>55</v>
      </c>
      <c r="U124" t="s">
        <v>56</v>
      </c>
      <c r="V124" t="s">
        <v>56</v>
      </c>
    </row>
    <row r="125" spans="1:22" x14ac:dyDescent="0.3">
      <c r="A125" s="49">
        <v>45632</v>
      </c>
      <c r="B125" t="s">
        <v>965</v>
      </c>
      <c r="C125" t="s">
        <v>966</v>
      </c>
      <c r="D125" t="s">
        <v>173</v>
      </c>
      <c r="E125" t="s">
        <v>2915</v>
      </c>
      <c r="F125" t="s">
        <v>1987</v>
      </c>
      <c r="G125" t="s">
        <v>2617</v>
      </c>
      <c r="H125" t="s">
        <v>89</v>
      </c>
      <c r="J125" t="s">
        <v>63</v>
      </c>
      <c r="K125" t="s">
        <v>414</v>
      </c>
      <c r="L125" t="s">
        <v>32</v>
      </c>
      <c r="M125">
        <v>100</v>
      </c>
      <c r="N125" t="s">
        <v>33</v>
      </c>
      <c r="O125" t="s">
        <v>2916</v>
      </c>
      <c r="P125" t="s">
        <v>873</v>
      </c>
      <c r="Q125" t="s">
        <v>2540</v>
      </c>
      <c r="R125" t="s">
        <v>37</v>
      </c>
      <c r="S125" t="s">
        <v>1978</v>
      </c>
      <c r="T125" t="s">
        <v>55</v>
      </c>
      <c r="U125" t="s">
        <v>56</v>
      </c>
      <c r="V125" t="s">
        <v>56</v>
      </c>
    </row>
    <row r="126" spans="1:22" x14ac:dyDescent="0.3">
      <c r="A126" s="49">
        <v>45632</v>
      </c>
      <c r="B126" t="s">
        <v>965</v>
      </c>
      <c r="C126" t="s">
        <v>966</v>
      </c>
      <c r="D126" t="s">
        <v>173</v>
      </c>
      <c r="E126" t="s">
        <v>2915</v>
      </c>
      <c r="F126" t="s">
        <v>1987</v>
      </c>
      <c r="G126" t="s">
        <v>2617</v>
      </c>
      <c r="H126" t="s">
        <v>89</v>
      </c>
      <c r="J126" t="s">
        <v>63</v>
      </c>
      <c r="K126" t="s">
        <v>414</v>
      </c>
      <c r="L126" t="s">
        <v>32</v>
      </c>
      <c r="M126">
        <v>100</v>
      </c>
      <c r="N126" t="s">
        <v>33</v>
      </c>
      <c r="O126" t="s">
        <v>2916</v>
      </c>
      <c r="P126" t="s">
        <v>873</v>
      </c>
      <c r="Q126" t="s">
        <v>2540</v>
      </c>
      <c r="R126" t="s">
        <v>37</v>
      </c>
      <c r="S126" t="s">
        <v>1978</v>
      </c>
      <c r="T126" t="s">
        <v>55</v>
      </c>
      <c r="U126" t="s">
        <v>56</v>
      </c>
      <c r="V126" t="s">
        <v>56</v>
      </c>
    </row>
    <row r="127" spans="1:22" x14ac:dyDescent="0.3">
      <c r="A127" s="49">
        <v>45632</v>
      </c>
      <c r="B127" t="s">
        <v>965</v>
      </c>
      <c r="C127" t="s">
        <v>966</v>
      </c>
      <c r="D127" t="s">
        <v>173</v>
      </c>
      <c r="E127" t="s">
        <v>2915</v>
      </c>
      <c r="F127" t="s">
        <v>1987</v>
      </c>
      <c r="G127" t="s">
        <v>2617</v>
      </c>
      <c r="H127" t="s">
        <v>89</v>
      </c>
      <c r="J127" t="s">
        <v>63</v>
      </c>
      <c r="K127" t="s">
        <v>414</v>
      </c>
      <c r="L127" t="s">
        <v>32</v>
      </c>
      <c r="M127">
        <v>100</v>
      </c>
      <c r="N127" t="s">
        <v>33</v>
      </c>
      <c r="O127" t="s">
        <v>2916</v>
      </c>
      <c r="P127" t="s">
        <v>873</v>
      </c>
      <c r="Q127" t="s">
        <v>2540</v>
      </c>
      <c r="R127" t="s">
        <v>37</v>
      </c>
      <c r="S127" t="s">
        <v>1978</v>
      </c>
      <c r="T127" t="s">
        <v>55</v>
      </c>
      <c r="U127" t="s">
        <v>56</v>
      </c>
      <c r="V127" t="s">
        <v>56</v>
      </c>
    </row>
    <row r="128" spans="1:22" x14ac:dyDescent="0.3">
      <c r="A128" s="49">
        <v>45632</v>
      </c>
      <c r="B128" t="s">
        <v>965</v>
      </c>
      <c r="C128" t="s">
        <v>966</v>
      </c>
      <c r="D128" t="s">
        <v>173</v>
      </c>
      <c r="E128" t="s">
        <v>2915</v>
      </c>
      <c r="F128" t="s">
        <v>1987</v>
      </c>
      <c r="G128" t="s">
        <v>2617</v>
      </c>
      <c r="H128" t="s">
        <v>89</v>
      </c>
      <c r="J128" t="s">
        <v>63</v>
      </c>
      <c r="K128" t="s">
        <v>414</v>
      </c>
      <c r="L128" t="s">
        <v>32</v>
      </c>
      <c r="M128">
        <v>100</v>
      </c>
      <c r="N128" t="s">
        <v>33</v>
      </c>
      <c r="O128" t="s">
        <v>2916</v>
      </c>
      <c r="P128" t="s">
        <v>873</v>
      </c>
      <c r="Q128" t="s">
        <v>2540</v>
      </c>
      <c r="R128" t="s">
        <v>37</v>
      </c>
      <c r="S128" t="s">
        <v>1978</v>
      </c>
      <c r="T128" t="s">
        <v>55</v>
      </c>
      <c r="U128" t="s">
        <v>56</v>
      </c>
      <c r="V128" t="s">
        <v>56</v>
      </c>
    </row>
    <row r="129" spans="1:22" x14ac:dyDescent="0.3">
      <c r="A129" s="49">
        <v>45632</v>
      </c>
      <c r="B129" t="s">
        <v>965</v>
      </c>
      <c r="C129" t="s">
        <v>966</v>
      </c>
      <c r="D129" t="s">
        <v>173</v>
      </c>
      <c r="E129" t="s">
        <v>2915</v>
      </c>
      <c r="F129" t="s">
        <v>1987</v>
      </c>
      <c r="G129" t="s">
        <v>2617</v>
      </c>
      <c r="H129" t="s">
        <v>89</v>
      </c>
      <c r="J129" t="s">
        <v>63</v>
      </c>
      <c r="K129" t="s">
        <v>414</v>
      </c>
      <c r="L129" t="s">
        <v>32</v>
      </c>
      <c r="M129">
        <v>100</v>
      </c>
      <c r="N129" t="s">
        <v>33</v>
      </c>
      <c r="O129" t="s">
        <v>2916</v>
      </c>
      <c r="P129" t="s">
        <v>873</v>
      </c>
      <c r="Q129" t="s">
        <v>2540</v>
      </c>
      <c r="R129" t="s">
        <v>37</v>
      </c>
      <c r="S129" t="s">
        <v>1978</v>
      </c>
      <c r="T129" t="s">
        <v>55</v>
      </c>
      <c r="U129" t="s">
        <v>56</v>
      </c>
      <c r="V129" t="s">
        <v>56</v>
      </c>
    </row>
    <row r="130" spans="1:22" x14ac:dyDescent="0.3">
      <c r="A130" s="49">
        <v>45632</v>
      </c>
      <c r="B130" t="s">
        <v>965</v>
      </c>
      <c r="C130" t="s">
        <v>966</v>
      </c>
      <c r="D130" t="s">
        <v>173</v>
      </c>
      <c r="E130" t="s">
        <v>2915</v>
      </c>
      <c r="F130" t="s">
        <v>1987</v>
      </c>
      <c r="G130" t="s">
        <v>2617</v>
      </c>
      <c r="H130" t="s">
        <v>89</v>
      </c>
      <c r="J130" t="s">
        <v>63</v>
      </c>
      <c r="K130" t="s">
        <v>414</v>
      </c>
      <c r="L130" t="s">
        <v>32</v>
      </c>
      <c r="M130">
        <v>100</v>
      </c>
      <c r="N130" t="s">
        <v>33</v>
      </c>
      <c r="O130" t="s">
        <v>2916</v>
      </c>
      <c r="P130" t="s">
        <v>873</v>
      </c>
      <c r="Q130" t="s">
        <v>2540</v>
      </c>
      <c r="R130" t="s">
        <v>37</v>
      </c>
      <c r="S130" t="s">
        <v>1978</v>
      </c>
      <c r="T130" t="s">
        <v>55</v>
      </c>
      <c r="U130" t="s">
        <v>56</v>
      </c>
      <c r="V130" t="s">
        <v>56</v>
      </c>
    </row>
    <row r="131" spans="1:22" x14ac:dyDescent="0.3">
      <c r="A131" s="49">
        <v>45632</v>
      </c>
      <c r="B131" t="s">
        <v>965</v>
      </c>
      <c r="C131" t="s">
        <v>966</v>
      </c>
      <c r="D131" t="s">
        <v>173</v>
      </c>
      <c r="E131" t="s">
        <v>2915</v>
      </c>
      <c r="F131" t="s">
        <v>1987</v>
      </c>
      <c r="G131" t="s">
        <v>2617</v>
      </c>
      <c r="H131" t="s">
        <v>89</v>
      </c>
      <c r="J131" t="s">
        <v>63</v>
      </c>
      <c r="K131" t="s">
        <v>414</v>
      </c>
      <c r="L131" t="s">
        <v>32</v>
      </c>
      <c r="M131">
        <v>100</v>
      </c>
      <c r="N131" t="s">
        <v>33</v>
      </c>
      <c r="O131" t="s">
        <v>2916</v>
      </c>
      <c r="P131" t="s">
        <v>873</v>
      </c>
      <c r="Q131" t="s">
        <v>2540</v>
      </c>
      <c r="R131" t="s">
        <v>37</v>
      </c>
      <c r="S131" t="s">
        <v>1978</v>
      </c>
      <c r="T131" t="s">
        <v>55</v>
      </c>
      <c r="U131" t="s">
        <v>56</v>
      </c>
      <c r="V131" t="s">
        <v>56</v>
      </c>
    </row>
    <row r="132" spans="1:22" x14ac:dyDescent="0.3">
      <c r="A132" s="49">
        <v>45632</v>
      </c>
      <c r="B132" t="s">
        <v>965</v>
      </c>
      <c r="C132" t="s">
        <v>966</v>
      </c>
      <c r="D132" t="s">
        <v>173</v>
      </c>
      <c r="E132" t="s">
        <v>1672</v>
      </c>
      <c r="F132" t="s">
        <v>1673</v>
      </c>
      <c r="G132" t="s">
        <v>2917</v>
      </c>
      <c r="H132" t="s">
        <v>89</v>
      </c>
      <c r="J132" t="s">
        <v>46</v>
      </c>
      <c r="K132" t="s">
        <v>610</v>
      </c>
      <c r="L132" t="s">
        <v>32</v>
      </c>
      <c r="M132">
        <v>100</v>
      </c>
      <c r="N132" t="s">
        <v>33</v>
      </c>
      <c r="O132" t="s">
        <v>2918</v>
      </c>
      <c r="P132" t="s">
        <v>163</v>
      </c>
      <c r="Q132" t="s">
        <v>2919</v>
      </c>
      <c r="R132" t="s">
        <v>37</v>
      </c>
      <c r="S132" t="s">
        <v>1676</v>
      </c>
      <c r="T132" t="s">
        <v>39</v>
      </c>
      <c r="U132" t="s">
        <v>40</v>
      </c>
      <c r="V132" t="s">
        <v>41</v>
      </c>
    </row>
    <row r="133" spans="1:22" x14ac:dyDescent="0.3">
      <c r="A133" s="49">
        <v>45632</v>
      </c>
      <c r="B133" t="s">
        <v>965</v>
      </c>
      <c r="C133" t="s">
        <v>966</v>
      </c>
      <c r="D133" t="s">
        <v>173</v>
      </c>
      <c r="E133" t="s">
        <v>1672</v>
      </c>
      <c r="F133" t="s">
        <v>1673</v>
      </c>
      <c r="G133" t="s">
        <v>2917</v>
      </c>
      <c r="H133" t="s">
        <v>89</v>
      </c>
      <c r="J133" t="s">
        <v>46</v>
      </c>
      <c r="K133" t="s">
        <v>610</v>
      </c>
      <c r="L133" t="s">
        <v>32</v>
      </c>
      <c r="M133">
        <v>100</v>
      </c>
      <c r="N133" t="s">
        <v>33</v>
      </c>
      <c r="O133" t="s">
        <v>2918</v>
      </c>
      <c r="P133" t="s">
        <v>163</v>
      </c>
      <c r="Q133" t="s">
        <v>2919</v>
      </c>
      <c r="R133" t="s">
        <v>37</v>
      </c>
      <c r="S133" t="s">
        <v>1676</v>
      </c>
      <c r="T133" t="s">
        <v>39</v>
      </c>
      <c r="U133" t="s">
        <v>40</v>
      </c>
      <c r="V133" t="s">
        <v>41</v>
      </c>
    </row>
    <row r="134" spans="1:22" x14ac:dyDescent="0.3">
      <c r="A134" s="49">
        <v>45632</v>
      </c>
      <c r="B134" t="s">
        <v>965</v>
      </c>
      <c r="C134" t="s">
        <v>966</v>
      </c>
      <c r="D134" t="s">
        <v>173</v>
      </c>
      <c r="E134" t="s">
        <v>1672</v>
      </c>
      <c r="F134" t="s">
        <v>1673</v>
      </c>
      <c r="G134" t="s">
        <v>2917</v>
      </c>
      <c r="H134" t="s">
        <v>89</v>
      </c>
      <c r="J134" t="s">
        <v>46</v>
      </c>
      <c r="K134" t="s">
        <v>610</v>
      </c>
      <c r="L134" t="s">
        <v>32</v>
      </c>
      <c r="M134">
        <v>100</v>
      </c>
      <c r="N134" t="s">
        <v>33</v>
      </c>
      <c r="O134" t="s">
        <v>2918</v>
      </c>
      <c r="P134" t="s">
        <v>163</v>
      </c>
      <c r="Q134" t="s">
        <v>2919</v>
      </c>
      <c r="R134" t="s">
        <v>37</v>
      </c>
      <c r="S134" t="s">
        <v>1676</v>
      </c>
      <c r="T134" t="s">
        <v>39</v>
      </c>
      <c r="U134" t="s">
        <v>40</v>
      </c>
      <c r="V134" t="s">
        <v>41</v>
      </c>
    </row>
    <row r="135" spans="1:22" x14ac:dyDescent="0.3">
      <c r="A135" s="49">
        <v>45632</v>
      </c>
      <c r="B135" t="s">
        <v>965</v>
      </c>
      <c r="C135" t="s">
        <v>966</v>
      </c>
      <c r="D135" t="s">
        <v>173</v>
      </c>
      <c r="E135" t="s">
        <v>1672</v>
      </c>
      <c r="F135" t="s">
        <v>1673</v>
      </c>
      <c r="G135" t="s">
        <v>2917</v>
      </c>
      <c r="H135" t="s">
        <v>89</v>
      </c>
      <c r="J135" t="s">
        <v>46</v>
      </c>
      <c r="K135" t="s">
        <v>610</v>
      </c>
      <c r="L135" t="s">
        <v>32</v>
      </c>
      <c r="M135">
        <v>100</v>
      </c>
      <c r="N135" t="s">
        <v>33</v>
      </c>
      <c r="O135" t="s">
        <v>2918</v>
      </c>
      <c r="P135" t="s">
        <v>163</v>
      </c>
      <c r="Q135" t="s">
        <v>2919</v>
      </c>
      <c r="R135" t="s">
        <v>37</v>
      </c>
      <c r="S135" t="s">
        <v>1676</v>
      </c>
      <c r="T135" t="s">
        <v>39</v>
      </c>
      <c r="U135" t="s">
        <v>40</v>
      </c>
      <c r="V135" t="s">
        <v>41</v>
      </c>
    </row>
    <row r="136" spans="1:22" x14ac:dyDescent="0.3">
      <c r="A136" s="49">
        <v>45632</v>
      </c>
      <c r="B136" t="s">
        <v>965</v>
      </c>
      <c r="C136" t="s">
        <v>966</v>
      </c>
      <c r="D136" t="s">
        <v>173</v>
      </c>
      <c r="E136" t="s">
        <v>1672</v>
      </c>
      <c r="F136" t="s">
        <v>1673</v>
      </c>
      <c r="G136" t="s">
        <v>2917</v>
      </c>
      <c r="H136" t="s">
        <v>89</v>
      </c>
      <c r="J136" t="s">
        <v>46</v>
      </c>
      <c r="K136" t="s">
        <v>610</v>
      </c>
      <c r="L136" t="s">
        <v>32</v>
      </c>
      <c r="M136">
        <v>100</v>
      </c>
      <c r="N136" t="s">
        <v>33</v>
      </c>
      <c r="O136" t="s">
        <v>2918</v>
      </c>
      <c r="P136" t="s">
        <v>163</v>
      </c>
      <c r="Q136" t="s">
        <v>2919</v>
      </c>
      <c r="R136" t="s">
        <v>37</v>
      </c>
      <c r="S136" t="s">
        <v>1676</v>
      </c>
      <c r="T136" t="s">
        <v>39</v>
      </c>
      <c r="U136" t="s">
        <v>40</v>
      </c>
      <c r="V136" t="s">
        <v>41</v>
      </c>
    </row>
    <row r="137" spans="1:22" x14ac:dyDescent="0.3">
      <c r="A137" s="49">
        <v>45632</v>
      </c>
      <c r="B137" t="s">
        <v>965</v>
      </c>
      <c r="C137" t="s">
        <v>966</v>
      </c>
      <c r="D137" t="s">
        <v>173</v>
      </c>
      <c r="E137" t="s">
        <v>1672</v>
      </c>
      <c r="F137" t="s">
        <v>1673</v>
      </c>
      <c r="G137" t="s">
        <v>2917</v>
      </c>
      <c r="H137" t="s">
        <v>89</v>
      </c>
      <c r="J137" t="s">
        <v>46</v>
      </c>
      <c r="K137" t="s">
        <v>610</v>
      </c>
      <c r="L137" t="s">
        <v>32</v>
      </c>
      <c r="M137">
        <v>100</v>
      </c>
      <c r="N137" t="s">
        <v>33</v>
      </c>
      <c r="O137" t="s">
        <v>2918</v>
      </c>
      <c r="P137" t="s">
        <v>163</v>
      </c>
      <c r="Q137" t="s">
        <v>2919</v>
      </c>
      <c r="R137" t="s">
        <v>37</v>
      </c>
      <c r="S137" t="s">
        <v>1676</v>
      </c>
      <c r="T137" t="s">
        <v>39</v>
      </c>
      <c r="U137" t="s">
        <v>40</v>
      </c>
      <c r="V137" t="s">
        <v>41</v>
      </c>
    </row>
    <row r="138" spans="1:22" x14ac:dyDescent="0.3">
      <c r="A138" s="49">
        <v>45632</v>
      </c>
      <c r="B138" t="s">
        <v>965</v>
      </c>
      <c r="C138" t="s">
        <v>966</v>
      </c>
      <c r="D138" t="s">
        <v>173</v>
      </c>
      <c r="E138" t="s">
        <v>1672</v>
      </c>
      <c r="F138" t="s">
        <v>1673</v>
      </c>
      <c r="G138" t="s">
        <v>2917</v>
      </c>
      <c r="H138" t="s">
        <v>89</v>
      </c>
      <c r="J138" t="s">
        <v>46</v>
      </c>
      <c r="K138" t="s">
        <v>610</v>
      </c>
      <c r="L138" t="s">
        <v>32</v>
      </c>
      <c r="M138">
        <v>100</v>
      </c>
      <c r="N138" t="s">
        <v>33</v>
      </c>
      <c r="O138" t="s">
        <v>2918</v>
      </c>
      <c r="P138" t="s">
        <v>163</v>
      </c>
      <c r="Q138" t="s">
        <v>2919</v>
      </c>
      <c r="R138" t="s">
        <v>37</v>
      </c>
      <c r="S138" t="s">
        <v>1676</v>
      </c>
      <c r="T138" t="s">
        <v>39</v>
      </c>
      <c r="U138" t="s">
        <v>40</v>
      </c>
      <c r="V138" t="s">
        <v>41</v>
      </c>
    </row>
    <row r="139" spans="1:22" x14ac:dyDescent="0.3">
      <c r="A139" s="49">
        <v>45632</v>
      </c>
      <c r="B139" t="s">
        <v>965</v>
      </c>
      <c r="C139" t="s">
        <v>966</v>
      </c>
      <c r="D139" t="s">
        <v>173</v>
      </c>
      <c r="E139" t="s">
        <v>1672</v>
      </c>
      <c r="F139" t="s">
        <v>1673</v>
      </c>
      <c r="G139" t="s">
        <v>2917</v>
      </c>
      <c r="H139" t="s">
        <v>89</v>
      </c>
      <c r="J139" t="s">
        <v>46</v>
      </c>
      <c r="K139" t="s">
        <v>610</v>
      </c>
      <c r="L139" t="s">
        <v>32</v>
      </c>
      <c r="M139">
        <v>100</v>
      </c>
      <c r="N139" t="s">
        <v>33</v>
      </c>
      <c r="O139" t="s">
        <v>2918</v>
      </c>
      <c r="P139" t="s">
        <v>163</v>
      </c>
      <c r="Q139" t="s">
        <v>2919</v>
      </c>
      <c r="R139" t="s">
        <v>37</v>
      </c>
      <c r="S139" t="s">
        <v>1676</v>
      </c>
      <c r="T139" t="s">
        <v>39</v>
      </c>
      <c r="U139" t="s">
        <v>40</v>
      </c>
      <c r="V139" t="s">
        <v>41</v>
      </c>
    </row>
    <row r="140" spans="1:22" x14ac:dyDescent="0.3">
      <c r="A140" s="49">
        <v>45632</v>
      </c>
      <c r="B140" t="s">
        <v>965</v>
      </c>
      <c r="C140" t="s">
        <v>966</v>
      </c>
      <c r="D140" t="s">
        <v>173</v>
      </c>
      <c r="E140" t="s">
        <v>1672</v>
      </c>
      <c r="F140" t="s">
        <v>1673</v>
      </c>
      <c r="G140" t="s">
        <v>2917</v>
      </c>
      <c r="H140" t="s">
        <v>89</v>
      </c>
      <c r="J140" t="s">
        <v>46</v>
      </c>
      <c r="K140" t="s">
        <v>610</v>
      </c>
      <c r="L140" t="s">
        <v>32</v>
      </c>
      <c r="M140">
        <v>100</v>
      </c>
      <c r="N140" t="s">
        <v>33</v>
      </c>
      <c r="O140" t="s">
        <v>2918</v>
      </c>
      <c r="P140" t="s">
        <v>163</v>
      </c>
      <c r="Q140" t="s">
        <v>2919</v>
      </c>
      <c r="R140" t="s">
        <v>37</v>
      </c>
      <c r="S140" t="s">
        <v>1676</v>
      </c>
      <c r="T140" t="s">
        <v>39</v>
      </c>
      <c r="U140" t="s">
        <v>40</v>
      </c>
      <c r="V140" t="s">
        <v>41</v>
      </c>
    </row>
    <row r="141" spans="1:22" x14ac:dyDescent="0.3">
      <c r="A141" s="49">
        <v>45632</v>
      </c>
      <c r="B141" t="s">
        <v>965</v>
      </c>
      <c r="C141" t="s">
        <v>966</v>
      </c>
      <c r="D141" t="s">
        <v>173</v>
      </c>
      <c r="E141" t="s">
        <v>2111</v>
      </c>
      <c r="F141" t="s">
        <v>2112</v>
      </c>
      <c r="G141" t="s">
        <v>2920</v>
      </c>
      <c r="H141" t="s">
        <v>28</v>
      </c>
      <c r="I141" t="s">
        <v>2921</v>
      </c>
      <c r="J141" t="s">
        <v>46</v>
      </c>
      <c r="K141" t="s">
        <v>640</v>
      </c>
      <c r="L141" t="s">
        <v>32</v>
      </c>
      <c r="M141">
        <v>100</v>
      </c>
      <c r="N141" t="s">
        <v>49</v>
      </c>
      <c r="O141" t="s">
        <v>2922</v>
      </c>
      <c r="P141" t="s">
        <v>572</v>
      </c>
      <c r="Q141" t="s">
        <v>2923</v>
      </c>
      <c r="R141" t="s">
        <v>614</v>
      </c>
      <c r="S141" t="s">
        <v>2924</v>
      </c>
      <c r="T141" t="s">
        <v>39</v>
      </c>
      <c r="U141" t="s">
        <v>40</v>
      </c>
      <c r="V141" t="s">
        <v>41</v>
      </c>
    </row>
    <row r="142" spans="1:22" x14ac:dyDescent="0.3">
      <c r="A142" s="49">
        <v>45632</v>
      </c>
      <c r="B142" t="s">
        <v>965</v>
      </c>
      <c r="C142" t="s">
        <v>966</v>
      </c>
      <c r="D142" t="s">
        <v>173</v>
      </c>
      <c r="E142" t="s">
        <v>2925</v>
      </c>
      <c r="F142" t="s">
        <v>1992</v>
      </c>
      <c r="G142" t="s">
        <v>1346</v>
      </c>
      <c r="H142" t="s">
        <v>89</v>
      </c>
      <c r="J142" t="s">
        <v>30</v>
      </c>
      <c r="K142" t="s">
        <v>264</v>
      </c>
      <c r="L142" t="s">
        <v>641</v>
      </c>
      <c r="M142">
        <v>100</v>
      </c>
      <c r="N142" t="s">
        <v>33</v>
      </c>
      <c r="O142" t="s">
        <v>2926</v>
      </c>
      <c r="P142" t="s">
        <v>1586</v>
      </c>
      <c r="Q142" t="s">
        <v>2927</v>
      </c>
      <c r="R142" t="s">
        <v>37</v>
      </c>
      <c r="S142" t="s">
        <v>2928</v>
      </c>
      <c r="T142" t="s">
        <v>55</v>
      </c>
      <c r="U142" t="s">
        <v>56</v>
      </c>
      <c r="V142" t="s">
        <v>56</v>
      </c>
    </row>
    <row r="143" spans="1:22" x14ac:dyDescent="0.3">
      <c r="A143" s="49">
        <v>45632</v>
      </c>
      <c r="B143" t="s">
        <v>965</v>
      </c>
      <c r="C143" t="s">
        <v>966</v>
      </c>
      <c r="D143" t="s">
        <v>173</v>
      </c>
      <c r="E143" t="s">
        <v>2925</v>
      </c>
      <c r="F143" t="s">
        <v>1992</v>
      </c>
      <c r="G143" t="s">
        <v>1346</v>
      </c>
      <c r="H143" t="s">
        <v>89</v>
      </c>
      <c r="J143" t="s">
        <v>30</v>
      </c>
      <c r="K143" t="s">
        <v>264</v>
      </c>
      <c r="L143" t="s">
        <v>641</v>
      </c>
      <c r="M143">
        <v>100</v>
      </c>
      <c r="N143" t="s">
        <v>33</v>
      </c>
      <c r="O143" t="s">
        <v>2926</v>
      </c>
      <c r="P143" t="s">
        <v>1586</v>
      </c>
      <c r="Q143" t="s">
        <v>2927</v>
      </c>
      <c r="R143" t="s">
        <v>37</v>
      </c>
      <c r="S143" t="s">
        <v>2928</v>
      </c>
      <c r="T143" t="s">
        <v>55</v>
      </c>
      <c r="U143" t="s">
        <v>56</v>
      </c>
      <c r="V143" t="s">
        <v>56</v>
      </c>
    </row>
    <row r="144" spans="1:22" x14ac:dyDescent="0.3">
      <c r="A144" s="49">
        <v>45632</v>
      </c>
      <c r="B144" t="s">
        <v>965</v>
      </c>
      <c r="C144" t="s">
        <v>966</v>
      </c>
      <c r="D144" t="s">
        <v>173</v>
      </c>
      <c r="E144" t="s">
        <v>2925</v>
      </c>
      <c r="F144" t="s">
        <v>1992</v>
      </c>
      <c r="G144" t="s">
        <v>1346</v>
      </c>
      <c r="H144" t="s">
        <v>89</v>
      </c>
      <c r="J144" t="s">
        <v>30</v>
      </c>
      <c r="K144" t="s">
        <v>264</v>
      </c>
      <c r="L144" t="s">
        <v>641</v>
      </c>
      <c r="M144">
        <v>100</v>
      </c>
      <c r="N144" t="s">
        <v>33</v>
      </c>
      <c r="O144" t="s">
        <v>2926</v>
      </c>
      <c r="P144" t="s">
        <v>1586</v>
      </c>
      <c r="Q144" t="s">
        <v>2927</v>
      </c>
      <c r="R144" t="s">
        <v>37</v>
      </c>
      <c r="S144" t="s">
        <v>2928</v>
      </c>
      <c r="T144" t="s">
        <v>55</v>
      </c>
      <c r="U144" t="s">
        <v>56</v>
      </c>
      <c r="V144" t="s">
        <v>56</v>
      </c>
    </row>
    <row r="145" spans="1:22" x14ac:dyDescent="0.3">
      <c r="A145" s="49">
        <v>45632</v>
      </c>
      <c r="B145" t="s">
        <v>965</v>
      </c>
      <c r="C145" t="s">
        <v>966</v>
      </c>
      <c r="D145" t="s">
        <v>173</v>
      </c>
      <c r="E145" t="s">
        <v>2925</v>
      </c>
      <c r="F145" t="s">
        <v>1992</v>
      </c>
      <c r="G145" t="s">
        <v>1346</v>
      </c>
      <c r="H145" t="s">
        <v>89</v>
      </c>
      <c r="J145" t="s">
        <v>30</v>
      </c>
      <c r="K145" t="s">
        <v>264</v>
      </c>
      <c r="L145" t="s">
        <v>641</v>
      </c>
      <c r="M145">
        <v>100</v>
      </c>
      <c r="N145" t="s">
        <v>33</v>
      </c>
      <c r="O145" t="s">
        <v>2926</v>
      </c>
      <c r="P145" t="s">
        <v>1586</v>
      </c>
      <c r="Q145" t="s">
        <v>2927</v>
      </c>
      <c r="R145" t="s">
        <v>37</v>
      </c>
      <c r="S145" t="s">
        <v>2928</v>
      </c>
      <c r="T145" t="s">
        <v>55</v>
      </c>
      <c r="U145" t="s">
        <v>56</v>
      </c>
      <c r="V145" t="s">
        <v>56</v>
      </c>
    </row>
    <row r="146" spans="1:22" x14ac:dyDescent="0.3">
      <c r="A146" s="49">
        <v>45629</v>
      </c>
      <c r="B146" t="s">
        <v>457</v>
      </c>
      <c r="C146" t="s">
        <v>458</v>
      </c>
      <c r="D146" t="s">
        <v>173</v>
      </c>
      <c r="E146" t="s">
        <v>459</v>
      </c>
      <c r="F146" t="s">
        <v>460</v>
      </c>
      <c r="G146" t="s">
        <v>1453</v>
      </c>
      <c r="H146" t="s">
        <v>89</v>
      </c>
      <c r="J146" t="s">
        <v>63</v>
      </c>
      <c r="K146" t="s">
        <v>463</v>
      </c>
      <c r="L146" t="s">
        <v>32</v>
      </c>
      <c r="M146">
        <v>0</v>
      </c>
      <c r="N146" t="s">
        <v>74</v>
      </c>
      <c r="O146" t="s">
        <v>2750</v>
      </c>
      <c r="P146" t="s">
        <v>100</v>
      </c>
      <c r="Q146" t="s">
        <v>2751</v>
      </c>
      <c r="R146" t="s">
        <v>37</v>
      </c>
      <c r="S146" t="s">
        <v>970</v>
      </c>
      <c r="T146" t="s">
        <v>39</v>
      </c>
      <c r="U146" t="s">
        <v>40</v>
      </c>
      <c r="V146" t="s">
        <v>41</v>
      </c>
    </row>
    <row r="147" spans="1:22" x14ac:dyDescent="0.3">
      <c r="A147" s="49">
        <v>45629</v>
      </c>
      <c r="B147" t="s">
        <v>457</v>
      </c>
      <c r="C147" t="s">
        <v>458</v>
      </c>
      <c r="D147" t="s">
        <v>173</v>
      </c>
      <c r="E147" t="s">
        <v>94</v>
      </c>
      <c r="F147" t="s">
        <v>95</v>
      </c>
      <c r="G147" t="s">
        <v>2752</v>
      </c>
      <c r="H147" t="s">
        <v>28</v>
      </c>
      <c r="I147" t="s">
        <v>2753</v>
      </c>
      <c r="J147" t="s">
        <v>63</v>
      </c>
      <c r="K147" t="s">
        <v>1666</v>
      </c>
      <c r="L147" t="s">
        <v>32</v>
      </c>
      <c r="M147">
        <v>90</v>
      </c>
      <c r="N147" t="s">
        <v>49</v>
      </c>
      <c r="O147" t="s">
        <v>2754</v>
      </c>
      <c r="P147" t="s">
        <v>106</v>
      </c>
      <c r="Q147" t="s">
        <v>2755</v>
      </c>
      <c r="R147" t="s">
        <v>37</v>
      </c>
      <c r="S147" t="s">
        <v>2756</v>
      </c>
      <c r="T147" t="s">
        <v>55</v>
      </c>
      <c r="U147" t="s">
        <v>56</v>
      </c>
      <c r="V147" t="s">
        <v>56</v>
      </c>
    </row>
    <row r="148" spans="1:22" x14ac:dyDescent="0.3">
      <c r="A148" s="49">
        <v>45629</v>
      </c>
      <c r="B148" t="s">
        <v>457</v>
      </c>
      <c r="C148" t="s">
        <v>458</v>
      </c>
      <c r="D148" t="s">
        <v>173</v>
      </c>
      <c r="E148" t="s">
        <v>2757</v>
      </c>
      <c r="F148" t="s">
        <v>2758</v>
      </c>
      <c r="G148" t="s">
        <v>2759</v>
      </c>
      <c r="H148" t="s">
        <v>28</v>
      </c>
      <c r="I148" t="s">
        <v>2760</v>
      </c>
      <c r="J148" t="s">
        <v>46</v>
      </c>
      <c r="K148" t="s">
        <v>640</v>
      </c>
      <c r="L148" t="s">
        <v>1379</v>
      </c>
      <c r="M148">
        <v>0</v>
      </c>
      <c r="N148" t="s">
        <v>49</v>
      </c>
      <c r="O148" t="s">
        <v>2761</v>
      </c>
      <c r="P148" t="s">
        <v>108</v>
      </c>
      <c r="Q148" t="s">
        <v>2762</v>
      </c>
      <c r="R148" t="s">
        <v>783</v>
      </c>
      <c r="S148" t="s">
        <v>2763</v>
      </c>
      <c r="T148" t="s">
        <v>55</v>
      </c>
      <c r="U148" t="s">
        <v>56</v>
      </c>
      <c r="V148" t="s">
        <v>56</v>
      </c>
    </row>
    <row r="149" spans="1:22" x14ac:dyDescent="0.3">
      <c r="A149" s="49">
        <v>45629</v>
      </c>
      <c r="B149" t="s">
        <v>457</v>
      </c>
      <c r="C149" t="s">
        <v>458</v>
      </c>
      <c r="D149" t="s">
        <v>173</v>
      </c>
      <c r="E149" t="s">
        <v>270</v>
      </c>
      <c r="F149" t="s">
        <v>271</v>
      </c>
      <c r="G149" t="s">
        <v>2764</v>
      </c>
      <c r="H149" t="s">
        <v>28</v>
      </c>
      <c r="I149" t="s">
        <v>2765</v>
      </c>
      <c r="J149" t="s">
        <v>30</v>
      </c>
      <c r="K149" t="s">
        <v>1546</v>
      </c>
      <c r="L149" t="s">
        <v>2766</v>
      </c>
      <c r="M149">
        <v>0</v>
      </c>
      <c r="N149" t="s">
        <v>74</v>
      </c>
      <c r="O149" t="s">
        <v>2767</v>
      </c>
      <c r="P149" t="s">
        <v>314</v>
      </c>
      <c r="Q149" t="s">
        <v>2768</v>
      </c>
      <c r="R149" t="s">
        <v>2769</v>
      </c>
      <c r="S149" t="s">
        <v>279</v>
      </c>
      <c r="T149" t="s">
        <v>55</v>
      </c>
      <c r="U149" t="s">
        <v>56</v>
      </c>
      <c r="V149" t="s">
        <v>56</v>
      </c>
    </row>
    <row r="150" spans="1:22" x14ac:dyDescent="0.3">
      <c r="A150" s="49">
        <v>45629</v>
      </c>
      <c r="B150" t="s">
        <v>457</v>
      </c>
      <c r="C150" t="s">
        <v>458</v>
      </c>
      <c r="D150" t="s">
        <v>173</v>
      </c>
      <c r="E150" t="s">
        <v>539</v>
      </c>
      <c r="F150" t="s">
        <v>540</v>
      </c>
      <c r="G150" t="s">
        <v>2206</v>
      </c>
      <c r="H150" t="s">
        <v>28</v>
      </c>
      <c r="I150" t="s">
        <v>2770</v>
      </c>
      <c r="J150" t="s">
        <v>63</v>
      </c>
      <c r="K150" t="s">
        <v>414</v>
      </c>
      <c r="L150" t="s">
        <v>32</v>
      </c>
      <c r="M150">
        <v>0</v>
      </c>
      <c r="N150" t="s">
        <v>74</v>
      </c>
      <c r="O150" t="s">
        <v>2771</v>
      </c>
      <c r="P150" t="s">
        <v>743</v>
      </c>
      <c r="Q150" t="s">
        <v>2772</v>
      </c>
      <c r="R150" t="s">
        <v>37</v>
      </c>
      <c r="S150" t="s">
        <v>545</v>
      </c>
      <c r="T150" t="s">
        <v>55</v>
      </c>
      <c r="U150" t="s">
        <v>56</v>
      </c>
      <c r="V150" t="s">
        <v>56</v>
      </c>
    </row>
    <row r="151" spans="1:22" x14ac:dyDescent="0.3">
      <c r="A151" s="49">
        <v>45629</v>
      </c>
      <c r="B151" t="s">
        <v>457</v>
      </c>
      <c r="C151" t="s">
        <v>458</v>
      </c>
      <c r="D151" t="s">
        <v>173</v>
      </c>
      <c r="E151" t="s">
        <v>561</v>
      </c>
      <c r="F151" t="s">
        <v>562</v>
      </c>
      <c r="G151" t="s">
        <v>2773</v>
      </c>
      <c r="H151" t="s">
        <v>89</v>
      </c>
      <c r="J151" t="s">
        <v>46</v>
      </c>
      <c r="K151" t="s">
        <v>640</v>
      </c>
      <c r="L151" t="s">
        <v>2182</v>
      </c>
      <c r="M151">
        <v>0</v>
      </c>
      <c r="N151" t="s">
        <v>74</v>
      </c>
      <c r="O151" t="s">
        <v>2774</v>
      </c>
      <c r="P151" t="s">
        <v>566</v>
      </c>
      <c r="Q151" t="s">
        <v>2775</v>
      </c>
      <c r="R151" t="s">
        <v>37</v>
      </c>
      <c r="S151" t="s">
        <v>2776</v>
      </c>
      <c r="T151" t="s">
        <v>55</v>
      </c>
      <c r="U151" t="s">
        <v>56</v>
      </c>
      <c r="V151" t="s">
        <v>56</v>
      </c>
    </row>
    <row r="152" spans="1:22" x14ac:dyDescent="0.3">
      <c r="A152" s="49">
        <v>45629</v>
      </c>
      <c r="B152" t="s">
        <v>457</v>
      </c>
      <c r="C152" t="s">
        <v>458</v>
      </c>
      <c r="D152" t="s">
        <v>173</v>
      </c>
      <c r="E152" t="s">
        <v>2777</v>
      </c>
      <c r="F152" t="s">
        <v>2778</v>
      </c>
      <c r="G152" t="s">
        <v>2779</v>
      </c>
      <c r="H152" t="s">
        <v>89</v>
      </c>
      <c r="J152" t="s">
        <v>63</v>
      </c>
      <c r="K152" t="s">
        <v>414</v>
      </c>
      <c r="L152" t="s">
        <v>32</v>
      </c>
      <c r="M152">
        <v>100</v>
      </c>
      <c r="N152" t="s">
        <v>49</v>
      </c>
      <c r="O152" t="s">
        <v>2780</v>
      </c>
      <c r="P152" t="s">
        <v>106</v>
      </c>
      <c r="Q152" t="s">
        <v>2781</v>
      </c>
      <c r="R152" t="s">
        <v>37</v>
      </c>
      <c r="S152" t="s">
        <v>2782</v>
      </c>
      <c r="T152" t="s">
        <v>55</v>
      </c>
      <c r="U152" t="s">
        <v>56</v>
      </c>
      <c r="V152" t="s">
        <v>56</v>
      </c>
    </row>
    <row r="153" spans="1:22" x14ac:dyDescent="0.3">
      <c r="A153" s="49">
        <v>45629</v>
      </c>
      <c r="B153" t="s">
        <v>457</v>
      </c>
      <c r="C153" t="s">
        <v>458</v>
      </c>
      <c r="D153" t="s">
        <v>173</v>
      </c>
      <c r="E153" t="s">
        <v>361</v>
      </c>
      <c r="F153" t="s">
        <v>362</v>
      </c>
      <c r="G153" t="s">
        <v>2783</v>
      </c>
      <c r="H153" t="s">
        <v>28</v>
      </c>
      <c r="I153" t="s">
        <v>2784</v>
      </c>
      <c r="J153" t="s">
        <v>30</v>
      </c>
      <c r="K153" t="s">
        <v>610</v>
      </c>
      <c r="L153" t="s">
        <v>32</v>
      </c>
      <c r="M153">
        <v>55</v>
      </c>
      <c r="N153" t="s">
        <v>33</v>
      </c>
      <c r="O153" t="s">
        <v>2785</v>
      </c>
      <c r="P153" t="s">
        <v>686</v>
      </c>
      <c r="Q153" t="s">
        <v>766</v>
      </c>
      <c r="R153" t="s">
        <v>37</v>
      </c>
      <c r="S153" t="s">
        <v>2786</v>
      </c>
      <c r="T153" t="s">
        <v>39</v>
      </c>
      <c r="U153" t="s">
        <v>40</v>
      </c>
      <c r="V153" t="s">
        <v>41</v>
      </c>
    </row>
    <row r="154" spans="1:22" x14ac:dyDescent="0.3">
      <c r="A154" s="49">
        <v>45629</v>
      </c>
      <c r="B154" t="s">
        <v>457</v>
      </c>
      <c r="C154" t="s">
        <v>458</v>
      </c>
      <c r="D154" t="s">
        <v>173</v>
      </c>
      <c r="E154" t="s">
        <v>1622</v>
      </c>
      <c r="F154" t="s">
        <v>1623</v>
      </c>
      <c r="G154" t="s">
        <v>2787</v>
      </c>
      <c r="H154" t="s">
        <v>89</v>
      </c>
      <c r="J154" t="s">
        <v>63</v>
      </c>
      <c r="K154" t="s">
        <v>1666</v>
      </c>
      <c r="L154" t="s">
        <v>32</v>
      </c>
      <c r="M154">
        <v>100</v>
      </c>
      <c r="N154" t="s">
        <v>49</v>
      </c>
      <c r="O154" t="s">
        <v>2788</v>
      </c>
      <c r="P154" t="s">
        <v>58</v>
      </c>
      <c r="Q154" t="s">
        <v>2789</v>
      </c>
      <c r="R154" t="s">
        <v>37</v>
      </c>
      <c r="S154" t="s">
        <v>2686</v>
      </c>
      <c r="T154" t="s">
        <v>55</v>
      </c>
      <c r="U154" t="s">
        <v>56</v>
      </c>
      <c r="V154" t="s">
        <v>56</v>
      </c>
    </row>
    <row r="155" spans="1:22" x14ac:dyDescent="0.3">
      <c r="A155" s="49">
        <v>45629</v>
      </c>
      <c r="B155" t="s">
        <v>457</v>
      </c>
      <c r="C155" t="s">
        <v>458</v>
      </c>
      <c r="D155" t="s">
        <v>173</v>
      </c>
      <c r="E155" t="s">
        <v>376</v>
      </c>
      <c r="F155" t="s">
        <v>377</v>
      </c>
      <c r="G155" t="s">
        <v>1491</v>
      </c>
      <c r="H155" t="s">
        <v>89</v>
      </c>
      <c r="J155" t="s">
        <v>63</v>
      </c>
      <c r="K155" t="s">
        <v>1807</v>
      </c>
      <c r="L155" t="s">
        <v>32</v>
      </c>
      <c r="M155">
        <v>70</v>
      </c>
      <c r="N155" t="s">
        <v>49</v>
      </c>
      <c r="O155" t="s">
        <v>2790</v>
      </c>
      <c r="P155" t="s">
        <v>170</v>
      </c>
      <c r="Q155" t="s">
        <v>2791</v>
      </c>
      <c r="R155" t="s">
        <v>37</v>
      </c>
      <c r="S155" t="s">
        <v>383</v>
      </c>
      <c r="T155" t="s">
        <v>39</v>
      </c>
      <c r="U155" t="s">
        <v>40</v>
      </c>
      <c r="V155" t="s">
        <v>41</v>
      </c>
    </row>
    <row r="156" spans="1:22" x14ac:dyDescent="0.3">
      <c r="A156" s="49">
        <v>45629</v>
      </c>
      <c r="B156" t="s">
        <v>457</v>
      </c>
      <c r="C156" t="s">
        <v>458</v>
      </c>
      <c r="D156" t="s">
        <v>173</v>
      </c>
      <c r="E156" t="s">
        <v>2792</v>
      </c>
      <c r="F156" t="s">
        <v>2793</v>
      </c>
      <c r="G156" t="s">
        <v>2794</v>
      </c>
      <c r="H156" t="s">
        <v>28</v>
      </c>
      <c r="I156" t="s">
        <v>2795</v>
      </c>
      <c r="J156" t="s">
        <v>46</v>
      </c>
      <c r="K156" t="s">
        <v>640</v>
      </c>
      <c r="L156" t="s">
        <v>1982</v>
      </c>
      <c r="M156">
        <v>0</v>
      </c>
      <c r="N156" t="s">
        <v>49</v>
      </c>
      <c r="O156" t="s">
        <v>2796</v>
      </c>
      <c r="P156" t="s">
        <v>651</v>
      </c>
      <c r="Q156" t="s">
        <v>2797</v>
      </c>
      <c r="R156" t="s">
        <v>783</v>
      </c>
      <c r="S156" t="s">
        <v>2798</v>
      </c>
      <c r="T156" t="s">
        <v>55</v>
      </c>
      <c r="U156" t="s">
        <v>56</v>
      </c>
      <c r="V156" t="s">
        <v>56</v>
      </c>
    </row>
    <row r="157" spans="1:22" x14ac:dyDescent="0.3">
      <c r="A157" s="49">
        <v>45624</v>
      </c>
      <c r="B157" t="s">
        <v>891</v>
      </c>
      <c r="C157" t="s">
        <v>892</v>
      </c>
      <c r="D157" t="s">
        <v>24</v>
      </c>
      <c r="E157" t="s">
        <v>2512</v>
      </c>
      <c r="F157" t="s">
        <v>2513</v>
      </c>
      <c r="G157" t="s">
        <v>2514</v>
      </c>
      <c r="H157" t="s">
        <v>89</v>
      </c>
      <c r="I157" t="s">
        <v>2515</v>
      </c>
      <c r="J157" t="s">
        <v>63</v>
      </c>
      <c r="K157" t="s">
        <v>64</v>
      </c>
      <c r="L157" t="s">
        <v>32</v>
      </c>
      <c r="M157">
        <v>100</v>
      </c>
      <c r="N157" t="s">
        <v>49</v>
      </c>
      <c r="O157" t="s">
        <v>2516</v>
      </c>
      <c r="P157" t="s">
        <v>668</v>
      </c>
      <c r="Q157" t="s">
        <v>1231</v>
      </c>
      <c r="R157" t="s">
        <v>37</v>
      </c>
      <c r="S157" t="s">
        <v>2025</v>
      </c>
      <c r="T157" t="s">
        <v>55</v>
      </c>
      <c r="U157" t="s">
        <v>56</v>
      </c>
      <c r="V157" t="s">
        <v>56</v>
      </c>
    </row>
    <row r="158" spans="1:22" x14ac:dyDescent="0.3">
      <c r="A158" s="49">
        <v>45624</v>
      </c>
      <c r="B158" t="s">
        <v>22</v>
      </c>
      <c r="C158" t="s">
        <v>23</v>
      </c>
      <c r="D158" t="s">
        <v>24</v>
      </c>
      <c r="E158" t="s">
        <v>960</v>
      </c>
      <c r="F158" t="s">
        <v>961</v>
      </c>
      <c r="G158" t="s">
        <v>2517</v>
      </c>
      <c r="H158" t="s">
        <v>28</v>
      </c>
      <c r="I158" t="s">
        <v>2518</v>
      </c>
      <c r="J158" t="s">
        <v>63</v>
      </c>
      <c r="K158" t="s">
        <v>119</v>
      </c>
      <c r="L158" t="s">
        <v>48</v>
      </c>
      <c r="M158">
        <v>100</v>
      </c>
      <c r="N158" t="s">
        <v>33</v>
      </c>
      <c r="O158" t="s">
        <v>2519</v>
      </c>
      <c r="P158" t="s">
        <v>358</v>
      </c>
      <c r="Q158" t="s">
        <v>2159</v>
      </c>
      <c r="R158" t="s">
        <v>53</v>
      </c>
      <c r="S158" t="s">
        <v>2520</v>
      </c>
      <c r="T158" t="s">
        <v>39</v>
      </c>
      <c r="U158" t="s">
        <v>40</v>
      </c>
      <c r="V158" t="s">
        <v>41</v>
      </c>
    </row>
    <row r="159" spans="1:22" x14ac:dyDescent="0.3">
      <c r="A159" s="49">
        <v>45624</v>
      </c>
      <c r="B159" t="s">
        <v>22</v>
      </c>
      <c r="C159" t="s">
        <v>23</v>
      </c>
      <c r="D159" t="s">
        <v>173</v>
      </c>
      <c r="E159" t="s">
        <v>2186</v>
      </c>
      <c r="F159" t="s">
        <v>2187</v>
      </c>
      <c r="G159" t="s">
        <v>2521</v>
      </c>
      <c r="H159" t="s">
        <v>89</v>
      </c>
      <c r="J159" t="s">
        <v>63</v>
      </c>
      <c r="K159" t="s">
        <v>119</v>
      </c>
      <c r="L159" t="s">
        <v>48</v>
      </c>
      <c r="M159">
        <v>100</v>
      </c>
      <c r="N159" t="s">
        <v>49</v>
      </c>
      <c r="O159" t="s">
        <v>2522</v>
      </c>
      <c r="P159" t="s">
        <v>686</v>
      </c>
      <c r="Q159" t="s">
        <v>2523</v>
      </c>
      <c r="R159" t="s">
        <v>53</v>
      </c>
      <c r="S159" t="s">
        <v>2524</v>
      </c>
      <c r="T159" t="s">
        <v>39</v>
      </c>
      <c r="U159" t="s">
        <v>40</v>
      </c>
      <c r="V159" t="s">
        <v>41</v>
      </c>
    </row>
    <row r="160" spans="1:22" x14ac:dyDescent="0.3">
      <c r="A160" s="49">
        <v>45624</v>
      </c>
      <c r="B160" t="s">
        <v>22</v>
      </c>
      <c r="C160" t="s">
        <v>23</v>
      </c>
      <c r="D160" t="s">
        <v>24</v>
      </c>
      <c r="E160" t="s">
        <v>2525</v>
      </c>
      <c r="F160" t="s">
        <v>2526</v>
      </c>
      <c r="G160" t="s">
        <v>2527</v>
      </c>
      <c r="H160" t="s">
        <v>28</v>
      </c>
      <c r="I160" t="s">
        <v>2528</v>
      </c>
      <c r="J160" t="s">
        <v>63</v>
      </c>
      <c r="K160" t="s">
        <v>119</v>
      </c>
      <c r="L160" t="s">
        <v>48</v>
      </c>
      <c r="M160">
        <v>100</v>
      </c>
      <c r="N160" t="s">
        <v>49</v>
      </c>
      <c r="O160" t="s">
        <v>2529</v>
      </c>
      <c r="P160" t="s">
        <v>1054</v>
      </c>
      <c r="Q160" t="s">
        <v>232</v>
      </c>
      <c r="R160" t="s">
        <v>53</v>
      </c>
      <c r="S160" t="s">
        <v>2530</v>
      </c>
      <c r="T160" t="s">
        <v>39</v>
      </c>
      <c r="U160" t="s">
        <v>40</v>
      </c>
      <c r="V160" t="s">
        <v>41</v>
      </c>
    </row>
    <row r="161" spans="1:22" x14ac:dyDescent="0.3">
      <c r="A161" s="49">
        <v>45624</v>
      </c>
      <c r="B161" t="s">
        <v>22</v>
      </c>
      <c r="C161" t="s">
        <v>23</v>
      </c>
      <c r="D161" t="s">
        <v>24</v>
      </c>
      <c r="E161" t="s">
        <v>2525</v>
      </c>
      <c r="F161" t="s">
        <v>2526</v>
      </c>
      <c r="G161" t="s">
        <v>2527</v>
      </c>
      <c r="H161" t="s">
        <v>28</v>
      </c>
      <c r="I161" t="s">
        <v>2528</v>
      </c>
      <c r="J161" t="s">
        <v>63</v>
      </c>
      <c r="K161" t="s">
        <v>119</v>
      </c>
      <c r="L161" t="s">
        <v>48</v>
      </c>
      <c r="M161">
        <v>100</v>
      </c>
      <c r="N161" t="s">
        <v>49</v>
      </c>
      <c r="O161" t="s">
        <v>2529</v>
      </c>
      <c r="P161" t="s">
        <v>1054</v>
      </c>
      <c r="Q161" t="s">
        <v>232</v>
      </c>
      <c r="R161" t="s">
        <v>53</v>
      </c>
      <c r="S161" t="s">
        <v>2530</v>
      </c>
      <c r="T161" t="s">
        <v>39</v>
      </c>
      <c r="U161" t="s">
        <v>40</v>
      </c>
      <c r="V161" t="s">
        <v>41</v>
      </c>
    </row>
    <row r="162" spans="1:22" x14ac:dyDescent="0.3">
      <c r="A162" s="49">
        <v>45624</v>
      </c>
      <c r="B162" t="s">
        <v>22</v>
      </c>
      <c r="C162" t="s">
        <v>23</v>
      </c>
      <c r="D162" t="s">
        <v>24</v>
      </c>
      <c r="E162" t="s">
        <v>687</v>
      </c>
      <c r="F162" t="s">
        <v>688</v>
      </c>
      <c r="G162" t="s">
        <v>2531</v>
      </c>
      <c r="H162" t="s">
        <v>89</v>
      </c>
      <c r="J162" t="s">
        <v>63</v>
      </c>
      <c r="K162" t="s">
        <v>119</v>
      </c>
      <c r="L162" t="s">
        <v>48</v>
      </c>
      <c r="M162">
        <v>0</v>
      </c>
      <c r="N162" t="s">
        <v>74</v>
      </c>
      <c r="O162" t="s">
        <v>2532</v>
      </c>
      <c r="P162" t="s">
        <v>873</v>
      </c>
      <c r="Q162" t="s">
        <v>114</v>
      </c>
      <c r="R162" t="s">
        <v>53</v>
      </c>
      <c r="S162" t="s">
        <v>2533</v>
      </c>
      <c r="T162" t="s">
        <v>55</v>
      </c>
      <c r="U162" t="s">
        <v>56</v>
      </c>
      <c r="V162" t="s">
        <v>56</v>
      </c>
    </row>
    <row r="163" spans="1:22" x14ac:dyDescent="0.3">
      <c r="A163" s="49">
        <v>45624</v>
      </c>
      <c r="B163" t="s">
        <v>22</v>
      </c>
      <c r="C163" t="s">
        <v>23</v>
      </c>
      <c r="D163" t="s">
        <v>24</v>
      </c>
      <c r="E163" t="s">
        <v>687</v>
      </c>
      <c r="F163" t="s">
        <v>688</v>
      </c>
      <c r="G163" t="s">
        <v>2531</v>
      </c>
      <c r="H163" t="s">
        <v>28</v>
      </c>
      <c r="I163" t="s">
        <v>2534</v>
      </c>
      <c r="J163" t="s">
        <v>63</v>
      </c>
      <c r="K163" t="s">
        <v>119</v>
      </c>
      <c r="L163" t="s">
        <v>48</v>
      </c>
      <c r="M163">
        <v>100</v>
      </c>
      <c r="N163" t="s">
        <v>33</v>
      </c>
      <c r="O163" t="s">
        <v>2535</v>
      </c>
      <c r="P163" t="s">
        <v>686</v>
      </c>
      <c r="Q163" t="s">
        <v>2536</v>
      </c>
      <c r="R163" t="s">
        <v>53</v>
      </c>
      <c r="S163" t="s">
        <v>2537</v>
      </c>
      <c r="T163" t="s">
        <v>39</v>
      </c>
      <c r="U163" t="s">
        <v>40</v>
      </c>
      <c r="V163" t="s">
        <v>41</v>
      </c>
    </row>
    <row r="164" spans="1:22" x14ac:dyDescent="0.3">
      <c r="A164" s="49">
        <v>45624</v>
      </c>
      <c r="B164" t="s">
        <v>22</v>
      </c>
      <c r="C164" t="s">
        <v>23</v>
      </c>
      <c r="D164" t="s">
        <v>173</v>
      </c>
      <c r="E164" t="s">
        <v>80</v>
      </c>
      <c r="F164" t="s">
        <v>81</v>
      </c>
      <c r="G164" t="s">
        <v>2538</v>
      </c>
      <c r="H164" t="s">
        <v>89</v>
      </c>
      <c r="J164" t="s">
        <v>63</v>
      </c>
      <c r="K164" t="s">
        <v>414</v>
      </c>
      <c r="L164" t="s">
        <v>32</v>
      </c>
      <c r="M164">
        <v>100</v>
      </c>
      <c r="N164" t="s">
        <v>74</v>
      </c>
      <c r="O164" t="s">
        <v>2539</v>
      </c>
      <c r="P164" t="s">
        <v>106</v>
      </c>
      <c r="Q164" t="s">
        <v>2540</v>
      </c>
      <c r="R164" t="s">
        <v>337</v>
      </c>
      <c r="S164" t="s">
        <v>2541</v>
      </c>
      <c r="T164" t="s">
        <v>55</v>
      </c>
      <c r="U164" t="s">
        <v>56</v>
      </c>
      <c r="V164" t="s">
        <v>56</v>
      </c>
    </row>
    <row r="165" spans="1:22" x14ac:dyDescent="0.3">
      <c r="A165" s="49">
        <v>45624</v>
      </c>
      <c r="B165" t="s">
        <v>22</v>
      </c>
      <c r="C165" t="s">
        <v>23</v>
      </c>
      <c r="D165" t="s">
        <v>173</v>
      </c>
      <c r="E165" t="s">
        <v>80</v>
      </c>
      <c r="F165" t="s">
        <v>81</v>
      </c>
      <c r="G165" t="s">
        <v>2538</v>
      </c>
      <c r="H165" t="s">
        <v>89</v>
      </c>
      <c r="J165" t="s">
        <v>63</v>
      </c>
      <c r="K165" t="s">
        <v>414</v>
      </c>
      <c r="L165" t="s">
        <v>32</v>
      </c>
      <c r="M165">
        <v>100</v>
      </c>
      <c r="N165" t="s">
        <v>74</v>
      </c>
      <c r="O165" t="s">
        <v>2539</v>
      </c>
      <c r="P165" t="s">
        <v>106</v>
      </c>
      <c r="Q165" t="s">
        <v>2540</v>
      </c>
      <c r="R165" t="s">
        <v>37</v>
      </c>
      <c r="S165" t="s">
        <v>2541</v>
      </c>
      <c r="T165" t="s">
        <v>55</v>
      </c>
      <c r="U165" t="s">
        <v>56</v>
      </c>
      <c r="V165" t="s">
        <v>56</v>
      </c>
    </row>
    <row r="166" spans="1:22" x14ac:dyDescent="0.3">
      <c r="A166" s="49">
        <v>45624</v>
      </c>
      <c r="B166" t="s">
        <v>22</v>
      </c>
      <c r="C166" t="s">
        <v>23</v>
      </c>
      <c r="D166" t="s">
        <v>173</v>
      </c>
      <c r="E166" t="s">
        <v>80</v>
      </c>
      <c r="F166" t="s">
        <v>81</v>
      </c>
      <c r="G166" t="s">
        <v>2538</v>
      </c>
      <c r="H166" t="s">
        <v>89</v>
      </c>
      <c r="J166" t="s">
        <v>63</v>
      </c>
      <c r="K166" t="s">
        <v>414</v>
      </c>
      <c r="L166" t="s">
        <v>32</v>
      </c>
      <c r="M166">
        <v>100</v>
      </c>
      <c r="N166" t="s">
        <v>74</v>
      </c>
      <c r="O166" t="s">
        <v>2542</v>
      </c>
      <c r="P166" t="s">
        <v>106</v>
      </c>
      <c r="Q166" t="s">
        <v>2543</v>
      </c>
      <c r="R166" t="s">
        <v>37</v>
      </c>
      <c r="S166" t="s">
        <v>1500</v>
      </c>
      <c r="T166" t="s">
        <v>55</v>
      </c>
      <c r="U166" t="s">
        <v>56</v>
      </c>
      <c r="V166" t="s">
        <v>56</v>
      </c>
    </row>
    <row r="167" spans="1:22" x14ac:dyDescent="0.3">
      <c r="A167" s="49">
        <v>45624</v>
      </c>
      <c r="B167" t="s">
        <v>22</v>
      </c>
      <c r="C167" t="s">
        <v>23</v>
      </c>
      <c r="D167" t="s">
        <v>173</v>
      </c>
      <c r="E167" t="s">
        <v>1503</v>
      </c>
      <c r="F167" t="s">
        <v>1504</v>
      </c>
      <c r="G167" t="s">
        <v>2544</v>
      </c>
      <c r="H167" t="s">
        <v>28</v>
      </c>
      <c r="I167" t="s">
        <v>2545</v>
      </c>
      <c r="J167" t="s">
        <v>63</v>
      </c>
      <c r="K167" t="s">
        <v>64</v>
      </c>
      <c r="L167" t="s">
        <v>32</v>
      </c>
      <c r="M167">
        <v>100</v>
      </c>
      <c r="N167" t="s">
        <v>49</v>
      </c>
      <c r="O167" t="s">
        <v>2546</v>
      </c>
      <c r="P167" t="s">
        <v>873</v>
      </c>
      <c r="Q167" t="s">
        <v>2547</v>
      </c>
      <c r="R167" t="s">
        <v>2548</v>
      </c>
      <c r="S167" t="s">
        <v>2549</v>
      </c>
      <c r="T167" t="s">
        <v>55</v>
      </c>
      <c r="U167" t="s">
        <v>56</v>
      </c>
      <c r="V167" t="s">
        <v>56</v>
      </c>
    </row>
    <row r="168" spans="1:22" x14ac:dyDescent="0.3">
      <c r="A168" s="49">
        <v>45624</v>
      </c>
      <c r="B168" t="s">
        <v>22</v>
      </c>
      <c r="C168" t="s">
        <v>23</v>
      </c>
      <c r="D168" t="s">
        <v>173</v>
      </c>
      <c r="E168" t="s">
        <v>2550</v>
      </c>
      <c r="F168" t="s">
        <v>2551</v>
      </c>
      <c r="G168" t="s">
        <v>2552</v>
      </c>
      <c r="H168" t="s">
        <v>28</v>
      </c>
      <c r="I168" t="s">
        <v>2553</v>
      </c>
      <c r="J168" t="s">
        <v>63</v>
      </c>
      <c r="K168" t="s">
        <v>1480</v>
      </c>
      <c r="L168" t="s">
        <v>48</v>
      </c>
      <c r="M168">
        <v>100</v>
      </c>
      <c r="N168" t="s">
        <v>33</v>
      </c>
      <c r="O168" t="s">
        <v>2554</v>
      </c>
      <c r="P168" t="s">
        <v>686</v>
      </c>
      <c r="Q168" t="s">
        <v>2555</v>
      </c>
      <c r="R168" t="s">
        <v>53</v>
      </c>
      <c r="S168" t="s">
        <v>2556</v>
      </c>
      <c r="T168" t="s">
        <v>39</v>
      </c>
      <c r="U168" t="s">
        <v>40</v>
      </c>
      <c r="V168" t="s">
        <v>41</v>
      </c>
    </row>
    <row r="169" spans="1:22" x14ac:dyDescent="0.3">
      <c r="A169" s="49">
        <v>45624</v>
      </c>
      <c r="B169" t="s">
        <v>22</v>
      </c>
      <c r="C169" t="s">
        <v>23</v>
      </c>
      <c r="D169" t="s">
        <v>24</v>
      </c>
      <c r="E169" t="s">
        <v>2557</v>
      </c>
      <c r="F169" t="s">
        <v>2558</v>
      </c>
      <c r="G169" t="s">
        <v>2559</v>
      </c>
      <c r="H169" t="s">
        <v>89</v>
      </c>
      <c r="J169" t="s">
        <v>63</v>
      </c>
      <c r="K169" t="s">
        <v>414</v>
      </c>
      <c r="L169" t="s">
        <v>32</v>
      </c>
      <c r="M169">
        <v>100</v>
      </c>
      <c r="N169" t="s">
        <v>74</v>
      </c>
      <c r="O169" t="s">
        <v>2560</v>
      </c>
      <c r="P169" t="s">
        <v>873</v>
      </c>
      <c r="Q169" t="s">
        <v>2561</v>
      </c>
      <c r="R169" t="s">
        <v>37</v>
      </c>
      <c r="S169" t="s">
        <v>2562</v>
      </c>
      <c r="T169" t="s">
        <v>55</v>
      </c>
      <c r="U169" t="s">
        <v>56</v>
      </c>
      <c r="V169" t="s">
        <v>56</v>
      </c>
    </row>
    <row r="170" spans="1:22" x14ac:dyDescent="0.3">
      <c r="A170" s="49">
        <v>45624</v>
      </c>
      <c r="B170" t="s">
        <v>22</v>
      </c>
      <c r="C170" t="s">
        <v>23</v>
      </c>
      <c r="D170" t="s">
        <v>173</v>
      </c>
      <c r="E170" t="s">
        <v>1892</v>
      </c>
      <c r="F170" t="s">
        <v>1893</v>
      </c>
      <c r="G170" t="s">
        <v>2563</v>
      </c>
      <c r="H170" t="s">
        <v>28</v>
      </c>
      <c r="I170" t="s">
        <v>2050</v>
      </c>
      <c r="J170" t="s">
        <v>63</v>
      </c>
      <c r="K170" t="s">
        <v>414</v>
      </c>
      <c r="L170" t="s">
        <v>32</v>
      </c>
      <c r="M170">
        <v>100</v>
      </c>
      <c r="N170" t="s">
        <v>74</v>
      </c>
      <c r="O170" t="s">
        <v>2564</v>
      </c>
      <c r="P170" t="s">
        <v>344</v>
      </c>
      <c r="Q170" t="s">
        <v>2565</v>
      </c>
      <c r="R170" t="s">
        <v>37</v>
      </c>
      <c r="S170" t="s">
        <v>2566</v>
      </c>
      <c r="T170" t="s">
        <v>39</v>
      </c>
      <c r="U170" t="s">
        <v>40</v>
      </c>
      <c r="V170" t="s">
        <v>41</v>
      </c>
    </row>
    <row r="171" spans="1:22" x14ac:dyDescent="0.3">
      <c r="A171" s="49">
        <v>45624</v>
      </c>
      <c r="B171" t="s">
        <v>22</v>
      </c>
      <c r="C171" t="s">
        <v>23</v>
      </c>
      <c r="D171" t="s">
        <v>24</v>
      </c>
      <c r="E171" t="s">
        <v>1811</v>
      </c>
      <c r="F171" t="s">
        <v>1812</v>
      </c>
      <c r="G171" t="s">
        <v>2567</v>
      </c>
      <c r="H171" t="s">
        <v>89</v>
      </c>
      <c r="J171" t="s">
        <v>63</v>
      </c>
      <c r="K171" t="s">
        <v>463</v>
      </c>
      <c r="L171" t="s">
        <v>32</v>
      </c>
      <c r="M171">
        <v>86</v>
      </c>
      <c r="N171" t="s">
        <v>49</v>
      </c>
      <c r="O171" t="s">
        <v>2568</v>
      </c>
      <c r="P171" t="s">
        <v>104</v>
      </c>
      <c r="Q171" t="s">
        <v>2569</v>
      </c>
      <c r="R171" t="s">
        <v>37</v>
      </c>
      <c r="S171" t="s">
        <v>2570</v>
      </c>
      <c r="T171" t="s">
        <v>55</v>
      </c>
      <c r="U171" t="s">
        <v>56</v>
      </c>
      <c r="V171" t="s">
        <v>56</v>
      </c>
    </row>
    <row r="172" spans="1:22" x14ac:dyDescent="0.3">
      <c r="A172" s="49">
        <v>45624</v>
      </c>
      <c r="B172" t="s">
        <v>22</v>
      </c>
      <c r="C172" t="s">
        <v>23</v>
      </c>
      <c r="D172" t="s">
        <v>173</v>
      </c>
      <c r="E172" t="s">
        <v>1811</v>
      </c>
      <c r="F172" t="s">
        <v>1812</v>
      </c>
      <c r="G172" t="s">
        <v>2567</v>
      </c>
      <c r="H172" t="s">
        <v>28</v>
      </c>
      <c r="I172" t="s">
        <v>2571</v>
      </c>
      <c r="J172" t="s">
        <v>63</v>
      </c>
      <c r="K172" t="s">
        <v>211</v>
      </c>
      <c r="L172" t="s">
        <v>32</v>
      </c>
      <c r="M172">
        <v>100</v>
      </c>
      <c r="N172" t="s">
        <v>49</v>
      </c>
      <c r="O172" t="s">
        <v>2572</v>
      </c>
      <c r="P172" t="s">
        <v>108</v>
      </c>
      <c r="Q172" t="s">
        <v>2573</v>
      </c>
      <c r="R172" t="s">
        <v>37</v>
      </c>
      <c r="S172" t="s">
        <v>2574</v>
      </c>
      <c r="T172" t="s">
        <v>55</v>
      </c>
      <c r="U172" t="s">
        <v>56</v>
      </c>
      <c r="V172" t="s">
        <v>56</v>
      </c>
    </row>
    <row r="173" spans="1:22" x14ac:dyDescent="0.3">
      <c r="A173" s="49">
        <v>45624</v>
      </c>
      <c r="B173" t="s">
        <v>891</v>
      </c>
      <c r="C173" t="s">
        <v>892</v>
      </c>
      <c r="D173" t="s">
        <v>24</v>
      </c>
      <c r="E173" t="s">
        <v>151</v>
      </c>
      <c r="F173" t="s">
        <v>152</v>
      </c>
      <c r="G173" t="s">
        <v>2575</v>
      </c>
      <c r="H173" t="s">
        <v>28</v>
      </c>
      <c r="I173" t="s">
        <v>2576</v>
      </c>
      <c r="J173" t="s">
        <v>63</v>
      </c>
      <c r="K173" t="s">
        <v>64</v>
      </c>
      <c r="L173" t="s">
        <v>32</v>
      </c>
      <c r="M173">
        <v>100</v>
      </c>
      <c r="N173" t="s">
        <v>49</v>
      </c>
      <c r="O173" t="s">
        <v>2577</v>
      </c>
      <c r="P173" t="s">
        <v>108</v>
      </c>
      <c r="Q173" t="s">
        <v>1973</v>
      </c>
      <c r="R173" t="s">
        <v>37</v>
      </c>
      <c r="S173" t="s">
        <v>2578</v>
      </c>
      <c r="T173" t="s">
        <v>55</v>
      </c>
      <c r="U173" t="s">
        <v>56</v>
      </c>
      <c r="V173" t="s">
        <v>56</v>
      </c>
    </row>
    <row r="174" spans="1:22" x14ac:dyDescent="0.3">
      <c r="A174" s="49">
        <v>45624</v>
      </c>
      <c r="B174" t="s">
        <v>22</v>
      </c>
      <c r="C174" t="s">
        <v>23</v>
      </c>
      <c r="D174" t="s">
        <v>173</v>
      </c>
      <c r="E174" t="s">
        <v>2579</v>
      </c>
      <c r="F174" t="s">
        <v>2580</v>
      </c>
      <c r="G174" t="s">
        <v>2581</v>
      </c>
      <c r="H174" t="s">
        <v>89</v>
      </c>
      <c r="J174" t="s">
        <v>63</v>
      </c>
      <c r="K174" t="s">
        <v>414</v>
      </c>
      <c r="L174" t="s">
        <v>32</v>
      </c>
      <c r="M174">
        <v>95</v>
      </c>
      <c r="N174" t="s">
        <v>49</v>
      </c>
      <c r="O174" t="s">
        <v>2582</v>
      </c>
      <c r="P174" t="s">
        <v>1697</v>
      </c>
      <c r="Q174" t="s">
        <v>2569</v>
      </c>
      <c r="R174" t="s">
        <v>37</v>
      </c>
      <c r="S174" t="s">
        <v>2583</v>
      </c>
      <c r="T174" t="s">
        <v>55</v>
      </c>
      <c r="U174" t="s">
        <v>56</v>
      </c>
      <c r="V174" t="s">
        <v>56</v>
      </c>
    </row>
    <row r="175" spans="1:22" x14ac:dyDescent="0.3">
      <c r="A175" s="49">
        <v>45624</v>
      </c>
      <c r="B175" t="s">
        <v>22</v>
      </c>
      <c r="C175" t="s">
        <v>23</v>
      </c>
      <c r="D175" t="s">
        <v>173</v>
      </c>
      <c r="E175" t="s">
        <v>2579</v>
      </c>
      <c r="F175" t="s">
        <v>2580</v>
      </c>
      <c r="G175" t="s">
        <v>2581</v>
      </c>
      <c r="H175" t="s">
        <v>89</v>
      </c>
      <c r="J175" t="s">
        <v>63</v>
      </c>
      <c r="K175" t="s">
        <v>414</v>
      </c>
      <c r="L175" t="s">
        <v>32</v>
      </c>
      <c r="M175">
        <v>100</v>
      </c>
      <c r="N175" t="s">
        <v>49</v>
      </c>
      <c r="O175" t="s">
        <v>2584</v>
      </c>
      <c r="P175" t="s">
        <v>85</v>
      </c>
      <c r="Q175" t="s">
        <v>2585</v>
      </c>
      <c r="R175" t="s">
        <v>37</v>
      </c>
      <c r="S175" t="s">
        <v>2583</v>
      </c>
      <c r="T175" t="s">
        <v>55</v>
      </c>
      <c r="U175" t="s">
        <v>56</v>
      </c>
      <c r="V175" t="s">
        <v>56</v>
      </c>
    </row>
    <row r="176" spans="1:22" x14ac:dyDescent="0.3">
      <c r="A176" s="49">
        <v>45624</v>
      </c>
      <c r="B176" t="s">
        <v>22</v>
      </c>
      <c r="C176" t="s">
        <v>23</v>
      </c>
      <c r="D176" t="s">
        <v>173</v>
      </c>
      <c r="E176" t="s">
        <v>2586</v>
      </c>
      <c r="F176" t="s">
        <v>2587</v>
      </c>
      <c r="G176" t="s">
        <v>2588</v>
      </c>
      <c r="H176" t="s">
        <v>28</v>
      </c>
      <c r="I176" t="s">
        <v>2589</v>
      </c>
      <c r="J176" t="s">
        <v>63</v>
      </c>
      <c r="K176" t="s">
        <v>119</v>
      </c>
      <c r="L176" t="s">
        <v>48</v>
      </c>
      <c r="M176">
        <v>100</v>
      </c>
      <c r="N176" t="s">
        <v>49</v>
      </c>
      <c r="O176" t="s">
        <v>2590</v>
      </c>
      <c r="P176" t="s">
        <v>306</v>
      </c>
      <c r="Q176" t="s">
        <v>2591</v>
      </c>
      <c r="R176" t="s">
        <v>1293</v>
      </c>
      <c r="S176" t="s">
        <v>2592</v>
      </c>
      <c r="T176" t="s">
        <v>55</v>
      </c>
      <c r="U176" t="s">
        <v>56</v>
      </c>
      <c r="V176" t="s">
        <v>56</v>
      </c>
    </row>
    <row r="177" spans="1:22" x14ac:dyDescent="0.3">
      <c r="A177" s="49">
        <v>45624</v>
      </c>
      <c r="B177" t="s">
        <v>22</v>
      </c>
      <c r="C177" t="s">
        <v>23</v>
      </c>
      <c r="D177" t="s">
        <v>173</v>
      </c>
      <c r="E177" t="s">
        <v>2586</v>
      </c>
      <c r="F177" t="s">
        <v>2587</v>
      </c>
      <c r="G177" t="s">
        <v>2588</v>
      </c>
      <c r="H177" t="s">
        <v>28</v>
      </c>
      <c r="I177" t="s">
        <v>2589</v>
      </c>
      <c r="J177" t="s">
        <v>63</v>
      </c>
      <c r="K177" t="s">
        <v>119</v>
      </c>
      <c r="L177" t="s">
        <v>48</v>
      </c>
      <c r="M177">
        <v>100</v>
      </c>
      <c r="N177" t="s">
        <v>49</v>
      </c>
      <c r="O177" t="s">
        <v>2590</v>
      </c>
      <c r="P177" t="s">
        <v>306</v>
      </c>
      <c r="Q177" t="s">
        <v>2591</v>
      </c>
      <c r="R177" t="s">
        <v>1293</v>
      </c>
      <c r="S177" t="s">
        <v>2592</v>
      </c>
      <c r="T177" t="s">
        <v>55</v>
      </c>
      <c r="U177" t="s">
        <v>56</v>
      </c>
      <c r="V177" t="s">
        <v>56</v>
      </c>
    </row>
    <row r="178" spans="1:22" x14ac:dyDescent="0.3">
      <c r="A178" s="49">
        <v>45624</v>
      </c>
      <c r="B178" t="s">
        <v>22</v>
      </c>
      <c r="C178" t="s">
        <v>23</v>
      </c>
      <c r="D178" t="s">
        <v>173</v>
      </c>
      <c r="E178" t="s">
        <v>2586</v>
      </c>
      <c r="F178" t="s">
        <v>2587</v>
      </c>
      <c r="G178" t="s">
        <v>2588</v>
      </c>
      <c r="H178" t="s">
        <v>28</v>
      </c>
      <c r="I178" t="s">
        <v>2589</v>
      </c>
      <c r="J178" t="s">
        <v>63</v>
      </c>
      <c r="K178" t="s">
        <v>119</v>
      </c>
      <c r="L178" t="s">
        <v>48</v>
      </c>
      <c r="M178">
        <v>100</v>
      </c>
      <c r="N178" t="s">
        <v>49</v>
      </c>
      <c r="O178" t="s">
        <v>2590</v>
      </c>
      <c r="P178" t="s">
        <v>306</v>
      </c>
      <c r="Q178" t="s">
        <v>2591</v>
      </c>
      <c r="R178" t="s">
        <v>1293</v>
      </c>
      <c r="S178" t="s">
        <v>2592</v>
      </c>
      <c r="T178" t="s">
        <v>55</v>
      </c>
      <c r="U178" t="s">
        <v>56</v>
      </c>
      <c r="V178" t="s">
        <v>56</v>
      </c>
    </row>
    <row r="179" spans="1:22" x14ac:dyDescent="0.3">
      <c r="A179" s="49">
        <v>45624</v>
      </c>
      <c r="B179" t="s">
        <v>22</v>
      </c>
      <c r="C179" t="s">
        <v>23</v>
      </c>
      <c r="D179" t="s">
        <v>173</v>
      </c>
      <c r="E179" t="s">
        <v>2586</v>
      </c>
      <c r="F179" t="s">
        <v>2587</v>
      </c>
      <c r="G179" t="s">
        <v>2588</v>
      </c>
      <c r="H179" t="s">
        <v>28</v>
      </c>
      <c r="I179" t="s">
        <v>2589</v>
      </c>
      <c r="J179" t="s">
        <v>63</v>
      </c>
      <c r="K179" t="s">
        <v>119</v>
      </c>
      <c r="L179" t="s">
        <v>48</v>
      </c>
      <c r="M179">
        <v>100</v>
      </c>
      <c r="N179" t="s">
        <v>49</v>
      </c>
      <c r="O179" t="s">
        <v>2590</v>
      </c>
      <c r="P179" t="s">
        <v>306</v>
      </c>
      <c r="Q179" t="s">
        <v>2591</v>
      </c>
      <c r="R179" t="s">
        <v>1293</v>
      </c>
      <c r="S179" t="s">
        <v>2592</v>
      </c>
      <c r="T179" t="s">
        <v>55</v>
      </c>
      <c r="U179" t="s">
        <v>56</v>
      </c>
      <c r="V179" t="s">
        <v>56</v>
      </c>
    </row>
    <row r="180" spans="1:22" x14ac:dyDescent="0.3">
      <c r="A180" s="49">
        <v>45624</v>
      </c>
      <c r="B180" t="s">
        <v>22</v>
      </c>
      <c r="C180" t="s">
        <v>23</v>
      </c>
      <c r="D180" t="s">
        <v>173</v>
      </c>
      <c r="E180" t="s">
        <v>2586</v>
      </c>
      <c r="F180" t="s">
        <v>2587</v>
      </c>
      <c r="G180" t="s">
        <v>2588</v>
      </c>
      <c r="H180" t="s">
        <v>28</v>
      </c>
      <c r="I180" t="s">
        <v>2589</v>
      </c>
      <c r="J180" t="s">
        <v>63</v>
      </c>
      <c r="K180" t="s">
        <v>119</v>
      </c>
      <c r="L180" t="s">
        <v>48</v>
      </c>
      <c r="M180">
        <v>100</v>
      </c>
      <c r="N180" t="s">
        <v>49</v>
      </c>
      <c r="O180" t="s">
        <v>2590</v>
      </c>
      <c r="P180" t="s">
        <v>306</v>
      </c>
      <c r="Q180" t="s">
        <v>2591</v>
      </c>
      <c r="R180" t="s">
        <v>1293</v>
      </c>
      <c r="S180" t="s">
        <v>2592</v>
      </c>
      <c r="T180" t="s">
        <v>55</v>
      </c>
      <c r="U180" t="s">
        <v>56</v>
      </c>
      <c r="V180" t="s">
        <v>56</v>
      </c>
    </row>
    <row r="181" spans="1:22" x14ac:dyDescent="0.3">
      <c r="A181" s="49">
        <v>45624</v>
      </c>
      <c r="B181" t="s">
        <v>22</v>
      </c>
      <c r="C181" t="s">
        <v>23</v>
      </c>
      <c r="D181" t="s">
        <v>173</v>
      </c>
      <c r="E181" t="s">
        <v>2586</v>
      </c>
      <c r="F181" t="s">
        <v>2587</v>
      </c>
      <c r="G181" t="s">
        <v>2588</v>
      </c>
      <c r="H181" t="s">
        <v>28</v>
      </c>
      <c r="I181" t="s">
        <v>2589</v>
      </c>
      <c r="J181" t="s">
        <v>63</v>
      </c>
      <c r="K181" t="s">
        <v>119</v>
      </c>
      <c r="L181" t="s">
        <v>48</v>
      </c>
      <c r="M181">
        <v>100</v>
      </c>
      <c r="N181" t="s">
        <v>49</v>
      </c>
      <c r="O181" t="s">
        <v>2590</v>
      </c>
      <c r="P181" t="s">
        <v>306</v>
      </c>
      <c r="Q181" t="s">
        <v>2591</v>
      </c>
      <c r="R181" t="s">
        <v>1293</v>
      </c>
      <c r="S181" t="s">
        <v>2592</v>
      </c>
      <c r="T181" t="s">
        <v>55</v>
      </c>
      <c r="U181" t="s">
        <v>56</v>
      </c>
      <c r="V181" t="s">
        <v>56</v>
      </c>
    </row>
    <row r="182" spans="1:22" x14ac:dyDescent="0.3">
      <c r="A182" s="49">
        <v>45624</v>
      </c>
      <c r="B182" t="s">
        <v>22</v>
      </c>
      <c r="C182" t="s">
        <v>23</v>
      </c>
      <c r="D182" t="s">
        <v>173</v>
      </c>
      <c r="E182" t="s">
        <v>2586</v>
      </c>
      <c r="F182" t="s">
        <v>2587</v>
      </c>
      <c r="G182" t="s">
        <v>2588</v>
      </c>
      <c r="H182" t="s">
        <v>28</v>
      </c>
      <c r="I182" t="s">
        <v>2589</v>
      </c>
      <c r="J182" t="s">
        <v>63</v>
      </c>
      <c r="K182" t="s">
        <v>119</v>
      </c>
      <c r="L182" t="s">
        <v>48</v>
      </c>
      <c r="M182">
        <v>100</v>
      </c>
      <c r="N182" t="s">
        <v>49</v>
      </c>
      <c r="O182" t="s">
        <v>2590</v>
      </c>
      <c r="P182" t="s">
        <v>306</v>
      </c>
      <c r="Q182" t="s">
        <v>2591</v>
      </c>
      <c r="R182" t="s">
        <v>1293</v>
      </c>
      <c r="S182" t="s">
        <v>2592</v>
      </c>
      <c r="T182" t="s">
        <v>55</v>
      </c>
      <c r="U182" t="s">
        <v>56</v>
      </c>
      <c r="V182" t="s">
        <v>56</v>
      </c>
    </row>
    <row r="183" spans="1:22" x14ac:dyDescent="0.3">
      <c r="A183" s="49">
        <v>45624</v>
      </c>
      <c r="B183" t="s">
        <v>22</v>
      </c>
      <c r="C183" t="s">
        <v>23</v>
      </c>
      <c r="D183" t="s">
        <v>173</v>
      </c>
      <c r="E183" t="s">
        <v>2586</v>
      </c>
      <c r="F183" t="s">
        <v>2587</v>
      </c>
      <c r="G183" t="s">
        <v>2588</v>
      </c>
      <c r="H183" t="s">
        <v>28</v>
      </c>
      <c r="I183" t="s">
        <v>2589</v>
      </c>
      <c r="J183" t="s">
        <v>63</v>
      </c>
      <c r="K183" t="s">
        <v>119</v>
      </c>
      <c r="L183" t="s">
        <v>48</v>
      </c>
      <c r="M183">
        <v>100</v>
      </c>
      <c r="N183" t="s">
        <v>49</v>
      </c>
      <c r="O183" t="s">
        <v>2590</v>
      </c>
      <c r="P183" t="s">
        <v>306</v>
      </c>
      <c r="Q183" t="s">
        <v>2591</v>
      </c>
      <c r="R183" t="s">
        <v>1293</v>
      </c>
      <c r="S183" t="s">
        <v>2592</v>
      </c>
      <c r="T183" t="s">
        <v>55</v>
      </c>
      <c r="U183" t="s">
        <v>56</v>
      </c>
      <c r="V183" t="s">
        <v>56</v>
      </c>
    </row>
    <row r="184" spans="1:22" x14ac:dyDescent="0.3">
      <c r="A184" s="49">
        <v>45624</v>
      </c>
      <c r="B184" t="s">
        <v>22</v>
      </c>
      <c r="C184" t="s">
        <v>23</v>
      </c>
      <c r="D184" t="s">
        <v>173</v>
      </c>
      <c r="E184" t="s">
        <v>2586</v>
      </c>
      <c r="F184" t="s">
        <v>2587</v>
      </c>
      <c r="G184" t="s">
        <v>2588</v>
      </c>
      <c r="H184" t="s">
        <v>28</v>
      </c>
      <c r="I184" t="s">
        <v>2589</v>
      </c>
      <c r="J184" t="s">
        <v>63</v>
      </c>
      <c r="K184" t="s">
        <v>119</v>
      </c>
      <c r="L184" t="s">
        <v>48</v>
      </c>
      <c r="M184">
        <v>100</v>
      </c>
      <c r="N184" t="s">
        <v>49</v>
      </c>
      <c r="O184" t="s">
        <v>2590</v>
      </c>
      <c r="P184" t="s">
        <v>306</v>
      </c>
      <c r="Q184" t="s">
        <v>2591</v>
      </c>
      <c r="R184" t="s">
        <v>1293</v>
      </c>
      <c r="S184" t="s">
        <v>2592</v>
      </c>
      <c r="T184" t="s">
        <v>55</v>
      </c>
      <c r="U184" t="s">
        <v>56</v>
      </c>
      <c r="V184" t="s">
        <v>56</v>
      </c>
    </row>
    <row r="185" spans="1:22" x14ac:dyDescent="0.3">
      <c r="A185" s="49">
        <v>45624</v>
      </c>
      <c r="B185" t="s">
        <v>22</v>
      </c>
      <c r="C185" t="s">
        <v>23</v>
      </c>
      <c r="D185" t="s">
        <v>173</v>
      </c>
      <c r="E185" t="s">
        <v>2586</v>
      </c>
      <c r="F185" t="s">
        <v>2587</v>
      </c>
      <c r="G185" t="s">
        <v>2588</v>
      </c>
      <c r="H185" t="s">
        <v>28</v>
      </c>
      <c r="I185" t="s">
        <v>2589</v>
      </c>
      <c r="J185" t="s">
        <v>63</v>
      </c>
      <c r="K185" t="s">
        <v>119</v>
      </c>
      <c r="L185" t="s">
        <v>48</v>
      </c>
      <c r="M185">
        <v>100</v>
      </c>
      <c r="N185" t="s">
        <v>49</v>
      </c>
      <c r="O185" t="s">
        <v>2590</v>
      </c>
      <c r="P185" t="s">
        <v>306</v>
      </c>
      <c r="Q185" t="s">
        <v>2591</v>
      </c>
      <c r="R185" t="s">
        <v>1293</v>
      </c>
      <c r="S185" t="s">
        <v>2592</v>
      </c>
      <c r="T185" t="s">
        <v>55</v>
      </c>
      <c r="U185" t="s">
        <v>56</v>
      </c>
      <c r="V185" t="s">
        <v>56</v>
      </c>
    </row>
    <row r="186" spans="1:22" x14ac:dyDescent="0.3">
      <c r="A186" s="49">
        <v>45624</v>
      </c>
      <c r="B186" t="s">
        <v>22</v>
      </c>
      <c r="C186" t="s">
        <v>23</v>
      </c>
      <c r="D186" t="s">
        <v>173</v>
      </c>
      <c r="E186" t="s">
        <v>1557</v>
      </c>
      <c r="F186" t="s">
        <v>1558</v>
      </c>
      <c r="G186" t="s">
        <v>2593</v>
      </c>
      <c r="H186" t="s">
        <v>28</v>
      </c>
      <c r="I186" t="s">
        <v>2594</v>
      </c>
      <c r="J186" t="s">
        <v>46</v>
      </c>
      <c r="K186" t="s">
        <v>640</v>
      </c>
      <c r="L186" t="s">
        <v>2595</v>
      </c>
      <c r="M186">
        <v>50</v>
      </c>
      <c r="N186" t="s">
        <v>74</v>
      </c>
      <c r="O186" t="s">
        <v>2596</v>
      </c>
      <c r="P186" t="s">
        <v>1243</v>
      </c>
      <c r="Q186" t="s">
        <v>2597</v>
      </c>
      <c r="R186" t="s">
        <v>37</v>
      </c>
      <c r="S186" t="s">
        <v>2598</v>
      </c>
      <c r="T186" t="s">
        <v>39</v>
      </c>
      <c r="U186" t="s">
        <v>40</v>
      </c>
      <c r="V186" t="s">
        <v>41</v>
      </c>
    </row>
    <row r="187" spans="1:22" x14ac:dyDescent="0.3">
      <c r="A187" s="49">
        <v>45624</v>
      </c>
      <c r="B187" t="s">
        <v>891</v>
      </c>
      <c r="C187" t="s">
        <v>892</v>
      </c>
      <c r="D187" t="s">
        <v>24</v>
      </c>
      <c r="E187" t="s">
        <v>2599</v>
      </c>
      <c r="F187" t="s">
        <v>1126</v>
      </c>
      <c r="G187" t="s">
        <v>2600</v>
      </c>
      <c r="H187" t="s">
        <v>89</v>
      </c>
      <c r="J187" t="s">
        <v>63</v>
      </c>
      <c r="K187" t="s">
        <v>64</v>
      </c>
      <c r="L187" t="s">
        <v>32</v>
      </c>
      <c r="M187">
        <v>100</v>
      </c>
      <c r="N187" t="s">
        <v>49</v>
      </c>
      <c r="O187" t="s">
        <v>2601</v>
      </c>
      <c r="P187" t="s">
        <v>170</v>
      </c>
      <c r="Q187" t="s">
        <v>766</v>
      </c>
      <c r="R187" t="s">
        <v>37</v>
      </c>
      <c r="S187" t="s">
        <v>2602</v>
      </c>
      <c r="T187" t="s">
        <v>39</v>
      </c>
      <c r="U187" t="s">
        <v>40</v>
      </c>
      <c r="V187" t="s">
        <v>41</v>
      </c>
    </row>
    <row r="188" spans="1:22" x14ac:dyDescent="0.3">
      <c r="A188" s="49">
        <v>45624</v>
      </c>
      <c r="B188" t="s">
        <v>891</v>
      </c>
      <c r="C188" t="s">
        <v>892</v>
      </c>
      <c r="D188" t="s">
        <v>24</v>
      </c>
      <c r="E188" t="s">
        <v>2603</v>
      </c>
      <c r="F188" t="s">
        <v>2317</v>
      </c>
      <c r="G188" t="s">
        <v>2604</v>
      </c>
      <c r="H188" t="s">
        <v>28</v>
      </c>
      <c r="I188" t="s">
        <v>2605</v>
      </c>
      <c r="J188" t="s">
        <v>46</v>
      </c>
      <c r="K188" t="s">
        <v>481</v>
      </c>
      <c r="L188" t="s">
        <v>2606</v>
      </c>
      <c r="M188">
        <v>100</v>
      </c>
      <c r="N188" t="s">
        <v>49</v>
      </c>
      <c r="O188" t="s">
        <v>2607</v>
      </c>
      <c r="P188" t="s">
        <v>358</v>
      </c>
      <c r="Q188" t="s">
        <v>1973</v>
      </c>
      <c r="R188" t="s">
        <v>37</v>
      </c>
      <c r="S188" t="s">
        <v>2608</v>
      </c>
      <c r="T188" t="s">
        <v>55</v>
      </c>
      <c r="U188" t="s">
        <v>56</v>
      </c>
      <c r="V188" t="s">
        <v>56</v>
      </c>
    </row>
    <row r="189" spans="1:22" x14ac:dyDescent="0.3">
      <c r="A189" s="49">
        <v>45624</v>
      </c>
      <c r="B189" t="s">
        <v>22</v>
      </c>
      <c r="C189" t="s">
        <v>23</v>
      </c>
      <c r="D189" t="s">
        <v>24</v>
      </c>
      <c r="E189" t="s">
        <v>2609</v>
      </c>
      <c r="F189" t="s">
        <v>2610</v>
      </c>
      <c r="G189" t="s">
        <v>2611</v>
      </c>
      <c r="H189" t="s">
        <v>89</v>
      </c>
      <c r="J189" t="s">
        <v>46</v>
      </c>
      <c r="K189" t="s">
        <v>47</v>
      </c>
      <c r="L189" t="s">
        <v>1889</v>
      </c>
      <c r="M189">
        <v>100</v>
      </c>
      <c r="N189" t="s">
        <v>49</v>
      </c>
      <c r="O189" t="s">
        <v>2612</v>
      </c>
      <c r="P189" t="s">
        <v>58</v>
      </c>
      <c r="Q189" t="s">
        <v>1160</v>
      </c>
      <c r="R189" t="s">
        <v>53</v>
      </c>
      <c r="S189" t="s">
        <v>2613</v>
      </c>
      <c r="T189" t="s">
        <v>55</v>
      </c>
      <c r="U189" t="s">
        <v>56</v>
      </c>
      <c r="V189" t="s">
        <v>56</v>
      </c>
    </row>
    <row r="190" spans="1:22" x14ac:dyDescent="0.3">
      <c r="A190" s="49">
        <v>45624</v>
      </c>
      <c r="B190" t="s">
        <v>22</v>
      </c>
      <c r="C190" t="s">
        <v>23</v>
      </c>
      <c r="D190" t="s">
        <v>24</v>
      </c>
      <c r="E190" t="s">
        <v>1076</v>
      </c>
      <c r="F190" t="s">
        <v>1077</v>
      </c>
      <c r="G190" t="s">
        <v>2614</v>
      </c>
      <c r="H190" t="s">
        <v>28</v>
      </c>
      <c r="I190" t="s">
        <v>1079</v>
      </c>
      <c r="J190" t="s">
        <v>63</v>
      </c>
      <c r="K190" t="s">
        <v>119</v>
      </c>
      <c r="L190" t="s">
        <v>48</v>
      </c>
      <c r="M190">
        <v>50</v>
      </c>
      <c r="N190" t="s">
        <v>49</v>
      </c>
      <c r="O190" t="s">
        <v>2615</v>
      </c>
      <c r="P190" t="s">
        <v>287</v>
      </c>
      <c r="Q190" t="s">
        <v>1080</v>
      </c>
      <c r="R190" t="s">
        <v>53</v>
      </c>
      <c r="S190" t="s">
        <v>1081</v>
      </c>
      <c r="T190" t="s">
        <v>55</v>
      </c>
      <c r="U190" t="s">
        <v>56</v>
      </c>
      <c r="V190" t="s">
        <v>56</v>
      </c>
    </row>
    <row r="191" spans="1:22" x14ac:dyDescent="0.3">
      <c r="A191" s="49">
        <v>45624</v>
      </c>
      <c r="B191" t="s">
        <v>22</v>
      </c>
      <c r="C191" t="s">
        <v>23</v>
      </c>
      <c r="D191" t="s">
        <v>173</v>
      </c>
      <c r="E191" t="s">
        <v>1076</v>
      </c>
      <c r="F191" t="s">
        <v>1077</v>
      </c>
      <c r="G191" t="s">
        <v>2514</v>
      </c>
      <c r="H191" t="s">
        <v>89</v>
      </c>
      <c r="J191" t="s">
        <v>63</v>
      </c>
      <c r="K191" t="s">
        <v>414</v>
      </c>
      <c r="L191" t="s">
        <v>32</v>
      </c>
      <c r="M191">
        <v>100</v>
      </c>
      <c r="N191" t="s">
        <v>74</v>
      </c>
      <c r="O191" t="s">
        <v>2616</v>
      </c>
      <c r="P191" t="s">
        <v>1701</v>
      </c>
      <c r="Q191" t="s">
        <v>1080</v>
      </c>
      <c r="R191" t="s">
        <v>37</v>
      </c>
      <c r="S191" t="s">
        <v>1081</v>
      </c>
      <c r="T191" t="s">
        <v>55</v>
      </c>
      <c r="U191" t="s">
        <v>56</v>
      </c>
      <c r="V191" t="s">
        <v>56</v>
      </c>
    </row>
    <row r="192" spans="1:22" x14ac:dyDescent="0.3">
      <c r="A192" s="49">
        <v>45624</v>
      </c>
      <c r="B192" t="s">
        <v>891</v>
      </c>
      <c r="C192" t="s">
        <v>892</v>
      </c>
      <c r="D192" t="s">
        <v>24</v>
      </c>
      <c r="E192" t="s">
        <v>324</v>
      </c>
      <c r="F192" t="s">
        <v>325</v>
      </c>
      <c r="G192" t="s">
        <v>2617</v>
      </c>
      <c r="H192" t="s">
        <v>28</v>
      </c>
      <c r="I192" t="s">
        <v>2618</v>
      </c>
      <c r="J192" t="s">
        <v>63</v>
      </c>
      <c r="K192" t="s">
        <v>64</v>
      </c>
      <c r="L192" t="s">
        <v>32</v>
      </c>
      <c r="M192">
        <v>50</v>
      </c>
      <c r="N192" t="s">
        <v>33</v>
      </c>
      <c r="O192" t="s">
        <v>2619</v>
      </c>
      <c r="P192" t="s">
        <v>104</v>
      </c>
      <c r="Q192" t="s">
        <v>2620</v>
      </c>
      <c r="R192" t="s">
        <v>37</v>
      </c>
      <c r="S192" t="s">
        <v>2621</v>
      </c>
      <c r="T192" t="s">
        <v>55</v>
      </c>
      <c r="U192" t="s">
        <v>56</v>
      </c>
      <c r="V192" t="s">
        <v>56</v>
      </c>
    </row>
    <row r="193" spans="1:22" x14ac:dyDescent="0.3">
      <c r="A193" s="49">
        <v>45624</v>
      </c>
      <c r="B193" t="s">
        <v>891</v>
      </c>
      <c r="C193" t="s">
        <v>892</v>
      </c>
      <c r="D193" t="s">
        <v>24</v>
      </c>
      <c r="E193" t="s">
        <v>2622</v>
      </c>
      <c r="F193" t="s">
        <v>2623</v>
      </c>
      <c r="G193" t="s">
        <v>2624</v>
      </c>
      <c r="H193" t="s">
        <v>89</v>
      </c>
      <c r="J193" t="s">
        <v>46</v>
      </c>
      <c r="K193" t="s">
        <v>422</v>
      </c>
      <c r="L193" t="s">
        <v>2625</v>
      </c>
      <c r="M193">
        <v>0</v>
      </c>
      <c r="N193" t="s">
        <v>74</v>
      </c>
      <c r="O193" t="s">
        <v>2626</v>
      </c>
      <c r="P193" t="s">
        <v>2627</v>
      </c>
      <c r="Q193" t="s">
        <v>2628</v>
      </c>
      <c r="R193" t="s">
        <v>37</v>
      </c>
      <c r="S193" t="s">
        <v>2629</v>
      </c>
      <c r="T193" t="s">
        <v>55</v>
      </c>
      <c r="U193" t="s">
        <v>56</v>
      </c>
      <c r="V193" t="s">
        <v>56</v>
      </c>
    </row>
    <row r="194" spans="1:22" x14ac:dyDescent="0.3">
      <c r="A194" s="49">
        <v>45624</v>
      </c>
      <c r="B194" t="s">
        <v>891</v>
      </c>
      <c r="C194" t="s">
        <v>892</v>
      </c>
      <c r="D194" t="s">
        <v>24</v>
      </c>
      <c r="E194" t="s">
        <v>2630</v>
      </c>
      <c r="F194" t="s">
        <v>2631</v>
      </c>
      <c r="G194" t="s">
        <v>2617</v>
      </c>
      <c r="H194" t="s">
        <v>28</v>
      </c>
      <c r="I194" t="s">
        <v>2632</v>
      </c>
      <c r="J194" t="s">
        <v>63</v>
      </c>
      <c r="K194" t="s">
        <v>64</v>
      </c>
      <c r="L194" t="s">
        <v>32</v>
      </c>
      <c r="M194">
        <v>100</v>
      </c>
      <c r="N194" t="s">
        <v>49</v>
      </c>
      <c r="O194" t="s">
        <v>2633</v>
      </c>
      <c r="P194" t="s">
        <v>358</v>
      </c>
      <c r="Q194" t="s">
        <v>2634</v>
      </c>
      <c r="R194" t="s">
        <v>37</v>
      </c>
      <c r="S194" t="s">
        <v>2635</v>
      </c>
      <c r="T194" t="s">
        <v>55</v>
      </c>
      <c r="U194" t="s">
        <v>56</v>
      </c>
      <c r="V194" t="s">
        <v>56</v>
      </c>
    </row>
    <row r="195" spans="1:22" x14ac:dyDescent="0.3">
      <c r="A195" s="49">
        <v>45624</v>
      </c>
      <c r="B195" t="s">
        <v>22</v>
      </c>
      <c r="C195" t="s">
        <v>23</v>
      </c>
      <c r="D195" t="s">
        <v>173</v>
      </c>
      <c r="E195" t="s">
        <v>2630</v>
      </c>
      <c r="F195" t="s">
        <v>2631</v>
      </c>
      <c r="G195" t="s">
        <v>2617</v>
      </c>
      <c r="H195" t="s">
        <v>28</v>
      </c>
      <c r="I195" t="s">
        <v>2636</v>
      </c>
      <c r="J195" t="s">
        <v>63</v>
      </c>
      <c r="K195" t="s">
        <v>414</v>
      </c>
      <c r="L195" t="s">
        <v>32</v>
      </c>
      <c r="M195">
        <v>100</v>
      </c>
      <c r="N195" t="s">
        <v>49</v>
      </c>
      <c r="O195" t="s">
        <v>2637</v>
      </c>
      <c r="P195" t="s">
        <v>381</v>
      </c>
      <c r="Q195" t="s">
        <v>2638</v>
      </c>
      <c r="R195" t="s">
        <v>37</v>
      </c>
      <c r="S195" t="s">
        <v>2639</v>
      </c>
      <c r="T195" t="s">
        <v>55</v>
      </c>
      <c r="U195" t="s">
        <v>56</v>
      </c>
      <c r="V195" t="s">
        <v>56</v>
      </c>
    </row>
    <row r="196" spans="1:22" x14ac:dyDescent="0.3">
      <c r="A196" s="49">
        <v>45624</v>
      </c>
      <c r="B196" t="s">
        <v>22</v>
      </c>
      <c r="C196" t="s">
        <v>23</v>
      </c>
      <c r="D196" t="s">
        <v>24</v>
      </c>
      <c r="E196" t="s">
        <v>2640</v>
      </c>
      <c r="F196" t="s">
        <v>2641</v>
      </c>
      <c r="G196" t="s">
        <v>2642</v>
      </c>
      <c r="H196" t="s">
        <v>28</v>
      </c>
      <c r="I196" t="s">
        <v>2643</v>
      </c>
      <c r="J196" t="s">
        <v>30</v>
      </c>
      <c r="K196" t="s">
        <v>294</v>
      </c>
      <c r="L196" t="s">
        <v>1859</v>
      </c>
      <c r="M196">
        <v>100</v>
      </c>
      <c r="N196" t="s">
        <v>33</v>
      </c>
      <c r="O196" t="s">
        <v>2644</v>
      </c>
      <c r="P196" t="s">
        <v>2645</v>
      </c>
      <c r="Q196" t="s">
        <v>2646</v>
      </c>
      <c r="R196" t="s">
        <v>53</v>
      </c>
      <c r="S196" t="s">
        <v>2647</v>
      </c>
      <c r="T196" t="s">
        <v>55</v>
      </c>
      <c r="U196" t="s">
        <v>56</v>
      </c>
      <c r="V196" t="s">
        <v>56</v>
      </c>
    </row>
    <row r="197" spans="1:22" x14ac:dyDescent="0.3">
      <c r="A197" s="49">
        <v>45624</v>
      </c>
      <c r="B197" t="s">
        <v>22</v>
      </c>
      <c r="C197" t="s">
        <v>23</v>
      </c>
      <c r="D197" t="s">
        <v>173</v>
      </c>
      <c r="E197" t="s">
        <v>1991</v>
      </c>
      <c r="F197" t="s">
        <v>1992</v>
      </c>
      <c r="G197" t="s">
        <v>2563</v>
      </c>
      <c r="H197" t="s">
        <v>28</v>
      </c>
      <c r="I197" t="s">
        <v>2648</v>
      </c>
      <c r="J197" t="s">
        <v>63</v>
      </c>
      <c r="K197" t="s">
        <v>414</v>
      </c>
      <c r="L197" t="s">
        <v>32</v>
      </c>
      <c r="M197">
        <v>70</v>
      </c>
      <c r="N197" t="s">
        <v>74</v>
      </c>
      <c r="O197" t="s">
        <v>2649</v>
      </c>
      <c r="P197" t="s">
        <v>873</v>
      </c>
      <c r="Q197" t="s">
        <v>467</v>
      </c>
      <c r="R197" t="s">
        <v>337</v>
      </c>
      <c r="S197" t="s">
        <v>2650</v>
      </c>
      <c r="T197" t="s">
        <v>55</v>
      </c>
      <c r="U197" t="s">
        <v>56</v>
      </c>
      <c r="V197" t="s">
        <v>56</v>
      </c>
    </row>
    <row r="198" spans="1:22" x14ac:dyDescent="0.3">
      <c r="A198" s="49">
        <v>45624</v>
      </c>
      <c r="B198" t="s">
        <v>891</v>
      </c>
      <c r="C198" t="s">
        <v>892</v>
      </c>
      <c r="D198" t="s">
        <v>24</v>
      </c>
      <c r="E198" t="s">
        <v>2651</v>
      </c>
      <c r="F198" t="s">
        <v>2652</v>
      </c>
      <c r="G198" t="s">
        <v>2653</v>
      </c>
      <c r="H198" t="s">
        <v>28</v>
      </c>
      <c r="I198" t="s">
        <v>2654</v>
      </c>
      <c r="J198" t="s">
        <v>63</v>
      </c>
      <c r="K198" t="s">
        <v>64</v>
      </c>
      <c r="L198" t="s">
        <v>32</v>
      </c>
      <c r="M198">
        <v>100</v>
      </c>
      <c r="N198" t="s">
        <v>49</v>
      </c>
      <c r="O198" t="s">
        <v>2655</v>
      </c>
      <c r="P198" t="s">
        <v>2052</v>
      </c>
      <c r="Q198" t="s">
        <v>2656</v>
      </c>
      <c r="R198" t="s">
        <v>783</v>
      </c>
      <c r="S198" t="s">
        <v>2657</v>
      </c>
      <c r="T198" t="s">
        <v>55</v>
      </c>
      <c r="U198" t="s">
        <v>56</v>
      </c>
      <c r="V198" t="s">
        <v>56</v>
      </c>
    </row>
    <row r="199" spans="1:22" x14ac:dyDescent="0.3">
      <c r="A199" s="49">
        <v>45624</v>
      </c>
      <c r="B199" t="s">
        <v>22</v>
      </c>
      <c r="C199" t="s">
        <v>23</v>
      </c>
      <c r="D199" t="s">
        <v>173</v>
      </c>
      <c r="E199" t="s">
        <v>1107</v>
      </c>
      <c r="F199" t="s">
        <v>624</v>
      </c>
      <c r="G199" t="s">
        <v>2658</v>
      </c>
      <c r="H199" t="s">
        <v>89</v>
      </c>
      <c r="J199" t="s">
        <v>63</v>
      </c>
      <c r="K199" t="s">
        <v>1269</v>
      </c>
      <c r="L199" t="s">
        <v>1270</v>
      </c>
      <c r="M199">
        <v>100</v>
      </c>
      <c r="N199" t="s">
        <v>49</v>
      </c>
      <c r="O199" t="s">
        <v>2659</v>
      </c>
      <c r="P199" t="s">
        <v>373</v>
      </c>
      <c r="Q199" t="s">
        <v>2660</v>
      </c>
      <c r="R199" t="s">
        <v>53</v>
      </c>
      <c r="S199" t="s">
        <v>2661</v>
      </c>
      <c r="T199" t="s">
        <v>55</v>
      </c>
      <c r="U199" t="s">
        <v>56</v>
      </c>
      <c r="V199" t="s">
        <v>56</v>
      </c>
    </row>
    <row r="200" spans="1:22" x14ac:dyDescent="0.3">
      <c r="A200" s="49">
        <v>45624</v>
      </c>
      <c r="B200" t="s">
        <v>22</v>
      </c>
      <c r="C200" t="s">
        <v>23</v>
      </c>
      <c r="D200" t="s">
        <v>173</v>
      </c>
      <c r="E200" t="s">
        <v>1107</v>
      </c>
      <c r="F200" t="s">
        <v>624</v>
      </c>
      <c r="G200" t="s">
        <v>2575</v>
      </c>
      <c r="H200" t="s">
        <v>89</v>
      </c>
      <c r="J200" t="s">
        <v>63</v>
      </c>
      <c r="K200" t="s">
        <v>1666</v>
      </c>
      <c r="L200" t="s">
        <v>32</v>
      </c>
      <c r="M200">
        <v>10</v>
      </c>
      <c r="N200" t="s">
        <v>74</v>
      </c>
      <c r="O200" t="s">
        <v>2662</v>
      </c>
      <c r="P200" t="s">
        <v>416</v>
      </c>
      <c r="Q200" t="s">
        <v>2663</v>
      </c>
      <c r="R200" t="s">
        <v>37</v>
      </c>
      <c r="S200" t="s">
        <v>628</v>
      </c>
      <c r="T200" t="s">
        <v>55</v>
      </c>
      <c r="U200" t="s">
        <v>56</v>
      </c>
      <c r="V200" t="s">
        <v>56</v>
      </c>
    </row>
    <row r="201" spans="1:22" x14ac:dyDescent="0.3">
      <c r="A201" s="49">
        <v>45624</v>
      </c>
      <c r="B201" t="s">
        <v>22</v>
      </c>
      <c r="C201" t="s">
        <v>23</v>
      </c>
      <c r="D201" t="s">
        <v>173</v>
      </c>
      <c r="E201" t="s">
        <v>832</v>
      </c>
      <c r="F201" t="s">
        <v>576</v>
      </c>
      <c r="G201" t="s">
        <v>2514</v>
      </c>
      <c r="H201" t="s">
        <v>89</v>
      </c>
      <c r="J201" t="s">
        <v>63</v>
      </c>
      <c r="K201" t="s">
        <v>414</v>
      </c>
      <c r="L201" t="s">
        <v>32</v>
      </c>
      <c r="M201">
        <v>20</v>
      </c>
      <c r="N201" t="s">
        <v>49</v>
      </c>
      <c r="O201" t="s">
        <v>2664</v>
      </c>
      <c r="P201" t="s">
        <v>686</v>
      </c>
      <c r="Q201" t="s">
        <v>2665</v>
      </c>
      <c r="R201" t="s">
        <v>37</v>
      </c>
      <c r="S201" t="s">
        <v>1118</v>
      </c>
      <c r="T201" t="s">
        <v>55</v>
      </c>
      <c r="U201" t="s">
        <v>56</v>
      </c>
      <c r="V201" t="s">
        <v>56</v>
      </c>
    </row>
    <row r="202" spans="1:22" x14ac:dyDescent="0.3">
      <c r="A202" s="49">
        <v>45624</v>
      </c>
      <c r="B202" t="s">
        <v>22</v>
      </c>
      <c r="C202" t="s">
        <v>23</v>
      </c>
      <c r="D202" t="s">
        <v>173</v>
      </c>
      <c r="E202" t="s">
        <v>2006</v>
      </c>
      <c r="F202" t="s">
        <v>1137</v>
      </c>
      <c r="G202" t="s">
        <v>2666</v>
      </c>
      <c r="H202" t="s">
        <v>28</v>
      </c>
      <c r="I202" t="s">
        <v>1139</v>
      </c>
      <c r="J202" t="s">
        <v>30</v>
      </c>
      <c r="K202" t="s">
        <v>31</v>
      </c>
      <c r="L202" t="s">
        <v>2595</v>
      </c>
      <c r="M202">
        <v>90</v>
      </c>
      <c r="N202" t="s">
        <v>49</v>
      </c>
      <c r="O202" t="s">
        <v>2667</v>
      </c>
      <c r="P202" t="s">
        <v>106</v>
      </c>
      <c r="Q202" t="s">
        <v>2668</v>
      </c>
      <c r="R202" t="s">
        <v>37</v>
      </c>
      <c r="S202" t="s">
        <v>1143</v>
      </c>
      <c r="T202" t="s">
        <v>39</v>
      </c>
      <c r="U202" t="s">
        <v>40</v>
      </c>
      <c r="V202" t="s">
        <v>41</v>
      </c>
    </row>
    <row r="203" spans="1:22" x14ac:dyDescent="0.3">
      <c r="A203" s="49">
        <v>45624</v>
      </c>
      <c r="B203" t="s">
        <v>22</v>
      </c>
      <c r="C203" t="s">
        <v>23</v>
      </c>
      <c r="D203" t="s">
        <v>173</v>
      </c>
      <c r="E203" t="s">
        <v>347</v>
      </c>
      <c r="F203" t="s">
        <v>348</v>
      </c>
      <c r="G203" t="s">
        <v>2669</v>
      </c>
      <c r="H203" t="s">
        <v>28</v>
      </c>
      <c r="I203" t="s">
        <v>2670</v>
      </c>
      <c r="J203" t="s">
        <v>63</v>
      </c>
      <c r="K203" t="s">
        <v>1807</v>
      </c>
      <c r="L203" t="s">
        <v>32</v>
      </c>
      <c r="M203">
        <v>90</v>
      </c>
      <c r="N203" t="s">
        <v>49</v>
      </c>
      <c r="O203" t="s">
        <v>2671</v>
      </c>
      <c r="P203" t="s">
        <v>205</v>
      </c>
      <c r="Q203" t="s">
        <v>2672</v>
      </c>
      <c r="R203" t="s">
        <v>37</v>
      </c>
      <c r="S203" t="s">
        <v>2673</v>
      </c>
      <c r="T203" t="s">
        <v>55</v>
      </c>
      <c r="U203" t="s">
        <v>56</v>
      </c>
      <c r="V203" t="s">
        <v>56</v>
      </c>
    </row>
    <row r="204" spans="1:22" x14ac:dyDescent="0.3">
      <c r="A204" s="49">
        <v>45624</v>
      </c>
      <c r="B204" t="s">
        <v>891</v>
      </c>
      <c r="C204" t="s">
        <v>892</v>
      </c>
      <c r="D204" t="s">
        <v>24</v>
      </c>
      <c r="E204" t="s">
        <v>347</v>
      </c>
      <c r="F204" t="s">
        <v>348</v>
      </c>
      <c r="G204" t="s">
        <v>2669</v>
      </c>
      <c r="H204" t="s">
        <v>28</v>
      </c>
      <c r="I204" t="s">
        <v>2674</v>
      </c>
      <c r="J204" t="s">
        <v>63</v>
      </c>
      <c r="K204" t="s">
        <v>64</v>
      </c>
      <c r="L204" t="s">
        <v>32</v>
      </c>
      <c r="M204">
        <v>30</v>
      </c>
      <c r="N204" t="s">
        <v>49</v>
      </c>
      <c r="O204" t="s">
        <v>2675</v>
      </c>
      <c r="P204" t="s">
        <v>163</v>
      </c>
      <c r="Q204" t="s">
        <v>771</v>
      </c>
      <c r="R204" t="s">
        <v>37</v>
      </c>
      <c r="S204" t="s">
        <v>2673</v>
      </c>
      <c r="T204" t="s">
        <v>55</v>
      </c>
      <c r="U204" t="s">
        <v>56</v>
      </c>
      <c r="V204" t="s">
        <v>56</v>
      </c>
    </row>
    <row r="205" spans="1:22" x14ac:dyDescent="0.3">
      <c r="A205" s="49">
        <v>45624</v>
      </c>
      <c r="B205" t="s">
        <v>891</v>
      </c>
      <c r="C205" t="s">
        <v>892</v>
      </c>
      <c r="D205" t="s">
        <v>24</v>
      </c>
      <c r="E205" t="s">
        <v>361</v>
      </c>
      <c r="F205" t="s">
        <v>362</v>
      </c>
      <c r="G205" t="s">
        <v>2676</v>
      </c>
      <c r="H205" t="s">
        <v>28</v>
      </c>
      <c r="I205" t="s">
        <v>1837</v>
      </c>
      <c r="J205" t="s">
        <v>63</v>
      </c>
      <c r="K205" t="s">
        <v>1666</v>
      </c>
      <c r="L205" t="s">
        <v>32</v>
      </c>
      <c r="M205">
        <v>30</v>
      </c>
      <c r="N205" t="s">
        <v>49</v>
      </c>
      <c r="O205" t="s">
        <v>2677</v>
      </c>
      <c r="P205" t="s">
        <v>743</v>
      </c>
      <c r="Q205" t="s">
        <v>1203</v>
      </c>
      <c r="R205" t="s">
        <v>37</v>
      </c>
      <c r="S205" t="s">
        <v>1840</v>
      </c>
      <c r="T205" t="s">
        <v>55</v>
      </c>
      <c r="U205" t="s">
        <v>56</v>
      </c>
      <c r="V205" t="s">
        <v>56</v>
      </c>
    </row>
    <row r="206" spans="1:22" x14ac:dyDescent="0.3">
      <c r="A206" s="49">
        <v>45624</v>
      </c>
      <c r="B206" t="s">
        <v>891</v>
      </c>
      <c r="C206" t="s">
        <v>892</v>
      </c>
      <c r="D206" t="s">
        <v>24</v>
      </c>
      <c r="E206" t="s">
        <v>1125</v>
      </c>
      <c r="F206" t="s">
        <v>1126</v>
      </c>
      <c r="G206" t="s">
        <v>2600</v>
      </c>
      <c r="H206" t="s">
        <v>28</v>
      </c>
      <c r="I206" t="s">
        <v>2678</v>
      </c>
      <c r="J206" t="s">
        <v>63</v>
      </c>
      <c r="K206" t="s">
        <v>64</v>
      </c>
      <c r="L206" t="s">
        <v>32</v>
      </c>
      <c r="M206">
        <v>45</v>
      </c>
      <c r="N206" t="s">
        <v>49</v>
      </c>
      <c r="O206" t="s">
        <v>2679</v>
      </c>
      <c r="P206" t="s">
        <v>163</v>
      </c>
      <c r="Q206" t="s">
        <v>2680</v>
      </c>
      <c r="R206" t="s">
        <v>37</v>
      </c>
      <c r="S206" t="s">
        <v>2681</v>
      </c>
      <c r="T206" t="s">
        <v>1026</v>
      </c>
      <c r="U206" t="s">
        <v>40</v>
      </c>
      <c r="V206" t="s">
        <v>41</v>
      </c>
    </row>
    <row r="207" spans="1:22" x14ac:dyDescent="0.3">
      <c r="A207" s="49">
        <v>45624</v>
      </c>
      <c r="B207" t="s">
        <v>22</v>
      </c>
      <c r="C207" t="s">
        <v>23</v>
      </c>
      <c r="D207" t="s">
        <v>173</v>
      </c>
      <c r="E207" t="s">
        <v>1622</v>
      </c>
      <c r="F207" t="s">
        <v>1623</v>
      </c>
      <c r="G207" t="s">
        <v>2682</v>
      </c>
      <c r="H207" t="s">
        <v>89</v>
      </c>
      <c r="J207" t="s">
        <v>63</v>
      </c>
      <c r="K207" t="s">
        <v>2683</v>
      </c>
      <c r="L207" t="s">
        <v>32</v>
      </c>
      <c r="M207">
        <v>20</v>
      </c>
      <c r="N207" t="s">
        <v>49</v>
      </c>
      <c r="O207" t="s">
        <v>2684</v>
      </c>
      <c r="P207" t="s">
        <v>58</v>
      </c>
      <c r="Q207" t="s">
        <v>2685</v>
      </c>
      <c r="R207" t="s">
        <v>37</v>
      </c>
      <c r="S207" t="s">
        <v>2686</v>
      </c>
      <c r="T207" t="s">
        <v>55</v>
      </c>
      <c r="U207" t="s">
        <v>56</v>
      </c>
      <c r="V207" t="s">
        <v>56</v>
      </c>
    </row>
    <row r="208" spans="1:22" x14ac:dyDescent="0.3">
      <c r="A208" s="49">
        <v>45624</v>
      </c>
      <c r="B208" t="s">
        <v>22</v>
      </c>
      <c r="C208" t="s">
        <v>23</v>
      </c>
      <c r="D208" t="s">
        <v>24</v>
      </c>
      <c r="E208" t="s">
        <v>1136</v>
      </c>
      <c r="F208" t="s">
        <v>1137</v>
      </c>
      <c r="G208" t="s">
        <v>2687</v>
      </c>
      <c r="H208" t="s">
        <v>28</v>
      </c>
      <c r="I208" t="s">
        <v>2688</v>
      </c>
      <c r="J208" t="s">
        <v>30</v>
      </c>
      <c r="K208" t="s">
        <v>294</v>
      </c>
      <c r="L208" t="s">
        <v>1859</v>
      </c>
      <c r="M208">
        <v>100</v>
      </c>
      <c r="N208" t="s">
        <v>49</v>
      </c>
      <c r="O208" t="s">
        <v>2667</v>
      </c>
      <c r="P208" t="s">
        <v>106</v>
      </c>
      <c r="Q208" t="s">
        <v>2354</v>
      </c>
      <c r="R208" t="s">
        <v>53</v>
      </c>
      <c r="S208" t="s">
        <v>1143</v>
      </c>
      <c r="T208" t="s">
        <v>39</v>
      </c>
      <c r="U208" t="s">
        <v>40</v>
      </c>
      <c r="V208" t="s">
        <v>41</v>
      </c>
    </row>
    <row r="209" spans="1:22" x14ac:dyDescent="0.3">
      <c r="A209" s="49">
        <v>45624</v>
      </c>
      <c r="B209" t="s">
        <v>891</v>
      </c>
      <c r="C209" t="s">
        <v>892</v>
      </c>
      <c r="D209" t="s">
        <v>24</v>
      </c>
      <c r="E209" t="s">
        <v>575</v>
      </c>
      <c r="F209" t="s">
        <v>576</v>
      </c>
      <c r="G209" t="s">
        <v>2514</v>
      </c>
      <c r="H209" t="s">
        <v>89</v>
      </c>
      <c r="I209" t="s">
        <v>2000</v>
      </c>
      <c r="J209" t="s">
        <v>63</v>
      </c>
      <c r="K209" t="s">
        <v>64</v>
      </c>
      <c r="L209" t="s">
        <v>32</v>
      </c>
      <c r="M209">
        <v>100</v>
      </c>
      <c r="N209" t="s">
        <v>49</v>
      </c>
      <c r="O209" t="s">
        <v>2689</v>
      </c>
      <c r="P209" t="s">
        <v>108</v>
      </c>
      <c r="Q209" t="s">
        <v>551</v>
      </c>
      <c r="R209" t="s">
        <v>37</v>
      </c>
      <c r="S209" t="s">
        <v>2003</v>
      </c>
      <c r="T209" t="s">
        <v>55</v>
      </c>
      <c r="U209" t="s">
        <v>56</v>
      </c>
      <c r="V209" t="s">
        <v>56</v>
      </c>
    </row>
    <row r="210" spans="1:22" x14ac:dyDescent="0.3">
      <c r="A210" s="49">
        <v>45624</v>
      </c>
      <c r="B210" t="s">
        <v>891</v>
      </c>
      <c r="C210" t="s">
        <v>892</v>
      </c>
      <c r="D210" t="s">
        <v>24</v>
      </c>
      <c r="E210" t="s">
        <v>575</v>
      </c>
      <c r="F210" t="s">
        <v>576</v>
      </c>
      <c r="G210" t="s">
        <v>2514</v>
      </c>
      <c r="H210" t="s">
        <v>89</v>
      </c>
      <c r="I210" t="s">
        <v>2000</v>
      </c>
      <c r="J210" t="s">
        <v>63</v>
      </c>
      <c r="K210" t="s">
        <v>64</v>
      </c>
      <c r="L210" t="s">
        <v>32</v>
      </c>
      <c r="M210">
        <v>100</v>
      </c>
      <c r="N210" t="s">
        <v>49</v>
      </c>
      <c r="O210" t="s">
        <v>2690</v>
      </c>
      <c r="P210" t="s">
        <v>956</v>
      </c>
      <c r="Q210" t="s">
        <v>551</v>
      </c>
      <c r="R210" t="s">
        <v>37</v>
      </c>
      <c r="S210" t="s">
        <v>2003</v>
      </c>
      <c r="T210" t="s">
        <v>55</v>
      </c>
      <c r="U210" t="s">
        <v>56</v>
      </c>
      <c r="V210" t="s">
        <v>56</v>
      </c>
    </row>
    <row r="211" spans="1:22" x14ac:dyDescent="0.3">
      <c r="A211" s="49">
        <v>45624</v>
      </c>
      <c r="B211" t="s">
        <v>891</v>
      </c>
      <c r="C211" t="s">
        <v>892</v>
      </c>
      <c r="D211" t="s">
        <v>24</v>
      </c>
      <c r="E211" t="s">
        <v>1627</v>
      </c>
      <c r="F211" t="s">
        <v>1628</v>
      </c>
      <c r="G211" t="s">
        <v>2691</v>
      </c>
      <c r="H211" t="s">
        <v>28</v>
      </c>
      <c r="I211" t="s">
        <v>841</v>
      </c>
      <c r="J211" t="s">
        <v>63</v>
      </c>
      <c r="K211" t="s">
        <v>2692</v>
      </c>
      <c r="L211" t="s">
        <v>32</v>
      </c>
      <c r="M211">
        <v>100</v>
      </c>
      <c r="N211" t="s">
        <v>49</v>
      </c>
      <c r="O211" t="s">
        <v>2693</v>
      </c>
      <c r="P211" t="s">
        <v>108</v>
      </c>
      <c r="Q211" t="s">
        <v>1973</v>
      </c>
      <c r="R211" t="s">
        <v>37</v>
      </c>
      <c r="S211" t="s">
        <v>843</v>
      </c>
      <c r="T211" t="s">
        <v>39</v>
      </c>
      <c r="U211" t="s">
        <v>40</v>
      </c>
      <c r="V211" t="s">
        <v>41</v>
      </c>
    </row>
    <row r="212" spans="1:22" x14ac:dyDescent="0.3">
      <c r="A212" s="49">
        <v>45624</v>
      </c>
      <c r="B212" t="s">
        <v>891</v>
      </c>
      <c r="C212" t="s">
        <v>892</v>
      </c>
      <c r="D212" t="s">
        <v>24</v>
      </c>
      <c r="E212" t="s">
        <v>1627</v>
      </c>
      <c r="F212" t="s">
        <v>1628</v>
      </c>
      <c r="G212" t="s">
        <v>2691</v>
      </c>
      <c r="H212" t="s">
        <v>28</v>
      </c>
      <c r="I212" t="s">
        <v>841</v>
      </c>
      <c r="J212" t="s">
        <v>63</v>
      </c>
      <c r="K212" t="s">
        <v>2692</v>
      </c>
      <c r="L212" t="s">
        <v>32</v>
      </c>
      <c r="M212">
        <v>100</v>
      </c>
      <c r="N212" t="s">
        <v>49</v>
      </c>
      <c r="O212" t="s">
        <v>2693</v>
      </c>
      <c r="P212" t="s">
        <v>108</v>
      </c>
      <c r="Q212" t="s">
        <v>1973</v>
      </c>
      <c r="R212" t="s">
        <v>37</v>
      </c>
      <c r="S212" t="s">
        <v>843</v>
      </c>
      <c r="T212" t="s">
        <v>39</v>
      </c>
      <c r="U212" t="s">
        <v>40</v>
      </c>
      <c r="V212" t="s">
        <v>41</v>
      </c>
    </row>
    <row r="213" spans="1:22" x14ac:dyDescent="0.3">
      <c r="A213" s="49">
        <v>45624</v>
      </c>
      <c r="B213" t="s">
        <v>891</v>
      </c>
      <c r="C213" t="s">
        <v>892</v>
      </c>
      <c r="D213" t="s">
        <v>24</v>
      </c>
      <c r="E213" t="s">
        <v>376</v>
      </c>
      <c r="F213" t="s">
        <v>377</v>
      </c>
      <c r="G213" t="s">
        <v>2694</v>
      </c>
      <c r="H213" t="s">
        <v>89</v>
      </c>
      <c r="I213" t="s">
        <v>379</v>
      </c>
      <c r="J213" t="s">
        <v>63</v>
      </c>
      <c r="K213" t="s">
        <v>64</v>
      </c>
      <c r="L213" t="s">
        <v>32</v>
      </c>
      <c r="M213">
        <v>100</v>
      </c>
      <c r="N213" t="s">
        <v>49</v>
      </c>
      <c r="O213" t="s">
        <v>2695</v>
      </c>
      <c r="P213" t="s">
        <v>743</v>
      </c>
      <c r="Q213" t="s">
        <v>2696</v>
      </c>
      <c r="R213" t="s">
        <v>37</v>
      </c>
      <c r="S213" t="s">
        <v>2697</v>
      </c>
      <c r="T213" t="s">
        <v>39</v>
      </c>
      <c r="U213" t="s">
        <v>40</v>
      </c>
      <c r="V213" t="s">
        <v>41</v>
      </c>
    </row>
    <row r="214" spans="1:22" x14ac:dyDescent="0.3">
      <c r="A214" s="49">
        <v>45624</v>
      </c>
      <c r="B214" t="s">
        <v>22</v>
      </c>
      <c r="C214" t="s">
        <v>23</v>
      </c>
      <c r="D214" t="s">
        <v>24</v>
      </c>
      <c r="E214" t="s">
        <v>376</v>
      </c>
      <c r="F214" t="s">
        <v>377</v>
      </c>
      <c r="G214" t="s">
        <v>876</v>
      </c>
      <c r="H214" t="s">
        <v>89</v>
      </c>
      <c r="J214" t="s">
        <v>63</v>
      </c>
      <c r="K214" t="s">
        <v>119</v>
      </c>
      <c r="L214" t="s">
        <v>48</v>
      </c>
      <c r="M214">
        <v>100</v>
      </c>
      <c r="N214" t="s">
        <v>49</v>
      </c>
      <c r="O214" t="s">
        <v>2698</v>
      </c>
      <c r="P214" t="s">
        <v>686</v>
      </c>
      <c r="Q214" t="s">
        <v>2699</v>
      </c>
      <c r="R214" t="s">
        <v>53</v>
      </c>
      <c r="S214" t="s">
        <v>2697</v>
      </c>
      <c r="T214" t="s">
        <v>39</v>
      </c>
      <c r="U214" t="s">
        <v>40</v>
      </c>
      <c r="V214" t="s">
        <v>41</v>
      </c>
    </row>
    <row r="215" spans="1:22" x14ac:dyDescent="0.3">
      <c r="A215" s="49">
        <v>45624</v>
      </c>
      <c r="B215" t="s">
        <v>22</v>
      </c>
      <c r="C215" t="s">
        <v>23</v>
      </c>
      <c r="D215" t="s">
        <v>24</v>
      </c>
      <c r="E215" t="s">
        <v>376</v>
      </c>
      <c r="F215" t="s">
        <v>377</v>
      </c>
      <c r="G215" t="s">
        <v>2700</v>
      </c>
      <c r="H215" t="s">
        <v>28</v>
      </c>
      <c r="I215" t="s">
        <v>2701</v>
      </c>
      <c r="J215" t="s">
        <v>63</v>
      </c>
      <c r="K215" t="s">
        <v>98</v>
      </c>
      <c r="L215" t="s">
        <v>48</v>
      </c>
      <c r="M215">
        <v>75</v>
      </c>
      <c r="N215" t="s">
        <v>49</v>
      </c>
      <c r="O215" t="s">
        <v>2702</v>
      </c>
      <c r="P215" t="s">
        <v>2703</v>
      </c>
      <c r="Q215" t="s">
        <v>2704</v>
      </c>
      <c r="R215" t="s">
        <v>2705</v>
      </c>
      <c r="S215" t="s">
        <v>2706</v>
      </c>
      <c r="T215" t="s">
        <v>39</v>
      </c>
      <c r="U215" t="s">
        <v>40</v>
      </c>
      <c r="V215" t="s">
        <v>41</v>
      </c>
    </row>
    <row r="216" spans="1:22" x14ac:dyDescent="0.3">
      <c r="A216" s="49">
        <v>45624</v>
      </c>
      <c r="B216" t="s">
        <v>22</v>
      </c>
      <c r="C216" t="s">
        <v>23</v>
      </c>
      <c r="D216" t="s">
        <v>24</v>
      </c>
      <c r="E216" t="s">
        <v>376</v>
      </c>
      <c r="F216" t="s">
        <v>377</v>
      </c>
      <c r="G216" t="s">
        <v>2707</v>
      </c>
      <c r="H216" t="s">
        <v>28</v>
      </c>
      <c r="I216" t="s">
        <v>2708</v>
      </c>
      <c r="J216" t="s">
        <v>63</v>
      </c>
      <c r="K216" t="s">
        <v>119</v>
      </c>
      <c r="L216" t="s">
        <v>48</v>
      </c>
      <c r="M216">
        <v>0</v>
      </c>
      <c r="N216" t="s">
        <v>74</v>
      </c>
      <c r="O216" t="s">
        <v>2709</v>
      </c>
      <c r="P216" t="s">
        <v>287</v>
      </c>
      <c r="Q216" t="s">
        <v>328</v>
      </c>
      <c r="R216" t="s">
        <v>53</v>
      </c>
      <c r="S216" t="s">
        <v>2710</v>
      </c>
      <c r="T216" t="s">
        <v>55</v>
      </c>
      <c r="U216" t="s">
        <v>56</v>
      </c>
      <c r="V216" t="s">
        <v>56</v>
      </c>
    </row>
    <row r="217" spans="1:22" x14ac:dyDescent="0.3">
      <c r="A217" s="49">
        <v>45624</v>
      </c>
      <c r="B217" t="s">
        <v>22</v>
      </c>
      <c r="C217" t="s">
        <v>23</v>
      </c>
      <c r="D217" t="s">
        <v>173</v>
      </c>
      <c r="E217" t="s">
        <v>376</v>
      </c>
      <c r="F217" t="s">
        <v>377</v>
      </c>
      <c r="G217" t="s">
        <v>2617</v>
      </c>
      <c r="H217" t="s">
        <v>28</v>
      </c>
      <c r="I217" t="s">
        <v>2711</v>
      </c>
      <c r="J217" t="s">
        <v>63</v>
      </c>
      <c r="K217" t="s">
        <v>414</v>
      </c>
      <c r="L217" t="s">
        <v>32</v>
      </c>
      <c r="M217">
        <v>50</v>
      </c>
      <c r="N217" t="s">
        <v>74</v>
      </c>
      <c r="O217" t="s">
        <v>2709</v>
      </c>
      <c r="P217" t="s">
        <v>287</v>
      </c>
      <c r="Q217" t="s">
        <v>2712</v>
      </c>
      <c r="R217" t="s">
        <v>37</v>
      </c>
      <c r="S217" t="s">
        <v>2710</v>
      </c>
      <c r="T217" t="s">
        <v>55</v>
      </c>
      <c r="U217" t="s">
        <v>56</v>
      </c>
      <c r="V217" t="s">
        <v>56</v>
      </c>
    </row>
    <row r="218" spans="1:22" x14ac:dyDescent="0.3">
      <c r="A218" s="49">
        <v>45624</v>
      </c>
      <c r="B218" t="s">
        <v>22</v>
      </c>
      <c r="C218" t="s">
        <v>23</v>
      </c>
      <c r="D218" t="s">
        <v>173</v>
      </c>
      <c r="E218" t="s">
        <v>1387</v>
      </c>
      <c r="F218" t="s">
        <v>1388</v>
      </c>
      <c r="G218" t="s">
        <v>2713</v>
      </c>
      <c r="H218" t="s">
        <v>89</v>
      </c>
      <c r="J218" t="s">
        <v>63</v>
      </c>
      <c r="K218" t="s">
        <v>463</v>
      </c>
      <c r="L218" t="s">
        <v>32</v>
      </c>
      <c r="M218">
        <v>100</v>
      </c>
      <c r="N218" t="s">
        <v>74</v>
      </c>
      <c r="O218" t="s">
        <v>2714</v>
      </c>
      <c r="P218" t="s">
        <v>104</v>
      </c>
      <c r="Q218" t="s">
        <v>2715</v>
      </c>
      <c r="R218" t="s">
        <v>337</v>
      </c>
      <c r="S218" t="s">
        <v>1671</v>
      </c>
      <c r="T218" t="s">
        <v>55</v>
      </c>
      <c r="U218" t="s">
        <v>56</v>
      </c>
      <c r="V218" t="s">
        <v>56</v>
      </c>
    </row>
    <row r="219" spans="1:22" x14ac:dyDescent="0.3">
      <c r="A219" s="49">
        <v>45624</v>
      </c>
      <c r="B219" t="s">
        <v>891</v>
      </c>
      <c r="C219" t="s">
        <v>892</v>
      </c>
      <c r="D219" t="s">
        <v>24</v>
      </c>
      <c r="E219" t="s">
        <v>1387</v>
      </c>
      <c r="F219" t="s">
        <v>1388</v>
      </c>
      <c r="G219" t="s">
        <v>2716</v>
      </c>
      <c r="H219" t="s">
        <v>28</v>
      </c>
      <c r="I219" t="s">
        <v>2717</v>
      </c>
      <c r="J219" t="s">
        <v>63</v>
      </c>
      <c r="K219" t="s">
        <v>256</v>
      </c>
      <c r="L219" t="s">
        <v>32</v>
      </c>
      <c r="M219">
        <v>75</v>
      </c>
      <c r="N219" t="s">
        <v>49</v>
      </c>
      <c r="O219" t="s">
        <v>2718</v>
      </c>
      <c r="P219" t="s">
        <v>358</v>
      </c>
      <c r="Q219" t="s">
        <v>1973</v>
      </c>
      <c r="R219" t="s">
        <v>37</v>
      </c>
      <c r="S219" t="s">
        <v>2719</v>
      </c>
      <c r="T219" t="s">
        <v>55</v>
      </c>
      <c r="U219" t="s">
        <v>56</v>
      </c>
      <c r="V219" t="s">
        <v>56</v>
      </c>
    </row>
    <row r="220" spans="1:22" x14ac:dyDescent="0.3">
      <c r="A220" s="49">
        <v>45624</v>
      </c>
      <c r="B220" t="s">
        <v>891</v>
      </c>
      <c r="C220" t="s">
        <v>892</v>
      </c>
      <c r="D220" t="s">
        <v>24</v>
      </c>
      <c r="E220" t="s">
        <v>2720</v>
      </c>
      <c r="F220" t="s">
        <v>2721</v>
      </c>
      <c r="G220" t="s">
        <v>2722</v>
      </c>
      <c r="H220" t="s">
        <v>89</v>
      </c>
      <c r="J220" t="s">
        <v>63</v>
      </c>
      <c r="K220" t="s">
        <v>256</v>
      </c>
      <c r="L220" t="s">
        <v>32</v>
      </c>
      <c r="M220">
        <v>40</v>
      </c>
      <c r="N220" t="s">
        <v>49</v>
      </c>
      <c r="O220" t="s">
        <v>2723</v>
      </c>
      <c r="P220" t="s">
        <v>58</v>
      </c>
      <c r="Q220" t="s">
        <v>1231</v>
      </c>
      <c r="R220" t="s">
        <v>37</v>
      </c>
      <c r="S220" t="s">
        <v>2724</v>
      </c>
      <c r="T220" t="s">
        <v>39</v>
      </c>
      <c r="U220" t="s">
        <v>40</v>
      </c>
      <c r="V220" t="s">
        <v>41</v>
      </c>
    </row>
    <row r="221" spans="1:22" x14ac:dyDescent="0.3">
      <c r="A221" s="49">
        <v>45624</v>
      </c>
      <c r="B221" t="s">
        <v>22</v>
      </c>
      <c r="C221" t="s">
        <v>23</v>
      </c>
      <c r="D221" t="s">
        <v>24</v>
      </c>
      <c r="E221" t="s">
        <v>924</v>
      </c>
      <c r="F221" t="s">
        <v>925</v>
      </c>
      <c r="G221" t="s">
        <v>2725</v>
      </c>
      <c r="H221" t="s">
        <v>28</v>
      </c>
      <c r="I221" t="s">
        <v>2726</v>
      </c>
      <c r="J221" t="s">
        <v>46</v>
      </c>
      <c r="K221" t="s">
        <v>2727</v>
      </c>
      <c r="L221" t="s">
        <v>464</v>
      </c>
      <c r="M221">
        <v>100</v>
      </c>
      <c r="N221" t="s">
        <v>49</v>
      </c>
      <c r="O221" t="s">
        <v>2728</v>
      </c>
      <c r="P221" t="s">
        <v>1697</v>
      </c>
      <c r="Q221" t="s">
        <v>949</v>
      </c>
      <c r="R221" t="s">
        <v>53</v>
      </c>
      <c r="S221" t="s">
        <v>2729</v>
      </c>
      <c r="T221" t="s">
        <v>55</v>
      </c>
      <c r="U221" t="s">
        <v>56</v>
      </c>
      <c r="V221" t="s">
        <v>56</v>
      </c>
    </row>
    <row r="222" spans="1:22" x14ac:dyDescent="0.3">
      <c r="A222" s="49">
        <v>45624</v>
      </c>
      <c r="B222" t="s">
        <v>891</v>
      </c>
      <c r="C222" t="s">
        <v>892</v>
      </c>
      <c r="D222" t="s">
        <v>24</v>
      </c>
      <c r="E222" t="s">
        <v>434</v>
      </c>
      <c r="F222" t="s">
        <v>435</v>
      </c>
      <c r="G222" t="s">
        <v>2730</v>
      </c>
      <c r="H222" t="s">
        <v>28</v>
      </c>
      <c r="I222" t="s">
        <v>437</v>
      </c>
      <c r="J222" t="s">
        <v>63</v>
      </c>
      <c r="K222" t="s">
        <v>2731</v>
      </c>
      <c r="L222" t="s">
        <v>32</v>
      </c>
      <c r="M222">
        <v>50</v>
      </c>
      <c r="N222" t="s">
        <v>49</v>
      </c>
      <c r="O222" t="s">
        <v>2732</v>
      </c>
      <c r="P222" t="s">
        <v>163</v>
      </c>
      <c r="Q222" t="s">
        <v>2733</v>
      </c>
      <c r="R222" t="s">
        <v>37</v>
      </c>
      <c r="S222" t="s">
        <v>440</v>
      </c>
      <c r="T222" t="s">
        <v>55</v>
      </c>
      <c r="U222" t="s">
        <v>56</v>
      </c>
      <c r="V222" t="s">
        <v>56</v>
      </c>
    </row>
    <row r="223" spans="1:22" x14ac:dyDescent="0.3">
      <c r="A223" s="49">
        <v>45624</v>
      </c>
      <c r="B223" t="s">
        <v>22</v>
      </c>
      <c r="C223" t="s">
        <v>23</v>
      </c>
      <c r="D223" t="s">
        <v>24</v>
      </c>
      <c r="E223" t="s">
        <v>931</v>
      </c>
      <c r="F223" t="s">
        <v>932</v>
      </c>
      <c r="G223" t="s">
        <v>933</v>
      </c>
      <c r="H223" t="s">
        <v>28</v>
      </c>
      <c r="I223" t="s">
        <v>2734</v>
      </c>
      <c r="J223" t="s">
        <v>63</v>
      </c>
      <c r="K223" t="s">
        <v>98</v>
      </c>
      <c r="L223" t="s">
        <v>48</v>
      </c>
      <c r="M223">
        <v>60</v>
      </c>
      <c r="N223" t="s">
        <v>49</v>
      </c>
      <c r="O223" t="s">
        <v>2735</v>
      </c>
      <c r="P223" t="s">
        <v>205</v>
      </c>
      <c r="Q223" t="s">
        <v>366</v>
      </c>
      <c r="R223" t="s">
        <v>53</v>
      </c>
      <c r="S223" t="s">
        <v>937</v>
      </c>
      <c r="T223" t="s">
        <v>39</v>
      </c>
      <c r="U223" t="s">
        <v>40</v>
      </c>
      <c r="V223" t="s">
        <v>41</v>
      </c>
    </row>
    <row r="224" spans="1:22" x14ac:dyDescent="0.3">
      <c r="A224" s="49">
        <v>45624</v>
      </c>
      <c r="B224" t="s">
        <v>22</v>
      </c>
      <c r="C224" t="s">
        <v>23</v>
      </c>
      <c r="D224" t="s">
        <v>24</v>
      </c>
      <c r="E224" t="s">
        <v>931</v>
      </c>
      <c r="F224" t="s">
        <v>932</v>
      </c>
      <c r="G224" t="s">
        <v>933</v>
      </c>
      <c r="H224" t="s">
        <v>28</v>
      </c>
      <c r="I224" t="s">
        <v>2734</v>
      </c>
      <c r="J224" t="s">
        <v>63</v>
      </c>
      <c r="K224" t="s">
        <v>98</v>
      </c>
      <c r="L224" t="s">
        <v>48</v>
      </c>
      <c r="M224">
        <v>50</v>
      </c>
      <c r="N224" t="s">
        <v>49</v>
      </c>
      <c r="O224" t="s">
        <v>2735</v>
      </c>
      <c r="P224" t="s">
        <v>205</v>
      </c>
      <c r="Q224" t="s">
        <v>366</v>
      </c>
      <c r="R224" t="s">
        <v>53</v>
      </c>
      <c r="S224" t="s">
        <v>937</v>
      </c>
      <c r="T224" t="s">
        <v>39</v>
      </c>
      <c r="U224" t="s">
        <v>40</v>
      </c>
      <c r="V224" t="s">
        <v>41</v>
      </c>
    </row>
    <row r="225" spans="1:22" x14ac:dyDescent="0.3">
      <c r="A225" s="49">
        <v>45624</v>
      </c>
      <c r="B225" t="s">
        <v>22</v>
      </c>
      <c r="C225" t="s">
        <v>23</v>
      </c>
      <c r="D225" t="s">
        <v>173</v>
      </c>
      <c r="E225" t="s">
        <v>1217</v>
      </c>
      <c r="F225" t="s">
        <v>1218</v>
      </c>
      <c r="G225" t="s">
        <v>2736</v>
      </c>
      <c r="H225" t="s">
        <v>28</v>
      </c>
      <c r="I225" t="s">
        <v>2737</v>
      </c>
      <c r="J225" t="s">
        <v>46</v>
      </c>
      <c r="K225" t="s">
        <v>1209</v>
      </c>
      <c r="L225" t="s">
        <v>48</v>
      </c>
      <c r="M225">
        <v>100</v>
      </c>
      <c r="N225" t="s">
        <v>33</v>
      </c>
      <c r="O225" t="s">
        <v>2738</v>
      </c>
      <c r="P225" t="s">
        <v>205</v>
      </c>
      <c r="Q225" t="s">
        <v>2739</v>
      </c>
      <c r="R225" t="s">
        <v>53</v>
      </c>
      <c r="S225" t="s">
        <v>2740</v>
      </c>
      <c r="T225" t="s">
        <v>55</v>
      </c>
      <c r="U225" t="s">
        <v>56</v>
      </c>
      <c r="V225" t="s">
        <v>56</v>
      </c>
    </row>
    <row r="226" spans="1:22" x14ac:dyDescent="0.3">
      <c r="A226" s="49">
        <v>45624</v>
      </c>
      <c r="B226" t="s">
        <v>22</v>
      </c>
      <c r="C226" t="s">
        <v>23</v>
      </c>
      <c r="D226" t="s">
        <v>173</v>
      </c>
      <c r="E226" t="s">
        <v>1217</v>
      </c>
      <c r="F226" t="s">
        <v>1218</v>
      </c>
      <c r="G226" t="s">
        <v>2741</v>
      </c>
      <c r="H226" t="s">
        <v>28</v>
      </c>
      <c r="I226" t="s">
        <v>2742</v>
      </c>
      <c r="J226" t="s">
        <v>63</v>
      </c>
      <c r="K226" t="s">
        <v>414</v>
      </c>
      <c r="L226" t="s">
        <v>32</v>
      </c>
      <c r="M226">
        <v>100</v>
      </c>
      <c r="N226" t="s">
        <v>49</v>
      </c>
      <c r="O226" t="s">
        <v>2743</v>
      </c>
      <c r="P226" t="s">
        <v>686</v>
      </c>
      <c r="Q226" t="s">
        <v>2744</v>
      </c>
      <c r="R226" t="s">
        <v>37</v>
      </c>
      <c r="S226" t="s">
        <v>2745</v>
      </c>
      <c r="T226" t="s">
        <v>55</v>
      </c>
      <c r="U226" t="s">
        <v>56</v>
      </c>
      <c r="V226" t="s">
        <v>56</v>
      </c>
    </row>
    <row r="227" spans="1:22" x14ac:dyDescent="0.3">
      <c r="A227" s="49">
        <v>45624</v>
      </c>
      <c r="B227" t="s">
        <v>22</v>
      </c>
      <c r="C227" t="s">
        <v>23</v>
      </c>
      <c r="D227" t="s">
        <v>24</v>
      </c>
      <c r="E227" t="s">
        <v>637</v>
      </c>
      <c r="F227" t="s">
        <v>638</v>
      </c>
      <c r="G227" t="s">
        <v>2746</v>
      </c>
      <c r="H227" t="s">
        <v>28</v>
      </c>
      <c r="I227" t="s">
        <v>2747</v>
      </c>
      <c r="J227" t="s">
        <v>46</v>
      </c>
      <c r="K227" t="s">
        <v>1166</v>
      </c>
      <c r="L227" t="s">
        <v>453</v>
      </c>
      <c r="M227">
        <v>25</v>
      </c>
      <c r="N227" t="s">
        <v>49</v>
      </c>
      <c r="O227" t="s">
        <v>2748</v>
      </c>
      <c r="P227" t="s">
        <v>306</v>
      </c>
      <c r="Q227" t="s">
        <v>2749</v>
      </c>
      <c r="R227" t="s">
        <v>53</v>
      </c>
      <c r="S227" t="s">
        <v>2089</v>
      </c>
      <c r="T227" t="s">
        <v>55</v>
      </c>
      <c r="U227" t="s">
        <v>56</v>
      </c>
      <c r="V227" t="s">
        <v>56</v>
      </c>
    </row>
    <row r="228" spans="1:22" x14ac:dyDescent="0.3">
      <c r="A228" s="49">
        <v>45623</v>
      </c>
      <c r="B228" t="s">
        <v>22</v>
      </c>
      <c r="C228" t="s">
        <v>23</v>
      </c>
      <c r="D228" t="s">
        <v>24</v>
      </c>
      <c r="E228" t="s">
        <v>703</v>
      </c>
      <c r="F228" t="s">
        <v>704</v>
      </c>
      <c r="G228" t="s">
        <v>1853</v>
      </c>
      <c r="H228" t="s">
        <v>28</v>
      </c>
      <c r="I228" t="s">
        <v>2381</v>
      </c>
      <c r="J228" t="s">
        <v>63</v>
      </c>
      <c r="K228" t="s">
        <v>211</v>
      </c>
      <c r="L228" t="s">
        <v>32</v>
      </c>
      <c r="M228">
        <v>100</v>
      </c>
      <c r="N228" t="s">
        <v>49</v>
      </c>
      <c r="O228" t="s">
        <v>2382</v>
      </c>
      <c r="P228" t="s">
        <v>58</v>
      </c>
      <c r="Q228" t="s">
        <v>2383</v>
      </c>
      <c r="R228" t="s">
        <v>408</v>
      </c>
      <c r="S228" t="s">
        <v>2384</v>
      </c>
      <c r="T228" t="s">
        <v>55</v>
      </c>
      <c r="U228" t="s">
        <v>56</v>
      </c>
      <c r="V228" t="s">
        <v>56</v>
      </c>
    </row>
    <row r="229" spans="1:22" x14ac:dyDescent="0.3">
      <c r="A229" s="49">
        <v>45623</v>
      </c>
      <c r="B229" t="s">
        <v>22</v>
      </c>
      <c r="C229" t="s">
        <v>23</v>
      </c>
      <c r="D229" t="s">
        <v>24</v>
      </c>
      <c r="E229" t="s">
        <v>703</v>
      </c>
      <c r="F229" t="s">
        <v>704</v>
      </c>
      <c r="G229" t="s">
        <v>1853</v>
      </c>
      <c r="H229" t="s">
        <v>28</v>
      </c>
      <c r="I229" t="s">
        <v>2381</v>
      </c>
      <c r="J229" t="s">
        <v>63</v>
      </c>
      <c r="K229" t="s">
        <v>211</v>
      </c>
      <c r="L229" t="s">
        <v>32</v>
      </c>
      <c r="M229">
        <v>100</v>
      </c>
      <c r="N229" t="s">
        <v>49</v>
      </c>
      <c r="O229" t="s">
        <v>2382</v>
      </c>
      <c r="P229" t="s">
        <v>58</v>
      </c>
      <c r="Q229" t="s">
        <v>2383</v>
      </c>
      <c r="R229" t="s">
        <v>408</v>
      </c>
      <c r="S229" t="s">
        <v>2384</v>
      </c>
      <c r="T229" t="s">
        <v>55</v>
      </c>
      <c r="U229" t="s">
        <v>56</v>
      </c>
      <c r="V229" t="s">
        <v>56</v>
      </c>
    </row>
    <row r="230" spans="1:22" x14ac:dyDescent="0.3">
      <c r="A230" s="49">
        <v>45623</v>
      </c>
      <c r="B230" t="s">
        <v>22</v>
      </c>
      <c r="C230" t="s">
        <v>23</v>
      </c>
      <c r="D230" t="s">
        <v>24</v>
      </c>
      <c r="E230" t="s">
        <v>703</v>
      </c>
      <c r="F230" t="s">
        <v>704</v>
      </c>
      <c r="G230" t="s">
        <v>1853</v>
      </c>
      <c r="H230" t="s">
        <v>28</v>
      </c>
      <c r="I230" t="s">
        <v>2381</v>
      </c>
      <c r="J230" t="s">
        <v>63</v>
      </c>
      <c r="K230" t="s">
        <v>211</v>
      </c>
      <c r="L230" t="s">
        <v>32</v>
      </c>
      <c r="M230">
        <v>100</v>
      </c>
      <c r="N230" t="s">
        <v>49</v>
      </c>
      <c r="O230" t="s">
        <v>2382</v>
      </c>
      <c r="P230" t="s">
        <v>58</v>
      </c>
      <c r="Q230" t="s">
        <v>2383</v>
      </c>
      <c r="R230" t="s">
        <v>408</v>
      </c>
      <c r="S230" t="s">
        <v>2384</v>
      </c>
      <c r="T230" t="s">
        <v>55</v>
      </c>
      <c r="U230" t="s">
        <v>56</v>
      </c>
      <c r="V230" t="s">
        <v>56</v>
      </c>
    </row>
    <row r="231" spans="1:22" x14ac:dyDescent="0.3">
      <c r="A231" s="49">
        <v>45623</v>
      </c>
      <c r="B231" t="s">
        <v>22</v>
      </c>
      <c r="C231" t="s">
        <v>23</v>
      </c>
      <c r="D231" t="s">
        <v>24</v>
      </c>
      <c r="E231" t="s">
        <v>2385</v>
      </c>
      <c r="F231" t="s">
        <v>2386</v>
      </c>
      <c r="G231" t="s">
        <v>1820</v>
      </c>
      <c r="H231" t="s">
        <v>28</v>
      </c>
      <c r="I231" t="s">
        <v>2387</v>
      </c>
      <c r="J231" t="s">
        <v>63</v>
      </c>
      <c r="K231" t="s">
        <v>414</v>
      </c>
      <c r="L231" t="s">
        <v>32</v>
      </c>
      <c r="M231">
        <v>100</v>
      </c>
      <c r="N231" t="s">
        <v>49</v>
      </c>
      <c r="O231" t="s">
        <v>2388</v>
      </c>
      <c r="P231" t="s">
        <v>873</v>
      </c>
      <c r="Q231" t="s">
        <v>2389</v>
      </c>
      <c r="R231" t="s">
        <v>37</v>
      </c>
      <c r="S231" t="s">
        <v>2390</v>
      </c>
      <c r="T231" t="s">
        <v>55</v>
      </c>
      <c r="U231" t="s">
        <v>56</v>
      </c>
      <c r="V231" t="s">
        <v>56</v>
      </c>
    </row>
    <row r="232" spans="1:22" x14ac:dyDescent="0.3">
      <c r="A232" s="49">
        <v>45623</v>
      </c>
      <c r="B232" t="s">
        <v>22</v>
      </c>
      <c r="C232" t="s">
        <v>23</v>
      </c>
      <c r="D232" t="s">
        <v>24</v>
      </c>
      <c r="E232" t="s">
        <v>1287</v>
      </c>
      <c r="F232" t="s">
        <v>1288</v>
      </c>
      <c r="G232" t="s">
        <v>2391</v>
      </c>
      <c r="H232" t="s">
        <v>28</v>
      </c>
      <c r="I232" t="s">
        <v>2392</v>
      </c>
      <c r="J232" t="s">
        <v>63</v>
      </c>
      <c r="K232" t="s">
        <v>64</v>
      </c>
      <c r="L232" t="s">
        <v>32</v>
      </c>
      <c r="M232">
        <v>100</v>
      </c>
      <c r="N232" t="s">
        <v>49</v>
      </c>
      <c r="O232" t="s">
        <v>1291</v>
      </c>
      <c r="P232" t="s">
        <v>358</v>
      </c>
      <c r="Q232" t="s">
        <v>2393</v>
      </c>
      <c r="R232" t="s">
        <v>2394</v>
      </c>
      <c r="S232" t="s">
        <v>1294</v>
      </c>
      <c r="T232" t="s">
        <v>55</v>
      </c>
      <c r="U232" t="s">
        <v>56</v>
      </c>
      <c r="V232" t="s">
        <v>56</v>
      </c>
    </row>
    <row r="233" spans="1:22" x14ac:dyDescent="0.3">
      <c r="A233" s="49">
        <v>45623</v>
      </c>
      <c r="B233" t="s">
        <v>22</v>
      </c>
      <c r="C233" t="s">
        <v>23</v>
      </c>
      <c r="D233" t="s">
        <v>24</v>
      </c>
      <c r="E233" t="s">
        <v>1287</v>
      </c>
      <c r="F233" t="s">
        <v>1288</v>
      </c>
      <c r="G233" t="s">
        <v>2391</v>
      </c>
      <c r="H233" t="s">
        <v>28</v>
      </c>
      <c r="I233" t="s">
        <v>2392</v>
      </c>
      <c r="J233" t="s">
        <v>63</v>
      </c>
      <c r="K233" t="s">
        <v>64</v>
      </c>
      <c r="L233" t="s">
        <v>32</v>
      </c>
      <c r="M233">
        <v>100</v>
      </c>
      <c r="N233" t="s">
        <v>49</v>
      </c>
      <c r="O233" t="s">
        <v>1291</v>
      </c>
      <c r="P233" t="s">
        <v>358</v>
      </c>
      <c r="Q233" t="s">
        <v>2393</v>
      </c>
      <c r="R233" t="s">
        <v>2394</v>
      </c>
      <c r="S233" t="s">
        <v>1294</v>
      </c>
      <c r="T233" t="s">
        <v>55</v>
      </c>
      <c r="U233" t="s">
        <v>56</v>
      </c>
      <c r="V233" t="s">
        <v>56</v>
      </c>
    </row>
    <row r="234" spans="1:22" x14ac:dyDescent="0.3">
      <c r="A234" s="49">
        <v>45623</v>
      </c>
      <c r="B234" t="s">
        <v>22</v>
      </c>
      <c r="C234" t="s">
        <v>23</v>
      </c>
      <c r="D234" t="s">
        <v>24</v>
      </c>
      <c r="E234" t="s">
        <v>1287</v>
      </c>
      <c r="F234" t="s">
        <v>1288</v>
      </c>
      <c r="G234" t="s">
        <v>2391</v>
      </c>
      <c r="H234" t="s">
        <v>28</v>
      </c>
      <c r="I234" t="s">
        <v>2392</v>
      </c>
      <c r="J234" t="s">
        <v>63</v>
      </c>
      <c r="K234" t="s">
        <v>64</v>
      </c>
      <c r="L234" t="s">
        <v>32</v>
      </c>
      <c r="M234">
        <v>100</v>
      </c>
      <c r="N234" t="s">
        <v>49</v>
      </c>
      <c r="O234" t="s">
        <v>1291</v>
      </c>
      <c r="P234" t="s">
        <v>358</v>
      </c>
      <c r="Q234" t="s">
        <v>2393</v>
      </c>
      <c r="R234" t="s">
        <v>2394</v>
      </c>
      <c r="S234" t="s">
        <v>1294</v>
      </c>
      <c r="T234" t="s">
        <v>55</v>
      </c>
      <c r="U234" t="s">
        <v>56</v>
      </c>
      <c r="V234" t="s">
        <v>56</v>
      </c>
    </row>
    <row r="235" spans="1:22" x14ac:dyDescent="0.3">
      <c r="A235" s="49">
        <v>45623</v>
      </c>
      <c r="B235" t="s">
        <v>22</v>
      </c>
      <c r="C235" t="s">
        <v>23</v>
      </c>
      <c r="D235" t="s">
        <v>24</v>
      </c>
      <c r="E235" t="s">
        <v>1287</v>
      </c>
      <c r="F235" t="s">
        <v>1288</v>
      </c>
      <c r="G235" t="s">
        <v>2391</v>
      </c>
      <c r="H235" t="s">
        <v>28</v>
      </c>
      <c r="I235" t="s">
        <v>2392</v>
      </c>
      <c r="J235" t="s">
        <v>63</v>
      </c>
      <c r="K235" t="s">
        <v>64</v>
      </c>
      <c r="L235" t="s">
        <v>32</v>
      </c>
      <c r="M235">
        <v>100</v>
      </c>
      <c r="N235" t="s">
        <v>49</v>
      </c>
      <c r="O235" t="s">
        <v>1291</v>
      </c>
      <c r="P235" t="s">
        <v>358</v>
      </c>
      <c r="Q235" t="s">
        <v>2393</v>
      </c>
      <c r="R235" t="s">
        <v>2394</v>
      </c>
      <c r="S235" t="s">
        <v>1294</v>
      </c>
      <c r="T235" t="s">
        <v>55</v>
      </c>
      <c r="U235" t="s">
        <v>56</v>
      </c>
      <c r="V235" t="s">
        <v>56</v>
      </c>
    </row>
    <row r="236" spans="1:22" x14ac:dyDescent="0.3">
      <c r="A236" s="49">
        <v>45623</v>
      </c>
      <c r="B236" t="s">
        <v>22</v>
      </c>
      <c r="C236" t="s">
        <v>23</v>
      </c>
      <c r="D236" t="s">
        <v>173</v>
      </c>
      <c r="E236" t="s">
        <v>2395</v>
      </c>
      <c r="F236" t="s">
        <v>2396</v>
      </c>
      <c r="G236" t="s">
        <v>1247</v>
      </c>
      <c r="H236" t="s">
        <v>28</v>
      </c>
      <c r="I236" t="s">
        <v>2397</v>
      </c>
      <c r="J236" t="s">
        <v>63</v>
      </c>
      <c r="K236" t="s">
        <v>1666</v>
      </c>
      <c r="L236" t="s">
        <v>32</v>
      </c>
      <c r="M236">
        <v>100</v>
      </c>
      <c r="N236" t="s">
        <v>49</v>
      </c>
      <c r="O236" t="s">
        <v>2398</v>
      </c>
      <c r="P236" t="s">
        <v>873</v>
      </c>
      <c r="Q236" t="s">
        <v>2399</v>
      </c>
      <c r="R236" t="s">
        <v>37</v>
      </c>
      <c r="S236" t="s">
        <v>2400</v>
      </c>
      <c r="T236" t="s">
        <v>55</v>
      </c>
      <c r="U236" t="s">
        <v>56</v>
      </c>
      <c r="V236" t="s">
        <v>56</v>
      </c>
    </row>
    <row r="237" spans="1:22" x14ac:dyDescent="0.3">
      <c r="A237" s="49">
        <v>45623</v>
      </c>
      <c r="B237" t="s">
        <v>22</v>
      </c>
      <c r="C237" t="s">
        <v>23</v>
      </c>
      <c r="D237" t="s">
        <v>173</v>
      </c>
      <c r="E237" t="s">
        <v>2395</v>
      </c>
      <c r="F237" t="s">
        <v>2396</v>
      </c>
      <c r="G237" t="s">
        <v>1247</v>
      </c>
      <c r="H237" t="s">
        <v>28</v>
      </c>
      <c r="I237" t="s">
        <v>2397</v>
      </c>
      <c r="J237" t="s">
        <v>63</v>
      </c>
      <c r="K237" t="s">
        <v>1666</v>
      </c>
      <c r="L237" t="s">
        <v>32</v>
      </c>
      <c r="M237">
        <v>100</v>
      </c>
      <c r="N237" t="s">
        <v>49</v>
      </c>
      <c r="O237" t="s">
        <v>2398</v>
      </c>
      <c r="P237" t="s">
        <v>873</v>
      </c>
      <c r="Q237" t="s">
        <v>2399</v>
      </c>
      <c r="R237" t="s">
        <v>37</v>
      </c>
      <c r="S237" t="s">
        <v>2400</v>
      </c>
      <c r="T237" t="s">
        <v>55</v>
      </c>
      <c r="U237" t="s">
        <v>56</v>
      </c>
      <c r="V237" t="s">
        <v>56</v>
      </c>
    </row>
    <row r="238" spans="1:22" x14ac:dyDescent="0.3">
      <c r="A238" s="49">
        <v>45623</v>
      </c>
      <c r="B238" t="s">
        <v>22</v>
      </c>
      <c r="C238" t="s">
        <v>23</v>
      </c>
      <c r="D238" t="s">
        <v>173</v>
      </c>
      <c r="E238" t="s">
        <v>2395</v>
      </c>
      <c r="F238" t="s">
        <v>2396</v>
      </c>
      <c r="G238" t="s">
        <v>1247</v>
      </c>
      <c r="H238" t="s">
        <v>28</v>
      </c>
      <c r="I238" t="s">
        <v>2397</v>
      </c>
      <c r="J238" t="s">
        <v>63</v>
      </c>
      <c r="K238" t="s">
        <v>1666</v>
      </c>
      <c r="L238" t="s">
        <v>32</v>
      </c>
      <c r="M238">
        <v>100</v>
      </c>
      <c r="N238" t="s">
        <v>49</v>
      </c>
      <c r="O238" t="s">
        <v>2398</v>
      </c>
      <c r="P238" t="s">
        <v>873</v>
      </c>
      <c r="Q238" t="s">
        <v>2399</v>
      </c>
      <c r="R238" t="s">
        <v>37</v>
      </c>
      <c r="S238" t="s">
        <v>2400</v>
      </c>
      <c r="T238" t="s">
        <v>55</v>
      </c>
      <c r="U238" t="s">
        <v>56</v>
      </c>
      <c r="V238" t="s">
        <v>56</v>
      </c>
    </row>
    <row r="239" spans="1:22" x14ac:dyDescent="0.3">
      <c r="A239" s="49">
        <v>45623</v>
      </c>
      <c r="B239" t="s">
        <v>22</v>
      </c>
      <c r="C239" t="s">
        <v>23</v>
      </c>
      <c r="D239" t="s">
        <v>173</v>
      </c>
      <c r="E239" t="s">
        <v>2395</v>
      </c>
      <c r="F239" t="s">
        <v>2396</v>
      </c>
      <c r="G239" t="s">
        <v>1247</v>
      </c>
      <c r="H239" t="s">
        <v>28</v>
      </c>
      <c r="I239" t="s">
        <v>2397</v>
      </c>
      <c r="J239" t="s">
        <v>63</v>
      </c>
      <c r="K239" t="s">
        <v>1666</v>
      </c>
      <c r="L239" t="s">
        <v>32</v>
      </c>
      <c r="M239">
        <v>100</v>
      </c>
      <c r="N239" t="s">
        <v>49</v>
      </c>
      <c r="O239" t="s">
        <v>2398</v>
      </c>
      <c r="P239" t="s">
        <v>873</v>
      </c>
      <c r="Q239" t="s">
        <v>2399</v>
      </c>
      <c r="R239" t="s">
        <v>37</v>
      </c>
      <c r="S239" t="s">
        <v>2400</v>
      </c>
      <c r="T239" t="s">
        <v>55</v>
      </c>
      <c r="U239" t="s">
        <v>56</v>
      </c>
      <c r="V239" t="s">
        <v>56</v>
      </c>
    </row>
    <row r="240" spans="1:22" x14ac:dyDescent="0.3">
      <c r="A240" s="49">
        <v>45623</v>
      </c>
      <c r="B240" t="s">
        <v>22</v>
      </c>
      <c r="C240" t="s">
        <v>23</v>
      </c>
      <c r="D240" t="s">
        <v>173</v>
      </c>
      <c r="E240" t="s">
        <v>2395</v>
      </c>
      <c r="F240" t="s">
        <v>2396</v>
      </c>
      <c r="G240" t="s">
        <v>1247</v>
      </c>
      <c r="H240" t="s">
        <v>28</v>
      </c>
      <c r="I240" t="s">
        <v>2397</v>
      </c>
      <c r="J240" t="s">
        <v>63</v>
      </c>
      <c r="K240" t="s">
        <v>1666</v>
      </c>
      <c r="L240" t="s">
        <v>32</v>
      </c>
      <c r="M240">
        <v>100</v>
      </c>
      <c r="N240" t="s">
        <v>49</v>
      </c>
      <c r="O240" t="s">
        <v>2398</v>
      </c>
      <c r="P240" t="s">
        <v>873</v>
      </c>
      <c r="Q240" t="s">
        <v>2399</v>
      </c>
      <c r="R240" t="s">
        <v>37</v>
      </c>
      <c r="S240" t="s">
        <v>2400</v>
      </c>
      <c r="T240" t="s">
        <v>55</v>
      </c>
      <c r="U240" t="s">
        <v>56</v>
      </c>
      <c r="V240" t="s">
        <v>56</v>
      </c>
    </row>
    <row r="241" spans="1:22" x14ac:dyDescent="0.3">
      <c r="A241" s="49">
        <v>45623</v>
      </c>
      <c r="B241" t="s">
        <v>22</v>
      </c>
      <c r="C241" t="s">
        <v>23</v>
      </c>
      <c r="D241" t="s">
        <v>24</v>
      </c>
      <c r="E241" t="s">
        <v>2395</v>
      </c>
      <c r="F241" t="s">
        <v>2396</v>
      </c>
      <c r="G241" t="s">
        <v>1247</v>
      </c>
      <c r="H241" t="s">
        <v>28</v>
      </c>
      <c r="I241" t="s">
        <v>2397</v>
      </c>
      <c r="J241" t="s">
        <v>63</v>
      </c>
      <c r="K241" t="s">
        <v>256</v>
      </c>
      <c r="L241" t="s">
        <v>32</v>
      </c>
      <c r="M241">
        <v>100</v>
      </c>
      <c r="N241" t="s">
        <v>49</v>
      </c>
      <c r="O241" t="s">
        <v>2401</v>
      </c>
      <c r="P241" t="s">
        <v>205</v>
      </c>
      <c r="Q241" t="s">
        <v>2402</v>
      </c>
      <c r="R241" t="s">
        <v>37</v>
      </c>
      <c r="S241" t="s">
        <v>2400</v>
      </c>
      <c r="T241" t="s">
        <v>55</v>
      </c>
      <c r="U241" t="s">
        <v>56</v>
      </c>
      <c r="V241" t="s">
        <v>56</v>
      </c>
    </row>
    <row r="242" spans="1:22" x14ac:dyDescent="0.3">
      <c r="A242" s="49">
        <v>45623</v>
      </c>
      <c r="B242" t="s">
        <v>22</v>
      </c>
      <c r="C242" t="s">
        <v>23</v>
      </c>
      <c r="D242" t="s">
        <v>24</v>
      </c>
      <c r="E242" t="s">
        <v>141</v>
      </c>
      <c r="F242" t="s">
        <v>142</v>
      </c>
      <c r="G242" t="s">
        <v>2206</v>
      </c>
      <c r="H242" t="s">
        <v>28</v>
      </c>
      <c r="I242" t="s">
        <v>2403</v>
      </c>
      <c r="J242" t="s">
        <v>63</v>
      </c>
      <c r="K242" t="s">
        <v>414</v>
      </c>
      <c r="L242" t="s">
        <v>464</v>
      </c>
      <c r="M242">
        <v>50</v>
      </c>
      <c r="N242" t="s">
        <v>49</v>
      </c>
      <c r="O242" t="s">
        <v>2404</v>
      </c>
      <c r="P242" t="s">
        <v>686</v>
      </c>
      <c r="Q242" t="s">
        <v>146</v>
      </c>
      <c r="R242" t="s">
        <v>37</v>
      </c>
      <c r="S242" t="s">
        <v>2405</v>
      </c>
      <c r="T242" t="s">
        <v>55</v>
      </c>
      <c r="U242" t="s">
        <v>56</v>
      </c>
      <c r="V242" t="s">
        <v>56</v>
      </c>
    </row>
    <row r="243" spans="1:22" x14ac:dyDescent="0.3">
      <c r="A243" s="49">
        <v>45623</v>
      </c>
      <c r="B243" t="s">
        <v>22</v>
      </c>
      <c r="C243" t="s">
        <v>23</v>
      </c>
      <c r="D243" t="s">
        <v>24</v>
      </c>
      <c r="E243" t="s">
        <v>2406</v>
      </c>
      <c r="F243" t="s">
        <v>2407</v>
      </c>
      <c r="G243" t="s">
        <v>1453</v>
      </c>
      <c r="H243" t="s">
        <v>28</v>
      </c>
      <c r="I243" t="s">
        <v>2408</v>
      </c>
      <c r="J243" t="s">
        <v>63</v>
      </c>
      <c r="K243" t="s">
        <v>256</v>
      </c>
      <c r="L243" t="s">
        <v>32</v>
      </c>
      <c r="M243">
        <v>100</v>
      </c>
      <c r="N243" t="s">
        <v>49</v>
      </c>
      <c r="O243" t="s">
        <v>2409</v>
      </c>
      <c r="P243" t="s">
        <v>170</v>
      </c>
      <c r="Q243" t="s">
        <v>2410</v>
      </c>
      <c r="R243" t="s">
        <v>200</v>
      </c>
      <c r="S243" t="s">
        <v>147</v>
      </c>
      <c r="T243" t="s">
        <v>55</v>
      </c>
      <c r="U243" t="s">
        <v>56</v>
      </c>
      <c r="V243" t="s">
        <v>56</v>
      </c>
    </row>
    <row r="244" spans="1:22" x14ac:dyDescent="0.3">
      <c r="A244" s="49">
        <v>45623</v>
      </c>
      <c r="B244" t="s">
        <v>22</v>
      </c>
      <c r="C244" t="s">
        <v>23</v>
      </c>
      <c r="D244" t="s">
        <v>173</v>
      </c>
      <c r="E244" t="s">
        <v>2411</v>
      </c>
      <c r="F244" t="s">
        <v>2412</v>
      </c>
      <c r="G244" t="s">
        <v>1943</v>
      </c>
      <c r="H244" t="s">
        <v>28</v>
      </c>
      <c r="I244" t="s">
        <v>2413</v>
      </c>
      <c r="J244" t="s">
        <v>63</v>
      </c>
      <c r="K244" t="s">
        <v>1807</v>
      </c>
      <c r="L244" t="s">
        <v>32</v>
      </c>
      <c r="M244">
        <v>100</v>
      </c>
      <c r="N244" t="s">
        <v>49</v>
      </c>
      <c r="O244" t="s">
        <v>2414</v>
      </c>
      <c r="P244" t="s">
        <v>108</v>
      </c>
      <c r="Q244" t="s">
        <v>2415</v>
      </c>
      <c r="R244" t="s">
        <v>783</v>
      </c>
      <c r="S244" t="s">
        <v>2416</v>
      </c>
      <c r="T244" t="s">
        <v>55</v>
      </c>
      <c r="U244" t="s">
        <v>56</v>
      </c>
      <c r="V244" t="s">
        <v>56</v>
      </c>
    </row>
    <row r="245" spans="1:22" x14ac:dyDescent="0.3">
      <c r="A245" s="49">
        <v>45623</v>
      </c>
      <c r="B245" t="s">
        <v>22</v>
      </c>
      <c r="C245" t="s">
        <v>23</v>
      </c>
      <c r="D245" t="s">
        <v>24</v>
      </c>
      <c r="E245" t="s">
        <v>166</v>
      </c>
      <c r="F245" t="s">
        <v>167</v>
      </c>
      <c r="G245" t="s">
        <v>2417</v>
      </c>
      <c r="H245" t="s">
        <v>28</v>
      </c>
      <c r="I245" t="s">
        <v>2418</v>
      </c>
      <c r="J245" t="s">
        <v>63</v>
      </c>
      <c r="K245" t="s">
        <v>414</v>
      </c>
      <c r="L245" t="s">
        <v>32</v>
      </c>
      <c r="M245">
        <v>100</v>
      </c>
      <c r="N245" t="s">
        <v>49</v>
      </c>
      <c r="O245" t="s">
        <v>2419</v>
      </c>
      <c r="P245" t="s">
        <v>956</v>
      </c>
      <c r="Q245" t="s">
        <v>2420</v>
      </c>
      <c r="R245" t="s">
        <v>37</v>
      </c>
      <c r="S245" t="s">
        <v>2421</v>
      </c>
      <c r="T245" t="s">
        <v>55</v>
      </c>
      <c r="U245" t="s">
        <v>56</v>
      </c>
      <c r="V245" t="s">
        <v>56</v>
      </c>
    </row>
    <row r="246" spans="1:22" x14ac:dyDescent="0.3">
      <c r="A246" s="49">
        <v>45623</v>
      </c>
      <c r="B246" t="s">
        <v>22</v>
      </c>
      <c r="C246" t="s">
        <v>23</v>
      </c>
      <c r="D246" t="s">
        <v>24</v>
      </c>
      <c r="E246" t="s">
        <v>166</v>
      </c>
      <c r="F246" t="s">
        <v>167</v>
      </c>
      <c r="G246" t="s">
        <v>2422</v>
      </c>
      <c r="H246" t="s">
        <v>28</v>
      </c>
      <c r="I246" t="s">
        <v>2423</v>
      </c>
      <c r="J246" t="s">
        <v>30</v>
      </c>
      <c r="K246" t="s">
        <v>422</v>
      </c>
      <c r="L246" t="s">
        <v>32</v>
      </c>
      <c r="M246">
        <v>100</v>
      </c>
      <c r="N246" t="s">
        <v>49</v>
      </c>
      <c r="O246" t="s">
        <v>2424</v>
      </c>
      <c r="P246" t="s">
        <v>58</v>
      </c>
      <c r="Q246" t="s">
        <v>2425</v>
      </c>
      <c r="R246" t="s">
        <v>37</v>
      </c>
      <c r="S246" t="s">
        <v>2426</v>
      </c>
      <c r="T246" t="s">
        <v>55</v>
      </c>
      <c r="U246" t="s">
        <v>56</v>
      </c>
      <c r="V246" t="s">
        <v>56</v>
      </c>
    </row>
    <row r="247" spans="1:22" x14ac:dyDescent="0.3">
      <c r="A247" s="49">
        <v>45623</v>
      </c>
      <c r="B247" t="s">
        <v>22</v>
      </c>
      <c r="C247" t="s">
        <v>23</v>
      </c>
      <c r="D247" t="s">
        <v>24</v>
      </c>
      <c r="E247" t="s">
        <v>2427</v>
      </c>
      <c r="F247" t="s">
        <v>2428</v>
      </c>
      <c r="G247" t="s">
        <v>2429</v>
      </c>
      <c r="H247" t="s">
        <v>28</v>
      </c>
      <c r="I247" t="s">
        <v>2430</v>
      </c>
      <c r="J247" t="s">
        <v>63</v>
      </c>
      <c r="K247" t="s">
        <v>445</v>
      </c>
      <c r="L247" t="s">
        <v>32</v>
      </c>
      <c r="M247">
        <v>100</v>
      </c>
      <c r="N247" t="s">
        <v>49</v>
      </c>
      <c r="O247" t="s">
        <v>2431</v>
      </c>
      <c r="P247" t="s">
        <v>1586</v>
      </c>
      <c r="Q247" t="s">
        <v>2432</v>
      </c>
      <c r="R247" t="s">
        <v>37</v>
      </c>
      <c r="S247" t="s">
        <v>2433</v>
      </c>
      <c r="T247" t="s">
        <v>55</v>
      </c>
      <c r="U247" t="s">
        <v>56</v>
      </c>
      <c r="V247" t="s">
        <v>56</v>
      </c>
    </row>
    <row r="248" spans="1:22" x14ac:dyDescent="0.3">
      <c r="A248" s="49">
        <v>45623</v>
      </c>
      <c r="B248" t="s">
        <v>22</v>
      </c>
      <c r="C248" t="s">
        <v>23</v>
      </c>
      <c r="D248" t="s">
        <v>24</v>
      </c>
      <c r="E248" t="s">
        <v>2427</v>
      </c>
      <c r="F248" t="s">
        <v>2428</v>
      </c>
      <c r="G248" t="s">
        <v>2429</v>
      </c>
      <c r="H248" t="s">
        <v>28</v>
      </c>
      <c r="I248" t="s">
        <v>2430</v>
      </c>
      <c r="J248" t="s">
        <v>63</v>
      </c>
      <c r="K248" t="s">
        <v>445</v>
      </c>
      <c r="L248" t="s">
        <v>32</v>
      </c>
      <c r="M248">
        <v>100</v>
      </c>
      <c r="N248" t="s">
        <v>49</v>
      </c>
      <c r="O248" t="s">
        <v>2431</v>
      </c>
      <c r="P248" t="s">
        <v>1586</v>
      </c>
      <c r="Q248" t="s">
        <v>2432</v>
      </c>
      <c r="R248" t="s">
        <v>37</v>
      </c>
      <c r="S248" t="s">
        <v>2433</v>
      </c>
      <c r="T248" t="s">
        <v>55</v>
      </c>
      <c r="U248" t="s">
        <v>56</v>
      </c>
      <c r="V248" t="s">
        <v>56</v>
      </c>
    </row>
    <row r="249" spans="1:22" x14ac:dyDescent="0.3">
      <c r="A249" s="49">
        <v>45623</v>
      </c>
      <c r="B249" t="s">
        <v>22</v>
      </c>
      <c r="C249" t="s">
        <v>23</v>
      </c>
      <c r="D249" t="s">
        <v>24</v>
      </c>
      <c r="E249" t="s">
        <v>2434</v>
      </c>
      <c r="F249" t="s">
        <v>2435</v>
      </c>
      <c r="G249" t="s">
        <v>2436</v>
      </c>
      <c r="H249" t="s">
        <v>28</v>
      </c>
      <c r="I249" t="s">
        <v>2437</v>
      </c>
      <c r="J249" t="s">
        <v>63</v>
      </c>
      <c r="K249" t="s">
        <v>64</v>
      </c>
      <c r="L249" t="s">
        <v>32</v>
      </c>
      <c r="M249">
        <v>100</v>
      </c>
      <c r="N249" t="s">
        <v>49</v>
      </c>
      <c r="O249" t="s">
        <v>2438</v>
      </c>
      <c r="P249" t="s">
        <v>686</v>
      </c>
      <c r="Q249" t="s">
        <v>2439</v>
      </c>
      <c r="R249" t="s">
        <v>37</v>
      </c>
      <c r="S249" t="s">
        <v>2440</v>
      </c>
      <c r="T249" t="s">
        <v>55</v>
      </c>
      <c r="U249" t="s">
        <v>56</v>
      </c>
      <c r="V249" t="s">
        <v>56</v>
      </c>
    </row>
    <row r="250" spans="1:22" x14ac:dyDescent="0.3">
      <c r="A250" s="49">
        <v>45623</v>
      </c>
      <c r="B250" t="s">
        <v>22</v>
      </c>
      <c r="C250" t="s">
        <v>23</v>
      </c>
      <c r="D250" t="s">
        <v>24</v>
      </c>
      <c r="E250" t="s">
        <v>2434</v>
      </c>
      <c r="F250" t="s">
        <v>2435</v>
      </c>
      <c r="G250" t="s">
        <v>2436</v>
      </c>
      <c r="H250" t="s">
        <v>28</v>
      </c>
      <c r="I250" t="s">
        <v>2437</v>
      </c>
      <c r="J250" t="s">
        <v>63</v>
      </c>
      <c r="K250" t="s">
        <v>64</v>
      </c>
      <c r="L250" t="s">
        <v>32</v>
      </c>
      <c r="M250">
        <v>100</v>
      </c>
      <c r="N250" t="s">
        <v>49</v>
      </c>
      <c r="O250" t="s">
        <v>2438</v>
      </c>
      <c r="P250" t="s">
        <v>686</v>
      </c>
      <c r="Q250" t="s">
        <v>2439</v>
      </c>
      <c r="R250" t="s">
        <v>37</v>
      </c>
      <c r="S250" t="s">
        <v>2440</v>
      </c>
      <c r="T250" t="s">
        <v>55</v>
      </c>
      <c r="U250" t="s">
        <v>56</v>
      </c>
      <c r="V250" t="s">
        <v>56</v>
      </c>
    </row>
    <row r="251" spans="1:22" x14ac:dyDescent="0.3">
      <c r="A251" s="49">
        <v>45623</v>
      </c>
      <c r="B251" t="s">
        <v>22</v>
      </c>
      <c r="C251" t="s">
        <v>23</v>
      </c>
      <c r="D251" t="s">
        <v>24</v>
      </c>
      <c r="E251" t="s">
        <v>201</v>
      </c>
      <c r="F251" t="s">
        <v>202</v>
      </c>
      <c r="G251" t="s">
        <v>2441</v>
      </c>
      <c r="H251" t="s">
        <v>28</v>
      </c>
      <c r="I251" t="s">
        <v>2442</v>
      </c>
      <c r="J251" t="s">
        <v>63</v>
      </c>
      <c r="K251" t="s">
        <v>414</v>
      </c>
      <c r="L251" t="s">
        <v>32</v>
      </c>
      <c r="M251">
        <v>100</v>
      </c>
      <c r="N251" t="s">
        <v>49</v>
      </c>
      <c r="O251" t="s">
        <v>2443</v>
      </c>
      <c r="P251" t="s">
        <v>58</v>
      </c>
      <c r="Q251" t="s">
        <v>146</v>
      </c>
      <c r="R251" t="s">
        <v>2444</v>
      </c>
      <c r="S251" t="s">
        <v>2445</v>
      </c>
      <c r="T251" t="s">
        <v>55</v>
      </c>
      <c r="U251" t="s">
        <v>56</v>
      </c>
      <c r="V251" t="s">
        <v>56</v>
      </c>
    </row>
    <row r="252" spans="1:22" x14ac:dyDescent="0.3">
      <c r="A252" s="49">
        <v>45623</v>
      </c>
      <c r="B252" t="s">
        <v>22</v>
      </c>
      <c r="C252" t="s">
        <v>23</v>
      </c>
      <c r="D252" t="s">
        <v>24</v>
      </c>
      <c r="E252" t="s">
        <v>201</v>
      </c>
      <c r="F252" t="s">
        <v>202</v>
      </c>
      <c r="G252" t="s">
        <v>2446</v>
      </c>
      <c r="H252" t="s">
        <v>28</v>
      </c>
      <c r="I252" t="s">
        <v>2447</v>
      </c>
      <c r="J252" t="s">
        <v>63</v>
      </c>
      <c r="K252" t="s">
        <v>64</v>
      </c>
      <c r="L252" t="s">
        <v>32</v>
      </c>
      <c r="M252">
        <v>100</v>
      </c>
      <c r="N252" t="s">
        <v>49</v>
      </c>
      <c r="O252" t="s">
        <v>2448</v>
      </c>
      <c r="P252" t="s">
        <v>344</v>
      </c>
      <c r="Q252" t="s">
        <v>2449</v>
      </c>
      <c r="R252" t="s">
        <v>37</v>
      </c>
      <c r="S252" t="s">
        <v>2450</v>
      </c>
      <c r="T252" t="s">
        <v>55</v>
      </c>
      <c r="U252" t="s">
        <v>56</v>
      </c>
      <c r="V252" t="s">
        <v>56</v>
      </c>
    </row>
    <row r="253" spans="1:22" x14ac:dyDescent="0.3">
      <c r="A253" s="49">
        <v>45623</v>
      </c>
      <c r="B253" t="s">
        <v>22</v>
      </c>
      <c r="C253" t="s">
        <v>23</v>
      </c>
      <c r="D253" t="s">
        <v>24</v>
      </c>
      <c r="E253" t="s">
        <v>201</v>
      </c>
      <c r="F253" t="s">
        <v>202</v>
      </c>
      <c r="G253" t="s">
        <v>2446</v>
      </c>
      <c r="H253" t="s">
        <v>28</v>
      </c>
      <c r="I253" t="s">
        <v>2447</v>
      </c>
      <c r="J253" t="s">
        <v>63</v>
      </c>
      <c r="K253" t="s">
        <v>64</v>
      </c>
      <c r="L253" t="s">
        <v>32</v>
      </c>
      <c r="M253">
        <v>100</v>
      </c>
      <c r="N253" t="s">
        <v>49</v>
      </c>
      <c r="O253" t="s">
        <v>2448</v>
      </c>
      <c r="P253" t="s">
        <v>344</v>
      </c>
      <c r="Q253" t="s">
        <v>2449</v>
      </c>
      <c r="R253" t="s">
        <v>37</v>
      </c>
      <c r="S253" t="s">
        <v>2450</v>
      </c>
      <c r="T253" t="s">
        <v>55</v>
      </c>
      <c r="U253" t="s">
        <v>56</v>
      </c>
      <c r="V253" t="s">
        <v>56</v>
      </c>
    </row>
    <row r="254" spans="1:22" x14ac:dyDescent="0.3">
      <c r="A254" s="49">
        <v>45623</v>
      </c>
      <c r="B254" t="s">
        <v>22</v>
      </c>
      <c r="C254" t="s">
        <v>23</v>
      </c>
      <c r="D254" t="s">
        <v>173</v>
      </c>
      <c r="E254" t="s">
        <v>2451</v>
      </c>
      <c r="F254" t="s">
        <v>2452</v>
      </c>
      <c r="G254" t="s">
        <v>1601</v>
      </c>
      <c r="H254" t="s">
        <v>28</v>
      </c>
      <c r="I254" t="s">
        <v>2453</v>
      </c>
      <c r="J254" t="s">
        <v>63</v>
      </c>
      <c r="K254" t="s">
        <v>1666</v>
      </c>
      <c r="L254" t="s">
        <v>32</v>
      </c>
      <c r="M254">
        <v>100</v>
      </c>
      <c r="N254" t="s">
        <v>49</v>
      </c>
      <c r="O254" t="s">
        <v>2454</v>
      </c>
      <c r="P254" t="s">
        <v>873</v>
      </c>
      <c r="Q254" t="s">
        <v>2455</v>
      </c>
      <c r="R254" t="s">
        <v>37</v>
      </c>
      <c r="S254" t="s">
        <v>2456</v>
      </c>
      <c r="T254" t="s">
        <v>55</v>
      </c>
      <c r="U254" t="s">
        <v>56</v>
      </c>
      <c r="V254" t="s">
        <v>56</v>
      </c>
    </row>
    <row r="255" spans="1:22" x14ac:dyDescent="0.3">
      <c r="A255" s="49">
        <v>45623</v>
      </c>
      <c r="B255" t="s">
        <v>22</v>
      </c>
      <c r="C255" t="s">
        <v>23</v>
      </c>
      <c r="D255" t="s">
        <v>173</v>
      </c>
      <c r="E255" t="s">
        <v>2451</v>
      </c>
      <c r="F255" t="s">
        <v>2452</v>
      </c>
      <c r="G255" t="s">
        <v>1601</v>
      </c>
      <c r="H255" t="s">
        <v>28</v>
      </c>
      <c r="I255" t="s">
        <v>2453</v>
      </c>
      <c r="J255" t="s">
        <v>63</v>
      </c>
      <c r="K255" t="s">
        <v>1666</v>
      </c>
      <c r="L255" t="s">
        <v>32</v>
      </c>
      <c r="M255">
        <v>100</v>
      </c>
      <c r="N255" t="s">
        <v>49</v>
      </c>
      <c r="O255" t="s">
        <v>2454</v>
      </c>
      <c r="P255" t="s">
        <v>873</v>
      </c>
      <c r="Q255" t="s">
        <v>2455</v>
      </c>
      <c r="R255" t="s">
        <v>37</v>
      </c>
      <c r="S255" t="s">
        <v>2456</v>
      </c>
      <c r="T255" t="s">
        <v>55</v>
      </c>
      <c r="U255" t="s">
        <v>56</v>
      </c>
      <c r="V255" t="s">
        <v>56</v>
      </c>
    </row>
    <row r="256" spans="1:22" x14ac:dyDescent="0.3">
      <c r="A256" s="49">
        <v>45623</v>
      </c>
      <c r="B256" t="s">
        <v>22</v>
      </c>
      <c r="C256" t="s">
        <v>23</v>
      </c>
      <c r="D256" t="s">
        <v>173</v>
      </c>
      <c r="E256" t="s">
        <v>2451</v>
      </c>
      <c r="F256" t="s">
        <v>2452</v>
      </c>
      <c r="G256" t="s">
        <v>1601</v>
      </c>
      <c r="H256" t="s">
        <v>28</v>
      </c>
      <c r="I256" t="s">
        <v>2453</v>
      </c>
      <c r="J256" t="s">
        <v>63</v>
      </c>
      <c r="K256" t="s">
        <v>1666</v>
      </c>
      <c r="L256" t="s">
        <v>32</v>
      </c>
      <c r="M256">
        <v>100</v>
      </c>
      <c r="N256" t="s">
        <v>49</v>
      </c>
      <c r="O256" t="s">
        <v>2454</v>
      </c>
      <c r="P256" t="s">
        <v>873</v>
      </c>
      <c r="Q256" t="s">
        <v>2455</v>
      </c>
      <c r="R256" t="s">
        <v>37</v>
      </c>
      <c r="S256" t="s">
        <v>2456</v>
      </c>
      <c r="T256" t="s">
        <v>55</v>
      </c>
      <c r="U256" t="s">
        <v>56</v>
      </c>
      <c r="V256" t="s">
        <v>56</v>
      </c>
    </row>
    <row r="257" spans="1:22" x14ac:dyDescent="0.3">
      <c r="A257" s="49">
        <v>45623</v>
      </c>
      <c r="B257" t="s">
        <v>22</v>
      </c>
      <c r="C257" t="s">
        <v>23</v>
      </c>
      <c r="D257" t="s">
        <v>24</v>
      </c>
      <c r="E257" t="s">
        <v>2201</v>
      </c>
      <c r="F257" t="s">
        <v>2202</v>
      </c>
      <c r="G257" t="s">
        <v>2457</v>
      </c>
      <c r="H257" t="s">
        <v>28</v>
      </c>
      <c r="I257" t="s">
        <v>2458</v>
      </c>
      <c r="J257" t="s">
        <v>63</v>
      </c>
      <c r="K257" t="s">
        <v>414</v>
      </c>
      <c r="L257" t="s">
        <v>32</v>
      </c>
      <c r="M257">
        <v>100</v>
      </c>
      <c r="N257" t="s">
        <v>49</v>
      </c>
      <c r="O257" t="s">
        <v>2459</v>
      </c>
      <c r="P257" t="s">
        <v>58</v>
      </c>
      <c r="Q257" t="s">
        <v>2460</v>
      </c>
      <c r="R257" t="s">
        <v>37</v>
      </c>
      <c r="S257" t="s">
        <v>2461</v>
      </c>
      <c r="T257" t="s">
        <v>55</v>
      </c>
      <c r="U257" t="s">
        <v>56</v>
      </c>
      <c r="V257" t="s">
        <v>56</v>
      </c>
    </row>
    <row r="258" spans="1:22" x14ac:dyDescent="0.3">
      <c r="A258" s="49">
        <v>45623</v>
      </c>
      <c r="B258" t="s">
        <v>22</v>
      </c>
      <c r="C258" t="s">
        <v>23</v>
      </c>
      <c r="D258" t="s">
        <v>24</v>
      </c>
      <c r="E258" t="s">
        <v>2201</v>
      </c>
      <c r="F258" t="s">
        <v>2202</v>
      </c>
      <c r="G258" t="s">
        <v>2457</v>
      </c>
      <c r="H258" t="s">
        <v>28</v>
      </c>
      <c r="I258" t="s">
        <v>2458</v>
      </c>
      <c r="J258" t="s">
        <v>63</v>
      </c>
      <c r="K258" t="s">
        <v>414</v>
      </c>
      <c r="L258" t="s">
        <v>32</v>
      </c>
      <c r="M258">
        <v>100</v>
      </c>
      <c r="N258" t="s">
        <v>49</v>
      </c>
      <c r="O258" t="s">
        <v>2459</v>
      </c>
      <c r="P258" t="s">
        <v>58</v>
      </c>
      <c r="Q258" t="s">
        <v>2460</v>
      </c>
      <c r="R258" t="s">
        <v>37</v>
      </c>
      <c r="S258" t="s">
        <v>2461</v>
      </c>
      <c r="T258" t="s">
        <v>55</v>
      </c>
      <c r="U258" t="s">
        <v>56</v>
      </c>
      <c r="V258" t="s">
        <v>56</v>
      </c>
    </row>
    <row r="259" spans="1:22" x14ac:dyDescent="0.3">
      <c r="A259" s="49">
        <v>45623</v>
      </c>
      <c r="B259" t="s">
        <v>22</v>
      </c>
      <c r="C259" t="s">
        <v>23</v>
      </c>
      <c r="D259" t="s">
        <v>24</v>
      </c>
      <c r="E259" t="s">
        <v>2462</v>
      </c>
      <c r="F259" t="s">
        <v>2463</v>
      </c>
      <c r="G259" t="s">
        <v>2464</v>
      </c>
      <c r="H259" t="s">
        <v>28</v>
      </c>
      <c r="I259" t="s">
        <v>2465</v>
      </c>
      <c r="J259" t="s">
        <v>63</v>
      </c>
      <c r="K259" t="s">
        <v>414</v>
      </c>
      <c r="L259" t="s">
        <v>32</v>
      </c>
      <c r="M259">
        <v>100</v>
      </c>
      <c r="N259" t="s">
        <v>49</v>
      </c>
      <c r="O259" t="s">
        <v>2466</v>
      </c>
      <c r="P259" t="s">
        <v>85</v>
      </c>
      <c r="Q259" t="s">
        <v>146</v>
      </c>
      <c r="R259" t="s">
        <v>37</v>
      </c>
      <c r="S259" t="s">
        <v>2467</v>
      </c>
      <c r="T259" t="s">
        <v>55</v>
      </c>
      <c r="U259" t="s">
        <v>56</v>
      </c>
      <c r="V259" t="s">
        <v>56</v>
      </c>
    </row>
    <row r="260" spans="1:22" x14ac:dyDescent="0.3">
      <c r="A260" s="49">
        <v>45623</v>
      </c>
      <c r="B260" t="s">
        <v>22</v>
      </c>
      <c r="C260" t="s">
        <v>23</v>
      </c>
      <c r="D260" t="s">
        <v>24</v>
      </c>
      <c r="E260" t="s">
        <v>2462</v>
      </c>
      <c r="F260" t="s">
        <v>2463</v>
      </c>
      <c r="G260" t="s">
        <v>2464</v>
      </c>
      <c r="H260" t="s">
        <v>28</v>
      </c>
      <c r="I260" t="s">
        <v>2465</v>
      </c>
      <c r="J260" t="s">
        <v>63</v>
      </c>
      <c r="K260" t="s">
        <v>414</v>
      </c>
      <c r="L260" t="s">
        <v>32</v>
      </c>
      <c r="M260">
        <v>100</v>
      </c>
      <c r="N260" t="s">
        <v>49</v>
      </c>
      <c r="O260" t="s">
        <v>2466</v>
      </c>
      <c r="P260" t="s">
        <v>85</v>
      </c>
      <c r="Q260" t="s">
        <v>146</v>
      </c>
      <c r="R260" t="s">
        <v>37</v>
      </c>
      <c r="S260" t="s">
        <v>2467</v>
      </c>
      <c r="T260" t="s">
        <v>55</v>
      </c>
      <c r="U260" t="s">
        <v>56</v>
      </c>
      <c r="V260" t="s">
        <v>56</v>
      </c>
    </row>
    <row r="261" spans="1:22" x14ac:dyDescent="0.3">
      <c r="A261" s="49">
        <v>45623</v>
      </c>
      <c r="B261" t="s">
        <v>22</v>
      </c>
      <c r="C261" t="s">
        <v>23</v>
      </c>
      <c r="D261" t="s">
        <v>24</v>
      </c>
      <c r="E261" t="s">
        <v>2462</v>
      </c>
      <c r="F261" t="s">
        <v>2463</v>
      </c>
      <c r="G261" t="s">
        <v>2464</v>
      </c>
      <c r="H261" t="s">
        <v>28</v>
      </c>
      <c r="I261" t="s">
        <v>2465</v>
      </c>
      <c r="J261" t="s">
        <v>63</v>
      </c>
      <c r="K261" t="s">
        <v>414</v>
      </c>
      <c r="L261" t="s">
        <v>32</v>
      </c>
      <c r="M261">
        <v>100</v>
      </c>
      <c r="N261" t="s">
        <v>49</v>
      </c>
      <c r="O261" t="s">
        <v>2466</v>
      </c>
      <c r="P261" t="s">
        <v>85</v>
      </c>
      <c r="Q261" t="s">
        <v>146</v>
      </c>
      <c r="R261" t="s">
        <v>37</v>
      </c>
      <c r="S261" t="s">
        <v>2467</v>
      </c>
      <c r="T261" t="s">
        <v>55</v>
      </c>
      <c r="U261" t="s">
        <v>56</v>
      </c>
      <c r="V261" t="s">
        <v>56</v>
      </c>
    </row>
    <row r="262" spans="1:22" x14ac:dyDescent="0.3">
      <c r="A262" s="49">
        <v>45623</v>
      </c>
      <c r="B262" t="s">
        <v>22</v>
      </c>
      <c r="C262" t="s">
        <v>23</v>
      </c>
      <c r="D262" t="s">
        <v>24</v>
      </c>
      <c r="E262" t="s">
        <v>207</v>
      </c>
      <c r="F262" t="s">
        <v>208</v>
      </c>
      <c r="G262" t="s">
        <v>2468</v>
      </c>
      <c r="H262" t="s">
        <v>28</v>
      </c>
      <c r="I262" t="s">
        <v>2469</v>
      </c>
      <c r="J262" t="s">
        <v>63</v>
      </c>
      <c r="K262" t="s">
        <v>445</v>
      </c>
      <c r="L262" t="s">
        <v>32</v>
      </c>
      <c r="M262">
        <v>100</v>
      </c>
      <c r="N262" t="s">
        <v>49</v>
      </c>
      <c r="O262" t="s">
        <v>2470</v>
      </c>
      <c r="P262" t="s">
        <v>686</v>
      </c>
      <c r="Q262" t="s">
        <v>2471</v>
      </c>
      <c r="R262" t="s">
        <v>214</v>
      </c>
      <c r="S262" t="s">
        <v>215</v>
      </c>
      <c r="T262" t="s">
        <v>55</v>
      </c>
      <c r="U262" t="s">
        <v>56</v>
      </c>
      <c r="V262" t="s">
        <v>56</v>
      </c>
    </row>
    <row r="263" spans="1:22" x14ac:dyDescent="0.3">
      <c r="A263" s="49">
        <v>45623</v>
      </c>
      <c r="B263" t="s">
        <v>22</v>
      </c>
      <c r="C263" t="s">
        <v>23</v>
      </c>
      <c r="D263" t="s">
        <v>24</v>
      </c>
      <c r="E263" t="s">
        <v>207</v>
      </c>
      <c r="F263" t="s">
        <v>208</v>
      </c>
      <c r="G263" t="s">
        <v>2468</v>
      </c>
      <c r="H263" t="s">
        <v>28</v>
      </c>
      <c r="I263" t="s">
        <v>2469</v>
      </c>
      <c r="J263" t="s">
        <v>63</v>
      </c>
      <c r="K263" t="s">
        <v>445</v>
      </c>
      <c r="L263" t="s">
        <v>32</v>
      </c>
      <c r="M263">
        <v>100</v>
      </c>
      <c r="N263" t="s">
        <v>49</v>
      </c>
      <c r="O263" t="s">
        <v>2470</v>
      </c>
      <c r="P263" t="s">
        <v>686</v>
      </c>
      <c r="Q263" t="s">
        <v>2471</v>
      </c>
      <c r="R263" t="s">
        <v>214</v>
      </c>
      <c r="S263" t="s">
        <v>215</v>
      </c>
      <c r="T263" t="s">
        <v>55</v>
      </c>
      <c r="U263" t="s">
        <v>56</v>
      </c>
      <c r="V263" t="s">
        <v>56</v>
      </c>
    </row>
    <row r="264" spans="1:22" x14ac:dyDescent="0.3">
      <c r="A264" s="49">
        <v>45623</v>
      </c>
      <c r="B264" t="s">
        <v>22</v>
      </c>
      <c r="C264" t="s">
        <v>23</v>
      </c>
      <c r="D264" t="s">
        <v>24</v>
      </c>
      <c r="E264" t="s">
        <v>2472</v>
      </c>
      <c r="F264" t="s">
        <v>2473</v>
      </c>
      <c r="G264" t="s">
        <v>2474</v>
      </c>
      <c r="H264" t="s">
        <v>28</v>
      </c>
      <c r="I264" t="s">
        <v>2475</v>
      </c>
      <c r="J264" t="s">
        <v>63</v>
      </c>
      <c r="K264" t="s">
        <v>211</v>
      </c>
      <c r="L264" t="s">
        <v>32</v>
      </c>
      <c r="M264">
        <v>100</v>
      </c>
      <c r="N264" t="s">
        <v>49</v>
      </c>
      <c r="O264" t="s">
        <v>2476</v>
      </c>
      <c r="P264" t="s">
        <v>58</v>
      </c>
      <c r="Q264" t="s">
        <v>2477</v>
      </c>
      <c r="R264" t="s">
        <v>214</v>
      </c>
      <c r="S264" t="s">
        <v>2478</v>
      </c>
      <c r="T264" t="s">
        <v>55</v>
      </c>
      <c r="U264" t="s">
        <v>56</v>
      </c>
      <c r="V264" t="s">
        <v>56</v>
      </c>
    </row>
    <row r="265" spans="1:22" x14ac:dyDescent="0.3">
      <c r="A265" s="49">
        <v>45623</v>
      </c>
      <c r="B265" t="s">
        <v>22</v>
      </c>
      <c r="C265" t="s">
        <v>23</v>
      </c>
      <c r="D265" t="s">
        <v>24</v>
      </c>
      <c r="E265" t="s">
        <v>2472</v>
      </c>
      <c r="F265" t="s">
        <v>2473</v>
      </c>
      <c r="G265" t="s">
        <v>2474</v>
      </c>
      <c r="H265" t="s">
        <v>28</v>
      </c>
      <c r="I265" t="s">
        <v>2475</v>
      </c>
      <c r="J265" t="s">
        <v>63</v>
      </c>
      <c r="K265" t="s">
        <v>211</v>
      </c>
      <c r="L265" t="s">
        <v>32</v>
      </c>
      <c r="M265">
        <v>100</v>
      </c>
      <c r="N265" t="s">
        <v>49</v>
      </c>
      <c r="O265" t="s">
        <v>2476</v>
      </c>
      <c r="P265" t="s">
        <v>58</v>
      </c>
      <c r="Q265" t="s">
        <v>2477</v>
      </c>
      <c r="R265" t="s">
        <v>214</v>
      </c>
      <c r="S265" t="s">
        <v>2478</v>
      </c>
      <c r="T265" t="s">
        <v>55</v>
      </c>
      <c r="U265" t="s">
        <v>56</v>
      </c>
      <c r="V265" t="s">
        <v>56</v>
      </c>
    </row>
    <row r="266" spans="1:22" x14ac:dyDescent="0.3">
      <c r="A266" s="49">
        <v>45623</v>
      </c>
      <c r="B266" t="s">
        <v>22</v>
      </c>
      <c r="C266" t="s">
        <v>23</v>
      </c>
      <c r="D266" t="s">
        <v>24</v>
      </c>
      <c r="E266" t="s">
        <v>2479</v>
      </c>
      <c r="F266" t="s">
        <v>2480</v>
      </c>
      <c r="G266" t="s">
        <v>2481</v>
      </c>
      <c r="H266" t="s">
        <v>28</v>
      </c>
      <c r="I266" t="s">
        <v>2482</v>
      </c>
      <c r="J266" t="s">
        <v>63</v>
      </c>
      <c r="K266" t="s">
        <v>414</v>
      </c>
      <c r="L266" t="s">
        <v>32</v>
      </c>
      <c r="M266">
        <v>100</v>
      </c>
      <c r="N266" t="s">
        <v>49</v>
      </c>
      <c r="O266" t="s">
        <v>2483</v>
      </c>
      <c r="P266" t="s">
        <v>686</v>
      </c>
      <c r="Q266" t="s">
        <v>1149</v>
      </c>
      <c r="R266" t="s">
        <v>37</v>
      </c>
      <c r="S266" t="s">
        <v>2484</v>
      </c>
      <c r="T266" t="s">
        <v>55</v>
      </c>
      <c r="U266" t="s">
        <v>56</v>
      </c>
      <c r="V266" t="s">
        <v>56</v>
      </c>
    </row>
    <row r="267" spans="1:22" x14ac:dyDescent="0.3">
      <c r="A267" s="49">
        <v>45623</v>
      </c>
      <c r="B267" t="s">
        <v>22</v>
      </c>
      <c r="C267" t="s">
        <v>23</v>
      </c>
      <c r="D267" t="s">
        <v>24</v>
      </c>
      <c r="E267" t="s">
        <v>2479</v>
      </c>
      <c r="F267" t="s">
        <v>2480</v>
      </c>
      <c r="G267" t="s">
        <v>2481</v>
      </c>
      <c r="H267" t="s">
        <v>28</v>
      </c>
      <c r="I267" t="s">
        <v>2482</v>
      </c>
      <c r="J267" t="s">
        <v>63</v>
      </c>
      <c r="K267" t="s">
        <v>414</v>
      </c>
      <c r="L267" t="s">
        <v>32</v>
      </c>
      <c r="M267">
        <v>100</v>
      </c>
      <c r="N267" t="s">
        <v>49</v>
      </c>
      <c r="O267" t="s">
        <v>2483</v>
      </c>
      <c r="P267" t="s">
        <v>686</v>
      </c>
      <c r="Q267" t="s">
        <v>1149</v>
      </c>
      <c r="R267" t="s">
        <v>37</v>
      </c>
      <c r="S267" t="s">
        <v>2484</v>
      </c>
      <c r="T267" t="s">
        <v>55</v>
      </c>
      <c r="U267" t="s">
        <v>56</v>
      </c>
      <c r="V267" t="s">
        <v>56</v>
      </c>
    </row>
    <row r="268" spans="1:22" x14ac:dyDescent="0.3">
      <c r="A268" s="49">
        <v>45623</v>
      </c>
      <c r="B268" t="s">
        <v>22</v>
      </c>
      <c r="C268" t="s">
        <v>23</v>
      </c>
      <c r="D268" t="s">
        <v>24</v>
      </c>
      <c r="E268" t="s">
        <v>2485</v>
      </c>
      <c r="F268" t="s">
        <v>2486</v>
      </c>
      <c r="G268" t="s">
        <v>2487</v>
      </c>
      <c r="H268" t="s">
        <v>28</v>
      </c>
      <c r="I268" t="s">
        <v>2488</v>
      </c>
      <c r="J268" t="s">
        <v>63</v>
      </c>
      <c r="K268" t="s">
        <v>463</v>
      </c>
      <c r="L268" t="s">
        <v>32</v>
      </c>
      <c r="M268">
        <v>100</v>
      </c>
      <c r="N268" t="s">
        <v>49</v>
      </c>
      <c r="O268" t="s">
        <v>2489</v>
      </c>
      <c r="P268" t="s">
        <v>358</v>
      </c>
      <c r="Q268" t="s">
        <v>2490</v>
      </c>
      <c r="R268" t="s">
        <v>37</v>
      </c>
      <c r="S268" t="s">
        <v>2491</v>
      </c>
      <c r="T268" t="s">
        <v>55</v>
      </c>
      <c r="U268" t="s">
        <v>56</v>
      </c>
      <c r="V268" t="s">
        <v>56</v>
      </c>
    </row>
    <row r="269" spans="1:22" x14ac:dyDescent="0.3">
      <c r="A269" s="49">
        <v>45623</v>
      </c>
      <c r="B269" t="s">
        <v>22</v>
      </c>
      <c r="C269" t="s">
        <v>23</v>
      </c>
      <c r="D269" t="s">
        <v>24</v>
      </c>
      <c r="E269" t="s">
        <v>2485</v>
      </c>
      <c r="F269" t="s">
        <v>2486</v>
      </c>
      <c r="G269" t="s">
        <v>2487</v>
      </c>
      <c r="H269" t="s">
        <v>28</v>
      </c>
      <c r="I269" t="s">
        <v>2488</v>
      </c>
      <c r="J269" t="s">
        <v>63</v>
      </c>
      <c r="K269" t="s">
        <v>463</v>
      </c>
      <c r="L269" t="s">
        <v>32</v>
      </c>
      <c r="M269">
        <v>100</v>
      </c>
      <c r="N269" t="s">
        <v>49</v>
      </c>
      <c r="O269" t="s">
        <v>2489</v>
      </c>
      <c r="P269" t="s">
        <v>358</v>
      </c>
      <c r="Q269" t="s">
        <v>2490</v>
      </c>
      <c r="R269" t="s">
        <v>37</v>
      </c>
      <c r="S269" t="s">
        <v>2491</v>
      </c>
      <c r="T269" t="s">
        <v>55</v>
      </c>
      <c r="U269" t="s">
        <v>56</v>
      </c>
      <c r="V269" t="s">
        <v>56</v>
      </c>
    </row>
    <row r="270" spans="1:22" x14ac:dyDescent="0.3">
      <c r="A270" s="49">
        <v>45623</v>
      </c>
      <c r="B270" t="s">
        <v>22</v>
      </c>
      <c r="C270" t="s">
        <v>23</v>
      </c>
      <c r="D270" t="s">
        <v>24</v>
      </c>
      <c r="E270" t="s">
        <v>2492</v>
      </c>
      <c r="F270" t="s">
        <v>2493</v>
      </c>
      <c r="G270" t="s">
        <v>2494</v>
      </c>
      <c r="H270" t="s">
        <v>28</v>
      </c>
      <c r="I270" t="s">
        <v>2495</v>
      </c>
      <c r="J270" t="s">
        <v>63</v>
      </c>
      <c r="K270" t="s">
        <v>414</v>
      </c>
      <c r="L270" t="s">
        <v>32</v>
      </c>
      <c r="M270">
        <v>100</v>
      </c>
      <c r="N270" t="s">
        <v>49</v>
      </c>
      <c r="O270" t="s">
        <v>2496</v>
      </c>
      <c r="P270" t="s">
        <v>104</v>
      </c>
      <c r="Q270" t="s">
        <v>2497</v>
      </c>
      <c r="R270" t="s">
        <v>2498</v>
      </c>
      <c r="S270" t="s">
        <v>2499</v>
      </c>
      <c r="T270" t="s">
        <v>55</v>
      </c>
      <c r="U270" t="s">
        <v>56</v>
      </c>
      <c r="V270" t="s">
        <v>56</v>
      </c>
    </row>
    <row r="271" spans="1:22" x14ac:dyDescent="0.3">
      <c r="A271" s="49">
        <v>45623</v>
      </c>
      <c r="B271" t="s">
        <v>22</v>
      </c>
      <c r="C271" t="s">
        <v>23</v>
      </c>
      <c r="D271" t="s">
        <v>24</v>
      </c>
      <c r="E271" t="s">
        <v>2500</v>
      </c>
      <c r="F271" t="s">
        <v>2501</v>
      </c>
      <c r="G271" t="s">
        <v>2502</v>
      </c>
      <c r="H271" t="s">
        <v>28</v>
      </c>
      <c r="I271" t="s">
        <v>2503</v>
      </c>
      <c r="J271" t="s">
        <v>63</v>
      </c>
      <c r="K271" t="s">
        <v>414</v>
      </c>
      <c r="L271" t="s">
        <v>32</v>
      </c>
      <c r="M271">
        <v>100</v>
      </c>
      <c r="N271" t="s">
        <v>49</v>
      </c>
      <c r="O271" t="s">
        <v>2504</v>
      </c>
      <c r="P271" t="s">
        <v>106</v>
      </c>
      <c r="Q271" t="s">
        <v>2505</v>
      </c>
      <c r="R271" t="s">
        <v>2394</v>
      </c>
      <c r="S271" t="s">
        <v>2506</v>
      </c>
      <c r="T271" t="s">
        <v>55</v>
      </c>
      <c r="U271" t="s">
        <v>56</v>
      </c>
      <c r="V271" t="s">
        <v>56</v>
      </c>
    </row>
    <row r="272" spans="1:22" x14ac:dyDescent="0.3">
      <c r="A272" s="49">
        <v>45623</v>
      </c>
      <c r="B272" t="s">
        <v>22</v>
      </c>
      <c r="C272" t="s">
        <v>23</v>
      </c>
      <c r="D272" t="s">
        <v>24</v>
      </c>
      <c r="E272" t="s">
        <v>427</v>
      </c>
      <c r="F272" t="s">
        <v>428</v>
      </c>
      <c r="G272" t="s">
        <v>2507</v>
      </c>
      <c r="H272" t="s">
        <v>28</v>
      </c>
      <c r="I272" t="s">
        <v>2508</v>
      </c>
      <c r="J272" t="s">
        <v>63</v>
      </c>
      <c r="K272" t="s">
        <v>64</v>
      </c>
      <c r="L272" t="s">
        <v>32</v>
      </c>
      <c r="M272">
        <v>100</v>
      </c>
      <c r="N272" t="s">
        <v>49</v>
      </c>
      <c r="O272" t="s">
        <v>2509</v>
      </c>
      <c r="P272" t="s">
        <v>1202</v>
      </c>
      <c r="Q272" t="s">
        <v>2510</v>
      </c>
      <c r="R272" t="s">
        <v>200</v>
      </c>
      <c r="S272" t="s">
        <v>2511</v>
      </c>
      <c r="T272" t="s">
        <v>55</v>
      </c>
      <c r="U272" t="s">
        <v>56</v>
      </c>
      <c r="V272" t="s">
        <v>56</v>
      </c>
    </row>
    <row r="273" spans="1:22" x14ac:dyDescent="0.3">
      <c r="A273" s="49">
        <v>45623</v>
      </c>
      <c r="B273" t="s">
        <v>22</v>
      </c>
      <c r="C273" t="s">
        <v>23</v>
      </c>
      <c r="D273" t="s">
        <v>24</v>
      </c>
      <c r="E273" t="s">
        <v>427</v>
      </c>
      <c r="F273" t="s">
        <v>428</v>
      </c>
      <c r="G273" t="s">
        <v>2507</v>
      </c>
      <c r="H273" t="s">
        <v>28</v>
      </c>
      <c r="I273" t="s">
        <v>2508</v>
      </c>
      <c r="J273" t="s">
        <v>63</v>
      </c>
      <c r="K273" t="s">
        <v>64</v>
      </c>
      <c r="L273" t="s">
        <v>32</v>
      </c>
      <c r="M273">
        <v>100</v>
      </c>
      <c r="N273" t="s">
        <v>49</v>
      </c>
      <c r="O273" t="s">
        <v>2509</v>
      </c>
      <c r="P273" t="s">
        <v>1202</v>
      </c>
      <c r="Q273" t="s">
        <v>2510</v>
      </c>
      <c r="R273" t="s">
        <v>200</v>
      </c>
      <c r="S273" t="s">
        <v>2511</v>
      </c>
      <c r="T273" t="s">
        <v>55</v>
      </c>
      <c r="U273" t="s">
        <v>56</v>
      </c>
      <c r="V273" t="s">
        <v>56</v>
      </c>
    </row>
    <row r="274" spans="1:22" x14ac:dyDescent="0.3">
      <c r="A274" s="49">
        <v>45622</v>
      </c>
      <c r="B274" t="s">
        <v>965</v>
      </c>
      <c r="C274" t="s">
        <v>966</v>
      </c>
      <c r="D274" t="s">
        <v>24</v>
      </c>
      <c r="E274" t="s">
        <v>469</v>
      </c>
      <c r="F274" t="s">
        <v>470</v>
      </c>
      <c r="G274" t="s">
        <v>2247</v>
      </c>
      <c r="H274" t="s">
        <v>28</v>
      </c>
      <c r="I274" t="s">
        <v>2248</v>
      </c>
      <c r="J274" t="s">
        <v>46</v>
      </c>
      <c r="K274" t="s">
        <v>47</v>
      </c>
      <c r="L274" t="s">
        <v>48</v>
      </c>
      <c r="M274">
        <v>100</v>
      </c>
      <c r="N274" t="s">
        <v>33</v>
      </c>
      <c r="O274" t="s">
        <v>2249</v>
      </c>
      <c r="P274" t="s">
        <v>85</v>
      </c>
      <c r="Q274" t="s">
        <v>2250</v>
      </c>
      <c r="R274" t="s">
        <v>53</v>
      </c>
      <c r="S274" t="s">
        <v>2251</v>
      </c>
      <c r="T274" t="s">
        <v>55</v>
      </c>
      <c r="U274" t="s">
        <v>56</v>
      </c>
      <c r="V274" t="s">
        <v>56</v>
      </c>
    </row>
    <row r="275" spans="1:22" x14ac:dyDescent="0.3">
      <c r="A275" s="49">
        <v>45622</v>
      </c>
      <c r="B275" t="s">
        <v>965</v>
      </c>
      <c r="C275" t="s">
        <v>966</v>
      </c>
      <c r="D275" t="s">
        <v>24</v>
      </c>
      <c r="E275" t="s">
        <v>2252</v>
      </c>
      <c r="F275" t="s">
        <v>2253</v>
      </c>
      <c r="G275" t="s">
        <v>2254</v>
      </c>
      <c r="H275" t="s">
        <v>28</v>
      </c>
      <c r="I275" t="s">
        <v>2255</v>
      </c>
      <c r="J275" t="s">
        <v>63</v>
      </c>
      <c r="K275" t="s">
        <v>64</v>
      </c>
      <c r="L275" t="s">
        <v>32</v>
      </c>
      <c r="M275">
        <v>100</v>
      </c>
      <c r="N275" t="s">
        <v>49</v>
      </c>
      <c r="O275" t="s">
        <v>2256</v>
      </c>
      <c r="P275" t="s">
        <v>108</v>
      </c>
      <c r="Q275" t="s">
        <v>2257</v>
      </c>
      <c r="R275" t="s">
        <v>783</v>
      </c>
      <c r="S275" t="s">
        <v>2258</v>
      </c>
      <c r="T275" t="s">
        <v>55</v>
      </c>
      <c r="U275" t="s">
        <v>56</v>
      </c>
      <c r="V275" t="s">
        <v>56</v>
      </c>
    </row>
    <row r="276" spans="1:22" x14ac:dyDescent="0.3">
      <c r="A276" s="49">
        <v>45622</v>
      </c>
      <c r="B276" t="s">
        <v>965</v>
      </c>
      <c r="C276" t="s">
        <v>966</v>
      </c>
      <c r="D276" t="s">
        <v>24</v>
      </c>
      <c r="E276" t="s">
        <v>2252</v>
      </c>
      <c r="F276" t="s">
        <v>2253</v>
      </c>
      <c r="G276" t="s">
        <v>2254</v>
      </c>
      <c r="H276" t="s">
        <v>28</v>
      </c>
      <c r="I276" t="s">
        <v>2255</v>
      </c>
      <c r="J276" t="s">
        <v>63</v>
      </c>
      <c r="K276" t="s">
        <v>64</v>
      </c>
      <c r="L276" t="s">
        <v>32</v>
      </c>
      <c r="M276">
        <v>100</v>
      </c>
      <c r="N276" t="s">
        <v>49</v>
      </c>
      <c r="O276" t="s">
        <v>2256</v>
      </c>
      <c r="P276" t="s">
        <v>108</v>
      </c>
      <c r="Q276" t="s">
        <v>2257</v>
      </c>
      <c r="R276" t="s">
        <v>783</v>
      </c>
      <c r="S276" t="s">
        <v>2258</v>
      </c>
      <c r="T276" t="s">
        <v>55</v>
      </c>
      <c r="U276" t="s">
        <v>56</v>
      </c>
      <c r="V276" t="s">
        <v>56</v>
      </c>
    </row>
    <row r="277" spans="1:22" x14ac:dyDescent="0.3">
      <c r="A277" s="49">
        <v>45622</v>
      </c>
      <c r="B277" t="s">
        <v>965</v>
      </c>
      <c r="C277" t="s">
        <v>966</v>
      </c>
      <c r="D277" t="s">
        <v>24</v>
      </c>
      <c r="E277" t="s">
        <v>2252</v>
      </c>
      <c r="F277" t="s">
        <v>2253</v>
      </c>
      <c r="G277" t="s">
        <v>2254</v>
      </c>
      <c r="H277" t="s">
        <v>28</v>
      </c>
      <c r="I277" t="s">
        <v>2255</v>
      </c>
      <c r="J277" t="s">
        <v>63</v>
      </c>
      <c r="K277" t="s">
        <v>64</v>
      </c>
      <c r="L277" t="s">
        <v>32</v>
      </c>
      <c r="M277">
        <v>100</v>
      </c>
      <c r="N277" t="s">
        <v>49</v>
      </c>
      <c r="O277" t="s">
        <v>2256</v>
      </c>
      <c r="P277" t="s">
        <v>108</v>
      </c>
      <c r="Q277" t="s">
        <v>2257</v>
      </c>
      <c r="R277" t="s">
        <v>783</v>
      </c>
      <c r="S277" t="s">
        <v>2258</v>
      </c>
      <c r="T277" t="s">
        <v>55</v>
      </c>
      <c r="U277" t="s">
        <v>56</v>
      </c>
      <c r="V277" t="s">
        <v>56</v>
      </c>
    </row>
    <row r="278" spans="1:22" x14ac:dyDescent="0.3">
      <c r="A278" s="49">
        <v>45622</v>
      </c>
      <c r="B278" t="s">
        <v>965</v>
      </c>
      <c r="C278" t="s">
        <v>966</v>
      </c>
      <c r="D278" t="s">
        <v>24</v>
      </c>
      <c r="E278" t="s">
        <v>2252</v>
      </c>
      <c r="F278" t="s">
        <v>2253</v>
      </c>
      <c r="G278" t="s">
        <v>2254</v>
      </c>
      <c r="H278" t="s">
        <v>28</v>
      </c>
      <c r="I278" t="s">
        <v>2255</v>
      </c>
      <c r="J278" t="s">
        <v>63</v>
      </c>
      <c r="K278" t="s">
        <v>64</v>
      </c>
      <c r="L278" t="s">
        <v>32</v>
      </c>
      <c r="M278">
        <v>100</v>
      </c>
      <c r="N278" t="s">
        <v>49</v>
      </c>
      <c r="O278" t="s">
        <v>2256</v>
      </c>
      <c r="P278" t="s">
        <v>108</v>
      </c>
      <c r="Q278" t="s">
        <v>2257</v>
      </c>
      <c r="R278" t="s">
        <v>783</v>
      </c>
      <c r="S278" t="s">
        <v>2258</v>
      </c>
      <c r="T278" t="s">
        <v>55</v>
      </c>
      <c r="U278" t="s">
        <v>56</v>
      </c>
      <c r="V278" t="s">
        <v>56</v>
      </c>
    </row>
    <row r="279" spans="1:22" x14ac:dyDescent="0.3">
      <c r="A279" s="49">
        <v>45622</v>
      </c>
      <c r="B279" t="s">
        <v>965</v>
      </c>
      <c r="C279" t="s">
        <v>966</v>
      </c>
      <c r="D279" t="s">
        <v>24</v>
      </c>
      <c r="E279" t="s">
        <v>2252</v>
      </c>
      <c r="F279" t="s">
        <v>2253</v>
      </c>
      <c r="G279" t="s">
        <v>2254</v>
      </c>
      <c r="H279" t="s">
        <v>28</v>
      </c>
      <c r="I279" t="s">
        <v>2255</v>
      </c>
      <c r="J279" t="s">
        <v>63</v>
      </c>
      <c r="K279" t="s">
        <v>64</v>
      </c>
      <c r="L279" t="s">
        <v>32</v>
      </c>
      <c r="M279">
        <v>100</v>
      </c>
      <c r="N279" t="s">
        <v>49</v>
      </c>
      <c r="O279" t="s">
        <v>2256</v>
      </c>
      <c r="P279" t="s">
        <v>108</v>
      </c>
      <c r="Q279" t="s">
        <v>2257</v>
      </c>
      <c r="R279" t="s">
        <v>783</v>
      </c>
      <c r="S279" t="s">
        <v>2258</v>
      </c>
      <c r="T279" t="s">
        <v>55</v>
      </c>
      <c r="U279" t="s">
        <v>56</v>
      </c>
      <c r="V279" t="s">
        <v>56</v>
      </c>
    </row>
    <row r="280" spans="1:22" x14ac:dyDescent="0.3">
      <c r="A280" s="49">
        <v>45622</v>
      </c>
      <c r="B280" t="s">
        <v>965</v>
      </c>
      <c r="C280" t="s">
        <v>966</v>
      </c>
      <c r="D280" t="s">
        <v>24</v>
      </c>
      <c r="E280" t="s">
        <v>2259</v>
      </c>
      <c r="F280" t="s">
        <v>2260</v>
      </c>
      <c r="G280" t="s">
        <v>2261</v>
      </c>
      <c r="H280" t="s">
        <v>28</v>
      </c>
      <c r="I280" t="s">
        <v>2262</v>
      </c>
      <c r="J280" t="s">
        <v>63</v>
      </c>
      <c r="K280" t="s">
        <v>414</v>
      </c>
      <c r="L280" t="s">
        <v>32</v>
      </c>
      <c r="M280">
        <v>100</v>
      </c>
      <c r="N280" t="s">
        <v>49</v>
      </c>
      <c r="O280" t="s">
        <v>2263</v>
      </c>
      <c r="P280" t="s">
        <v>104</v>
      </c>
      <c r="Q280" t="s">
        <v>2264</v>
      </c>
      <c r="R280" t="s">
        <v>214</v>
      </c>
      <c r="S280" t="s">
        <v>2265</v>
      </c>
      <c r="T280" t="s">
        <v>55</v>
      </c>
      <c r="U280" t="s">
        <v>56</v>
      </c>
      <c r="V280" t="s">
        <v>56</v>
      </c>
    </row>
    <row r="281" spans="1:22" x14ac:dyDescent="0.3">
      <c r="A281" s="49">
        <v>45622</v>
      </c>
      <c r="B281" t="s">
        <v>965</v>
      </c>
      <c r="C281" t="s">
        <v>966</v>
      </c>
      <c r="D281" t="s">
        <v>24</v>
      </c>
      <c r="E281" t="s">
        <v>2266</v>
      </c>
      <c r="F281" t="s">
        <v>2267</v>
      </c>
      <c r="G281" t="s">
        <v>2268</v>
      </c>
      <c r="H281" t="s">
        <v>28</v>
      </c>
      <c r="I281" t="s">
        <v>2269</v>
      </c>
      <c r="J281" t="s">
        <v>63</v>
      </c>
      <c r="K281" t="s">
        <v>256</v>
      </c>
      <c r="L281" t="s">
        <v>32</v>
      </c>
      <c r="M281">
        <v>100</v>
      </c>
      <c r="N281" t="s">
        <v>49</v>
      </c>
      <c r="O281" t="s">
        <v>2270</v>
      </c>
      <c r="P281" t="s">
        <v>106</v>
      </c>
      <c r="Q281" t="s">
        <v>447</v>
      </c>
      <c r="R281" t="s">
        <v>37</v>
      </c>
      <c r="S281" t="s">
        <v>2271</v>
      </c>
      <c r="T281" t="s">
        <v>55</v>
      </c>
      <c r="U281" t="s">
        <v>56</v>
      </c>
      <c r="V281" t="s">
        <v>56</v>
      </c>
    </row>
    <row r="282" spans="1:22" x14ac:dyDescent="0.3">
      <c r="A282" s="49">
        <v>45622</v>
      </c>
      <c r="B282" t="s">
        <v>965</v>
      </c>
      <c r="C282" t="s">
        <v>966</v>
      </c>
      <c r="D282" t="s">
        <v>24</v>
      </c>
      <c r="E282" t="s">
        <v>2272</v>
      </c>
      <c r="F282" t="s">
        <v>2273</v>
      </c>
      <c r="G282" t="s">
        <v>2274</v>
      </c>
      <c r="H282" t="s">
        <v>28</v>
      </c>
      <c r="I282" t="s">
        <v>2275</v>
      </c>
      <c r="J282" t="s">
        <v>63</v>
      </c>
      <c r="K282" t="s">
        <v>414</v>
      </c>
      <c r="L282" t="s">
        <v>32</v>
      </c>
      <c r="M282">
        <v>100</v>
      </c>
      <c r="N282" t="s">
        <v>49</v>
      </c>
      <c r="O282" t="s">
        <v>2276</v>
      </c>
      <c r="P282" t="s">
        <v>108</v>
      </c>
      <c r="Q282" t="s">
        <v>2277</v>
      </c>
      <c r="R282" t="s">
        <v>37</v>
      </c>
      <c r="S282" t="s">
        <v>2278</v>
      </c>
      <c r="T282" t="s">
        <v>55</v>
      </c>
      <c r="U282" t="s">
        <v>56</v>
      </c>
      <c r="V282" t="s">
        <v>56</v>
      </c>
    </row>
    <row r="283" spans="1:22" x14ac:dyDescent="0.3">
      <c r="A283" s="49">
        <v>45622</v>
      </c>
      <c r="B283" t="s">
        <v>965</v>
      </c>
      <c r="C283" t="s">
        <v>966</v>
      </c>
      <c r="D283" t="s">
        <v>24</v>
      </c>
      <c r="E283" t="s">
        <v>2272</v>
      </c>
      <c r="F283" t="s">
        <v>2273</v>
      </c>
      <c r="G283" t="s">
        <v>2274</v>
      </c>
      <c r="H283" t="s">
        <v>28</v>
      </c>
      <c r="I283" t="s">
        <v>2275</v>
      </c>
      <c r="J283" t="s">
        <v>63</v>
      </c>
      <c r="K283" t="s">
        <v>414</v>
      </c>
      <c r="L283" t="s">
        <v>32</v>
      </c>
      <c r="M283">
        <v>100</v>
      </c>
      <c r="N283" t="s">
        <v>49</v>
      </c>
      <c r="O283" t="s">
        <v>2276</v>
      </c>
      <c r="P283" t="s">
        <v>108</v>
      </c>
      <c r="Q283" t="s">
        <v>2277</v>
      </c>
      <c r="R283" t="s">
        <v>37</v>
      </c>
      <c r="S283" t="s">
        <v>2278</v>
      </c>
      <c r="T283" t="s">
        <v>55</v>
      </c>
      <c r="U283" t="s">
        <v>56</v>
      </c>
      <c r="V283" t="s">
        <v>56</v>
      </c>
    </row>
    <row r="284" spans="1:22" x14ac:dyDescent="0.3">
      <c r="A284" s="49">
        <v>45622</v>
      </c>
      <c r="B284" t="s">
        <v>965</v>
      </c>
      <c r="C284" t="s">
        <v>966</v>
      </c>
      <c r="D284" t="s">
        <v>24</v>
      </c>
      <c r="E284" t="s">
        <v>2272</v>
      </c>
      <c r="F284" t="s">
        <v>2273</v>
      </c>
      <c r="G284" t="s">
        <v>2274</v>
      </c>
      <c r="H284" t="s">
        <v>28</v>
      </c>
      <c r="I284" t="s">
        <v>2275</v>
      </c>
      <c r="J284" t="s">
        <v>63</v>
      </c>
      <c r="K284" t="s">
        <v>414</v>
      </c>
      <c r="L284" t="s">
        <v>32</v>
      </c>
      <c r="M284">
        <v>100</v>
      </c>
      <c r="N284" t="s">
        <v>49</v>
      </c>
      <c r="O284" t="s">
        <v>2276</v>
      </c>
      <c r="P284" t="s">
        <v>108</v>
      </c>
      <c r="Q284" t="s">
        <v>2277</v>
      </c>
      <c r="R284" t="s">
        <v>37</v>
      </c>
      <c r="S284" t="s">
        <v>2278</v>
      </c>
      <c r="T284" t="s">
        <v>55</v>
      </c>
      <c r="U284" t="s">
        <v>56</v>
      </c>
      <c r="V284" t="s">
        <v>56</v>
      </c>
    </row>
    <row r="285" spans="1:22" x14ac:dyDescent="0.3">
      <c r="A285" s="49">
        <v>45622</v>
      </c>
      <c r="B285" t="s">
        <v>965</v>
      </c>
      <c r="C285" t="s">
        <v>966</v>
      </c>
      <c r="D285" t="s">
        <v>24</v>
      </c>
      <c r="E285" t="s">
        <v>166</v>
      </c>
      <c r="F285" t="s">
        <v>167</v>
      </c>
      <c r="G285" t="s">
        <v>168</v>
      </c>
      <c r="H285" t="s">
        <v>89</v>
      </c>
      <c r="J285" t="s">
        <v>63</v>
      </c>
      <c r="K285" t="s">
        <v>119</v>
      </c>
      <c r="L285" t="s">
        <v>48</v>
      </c>
      <c r="M285">
        <v>50</v>
      </c>
      <c r="N285" t="s">
        <v>49</v>
      </c>
      <c r="O285" t="s">
        <v>2279</v>
      </c>
      <c r="P285" t="s">
        <v>104</v>
      </c>
      <c r="Q285" t="s">
        <v>2280</v>
      </c>
      <c r="R285" t="s">
        <v>53</v>
      </c>
      <c r="S285" t="s">
        <v>2281</v>
      </c>
      <c r="T285" t="s">
        <v>55</v>
      </c>
      <c r="U285" t="s">
        <v>56</v>
      </c>
      <c r="V285" t="s">
        <v>56</v>
      </c>
    </row>
    <row r="286" spans="1:22" x14ac:dyDescent="0.3">
      <c r="A286" s="49">
        <v>45622</v>
      </c>
      <c r="B286" t="s">
        <v>965</v>
      </c>
      <c r="C286" t="s">
        <v>966</v>
      </c>
      <c r="D286" t="s">
        <v>24</v>
      </c>
      <c r="E286" t="s">
        <v>2282</v>
      </c>
      <c r="F286" t="s">
        <v>2283</v>
      </c>
      <c r="G286" t="s">
        <v>2284</v>
      </c>
      <c r="H286" t="s">
        <v>28</v>
      </c>
      <c r="I286" t="s">
        <v>2285</v>
      </c>
      <c r="J286" t="s">
        <v>63</v>
      </c>
      <c r="K286" t="s">
        <v>414</v>
      </c>
      <c r="L286" t="s">
        <v>32</v>
      </c>
      <c r="M286">
        <v>100</v>
      </c>
      <c r="N286" t="s">
        <v>49</v>
      </c>
      <c r="O286" t="s">
        <v>2286</v>
      </c>
      <c r="P286" t="s">
        <v>686</v>
      </c>
      <c r="Q286" t="s">
        <v>2287</v>
      </c>
      <c r="R286" t="s">
        <v>37</v>
      </c>
      <c r="S286" t="s">
        <v>2288</v>
      </c>
      <c r="T286" t="s">
        <v>55</v>
      </c>
      <c r="U286" t="s">
        <v>56</v>
      </c>
      <c r="V286" t="s">
        <v>56</v>
      </c>
    </row>
    <row r="287" spans="1:22" x14ac:dyDescent="0.3">
      <c r="A287" s="49">
        <v>45622</v>
      </c>
      <c r="B287" t="s">
        <v>965</v>
      </c>
      <c r="C287" t="s">
        <v>966</v>
      </c>
      <c r="D287" t="s">
        <v>24</v>
      </c>
      <c r="E287" t="s">
        <v>2282</v>
      </c>
      <c r="F287" t="s">
        <v>2283</v>
      </c>
      <c r="G287" t="s">
        <v>2284</v>
      </c>
      <c r="H287" t="s">
        <v>28</v>
      </c>
      <c r="I287" t="s">
        <v>2285</v>
      </c>
      <c r="J287" t="s">
        <v>63</v>
      </c>
      <c r="K287" t="s">
        <v>414</v>
      </c>
      <c r="L287" t="s">
        <v>32</v>
      </c>
      <c r="M287">
        <v>100</v>
      </c>
      <c r="N287" t="s">
        <v>49</v>
      </c>
      <c r="O287" t="s">
        <v>2286</v>
      </c>
      <c r="P287" t="s">
        <v>686</v>
      </c>
      <c r="Q287" t="s">
        <v>2287</v>
      </c>
      <c r="R287" t="s">
        <v>37</v>
      </c>
      <c r="S287" t="s">
        <v>2288</v>
      </c>
      <c r="T287" t="s">
        <v>55</v>
      </c>
      <c r="U287" t="s">
        <v>56</v>
      </c>
      <c r="V287" t="s">
        <v>56</v>
      </c>
    </row>
    <row r="288" spans="1:22" x14ac:dyDescent="0.3">
      <c r="A288" s="49">
        <v>45622</v>
      </c>
      <c r="B288" t="s">
        <v>965</v>
      </c>
      <c r="C288" t="s">
        <v>966</v>
      </c>
      <c r="D288" t="s">
        <v>24</v>
      </c>
      <c r="E288" t="s">
        <v>2282</v>
      </c>
      <c r="F288" t="s">
        <v>2283</v>
      </c>
      <c r="G288" t="s">
        <v>2284</v>
      </c>
      <c r="H288" t="s">
        <v>28</v>
      </c>
      <c r="I288" t="s">
        <v>2285</v>
      </c>
      <c r="J288" t="s">
        <v>63</v>
      </c>
      <c r="K288" t="s">
        <v>414</v>
      </c>
      <c r="L288" t="s">
        <v>32</v>
      </c>
      <c r="M288">
        <v>100</v>
      </c>
      <c r="N288" t="s">
        <v>49</v>
      </c>
      <c r="O288" t="s">
        <v>2286</v>
      </c>
      <c r="P288" t="s">
        <v>686</v>
      </c>
      <c r="Q288" t="s">
        <v>2287</v>
      </c>
      <c r="R288" t="s">
        <v>37</v>
      </c>
      <c r="S288" t="s">
        <v>2288</v>
      </c>
      <c r="T288" t="s">
        <v>55</v>
      </c>
      <c r="U288" t="s">
        <v>56</v>
      </c>
      <c r="V288" t="s">
        <v>56</v>
      </c>
    </row>
    <row r="289" spans="1:22" x14ac:dyDescent="0.3">
      <c r="A289" s="49">
        <v>45622</v>
      </c>
      <c r="B289" t="s">
        <v>965</v>
      </c>
      <c r="C289" t="s">
        <v>966</v>
      </c>
      <c r="D289" t="s">
        <v>24</v>
      </c>
      <c r="E289" t="s">
        <v>2282</v>
      </c>
      <c r="F289" t="s">
        <v>2283</v>
      </c>
      <c r="G289" t="s">
        <v>2284</v>
      </c>
      <c r="H289" t="s">
        <v>28</v>
      </c>
      <c r="I289" t="s">
        <v>2285</v>
      </c>
      <c r="J289" t="s">
        <v>63</v>
      </c>
      <c r="K289" t="s">
        <v>414</v>
      </c>
      <c r="L289" t="s">
        <v>32</v>
      </c>
      <c r="M289">
        <v>100</v>
      </c>
      <c r="N289" t="s">
        <v>49</v>
      </c>
      <c r="O289" t="s">
        <v>2286</v>
      </c>
      <c r="P289" t="s">
        <v>686</v>
      </c>
      <c r="Q289" t="s">
        <v>2287</v>
      </c>
      <c r="R289" t="s">
        <v>37</v>
      </c>
      <c r="S289" t="s">
        <v>2288</v>
      </c>
      <c r="T289" t="s">
        <v>55</v>
      </c>
      <c r="U289" t="s">
        <v>56</v>
      </c>
      <c r="V289" t="s">
        <v>56</v>
      </c>
    </row>
    <row r="290" spans="1:22" x14ac:dyDescent="0.3">
      <c r="A290" s="49">
        <v>45622</v>
      </c>
      <c r="B290" t="s">
        <v>965</v>
      </c>
      <c r="C290" t="s">
        <v>966</v>
      </c>
      <c r="D290" t="s">
        <v>24</v>
      </c>
      <c r="E290" t="s">
        <v>2289</v>
      </c>
      <c r="F290" t="s">
        <v>2290</v>
      </c>
      <c r="G290" t="s">
        <v>2291</v>
      </c>
      <c r="H290" t="s">
        <v>28</v>
      </c>
      <c r="I290" t="s">
        <v>2292</v>
      </c>
      <c r="J290" t="s">
        <v>63</v>
      </c>
      <c r="K290" t="s">
        <v>64</v>
      </c>
      <c r="L290" t="s">
        <v>32</v>
      </c>
      <c r="M290">
        <v>100</v>
      </c>
      <c r="N290" t="s">
        <v>49</v>
      </c>
      <c r="O290" t="s">
        <v>2293</v>
      </c>
      <c r="P290" t="s">
        <v>108</v>
      </c>
      <c r="Q290" t="s">
        <v>2294</v>
      </c>
      <c r="R290" t="s">
        <v>1613</v>
      </c>
      <c r="S290" t="s">
        <v>2295</v>
      </c>
      <c r="T290" t="s">
        <v>55</v>
      </c>
      <c r="U290" t="s">
        <v>56</v>
      </c>
      <c r="V290" t="s">
        <v>56</v>
      </c>
    </row>
    <row r="291" spans="1:22" x14ac:dyDescent="0.3">
      <c r="A291" s="49">
        <v>45622</v>
      </c>
      <c r="B291" t="s">
        <v>965</v>
      </c>
      <c r="C291" t="s">
        <v>966</v>
      </c>
      <c r="D291" t="s">
        <v>24</v>
      </c>
      <c r="E291" t="s">
        <v>2289</v>
      </c>
      <c r="F291" t="s">
        <v>2290</v>
      </c>
      <c r="G291" t="s">
        <v>2291</v>
      </c>
      <c r="H291" t="s">
        <v>28</v>
      </c>
      <c r="I291" t="s">
        <v>2292</v>
      </c>
      <c r="J291" t="s">
        <v>63</v>
      </c>
      <c r="K291" t="s">
        <v>64</v>
      </c>
      <c r="L291" t="s">
        <v>32</v>
      </c>
      <c r="M291">
        <v>100</v>
      </c>
      <c r="N291" t="s">
        <v>49</v>
      </c>
      <c r="O291" t="s">
        <v>2293</v>
      </c>
      <c r="P291" t="s">
        <v>108</v>
      </c>
      <c r="Q291" t="s">
        <v>2294</v>
      </c>
      <c r="R291" t="s">
        <v>1613</v>
      </c>
      <c r="S291" t="s">
        <v>2295</v>
      </c>
      <c r="T291" t="s">
        <v>55</v>
      </c>
      <c r="U291" t="s">
        <v>56</v>
      </c>
      <c r="V291" t="s">
        <v>56</v>
      </c>
    </row>
    <row r="292" spans="1:22" x14ac:dyDescent="0.3">
      <c r="A292" s="49">
        <v>45622</v>
      </c>
      <c r="B292" t="s">
        <v>965</v>
      </c>
      <c r="C292" t="s">
        <v>966</v>
      </c>
      <c r="D292" t="s">
        <v>24</v>
      </c>
      <c r="E292" t="s">
        <v>2289</v>
      </c>
      <c r="F292" t="s">
        <v>2290</v>
      </c>
      <c r="G292" t="s">
        <v>2291</v>
      </c>
      <c r="H292" t="s">
        <v>28</v>
      </c>
      <c r="I292" t="s">
        <v>2292</v>
      </c>
      <c r="J292" t="s">
        <v>63</v>
      </c>
      <c r="K292" t="s">
        <v>64</v>
      </c>
      <c r="L292" t="s">
        <v>32</v>
      </c>
      <c r="M292">
        <v>100</v>
      </c>
      <c r="N292" t="s">
        <v>49</v>
      </c>
      <c r="O292" t="s">
        <v>2293</v>
      </c>
      <c r="P292" t="s">
        <v>108</v>
      </c>
      <c r="Q292" t="s">
        <v>2294</v>
      </c>
      <c r="R292" t="s">
        <v>1613</v>
      </c>
      <c r="S292" t="s">
        <v>2295</v>
      </c>
      <c r="T292" t="s">
        <v>55</v>
      </c>
      <c r="U292" t="s">
        <v>56</v>
      </c>
      <c r="V292" t="s">
        <v>56</v>
      </c>
    </row>
    <row r="293" spans="1:22" x14ac:dyDescent="0.3">
      <c r="A293" s="49">
        <v>45622</v>
      </c>
      <c r="B293" t="s">
        <v>965</v>
      </c>
      <c r="C293" t="s">
        <v>966</v>
      </c>
      <c r="D293" t="s">
        <v>24</v>
      </c>
      <c r="E293" t="s">
        <v>2289</v>
      </c>
      <c r="F293" t="s">
        <v>2290</v>
      </c>
      <c r="G293" t="s">
        <v>2291</v>
      </c>
      <c r="H293" t="s">
        <v>28</v>
      </c>
      <c r="I293" t="s">
        <v>2292</v>
      </c>
      <c r="J293" t="s">
        <v>63</v>
      </c>
      <c r="K293" t="s">
        <v>64</v>
      </c>
      <c r="L293" t="s">
        <v>32</v>
      </c>
      <c r="M293">
        <v>100</v>
      </c>
      <c r="N293" t="s">
        <v>49</v>
      </c>
      <c r="O293" t="s">
        <v>2293</v>
      </c>
      <c r="P293" t="s">
        <v>108</v>
      </c>
      <c r="Q293" t="s">
        <v>2294</v>
      </c>
      <c r="R293" t="s">
        <v>1613</v>
      </c>
      <c r="S293" t="s">
        <v>2295</v>
      </c>
      <c r="T293" t="s">
        <v>55</v>
      </c>
      <c r="U293" t="s">
        <v>56</v>
      </c>
      <c r="V293" t="s">
        <v>56</v>
      </c>
    </row>
    <row r="294" spans="1:22" x14ac:dyDescent="0.3">
      <c r="A294" s="49">
        <v>45622</v>
      </c>
      <c r="B294" t="s">
        <v>965</v>
      </c>
      <c r="C294" t="s">
        <v>966</v>
      </c>
      <c r="D294" t="s">
        <v>24</v>
      </c>
      <c r="E294" t="s">
        <v>2289</v>
      </c>
      <c r="F294" t="s">
        <v>2290</v>
      </c>
      <c r="G294" t="s">
        <v>2291</v>
      </c>
      <c r="H294" t="s">
        <v>28</v>
      </c>
      <c r="I294" t="s">
        <v>2292</v>
      </c>
      <c r="J294" t="s">
        <v>63</v>
      </c>
      <c r="K294" t="s">
        <v>64</v>
      </c>
      <c r="L294" t="s">
        <v>32</v>
      </c>
      <c r="M294">
        <v>100</v>
      </c>
      <c r="N294" t="s">
        <v>49</v>
      </c>
      <c r="O294" t="s">
        <v>2293</v>
      </c>
      <c r="P294" t="s">
        <v>108</v>
      </c>
      <c r="Q294" t="s">
        <v>2294</v>
      </c>
      <c r="R294" t="s">
        <v>1613</v>
      </c>
      <c r="S294" t="s">
        <v>2295</v>
      </c>
      <c r="T294" t="s">
        <v>55</v>
      </c>
      <c r="U294" t="s">
        <v>56</v>
      </c>
      <c r="V294" t="s">
        <v>56</v>
      </c>
    </row>
    <row r="295" spans="1:22" x14ac:dyDescent="0.3">
      <c r="A295" s="49">
        <v>45622</v>
      </c>
      <c r="B295" t="s">
        <v>965</v>
      </c>
      <c r="C295" t="s">
        <v>966</v>
      </c>
      <c r="D295" t="s">
        <v>24</v>
      </c>
      <c r="E295" t="s">
        <v>207</v>
      </c>
      <c r="F295" t="s">
        <v>208</v>
      </c>
      <c r="G295" t="s">
        <v>2296</v>
      </c>
      <c r="H295" t="s">
        <v>28</v>
      </c>
      <c r="I295" t="s">
        <v>2297</v>
      </c>
      <c r="J295" t="s">
        <v>63</v>
      </c>
      <c r="K295" t="s">
        <v>445</v>
      </c>
      <c r="L295" t="s">
        <v>32</v>
      </c>
      <c r="M295">
        <v>100</v>
      </c>
      <c r="N295" t="s">
        <v>49</v>
      </c>
      <c r="O295" t="s">
        <v>2298</v>
      </c>
      <c r="P295" t="s">
        <v>106</v>
      </c>
      <c r="Q295" t="s">
        <v>213</v>
      </c>
      <c r="R295" t="s">
        <v>214</v>
      </c>
      <c r="S295" t="s">
        <v>215</v>
      </c>
      <c r="T295" t="s">
        <v>55</v>
      </c>
      <c r="U295" t="s">
        <v>56</v>
      </c>
      <c r="V295" t="s">
        <v>56</v>
      </c>
    </row>
    <row r="296" spans="1:22" x14ac:dyDescent="0.3">
      <c r="A296" s="49">
        <v>45622</v>
      </c>
      <c r="B296" t="s">
        <v>965</v>
      </c>
      <c r="C296" t="s">
        <v>966</v>
      </c>
      <c r="D296" t="s">
        <v>24</v>
      </c>
      <c r="E296" t="s">
        <v>207</v>
      </c>
      <c r="F296" t="s">
        <v>208</v>
      </c>
      <c r="G296" t="s">
        <v>2296</v>
      </c>
      <c r="H296" t="s">
        <v>28</v>
      </c>
      <c r="I296" t="s">
        <v>2297</v>
      </c>
      <c r="J296" t="s">
        <v>63</v>
      </c>
      <c r="K296" t="s">
        <v>445</v>
      </c>
      <c r="L296" t="s">
        <v>32</v>
      </c>
      <c r="M296">
        <v>100</v>
      </c>
      <c r="N296" t="s">
        <v>49</v>
      </c>
      <c r="O296" t="s">
        <v>2298</v>
      </c>
      <c r="P296" t="s">
        <v>106</v>
      </c>
      <c r="Q296" t="s">
        <v>213</v>
      </c>
      <c r="R296" t="s">
        <v>214</v>
      </c>
      <c r="S296" t="s">
        <v>215</v>
      </c>
      <c r="T296" t="s">
        <v>55</v>
      </c>
      <c r="U296" t="s">
        <v>56</v>
      </c>
      <c r="V296" t="s">
        <v>56</v>
      </c>
    </row>
    <row r="297" spans="1:22" x14ac:dyDescent="0.3">
      <c r="A297" s="49">
        <v>45622</v>
      </c>
      <c r="B297" t="s">
        <v>965</v>
      </c>
      <c r="C297" t="s">
        <v>966</v>
      </c>
      <c r="D297" t="s">
        <v>24</v>
      </c>
      <c r="E297" t="s">
        <v>207</v>
      </c>
      <c r="F297" t="s">
        <v>208</v>
      </c>
      <c r="G297" t="s">
        <v>2296</v>
      </c>
      <c r="H297" t="s">
        <v>28</v>
      </c>
      <c r="I297" t="s">
        <v>2297</v>
      </c>
      <c r="J297" t="s">
        <v>63</v>
      </c>
      <c r="K297" t="s">
        <v>445</v>
      </c>
      <c r="L297" t="s">
        <v>32</v>
      </c>
      <c r="M297">
        <v>100</v>
      </c>
      <c r="N297" t="s">
        <v>49</v>
      </c>
      <c r="O297" t="s">
        <v>2298</v>
      </c>
      <c r="P297" t="s">
        <v>106</v>
      </c>
      <c r="Q297" t="s">
        <v>213</v>
      </c>
      <c r="R297" t="s">
        <v>214</v>
      </c>
      <c r="S297" t="s">
        <v>215</v>
      </c>
      <c r="T297" t="s">
        <v>55</v>
      </c>
      <c r="U297" t="s">
        <v>56</v>
      </c>
      <c r="V297" t="s">
        <v>56</v>
      </c>
    </row>
    <row r="298" spans="1:22" x14ac:dyDescent="0.3">
      <c r="A298" s="49">
        <v>45622</v>
      </c>
      <c r="B298" t="s">
        <v>965</v>
      </c>
      <c r="C298" t="s">
        <v>966</v>
      </c>
      <c r="D298" t="s">
        <v>24</v>
      </c>
      <c r="E298" t="s">
        <v>207</v>
      </c>
      <c r="F298" t="s">
        <v>208</v>
      </c>
      <c r="G298" t="s">
        <v>2296</v>
      </c>
      <c r="H298" t="s">
        <v>28</v>
      </c>
      <c r="I298" t="s">
        <v>2297</v>
      </c>
      <c r="J298" t="s">
        <v>63</v>
      </c>
      <c r="K298" t="s">
        <v>445</v>
      </c>
      <c r="L298" t="s">
        <v>32</v>
      </c>
      <c r="M298">
        <v>100</v>
      </c>
      <c r="N298" t="s">
        <v>49</v>
      </c>
      <c r="O298" t="s">
        <v>2298</v>
      </c>
      <c r="P298" t="s">
        <v>106</v>
      </c>
      <c r="Q298" t="s">
        <v>213</v>
      </c>
      <c r="R298" t="s">
        <v>214</v>
      </c>
      <c r="S298" t="s">
        <v>215</v>
      </c>
      <c r="T298" t="s">
        <v>55</v>
      </c>
      <c r="U298" t="s">
        <v>56</v>
      </c>
      <c r="V298" t="s">
        <v>56</v>
      </c>
    </row>
    <row r="299" spans="1:22" x14ac:dyDescent="0.3">
      <c r="A299" s="49">
        <v>45622</v>
      </c>
      <c r="B299" t="s">
        <v>965</v>
      </c>
      <c r="C299" t="s">
        <v>966</v>
      </c>
      <c r="D299" t="s">
        <v>24</v>
      </c>
      <c r="E299" t="s">
        <v>1534</v>
      </c>
      <c r="F299" t="s">
        <v>1535</v>
      </c>
      <c r="G299" t="s">
        <v>2299</v>
      </c>
      <c r="H299" t="s">
        <v>28</v>
      </c>
      <c r="I299" t="s">
        <v>2300</v>
      </c>
      <c r="J299" t="s">
        <v>30</v>
      </c>
      <c r="K299" t="s">
        <v>1666</v>
      </c>
      <c r="L299" t="s">
        <v>32</v>
      </c>
      <c r="M299">
        <v>100</v>
      </c>
      <c r="N299" t="s">
        <v>49</v>
      </c>
      <c r="O299" t="s">
        <v>2301</v>
      </c>
      <c r="P299" t="s">
        <v>108</v>
      </c>
      <c r="Q299" t="s">
        <v>2302</v>
      </c>
      <c r="R299" t="s">
        <v>37</v>
      </c>
      <c r="S299" t="s">
        <v>2303</v>
      </c>
      <c r="T299" t="s">
        <v>55</v>
      </c>
      <c r="U299" t="s">
        <v>56</v>
      </c>
      <c r="V299" t="s">
        <v>56</v>
      </c>
    </row>
    <row r="300" spans="1:22" x14ac:dyDescent="0.3">
      <c r="A300" s="49">
        <v>45622</v>
      </c>
      <c r="B300" t="s">
        <v>965</v>
      </c>
      <c r="C300" t="s">
        <v>966</v>
      </c>
      <c r="D300" t="s">
        <v>24</v>
      </c>
      <c r="E300" t="s">
        <v>1534</v>
      </c>
      <c r="F300" t="s">
        <v>1535</v>
      </c>
      <c r="G300" t="s">
        <v>2299</v>
      </c>
      <c r="H300" t="s">
        <v>28</v>
      </c>
      <c r="I300" t="s">
        <v>2300</v>
      </c>
      <c r="J300" t="s">
        <v>30</v>
      </c>
      <c r="K300" t="s">
        <v>1666</v>
      </c>
      <c r="L300" t="s">
        <v>32</v>
      </c>
      <c r="M300">
        <v>100</v>
      </c>
      <c r="N300" t="s">
        <v>49</v>
      </c>
      <c r="O300" t="s">
        <v>2301</v>
      </c>
      <c r="P300" t="s">
        <v>108</v>
      </c>
      <c r="Q300" t="s">
        <v>2302</v>
      </c>
      <c r="R300" t="s">
        <v>37</v>
      </c>
      <c r="S300" t="s">
        <v>2303</v>
      </c>
      <c r="T300" t="s">
        <v>55</v>
      </c>
      <c r="U300" t="s">
        <v>56</v>
      </c>
      <c r="V300" t="s">
        <v>56</v>
      </c>
    </row>
    <row r="301" spans="1:22" x14ac:dyDescent="0.3">
      <c r="A301" s="49">
        <v>45622</v>
      </c>
      <c r="B301" t="s">
        <v>965</v>
      </c>
      <c r="C301" t="s">
        <v>966</v>
      </c>
      <c r="D301" t="s">
        <v>24</v>
      </c>
      <c r="E301" t="s">
        <v>1534</v>
      </c>
      <c r="F301" t="s">
        <v>1535</v>
      </c>
      <c r="G301" t="s">
        <v>2299</v>
      </c>
      <c r="H301" t="s">
        <v>28</v>
      </c>
      <c r="I301" t="s">
        <v>2300</v>
      </c>
      <c r="J301" t="s">
        <v>30</v>
      </c>
      <c r="K301" t="s">
        <v>1666</v>
      </c>
      <c r="L301" t="s">
        <v>32</v>
      </c>
      <c r="M301">
        <v>100</v>
      </c>
      <c r="N301" t="s">
        <v>49</v>
      </c>
      <c r="O301" t="s">
        <v>2301</v>
      </c>
      <c r="P301" t="s">
        <v>108</v>
      </c>
      <c r="Q301" t="s">
        <v>2302</v>
      </c>
      <c r="R301" t="s">
        <v>37</v>
      </c>
      <c r="S301" t="s">
        <v>2303</v>
      </c>
      <c r="T301" t="s">
        <v>55</v>
      </c>
      <c r="U301" t="s">
        <v>56</v>
      </c>
      <c r="V301" t="s">
        <v>56</v>
      </c>
    </row>
    <row r="302" spans="1:22" x14ac:dyDescent="0.3">
      <c r="A302" s="49">
        <v>45622</v>
      </c>
      <c r="B302" t="s">
        <v>965</v>
      </c>
      <c r="C302" t="s">
        <v>966</v>
      </c>
      <c r="D302" t="s">
        <v>24</v>
      </c>
      <c r="E302" t="s">
        <v>1534</v>
      </c>
      <c r="F302" t="s">
        <v>1535</v>
      </c>
      <c r="G302" t="s">
        <v>2299</v>
      </c>
      <c r="H302" t="s">
        <v>28</v>
      </c>
      <c r="I302" t="s">
        <v>2300</v>
      </c>
      <c r="J302" t="s">
        <v>30</v>
      </c>
      <c r="K302" t="s">
        <v>1666</v>
      </c>
      <c r="L302" t="s">
        <v>32</v>
      </c>
      <c r="M302">
        <v>100</v>
      </c>
      <c r="N302" t="s">
        <v>49</v>
      </c>
      <c r="O302" t="s">
        <v>2301</v>
      </c>
      <c r="P302" t="s">
        <v>108</v>
      </c>
      <c r="Q302" t="s">
        <v>2302</v>
      </c>
      <c r="R302" t="s">
        <v>37</v>
      </c>
      <c r="S302" t="s">
        <v>2303</v>
      </c>
      <c r="T302" t="s">
        <v>55</v>
      </c>
      <c r="U302" t="s">
        <v>56</v>
      </c>
      <c r="V302" t="s">
        <v>56</v>
      </c>
    </row>
    <row r="303" spans="1:22" x14ac:dyDescent="0.3">
      <c r="A303" s="49">
        <v>45622</v>
      </c>
      <c r="B303" t="s">
        <v>965</v>
      </c>
      <c r="C303" t="s">
        <v>966</v>
      </c>
      <c r="D303" t="s">
        <v>24</v>
      </c>
      <c r="E303" t="s">
        <v>1534</v>
      </c>
      <c r="F303" t="s">
        <v>1535</v>
      </c>
      <c r="G303" t="s">
        <v>2299</v>
      </c>
      <c r="H303" t="s">
        <v>28</v>
      </c>
      <c r="I303" t="s">
        <v>2300</v>
      </c>
      <c r="J303" t="s">
        <v>30</v>
      </c>
      <c r="K303" t="s">
        <v>1666</v>
      </c>
      <c r="L303" t="s">
        <v>32</v>
      </c>
      <c r="M303">
        <v>100</v>
      </c>
      <c r="N303" t="s">
        <v>49</v>
      </c>
      <c r="O303" t="s">
        <v>2304</v>
      </c>
      <c r="P303" t="s">
        <v>873</v>
      </c>
      <c r="Q303" t="s">
        <v>2302</v>
      </c>
      <c r="R303" t="s">
        <v>37</v>
      </c>
      <c r="S303" t="s">
        <v>2303</v>
      </c>
      <c r="T303" t="s">
        <v>55</v>
      </c>
      <c r="U303" t="s">
        <v>56</v>
      </c>
      <c r="V303" t="s">
        <v>56</v>
      </c>
    </row>
    <row r="304" spans="1:22" x14ac:dyDescent="0.3">
      <c r="A304" s="49">
        <v>45622</v>
      </c>
      <c r="B304" t="s">
        <v>965</v>
      </c>
      <c r="C304" t="s">
        <v>966</v>
      </c>
      <c r="D304" t="s">
        <v>24</v>
      </c>
      <c r="E304" t="s">
        <v>234</v>
      </c>
      <c r="F304" t="s">
        <v>235</v>
      </c>
      <c r="G304" t="s">
        <v>2305</v>
      </c>
      <c r="H304" t="s">
        <v>28</v>
      </c>
      <c r="I304" t="s">
        <v>2306</v>
      </c>
      <c r="J304" t="s">
        <v>63</v>
      </c>
      <c r="K304" t="s">
        <v>119</v>
      </c>
      <c r="L304" t="s">
        <v>48</v>
      </c>
      <c r="M304">
        <v>25</v>
      </c>
      <c r="N304" t="s">
        <v>49</v>
      </c>
      <c r="O304" t="s">
        <v>2307</v>
      </c>
      <c r="P304" t="s">
        <v>1189</v>
      </c>
      <c r="Q304" t="s">
        <v>1123</v>
      </c>
      <c r="R304" t="s">
        <v>53</v>
      </c>
      <c r="S304" t="s">
        <v>2308</v>
      </c>
      <c r="T304" t="s">
        <v>55</v>
      </c>
      <c r="U304" t="s">
        <v>56</v>
      </c>
      <c r="V304" t="s">
        <v>56</v>
      </c>
    </row>
    <row r="305" spans="1:22" x14ac:dyDescent="0.3">
      <c r="A305" s="49">
        <v>45622</v>
      </c>
      <c r="B305" t="s">
        <v>965</v>
      </c>
      <c r="C305" t="s">
        <v>966</v>
      </c>
      <c r="D305" t="s">
        <v>24</v>
      </c>
      <c r="E305" t="s">
        <v>2309</v>
      </c>
      <c r="F305" t="s">
        <v>2310</v>
      </c>
      <c r="G305" t="s">
        <v>2311</v>
      </c>
      <c r="H305" t="s">
        <v>28</v>
      </c>
      <c r="I305" t="s">
        <v>2312</v>
      </c>
      <c r="J305" t="s">
        <v>30</v>
      </c>
      <c r="K305" t="s">
        <v>274</v>
      </c>
      <c r="L305" t="s">
        <v>1859</v>
      </c>
      <c r="M305">
        <v>15</v>
      </c>
      <c r="N305" t="s">
        <v>74</v>
      </c>
      <c r="O305" t="s">
        <v>2313</v>
      </c>
      <c r="P305" t="s">
        <v>85</v>
      </c>
      <c r="Q305" t="s">
        <v>2314</v>
      </c>
      <c r="R305" t="s">
        <v>53</v>
      </c>
      <c r="S305" t="s">
        <v>2315</v>
      </c>
      <c r="T305" t="s">
        <v>39</v>
      </c>
      <c r="U305" t="s">
        <v>40</v>
      </c>
      <c r="V305" t="s">
        <v>41</v>
      </c>
    </row>
    <row r="306" spans="1:22" x14ac:dyDescent="0.3">
      <c r="A306" s="49">
        <v>45622</v>
      </c>
      <c r="B306" t="s">
        <v>965</v>
      </c>
      <c r="C306" t="s">
        <v>966</v>
      </c>
      <c r="D306" t="s">
        <v>24</v>
      </c>
      <c r="E306" t="s">
        <v>2316</v>
      </c>
      <c r="F306" t="s">
        <v>2317</v>
      </c>
      <c r="G306" t="s">
        <v>2318</v>
      </c>
      <c r="H306" t="s">
        <v>28</v>
      </c>
      <c r="I306" t="s">
        <v>2319</v>
      </c>
      <c r="J306" t="s">
        <v>46</v>
      </c>
      <c r="K306" t="s">
        <v>1166</v>
      </c>
      <c r="L306" t="s">
        <v>1373</v>
      </c>
      <c r="M306">
        <v>100</v>
      </c>
      <c r="N306" t="s">
        <v>49</v>
      </c>
      <c r="O306" t="s">
        <v>2320</v>
      </c>
      <c r="P306" t="s">
        <v>956</v>
      </c>
      <c r="Q306" t="s">
        <v>2321</v>
      </c>
      <c r="R306" t="s">
        <v>53</v>
      </c>
      <c r="S306" t="s">
        <v>2322</v>
      </c>
      <c r="T306" t="s">
        <v>55</v>
      </c>
      <c r="U306" t="s">
        <v>56</v>
      </c>
      <c r="V306" t="s">
        <v>56</v>
      </c>
    </row>
    <row r="307" spans="1:22" x14ac:dyDescent="0.3">
      <c r="A307" s="49">
        <v>45622</v>
      </c>
      <c r="B307" t="s">
        <v>965</v>
      </c>
      <c r="C307" t="s">
        <v>966</v>
      </c>
      <c r="D307" t="s">
        <v>24</v>
      </c>
      <c r="E307" t="s">
        <v>2323</v>
      </c>
      <c r="F307" t="s">
        <v>2324</v>
      </c>
      <c r="G307" t="s">
        <v>2325</v>
      </c>
      <c r="H307" t="s">
        <v>28</v>
      </c>
      <c r="I307" t="s">
        <v>2326</v>
      </c>
      <c r="J307" t="s">
        <v>63</v>
      </c>
      <c r="K307" t="s">
        <v>2327</v>
      </c>
      <c r="L307" t="s">
        <v>2328</v>
      </c>
      <c r="M307">
        <v>0</v>
      </c>
      <c r="N307" t="s">
        <v>49</v>
      </c>
      <c r="O307" t="s">
        <v>2329</v>
      </c>
      <c r="P307" t="s">
        <v>1159</v>
      </c>
      <c r="Q307" t="s">
        <v>1168</v>
      </c>
      <c r="R307" t="s">
        <v>53</v>
      </c>
      <c r="S307" t="s">
        <v>2330</v>
      </c>
      <c r="T307" t="s">
        <v>1026</v>
      </c>
      <c r="U307" t="s">
        <v>40</v>
      </c>
      <c r="V307" t="s">
        <v>41</v>
      </c>
    </row>
    <row r="308" spans="1:22" x14ac:dyDescent="0.3">
      <c r="A308" s="49">
        <v>45622</v>
      </c>
      <c r="B308" t="s">
        <v>965</v>
      </c>
      <c r="C308" t="s">
        <v>966</v>
      </c>
      <c r="D308" t="s">
        <v>24</v>
      </c>
      <c r="E308" t="s">
        <v>333</v>
      </c>
      <c r="F308" t="s">
        <v>334</v>
      </c>
      <c r="G308" t="s">
        <v>2331</v>
      </c>
      <c r="H308" t="s">
        <v>28</v>
      </c>
      <c r="I308" t="s">
        <v>2332</v>
      </c>
      <c r="J308" t="s">
        <v>46</v>
      </c>
      <c r="K308" t="s">
        <v>47</v>
      </c>
      <c r="L308" t="s">
        <v>48</v>
      </c>
      <c r="M308">
        <v>0</v>
      </c>
      <c r="N308" t="s">
        <v>74</v>
      </c>
      <c r="O308" t="s">
        <v>2333</v>
      </c>
      <c r="P308" t="s">
        <v>1644</v>
      </c>
      <c r="Q308" t="s">
        <v>1182</v>
      </c>
      <c r="R308" t="s">
        <v>53</v>
      </c>
      <c r="S308" t="s">
        <v>2334</v>
      </c>
      <c r="T308" t="s">
        <v>55</v>
      </c>
      <c r="U308" t="s">
        <v>56</v>
      </c>
      <c r="V308" t="s">
        <v>56</v>
      </c>
    </row>
    <row r="309" spans="1:22" x14ac:dyDescent="0.3">
      <c r="A309" s="49">
        <v>45622</v>
      </c>
      <c r="B309" t="s">
        <v>965</v>
      </c>
      <c r="C309" t="s">
        <v>966</v>
      </c>
      <c r="D309" t="s">
        <v>24</v>
      </c>
      <c r="E309" t="s">
        <v>838</v>
      </c>
      <c r="F309" t="s">
        <v>839</v>
      </c>
      <c r="G309" t="s">
        <v>2335</v>
      </c>
      <c r="H309" t="s">
        <v>28</v>
      </c>
      <c r="I309" t="s">
        <v>1913</v>
      </c>
      <c r="J309" t="s">
        <v>63</v>
      </c>
      <c r="K309" t="s">
        <v>1200</v>
      </c>
      <c r="L309" t="s">
        <v>48</v>
      </c>
      <c r="M309">
        <v>40</v>
      </c>
      <c r="N309" t="s">
        <v>49</v>
      </c>
      <c r="O309" t="s">
        <v>2336</v>
      </c>
      <c r="P309" t="s">
        <v>58</v>
      </c>
      <c r="Q309" t="s">
        <v>1973</v>
      </c>
      <c r="R309" t="s">
        <v>53</v>
      </c>
      <c r="S309" t="s">
        <v>843</v>
      </c>
      <c r="T309" t="s">
        <v>55</v>
      </c>
      <c r="U309" t="s">
        <v>56</v>
      </c>
      <c r="V309" t="s">
        <v>56</v>
      </c>
    </row>
    <row r="310" spans="1:22" x14ac:dyDescent="0.3">
      <c r="A310" s="49">
        <v>45622</v>
      </c>
      <c r="B310" t="s">
        <v>965</v>
      </c>
      <c r="C310" t="s">
        <v>966</v>
      </c>
      <c r="D310" t="s">
        <v>24</v>
      </c>
      <c r="E310" t="s">
        <v>361</v>
      </c>
      <c r="F310" t="s">
        <v>362</v>
      </c>
      <c r="G310" t="s">
        <v>2337</v>
      </c>
      <c r="H310" t="s">
        <v>28</v>
      </c>
      <c r="I310" t="s">
        <v>2338</v>
      </c>
      <c r="J310" t="s">
        <v>46</v>
      </c>
      <c r="K310" t="s">
        <v>47</v>
      </c>
      <c r="L310" t="s">
        <v>48</v>
      </c>
      <c r="M310">
        <v>0</v>
      </c>
      <c r="N310" t="s">
        <v>74</v>
      </c>
      <c r="O310" t="s">
        <v>2339</v>
      </c>
      <c r="P310" t="s">
        <v>968</v>
      </c>
      <c r="Q310" t="s">
        <v>2340</v>
      </c>
      <c r="R310" t="s">
        <v>53</v>
      </c>
      <c r="S310" t="s">
        <v>2341</v>
      </c>
      <c r="T310" t="s">
        <v>39</v>
      </c>
      <c r="U310" t="s">
        <v>40</v>
      </c>
      <c r="V310" t="s">
        <v>41</v>
      </c>
    </row>
    <row r="311" spans="1:22" x14ac:dyDescent="0.3">
      <c r="A311" s="49">
        <v>45622</v>
      </c>
      <c r="B311" t="s">
        <v>965</v>
      </c>
      <c r="C311" t="s">
        <v>966</v>
      </c>
      <c r="D311" t="s">
        <v>24</v>
      </c>
      <c r="E311" t="s">
        <v>361</v>
      </c>
      <c r="F311" t="s">
        <v>362</v>
      </c>
      <c r="G311" t="s">
        <v>2342</v>
      </c>
      <c r="H311" t="s">
        <v>28</v>
      </c>
      <c r="I311" t="s">
        <v>2343</v>
      </c>
      <c r="J311" t="s">
        <v>46</v>
      </c>
      <c r="K311" t="s">
        <v>47</v>
      </c>
      <c r="L311" t="s">
        <v>48</v>
      </c>
      <c r="M311">
        <v>0</v>
      </c>
      <c r="N311" t="s">
        <v>74</v>
      </c>
      <c r="O311" t="s">
        <v>2344</v>
      </c>
      <c r="P311" t="s">
        <v>1644</v>
      </c>
      <c r="Q311" t="s">
        <v>2345</v>
      </c>
      <c r="R311" t="s">
        <v>53</v>
      </c>
      <c r="S311" t="s">
        <v>2346</v>
      </c>
      <c r="T311" t="s">
        <v>39</v>
      </c>
      <c r="U311" t="s">
        <v>40</v>
      </c>
      <c r="V311" t="s">
        <v>41</v>
      </c>
    </row>
    <row r="312" spans="1:22" x14ac:dyDescent="0.3">
      <c r="A312" s="49">
        <v>45622</v>
      </c>
      <c r="B312" t="s">
        <v>965</v>
      </c>
      <c r="C312" t="s">
        <v>966</v>
      </c>
      <c r="D312" t="s">
        <v>24</v>
      </c>
      <c r="E312" t="s">
        <v>6544</v>
      </c>
      <c r="F312" t="s">
        <v>2347</v>
      </c>
      <c r="G312" t="s">
        <v>2348</v>
      </c>
      <c r="H312" t="s">
        <v>89</v>
      </c>
      <c r="J312" t="s">
        <v>46</v>
      </c>
      <c r="K312" t="s">
        <v>1209</v>
      </c>
      <c r="L312" t="s">
        <v>1158</v>
      </c>
      <c r="M312">
        <v>0</v>
      </c>
      <c r="N312" t="s">
        <v>33</v>
      </c>
      <c r="O312" t="s">
        <v>2349</v>
      </c>
      <c r="P312" t="s">
        <v>1440</v>
      </c>
      <c r="Q312" t="s">
        <v>2350</v>
      </c>
      <c r="R312" t="s">
        <v>53</v>
      </c>
      <c r="S312" t="s">
        <v>2351</v>
      </c>
      <c r="T312" t="s">
        <v>39</v>
      </c>
      <c r="U312" t="s">
        <v>40</v>
      </c>
      <c r="V312" t="s">
        <v>41</v>
      </c>
    </row>
    <row r="313" spans="1:22" x14ac:dyDescent="0.3">
      <c r="A313" s="49">
        <v>45622</v>
      </c>
      <c r="B313" t="s">
        <v>965</v>
      </c>
      <c r="C313" t="s">
        <v>966</v>
      </c>
      <c r="D313" t="s">
        <v>24</v>
      </c>
      <c r="E313" t="s">
        <v>376</v>
      </c>
      <c r="F313" t="s">
        <v>377</v>
      </c>
      <c r="G313" t="s">
        <v>2352</v>
      </c>
      <c r="H313" t="s">
        <v>89</v>
      </c>
      <c r="J313" t="s">
        <v>46</v>
      </c>
      <c r="K313" t="s">
        <v>1209</v>
      </c>
      <c r="L313" t="s">
        <v>48</v>
      </c>
      <c r="M313">
        <v>25</v>
      </c>
      <c r="N313" t="s">
        <v>49</v>
      </c>
      <c r="O313" t="s">
        <v>2353</v>
      </c>
      <c r="P313" t="s">
        <v>108</v>
      </c>
      <c r="Q313" t="s">
        <v>2354</v>
      </c>
      <c r="R313" t="s">
        <v>53</v>
      </c>
      <c r="S313" t="s">
        <v>2355</v>
      </c>
      <c r="T313" t="s">
        <v>39</v>
      </c>
      <c r="U313" t="s">
        <v>40</v>
      </c>
      <c r="V313" t="s">
        <v>41</v>
      </c>
    </row>
    <row r="314" spans="1:22" x14ac:dyDescent="0.3">
      <c r="A314" s="49">
        <v>45622</v>
      </c>
      <c r="B314" t="s">
        <v>965</v>
      </c>
      <c r="C314" t="s">
        <v>966</v>
      </c>
      <c r="D314" t="s">
        <v>24</v>
      </c>
      <c r="E314" t="s">
        <v>376</v>
      </c>
      <c r="F314" t="s">
        <v>377</v>
      </c>
      <c r="G314" t="s">
        <v>2356</v>
      </c>
      <c r="H314" t="s">
        <v>28</v>
      </c>
      <c r="I314" t="s">
        <v>2357</v>
      </c>
      <c r="J314" t="s">
        <v>46</v>
      </c>
      <c r="K314" t="s">
        <v>1209</v>
      </c>
      <c r="L314" t="s">
        <v>48</v>
      </c>
      <c r="M314">
        <v>0</v>
      </c>
      <c r="N314" t="s">
        <v>33</v>
      </c>
      <c r="O314" t="s">
        <v>2358</v>
      </c>
      <c r="P314" t="s">
        <v>2359</v>
      </c>
      <c r="Q314" t="s">
        <v>2360</v>
      </c>
      <c r="R314" t="s">
        <v>53</v>
      </c>
      <c r="S314" t="s">
        <v>883</v>
      </c>
      <c r="T314" t="s">
        <v>39</v>
      </c>
      <c r="U314" t="s">
        <v>40</v>
      </c>
      <c r="V314" t="s">
        <v>41</v>
      </c>
    </row>
    <row r="315" spans="1:22" x14ac:dyDescent="0.3">
      <c r="A315" s="49">
        <v>45622</v>
      </c>
      <c r="B315" t="s">
        <v>965</v>
      </c>
      <c r="C315" t="s">
        <v>966</v>
      </c>
      <c r="D315" t="s">
        <v>173</v>
      </c>
      <c r="E315" t="s">
        <v>1672</v>
      </c>
      <c r="F315" t="s">
        <v>1673</v>
      </c>
      <c r="G315" t="s">
        <v>2361</v>
      </c>
      <c r="H315" t="s">
        <v>89</v>
      </c>
      <c r="J315" t="s">
        <v>46</v>
      </c>
      <c r="K315" t="s">
        <v>47</v>
      </c>
      <c r="L315" t="s">
        <v>48</v>
      </c>
      <c r="M315">
        <v>100</v>
      </c>
      <c r="N315" t="s">
        <v>33</v>
      </c>
      <c r="O315" t="s">
        <v>2362</v>
      </c>
      <c r="P315" t="s">
        <v>163</v>
      </c>
      <c r="Q315" t="s">
        <v>1625</v>
      </c>
      <c r="R315" t="s">
        <v>53</v>
      </c>
      <c r="S315" t="s">
        <v>1676</v>
      </c>
      <c r="T315" t="s">
        <v>39</v>
      </c>
      <c r="U315" t="s">
        <v>40</v>
      </c>
      <c r="V315" t="s">
        <v>41</v>
      </c>
    </row>
    <row r="316" spans="1:22" x14ac:dyDescent="0.3">
      <c r="A316" s="49">
        <v>45622</v>
      </c>
      <c r="B316" t="s">
        <v>965</v>
      </c>
      <c r="C316" t="s">
        <v>966</v>
      </c>
      <c r="D316" t="s">
        <v>24</v>
      </c>
      <c r="E316" t="s">
        <v>2363</v>
      </c>
      <c r="F316" t="s">
        <v>917</v>
      </c>
      <c r="G316" t="s">
        <v>2364</v>
      </c>
      <c r="H316" t="s">
        <v>89</v>
      </c>
      <c r="J316" t="s">
        <v>46</v>
      </c>
      <c r="K316" t="s">
        <v>47</v>
      </c>
      <c r="L316" t="s">
        <v>2365</v>
      </c>
      <c r="M316">
        <v>0</v>
      </c>
      <c r="N316" t="s">
        <v>49</v>
      </c>
      <c r="O316" t="s">
        <v>2366</v>
      </c>
      <c r="P316" t="s">
        <v>127</v>
      </c>
      <c r="Q316" t="s">
        <v>2367</v>
      </c>
      <c r="R316" t="s">
        <v>2368</v>
      </c>
      <c r="S316" t="s">
        <v>923</v>
      </c>
      <c r="T316" t="s">
        <v>55</v>
      </c>
      <c r="U316" t="s">
        <v>56</v>
      </c>
      <c r="V316" t="s">
        <v>56</v>
      </c>
    </row>
    <row r="317" spans="1:22" x14ac:dyDescent="0.3">
      <c r="A317" s="49">
        <v>45622</v>
      </c>
      <c r="B317" t="s">
        <v>965</v>
      </c>
      <c r="C317" t="s">
        <v>966</v>
      </c>
      <c r="D317" t="s">
        <v>24</v>
      </c>
      <c r="E317" t="s">
        <v>1184</v>
      </c>
      <c r="F317" t="s">
        <v>1185</v>
      </c>
      <c r="G317" t="s">
        <v>2369</v>
      </c>
      <c r="H317" t="s">
        <v>28</v>
      </c>
      <c r="I317" t="s">
        <v>1187</v>
      </c>
      <c r="J317" t="s">
        <v>46</v>
      </c>
      <c r="K317" t="s">
        <v>1166</v>
      </c>
      <c r="L317" t="s">
        <v>48</v>
      </c>
      <c r="M317">
        <v>0</v>
      </c>
      <c r="N317" t="s">
        <v>74</v>
      </c>
      <c r="O317" t="s">
        <v>2370</v>
      </c>
      <c r="P317" t="s">
        <v>1644</v>
      </c>
      <c r="Q317" t="s">
        <v>2371</v>
      </c>
      <c r="R317" t="s">
        <v>53</v>
      </c>
      <c r="S317" t="s">
        <v>1191</v>
      </c>
      <c r="T317" t="s">
        <v>55</v>
      </c>
      <c r="U317" t="s">
        <v>56</v>
      </c>
      <c r="V317" t="s">
        <v>56</v>
      </c>
    </row>
    <row r="318" spans="1:22" x14ac:dyDescent="0.3">
      <c r="A318" s="49">
        <v>45622</v>
      </c>
      <c r="B318" t="s">
        <v>965</v>
      </c>
      <c r="C318" t="s">
        <v>966</v>
      </c>
      <c r="D318" t="s">
        <v>24</v>
      </c>
      <c r="E318" t="s">
        <v>1184</v>
      </c>
      <c r="F318" t="s">
        <v>1185</v>
      </c>
      <c r="G318" t="s">
        <v>2369</v>
      </c>
      <c r="H318" t="s">
        <v>28</v>
      </c>
      <c r="I318" t="s">
        <v>1187</v>
      </c>
      <c r="J318" t="s">
        <v>46</v>
      </c>
      <c r="K318" t="s">
        <v>1166</v>
      </c>
      <c r="L318" t="s">
        <v>48</v>
      </c>
      <c r="M318">
        <v>0</v>
      </c>
      <c r="N318" t="s">
        <v>49</v>
      </c>
      <c r="O318" t="s">
        <v>2370</v>
      </c>
      <c r="P318" t="s">
        <v>1644</v>
      </c>
      <c r="Q318" t="s">
        <v>2371</v>
      </c>
      <c r="R318" t="s">
        <v>53</v>
      </c>
      <c r="S318" t="s">
        <v>1191</v>
      </c>
      <c r="T318" t="s">
        <v>55</v>
      </c>
      <c r="U318" t="s">
        <v>56</v>
      </c>
      <c r="V318" t="s">
        <v>56</v>
      </c>
    </row>
    <row r="319" spans="1:22" x14ac:dyDescent="0.3">
      <c r="A319" s="49">
        <v>45622</v>
      </c>
      <c r="B319" t="s">
        <v>965</v>
      </c>
      <c r="C319" t="s">
        <v>966</v>
      </c>
      <c r="D319" t="s">
        <v>24</v>
      </c>
      <c r="E319" t="s">
        <v>1192</v>
      </c>
      <c r="F319" t="s">
        <v>1193</v>
      </c>
      <c r="G319" t="s">
        <v>2372</v>
      </c>
      <c r="H319" t="s">
        <v>28</v>
      </c>
      <c r="I319" t="s">
        <v>2373</v>
      </c>
      <c r="J319" t="s">
        <v>63</v>
      </c>
      <c r="K319" t="s">
        <v>2374</v>
      </c>
      <c r="L319" t="s">
        <v>48</v>
      </c>
      <c r="M319">
        <v>0</v>
      </c>
      <c r="N319" t="s">
        <v>49</v>
      </c>
      <c r="O319" t="s">
        <v>2375</v>
      </c>
      <c r="P319" t="s">
        <v>1644</v>
      </c>
      <c r="Q319" t="s">
        <v>1973</v>
      </c>
      <c r="R319" t="s">
        <v>53</v>
      </c>
      <c r="S319" t="s">
        <v>2376</v>
      </c>
      <c r="T319" t="s">
        <v>55</v>
      </c>
      <c r="U319" t="s">
        <v>56</v>
      </c>
      <c r="V319" t="s">
        <v>56</v>
      </c>
    </row>
    <row r="320" spans="1:22" x14ac:dyDescent="0.3">
      <c r="A320" s="49">
        <v>45622</v>
      </c>
      <c r="B320" t="s">
        <v>965</v>
      </c>
      <c r="C320" t="s">
        <v>966</v>
      </c>
      <c r="D320" t="s">
        <v>24</v>
      </c>
      <c r="E320" t="s">
        <v>1222</v>
      </c>
      <c r="F320" t="s">
        <v>1223</v>
      </c>
      <c r="G320" t="s">
        <v>2377</v>
      </c>
      <c r="H320" t="s">
        <v>28</v>
      </c>
      <c r="I320" t="s">
        <v>2378</v>
      </c>
      <c r="J320" t="s">
        <v>46</v>
      </c>
      <c r="K320" t="s">
        <v>1166</v>
      </c>
      <c r="L320" t="s">
        <v>48</v>
      </c>
      <c r="M320">
        <v>0</v>
      </c>
      <c r="N320" t="s">
        <v>74</v>
      </c>
      <c r="O320" t="s">
        <v>2379</v>
      </c>
      <c r="P320" t="s">
        <v>76</v>
      </c>
      <c r="Q320" t="s">
        <v>1973</v>
      </c>
      <c r="R320" t="s">
        <v>53</v>
      </c>
      <c r="S320" t="s">
        <v>2380</v>
      </c>
      <c r="T320" t="s">
        <v>39</v>
      </c>
      <c r="U320" t="s">
        <v>40</v>
      </c>
      <c r="V320" t="s">
        <v>41</v>
      </c>
    </row>
    <row r="321" spans="1:22" x14ac:dyDescent="0.3">
      <c r="A321" s="49">
        <v>45603</v>
      </c>
      <c r="B321" t="s">
        <v>457</v>
      </c>
      <c r="C321" t="s">
        <v>458</v>
      </c>
      <c r="D321" t="s">
        <v>24</v>
      </c>
      <c r="E321" t="s">
        <v>1804</v>
      </c>
      <c r="F321" t="s">
        <v>1805</v>
      </c>
      <c r="G321" t="s">
        <v>1943</v>
      </c>
      <c r="H321" t="s">
        <v>89</v>
      </c>
      <c r="J321" t="s">
        <v>63</v>
      </c>
      <c r="K321" t="s">
        <v>1807</v>
      </c>
      <c r="L321" t="s">
        <v>464</v>
      </c>
      <c r="M321">
        <v>100</v>
      </c>
      <c r="N321" t="s">
        <v>49</v>
      </c>
      <c r="O321" t="s">
        <v>2177</v>
      </c>
      <c r="P321" t="s">
        <v>2178</v>
      </c>
      <c r="Q321" t="s">
        <v>92</v>
      </c>
      <c r="R321" t="s">
        <v>37</v>
      </c>
      <c r="S321" t="s">
        <v>2179</v>
      </c>
      <c r="T321" t="s">
        <v>39</v>
      </c>
      <c r="U321" t="s">
        <v>40</v>
      </c>
      <c r="V321" t="s">
        <v>41</v>
      </c>
    </row>
    <row r="322" spans="1:22" x14ac:dyDescent="0.3">
      <c r="A322" s="49">
        <v>45603</v>
      </c>
      <c r="B322" t="s">
        <v>457</v>
      </c>
      <c r="C322" t="s">
        <v>458</v>
      </c>
      <c r="D322" t="s">
        <v>173</v>
      </c>
      <c r="E322" t="s">
        <v>1482</v>
      </c>
      <c r="F322" t="s">
        <v>1483</v>
      </c>
      <c r="G322" t="s">
        <v>1925</v>
      </c>
      <c r="H322" t="s">
        <v>28</v>
      </c>
      <c r="I322" t="s">
        <v>2180</v>
      </c>
      <c r="J322" t="s">
        <v>46</v>
      </c>
      <c r="K322" t="s">
        <v>2181</v>
      </c>
      <c r="L322" t="s">
        <v>2182</v>
      </c>
      <c r="M322">
        <v>33</v>
      </c>
      <c r="N322" t="s">
        <v>49</v>
      </c>
      <c r="O322" t="s">
        <v>2183</v>
      </c>
      <c r="P322" t="s">
        <v>344</v>
      </c>
      <c r="Q322" t="s">
        <v>2184</v>
      </c>
      <c r="R322" t="s">
        <v>37</v>
      </c>
      <c r="S322" t="s">
        <v>2185</v>
      </c>
      <c r="T322" t="s">
        <v>55</v>
      </c>
      <c r="U322" t="s">
        <v>56</v>
      </c>
      <c r="V322" t="s">
        <v>56</v>
      </c>
    </row>
    <row r="323" spans="1:22" x14ac:dyDescent="0.3">
      <c r="A323" s="49">
        <v>45603</v>
      </c>
      <c r="B323" t="s">
        <v>457</v>
      </c>
      <c r="C323" t="s">
        <v>458</v>
      </c>
      <c r="D323" t="s">
        <v>173</v>
      </c>
      <c r="E323" t="s">
        <v>2186</v>
      </c>
      <c r="F323" t="s">
        <v>2187</v>
      </c>
      <c r="G323" t="s">
        <v>2188</v>
      </c>
      <c r="H323" t="s">
        <v>89</v>
      </c>
      <c r="J323" t="s">
        <v>63</v>
      </c>
      <c r="K323" t="s">
        <v>1235</v>
      </c>
      <c r="L323" t="s">
        <v>464</v>
      </c>
      <c r="M323">
        <v>42</v>
      </c>
      <c r="N323" t="s">
        <v>49</v>
      </c>
      <c r="O323" t="s">
        <v>2189</v>
      </c>
      <c r="P323" t="s">
        <v>85</v>
      </c>
      <c r="Q323" t="s">
        <v>2190</v>
      </c>
      <c r="R323" t="s">
        <v>37</v>
      </c>
      <c r="S323" t="s">
        <v>2191</v>
      </c>
      <c r="T323" t="s">
        <v>39</v>
      </c>
      <c r="U323" t="s">
        <v>40</v>
      </c>
      <c r="V323" t="s">
        <v>41</v>
      </c>
    </row>
    <row r="324" spans="1:22" x14ac:dyDescent="0.3">
      <c r="A324" s="49">
        <v>45603</v>
      </c>
      <c r="B324" t="s">
        <v>457</v>
      </c>
      <c r="C324" t="s">
        <v>458</v>
      </c>
      <c r="D324" t="s">
        <v>173</v>
      </c>
      <c r="E324" t="s">
        <v>2192</v>
      </c>
      <c r="F324" t="s">
        <v>2193</v>
      </c>
      <c r="G324" t="s">
        <v>1491</v>
      </c>
      <c r="H324" t="s">
        <v>28</v>
      </c>
      <c r="I324" t="s">
        <v>2194</v>
      </c>
      <c r="J324" t="s">
        <v>63</v>
      </c>
      <c r="K324" t="s">
        <v>1235</v>
      </c>
      <c r="L324" t="s">
        <v>464</v>
      </c>
      <c r="M324">
        <v>90</v>
      </c>
      <c r="N324" t="s">
        <v>49</v>
      </c>
      <c r="O324" t="s">
        <v>2195</v>
      </c>
      <c r="P324" t="s">
        <v>691</v>
      </c>
      <c r="Q324" t="s">
        <v>2196</v>
      </c>
      <c r="R324" t="s">
        <v>2197</v>
      </c>
      <c r="S324" t="s">
        <v>2198</v>
      </c>
      <c r="T324" t="s">
        <v>55</v>
      </c>
      <c r="U324" t="s">
        <v>56</v>
      </c>
      <c r="V324" t="s">
        <v>56</v>
      </c>
    </row>
    <row r="325" spans="1:22" x14ac:dyDescent="0.3">
      <c r="A325" s="49">
        <v>45603</v>
      </c>
      <c r="B325" t="s">
        <v>2199</v>
      </c>
      <c r="C325" t="s">
        <v>2200</v>
      </c>
      <c r="D325" t="s">
        <v>173</v>
      </c>
      <c r="E325" t="s">
        <v>1892</v>
      </c>
      <c r="F325" t="s">
        <v>1893</v>
      </c>
      <c r="G325" t="s">
        <v>2049</v>
      </c>
      <c r="H325" t="s">
        <v>28</v>
      </c>
      <c r="I325" t="s">
        <v>2050</v>
      </c>
      <c r="J325" t="s">
        <v>63</v>
      </c>
      <c r="K325" t="s">
        <v>64</v>
      </c>
      <c r="L325" t="s">
        <v>32</v>
      </c>
      <c r="M325">
        <v>100</v>
      </c>
      <c r="N325" t="s">
        <v>49</v>
      </c>
      <c r="O325" t="s">
        <v>2054</v>
      </c>
      <c r="P325" t="s">
        <v>1175</v>
      </c>
      <c r="Q325" t="s">
        <v>551</v>
      </c>
      <c r="R325" t="s">
        <v>37</v>
      </c>
      <c r="S325" t="s">
        <v>2053</v>
      </c>
      <c r="T325" t="s">
        <v>55</v>
      </c>
      <c r="U325" t="s">
        <v>56</v>
      </c>
      <c r="V325" t="s">
        <v>56</v>
      </c>
    </row>
    <row r="326" spans="1:22" x14ac:dyDescent="0.3">
      <c r="A326" s="49">
        <v>45603</v>
      </c>
      <c r="B326" t="s">
        <v>2199</v>
      </c>
      <c r="C326" t="s">
        <v>2200</v>
      </c>
      <c r="D326" t="s">
        <v>173</v>
      </c>
      <c r="E326" t="s">
        <v>2201</v>
      </c>
      <c r="F326" t="s">
        <v>2202</v>
      </c>
      <c r="G326" t="s">
        <v>1943</v>
      </c>
      <c r="H326" t="s">
        <v>89</v>
      </c>
      <c r="J326" t="s">
        <v>63</v>
      </c>
      <c r="K326" t="s">
        <v>1235</v>
      </c>
      <c r="L326" t="s">
        <v>464</v>
      </c>
      <c r="M326">
        <v>65</v>
      </c>
      <c r="N326" t="s">
        <v>33</v>
      </c>
      <c r="O326" t="s">
        <v>2203</v>
      </c>
      <c r="P326" t="s">
        <v>35</v>
      </c>
      <c r="Q326" t="s">
        <v>1231</v>
      </c>
      <c r="R326" t="s">
        <v>337</v>
      </c>
      <c r="S326" t="s">
        <v>2204</v>
      </c>
      <c r="T326" t="s">
        <v>55</v>
      </c>
      <c r="U326" t="s">
        <v>56</v>
      </c>
      <c r="V326" t="s">
        <v>56</v>
      </c>
    </row>
    <row r="327" spans="1:22" x14ac:dyDescent="0.3">
      <c r="A327" s="49">
        <v>45603</v>
      </c>
      <c r="B327" t="s">
        <v>457</v>
      </c>
      <c r="C327" t="s">
        <v>458</v>
      </c>
      <c r="D327" t="s">
        <v>173</v>
      </c>
      <c r="E327" t="s">
        <v>2205</v>
      </c>
      <c r="F327" t="s">
        <v>450</v>
      </c>
      <c r="G327" t="s">
        <v>2206</v>
      </c>
      <c r="H327" t="s">
        <v>89</v>
      </c>
      <c r="J327" t="s">
        <v>30</v>
      </c>
      <c r="K327" t="s">
        <v>264</v>
      </c>
      <c r="L327" t="s">
        <v>2207</v>
      </c>
      <c r="M327">
        <v>70</v>
      </c>
      <c r="N327" t="s">
        <v>49</v>
      </c>
      <c r="O327" t="s">
        <v>2208</v>
      </c>
      <c r="P327" t="s">
        <v>108</v>
      </c>
      <c r="Q327" t="s">
        <v>2209</v>
      </c>
      <c r="R327" t="s">
        <v>37</v>
      </c>
      <c r="S327" t="s">
        <v>2210</v>
      </c>
      <c r="T327" t="s">
        <v>55</v>
      </c>
      <c r="U327" t="s">
        <v>56</v>
      </c>
      <c r="V327" t="s">
        <v>56</v>
      </c>
    </row>
    <row r="328" spans="1:22" x14ac:dyDescent="0.3">
      <c r="A328" s="49">
        <v>45603</v>
      </c>
      <c r="B328" t="s">
        <v>2199</v>
      </c>
      <c r="C328" t="s">
        <v>2200</v>
      </c>
      <c r="D328" t="s">
        <v>173</v>
      </c>
      <c r="E328" t="s">
        <v>2211</v>
      </c>
      <c r="F328" t="s">
        <v>2212</v>
      </c>
      <c r="G328" t="s">
        <v>2213</v>
      </c>
      <c r="H328" t="s">
        <v>28</v>
      </c>
      <c r="I328" t="s">
        <v>2214</v>
      </c>
      <c r="J328" t="s">
        <v>30</v>
      </c>
      <c r="K328" t="s">
        <v>1546</v>
      </c>
      <c r="L328" t="s">
        <v>1102</v>
      </c>
      <c r="M328">
        <v>100</v>
      </c>
      <c r="N328" t="s">
        <v>49</v>
      </c>
      <c r="O328" t="s">
        <v>2215</v>
      </c>
      <c r="P328" t="s">
        <v>691</v>
      </c>
      <c r="Q328" t="s">
        <v>2216</v>
      </c>
      <c r="R328" t="s">
        <v>37</v>
      </c>
      <c r="S328" t="s">
        <v>2217</v>
      </c>
      <c r="T328" t="s">
        <v>39</v>
      </c>
      <c r="U328" t="s">
        <v>40</v>
      </c>
      <c r="V328" t="s">
        <v>41</v>
      </c>
    </row>
    <row r="329" spans="1:22" x14ac:dyDescent="0.3">
      <c r="A329" s="49">
        <v>45603</v>
      </c>
      <c r="B329" t="s">
        <v>457</v>
      </c>
      <c r="C329" t="s">
        <v>458</v>
      </c>
      <c r="D329" t="s">
        <v>173</v>
      </c>
      <c r="E329" t="s">
        <v>2218</v>
      </c>
      <c r="F329" t="s">
        <v>2219</v>
      </c>
      <c r="G329" t="s">
        <v>2220</v>
      </c>
      <c r="H329" t="s">
        <v>28</v>
      </c>
      <c r="I329" t="s">
        <v>1329</v>
      </c>
      <c r="J329" t="s">
        <v>63</v>
      </c>
      <c r="K329" t="s">
        <v>445</v>
      </c>
      <c r="L329" t="s">
        <v>464</v>
      </c>
      <c r="M329">
        <v>100</v>
      </c>
      <c r="N329" t="s">
        <v>49</v>
      </c>
      <c r="O329" t="s">
        <v>1337</v>
      </c>
      <c r="P329" t="s">
        <v>85</v>
      </c>
      <c r="Q329" t="s">
        <v>2221</v>
      </c>
      <c r="R329" t="s">
        <v>408</v>
      </c>
      <c r="S329" t="s">
        <v>1333</v>
      </c>
      <c r="T329" t="s">
        <v>55</v>
      </c>
      <c r="U329" t="s">
        <v>56</v>
      </c>
      <c r="V329" t="s">
        <v>56</v>
      </c>
    </row>
    <row r="330" spans="1:22" x14ac:dyDescent="0.3">
      <c r="A330" s="49">
        <v>45603</v>
      </c>
      <c r="B330" t="s">
        <v>2199</v>
      </c>
      <c r="C330" t="s">
        <v>2200</v>
      </c>
      <c r="D330" t="s">
        <v>173</v>
      </c>
      <c r="E330" t="s">
        <v>812</v>
      </c>
      <c r="F330" t="s">
        <v>813</v>
      </c>
      <c r="G330" t="s">
        <v>1247</v>
      </c>
      <c r="H330" t="s">
        <v>28</v>
      </c>
      <c r="I330" t="s">
        <v>2222</v>
      </c>
      <c r="J330" t="s">
        <v>63</v>
      </c>
      <c r="K330" t="s">
        <v>2223</v>
      </c>
      <c r="L330" t="s">
        <v>464</v>
      </c>
      <c r="M330">
        <v>70</v>
      </c>
      <c r="N330" t="s">
        <v>49</v>
      </c>
      <c r="O330" t="s">
        <v>2224</v>
      </c>
      <c r="P330" t="s">
        <v>1727</v>
      </c>
      <c r="Q330" t="s">
        <v>2225</v>
      </c>
      <c r="R330" t="s">
        <v>37</v>
      </c>
      <c r="S330" t="s">
        <v>2226</v>
      </c>
      <c r="T330" t="s">
        <v>55</v>
      </c>
      <c r="U330" t="s">
        <v>56</v>
      </c>
      <c r="V330" t="s">
        <v>56</v>
      </c>
    </row>
    <row r="331" spans="1:22" x14ac:dyDescent="0.3">
      <c r="A331" s="49">
        <v>45603</v>
      </c>
      <c r="B331" t="s">
        <v>457</v>
      </c>
      <c r="C331" t="s">
        <v>458</v>
      </c>
      <c r="D331" t="s">
        <v>173</v>
      </c>
      <c r="E331" t="s">
        <v>1107</v>
      </c>
      <c r="F331" t="s">
        <v>624</v>
      </c>
      <c r="G331" t="s">
        <v>1820</v>
      </c>
      <c r="H331" t="s">
        <v>28</v>
      </c>
      <c r="I331" t="s">
        <v>2227</v>
      </c>
      <c r="J331" t="s">
        <v>63</v>
      </c>
      <c r="K331" t="s">
        <v>2228</v>
      </c>
      <c r="L331" t="s">
        <v>464</v>
      </c>
      <c r="M331">
        <v>75</v>
      </c>
      <c r="N331" t="s">
        <v>49</v>
      </c>
      <c r="O331" t="s">
        <v>2229</v>
      </c>
      <c r="P331" t="s">
        <v>743</v>
      </c>
      <c r="Q331" t="s">
        <v>2230</v>
      </c>
      <c r="R331" t="s">
        <v>2231</v>
      </c>
      <c r="S331" t="s">
        <v>2232</v>
      </c>
      <c r="T331" t="s">
        <v>55</v>
      </c>
      <c r="U331" t="s">
        <v>56</v>
      </c>
      <c r="V331" t="s">
        <v>56</v>
      </c>
    </row>
    <row r="332" spans="1:22" x14ac:dyDescent="0.3">
      <c r="A332" s="49">
        <v>45603</v>
      </c>
      <c r="B332" t="s">
        <v>2199</v>
      </c>
      <c r="C332" t="s">
        <v>2200</v>
      </c>
      <c r="D332" t="s">
        <v>173</v>
      </c>
      <c r="E332" t="s">
        <v>1615</v>
      </c>
      <c r="F332" t="s">
        <v>1616</v>
      </c>
      <c r="G332" t="s">
        <v>1617</v>
      </c>
      <c r="H332" t="s">
        <v>89</v>
      </c>
      <c r="I332" t="s">
        <v>1618</v>
      </c>
      <c r="J332" t="s">
        <v>63</v>
      </c>
      <c r="K332" t="s">
        <v>414</v>
      </c>
      <c r="L332" t="s">
        <v>32</v>
      </c>
      <c r="M332">
        <v>50</v>
      </c>
      <c r="N332" t="s">
        <v>49</v>
      </c>
      <c r="O332" t="s">
        <v>2233</v>
      </c>
      <c r="P332" t="s">
        <v>1586</v>
      </c>
      <c r="Q332" t="s">
        <v>1620</v>
      </c>
      <c r="R332" t="s">
        <v>37</v>
      </c>
      <c r="S332" t="s">
        <v>1621</v>
      </c>
      <c r="T332" t="s">
        <v>39</v>
      </c>
      <c r="U332" t="s">
        <v>40</v>
      </c>
      <c r="V332" t="s">
        <v>41</v>
      </c>
    </row>
    <row r="333" spans="1:22" x14ac:dyDescent="0.3">
      <c r="A333" s="49">
        <v>45603</v>
      </c>
      <c r="B333" t="s">
        <v>2199</v>
      </c>
      <c r="C333" t="s">
        <v>2200</v>
      </c>
      <c r="D333" t="s">
        <v>24</v>
      </c>
      <c r="E333" t="s">
        <v>2234</v>
      </c>
      <c r="F333" t="s">
        <v>2235</v>
      </c>
      <c r="G333" t="s">
        <v>2236</v>
      </c>
      <c r="H333" t="s">
        <v>28</v>
      </c>
      <c r="I333" t="s">
        <v>2237</v>
      </c>
      <c r="J333" t="s">
        <v>63</v>
      </c>
      <c r="K333" t="s">
        <v>414</v>
      </c>
      <c r="L333" t="s">
        <v>32</v>
      </c>
      <c r="M333">
        <v>86</v>
      </c>
      <c r="N333" t="s">
        <v>49</v>
      </c>
      <c r="O333" t="s">
        <v>2238</v>
      </c>
      <c r="P333" t="s">
        <v>306</v>
      </c>
      <c r="Q333" t="s">
        <v>2239</v>
      </c>
      <c r="R333" t="s">
        <v>37</v>
      </c>
      <c r="S333" t="s">
        <v>2240</v>
      </c>
      <c r="T333" t="s">
        <v>55</v>
      </c>
      <c r="U333" t="s">
        <v>56</v>
      </c>
      <c r="V333" t="s">
        <v>56</v>
      </c>
    </row>
    <row r="334" spans="1:22" x14ac:dyDescent="0.3">
      <c r="A334" s="49">
        <v>45603</v>
      </c>
      <c r="B334" t="s">
        <v>2199</v>
      </c>
      <c r="C334" t="s">
        <v>2200</v>
      </c>
      <c r="D334" t="s">
        <v>24</v>
      </c>
      <c r="E334" t="s">
        <v>931</v>
      </c>
      <c r="F334" t="s">
        <v>932</v>
      </c>
      <c r="G334" t="s">
        <v>2241</v>
      </c>
      <c r="H334" t="s">
        <v>89</v>
      </c>
      <c r="J334" t="s">
        <v>63</v>
      </c>
      <c r="K334" t="s">
        <v>197</v>
      </c>
      <c r="L334" t="s">
        <v>32</v>
      </c>
      <c r="M334">
        <v>67</v>
      </c>
      <c r="N334" t="s">
        <v>49</v>
      </c>
      <c r="O334" t="s">
        <v>2242</v>
      </c>
      <c r="P334" t="s">
        <v>85</v>
      </c>
      <c r="Q334" t="s">
        <v>2243</v>
      </c>
      <c r="R334" t="s">
        <v>37</v>
      </c>
      <c r="S334" t="s">
        <v>1204</v>
      </c>
      <c r="T334" t="s">
        <v>39</v>
      </c>
      <c r="U334" t="s">
        <v>40</v>
      </c>
      <c r="V334" t="s">
        <v>41</v>
      </c>
    </row>
    <row r="335" spans="1:22" x14ac:dyDescent="0.3">
      <c r="A335" s="49">
        <v>45603</v>
      </c>
      <c r="B335" t="s">
        <v>2199</v>
      </c>
      <c r="C335" t="s">
        <v>2200</v>
      </c>
      <c r="D335" t="s">
        <v>173</v>
      </c>
      <c r="E335" t="s">
        <v>1205</v>
      </c>
      <c r="F335" t="s">
        <v>1206</v>
      </c>
      <c r="G335" t="s">
        <v>1207</v>
      </c>
      <c r="H335" t="s">
        <v>28</v>
      </c>
      <c r="I335" t="s">
        <v>1208</v>
      </c>
      <c r="J335" t="s">
        <v>46</v>
      </c>
      <c r="K335" t="s">
        <v>1209</v>
      </c>
      <c r="L335" t="s">
        <v>48</v>
      </c>
      <c r="M335">
        <v>100</v>
      </c>
      <c r="N335" t="s">
        <v>49</v>
      </c>
      <c r="P335" t="s">
        <v>85</v>
      </c>
      <c r="Q335" t="s">
        <v>1210</v>
      </c>
      <c r="R335" t="s">
        <v>53</v>
      </c>
      <c r="S335" t="s">
        <v>1211</v>
      </c>
      <c r="T335" t="s">
        <v>55</v>
      </c>
      <c r="U335" t="s">
        <v>56</v>
      </c>
      <c r="V335" t="s">
        <v>56</v>
      </c>
    </row>
    <row r="336" spans="1:22" x14ac:dyDescent="0.3">
      <c r="A336" s="49">
        <v>45603</v>
      </c>
      <c r="B336" t="s">
        <v>457</v>
      </c>
      <c r="C336" t="s">
        <v>458</v>
      </c>
      <c r="D336" t="s">
        <v>24</v>
      </c>
      <c r="E336" t="s">
        <v>1222</v>
      </c>
      <c r="F336" t="s">
        <v>1223</v>
      </c>
      <c r="G336" t="s">
        <v>1943</v>
      </c>
      <c r="H336" t="s">
        <v>89</v>
      </c>
      <c r="J336" t="s">
        <v>63</v>
      </c>
      <c r="K336" t="s">
        <v>1807</v>
      </c>
      <c r="L336" t="s">
        <v>464</v>
      </c>
      <c r="M336">
        <v>100</v>
      </c>
      <c r="N336" t="s">
        <v>49</v>
      </c>
      <c r="O336" t="s">
        <v>2244</v>
      </c>
      <c r="P336" t="s">
        <v>170</v>
      </c>
      <c r="Q336" t="s">
        <v>2245</v>
      </c>
      <c r="R336" t="s">
        <v>37</v>
      </c>
      <c r="S336" t="s">
        <v>2246</v>
      </c>
      <c r="T336" t="s">
        <v>55</v>
      </c>
      <c r="U336" t="s">
        <v>56</v>
      </c>
      <c r="V336" t="s">
        <v>56</v>
      </c>
    </row>
    <row r="337" spans="1:22" x14ac:dyDescent="0.3">
      <c r="A337" s="49">
        <v>45602</v>
      </c>
      <c r="B337" t="s">
        <v>457</v>
      </c>
      <c r="C337" t="s">
        <v>458</v>
      </c>
      <c r="D337" t="s">
        <v>24</v>
      </c>
      <c r="E337" t="s">
        <v>994</v>
      </c>
      <c r="F337" t="s">
        <v>995</v>
      </c>
      <c r="G337" t="s">
        <v>2160</v>
      </c>
      <c r="H337" t="s">
        <v>28</v>
      </c>
      <c r="I337" t="s">
        <v>2161</v>
      </c>
      <c r="J337" t="s">
        <v>46</v>
      </c>
      <c r="K337" t="s">
        <v>880</v>
      </c>
      <c r="L337" t="s">
        <v>464</v>
      </c>
      <c r="M337">
        <v>100</v>
      </c>
      <c r="N337" t="s">
        <v>49</v>
      </c>
      <c r="O337" t="s">
        <v>2162</v>
      </c>
      <c r="P337" t="s">
        <v>205</v>
      </c>
      <c r="Q337" t="s">
        <v>2163</v>
      </c>
      <c r="R337" t="s">
        <v>37</v>
      </c>
      <c r="S337" t="s">
        <v>2164</v>
      </c>
      <c r="T337" t="s">
        <v>55</v>
      </c>
      <c r="U337" t="s">
        <v>56</v>
      </c>
      <c r="V337" t="s">
        <v>56</v>
      </c>
    </row>
    <row r="338" spans="1:22" x14ac:dyDescent="0.3">
      <c r="A338" s="49">
        <v>45602</v>
      </c>
      <c r="B338" t="s">
        <v>457</v>
      </c>
      <c r="C338" t="s">
        <v>458</v>
      </c>
      <c r="D338" t="s">
        <v>173</v>
      </c>
      <c r="E338" t="s">
        <v>1899</v>
      </c>
      <c r="F338" t="s">
        <v>1900</v>
      </c>
      <c r="G338" t="s">
        <v>2165</v>
      </c>
      <c r="H338" t="s">
        <v>28</v>
      </c>
      <c r="I338" t="s">
        <v>2166</v>
      </c>
      <c r="J338" t="s">
        <v>63</v>
      </c>
      <c r="K338" t="s">
        <v>1807</v>
      </c>
      <c r="L338" t="s">
        <v>464</v>
      </c>
      <c r="M338">
        <v>80</v>
      </c>
      <c r="N338" t="s">
        <v>33</v>
      </c>
      <c r="O338" t="s">
        <v>2167</v>
      </c>
      <c r="P338" t="s">
        <v>358</v>
      </c>
      <c r="Q338" t="s">
        <v>2168</v>
      </c>
      <c r="R338" t="s">
        <v>37</v>
      </c>
      <c r="S338" t="s">
        <v>1905</v>
      </c>
      <c r="T338" t="s">
        <v>55</v>
      </c>
      <c r="U338" t="s">
        <v>56</v>
      </c>
      <c r="V338" t="s">
        <v>56</v>
      </c>
    </row>
    <row r="339" spans="1:22" x14ac:dyDescent="0.3">
      <c r="A339" s="49">
        <v>45602</v>
      </c>
      <c r="B339" t="s">
        <v>457</v>
      </c>
      <c r="C339" t="s">
        <v>458</v>
      </c>
      <c r="D339" t="s">
        <v>173</v>
      </c>
      <c r="E339" t="s">
        <v>869</v>
      </c>
      <c r="F339" t="s">
        <v>870</v>
      </c>
      <c r="G339" t="s">
        <v>2169</v>
      </c>
      <c r="H339" t="s">
        <v>28</v>
      </c>
      <c r="I339" t="s">
        <v>2170</v>
      </c>
      <c r="J339" t="s">
        <v>46</v>
      </c>
      <c r="K339" t="s">
        <v>880</v>
      </c>
      <c r="L339" t="s">
        <v>32</v>
      </c>
      <c r="M339">
        <v>15</v>
      </c>
      <c r="N339" t="s">
        <v>33</v>
      </c>
      <c r="O339" t="s">
        <v>2171</v>
      </c>
      <c r="P339" t="s">
        <v>737</v>
      </c>
      <c r="Q339" t="s">
        <v>2172</v>
      </c>
      <c r="R339" t="s">
        <v>37</v>
      </c>
      <c r="S339" t="s">
        <v>2173</v>
      </c>
      <c r="T339" t="s">
        <v>55</v>
      </c>
      <c r="U339" t="s">
        <v>56</v>
      </c>
      <c r="V339" t="s">
        <v>56</v>
      </c>
    </row>
    <row r="340" spans="1:22" x14ac:dyDescent="0.3">
      <c r="A340" s="49">
        <v>45602</v>
      </c>
      <c r="B340" t="s">
        <v>457</v>
      </c>
      <c r="C340" t="s">
        <v>458</v>
      </c>
      <c r="D340" t="s">
        <v>173</v>
      </c>
      <c r="E340" t="s">
        <v>1222</v>
      </c>
      <c r="F340" t="s">
        <v>1223</v>
      </c>
      <c r="G340" t="s">
        <v>1943</v>
      </c>
      <c r="H340" t="s">
        <v>28</v>
      </c>
      <c r="J340" t="s">
        <v>63</v>
      </c>
      <c r="K340" t="s">
        <v>1807</v>
      </c>
      <c r="L340" t="s">
        <v>464</v>
      </c>
      <c r="M340">
        <v>25</v>
      </c>
      <c r="N340" t="s">
        <v>49</v>
      </c>
      <c r="O340" t="s">
        <v>2174</v>
      </c>
      <c r="P340" t="s">
        <v>58</v>
      </c>
      <c r="Q340" t="s">
        <v>2175</v>
      </c>
      <c r="R340" t="s">
        <v>37</v>
      </c>
      <c r="S340" t="s">
        <v>2176</v>
      </c>
      <c r="T340" t="s">
        <v>55</v>
      </c>
      <c r="U340" t="s">
        <v>56</v>
      </c>
      <c r="V340" t="s">
        <v>56</v>
      </c>
    </row>
    <row r="341" spans="1:22" x14ac:dyDescent="0.3">
      <c r="A341" s="49">
        <v>45574</v>
      </c>
      <c r="B341" t="s">
        <v>22</v>
      </c>
      <c r="C341" t="s">
        <v>23</v>
      </c>
      <c r="D341" t="s">
        <v>24</v>
      </c>
      <c r="E341" t="s">
        <v>42</v>
      </c>
      <c r="F341" t="s">
        <v>43</v>
      </c>
      <c r="G341" t="s">
        <v>2121</v>
      </c>
      <c r="H341" t="s">
        <v>28</v>
      </c>
      <c r="I341" t="s">
        <v>2122</v>
      </c>
      <c r="J341" t="s">
        <v>63</v>
      </c>
      <c r="K341" t="s">
        <v>119</v>
      </c>
      <c r="L341" t="s">
        <v>48</v>
      </c>
      <c r="M341">
        <v>100</v>
      </c>
      <c r="N341" t="s">
        <v>49</v>
      </c>
      <c r="O341" t="s">
        <v>2123</v>
      </c>
      <c r="P341" t="s">
        <v>108</v>
      </c>
      <c r="Q341" t="s">
        <v>2124</v>
      </c>
      <c r="R341" t="s">
        <v>53</v>
      </c>
      <c r="S341" t="s">
        <v>2125</v>
      </c>
      <c r="T341" t="s">
        <v>55</v>
      </c>
      <c r="U341" t="s">
        <v>56</v>
      </c>
      <c r="V341" t="s">
        <v>56</v>
      </c>
    </row>
    <row r="342" spans="1:22" x14ac:dyDescent="0.3">
      <c r="A342" s="49">
        <v>45574</v>
      </c>
      <c r="B342" t="s">
        <v>22</v>
      </c>
      <c r="C342" t="s">
        <v>23</v>
      </c>
      <c r="D342" t="s">
        <v>24</v>
      </c>
      <c r="E342" t="s">
        <v>493</v>
      </c>
      <c r="F342" t="s">
        <v>494</v>
      </c>
      <c r="G342" t="s">
        <v>2126</v>
      </c>
      <c r="H342" t="s">
        <v>28</v>
      </c>
      <c r="I342" t="s">
        <v>2127</v>
      </c>
      <c r="J342" t="s">
        <v>46</v>
      </c>
      <c r="K342" t="s">
        <v>47</v>
      </c>
      <c r="L342" t="s">
        <v>48</v>
      </c>
      <c r="M342">
        <v>100</v>
      </c>
      <c r="N342" t="s">
        <v>49</v>
      </c>
      <c r="O342" t="s">
        <v>2128</v>
      </c>
      <c r="P342" t="s">
        <v>58</v>
      </c>
      <c r="Q342" t="s">
        <v>52</v>
      </c>
      <c r="R342" t="s">
        <v>53</v>
      </c>
      <c r="S342" t="s">
        <v>2129</v>
      </c>
      <c r="T342" t="s">
        <v>55</v>
      </c>
      <c r="U342" t="s">
        <v>56</v>
      </c>
      <c r="V342" t="s">
        <v>56</v>
      </c>
    </row>
    <row r="343" spans="1:22" x14ac:dyDescent="0.3">
      <c r="A343" s="49">
        <v>45574</v>
      </c>
      <c r="B343" t="s">
        <v>22</v>
      </c>
      <c r="C343" t="s">
        <v>23</v>
      </c>
      <c r="D343" t="s">
        <v>24</v>
      </c>
      <c r="E343" t="s">
        <v>493</v>
      </c>
      <c r="F343" t="s">
        <v>494</v>
      </c>
      <c r="G343" t="s">
        <v>2126</v>
      </c>
      <c r="H343" t="s">
        <v>28</v>
      </c>
      <c r="I343" t="s">
        <v>2127</v>
      </c>
      <c r="J343" t="s">
        <v>46</v>
      </c>
      <c r="K343" t="s">
        <v>47</v>
      </c>
      <c r="L343" t="s">
        <v>48</v>
      </c>
      <c r="M343">
        <v>100</v>
      </c>
      <c r="N343" t="s">
        <v>49</v>
      </c>
      <c r="O343" t="s">
        <v>2128</v>
      </c>
      <c r="P343" t="s">
        <v>58</v>
      </c>
      <c r="Q343" t="s">
        <v>52</v>
      </c>
      <c r="R343" t="s">
        <v>53</v>
      </c>
      <c r="S343" t="s">
        <v>2129</v>
      </c>
      <c r="T343" t="s">
        <v>55</v>
      </c>
      <c r="U343" t="s">
        <v>56</v>
      </c>
      <c r="V343" t="s">
        <v>56</v>
      </c>
    </row>
    <row r="344" spans="1:22" x14ac:dyDescent="0.3">
      <c r="A344" s="49">
        <v>45574</v>
      </c>
      <c r="B344" t="s">
        <v>22</v>
      </c>
      <c r="C344" t="s">
        <v>23</v>
      </c>
      <c r="D344" t="s">
        <v>24</v>
      </c>
      <c r="E344" t="s">
        <v>1489</v>
      </c>
      <c r="F344" t="s">
        <v>1490</v>
      </c>
      <c r="G344" t="s">
        <v>2130</v>
      </c>
      <c r="H344" t="s">
        <v>89</v>
      </c>
      <c r="J344" t="s">
        <v>63</v>
      </c>
      <c r="K344" t="s">
        <v>1200</v>
      </c>
      <c r="L344" t="s">
        <v>48</v>
      </c>
      <c r="M344">
        <v>100</v>
      </c>
      <c r="N344" t="s">
        <v>49</v>
      </c>
      <c r="O344" t="s">
        <v>2131</v>
      </c>
      <c r="P344" t="s">
        <v>108</v>
      </c>
      <c r="Q344" t="s">
        <v>232</v>
      </c>
      <c r="R344" t="s">
        <v>53</v>
      </c>
      <c r="S344" t="s">
        <v>2132</v>
      </c>
      <c r="T344" t="s">
        <v>55</v>
      </c>
      <c r="U344" t="s">
        <v>56</v>
      </c>
      <c r="V344" t="s">
        <v>56</v>
      </c>
    </row>
    <row r="345" spans="1:22" x14ac:dyDescent="0.3">
      <c r="A345" s="49">
        <v>45574</v>
      </c>
      <c r="B345" t="s">
        <v>22</v>
      </c>
      <c r="C345" t="s">
        <v>23</v>
      </c>
      <c r="D345" t="s">
        <v>24</v>
      </c>
      <c r="E345" t="s">
        <v>80</v>
      </c>
      <c r="F345" t="s">
        <v>81</v>
      </c>
      <c r="G345" t="s">
        <v>2133</v>
      </c>
      <c r="H345" t="s">
        <v>89</v>
      </c>
      <c r="J345" t="s">
        <v>63</v>
      </c>
      <c r="K345" t="s">
        <v>119</v>
      </c>
      <c r="L345" t="s">
        <v>48</v>
      </c>
      <c r="M345">
        <v>100</v>
      </c>
      <c r="N345" t="s">
        <v>49</v>
      </c>
      <c r="O345" t="s">
        <v>2134</v>
      </c>
      <c r="P345" t="s">
        <v>108</v>
      </c>
      <c r="Q345" t="s">
        <v>322</v>
      </c>
      <c r="R345" t="s">
        <v>53</v>
      </c>
      <c r="S345" t="s">
        <v>93</v>
      </c>
      <c r="T345" t="s">
        <v>55</v>
      </c>
      <c r="U345" t="s">
        <v>56</v>
      </c>
      <c r="V345" t="s">
        <v>56</v>
      </c>
    </row>
    <row r="346" spans="1:22" x14ac:dyDescent="0.3">
      <c r="A346" s="49">
        <v>45574</v>
      </c>
      <c r="B346" t="s">
        <v>22</v>
      </c>
      <c r="C346" t="s">
        <v>23</v>
      </c>
      <c r="D346" t="s">
        <v>24</v>
      </c>
      <c r="E346" t="s">
        <v>80</v>
      </c>
      <c r="F346" t="s">
        <v>81</v>
      </c>
      <c r="G346" t="s">
        <v>2133</v>
      </c>
      <c r="H346" t="s">
        <v>89</v>
      </c>
      <c r="J346" t="s">
        <v>63</v>
      </c>
      <c r="K346" t="s">
        <v>119</v>
      </c>
      <c r="L346" t="s">
        <v>48</v>
      </c>
      <c r="M346">
        <v>33</v>
      </c>
      <c r="N346" t="s">
        <v>49</v>
      </c>
      <c r="O346" t="s">
        <v>2134</v>
      </c>
      <c r="P346" t="s">
        <v>108</v>
      </c>
      <c r="Q346" t="s">
        <v>322</v>
      </c>
      <c r="R346" t="s">
        <v>53</v>
      </c>
      <c r="S346" t="s">
        <v>93</v>
      </c>
      <c r="T346" t="s">
        <v>55</v>
      </c>
      <c r="U346" t="s">
        <v>56</v>
      </c>
      <c r="V346" t="s">
        <v>56</v>
      </c>
    </row>
    <row r="347" spans="1:22" x14ac:dyDescent="0.3">
      <c r="A347" s="49">
        <v>45574</v>
      </c>
      <c r="B347" t="s">
        <v>22</v>
      </c>
      <c r="C347" t="s">
        <v>23</v>
      </c>
      <c r="D347" t="s">
        <v>173</v>
      </c>
      <c r="E347" t="s">
        <v>2135</v>
      </c>
      <c r="F347" t="s">
        <v>2136</v>
      </c>
      <c r="G347" t="s">
        <v>2137</v>
      </c>
      <c r="H347" t="s">
        <v>89</v>
      </c>
      <c r="J347" t="s">
        <v>63</v>
      </c>
      <c r="K347" t="s">
        <v>119</v>
      </c>
      <c r="L347" t="s">
        <v>48</v>
      </c>
      <c r="M347">
        <v>100</v>
      </c>
      <c r="N347" t="s">
        <v>33</v>
      </c>
      <c r="O347" t="s">
        <v>2138</v>
      </c>
      <c r="P347" t="s">
        <v>358</v>
      </c>
      <c r="Q347" t="s">
        <v>2139</v>
      </c>
      <c r="R347" t="s">
        <v>53</v>
      </c>
      <c r="S347" t="s">
        <v>2140</v>
      </c>
      <c r="T347" t="s">
        <v>39</v>
      </c>
      <c r="U347" t="s">
        <v>40</v>
      </c>
      <c r="V347" t="s">
        <v>41</v>
      </c>
    </row>
    <row r="348" spans="1:22" x14ac:dyDescent="0.3">
      <c r="A348" s="49">
        <v>45574</v>
      </c>
      <c r="B348" t="s">
        <v>22</v>
      </c>
      <c r="C348" t="s">
        <v>23</v>
      </c>
      <c r="D348" t="s">
        <v>24</v>
      </c>
      <c r="E348" t="s">
        <v>2141</v>
      </c>
      <c r="F348" t="s">
        <v>2142</v>
      </c>
      <c r="G348" t="s">
        <v>2143</v>
      </c>
      <c r="H348" t="s">
        <v>28</v>
      </c>
      <c r="I348" t="s">
        <v>2144</v>
      </c>
      <c r="J348" t="s">
        <v>63</v>
      </c>
      <c r="K348" t="s">
        <v>119</v>
      </c>
      <c r="L348" t="s">
        <v>48</v>
      </c>
      <c r="M348">
        <v>100</v>
      </c>
      <c r="N348" t="s">
        <v>49</v>
      </c>
      <c r="O348" t="s">
        <v>2145</v>
      </c>
      <c r="P348" t="s">
        <v>66</v>
      </c>
      <c r="Q348" t="s">
        <v>2146</v>
      </c>
      <c r="R348" t="s">
        <v>53</v>
      </c>
      <c r="S348" t="s">
        <v>2147</v>
      </c>
      <c r="T348" t="s">
        <v>55</v>
      </c>
      <c r="U348" t="s">
        <v>56</v>
      </c>
      <c r="V348" t="s">
        <v>56</v>
      </c>
    </row>
    <row r="349" spans="1:22" x14ac:dyDescent="0.3">
      <c r="A349" s="49">
        <v>45574</v>
      </c>
      <c r="B349" t="s">
        <v>22</v>
      </c>
      <c r="C349" t="s">
        <v>23</v>
      </c>
      <c r="D349" t="s">
        <v>24</v>
      </c>
      <c r="E349" t="s">
        <v>2006</v>
      </c>
      <c r="F349" t="s">
        <v>1137</v>
      </c>
      <c r="G349" t="s">
        <v>2148</v>
      </c>
      <c r="H349" t="s">
        <v>89</v>
      </c>
      <c r="J349" t="s">
        <v>63</v>
      </c>
      <c r="K349" t="s">
        <v>119</v>
      </c>
      <c r="L349" t="s">
        <v>48</v>
      </c>
      <c r="M349">
        <v>100</v>
      </c>
      <c r="N349" t="s">
        <v>33</v>
      </c>
      <c r="O349" t="s">
        <v>2149</v>
      </c>
      <c r="P349" t="s">
        <v>106</v>
      </c>
      <c r="Q349" t="s">
        <v>1606</v>
      </c>
      <c r="R349" t="s">
        <v>53</v>
      </c>
      <c r="S349" t="s">
        <v>1363</v>
      </c>
      <c r="T349" t="s">
        <v>55</v>
      </c>
      <c r="U349" t="s">
        <v>56</v>
      </c>
      <c r="V349" t="s">
        <v>56</v>
      </c>
    </row>
    <row r="350" spans="1:22" x14ac:dyDescent="0.3">
      <c r="A350" s="49">
        <v>45574</v>
      </c>
      <c r="B350" t="s">
        <v>22</v>
      </c>
      <c r="C350" t="s">
        <v>23</v>
      </c>
      <c r="D350" t="s">
        <v>24</v>
      </c>
      <c r="E350" t="s">
        <v>2150</v>
      </c>
      <c r="F350" t="s">
        <v>2151</v>
      </c>
      <c r="G350" t="s">
        <v>2152</v>
      </c>
      <c r="H350" t="s">
        <v>89</v>
      </c>
      <c r="J350" t="s">
        <v>63</v>
      </c>
      <c r="K350" t="s">
        <v>119</v>
      </c>
      <c r="L350" t="s">
        <v>48</v>
      </c>
      <c r="M350">
        <v>100</v>
      </c>
      <c r="N350" t="s">
        <v>49</v>
      </c>
      <c r="O350" t="s">
        <v>2153</v>
      </c>
      <c r="P350" t="s">
        <v>108</v>
      </c>
      <c r="Q350" t="s">
        <v>1117</v>
      </c>
      <c r="R350" t="s">
        <v>53</v>
      </c>
      <c r="S350" t="s">
        <v>2154</v>
      </c>
      <c r="T350" t="s">
        <v>55</v>
      </c>
      <c r="U350" t="s">
        <v>56</v>
      </c>
      <c r="V350" t="s">
        <v>56</v>
      </c>
    </row>
    <row r="351" spans="1:22" x14ac:dyDescent="0.3">
      <c r="A351" s="49">
        <v>45574</v>
      </c>
      <c r="B351" t="s">
        <v>22</v>
      </c>
      <c r="C351" t="s">
        <v>23</v>
      </c>
      <c r="D351" t="s">
        <v>24</v>
      </c>
      <c r="E351" t="s">
        <v>2155</v>
      </c>
      <c r="F351" t="s">
        <v>2156</v>
      </c>
      <c r="G351" t="s">
        <v>2157</v>
      </c>
      <c r="H351" t="s">
        <v>89</v>
      </c>
      <c r="J351" t="s">
        <v>46</v>
      </c>
      <c r="K351" t="s">
        <v>1166</v>
      </c>
      <c r="L351" t="s">
        <v>453</v>
      </c>
      <c r="M351">
        <v>100</v>
      </c>
      <c r="N351" t="s">
        <v>49</v>
      </c>
      <c r="O351" t="s">
        <v>2158</v>
      </c>
      <c r="P351" t="s">
        <v>106</v>
      </c>
      <c r="Q351" t="s">
        <v>2159</v>
      </c>
      <c r="R351" t="s">
        <v>53</v>
      </c>
      <c r="S351" t="s">
        <v>2155</v>
      </c>
      <c r="T351" t="s">
        <v>55</v>
      </c>
      <c r="U351" t="s">
        <v>56</v>
      </c>
      <c r="V351" t="s">
        <v>56</v>
      </c>
    </row>
    <row r="352" spans="1:22" x14ac:dyDescent="0.3">
      <c r="A352" s="49">
        <v>45567</v>
      </c>
      <c r="B352" t="s">
        <v>606</v>
      </c>
      <c r="C352" t="s">
        <v>607</v>
      </c>
      <c r="D352" t="s">
        <v>24</v>
      </c>
      <c r="E352" t="s">
        <v>2090</v>
      </c>
      <c r="F352" t="s">
        <v>2091</v>
      </c>
      <c r="G352" t="s">
        <v>2092</v>
      </c>
      <c r="H352" t="s">
        <v>28</v>
      </c>
      <c r="I352" t="s">
        <v>2093</v>
      </c>
      <c r="J352" t="s">
        <v>63</v>
      </c>
      <c r="K352" t="s">
        <v>64</v>
      </c>
      <c r="L352" t="s">
        <v>32</v>
      </c>
      <c r="M352">
        <v>100</v>
      </c>
      <c r="N352" t="s">
        <v>49</v>
      </c>
      <c r="O352" t="s">
        <v>2094</v>
      </c>
      <c r="P352" t="s">
        <v>686</v>
      </c>
      <c r="Q352" t="s">
        <v>2095</v>
      </c>
      <c r="R352" t="s">
        <v>37</v>
      </c>
      <c r="S352" t="s">
        <v>2096</v>
      </c>
      <c r="T352" t="s">
        <v>55</v>
      </c>
      <c r="U352" t="s">
        <v>56</v>
      </c>
      <c r="V352" t="s">
        <v>56</v>
      </c>
    </row>
    <row r="353" spans="1:22" x14ac:dyDescent="0.3">
      <c r="A353" s="49">
        <v>45567</v>
      </c>
      <c r="B353" t="s">
        <v>606</v>
      </c>
      <c r="C353" t="s">
        <v>607</v>
      </c>
      <c r="D353" t="s">
        <v>24</v>
      </c>
      <c r="E353" t="s">
        <v>2090</v>
      </c>
      <c r="F353" t="s">
        <v>2091</v>
      </c>
      <c r="G353" t="s">
        <v>2092</v>
      </c>
      <c r="H353" t="s">
        <v>28</v>
      </c>
      <c r="I353" t="s">
        <v>2093</v>
      </c>
      <c r="J353" t="s">
        <v>63</v>
      </c>
      <c r="K353" t="s">
        <v>64</v>
      </c>
      <c r="L353" t="s">
        <v>32</v>
      </c>
      <c r="M353">
        <v>100</v>
      </c>
      <c r="N353" t="s">
        <v>49</v>
      </c>
      <c r="O353" t="s">
        <v>2094</v>
      </c>
      <c r="P353" t="s">
        <v>686</v>
      </c>
      <c r="Q353" t="s">
        <v>2095</v>
      </c>
      <c r="R353" t="s">
        <v>37</v>
      </c>
      <c r="S353" t="s">
        <v>2096</v>
      </c>
      <c r="T353" t="s">
        <v>55</v>
      </c>
      <c r="U353" t="s">
        <v>56</v>
      </c>
      <c r="V353" t="s">
        <v>56</v>
      </c>
    </row>
    <row r="354" spans="1:22" x14ac:dyDescent="0.3">
      <c r="A354" s="49">
        <v>45567</v>
      </c>
      <c r="B354" t="s">
        <v>606</v>
      </c>
      <c r="C354" t="s">
        <v>607</v>
      </c>
      <c r="D354" t="s">
        <v>24</v>
      </c>
      <c r="E354" t="s">
        <v>1258</v>
      </c>
      <c r="F354" t="s">
        <v>1259</v>
      </c>
      <c r="G354" t="s">
        <v>2097</v>
      </c>
      <c r="H354" t="s">
        <v>89</v>
      </c>
      <c r="J354" t="s">
        <v>46</v>
      </c>
      <c r="K354" t="s">
        <v>481</v>
      </c>
      <c r="L354" t="s">
        <v>564</v>
      </c>
      <c r="M354">
        <v>100</v>
      </c>
      <c r="N354" t="s">
        <v>49</v>
      </c>
      <c r="O354" t="s">
        <v>2098</v>
      </c>
      <c r="P354" t="s">
        <v>108</v>
      </c>
      <c r="Q354" t="s">
        <v>447</v>
      </c>
      <c r="R354" t="s">
        <v>37</v>
      </c>
      <c r="S354" t="s">
        <v>2099</v>
      </c>
      <c r="T354" t="s">
        <v>55</v>
      </c>
      <c r="U354" t="s">
        <v>56</v>
      </c>
      <c r="V354" t="s">
        <v>56</v>
      </c>
    </row>
    <row r="355" spans="1:22" x14ac:dyDescent="0.3">
      <c r="A355" s="49">
        <v>45567</v>
      </c>
      <c r="B355" t="s">
        <v>606</v>
      </c>
      <c r="C355" t="s">
        <v>607</v>
      </c>
      <c r="D355" t="s">
        <v>24</v>
      </c>
      <c r="E355" t="s">
        <v>2100</v>
      </c>
      <c r="F355" t="s">
        <v>2101</v>
      </c>
      <c r="G355" t="s">
        <v>2102</v>
      </c>
      <c r="H355" t="s">
        <v>28</v>
      </c>
      <c r="I355" t="s">
        <v>2103</v>
      </c>
      <c r="J355" t="s">
        <v>63</v>
      </c>
      <c r="K355" t="s">
        <v>256</v>
      </c>
      <c r="L355" t="s">
        <v>32</v>
      </c>
      <c r="M355">
        <v>100</v>
      </c>
      <c r="N355" t="s">
        <v>49</v>
      </c>
      <c r="O355" t="s">
        <v>2104</v>
      </c>
      <c r="P355" t="s">
        <v>108</v>
      </c>
      <c r="Q355" t="s">
        <v>258</v>
      </c>
      <c r="R355" t="s">
        <v>37</v>
      </c>
      <c r="S355" t="s">
        <v>2105</v>
      </c>
      <c r="T355" t="s">
        <v>55</v>
      </c>
      <c r="U355" t="s">
        <v>56</v>
      </c>
      <c r="V355" t="s">
        <v>56</v>
      </c>
    </row>
    <row r="356" spans="1:22" x14ac:dyDescent="0.3">
      <c r="A356" s="49">
        <v>45567</v>
      </c>
      <c r="B356" t="s">
        <v>606</v>
      </c>
      <c r="C356" t="s">
        <v>607</v>
      </c>
      <c r="D356" t="s">
        <v>24</v>
      </c>
      <c r="E356" t="s">
        <v>862</v>
      </c>
      <c r="F356" t="s">
        <v>863</v>
      </c>
      <c r="G356" t="s">
        <v>2106</v>
      </c>
      <c r="H356" t="s">
        <v>28</v>
      </c>
      <c r="I356" t="s">
        <v>2107</v>
      </c>
      <c r="J356" t="s">
        <v>63</v>
      </c>
      <c r="K356" t="s">
        <v>64</v>
      </c>
      <c r="L356" t="s">
        <v>32</v>
      </c>
      <c r="M356">
        <v>100</v>
      </c>
      <c r="N356" t="s">
        <v>49</v>
      </c>
      <c r="O356" t="s">
        <v>2108</v>
      </c>
      <c r="P356" t="s">
        <v>873</v>
      </c>
      <c r="Q356" t="s">
        <v>2109</v>
      </c>
      <c r="R356" t="s">
        <v>37</v>
      </c>
      <c r="S356" t="s">
        <v>2110</v>
      </c>
      <c r="T356" t="s">
        <v>39</v>
      </c>
      <c r="U356" t="s">
        <v>40</v>
      </c>
      <c r="V356" t="s">
        <v>41</v>
      </c>
    </row>
    <row r="357" spans="1:22" x14ac:dyDescent="0.3">
      <c r="A357" s="49">
        <v>45567</v>
      </c>
      <c r="B357" t="s">
        <v>606</v>
      </c>
      <c r="C357" t="s">
        <v>607</v>
      </c>
      <c r="D357" t="s">
        <v>24</v>
      </c>
      <c r="E357" t="s">
        <v>862</v>
      </c>
      <c r="F357" t="s">
        <v>863</v>
      </c>
      <c r="G357" t="s">
        <v>2106</v>
      </c>
      <c r="H357" t="s">
        <v>28</v>
      </c>
      <c r="I357" t="s">
        <v>2107</v>
      </c>
      <c r="J357" t="s">
        <v>63</v>
      </c>
      <c r="K357" t="s">
        <v>64</v>
      </c>
      <c r="L357" t="s">
        <v>32</v>
      </c>
      <c r="M357">
        <v>100</v>
      </c>
      <c r="N357" t="s">
        <v>49</v>
      </c>
      <c r="O357" t="s">
        <v>2108</v>
      </c>
      <c r="P357" t="s">
        <v>873</v>
      </c>
      <c r="Q357" t="s">
        <v>2109</v>
      </c>
      <c r="R357" t="s">
        <v>37</v>
      </c>
      <c r="S357" t="s">
        <v>2110</v>
      </c>
      <c r="T357" t="s">
        <v>39</v>
      </c>
      <c r="U357" t="s">
        <v>40</v>
      </c>
      <c r="V357" t="s">
        <v>41</v>
      </c>
    </row>
    <row r="358" spans="1:22" x14ac:dyDescent="0.3">
      <c r="A358" s="49">
        <v>45567</v>
      </c>
      <c r="B358" t="s">
        <v>606</v>
      </c>
      <c r="C358" t="s">
        <v>607</v>
      </c>
      <c r="D358" t="s">
        <v>24</v>
      </c>
      <c r="E358" t="s">
        <v>862</v>
      </c>
      <c r="F358" t="s">
        <v>863</v>
      </c>
      <c r="G358" t="s">
        <v>2106</v>
      </c>
      <c r="H358" t="s">
        <v>28</v>
      </c>
      <c r="I358" t="s">
        <v>2107</v>
      </c>
      <c r="J358" t="s">
        <v>63</v>
      </c>
      <c r="K358" t="s">
        <v>64</v>
      </c>
      <c r="L358" t="s">
        <v>32</v>
      </c>
      <c r="M358">
        <v>100</v>
      </c>
      <c r="N358" t="s">
        <v>49</v>
      </c>
      <c r="O358" t="s">
        <v>2108</v>
      </c>
      <c r="P358" t="s">
        <v>873</v>
      </c>
      <c r="Q358" t="s">
        <v>2109</v>
      </c>
      <c r="R358" t="s">
        <v>37</v>
      </c>
      <c r="S358" t="s">
        <v>2110</v>
      </c>
      <c r="T358" t="s">
        <v>39</v>
      </c>
      <c r="U358" t="s">
        <v>40</v>
      </c>
      <c r="V358" t="s">
        <v>41</v>
      </c>
    </row>
    <row r="359" spans="1:22" x14ac:dyDescent="0.3">
      <c r="A359" s="49">
        <v>45567</v>
      </c>
      <c r="B359" t="s">
        <v>606</v>
      </c>
      <c r="C359" t="s">
        <v>607</v>
      </c>
      <c r="D359" t="s">
        <v>24</v>
      </c>
      <c r="E359" t="s">
        <v>2111</v>
      </c>
      <c r="F359" t="s">
        <v>2112</v>
      </c>
      <c r="G359" t="s">
        <v>2113</v>
      </c>
      <c r="H359" t="s">
        <v>28</v>
      </c>
      <c r="I359" t="s">
        <v>2114</v>
      </c>
      <c r="J359" t="s">
        <v>46</v>
      </c>
      <c r="K359" t="s">
        <v>481</v>
      </c>
      <c r="L359" t="s">
        <v>32</v>
      </c>
      <c r="M359">
        <v>100</v>
      </c>
      <c r="N359" t="s">
        <v>49</v>
      </c>
      <c r="O359" t="s">
        <v>2115</v>
      </c>
      <c r="P359" t="s">
        <v>873</v>
      </c>
      <c r="Q359" t="s">
        <v>484</v>
      </c>
      <c r="R359" t="s">
        <v>37</v>
      </c>
      <c r="S359" t="s">
        <v>2116</v>
      </c>
      <c r="T359" t="s">
        <v>39</v>
      </c>
      <c r="U359" t="s">
        <v>40</v>
      </c>
      <c r="V359" t="s">
        <v>41</v>
      </c>
    </row>
    <row r="360" spans="1:22" x14ac:dyDescent="0.3">
      <c r="A360" s="49">
        <v>45567</v>
      </c>
      <c r="B360" t="s">
        <v>606</v>
      </c>
      <c r="C360" t="s">
        <v>607</v>
      </c>
      <c r="D360" t="s">
        <v>24</v>
      </c>
      <c r="E360" t="s">
        <v>2111</v>
      </c>
      <c r="F360" t="s">
        <v>2112</v>
      </c>
      <c r="G360" t="s">
        <v>2113</v>
      </c>
      <c r="H360" t="s">
        <v>28</v>
      </c>
      <c r="I360" t="s">
        <v>2114</v>
      </c>
      <c r="J360" t="s">
        <v>46</v>
      </c>
      <c r="K360" t="s">
        <v>481</v>
      </c>
      <c r="L360" t="s">
        <v>32</v>
      </c>
      <c r="M360">
        <v>100</v>
      </c>
      <c r="N360" t="s">
        <v>49</v>
      </c>
      <c r="O360" t="s">
        <v>2115</v>
      </c>
      <c r="P360" t="s">
        <v>873</v>
      </c>
      <c r="Q360" t="s">
        <v>484</v>
      </c>
      <c r="R360" t="s">
        <v>37</v>
      </c>
      <c r="S360" t="s">
        <v>2116</v>
      </c>
      <c r="T360" t="s">
        <v>39</v>
      </c>
      <c r="U360" t="s">
        <v>40</v>
      </c>
      <c r="V360" t="s">
        <v>41</v>
      </c>
    </row>
    <row r="361" spans="1:22" x14ac:dyDescent="0.3">
      <c r="A361" s="49">
        <v>45567</v>
      </c>
      <c r="B361" t="s">
        <v>606</v>
      </c>
      <c r="C361" t="s">
        <v>607</v>
      </c>
      <c r="D361" t="s">
        <v>24</v>
      </c>
      <c r="E361" t="s">
        <v>938</v>
      </c>
      <c r="F361" t="s">
        <v>939</v>
      </c>
      <c r="G361" t="s">
        <v>2117</v>
      </c>
      <c r="H361" t="s">
        <v>28</v>
      </c>
      <c r="I361" t="s">
        <v>2118</v>
      </c>
      <c r="J361" t="s">
        <v>46</v>
      </c>
      <c r="K361" t="s">
        <v>880</v>
      </c>
      <c r="L361" t="s">
        <v>32</v>
      </c>
      <c r="M361">
        <v>100</v>
      </c>
      <c r="N361" t="s">
        <v>49</v>
      </c>
      <c r="O361" t="s">
        <v>2119</v>
      </c>
      <c r="P361" t="s">
        <v>108</v>
      </c>
      <c r="Q361" t="s">
        <v>1227</v>
      </c>
      <c r="R361" t="s">
        <v>37</v>
      </c>
      <c r="S361" t="s">
        <v>2120</v>
      </c>
      <c r="T361" t="s">
        <v>55</v>
      </c>
      <c r="U361" t="s">
        <v>56</v>
      </c>
      <c r="V361" t="s">
        <v>56</v>
      </c>
    </row>
    <row r="362" spans="1:22" x14ac:dyDescent="0.3">
      <c r="A362" s="49">
        <v>45565</v>
      </c>
      <c r="B362" t="s">
        <v>606</v>
      </c>
      <c r="C362" t="s">
        <v>607</v>
      </c>
      <c r="D362" t="s">
        <v>24</v>
      </c>
      <c r="E362" t="s">
        <v>2043</v>
      </c>
      <c r="F362" t="s">
        <v>2044</v>
      </c>
      <c r="G362" t="s">
        <v>2045</v>
      </c>
      <c r="H362" t="s">
        <v>28</v>
      </c>
      <c r="I362" t="s">
        <v>2046</v>
      </c>
      <c r="J362" t="s">
        <v>46</v>
      </c>
      <c r="K362" t="s">
        <v>481</v>
      </c>
      <c r="L362" t="s">
        <v>32</v>
      </c>
      <c r="M362">
        <v>100</v>
      </c>
      <c r="N362" t="s">
        <v>49</v>
      </c>
      <c r="O362" t="s">
        <v>2047</v>
      </c>
      <c r="P362" t="s">
        <v>85</v>
      </c>
      <c r="Q362" t="s">
        <v>752</v>
      </c>
      <c r="R362" t="s">
        <v>37</v>
      </c>
      <c r="S362" t="s">
        <v>2048</v>
      </c>
      <c r="T362" t="s">
        <v>39</v>
      </c>
      <c r="U362" t="s">
        <v>40</v>
      </c>
      <c r="V362" t="s">
        <v>41</v>
      </c>
    </row>
    <row r="363" spans="1:22" x14ac:dyDescent="0.3">
      <c r="A363" s="49">
        <v>45565</v>
      </c>
      <c r="B363" t="s">
        <v>606</v>
      </c>
      <c r="C363" t="s">
        <v>607</v>
      </c>
      <c r="D363" t="s">
        <v>173</v>
      </c>
      <c r="E363" t="s">
        <v>1892</v>
      </c>
      <c r="F363" t="s">
        <v>1893</v>
      </c>
      <c r="G363" t="s">
        <v>2049</v>
      </c>
      <c r="H363" t="s">
        <v>28</v>
      </c>
      <c r="I363" t="s">
        <v>2050</v>
      </c>
      <c r="J363" t="s">
        <v>63</v>
      </c>
      <c r="K363" t="s">
        <v>64</v>
      </c>
      <c r="L363" t="s">
        <v>32</v>
      </c>
      <c r="M363">
        <v>100</v>
      </c>
      <c r="N363" t="s">
        <v>49</v>
      </c>
      <c r="O363" t="s">
        <v>2051</v>
      </c>
      <c r="P363" t="s">
        <v>2052</v>
      </c>
      <c r="Q363" t="s">
        <v>551</v>
      </c>
      <c r="R363" t="s">
        <v>37</v>
      </c>
      <c r="S363" t="s">
        <v>2053</v>
      </c>
      <c r="T363" t="s">
        <v>55</v>
      </c>
      <c r="U363" t="s">
        <v>56</v>
      </c>
      <c r="V363" t="s">
        <v>56</v>
      </c>
    </row>
    <row r="364" spans="1:22" x14ac:dyDescent="0.3">
      <c r="A364" s="49">
        <v>45565</v>
      </c>
      <c r="B364" t="s">
        <v>606</v>
      </c>
      <c r="C364" t="s">
        <v>607</v>
      </c>
      <c r="D364" t="s">
        <v>173</v>
      </c>
      <c r="E364" t="s">
        <v>1892</v>
      </c>
      <c r="F364" t="s">
        <v>1893</v>
      </c>
      <c r="G364" t="s">
        <v>2049</v>
      </c>
      <c r="H364" t="s">
        <v>28</v>
      </c>
      <c r="I364" t="s">
        <v>2050</v>
      </c>
      <c r="J364" t="s">
        <v>63</v>
      </c>
      <c r="K364" t="s">
        <v>64</v>
      </c>
      <c r="L364" t="s">
        <v>32</v>
      </c>
      <c r="M364">
        <v>100</v>
      </c>
      <c r="N364" t="s">
        <v>49</v>
      </c>
      <c r="O364" t="s">
        <v>2054</v>
      </c>
      <c r="P364" t="s">
        <v>1175</v>
      </c>
      <c r="Q364" t="s">
        <v>551</v>
      </c>
      <c r="R364" t="s">
        <v>37</v>
      </c>
      <c r="S364" t="s">
        <v>2053</v>
      </c>
      <c r="T364" t="s">
        <v>55</v>
      </c>
      <c r="U364" t="s">
        <v>56</v>
      </c>
      <c r="V364" t="s">
        <v>56</v>
      </c>
    </row>
    <row r="365" spans="1:22" x14ac:dyDescent="0.3">
      <c r="A365" s="49">
        <v>45565</v>
      </c>
      <c r="B365" t="s">
        <v>606</v>
      </c>
      <c r="C365" t="s">
        <v>607</v>
      </c>
      <c r="D365" t="s">
        <v>24</v>
      </c>
      <c r="E365" t="s">
        <v>1082</v>
      </c>
      <c r="F365" t="s">
        <v>1083</v>
      </c>
      <c r="G365" t="s">
        <v>2055</v>
      </c>
      <c r="H365" t="s">
        <v>28</v>
      </c>
      <c r="I365" t="s">
        <v>2056</v>
      </c>
      <c r="J365" t="s">
        <v>63</v>
      </c>
      <c r="K365" t="s">
        <v>197</v>
      </c>
      <c r="L365" t="s">
        <v>32</v>
      </c>
      <c r="M365">
        <v>55</v>
      </c>
      <c r="N365" t="s">
        <v>49</v>
      </c>
      <c r="O365" t="s">
        <v>2057</v>
      </c>
      <c r="P365" t="s">
        <v>108</v>
      </c>
      <c r="Q365" t="s">
        <v>551</v>
      </c>
      <c r="R365" t="s">
        <v>37</v>
      </c>
      <c r="S365" t="s">
        <v>1087</v>
      </c>
      <c r="T365" t="s">
        <v>55</v>
      </c>
      <c r="U365" t="s">
        <v>56</v>
      </c>
      <c r="V365" t="s">
        <v>56</v>
      </c>
    </row>
    <row r="366" spans="1:22" x14ac:dyDescent="0.3">
      <c r="A366" s="49">
        <v>45565</v>
      </c>
      <c r="B366" t="s">
        <v>606</v>
      </c>
      <c r="C366" t="s">
        <v>607</v>
      </c>
      <c r="D366" t="s">
        <v>24</v>
      </c>
      <c r="E366" t="s">
        <v>838</v>
      </c>
      <c r="F366" t="s">
        <v>839</v>
      </c>
      <c r="G366" t="s">
        <v>2058</v>
      </c>
      <c r="H366" t="s">
        <v>89</v>
      </c>
      <c r="J366" t="s">
        <v>63</v>
      </c>
      <c r="K366" t="s">
        <v>197</v>
      </c>
      <c r="L366" t="s">
        <v>32</v>
      </c>
      <c r="M366">
        <v>45</v>
      </c>
      <c r="N366" t="s">
        <v>49</v>
      </c>
      <c r="O366" t="s">
        <v>2059</v>
      </c>
      <c r="P366" t="s">
        <v>106</v>
      </c>
      <c r="Q366" t="s">
        <v>499</v>
      </c>
      <c r="R366" t="s">
        <v>37</v>
      </c>
      <c r="S366" t="s">
        <v>843</v>
      </c>
      <c r="T366" t="s">
        <v>55</v>
      </c>
      <c r="U366" t="s">
        <v>56</v>
      </c>
      <c r="V366" t="s">
        <v>56</v>
      </c>
    </row>
    <row r="367" spans="1:22" x14ac:dyDescent="0.3">
      <c r="A367" s="49">
        <v>45565</v>
      </c>
      <c r="B367" t="s">
        <v>606</v>
      </c>
      <c r="C367" t="s">
        <v>607</v>
      </c>
      <c r="D367" t="s">
        <v>173</v>
      </c>
      <c r="E367" t="s">
        <v>838</v>
      </c>
      <c r="F367" t="s">
        <v>839</v>
      </c>
      <c r="G367" t="s">
        <v>1912</v>
      </c>
      <c r="H367" t="s">
        <v>28</v>
      </c>
      <c r="I367" t="s">
        <v>1913</v>
      </c>
      <c r="J367" t="s">
        <v>63</v>
      </c>
      <c r="K367" t="s">
        <v>98</v>
      </c>
      <c r="L367" t="s">
        <v>48</v>
      </c>
      <c r="M367">
        <v>100</v>
      </c>
      <c r="N367" t="s">
        <v>49</v>
      </c>
      <c r="O367" t="s">
        <v>2060</v>
      </c>
      <c r="P367" t="s">
        <v>287</v>
      </c>
      <c r="Q367" t="s">
        <v>929</v>
      </c>
      <c r="R367" t="s">
        <v>53</v>
      </c>
      <c r="S367" t="s">
        <v>843</v>
      </c>
      <c r="T367" t="s">
        <v>55</v>
      </c>
      <c r="U367" t="s">
        <v>56</v>
      </c>
      <c r="V367" t="s">
        <v>56</v>
      </c>
    </row>
    <row r="368" spans="1:22" x14ac:dyDescent="0.3">
      <c r="A368" s="49">
        <v>45565</v>
      </c>
      <c r="B368" t="s">
        <v>606</v>
      </c>
      <c r="C368" t="s">
        <v>607</v>
      </c>
      <c r="D368" t="s">
        <v>24</v>
      </c>
      <c r="E368" t="s">
        <v>2061</v>
      </c>
      <c r="F368" t="s">
        <v>2062</v>
      </c>
      <c r="G368" t="s">
        <v>2063</v>
      </c>
      <c r="H368" t="s">
        <v>28</v>
      </c>
      <c r="I368" t="s">
        <v>2064</v>
      </c>
      <c r="J368" t="s">
        <v>63</v>
      </c>
      <c r="K368" t="s">
        <v>197</v>
      </c>
      <c r="L368" t="s">
        <v>32</v>
      </c>
      <c r="M368">
        <v>100</v>
      </c>
      <c r="N368" t="s">
        <v>49</v>
      </c>
      <c r="O368" t="s">
        <v>2065</v>
      </c>
      <c r="P368" t="s">
        <v>686</v>
      </c>
      <c r="Q368" t="s">
        <v>2066</v>
      </c>
      <c r="R368" t="s">
        <v>37</v>
      </c>
      <c r="S368" t="s">
        <v>2067</v>
      </c>
      <c r="T368" t="s">
        <v>55</v>
      </c>
      <c r="U368" t="s">
        <v>56</v>
      </c>
      <c r="V368" t="s">
        <v>56</v>
      </c>
    </row>
    <row r="369" spans="1:22" x14ac:dyDescent="0.3">
      <c r="A369" s="49">
        <v>45565</v>
      </c>
      <c r="B369" t="s">
        <v>606</v>
      </c>
      <c r="C369" t="s">
        <v>607</v>
      </c>
      <c r="D369" t="s">
        <v>24</v>
      </c>
      <c r="E369" t="s">
        <v>376</v>
      </c>
      <c r="F369" t="s">
        <v>377</v>
      </c>
      <c r="G369" t="s">
        <v>378</v>
      </c>
      <c r="H369" t="s">
        <v>28</v>
      </c>
      <c r="I369" t="s">
        <v>2068</v>
      </c>
      <c r="J369" t="s">
        <v>63</v>
      </c>
      <c r="K369" t="s">
        <v>64</v>
      </c>
      <c r="L369" t="s">
        <v>32</v>
      </c>
      <c r="M369">
        <v>0</v>
      </c>
      <c r="N369" t="s">
        <v>74</v>
      </c>
      <c r="O369" t="s">
        <v>2069</v>
      </c>
      <c r="P369" t="s">
        <v>85</v>
      </c>
      <c r="Q369" t="s">
        <v>499</v>
      </c>
      <c r="R369" t="s">
        <v>37</v>
      </c>
      <c r="S369" t="s">
        <v>879</v>
      </c>
      <c r="T369" t="s">
        <v>39</v>
      </c>
      <c r="U369" t="s">
        <v>40</v>
      </c>
      <c r="V369" t="s">
        <v>41</v>
      </c>
    </row>
    <row r="370" spans="1:22" x14ac:dyDescent="0.3">
      <c r="A370" s="49">
        <v>45565</v>
      </c>
      <c r="B370" t="s">
        <v>606</v>
      </c>
      <c r="C370" t="s">
        <v>607</v>
      </c>
      <c r="D370" t="s">
        <v>24</v>
      </c>
      <c r="E370" t="s">
        <v>1387</v>
      </c>
      <c r="F370" t="s">
        <v>1388</v>
      </c>
      <c r="G370" t="s">
        <v>2070</v>
      </c>
      <c r="H370" t="s">
        <v>89</v>
      </c>
      <c r="J370" t="s">
        <v>63</v>
      </c>
      <c r="K370" t="s">
        <v>197</v>
      </c>
      <c r="L370" t="s">
        <v>32</v>
      </c>
      <c r="M370">
        <v>43</v>
      </c>
      <c r="N370" t="s">
        <v>49</v>
      </c>
      <c r="O370" t="s">
        <v>2071</v>
      </c>
      <c r="P370" t="s">
        <v>344</v>
      </c>
      <c r="Q370" t="s">
        <v>92</v>
      </c>
      <c r="R370" t="s">
        <v>37</v>
      </c>
      <c r="S370" t="s">
        <v>1671</v>
      </c>
      <c r="T370" t="s">
        <v>55</v>
      </c>
      <c r="U370" t="s">
        <v>56</v>
      </c>
      <c r="V370" t="s">
        <v>56</v>
      </c>
    </row>
    <row r="371" spans="1:22" x14ac:dyDescent="0.3">
      <c r="A371" s="49">
        <v>45565</v>
      </c>
      <c r="B371" t="s">
        <v>606</v>
      </c>
      <c r="C371" t="s">
        <v>607</v>
      </c>
      <c r="D371" t="s">
        <v>24</v>
      </c>
      <c r="E371" t="s">
        <v>1155</v>
      </c>
      <c r="F371" t="s">
        <v>1156</v>
      </c>
      <c r="G371" t="s">
        <v>2072</v>
      </c>
      <c r="H371" t="s">
        <v>89</v>
      </c>
      <c r="J371" t="s">
        <v>63</v>
      </c>
      <c r="K371" t="s">
        <v>64</v>
      </c>
      <c r="L371" t="s">
        <v>32</v>
      </c>
      <c r="M371">
        <v>17</v>
      </c>
      <c r="N371" t="s">
        <v>49</v>
      </c>
      <c r="O371" t="s">
        <v>2073</v>
      </c>
      <c r="P371" t="s">
        <v>668</v>
      </c>
      <c r="Q371" t="s">
        <v>2074</v>
      </c>
      <c r="R371" t="s">
        <v>37</v>
      </c>
      <c r="S371" t="s">
        <v>2075</v>
      </c>
      <c r="T371" t="s">
        <v>55</v>
      </c>
      <c r="U371" t="s">
        <v>56</v>
      </c>
      <c r="V371" t="s">
        <v>56</v>
      </c>
    </row>
    <row r="372" spans="1:22" x14ac:dyDescent="0.3">
      <c r="A372" s="49">
        <v>45565</v>
      </c>
      <c r="B372" t="s">
        <v>606</v>
      </c>
      <c r="C372" t="s">
        <v>607</v>
      </c>
      <c r="D372" t="s">
        <v>24</v>
      </c>
      <c r="E372" t="s">
        <v>924</v>
      </c>
      <c r="F372" t="s">
        <v>925</v>
      </c>
      <c r="G372" t="s">
        <v>2076</v>
      </c>
      <c r="H372" t="s">
        <v>28</v>
      </c>
      <c r="I372" t="s">
        <v>2077</v>
      </c>
      <c r="J372" t="s">
        <v>46</v>
      </c>
      <c r="K372" t="s">
        <v>880</v>
      </c>
      <c r="L372" t="s">
        <v>32</v>
      </c>
      <c r="M372">
        <v>80</v>
      </c>
      <c r="N372" t="s">
        <v>33</v>
      </c>
      <c r="O372" t="s">
        <v>2078</v>
      </c>
      <c r="P372" t="s">
        <v>106</v>
      </c>
      <c r="Q372" t="s">
        <v>491</v>
      </c>
      <c r="R372" t="s">
        <v>37</v>
      </c>
      <c r="S372" t="s">
        <v>2079</v>
      </c>
      <c r="T372" t="s">
        <v>55</v>
      </c>
      <c r="U372" t="s">
        <v>56</v>
      </c>
      <c r="V372" t="s">
        <v>56</v>
      </c>
    </row>
    <row r="373" spans="1:22" x14ac:dyDescent="0.3">
      <c r="A373" s="49">
        <v>45565</v>
      </c>
      <c r="B373" t="s">
        <v>606</v>
      </c>
      <c r="C373" t="s">
        <v>607</v>
      </c>
      <c r="D373" t="s">
        <v>173</v>
      </c>
      <c r="E373" t="s">
        <v>434</v>
      </c>
      <c r="F373" t="s">
        <v>435</v>
      </c>
      <c r="G373" t="s">
        <v>2080</v>
      </c>
      <c r="H373" t="s">
        <v>28</v>
      </c>
      <c r="I373" t="s">
        <v>2081</v>
      </c>
      <c r="J373" t="s">
        <v>63</v>
      </c>
      <c r="K373" t="s">
        <v>64</v>
      </c>
      <c r="L373" t="s">
        <v>32</v>
      </c>
      <c r="M373">
        <v>100</v>
      </c>
      <c r="N373" t="s">
        <v>49</v>
      </c>
      <c r="O373" t="s">
        <v>2082</v>
      </c>
      <c r="P373" t="s">
        <v>108</v>
      </c>
      <c r="Q373" t="s">
        <v>666</v>
      </c>
      <c r="R373" t="s">
        <v>37</v>
      </c>
      <c r="S373" t="s">
        <v>2083</v>
      </c>
      <c r="T373" t="s">
        <v>55</v>
      </c>
      <c r="U373" t="s">
        <v>56</v>
      </c>
      <c r="V373" t="s">
        <v>56</v>
      </c>
    </row>
    <row r="374" spans="1:22" x14ac:dyDescent="0.3">
      <c r="A374" s="49">
        <v>45565</v>
      </c>
      <c r="B374" t="s">
        <v>606</v>
      </c>
      <c r="C374" t="s">
        <v>607</v>
      </c>
      <c r="D374" t="s">
        <v>24</v>
      </c>
      <c r="E374" t="s">
        <v>938</v>
      </c>
      <c r="F374" t="s">
        <v>939</v>
      </c>
      <c r="G374" t="s">
        <v>2084</v>
      </c>
      <c r="H374" t="s">
        <v>28</v>
      </c>
      <c r="I374" t="s">
        <v>941</v>
      </c>
      <c r="J374" t="s">
        <v>63</v>
      </c>
      <c r="K374" t="s">
        <v>64</v>
      </c>
      <c r="L374" t="s">
        <v>32</v>
      </c>
      <c r="M374">
        <v>80</v>
      </c>
      <c r="N374" t="s">
        <v>49</v>
      </c>
      <c r="O374" t="s">
        <v>942</v>
      </c>
      <c r="P374" t="s">
        <v>85</v>
      </c>
      <c r="Q374" t="s">
        <v>669</v>
      </c>
      <c r="R374" t="s">
        <v>37</v>
      </c>
      <c r="S374" t="s">
        <v>943</v>
      </c>
      <c r="T374" t="s">
        <v>55</v>
      </c>
      <c r="U374" t="s">
        <v>56</v>
      </c>
      <c r="V374" t="s">
        <v>56</v>
      </c>
    </row>
    <row r="375" spans="1:22" x14ac:dyDescent="0.3">
      <c r="A375" s="49">
        <v>45565</v>
      </c>
      <c r="B375" t="s">
        <v>606</v>
      </c>
      <c r="C375" t="s">
        <v>607</v>
      </c>
      <c r="D375" t="s">
        <v>24</v>
      </c>
      <c r="E375" t="s">
        <v>2085</v>
      </c>
      <c r="F375" t="s">
        <v>786</v>
      </c>
      <c r="G375" t="s">
        <v>2086</v>
      </c>
      <c r="H375" t="s">
        <v>28</v>
      </c>
      <c r="I375" t="s">
        <v>788</v>
      </c>
      <c r="J375" t="s">
        <v>46</v>
      </c>
      <c r="K375" t="s">
        <v>481</v>
      </c>
      <c r="L375" t="s">
        <v>2087</v>
      </c>
      <c r="M375">
        <v>100</v>
      </c>
      <c r="N375" t="s">
        <v>49</v>
      </c>
      <c r="O375" t="s">
        <v>2088</v>
      </c>
      <c r="P375" t="s">
        <v>85</v>
      </c>
      <c r="Q375" t="s">
        <v>792</v>
      </c>
      <c r="R375" t="s">
        <v>37</v>
      </c>
      <c r="S375" t="s">
        <v>2089</v>
      </c>
      <c r="T375" t="s">
        <v>39</v>
      </c>
      <c r="U375" t="s">
        <v>40</v>
      </c>
      <c r="V375" t="s">
        <v>41</v>
      </c>
    </row>
    <row r="376" spans="1:22" x14ac:dyDescent="0.3">
      <c r="A376" s="49">
        <v>45552</v>
      </c>
      <c r="B376" t="s">
        <v>1443</v>
      </c>
      <c r="C376" t="s">
        <v>1444</v>
      </c>
      <c r="D376" t="s">
        <v>173</v>
      </c>
      <c r="E376" t="s">
        <v>459</v>
      </c>
      <c r="F376" t="s">
        <v>460</v>
      </c>
      <c r="G376" t="s">
        <v>1453</v>
      </c>
      <c r="H376" t="s">
        <v>89</v>
      </c>
      <c r="J376" t="s">
        <v>63</v>
      </c>
      <c r="K376" t="s">
        <v>197</v>
      </c>
      <c r="L376" t="s">
        <v>32</v>
      </c>
      <c r="M376">
        <v>100</v>
      </c>
      <c r="N376" t="s">
        <v>33</v>
      </c>
      <c r="O376" t="s">
        <v>1921</v>
      </c>
      <c r="P376" t="s">
        <v>66</v>
      </c>
      <c r="Q376" t="s">
        <v>1922</v>
      </c>
      <c r="R376" t="s">
        <v>37</v>
      </c>
      <c r="S376" t="s">
        <v>970</v>
      </c>
      <c r="T376" t="s">
        <v>39</v>
      </c>
      <c r="U376" t="s">
        <v>40</v>
      </c>
      <c r="V376" t="s">
        <v>41</v>
      </c>
    </row>
    <row r="377" spans="1:22" x14ac:dyDescent="0.3">
      <c r="A377" s="49">
        <v>45552</v>
      </c>
      <c r="B377" t="s">
        <v>1443</v>
      </c>
      <c r="C377" t="s">
        <v>1444</v>
      </c>
      <c r="D377" t="s">
        <v>173</v>
      </c>
      <c r="E377" t="s">
        <v>459</v>
      </c>
      <c r="F377" t="s">
        <v>460</v>
      </c>
      <c r="G377" t="s">
        <v>1453</v>
      </c>
      <c r="H377" t="s">
        <v>89</v>
      </c>
      <c r="J377" t="s">
        <v>63</v>
      </c>
      <c r="K377" t="s">
        <v>197</v>
      </c>
      <c r="L377" t="s">
        <v>32</v>
      </c>
      <c r="M377">
        <v>100</v>
      </c>
      <c r="N377" t="s">
        <v>33</v>
      </c>
      <c r="O377" t="s">
        <v>1923</v>
      </c>
      <c r="P377" t="s">
        <v>358</v>
      </c>
      <c r="Q377" t="s">
        <v>1924</v>
      </c>
      <c r="R377" t="s">
        <v>37</v>
      </c>
      <c r="S377" t="s">
        <v>970</v>
      </c>
      <c r="T377" t="s">
        <v>39</v>
      </c>
      <c r="U377" t="s">
        <v>40</v>
      </c>
      <c r="V377" t="s">
        <v>41</v>
      </c>
    </row>
    <row r="378" spans="1:22" x14ac:dyDescent="0.3">
      <c r="A378" s="49">
        <v>45552</v>
      </c>
      <c r="B378" t="s">
        <v>1443</v>
      </c>
      <c r="C378" t="s">
        <v>1444</v>
      </c>
      <c r="D378" t="s">
        <v>24</v>
      </c>
      <c r="E378" t="s">
        <v>459</v>
      </c>
      <c r="F378" t="s">
        <v>460</v>
      </c>
      <c r="G378" t="s">
        <v>1925</v>
      </c>
      <c r="H378" t="s">
        <v>28</v>
      </c>
      <c r="I378" t="s">
        <v>1926</v>
      </c>
      <c r="J378" t="s">
        <v>63</v>
      </c>
      <c r="K378" t="s">
        <v>197</v>
      </c>
      <c r="L378" t="s">
        <v>32</v>
      </c>
      <c r="M378">
        <v>100</v>
      </c>
      <c r="N378" t="s">
        <v>49</v>
      </c>
      <c r="O378" t="s">
        <v>1927</v>
      </c>
      <c r="P378" t="s">
        <v>205</v>
      </c>
      <c r="Q378" t="s">
        <v>1928</v>
      </c>
      <c r="R378" t="s">
        <v>37</v>
      </c>
      <c r="S378" t="s">
        <v>1929</v>
      </c>
      <c r="T378" t="s">
        <v>55</v>
      </c>
      <c r="U378" t="s">
        <v>56</v>
      </c>
      <c r="V378" t="s">
        <v>56</v>
      </c>
    </row>
    <row r="379" spans="1:22" x14ac:dyDescent="0.3">
      <c r="A379" s="49">
        <v>45552</v>
      </c>
      <c r="B379" t="s">
        <v>1443</v>
      </c>
      <c r="C379" t="s">
        <v>1444</v>
      </c>
      <c r="D379" t="s">
        <v>24</v>
      </c>
      <c r="E379" t="s">
        <v>459</v>
      </c>
      <c r="F379" t="s">
        <v>460</v>
      </c>
      <c r="G379" t="s">
        <v>1930</v>
      </c>
      <c r="H379" t="s">
        <v>89</v>
      </c>
      <c r="J379" t="s">
        <v>63</v>
      </c>
      <c r="K379" t="s">
        <v>98</v>
      </c>
      <c r="L379" t="s">
        <v>48</v>
      </c>
      <c r="M379">
        <v>100</v>
      </c>
      <c r="N379" t="s">
        <v>33</v>
      </c>
      <c r="O379" t="s">
        <v>1923</v>
      </c>
      <c r="P379" t="s">
        <v>358</v>
      </c>
      <c r="Q379" t="s">
        <v>1910</v>
      </c>
      <c r="R379" t="s">
        <v>53</v>
      </c>
      <c r="S379" t="s">
        <v>1931</v>
      </c>
      <c r="T379" t="s">
        <v>39</v>
      </c>
      <c r="U379" t="s">
        <v>40</v>
      </c>
      <c r="V379" t="s">
        <v>41</v>
      </c>
    </row>
    <row r="380" spans="1:22" x14ac:dyDescent="0.3">
      <c r="A380" s="49">
        <v>45552</v>
      </c>
      <c r="B380" t="s">
        <v>1443</v>
      </c>
      <c r="C380" t="s">
        <v>1444</v>
      </c>
      <c r="D380" t="s">
        <v>173</v>
      </c>
      <c r="E380" t="s">
        <v>1932</v>
      </c>
      <c r="F380" t="s">
        <v>1933</v>
      </c>
      <c r="G380" t="s">
        <v>1934</v>
      </c>
      <c r="H380" t="s">
        <v>28</v>
      </c>
      <c r="I380" t="s">
        <v>1935</v>
      </c>
      <c r="J380" t="s">
        <v>63</v>
      </c>
      <c r="K380" t="s">
        <v>414</v>
      </c>
      <c r="L380" t="s">
        <v>32</v>
      </c>
      <c r="M380">
        <v>100</v>
      </c>
      <c r="N380" t="s">
        <v>49</v>
      </c>
      <c r="O380" t="s">
        <v>1936</v>
      </c>
      <c r="P380" t="s">
        <v>743</v>
      </c>
      <c r="Q380" t="s">
        <v>1937</v>
      </c>
      <c r="R380" t="s">
        <v>37</v>
      </c>
      <c r="S380" t="s">
        <v>1938</v>
      </c>
      <c r="T380" t="s">
        <v>1762</v>
      </c>
      <c r="U380" t="s">
        <v>1763</v>
      </c>
      <c r="V380" t="s">
        <v>56</v>
      </c>
    </row>
    <row r="381" spans="1:22" x14ac:dyDescent="0.3">
      <c r="A381" s="49">
        <v>45552</v>
      </c>
      <c r="B381" t="s">
        <v>1443</v>
      </c>
      <c r="C381" t="s">
        <v>1444</v>
      </c>
      <c r="D381" t="s">
        <v>173</v>
      </c>
      <c r="E381" t="s">
        <v>1932</v>
      </c>
      <c r="F381" t="s">
        <v>1933</v>
      </c>
      <c r="G381" t="s">
        <v>1934</v>
      </c>
      <c r="H381" t="s">
        <v>28</v>
      </c>
      <c r="I381" t="s">
        <v>1935</v>
      </c>
      <c r="J381" t="s">
        <v>63</v>
      </c>
      <c r="K381" t="s">
        <v>414</v>
      </c>
      <c r="L381" t="s">
        <v>32</v>
      </c>
      <c r="M381">
        <v>100</v>
      </c>
      <c r="N381" t="s">
        <v>49</v>
      </c>
      <c r="O381" t="s">
        <v>1936</v>
      </c>
      <c r="P381" t="s">
        <v>743</v>
      </c>
      <c r="Q381" t="s">
        <v>1937</v>
      </c>
      <c r="R381" t="s">
        <v>37</v>
      </c>
      <c r="S381" t="s">
        <v>1938</v>
      </c>
      <c r="T381" t="s">
        <v>1762</v>
      </c>
      <c r="U381" t="s">
        <v>1763</v>
      </c>
      <c r="V381" t="s">
        <v>56</v>
      </c>
    </row>
    <row r="382" spans="1:22" x14ac:dyDescent="0.3">
      <c r="A382" s="49">
        <v>45552</v>
      </c>
      <c r="B382" t="s">
        <v>1443</v>
      </c>
      <c r="C382" t="s">
        <v>1444</v>
      </c>
      <c r="D382" t="s">
        <v>173</v>
      </c>
      <c r="E382" t="s">
        <v>671</v>
      </c>
      <c r="F382" t="s">
        <v>672</v>
      </c>
      <c r="G382" t="s">
        <v>1939</v>
      </c>
      <c r="H382" t="s">
        <v>89</v>
      </c>
      <c r="J382" t="s">
        <v>63</v>
      </c>
      <c r="K382" t="s">
        <v>256</v>
      </c>
      <c r="L382" t="s">
        <v>32</v>
      </c>
      <c r="M382">
        <v>85</v>
      </c>
      <c r="N382" t="s">
        <v>49</v>
      </c>
      <c r="O382" t="s">
        <v>1940</v>
      </c>
      <c r="P382" t="s">
        <v>163</v>
      </c>
      <c r="Q382" t="s">
        <v>1941</v>
      </c>
      <c r="R382" t="s">
        <v>37</v>
      </c>
      <c r="S382" t="s">
        <v>1942</v>
      </c>
      <c r="T382" t="s">
        <v>39</v>
      </c>
      <c r="U382" t="s">
        <v>40</v>
      </c>
      <c r="V382" t="s">
        <v>41</v>
      </c>
    </row>
    <row r="383" spans="1:22" x14ac:dyDescent="0.3">
      <c r="A383" s="49">
        <v>45552</v>
      </c>
      <c r="B383" t="s">
        <v>1443</v>
      </c>
      <c r="C383" t="s">
        <v>1444</v>
      </c>
      <c r="D383" t="s">
        <v>24</v>
      </c>
      <c r="E383" t="s">
        <v>1258</v>
      </c>
      <c r="F383" t="s">
        <v>1259</v>
      </c>
      <c r="G383" t="s">
        <v>1943</v>
      </c>
      <c r="H383" t="s">
        <v>28</v>
      </c>
      <c r="I383" t="s">
        <v>1944</v>
      </c>
      <c r="J383" t="s">
        <v>63</v>
      </c>
      <c r="K383" t="s">
        <v>64</v>
      </c>
      <c r="L383" t="s">
        <v>32</v>
      </c>
      <c r="M383">
        <v>100</v>
      </c>
      <c r="N383" t="s">
        <v>49</v>
      </c>
      <c r="O383" t="s">
        <v>1945</v>
      </c>
      <c r="P383" t="s">
        <v>108</v>
      </c>
      <c r="Q383" t="s">
        <v>514</v>
      </c>
      <c r="R383" t="s">
        <v>37</v>
      </c>
      <c r="S383" t="s">
        <v>1946</v>
      </c>
      <c r="T383" t="s">
        <v>55</v>
      </c>
      <c r="U383" t="s">
        <v>56</v>
      </c>
      <c r="V383" t="s">
        <v>56</v>
      </c>
    </row>
    <row r="384" spans="1:22" x14ac:dyDescent="0.3">
      <c r="A384" s="49">
        <v>45552</v>
      </c>
      <c r="B384" t="s">
        <v>1443</v>
      </c>
      <c r="C384" t="s">
        <v>1444</v>
      </c>
      <c r="D384" t="s">
        <v>24</v>
      </c>
      <c r="E384" t="s">
        <v>1482</v>
      </c>
      <c r="F384" t="s">
        <v>1483</v>
      </c>
      <c r="G384" t="s">
        <v>1820</v>
      </c>
      <c r="H384" t="s">
        <v>28</v>
      </c>
      <c r="I384" t="s">
        <v>1947</v>
      </c>
      <c r="J384" t="s">
        <v>63</v>
      </c>
      <c r="K384" t="s">
        <v>64</v>
      </c>
      <c r="L384" t="s">
        <v>32</v>
      </c>
      <c r="M384">
        <v>73</v>
      </c>
      <c r="N384" t="s">
        <v>33</v>
      </c>
      <c r="O384" t="s">
        <v>1948</v>
      </c>
      <c r="P384" t="s">
        <v>51</v>
      </c>
      <c r="Q384" t="s">
        <v>1949</v>
      </c>
      <c r="R384" t="s">
        <v>37</v>
      </c>
      <c r="S384" t="s">
        <v>1950</v>
      </c>
      <c r="T384" t="s">
        <v>55</v>
      </c>
      <c r="U384" t="s">
        <v>56</v>
      </c>
      <c r="V384" t="s">
        <v>56</v>
      </c>
    </row>
    <row r="385" spans="1:22" x14ac:dyDescent="0.3">
      <c r="A385" s="49">
        <v>45552</v>
      </c>
      <c r="B385" t="s">
        <v>1443</v>
      </c>
      <c r="C385" t="s">
        <v>1444</v>
      </c>
      <c r="D385" t="s">
        <v>173</v>
      </c>
      <c r="E385" t="s">
        <v>109</v>
      </c>
      <c r="F385" t="s">
        <v>110</v>
      </c>
      <c r="G385" t="s">
        <v>1951</v>
      </c>
      <c r="H385" t="s">
        <v>28</v>
      </c>
      <c r="I385" t="s">
        <v>1512</v>
      </c>
      <c r="J385" t="s">
        <v>63</v>
      </c>
      <c r="K385" t="s">
        <v>1952</v>
      </c>
      <c r="L385" t="s">
        <v>48</v>
      </c>
      <c r="M385">
        <v>65</v>
      </c>
      <c r="N385" t="s">
        <v>33</v>
      </c>
      <c r="O385" t="s">
        <v>1953</v>
      </c>
      <c r="P385" t="s">
        <v>1644</v>
      </c>
      <c r="Q385" t="s">
        <v>1954</v>
      </c>
      <c r="R385" t="s">
        <v>53</v>
      </c>
      <c r="S385" t="s">
        <v>115</v>
      </c>
      <c r="T385" t="s">
        <v>39</v>
      </c>
      <c r="U385" t="s">
        <v>40</v>
      </c>
      <c r="V385" t="s">
        <v>41</v>
      </c>
    </row>
    <row r="386" spans="1:22" x14ac:dyDescent="0.3">
      <c r="A386" s="49">
        <v>45552</v>
      </c>
      <c r="B386" t="s">
        <v>1443</v>
      </c>
      <c r="C386" t="s">
        <v>1444</v>
      </c>
      <c r="D386" t="s">
        <v>24</v>
      </c>
      <c r="E386" t="s">
        <v>1543</v>
      </c>
      <c r="F386" t="s">
        <v>1544</v>
      </c>
      <c r="G386" t="s">
        <v>1955</v>
      </c>
      <c r="H386" t="s">
        <v>89</v>
      </c>
      <c r="J386" t="s">
        <v>30</v>
      </c>
      <c r="K386" t="s">
        <v>274</v>
      </c>
      <c r="L386" t="s">
        <v>1859</v>
      </c>
      <c r="M386">
        <v>10</v>
      </c>
      <c r="N386" t="s">
        <v>33</v>
      </c>
      <c r="O386" t="s">
        <v>1956</v>
      </c>
      <c r="P386" t="s">
        <v>878</v>
      </c>
      <c r="Q386" t="s">
        <v>1606</v>
      </c>
      <c r="R386" t="s">
        <v>53</v>
      </c>
      <c r="S386" t="s">
        <v>1957</v>
      </c>
      <c r="T386" t="s">
        <v>55</v>
      </c>
      <c r="U386" t="s">
        <v>56</v>
      </c>
      <c r="V386" t="s">
        <v>56</v>
      </c>
    </row>
    <row r="387" spans="1:22" x14ac:dyDescent="0.3">
      <c r="A387" s="49">
        <v>45552</v>
      </c>
      <c r="B387" t="s">
        <v>1443</v>
      </c>
      <c r="C387" t="s">
        <v>1444</v>
      </c>
      <c r="D387" t="s">
        <v>24</v>
      </c>
      <c r="E387" t="s">
        <v>794</v>
      </c>
      <c r="F387" t="s">
        <v>795</v>
      </c>
      <c r="G387" t="s">
        <v>1958</v>
      </c>
      <c r="H387" t="s">
        <v>28</v>
      </c>
      <c r="I387" t="s">
        <v>1959</v>
      </c>
      <c r="J387" t="s">
        <v>30</v>
      </c>
      <c r="K387" t="s">
        <v>452</v>
      </c>
      <c r="L387" t="s">
        <v>1859</v>
      </c>
      <c r="M387">
        <v>100</v>
      </c>
      <c r="N387" t="s">
        <v>49</v>
      </c>
      <c r="O387" t="s">
        <v>1960</v>
      </c>
      <c r="P387" t="s">
        <v>1961</v>
      </c>
      <c r="Q387" t="s">
        <v>1962</v>
      </c>
      <c r="R387" t="s">
        <v>1339</v>
      </c>
      <c r="S387" t="s">
        <v>1963</v>
      </c>
      <c r="T387" t="s">
        <v>55</v>
      </c>
      <c r="U387" t="s">
        <v>56</v>
      </c>
      <c r="V387" t="s">
        <v>56</v>
      </c>
    </row>
    <row r="388" spans="1:22" x14ac:dyDescent="0.3">
      <c r="A388" s="49">
        <v>45552</v>
      </c>
      <c r="B388" t="s">
        <v>1443</v>
      </c>
      <c r="C388" t="s">
        <v>1444</v>
      </c>
      <c r="D388" t="s">
        <v>24</v>
      </c>
      <c r="E388" t="s">
        <v>1964</v>
      </c>
      <c r="F388" t="s">
        <v>1965</v>
      </c>
      <c r="G388" t="s">
        <v>1966</v>
      </c>
      <c r="H388" t="s">
        <v>28</v>
      </c>
      <c r="I388" t="s">
        <v>1967</v>
      </c>
      <c r="J388" t="s">
        <v>30</v>
      </c>
      <c r="K388" t="s">
        <v>274</v>
      </c>
      <c r="L388" t="s">
        <v>1859</v>
      </c>
      <c r="M388">
        <v>100</v>
      </c>
      <c r="N388" t="s">
        <v>33</v>
      </c>
      <c r="O388" t="s">
        <v>1968</v>
      </c>
      <c r="P388" t="s">
        <v>170</v>
      </c>
      <c r="Q388" t="s">
        <v>1606</v>
      </c>
      <c r="R388" t="s">
        <v>53</v>
      </c>
      <c r="S388" t="s">
        <v>1969</v>
      </c>
      <c r="T388" t="s">
        <v>55</v>
      </c>
      <c r="U388" t="s">
        <v>56</v>
      </c>
      <c r="V388" t="s">
        <v>56</v>
      </c>
    </row>
    <row r="389" spans="1:22" x14ac:dyDescent="0.3">
      <c r="A389" s="49">
        <v>45552</v>
      </c>
      <c r="B389" t="s">
        <v>1443</v>
      </c>
      <c r="C389" t="s">
        <v>1444</v>
      </c>
      <c r="D389" t="s">
        <v>173</v>
      </c>
      <c r="E389" t="s">
        <v>1589</v>
      </c>
      <c r="F389" t="s">
        <v>1590</v>
      </c>
      <c r="G389" t="s">
        <v>1970</v>
      </c>
      <c r="H389" t="s">
        <v>28</v>
      </c>
      <c r="I389" t="s">
        <v>1971</v>
      </c>
      <c r="J389" t="s">
        <v>63</v>
      </c>
      <c r="K389" t="s">
        <v>98</v>
      </c>
      <c r="L389" t="s">
        <v>48</v>
      </c>
      <c r="M389">
        <v>45</v>
      </c>
      <c r="N389" t="s">
        <v>33</v>
      </c>
      <c r="O389" t="s">
        <v>1972</v>
      </c>
      <c r="P389" t="s">
        <v>1350</v>
      </c>
      <c r="Q389" t="s">
        <v>1973</v>
      </c>
      <c r="R389" t="s">
        <v>53</v>
      </c>
      <c r="S389" t="s">
        <v>1974</v>
      </c>
      <c r="T389" t="s">
        <v>55</v>
      </c>
      <c r="U389" t="s">
        <v>56</v>
      </c>
      <c r="V389" t="s">
        <v>56</v>
      </c>
    </row>
    <row r="390" spans="1:22" x14ac:dyDescent="0.3">
      <c r="A390" s="49">
        <v>45552</v>
      </c>
      <c r="B390" t="s">
        <v>1443</v>
      </c>
      <c r="C390" t="s">
        <v>1444</v>
      </c>
      <c r="D390" t="s">
        <v>173</v>
      </c>
      <c r="E390" t="s">
        <v>333</v>
      </c>
      <c r="F390" t="s">
        <v>334</v>
      </c>
      <c r="G390" t="s">
        <v>1975</v>
      </c>
      <c r="H390" t="s">
        <v>28</v>
      </c>
      <c r="I390" t="s">
        <v>1976</v>
      </c>
      <c r="J390" t="s">
        <v>63</v>
      </c>
      <c r="K390" t="s">
        <v>64</v>
      </c>
      <c r="L390" t="s">
        <v>32</v>
      </c>
      <c r="M390">
        <v>60</v>
      </c>
      <c r="N390" t="s">
        <v>49</v>
      </c>
      <c r="O390" t="s">
        <v>1977</v>
      </c>
      <c r="P390" t="s">
        <v>287</v>
      </c>
      <c r="Q390" t="s">
        <v>1153</v>
      </c>
      <c r="R390" t="s">
        <v>37</v>
      </c>
      <c r="S390" t="s">
        <v>1978</v>
      </c>
      <c r="T390" t="s">
        <v>55</v>
      </c>
      <c r="U390" t="s">
        <v>56</v>
      </c>
      <c r="V390" t="s">
        <v>56</v>
      </c>
    </row>
    <row r="391" spans="1:22" x14ac:dyDescent="0.3">
      <c r="A391" s="49">
        <v>45552</v>
      </c>
      <c r="B391" t="s">
        <v>1443</v>
      </c>
      <c r="C391" t="s">
        <v>1444</v>
      </c>
      <c r="D391" t="s">
        <v>173</v>
      </c>
      <c r="E391" t="s">
        <v>1979</v>
      </c>
      <c r="F391" t="s">
        <v>1980</v>
      </c>
      <c r="G391" t="s">
        <v>1981</v>
      </c>
      <c r="H391" t="s">
        <v>89</v>
      </c>
      <c r="J391" t="s">
        <v>46</v>
      </c>
      <c r="K391" t="s">
        <v>481</v>
      </c>
      <c r="L391" t="s">
        <v>1982</v>
      </c>
      <c r="M391">
        <v>50</v>
      </c>
      <c r="N391" t="s">
        <v>49</v>
      </c>
      <c r="O391" t="s">
        <v>1983</v>
      </c>
      <c r="P391" t="s">
        <v>358</v>
      </c>
      <c r="Q391" t="s">
        <v>1984</v>
      </c>
      <c r="R391" t="s">
        <v>37</v>
      </c>
      <c r="S391" t="s">
        <v>1985</v>
      </c>
      <c r="T391" t="s">
        <v>55</v>
      </c>
      <c r="U391" t="s">
        <v>56</v>
      </c>
      <c r="V391" t="s">
        <v>56</v>
      </c>
    </row>
    <row r="392" spans="1:22" x14ac:dyDescent="0.3">
      <c r="A392" s="49">
        <v>45552</v>
      </c>
      <c r="B392" t="s">
        <v>1443</v>
      </c>
      <c r="C392" t="s">
        <v>1444</v>
      </c>
      <c r="D392" t="s">
        <v>173</v>
      </c>
      <c r="E392" t="s">
        <v>1986</v>
      </c>
      <c r="F392" t="s">
        <v>1987</v>
      </c>
      <c r="G392" t="s">
        <v>1988</v>
      </c>
      <c r="H392" t="s">
        <v>89</v>
      </c>
      <c r="J392" t="s">
        <v>63</v>
      </c>
      <c r="K392" t="s">
        <v>64</v>
      </c>
      <c r="L392" t="s">
        <v>32</v>
      </c>
      <c r="M392">
        <v>100</v>
      </c>
      <c r="N392" t="s">
        <v>33</v>
      </c>
      <c r="O392" t="s">
        <v>1989</v>
      </c>
      <c r="P392" t="s">
        <v>873</v>
      </c>
      <c r="Q392" t="s">
        <v>1990</v>
      </c>
      <c r="R392" t="s">
        <v>37</v>
      </c>
      <c r="S392" t="s">
        <v>1978</v>
      </c>
      <c r="T392" t="s">
        <v>55</v>
      </c>
      <c r="U392" t="s">
        <v>56</v>
      </c>
      <c r="V392" t="s">
        <v>56</v>
      </c>
    </row>
    <row r="393" spans="1:22" x14ac:dyDescent="0.3">
      <c r="A393" s="49">
        <v>45552</v>
      </c>
      <c r="B393" t="s">
        <v>1443</v>
      </c>
      <c r="C393" t="s">
        <v>1444</v>
      </c>
      <c r="D393" t="s">
        <v>173</v>
      </c>
      <c r="E393" t="s">
        <v>1991</v>
      </c>
      <c r="F393" t="s">
        <v>1992</v>
      </c>
      <c r="G393" t="s">
        <v>1993</v>
      </c>
      <c r="H393" t="s">
        <v>89</v>
      </c>
      <c r="J393" t="s">
        <v>30</v>
      </c>
      <c r="K393" t="s">
        <v>264</v>
      </c>
      <c r="L393" t="s">
        <v>265</v>
      </c>
      <c r="M393">
        <v>0</v>
      </c>
      <c r="N393" t="s">
        <v>74</v>
      </c>
      <c r="O393" t="s">
        <v>1994</v>
      </c>
      <c r="P393" t="s">
        <v>104</v>
      </c>
      <c r="Q393" t="s">
        <v>1995</v>
      </c>
      <c r="R393" t="s">
        <v>37</v>
      </c>
      <c r="S393" t="s">
        <v>1996</v>
      </c>
      <c r="T393" t="s">
        <v>55</v>
      </c>
      <c r="U393" t="s">
        <v>56</v>
      </c>
      <c r="V393" t="s">
        <v>56</v>
      </c>
    </row>
    <row r="394" spans="1:22" x14ac:dyDescent="0.3">
      <c r="A394" s="49">
        <v>45552</v>
      </c>
      <c r="B394" t="s">
        <v>1443</v>
      </c>
      <c r="C394" t="s">
        <v>1444</v>
      </c>
      <c r="D394" t="s">
        <v>24</v>
      </c>
      <c r="E394" t="s">
        <v>1107</v>
      </c>
      <c r="F394" t="s">
        <v>624</v>
      </c>
      <c r="G394" t="s">
        <v>1820</v>
      </c>
      <c r="H394" t="s">
        <v>28</v>
      </c>
      <c r="I394" t="s">
        <v>1997</v>
      </c>
      <c r="J394" t="s">
        <v>63</v>
      </c>
      <c r="K394" t="s">
        <v>256</v>
      </c>
      <c r="L394" t="s">
        <v>32</v>
      </c>
      <c r="M394">
        <v>100</v>
      </c>
      <c r="N394" t="s">
        <v>49</v>
      </c>
      <c r="O394" t="s">
        <v>1998</v>
      </c>
      <c r="P394" t="s">
        <v>344</v>
      </c>
      <c r="Q394" t="s">
        <v>1999</v>
      </c>
      <c r="R394" t="s">
        <v>37</v>
      </c>
      <c r="S394" t="s">
        <v>1112</v>
      </c>
      <c r="T394" t="s">
        <v>55</v>
      </c>
      <c r="U394" t="s">
        <v>56</v>
      </c>
      <c r="V394" t="s">
        <v>56</v>
      </c>
    </row>
    <row r="395" spans="1:22" x14ac:dyDescent="0.3">
      <c r="A395" s="49">
        <v>45552</v>
      </c>
      <c r="B395" t="s">
        <v>1443</v>
      </c>
      <c r="C395" t="s">
        <v>1444</v>
      </c>
      <c r="D395" t="s">
        <v>173</v>
      </c>
      <c r="E395" t="s">
        <v>832</v>
      </c>
      <c r="F395" t="s">
        <v>576</v>
      </c>
      <c r="G395" t="s">
        <v>1247</v>
      </c>
      <c r="H395" t="s">
        <v>28</v>
      </c>
      <c r="I395" t="s">
        <v>2000</v>
      </c>
      <c r="J395" t="s">
        <v>63</v>
      </c>
      <c r="K395" t="s">
        <v>414</v>
      </c>
      <c r="L395" t="s">
        <v>32</v>
      </c>
      <c r="M395">
        <v>95</v>
      </c>
      <c r="N395" t="s">
        <v>49</v>
      </c>
      <c r="O395" t="s">
        <v>2001</v>
      </c>
      <c r="P395" t="s">
        <v>1697</v>
      </c>
      <c r="Q395" t="s">
        <v>2002</v>
      </c>
      <c r="R395" t="s">
        <v>37</v>
      </c>
      <c r="S395" t="s">
        <v>2003</v>
      </c>
      <c r="T395" t="s">
        <v>55</v>
      </c>
      <c r="U395" t="s">
        <v>56</v>
      </c>
      <c r="V395" t="s">
        <v>56</v>
      </c>
    </row>
    <row r="396" spans="1:22" x14ac:dyDescent="0.3">
      <c r="A396" s="49">
        <v>45552</v>
      </c>
      <c r="B396" t="s">
        <v>1443</v>
      </c>
      <c r="C396" t="s">
        <v>1444</v>
      </c>
      <c r="D396" t="s">
        <v>173</v>
      </c>
      <c r="E396" t="s">
        <v>1344</v>
      </c>
      <c r="F396" t="s">
        <v>1345</v>
      </c>
      <c r="G396" t="s">
        <v>1346</v>
      </c>
      <c r="H396" t="s">
        <v>28</v>
      </c>
      <c r="J396" t="s">
        <v>63</v>
      </c>
      <c r="K396" t="s">
        <v>414</v>
      </c>
      <c r="L396" t="s">
        <v>32</v>
      </c>
      <c r="M396">
        <v>100</v>
      </c>
      <c r="N396" t="s">
        <v>49</v>
      </c>
      <c r="O396" t="s">
        <v>2004</v>
      </c>
      <c r="P396" t="s">
        <v>35</v>
      </c>
      <c r="Q396" t="s">
        <v>1984</v>
      </c>
      <c r="R396" t="s">
        <v>37</v>
      </c>
      <c r="S396" t="s">
        <v>2005</v>
      </c>
      <c r="T396" t="s">
        <v>55</v>
      </c>
      <c r="U396" t="s">
        <v>56</v>
      </c>
      <c r="V396" t="s">
        <v>56</v>
      </c>
    </row>
    <row r="397" spans="1:22" x14ac:dyDescent="0.3">
      <c r="A397" s="49">
        <v>45552</v>
      </c>
      <c r="B397" t="s">
        <v>1443</v>
      </c>
      <c r="C397" t="s">
        <v>1444</v>
      </c>
      <c r="D397" t="s">
        <v>173</v>
      </c>
      <c r="E397" t="s">
        <v>2006</v>
      </c>
      <c r="F397" t="s">
        <v>1137</v>
      </c>
      <c r="G397" t="s">
        <v>1453</v>
      </c>
      <c r="H397" t="s">
        <v>28</v>
      </c>
      <c r="I397" t="s">
        <v>2007</v>
      </c>
      <c r="J397" t="s">
        <v>63</v>
      </c>
      <c r="K397" t="s">
        <v>414</v>
      </c>
      <c r="L397" t="s">
        <v>32</v>
      </c>
      <c r="M397">
        <v>85</v>
      </c>
      <c r="N397" t="s">
        <v>49</v>
      </c>
      <c r="O397" t="s">
        <v>2008</v>
      </c>
      <c r="P397" t="s">
        <v>344</v>
      </c>
      <c r="Q397" t="s">
        <v>1999</v>
      </c>
      <c r="R397" t="s">
        <v>37</v>
      </c>
      <c r="S397" t="s">
        <v>2009</v>
      </c>
      <c r="T397" t="s">
        <v>55</v>
      </c>
      <c r="U397" t="s">
        <v>56</v>
      </c>
      <c r="V397" t="s">
        <v>56</v>
      </c>
    </row>
    <row r="398" spans="1:22" x14ac:dyDescent="0.3">
      <c r="A398" s="49">
        <v>45552</v>
      </c>
      <c r="B398" t="s">
        <v>1443</v>
      </c>
      <c r="C398" t="s">
        <v>1444</v>
      </c>
      <c r="D398" t="s">
        <v>173</v>
      </c>
      <c r="E398" t="s">
        <v>2006</v>
      </c>
      <c r="F398" t="s">
        <v>1137</v>
      </c>
      <c r="G398" t="s">
        <v>1453</v>
      </c>
      <c r="H398" t="s">
        <v>28</v>
      </c>
      <c r="I398" t="s">
        <v>2007</v>
      </c>
      <c r="J398" t="s">
        <v>63</v>
      </c>
      <c r="K398" t="s">
        <v>414</v>
      </c>
      <c r="L398" t="s">
        <v>32</v>
      </c>
      <c r="M398">
        <v>100</v>
      </c>
      <c r="N398" t="s">
        <v>49</v>
      </c>
      <c r="O398" t="s">
        <v>2008</v>
      </c>
      <c r="P398" t="s">
        <v>344</v>
      </c>
      <c r="Q398" t="s">
        <v>1999</v>
      </c>
      <c r="R398" t="s">
        <v>37</v>
      </c>
      <c r="S398" t="s">
        <v>2009</v>
      </c>
      <c r="T398" t="s">
        <v>55</v>
      </c>
      <c r="U398" t="s">
        <v>56</v>
      </c>
      <c r="V398" t="s">
        <v>56</v>
      </c>
    </row>
    <row r="399" spans="1:22" x14ac:dyDescent="0.3">
      <c r="A399" s="49">
        <v>45552</v>
      </c>
      <c r="B399" t="s">
        <v>1443</v>
      </c>
      <c r="C399" t="s">
        <v>1444</v>
      </c>
      <c r="D399" t="s">
        <v>173</v>
      </c>
      <c r="E399" t="s">
        <v>361</v>
      </c>
      <c r="F399" t="s">
        <v>362</v>
      </c>
      <c r="G399" t="s">
        <v>1836</v>
      </c>
      <c r="H399" t="s">
        <v>89</v>
      </c>
      <c r="J399" t="s">
        <v>63</v>
      </c>
      <c r="K399" t="s">
        <v>256</v>
      </c>
      <c r="L399" t="s">
        <v>32</v>
      </c>
      <c r="M399">
        <v>90</v>
      </c>
      <c r="N399" t="s">
        <v>49</v>
      </c>
      <c r="O399" t="s">
        <v>2010</v>
      </c>
      <c r="P399" t="s">
        <v>287</v>
      </c>
      <c r="Q399" t="s">
        <v>2011</v>
      </c>
      <c r="R399" t="s">
        <v>37</v>
      </c>
      <c r="S399" t="s">
        <v>1840</v>
      </c>
      <c r="T399" t="s">
        <v>55</v>
      </c>
      <c r="U399" t="s">
        <v>56</v>
      </c>
      <c r="V399" t="s">
        <v>56</v>
      </c>
    </row>
    <row r="400" spans="1:22" x14ac:dyDescent="0.3">
      <c r="A400" s="49">
        <v>45552</v>
      </c>
      <c r="B400" t="s">
        <v>1443</v>
      </c>
      <c r="C400" t="s">
        <v>1444</v>
      </c>
      <c r="D400" t="s">
        <v>173</v>
      </c>
      <c r="E400" t="s">
        <v>1125</v>
      </c>
      <c r="F400" t="s">
        <v>1126</v>
      </c>
      <c r="G400" t="s">
        <v>2012</v>
      </c>
      <c r="H400" t="s">
        <v>89</v>
      </c>
      <c r="J400" t="s">
        <v>63</v>
      </c>
      <c r="K400" t="s">
        <v>414</v>
      </c>
      <c r="L400" t="s">
        <v>32</v>
      </c>
      <c r="M400">
        <v>0</v>
      </c>
      <c r="N400" t="s">
        <v>33</v>
      </c>
      <c r="O400" t="s">
        <v>2013</v>
      </c>
      <c r="P400" t="s">
        <v>58</v>
      </c>
      <c r="Q400" t="s">
        <v>1949</v>
      </c>
      <c r="R400" t="s">
        <v>37</v>
      </c>
      <c r="S400" t="s">
        <v>1130</v>
      </c>
      <c r="T400" t="s">
        <v>55</v>
      </c>
      <c r="U400" t="s">
        <v>56</v>
      </c>
      <c r="V400" t="s">
        <v>56</v>
      </c>
    </row>
    <row r="401" spans="1:22" x14ac:dyDescent="0.3">
      <c r="A401" s="49">
        <v>45552</v>
      </c>
      <c r="B401" t="s">
        <v>1443</v>
      </c>
      <c r="C401" t="s">
        <v>1444</v>
      </c>
      <c r="D401" t="s">
        <v>173</v>
      </c>
      <c r="E401" t="s">
        <v>2014</v>
      </c>
      <c r="F401" t="s">
        <v>2015</v>
      </c>
      <c r="G401" t="s">
        <v>2016</v>
      </c>
      <c r="H401" t="s">
        <v>28</v>
      </c>
      <c r="I401" t="s">
        <v>2017</v>
      </c>
      <c r="J401" t="s">
        <v>63</v>
      </c>
      <c r="K401" t="s">
        <v>2018</v>
      </c>
      <c r="L401" t="s">
        <v>912</v>
      </c>
      <c r="M401">
        <v>30</v>
      </c>
      <c r="N401" t="s">
        <v>33</v>
      </c>
      <c r="O401" t="s">
        <v>2019</v>
      </c>
      <c r="P401" t="s">
        <v>306</v>
      </c>
      <c r="Q401" t="s">
        <v>2020</v>
      </c>
      <c r="R401" t="s">
        <v>2021</v>
      </c>
      <c r="S401" t="s">
        <v>2022</v>
      </c>
      <c r="T401" t="s">
        <v>55</v>
      </c>
      <c r="U401" t="s">
        <v>56</v>
      </c>
      <c r="V401" t="s">
        <v>56</v>
      </c>
    </row>
    <row r="402" spans="1:22" x14ac:dyDescent="0.3">
      <c r="A402" s="49">
        <v>45552</v>
      </c>
      <c r="B402" t="s">
        <v>1443</v>
      </c>
      <c r="C402" t="s">
        <v>1444</v>
      </c>
      <c r="D402" t="s">
        <v>173</v>
      </c>
      <c r="E402" t="s">
        <v>2014</v>
      </c>
      <c r="F402" t="s">
        <v>2015</v>
      </c>
      <c r="G402" t="s">
        <v>2016</v>
      </c>
      <c r="H402" t="s">
        <v>28</v>
      </c>
      <c r="I402" t="s">
        <v>2017</v>
      </c>
      <c r="J402" t="s">
        <v>63</v>
      </c>
      <c r="K402" t="s">
        <v>2018</v>
      </c>
      <c r="L402" t="s">
        <v>912</v>
      </c>
      <c r="M402">
        <v>100</v>
      </c>
      <c r="N402" t="s">
        <v>49</v>
      </c>
      <c r="O402" t="s">
        <v>2019</v>
      </c>
      <c r="P402" t="s">
        <v>306</v>
      </c>
      <c r="Q402" t="s">
        <v>2020</v>
      </c>
      <c r="R402" t="s">
        <v>2021</v>
      </c>
      <c r="S402" t="s">
        <v>2022</v>
      </c>
      <c r="T402" t="s">
        <v>55</v>
      </c>
      <c r="U402" t="s">
        <v>56</v>
      </c>
      <c r="V402" t="s">
        <v>56</v>
      </c>
    </row>
    <row r="403" spans="1:22" x14ac:dyDescent="0.3">
      <c r="A403" s="49">
        <v>45552</v>
      </c>
      <c r="B403" t="s">
        <v>1443</v>
      </c>
      <c r="C403" t="s">
        <v>1444</v>
      </c>
      <c r="D403" t="s">
        <v>24</v>
      </c>
      <c r="E403" t="s">
        <v>862</v>
      </c>
      <c r="F403" t="s">
        <v>863</v>
      </c>
      <c r="G403" t="s">
        <v>1247</v>
      </c>
      <c r="H403" t="s">
        <v>89</v>
      </c>
      <c r="J403" t="s">
        <v>63</v>
      </c>
      <c r="K403" t="s">
        <v>64</v>
      </c>
      <c r="L403" t="s">
        <v>32</v>
      </c>
      <c r="M403">
        <v>100</v>
      </c>
      <c r="N403" t="s">
        <v>49</v>
      </c>
      <c r="O403" t="s">
        <v>2023</v>
      </c>
      <c r="P403" t="s">
        <v>205</v>
      </c>
      <c r="Q403" t="s">
        <v>2024</v>
      </c>
      <c r="R403" t="s">
        <v>37</v>
      </c>
      <c r="S403" t="s">
        <v>2025</v>
      </c>
      <c r="T403" t="s">
        <v>55</v>
      </c>
      <c r="U403" t="s">
        <v>56</v>
      </c>
      <c r="V403" t="s">
        <v>56</v>
      </c>
    </row>
    <row r="404" spans="1:22" x14ac:dyDescent="0.3">
      <c r="A404" s="49">
        <v>45552</v>
      </c>
      <c r="B404" t="s">
        <v>1443</v>
      </c>
      <c r="C404" t="s">
        <v>1444</v>
      </c>
      <c r="D404" t="s">
        <v>24</v>
      </c>
      <c r="E404" t="s">
        <v>862</v>
      </c>
      <c r="F404" t="s">
        <v>863</v>
      </c>
      <c r="G404" t="s">
        <v>1247</v>
      </c>
      <c r="H404" t="s">
        <v>89</v>
      </c>
      <c r="J404" t="s">
        <v>63</v>
      </c>
      <c r="K404" t="s">
        <v>64</v>
      </c>
      <c r="L404" t="s">
        <v>32</v>
      </c>
      <c r="M404">
        <v>100</v>
      </c>
      <c r="N404" t="s">
        <v>49</v>
      </c>
      <c r="O404" t="s">
        <v>2023</v>
      </c>
      <c r="P404" t="s">
        <v>205</v>
      </c>
      <c r="Q404" t="s">
        <v>2024</v>
      </c>
      <c r="R404" t="s">
        <v>37</v>
      </c>
      <c r="S404" t="s">
        <v>2025</v>
      </c>
      <c r="T404" t="s">
        <v>55</v>
      </c>
      <c r="U404" t="s">
        <v>56</v>
      </c>
      <c r="V404" t="s">
        <v>56</v>
      </c>
    </row>
    <row r="405" spans="1:22" x14ac:dyDescent="0.3">
      <c r="A405" s="49">
        <v>45552</v>
      </c>
      <c r="B405" t="s">
        <v>2026</v>
      </c>
      <c r="C405" t="s">
        <v>2027</v>
      </c>
      <c r="D405" t="s">
        <v>173</v>
      </c>
      <c r="E405" t="s">
        <v>869</v>
      </c>
      <c r="F405" t="s">
        <v>870</v>
      </c>
      <c r="G405" t="s">
        <v>1491</v>
      </c>
      <c r="H405" t="s">
        <v>89</v>
      </c>
      <c r="J405" t="s">
        <v>63</v>
      </c>
      <c r="K405" t="s">
        <v>414</v>
      </c>
      <c r="L405" t="s">
        <v>32</v>
      </c>
      <c r="M405">
        <v>100</v>
      </c>
      <c r="N405" t="s">
        <v>49</v>
      </c>
      <c r="O405" t="s">
        <v>2028</v>
      </c>
      <c r="P405" t="s">
        <v>2029</v>
      </c>
      <c r="Q405" t="s">
        <v>491</v>
      </c>
      <c r="R405" t="s">
        <v>37</v>
      </c>
      <c r="S405" t="s">
        <v>2030</v>
      </c>
      <c r="T405" t="s">
        <v>55</v>
      </c>
      <c r="U405" t="s">
        <v>56</v>
      </c>
      <c r="V405" t="s">
        <v>56</v>
      </c>
    </row>
    <row r="406" spans="1:22" x14ac:dyDescent="0.3">
      <c r="A406" s="49">
        <v>45552</v>
      </c>
      <c r="B406" t="s">
        <v>2026</v>
      </c>
      <c r="C406" t="s">
        <v>2027</v>
      </c>
      <c r="D406" t="s">
        <v>173</v>
      </c>
      <c r="E406" t="s">
        <v>869</v>
      </c>
      <c r="F406" t="s">
        <v>870</v>
      </c>
      <c r="G406" t="s">
        <v>1491</v>
      </c>
      <c r="H406" t="s">
        <v>28</v>
      </c>
      <c r="I406" t="s">
        <v>2031</v>
      </c>
      <c r="J406" t="s">
        <v>63</v>
      </c>
      <c r="K406" t="s">
        <v>445</v>
      </c>
      <c r="L406" t="s">
        <v>32</v>
      </c>
      <c r="M406">
        <v>60</v>
      </c>
      <c r="N406" t="s">
        <v>49</v>
      </c>
      <c r="O406" t="s">
        <v>2032</v>
      </c>
      <c r="P406" t="s">
        <v>205</v>
      </c>
      <c r="Q406" t="s">
        <v>2033</v>
      </c>
      <c r="R406" t="s">
        <v>37</v>
      </c>
      <c r="S406" t="s">
        <v>2030</v>
      </c>
      <c r="T406" t="s">
        <v>55</v>
      </c>
      <c r="U406" t="s">
        <v>56</v>
      </c>
      <c r="V406" t="s">
        <v>56</v>
      </c>
    </row>
    <row r="407" spans="1:22" x14ac:dyDescent="0.3">
      <c r="A407" s="49">
        <v>45552</v>
      </c>
      <c r="B407" t="s">
        <v>1443</v>
      </c>
      <c r="C407" t="s">
        <v>1444</v>
      </c>
      <c r="D407" t="s">
        <v>24</v>
      </c>
      <c r="E407" t="s">
        <v>376</v>
      </c>
      <c r="F407" t="s">
        <v>377</v>
      </c>
      <c r="G407" t="s">
        <v>1491</v>
      </c>
      <c r="H407" t="s">
        <v>89</v>
      </c>
      <c r="J407" t="s">
        <v>63</v>
      </c>
      <c r="K407" t="s">
        <v>64</v>
      </c>
      <c r="L407" t="s">
        <v>32</v>
      </c>
      <c r="M407">
        <v>100</v>
      </c>
      <c r="N407" t="s">
        <v>33</v>
      </c>
      <c r="O407" t="s">
        <v>2034</v>
      </c>
      <c r="P407" t="s">
        <v>35</v>
      </c>
      <c r="Q407" t="s">
        <v>2035</v>
      </c>
      <c r="R407" t="s">
        <v>37</v>
      </c>
      <c r="S407" t="s">
        <v>383</v>
      </c>
      <c r="T407" t="s">
        <v>39</v>
      </c>
      <c r="U407" t="s">
        <v>40</v>
      </c>
      <c r="V407" t="s">
        <v>41</v>
      </c>
    </row>
    <row r="408" spans="1:22" x14ac:dyDescent="0.3">
      <c r="A408" s="49">
        <v>45552</v>
      </c>
      <c r="B408" t="s">
        <v>1443</v>
      </c>
      <c r="C408" t="s">
        <v>1444</v>
      </c>
      <c r="D408" t="s">
        <v>24</v>
      </c>
      <c r="E408" t="s">
        <v>376</v>
      </c>
      <c r="F408" t="s">
        <v>377</v>
      </c>
      <c r="G408" t="s">
        <v>1144</v>
      </c>
      <c r="H408" t="s">
        <v>89</v>
      </c>
      <c r="J408" t="s">
        <v>63</v>
      </c>
      <c r="K408" t="s">
        <v>119</v>
      </c>
      <c r="L408" t="s">
        <v>48</v>
      </c>
      <c r="M408">
        <v>100</v>
      </c>
      <c r="N408" t="s">
        <v>33</v>
      </c>
      <c r="O408" t="s">
        <v>2036</v>
      </c>
      <c r="P408" t="s">
        <v>35</v>
      </c>
      <c r="Q408" t="s">
        <v>2037</v>
      </c>
      <c r="R408" t="s">
        <v>53</v>
      </c>
      <c r="S408" t="s">
        <v>383</v>
      </c>
      <c r="T408" t="s">
        <v>39</v>
      </c>
      <c r="U408" t="s">
        <v>40</v>
      </c>
      <c r="V408" t="s">
        <v>41</v>
      </c>
    </row>
    <row r="409" spans="1:22" x14ac:dyDescent="0.3">
      <c r="A409" s="49">
        <v>45552</v>
      </c>
      <c r="B409" t="s">
        <v>1443</v>
      </c>
      <c r="C409" t="s">
        <v>1444</v>
      </c>
      <c r="D409" t="s">
        <v>173</v>
      </c>
      <c r="E409" t="s">
        <v>2038</v>
      </c>
      <c r="F409" t="s">
        <v>2039</v>
      </c>
      <c r="G409" t="s">
        <v>2040</v>
      </c>
      <c r="H409" t="s">
        <v>28</v>
      </c>
      <c r="I409" t="s">
        <v>2041</v>
      </c>
      <c r="J409" t="s">
        <v>63</v>
      </c>
      <c r="K409" t="s">
        <v>119</v>
      </c>
      <c r="L409" t="s">
        <v>48</v>
      </c>
      <c r="M409">
        <v>30</v>
      </c>
      <c r="N409" t="s">
        <v>49</v>
      </c>
      <c r="O409" t="s">
        <v>2042</v>
      </c>
      <c r="P409" t="s">
        <v>108</v>
      </c>
      <c r="Q409" t="s">
        <v>1973</v>
      </c>
      <c r="R409" t="s">
        <v>53</v>
      </c>
      <c r="S409" t="s">
        <v>1797</v>
      </c>
      <c r="T409" t="s">
        <v>55</v>
      </c>
      <c r="U409" t="s">
        <v>56</v>
      </c>
      <c r="V409" t="s">
        <v>56</v>
      </c>
    </row>
    <row r="410" spans="1:22" x14ac:dyDescent="0.3">
      <c r="A410" s="49">
        <v>45548</v>
      </c>
      <c r="B410" t="s">
        <v>1443</v>
      </c>
      <c r="C410" t="s">
        <v>1444</v>
      </c>
      <c r="D410" t="s">
        <v>173</v>
      </c>
      <c r="E410" t="s">
        <v>982</v>
      </c>
      <c r="F410" t="s">
        <v>983</v>
      </c>
      <c r="G410" t="s">
        <v>1882</v>
      </c>
      <c r="H410" t="s">
        <v>28</v>
      </c>
      <c r="I410" t="s">
        <v>1883</v>
      </c>
      <c r="J410" t="s">
        <v>63</v>
      </c>
      <c r="K410" t="s">
        <v>98</v>
      </c>
      <c r="L410" t="s">
        <v>48</v>
      </c>
      <c r="M410">
        <v>100</v>
      </c>
      <c r="N410" t="s">
        <v>49</v>
      </c>
      <c r="O410" t="s">
        <v>1884</v>
      </c>
      <c r="P410" t="s">
        <v>108</v>
      </c>
      <c r="Q410" t="s">
        <v>1885</v>
      </c>
      <c r="R410" t="s">
        <v>53</v>
      </c>
      <c r="S410" t="s">
        <v>988</v>
      </c>
      <c r="T410" t="s">
        <v>39</v>
      </c>
      <c r="U410" t="s">
        <v>40</v>
      </c>
      <c r="V410" t="s">
        <v>41</v>
      </c>
    </row>
    <row r="411" spans="1:22" x14ac:dyDescent="0.3">
      <c r="A411" s="49">
        <v>45548</v>
      </c>
      <c r="B411" t="s">
        <v>1443</v>
      </c>
      <c r="C411" t="s">
        <v>1444</v>
      </c>
      <c r="D411" t="s">
        <v>24</v>
      </c>
      <c r="E411" t="s">
        <v>1886</v>
      </c>
      <c r="F411" t="s">
        <v>1887</v>
      </c>
      <c r="G411" t="s">
        <v>1888</v>
      </c>
      <c r="H411" t="s">
        <v>89</v>
      </c>
      <c r="J411" t="s">
        <v>46</v>
      </c>
      <c r="K411" t="s">
        <v>1166</v>
      </c>
      <c r="L411" t="s">
        <v>1889</v>
      </c>
      <c r="M411">
        <v>33</v>
      </c>
      <c r="N411" t="s">
        <v>49</v>
      </c>
      <c r="O411" t="s">
        <v>1890</v>
      </c>
      <c r="P411" t="s">
        <v>58</v>
      </c>
      <c r="Q411" t="s">
        <v>1160</v>
      </c>
      <c r="R411" t="s">
        <v>53</v>
      </c>
      <c r="S411" t="s">
        <v>1891</v>
      </c>
      <c r="T411" t="s">
        <v>55</v>
      </c>
      <c r="U411" t="s">
        <v>56</v>
      </c>
      <c r="V411" t="s">
        <v>56</v>
      </c>
    </row>
    <row r="412" spans="1:22" x14ac:dyDescent="0.3">
      <c r="A412" s="49">
        <v>45548</v>
      </c>
      <c r="B412" t="s">
        <v>1443</v>
      </c>
      <c r="C412" t="s">
        <v>1444</v>
      </c>
      <c r="D412" t="s">
        <v>173</v>
      </c>
      <c r="E412" t="s">
        <v>1892</v>
      </c>
      <c r="F412" t="s">
        <v>1893</v>
      </c>
      <c r="G412" t="s">
        <v>1894</v>
      </c>
      <c r="H412" t="s">
        <v>28</v>
      </c>
      <c r="I412" t="s">
        <v>1895</v>
      </c>
      <c r="J412" t="s">
        <v>63</v>
      </c>
      <c r="K412" t="s">
        <v>119</v>
      </c>
      <c r="L412" t="s">
        <v>48</v>
      </c>
      <c r="M412">
        <v>90</v>
      </c>
      <c r="N412" t="s">
        <v>33</v>
      </c>
      <c r="O412" t="s">
        <v>1896</v>
      </c>
      <c r="P412" t="s">
        <v>314</v>
      </c>
      <c r="Q412" t="s">
        <v>1897</v>
      </c>
      <c r="R412" t="s">
        <v>53</v>
      </c>
      <c r="S412" t="s">
        <v>1898</v>
      </c>
      <c r="T412" t="s">
        <v>39</v>
      </c>
      <c r="U412" t="s">
        <v>40</v>
      </c>
      <c r="V412" t="s">
        <v>41</v>
      </c>
    </row>
    <row r="413" spans="1:22" x14ac:dyDescent="0.3">
      <c r="A413" s="49">
        <v>45548</v>
      </c>
      <c r="B413" t="s">
        <v>1443</v>
      </c>
      <c r="C413" t="s">
        <v>1444</v>
      </c>
      <c r="D413" t="s">
        <v>24</v>
      </c>
      <c r="E413" t="s">
        <v>1899</v>
      </c>
      <c r="F413" t="s">
        <v>1900</v>
      </c>
      <c r="G413" t="s">
        <v>1901</v>
      </c>
      <c r="H413" t="s">
        <v>28</v>
      </c>
      <c r="I413" t="s">
        <v>1902</v>
      </c>
      <c r="J413" t="s">
        <v>63</v>
      </c>
      <c r="K413" t="s">
        <v>119</v>
      </c>
      <c r="L413" t="s">
        <v>48</v>
      </c>
      <c r="M413">
        <v>23</v>
      </c>
      <c r="N413" t="s">
        <v>33</v>
      </c>
      <c r="O413" t="s">
        <v>1903</v>
      </c>
      <c r="P413" t="s">
        <v>358</v>
      </c>
      <c r="Q413" t="s">
        <v>1904</v>
      </c>
      <c r="R413" t="s">
        <v>53</v>
      </c>
      <c r="S413" t="s">
        <v>1905</v>
      </c>
      <c r="T413" t="s">
        <v>55</v>
      </c>
      <c r="U413" t="s">
        <v>56</v>
      </c>
      <c r="V413" t="s">
        <v>56</v>
      </c>
    </row>
    <row r="414" spans="1:22" x14ac:dyDescent="0.3">
      <c r="A414" s="49">
        <v>45548</v>
      </c>
      <c r="B414" t="s">
        <v>1443</v>
      </c>
      <c r="C414" t="s">
        <v>1444</v>
      </c>
      <c r="D414" t="s">
        <v>24</v>
      </c>
      <c r="E414" t="s">
        <v>561</v>
      </c>
      <c r="F414" t="s">
        <v>562</v>
      </c>
      <c r="G414" t="s">
        <v>563</v>
      </c>
      <c r="H414" t="s">
        <v>89</v>
      </c>
      <c r="J414" t="s">
        <v>46</v>
      </c>
      <c r="K414" t="s">
        <v>1166</v>
      </c>
      <c r="L414" t="s">
        <v>1373</v>
      </c>
      <c r="M414">
        <v>0</v>
      </c>
      <c r="N414" t="s">
        <v>49</v>
      </c>
      <c r="O414" t="s">
        <v>1906</v>
      </c>
      <c r="P414" t="s">
        <v>873</v>
      </c>
      <c r="Q414" t="s">
        <v>1160</v>
      </c>
      <c r="R414" t="s">
        <v>53</v>
      </c>
      <c r="S414" t="s">
        <v>1907</v>
      </c>
      <c r="T414" t="s">
        <v>55</v>
      </c>
      <c r="U414" t="s">
        <v>56</v>
      </c>
      <c r="V414" t="s">
        <v>56</v>
      </c>
    </row>
    <row r="415" spans="1:22" x14ac:dyDescent="0.3">
      <c r="A415" s="49">
        <v>45548</v>
      </c>
      <c r="B415" t="s">
        <v>1443</v>
      </c>
      <c r="C415" t="s">
        <v>1444</v>
      </c>
      <c r="D415" t="s">
        <v>173</v>
      </c>
      <c r="E415" t="s">
        <v>812</v>
      </c>
      <c r="F415" t="s">
        <v>813</v>
      </c>
      <c r="G415" t="s">
        <v>1908</v>
      </c>
      <c r="H415" t="s">
        <v>89</v>
      </c>
      <c r="J415" t="s">
        <v>63</v>
      </c>
      <c r="K415" t="s">
        <v>1200</v>
      </c>
      <c r="L415" t="s">
        <v>48</v>
      </c>
      <c r="M415">
        <v>100</v>
      </c>
      <c r="N415" t="s">
        <v>49</v>
      </c>
      <c r="O415" t="s">
        <v>1909</v>
      </c>
      <c r="P415" t="s">
        <v>1597</v>
      </c>
      <c r="Q415" t="s">
        <v>1910</v>
      </c>
      <c r="R415" t="s">
        <v>53</v>
      </c>
      <c r="S415" t="s">
        <v>1911</v>
      </c>
      <c r="T415" t="s">
        <v>55</v>
      </c>
      <c r="U415" t="s">
        <v>56</v>
      </c>
      <c r="V415" t="s">
        <v>56</v>
      </c>
    </row>
    <row r="416" spans="1:22" x14ac:dyDescent="0.3">
      <c r="A416" s="49">
        <v>45548</v>
      </c>
      <c r="B416" t="s">
        <v>1443</v>
      </c>
      <c r="C416" t="s">
        <v>1444</v>
      </c>
      <c r="D416" t="s">
        <v>173</v>
      </c>
      <c r="E416" t="s">
        <v>838</v>
      </c>
      <c r="F416" t="s">
        <v>839</v>
      </c>
      <c r="G416" t="s">
        <v>1912</v>
      </c>
      <c r="H416" t="s">
        <v>28</v>
      </c>
      <c r="I416" t="s">
        <v>1913</v>
      </c>
      <c r="J416" t="s">
        <v>63</v>
      </c>
      <c r="K416" t="s">
        <v>98</v>
      </c>
      <c r="L416" t="s">
        <v>48</v>
      </c>
      <c r="M416">
        <v>45</v>
      </c>
      <c r="N416" t="s">
        <v>49</v>
      </c>
      <c r="O416" t="s">
        <v>1914</v>
      </c>
      <c r="P416" t="s">
        <v>106</v>
      </c>
      <c r="Q416" t="s">
        <v>929</v>
      </c>
      <c r="R416" t="s">
        <v>53</v>
      </c>
      <c r="S416" t="s">
        <v>843</v>
      </c>
      <c r="T416" t="s">
        <v>55</v>
      </c>
      <c r="U416" t="s">
        <v>56</v>
      </c>
      <c r="V416" t="s">
        <v>56</v>
      </c>
    </row>
    <row r="417" spans="1:22" x14ac:dyDescent="0.3">
      <c r="A417" s="49">
        <v>45548</v>
      </c>
      <c r="B417" t="s">
        <v>1443</v>
      </c>
      <c r="C417" t="s">
        <v>1444</v>
      </c>
      <c r="D417" t="s">
        <v>24</v>
      </c>
      <c r="E417" t="s">
        <v>1627</v>
      </c>
      <c r="F417" t="s">
        <v>1628</v>
      </c>
      <c r="G417" t="s">
        <v>1915</v>
      </c>
      <c r="H417" t="s">
        <v>28</v>
      </c>
      <c r="I417" t="s">
        <v>1916</v>
      </c>
      <c r="J417" t="s">
        <v>63</v>
      </c>
      <c r="K417" t="s">
        <v>1200</v>
      </c>
      <c r="L417" t="s">
        <v>48</v>
      </c>
      <c r="M417">
        <v>100</v>
      </c>
      <c r="N417" t="s">
        <v>49</v>
      </c>
      <c r="O417" t="s">
        <v>1917</v>
      </c>
      <c r="P417" t="s">
        <v>104</v>
      </c>
      <c r="Q417" t="s">
        <v>1203</v>
      </c>
      <c r="R417" t="s">
        <v>53</v>
      </c>
      <c r="S417" t="s">
        <v>1918</v>
      </c>
      <c r="T417" t="s">
        <v>39</v>
      </c>
      <c r="U417" t="s">
        <v>40</v>
      </c>
      <c r="V417" t="s">
        <v>41</v>
      </c>
    </row>
    <row r="418" spans="1:22" x14ac:dyDescent="0.3">
      <c r="A418" s="49">
        <v>45548</v>
      </c>
      <c r="B418" t="s">
        <v>1443</v>
      </c>
      <c r="C418" t="s">
        <v>1444</v>
      </c>
      <c r="D418" t="s">
        <v>24</v>
      </c>
      <c r="E418" t="s">
        <v>376</v>
      </c>
      <c r="F418" t="s">
        <v>377</v>
      </c>
      <c r="G418" t="s">
        <v>1144</v>
      </c>
      <c r="H418" t="s">
        <v>89</v>
      </c>
      <c r="J418" t="s">
        <v>63</v>
      </c>
      <c r="K418" t="s">
        <v>119</v>
      </c>
      <c r="L418" t="s">
        <v>48</v>
      </c>
      <c r="M418">
        <v>0</v>
      </c>
      <c r="N418" t="s">
        <v>74</v>
      </c>
      <c r="O418" t="s">
        <v>1919</v>
      </c>
      <c r="P418" t="s">
        <v>572</v>
      </c>
      <c r="Q418" t="s">
        <v>1920</v>
      </c>
      <c r="R418" t="s">
        <v>53</v>
      </c>
      <c r="S418" t="s">
        <v>383</v>
      </c>
      <c r="T418" t="s">
        <v>39</v>
      </c>
      <c r="U418" t="s">
        <v>40</v>
      </c>
      <c r="V418" t="s">
        <v>41</v>
      </c>
    </row>
    <row r="419" spans="1:22" x14ac:dyDescent="0.3">
      <c r="A419" s="49">
        <v>45546</v>
      </c>
      <c r="B419" t="s">
        <v>457</v>
      </c>
      <c r="C419" t="s">
        <v>458</v>
      </c>
      <c r="D419" t="s">
        <v>24</v>
      </c>
      <c r="E419" t="s">
        <v>1252</v>
      </c>
      <c r="F419" t="s">
        <v>1253</v>
      </c>
      <c r="G419" t="s">
        <v>1801</v>
      </c>
      <c r="H419" t="s">
        <v>89</v>
      </c>
      <c r="J419" t="s">
        <v>63</v>
      </c>
      <c r="K419" t="s">
        <v>119</v>
      </c>
      <c r="L419" t="s">
        <v>48</v>
      </c>
      <c r="M419">
        <v>50</v>
      </c>
      <c r="N419" t="s">
        <v>49</v>
      </c>
      <c r="O419" t="s">
        <v>1802</v>
      </c>
      <c r="P419" t="s">
        <v>163</v>
      </c>
      <c r="Q419" t="s">
        <v>976</v>
      </c>
      <c r="R419" t="s">
        <v>53</v>
      </c>
      <c r="S419" t="s">
        <v>1700</v>
      </c>
      <c r="T419" t="s">
        <v>55</v>
      </c>
      <c r="U419" t="s">
        <v>56</v>
      </c>
      <c r="V419" t="s">
        <v>56</v>
      </c>
    </row>
    <row r="420" spans="1:22" x14ac:dyDescent="0.3">
      <c r="A420" s="49">
        <v>45546</v>
      </c>
      <c r="B420" t="s">
        <v>457</v>
      </c>
      <c r="C420" t="s">
        <v>458</v>
      </c>
      <c r="D420" t="s">
        <v>24</v>
      </c>
      <c r="E420" t="s">
        <v>1252</v>
      </c>
      <c r="F420" t="s">
        <v>1253</v>
      </c>
      <c r="G420" t="s">
        <v>1801</v>
      </c>
      <c r="H420" t="s">
        <v>89</v>
      </c>
      <c r="J420" t="s">
        <v>63</v>
      </c>
      <c r="K420" t="s">
        <v>119</v>
      </c>
      <c r="L420" t="s">
        <v>48</v>
      </c>
      <c r="M420">
        <v>100</v>
      </c>
      <c r="N420" t="s">
        <v>49</v>
      </c>
      <c r="O420" t="s">
        <v>1696</v>
      </c>
      <c r="P420" t="s">
        <v>1697</v>
      </c>
      <c r="Q420" t="s">
        <v>1117</v>
      </c>
      <c r="R420" t="s">
        <v>53</v>
      </c>
      <c r="S420" t="s">
        <v>1803</v>
      </c>
      <c r="T420" t="s">
        <v>55</v>
      </c>
      <c r="U420" t="s">
        <v>56</v>
      </c>
      <c r="V420" t="s">
        <v>56</v>
      </c>
    </row>
    <row r="421" spans="1:22" x14ac:dyDescent="0.3">
      <c r="A421" s="49">
        <v>45546</v>
      </c>
      <c r="B421" t="s">
        <v>457</v>
      </c>
      <c r="C421" t="s">
        <v>458</v>
      </c>
      <c r="D421" t="s">
        <v>24</v>
      </c>
      <c r="E421" t="s">
        <v>1804</v>
      </c>
      <c r="F421" t="s">
        <v>1805</v>
      </c>
      <c r="G421" t="s">
        <v>1806</v>
      </c>
      <c r="H421" t="s">
        <v>89</v>
      </c>
      <c r="J421" t="s">
        <v>63</v>
      </c>
      <c r="K421" t="s">
        <v>1807</v>
      </c>
      <c r="L421" t="s">
        <v>464</v>
      </c>
      <c r="M421">
        <v>100</v>
      </c>
      <c r="N421" t="s">
        <v>49</v>
      </c>
      <c r="O421" t="s">
        <v>1808</v>
      </c>
      <c r="P421" t="s">
        <v>1809</v>
      </c>
      <c r="Q421" t="s">
        <v>1810</v>
      </c>
      <c r="R421" t="s">
        <v>1339</v>
      </c>
      <c r="S421" t="s">
        <v>1471</v>
      </c>
      <c r="T421" t="s">
        <v>39</v>
      </c>
      <c r="U421" t="s">
        <v>40</v>
      </c>
      <c r="V421" t="s">
        <v>41</v>
      </c>
    </row>
    <row r="422" spans="1:22" x14ac:dyDescent="0.3">
      <c r="A422" s="49">
        <v>45546</v>
      </c>
      <c r="B422" t="s">
        <v>457</v>
      </c>
      <c r="C422" t="s">
        <v>458</v>
      </c>
      <c r="D422" t="s">
        <v>24</v>
      </c>
      <c r="E422" t="s">
        <v>1477</v>
      </c>
      <c r="F422" t="s">
        <v>1478</v>
      </c>
      <c r="G422" t="s">
        <v>1479</v>
      </c>
      <c r="H422" t="s">
        <v>89</v>
      </c>
      <c r="J422" t="s">
        <v>63</v>
      </c>
      <c r="K422" t="s">
        <v>119</v>
      </c>
      <c r="L422" t="s">
        <v>48</v>
      </c>
      <c r="M422">
        <v>60</v>
      </c>
      <c r="N422" t="s">
        <v>49</v>
      </c>
      <c r="O422" t="s">
        <v>1703</v>
      </c>
      <c r="P422" t="s">
        <v>306</v>
      </c>
      <c r="Q422" t="s">
        <v>1117</v>
      </c>
      <c r="R422" t="s">
        <v>53</v>
      </c>
      <c r="S422" t="s">
        <v>1704</v>
      </c>
      <c r="T422" t="s">
        <v>55</v>
      </c>
      <c r="U422" t="s">
        <v>56</v>
      </c>
      <c r="V422" t="s">
        <v>56</v>
      </c>
    </row>
    <row r="423" spans="1:22" x14ac:dyDescent="0.3">
      <c r="A423" s="49">
        <v>45546</v>
      </c>
      <c r="B423" t="s">
        <v>1443</v>
      </c>
      <c r="C423" t="s">
        <v>1444</v>
      </c>
      <c r="D423" t="s">
        <v>173</v>
      </c>
      <c r="E423" t="s">
        <v>1811</v>
      </c>
      <c r="F423" t="s">
        <v>1812</v>
      </c>
      <c r="G423" t="s">
        <v>1813</v>
      </c>
      <c r="H423" t="s">
        <v>28</v>
      </c>
      <c r="I423" t="s">
        <v>1814</v>
      </c>
      <c r="J423" t="s">
        <v>63</v>
      </c>
      <c r="K423" t="s">
        <v>256</v>
      </c>
      <c r="L423" t="s">
        <v>32</v>
      </c>
      <c r="M423">
        <v>100</v>
      </c>
      <c r="N423" t="s">
        <v>49</v>
      </c>
      <c r="O423" t="s">
        <v>1815</v>
      </c>
      <c r="P423" t="s">
        <v>358</v>
      </c>
      <c r="Q423" t="s">
        <v>1816</v>
      </c>
      <c r="R423" t="s">
        <v>37</v>
      </c>
      <c r="S423" t="s">
        <v>1817</v>
      </c>
      <c r="T423" t="s">
        <v>55</v>
      </c>
      <c r="U423" t="s">
        <v>56</v>
      </c>
      <c r="V423" t="s">
        <v>56</v>
      </c>
    </row>
    <row r="424" spans="1:22" x14ac:dyDescent="0.3">
      <c r="A424" s="49">
        <v>45546</v>
      </c>
      <c r="B424" t="s">
        <v>1443</v>
      </c>
      <c r="C424" t="s">
        <v>1444</v>
      </c>
      <c r="D424" t="s">
        <v>173</v>
      </c>
      <c r="E424" t="s">
        <v>1818</v>
      </c>
      <c r="F424" t="s">
        <v>1819</v>
      </c>
      <c r="G424" t="s">
        <v>1820</v>
      </c>
      <c r="H424" t="s">
        <v>89</v>
      </c>
      <c r="J424" t="s">
        <v>63</v>
      </c>
      <c r="K424" t="s">
        <v>414</v>
      </c>
      <c r="L424" t="s">
        <v>32</v>
      </c>
      <c r="M424">
        <v>100</v>
      </c>
      <c r="N424" t="s">
        <v>49</v>
      </c>
      <c r="O424" t="s">
        <v>1821</v>
      </c>
      <c r="P424" t="s">
        <v>1230</v>
      </c>
      <c r="Q424" t="s">
        <v>1822</v>
      </c>
      <c r="R424" t="s">
        <v>37</v>
      </c>
      <c r="S424" t="s">
        <v>1823</v>
      </c>
      <c r="T424" t="s">
        <v>55</v>
      </c>
      <c r="U424" t="s">
        <v>56</v>
      </c>
      <c r="V424" t="s">
        <v>56</v>
      </c>
    </row>
    <row r="425" spans="1:22" x14ac:dyDescent="0.3">
      <c r="A425" s="49">
        <v>45546</v>
      </c>
      <c r="B425" t="s">
        <v>457</v>
      </c>
      <c r="C425" t="s">
        <v>458</v>
      </c>
      <c r="D425" t="s">
        <v>24</v>
      </c>
      <c r="E425" t="s">
        <v>1705</v>
      </c>
      <c r="F425" t="s">
        <v>302</v>
      </c>
      <c r="G425" t="s">
        <v>1824</v>
      </c>
      <c r="H425" t="s">
        <v>89</v>
      </c>
      <c r="J425" t="s">
        <v>63</v>
      </c>
      <c r="K425" t="s">
        <v>119</v>
      </c>
      <c r="L425" t="s">
        <v>119</v>
      </c>
      <c r="M425">
        <v>100</v>
      </c>
      <c r="N425" t="s">
        <v>49</v>
      </c>
      <c r="O425" t="s">
        <v>1707</v>
      </c>
      <c r="P425" t="s">
        <v>1597</v>
      </c>
      <c r="Q425" t="s">
        <v>1606</v>
      </c>
      <c r="R425" t="s">
        <v>53</v>
      </c>
      <c r="S425" t="s">
        <v>1708</v>
      </c>
      <c r="T425" t="s">
        <v>55</v>
      </c>
      <c r="U425" t="s">
        <v>56</v>
      </c>
      <c r="V425" t="s">
        <v>56</v>
      </c>
    </row>
    <row r="426" spans="1:22" x14ac:dyDescent="0.3">
      <c r="A426" s="49">
        <v>45546</v>
      </c>
      <c r="B426" t="s">
        <v>1443</v>
      </c>
      <c r="C426" t="s">
        <v>1444</v>
      </c>
      <c r="D426" t="s">
        <v>173</v>
      </c>
      <c r="E426" t="s">
        <v>1825</v>
      </c>
      <c r="F426" t="s">
        <v>1826</v>
      </c>
      <c r="G426" t="s">
        <v>1827</v>
      </c>
      <c r="H426" t="s">
        <v>89</v>
      </c>
      <c r="J426" t="s">
        <v>63</v>
      </c>
      <c r="K426" t="s">
        <v>414</v>
      </c>
      <c r="L426" t="s">
        <v>32</v>
      </c>
      <c r="M426">
        <v>0</v>
      </c>
      <c r="N426" t="s">
        <v>49</v>
      </c>
      <c r="O426" t="s">
        <v>1828</v>
      </c>
      <c r="P426" t="s">
        <v>51</v>
      </c>
      <c r="Q426" t="s">
        <v>1829</v>
      </c>
      <c r="R426" t="s">
        <v>37</v>
      </c>
      <c r="S426" t="s">
        <v>1830</v>
      </c>
      <c r="T426" t="s">
        <v>55</v>
      </c>
      <c r="U426" t="s">
        <v>56</v>
      </c>
      <c r="V426" t="s">
        <v>56</v>
      </c>
    </row>
    <row r="427" spans="1:22" x14ac:dyDescent="0.3">
      <c r="A427" s="49">
        <v>45546</v>
      </c>
      <c r="B427" t="s">
        <v>457</v>
      </c>
      <c r="C427" t="s">
        <v>458</v>
      </c>
      <c r="D427" t="s">
        <v>24</v>
      </c>
      <c r="E427" t="s">
        <v>1723</v>
      </c>
      <c r="F427" t="s">
        <v>1724</v>
      </c>
      <c r="G427" t="s">
        <v>1831</v>
      </c>
      <c r="H427" t="s">
        <v>89</v>
      </c>
      <c r="J427" t="s">
        <v>63</v>
      </c>
      <c r="K427" t="s">
        <v>98</v>
      </c>
      <c r="L427" t="s">
        <v>48</v>
      </c>
      <c r="M427">
        <v>100</v>
      </c>
      <c r="N427" t="s">
        <v>49</v>
      </c>
      <c r="O427" t="s">
        <v>1726</v>
      </c>
      <c r="P427" t="s">
        <v>1727</v>
      </c>
      <c r="Q427" t="s">
        <v>1117</v>
      </c>
      <c r="R427" t="s">
        <v>53</v>
      </c>
      <c r="S427" t="s">
        <v>1728</v>
      </c>
      <c r="T427" t="s">
        <v>55</v>
      </c>
      <c r="U427" t="s">
        <v>56</v>
      </c>
      <c r="V427" t="s">
        <v>56</v>
      </c>
    </row>
    <row r="428" spans="1:22" x14ac:dyDescent="0.3">
      <c r="A428" s="49">
        <v>45546</v>
      </c>
      <c r="B428" t="s">
        <v>457</v>
      </c>
      <c r="C428" t="s">
        <v>458</v>
      </c>
      <c r="D428" t="s">
        <v>24</v>
      </c>
      <c r="E428" t="s">
        <v>1107</v>
      </c>
      <c r="F428" t="s">
        <v>624</v>
      </c>
      <c r="G428" t="s">
        <v>1832</v>
      </c>
      <c r="H428" t="s">
        <v>28</v>
      </c>
      <c r="I428" t="s">
        <v>1833</v>
      </c>
      <c r="J428" t="s">
        <v>63</v>
      </c>
      <c r="K428" t="s">
        <v>1200</v>
      </c>
      <c r="L428" t="s">
        <v>48</v>
      </c>
      <c r="M428">
        <v>100</v>
      </c>
      <c r="N428" t="s">
        <v>49</v>
      </c>
      <c r="O428" t="s">
        <v>1834</v>
      </c>
      <c r="P428" t="s">
        <v>1732</v>
      </c>
      <c r="Q428" t="s">
        <v>1835</v>
      </c>
      <c r="R428" t="s">
        <v>53</v>
      </c>
      <c r="S428" t="s">
        <v>1734</v>
      </c>
      <c r="T428" t="s">
        <v>55</v>
      </c>
      <c r="U428" t="s">
        <v>56</v>
      </c>
      <c r="V428" t="s">
        <v>56</v>
      </c>
    </row>
    <row r="429" spans="1:22" x14ac:dyDescent="0.3">
      <c r="A429" s="49">
        <v>45546</v>
      </c>
      <c r="B429" t="s">
        <v>1443</v>
      </c>
      <c r="C429" t="s">
        <v>1444</v>
      </c>
      <c r="D429" t="s">
        <v>173</v>
      </c>
      <c r="E429" t="s">
        <v>361</v>
      </c>
      <c r="F429" t="s">
        <v>362</v>
      </c>
      <c r="G429" t="s">
        <v>1836</v>
      </c>
      <c r="H429" t="s">
        <v>28</v>
      </c>
      <c r="I429" t="s">
        <v>1837</v>
      </c>
      <c r="J429" t="s">
        <v>63</v>
      </c>
      <c r="K429" t="s">
        <v>197</v>
      </c>
      <c r="L429" t="s">
        <v>32</v>
      </c>
      <c r="M429">
        <v>60</v>
      </c>
      <c r="N429" t="s">
        <v>49</v>
      </c>
      <c r="O429" t="s">
        <v>1838</v>
      </c>
      <c r="P429" t="s">
        <v>85</v>
      </c>
      <c r="Q429" t="s">
        <v>1839</v>
      </c>
      <c r="R429" t="s">
        <v>37</v>
      </c>
      <c r="S429" t="s">
        <v>1840</v>
      </c>
      <c r="T429" t="s">
        <v>55</v>
      </c>
      <c r="U429" t="s">
        <v>56</v>
      </c>
      <c r="V429" t="s">
        <v>56</v>
      </c>
    </row>
    <row r="430" spans="1:22" x14ac:dyDescent="0.3">
      <c r="A430" s="49">
        <v>45546</v>
      </c>
      <c r="B430" t="s">
        <v>457</v>
      </c>
      <c r="C430" t="s">
        <v>458</v>
      </c>
      <c r="D430" t="s">
        <v>24</v>
      </c>
      <c r="E430" t="s">
        <v>1615</v>
      </c>
      <c r="F430" t="s">
        <v>1616</v>
      </c>
      <c r="G430" t="s">
        <v>1841</v>
      </c>
      <c r="H430" t="s">
        <v>28</v>
      </c>
      <c r="I430" t="s">
        <v>1842</v>
      </c>
      <c r="J430" t="s">
        <v>63</v>
      </c>
      <c r="K430" t="s">
        <v>119</v>
      </c>
      <c r="L430" t="s">
        <v>48</v>
      </c>
      <c r="M430">
        <v>50</v>
      </c>
      <c r="N430" t="s">
        <v>49</v>
      </c>
      <c r="O430" t="s">
        <v>1740</v>
      </c>
      <c r="P430" t="s">
        <v>1159</v>
      </c>
      <c r="Q430" t="s">
        <v>1843</v>
      </c>
      <c r="R430" t="s">
        <v>53</v>
      </c>
      <c r="S430" t="s">
        <v>1741</v>
      </c>
      <c r="T430" t="s">
        <v>39</v>
      </c>
      <c r="U430" t="s">
        <v>40</v>
      </c>
      <c r="V430" t="s">
        <v>41</v>
      </c>
    </row>
    <row r="431" spans="1:22" x14ac:dyDescent="0.3">
      <c r="A431" s="49">
        <v>45546</v>
      </c>
      <c r="B431" t="s">
        <v>1443</v>
      </c>
      <c r="C431" t="s">
        <v>1444</v>
      </c>
      <c r="D431" t="s">
        <v>173</v>
      </c>
      <c r="E431" t="s">
        <v>1844</v>
      </c>
      <c r="F431" t="s">
        <v>1845</v>
      </c>
      <c r="G431" t="s">
        <v>1846</v>
      </c>
      <c r="H431" t="s">
        <v>28</v>
      </c>
      <c r="I431" t="s">
        <v>1847</v>
      </c>
      <c r="J431" t="s">
        <v>63</v>
      </c>
      <c r="K431" t="s">
        <v>414</v>
      </c>
      <c r="L431" t="s">
        <v>32</v>
      </c>
      <c r="M431">
        <v>50</v>
      </c>
      <c r="N431" t="s">
        <v>49</v>
      </c>
      <c r="O431" t="s">
        <v>1848</v>
      </c>
      <c r="P431" t="s">
        <v>686</v>
      </c>
      <c r="Q431" t="s">
        <v>1849</v>
      </c>
      <c r="R431" t="s">
        <v>37</v>
      </c>
      <c r="S431" t="s">
        <v>1850</v>
      </c>
      <c r="T431" t="s">
        <v>55</v>
      </c>
      <c r="U431" t="s">
        <v>56</v>
      </c>
      <c r="V431" t="s">
        <v>56</v>
      </c>
    </row>
    <row r="432" spans="1:22" x14ac:dyDescent="0.3">
      <c r="A432" s="49">
        <v>45546</v>
      </c>
      <c r="B432" t="s">
        <v>1443</v>
      </c>
      <c r="C432" t="s">
        <v>1444</v>
      </c>
      <c r="D432" t="s">
        <v>173</v>
      </c>
      <c r="E432" t="s">
        <v>1851</v>
      </c>
      <c r="F432" t="s">
        <v>1852</v>
      </c>
      <c r="G432" t="s">
        <v>1853</v>
      </c>
      <c r="H432" t="s">
        <v>89</v>
      </c>
      <c r="J432" t="s">
        <v>63</v>
      </c>
      <c r="K432" t="s">
        <v>414</v>
      </c>
      <c r="L432" t="s">
        <v>32</v>
      </c>
      <c r="M432">
        <v>75</v>
      </c>
      <c r="N432" t="s">
        <v>49</v>
      </c>
      <c r="O432" t="s">
        <v>1854</v>
      </c>
      <c r="P432" t="s">
        <v>1189</v>
      </c>
      <c r="Q432" t="s">
        <v>1855</v>
      </c>
      <c r="R432" t="s">
        <v>37</v>
      </c>
      <c r="S432" t="s">
        <v>1856</v>
      </c>
      <c r="T432" t="s">
        <v>55</v>
      </c>
      <c r="U432" t="s">
        <v>56</v>
      </c>
      <c r="V432" t="s">
        <v>56</v>
      </c>
    </row>
    <row r="433" spans="1:22" x14ac:dyDescent="0.3">
      <c r="A433" s="49">
        <v>45546</v>
      </c>
      <c r="B433" t="s">
        <v>457</v>
      </c>
      <c r="C433" t="s">
        <v>458</v>
      </c>
      <c r="D433" t="s">
        <v>24</v>
      </c>
      <c r="E433" t="s">
        <v>1753</v>
      </c>
      <c r="F433" t="s">
        <v>1754</v>
      </c>
      <c r="G433" t="s">
        <v>1857</v>
      </c>
      <c r="H433" t="s">
        <v>28</v>
      </c>
      <c r="I433" t="s">
        <v>1858</v>
      </c>
      <c r="J433" t="s">
        <v>63</v>
      </c>
      <c r="K433" t="s">
        <v>134</v>
      </c>
      <c r="L433" t="s">
        <v>1859</v>
      </c>
      <c r="M433">
        <v>100</v>
      </c>
      <c r="N433" t="s">
        <v>49</v>
      </c>
      <c r="O433" t="s">
        <v>1759</v>
      </c>
      <c r="P433" t="s">
        <v>416</v>
      </c>
      <c r="Q433" t="s">
        <v>1860</v>
      </c>
      <c r="R433" t="s">
        <v>1056</v>
      </c>
      <c r="S433" t="s">
        <v>1761</v>
      </c>
      <c r="T433" t="s">
        <v>1762</v>
      </c>
      <c r="U433" t="s">
        <v>1763</v>
      </c>
      <c r="V433" t="s">
        <v>56</v>
      </c>
    </row>
    <row r="434" spans="1:22" x14ac:dyDescent="0.3">
      <c r="A434" s="49">
        <v>45546</v>
      </c>
      <c r="B434" t="s">
        <v>457</v>
      </c>
      <c r="C434" t="s">
        <v>458</v>
      </c>
      <c r="D434" t="s">
        <v>24</v>
      </c>
      <c r="E434" t="s">
        <v>1401</v>
      </c>
      <c r="F434" t="s">
        <v>1402</v>
      </c>
      <c r="G434" t="s">
        <v>1861</v>
      </c>
      <c r="H434" t="s">
        <v>89</v>
      </c>
      <c r="J434" t="s">
        <v>63</v>
      </c>
      <c r="K434" t="s">
        <v>119</v>
      </c>
      <c r="L434" t="s">
        <v>48</v>
      </c>
      <c r="M434">
        <v>100</v>
      </c>
      <c r="N434" t="s">
        <v>49</v>
      </c>
      <c r="O434" t="s">
        <v>1769</v>
      </c>
      <c r="P434" t="s">
        <v>1159</v>
      </c>
      <c r="Q434" t="s">
        <v>1074</v>
      </c>
      <c r="R434" t="s">
        <v>53</v>
      </c>
      <c r="S434" t="s">
        <v>1407</v>
      </c>
      <c r="T434" t="s">
        <v>39</v>
      </c>
      <c r="U434" t="s">
        <v>40</v>
      </c>
      <c r="V434" t="s">
        <v>41</v>
      </c>
    </row>
    <row r="435" spans="1:22" x14ac:dyDescent="0.3">
      <c r="A435" s="49">
        <v>45546</v>
      </c>
      <c r="B435" t="s">
        <v>457</v>
      </c>
      <c r="C435" t="s">
        <v>458</v>
      </c>
      <c r="D435" t="s">
        <v>24</v>
      </c>
      <c r="E435" t="s">
        <v>1770</v>
      </c>
      <c r="F435" t="s">
        <v>1771</v>
      </c>
      <c r="G435" t="s">
        <v>1862</v>
      </c>
      <c r="H435" t="s">
        <v>28</v>
      </c>
      <c r="I435" t="s">
        <v>1863</v>
      </c>
      <c r="J435" t="s">
        <v>63</v>
      </c>
      <c r="K435" t="s">
        <v>119</v>
      </c>
      <c r="L435" t="s">
        <v>48</v>
      </c>
      <c r="M435">
        <v>100</v>
      </c>
      <c r="N435" t="s">
        <v>49</v>
      </c>
      <c r="O435" t="s">
        <v>1774</v>
      </c>
      <c r="P435" t="s">
        <v>829</v>
      </c>
      <c r="Q435" t="s">
        <v>1074</v>
      </c>
      <c r="R435" t="s">
        <v>53</v>
      </c>
      <c r="S435" t="s">
        <v>1775</v>
      </c>
      <c r="T435" t="s">
        <v>1762</v>
      </c>
      <c r="U435" t="s">
        <v>1763</v>
      </c>
      <c r="V435" t="s">
        <v>56</v>
      </c>
    </row>
    <row r="436" spans="1:22" x14ac:dyDescent="0.3">
      <c r="A436" s="49">
        <v>45546</v>
      </c>
      <c r="B436" t="s">
        <v>457</v>
      </c>
      <c r="C436" t="s">
        <v>458</v>
      </c>
      <c r="D436" t="s">
        <v>24</v>
      </c>
      <c r="E436" t="s">
        <v>1776</v>
      </c>
      <c r="F436" t="s">
        <v>1777</v>
      </c>
      <c r="G436" t="s">
        <v>1864</v>
      </c>
      <c r="H436" t="s">
        <v>28</v>
      </c>
      <c r="I436" t="s">
        <v>1865</v>
      </c>
      <c r="J436" t="s">
        <v>46</v>
      </c>
      <c r="K436" t="s">
        <v>1166</v>
      </c>
      <c r="L436" t="s">
        <v>48</v>
      </c>
      <c r="M436">
        <v>100</v>
      </c>
      <c r="N436" t="s">
        <v>49</v>
      </c>
      <c r="O436" t="s">
        <v>1780</v>
      </c>
      <c r="P436" t="s">
        <v>287</v>
      </c>
      <c r="Q436" t="s">
        <v>146</v>
      </c>
      <c r="R436" t="s">
        <v>53</v>
      </c>
      <c r="S436" t="s">
        <v>1782</v>
      </c>
      <c r="T436" t="s">
        <v>1762</v>
      </c>
      <c r="U436" t="s">
        <v>1763</v>
      </c>
      <c r="V436" t="s">
        <v>56</v>
      </c>
    </row>
    <row r="437" spans="1:22" x14ac:dyDescent="0.3">
      <c r="A437" s="49">
        <v>45546</v>
      </c>
      <c r="B437" t="s">
        <v>457</v>
      </c>
      <c r="C437" t="s">
        <v>458</v>
      </c>
      <c r="D437" t="s">
        <v>24</v>
      </c>
      <c r="E437" t="s">
        <v>1222</v>
      </c>
      <c r="F437" t="s">
        <v>1223</v>
      </c>
      <c r="G437" t="s">
        <v>1229</v>
      </c>
      <c r="H437" t="s">
        <v>89</v>
      </c>
      <c r="J437" t="s">
        <v>63</v>
      </c>
      <c r="K437" t="s">
        <v>119</v>
      </c>
      <c r="L437" t="s">
        <v>48</v>
      </c>
      <c r="M437">
        <v>0</v>
      </c>
      <c r="N437" t="s">
        <v>74</v>
      </c>
      <c r="O437" t="s">
        <v>1799</v>
      </c>
      <c r="P437" t="s">
        <v>106</v>
      </c>
      <c r="Q437" t="s">
        <v>1231</v>
      </c>
      <c r="R437" t="s">
        <v>53</v>
      </c>
      <c r="S437" t="s">
        <v>1232</v>
      </c>
      <c r="T437" t="s">
        <v>55</v>
      </c>
      <c r="U437" t="s">
        <v>56</v>
      </c>
      <c r="V437" t="s">
        <v>56</v>
      </c>
    </row>
    <row r="438" spans="1:22" x14ac:dyDescent="0.3">
      <c r="A438" s="49">
        <v>45546</v>
      </c>
      <c r="B438" t="s">
        <v>457</v>
      </c>
      <c r="C438" t="s">
        <v>458</v>
      </c>
      <c r="D438" t="s">
        <v>173</v>
      </c>
      <c r="E438" t="s">
        <v>1866</v>
      </c>
      <c r="F438" t="s">
        <v>1867</v>
      </c>
      <c r="G438" t="s">
        <v>1868</v>
      </c>
      <c r="H438" t="s">
        <v>89</v>
      </c>
      <c r="J438" t="s">
        <v>46</v>
      </c>
      <c r="K438" t="s">
        <v>1166</v>
      </c>
      <c r="L438" t="s">
        <v>1869</v>
      </c>
      <c r="M438">
        <v>100</v>
      </c>
      <c r="N438" t="s">
        <v>49</v>
      </c>
      <c r="O438" t="s">
        <v>1870</v>
      </c>
      <c r="P438" t="s">
        <v>106</v>
      </c>
      <c r="Q438" t="s">
        <v>1871</v>
      </c>
      <c r="R438" t="s">
        <v>53</v>
      </c>
      <c r="S438" t="s">
        <v>1872</v>
      </c>
      <c r="T438" t="s">
        <v>55</v>
      </c>
      <c r="U438" t="s">
        <v>56</v>
      </c>
      <c r="V438" t="s">
        <v>56</v>
      </c>
    </row>
    <row r="439" spans="1:22" x14ac:dyDescent="0.3">
      <c r="A439" s="49">
        <v>45546</v>
      </c>
      <c r="B439" t="s">
        <v>1443</v>
      </c>
      <c r="C439" t="s">
        <v>1444</v>
      </c>
      <c r="D439" t="s">
        <v>173</v>
      </c>
      <c r="E439" t="s">
        <v>1873</v>
      </c>
      <c r="F439" t="s">
        <v>1874</v>
      </c>
      <c r="G439" t="s">
        <v>1875</v>
      </c>
      <c r="H439" t="s">
        <v>28</v>
      </c>
      <c r="I439" t="s">
        <v>1876</v>
      </c>
      <c r="J439" t="s">
        <v>46</v>
      </c>
      <c r="K439" t="s">
        <v>481</v>
      </c>
      <c r="L439" t="s">
        <v>641</v>
      </c>
      <c r="M439">
        <v>100</v>
      </c>
      <c r="N439" t="s">
        <v>49</v>
      </c>
      <c r="O439" t="s">
        <v>1877</v>
      </c>
      <c r="P439" t="s">
        <v>1878</v>
      </c>
      <c r="Q439" t="s">
        <v>1879</v>
      </c>
      <c r="R439" t="s">
        <v>1880</v>
      </c>
      <c r="S439" t="s">
        <v>1881</v>
      </c>
      <c r="T439" t="s">
        <v>55</v>
      </c>
      <c r="U439" t="s">
        <v>56</v>
      </c>
      <c r="V439" t="s">
        <v>56</v>
      </c>
    </row>
    <row r="440" spans="1:22" x14ac:dyDescent="0.3">
      <c r="A440" s="49">
        <v>45545</v>
      </c>
      <c r="B440" t="s">
        <v>22</v>
      </c>
      <c r="C440" t="s">
        <v>23</v>
      </c>
      <c r="D440" t="s">
        <v>173</v>
      </c>
      <c r="E440" t="s">
        <v>1252</v>
      </c>
      <c r="F440" t="s">
        <v>1253</v>
      </c>
      <c r="G440" t="s">
        <v>1695</v>
      </c>
      <c r="H440" t="s">
        <v>89</v>
      </c>
      <c r="J440" t="s">
        <v>63</v>
      </c>
      <c r="K440" t="s">
        <v>64</v>
      </c>
      <c r="L440" t="s">
        <v>32</v>
      </c>
      <c r="M440">
        <v>100</v>
      </c>
      <c r="N440" t="s">
        <v>49</v>
      </c>
      <c r="O440" t="s">
        <v>1696</v>
      </c>
      <c r="P440" t="s">
        <v>1697</v>
      </c>
      <c r="Q440" t="s">
        <v>1698</v>
      </c>
      <c r="R440" t="s">
        <v>37</v>
      </c>
      <c r="S440" t="s">
        <v>1699</v>
      </c>
      <c r="T440" t="s">
        <v>55</v>
      </c>
      <c r="U440" t="s">
        <v>56</v>
      </c>
      <c r="V440" t="s">
        <v>56</v>
      </c>
    </row>
    <row r="441" spans="1:22" x14ac:dyDescent="0.3">
      <c r="A441" s="49">
        <v>45545</v>
      </c>
      <c r="B441" t="s">
        <v>22</v>
      </c>
      <c r="C441" t="s">
        <v>23</v>
      </c>
      <c r="D441" t="s">
        <v>24</v>
      </c>
      <c r="E441" t="s">
        <v>1252</v>
      </c>
      <c r="F441" t="s">
        <v>1253</v>
      </c>
      <c r="G441" t="s">
        <v>1695</v>
      </c>
      <c r="H441" t="s">
        <v>89</v>
      </c>
      <c r="J441" t="s">
        <v>63</v>
      </c>
      <c r="K441" t="s">
        <v>64</v>
      </c>
      <c r="L441" t="s">
        <v>32</v>
      </c>
      <c r="M441">
        <v>50</v>
      </c>
      <c r="N441" t="s">
        <v>49</v>
      </c>
      <c r="O441" t="s">
        <v>1696</v>
      </c>
      <c r="P441" t="s">
        <v>1697</v>
      </c>
      <c r="Q441" t="s">
        <v>889</v>
      </c>
      <c r="R441" t="s">
        <v>37</v>
      </c>
      <c r="S441" t="s">
        <v>1700</v>
      </c>
      <c r="T441" t="s">
        <v>55</v>
      </c>
      <c r="U441" t="s">
        <v>56</v>
      </c>
      <c r="V441" t="s">
        <v>56</v>
      </c>
    </row>
    <row r="442" spans="1:22" x14ac:dyDescent="0.3">
      <c r="A442" s="49">
        <v>45545</v>
      </c>
      <c r="B442" t="s">
        <v>457</v>
      </c>
      <c r="C442" t="s">
        <v>458</v>
      </c>
      <c r="D442" t="s">
        <v>173</v>
      </c>
      <c r="E442" t="s">
        <v>661</v>
      </c>
      <c r="F442" t="s">
        <v>662</v>
      </c>
      <c r="G442" t="s">
        <v>1469</v>
      </c>
      <c r="H442" t="s">
        <v>89</v>
      </c>
      <c r="J442" t="s">
        <v>63</v>
      </c>
      <c r="K442" t="s">
        <v>64</v>
      </c>
      <c r="L442" t="s">
        <v>32</v>
      </c>
      <c r="M442">
        <v>100</v>
      </c>
      <c r="N442" t="s">
        <v>49</v>
      </c>
      <c r="O442" t="s">
        <v>1470</v>
      </c>
      <c r="P442" t="s">
        <v>1701</v>
      </c>
      <c r="Q442" t="s">
        <v>244</v>
      </c>
      <c r="R442" t="s">
        <v>37</v>
      </c>
      <c r="S442" t="s">
        <v>1471</v>
      </c>
      <c r="T442" t="s">
        <v>39</v>
      </c>
      <c r="U442" t="s">
        <v>40</v>
      </c>
      <c r="V442" t="s">
        <v>41</v>
      </c>
    </row>
    <row r="443" spans="1:22" x14ac:dyDescent="0.3">
      <c r="A443" s="49">
        <v>45545</v>
      </c>
      <c r="B443" t="s">
        <v>457</v>
      </c>
      <c r="C443" t="s">
        <v>458</v>
      </c>
      <c r="D443" t="s">
        <v>173</v>
      </c>
      <c r="E443" t="s">
        <v>1477</v>
      </c>
      <c r="F443" t="s">
        <v>1478</v>
      </c>
      <c r="G443" t="s">
        <v>1702</v>
      </c>
      <c r="H443" t="s">
        <v>89</v>
      </c>
      <c r="J443" t="s">
        <v>63</v>
      </c>
      <c r="K443" t="s">
        <v>64</v>
      </c>
      <c r="L443" t="s">
        <v>32</v>
      </c>
      <c r="M443">
        <v>60</v>
      </c>
      <c r="N443" t="s">
        <v>49</v>
      </c>
      <c r="O443" t="s">
        <v>1703</v>
      </c>
      <c r="P443" t="s">
        <v>306</v>
      </c>
      <c r="Q443" t="s">
        <v>1698</v>
      </c>
      <c r="R443" t="s">
        <v>37</v>
      </c>
      <c r="S443" t="s">
        <v>1704</v>
      </c>
      <c r="T443" t="s">
        <v>55</v>
      </c>
      <c r="U443" t="s">
        <v>56</v>
      </c>
      <c r="V443" t="s">
        <v>56</v>
      </c>
    </row>
    <row r="444" spans="1:22" x14ac:dyDescent="0.3">
      <c r="A444" s="49">
        <v>45545</v>
      </c>
      <c r="B444" t="s">
        <v>457</v>
      </c>
      <c r="C444" t="s">
        <v>458</v>
      </c>
      <c r="D444" t="s">
        <v>24</v>
      </c>
      <c r="E444" t="s">
        <v>1705</v>
      </c>
      <c r="F444" t="s">
        <v>302</v>
      </c>
      <c r="G444" t="s">
        <v>1706</v>
      </c>
      <c r="H444" t="s">
        <v>89</v>
      </c>
      <c r="J444" t="s">
        <v>63</v>
      </c>
      <c r="K444" t="s">
        <v>64</v>
      </c>
      <c r="L444" t="s">
        <v>32</v>
      </c>
      <c r="M444">
        <v>100</v>
      </c>
      <c r="N444" t="s">
        <v>49</v>
      </c>
      <c r="O444" t="s">
        <v>1707</v>
      </c>
      <c r="P444" t="s">
        <v>1597</v>
      </c>
      <c r="Q444" t="s">
        <v>1362</v>
      </c>
      <c r="R444" t="s">
        <v>37</v>
      </c>
      <c r="S444" t="s">
        <v>1708</v>
      </c>
      <c r="T444" t="s">
        <v>55</v>
      </c>
      <c r="U444" t="s">
        <v>56</v>
      </c>
      <c r="V444" t="s">
        <v>56</v>
      </c>
    </row>
    <row r="445" spans="1:22" x14ac:dyDescent="0.3">
      <c r="A445" s="49">
        <v>45545</v>
      </c>
      <c r="B445" t="s">
        <v>1443</v>
      </c>
      <c r="C445" t="s">
        <v>1444</v>
      </c>
      <c r="D445" t="s">
        <v>24</v>
      </c>
      <c r="E445" t="s">
        <v>1709</v>
      </c>
      <c r="F445" t="s">
        <v>1710</v>
      </c>
      <c r="G445" t="s">
        <v>1711</v>
      </c>
      <c r="H445" t="s">
        <v>89</v>
      </c>
      <c r="J445" t="s">
        <v>46</v>
      </c>
      <c r="K445" t="s">
        <v>481</v>
      </c>
      <c r="L445" t="s">
        <v>1712</v>
      </c>
      <c r="M445">
        <v>100</v>
      </c>
      <c r="N445" t="s">
        <v>49</v>
      </c>
      <c r="O445" t="s">
        <v>1713</v>
      </c>
      <c r="P445" t="s">
        <v>686</v>
      </c>
      <c r="Q445" t="s">
        <v>1714</v>
      </c>
      <c r="R445" t="s">
        <v>37</v>
      </c>
      <c r="S445" t="s">
        <v>1715</v>
      </c>
      <c r="T445" t="s">
        <v>55</v>
      </c>
      <c r="U445" t="s">
        <v>56</v>
      </c>
      <c r="V445" t="s">
        <v>56</v>
      </c>
    </row>
    <row r="446" spans="1:22" x14ac:dyDescent="0.3">
      <c r="A446" s="49">
        <v>45545</v>
      </c>
      <c r="B446" t="s">
        <v>1443</v>
      </c>
      <c r="C446" t="s">
        <v>1444</v>
      </c>
      <c r="D446" t="s">
        <v>24</v>
      </c>
      <c r="E446" t="s">
        <v>1716</v>
      </c>
      <c r="F446" t="s">
        <v>1717</v>
      </c>
      <c r="G446" t="s">
        <v>1718</v>
      </c>
      <c r="H446" t="s">
        <v>28</v>
      </c>
      <c r="I446" t="s">
        <v>1719</v>
      </c>
      <c r="J446" t="s">
        <v>63</v>
      </c>
      <c r="K446" t="s">
        <v>64</v>
      </c>
      <c r="L446" t="s">
        <v>32</v>
      </c>
      <c r="M446">
        <v>30</v>
      </c>
      <c r="N446" t="s">
        <v>33</v>
      </c>
      <c r="O446" t="s">
        <v>1720</v>
      </c>
      <c r="P446" t="s">
        <v>205</v>
      </c>
      <c r="Q446" t="s">
        <v>1721</v>
      </c>
      <c r="R446" t="s">
        <v>37</v>
      </c>
      <c r="S446" t="s">
        <v>1722</v>
      </c>
      <c r="T446" t="s">
        <v>55</v>
      </c>
      <c r="U446" t="s">
        <v>56</v>
      </c>
      <c r="V446" t="s">
        <v>56</v>
      </c>
    </row>
    <row r="447" spans="1:22" x14ac:dyDescent="0.3">
      <c r="A447" s="49">
        <v>45545</v>
      </c>
      <c r="B447" t="s">
        <v>22</v>
      </c>
      <c r="C447" t="s">
        <v>23</v>
      </c>
      <c r="D447" t="s">
        <v>173</v>
      </c>
      <c r="E447" t="s">
        <v>1723</v>
      </c>
      <c r="F447" t="s">
        <v>1724</v>
      </c>
      <c r="G447" t="s">
        <v>1725</v>
      </c>
      <c r="H447" t="s">
        <v>89</v>
      </c>
      <c r="J447" t="s">
        <v>63</v>
      </c>
      <c r="K447" t="s">
        <v>197</v>
      </c>
      <c r="L447" t="s">
        <v>32</v>
      </c>
      <c r="M447">
        <v>100</v>
      </c>
      <c r="N447" t="s">
        <v>49</v>
      </c>
      <c r="O447" t="s">
        <v>1726</v>
      </c>
      <c r="P447" t="s">
        <v>1727</v>
      </c>
      <c r="Q447" t="s">
        <v>506</v>
      </c>
      <c r="R447" t="s">
        <v>37</v>
      </c>
      <c r="S447" t="s">
        <v>1728</v>
      </c>
      <c r="T447" t="s">
        <v>55</v>
      </c>
      <c r="U447" t="s">
        <v>56</v>
      </c>
      <c r="V447" t="s">
        <v>56</v>
      </c>
    </row>
    <row r="448" spans="1:22" x14ac:dyDescent="0.3">
      <c r="A448" s="49">
        <v>45545</v>
      </c>
      <c r="B448" t="s">
        <v>22</v>
      </c>
      <c r="C448" t="s">
        <v>23</v>
      </c>
      <c r="D448" t="s">
        <v>24</v>
      </c>
      <c r="E448" t="s">
        <v>1107</v>
      </c>
      <c r="F448" t="s">
        <v>624</v>
      </c>
      <c r="G448" t="s">
        <v>1729</v>
      </c>
      <c r="H448" t="s">
        <v>28</v>
      </c>
      <c r="I448" t="s">
        <v>1730</v>
      </c>
      <c r="J448" t="s">
        <v>63</v>
      </c>
      <c r="K448" t="s">
        <v>197</v>
      </c>
      <c r="L448" t="s">
        <v>32</v>
      </c>
      <c r="M448">
        <v>100</v>
      </c>
      <c r="N448" t="s">
        <v>49</v>
      </c>
      <c r="O448" t="s">
        <v>1731</v>
      </c>
      <c r="P448" t="s">
        <v>1732</v>
      </c>
      <c r="Q448" t="s">
        <v>1733</v>
      </c>
      <c r="R448" t="s">
        <v>37</v>
      </c>
      <c r="S448" t="s">
        <v>1734</v>
      </c>
      <c r="T448" t="s">
        <v>55</v>
      </c>
      <c r="U448" t="s">
        <v>56</v>
      </c>
      <c r="V448" t="s">
        <v>56</v>
      </c>
    </row>
    <row r="449" spans="1:22" x14ac:dyDescent="0.3">
      <c r="A449" s="49">
        <v>45545</v>
      </c>
      <c r="B449" t="s">
        <v>22</v>
      </c>
      <c r="C449" t="s">
        <v>23</v>
      </c>
      <c r="D449" t="s">
        <v>173</v>
      </c>
      <c r="E449" t="s">
        <v>1344</v>
      </c>
      <c r="F449" t="s">
        <v>1345</v>
      </c>
      <c r="G449" t="s">
        <v>1346</v>
      </c>
      <c r="H449" t="s">
        <v>89</v>
      </c>
      <c r="J449" t="s">
        <v>46</v>
      </c>
      <c r="K449" t="s">
        <v>481</v>
      </c>
      <c r="L449" t="s">
        <v>1712</v>
      </c>
      <c r="M449">
        <v>50</v>
      </c>
      <c r="N449" t="s">
        <v>49</v>
      </c>
      <c r="O449" t="s">
        <v>1735</v>
      </c>
      <c r="P449" t="s">
        <v>106</v>
      </c>
      <c r="Q449" t="s">
        <v>1736</v>
      </c>
      <c r="R449" t="s">
        <v>37</v>
      </c>
      <c r="S449" t="s">
        <v>1737</v>
      </c>
      <c r="T449" t="s">
        <v>55</v>
      </c>
      <c r="U449" t="s">
        <v>56</v>
      </c>
      <c r="V449" t="s">
        <v>56</v>
      </c>
    </row>
    <row r="450" spans="1:22" x14ac:dyDescent="0.3">
      <c r="A450" s="49">
        <v>45545</v>
      </c>
      <c r="B450" t="s">
        <v>22</v>
      </c>
      <c r="C450" t="s">
        <v>23</v>
      </c>
      <c r="D450" t="s">
        <v>24</v>
      </c>
      <c r="E450" t="s">
        <v>1615</v>
      </c>
      <c r="F450" t="s">
        <v>1616</v>
      </c>
      <c r="G450" t="s">
        <v>1738</v>
      </c>
      <c r="H450" t="s">
        <v>28</v>
      </c>
      <c r="I450" t="s">
        <v>1739</v>
      </c>
      <c r="J450" t="s">
        <v>63</v>
      </c>
      <c r="K450" t="s">
        <v>64</v>
      </c>
      <c r="L450" t="s">
        <v>32</v>
      </c>
      <c r="M450">
        <v>50</v>
      </c>
      <c r="N450" t="s">
        <v>49</v>
      </c>
      <c r="O450" t="s">
        <v>1740</v>
      </c>
      <c r="P450" t="s">
        <v>1159</v>
      </c>
      <c r="Q450" t="s">
        <v>1632</v>
      </c>
      <c r="R450" t="s">
        <v>37</v>
      </c>
      <c r="S450" t="s">
        <v>1741</v>
      </c>
      <c r="T450" t="s">
        <v>39</v>
      </c>
      <c r="U450" t="s">
        <v>40</v>
      </c>
      <c r="V450" t="s">
        <v>41</v>
      </c>
    </row>
    <row r="451" spans="1:22" x14ac:dyDescent="0.3">
      <c r="A451" s="49">
        <v>45545</v>
      </c>
      <c r="B451" t="s">
        <v>1443</v>
      </c>
      <c r="C451" t="s">
        <v>1444</v>
      </c>
      <c r="D451" t="s">
        <v>173</v>
      </c>
      <c r="E451" t="s">
        <v>1622</v>
      </c>
      <c r="F451" t="s">
        <v>1623</v>
      </c>
      <c r="G451" t="s">
        <v>1742</v>
      </c>
      <c r="H451" t="s">
        <v>89</v>
      </c>
      <c r="J451" t="s">
        <v>63</v>
      </c>
      <c r="K451" t="s">
        <v>197</v>
      </c>
      <c r="L451" t="s">
        <v>32</v>
      </c>
      <c r="M451">
        <v>0</v>
      </c>
      <c r="N451" t="s">
        <v>74</v>
      </c>
      <c r="O451" t="s">
        <v>1743</v>
      </c>
      <c r="P451" t="s">
        <v>106</v>
      </c>
      <c r="Q451" t="s">
        <v>1625</v>
      </c>
      <c r="R451" t="s">
        <v>37</v>
      </c>
      <c r="S451" t="s">
        <v>1626</v>
      </c>
      <c r="T451" t="s">
        <v>55</v>
      </c>
      <c r="U451" t="s">
        <v>56</v>
      </c>
      <c r="V451" t="s">
        <v>56</v>
      </c>
    </row>
    <row r="452" spans="1:22" x14ac:dyDescent="0.3">
      <c r="A452" s="49">
        <v>45545</v>
      </c>
      <c r="B452" t="s">
        <v>1443</v>
      </c>
      <c r="C452" t="s">
        <v>1444</v>
      </c>
      <c r="D452" t="s">
        <v>24</v>
      </c>
      <c r="E452" t="s">
        <v>1627</v>
      </c>
      <c r="F452" t="s">
        <v>1628</v>
      </c>
      <c r="G452" t="s">
        <v>1744</v>
      </c>
      <c r="H452" t="s">
        <v>28</v>
      </c>
      <c r="I452" t="s">
        <v>1745</v>
      </c>
      <c r="J452" t="s">
        <v>63</v>
      </c>
      <c r="K452" t="s">
        <v>64</v>
      </c>
      <c r="L452" t="s">
        <v>32</v>
      </c>
      <c r="M452">
        <v>100</v>
      </c>
      <c r="N452" t="s">
        <v>33</v>
      </c>
      <c r="O452" t="s">
        <v>1631</v>
      </c>
      <c r="P452" t="s">
        <v>85</v>
      </c>
      <c r="Q452" t="s">
        <v>1746</v>
      </c>
      <c r="R452" t="s">
        <v>37</v>
      </c>
      <c r="S452" t="s">
        <v>1633</v>
      </c>
      <c r="T452" t="s">
        <v>55</v>
      </c>
      <c r="U452" t="s">
        <v>56</v>
      </c>
      <c r="V452" t="s">
        <v>56</v>
      </c>
    </row>
    <row r="453" spans="1:22" x14ac:dyDescent="0.3">
      <c r="A453" s="49">
        <v>45545</v>
      </c>
      <c r="B453" t="s">
        <v>1443</v>
      </c>
      <c r="C453" t="s">
        <v>1444</v>
      </c>
      <c r="D453" t="s">
        <v>24</v>
      </c>
      <c r="E453" t="s">
        <v>1627</v>
      </c>
      <c r="F453" t="s">
        <v>1628</v>
      </c>
      <c r="G453" t="s">
        <v>1747</v>
      </c>
      <c r="H453" t="s">
        <v>28</v>
      </c>
      <c r="I453" t="s">
        <v>1745</v>
      </c>
      <c r="J453" t="s">
        <v>63</v>
      </c>
      <c r="K453" t="s">
        <v>414</v>
      </c>
      <c r="L453" t="s">
        <v>32</v>
      </c>
      <c r="M453">
        <v>100</v>
      </c>
      <c r="N453" t="s">
        <v>33</v>
      </c>
      <c r="O453" t="s">
        <v>1631</v>
      </c>
      <c r="P453" t="s">
        <v>85</v>
      </c>
      <c r="Q453" t="s">
        <v>1632</v>
      </c>
      <c r="R453" t="s">
        <v>37</v>
      </c>
      <c r="S453" t="s">
        <v>1633</v>
      </c>
      <c r="T453" t="s">
        <v>55</v>
      </c>
      <c r="U453" t="s">
        <v>56</v>
      </c>
      <c r="V453" t="s">
        <v>56</v>
      </c>
    </row>
    <row r="454" spans="1:22" x14ac:dyDescent="0.3">
      <c r="A454" s="49">
        <v>45545</v>
      </c>
      <c r="B454" t="s">
        <v>1443</v>
      </c>
      <c r="C454" t="s">
        <v>1444</v>
      </c>
      <c r="D454" t="s">
        <v>24</v>
      </c>
      <c r="E454" t="s">
        <v>1748</v>
      </c>
      <c r="F454" t="s">
        <v>1749</v>
      </c>
      <c r="G454" t="s">
        <v>1750</v>
      </c>
      <c r="H454" t="s">
        <v>89</v>
      </c>
      <c r="J454" t="s">
        <v>63</v>
      </c>
      <c r="K454" t="s">
        <v>64</v>
      </c>
      <c r="L454" t="s">
        <v>32</v>
      </c>
      <c r="M454">
        <v>25</v>
      </c>
      <c r="N454" t="s">
        <v>49</v>
      </c>
      <c r="O454" t="s">
        <v>1751</v>
      </c>
      <c r="P454" t="s">
        <v>205</v>
      </c>
      <c r="Q454" t="s">
        <v>643</v>
      </c>
      <c r="R454" t="s">
        <v>37</v>
      </c>
      <c r="S454" t="s">
        <v>1752</v>
      </c>
      <c r="T454" t="s">
        <v>55</v>
      </c>
      <c r="U454" t="s">
        <v>56</v>
      </c>
      <c r="V454" t="s">
        <v>56</v>
      </c>
    </row>
    <row r="455" spans="1:22" x14ac:dyDescent="0.3">
      <c r="A455" s="49">
        <v>45545</v>
      </c>
      <c r="B455" t="s">
        <v>22</v>
      </c>
      <c r="C455" t="s">
        <v>23</v>
      </c>
      <c r="D455" t="s">
        <v>173</v>
      </c>
      <c r="E455" t="s">
        <v>1753</v>
      </c>
      <c r="F455" t="s">
        <v>1754</v>
      </c>
      <c r="G455" t="s">
        <v>1755</v>
      </c>
      <c r="H455" t="s">
        <v>28</v>
      </c>
      <c r="I455" t="s">
        <v>1756</v>
      </c>
      <c r="J455" t="s">
        <v>63</v>
      </c>
      <c r="K455" t="s">
        <v>1757</v>
      </c>
      <c r="L455" t="s">
        <v>1758</v>
      </c>
      <c r="M455">
        <v>100</v>
      </c>
      <c r="N455" t="s">
        <v>49</v>
      </c>
      <c r="O455" t="s">
        <v>1759</v>
      </c>
      <c r="P455" t="s">
        <v>416</v>
      </c>
      <c r="Q455" t="s">
        <v>1760</v>
      </c>
      <c r="R455" t="s">
        <v>783</v>
      </c>
      <c r="S455" t="s">
        <v>1761</v>
      </c>
      <c r="T455" t="s">
        <v>1762</v>
      </c>
      <c r="U455" t="s">
        <v>1763</v>
      </c>
      <c r="V455" t="s">
        <v>56</v>
      </c>
    </row>
    <row r="456" spans="1:22" x14ac:dyDescent="0.3">
      <c r="A456" s="49">
        <v>45545</v>
      </c>
      <c r="B456" t="s">
        <v>1443</v>
      </c>
      <c r="C456" t="s">
        <v>1444</v>
      </c>
      <c r="D456" t="s">
        <v>24</v>
      </c>
      <c r="E456" t="s">
        <v>376</v>
      </c>
      <c r="F456" t="s">
        <v>377</v>
      </c>
      <c r="G456" t="s">
        <v>1764</v>
      </c>
      <c r="H456" t="s">
        <v>28</v>
      </c>
      <c r="I456" t="s">
        <v>1765</v>
      </c>
      <c r="J456" t="s">
        <v>63</v>
      </c>
      <c r="K456" t="s">
        <v>64</v>
      </c>
      <c r="L456" t="s">
        <v>32</v>
      </c>
      <c r="M456">
        <v>100</v>
      </c>
      <c r="N456" t="s">
        <v>49</v>
      </c>
      <c r="O456" t="s">
        <v>1766</v>
      </c>
      <c r="P456" t="s">
        <v>163</v>
      </c>
      <c r="Q456" t="s">
        <v>666</v>
      </c>
      <c r="R456" t="s">
        <v>37</v>
      </c>
      <c r="S456" t="s">
        <v>1767</v>
      </c>
      <c r="T456" t="s">
        <v>55</v>
      </c>
      <c r="U456" t="s">
        <v>56</v>
      </c>
      <c r="V456" t="s">
        <v>56</v>
      </c>
    </row>
    <row r="457" spans="1:22" x14ac:dyDescent="0.3">
      <c r="A457" s="49">
        <v>45545</v>
      </c>
      <c r="B457" t="s">
        <v>22</v>
      </c>
      <c r="C457" t="s">
        <v>23</v>
      </c>
      <c r="D457" t="s">
        <v>24</v>
      </c>
      <c r="E457" t="s">
        <v>1401</v>
      </c>
      <c r="F457" t="s">
        <v>1402</v>
      </c>
      <c r="G457" t="s">
        <v>1768</v>
      </c>
      <c r="H457" t="s">
        <v>89</v>
      </c>
      <c r="J457" t="s">
        <v>63</v>
      </c>
      <c r="K457" t="s">
        <v>64</v>
      </c>
      <c r="L457" t="s">
        <v>32</v>
      </c>
      <c r="M457">
        <v>100</v>
      </c>
      <c r="N457" t="s">
        <v>49</v>
      </c>
      <c r="O457" t="s">
        <v>1769</v>
      </c>
      <c r="P457" t="s">
        <v>1159</v>
      </c>
      <c r="Q457" t="s">
        <v>1413</v>
      </c>
      <c r="R457" t="s">
        <v>37</v>
      </c>
      <c r="S457" t="s">
        <v>1407</v>
      </c>
      <c r="T457" t="s">
        <v>55</v>
      </c>
      <c r="U457" t="s">
        <v>56</v>
      </c>
      <c r="V457" t="s">
        <v>56</v>
      </c>
    </row>
    <row r="458" spans="1:22" x14ac:dyDescent="0.3">
      <c r="A458" s="49">
        <v>45545</v>
      </c>
      <c r="B458" t="s">
        <v>22</v>
      </c>
      <c r="C458" t="s">
        <v>23</v>
      </c>
      <c r="D458" t="s">
        <v>173</v>
      </c>
      <c r="E458" t="s">
        <v>1770</v>
      </c>
      <c r="F458" t="s">
        <v>1771</v>
      </c>
      <c r="G458" t="s">
        <v>1772</v>
      </c>
      <c r="H458" t="s">
        <v>28</v>
      </c>
      <c r="I458" t="s">
        <v>1773</v>
      </c>
      <c r="J458" t="s">
        <v>63</v>
      </c>
      <c r="K458" t="s">
        <v>64</v>
      </c>
      <c r="L458" t="s">
        <v>32</v>
      </c>
      <c r="M458">
        <v>100</v>
      </c>
      <c r="N458" t="s">
        <v>49</v>
      </c>
      <c r="O458" t="s">
        <v>1774</v>
      </c>
      <c r="P458" t="s">
        <v>829</v>
      </c>
      <c r="Q458" t="s">
        <v>1413</v>
      </c>
      <c r="R458" t="s">
        <v>37</v>
      </c>
      <c r="S458" t="s">
        <v>1775</v>
      </c>
      <c r="T458" t="s">
        <v>1762</v>
      </c>
      <c r="U458" t="s">
        <v>1763</v>
      </c>
      <c r="V458" t="s">
        <v>56</v>
      </c>
    </row>
    <row r="459" spans="1:22" x14ac:dyDescent="0.3">
      <c r="A459" s="49">
        <v>45545</v>
      </c>
      <c r="B459" t="s">
        <v>22</v>
      </c>
      <c r="C459" t="s">
        <v>23</v>
      </c>
      <c r="D459" t="s">
        <v>24</v>
      </c>
      <c r="E459" t="s">
        <v>1776</v>
      </c>
      <c r="F459" t="s">
        <v>1777</v>
      </c>
      <c r="G459" t="s">
        <v>1778</v>
      </c>
      <c r="H459" t="s">
        <v>28</v>
      </c>
      <c r="I459" t="s">
        <v>1779</v>
      </c>
      <c r="J459" t="s">
        <v>46</v>
      </c>
      <c r="K459" t="s">
        <v>481</v>
      </c>
      <c r="L459" t="s">
        <v>32</v>
      </c>
      <c r="M459">
        <v>100</v>
      </c>
      <c r="N459" t="s">
        <v>49</v>
      </c>
      <c r="O459" t="s">
        <v>1780</v>
      </c>
      <c r="P459" t="s">
        <v>287</v>
      </c>
      <c r="Q459" t="s">
        <v>1781</v>
      </c>
      <c r="R459" t="s">
        <v>37</v>
      </c>
      <c r="S459" t="s">
        <v>1782</v>
      </c>
      <c r="T459" t="s">
        <v>1762</v>
      </c>
      <c r="U459" t="s">
        <v>1763</v>
      </c>
      <c r="V459" t="s">
        <v>56</v>
      </c>
    </row>
    <row r="460" spans="1:22" x14ac:dyDescent="0.3">
      <c r="A460" s="49">
        <v>45545</v>
      </c>
      <c r="B460" t="s">
        <v>1443</v>
      </c>
      <c r="C460" t="s">
        <v>1444</v>
      </c>
      <c r="D460" t="s">
        <v>24</v>
      </c>
      <c r="E460" t="s">
        <v>885</v>
      </c>
      <c r="F460" t="s">
        <v>886</v>
      </c>
      <c r="G460" t="s">
        <v>1783</v>
      </c>
      <c r="H460" t="s">
        <v>28</v>
      </c>
      <c r="I460" t="s">
        <v>1784</v>
      </c>
      <c r="J460" t="s">
        <v>63</v>
      </c>
      <c r="K460" t="s">
        <v>414</v>
      </c>
      <c r="L460" t="s">
        <v>1348</v>
      </c>
      <c r="M460">
        <v>17</v>
      </c>
      <c r="N460" t="s">
        <v>33</v>
      </c>
      <c r="O460" t="s">
        <v>1785</v>
      </c>
      <c r="P460" t="s">
        <v>1786</v>
      </c>
      <c r="Q460" t="s">
        <v>1787</v>
      </c>
      <c r="R460" t="s">
        <v>37</v>
      </c>
      <c r="S460" t="s">
        <v>1788</v>
      </c>
      <c r="T460" t="s">
        <v>39</v>
      </c>
      <c r="U460" t="s">
        <v>40</v>
      </c>
      <c r="V460" t="s">
        <v>41</v>
      </c>
    </row>
    <row r="461" spans="1:22" x14ac:dyDescent="0.3">
      <c r="A461" s="49">
        <v>45545</v>
      </c>
      <c r="B461" t="s">
        <v>1443</v>
      </c>
      <c r="C461" t="s">
        <v>1444</v>
      </c>
      <c r="D461" t="s">
        <v>24</v>
      </c>
      <c r="E461" t="s">
        <v>1789</v>
      </c>
      <c r="F461" t="s">
        <v>1790</v>
      </c>
      <c r="G461" t="s">
        <v>1791</v>
      </c>
      <c r="H461" t="s">
        <v>89</v>
      </c>
      <c r="J461" t="s">
        <v>63</v>
      </c>
      <c r="K461" t="s">
        <v>64</v>
      </c>
      <c r="L461" t="s">
        <v>32</v>
      </c>
      <c r="M461">
        <v>20</v>
      </c>
      <c r="N461" t="s">
        <v>49</v>
      </c>
      <c r="O461" t="s">
        <v>1792</v>
      </c>
      <c r="P461" t="s">
        <v>76</v>
      </c>
      <c r="Q461" t="s">
        <v>643</v>
      </c>
      <c r="R461" t="s">
        <v>37</v>
      </c>
      <c r="S461" t="s">
        <v>1793</v>
      </c>
      <c r="T461" t="s">
        <v>39</v>
      </c>
      <c r="U461" t="s">
        <v>40</v>
      </c>
      <c r="V461" t="s">
        <v>41</v>
      </c>
    </row>
    <row r="462" spans="1:22" x14ac:dyDescent="0.3">
      <c r="A462" s="49">
        <v>45545</v>
      </c>
      <c r="B462" t="s">
        <v>1443</v>
      </c>
      <c r="C462" t="s">
        <v>1444</v>
      </c>
      <c r="D462" t="s">
        <v>24</v>
      </c>
      <c r="E462" t="s">
        <v>1222</v>
      </c>
      <c r="F462" t="s">
        <v>1223</v>
      </c>
      <c r="G462" t="s">
        <v>1794</v>
      </c>
      <c r="H462" t="s">
        <v>28</v>
      </c>
      <c r="I462" t="s">
        <v>1795</v>
      </c>
      <c r="J462" t="s">
        <v>63</v>
      </c>
      <c r="K462" t="s">
        <v>414</v>
      </c>
      <c r="L462" t="s">
        <v>32</v>
      </c>
      <c r="M462">
        <v>95</v>
      </c>
      <c r="N462" t="s">
        <v>49</v>
      </c>
      <c r="O462" t="s">
        <v>1796</v>
      </c>
      <c r="P462" t="s">
        <v>108</v>
      </c>
      <c r="Q462" t="s">
        <v>499</v>
      </c>
      <c r="R462" t="s">
        <v>37</v>
      </c>
      <c r="S462" t="s">
        <v>1797</v>
      </c>
      <c r="T462" t="s">
        <v>55</v>
      </c>
      <c r="U462" t="s">
        <v>56</v>
      </c>
      <c r="V462" t="s">
        <v>56</v>
      </c>
    </row>
    <row r="463" spans="1:22" x14ac:dyDescent="0.3">
      <c r="A463" s="49">
        <v>45545</v>
      </c>
      <c r="B463" t="s">
        <v>22</v>
      </c>
      <c r="C463" t="s">
        <v>23</v>
      </c>
      <c r="D463" t="s">
        <v>24</v>
      </c>
      <c r="E463" t="s">
        <v>1222</v>
      </c>
      <c r="F463" t="s">
        <v>1223</v>
      </c>
      <c r="G463" t="s">
        <v>1798</v>
      </c>
      <c r="H463" t="s">
        <v>89</v>
      </c>
      <c r="J463" t="s">
        <v>63</v>
      </c>
      <c r="K463" t="s">
        <v>64</v>
      </c>
      <c r="L463" t="s">
        <v>32</v>
      </c>
      <c r="M463">
        <v>10</v>
      </c>
      <c r="N463" t="s">
        <v>33</v>
      </c>
      <c r="O463" t="s">
        <v>1799</v>
      </c>
      <c r="P463" t="s">
        <v>106</v>
      </c>
      <c r="Q463" t="s">
        <v>1800</v>
      </c>
      <c r="R463" t="s">
        <v>37</v>
      </c>
      <c r="S463" t="s">
        <v>1232</v>
      </c>
      <c r="T463" t="s">
        <v>55</v>
      </c>
      <c r="U463" t="s">
        <v>56</v>
      </c>
      <c r="V463" t="s">
        <v>56</v>
      </c>
    </row>
    <row r="464" spans="1:22" x14ac:dyDescent="0.3">
      <c r="A464" s="49">
        <v>45544</v>
      </c>
      <c r="B464" t="s">
        <v>457</v>
      </c>
      <c r="C464" t="s">
        <v>458</v>
      </c>
      <c r="D464" t="s">
        <v>24</v>
      </c>
      <c r="E464" t="s">
        <v>1435</v>
      </c>
      <c r="F464" t="s">
        <v>1436</v>
      </c>
      <c r="G464" t="s">
        <v>1437</v>
      </c>
      <c r="H464" t="s">
        <v>28</v>
      </c>
      <c r="I464" t="s">
        <v>1438</v>
      </c>
      <c r="J464" t="s">
        <v>30</v>
      </c>
      <c r="K464" t="s">
        <v>31</v>
      </c>
      <c r="L464" t="s">
        <v>32</v>
      </c>
      <c r="M464">
        <v>60</v>
      </c>
      <c r="N464" t="s">
        <v>49</v>
      </c>
      <c r="O464" t="s">
        <v>1439</v>
      </c>
      <c r="P464" t="s">
        <v>1440</v>
      </c>
      <c r="Q464" t="s">
        <v>1441</v>
      </c>
      <c r="R464" t="s">
        <v>37</v>
      </c>
      <c r="S464" t="s">
        <v>1442</v>
      </c>
      <c r="T464" t="s">
        <v>55</v>
      </c>
      <c r="U464" t="s">
        <v>56</v>
      </c>
      <c r="V464" t="s">
        <v>56</v>
      </c>
    </row>
    <row r="465" spans="1:22" x14ac:dyDescent="0.3">
      <c r="A465" s="49">
        <v>45544</v>
      </c>
      <c r="B465" t="s">
        <v>1443</v>
      </c>
      <c r="C465" t="s">
        <v>1444</v>
      </c>
      <c r="D465" t="s">
        <v>24</v>
      </c>
      <c r="E465" t="s">
        <v>1445</v>
      </c>
      <c r="F465" t="s">
        <v>1446</v>
      </c>
      <c r="G465" t="s">
        <v>1447</v>
      </c>
      <c r="H465" t="s">
        <v>28</v>
      </c>
      <c r="I465" t="s">
        <v>1448</v>
      </c>
      <c r="J465" t="s">
        <v>63</v>
      </c>
      <c r="K465" t="s">
        <v>64</v>
      </c>
      <c r="L465" t="s">
        <v>32</v>
      </c>
      <c r="M465">
        <v>100</v>
      </c>
      <c r="N465" t="s">
        <v>49</v>
      </c>
      <c r="O465" t="s">
        <v>1449</v>
      </c>
      <c r="P465" t="s">
        <v>1116</v>
      </c>
      <c r="Q465" t="s">
        <v>1279</v>
      </c>
      <c r="R465" t="s">
        <v>37</v>
      </c>
      <c r="S465" t="s">
        <v>1450</v>
      </c>
      <c r="T465" t="s">
        <v>39</v>
      </c>
      <c r="U465" t="s">
        <v>40</v>
      </c>
      <c r="V465" t="s">
        <v>41</v>
      </c>
    </row>
    <row r="466" spans="1:22" x14ac:dyDescent="0.3">
      <c r="A466" s="49">
        <v>45544</v>
      </c>
      <c r="B466" t="s">
        <v>1443</v>
      </c>
      <c r="C466" t="s">
        <v>1444</v>
      </c>
      <c r="D466" t="s">
        <v>24</v>
      </c>
      <c r="E466" t="s">
        <v>1445</v>
      </c>
      <c r="F466" t="s">
        <v>1446</v>
      </c>
      <c r="G466" t="s">
        <v>1447</v>
      </c>
      <c r="H466" t="s">
        <v>28</v>
      </c>
      <c r="I466" t="s">
        <v>1448</v>
      </c>
      <c r="J466" t="s">
        <v>63</v>
      </c>
      <c r="K466" t="s">
        <v>64</v>
      </c>
      <c r="L466" t="s">
        <v>32</v>
      </c>
      <c r="M466">
        <v>100</v>
      </c>
      <c r="N466" t="s">
        <v>49</v>
      </c>
      <c r="O466" t="s">
        <v>1449</v>
      </c>
      <c r="P466" t="s">
        <v>1116</v>
      </c>
      <c r="Q466" t="s">
        <v>1279</v>
      </c>
      <c r="R466" t="s">
        <v>37</v>
      </c>
      <c r="S466" t="s">
        <v>1450</v>
      </c>
      <c r="T466" t="s">
        <v>39</v>
      </c>
      <c r="U466" t="s">
        <v>40</v>
      </c>
      <c r="V466" t="s">
        <v>41</v>
      </c>
    </row>
    <row r="467" spans="1:22" x14ac:dyDescent="0.3">
      <c r="A467" s="49">
        <v>45544</v>
      </c>
      <c r="B467" t="s">
        <v>606</v>
      </c>
      <c r="C467" t="s">
        <v>607</v>
      </c>
      <c r="D467" t="s">
        <v>24</v>
      </c>
      <c r="E467" t="s">
        <v>1451</v>
      </c>
      <c r="F467" t="s">
        <v>1452</v>
      </c>
      <c r="G467" t="s">
        <v>1453</v>
      </c>
      <c r="H467" t="s">
        <v>28</v>
      </c>
      <c r="I467" t="s">
        <v>1454</v>
      </c>
      <c r="J467" t="s">
        <v>63</v>
      </c>
      <c r="K467" t="s">
        <v>414</v>
      </c>
      <c r="L467" t="s">
        <v>32</v>
      </c>
      <c r="M467">
        <v>100</v>
      </c>
      <c r="N467" t="s">
        <v>49</v>
      </c>
      <c r="O467" t="s">
        <v>1455</v>
      </c>
      <c r="P467" t="s">
        <v>287</v>
      </c>
      <c r="Q467" t="s">
        <v>1456</v>
      </c>
      <c r="R467" t="s">
        <v>1457</v>
      </c>
      <c r="S467" t="s">
        <v>1458</v>
      </c>
      <c r="T467" t="s">
        <v>55</v>
      </c>
      <c r="U467" t="s">
        <v>56</v>
      </c>
      <c r="V467" t="s">
        <v>56</v>
      </c>
    </row>
    <row r="468" spans="1:22" x14ac:dyDescent="0.3">
      <c r="A468" s="49">
        <v>45544</v>
      </c>
      <c r="B468" t="s">
        <v>606</v>
      </c>
      <c r="C468" t="s">
        <v>607</v>
      </c>
      <c r="D468" t="s">
        <v>24</v>
      </c>
      <c r="E468" t="s">
        <v>647</v>
      </c>
      <c r="F468" t="s">
        <v>648</v>
      </c>
      <c r="G468" t="s">
        <v>1459</v>
      </c>
      <c r="H468" t="s">
        <v>28</v>
      </c>
      <c r="I468" t="s">
        <v>1460</v>
      </c>
      <c r="J468" t="s">
        <v>63</v>
      </c>
      <c r="K468" t="s">
        <v>256</v>
      </c>
      <c r="L468" t="s">
        <v>32</v>
      </c>
      <c r="M468">
        <v>0</v>
      </c>
      <c r="N468" t="s">
        <v>74</v>
      </c>
      <c r="O468" t="s">
        <v>1461</v>
      </c>
      <c r="P468" t="s">
        <v>104</v>
      </c>
      <c r="Q468" t="s">
        <v>1462</v>
      </c>
      <c r="R468" t="s">
        <v>37</v>
      </c>
      <c r="S468" t="s">
        <v>1463</v>
      </c>
      <c r="T468" t="s">
        <v>55</v>
      </c>
      <c r="U468" t="s">
        <v>56</v>
      </c>
      <c r="V468" t="s">
        <v>56</v>
      </c>
    </row>
    <row r="469" spans="1:22" x14ac:dyDescent="0.3">
      <c r="A469" s="49">
        <v>45544</v>
      </c>
      <c r="B469" t="s">
        <v>606</v>
      </c>
      <c r="C469" t="s">
        <v>607</v>
      </c>
      <c r="D469" t="s">
        <v>24</v>
      </c>
      <c r="E469" t="s">
        <v>469</v>
      </c>
      <c r="F469" t="s">
        <v>470</v>
      </c>
      <c r="G469" t="s">
        <v>1464</v>
      </c>
      <c r="H469" t="s">
        <v>28</v>
      </c>
      <c r="I469" t="s">
        <v>1465</v>
      </c>
      <c r="J469" t="s">
        <v>63</v>
      </c>
      <c r="K469" t="s">
        <v>414</v>
      </c>
      <c r="L469" t="s">
        <v>32</v>
      </c>
      <c r="M469">
        <v>100</v>
      </c>
      <c r="N469" t="s">
        <v>49</v>
      </c>
      <c r="O469" t="s">
        <v>1466</v>
      </c>
      <c r="P469" t="s">
        <v>306</v>
      </c>
      <c r="Q469" t="s">
        <v>1467</v>
      </c>
      <c r="R469" t="s">
        <v>37</v>
      </c>
      <c r="S469" t="s">
        <v>1468</v>
      </c>
      <c r="T469" t="s">
        <v>55</v>
      </c>
      <c r="U469" t="s">
        <v>56</v>
      </c>
      <c r="V469" t="s">
        <v>56</v>
      </c>
    </row>
    <row r="470" spans="1:22" x14ac:dyDescent="0.3">
      <c r="A470" s="49">
        <v>45544</v>
      </c>
      <c r="B470" t="s">
        <v>1443</v>
      </c>
      <c r="C470" t="s">
        <v>1444</v>
      </c>
      <c r="D470" t="s">
        <v>173</v>
      </c>
      <c r="E470" t="s">
        <v>661</v>
      </c>
      <c r="F470" t="s">
        <v>662</v>
      </c>
      <c r="G470" t="s">
        <v>1469</v>
      </c>
      <c r="H470" t="s">
        <v>89</v>
      </c>
      <c r="J470" t="s">
        <v>63</v>
      </c>
      <c r="K470" t="s">
        <v>64</v>
      </c>
      <c r="L470" t="s">
        <v>32</v>
      </c>
      <c r="M470">
        <v>100</v>
      </c>
      <c r="N470" t="s">
        <v>49</v>
      </c>
      <c r="O470" t="s">
        <v>1470</v>
      </c>
      <c r="P470" t="s">
        <v>104</v>
      </c>
      <c r="Q470" t="s">
        <v>244</v>
      </c>
      <c r="R470" t="s">
        <v>37</v>
      </c>
      <c r="S470" t="s">
        <v>1471</v>
      </c>
      <c r="T470" t="s">
        <v>39</v>
      </c>
      <c r="U470" t="s">
        <v>40</v>
      </c>
      <c r="V470" t="s">
        <v>41</v>
      </c>
    </row>
    <row r="471" spans="1:22" x14ac:dyDescent="0.3">
      <c r="A471" s="49">
        <v>45544</v>
      </c>
      <c r="B471" t="s">
        <v>1443</v>
      </c>
      <c r="C471" t="s">
        <v>1444</v>
      </c>
      <c r="D471" t="s">
        <v>173</v>
      </c>
      <c r="E471" t="s">
        <v>661</v>
      </c>
      <c r="F471" t="s">
        <v>662</v>
      </c>
      <c r="G471" t="s">
        <v>1469</v>
      </c>
      <c r="H471" t="s">
        <v>89</v>
      </c>
      <c r="J471" t="s">
        <v>63</v>
      </c>
      <c r="K471" t="s">
        <v>64</v>
      </c>
      <c r="L471" t="s">
        <v>32</v>
      </c>
      <c r="M471">
        <v>100</v>
      </c>
      <c r="N471" t="s">
        <v>49</v>
      </c>
      <c r="O471" t="s">
        <v>1470</v>
      </c>
      <c r="P471" t="s">
        <v>104</v>
      </c>
      <c r="Q471" t="s">
        <v>244</v>
      </c>
      <c r="R471" t="s">
        <v>37</v>
      </c>
      <c r="S471" t="s">
        <v>1471</v>
      </c>
      <c r="T471" t="s">
        <v>39</v>
      </c>
      <c r="U471" t="s">
        <v>40</v>
      </c>
      <c r="V471" t="s">
        <v>41</v>
      </c>
    </row>
    <row r="472" spans="1:22" x14ac:dyDescent="0.3">
      <c r="A472" s="49">
        <v>45544</v>
      </c>
      <c r="B472" t="s">
        <v>1443</v>
      </c>
      <c r="C472" t="s">
        <v>1444</v>
      </c>
      <c r="D472" t="s">
        <v>173</v>
      </c>
      <c r="E472" t="s">
        <v>661</v>
      </c>
      <c r="F472" t="s">
        <v>662</v>
      </c>
      <c r="G472" t="s">
        <v>1469</v>
      </c>
      <c r="H472" t="s">
        <v>89</v>
      </c>
      <c r="J472" t="s">
        <v>63</v>
      </c>
      <c r="K472" t="s">
        <v>64</v>
      </c>
      <c r="L472" t="s">
        <v>32</v>
      </c>
      <c r="M472">
        <v>100</v>
      </c>
      <c r="N472" t="s">
        <v>49</v>
      </c>
      <c r="O472" t="s">
        <v>1470</v>
      </c>
      <c r="P472" t="s">
        <v>104</v>
      </c>
      <c r="Q472" t="s">
        <v>244</v>
      </c>
      <c r="R472" t="s">
        <v>37</v>
      </c>
      <c r="S472" t="s">
        <v>1471</v>
      </c>
      <c r="T472" t="s">
        <v>39</v>
      </c>
      <c r="U472" t="s">
        <v>40</v>
      </c>
      <c r="V472" t="s">
        <v>41</v>
      </c>
    </row>
    <row r="473" spans="1:22" x14ac:dyDescent="0.3">
      <c r="A473" s="49">
        <v>45544</v>
      </c>
      <c r="B473" t="s">
        <v>1443</v>
      </c>
      <c r="C473" t="s">
        <v>1444</v>
      </c>
      <c r="D473" t="s">
        <v>173</v>
      </c>
      <c r="E473" t="s">
        <v>661</v>
      </c>
      <c r="F473" t="s">
        <v>662</v>
      </c>
      <c r="G473" t="s">
        <v>1469</v>
      </c>
      <c r="H473" t="s">
        <v>89</v>
      </c>
      <c r="J473" t="s">
        <v>63</v>
      </c>
      <c r="K473" t="s">
        <v>64</v>
      </c>
      <c r="L473" t="s">
        <v>32</v>
      </c>
      <c r="M473">
        <v>100</v>
      </c>
      <c r="N473" t="s">
        <v>49</v>
      </c>
      <c r="O473" t="s">
        <v>1470</v>
      </c>
      <c r="P473" t="s">
        <v>104</v>
      </c>
      <c r="Q473" t="s">
        <v>244</v>
      </c>
      <c r="R473" t="s">
        <v>37</v>
      </c>
      <c r="S473" t="s">
        <v>1471</v>
      </c>
      <c r="T473" t="s">
        <v>39</v>
      </c>
      <c r="U473" t="s">
        <v>40</v>
      </c>
      <c r="V473" t="s">
        <v>41</v>
      </c>
    </row>
    <row r="474" spans="1:22" x14ac:dyDescent="0.3">
      <c r="A474" s="49">
        <v>45544</v>
      </c>
      <c r="B474" t="s">
        <v>1443</v>
      </c>
      <c r="C474" t="s">
        <v>1444</v>
      </c>
      <c r="D474" t="s">
        <v>173</v>
      </c>
      <c r="E474" t="s">
        <v>661</v>
      </c>
      <c r="F474" t="s">
        <v>662</v>
      </c>
      <c r="G474" t="s">
        <v>1469</v>
      </c>
      <c r="H474" t="s">
        <v>89</v>
      </c>
      <c r="J474" t="s">
        <v>63</v>
      </c>
      <c r="K474" t="s">
        <v>64</v>
      </c>
      <c r="L474" t="s">
        <v>32</v>
      </c>
      <c r="M474">
        <v>100</v>
      </c>
      <c r="N474" t="s">
        <v>49</v>
      </c>
      <c r="O474" t="s">
        <v>1470</v>
      </c>
      <c r="P474" t="s">
        <v>104</v>
      </c>
      <c r="Q474" t="s">
        <v>244</v>
      </c>
      <c r="R474" t="s">
        <v>37</v>
      </c>
      <c r="S474" t="s">
        <v>1471</v>
      </c>
      <c r="T474" t="s">
        <v>39</v>
      </c>
      <c r="U474" t="s">
        <v>40</v>
      </c>
      <c r="V474" t="s">
        <v>41</v>
      </c>
    </row>
    <row r="475" spans="1:22" x14ac:dyDescent="0.3">
      <c r="A475" s="49">
        <v>45544</v>
      </c>
      <c r="B475" t="s">
        <v>606</v>
      </c>
      <c r="C475" t="s">
        <v>607</v>
      </c>
      <c r="D475" t="s">
        <v>24</v>
      </c>
      <c r="E475" t="s">
        <v>1258</v>
      </c>
      <c r="F475" t="s">
        <v>1259</v>
      </c>
      <c r="G475" t="s">
        <v>1472</v>
      </c>
      <c r="H475" t="s">
        <v>28</v>
      </c>
      <c r="I475" t="s">
        <v>1473</v>
      </c>
      <c r="J475" t="s">
        <v>63</v>
      </c>
      <c r="K475" t="s">
        <v>211</v>
      </c>
      <c r="L475" t="s">
        <v>32</v>
      </c>
      <c r="M475">
        <v>100</v>
      </c>
      <c r="N475" t="s">
        <v>49</v>
      </c>
      <c r="O475" t="s">
        <v>1474</v>
      </c>
      <c r="P475" t="s">
        <v>306</v>
      </c>
      <c r="Q475" t="s">
        <v>1475</v>
      </c>
      <c r="R475" t="s">
        <v>37</v>
      </c>
      <c r="S475" t="s">
        <v>1476</v>
      </c>
      <c r="T475" t="s">
        <v>55</v>
      </c>
      <c r="U475" t="s">
        <v>56</v>
      </c>
      <c r="V475" t="s">
        <v>56</v>
      </c>
    </row>
    <row r="476" spans="1:22" x14ac:dyDescent="0.3">
      <c r="A476" s="49">
        <v>45544</v>
      </c>
      <c r="B476" t="s">
        <v>606</v>
      </c>
      <c r="C476" t="s">
        <v>607</v>
      </c>
      <c r="D476" t="s">
        <v>24</v>
      </c>
      <c r="E476" t="s">
        <v>1258</v>
      </c>
      <c r="F476" t="s">
        <v>1259</v>
      </c>
      <c r="G476" t="s">
        <v>1472</v>
      </c>
      <c r="H476" t="s">
        <v>28</v>
      </c>
      <c r="I476" t="s">
        <v>1473</v>
      </c>
      <c r="J476" t="s">
        <v>63</v>
      </c>
      <c r="K476" t="s">
        <v>211</v>
      </c>
      <c r="L476" t="s">
        <v>32</v>
      </c>
      <c r="M476">
        <v>100</v>
      </c>
      <c r="N476" t="s">
        <v>49</v>
      </c>
      <c r="O476" t="s">
        <v>1474</v>
      </c>
      <c r="P476" t="s">
        <v>306</v>
      </c>
      <c r="Q476" t="s">
        <v>1475</v>
      </c>
      <c r="R476" t="s">
        <v>37</v>
      </c>
      <c r="S476" t="s">
        <v>1476</v>
      </c>
      <c r="T476" t="s">
        <v>55</v>
      </c>
      <c r="U476" t="s">
        <v>56</v>
      </c>
      <c r="V476" t="s">
        <v>56</v>
      </c>
    </row>
    <row r="477" spans="1:22" x14ac:dyDescent="0.3">
      <c r="A477" s="49">
        <v>45544</v>
      </c>
      <c r="B477" t="s">
        <v>606</v>
      </c>
      <c r="C477" t="s">
        <v>607</v>
      </c>
      <c r="D477" t="s">
        <v>24</v>
      </c>
      <c r="E477" t="s">
        <v>1258</v>
      </c>
      <c r="F477" t="s">
        <v>1259</v>
      </c>
      <c r="G477" t="s">
        <v>1472</v>
      </c>
      <c r="H477" t="s">
        <v>28</v>
      </c>
      <c r="I477" t="s">
        <v>1473</v>
      </c>
      <c r="J477" t="s">
        <v>63</v>
      </c>
      <c r="K477" t="s">
        <v>211</v>
      </c>
      <c r="L477" t="s">
        <v>32</v>
      </c>
      <c r="M477">
        <v>100</v>
      </c>
      <c r="N477" t="s">
        <v>49</v>
      </c>
      <c r="O477" t="s">
        <v>1474</v>
      </c>
      <c r="P477" t="s">
        <v>306</v>
      </c>
      <c r="Q477" t="s">
        <v>1475</v>
      </c>
      <c r="R477" t="s">
        <v>37</v>
      </c>
      <c r="S477" t="s">
        <v>1476</v>
      </c>
      <c r="T477" t="s">
        <v>55</v>
      </c>
      <c r="U477" t="s">
        <v>56</v>
      </c>
      <c r="V477" t="s">
        <v>56</v>
      </c>
    </row>
    <row r="478" spans="1:22" x14ac:dyDescent="0.3">
      <c r="A478" s="49">
        <v>45544</v>
      </c>
      <c r="B478" t="s">
        <v>1443</v>
      </c>
      <c r="C478" t="s">
        <v>1444</v>
      </c>
      <c r="D478" t="s">
        <v>24</v>
      </c>
      <c r="E478" t="s">
        <v>1477</v>
      </c>
      <c r="F478" t="s">
        <v>1478</v>
      </c>
      <c r="G478" t="s">
        <v>1479</v>
      </c>
      <c r="H478" t="s">
        <v>89</v>
      </c>
      <c r="J478" t="s">
        <v>63</v>
      </c>
      <c r="K478" t="s">
        <v>1480</v>
      </c>
      <c r="L478" t="s">
        <v>48</v>
      </c>
      <c r="M478">
        <v>67</v>
      </c>
      <c r="N478" t="s">
        <v>49</v>
      </c>
      <c r="P478" t="s">
        <v>791</v>
      </c>
      <c r="Q478" t="s">
        <v>1160</v>
      </c>
      <c r="R478" t="s">
        <v>53</v>
      </c>
      <c r="S478" t="s">
        <v>1481</v>
      </c>
      <c r="T478" t="s">
        <v>55</v>
      </c>
      <c r="U478" t="s">
        <v>56</v>
      </c>
      <c r="V478" t="s">
        <v>56</v>
      </c>
    </row>
    <row r="479" spans="1:22" x14ac:dyDescent="0.3">
      <c r="A479" s="49">
        <v>45544</v>
      </c>
      <c r="B479" t="s">
        <v>1443</v>
      </c>
      <c r="C479" t="s">
        <v>1444</v>
      </c>
      <c r="D479" t="s">
        <v>173</v>
      </c>
      <c r="E479" t="s">
        <v>1482</v>
      </c>
      <c r="F479" t="s">
        <v>1483</v>
      </c>
      <c r="G479" t="s">
        <v>1484</v>
      </c>
      <c r="H479" t="s">
        <v>28</v>
      </c>
      <c r="I479" t="s">
        <v>1485</v>
      </c>
      <c r="J479" t="s">
        <v>63</v>
      </c>
      <c r="K479" t="s">
        <v>119</v>
      </c>
      <c r="L479" t="s">
        <v>48</v>
      </c>
      <c r="M479">
        <v>70</v>
      </c>
      <c r="N479" t="s">
        <v>33</v>
      </c>
      <c r="O479" t="s">
        <v>1486</v>
      </c>
      <c r="P479" t="s">
        <v>287</v>
      </c>
      <c r="Q479" t="s">
        <v>1487</v>
      </c>
      <c r="R479" t="s">
        <v>53</v>
      </c>
      <c r="S479" t="s">
        <v>1488</v>
      </c>
      <c r="T479" t="s">
        <v>55</v>
      </c>
      <c r="U479" t="s">
        <v>56</v>
      </c>
      <c r="V479" t="s">
        <v>56</v>
      </c>
    </row>
    <row r="480" spans="1:22" x14ac:dyDescent="0.3">
      <c r="A480" s="49">
        <v>45544</v>
      </c>
      <c r="B480" t="s">
        <v>606</v>
      </c>
      <c r="C480" t="s">
        <v>607</v>
      </c>
      <c r="D480" t="s">
        <v>173</v>
      </c>
      <c r="E480" t="s">
        <v>1489</v>
      </c>
      <c r="F480" t="s">
        <v>1490</v>
      </c>
      <c r="G480" t="s">
        <v>1491</v>
      </c>
      <c r="H480" t="s">
        <v>28</v>
      </c>
      <c r="I480" t="s">
        <v>1492</v>
      </c>
      <c r="J480" t="s">
        <v>63</v>
      </c>
      <c r="K480" t="s">
        <v>414</v>
      </c>
      <c r="L480" t="s">
        <v>32</v>
      </c>
      <c r="M480">
        <v>100</v>
      </c>
      <c r="N480" t="s">
        <v>49</v>
      </c>
      <c r="O480" t="s">
        <v>1493</v>
      </c>
      <c r="P480" t="s">
        <v>306</v>
      </c>
      <c r="Q480" t="s">
        <v>1494</v>
      </c>
      <c r="R480" t="s">
        <v>37</v>
      </c>
      <c r="S480" t="s">
        <v>1495</v>
      </c>
      <c r="T480" t="s">
        <v>55</v>
      </c>
      <c r="U480" t="s">
        <v>56</v>
      </c>
      <c r="V480" t="s">
        <v>56</v>
      </c>
    </row>
    <row r="481" spans="1:22" x14ac:dyDescent="0.3">
      <c r="A481" s="49">
        <v>45544</v>
      </c>
      <c r="B481" t="s">
        <v>606</v>
      </c>
      <c r="C481" t="s">
        <v>607</v>
      </c>
      <c r="D481" t="s">
        <v>173</v>
      </c>
      <c r="E481" t="s">
        <v>1489</v>
      </c>
      <c r="F481" t="s">
        <v>1490</v>
      </c>
      <c r="G481" t="s">
        <v>1491</v>
      </c>
      <c r="H481" t="s">
        <v>28</v>
      </c>
      <c r="I481" t="s">
        <v>1492</v>
      </c>
      <c r="J481" t="s">
        <v>63</v>
      </c>
      <c r="K481" t="s">
        <v>414</v>
      </c>
      <c r="L481" t="s">
        <v>32</v>
      </c>
      <c r="M481">
        <v>100</v>
      </c>
      <c r="N481" t="s">
        <v>49</v>
      </c>
      <c r="O481" t="s">
        <v>1493</v>
      </c>
      <c r="P481" t="s">
        <v>306</v>
      </c>
      <c r="Q481" t="s">
        <v>1494</v>
      </c>
      <c r="R481" t="s">
        <v>37</v>
      </c>
      <c r="S481" t="s">
        <v>1495</v>
      </c>
      <c r="T481" t="s">
        <v>55</v>
      </c>
      <c r="U481" t="s">
        <v>56</v>
      </c>
      <c r="V481" t="s">
        <v>56</v>
      </c>
    </row>
    <row r="482" spans="1:22" x14ac:dyDescent="0.3">
      <c r="A482" s="49">
        <v>45544</v>
      </c>
      <c r="B482" t="s">
        <v>457</v>
      </c>
      <c r="C482" t="s">
        <v>458</v>
      </c>
      <c r="D482" t="s">
        <v>24</v>
      </c>
      <c r="E482" t="s">
        <v>687</v>
      </c>
      <c r="F482" t="s">
        <v>688</v>
      </c>
      <c r="G482" t="s">
        <v>989</v>
      </c>
      <c r="H482" t="s">
        <v>89</v>
      </c>
      <c r="J482" t="s">
        <v>63</v>
      </c>
      <c r="K482" t="s">
        <v>64</v>
      </c>
      <c r="L482" t="s">
        <v>32</v>
      </c>
      <c r="M482">
        <v>75</v>
      </c>
      <c r="N482" t="s">
        <v>49</v>
      </c>
      <c r="O482" t="s">
        <v>1496</v>
      </c>
      <c r="P482" t="s">
        <v>106</v>
      </c>
      <c r="Q482" t="s">
        <v>244</v>
      </c>
      <c r="R482" t="s">
        <v>37</v>
      </c>
      <c r="S482" t="s">
        <v>1497</v>
      </c>
      <c r="T482" t="s">
        <v>55</v>
      </c>
      <c r="U482" t="s">
        <v>56</v>
      </c>
      <c r="V482" t="s">
        <v>56</v>
      </c>
    </row>
    <row r="483" spans="1:22" x14ac:dyDescent="0.3">
      <c r="A483" s="49">
        <v>45544</v>
      </c>
      <c r="B483" t="s">
        <v>606</v>
      </c>
      <c r="C483" t="s">
        <v>607</v>
      </c>
      <c r="D483" t="s">
        <v>24</v>
      </c>
      <c r="E483" t="s">
        <v>80</v>
      </c>
      <c r="F483" t="s">
        <v>81</v>
      </c>
      <c r="G483" t="s">
        <v>1283</v>
      </c>
      <c r="H483" t="s">
        <v>89</v>
      </c>
      <c r="J483" t="s">
        <v>63</v>
      </c>
      <c r="K483" t="s">
        <v>64</v>
      </c>
      <c r="L483" t="s">
        <v>32</v>
      </c>
      <c r="M483">
        <v>100</v>
      </c>
      <c r="N483" t="s">
        <v>33</v>
      </c>
      <c r="O483" t="s">
        <v>1498</v>
      </c>
      <c r="P483" t="s">
        <v>106</v>
      </c>
      <c r="Q483" t="s">
        <v>1499</v>
      </c>
      <c r="R483" t="s">
        <v>37</v>
      </c>
      <c r="S483" t="s">
        <v>1500</v>
      </c>
      <c r="T483" t="s">
        <v>55</v>
      </c>
      <c r="U483" t="s">
        <v>56</v>
      </c>
      <c r="V483" t="s">
        <v>56</v>
      </c>
    </row>
    <row r="484" spans="1:22" x14ac:dyDescent="0.3">
      <c r="A484" s="49">
        <v>45544</v>
      </c>
      <c r="B484" t="s">
        <v>1443</v>
      </c>
      <c r="C484" t="s">
        <v>1444</v>
      </c>
      <c r="D484" t="s">
        <v>24</v>
      </c>
      <c r="E484" t="s">
        <v>80</v>
      </c>
      <c r="F484" t="s">
        <v>81</v>
      </c>
      <c r="G484" t="s">
        <v>1283</v>
      </c>
      <c r="H484" t="s">
        <v>89</v>
      </c>
      <c r="J484" t="s">
        <v>63</v>
      </c>
      <c r="K484" t="s">
        <v>414</v>
      </c>
      <c r="L484" t="s">
        <v>32</v>
      </c>
      <c r="M484">
        <v>100</v>
      </c>
      <c r="N484" t="s">
        <v>49</v>
      </c>
      <c r="O484" t="s">
        <v>1501</v>
      </c>
      <c r="P484" t="s">
        <v>358</v>
      </c>
      <c r="Q484" t="s">
        <v>1502</v>
      </c>
      <c r="R484" t="s">
        <v>37</v>
      </c>
      <c r="S484" t="s">
        <v>93</v>
      </c>
      <c r="T484" t="s">
        <v>55</v>
      </c>
      <c r="U484" t="s">
        <v>56</v>
      </c>
      <c r="V484" t="s">
        <v>56</v>
      </c>
    </row>
    <row r="485" spans="1:22" x14ac:dyDescent="0.3">
      <c r="A485" s="49">
        <v>45544</v>
      </c>
      <c r="B485" t="s">
        <v>1443</v>
      </c>
      <c r="C485" t="s">
        <v>1444</v>
      </c>
      <c r="D485" t="s">
        <v>24</v>
      </c>
      <c r="E485" t="s">
        <v>80</v>
      </c>
      <c r="F485" t="s">
        <v>81</v>
      </c>
      <c r="G485" t="s">
        <v>1283</v>
      </c>
      <c r="H485" t="s">
        <v>89</v>
      </c>
      <c r="J485" t="s">
        <v>63</v>
      </c>
      <c r="K485" t="s">
        <v>414</v>
      </c>
      <c r="L485" t="s">
        <v>32</v>
      </c>
      <c r="M485">
        <v>100</v>
      </c>
      <c r="N485" t="s">
        <v>49</v>
      </c>
      <c r="O485" t="s">
        <v>1501</v>
      </c>
      <c r="P485" t="s">
        <v>358</v>
      </c>
      <c r="Q485" t="s">
        <v>1502</v>
      </c>
      <c r="R485" t="s">
        <v>37</v>
      </c>
      <c r="S485" t="s">
        <v>93</v>
      </c>
      <c r="T485" t="s">
        <v>55</v>
      </c>
      <c r="U485" t="s">
        <v>56</v>
      </c>
      <c r="V485" t="s">
        <v>56</v>
      </c>
    </row>
    <row r="486" spans="1:22" x14ac:dyDescent="0.3">
      <c r="A486" s="49">
        <v>45544</v>
      </c>
      <c r="B486" t="s">
        <v>1443</v>
      </c>
      <c r="C486" t="s">
        <v>1444</v>
      </c>
      <c r="D486" t="s">
        <v>24</v>
      </c>
      <c r="E486" t="s">
        <v>80</v>
      </c>
      <c r="F486" t="s">
        <v>81</v>
      </c>
      <c r="G486" t="s">
        <v>1283</v>
      </c>
      <c r="H486" t="s">
        <v>89</v>
      </c>
      <c r="J486" t="s">
        <v>63</v>
      </c>
      <c r="K486" t="s">
        <v>414</v>
      </c>
      <c r="L486" t="s">
        <v>32</v>
      </c>
      <c r="M486">
        <v>100</v>
      </c>
      <c r="N486" t="s">
        <v>49</v>
      </c>
      <c r="O486" t="s">
        <v>1501</v>
      </c>
      <c r="P486" t="s">
        <v>358</v>
      </c>
      <c r="Q486" t="s">
        <v>1502</v>
      </c>
      <c r="R486" t="s">
        <v>37</v>
      </c>
      <c r="S486" t="s">
        <v>93</v>
      </c>
      <c r="T486" t="s">
        <v>55</v>
      </c>
      <c r="U486" t="s">
        <v>56</v>
      </c>
      <c r="V486" t="s">
        <v>56</v>
      </c>
    </row>
    <row r="487" spans="1:22" x14ac:dyDescent="0.3">
      <c r="A487" s="49">
        <v>45544</v>
      </c>
      <c r="B487" t="s">
        <v>1443</v>
      </c>
      <c r="C487" t="s">
        <v>1444</v>
      </c>
      <c r="D487" t="s">
        <v>24</v>
      </c>
      <c r="E487" t="s">
        <v>80</v>
      </c>
      <c r="F487" t="s">
        <v>81</v>
      </c>
      <c r="G487" t="s">
        <v>1283</v>
      </c>
      <c r="H487" t="s">
        <v>89</v>
      </c>
      <c r="J487" t="s">
        <v>63</v>
      </c>
      <c r="K487" t="s">
        <v>414</v>
      </c>
      <c r="L487" t="s">
        <v>32</v>
      </c>
      <c r="M487">
        <v>100</v>
      </c>
      <c r="N487" t="s">
        <v>49</v>
      </c>
      <c r="O487" t="s">
        <v>1501</v>
      </c>
      <c r="P487" t="s">
        <v>358</v>
      </c>
      <c r="Q487" t="s">
        <v>1502</v>
      </c>
      <c r="R487" t="s">
        <v>37</v>
      </c>
      <c r="S487" t="s">
        <v>93</v>
      </c>
      <c r="T487" t="s">
        <v>55</v>
      </c>
      <c r="U487" t="s">
        <v>56</v>
      </c>
      <c r="V487" t="s">
        <v>56</v>
      </c>
    </row>
    <row r="488" spans="1:22" x14ac:dyDescent="0.3">
      <c r="A488" s="49">
        <v>45544</v>
      </c>
      <c r="B488" t="s">
        <v>1443</v>
      </c>
      <c r="C488" t="s">
        <v>1444</v>
      </c>
      <c r="D488" t="s">
        <v>24</v>
      </c>
      <c r="E488" t="s">
        <v>80</v>
      </c>
      <c r="F488" t="s">
        <v>81</v>
      </c>
      <c r="G488" t="s">
        <v>1283</v>
      </c>
      <c r="H488" t="s">
        <v>89</v>
      </c>
      <c r="J488" t="s">
        <v>63</v>
      </c>
      <c r="K488" t="s">
        <v>414</v>
      </c>
      <c r="L488" t="s">
        <v>32</v>
      </c>
      <c r="M488">
        <v>100</v>
      </c>
      <c r="N488" t="s">
        <v>49</v>
      </c>
      <c r="O488" t="s">
        <v>1501</v>
      </c>
      <c r="P488" t="s">
        <v>358</v>
      </c>
      <c r="Q488" t="s">
        <v>1502</v>
      </c>
      <c r="R488" t="s">
        <v>37</v>
      </c>
      <c r="S488" t="s">
        <v>93</v>
      </c>
      <c r="T488" t="s">
        <v>55</v>
      </c>
      <c r="U488" t="s">
        <v>56</v>
      </c>
      <c r="V488" t="s">
        <v>56</v>
      </c>
    </row>
    <row r="489" spans="1:22" x14ac:dyDescent="0.3">
      <c r="A489" s="49">
        <v>45544</v>
      </c>
      <c r="B489" t="s">
        <v>1443</v>
      </c>
      <c r="C489" t="s">
        <v>1444</v>
      </c>
      <c r="D489" t="s">
        <v>24</v>
      </c>
      <c r="E489" t="s">
        <v>80</v>
      </c>
      <c r="F489" t="s">
        <v>81</v>
      </c>
      <c r="G489" t="s">
        <v>1283</v>
      </c>
      <c r="H489" t="s">
        <v>89</v>
      </c>
      <c r="J489" t="s">
        <v>63</v>
      </c>
      <c r="K489" t="s">
        <v>414</v>
      </c>
      <c r="L489" t="s">
        <v>32</v>
      </c>
      <c r="M489">
        <v>100</v>
      </c>
      <c r="N489" t="s">
        <v>49</v>
      </c>
      <c r="O489" t="s">
        <v>1501</v>
      </c>
      <c r="P489" t="s">
        <v>358</v>
      </c>
      <c r="Q489" t="s">
        <v>1502</v>
      </c>
      <c r="R489" t="s">
        <v>37</v>
      </c>
      <c r="S489" t="s">
        <v>93</v>
      </c>
      <c r="T489" t="s">
        <v>55</v>
      </c>
      <c r="U489" t="s">
        <v>56</v>
      </c>
      <c r="V489" t="s">
        <v>56</v>
      </c>
    </row>
    <row r="490" spans="1:22" x14ac:dyDescent="0.3">
      <c r="A490" s="49">
        <v>45544</v>
      </c>
      <c r="B490" t="s">
        <v>1443</v>
      </c>
      <c r="C490" t="s">
        <v>1444</v>
      </c>
      <c r="D490" t="s">
        <v>24</v>
      </c>
      <c r="E490" t="s">
        <v>1503</v>
      </c>
      <c r="F490" t="s">
        <v>1504</v>
      </c>
      <c r="G490" t="s">
        <v>1505</v>
      </c>
      <c r="H490" t="s">
        <v>28</v>
      </c>
      <c r="I490" t="s">
        <v>1506</v>
      </c>
      <c r="J490" t="s">
        <v>63</v>
      </c>
      <c r="K490" t="s">
        <v>64</v>
      </c>
      <c r="L490" t="s">
        <v>32</v>
      </c>
      <c r="M490">
        <v>100</v>
      </c>
      <c r="N490" t="s">
        <v>49</v>
      </c>
      <c r="O490" t="s">
        <v>1507</v>
      </c>
      <c r="P490" t="s">
        <v>1508</v>
      </c>
      <c r="Q490" t="s">
        <v>1509</v>
      </c>
      <c r="R490" t="s">
        <v>37</v>
      </c>
      <c r="S490" t="s">
        <v>1510</v>
      </c>
      <c r="T490" t="s">
        <v>55</v>
      </c>
      <c r="U490" t="s">
        <v>56</v>
      </c>
      <c r="V490" t="s">
        <v>56</v>
      </c>
    </row>
    <row r="491" spans="1:22" x14ac:dyDescent="0.3">
      <c r="A491" s="49">
        <v>45544</v>
      </c>
      <c r="B491" t="s">
        <v>1443</v>
      </c>
      <c r="C491" t="s">
        <v>1444</v>
      </c>
      <c r="D491" t="s">
        <v>24</v>
      </c>
      <c r="E491" t="s">
        <v>1503</v>
      </c>
      <c r="F491" t="s">
        <v>1504</v>
      </c>
      <c r="G491" t="s">
        <v>1505</v>
      </c>
      <c r="H491" t="s">
        <v>28</v>
      </c>
      <c r="I491" t="s">
        <v>1506</v>
      </c>
      <c r="J491" t="s">
        <v>63</v>
      </c>
      <c r="K491" t="s">
        <v>64</v>
      </c>
      <c r="L491" t="s">
        <v>32</v>
      </c>
      <c r="M491">
        <v>100</v>
      </c>
      <c r="N491" t="s">
        <v>49</v>
      </c>
      <c r="O491" t="s">
        <v>1507</v>
      </c>
      <c r="P491" t="s">
        <v>1508</v>
      </c>
      <c r="Q491" t="s">
        <v>1509</v>
      </c>
      <c r="R491" t="s">
        <v>37</v>
      </c>
      <c r="S491" t="s">
        <v>1510</v>
      </c>
      <c r="T491" t="s">
        <v>55</v>
      </c>
      <c r="U491" t="s">
        <v>56</v>
      </c>
      <c r="V491" t="s">
        <v>56</v>
      </c>
    </row>
    <row r="492" spans="1:22" x14ac:dyDescent="0.3">
      <c r="A492" s="49">
        <v>45544</v>
      </c>
      <c r="B492" t="s">
        <v>1443</v>
      </c>
      <c r="C492" t="s">
        <v>1444</v>
      </c>
      <c r="D492" t="s">
        <v>24</v>
      </c>
      <c r="E492" t="s">
        <v>1503</v>
      </c>
      <c r="F492" t="s">
        <v>1504</v>
      </c>
      <c r="G492" t="s">
        <v>1505</v>
      </c>
      <c r="H492" t="s">
        <v>28</v>
      </c>
      <c r="I492" t="s">
        <v>1506</v>
      </c>
      <c r="J492" t="s">
        <v>63</v>
      </c>
      <c r="K492" t="s">
        <v>64</v>
      </c>
      <c r="L492" t="s">
        <v>32</v>
      </c>
      <c r="M492">
        <v>100</v>
      </c>
      <c r="N492" t="s">
        <v>49</v>
      </c>
      <c r="O492" t="s">
        <v>1507</v>
      </c>
      <c r="P492" t="s">
        <v>1508</v>
      </c>
      <c r="Q492" t="s">
        <v>1509</v>
      </c>
      <c r="R492" t="s">
        <v>37</v>
      </c>
      <c r="S492" t="s">
        <v>1510</v>
      </c>
      <c r="T492" t="s">
        <v>55</v>
      </c>
      <c r="U492" t="s">
        <v>56</v>
      </c>
      <c r="V492" t="s">
        <v>56</v>
      </c>
    </row>
    <row r="493" spans="1:22" x14ac:dyDescent="0.3">
      <c r="A493" s="49">
        <v>45544</v>
      </c>
      <c r="B493" t="s">
        <v>1443</v>
      </c>
      <c r="C493" t="s">
        <v>1444</v>
      </c>
      <c r="D493" t="s">
        <v>24</v>
      </c>
      <c r="E493" t="s">
        <v>1503</v>
      </c>
      <c r="F493" t="s">
        <v>1504</v>
      </c>
      <c r="G493" t="s">
        <v>1505</v>
      </c>
      <c r="H493" t="s">
        <v>28</v>
      </c>
      <c r="I493" t="s">
        <v>1506</v>
      </c>
      <c r="J493" t="s">
        <v>63</v>
      </c>
      <c r="K493" t="s">
        <v>64</v>
      </c>
      <c r="L493" t="s">
        <v>32</v>
      </c>
      <c r="M493">
        <v>100</v>
      </c>
      <c r="N493" t="s">
        <v>49</v>
      </c>
      <c r="O493" t="s">
        <v>1507</v>
      </c>
      <c r="P493" t="s">
        <v>1508</v>
      </c>
      <c r="Q493" t="s">
        <v>1509</v>
      </c>
      <c r="R493" t="s">
        <v>37</v>
      </c>
      <c r="S493" t="s">
        <v>1510</v>
      </c>
      <c r="T493" t="s">
        <v>55</v>
      </c>
      <c r="U493" t="s">
        <v>56</v>
      </c>
      <c r="V493" t="s">
        <v>56</v>
      </c>
    </row>
    <row r="494" spans="1:22" x14ac:dyDescent="0.3">
      <c r="A494" s="49">
        <v>45544</v>
      </c>
      <c r="B494" t="s">
        <v>1443</v>
      </c>
      <c r="C494" t="s">
        <v>1444</v>
      </c>
      <c r="D494" t="s">
        <v>24</v>
      </c>
      <c r="E494" t="s">
        <v>1503</v>
      </c>
      <c r="F494" t="s">
        <v>1504</v>
      </c>
      <c r="G494" t="s">
        <v>1505</v>
      </c>
      <c r="H494" t="s">
        <v>28</v>
      </c>
      <c r="I494" t="s">
        <v>1506</v>
      </c>
      <c r="J494" t="s">
        <v>63</v>
      </c>
      <c r="K494" t="s">
        <v>64</v>
      </c>
      <c r="L494" t="s">
        <v>32</v>
      </c>
      <c r="M494">
        <v>100</v>
      </c>
      <c r="N494" t="s">
        <v>49</v>
      </c>
      <c r="O494" t="s">
        <v>1507</v>
      </c>
      <c r="P494" t="s">
        <v>1508</v>
      </c>
      <c r="Q494" t="s">
        <v>1509</v>
      </c>
      <c r="R494" t="s">
        <v>37</v>
      </c>
      <c r="S494" t="s">
        <v>1510</v>
      </c>
      <c r="T494" t="s">
        <v>55</v>
      </c>
      <c r="U494" t="s">
        <v>56</v>
      </c>
      <c r="V494" t="s">
        <v>56</v>
      </c>
    </row>
    <row r="495" spans="1:22" x14ac:dyDescent="0.3">
      <c r="A495" s="49">
        <v>45544</v>
      </c>
      <c r="B495" t="s">
        <v>1443</v>
      </c>
      <c r="C495" t="s">
        <v>1444</v>
      </c>
      <c r="D495" t="s">
        <v>24</v>
      </c>
      <c r="E495" t="s">
        <v>1503</v>
      </c>
      <c r="F495" t="s">
        <v>1504</v>
      </c>
      <c r="G495" t="s">
        <v>1505</v>
      </c>
      <c r="H495" t="s">
        <v>28</v>
      </c>
      <c r="I495" t="s">
        <v>1506</v>
      </c>
      <c r="J495" t="s">
        <v>63</v>
      </c>
      <c r="K495" t="s">
        <v>64</v>
      </c>
      <c r="L495" t="s">
        <v>32</v>
      </c>
      <c r="M495">
        <v>100</v>
      </c>
      <c r="N495" t="s">
        <v>49</v>
      </c>
      <c r="O495" t="s">
        <v>1507</v>
      </c>
      <c r="P495" t="s">
        <v>1508</v>
      </c>
      <c r="Q495" t="s">
        <v>1509</v>
      </c>
      <c r="R495" t="s">
        <v>37</v>
      </c>
      <c r="S495" t="s">
        <v>1510</v>
      </c>
      <c r="T495" t="s">
        <v>55</v>
      </c>
      <c r="U495" t="s">
        <v>56</v>
      </c>
      <c r="V495" t="s">
        <v>56</v>
      </c>
    </row>
    <row r="496" spans="1:22" x14ac:dyDescent="0.3">
      <c r="A496" s="49">
        <v>45544</v>
      </c>
      <c r="B496" t="s">
        <v>1443</v>
      </c>
      <c r="C496" t="s">
        <v>1444</v>
      </c>
      <c r="D496" t="s">
        <v>173</v>
      </c>
      <c r="E496" t="s">
        <v>109</v>
      </c>
      <c r="F496" t="s">
        <v>110</v>
      </c>
      <c r="G496" t="s">
        <v>1511</v>
      </c>
      <c r="H496" t="s">
        <v>28</v>
      </c>
      <c r="I496" t="s">
        <v>1512</v>
      </c>
      <c r="J496" t="s">
        <v>63</v>
      </c>
      <c r="K496" t="s">
        <v>1513</v>
      </c>
      <c r="L496" t="s">
        <v>48</v>
      </c>
      <c r="M496">
        <v>100</v>
      </c>
      <c r="N496" t="s">
        <v>33</v>
      </c>
      <c r="O496" t="s">
        <v>1514</v>
      </c>
      <c r="P496" t="s">
        <v>106</v>
      </c>
      <c r="Q496" t="s">
        <v>114</v>
      </c>
      <c r="R496" t="s">
        <v>53</v>
      </c>
      <c r="S496" t="s">
        <v>115</v>
      </c>
      <c r="T496" t="s">
        <v>39</v>
      </c>
      <c r="U496" t="s">
        <v>40</v>
      </c>
      <c r="V496" t="s">
        <v>41</v>
      </c>
    </row>
    <row r="497" spans="1:22" x14ac:dyDescent="0.3">
      <c r="A497" s="49">
        <v>45544</v>
      </c>
      <c r="B497" t="s">
        <v>457</v>
      </c>
      <c r="C497" t="s">
        <v>458</v>
      </c>
      <c r="D497" t="s">
        <v>173</v>
      </c>
      <c r="E497" t="s">
        <v>151</v>
      </c>
      <c r="F497" t="s">
        <v>152</v>
      </c>
      <c r="G497" t="s">
        <v>1515</v>
      </c>
      <c r="H497" t="s">
        <v>89</v>
      </c>
      <c r="J497" t="s">
        <v>63</v>
      </c>
      <c r="K497" t="s">
        <v>64</v>
      </c>
      <c r="L497" t="s">
        <v>32</v>
      </c>
      <c r="M497">
        <v>100</v>
      </c>
      <c r="N497" t="s">
        <v>49</v>
      </c>
      <c r="O497" t="s">
        <v>1516</v>
      </c>
      <c r="P497" t="s">
        <v>829</v>
      </c>
      <c r="Q497" t="s">
        <v>1517</v>
      </c>
      <c r="R497" t="s">
        <v>37</v>
      </c>
      <c r="S497" t="s">
        <v>157</v>
      </c>
      <c r="T497" t="s">
        <v>55</v>
      </c>
      <c r="U497" t="s">
        <v>56</v>
      </c>
      <c r="V497" t="s">
        <v>56</v>
      </c>
    </row>
    <row r="498" spans="1:22" x14ac:dyDescent="0.3">
      <c r="A498" s="49">
        <v>45544</v>
      </c>
      <c r="B498" t="s">
        <v>457</v>
      </c>
      <c r="C498" t="s">
        <v>458</v>
      </c>
      <c r="D498" t="s">
        <v>24</v>
      </c>
      <c r="E498" t="s">
        <v>1518</v>
      </c>
      <c r="F498" t="s">
        <v>1519</v>
      </c>
      <c r="G498" t="s">
        <v>1520</v>
      </c>
      <c r="H498" t="s">
        <v>89</v>
      </c>
      <c r="J498" t="s">
        <v>63</v>
      </c>
      <c r="K498" t="s">
        <v>64</v>
      </c>
      <c r="L498" t="s">
        <v>32</v>
      </c>
      <c r="M498">
        <v>100</v>
      </c>
      <c r="N498" t="s">
        <v>49</v>
      </c>
      <c r="O498" t="s">
        <v>1521</v>
      </c>
      <c r="P498" t="s">
        <v>373</v>
      </c>
      <c r="Q498" t="s">
        <v>1522</v>
      </c>
      <c r="R498" t="s">
        <v>37</v>
      </c>
      <c r="S498" t="s">
        <v>1523</v>
      </c>
      <c r="T498" t="s">
        <v>55</v>
      </c>
      <c r="U498" t="s">
        <v>56</v>
      </c>
      <c r="V498" t="s">
        <v>56</v>
      </c>
    </row>
    <row r="499" spans="1:22" x14ac:dyDescent="0.3">
      <c r="A499" s="49">
        <v>45544</v>
      </c>
      <c r="B499" t="s">
        <v>457</v>
      </c>
      <c r="C499" t="s">
        <v>458</v>
      </c>
      <c r="D499" t="s">
        <v>24</v>
      </c>
      <c r="E499" t="s">
        <v>524</v>
      </c>
      <c r="F499" t="s">
        <v>525</v>
      </c>
      <c r="G499" t="s">
        <v>1524</v>
      </c>
      <c r="H499" t="s">
        <v>89</v>
      </c>
      <c r="J499" t="s">
        <v>63</v>
      </c>
      <c r="K499" t="s">
        <v>211</v>
      </c>
      <c r="L499" t="s">
        <v>32</v>
      </c>
      <c r="M499">
        <v>100</v>
      </c>
      <c r="N499" t="s">
        <v>49</v>
      </c>
      <c r="O499" t="s">
        <v>1525</v>
      </c>
      <c r="P499" t="s">
        <v>1508</v>
      </c>
      <c r="Q499" t="s">
        <v>1526</v>
      </c>
      <c r="R499" t="s">
        <v>37</v>
      </c>
      <c r="S499" t="s">
        <v>1527</v>
      </c>
      <c r="T499" t="s">
        <v>55</v>
      </c>
      <c r="U499" t="s">
        <v>56</v>
      </c>
      <c r="V499" t="s">
        <v>56</v>
      </c>
    </row>
    <row r="500" spans="1:22" x14ac:dyDescent="0.3">
      <c r="A500" s="49">
        <v>45544</v>
      </c>
      <c r="B500" t="s">
        <v>606</v>
      </c>
      <c r="C500" t="s">
        <v>607</v>
      </c>
      <c r="D500" t="s">
        <v>173</v>
      </c>
      <c r="E500" t="s">
        <v>1528</v>
      </c>
      <c r="F500" t="s">
        <v>1529</v>
      </c>
      <c r="G500" t="s">
        <v>1530</v>
      </c>
      <c r="H500" t="s">
        <v>89</v>
      </c>
      <c r="J500" t="s">
        <v>63</v>
      </c>
      <c r="K500" t="s">
        <v>414</v>
      </c>
      <c r="L500" t="s">
        <v>32</v>
      </c>
      <c r="M500">
        <v>100</v>
      </c>
      <c r="N500" t="s">
        <v>49</v>
      </c>
      <c r="O500" t="s">
        <v>1531</v>
      </c>
      <c r="P500" t="s">
        <v>344</v>
      </c>
      <c r="Q500" t="s">
        <v>1532</v>
      </c>
      <c r="R500" t="s">
        <v>186</v>
      </c>
      <c r="S500" t="s">
        <v>1533</v>
      </c>
      <c r="T500" t="s">
        <v>55</v>
      </c>
      <c r="U500" t="s">
        <v>56</v>
      </c>
      <c r="V500" t="s">
        <v>56</v>
      </c>
    </row>
    <row r="501" spans="1:22" x14ac:dyDescent="0.3">
      <c r="A501" s="49">
        <v>45544</v>
      </c>
      <c r="B501" t="s">
        <v>606</v>
      </c>
      <c r="C501" t="s">
        <v>607</v>
      </c>
      <c r="D501" t="s">
        <v>24</v>
      </c>
      <c r="E501" t="s">
        <v>1534</v>
      </c>
      <c r="F501" t="s">
        <v>1535</v>
      </c>
      <c r="G501" t="s">
        <v>1536</v>
      </c>
      <c r="H501" t="s">
        <v>28</v>
      </c>
      <c r="I501" t="s">
        <v>1537</v>
      </c>
      <c r="J501" t="s">
        <v>63</v>
      </c>
      <c r="K501" t="s">
        <v>414</v>
      </c>
      <c r="L501" t="s">
        <v>32</v>
      </c>
      <c r="M501">
        <v>100</v>
      </c>
      <c r="N501" t="s">
        <v>49</v>
      </c>
      <c r="O501" t="s">
        <v>1538</v>
      </c>
      <c r="P501" t="s">
        <v>170</v>
      </c>
      <c r="Q501" t="s">
        <v>171</v>
      </c>
      <c r="R501" t="s">
        <v>37</v>
      </c>
      <c r="S501" t="s">
        <v>1539</v>
      </c>
      <c r="T501" t="s">
        <v>55</v>
      </c>
      <c r="U501" t="s">
        <v>56</v>
      </c>
      <c r="V501" t="s">
        <v>56</v>
      </c>
    </row>
    <row r="502" spans="1:22" x14ac:dyDescent="0.3">
      <c r="A502" s="49">
        <v>45544</v>
      </c>
      <c r="B502" t="s">
        <v>606</v>
      </c>
      <c r="C502" t="s">
        <v>607</v>
      </c>
      <c r="D502" t="s">
        <v>24</v>
      </c>
      <c r="E502" t="s">
        <v>1534</v>
      </c>
      <c r="F502" t="s">
        <v>1535</v>
      </c>
      <c r="G502" t="s">
        <v>1536</v>
      </c>
      <c r="H502" t="s">
        <v>28</v>
      </c>
      <c r="I502" t="s">
        <v>1537</v>
      </c>
      <c r="J502" t="s">
        <v>63</v>
      </c>
      <c r="K502" t="s">
        <v>414</v>
      </c>
      <c r="L502" t="s">
        <v>32</v>
      </c>
      <c r="M502">
        <v>100</v>
      </c>
      <c r="N502" t="s">
        <v>49</v>
      </c>
      <c r="O502" t="s">
        <v>1538</v>
      </c>
      <c r="P502" t="s">
        <v>170</v>
      </c>
      <c r="Q502" t="s">
        <v>171</v>
      </c>
      <c r="R502" t="s">
        <v>37</v>
      </c>
      <c r="S502" t="s">
        <v>1539</v>
      </c>
      <c r="T502" t="s">
        <v>55</v>
      </c>
      <c r="U502" t="s">
        <v>56</v>
      </c>
      <c r="V502" t="s">
        <v>56</v>
      </c>
    </row>
    <row r="503" spans="1:22" x14ac:dyDescent="0.3">
      <c r="A503" s="49">
        <v>45544</v>
      </c>
      <c r="B503" t="s">
        <v>606</v>
      </c>
      <c r="C503" t="s">
        <v>607</v>
      </c>
      <c r="D503" t="s">
        <v>173</v>
      </c>
      <c r="E503" t="s">
        <v>1534</v>
      </c>
      <c r="F503" t="s">
        <v>1535</v>
      </c>
      <c r="G503" t="s">
        <v>1540</v>
      </c>
      <c r="H503" t="s">
        <v>89</v>
      </c>
      <c r="J503" t="s">
        <v>63</v>
      </c>
      <c r="K503" t="s">
        <v>414</v>
      </c>
      <c r="L503" t="s">
        <v>32</v>
      </c>
      <c r="M503">
        <v>100</v>
      </c>
      <c r="N503" t="s">
        <v>49</v>
      </c>
      <c r="O503" t="s">
        <v>1541</v>
      </c>
      <c r="P503" t="s">
        <v>743</v>
      </c>
      <c r="Q503" t="s">
        <v>1385</v>
      </c>
      <c r="R503" t="s">
        <v>37</v>
      </c>
      <c r="S503" t="s">
        <v>1542</v>
      </c>
      <c r="T503" t="s">
        <v>55</v>
      </c>
      <c r="U503" t="s">
        <v>56</v>
      </c>
      <c r="V503" t="s">
        <v>56</v>
      </c>
    </row>
    <row r="504" spans="1:22" x14ac:dyDescent="0.3">
      <c r="A504" s="49">
        <v>45544</v>
      </c>
      <c r="B504" t="s">
        <v>606</v>
      </c>
      <c r="C504" t="s">
        <v>607</v>
      </c>
      <c r="D504" t="s">
        <v>173</v>
      </c>
      <c r="E504" t="s">
        <v>1534</v>
      </c>
      <c r="F504" t="s">
        <v>1535</v>
      </c>
      <c r="G504" t="s">
        <v>1540</v>
      </c>
      <c r="H504" t="s">
        <v>89</v>
      </c>
      <c r="J504" t="s">
        <v>63</v>
      </c>
      <c r="K504" t="s">
        <v>414</v>
      </c>
      <c r="L504" t="s">
        <v>32</v>
      </c>
      <c r="M504">
        <v>100</v>
      </c>
      <c r="N504" t="s">
        <v>49</v>
      </c>
      <c r="O504" t="s">
        <v>1541</v>
      </c>
      <c r="P504" t="s">
        <v>743</v>
      </c>
      <c r="Q504" t="s">
        <v>1385</v>
      </c>
      <c r="R504" t="s">
        <v>37</v>
      </c>
      <c r="S504" t="s">
        <v>1542</v>
      </c>
      <c r="T504" t="s">
        <v>55</v>
      </c>
      <c r="U504" t="s">
        <v>56</v>
      </c>
      <c r="V504" t="s">
        <v>56</v>
      </c>
    </row>
    <row r="505" spans="1:22" x14ac:dyDescent="0.3">
      <c r="A505" s="49">
        <v>45544</v>
      </c>
      <c r="B505" t="s">
        <v>606</v>
      </c>
      <c r="C505" t="s">
        <v>607</v>
      </c>
      <c r="D505" t="s">
        <v>173</v>
      </c>
      <c r="E505" t="s">
        <v>1534</v>
      </c>
      <c r="F505" t="s">
        <v>1535</v>
      </c>
      <c r="G505" t="s">
        <v>1540</v>
      </c>
      <c r="H505" t="s">
        <v>89</v>
      </c>
      <c r="J505" t="s">
        <v>63</v>
      </c>
      <c r="K505" t="s">
        <v>414</v>
      </c>
      <c r="L505" t="s">
        <v>32</v>
      </c>
      <c r="M505">
        <v>100</v>
      </c>
      <c r="N505" t="s">
        <v>49</v>
      </c>
      <c r="O505" t="s">
        <v>1541</v>
      </c>
      <c r="P505" t="s">
        <v>743</v>
      </c>
      <c r="Q505" t="s">
        <v>1385</v>
      </c>
      <c r="R505" t="s">
        <v>37</v>
      </c>
      <c r="S505" t="s">
        <v>1542</v>
      </c>
      <c r="T505" t="s">
        <v>55</v>
      </c>
      <c r="U505" t="s">
        <v>56</v>
      </c>
      <c r="V505" t="s">
        <v>56</v>
      </c>
    </row>
    <row r="506" spans="1:22" x14ac:dyDescent="0.3">
      <c r="A506" s="49">
        <v>45544</v>
      </c>
      <c r="B506" t="s">
        <v>457</v>
      </c>
      <c r="C506" t="s">
        <v>458</v>
      </c>
      <c r="D506" t="s">
        <v>173</v>
      </c>
      <c r="E506" t="s">
        <v>1543</v>
      </c>
      <c r="F506" t="s">
        <v>1544</v>
      </c>
      <c r="G506" t="s">
        <v>1545</v>
      </c>
      <c r="H506" t="s">
        <v>89</v>
      </c>
      <c r="J506" t="s">
        <v>30</v>
      </c>
      <c r="K506" t="s">
        <v>1546</v>
      </c>
      <c r="L506" t="s">
        <v>351</v>
      </c>
      <c r="M506">
        <v>95</v>
      </c>
      <c r="N506" t="s">
        <v>49</v>
      </c>
      <c r="O506" t="s">
        <v>1547</v>
      </c>
      <c r="P506" t="s">
        <v>873</v>
      </c>
      <c r="Q506" t="s">
        <v>244</v>
      </c>
      <c r="R506" t="s">
        <v>37</v>
      </c>
      <c r="S506" t="s">
        <v>1548</v>
      </c>
      <c r="T506" t="s">
        <v>39</v>
      </c>
      <c r="U506" t="s">
        <v>40</v>
      </c>
      <c r="V506" t="s">
        <v>41</v>
      </c>
    </row>
    <row r="507" spans="1:22" x14ac:dyDescent="0.3">
      <c r="A507" s="49">
        <v>45544</v>
      </c>
      <c r="B507" t="s">
        <v>606</v>
      </c>
      <c r="C507" t="s">
        <v>607</v>
      </c>
      <c r="D507" t="s">
        <v>24</v>
      </c>
      <c r="E507" t="s">
        <v>1549</v>
      </c>
      <c r="F507" t="s">
        <v>1550</v>
      </c>
      <c r="G507" t="s">
        <v>1551</v>
      </c>
      <c r="H507" t="s">
        <v>28</v>
      </c>
      <c r="I507" t="s">
        <v>1552</v>
      </c>
      <c r="J507" t="s">
        <v>30</v>
      </c>
      <c r="K507" t="s">
        <v>1546</v>
      </c>
      <c r="L507" t="s">
        <v>1553</v>
      </c>
      <c r="M507">
        <v>100</v>
      </c>
      <c r="N507" t="s">
        <v>49</v>
      </c>
      <c r="O507" t="s">
        <v>1554</v>
      </c>
      <c r="P507" t="s">
        <v>791</v>
      </c>
      <c r="Q507" t="s">
        <v>1555</v>
      </c>
      <c r="R507" t="s">
        <v>37</v>
      </c>
      <c r="S507" t="s">
        <v>1556</v>
      </c>
      <c r="T507" t="s">
        <v>55</v>
      </c>
      <c r="U507" t="s">
        <v>56</v>
      </c>
      <c r="V507" t="s">
        <v>56</v>
      </c>
    </row>
    <row r="508" spans="1:22" x14ac:dyDescent="0.3">
      <c r="A508" s="49">
        <v>45544</v>
      </c>
      <c r="B508" t="s">
        <v>1443</v>
      </c>
      <c r="C508" t="s">
        <v>1444</v>
      </c>
      <c r="D508" t="s">
        <v>173</v>
      </c>
      <c r="E508" t="s">
        <v>1557</v>
      </c>
      <c r="F508" t="s">
        <v>1558</v>
      </c>
      <c r="G508" t="s">
        <v>1559</v>
      </c>
      <c r="H508" t="s">
        <v>89</v>
      </c>
      <c r="J508" t="s">
        <v>46</v>
      </c>
      <c r="K508" t="s">
        <v>1166</v>
      </c>
      <c r="L508" t="s">
        <v>275</v>
      </c>
      <c r="M508">
        <v>100</v>
      </c>
      <c r="N508" t="s">
        <v>33</v>
      </c>
      <c r="O508" t="s">
        <v>1560</v>
      </c>
      <c r="P508" t="s">
        <v>104</v>
      </c>
      <c r="Q508" t="s">
        <v>1561</v>
      </c>
      <c r="R508" t="s">
        <v>53</v>
      </c>
      <c r="S508" t="s">
        <v>1562</v>
      </c>
      <c r="T508" t="s">
        <v>39</v>
      </c>
      <c r="U508" t="s">
        <v>40</v>
      </c>
      <c r="V508" t="s">
        <v>41</v>
      </c>
    </row>
    <row r="509" spans="1:22" x14ac:dyDescent="0.3">
      <c r="A509" s="49">
        <v>45544</v>
      </c>
      <c r="B509" t="s">
        <v>606</v>
      </c>
      <c r="C509" t="s">
        <v>607</v>
      </c>
      <c r="D509" t="s">
        <v>173</v>
      </c>
      <c r="E509" t="s">
        <v>1563</v>
      </c>
      <c r="F509" t="s">
        <v>1564</v>
      </c>
      <c r="G509" t="s">
        <v>1565</v>
      </c>
      <c r="H509" t="s">
        <v>28</v>
      </c>
      <c r="I509" t="s">
        <v>1566</v>
      </c>
      <c r="J509" t="s">
        <v>63</v>
      </c>
      <c r="K509" t="s">
        <v>414</v>
      </c>
      <c r="L509" t="s">
        <v>32</v>
      </c>
      <c r="M509">
        <v>70</v>
      </c>
      <c r="N509" t="s">
        <v>49</v>
      </c>
      <c r="O509" t="s">
        <v>1567</v>
      </c>
      <c r="P509" t="s">
        <v>58</v>
      </c>
      <c r="Q509" t="s">
        <v>1568</v>
      </c>
      <c r="R509" t="s">
        <v>783</v>
      </c>
      <c r="S509" t="s">
        <v>1569</v>
      </c>
      <c r="T509" t="s">
        <v>39</v>
      </c>
      <c r="U509" t="s">
        <v>40</v>
      </c>
      <c r="V509" t="s">
        <v>41</v>
      </c>
    </row>
    <row r="510" spans="1:22" x14ac:dyDescent="0.3">
      <c r="A510" s="49">
        <v>45544</v>
      </c>
      <c r="B510" t="s">
        <v>606</v>
      </c>
      <c r="C510" t="s">
        <v>607</v>
      </c>
      <c r="D510" t="s">
        <v>173</v>
      </c>
      <c r="E510" t="s">
        <v>1320</v>
      </c>
      <c r="F510" t="s">
        <v>1321</v>
      </c>
      <c r="G510" t="s">
        <v>1322</v>
      </c>
      <c r="H510" t="s">
        <v>89</v>
      </c>
      <c r="J510" t="s">
        <v>63</v>
      </c>
      <c r="K510" t="s">
        <v>414</v>
      </c>
      <c r="L510" t="s">
        <v>32</v>
      </c>
      <c r="M510">
        <v>70</v>
      </c>
      <c r="N510" t="s">
        <v>49</v>
      </c>
      <c r="O510" t="s">
        <v>1570</v>
      </c>
      <c r="P510" t="s">
        <v>743</v>
      </c>
      <c r="Q510" t="s">
        <v>1571</v>
      </c>
      <c r="R510" t="s">
        <v>37</v>
      </c>
      <c r="S510" t="s">
        <v>1572</v>
      </c>
      <c r="T510" t="s">
        <v>55</v>
      </c>
      <c r="U510" t="s">
        <v>56</v>
      </c>
      <c r="V510" t="s">
        <v>56</v>
      </c>
    </row>
    <row r="511" spans="1:22" x14ac:dyDescent="0.3">
      <c r="A511" s="49">
        <v>45544</v>
      </c>
      <c r="B511" t="s">
        <v>1443</v>
      </c>
      <c r="C511" t="s">
        <v>1444</v>
      </c>
      <c r="D511" t="s">
        <v>173</v>
      </c>
      <c r="E511" t="s">
        <v>1573</v>
      </c>
      <c r="F511" t="s">
        <v>1574</v>
      </c>
      <c r="G511" t="s">
        <v>1575</v>
      </c>
      <c r="H511" t="s">
        <v>89</v>
      </c>
      <c r="J511" t="s">
        <v>63</v>
      </c>
      <c r="K511" t="s">
        <v>64</v>
      </c>
      <c r="L511" t="s">
        <v>32</v>
      </c>
      <c r="M511">
        <v>100</v>
      </c>
      <c r="N511" t="s">
        <v>49</v>
      </c>
      <c r="O511" t="s">
        <v>1576</v>
      </c>
      <c r="P511" t="s">
        <v>104</v>
      </c>
      <c r="Q511" t="s">
        <v>244</v>
      </c>
      <c r="R511" t="s">
        <v>37</v>
      </c>
      <c r="S511" t="s">
        <v>1577</v>
      </c>
      <c r="T511" t="s">
        <v>55</v>
      </c>
      <c r="U511" t="s">
        <v>56</v>
      </c>
      <c r="V511" t="s">
        <v>56</v>
      </c>
    </row>
    <row r="512" spans="1:22" x14ac:dyDescent="0.3">
      <c r="A512" s="49">
        <v>45544</v>
      </c>
      <c r="B512" t="s">
        <v>1443</v>
      </c>
      <c r="C512" t="s">
        <v>1444</v>
      </c>
      <c r="D512" t="s">
        <v>173</v>
      </c>
      <c r="E512" t="s">
        <v>1573</v>
      </c>
      <c r="F512" t="s">
        <v>1574</v>
      </c>
      <c r="G512" t="s">
        <v>1575</v>
      </c>
      <c r="H512" t="s">
        <v>89</v>
      </c>
      <c r="J512" t="s">
        <v>63</v>
      </c>
      <c r="K512" t="s">
        <v>64</v>
      </c>
      <c r="L512" t="s">
        <v>32</v>
      </c>
      <c r="M512">
        <v>100</v>
      </c>
      <c r="N512" t="s">
        <v>49</v>
      </c>
      <c r="O512" t="s">
        <v>1576</v>
      </c>
      <c r="P512" t="s">
        <v>104</v>
      </c>
      <c r="Q512" t="s">
        <v>244</v>
      </c>
      <c r="R512" t="s">
        <v>37</v>
      </c>
      <c r="S512" t="s">
        <v>1577</v>
      </c>
      <c r="T512" t="s">
        <v>55</v>
      </c>
      <c r="U512" t="s">
        <v>56</v>
      </c>
      <c r="V512" t="s">
        <v>56</v>
      </c>
    </row>
    <row r="513" spans="1:22" x14ac:dyDescent="0.3">
      <c r="A513" s="49">
        <v>45544</v>
      </c>
      <c r="B513" t="s">
        <v>1443</v>
      </c>
      <c r="C513" t="s">
        <v>1444</v>
      </c>
      <c r="D513" t="s">
        <v>173</v>
      </c>
      <c r="E513" t="s">
        <v>1573</v>
      </c>
      <c r="F513" t="s">
        <v>1574</v>
      </c>
      <c r="G513" t="s">
        <v>1575</v>
      </c>
      <c r="H513" t="s">
        <v>89</v>
      </c>
      <c r="J513" t="s">
        <v>63</v>
      </c>
      <c r="K513" t="s">
        <v>64</v>
      </c>
      <c r="L513" t="s">
        <v>32</v>
      </c>
      <c r="M513">
        <v>100</v>
      </c>
      <c r="N513" t="s">
        <v>49</v>
      </c>
      <c r="O513" t="s">
        <v>1576</v>
      </c>
      <c r="P513" t="s">
        <v>104</v>
      </c>
      <c r="Q513" t="s">
        <v>244</v>
      </c>
      <c r="R513" t="s">
        <v>37</v>
      </c>
      <c r="S513" t="s">
        <v>1577</v>
      </c>
      <c r="T513" t="s">
        <v>55</v>
      </c>
      <c r="U513" t="s">
        <v>56</v>
      </c>
      <c r="V513" t="s">
        <v>56</v>
      </c>
    </row>
    <row r="514" spans="1:22" x14ac:dyDescent="0.3">
      <c r="A514" s="49">
        <v>45544</v>
      </c>
      <c r="B514" t="s">
        <v>1443</v>
      </c>
      <c r="C514" t="s">
        <v>1444</v>
      </c>
      <c r="D514" t="s">
        <v>173</v>
      </c>
      <c r="E514" t="s">
        <v>1573</v>
      </c>
      <c r="F514" t="s">
        <v>1574</v>
      </c>
      <c r="G514" t="s">
        <v>1575</v>
      </c>
      <c r="H514" t="s">
        <v>89</v>
      </c>
      <c r="J514" t="s">
        <v>63</v>
      </c>
      <c r="K514" t="s">
        <v>64</v>
      </c>
      <c r="L514" t="s">
        <v>32</v>
      </c>
      <c r="M514">
        <v>100</v>
      </c>
      <c r="N514" t="s">
        <v>49</v>
      </c>
      <c r="O514" t="s">
        <v>1576</v>
      </c>
      <c r="P514" t="s">
        <v>104</v>
      </c>
      <c r="Q514" t="s">
        <v>244</v>
      </c>
      <c r="R514" t="s">
        <v>37</v>
      </c>
      <c r="S514" t="s">
        <v>1577</v>
      </c>
      <c r="T514" t="s">
        <v>55</v>
      </c>
      <c r="U514" t="s">
        <v>56</v>
      </c>
      <c r="V514" t="s">
        <v>56</v>
      </c>
    </row>
    <row r="515" spans="1:22" x14ac:dyDescent="0.3">
      <c r="A515" s="49">
        <v>45544</v>
      </c>
      <c r="B515" t="s">
        <v>1443</v>
      </c>
      <c r="C515" t="s">
        <v>1444</v>
      </c>
      <c r="D515" t="s">
        <v>173</v>
      </c>
      <c r="E515" t="s">
        <v>1573</v>
      </c>
      <c r="F515" t="s">
        <v>1574</v>
      </c>
      <c r="G515" t="s">
        <v>1575</v>
      </c>
      <c r="H515" t="s">
        <v>89</v>
      </c>
      <c r="J515" t="s">
        <v>63</v>
      </c>
      <c r="K515" t="s">
        <v>64</v>
      </c>
      <c r="L515" t="s">
        <v>32</v>
      </c>
      <c r="M515">
        <v>100</v>
      </c>
      <c r="N515" t="s">
        <v>49</v>
      </c>
      <c r="O515" t="s">
        <v>1576</v>
      </c>
      <c r="P515" t="s">
        <v>104</v>
      </c>
      <c r="Q515" t="s">
        <v>244</v>
      </c>
      <c r="R515" t="s">
        <v>37</v>
      </c>
      <c r="S515" t="s">
        <v>1577</v>
      </c>
      <c r="T515" t="s">
        <v>55</v>
      </c>
      <c r="U515" t="s">
        <v>56</v>
      </c>
      <c r="V515" t="s">
        <v>56</v>
      </c>
    </row>
    <row r="516" spans="1:22" x14ac:dyDescent="0.3">
      <c r="A516" s="49">
        <v>45544</v>
      </c>
      <c r="B516" t="s">
        <v>1443</v>
      </c>
      <c r="C516" t="s">
        <v>1444</v>
      </c>
      <c r="D516" t="s">
        <v>173</v>
      </c>
      <c r="E516" t="s">
        <v>1573</v>
      </c>
      <c r="F516" t="s">
        <v>1574</v>
      </c>
      <c r="G516" t="s">
        <v>1575</v>
      </c>
      <c r="H516" t="s">
        <v>89</v>
      </c>
      <c r="J516" t="s">
        <v>63</v>
      </c>
      <c r="K516" t="s">
        <v>64</v>
      </c>
      <c r="L516" t="s">
        <v>32</v>
      </c>
      <c r="M516">
        <v>100</v>
      </c>
      <c r="N516" t="s">
        <v>49</v>
      </c>
      <c r="O516" t="s">
        <v>1576</v>
      </c>
      <c r="P516" t="s">
        <v>104</v>
      </c>
      <c r="Q516" t="s">
        <v>244</v>
      </c>
      <c r="R516" t="s">
        <v>37</v>
      </c>
      <c r="S516" t="s">
        <v>1577</v>
      </c>
      <c r="T516" t="s">
        <v>55</v>
      </c>
      <c r="U516" t="s">
        <v>56</v>
      </c>
      <c r="V516" t="s">
        <v>56</v>
      </c>
    </row>
    <row r="517" spans="1:22" x14ac:dyDescent="0.3">
      <c r="A517" s="49">
        <v>45544</v>
      </c>
      <c r="B517" t="s">
        <v>1443</v>
      </c>
      <c r="C517" t="s">
        <v>1444</v>
      </c>
      <c r="D517" t="s">
        <v>173</v>
      </c>
      <c r="E517" t="s">
        <v>1573</v>
      </c>
      <c r="F517" t="s">
        <v>1574</v>
      </c>
      <c r="G517" t="s">
        <v>1575</v>
      </c>
      <c r="H517" t="s">
        <v>89</v>
      </c>
      <c r="J517" t="s">
        <v>63</v>
      </c>
      <c r="K517" t="s">
        <v>64</v>
      </c>
      <c r="L517" t="s">
        <v>32</v>
      </c>
      <c r="M517">
        <v>100</v>
      </c>
      <c r="N517" t="s">
        <v>49</v>
      </c>
      <c r="O517" t="s">
        <v>1576</v>
      </c>
      <c r="P517" t="s">
        <v>104</v>
      </c>
      <c r="Q517" t="s">
        <v>244</v>
      </c>
      <c r="R517" t="s">
        <v>37</v>
      </c>
      <c r="S517" t="s">
        <v>1577</v>
      </c>
      <c r="T517" t="s">
        <v>55</v>
      </c>
      <c r="U517" t="s">
        <v>56</v>
      </c>
      <c r="V517" t="s">
        <v>56</v>
      </c>
    </row>
    <row r="518" spans="1:22" x14ac:dyDescent="0.3">
      <c r="A518" s="49">
        <v>45544</v>
      </c>
      <c r="B518" t="s">
        <v>1443</v>
      </c>
      <c r="C518" t="s">
        <v>1444</v>
      </c>
      <c r="D518" t="s">
        <v>173</v>
      </c>
      <c r="E518" t="s">
        <v>1573</v>
      </c>
      <c r="F518" t="s">
        <v>1574</v>
      </c>
      <c r="G518" t="s">
        <v>1575</v>
      </c>
      <c r="H518" t="s">
        <v>89</v>
      </c>
      <c r="J518" t="s">
        <v>63</v>
      </c>
      <c r="K518" t="s">
        <v>64</v>
      </c>
      <c r="L518" t="s">
        <v>32</v>
      </c>
      <c r="M518">
        <v>100</v>
      </c>
      <c r="N518" t="s">
        <v>49</v>
      </c>
      <c r="O518" t="s">
        <v>1576</v>
      </c>
      <c r="P518" t="s">
        <v>104</v>
      </c>
      <c r="Q518" t="s">
        <v>244</v>
      </c>
      <c r="R518" t="s">
        <v>37</v>
      </c>
      <c r="S518" t="s">
        <v>1577</v>
      </c>
      <c r="T518" t="s">
        <v>55</v>
      </c>
      <c r="U518" t="s">
        <v>56</v>
      </c>
      <c r="V518" t="s">
        <v>56</v>
      </c>
    </row>
    <row r="519" spans="1:22" x14ac:dyDescent="0.3">
      <c r="A519" s="49">
        <v>45544</v>
      </c>
      <c r="B519" t="s">
        <v>1443</v>
      </c>
      <c r="C519" t="s">
        <v>1444</v>
      </c>
      <c r="D519" t="s">
        <v>173</v>
      </c>
      <c r="E519" t="s">
        <v>1573</v>
      </c>
      <c r="F519" t="s">
        <v>1574</v>
      </c>
      <c r="G519" t="s">
        <v>1575</v>
      </c>
      <c r="H519" t="s">
        <v>89</v>
      </c>
      <c r="J519" t="s">
        <v>63</v>
      </c>
      <c r="K519" t="s">
        <v>64</v>
      </c>
      <c r="L519" t="s">
        <v>32</v>
      </c>
      <c r="M519">
        <v>100</v>
      </c>
      <c r="N519" t="s">
        <v>49</v>
      </c>
      <c r="O519" t="s">
        <v>1576</v>
      </c>
      <c r="P519" t="s">
        <v>104</v>
      </c>
      <c r="Q519" t="s">
        <v>244</v>
      </c>
      <c r="R519" t="s">
        <v>37</v>
      </c>
      <c r="S519" t="s">
        <v>1577</v>
      </c>
      <c r="T519" t="s">
        <v>55</v>
      </c>
      <c r="U519" t="s">
        <v>56</v>
      </c>
      <c r="V519" t="s">
        <v>56</v>
      </c>
    </row>
    <row r="520" spans="1:22" x14ac:dyDescent="0.3">
      <c r="A520" s="49">
        <v>45544</v>
      </c>
      <c r="B520" t="s">
        <v>1443</v>
      </c>
      <c r="C520" t="s">
        <v>1444</v>
      </c>
      <c r="D520" t="s">
        <v>173</v>
      </c>
      <c r="E520" t="s">
        <v>1573</v>
      </c>
      <c r="F520" t="s">
        <v>1574</v>
      </c>
      <c r="G520" t="s">
        <v>1575</v>
      </c>
      <c r="H520" t="s">
        <v>89</v>
      </c>
      <c r="J520" t="s">
        <v>63</v>
      </c>
      <c r="K520" t="s">
        <v>64</v>
      </c>
      <c r="L520" t="s">
        <v>32</v>
      </c>
      <c r="M520">
        <v>100</v>
      </c>
      <c r="N520" t="s">
        <v>49</v>
      </c>
      <c r="O520" t="s">
        <v>1576</v>
      </c>
      <c r="P520" t="s">
        <v>104</v>
      </c>
      <c r="Q520" t="s">
        <v>244</v>
      </c>
      <c r="R520" t="s">
        <v>37</v>
      </c>
      <c r="S520" t="s">
        <v>1577</v>
      </c>
      <c r="T520" t="s">
        <v>55</v>
      </c>
      <c r="U520" t="s">
        <v>56</v>
      </c>
      <c r="V520" t="s">
        <v>56</v>
      </c>
    </row>
    <row r="521" spans="1:22" x14ac:dyDescent="0.3">
      <c r="A521" s="49">
        <v>45544</v>
      </c>
      <c r="B521" t="s">
        <v>1443</v>
      </c>
      <c r="C521" t="s">
        <v>1444</v>
      </c>
      <c r="D521" t="s">
        <v>24</v>
      </c>
      <c r="E521" t="s">
        <v>324</v>
      </c>
      <c r="F521" t="s">
        <v>325</v>
      </c>
      <c r="G521" t="s">
        <v>1578</v>
      </c>
      <c r="H521" t="s">
        <v>28</v>
      </c>
      <c r="I521" t="s">
        <v>331</v>
      </c>
      <c r="J521" t="s">
        <v>63</v>
      </c>
      <c r="K521" t="s">
        <v>1200</v>
      </c>
      <c r="L521" t="s">
        <v>48</v>
      </c>
      <c r="M521">
        <v>10</v>
      </c>
      <c r="N521" t="s">
        <v>49</v>
      </c>
      <c r="O521" t="s">
        <v>1579</v>
      </c>
      <c r="P521" t="s">
        <v>621</v>
      </c>
      <c r="Q521" t="s">
        <v>1580</v>
      </c>
      <c r="R521" t="s">
        <v>53</v>
      </c>
      <c r="S521" t="s">
        <v>329</v>
      </c>
      <c r="T521" t="s">
        <v>55</v>
      </c>
      <c r="U521" t="s">
        <v>56</v>
      </c>
      <c r="V521" t="s">
        <v>56</v>
      </c>
    </row>
    <row r="522" spans="1:22" x14ac:dyDescent="0.3">
      <c r="A522" s="49">
        <v>45544</v>
      </c>
      <c r="B522" t="s">
        <v>606</v>
      </c>
      <c r="C522" t="s">
        <v>607</v>
      </c>
      <c r="D522" t="s">
        <v>173</v>
      </c>
      <c r="E522" t="s">
        <v>1581</v>
      </c>
      <c r="F522" t="s">
        <v>1582</v>
      </c>
      <c r="G522" t="s">
        <v>1583</v>
      </c>
      <c r="H522" t="s">
        <v>28</v>
      </c>
      <c r="I522" t="s">
        <v>1584</v>
      </c>
      <c r="J522" t="s">
        <v>63</v>
      </c>
      <c r="K522" t="s">
        <v>256</v>
      </c>
      <c r="L522" t="s">
        <v>32</v>
      </c>
      <c r="M522">
        <v>10</v>
      </c>
      <c r="N522" t="s">
        <v>49</v>
      </c>
      <c r="O522" t="s">
        <v>1585</v>
      </c>
      <c r="P522" t="s">
        <v>1586</v>
      </c>
      <c r="Q522" t="s">
        <v>1587</v>
      </c>
      <c r="R522" t="s">
        <v>37</v>
      </c>
      <c r="S522" t="s">
        <v>1588</v>
      </c>
      <c r="T522" t="s">
        <v>55</v>
      </c>
      <c r="U522" t="s">
        <v>56</v>
      </c>
      <c r="V522" t="s">
        <v>56</v>
      </c>
    </row>
    <row r="523" spans="1:22" x14ac:dyDescent="0.3">
      <c r="A523" s="49">
        <v>45544</v>
      </c>
      <c r="B523" t="s">
        <v>606</v>
      </c>
      <c r="C523" t="s">
        <v>607</v>
      </c>
      <c r="D523" t="s">
        <v>173</v>
      </c>
      <c r="E523" t="s">
        <v>1589</v>
      </c>
      <c r="F523" t="s">
        <v>1590</v>
      </c>
      <c r="G523" t="s">
        <v>1591</v>
      </c>
      <c r="H523" t="s">
        <v>89</v>
      </c>
      <c r="J523" t="s">
        <v>63</v>
      </c>
      <c r="K523" t="s">
        <v>256</v>
      </c>
      <c r="L523" t="s">
        <v>32</v>
      </c>
      <c r="M523">
        <v>0</v>
      </c>
      <c r="N523" t="s">
        <v>74</v>
      </c>
      <c r="O523" t="s">
        <v>1592</v>
      </c>
      <c r="P523" t="s">
        <v>1122</v>
      </c>
      <c r="Q523" t="s">
        <v>1593</v>
      </c>
      <c r="R523" t="s">
        <v>37</v>
      </c>
      <c r="S523" t="s">
        <v>1594</v>
      </c>
      <c r="T523" t="s">
        <v>55</v>
      </c>
      <c r="U523" t="s">
        <v>56</v>
      </c>
      <c r="V523" t="s">
        <v>56</v>
      </c>
    </row>
    <row r="524" spans="1:22" x14ac:dyDescent="0.3">
      <c r="A524" s="49">
        <v>45544</v>
      </c>
      <c r="B524" t="s">
        <v>1443</v>
      </c>
      <c r="C524" t="s">
        <v>1444</v>
      </c>
      <c r="D524" t="s">
        <v>173</v>
      </c>
      <c r="E524" t="s">
        <v>807</v>
      </c>
      <c r="F524" t="s">
        <v>808</v>
      </c>
      <c r="G524" t="s">
        <v>1595</v>
      </c>
      <c r="H524" t="s">
        <v>89</v>
      </c>
      <c r="J524" t="s">
        <v>63</v>
      </c>
      <c r="K524" t="s">
        <v>414</v>
      </c>
      <c r="L524" t="s">
        <v>32</v>
      </c>
      <c r="M524">
        <v>86</v>
      </c>
      <c r="N524" t="s">
        <v>49</v>
      </c>
      <c r="O524" t="s">
        <v>1596</v>
      </c>
      <c r="P524" t="s">
        <v>1597</v>
      </c>
      <c r="Q524" t="s">
        <v>244</v>
      </c>
      <c r="R524" t="s">
        <v>37</v>
      </c>
      <c r="S524" t="s">
        <v>1598</v>
      </c>
      <c r="T524" t="s">
        <v>55</v>
      </c>
      <c r="U524" t="s">
        <v>56</v>
      </c>
      <c r="V524" t="s">
        <v>56</v>
      </c>
    </row>
    <row r="525" spans="1:22" x14ac:dyDescent="0.3">
      <c r="A525" s="49">
        <v>45544</v>
      </c>
      <c r="B525" t="s">
        <v>1443</v>
      </c>
      <c r="C525" t="s">
        <v>1444</v>
      </c>
      <c r="D525" t="s">
        <v>173</v>
      </c>
      <c r="E525" t="s">
        <v>807</v>
      </c>
      <c r="F525" t="s">
        <v>808</v>
      </c>
      <c r="G525" t="s">
        <v>1595</v>
      </c>
      <c r="H525" t="s">
        <v>89</v>
      </c>
      <c r="J525" t="s">
        <v>63</v>
      </c>
      <c r="K525" t="s">
        <v>414</v>
      </c>
      <c r="L525" t="s">
        <v>32</v>
      </c>
      <c r="M525">
        <v>100</v>
      </c>
      <c r="N525" t="s">
        <v>49</v>
      </c>
      <c r="O525" t="s">
        <v>1596</v>
      </c>
      <c r="P525" t="s">
        <v>1597</v>
      </c>
      <c r="Q525" t="s">
        <v>244</v>
      </c>
      <c r="R525" t="s">
        <v>37</v>
      </c>
      <c r="S525" t="s">
        <v>1598</v>
      </c>
      <c r="T525" t="s">
        <v>55</v>
      </c>
      <c r="U525" t="s">
        <v>56</v>
      </c>
      <c r="V525" t="s">
        <v>56</v>
      </c>
    </row>
    <row r="526" spans="1:22" x14ac:dyDescent="0.3">
      <c r="A526" s="49">
        <v>45544</v>
      </c>
      <c r="B526" t="s">
        <v>606</v>
      </c>
      <c r="C526" t="s">
        <v>607</v>
      </c>
      <c r="D526" t="s">
        <v>173</v>
      </c>
      <c r="E526" t="s">
        <v>1599</v>
      </c>
      <c r="F526" t="s">
        <v>1600</v>
      </c>
      <c r="G526" t="s">
        <v>1601</v>
      </c>
      <c r="H526" t="s">
        <v>28</v>
      </c>
      <c r="I526" t="s">
        <v>1602</v>
      </c>
      <c r="J526" t="s">
        <v>63</v>
      </c>
      <c r="K526" t="s">
        <v>256</v>
      </c>
      <c r="L526" t="s">
        <v>32</v>
      </c>
      <c r="M526">
        <v>100</v>
      </c>
      <c r="N526" t="s">
        <v>49</v>
      </c>
      <c r="O526" t="s">
        <v>1603</v>
      </c>
      <c r="P526" t="s">
        <v>416</v>
      </c>
      <c r="Q526" t="s">
        <v>1604</v>
      </c>
      <c r="R526" t="s">
        <v>37</v>
      </c>
      <c r="S526" t="s">
        <v>1605</v>
      </c>
      <c r="T526" t="s">
        <v>55</v>
      </c>
      <c r="U526" t="s">
        <v>56</v>
      </c>
      <c r="V526" t="s">
        <v>56</v>
      </c>
    </row>
    <row r="527" spans="1:22" x14ac:dyDescent="0.3">
      <c r="A527" s="49">
        <v>45544</v>
      </c>
      <c r="B527" t="s">
        <v>1443</v>
      </c>
      <c r="C527" t="s">
        <v>1444</v>
      </c>
      <c r="D527" t="s">
        <v>173</v>
      </c>
      <c r="E527" t="s">
        <v>1125</v>
      </c>
      <c r="F527" t="s">
        <v>1126</v>
      </c>
      <c r="G527" t="s">
        <v>1127</v>
      </c>
      <c r="H527" t="s">
        <v>28</v>
      </c>
      <c r="I527" t="s">
        <v>1128</v>
      </c>
      <c r="J527" t="s">
        <v>63</v>
      </c>
      <c r="K527" t="s">
        <v>119</v>
      </c>
      <c r="L527" t="s">
        <v>48</v>
      </c>
      <c r="M527">
        <v>10</v>
      </c>
      <c r="N527" t="s">
        <v>33</v>
      </c>
      <c r="P527" t="s">
        <v>108</v>
      </c>
      <c r="Q527" t="s">
        <v>1606</v>
      </c>
      <c r="R527" t="s">
        <v>53</v>
      </c>
      <c r="S527" t="s">
        <v>1130</v>
      </c>
      <c r="T527" t="s">
        <v>55</v>
      </c>
      <c r="U527" t="s">
        <v>56</v>
      </c>
      <c r="V527" t="s">
        <v>56</v>
      </c>
    </row>
    <row r="528" spans="1:22" x14ac:dyDescent="0.3">
      <c r="A528" s="49">
        <v>45544</v>
      </c>
      <c r="B528" t="s">
        <v>606</v>
      </c>
      <c r="C528" t="s">
        <v>607</v>
      </c>
      <c r="D528" t="s">
        <v>24</v>
      </c>
      <c r="E528" t="s">
        <v>1607</v>
      </c>
      <c r="F528" t="s">
        <v>1608</v>
      </c>
      <c r="G528" t="s">
        <v>1609</v>
      </c>
      <c r="H528" t="s">
        <v>28</v>
      </c>
      <c r="I528" t="s">
        <v>1610</v>
      </c>
      <c r="J528" t="s">
        <v>46</v>
      </c>
      <c r="K528" t="s">
        <v>481</v>
      </c>
      <c r="L528" t="s">
        <v>564</v>
      </c>
      <c r="M528">
        <v>100</v>
      </c>
      <c r="N528" t="s">
        <v>49</v>
      </c>
      <c r="O528" t="s">
        <v>1611</v>
      </c>
      <c r="P528" t="s">
        <v>35</v>
      </c>
      <c r="Q528" t="s">
        <v>1612</v>
      </c>
      <c r="R528" t="s">
        <v>1613</v>
      </c>
      <c r="S528" t="s">
        <v>1614</v>
      </c>
      <c r="T528" t="s">
        <v>55</v>
      </c>
      <c r="U528" t="s">
        <v>56</v>
      </c>
      <c r="V528" t="s">
        <v>56</v>
      </c>
    </row>
    <row r="529" spans="1:22" x14ac:dyDescent="0.3">
      <c r="A529" s="49">
        <v>45544</v>
      </c>
      <c r="B529" t="s">
        <v>606</v>
      </c>
      <c r="C529" t="s">
        <v>607</v>
      </c>
      <c r="D529" t="s">
        <v>173</v>
      </c>
      <c r="E529" t="s">
        <v>1615</v>
      </c>
      <c r="F529" t="s">
        <v>1616</v>
      </c>
      <c r="G529" t="s">
        <v>1617</v>
      </c>
      <c r="H529" t="s">
        <v>89</v>
      </c>
      <c r="I529" t="s">
        <v>1618</v>
      </c>
      <c r="J529" t="s">
        <v>63</v>
      </c>
      <c r="K529" t="s">
        <v>414</v>
      </c>
      <c r="L529" t="s">
        <v>32</v>
      </c>
      <c r="M529">
        <v>0</v>
      </c>
      <c r="N529" t="s">
        <v>49</v>
      </c>
      <c r="O529" t="s">
        <v>1619</v>
      </c>
      <c r="P529" t="s">
        <v>76</v>
      </c>
      <c r="Q529" t="s">
        <v>1620</v>
      </c>
      <c r="R529" t="s">
        <v>37</v>
      </c>
      <c r="S529" t="s">
        <v>1621</v>
      </c>
      <c r="T529" t="s">
        <v>39</v>
      </c>
      <c r="U529" t="s">
        <v>40</v>
      </c>
      <c r="V529" t="s">
        <v>41</v>
      </c>
    </row>
    <row r="530" spans="1:22" x14ac:dyDescent="0.3">
      <c r="A530" s="49">
        <v>45544</v>
      </c>
      <c r="B530" t="s">
        <v>1443</v>
      </c>
      <c r="C530" t="s">
        <v>1444</v>
      </c>
      <c r="D530" t="s">
        <v>173</v>
      </c>
      <c r="E530" t="s">
        <v>1622</v>
      </c>
      <c r="F530" t="s">
        <v>1623</v>
      </c>
      <c r="G530" t="s">
        <v>1624</v>
      </c>
      <c r="H530" t="s">
        <v>89</v>
      </c>
      <c r="J530" t="s">
        <v>63</v>
      </c>
      <c r="K530" t="s">
        <v>98</v>
      </c>
      <c r="L530" t="s">
        <v>48</v>
      </c>
      <c r="M530">
        <v>100</v>
      </c>
      <c r="N530" t="s">
        <v>33</v>
      </c>
      <c r="P530" t="s">
        <v>106</v>
      </c>
      <c r="Q530" t="s">
        <v>1625</v>
      </c>
      <c r="R530" t="s">
        <v>53</v>
      </c>
      <c r="S530" t="s">
        <v>1626</v>
      </c>
      <c r="T530" t="s">
        <v>55</v>
      </c>
      <c r="U530" t="s">
        <v>56</v>
      </c>
      <c r="V530" t="s">
        <v>56</v>
      </c>
    </row>
    <row r="531" spans="1:22" x14ac:dyDescent="0.3">
      <c r="A531" s="49">
        <v>45544</v>
      </c>
      <c r="B531" t="s">
        <v>1443</v>
      </c>
      <c r="C531" t="s">
        <v>1444</v>
      </c>
      <c r="D531" t="s">
        <v>173</v>
      </c>
      <c r="E531" t="s">
        <v>1627</v>
      </c>
      <c r="F531" t="s">
        <v>1628</v>
      </c>
      <c r="G531" t="s">
        <v>1629</v>
      </c>
      <c r="H531" t="s">
        <v>28</v>
      </c>
      <c r="I531" t="s">
        <v>1630</v>
      </c>
      <c r="J531" t="s">
        <v>63</v>
      </c>
      <c r="K531" t="s">
        <v>119</v>
      </c>
      <c r="L531" t="s">
        <v>48</v>
      </c>
      <c r="M531">
        <v>50</v>
      </c>
      <c r="N531" t="s">
        <v>49</v>
      </c>
      <c r="O531" t="s">
        <v>1631</v>
      </c>
      <c r="P531" t="s">
        <v>85</v>
      </c>
      <c r="Q531" t="s">
        <v>1632</v>
      </c>
      <c r="R531" t="s">
        <v>53</v>
      </c>
      <c r="S531" t="s">
        <v>1633</v>
      </c>
      <c r="T531" t="s">
        <v>55</v>
      </c>
      <c r="U531" t="s">
        <v>56</v>
      </c>
      <c r="V531" t="s">
        <v>56</v>
      </c>
    </row>
    <row r="532" spans="1:22" x14ac:dyDescent="0.3">
      <c r="A532" s="49">
        <v>45544</v>
      </c>
      <c r="B532" t="s">
        <v>1443</v>
      </c>
      <c r="C532" t="s">
        <v>1444</v>
      </c>
      <c r="D532" t="s">
        <v>173</v>
      </c>
      <c r="E532" t="s">
        <v>1634</v>
      </c>
      <c r="F532" t="s">
        <v>1635</v>
      </c>
      <c r="G532" t="s">
        <v>1636</v>
      </c>
      <c r="H532" t="s">
        <v>28</v>
      </c>
      <c r="I532" t="s">
        <v>1637</v>
      </c>
      <c r="J532" t="s">
        <v>63</v>
      </c>
      <c r="K532" t="s">
        <v>64</v>
      </c>
      <c r="L532" t="s">
        <v>32</v>
      </c>
      <c r="M532">
        <v>100</v>
      </c>
      <c r="N532" t="s">
        <v>49</v>
      </c>
      <c r="O532" t="s">
        <v>1638</v>
      </c>
      <c r="P532" t="s">
        <v>205</v>
      </c>
      <c r="Q532" t="s">
        <v>1639</v>
      </c>
      <c r="R532" t="s">
        <v>37</v>
      </c>
      <c r="S532" t="s">
        <v>1640</v>
      </c>
      <c r="T532" t="s">
        <v>55</v>
      </c>
      <c r="U532" t="s">
        <v>56</v>
      </c>
      <c r="V532" t="s">
        <v>56</v>
      </c>
    </row>
    <row r="533" spans="1:22" x14ac:dyDescent="0.3">
      <c r="A533" s="49">
        <v>45544</v>
      </c>
      <c r="B533" t="s">
        <v>1443</v>
      </c>
      <c r="C533" t="s">
        <v>1444</v>
      </c>
      <c r="D533" t="s">
        <v>173</v>
      </c>
      <c r="E533" t="s">
        <v>1634</v>
      </c>
      <c r="F533" t="s">
        <v>1635</v>
      </c>
      <c r="G533" t="s">
        <v>1636</v>
      </c>
      <c r="H533" t="s">
        <v>28</v>
      </c>
      <c r="I533" t="s">
        <v>1637</v>
      </c>
      <c r="J533" t="s">
        <v>63</v>
      </c>
      <c r="K533" t="s">
        <v>64</v>
      </c>
      <c r="L533" t="s">
        <v>32</v>
      </c>
      <c r="M533">
        <v>100</v>
      </c>
      <c r="N533" t="s">
        <v>49</v>
      </c>
      <c r="O533" t="s">
        <v>1638</v>
      </c>
      <c r="P533" t="s">
        <v>205</v>
      </c>
      <c r="Q533" t="s">
        <v>1639</v>
      </c>
      <c r="R533" t="s">
        <v>37</v>
      </c>
      <c r="S533" t="s">
        <v>1640</v>
      </c>
      <c r="T533" t="s">
        <v>55</v>
      </c>
      <c r="U533" t="s">
        <v>56</v>
      </c>
      <c r="V533" t="s">
        <v>56</v>
      </c>
    </row>
    <row r="534" spans="1:22" x14ac:dyDescent="0.3">
      <c r="A534" s="49">
        <v>45544</v>
      </c>
      <c r="B534" t="s">
        <v>606</v>
      </c>
      <c r="C534" t="s">
        <v>607</v>
      </c>
      <c r="D534" t="s">
        <v>173</v>
      </c>
      <c r="E534" t="s">
        <v>587</v>
      </c>
      <c r="F534" t="s">
        <v>588</v>
      </c>
      <c r="G534" t="s">
        <v>1641</v>
      </c>
      <c r="H534" t="s">
        <v>28</v>
      </c>
      <c r="I534" t="s">
        <v>1642</v>
      </c>
      <c r="J534" t="s">
        <v>63</v>
      </c>
      <c r="K534" t="s">
        <v>414</v>
      </c>
      <c r="L534" t="s">
        <v>32</v>
      </c>
      <c r="M534">
        <v>0</v>
      </c>
      <c r="N534" t="s">
        <v>49</v>
      </c>
      <c r="O534" t="s">
        <v>1643</v>
      </c>
      <c r="P534" t="s">
        <v>1644</v>
      </c>
      <c r="Q534" t="s">
        <v>1645</v>
      </c>
      <c r="R534" t="s">
        <v>37</v>
      </c>
      <c r="S534" t="s">
        <v>1646</v>
      </c>
      <c r="T534" t="s">
        <v>55</v>
      </c>
      <c r="U534" t="s">
        <v>56</v>
      </c>
      <c r="V534" t="s">
        <v>56</v>
      </c>
    </row>
    <row r="535" spans="1:22" x14ac:dyDescent="0.3">
      <c r="A535" s="49">
        <v>45544</v>
      </c>
      <c r="B535" t="s">
        <v>606</v>
      </c>
      <c r="C535" t="s">
        <v>607</v>
      </c>
      <c r="D535" t="s">
        <v>24</v>
      </c>
      <c r="E535" t="s">
        <v>587</v>
      </c>
      <c r="F535" t="s">
        <v>588</v>
      </c>
      <c r="G535" t="s">
        <v>1647</v>
      </c>
      <c r="H535" t="s">
        <v>28</v>
      </c>
      <c r="I535" t="s">
        <v>1648</v>
      </c>
      <c r="J535" t="s">
        <v>63</v>
      </c>
      <c r="K535" t="s">
        <v>64</v>
      </c>
      <c r="L535" t="s">
        <v>32</v>
      </c>
      <c r="M535">
        <v>16</v>
      </c>
      <c r="N535" t="s">
        <v>33</v>
      </c>
      <c r="O535" t="s">
        <v>1649</v>
      </c>
      <c r="P535" t="s">
        <v>1230</v>
      </c>
      <c r="Q535" t="s">
        <v>1650</v>
      </c>
      <c r="R535" t="s">
        <v>37</v>
      </c>
      <c r="S535" t="s">
        <v>1651</v>
      </c>
      <c r="T535" t="s">
        <v>39</v>
      </c>
      <c r="U535" t="s">
        <v>40</v>
      </c>
      <c r="V535" t="s">
        <v>41</v>
      </c>
    </row>
    <row r="536" spans="1:22" x14ac:dyDescent="0.3">
      <c r="A536" s="49">
        <v>45544</v>
      </c>
      <c r="B536" t="s">
        <v>606</v>
      </c>
      <c r="C536" t="s">
        <v>607</v>
      </c>
      <c r="D536" t="s">
        <v>24</v>
      </c>
      <c r="E536" t="s">
        <v>587</v>
      </c>
      <c r="F536" t="s">
        <v>588</v>
      </c>
      <c r="G536" t="s">
        <v>1652</v>
      </c>
      <c r="H536" t="s">
        <v>28</v>
      </c>
      <c r="I536" t="s">
        <v>1653</v>
      </c>
      <c r="J536" t="s">
        <v>63</v>
      </c>
      <c r="K536" t="s">
        <v>256</v>
      </c>
      <c r="L536" t="s">
        <v>32</v>
      </c>
      <c r="M536">
        <v>0</v>
      </c>
      <c r="N536" t="s">
        <v>49</v>
      </c>
      <c r="O536" t="s">
        <v>1654</v>
      </c>
      <c r="P536" t="s">
        <v>76</v>
      </c>
      <c r="Q536" t="s">
        <v>1655</v>
      </c>
      <c r="R536" t="s">
        <v>37</v>
      </c>
      <c r="S536" t="s">
        <v>1656</v>
      </c>
      <c r="T536" t="s">
        <v>39</v>
      </c>
      <c r="U536" t="s">
        <v>40</v>
      </c>
      <c r="V536" t="s">
        <v>41</v>
      </c>
    </row>
    <row r="537" spans="1:22" x14ac:dyDescent="0.3">
      <c r="A537" s="49">
        <v>45544</v>
      </c>
      <c r="B537" t="s">
        <v>457</v>
      </c>
      <c r="C537" t="s">
        <v>458</v>
      </c>
      <c r="D537" t="s">
        <v>24</v>
      </c>
      <c r="E537" t="s">
        <v>1657</v>
      </c>
      <c r="F537" t="s">
        <v>1658</v>
      </c>
      <c r="G537" t="s">
        <v>1395</v>
      </c>
      <c r="H537" t="s">
        <v>89</v>
      </c>
      <c r="J537" t="s">
        <v>63</v>
      </c>
      <c r="K537" t="s">
        <v>256</v>
      </c>
      <c r="L537" t="s">
        <v>32</v>
      </c>
      <c r="M537">
        <v>100</v>
      </c>
      <c r="N537" t="s">
        <v>49</v>
      </c>
      <c r="O537" t="s">
        <v>1659</v>
      </c>
      <c r="P537" t="s">
        <v>1597</v>
      </c>
      <c r="Q537" t="s">
        <v>225</v>
      </c>
      <c r="R537" t="s">
        <v>37</v>
      </c>
      <c r="S537" t="s">
        <v>1660</v>
      </c>
      <c r="T537" t="s">
        <v>55</v>
      </c>
      <c r="U537" t="s">
        <v>56</v>
      </c>
      <c r="V537" t="s">
        <v>56</v>
      </c>
    </row>
    <row r="538" spans="1:22" x14ac:dyDescent="0.3">
      <c r="A538" s="49">
        <v>45544</v>
      </c>
      <c r="B538" t="s">
        <v>457</v>
      </c>
      <c r="C538" t="s">
        <v>458</v>
      </c>
      <c r="D538" t="s">
        <v>24</v>
      </c>
      <c r="E538" t="s">
        <v>1657</v>
      </c>
      <c r="F538" t="s">
        <v>1658</v>
      </c>
      <c r="G538" t="s">
        <v>1661</v>
      </c>
      <c r="H538" t="s">
        <v>89</v>
      </c>
      <c r="J538" t="s">
        <v>63</v>
      </c>
      <c r="K538" t="s">
        <v>256</v>
      </c>
      <c r="L538" t="s">
        <v>32</v>
      </c>
      <c r="M538">
        <v>0</v>
      </c>
      <c r="N538" t="s">
        <v>33</v>
      </c>
      <c r="O538" t="s">
        <v>1662</v>
      </c>
      <c r="P538" t="s">
        <v>205</v>
      </c>
      <c r="Q538" t="s">
        <v>1663</v>
      </c>
      <c r="R538" t="s">
        <v>37</v>
      </c>
      <c r="S538" t="s">
        <v>1664</v>
      </c>
      <c r="T538" t="s">
        <v>55</v>
      </c>
      <c r="U538" t="s">
        <v>56</v>
      </c>
      <c r="V538" t="s">
        <v>56</v>
      </c>
    </row>
    <row r="539" spans="1:22" x14ac:dyDescent="0.3">
      <c r="A539" s="49">
        <v>45544</v>
      </c>
      <c r="B539" t="s">
        <v>457</v>
      </c>
      <c r="C539" t="s">
        <v>458</v>
      </c>
      <c r="D539" t="s">
        <v>24</v>
      </c>
      <c r="E539" t="s">
        <v>1657</v>
      </c>
      <c r="F539" t="s">
        <v>1658</v>
      </c>
      <c r="G539" t="s">
        <v>1661</v>
      </c>
      <c r="H539" t="s">
        <v>89</v>
      </c>
      <c r="J539" t="s">
        <v>63</v>
      </c>
      <c r="K539" t="s">
        <v>256</v>
      </c>
      <c r="L539" t="s">
        <v>32</v>
      </c>
      <c r="M539">
        <v>0</v>
      </c>
      <c r="N539" t="s">
        <v>33</v>
      </c>
      <c r="O539" t="s">
        <v>1662</v>
      </c>
      <c r="P539" t="s">
        <v>205</v>
      </c>
      <c r="Q539" t="s">
        <v>1663</v>
      </c>
      <c r="R539" t="s">
        <v>37</v>
      </c>
      <c r="S539" t="s">
        <v>1664</v>
      </c>
      <c r="T539" t="s">
        <v>55</v>
      </c>
      <c r="U539" t="s">
        <v>56</v>
      </c>
      <c r="V539" t="s">
        <v>56</v>
      </c>
    </row>
    <row r="540" spans="1:22" x14ac:dyDescent="0.3">
      <c r="A540" s="49">
        <v>45544</v>
      </c>
      <c r="B540" t="s">
        <v>606</v>
      </c>
      <c r="C540" t="s">
        <v>607</v>
      </c>
      <c r="D540" t="s">
        <v>24</v>
      </c>
      <c r="E540" t="s">
        <v>1387</v>
      </c>
      <c r="F540" t="s">
        <v>1388</v>
      </c>
      <c r="G540" t="s">
        <v>1322</v>
      </c>
      <c r="H540" t="s">
        <v>28</v>
      </c>
      <c r="I540" t="s">
        <v>1665</v>
      </c>
      <c r="J540" t="s">
        <v>63</v>
      </c>
      <c r="K540" t="s">
        <v>1666</v>
      </c>
      <c r="L540" t="s">
        <v>32</v>
      </c>
      <c r="M540">
        <v>100</v>
      </c>
      <c r="N540" t="s">
        <v>49</v>
      </c>
      <c r="O540" t="s">
        <v>1667</v>
      </c>
      <c r="P540" t="s">
        <v>170</v>
      </c>
      <c r="Q540" t="s">
        <v>1668</v>
      </c>
      <c r="R540" t="s">
        <v>783</v>
      </c>
      <c r="S540" t="s">
        <v>1669</v>
      </c>
      <c r="T540" t="s">
        <v>55</v>
      </c>
      <c r="U540" t="s">
        <v>56</v>
      </c>
      <c r="V540" t="s">
        <v>56</v>
      </c>
    </row>
    <row r="541" spans="1:22" x14ac:dyDescent="0.3">
      <c r="A541" s="49">
        <v>45544</v>
      </c>
      <c r="B541" t="s">
        <v>1443</v>
      </c>
      <c r="C541" t="s">
        <v>1444</v>
      </c>
      <c r="D541" t="s">
        <v>173</v>
      </c>
      <c r="E541" t="s">
        <v>1393</v>
      </c>
      <c r="F541" t="s">
        <v>1394</v>
      </c>
      <c r="G541" t="s">
        <v>1389</v>
      </c>
      <c r="H541" t="s">
        <v>89</v>
      </c>
      <c r="J541" t="s">
        <v>63</v>
      </c>
      <c r="K541" t="s">
        <v>98</v>
      </c>
      <c r="L541" t="s">
        <v>48</v>
      </c>
      <c r="M541">
        <v>37</v>
      </c>
      <c r="N541" t="s">
        <v>49</v>
      </c>
      <c r="O541" t="s">
        <v>1670</v>
      </c>
      <c r="P541" t="s">
        <v>58</v>
      </c>
      <c r="Q541" t="s">
        <v>322</v>
      </c>
      <c r="R541" t="s">
        <v>53</v>
      </c>
      <c r="S541" t="s">
        <v>1671</v>
      </c>
      <c r="T541" t="s">
        <v>55</v>
      </c>
      <c r="U541" t="s">
        <v>56</v>
      </c>
      <c r="V541" t="s">
        <v>56</v>
      </c>
    </row>
    <row r="542" spans="1:22" x14ac:dyDescent="0.3">
      <c r="A542" s="49">
        <v>45544</v>
      </c>
      <c r="B542" t="s">
        <v>606</v>
      </c>
      <c r="C542" t="s">
        <v>607</v>
      </c>
      <c r="D542" t="s">
        <v>173</v>
      </c>
      <c r="E542" t="s">
        <v>1672</v>
      </c>
      <c r="F542" t="s">
        <v>1673</v>
      </c>
      <c r="G542" t="s">
        <v>1674</v>
      </c>
      <c r="H542" t="s">
        <v>89</v>
      </c>
      <c r="I542" t="s">
        <v>244</v>
      </c>
      <c r="J542" t="s">
        <v>30</v>
      </c>
      <c r="K542" t="s">
        <v>422</v>
      </c>
      <c r="L542" t="s">
        <v>32</v>
      </c>
      <c r="M542">
        <v>100</v>
      </c>
      <c r="N542" t="s">
        <v>33</v>
      </c>
      <c r="O542" t="s">
        <v>1675</v>
      </c>
      <c r="P542" t="s">
        <v>106</v>
      </c>
      <c r="Q542" t="s">
        <v>244</v>
      </c>
      <c r="R542" t="s">
        <v>37</v>
      </c>
      <c r="S542" t="s">
        <v>1676</v>
      </c>
      <c r="T542" t="s">
        <v>39</v>
      </c>
      <c r="U542" t="s">
        <v>40</v>
      </c>
      <c r="V542" t="s">
        <v>41</v>
      </c>
    </row>
    <row r="543" spans="1:22" x14ac:dyDescent="0.3">
      <c r="A543" s="49">
        <v>45544</v>
      </c>
      <c r="B543" t="s">
        <v>22</v>
      </c>
      <c r="C543" t="s">
        <v>23</v>
      </c>
      <c r="D543" t="s">
        <v>173</v>
      </c>
      <c r="E543" t="s">
        <v>1672</v>
      </c>
      <c r="F543" t="s">
        <v>1673</v>
      </c>
      <c r="G543" t="s">
        <v>1674</v>
      </c>
      <c r="H543" t="s">
        <v>89</v>
      </c>
      <c r="I543" t="s">
        <v>244</v>
      </c>
      <c r="J543" t="s">
        <v>30</v>
      </c>
      <c r="K543" t="s">
        <v>422</v>
      </c>
      <c r="L543" t="s">
        <v>32</v>
      </c>
      <c r="M543">
        <v>100</v>
      </c>
      <c r="N543" t="s">
        <v>33</v>
      </c>
      <c r="O543" t="s">
        <v>1675</v>
      </c>
      <c r="P543" t="s">
        <v>106</v>
      </c>
      <c r="Q543" t="s">
        <v>244</v>
      </c>
      <c r="R543" t="s">
        <v>37</v>
      </c>
      <c r="S543" t="s">
        <v>1676</v>
      </c>
      <c r="T543" t="s">
        <v>39</v>
      </c>
      <c r="U543" t="s">
        <v>40</v>
      </c>
      <c r="V543" t="s">
        <v>41</v>
      </c>
    </row>
    <row r="544" spans="1:22" x14ac:dyDescent="0.3">
      <c r="A544" s="49">
        <v>45544</v>
      </c>
      <c r="B544" t="s">
        <v>606</v>
      </c>
      <c r="C544" t="s">
        <v>607</v>
      </c>
      <c r="D544" t="s">
        <v>173</v>
      </c>
      <c r="E544" t="s">
        <v>1672</v>
      </c>
      <c r="F544" t="s">
        <v>1673</v>
      </c>
      <c r="G544" t="s">
        <v>1674</v>
      </c>
      <c r="H544" t="s">
        <v>89</v>
      </c>
      <c r="I544" t="s">
        <v>244</v>
      </c>
      <c r="J544" t="s">
        <v>30</v>
      </c>
      <c r="K544" t="s">
        <v>422</v>
      </c>
      <c r="L544" t="s">
        <v>32</v>
      </c>
      <c r="M544">
        <v>100</v>
      </c>
      <c r="N544" t="s">
        <v>33</v>
      </c>
      <c r="O544" t="s">
        <v>1675</v>
      </c>
      <c r="P544" t="s">
        <v>106</v>
      </c>
      <c r="Q544" t="s">
        <v>244</v>
      </c>
      <c r="R544" t="s">
        <v>37</v>
      </c>
      <c r="S544" t="s">
        <v>1676</v>
      </c>
      <c r="T544" t="s">
        <v>39</v>
      </c>
      <c r="U544" t="s">
        <v>40</v>
      </c>
      <c r="V544" t="s">
        <v>41</v>
      </c>
    </row>
    <row r="545" spans="1:22" x14ac:dyDescent="0.3">
      <c r="A545" s="49">
        <v>45544</v>
      </c>
      <c r="B545" t="s">
        <v>606</v>
      </c>
      <c r="C545" t="s">
        <v>607</v>
      </c>
      <c r="D545" t="s">
        <v>173</v>
      </c>
      <c r="E545" t="s">
        <v>1672</v>
      </c>
      <c r="F545" t="s">
        <v>1673</v>
      </c>
      <c r="G545" t="s">
        <v>1674</v>
      </c>
      <c r="H545" t="s">
        <v>89</v>
      </c>
      <c r="I545" t="s">
        <v>244</v>
      </c>
      <c r="J545" t="s">
        <v>30</v>
      </c>
      <c r="K545" t="s">
        <v>422</v>
      </c>
      <c r="L545" t="s">
        <v>32</v>
      </c>
      <c r="M545">
        <v>100</v>
      </c>
      <c r="N545" t="s">
        <v>33</v>
      </c>
      <c r="O545" t="s">
        <v>1675</v>
      </c>
      <c r="P545" t="s">
        <v>106</v>
      </c>
      <c r="Q545" t="s">
        <v>244</v>
      </c>
      <c r="R545" t="s">
        <v>37</v>
      </c>
      <c r="S545" t="s">
        <v>1676</v>
      </c>
      <c r="T545" t="s">
        <v>39</v>
      </c>
      <c r="U545" t="s">
        <v>40</v>
      </c>
      <c r="V545" t="s">
        <v>41</v>
      </c>
    </row>
    <row r="546" spans="1:22" x14ac:dyDescent="0.3">
      <c r="A546" s="49">
        <v>45544</v>
      </c>
      <c r="B546" t="s">
        <v>606</v>
      </c>
      <c r="C546" t="s">
        <v>607</v>
      </c>
      <c r="D546" t="s">
        <v>173</v>
      </c>
      <c r="E546" t="s">
        <v>1672</v>
      </c>
      <c r="F546" t="s">
        <v>1673</v>
      </c>
      <c r="G546" t="s">
        <v>1674</v>
      </c>
      <c r="H546" t="s">
        <v>89</v>
      </c>
      <c r="I546" t="s">
        <v>244</v>
      </c>
      <c r="J546" t="s">
        <v>30</v>
      </c>
      <c r="K546" t="s">
        <v>422</v>
      </c>
      <c r="L546" t="s">
        <v>32</v>
      </c>
      <c r="M546">
        <v>100</v>
      </c>
      <c r="N546" t="s">
        <v>33</v>
      </c>
      <c r="O546" t="s">
        <v>1675</v>
      </c>
      <c r="P546" t="s">
        <v>106</v>
      </c>
      <c r="Q546" t="s">
        <v>244</v>
      </c>
      <c r="R546" t="s">
        <v>37</v>
      </c>
      <c r="S546" t="s">
        <v>1676</v>
      </c>
      <c r="T546" t="s">
        <v>39</v>
      </c>
      <c r="U546" t="s">
        <v>40</v>
      </c>
      <c r="V546" t="s">
        <v>41</v>
      </c>
    </row>
    <row r="547" spans="1:22" x14ac:dyDescent="0.3">
      <c r="A547" s="49">
        <v>45544</v>
      </c>
      <c r="B547" t="s">
        <v>606</v>
      </c>
      <c r="C547" t="s">
        <v>607</v>
      </c>
      <c r="D547" t="s">
        <v>173</v>
      </c>
      <c r="E547" t="s">
        <v>1672</v>
      </c>
      <c r="F547" t="s">
        <v>1673</v>
      </c>
      <c r="G547" t="s">
        <v>1674</v>
      </c>
      <c r="H547" t="s">
        <v>89</v>
      </c>
      <c r="I547" t="s">
        <v>244</v>
      </c>
      <c r="J547" t="s">
        <v>30</v>
      </c>
      <c r="K547" t="s">
        <v>422</v>
      </c>
      <c r="L547" t="s">
        <v>32</v>
      </c>
      <c r="M547">
        <v>100</v>
      </c>
      <c r="N547" t="s">
        <v>33</v>
      </c>
      <c r="O547" t="s">
        <v>1675</v>
      </c>
      <c r="P547" t="s">
        <v>106</v>
      </c>
      <c r="Q547" t="s">
        <v>244</v>
      </c>
      <c r="R547" t="s">
        <v>37</v>
      </c>
      <c r="S547" t="s">
        <v>1676</v>
      </c>
      <c r="T547" t="s">
        <v>39</v>
      </c>
      <c r="U547" t="s">
        <v>40</v>
      </c>
      <c r="V547" t="s">
        <v>41</v>
      </c>
    </row>
    <row r="548" spans="1:22" x14ac:dyDescent="0.3">
      <c r="A548" s="49">
        <v>45544</v>
      </c>
      <c r="B548" t="s">
        <v>606</v>
      </c>
      <c r="C548" t="s">
        <v>607</v>
      </c>
      <c r="D548" t="s">
        <v>173</v>
      </c>
      <c r="E548" t="s">
        <v>1672</v>
      </c>
      <c r="F548" t="s">
        <v>1673</v>
      </c>
      <c r="G548" t="s">
        <v>1674</v>
      </c>
      <c r="H548" t="s">
        <v>89</v>
      </c>
      <c r="I548" t="s">
        <v>244</v>
      </c>
      <c r="J548" t="s">
        <v>30</v>
      </c>
      <c r="K548" t="s">
        <v>422</v>
      </c>
      <c r="L548" t="s">
        <v>32</v>
      </c>
      <c r="M548">
        <v>100</v>
      </c>
      <c r="N548" t="s">
        <v>33</v>
      </c>
      <c r="O548" t="s">
        <v>1675</v>
      </c>
      <c r="P548" t="s">
        <v>106</v>
      </c>
      <c r="Q548" t="s">
        <v>244</v>
      </c>
      <c r="R548" t="s">
        <v>37</v>
      </c>
      <c r="S548" t="s">
        <v>1676</v>
      </c>
      <c r="T548" t="s">
        <v>39</v>
      </c>
      <c r="U548" t="s">
        <v>40</v>
      </c>
      <c r="V548" t="s">
        <v>41</v>
      </c>
    </row>
    <row r="549" spans="1:22" x14ac:dyDescent="0.3">
      <c r="A549" s="49">
        <v>45544</v>
      </c>
      <c r="B549" t="s">
        <v>606</v>
      </c>
      <c r="C549" t="s">
        <v>607</v>
      </c>
      <c r="D549" t="s">
        <v>173</v>
      </c>
      <c r="E549" t="s">
        <v>1672</v>
      </c>
      <c r="F549" t="s">
        <v>1673</v>
      </c>
      <c r="G549" t="s">
        <v>1674</v>
      </c>
      <c r="H549" t="s">
        <v>89</v>
      </c>
      <c r="I549" t="s">
        <v>244</v>
      </c>
      <c r="J549" t="s">
        <v>30</v>
      </c>
      <c r="K549" t="s">
        <v>422</v>
      </c>
      <c r="L549" t="s">
        <v>32</v>
      </c>
      <c r="M549">
        <v>100</v>
      </c>
      <c r="N549" t="s">
        <v>33</v>
      </c>
      <c r="O549" t="s">
        <v>1675</v>
      </c>
      <c r="P549" t="s">
        <v>106</v>
      </c>
      <c r="Q549" t="s">
        <v>244</v>
      </c>
      <c r="R549" t="s">
        <v>37</v>
      </c>
      <c r="S549" t="s">
        <v>1676</v>
      </c>
      <c r="T549" t="s">
        <v>39</v>
      </c>
      <c r="U549" t="s">
        <v>40</v>
      </c>
      <c r="V549" t="s">
        <v>41</v>
      </c>
    </row>
    <row r="550" spans="1:22" x14ac:dyDescent="0.3">
      <c r="A550" s="49">
        <v>45544</v>
      </c>
      <c r="B550" t="s">
        <v>606</v>
      </c>
      <c r="C550" t="s">
        <v>607</v>
      </c>
      <c r="D550" t="s">
        <v>24</v>
      </c>
      <c r="E550" t="s">
        <v>418</v>
      </c>
      <c r="F550" t="s">
        <v>419</v>
      </c>
      <c r="G550" t="s">
        <v>1677</v>
      </c>
      <c r="H550" t="s">
        <v>89</v>
      </c>
      <c r="J550" t="s">
        <v>30</v>
      </c>
      <c r="K550" t="s">
        <v>422</v>
      </c>
      <c r="L550" t="s">
        <v>423</v>
      </c>
      <c r="M550">
        <v>0</v>
      </c>
      <c r="N550" t="s">
        <v>74</v>
      </c>
      <c r="O550" t="s">
        <v>1678</v>
      </c>
      <c r="P550" t="s">
        <v>76</v>
      </c>
      <c r="Q550" t="s">
        <v>567</v>
      </c>
      <c r="R550" t="s">
        <v>37</v>
      </c>
      <c r="S550" t="s">
        <v>1679</v>
      </c>
      <c r="T550" t="s">
        <v>55</v>
      </c>
      <c r="U550" t="s">
        <v>56</v>
      </c>
      <c r="V550" t="s">
        <v>56</v>
      </c>
    </row>
    <row r="551" spans="1:22" x14ac:dyDescent="0.3">
      <c r="A551" s="49">
        <v>45544</v>
      </c>
      <c r="B551" t="s">
        <v>1443</v>
      </c>
      <c r="C551" t="s">
        <v>1444</v>
      </c>
      <c r="D551" t="s">
        <v>173</v>
      </c>
      <c r="E551" t="s">
        <v>1680</v>
      </c>
      <c r="F551" t="s">
        <v>1681</v>
      </c>
      <c r="G551" t="s">
        <v>1682</v>
      </c>
      <c r="H551" t="s">
        <v>28</v>
      </c>
      <c r="I551" t="s">
        <v>1683</v>
      </c>
      <c r="J551" t="s">
        <v>46</v>
      </c>
      <c r="K551" t="s">
        <v>1166</v>
      </c>
      <c r="L551" t="s">
        <v>453</v>
      </c>
      <c r="M551">
        <v>0</v>
      </c>
      <c r="N551" t="s">
        <v>33</v>
      </c>
      <c r="O551" t="s">
        <v>1684</v>
      </c>
      <c r="P551" t="s">
        <v>108</v>
      </c>
      <c r="Q551" t="s">
        <v>1685</v>
      </c>
      <c r="R551" t="s">
        <v>53</v>
      </c>
      <c r="S551" t="s">
        <v>1686</v>
      </c>
      <c r="T551" t="s">
        <v>39</v>
      </c>
      <c r="U551" t="s">
        <v>40</v>
      </c>
      <c r="V551" t="s">
        <v>41</v>
      </c>
    </row>
    <row r="552" spans="1:22" x14ac:dyDescent="0.3">
      <c r="A552" s="49">
        <v>45544</v>
      </c>
      <c r="B552" t="s">
        <v>457</v>
      </c>
      <c r="C552" t="s">
        <v>458</v>
      </c>
      <c r="D552" t="s">
        <v>24</v>
      </c>
      <c r="E552" t="s">
        <v>1687</v>
      </c>
      <c r="F552" t="s">
        <v>1688</v>
      </c>
      <c r="G552" t="s">
        <v>1689</v>
      </c>
      <c r="H552" t="s">
        <v>28</v>
      </c>
      <c r="I552" t="s">
        <v>1690</v>
      </c>
      <c r="J552" t="s">
        <v>46</v>
      </c>
      <c r="K552" t="s">
        <v>481</v>
      </c>
      <c r="L552" t="s">
        <v>1691</v>
      </c>
      <c r="M552">
        <v>80</v>
      </c>
      <c r="N552" t="s">
        <v>33</v>
      </c>
      <c r="O552" t="s">
        <v>1692</v>
      </c>
      <c r="P552" t="s">
        <v>106</v>
      </c>
      <c r="Q552" t="s">
        <v>1693</v>
      </c>
      <c r="R552" t="s">
        <v>37</v>
      </c>
      <c r="S552" t="s">
        <v>1694</v>
      </c>
      <c r="T552" t="s">
        <v>55</v>
      </c>
      <c r="U552" t="s">
        <v>56</v>
      </c>
      <c r="V552" t="s">
        <v>56</v>
      </c>
    </row>
    <row r="553" spans="1:22" x14ac:dyDescent="0.3">
      <c r="A553" s="49">
        <v>45541</v>
      </c>
      <c r="B553" t="s">
        <v>606</v>
      </c>
      <c r="C553" t="s">
        <v>607</v>
      </c>
      <c r="D553" t="s">
        <v>173</v>
      </c>
      <c r="E553" t="s">
        <v>1245</v>
      </c>
      <c r="F553" t="s">
        <v>1246</v>
      </c>
      <c r="G553" t="s">
        <v>1247</v>
      </c>
      <c r="H553" t="s">
        <v>89</v>
      </c>
      <c r="I553" t="s">
        <v>1248</v>
      </c>
      <c r="J553" t="s">
        <v>63</v>
      </c>
      <c r="K553" t="s">
        <v>256</v>
      </c>
      <c r="L553" t="s">
        <v>32</v>
      </c>
      <c r="M553">
        <v>100</v>
      </c>
      <c r="N553" t="s">
        <v>49</v>
      </c>
      <c r="O553" t="s">
        <v>1249</v>
      </c>
      <c r="P553" t="s">
        <v>66</v>
      </c>
      <c r="Q553" t="s">
        <v>1250</v>
      </c>
      <c r="R553" t="s">
        <v>37</v>
      </c>
      <c r="S553" t="s">
        <v>1251</v>
      </c>
      <c r="T553" t="s">
        <v>55</v>
      </c>
      <c r="U553" t="s">
        <v>56</v>
      </c>
      <c r="V553" t="s">
        <v>56</v>
      </c>
    </row>
    <row r="554" spans="1:22" x14ac:dyDescent="0.3">
      <c r="A554" s="49">
        <v>45541</v>
      </c>
      <c r="B554" t="s">
        <v>645</v>
      </c>
      <c r="C554" t="s">
        <v>646</v>
      </c>
      <c r="D554" t="s">
        <v>24</v>
      </c>
      <c r="E554" t="s">
        <v>1252</v>
      </c>
      <c r="F554" t="s">
        <v>1253</v>
      </c>
      <c r="G554" t="s">
        <v>1254</v>
      </c>
      <c r="H554" t="s">
        <v>89</v>
      </c>
      <c r="J554" t="s">
        <v>63</v>
      </c>
      <c r="K554" t="s">
        <v>64</v>
      </c>
      <c r="L554" t="s">
        <v>464</v>
      </c>
      <c r="M554">
        <v>100</v>
      </c>
      <c r="N554" t="s">
        <v>49</v>
      </c>
      <c r="O554" t="s">
        <v>1255</v>
      </c>
      <c r="P554" t="s">
        <v>66</v>
      </c>
      <c r="Q554" t="s">
        <v>1256</v>
      </c>
      <c r="R554" t="s">
        <v>337</v>
      </c>
      <c r="S554" t="s">
        <v>1257</v>
      </c>
      <c r="T554" t="s">
        <v>55</v>
      </c>
      <c r="U554" t="s">
        <v>56</v>
      </c>
      <c r="V554" t="s">
        <v>56</v>
      </c>
    </row>
    <row r="555" spans="1:22" x14ac:dyDescent="0.3">
      <c r="A555" s="49">
        <v>45541</v>
      </c>
      <c r="B555" t="s">
        <v>645</v>
      </c>
      <c r="C555" t="s">
        <v>646</v>
      </c>
      <c r="D555" t="s">
        <v>173</v>
      </c>
      <c r="E555" t="s">
        <v>1258</v>
      </c>
      <c r="F555" t="s">
        <v>1259</v>
      </c>
      <c r="G555" t="s">
        <v>1260</v>
      </c>
      <c r="H555" t="s">
        <v>28</v>
      </c>
      <c r="I555" t="s">
        <v>1261</v>
      </c>
      <c r="J555" t="s">
        <v>46</v>
      </c>
      <c r="K555" t="s">
        <v>1166</v>
      </c>
      <c r="L555" t="s">
        <v>1262</v>
      </c>
      <c r="M555">
        <v>100</v>
      </c>
      <c r="N555" t="s">
        <v>49</v>
      </c>
      <c r="O555" t="s">
        <v>1263</v>
      </c>
      <c r="P555" t="s">
        <v>106</v>
      </c>
      <c r="Q555" t="s">
        <v>1160</v>
      </c>
      <c r="R555" t="s">
        <v>53</v>
      </c>
      <c r="S555" t="s">
        <v>1264</v>
      </c>
      <c r="T555" t="s">
        <v>55</v>
      </c>
      <c r="U555" t="s">
        <v>56</v>
      </c>
      <c r="V555" t="s">
        <v>56</v>
      </c>
    </row>
    <row r="556" spans="1:22" x14ac:dyDescent="0.3">
      <c r="A556" s="49">
        <v>45541</v>
      </c>
      <c r="B556" t="s">
        <v>645</v>
      </c>
      <c r="C556" t="s">
        <v>646</v>
      </c>
      <c r="D556" t="s">
        <v>173</v>
      </c>
      <c r="E556" t="s">
        <v>1265</v>
      </c>
      <c r="F556" t="s">
        <v>1266</v>
      </c>
      <c r="G556" t="s">
        <v>1267</v>
      </c>
      <c r="H556" t="s">
        <v>28</v>
      </c>
      <c r="I556" t="s">
        <v>1268</v>
      </c>
      <c r="J556" t="s">
        <v>63</v>
      </c>
      <c r="K556" t="s">
        <v>1269</v>
      </c>
      <c r="L556" t="s">
        <v>1270</v>
      </c>
      <c r="M556">
        <v>100</v>
      </c>
      <c r="N556" t="s">
        <v>49</v>
      </c>
      <c r="O556" t="s">
        <v>1271</v>
      </c>
      <c r="P556" t="s">
        <v>104</v>
      </c>
      <c r="Q556" t="s">
        <v>1272</v>
      </c>
      <c r="R556" t="s">
        <v>53</v>
      </c>
      <c r="S556" t="s">
        <v>1273</v>
      </c>
      <c r="T556" t="s">
        <v>39</v>
      </c>
      <c r="U556" t="s">
        <v>40</v>
      </c>
      <c r="V556" t="s">
        <v>41</v>
      </c>
    </row>
    <row r="557" spans="1:22" x14ac:dyDescent="0.3">
      <c r="A557" s="49">
        <v>45541</v>
      </c>
      <c r="B557" t="s">
        <v>606</v>
      </c>
      <c r="C557" t="s">
        <v>607</v>
      </c>
      <c r="D557" t="s">
        <v>173</v>
      </c>
      <c r="E557" t="s">
        <v>1274</v>
      </c>
      <c r="F557" t="s">
        <v>1275</v>
      </c>
      <c r="G557" t="s">
        <v>1276</v>
      </c>
      <c r="H557" t="s">
        <v>89</v>
      </c>
      <c r="I557" t="s">
        <v>1277</v>
      </c>
      <c r="J557" t="s">
        <v>63</v>
      </c>
      <c r="K557" t="s">
        <v>414</v>
      </c>
      <c r="L557" t="s">
        <v>32</v>
      </c>
      <c r="M557">
        <v>100</v>
      </c>
      <c r="N557" t="s">
        <v>49</v>
      </c>
      <c r="O557" t="s">
        <v>1278</v>
      </c>
      <c r="P557" t="s">
        <v>306</v>
      </c>
      <c r="Q557" t="s">
        <v>1279</v>
      </c>
      <c r="R557" t="s">
        <v>37</v>
      </c>
      <c r="S557" t="s">
        <v>1280</v>
      </c>
      <c r="T557" t="s">
        <v>55</v>
      </c>
      <c r="U557" t="s">
        <v>56</v>
      </c>
      <c r="V557" t="s">
        <v>56</v>
      </c>
    </row>
    <row r="558" spans="1:22" x14ac:dyDescent="0.3">
      <c r="A558" s="49">
        <v>45541</v>
      </c>
      <c r="B558" t="s">
        <v>645</v>
      </c>
      <c r="C558" t="s">
        <v>646</v>
      </c>
      <c r="D558" t="s">
        <v>173</v>
      </c>
      <c r="E558" t="s">
        <v>80</v>
      </c>
      <c r="F558" t="s">
        <v>81</v>
      </c>
      <c r="G558" t="s">
        <v>1281</v>
      </c>
      <c r="H558" t="s">
        <v>89</v>
      </c>
      <c r="J558" t="s">
        <v>63</v>
      </c>
      <c r="K558" t="s">
        <v>119</v>
      </c>
      <c r="L558" t="s">
        <v>48</v>
      </c>
      <c r="M558">
        <v>100</v>
      </c>
      <c r="N558" t="s">
        <v>49</v>
      </c>
      <c r="O558" t="s">
        <v>1282</v>
      </c>
      <c r="P558" t="s">
        <v>58</v>
      </c>
      <c r="Q558" t="s">
        <v>1160</v>
      </c>
      <c r="R558" t="s">
        <v>53</v>
      </c>
      <c r="S558" t="s">
        <v>93</v>
      </c>
      <c r="T558" t="s">
        <v>55</v>
      </c>
      <c r="U558" t="s">
        <v>56</v>
      </c>
      <c r="V558" t="s">
        <v>56</v>
      </c>
    </row>
    <row r="559" spans="1:22" x14ac:dyDescent="0.3">
      <c r="A559" s="49">
        <v>45541</v>
      </c>
      <c r="B559" t="s">
        <v>645</v>
      </c>
      <c r="C559" t="s">
        <v>646</v>
      </c>
      <c r="D559" t="s">
        <v>24</v>
      </c>
      <c r="E559" t="s">
        <v>80</v>
      </c>
      <c r="F559" t="s">
        <v>81</v>
      </c>
      <c r="G559" t="s">
        <v>1283</v>
      </c>
      <c r="H559" t="s">
        <v>89</v>
      </c>
      <c r="J559" t="s">
        <v>63</v>
      </c>
      <c r="K559" t="s">
        <v>64</v>
      </c>
      <c r="L559" t="s">
        <v>464</v>
      </c>
      <c r="M559">
        <v>50</v>
      </c>
      <c r="N559" t="s">
        <v>49</v>
      </c>
      <c r="O559" t="s">
        <v>1284</v>
      </c>
      <c r="P559" t="s">
        <v>1202</v>
      </c>
      <c r="Q559" t="s">
        <v>1285</v>
      </c>
      <c r="R559" t="s">
        <v>337</v>
      </c>
      <c r="S559" t="s">
        <v>1286</v>
      </c>
      <c r="T559" t="s">
        <v>55</v>
      </c>
      <c r="U559" t="s">
        <v>56</v>
      </c>
      <c r="V559" t="s">
        <v>56</v>
      </c>
    </row>
    <row r="560" spans="1:22" x14ac:dyDescent="0.3">
      <c r="A560" s="49">
        <v>45541</v>
      </c>
      <c r="B560" t="s">
        <v>645</v>
      </c>
      <c r="C560" t="s">
        <v>646</v>
      </c>
      <c r="D560" t="s">
        <v>173</v>
      </c>
      <c r="E560" t="s">
        <v>1287</v>
      </c>
      <c r="F560" t="s">
        <v>1288</v>
      </c>
      <c r="G560" t="s">
        <v>1289</v>
      </c>
      <c r="H560" t="s">
        <v>28</v>
      </c>
      <c r="I560" t="s">
        <v>1290</v>
      </c>
      <c r="J560" t="s">
        <v>63</v>
      </c>
      <c r="K560" t="s">
        <v>119</v>
      </c>
      <c r="L560" t="s">
        <v>48</v>
      </c>
      <c r="M560">
        <v>100</v>
      </c>
      <c r="N560" t="s">
        <v>49</v>
      </c>
      <c r="O560" t="s">
        <v>1291</v>
      </c>
      <c r="P560" t="s">
        <v>358</v>
      </c>
      <c r="Q560" t="s">
        <v>1292</v>
      </c>
      <c r="R560" t="s">
        <v>1293</v>
      </c>
      <c r="S560" t="s">
        <v>1294</v>
      </c>
      <c r="T560" t="s">
        <v>55</v>
      </c>
      <c r="U560" t="s">
        <v>56</v>
      </c>
      <c r="V560" t="s">
        <v>56</v>
      </c>
    </row>
    <row r="561" spans="1:22" x14ac:dyDescent="0.3">
      <c r="A561" s="49">
        <v>45541</v>
      </c>
      <c r="B561" t="s">
        <v>645</v>
      </c>
      <c r="C561" t="s">
        <v>646</v>
      </c>
      <c r="D561" t="s">
        <v>173</v>
      </c>
      <c r="E561" t="s">
        <v>1295</v>
      </c>
      <c r="F561" t="s">
        <v>1296</v>
      </c>
      <c r="G561" t="s">
        <v>1297</v>
      </c>
      <c r="H561" t="s">
        <v>28</v>
      </c>
      <c r="I561" t="s">
        <v>1298</v>
      </c>
      <c r="J561" t="s">
        <v>63</v>
      </c>
      <c r="K561" t="s">
        <v>119</v>
      </c>
      <c r="L561" t="s">
        <v>48</v>
      </c>
      <c r="M561">
        <v>100</v>
      </c>
      <c r="N561" t="s">
        <v>49</v>
      </c>
      <c r="O561" t="s">
        <v>1299</v>
      </c>
      <c r="P561" t="s">
        <v>205</v>
      </c>
      <c r="Q561" t="s">
        <v>1300</v>
      </c>
      <c r="R561" t="s">
        <v>1301</v>
      </c>
      <c r="S561" t="s">
        <v>1302</v>
      </c>
      <c r="T561" t="s">
        <v>55</v>
      </c>
      <c r="U561" t="s">
        <v>56</v>
      </c>
      <c r="V561" t="s">
        <v>56</v>
      </c>
    </row>
    <row r="562" spans="1:22" x14ac:dyDescent="0.3">
      <c r="A562" s="49">
        <v>45541</v>
      </c>
      <c r="B562" t="s">
        <v>645</v>
      </c>
      <c r="C562" t="s">
        <v>646</v>
      </c>
      <c r="D562" t="s">
        <v>173</v>
      </c>
      <c r="E562" t="s">
        <v>1034</v>
      </c>
      <c r="F562" t="s">
        <v>1035</v>
      </c>
      <c r="G562" t="s">
        <v>1303</v>
      </c>
      <c r="H562" t="s">
        <v>89</v>
      </c>
      <c r="I562" t="s">
        <v>1304</v>
      </c>
      <c r="J562" t="s">
        <v>63</v>
      </c>
      <c r="K562" t="s">
        <v>64</v>
      </c>
      <c r="L562" t="s">
        <v>48</v>
      </c>
      <c r="M562">
        <v>100</v>
      </c>
      <c r="N562" t="s">
        <v>49</v>
      </c>
      <c r="O562" t="s">
        <v>1305</v>
      </c>
      <c r="P562" t="s">
        <v>1306</v>
      </c>
      <c r="Q562" t="s">
        <v>1307</v>
      </c>
      <c r="R562" t="s">
        <v>337</v>
      </c>
      <c r="S562" t="s">
        <v>1308</v>
      </c>
      <c r="T562" t="s">
        <v>55</v>
      </c>
      <c r="U562" t="s">
        <v>56</v>
      </c>
      <c r="V562" t="s">
        <v>56</v>
      </c>
    </row>
    <row r="563" spans="1:22" x14ac:dyDescent="0.3">
      <c r="A563" s="49">
        <v>45541</v>
      </c>
      <c r="B563" t="s">
        <v>645</v>
      </c>
      <c r="C563" t="s">
        <v>646</v>
      </c>
      <c r="D563" t="s">
        <v>24</v>
      </c>
      <c r="E563" t="s">
        <v>234</v>
      </c>
      <c r="F563" t="s">
        <v>235</v>
      </c>
      <c r="G563" t="s">
        <v>1046</v>
      </c>
      <c r="H563" t="s">
        <v>89</v>
      </c>
      <c r="J563" t="s">
        <v>63</v>
      </c>
      <c r="K563" t="s">
        <v>64</v>
      </c>
      <c r="L563" t="s">
        <v>464</v>
      </c>
      <c r="M563">
        <v>0</v>
      </c>
      <c r="N563" t="s">
        <v>33</v>
      </c>
      <c r="O563" t="s">
        <v>1309</v>
      </c>
      <c r="P563" t="s">
        <v>1310</v>
      </c>
      <c r="Q563" t="s">
        <v>1311</v>
      </c>
      <c r="R563" t="s">
        <v>1312</v>
      </c>
      <c r="S563" t="s">
        <v>1313</v>
      </c>
      <c r="T563" t="s">
        <v>55</v>
      </c>
      <c r="U563" t="s">
        <v>56</v>
      </c>
      <c r="V563" t="s">
        <v>56</v>
      </c>
    </row>
    <row r="564" spans="1:22" x14ac:dyDescent="0.3">
      <c r="A564" s="49">
        <v>45541</v>
      </c>
      <c r="B564" t="s">
        <v>645</v>
      </c>
      <c r="C564" t="s">
        <v>646</v>
      </c>
      <c r="D564" t="s">
        <v>24</v>
      </c>
      <c r="E564" t="s">
        <v>1314</v>
      </c>
      <c r="F564" t="s">
        <v>1315</v>
      </c>
      <c r="G564" t="s">
        <v>1316</v>
      </c>
      <c r="H564" t="s">
        <v>28</v>
      </c>
      <c r="I564" t="s">
        <v>1317</v>
      </c>
      <c r="J564" t="s">
        <v>63</v>
      </c>
      <c r="K564" t="s">
        <v>119</v>
      </c>
      <c r="L564" t="s">
        <v>48</v>
      </c>
      <c r="M564">
        <v>100</v>
      </c>
      <c r="N564" t="s">
        <v>49</v>
      </c>
      <c r="O564" t="s">
        <v>1318</v>
      </c>
      <c r="P564" t="s">
        <v>108</v>
      </c>
      <c r="Q564" t="s">
        <v>929</v>
      </c>
      <c r="R564" t="s">
        <v>53</v>
      </c>
      <c r="S564" t="s">
        <v>1319</v>
      </c>
      <c r="T564" t="s">
        <v>55</v>
      </c>
      <c r="U564" t="s">
        <v>56</v>
      </c>
      <c r="V564" t="s">
        <v>56</v>
      </c>
    </row>
    <row r="565" spans="1:22" x14ac:dyDescent="0.3">
      <c r="A565" s="49">
        <v>45541</v>
      </c>
      <c r="B565" t="s">
        <v>606</v>
      </c>
      <c r="C565" t="s">
        <v>607</v>
      </c>
      <c r="D565" t="s">
        <v>173</v>
      </c>
      <c r="E565" t="s">
        <v>1320</v>
      </c>
      <c r="F565" t="s">
        <v>1321</v>
      </c>
      <c r="G565" t="s">
        <v>1322</v>
      </c>
      <c r="H565" t="s">
        <v>89</v>
      </c>
      <c r="I565" t="s">
        <v>1323</v>
      </c>
      <c r="J565" t="s">
        <v>63</v>
      </c>
      <c r="K565" t="s">
        <v>414</v>
      </c>
      <c r="L565" t="s">
        <v>32</v>
      </c>
      <c r="M565">
        <v>0</v>
      </c>
      <c r="N565" t="s">
        <v>49</v>
      </c>
      <c r="O565" t="s">
        <v>1324</v>
      </c>
      <c r="P565" t="s">
        <v>1189</v>
      </c>
      <c r="Q565" t="s">
        <v>225</v>
      </c>
      <c r="R565" t="s">
        <v>37</v>
      </c>
      <c r="S565" t="s">
        <v>1325</v>
      </c>
      <c r="T565" t="s">
        <v>55</v>
      </c>
      <c r="U565" t="s">
        <v>56</v>
      </c>
      <c r="V565" t="s">
        <v>56</v>
      </c>
    </row>
    <row r="566" spans="1:22" x14ac:dyDescent="0.3">
      <c r="A566" s="49">
        <v>45541</v>
      </c>
      <c r="B566" t="s">
        <v>645</v>
      </c>
      <c r="C566" t="s">
        <v>646</v>
      </c>
      <c r="D566" t="s">
        <v>173</v>
      </c>
      <c r="E566" t="s">
        <v>1326</v>
      </c>
      <c r="F566" t="s">
        <v>1327</v>
      </c>
      <c r="G566" t="s">
        <v>1328</v>
      </c>
      <c r="H566" t="s">
        <v>89</v>
      </c>
      <c r="I566" t="s">
        <v>1329</v>
      </c>
      <c r="J566" t="s">
        <v>63</v>
      </c>
      <c r="K566" t="s">
        <v>64</v>
      </c>
      <c r="L566" t="s">
        <v>464</v>
      </c>
      <c r="M566">
        <v>100</v>
      </c>
      <c r="N566" t="s">
        <v>49</v>
      </c>
      <c r="O566" t="s">
        <v>1330</v>
      </c>
      <c r="P566" t="s">
        <v>1331</v>
      </c>
      <c r="Q566" t="s">
        <v>1332</v>
      </c>
      <c r="R566" t="s">
        <v>337</v>
      </c>
      <c r="S566" t="s">
        <v>1333</v>
      </c>
      <c r="T566" t="s">
        <v>55</v>
      </c>
      <c r="U566" t="s">
        <v>56</v>
      </c>
      <c r="V566" t="s">
        <v>56</v>
      </c>
    </row>
    <row r="567" spans="1:22" x14ac:dyDescent="0.3">
      <c r="A567" s="49">
        <v>45541</v>
      </c>
      <c r="B567" t="s">
        <v>645</v>
      </c>
      <c r="C567" t="s">
        <v>646</v>
      </c>
      <c r="D567" t="s">
        <v>173</v>
      </c>
      <c r="E567" t="s">
        <v>1326</v>
      </c>
      <c r="F567" t="s">
        <v>1327</v>
      </c>
      <c r="G567" t="s">
        <v>1334</v>
      </c>
      <c r="H567" t="s">
        <v>89</v>
      </c>
      <c r="I567" t="s">
        <v>1335</v>
      </c>
      <c r="J567" t="s">
        <v>63</v>
      </c>
      <c r="K567" t="s">
        <v>1336</v>
      </c>
      <c r="L567" t="s">
        <v>48</v>
      </c>
      <c r="M567">
        <v>100</v>
      </c>
      <c r="N567" t="s">
        <v>49</v>
      </c>
      <c r="O567" t="s">
        <v>1337</v>
      </c>
      <c r="P567" t="s">
        <v>498</v>
      </c>
      <c r="Q567" t="s">
        <v>1338</v>
      </c>
      <c r="R567" t="s">
        <v>1339</v>
      </c>
      <c r="S567" t="s">
        <v>1333</v>
      </c>
      <c r="T567" t="s">
        <v>55</v>
      </c>
      <c r="U567" t="s">
        <v>56</v>
      </c>
      <c r="V567" t="s">
        <v>56</v>
      </c>
    </row>
    <row r="568" spans="1:22" x14ac:dyDescent="0.3">
      <c r="A568" s="49">
        <v>45541</v>
      </c>
      <c r="B568" t="s">
        <v>606</v>
      </c>
      <c r="C568" t="s">
        <v>607</v>
      </c>
      <c r="D568" t="s">
        <v>173</v>
      </c>
      <c r="E568" t="s">
        <v>1326</v>
      </c>
      <c r="F568" t="s">
        <v>1327</v>
      </c>
      <c r="G568" t="s">
        <v>1340</v>
      </c>
      <c r="H568" t="s">
        <v>89</v>
      </c>
      <c r="I568" t="s">
        <v>1341</v>
      </c>
      <c r="J568" t="s">
        <v>63</v>
      </c>
      <c r="K568" t="s">
        <v>414</v>
      </c>
      <c r="L568" t="s">
        <v>32</v>
      </c>
      <c r="M568">
        <v>0</v>
      </c>
      <c r="N568" t="s">
        <v>49</v>
      </c>
      <c r="O568" t="s">
        <v>1342</v>
      </c>
      <c r="P568" t="s">
        <v>1189</v>
      </c>
      <c r="Q568" t="s">
        <v>258</v>
      </c>
      <c r="R568" t="s">
        <v>37</v>
      </c>
      <c r="S568" t="s">
        <v>1343</v>
      </c>
      <c r="T568" t="s">
        <v>55</v>
      </c>
      <c r="U568" t="s">
        <v>56</v>
      </c>
      <c r="V568" t="s">
        <v>56</v>
      </c>
    </row>
    <row r="569" spans="1:22" x14ac:dyDescent="0.3">
      <c r="A569" s="49">
        <v>45541</v>
      </c>
      <c r="B569" t="s">
        <v>606</v>
      </c>
      <c r="C569" t="s">
        <v>607</v>
      </c>
      <c r="D569" t="s">
        <v>173</v>
      </c>
      <c r="E569" t="s">
        <v>1344</v>
      </c>
      <c r="F569" t="s">
        <v>1345</v>
      </c>
      <c r="G569" t="s">
        <v>1346</v>
      </c>
      <c r="H569" t="s">
        <v>89</v>
      </c>
      <c r="I569" t="s">
        <v>1347</v>
      </c>
      <c r="J569" t="s">
        <v>63</v>
      </c>
      <c r="K569" t="s">
        <v>64</v>
      </c>
      <c r="L569" t="s">
        <v>1348</v>
      </c>
      <c r="M569">
        <v>0</v>
      </c>
      <c r="N569" t="s">
        <v>49</v>
      </c>
      <c r="O569" t="s">
        <v>1349</v>
      </c>
      <c r="P569" t="s">
        <v>1350</v>
      </c>
      <c r="Q569" t="s">
        <v>1351</v>
      </c>
      <c r="R569" t="s">
        <v>37</v>
      </c>
      <c r="S569" t="s">
        <v>1352</v>
      </c>
      <c r="T569" t="s">
        <v>55</v>
      </c>
      <c r="U569" t="s">
        <v>56</v>
      </c>
      <c r="V569" t="s">
        <v>56</v>
      </c>
    </row>
    <row r="570" spans="1:22" x14ac:dyDescent="0.3">
      <c r="A570" s="49">
        <v>45541</v>
      </c>
      <c r="B570" t="s">
        <v>965</v>
      </c>
      <c r="C570" t="s">
        <v>966</v>
      </c>
      <c r="D570" t="s">
        <v>173</v>
      </c>
      <c r="E570" t="s">
        <v>1131</v>
      </c>
      <c r="F570" t="s">
        <v>1132</v>
      </c>
      <c r="G570" t="s">
        <v>1353</v>
      </c>
      <c r="H570" t="s">
        <v>28</v>
      </c>
      <c r="I570" t="s">
        <v>1354</v>
      </c>
      <c r="J570" t="s">
        <v>63</v>
      </c>
      <c r="K570" t="s">
        <v>445</v>
      </c>
      <c r="L570" t="s">
        <v>32</v>
      </c>
      <c r="M570">
        <v>0</v>
      </c>
      <c r="N570" t="s">
        <v>74</v>
      </c>
      <c r="O570" t="s">
        <v>1355</v>
      </c>
      <c r="P570" t="s">
        <v>1356</v>
      </c>
      <c r="Q570" t="s">
        <v>1357</v>
      </c>
      <c r="R570" t="s">
        <v>37</v>
      </c>
      <c r="S570" t="s">
        <v>1358</v>
      </c>
      <c r="T570" t="s">
        <v>55</v>
      </c>
      <c r="U570" t="s">
        <v>56</v>
      </c>
      <c r="V570" t="s">
        <v>56</v>
      </c>
    </row>
    <row r="571" spans="1:22" x14ac:dyDescent="0.3">
      <c r="A571" s="49">
        <v>45541</v>
      </c>
      <c r="B571" t="s">
        <v>645</v>
      </c>
      <c r="C571" t="s">
        <v>646</v>
      </c>
      <c r="D571" t="s">
        <v>173</v>
      </c>
      <c r="E571" t="s">
        <v>1136</v>
      </c>
      <c r="F571" t="s">
        <v>1137</v>
      </c>
      <c r="G571" t="s">
        <v>1359</v>
      </c>
      <c r="H571" t="s">
        <v>89</v>
      </c>
      <c r="J571" t="s">
        <v>63</v>
      </c>
      <c r="K571" t="s">
        <v>64</v>
      </c>
      <c r="L571" t="s">
        <v>464</v>
      </c>
      <c r="M571">
        <v>100</v>
      </c>
      <c r="N571" t="s">
        <v>33</v>
      </c>
      <c r="O571" t="s">
        <v>1360</v>
      </c>
      <c r="P571" t="s">
        <v>1361</v>
      </c>
      <c r="Q571" t="s">
        <v>1362</v>
      </c>
      <c r="R571" t="s">
        <v>337</v>
      </c>
      <c r="S571" t="s">
        <v>1363</v>
      </c>
      <c r="T571" t="s">
        <v>55</v>
      </c>
      <c r="U571" t="s">
        <v>56</v>
      </c>
      <c r="V571" t="s">
        <v>56</v>
      </c>
    </row>
    <row r="572" spans="1:22" x14ac:dyDescent="0.3">
      <c r="A572" s="49">
        <v>45541</v>
      </c>
      <c r="B572" t="s">
        <v>645</v>
      </c>
      <c r="C572" t="s">
        <v>646</v>
      </c>
      <c r="D572" t="s">
        <v>24</v>
      </c>
      <c r="E572" t="s">
        <v>1364</v>
      </c>
      <c r="F572" t="s">
        <v>1365</v>
      </c>
      <c r="G572" t="s">
        <v>1366</v>
      </c>
      <c r="H572" t="s">
        <v>89</v>
      </c>
      <c r="J572" t="s">
        <v>46</v>
      </c>
      <c r="K572" t="s">
        <v>640</v>
      </c>
      <c r="L572" t="s">
        <v>1367</v>
      </c>
      <c r="M572">
        <v>100</v>
      </c>
      <c r="N572" t="s">
        <v>49</v>
      </c>
      <c r="O572" t="s">
        <v>858</v>
      </c>
      <c r="P572" t="s">
        <v>498</v>
      </c>
      <c r="Q572" t="s">
        <v>1368</v>
      </c>
      <c r="R572" t="s">
        <v>1339</v>
      </c>
      <c r="S572" t="s">
        <v>860</v>
      </c>
      <c r="T572" t="s">
        <v>55</v>
      </c>
      <c r="U572" t="s">
        <v>56</v>
      </c>
      <c r="V572" t="s">
        <v>56</v>
      </c>
    </row>
    <row r="573" spans="1:22" x14ac:dyDescent="0.3">
      <c r="A573" s="49">
        <v>45541</v>
      </c>
      <c r="B573" t="s">
        <v>645</v>
      </c>
      <c r="C573" t="s">
        <v>646</v>
      </c>
      <c r="D573" t="s">
        <v>173</v>
      </c>
      <c r="E573" t="s">
        <v>1369</v>
      </c>
      <c r="F573" t="s">
        <v>1370</v>
      </c>
      <c r="G573" t="s">
        <v>1371</v>
      </c>
      <c r="H573" t="s">
        <v>28</v>
      </c>
      <c r="I573" t="s">
        <v>1372</v>
      </c>
      <c r="J573" t="s">
        <v>46</v>
      </c>
      <c r="K573" t="s">
        <v>1166</v>
      </c>
      <c r="L573" t="s">
        <v>1373</v>
      </c>
      <c r="M573">
        <v>100</v>
      </c>
      <c r="N573" t="s">
        <v>49</v>
      </c>
      <c r="O573" t="s">
        <v>1374</v>
      </c>
      <c r="P573" t="s">
        <v>205</v>
      </c>
      <c r="Q573" t="s">
        <v>1375</v>
      </c>
      <c r="R573" t="s">
        <v>53</v>
      </c>
      <c r="S573" t="s">
        <v>1376</v>
      </c>
      <c r="T573" t="s">
        <v>55</v>
      </c>
      <c r="U573" t="s">
        <v>56</v>
      </c>
      <c r="V573" t="s">
        <v>56</v>
      </c>
    </row>
    <row r="574" spans="1:22" x14ac:dyDescent="0.3">
      <c r="A574" s="49">
        <v>45541</v>
      </c>
      <c r="B574" t="s">
        <v>645</v>
      </c>
      <c r="C574" t="s">
        <v>646</v>
      </c>
      <c r="D574" t="s">
        <v>24</v>
      </c>
      <c r="E574" t="s">
        <v>854</v>
      </c>
      <c r="F574" t="s">
        <v>855</v>
      </c>
      <c r="G574" t="s">
        <v>1377</v>
      </c>
      <c r="H574" t="s">
        <v>89</v>
      </c>
      <c r="J574" t="s">
        <v>46</v>
      </c>
      <c r="K574" t="s">
        <v>1166</v>
      </c>
      <c r="L574" t="s">
        <v>1373</v>
      </c>
      <c r="M574">
        <v>100</v>
      </c>
      <c r="N574" t="s">
        <v>49</v>
      </c>
      <c r="O574" t="s">
        <v>858</v>
      </c>
      <c r="P574" t="s">
        <v>85</v>
      </c>
      <c r="Q574" t="s">
        <v>1160</v>
      </c>
      <c r="R574" t="s">
        <v>53</v>
      </c>
      <c r="S574" t="s">
        <v>860</v>
      </c>
      <c r="T574" t="s">
        <v>55</v>
      </c>
      <c r="U574" t="s">
        <v>56</v>
      </c>
      <c r="V574" t="s">
        <v>56</v>
      </c>
    </row>
    <row r="575" spans="1:22" x14ac:dyDescent="0.3">
      <c r="A575" s="49">
        <v>45541</v>
      </c>
      <c r="B575" t="s">
        <v>645</v>
      </c>
      <c r="C575" t="s">
        <v>646</v>
      </c>
      <c r="D575" t="s">
        <v>24</v>
      </c>
      <c r="E575" t="s">
        <v>869</v>
      </c>
      <c r="F575" t="s">
        <v>870</v>
      </c>
      <c r="G575" t="s">
        <v>1378</v>
      </c>
      <c r="H575" t="s">
        <v>89</v>
      </c>
      <c r="J575" t="s">
        <v>46</v>
      </c>
      <c r="K575" t="s">
        <v>1166</v>
      </c>
      <c r="L575" t="s">
        <v>1379</v>
      </c>
      <c r="M575">
        <v>100</v>
      </c>
      <c r="N575" t="s">
        <v>49</v>
      </c>
      <c r="O575" t="s">
        <v>1380</v>
      </c>
      <c r="P575" t="s">
        <v>58</v>
      </c>
      <c r="Q575" t="s">
        <v>1160</v>
      </c>
      <c r="R575" t="s">
        <v>53</v>
      </c>
      <c r="S575" t="s">
        <v>1381</v>
      </c>
      <c r="T575" t="s">
        <v>55</v>
      </c>
      <c r="U575" t="s">
        <v>56</v>
      </c>
      <c r="V575" t="s">
        <v>56</v>
      </c>
    </row>
    <row r="576" spans="1:22" x14ac:dyDescent="0.3">
      <c r="A576" s="49">
        <v>45541</v>
      </c>
      <c r="B576" t="s">
        <v>606</v>
      </c>
      <c r="C576" t="s">
        <v>607</v>
      </c>
      <c r="D576" t="s">
        <v>173</v>
      </c>
      <c r="E576" t="s">
        <v>587</v>
      </c>
      <c r="F576" t="s">
        <v>588</v>
      </c>
      <c r="G576" t="s">
        <v>1382</v>
      </c>
      <c r="H576" t="s">
        <v>89</v>
      </c>
      <c r="I576" t="s">
        <v>1383</v>
      </c>
      <c r="J576" t="s">
        <v>63</v>
      </c>
      <c r="K576" t="s">
        <v>414</v>
      </c>
      <c r="L576" t="s">
        <v>32</v>
      </c>
      <c r="M576">
        <v>100</v>
      </c>
      <c r="N576" t="s">
        <v>49</v>
      </c>
      <c r="O576" t="s">
        <v>1384</v>
      </c>
      <c r="P576" t="s">
        <v>287</v>
      </c>
      <c r="Q576" t="s">
        <v>1385</v>
      </c>
      <c r="R576" t="s">
        <v>37</v>
      </c>
      <c r="S576" t="s">
        <v>1386</v>
      </c>
      <c r="T576" t="s">
        <v>55</v>
      </c>
      <c r="U576" t="s">
        <v>56</v>
      </c>
      <c r="V576" t="s">
        <v>56</v>
      </c>
    </row>
    <row r="577" spans="1:22" x14ac:dyDescent="0.3">
      <c r="A577" s="49">
        <v>45541</v>
      </c>
      <c r="B577" t="s">
        <v>645</v>
      </c>
      <c r="C577" t="s">
        <v>646</v>
      </c>
      <c r="D577" t="s">
        <v>173</v>
      </c>
      <c r="E577" t="s">
        <v>1387</v>
      </c>
      <c r="F577" t="s">
        <v>1388</v>
      </c>
      <c r="G577" t="s">
        <v>1389</v>
      </c>
      <c r="H577" t="s">
        <v>28</v>
      </c>
      <c r="I577" t="s">
        <v>1390</v>
      </c>
      <c r="J577" t="s">
        <v>63</v>
      </c>
      <c r="K577" t="s">
        <v>98</v>
      </c>
      <c r="L577" t="s">
        <v>48</v>
      </c>
      <c r="M577">
        <v>100</v>
      </c>
      <c r="N577" t="s">
        <v>49</v>
      </c>
      <c r="O577" t="s">
        <v>1391</v>
      </c>
      <c r="P577" t="s">
        <v>416</v>
      </c>
      <c r="Q577" t="s">
        <v>359</v>
      </c>
      <c r="R577" t="s">
        <v>53</v>
      </c>
      <c r="S577" t="s">
        <v>1392</v>
      </c>
      <c r="T577" t="s">
        <v>55</v>
      </c>
      <c r="U577" t="s">
        <v>56</v>
      </c>
      <c r="V577" t="s">
        <v>56</v>
      </c>
    </row>
    <row r="578" spans="1:22" x14ac:dyDescent="0.3">
      <c r="A578" s="49">
        <v>45541</v>
      </c>
      <c r="B578" t="s">
        <v>645</v>
      </c>
      <c r="C578" t="s">
        <v>646</v>
      </c>
      <c r="D578" t="s">
        <v>173</v>
      </c>
      <c r="E578" t="s">
        <v>1393</v>
      </c>
      <c r="F578" t="s">
        <v>1394</v>
      </c>
      <c r="G578" t="s">
        <v>1395</v>
      </c>
      <c r="H578" t="s">
        <v>89</v>
      </c>
      <c r="I578" t="s">
        <v>1396</v>
      </c>
      <c r="J578" t="s">
        <v>63</v>
      </c>
      <c r="K578" t="s">
        <v>64</v>
      </c>
      <c r="L578" t="s">
        <v>464</v>
      </c>
      <c r="M578">
        <v>30</v>
      </c>
      <c r="N578" t="s">
        <v>49</v>
      </c>
      <c r="O578" t="s">
        <v>1397</v>
      </c>
      <c r="P578" t="s">
        <v>1398</v>
      </c>
      <c r="Q578" t="s">
        <v>1399</v>
      </c>
      <c r="R578" t="s">
        <v>337</v>
      </c>
      <c r="S578" t="s">
        <v>1400</v>
      </c>
      <c r="T578" t="s">
        <v>55</v>
      </c>
      <c r="U578" t="s">
        <v>56</v>
      </c>
      <c r="V578" t="s">
        <v>56</v>
      </c>
    </row>
    <row r="579" spans="1:22" x14ac:dyDescent="0.3">
      <c r="A579" s="49">
        <v>45541</v>
      </c>
      <c r="B579" t="s">
        <v>645</v>
      </c>
      <c r="C579" t="s">
        <v>646</v>
      </c>
      <c r="D579" t="s">
        <v>173</v>
      </c>
      <c r="E579" t="s">
        <v>1401</v>
      </c>
      <c r="F579" t="s">
        <v>1402</v>
      </c>
      <c r="G579" t="s">
        <v>1403</v>
      </c>
      <c r="H579" t="s">
        <v>89</v>
      </c>
      <c r="J579" t="s">
        <v>63</v>
      </c>
      <c r="K579" t="s">
        <v>64</v>
      </c>
      <c r="L579" t="s">
        <v>464</v>
      </c>
      <c r="M579">
        <v>100</v>
      </c>
      <c r="N579" t="s">
        <v>49</v>
      </c>
      <c r="O579" t="s">
        <v>1404</v>
      </c>
      <c r="P579" t="s">
        <v>1405</v>
      </c>
      <c r="Q579" t="s">
        <v>1406</v>
      </c>
      <c r="R579" t="s">
        <v>337</v>
      </c>
      <c r="S579" t="s">
        <v>1407</v>
      </c>
      <c r="T579" t="s">
        <v>55</v>
      </c>
      <c r="U579" t="s">
        <v>56</v>
      </c>
      <c r="V579" t="s">
        <v>56</v>
      </c>
    </row>
    <row r="580" spans="1:22" x14ac:dyDescent="0.3">
      <c r="A580" s="49">
        <v>45541</v>
      </c>
      <c r="B580" t="s">
        <v>645</v>
      </c>
      <c r="C580" t="s">
        <v>646</v>
      </c>
      <c r="D580" t="s">
        <v>173</v>
      </c>
      <c r="E580" t="s">
        <v>1408</v>
      </c>
      <c r="F580" t="s">
        <v>1409</v>
      </c>
      <c r="G580" t="s">
        <v>1410</v>
      </c>
      <c r="H580" t="s">
        <v>89</v>
      </c>
      <c r="I580" t="s">
        <v>1411</v>
      </c>
      <c r="J580" t="s">
        <v>63</v>
      </c>
      <c r="K580" t="s">
        <v>64</v>
      </c>
      <c r="L580" t="s">
        <v>464</v>
      </c>
      <c r="M580">
        <v>100</v>
      </c>
      <c r="N580" t="s">
        <v>49</v>
      </c>
      <c r="O580" t="s">
        <v>1412</v>
      </c>
      <c r="P580" t="s">
        <v>1331</v>
      </c>
      <c r="Q580" t="s">
        <v>1413</v>
      </c>
      <c r="R580" t="s">
        <v>1339</v>
      </c>
      <c r="S580" t="s">
        <v>1414</v>
      </c>
      <c r="T580" t="s">
        <v>55</v>
      </c>
      <c r="U580" t="s">
        <v>56</v>
      </c>
      <c r="V580" t="s">
        <v>56</v>
      </c>
    </row>
    <row r="581" spans="1:22" x14ac:dyDescent="0.3">
      <c r="A581" s="49">
        <v>45541</v>
      </c>
      <c r="B581" t="s">
        <v>645</v>
      </c>
      <c r="C581" t="s">
        <v>646</v>
      </c>
      <c r="D581" t="s">
        <v>24</v>
      </c>
      <c r="E581" t="s">
        <v>1415</v>
      </c>
      <c r="F581" t="s">
        <v>1416</v>
      </c>
      <c r="G581" t="s">
        <v>1417</v>
      </c>
      <c r="H581" t="s">
        <v>89</v>
      </c>
      <c r="I581" t="s">
        <v>1418</v>
      </c>
      <c r="J581" t="s">
        <v>63</v>
      </c>
      <c r="K581" t="s">
        <v>64</v>
      </c>
      <c r="L581" t="s">
        <v>464</v>
      </c>
      <c r="M581">
        <v>100</v>
      </c>
      <c r="N581" t="s">
        <v>49</v>
      </c>
      <c r="O581" t="s">
        <v>1419</v>
      </c>
      <c r="P581" t="s">
        <v>1237</v>
      </c>
      <c r="Q581" t="s">
        <v>1420</v>
      </c>
      <c r="R581" t="s">
        <v>408</v>
      </c>
      <c r="S581" t="s">
        <v>1421</v>
      </c>
      <c r="T581" t="s">
        <v>55</v>
      </c>
      <c r="U581" t="s">
        <v>56</v>
      </c>
      <c r="V581" t="s">
        <v>56</v>
      </c>
    </row>
    <row r="582" spans="1:22" x14ac:dyDescent="0.3">
      <c r="A582" s="49">
        <v>45541</v>
      </c>
      <c r="B582" t="s">
        <v>645</v>
      </c>
      <c r="C582" t="s">
        <v>646</v>
      </c>
      <c r="D582" t="s">
        <v>24</v>
      </c>
      <c r="E582" t="s">
        <v>418</v>
      </c>
      <c r="F582" t="s">
        <v>419</v>
      </c>
      <c r="G582" t="s">
        <v>1422</v>
      </c>
      <c r="H582" t="s">
        <v>89</v>
      </c>
      <c r="J582" t="s">
        <v>46</v>
      </c>
      <c r="K582" t="s">
        <v>422</v>
      </c>
      <c r="L582" t="s">
        <v>1423</v>
      </c>
      <c r="M582">
        <v>100</v>
      </c>
      <c r="N582" t="s">
        <v>49</v>
      </c>
      <c r="O582" t="s">
        <v>1424</v>
      </c>
      <c r="P582" t="s">
        <v>1425</v>
      </c>
      <c r="Q582" t="s">
        <v>425</v>
      </c>
      <c r="R582" t="s">
        <v>337</v>
      </c>
      <c r="S582" t="s">
        <v>1426</v>
      </c>
      <c r="T582" t="s">
        <v>55</v>
      </c>
      <c r="U582" t="s">
        <v>56</v>
      </c>
      <c r="V582" t="s">
        <v>56</v>
      </c>
    </row>
    <row r="583" spans="1:22" x14ac:dyDescent="0.3">
      <c r="A583" s="49">
        <v>45541</v>
      </c>
      <c r="B583" t="s">
        <v>645</v>
      </c>
      <c r="C583" t="s">
        <v>646</v>
      </c>
      <c r="D583" t="s">
        <v>24</v>
      </c>
      <c r="E583" t="s">
        <v>418</v>
      </c>
      <c r="F583" t="s">
        <v>419</v>
      </c>
      <c r="G583" t="s">
        <v>1427</v>
      </c>
      <c r="H583" t="s">
        <v>89</v>
      </c>
      <c r="J583" t="s">
        <v>63</v>
      </c>
      <c r="K583" t="s">
        <v>640</v>
      </c>
      <c r="L583" t="s">
        <v>423</v>
      </c>
      <c r="M583">
        <v>100</v>
      </c>
      <c r="N583" t="s">
        <v>49</v>
      </c>
      <c r="O583" t="s">
        <v>1424</v>
      </c>
      <c r="P583" t="s">
        <v>127</v>
      </c>
      <c r="Q583" t="s">
        <v>425</v>
      </c>
      <c r="R583" t="s">
        <v>337</v>
      </c>
      <c r="S583" t="s">
        <v>1426</v>
      </c>
      <c r="T583" t="s">
        <v>55</v>
      </c>
      <c r="U583" t="s">
        <v>56</v>
      </c>
      <c r="V583" t="s">
        <v>56</v>
      </c>
    </row>
    <row r="584" spans="1:22" x14ac:dyDescent="0.3">
      <c r="A584" s="49">
        <v>45541</v>
      </c>
      <c r="B584" t="s">
        <v>645</v>
      </c>
      <c r="C584" t="s">
        <v>646</v>
      </c>
      <c r="D584" t="s">
        <v>173</v>
      </c>
      <c r="E584" t="s">
        <v>1428</v>
      </c>
      <c r="F584" t="s">
        <v>1429</v>
      </c>
      <c r="G584" t="s">
        <v>1430</v>
      </c>
      <c r="H584" t="s">
        <v>89</v>
      </c>
      <c r="J584" t="s">
        <v>46</v>
      </c>
      <c r="K584" t="s">
        <v>1431</v>
      </c>
      <c r="L584" t="s">
        <v>1423</v>
      </c>
      <c r="M584">
        <v>100</v>
      </c>
      <c r="N584" t="s">
        <v>49</v>
      </c>
      <c r="O584" t="s">
        <v>1432</v>
      </c>
      <c r="P584" t="s">
        <v>58</v>
      </c>
      <c r="Q584" t="s">
        <v>1433</v>
      </c>
      <c r="R584" t="s">
        <v>337</v>
      </c>
      <c r="S584" t="s">
        <v>1434</v>
      </c>
      <c r="T584" t="s">
        <v>55</v>
      </c>
      <c r="U584" t="s">
        <v>56</v>
      </c>
      <c r="V584" t="s">
        <v>56</v>
      </c>
    </row>
    <row r="585" spans="1:22" x14ac:dyDescent="0.3">
      <c r="A585" s="49">
        <v>45540</v>
      </c>
      <c r="B585" t="s">
        <v>645</v>
      </c>
      <c r="C585" t="s">
        <v>646</v>
      </c>
      <c r="D585" t="s">
        <v>173</v>
      </c>
      <c r="E585" t="s">
        <v>960</v>
      </c>
      <c r="F585" t="s">
        <v>961</v>
      </c>
      <c r="G585" t="s">
        <v>962</v>
      </c>
      <c r="H585" t="s">
        <v>28</v>
      </c>
      <c r="I585" t="s">
        <v>963</v>
      </c>
      <c r="J585" t="s">
        <v>46</v>
      </c>
      <c r="K585" t="s">
        <v>47</v>
      </c>
      <c r="L585" t="s">
        <v>48</v>
      </c>
      <c r="M585">
        <v>100</v>
      </c>
      <c r="N585" t="s">
        <v>49</v>
      </c>
      <c r="P585" t="s">
        <v>85</v>
      </c>
      <c r="Q585" t="s">
        <v>232</v>
      </c>
      <c r="R585" t="s">
        <v>53</v>
      </c>
      <c r="S585" t="s">
        <v>964</v>
      </c>
      <c r="T585" t="s">
        <v>55</v>
      </c>
      <c r="U585" t="s">
        <v>56</v>
      </c>
      <c r="V585" t="s">
        <v>56</v>
      </c>
    </row>
    <row r="586" spans="1:22" x14ac:dyDescent="0.3">
      <c r="A586" s="49">
        <v>45540</v>
      </c>
      <c r="B586" t="s">
        <v>965</v>
      </c>
      <c r="C586" t="s">
        <v>966</v>
      </c>
      <c r="D586" t="s">
        <v>173</v>
      </c>
      <c r="E586" t="s">
        <v>459</v>
      </c>
      <c r="F586" t="s">
        <v>460</v>
      </c>
      <c r="G586" t="s">
        <v>461</v>
      </c>
      <c r="H586" t="s">
        <v>89</v>
      </c>
      <c r="J586" t="s">
        <v>63</v>
      </c>
      <c r="K586" t="s">
        <v>197</v>
      </c>
      <c r="L586" t="s">
        <v>32</v>
      </c>
      <c r="M586">
        <v>20</v>
      </c>
      <c r="N586" t="s">
        <v>33</v>
      </c>
      <c r="O586" t="s">
        <v>967</v>
      </c>
      <c r="P586" t="s">
        <v>968</v>
      </c>
      <c r="Q586" t="s">
        <v>969</v>
      </c>
      <c r="R586" t="s">
        <v>37</v>
      </c>
      <c r="S586" t="s">
        <v>970</v>
      </c>
      <c r="T586" t="s">
        <v>39</v>
      </c>
      <c r="U586" t="s">
        <v>40</v>
      </c>
      <c r="V586" t="s">
        <v>41</v>
      </c>
    </row>
    <row r="587" spans="1:22" x14ac:dyDescent="0.3">
      <c r="A587" s="49">
        <v>45540</v>
      </c>
      <c r="B587" t="s">
        <v>965</v>
      </c>
      <c r="C587" t="s">
        <v>966</v>
      </c>
      <c r="D587" t="s">
        <v>173</v>
      </c>
      <c r="E587" t="s">
        <v>459</v>
      </c>
      <c r="F587" t="s">
        <v>460</v>
      </c>
      <c r="G587" t="s">
        <v>461</v>
      </c>
      <c r="H587" t="s">
        <v>89</v>
      </c>
      <c r="J587" t="s">
        <v>63</v>
      </c>
      <c r="K587" t="s">
        <v>197</v>
      </c>
      <c r="L587" t="s">
        <v>32</v>
      </c>
      <c r="M587">
        <v>20</v>
      </c>
      <c r="N587" t="s">
        <v>33</v>
      </c>
      <c r="O587" t="s">
        <v>967</v>
      </c>
      <c r="P587" t="s">
        <v>968</v>
      </c>
      <c r="Q587" t="s">
        <v>969</v>
      </c>
      <c r="R587" t="s">
        <v>37</v>
      </c>
      <c r="S587" t="s">
        <v>970</v>
      </c>
      <c r="T587" t="s">
        <v>39</v>
      </c>
      <c r="U587" t="s">
        <v>40</v>
      </c>
      <c r="V587" t="s">
        <v>41</v>
      </c>
    </row>
    <row r="588" spans="1:22" x14ac:dyDescent="0.3">
      <c r="A588" s="49">
        <v>45540</v>
      </c>
      <c r="B588" t="s">
        <v>645</v>
      </c>
      <c r="C588" t="s">
        <v>646</v>
      </c>
      <c r="D588" t="s">
        <v>24</v>
      </c>
      <c r="E588" t="s">
        <v>971</v>
      </c>
      <c r="F588" t="s">
        <v>972</v>
      </c>
      <c r="G588" t="s">
        <v>973</v>
      </c>
      <c r="H588" t="s">
        <v>89</v>
      </c>
      <c r="J588" t="s">
        <v>63</v>
      </c>
      <c r="K588" t="s">
        <v>974</v>
      </c>
      <c r="L588" t="s">
        <v>464</v>
      </c>
      <c r="M588">
        <v>65</v>
      </c>
      <c r="N588" t="s">
        <v>49</v>
      </c>
      <c r="O588" t="s">
        <v>975</v>
      </c>
      <c r="P588" t="s">
        <v>358</v>
      </c>
      <c r="Q588" t="s">
        <v>976</v>
      </c>
      <c r="R588" t="s">
        <v>337</v>
      </c>
      <c r="S588" t="s">
        <v>977</v>
      </c>
      <c r="T588" t="s">
        <v>39</v>
      </c>
      <c r="U588" t="s">
        <v>40</v>
      </c>
      <c r="V588" t="s">
        <v>41</v>
      </c>
    </row>
    <row r="589" spans="1:22" x14ac:dyDescent="0.3">
      <c r="A589" s="49">
        <v>45540</v>
      </c>
      <c r="B589" t="s">
        <v>645</v>
      </c>
      <c r="C589" t="s">
        <v>646</v>
      </c>
      <c r="D589" t="s">
        <v>173</v>
      </c>
      <c r="E589" t="s">
        <v>661</v>
      </c>
      <c r="F589" t="s">
        <v>662</v>
      </c>
      <c r="G589" t="s">
        <v>978</v>
      </c>
      <c r="H589" t="s">
        <v>28</v>
      </c>
      <c r="I589" t="s">
        <v>979</v>
      </c>
      <c r="J589" t="s">
        <v>63</v>
      </c>
      <c r="K589" t="s">
        <v>119</v>
      </c>
      <c r="L589" t="s">
        <v>48</v>
      </c>
      <c r="M589">
        <v>89</v>
      </c>
      <c r="N589" t="s">
        <v>49</v>
      </c>
      <c r="P589" t="s">
        <v>108</v>
      </c>
      <c r="Q589" t="s">
        <v>980</v>
      </c>
      <c r="R589" t="s">
        <v>53</v>
      </c>
      <c r="S589" t="s">
        <v>981</v>
      </c>
      <c r="T589" t="s">
        <v>55</v>
      </c>
      <c r="U589" t="s">
        <v>56</v>
      </c>
      <c r="V589" t="s">
        <v>56</v>
      </c>
    </row>
    <row r="590" spans="1:22" x14ac:dyDescent="0.3">
      <c r="A590" s="49">
        <v>45540</v>
      </c>
      <c r="B590" t="s">
        <v>645</v>
      </c>
      <c r="C590" t="s">
        <v>646</v>
      </c>
      <c r="D590" t="s">
        <v>173</v>
      </c>
      <c r="E590" t="s">
        <v>982</v>
      </c>
      <c r="F590" t="s">
        <v>983</v>
      </c>
      <c r="G590" t="s">
        <v>984</v>
      </c>
      <c r="H590" t="s">
        <v>89</v>
      </c>
      <c r="I590" t="s">
        <v>985</v>
      </c>
      <c r="J590" t="s">
        <v>63</v>
      </c>
      <c r="K590" t="s">
        <v>463</v>
      </c>
      <c r="L590" t="s">
        <v>464</v>
      </c>
      <c r="M590">
        <v>31</v>
      </c>
      <c r="N590" t="s">
        <v>49</v>
      </c>
      <c r="O590" t="s">
        <v>986</v>
      </c>
      <c r="P590" t="s">
        <v>106</v>
      </c>
      <c r="Q590" t="s">
        <v>987</v>
      </c>
      <c r="R590" t="s">
        <v>337</v>
      </c>
      <c r="S590" t="s">
        <v>988</v>
      </c>
      <c r="T590" t="s">
        <v>39</v>
      </c>
      <c r="U590" t="s">
        <v>40</v>
      </c>
      <c r="V590" t="s">
        <v>41</v>
      </c>
    </row>
    <row r="591" spans="1:22" x14ac:dyDescent="0.3">
      <c r="A591" s="49">
        <v>45540</v>
      </c>
      <c r="B591" t="s">
        <v>965</v>
      </c>
      <c r="C591" t="s">
        <v>966</v>
      </c>
      <c r="D591" t="s">
        <v>24</v>
      </c>
      <c r="E591" t="s">
        <v>687</v>
      </c>
      <c r="F591" t="s">
        <v>688</v>
      </c>
      <c r="G591" t="s">
        <v>989</v>
      </c>
      <c r="H591" t="s">
        <v>28</v>
      </c>
      <c r="I591" t="s">
        <v>990</v>
      </c>
      <c r="J591" t="s">
        <v>63</v>
      </c>
      <c r="K591" t="s">
        <v>64</v>
      </c>
      <c r="L591" t="s">
        <v>32</v>
      </c>
      <c r="M591">
        <v>100</v>
      </c>
      <c r="N591" t="s">
        <v>49</v>
      </c>
      <c r="O591" t="s">
        <v>991</v>
      </c>
      <c r="P591" t="s">
        <v>106</v>
      </c>
      <c r="Q591" t="s">
        <v>992</v>
      </c>
      <c r="R591" t="s">
        <v>37</v>
      </c>
      <c r="S591" t="s">
        <v>993</v>
      </c>
      <c r="T591" t="s">
        <v>55</v>
      </c>
      <c r="U591" t="s">
        <v>56</v>
      </c>
      <c r="V591" t="s">
        <v>56</v>
      </c>
    </row>
    <row r="592" spans="1:22" x14ac:dyDescent="0.3">
      <c r="A592" s="49">
        <v>45540</v>
      </c>
      <c r="B592" t="s">
        <v>965</v>
      </c>
      <c r="C592" t="s">
        <v>966</v>
      </c>
      <c r="D592" t="s">
        <v>24</v>
      </c>
      <c r="E592" t="s">
        <v>687</v>
      </c>
      <c r="F592" t="s">
        <v>688</v>
      </c>
      <c r="G592" t="s">
        <v>989</v>
      </c>
      <c r="H592" t="s">
        <v>28</v>
      </c>
      <c r="I592" t="s">
        <v>990</v>
      </c>
      <c r="J592" t="s">
        <v>63</v>
      </c>
      <c r="K592" t="s">
        <v>64</v>
      </c>
      <c r="L592" t="s">
        <v>32</v>
      </c>
      <c r="M592">
        <v>100</v>
      </c>
      <c r="N592" t="s">
        <v>49</v>
      </c>
      <c r="O592" t="s">
        <v>991</v>
      </c>
      <c r="P592" t="s">
        <v>106</v>
      </c>
      <c r="Q592" t="s">
        <v>992</v>
      </c>
      <c r="R592" t="s">
        <v>37</v>
      </c>
      <c r="S592" t="s">
        <v>993</v>
      </c>
      <c r="T592" t="s">
        <v>55</v>
      </c>
      <c r="U592" t="s">
        <v>56</v>
      </c>
      <c r="V592" t="s">
        <v>56</v>
      </c>
    </row>
    <row r="593" spans="1:22" x14ac:dyDescent="0.3">
      <c r="A593" s="49">
        <v>45540</v>
      </c>
      <c r="B593" t="s">
        <v>965</v>
      </c>
      <c r="C593" t="s">
        <v>966</v>
      </c>
      <c r="D593" t="s">
        <v>24</v>
      </c>
      <c r="E593" t="s">
        <v>994</v>
      </c>
      <c r="F593" t="s">
        <v>995</v>
      </c>
      <c r="G593" t="s">
        <v>996</v>
      </c>
      <c r="H593" t="s">
        <v>28</v>
      </c>
      <c r="I593" t="s">
        <v>997</v>
      </c>
      <c r="J593" t="s">
        <v>46</v>
      </c>
      <c r="K593" t="s">
        <v>880</v>
      </c>
      <c r="L593" t="s">
        <v>32</v>
      </c>
      <c r="M593">
        <v>0</v>
      </c>
      <c r="N593" t="s">
        <v>74</v>
      </c>
      <c r="O593" t="s">
        <v>998</v>
      </c>
      <c r="P593" t="s">
        <v>999</v>
      </c>
      <c r="Q593" t="s">
        <v>1000</v>
      </c>
      <c r="R593" t="s">
        <v>200</v>
      </c>
      <c r="S593" t="s">
        <v>1001</v>
      </c>
      <c r="T593" t="s">
        <v>39</v>
      </c>
      <c r="U593" t="s">
        <v>40</v>
      </c>
      <c r="V593" t="s">
        <v>41</v>
      </c>
    </row>
    <row r="594" spans="1:22" x14ac:dyDescent="0.3">
      <c r="A594" s="49">
        <v>45540</v>
      </c>
      <c r="B594" t="s">
        <v>645</v>
      </c>
      <c r="C594" t="s">
        <v>646</v>
      </c>
      <c r="D594" t="s">
        <v>173</v>
      </c>
      <c r="E594" t="s">
        <v>1002</v>
      </c>
      <c r="F594" t="s">
        <v>1003</v>
      </c>
      <c r="G594" t="s">
        <v>1004</v>
      </c>
      <c r="H594" t="s">
        <v>28</v>
      </c>
      <c r="I594" t="s">
        <v>1005</v>
      </c>
      <c r="J594" t="s">
        <v>63</v>
      </c>
      <c r="K594" t="s">
        <v>119</v>
      </c>
      <c r="L594" t="s">
        <v>48</v>
      </c>
      <c r="M594">
        <v>100</v>
      </c>
      <c r="N594" t="s">
        <v>33</v>
      </c>
      <c r="P594" t="s">
        <v>873</v>
      </c>
      <c r="Q594" t="s">
        <v>1006</v>
      </c>
      <c r="R594" t="s">
        <v>53</v>
      </c>
      <c r="S594" t="s">
        <v>1007</v>
      </c>
      <c r="T594" t="s">
        <v>55</v>
      </c>
      <c r="U594" t="s">
        <v>56</v>
      </c>
      <c r="V594" t="s">
        <v>56</v>
      </c>
    </row>
    <row r="595" spans="1:22" x14ac:dyDescent="0.3">
      <c r="A595" s="49">
        <v>45540</v>
      </c>
      <c r="B595" t="s">
        <v>645</v>
      </c>
      <c r="C595" t="s">
        <v>646</v>
      </c>
      <c r="D595" t="s">
        <v>173</v>
      </c>
      <c r="E595" t="s">
        <v>1008</v>
      </c>
      <c r="F595" t="s">
        <v>1009</v>
      </c>
      <c r="G595" t="s">
        <v>1010</v>
      </c>
      <c r="H595" t="s">
        <v>28</v>
      </c>
      <c r="I595" t="s">
        <v>1011</v>
      </c>
      <c r="J595" t="s">
        <v>63</v>
      </c>
      <c r="K595" t="s">
        <v>119</v>
      </c>
      <c r="L595" t="s">
        <v>48</v>
      </c>
      <c r="M595">
        <v>65</v>
      </c>
      <c r="N595" t="s">
        <v>33</v>
      </c>
      <c r="P595" t="s">
        <v>58</v>
      </c>
      <c r="Q595" t="s">
        <v>1012</v>
      </c>
      <c r="R595" t="s">
        <v>1013</v>
      </c>
      <c r="S595" t="s">
        <v>1014</v>
      </c>
      <c r="T595" t="s">
        <v>55</v>
      </c>
      <c r="U595" t="s">
        <v>56</v>
      </c>
      <c r="V595" t="s">
        <v>56</v>
      </c>
    </row>
    <row r="596" spans="1:22" x14ac:dyDescent="0.3">
      <c r="A596" s="49">
        <v>45540</v>
      </c>
      <c r="B596" t="s">
        <v>645</v>
      </c>
      <c r="C596" t="s">
        <v>646</v>
      </c>
      <c r="D596" t="s">
        <v>24</v>
      </c>
      <c r="E596" t="s">
        <v>158</v>
      </c>
      <c r="F596" t="s">
        <v>159</v>
      </c>
      <c r="G596" t="s">
        <v>1015</v>
      </c>
      <c r="H596" t="s">
        <v>89</v>
      </c>
      <c r="I596" t="s">
        <v>1016</v>
      </c>
      <c r="J596" t="s">
        <v>63</v>
      </c>
      <c r="K596" t="s">
        <v>64</v>
      </c>
      <c r="L596" t="s">
        <v>464</v>
      </c>
      <c r="M596">
        <v>100</v>
      </c>
      <c r="N596" t="s">
        <v>49</v>
      </c>
      <c r="O596" t="s">
        <v>1017</v>
      </c>
      <c r="P596" t="s">
        <v>1018</v>
      </c>
      <c r="Q596" t="s">
        <v>491</v>
      </c>
      <c r="R596" t="s">
        <v>337</v>
      </c>
      <c r="S596" t="s">
        <v>1019</v>
      </c>
      <c r="T596" t="s">
        <v>55</v>
      </c>
      <c r="U596" t="s">
        <v>56</v>
      </c>
      <c r="V596" t="s">
        <v>56</v>
      </c>
    </row>
    <row r="597" spans="1:22" x14ac:dyDescent="0.3">
      <c r="A597" s="49">
        <v>45540</v>
      </c>
      <c r="B597" t="s">
        <v>645</v>
      </c>
      <c r="C597" t="s">
        <v>646</v>
      </c>
      <c r="D597" t="s">
        <v>24</v>
      </c>
      <c r="E597" t="s">
        <v>174</v>
      </c>
      <c r="F597" t="s">
        <v>175</v>
      </c>
      <c r="G597" t="s">
        <v>1020</v>
      </c>
      <c r="H597" t="s">
        <v>89</v>
      </c>
      <c r="J597" t="s">
        <v>63</v>
      </c>
      <c r="K597" t="s">
        <v>119</v>
      </c>
      <c r="L597" t="s">
        <v>48</v>
      </c>
      <c r="M597">
        <v>15</v>
      </c>
      <c r="N597" t="s">
        <v>49</v>
      </c>
      <c r="P597" t="s">
        <v>85</v>
      </c>
      <c r="Q597" t="s">
        <v>232</v>
      </c>
      <c r="R597" t="s">
        <v>53</v>
      </c>
      <c r="S597" t="s">
        <v>763</v>
      </c>
      <c r="T597" t="s">
        <v>55</v>
      </c>
      <c r="U597" t="s">
        <v>56</v>
      </c>
      <c r="V597" t="s">
        <v>56</v>
      </c>
    </row>
    <row r="598" spans="1:22" x14ac:dyDescent="0.3">
      <c r="A598" s="49">
        <v>45540</v>
      </c>
      <c r="B598" t="s">
        <v>965</v>
      </c>
      <c r="C598" t="s">
        <v>966</v>
      </c>
      <c r="D598" t="s">
        <v>24</v>
      </c>
      <c r="E598" t="s">
        <v>180</v>
      </c>
      <c r="F598" t="s">
        <v>181</v>
      </c>
      <c r="G598" t="s">
        <v>1021</v>
      </c>
      <c r="H598" t="s">
        <v>28</v>
      </c>
      <c r="I598" t="s">
        <v>1022</v>
      </c>
      <c r="J598" t="s">
        <v>46</v>
      </c>
      <c r="K598" t="s">
        <v>880</v>
      </c>
      <c r="L598" t="s">
        <v>32</v>
      </c>
      <c r="M598">
        <v>5</v>
      </c>
      <c r="N598" t="s">
        <v>33</v>
      </c>
      <c r="O598" t="s">
        <v>1023</v>
      </c>
      <c r="P598" t="s">
        <v>306</v>
      </c>
      <c r="Q598" t="s">
        <v>1024</v>
      </c>
      <c r="R598" t="s">
        <v>37</v>
      </c>
      <c r="S598" t="s">
        <v>1025</v>
      </c>
      <c r="T598" t="s">
        <v>1026</v>
      </c>
      <c r="U598" t="s">
        <v>40</v>
      </c>
      <c r="V598" t="s">
        <v>41</v>
      </c>
    </row>
    <row r="599" spans="1:22" x14ac:dyDescent="0.3">
      <c r="A599" s="49">
        <v>45540</v>
      </c>
      <c r="B599" t="s">
        <v>965</v>
      </c>
      <c r="C599" t="s">
        <v>966</v>
      </c>
      <c r="D599" t="s">
        <v>173</v>
      </c>
      <c r="E599" t="s">
        <v>1027</v>
      </c>
      <c r="F599" t="s">
        <v>1028</v>
      </c>
      <c r="G599" t="s">
        <v>1029</v>
      </c>
      <c r="H599" t="s">
        <v>89</v>
      </c>
      <c r="I599" t="s">
        <v>1030</v>
      </c>
      <c r="J599" t="s">
        <v>63</v>
      </c>
      <c r="K599" t="s">
        <v>211</v>
      </c>
      <c r="L599" t="s">
        <v>32</v>
      </c>
      <c r="M599">
        <v>100</v>
      </c>
      <c r="N599" t="s">
        <v>49</v>
      </c>
      <c r="O599" t="s">
        <v>1031</v>
      </c>
      <c r="P599" t="s">
        <v>58</v>
      </c>
      <c r="Q599" t="s">
        <v>1032</v>
      </c>
      <c r="R599" t="s">
        <v>37</v>
      </c>
      <c r="S599" t="s">
        <v>1033</v>
      </c>
      <c r="T599" t="s">
        <v>55</v>
      </c>
      <c r="U599" t="s">
        <v>56</v>
      </c>
      <c r="V599" t="s">
        <v>56</v>
      </c>
    </row>
    <row r="600" spans="1:22" x14ac:dyDescent="0.3">
      <c r="A600" s="49">
        <v>45540</v>
      </c>
      <c r="B600" t="s">
        <v>965</v>
      </c>
      <c r="C600" t="s">
        <v>966</v>
      </c>
      <c r="D600" t="s">
        <v>173</v>
      </c>
      <c r="E600" t="s">
        <v>1027</v>
      </c>
      <c r="F600" t="s">
        <v>1028</v>
      </c>
      <c r="G600" t="s">
        <v>1029</v>
      </c>
      <c r="H600" t="s">
        <v>89</v>
      </c>
      <c r="I600" t="s">
        <v>1030</v>
      </c>
      <c r="J600" t="s">
        <v>63</v>
      </c>
      <c r="K600" t="s">
        <v>211</v>
      </c>
      <c r="L600" t="s">
        <v>32</v>
      </c>
      <c r="M600">
        <v>100</v>
      </c>
      <c r="N600" t="s">
        <v>49</v>
      </c>
      <c r="O600" t="s">
        <v>1031</v>
      </c>
      <c r="P600" t="s">
        <v>58</v>
      </c>
      <c r="Q600" t="s">
        <v>1032</v>
      </c>
      <c r="R600" t="s">
        <v>37</v>
      </c>
      <c r="S600" t="s">
        <v>1033</v>
      </c>
      <c r="T600" t="s">
        <v>55</v>
      </c>
      <c r="U600" t="s">
        <v>56</v>
      </c>
      <c r="V600" t="s">
        <v>56</v>
      </c>
    </row>
    <row r="601" spans="1:22" x14ac:dyDescent="0.3">
      <c r="A601" s="49">
        <v>45540</v>
      </c>
      <c r="B601" t="s">
        <v>645</v>
      </c>
      <c r="C601" t="s">
        <v>646</v>
      </c>
      <c r="D601" t="s">
        <v>24</v>
      </c>
      <c r="E601" t="s">
        <v>1034</v>
      </c>
      <c r="F601" t="s">
        <v>1035</v>
      </c>
      <c r="G601" t="s">
        <v>1036</v>
      </c>
      <c r="H601" t="s">
        <v>28</v>
      </c>
      <c r="I601" t="s">
        <v>1037</v>
      </c>
      <c r="J601" t="s">
        <v>63</v>
      </c>
      <c r="K601" t="s">
        <v>119</v>
      </c>
      <c r="L601" t="s">
        <v>48</v>
      </c>
      <c r="M601">
        <v>0</v>
      </c>
      <c r="N601" t="s">
        <v>49</v>
      </c>
      <c r="P601" t="s">
        <v>651</v>
      </c>
      <c r="Q601" t="s">
        <v>232</v>
      </c>
      <c r="R601" t="s">
        <v>53</v>
      </c>
      <c r="S601" t="s">
        <v>1038</v>
      </c>
      <c r="T601" t="s">
        <v>55</v>
      </c>
      <c r="U601" t="s">
        <v>56</v>
      </c>
      <c r="V601" t="s">
        <v>56</v>
      </c>
    </row>
    <row r="602" spans="1:22" x14ac:dyDescent="0.3">
      <c r="A602" s="49">
        <v>45540</v>
      </c>
      <c r="B602" t="s">
        <v>965</v>
      </c>
      <c r="C602" t="s">
        <v>966</v>
      </c>
      <c r="D602" t="s">
        <v>24</v>
      </c>
      <c r="E602" t="s">
        <v>1034</v>
      </c>
      <c r="F602" t="s">
        <v>1035</v>
      </c>
      <c r="G602" t="s">
        <v>1039</v>
      </c>
      <c r="H602" t="s">
        <v>28</v>
      </c>
      <c r="I602" t="s">
        <v>1040</v>
      </c>
      <c r="J602" t="s">
        <v>63</v>
      </c>
      <c r="K602" t="s">
        <v>64</v>
      </c>
      <c r="L602" t="s">
        <v>32</v>
      </c>
      <c r="M602">
        <v>100</v>
      </c>
      <c r="N602" t="s">
        <v>49</v>
      </c>
      <c r="O602" t="s">
        <v>1041</v>
      </c>
      <c r="P602" t="s">
        <v>58</v>
      </c>
      <c r="Q602" t="s">
        <v>1038</v>
      </c>
      <c r="R602" t="s">
        <v>37</v>
      </c>
      <c r="S602" t="s">
        <v>1038</v>
      </c>
      <c r="T602" t="s">
        <v>55</v>
      </c>
      <c r="U602" t="s">
        <v>56</v>
      </c>
      <c r="V602" t="s">
        <v>56</v>
      </c>
    </row>
    <row r="603" spans="1:22" x14ac:dyDescent="0.3">
      <c r="A603" s="49">
        <v>45540</v>
      </c>
      <c r="B603" t="s">
        <v>965</v>
      </c>
      <c r="C603" t="s">
        <v>966</v>
      </c>
      <c r="D603" t="s">
        <v>24</v>
      </c>
      <c r="E603" t="s">
        <v>227</v>
      </c>
      <c r="F603" t="s">
        <v>228</v>
      </c>
      <c r="G603" t="s">
        <v>1042</v>
      </c>
      <c r="H603" t="s">
        <v>28</v>
      </c>
      <c r="I603" t="s">
        <v>1043</v>
      </c>
      <c r="J603" t="s">
        <v>63</v>
      </c>
      <c r="K603" t="s">
        <v>64</v>
      </c>
      <c r="L603" t="s">
        <v>32</v>
      </c>
      <c r="M603">
        <v>100</v>
      </c>
      <c r="N603" t="s">
        <v>33</v>
      </c>
      <c r="O603" t="s">
        <v>1044</v>
      </c>
      <c r="P603" t="s">
        <v>306</v>
      </c>
      <c r="R603" t="s">
        <v>37</v>
      </c>
      <c r="S603" t="s">
        <v>1045</v>
      </c>
      <c r="T603" t="s">
        <v>55</v>
      </c>
      <c r="U603" t="s">
        <v>56</v>
      </c>
      <c r="V603" t="s">
        <v>56</v>
      </c>
    </row>
    <row r="604" spans="1:22" x14ac:dyDescent="0.3">
      <c r="A604" s="49">
        <v>45540</v>
      </c>
      <c r="B604" t="s">
        <v>965</v>
      </c>
      <c r="C604" t="s">
        <v>966</v>
      </c>
      <c r="D604" t="s">
        <v>24</v>
      </c>
      <c r="E604" t="s">
        <v>227</v>
      </c>
      <c r="F604" t="s">
        <v>228</v>
      </c>
      <c r="G604" t="s">
        <v>1042</v>
      </c>
      <c r="H604" t="s">
        <v>28</v>
      </c>
      <c r="I604" t="s">
        <v>1043</v>
      </c>
      <c r="J604" t="s">
        <v>63</v>
      </c>
      <c r="K604" t="s">
        <v>64</v>
      </c>
      <c r="L604" t="s">
        <v>32</v>
      </c>
      <c r="M604">
        <v>100</v>
      </c>
      <c r="N604" t="s">
        <v>33</v>
      </c>
      <c r="O604" t="s">
        <v>1044</v>
      </c>
      <c r="P604" t="s">
        <v>306</v>
      </c>
      <c r="R604" t="s">
        <v>37</v>
      </c>
      <c r="S604" t="s">
        <v>1045</v>
      </c>
      <c r="T604" t="s">
        <v>55</v>
      </c>
      <c r="U604" t="s">
        <v>56</v>
      </c>
      <c r="V604" t="s">
        <v>56</v>
      </c>
    </row>
    <row r="605" spans="1:22" x14ac:dyDescent="0.3">
      <c r="A605" s="49">
        <v>45540</v>
      </c>
      <c r="B605" t="s">
        <v>965</v>
      </c>
      <c r="C605" t="s">
        <v>966</v>
      </c>
      <c r="D605" t="s">
        <v>24</v>
      </c>
      <c r="E605" t="s">
        <v>234</v>
      </c>
      <c r="F605" t="s">
        <v>235</v>
      </c>
      <c r="G605" t="s">
        <v>1046</v>
      </c>
      <c r="H605" t="s">
        <v>28</v>
      </c>
      <c r="I605" t="s">
        <v>1047</v>
      </c>
      <c r="J605" t="s">
        <v>63</v>
      </c>
      <c r="K605" t="s">
        <v>64</v>
      </c>
      <c r="L605" t="s">
        <v>32</v>
      </c>
      <c r="M605">
        <v>100</v>
      </c>
      <c r="N605" t="s">
        <v>33</v>
      </c>
      <c r="O605" t="s">
        <v>1048</v>
      </c>
      <c r="P605" t="s">
        <v>205</v>
      </c>
      <c r="Q605" t="s">
        <v>1049</v>
      </c>
      <c r="R605" t="s">
        <v>37</v>
      </c>
      <c r="S605" t="s">
        <v>1050</v>
      </c>
      <c r="T605" t="s">
        <v>55</v>
      </c>
      <c r="U605" t="s">
        <v>56</v>
      </c>
      <c r="V605" t="s">
        <v>56</v>
      </c>
    </row>
    <row r="606" spans="1:22" x14ac:dyDescent="0.3">
      <c r="A606" s="49">
        <v>45540</v>
      </c>
      <c r="B606" t="s">
        <v>645</v>
      </c>
      <c r="C606" t="s">
        <v>646</v>
      </c>
      <c r="D606" t="s">
        <v>173</v>
      </c>
      <c r="E606" t="s">
        <v>260</v>
      </c>
      <c r="F606" t="s">
        <v>261</v>
      </c>
      <c r="G606" t="s">
        <v>1051</v>
      </c>
      <c r="H606" t="s">
        <v>28</v>
      </c>
      <c r="I606" t="s">
        <v>1052</v>
      </c>
      <c r="J606" t="s">
        <v>30</v>
      </c>
      <c r="K606" t="s">
        <v>274</v>
      </c>
      <c r="L606" t="s">
        <v>1053</v>
      </c>
      <c r="M606">
        <v>77</v>
      </c>
      <c r="N606" t="s">
        <v>33</v>
      </c>
      <c r="P606" t="s">
        <v>1054</v>
      </c>
      <c r="Q606" t="s">
        <v>1055</v>
      </c>
      <c r="R606" t="s">
        <v>1056</v>
      </c>
      <c r="S606" t="s">
        <v>1057</v>
      </c>
      <c r="T606" t="s">
        <v>55</v>
      </c>
      <c r="U606" t="s">
        <v>56</v>
      </c>
      <c r="V606" t="s">
        <v>56</v>
      </c>
    </row>
    <row r="607" spans="1:22" x14ac:dyDescent="0.3">
      <c r="A607" s="49">
        <v>45540</v>
      </c>
      <c r="B607" t="s">
        <v>645</v>
      </c>
      <c r="C607" t="s">
        <v>646</v>
      </c>
      <c r="D607" t="s">
        <v>173</v>
      </c>
      <c r="E607" t="s">
        <v>1058</v>
      </c>
      <c r="F607" t="s">
        <v>1059</v>
      </c>
      <c r="G607" t="s">
        <v>1060</v>
      </c>
      <c r="H607" t="s">
        <v>28</v>
      </c>
      <c r="I607" t="s">
        <v>1061</v>
      </c>
      <c r="J607" t="s">
        <v>30</v>
      </c>
      <c r="K607" t="s">
        <v>274</v>
      </c>
      <c r="L607" t="s">
        <v>48</v>
      </c>
      <c r="M607">
        <v>66</v>
      </c>
      <c r="N607" t="s">
        <v>33</v>
      </c>
      <c r="P607" t="s">
        <v>1054</v>
      </c>
      <c r="Q607" t="s">
        <v>1062</v>
      </c>
      <c r="R607" t="s">
        <v>53</v>
      </c>
      <c r="S607" t="s">
        <v>1063</v>
      </c>
      <c r="T607" t="s">
        <v>55</v>
      </c>
      <c r="U607" t="s">
        <v>56</v>
      </c>
      <c r="V607" t="s">
        <v>56</v>
      </c>
    </row>
    <row r="608" spans="1:22" x14ac:dyDescent="0.3">
      <c r="A608" s="49">
        <v>45540</v>
      </c>
      <c r="B608" t="s">
        <v>645</v>
      </c>
      <c r="C608" t="s">
        <v>646</v>
      </c>
      <c r="D608" t="s">
        <v>24</v>
      </c>
      <c r="E608" t="s">
        <v>1064</v>
      </c>
      <c r="F608" t="s">
        <v>1065</v>
      </c>
      <c r="G608" t="s">
        <v>1066</v>
      </c>
      <c r="H608" t="s">
        <v>89</v>
      </c>
      <c r="I608" t="s">
        <v>1067</v>
      </c>
      <c r="J608" t="s">
        <v>63</v>
      </c>
      <c r="K608" t="s">
        <v>64</v>
      </c>
      <c r="L608" t="s">
        <v>464</v>
      </c>
      <c r="M608">
        <v>100</v>
      </c>
      <c r="N608" t="s">
        <v>49</v>
      </c>
      <c r="O608" t="s">
        <v>1068</v>
      </c>
      <c r="P608" t="s">
        <v>558</v>
      </c>
      <c r="Q608" t="s">
        <v>1069</v>
      </c>
      <c r="R608" t="s">
        <v>316</v>
      </c>
      <c r="S608" t="s">
        <v>1070</v>
      </c>
      <c r="T608" t="s">
        <v>55</v>
      </c>
      <c r="U608" t="s">
        <v>56</v>
      </c>
      <c r="V608" t="s">
        <v>56</v>
      </c>
    </row>
    <row r="609" spans="1:22" x14ac:dyDescent="0.3">
      <c r="A609" s="49">
        <v>45540</v>
      </c>
      <c r="B609" t="s">
        <v>645</v>
      </c>
      <c r="C609" t="s">
        <v>646</v>
      </c>
      <c r="D609" t="s">
        <v>24</v>
      </c>
      <c r="E609" t="s">
        <v>1071</v>
      </c>
      <c r="F609" t="s">
        <v>1072</v>
      </c>
      <c r="G609" t="s">
        <v>1073</v>
      </c>
      <c r="H609" t="s">
        <v>89</v>
      </c>
      <c r="J609" t="s">
        <v>63</v>
      </c>
      <c r="K609" t="s">
        <v>119</v>
      </c>
      <c r="L609" t="s">
        <v>48</v>
      </c>
      <c r="M609">
        <v>15</v>
      </c>
      <c r="N609" t="s">
        <v>33</v>
      </c>
      <c r="P609" t="s">
        <v>743</v>
      </c>
      <c r="Q609" t="s">
        <v>1074</v>
      </c>
      <c r="R609" t="s">
        <v>53</v>
      </c>
      <c r="S609" t="s">
        <v>1075</v>
      </c>
      <c r="T609" t="s">
        <v>55</v>
      </c>
      <c r="U609" t="s">
        <v>56</v>
      </c>
      <c r="V609" t="s">
        <v>56</v>
      </c>
    </row>
    <row r="610" spans="1:22" x14ac:dyDescent="0.3">
      <c r="A610" s="49">
        <v>45540</v>
      </c>
      <c r="B610" t="s">
        <v>645</v>
      </c>
      <c r="C610" t="s">
        <v>646</v>
      </c>
      <c r="D610" t="s">
        <v>173</v>
      </c>
      <c r="E610" t="s">
        <v>1076</v>
      </c>
      <c r="F610" t="s">
        <v>1077</v>
      </c>
      <c r="G610" t="s">
        <v>1078</v>
      </c>
      <c r="H610" t="s">
        <v>28</v>
      </c>
      <c r="I610" t="s">
        <v>1079</v>
      </c>
      <c r="J610" t="s">
        <v>63</v>
      </c>
      <c r="K610" t="s">
        <v>119</v>
      </c>
      <c r="L610" t="s">
        <v>48</v>
      </c>
      <c r="M610">
        <v>50</v>
      </c>
      <c r="N610" t="s">
        <v>49</v>
      </c>
      <c r="P610" t="s">
        <v>106</v>
      </c>
      <c r="Q610" t="s">
        <v>1080</v>
      </c>
      <c r="R610" t="s">
        <v>53</v>
      </c>
      <c r="S610" t="s">
        <v>1081</v>
      </c>
      <c r="T610" t="s">
        <v>55</v>
      </c>
      <c r="U610" t="s">
        <v>56</v>
      </c>
      <c r="V610" t="s">
        <v>56</v>
      </c>
    </row>
    <row r="611" spans="1:22" x14ac:dyDescent="0.3">
      <c r="A611" s="49">
        <v>45540</v>
      </c>
      <c r="B611" t="s">
        <v>965</v>
      </c>
      <c r="C611" t="s">
        <v>966</v>
      </c>
      <c r="D611" t="s">
        <v>24</v>
      </c>
      <c r="E611" t="s">
        <v>1082</v>
      </c>
      <c r="F611" t="s">
        <v>1083</v>
      </c>
      <c r="G611" t="s">
        <v>1084</v>
      </c>
      <c r="H611" t="s">
        <v>28</v>
      </c>
      <c r="I611" t="s">
        <v>1085</v>
      </c>
      <c r="J611" t="s">
        <v>63</v>
      </c>
      <c r="K611" t="s">
        <v>197</v>
      </c>
      <c r="L611" t="s">
        <v>32</v>
      </c>
      <c r="M611">
        <v>100</v>
      </c>
      <c r="N611" t="s">
        <v>33</v>
      </c>
      <c r="O611" t="s">
        <v>1082</v>
      </c>
      <c r="P611" t="s">
        <v>104</v>
      </c>
      <c r="Q611" t="s">
        <v>1086</v>
      </c>
      <c r="R611" t="s">
        <v>37</v>
      </c>
      <c r="S611" t="s">
        <v>1087</v>
      </c>
      <c r="T611" t="s">
        <v>55</v>
      </c>
      <c r="U611" t="s">
        <v>56</v>
      </c>
      <c r="V611" t="s">
        <v>56</v>
      </c>
    </row>
    <row r="612" spans="1:22" x14ac:dyDescent="0.3">
      <c r="A612" s="49">
        <v>45540</v>
      </c>
      <c r="B612" t="s">
        <v>965</v>
      </c>
      <c r="C612" t="s">
        <v>966</v>
      </c>
      <c r="D612" t="s">
        <v>24</v>
      </c>
      <c r="E612" t="s">
        <v>1088</v>
      </c>
      <c r="F612" t="s">
        <v>1089</v>
      </c>
      <c r="G612" t="s">
        <v>1090</v>
      </c>
      <c r="H612" t="s">
        <v>28</v>
      </c>
      <c r="I612" t="s">
        <v>1091</v>
      </c>
      <c r="J612" t="s">
        <v>30</v>
      </c>
      <c r="K612" t="s">
        <v>1092</v>
      </c>
      <c r="L612" t="s">
        <v>32</v>
      </c>
      <c r="M612">
        <v>0</v>
      </c>
      <c r="N612" t="s">
        <v>49</v>
      </c>
      <c r="O612" t="s">
        <v>1093</v>
      </c>
      <c r="P612" t="s">
        <v>1094</v>
      </c>
      <c r="Q612" t="s">
        <v>1095</v>
      </c>
      <c r="R612" t="s">
        <v>37</v>
      </c>
      <c r="S612" t="s">
        <v>1096</v>
      </c>
      <c r="T612" t="s">
        <v>55</v>
      </c>
      <c r="U612" t="s">
        <v>56</v>
      </c>
      <c r="V612" t="s">
        <v>56</v>
      </c>
    </row>
    <row r="613" spans="1:22" x14ac:dyDescent="0.3">
      <c r="A613" s="49">
        <v>45540</v>
      </c>
      <c r="B613" t="s">
        <v>965</v>
      </c>
      <c r="C613" t="s">
        <v>966</v>
      </c>
      <c r="D613" t="s">
        <v>24</v>
      </c>
      <c r="E613" t="s">
        <v>1097</v>
      </c>
      <c r="F613" t="s">
        <v>1098</v>
      </c>
      <c r="G613" t="s">
        <v>1099</v>
      </c>
      <c r="H613" t="s">
        <v>28</v>
      </c>
      <c r="I613" t="s">
        <v>1100</v>
      </c>
      <c r="J613" t="s">
        <v>30</v>
      </c>
      <c r="K613" t="s">
        <v>1101</v>
      </c>
      <c r="L613" t="s">
        <v>1102</v>
      </c>
      <c r="M613">
        <v>0</v>
      </c>
      <c r="N613" t="s">
        <v>74</v>
      </c>
      <c r="O613" t="s">
        <v>1103</v>
      </c>
      <c r="P613" t="s">
        <v>572</v>
      </c>
      <c r="Q613" t="s">
        <v>1104</v>
      </c>
      <c r="R613" t="s">
        <v>1105</v>
      </c>
      <c r="S613" t="s">
        <v>1106</v>
      </c>
      <c r="T613" t="s">
        <v>55</v>
      </c>
      <c r="U613" t="s">
        <v>56</v>
      </c>
      <c r="V613" t="s">
        <v>56</v>
      </c>
    </row>
    <row r="614" spans="1:22" x14ac:dyDescent="0.3">
      <c r="A614" s="49">
        <v>45540</v>
      </c>
      <c r="B614" t="s">
        <v>965</v>
      </c>
      <c r="C614" t="s">
        <v>966</v>
      </c>
      <c r="D614" t="s">
        <v>24</v>
      </c>
      <c r="E614" t="s">
        <v>1107</v>
      </c>
      <c r="F614" t="s">
        <v>624</v>
      </c>
      <c r="G614" t="s">
        <v>1108</v>
      </c>
      <c r="H614" t="s">
        <v>28</v>
      </c>
      <c r="I614" t="s">
        <v>1109</v>
      </c>
      <c r="J614" t="s">
        <v>63</v>
      </c>
      <c r="K614" t="s">
        <v>197</v>
      </c>
      <c r="L614" t="s">
        <v>32</v>
      </c>
      <c r="M614">
        <v>100</v>
      </c>
      <c r="N614" t="s">
        <v>33</v>
      </c>
      <c r="O614" t="s">
        <v>1110</v>
      </c>
      <c r="P614" t="s">
        <v>85</v>
      </c>
      <c r="Q614" t="s">
        <v>1111</v>
      </c>
      <c r="R614" t="s">
        <v>37</v>
      </c>
      <c r="S614" t="s">
        <v>1112</v>
      </c>
      <c r="T614" t="s">
        <v>55</v>
      </c>
      <c r="U614" t="s">
        <v>56</v>
      </c>
      <c r="V614" t="s">
        <v>56</v>
      </c>
    </row>
    <row r="615" spans="1:22" x14ac:dyDescent="0.3">
      <c r="A615" s="49">
        <v>45540</v>
      </c>
      <c r="B615" t="s">
        <v>645</v>
      </c>
      <c r="C615" t="s">
        <v>646</v>
      </c>
      <c r="D615" t="s">
        <v>173</v>
      </c>
      <c r="E615" t="s">
        <v>832</v>
      </c>
      <c r="F615" t="s">
        <v>576</v>
      </c>
      <c r="G615" t="s">
        <v>1113</v>
      </c>
      <c r="H615" t="s">
        <v>28</v>
      </c>
      <c r="I615" t="s">
        <v>1114</v>
      </c>
      <c r="J615" t="s">
        <v>63</v>
      </c>
      <c r="K615" t="s">
        <v>119</v>
      </c>
      <c r="L615" t="s">
        <v>48</v>
      </c>
      <c r="M615">
        <v>40</v>
      </c>
      <c r="N615" t="s">
        <v>49</v>
      </c>
      <c r="O615" t="s">
        <v>1115</v>
      </c>
      <c r="P615" t="s">
        <v>1116</v>
      </c>
      <c r="Q615" t="s">
        <v>1117</v>
      </c>
      <c r="R615" t="s">
        <v>53</v>
      </c>
      <c r="S615" t="s">
        <v>1118</v>
      </c>
      <c r="T615" t="s">
        <v>55</v>
      </c>
      <c r="U615" t="s">
        <v>56</v>
      </c>
      <c r="V615" t="s">
        <v>56</v>
      </c>
    </row>
    <row r="616" spans="1:22" x14ac:dyDescent="0.3">
      <c r="A616" s="49">
        <v>45540</v>
      </c>
      <c r="B616" t="s">
        <v>645</v>
      </c>
      <c r="C616" t="s">
        <v>646</v>
      </c>
      <c r="D616" t="s">
        <v>24</v>
      </c>
      <c r="E616" t="s">
        <v>361</v>
      </c>
      <c r="F616" t="s">
        <v>362</v>
      </c>
      <c r="G616" t="s">
        <v>1119</v>
      </c>
      <c r="H616" t="s">
        <v>89</v>
      </c>
      <c r="I616" t="s">
        <v>1120</v>
      </c>
      <c r="J616" t="s">
        <v>63</v>
      </c>
      <c r="K616" t="s">
        <v>98</v>
      </c>
      <c r="L616" t="s">
        <v>48</v>
      </c>
      <c r="M616">
        <v>100</v>
      </c>
      <c r="N616" t="s">
        <v>49</v>
      </c>
      <c r="O616" t="s">
        <v>1121</v>
      </c>
      <c r="P616" t="s">
        <v>1122</v>
      </c>
      <c r="Q616" t="s">
        <v>1123</v>
      </c>
      <c r="R616" t="s">
        <v>614</v>
      </c>
      <c r="S616" t="s">
        <v>1124</v>
      </c>
      <c r="T616" t="s">
        <v>39</v>
      </c>
      <c r="U616" t="s">
        <v>40</v>
      </c>
      <c r="V616" t="s">
        <v>41</v>
      </c>
    </row>
    <row r="617" spans="1:22" x14ac:dyDescent="0.3">
      <c r="A617" s="49">
        <v>45540</v>
      </c>
      <c r="B617" t="s">
        <v>965</v>
      </c>
      <c r="C617" t="s">
        <v>966</v>
      </c>
      <c r="D617" t="s">
        <v>24</v>
      </c>
      <c r="E617" t="s">
        <v>1125</v>
      </c>
      <c r="F617" t="s">
        <v>1126</v>
      </c>
      <c r="G617" t="s">
        <v>1127</v>
      </c>
      <c r="H617" t="s">
        <v>28</v>
      </c>
      <c r="I617" t="s">
        <v>1128</v>
      </c>
      <c r="J617" t="s">
        <v>63</v>
      </c>
      <c r="K617" t="s">
        <v>64</v>
      </c>
      <c r="L617" t="s">
        <v>32</v>
      </c>
      <c r="M617">
        <v>100</v>
      </c>
      <c r="N617" t="s">
        <v>33</v>
      </c>
      <c r="O617" t="s">
        <v>1129</v>
      </c>
      <c r="P617" t="s">
        <v>58</v>
      </c>
      <c r="Q617" t="s">
        <v>178</v>
      </c>
      <c r="R617" t="s">
        <v>37</v>
      </c>
      <c r="S617" t="s">
        <v>1130</v>
      </c>
      <c r="T617" t="s">
        <v>55</v>
      </c>
      <c r="U617" t="s">
        <v>56</v>
      </c>
      <c r="V617" t="s">
        <v>56</v>
      </c>
    </row>
    <row r="618" spans="1:22" x14ac:dyDescent="0.3">
      <c r="A618" s="49">
        <v>45540</v>
      </c>
      <c r="B618" t="s">
        <v>965</v>
      </c>
      <c r="C618" t="s">
        <v>966</v>
      </c>
      <c r="D618" t="s">
        <v>24</v>
      </c>
      <c r="E618" t="s">
        <v>1125</v>
      </c>
      <c r="F618" t="s">
        <v>1126</v>
      </c>
      <c r="G618" t="s">
        <v>1127</v>
      </c>
      <c r="H618" t="s">
        <v>28</v>
      </c>
      <c r="I618" t="s">
        <v>1128</v>
      </c>
      <c r="J618" t="s">
        <v>63</v>
      </c>
      <c r="K618" t="s">
        <v>64</v>
      </c>
      <c r="L618" t="s">
        <v>32</v>
      </c>
      <c r="M618">
        <v>100</v>
      </c>
      <c r="N618" t="s">
        <v>33</v>
      </c>
      <c r="O618" t="s">
        <v>1129</v>
      </c>
      <c r="P618" t="s">
        <v>58</v>
      </c>
      <c r="Q618" t="s">
        <v>178</v>
      </c>
      <c r="R618" t="s">
        <v>37</v>
      </c>
      <c r="S618" t="s">
        <v>1130</v>
      </c>
      <c r="T618" t="s">
        <v>55</v>
      </c>
      <c r="U618" t="s">
        <v>56</v>
      </c>
      <c r="V618" t="s">
        <v>56</v>
      </c>
    </row>
    <row r="619" spans="1:22" x14ac:dyDescent="0.3">
      <c r="A619" s="49">
        <v>45540</v>
      </c>
      <c r="B619" t="s">
        <v>645</v>
      </c>
      <c r="C619" t="s">
        <v>646</v>
      </c>
      <c r="D619" t="s">
        <v>24</v>
      </c>
      <c r="E619" t="s">
        <v>1131</v>
      </c>
      <c r="F619" t="s">
        <v>1132</v>
      </c>
      <c r="G619" t="s">
        <v>1133</v>
      </c>
      <c r="H619" t="s">
        <v>89</v>
      </c>
      <c r="J619" t="s">
        <v>63</v>
      </c>
      <c r="K619" t="s">
        <v>64</v>
      </c>
      <c r="L619" t="s">
        <v>464</v>
      </c>
      <c r="M619">
        <v>0</v>
      </c>
      <c r="N619" t="s">
        <v>74</v>
      </c>
      <c r="O619" t="s">
        <v>1134</v>
      </c>
      <c r="P619" t="s">
        <v>76</v>
      </c>
      <c r="Q619" t="s">
        <v>491</v>
      </c>
      <c r="R619" t="s">
        <v>337</v>
      </c>
      <c r="S619" t="s">
        <v>1135</v>
      </c>
      <c r="T619" t="s">
        <v>55</v>
      </c>
      <c r="U619" t="s">
        <v>56</v>
      </c>
      <c r="V619" t="s">
        <v>56</v>
      </c>
    </row>
    <row r="620" spans="1:22" x14ac:dyDescent="0.3">
      <c r="A620" s="49">
        <v>45540</v>
      </c>
      <c r="B620" t="s">
        <v>965</v>
      </c>
      <c r="C620" t="s">
        <v>966</v>
      </c>
      <c r="D620" t="s">
        <v>24</v>
      </c>
      <c r="E620" t="s">
        <v>1136</v>
      </c>
      <c r="F620" t="s">
        <v>1137</v>
      </c>
      <c r="G620" t="s">
        <v>1138</v>
      </c>
      <c r="H620" t="s">
        <v>28</v>
      </c>
      <c r="I620" t="s">
        <v>1139</v>
      </c>
      <c r="J620" t="s">
        <v>30</v>
      </c>
      <c r="K620" t="s">
        <v>31</v>
      </c>
      <c r="L620" t="s">
        <v>265</v>
      </c>
      <c r="M620">
        <v>85</v>
      </c>
      <c r="N620" t="s">
        <v>49</v>
      </c>
      <c r="O620" t="s">
        <v>1140</v>
      </c>
      <c r="P620" t="s">
        <v>1141</v>
      </c>
      <c r="Q620" t="s">
        <v>1142</v>
      </c>
      <c r="R620" t="s">
        <v>37</v>
      </c>
      <c r="S620" t="s">
        <v>1143</v>
      </c>
      <c r="T620" t="s">
        <v>39</v>
      </c>
      <c r="U620" t="s">
        <v>40</v>
      </c>
      <c r="V620" t="s">
        <v>41</v>
      </c>
    </row>
    <row r="621" spans="1:22" x14ac:dyDescent="0.3">
      <c r="A621" s="49">
        <v>45540</v>
      </c>
      <c r="B621" t="s">
        <v>645</v>
      </c>
      <c r="C621" t="s">
        <v>646</v>
      </c>
      <c r="D621" t="s">
        <v>173</v>
      </c>
      <c r="E621" t="s">
        <v>862</v>
      </c>
      <c r="F621" t="s">
        <v>863</v>
      </c>
      <c r="G621" t="s">
        <v>1144</v>
      </c>
      <c r="H621" t="s">
        <v>28</v>
      </c>
      <c r="I621" t="s">
        <v>1145</v>
      </c>
      <c r="J621" t="s">
        <v>63</v>
      </c>
      <c r="K621" t="s">
        <v>119</v>
      </c>
      <c r="L621" t="s">
        <v>48</v>
      </c>
      <c r="M621">
        <v>85</v>
      </c>
      <c r="N621" t="s">
        <v>49</v>
      </c>
      <c r="P621" t="s">
        <v>85</v>
      </c>
      <c r="Q621" t="s">
        <v>929</v>
      </c>
      <c r="R621" t="s">
        <v>53</v>
      </c>
      <c r="S621" t="s">
        <v>879</v>
      </c>
      <c r="T621" t="s">
        <v>55</v>
      </c>
      <c r="U621" t="s">
        <v>56</v>
      </c>
      <c r="V621" t="s">
        <v>56</v>
      </c>
    </row>
    <row r="622" spans="1:22" x14ac:dyDescent="0.3">
      <c r="A622" s="49">
        <v>45540</v>
      </c>
      <c r="B622" t="s">
        <v>965</v>
      </c>
      <c r="C622" t="s">
        <v>966</v>
      </c>
      <c r="D622" t="s">
        <v>24</v>
      </c>
      <c r="E622" t="s">
        <v>869</v>
      </c>
      <c r="F622" t="s">
        <v>870</v>
      </c>
      <c r="G622" t="s">
        <v>1146</v>
      </c>
      <c r="H622" t="s">
        <v>28</v>
      </c>
      <c r="I622" t="s">
        <v>1147</v>
      </c>
      <c r="J622" t="s">
        <v>46</v>
      </c>
      <c r="K622" t="s">
        <v>880</v>
      </c>
      <c r="L622" t="s">
        <v>32</v>
      </c>
      <c r="M622">
        <v>0</v>
      </c>
      <c r="N622" t="s">
        <v>33</v>
      </c>
      <c r="O622" t="s">
        <v>1148</v>
      </c>
      <c r="P622" t="s">
        <v>572</v>
      </c>
      <c r="Q622" t="s">
        <v>1149</v>
      </c>
      <c r="R622" t="s">
        <v>37</v>
      </c>
      <c r="S622" t="s">
        <v>1150</v>
      </c>
      <c r="T622" t="s">
        <v>55</v>
      </c>
      <c r="U622" t="s">
        <v>56</v>
      </c>
      <c r="V622" t="s">
        <v>56</v>
      </c>
    </row>
    <row r="623" spans="1:22" x14ac:dyDescent="0.3">
      <c r="A623" s="49">
        <v>45540</v>
      </c>
      <c r="B623" t="s">
        <v>965</v>
      </c>
      <c r="C623" t="s">
        <v>966</v>
      </c>
      <c r="D623" t="s">
        <v>24</v>
      </c>
      <c r="E623" t="s">
        <v>376</v>
      </c>
      <c r="F623" t="s">
        <v>377</v>
      </c>
      <c r="G623" t="s">
        <v>379</v>
      </c>
      <c r="H623" t="s">
        <v>28</v>
      </c>
      <c r="I623" t="s">
        <v>1151</v>
      </c>
      <c r="J623" t="s">
        <v>63</v>
      </c>
      <c r="K623" t="s">
        <v>64</v>
      </c>
      <c r="L623" t="s">
        <v>32</v>
      </c>
      <c r="M623">
        <v>30</v>
      </c>
      <c r="N623" t="s">
        <v>33</v>
      </c>
      <c r="O623" t="s">
        <v>1152</v>
      </c>
      <c r="P623" t="s">
        <v>873</v>
      </c>
      <c r="Q623" t="s">
        <v>1153</v>
      </c>
      <c r="R623" t="s">
        <v>37</v>
      </c>
      <c r="S623" t="s">
        <v>1154</v>
      </c>
      <c r="T623" t="s">
        <v>39</v>
      </c>
      <c r="U623" t="s">
        <v>40</v>
      </c>
      <c r="V623" t="s">
        <v>41</v>
      </c>
    </row>
    <row r="624" spans="1:22" x14ac:dyDescent="0.3">
      <c r="A624" s="49">
        <v>45540</v>
      </c>
      <c r="B624" t="s">
        <v>645</v>
      </c>
      <c r="C624" t="s">
        <v>646</v>
      </c>
      <c r="D624" t="s">
        <v>173</v>
      </c>
      <c r="E624" t="s">
        <v>1155</v>
      </c>
      <c r="F624" t="s">
        <v>1156</v>
      </c>
      <c r="G624" t="s">
        <v>1157</v>
      </c>
      <c r="H624" t="s">
        <v>89</v>
      </c>
      <c r="J624" t="s">
        <v>63</v>
      </c>
      <c r="K624" t="s">
        <v>119</v>
      </c>
      <c r="L624" t="s">
        <v>1158</v>
      </c>
      <c r="M624">
        <v>20</v>
      </c>
      <c r="N624" t="s">
        <v>49</v>
      </c>
      <c r="P624" t="s">
        <v>1159</v>
      </c>
      <c r="Q624" t="s">
        <v>1160</v>
      </c>
      <c r="R624" t="s">
        <v>53</v>
      </c>
      <c r="S624" t="s">
        <v>1161</v>
      </c>
      <c r="T624" t="s">
        <v>55</v>
      </c>
      <c r="U624" t="s">
        <v>56</v>
      </c>
      <c r="V624" t="s">
        <v>56</v>
      </c>
    </row>
    <row r="625" spans="1:22" x14ac:dyDescent="0.3">
      <c r="A625" s="49">
        <v>45540</v>
      </c>
      <c r="B625" t="s">
        <v>645</v>
      </c>
      <c r="C625" t="s">
        <v>646</v>
      </c>
      <c r="D625" t="s">
        <v>173</v>
      </c>
      <c r="E625" t="s">
        <v>1162</v>
      </c>
      <c r="F625" t="s">
        <v>1163</v>
      </c>
      <c r="G625" t="s">
        <v>1164</v>
      </c>
      <c r="H625" t="s">
        <v>28</v>
      </c>
      <c r="I625" t="s">
        <v>1165</v>
      </c>
      <c r="J625" t="s">
        <v>46</v>
      </c>
      <c r="K625" t="s">
        <v>1166</v>
      </c>
      <c r="L625" t="s">
        <v>1167</v>
      </c>
      <c r="M625">
        <v>90</v>
      </c>
      <c r="N625" t="s">
        <v>33</v>
      </c>
      <c r="P625" t="s">
        <v>358</v>
      </c>
      <c r="Q625" t="s">
        <v>1168</v>
      </c>
      <c r="R625" t="s">
        <v>53</v>
      </c>
      <c r="S625" t="s">
        <v>1169</v>
      </c>
      <c r="T625" t="s">
        <v>55</v>
      </c>
      <c r="U625" t="s">
        <v>56</v>
      </c>
      <c r="V625" t="s">
        <v>56</v>
      </c>
    </row>
    <row r="626" spans="1:22" x14ac:dyDescent="0.3">
      <c r="A626" s="49">
        <v>45540</v>
      </c>
      <c r="B626" t="s">
        <v>965</v>
      </c>
      <c r="C626" t="s">
        <v>966</v>
      </c>
      <c r="D626" t="s">
        <v>24</v>
      </c>
      <c r="E626" t="s">
        <v>1170</v>
      </c>
      <c r="F626" t="s">
        <v>1171</v>
      </c>
      <c r="G626" t="s">
        <v>1172</v>
      </c>
      <c r="H626" t="s">
        <v>28</v>
      </c>
      <c r="I626" t="s">
        <v>1173</v>
      </c>
      <c r="J626" t="s">
        <v>63</v>
      </c>
      <c r="K626" t="s">
        <v>64</v>
      </c>
      <c r="L626" t="s">
        <v>32</v>
      </c>
      <c r="M626">
        <v>60</v>
      </c>
      <c r="N626" t="s">
        <v>33</v>
      </c>
      <c r="O626" t="s">
        <v>1174</v>
      </c>
      <c r="P626" t="s">
        <v>1175</v>
      </c>
      <c r="Q626" t="s">
        <v>258</v>
      </c>
      <c r="R626" t="s">
        <v>37</v>
      </c>
      <c r="S626" t="s">
        <v>1176</v>
      </c>
      <c r="T626" t="s">
        <v>55</v>
      </c>
      <c r="U626" t="s">
        <v>56</v>
      </c>
      <c r="V626" t="s">
        <v>56</v>
      </c>
    </row>
    <row r="627" spans="1:22" x14ac:dyDescent="0.3">
      <c r="A627" s="49">
        <v>45540</v>
      </c>
      <c r="B627" t="s">
        <v>645</v>
      </c>
      <c r="C627" t="s">
        <v>646</v>
      </c>
      <c r="D627" t="s">
        <v>173</v>
      </c>
      <c r="E627" t="s">
        <v>1177</v>
      </c>
      <c r="F627" t="s">
        <v>1178</v>
      </c>
      <c r="G627" t="s">
        <v>1179</v>
      </c>
      <c r="H627" t="s">
        <v>28</v>
      </c>
      <c r="I627" t="s">
        <v>1180</v>
      </c>
      <c r="J627" t="s">
        <v>46</v>
      </c>
      <c r="K627" t="s">
        <v>1166</v>
      </c>
      <c r="L627" t="s">
        <v>1181</v>
      </c>
      <c r="M627">
        <v>63</v>
      </c>
      <c r="N627" t="s">
        <v>33</v>
      </c>
      <c r="P627" t="s">
        <v>968</v>
      </c>
      <c r="Q627" t="s">
        <v>1182</v>
      </c>
      <c r="R627" t="s">
        <v>53</v>
      </c>
      <c r="S627" t="s">
        <v>1183</v>
      </c>
      <c r="T627" t="s">
        <v>39</v>
      </c>
      <c r="U627" t="s">
        <v>40</v>
      </c>
      <c r="V627" t="s">
        <v>41</v>
      </c>
    </row>
    <row r="628" spans="1:22" x14ac:dyDescent="0.3">
      <c r="A628" s="49">
        <v>45540</v>
      </c>
      <c r="B628" t="s">
        <v>965</v>
      </c>
      <c r="C628" t="s">
        <v>966</v>
      </c>
      <c r="D628" t="s">
        <v>24</v>
      </c>
      <c r="E628" t="s">
        <v>1184</v>
      </c>
      <c r="F628" t="s">
        <v>1185</v>
      </c>
      <c r="G628" t="s">
        <v>1186</v>
      </c>
      <c r="H628" t="s">
        <v>28</v>
      </c>
      <c r="I628" t="s">
        <v>1187</v>
      </c>
      <c r="J628" t="s">
        <v>46</v>
      </c>
      <c r="K628" t="s">
        <v>880</v>
      </c>
      <c r="L628" t="s">
        <v>32</v>
      </c>
      <c r="M628">
        <v>0</v>
      </c>
      <c r="N628" t="s">
        <v>33</v>
      </c>
      <c r="O628" t="s">
        <v>1188</v>
      </c>
      <c r="P628" t="s">
        <v>1189</v>
      </c>
      <c r="Q628" t="s">
        <v>1190</v>
      </c>
      <c r="R628" t="s">
        <v>37</v>
      </c>
      <c r="S628" t="s">
        <v>1191</v>
      </c>
      <c r="T628" t="s">
        <v>55</v>
      </c>
      <c r="U628" t="s">
        <v>56</v>
      </c>
      <c r="V628" t="s">
        <v>56</v>
      </c>
    </row>
    <row r="629" spans="1:22" x14ac:dyDescent="0.3">
      <c r="A629" s="49">
        <v>45540</v>
      </c>
      <c r="B629" t="s">
        <v>645</v>
      </c>
      <c r="C629" t="s">
        <v>646</v>
      </c>
      <c r="D629" t="s">
        <v>173</v>
      </c>
      <c r="E629" t="s">
        <v>1192</v>
      </c>
      <c r="F629" t="s">
        <v>1193</v>
      </c>
      <c r="G629" t="s">
        <v>1194</v>
      </c>
      <c r="H629" t="s">
        <v>28</v>
      </c>
      <c r="I629" t="s">
        <v>1195</v>
      </c>
      <c r="J629" t="s">
        <v>63</v>
      </c>
      <c r="K629" t="s">
        <v>119</v>
      </c>
      <c r="L629" t="s">
        <v>48</v>
      </c>
      <c r="M629">
        <v>87</v>
      </c>
      <c r="N629" t="s">
        <v>49</v>
      </c>
      <c r="P629" t="s">
        <v>205</v>
      </c>
      <c r="Q629" t="s">
        <v>1196</v>
      </c>
      <c r="R629" t="s">
        <v>53</v>
      </c>
      <c r="S629" t="s">
        <v>1197</v>
      </c>
      <c r="T629" t="s">
        <v>55</v>
      </c>
      <c r="U629" t="s">
        <v>56</v>
      </c>
      <c r="V629" t="s">
        <v>56</v>
      </c>
    </row>
    <row r="630" spans="1:22" x14ac:dyDescent="0.3">
      <c r="A630" s="49">
        <v>45540</v>
      </c>
      <c r="B630" t="s">
        <v>645</v>
      </c>
      <c r="C630" t="s">
        <v>646</v>
      </c>
      <c r="D630" t="s">
        <v>24</v>
      </c>
      <c r="E630" t="s">
        <v>931</v>
      </c>
      <c r="F630" t="s">
        <v>932</v>
      </c>
      <c r="G630" t="s">
        <v>1198</v>
      </c>
      <c r="H630" t="s">
        <v>89</v>
      </c>
      <c r="I630" t="s">
        <v>1199</v>
      </c>
      <c r="J630" t="s">
        <v>63</v>
      </c>
      <c r="K630" t="s">
        <v>1200</v>
      </c>
      <c r="L630" t="s">
        <v>464</v>
      </c>
      <c r="M630">
        <v>40</v>
      </c>
      <c r="N630" t="s">
        <v>49</v>
      </c>
      <c r="O630" t="s">
        <v>1201</v>
      </c>
      <c r="P630" t="s">
        <v>1202</v>
      </c>
      <c r="Q630" t="s">
        <v>1203</v>
      </c>
      <c r="R630" t="s">
        <v>337</v>
      </c>
      <c r="S630" t="s">
        <v>1204</v>
      </c>
      <c r="T630" t="s">
        <v>39</v>
      </c>
      <c r="U630" t="s">
        <v>40</v>
      </c>
      <c r="V630" t="s">
        <v>41</v>
      </c>
    </row>
    <row r="631" spans="1:22" x14ac:dyDescent="0.3">
      <c r="A631" s="49">
        <v>45540</v>
      </c>
      <c r="B631" t="s">
        <v>645</v>
      </c>
      <c r="C631" t="s">
        <v>646</v>
      </c>
      <c r="D631" t="s">
        <v>173</v>
      </c>
      <c r="E631" t="s">
        <v>1205</v>
      </c>
      <c r="F631" t="s">
        <v>1206</v>
      </c>
      <c r="G631" t="s">
        <v>1207</v>
      </c>
      <c r="H631" t="s">
        <v>28</v>
      </c>
      <c r="I631" t="s">
        <v>1208</v>
      </c>
      <c r="J631" t="s">
        <v>46</v>
      </c>
      <c r="K631" t="s">
        <v>1209</v>
      </c>
      <c r="L631" t="s">
        <v>48</v>
      </c>
      <c r="M631">
        <v>100</v>
      </c>
      <c r="N631" t="s">
        <v>49</v>
      </c>
      <c r="P631" t="s">
        <v>85</v>
      </c>
      <c r="Q631" t="s">
        <v>1210</v>
      </c>
      <c r="R631" t="s">
        <v>53</v>
      </c>
      <c r="S631" t="s">
        <v>1211</v>
      </c>
      <c r="T631" t="s">
        <v>55</v>
      </c>
      <c r="U631" t="s">
        <v>56</v>
      </c>
      <c r="V631" t="s">
        <v>56</v>
      </c>
    </row>
    <row r="632" spans="1:22" x14ac:dyDescent="0.3">
      <c r="A632" s="49">
        <v>45540</v>
      </c>
      <c r="B632" t="s">
        <v>645</v>
      </c>
      <c r="C632" t="s">
        <v>646</v>
      </c>
      <c r="D632" t="s">
        <v>173</v>
      </c>
      <c r="E632" t="s">
        <v>1212</v>
      </c>
      <c r="F632" t="s">
        <v>1213</v>
      </c>
      <c r="G632" t="s">
        <v>1214</v>
      </c>
      <c r="H632" t="s">
        <v>28</v>
      </c>
      <c r="I632" t="s">
        <v>1215</v>
      </c>
      <c r="J632" t="s">
        <v>46</v>
      </c>
      <c r="K632" t="s">
        <v>1209</v>
      </c>
      <c r="L632" t="s">
        <v>48</v>
      </c>
      <c r="M632">
        <v>40</v>
      </c>
      <c r="N632" t="s">
        <v>49</v>
      </c>
      <c r="P632" t="s">
        <v>104</v>
      </c>
      <c r="Q632" t="s">
        <v>949</v>
      </c>
      <c r="R632" t="s">
        <v>53</v>
      </c>
      <c r="S632" t="s">
        <v>1216</v>
      </c>
      <c r="T632" t="s">
        <v>55</v>
      </c>
      <c r="U632" t="s">
        <v>56</v>
      </c>
      <c r="V632" t="s">
        <v>56</v>
      </c>
    </row>
    <row r="633" spans="1:22" x14ac:dyDescent="0.3">
      <c r="A633" s="49">
        <v>45540</v>
      </c>
      <c r="B633" t="s">
        <v>645</v>
      </c>
      <c r="C633" t="s">
        <v>646</v>
      </c>
      <c r="D633" t="s">
        <v>24</v>
      </c>
      <c r="E633" t="s">
        <v>1217</v>
      </c>
      <c r="F633" t="s">
        <v>1218</v>
      </c>
      <c r="G633" t="s">
        <v>1219</v>
      </c>
      <c r="H633" t="s">
        <v>28</v>
      </c>
      <c r="I633" t="s">
        <v>1220</v>
      </c>
      <c r="J633" t="s">
        <v>63</v>
      </c>
      <c r="K633" t="s">
        <v>119</v>
      </c>
      <c r="L633" t="s">
        <v>48</v>
      </c>
      <c r="M633">
        <v>39</v>
      </c>
      <c r="N633" t="s">
        <v>33</v>
      </c>
      <c r="P633" t="s">
        <v>205</v>
      </c>
      <c r="R633" t="s">
        <v>53</v>
      </c>
      <c r="S633" t="s">
        <v>1221</v>
      </c>
      <c r="T633" t="s">
        <v>55</v>
      </c>
      <c r="U633" t="s">
        <v>56</v>
      </c>
      <c r="V633" t="s">
        <v>56</v>
      </c>
    </row>
    <row r="634" spans="1:22" x14ac:dyDescent="0.3">
      <c r="A634" s="49">
        <v>45540</v>
      </c>
      <c r="B634" t="s">
        <v>965</v>
      </c>
      <c r="C634" t="s">
        <v>966</v>
      </c>
      <c r="D634" t="s">
        <v>24</v>
      </c>
      <c r="E634" t="s">
        <v>1222</v>
      </c>
      <c r="F634" t="s">
        <v>1223</v>
      </c>
      <c r="G634" t="s">
        <v>1224</v>
      </c>
      <c r="H634" t="s">
        <v>28</v>
      </c>
      <c r="I634" t="s">
        <v>1225</v>
      </c>
      <c r="J634" t="s">
        <v>46</v>
      </c>
      <c r="K634" t="s">
        <v>481</v>
      </c>
      <c r="L634" t="s">
        <v>32</v>
      </c>
      <c r="M634">
        <v>0</v>
      </c>
      <c r="N634" t="s">
        <v>49</v>
      </c>
      <c r="O634" t="s">
        <v>1226</v>
      </c>
      <c r="P634" t="s">
        <v>968</v>
      </c>
      <c r="Q634" t="s">
        <v>1227</v>
      </c>
      <c r="R634" t="s">
        <v>37</v>
      </c>
      <c r="S634" t="s">
        <v>1228</v>
      </c>
      <c r="T634" t="s">
        <v>39</v>
      </c>
      <c r="U634" t="s">
        <v>40</v>
      </c>
      <c r="V634" t="s">
        <v>41</v>
      </c>
    </row>
    <row r="635" spans="1:22" x14ac:dyDescent="0.3">
      <c r="A635" s="49">
        <v>45540</v>
      </c>
      <c r="B635" t="s">
        <v>645</v>
      </c>
      <c r="C635" t="s">
        <v>646</v>
      </c>
      <c r="D635" t="s">
        <v>24</v>
      </c>
      <c r="E635" t="s">
        <v>1222</v>
      </c>
      <c r="F635" t="s">
        <v>1223</v>
      </c>
      <c r="G635" t="s">
        <v>1229</v>
      </c>
      <c r="H635" t="s">
        <v>89</v>
      </c>
      <c r="J635" t="s">
        <v>63</v>
      </c>
      <c r="K635" t="s">
        <v>119</v>
      </c>
      <c r="L635" t="s">
        <v>48</v>
      </c>
      <c r="M635">
        <v>27</v>
      </c>
      <c r="N635" t="s">
        <v>33</v>
      </c>
      <c r="P635" t="s">
        <v>1230</v>
      </c>
      <c r="Q635" t="s">
        <v>1231</v>
      </c>
      <c r="R635" t="s">
        <v>53</v>
      </c>
      <c r="S635" t="s">
        <v>1232</v>
      </c>
      <c r="T635" t="s">
        <v>55</v>
      </c>
      <c r="U635" t="s">
        <v>56</v>
      </c>
      <c r="V635" t="s">
        <v>56</v>
      </c>
    </row>
    <row r="636" spans="1:22" x14ac:dyDescent="0.3">
      <c r="A636" s="49">
        <v>45540</v>
      </c>
      <c r="B636" t="s">
        <v>645</v>
      </c>
      <c r="C636" t="s">
        <v>646</v>
      </c>
      <c r="D636" t="s">
        <v>24</v>
      </c>
      <c r="E636" t="s">
        <v>441</v>
      </c>
      <c r="F636" t="s">
        <v>442</v>
      </c>
      <c r="G636" t="s">
        <v>1233</v>
      </c>
      <c r="H636" t="s">
        <v>89</v>
      </c>
      <c r="I636" t="s">
        <v>1234</v>
      </c>
      <c r="J636" t="s">
        <v>63</v>
      </c>
      <c r="K636" t="s">
        <v>1235</v>
      </c>
      <c r="L636" t="s">
        <v>464</v>
      </c>
      <c r="M636">
        <v>100</v>
      </c>
      <c r="N636" t="s">
        <v>49</v>
      </c>
      <c r="O636" t="s">
        <v>1236</v>
      </c>
      <c r="P636" t="s">
        <v>1237</v>
      </c>
      <c r="Q636" t="s">
        <v>1238</v>
      </c>
      <c r="R636" t="s">
        <v>337</v>
      </c>
      <c r="S636" t="s">
        <v>1239</v>
      </c>
      <c r="T636" t="s">
        <v>39</v>
      </c>
      <c r="U636" t="s">
        <v>40</v>
      </c>
      <c r="V636" t="s">
        <v>41</v>
      </c>
    </row>
    <row r="637" spans="1:22" x14ac:dyDescent="0.3">
      <c r="A637" s="49">
        <v>45540</v>
      </c>
      <c r="B637" t="s">
        <v>645</v>
      </c>
      <c r="C637" t="s">
        <v>646</v>
      </c>
      <c r="D637" t="s">
        <v>24</v>
      </c>
      <c r="E637" t="s">
        <v>637</v>
      </c>
      <c r="F637" t="s">
        <v>638</v>
      </c>
      <c r="G637" t="s">
        <v>1240</v>
      </c>
      <c r="H637" t="s">
        <v>89</v>
      </c>
      <c r="I637" t="s">
        <v>1241</v>
      </c>
      <c r="J637" t="s">
        <v>46</v>
      </c>
      <c r="K637" t="s">
        <v>640</v>
      </c>
      <c r="L637" t="s">
        <v>641</v>
      </c>
      <c r="M637">
        <v>80</v>
      </c>
      <c r="N637" t="s">
        <v>49</v>
      </c>
      <c r="O637" t="s">
        <v>1242</v>
      </c>
      <c r="P637" t="s">
        <v>1243</v>
      </c>
      <c r="Q637" t="s">
        <v>792</v>
      </c>
      <c r="R637" t="s">
        <v>337</v>
      </c>
      <c r="S637" t="s">
        <v>1244</v>
      </c>
      <c r="T637" t="s">
        <v>55</v>
      </c>
      <c r="U637" t="s">
        <v>56</v>
      </c>
      <c r="V637" t="s">
        <v>56</v>
      </c>
    </row>
    <row r="638" spans="1:22" x14ac:dyDescent="0.3">
      <c r="A638" s="49">
        <v>45539</v>
      </c>
      <c r="B638" t="s">
        <v>645</v>
      </c>
      <c r="C638" t="s">
        <v>646</v>
      </c>
      <c r="D638" t="s">
        <v>24</v>
      </c>
      <c r="E638" t="s">
        <v>647</v>
      </c>
      <c r="F638" t="s">
        <v>648</v>
      </c>
      <c r="G638" t="s">
        <v>649</v>
      </c>
      <c r="H638" t="s">
        <v>28</v>
      </c>
      <c r="J638" t="s">
        <v>63</v>
      </c>
      <c r="K638" t="s">
        <v>64</v>
      </c>
      <c r="L638" t="s">
        <v>32</v>
      </c>
      <c r="M638">
        <v>42</v>
      </c>
      <c r="N638" t="s">
        <v>49</v>
      </c>
      <c r="O638" t="s">
        <v>650</v>
      </c>
      <c r="P638" t="s">
        <v>651</v>
      </c>
      <c r="Q638" t="s">
        <v>225</v>
      </c>
      <c r="R638" t="s">
        <v>37</v>
      </c>
      <c r="S638" t="s">
        <v>652</v>
      </c>
      <c r="T638" t="s">
        <v>55</v>
      </c>
      <c r="U638" t="s">
        <v>56</v>
      </c>
      <c r="V638" t="s">
        <v>56</v>
      </c>
    </row>
    <row r="639" spans="1:22" x14ac:dyDescent="0.3">
      <c r="A639" s="49">
        <v>45539</v>
      </c>
      <c r="B639" t="s">
        <v>645</v>
      </c>
      <c r="C639" t="s">
        <v>646</v>
      </c>
      <c r="D639" t="s">
        <v>24</v>
      </c>
      <c r="E639" t="s">
        <v>647</v>
      </c>
      <c r="F639" t="s">
        <v>648</v>
      </c>
      <c r="G639" t="s">
        <v>649</v>
      </c>
      <c r="H639" t="s">
        <v>28</v>
      </c>
      <c r="J639" t="s">
        <v>63</v>
      </c>
      <c r="K639" t="s">
        <v>64</v>
      </c>
      <c r="L639" t="s">
        <v>32</v>
      </c>
      <c r="M639">
        <v>42</v>
      </c>
      <c r="N639" t="s">
        <v>49</v>
      </c>
      <c r="O639" t="s">
        <v>650</v>
      </c>
      <c r="P639" t="s">
        <v>651</v>
      </c>
      <c r="Q639" t="s">
        <v>225</v>
      </c>
      <c r="R639" t="s">
        <v>37</v>
      </c>
      <c r="S639" t="s">
        <v>652</v>
      </c>
      <c r="T639" t="s">
        <v>55</v>
      </c>
      <c r="U639" t="s">
        <v>56</v>
      </c>
      <c r="V639" t="s">
        <v>56</v>
      </c>
    </row>
    <row r="640" spans="1:22" x14ac:dyDescent="0.3">
      <c r="A640" s="49">
        <v>45539</v>
      </c>
      <c r="B640" t="s">
        <v>645</v>
      </c>
      <c r="C640" t="s">
        <v>646</v>
      </c>
      <c r="D640" t="s">
        <v>24</v>
      </c>
      <c r="E640" t="s">
        <v>469</v>
      </c>
      <c r="F640" t="s">
        <v>470</v>
      </c>
      <c r="G640" t="s">
        <v>653</v>
      </c>
      <c r="H640" t="s">
        <v>89</v>
      </c>
      <c r="J640" t="s">
        <v>63</v>
      </c>
      <c r="K640" t="s">
        <v>211</v>
      </c>
      <c r="L640" t="s">
        <v>32</v>
      </c>
      <c r="M640">
        <v>25</v>
      </c>
      <c r="N640" t="s">
        <v>33</v>
      </c>
      <c r="O640" t="s">
        <v>654</v>
      </c>
      <c r="P640" t="s">
        <v>85</v>
      </c>
      <c r="Q640" t="s">
        <v>655</v>
      </c>
      <c r="R640" t="s">
        <v>37</v>
      </c>
      <c r="S640" t="s">
        <v>476</v>
      </c>
      <c r="T640" t="s">
        <v>55</v>
      </c>
      <c r="U640" t="s">
        <v>56</v>
      </c>
      <c r="V640" t="s">
        <v>56</v>
      </c>
    </row>
    <row r="641" spans="1:22" x14ac:dyDescent="0.3">
      <c r="A641" s="49">
        <v>45539</v>
      </c>
      <c r="B641" t="s">
        <v>645</v>
      </c>
      <c r="C641" t="s">
        <v>646</v>
      </c>
      <c r="D641" t="s">
        <v>24</v>
      </c>
      <c r="E641" t="s">
        <v>469</v>
      </c>
      <c r="F641" t="s">
        <v>470</v>
      </c>
      <c r="G641" t="s">
        <v>656</v>
      </c>
      <c r="H641" t="s">
        <v>28</v>
      </c>
      <c r="I641" t="s">
        <v>657</v>
      </c>
      <c r="J641" t="s">
        <v>63</v>
      </c>
      <c r="K641" t="s">
        <v>64</v>
      </c>
      <c r="L641" t="s">
        <v>32</v>
      </c>
      <c r="M641">
        <v>85</v>
      </c>
      <c r="N641" t="s">
        <v>49</v>
      </c>
      <c r="O641" t="s">
        <v>658</v>
      </c>
      <c r="P641" t="s">
        <v>106</v>
      </c>
      <c r="Q641" t="s">
        <v>659</v>
      </c>
      <c r="R641" t="s">
        <v>37</v>
      </c>
      <c r="S641" t="s">
        <v>660</v>
      </c>
      <c r="T641" t="s">
        <v>55</v>
      </c>
      <c r="U641" t="s">
        <v>56</v>
      </c>
      <c r="V641" t="s">
        <v>56</v>
      </c>
    </row>
    <row r="642" spans="1:22" x14ac:dyDescent="0.3">
      <c r="A642" s="49">
        <v>45539</v>
      </c>
      <c r="B642" t="s">
        <v>645</v>
      </c>
      <c r="C642" t="s">
        <v>646</v>
      </c>
      <c r="D642" t="s">
        <v>173</v>
      </c>
      <c r="E642" t="s">
        <v>661</v>
      </c>
      <c r="F642" t="s">
        <v>662</v>
      </c>
      <c r="G642" t="s">
        <v>663</v>
      </c>
      <c r="H642" t="s">
        <v>28</v>
      </c>
      <c r="I642" t="s">
        <v>664</v>
      </c>
      <c r="J642" t="s">
        <v>63</v>
      </c>
      <c r="K642" t="s">
        <v>64</v>
      </c>
      <c r="L642" t="s">
        <v>32</v>
      </c>
      <c r="M642">
        <v>20</v>
      </c>
      <c r="N642" t="s">
        <v>49</v>
      </c>
      <c r="O642" t="s">
        <v>665</v>
      </c>
      <c r="P642" t="s">
        <v>104</v>
      </c>
      <c r="Q642" t="s">
        <v>666</v>
      </c>
      <c r="R642" t="s">
        <v>37</v>
      </c>
      <c r="S642" t="s">
        <v>667</v>
      </c>
      <c r="T642" t="s">
        <v>55</v>
      </c>
      <c r="U642" t="s">
        <v>56</v>
      </c>
      <c r="V642" t="s">
        <v>56</v>
      </c>
    </row>
    <row r="643" spans="1:22" x14ac:dyDescent="0.3">
      <c r="A643" s="49">
        <v>45539</v>
      </c>
      <c r="B643" t="s">
        <v>645</v>
      </c>
      <c r="C643" t="s">
        <v>646</v>
      </c>
      <c r="D643" t="s">
        <v>24</v>
      </c>
      <c r="E643" t="s">
        <v>661</v>
      </c>
      <c r="F643" t="s">
        <v>662</v>
      </c>
      <c r="G643" t="s">
        <v>663</v>
      </c>
      <c r="H643" t="s">
        <v>28</v>
      </c>
      <c r="J643" t="s">
        <v>63</v>
      </c>
      <c r="K643" t="s">
        <v>64</v>
      </c>
      <c r="L643" t="s">
        <v>32</v>
      </c>
      <c r="M643">
        <v>17</v>
      </c>
      <c r="N643" t="s">
        <v>33</v>
      </c>
      <c r="P643" t="s">
        <v>668</v>
      </c>
      <c r="Q643" t="s">
        <v>669</v>
      </c>
      <c r="R643" t="s">
        <v>37</v>
      </c>
      <c r="S643" t="s">
        <v>670</v>
      </c>
      <c r="T643" t="s">
        <v>39</v>
      </c>
      <c r="U643" t="s">
        <v>40</v>
      </c>
      <c r="V643" t="s">
        <v>41</v>
      </c>
    </row>
    <row r="644" spans="1:22" x14ac:dyDescent="0.3">
      <c r="A644" s="49">
        <v>45539</v>
      </c>
      <c r="B644" t="s">
        <v>645</v>
      </c>
      <c r="C644" t="s">
        <v>646</v>
      </c>
      <c r="D644" t="s">
        <v>24</v>
      </c>
      <c r="E644" t="s">
        <v>671</v>
      </c>
      <c r="F644" t="s">
        <v>672</v>
      </c>
      <c r="G644" t="s">
        <v>673</v>
      </c>
      <c r="H644" t="s">
        <v>28</v>
      </c>
      <c r="I644" t="s">
        <v>674</v>
      </c>
      <c r="J644" t="s">
        <v>63</v>
      </c>
      <c r="K644" t="s">
        <v>197</v>
      </c>
      <c r="L644" t="s">
        <v>32</v>
      </c>
      <c r="M644">
        <v>100</v>
      </c>
      <c r="N644" t="s">
        <v>33</v>
      </c>
      <c r="O644" t="s">
        <v>675</v>
      </c>
      <c r="P644" t="s">
        <v>344</v>
      </c>
      <c r="Q644" t="s">
        <v>676</v>
      </c>
      <c r="R644" t="s">
        <v>37</v>
      </c>
      <c r="S644" t="s">
        <v>677</v>
      </c>
      <c r="T644" t="s">
        <v>55</v>
      </c>
      <c r="U644" t="s">
        <v>56</v>
      </c>
      <c r="V644" t="s">
        <v>56</v>
      </c>
    </row>
    <row r="645" spans="1:22" x14ac:dyDescent="0.3">
      <c r="A645" s="49">
        <v>45539</v>
      </c>
      <c r="B645" t="s">
        <v>645</v>
      </c>
      <c r="C645" t="s">
        <v>646</v>
      </c>
      <c r="D645" t="s">
        <v>24</v>
      </c>
      <c r="E645" t="s">
        <v>678</v>
      </c>
      <c r="F645" t="s">
        <v>679</v>
      </c>
      <c r="G645" t="s">
        <v>680</v>
      </c>
      <c r="H645" t="s">
        <v>89</v>
      </c>
      <c r="J645" t="s">
        <v>63</v>
      </c>
      <c r="K645" t="s">
        <v>64</v>
      </c>
      <c r="L645" t="s">
        <v>32</v>
      </c>
      <c r="M645">
        <v>100</v>
      </c>
      <c r="N645" t="s">
        <v>49</v>
      </c>
      <c r="O645" t="s">
        <v>681</v>
      </c>
      <c r="P645" t="s">
        <v>682</v>
      </c>
      <c r="Q645" t="s">
        <v>683</v>
      </c>
      <c r="R645" t="s">
        <v>37</v>
      </c>
      <c r="S645" t="s">
        <v>684</v>
      </c>
      <c r="T645" t="s">
        <v>55</v>
      </c>
      <c r="U645" t="s">
        <v>56</v>
      </c>
      <c r="V645" t="s">
        <v>56</v>
      </c>
    </row>
    <row r="646" spans="1:22" x14ac:dyDescent="0.3">
      <c r="A646" s="49">
        <v>45539</v>
      </c>
      <c r="B646" t="s">
        <v>645</v>
      </c>
      <c r="C646" t="s">
        <v>646</v>
      </c>
      <c r="D646" t="s">
        <v>24</v>
      </c>
      <c r="E646" t="s">
        <v>678</v>
      </c>
      <c r="F646" t="s">
        <v>679</v>
      </c>
      <c r="G646" t="s">
        <v>680</v>
      </c>
      <c r="H646" t="s">
        <v>89</v>
      </c>
      <c r="J646" t="s">
        <v>63</v>
      </c>
      <c r="K646" t="s">
        <v>64</v>
      </c>
      <c r="L646" t="s">
        <v>32</v>
      </c>
      <c r="M646">
        <v>100</v>
      </c>
      <c r="N646" t="s">
        <v>49</v>
      </c>
      <c r="O646" t="s">
        <v>681</v>
      </c>
      <c r="P646" t="s">
        <v>682</v>
      </c>
      <c r="Q646" t="s">
        <v>683</v>
      </c>
      <c r="R646" t="s">
        <v>37</v>
      </c>
      <c r="S646" t="s">
        <v>684</v>
      </c>
      <c r="T646" t="s">
        <v>55</v>
      </c>
      <c r="U646" t="s">
        <v>56</v>
      </c>
      <c r="V646" t="s">
        <v>56</v>
      </c>
    </row>
    <row r="647" spans="1:22" x14ac:dyDescent="0.3">
      <c r="A647" s="49">
        <v>45539</v>
      </c>
      <c r="B647" t="s">
        <v>645</v>
      </c>
      <c r="C647" t="s">
        <v>646</v>
      </c>
      <c r="D647" t="s">
        <v>24</v>
      </c>
      <c r="E647" t="s">
        <v>678</v>
      </c>
      <c r="F647" t="s">
        <v>679</v>
      </c>
      <c r="G647" t="s">
        <v>680</v>
      </c>
      <c r="H647" t="s">
        <v>89</v>
      </c>
      <c r="J647" t="s">
        <v>63</v>
      </c>
      <c r="K647" t="s">
        <v>64</v>
      </c>
      <c r="L647" t="s">
        <v>32</v>
      </c>
      <c r="M647">
        <v>100</v>
      </c>
      <c r="N647" t="s">
        <v>49</v>
      </c>
      <c r="O647" t="s">
        <v>685</v>
      </c>
      <c r="P647" t="s">
        <v>686</v>
      </c>
      <c r="Q647" t="s">
        <v>683</v>
      </c>
      <c r="R647" t="s">
        <v>37</v>
      </c>
      <c r="S647" t="s">
        <v>684</v>
      </c>
      <c r="T647" t="s">
        <v>55</v>
      </c>
      <c r="U647" t="s">
        <v>56</v>
      </c>
      <c r="V647" t="s">
        <v>56</v>
      </c>
    </row>
    <row r="648" spans="1:22" x14ac:dyDescent="0.3">
      <c r="A648" s="49">
        <v>45539</v>
      </c>
      <c r="B648" t="s">
        <v>645</v>
      </c>
      <c r="C648" t="s">
        <v>646</v>
      </c>
      <c r="D648" t="s">
        <v>24</v>
      </c>
      <c r="E648" t="s">
        <v>687</v>
      </c>
      <c r="F648" t="s">
        <v>688</v>
      </c>
      <c r="G648" t="s">
        <v>689</v>
      </c>
      <c r="H648" t="s">
        <v>89</v>
      </c>
      <c r="J648" t="s">
        <v>63</v>
      </c>
      <c r="K648" t="s">
        <v>64</v>
      </c>
      <c r="L648" t="s">
        <v>32</v>
      </c>
      <c r="M648">
        <v>92</v>
      </c>
      <c r="N648" t="s">
        <v>33</v>
      </c>
      <c r="O648" t="s">
        <v>690</v>
      </c>
      <c r="P648" t="s">
        <v>691</v>
      </c>
      <c r="Q648" t="s">
        <v>692</v>
      </c>
      <c r="R648" t="s">
        <v>37</v>
      </c>
      <c r="S648" t="s">
        <v>693</v>
      </c>
      <c r="T648" t="s">
        <v>39</v>
      </c>
      <c r="U648" t="s">
        <v>40</v>
      </c>
      <c r="V648" t="s">
        <v>41</v>
      </c>
    </row>
    <row r="649" spans="1:22" x14ac:dyDescent="0.3">
      <c r="A649" s="49">
        <v>45539</v>
      </c>
      <c r="B649" t="s">
        <v>645</v>
      </c>
      <c r="C649" t="s">
        <v>646</v>
      </c>
      <c r="D649" t="s">
        <v>24</v>
      </c>
      <c r="E649" t="s">
        <v>694</v>
      </c>
      <c r="F649" t="s">
        <v>695</v>
      </c>
      <c r="G649" t="s">
        <v>696</v>
      </c>
      <c r="H649" t="s">
        <v>28</v>
      </c>
      <c r="I649" t="s">
        <v>697</v>
      </c>
      <c r="J649" t="s">
        <v>46</v>
      </c>
      <c r="K649" t="s">
        <v>481</v>
      </c>
      <c r="L649" t="s">
        <v>698</v>
      </c>
      <c r="M649">
        <v>100</v>
      </c>
      <c r="N649" t="s">
        <v>49</v>
      </c>
      <c r="O649" t="s">
        <v>699</v>
      </c>
      <c r="P649" t="s">
        <v>106</v>
      </c>
      <c r="Q649" t="s">
        <v>700</v>
      </c>
      <c r="R649" t="s">
        <v>701</v>
      </c>
      <c r="S649" t="s">
        <v>702</v>
      </c>
      <c r="T649" t="s">
        <v>55</v>
      </c>
      <c r="U649" t="s">
        <v>56</v>
      </c>
      <c r="V649" t="s">
        <v>56</v>
      </c>
    </row>
    <row r="650" spans="1:22" x14ac:dyDescent="0.3">
      <c r="A650" s="49">
        <v>45539</v>
      </c>
      <c r="B650" t="s">
        <v>645</v>
      </c>
      <c r="C650" t="s">
        <v>646</v>
      </c>
      <c r="D650" t="s">
        <v>24</v>
      </c>
      <c r="E650" t="s">
        <v>703</v>
      </c>
      <c r="F650" t="s">
        <v>704</v>
      </c>
      <c r="G650" t="s">
        <v>705</v>
      </c>
      <c r="H650" t="s">
        <v>28</v>
      </c>
      <c r="I650" t="s">
        <v>706</v>
      </c>
      <c r="J650" t="s">
        <v>63</v>
      </c>
      <c r="K650" t="s">
        <v>64</v>
      </c>
      <c r="L650" t="s">
        <v>32</v>
      </c>
      <c r="M650">
        <v>7</v>
      </c>
      <c r="N650" t="s">
        <v>33</v>
      </c>
      <c r="O650" t="s">
        <v>707</v>
      </c>
      <c r="P650" t="s">
        <v>108</v>
      </c>
      <c r="Q650" t="s">
        <v>708</v>
      </c>
      <c r="R650" t="s">
        <v>186</v>
      </c>
      <c r="S650" t="s">
        <v>709</v>
      </c>
      <c r="T650" t="s">
        <v>55</v>
      </c>
      <c r="U650" t="s">
        <v>56</v>
      </c>
      <c r="V650" t="s">
        <v>56</v>
      </c>
    </row>
    <row r="651" spans="1:22" x14ac:dyDescent="0.3">
      <c r="A651" s="49">
        <v>45539</v>
      </c>
      <c r="B651" t="s">
        <v>645</v>
      </c>
      <c r="C651" t="s">
        <v>646</v>
      </c>
      <c r="D651" t="s">
        <v>24</v>
      </c>
      <c r="E651" t="s">
        <v>710</v>
      </c>
      <c r="F651" t="s">
        <v>711</v>
      </c>
      <c r="G651" t="s">
        <v>712</v>
      </c>
      <c r="H651" t="s">
        <v>28</v>
      </c>
      <c r="I651" t="s">
        <v>713</v>
      </c>
      <c r="J651" t="s">
        <v>63</v>
      </c>
      <c r="K651" t="s">
        <v>414</v>
      </c>
      <c r="L651" t="s">
        <v>32</v>
      </c>
      <c r="M651">
        <v>90</v>
      </c>
      <c r="N651" t="s">
        <v>33</v>
      </c>
      <c r="O651" t="s">
        <v>714</v>
      </c>
      <c r="P651" t="s">
        <v>85</v>
      </c>
      <c r="Q651" t="s">
        <v>715</v>
      </c>
      <c r="R651" t="s">
        <v>37</v>
      </c>
      <c r="S651" t="s">
        <v>716</v>
      </c>
      <c r="T651" t="s">
        <v>55</v>
      </c>
      <c r="U651" t="s">
        <v>56</v>
      </c>
      <c r="V651" t="s">
        <v>56</v>
      </c>
    </row>
    <row r="652" spans="1:22" x14ac:dyDescent="0.3">
      <c r="A652" s="49">
        <v>45539</v>
      </c>
      <c r="B652" t="s">
        <v>645</v>
      </c>
      <c r="C652" t="s">
        <v>646</v>
      </c>
      <c r="D652" t="s">
        <v>24</v>
      </c>
      <c r="E652" t="s">
        <v>717</v>
      </c>
      <c r="F652" t="s">
        <v>718</v>
      </c>
      <c r="G652" t="s">
        <v>719</v>
      </c>
      <c r="H652" t="s">
        <v>28</v>
      </c>
      <c r="I652" t="s">
        <v>720</v>
      </c>
      <c r="J652" t="s">
        <v>63</v>
      </c>
      <c r="K652" t="s">
        <v>414</v>
      </c>
      <c r="L652" t="s">
        <v>32</v>
      </c>
      <c r="M652">
        <v>100</v>
      </c>
      <c r="N652" t="s">
        <v>49</v>
      </c>
      <c r="O652" t="s">
        <v>721</v>
      </c>
      <c r="P652" t="s">
        <v>108</v>
      </c>
      <c r="Q652" t="s">
        <v>551</v>
      </c>
      <c r="R652" t="s">
        <v>37</v>
      </c>
      <c r="S652" t="s">
        <v>722</v>
      </c>
      <c r="T652" t="s">
        <v>55</v>
      </c>
      <c r="U652" t="s">
        <v>56</v>
      </c>
      <c r="V652" t="s">
        <v>56</v>
      </c>
    </row>
    <row r="653" spans="1:22" x14ac:dyDescent="0.3">
      <c r="A653" s="49">
        <v>45539</v>
      </c>
      <c r="B653" t="s">
        <v>645</v>
      </c>
      <c r="C653" t="s">
        <v>646</v>
      </c>
      <c r="D653" t="s">
        <v>24</v>
      </c>
      <c r="E653" t="s">
        <v>717</v>
      </c>
      <c r="F653" t="s">
        <v>718</v>
      </c>
      <c r="G653" t="s">
        <v>719</v>
      </c>
      <c r="H653" t="s">
        <v>28</v>
      </c>
      <c r="I653" t="s">
        <v>720</v>
      </c>
      <c r="J653" t="s">
        <v>63</v>
      </c>
      <c r="K653" t="s">
        <v>414</v>
      </c>
      <c r="L653" t="s">
        <v>32</v>
      </c>
      <c r="M653">
        <v>0</v>
      </c>
      <c r="N653" t="s">
        <v>74</v>
      </c>
      <c r="O653" t="s">
        <v>721</v>
      </c>
      <c r="P653" t="s">
        <v>108</v>
      </c>
      <c r="Q653" t="s">
        <v>551</v>
      </c>
      <c r="R653" t="s">
        <v>37</v>
      </c>
      <c r="S653" t="s">
        <v>722</v>
      </c>
      <c r="T653" t="s">
        <v>55</v>
      </c>
      <c r="U653" t="s">
        <v>56</v>
      </c>
      <c r="V653" t="s">
        <v>56</v>
      </c>
    </row>
    <row r="654" spans="1:22" x14ac:dyDescent="0.3">
      <c r="A654" s="49">
        <v>45539</v>
      </c>
      <c r="B654" t="s">
        <v>645</v>
      </c>
      <c r="C654" t="s">
        <v>646</v>
      </c>
      <c r="D654" t="s">
        <v>24</v>
      </c>
      <c r="E654" t="s">
        <v>109</v>
      </c>
      <c r="F654" t="s">
        <v>110</v>
      </c>
      <c r="G654" t="s">
        <v>723</v>
      </c>
      <c r="H654" t="s">
        <v>28</v>
      </c>
      <c r="I654" t="s">
        <v>724</v>
      </c>
      <c r="J654" t="s">
        <v>63</v>
      </c>
      <c r="K654" t="s">
        <v>64</v>
      </c>
      <c r="L654" t="s">
        <v>32</v>
      </c>
      <c r="M654">
        <v>100</v>
      </c>
      <c r="N654" t="s">
        <v>33</v>
      </c>
      <c r="O654" t="s">
        <v>725</v>
      </c>
      <c r="P654" t="s">
        <v>35</v>
      </c>
      <c r="Q654" t="s">
        <v>726</v>
      </c>
      <c r="R654" t="s">
        <v>37</v>
      </c>
      <c r="S654" t="s">
        <v>727</v>
      </c>
      <c r="T654" t="s">
        <v>39</v>
      </c>
      <c r="U654" t="s">
        <v>40</v>
      </c>
      <c r="V654" t="s">
        <v>41</v>
      </c>
    </row>
    <row r="655" spans="1:22" x14ac:dyDescent="0.3">
      <c r="A655" s="49">
        <v>45539</v>
      </c>
      <c r="B655" t="s">
        <v>645</v>
      </c>
      <c r="C655" t="s">
        <v>646</v>
      </c>
      <c r="D655" t="s">
        <v>24</v>
      </c>
      <c r="E655" t="s">
        <v>109</v>
      </c>
      <c r="F655" t="s">
        <v>110</v>
      </c>
      <c r="G655" t="s">
        <v>728</v>
      </c>
      <c r="H655" t="s">
        <v>28</v>
      </c>
      <c r="I655" t="s">
        <v>724</v>
      </c>
      <c r="J655" t="s">
        <v>63</v>
      </c>
      <c r="K655" t="s">
        <v>64</v>
      </c>
      <c r="L655" t="s">
        <v>32</v>
      </c>
      <c r="M655">
        <v>100</v>
      </c>
      <c r="N655" t="s">
        <v>33</v>
      </c>
      <c r="O655" t="s">
        <v>729</v>
      </c>
      <c r="P655" t="s">
        <v>104</v>
      </c>
      <c r="Q655" t="s">
        <v>726</v>
      </c>
      <c r="R655" t="s">
        <v>37</v>
      </c>
      <c r="S655" t="s">
        <v>730</v>
      </c>
      <c r="T655" t="s">
        <v>39</v>
      </c>
      <c r="U655" t="s">
        <v>40</v>
      </c>
      <c r="V655" t="s">
        <v>41</v>
      </c>
    </row>
    <row r="656" spans="1:22" x14ac:dyDescent="0.3">
      <c r="A656" s="49">
        <v>45539</v>
      </c>
      <c r="B656" t="s">
        <v>645</v>
      </c>
      <c r="C656" t="s">
        <v>646</v>
      </c>
      <c r="D656" t="s">
        <v>24</v>
      </c>
      <c r="E656" t="s">
        <v>109</v>
      </c>
      <c r="F656" t="s">
        <v>110</v>
      </c>
      <c r="G656" t="s">
        <v>728</v>
      </c>
      <c r="H656" t="s">
        <v>28</v>
      </c>
      <c r="I656" t="s">
        <v>724</v>
      </c>
      <c r="J656" t="s">
        <v>63</v>
      </c>
      <c r="K656" t="s">
        <v>64</v>
      </c>
      <c r="L656" t="s">
        <v>32</v>
      </c>
      <c r="M656">
        <v>50</v>
      </c>
      <c r="N656" t="s">
        <v>33</v>
      </c>
      <c r="O656" t="s">
        <v>731</v>
      </c>
      <c r="P656" t="s">
        <v>104</v>
      </c>
      <c r="Q656" t="s">
        <v>726</v>
      </c>
      <c r="R656" t="s">
        <v>37</v>
      </c>
      <c r="S656" t="s">
        <v>730</v>
      </c>
      <c r="T656" t="s">
        <v>39</v>
      </c>
      <c r="U656" t="s">
        <v>40</v>
      </c>
      <c r="V656" t="s">
        <v>41</v>
      </c>
    </row>
    <row r="657" spans="1:22" x14ac:dyDescent="0.3">
      <c r="A657" s="49">
        <v>45539</v>
      </c>
      <c r="B657" t="s">
        <v>645</v>
      </c>
      <c r="C657" t="s">
        <v>646</v>
      </c>
      <c r="D657" t="s">
        <v>24</v>
      </c>
      <c r="E657" t="s">
        <v>732</v>
      </c>
      <c r="F657" t="s">
        <v>733</v>
      </c>
      <c r="G657" t="s">
        <v>734</v>
      </c>
      <c r="H657" t="s">
        <v>28</v>
      </c>
      <c r="I657" t="s">
        <v>735</v>
      </c>
      <c r="J657" t="s">
        <v>63</v>
      </c>
      <c r="K657" t="s">
        <v>64</v>
      </c>
      <c r="L657" t="s">
        <v>32</v>
      </c>
      <c r="M657">
        <v>100</v>
      </c>
      <c r="N657" t="s">
        <v>49</v>
      </c>
      <c r="O657" t="s">
        <v>736</v>
      </c>
      <c r="P657" t="s">
        <v>737</v>
      </c>
      <c r="Q657" t="s">
        <v>738</v>
      </c>
      <c r="R657" t="s">
        <v>37</v>
      </c>
      <c r="S657" t="s">
        <v>739</v>
      </c>
      <c r="T657" t="s">
        <v>55</v>
      </c>
      <c r="U657" t="s">
        <v>56</v>
      </c>
      <c r="V657" t="s">
        <v>56</v>
      </c>
    </row>
    <row r="658" spans="1:22" x14ac:dyDescent="0.3">
      <c r="A658" s="49">
        <v>45539</v>
      </c>
      <c r="B658" t="s">
        <v>645</v>
      </c>
      <c r="C658" t="s">
        <v>646</v>
      </c>
      <c r="D658" t="s">
        <v>24</v>
      </c>
      <c r="E658" t="s">
        <v>732</v>
      </c>
      <c r="F658" t="s">
        <v>733</v>
      </c>
      <c r="G658" t="s">
        <v>734</v>
      </c>
      <c r="H658" t="s">
        <v>28</v>
      </c>
      <c r="I658" t="s">
        <v>735</v>
      </c>
      <c r="J658" t="s">
        <v>63</v>
      </c>
      <c r="K658" t="s">
        <v>64</v>
      </c>
      <c r="L658" t="s">
        <v>32</v>
      </c>
      <c r="M658">
        <v>100</v>
      </c>
      <c r="N658" t="s">
        <v>49</v>
      </c>
      <c r="O658" t="s">
        <v>736</v>
      </c>
      <c r="P658" t="s">
        <v>737</v>
      </c>
      <c r="Q658" t="s">
        <v>738</v>
      </c>
      <c r="R658" t="s">
        <v>37</v>
      </c>
      <c r="S658" t="s">
        <v>739</v>
      </c>
      <c r="T658" t="s">
        <v>55</v>
      </c>
      <c r="U658" t="s">
        <v>56</v>
      </c>
      <c r="V658" t="s">
        <v>56</v>
      </c>
    </row>
    <row r="659" spans="1:22" x14ac:dyDescent="0.3">
      <c r="A659" s="49">
        <v>45539</v>
      </c>
      <c r="B659" t="s">
        <v>645</v>
      </c>
      <c r="C659" t="s">
        <v>646</v>
      </c>
      <c r="D659" t="s">
        <v>24</v>
      </c>
      <c r="E659" t="s">
        <v>732</v>
      </c>
      <c r="F659" t="s">
        <v>733</v>
      </c>
      <c r="G659" t="s">
        <v>734</v>
      </c>
      <c r="H659" t="s">
        <v>28</v>
      </c>
      <c r="I659" t="s">
        <v>735</v>
      </c>
      <c r="J659" t="s">
        <v>63</v>
      </c>
      <c r="K659" t="s">
        <v>64</v>
      </c>
      <c r="L659" t="s">
        <v>32</v>
      </c>
      <c r="M659">
        <v>100</v>
      </c>
      <c r="N659" t="s">
        <v>33</v>
      </c>
      <c r="O659" t="s">
        <v>736</v>
      </c>
      <c r="P659" t="s">
        <v>737</v>
      </c>
      <c r="Q659" t="s">
        <v>738</v>
      </c>
      <c r="R659" t="s">
        <v>37</v>
      </c>
      <c r="S659" t="s">
        <v>739</v>
      </c>
      <c r="T659" t="s">
        <v>55</v>
      </c>
      <c r="U659" t="s">
        <v>56</v>
      </c>
      <c r="V659" t="s">
        <v>56</v>
      </c>
    </row>
    <row r="660" spans="1:22" x14ac:dyDescent="0.3">
      <c r="A660" s="49">
        <v>45539</v>
      </c>
      <c r="B660" t="s">
        <v>645</v>
      </c>
      <c r="C660" t="s">
        <v>646</v>
      </c>
      <c r="D660" t="s">
        <v>24</v>
      </c>
      <c r="E660" t="s">
        <v>732</v>
      </c>
      <c r="F660" t="s">
        <v>733</v>
      </c>
      <c r="G660" t="s">
        <v>734</v>
      </c>
      <c r="H660" t="s">
        <v>28</v>
      </c>
      <c r="I660" t="s">
        <v>735</v>
      </c>
      <c r="J660" t="s">
        <v>63</v>
      </c>
      <c r="K660" t="s">
        <v>64</v>
      </c>
      <c r="L660" t="s">
        <v>32</v>
      </c>
      <c r="M660">
        <v>100</v>
      </c>
      <c r="N660" t="s">
        <v>33</v>
      </c>
      <c r="O660" t="s">
        <v>736</v>
      </c>
      <c r="P660" t="s">
        <v>737</v>
      </c>
      <c r="Q660" t="s">
        <v>738</v>
      </c>
      <c r="R660" t="s">
        <v>37</v>
      </c>
      <c r="S660" t="s">
        <v>739</v>
      </c>
      <c r="T660" t="s">
        <v>55</v>
      </c>
      <c r="U660" t="s">
        <v>56</v>
      </c>
      <c r="V660" t="s">
        <v>56</v>
      </c>
    </row>
    <row r="661" spans="1:22" x14ac:dyDescent="0.3">
      <c r="A661" s="49">
        <v>45539</v>
      </c>
      <c r="B661" t="s">
        <v>645</v>
      </c>
      <c r="C661" t="s">
        <v>646</v>
      </c>
      <c r="D661" t="s">
        <v>24</v>
      </c>
      <c r="E661" t="s">
        <v>116</v>
      </c>
      <c r="F661" t="s">
        <v>117</v>
      </c>
      <c r="G661" t="s">
        <v>740</v>
      </c>
      <c r="H661" t="s">
        <v>28</v>
      </c>
      <c r="I661" t="s">
        <v>741</v>
      </c>
      <c r="J661" t="s">
        <v>63</v>
      </c>
      <c r="K661" t="s">
        <v>64</v>
      </c>
      <c r="L661" t="s">
        <v>32</v>
      </c>
      <c r="M661">
        <v>57</v>
      </c>
      <c r="N661" t="s">
        <v>49</v>
      </c>
      <c r="O661" t="s">
        <v>742</v>
      </c>
      <c r="P661" t="s">
        <v>743</v>
      </c>
      <c r="Q661" t="s">
        <v>491</v>
      </c>
      <c r="R661" t="s">
        <v>37</v>
      </c>
      <c r="S661" t="s">
        <v>744</v>
      </c>
      <c r="T661" t="s">
        <v>55</v>
      </c>
      <c r="U661" t="s">
        <v>56</v>
      </c>
      <c r="V661" t="s">
        <v>56</v>
      </c>
    </row>
    <row r="662" spans="1:22" x14ac:dyDescent="0.3">
      <c r="A662" s="49">
        <v>45539</v>
      </c>
      <c r="B662" t="s">
        <v>645</v>
      </c>
      <c r="C662" t="s">
        <v>646</v>
      </c>
      <c r="D662" t="s">
        <v>173</v>
      </c>
      <c r="E662" t="s">
        <v>116</v>
      </c>
      <c r="F662" t="s">
        <v>117</v>
      </c>
      <c r="G662" t="s">
        <v>740</v>
      </c>
      <c r="H662" t="s">
        <v>89</v>
      </c>
      <c r="J662" t="s">
        <v>63</v>
      </c>
      <c r="K662" t="s">
        <v>64</v>
      </c>
      <c r="L662" t="s">
        <v>32</v>
      </c>
      <c r="M662">
        <v>95</v>
      </c>
      <c r="N662" t="s">
        <v>49</v>
      </c>
      <c r="O662" t="s">
        <v>745</v>
      </c>
      <c r="P662" t="s">
        <v>106</v>
      </c>
      <c r="Q662" t="s">
        <v>128</v>
      </c>
      <c r="R662" t="s">
        <v>37</v>
      </c>
      <c r="S662" t="s">
        <v>129</v>
      </c>
      <c r="T662" t="s">
        <v>55</v>
      </c>
      <c r="U662" t="s">
        <v>56</v>
      </c>
      <c r="V662" t="s">
        <v>56</v>
      </c>
    </row>
    <row r="663" spans="1:22" x14ac:dyDescent="0.3">
      <c r="A663" s="49">
        <v>45539</v>
      </c>
      <c r="B663" t="s">
        <v>645</v>
      </c>
      <c r="C663" t="s">
        <v>646</v>
      </c>
      <c r="D663" t="s">
        <v>24</v>
      </c>
      <c r="E663" t="s">
        <v>746</v>
      </c>
      <c r="F663" t="s">
        <v>747</v>
      </c>
      <c r="G663" t="s">
        <v>748</v>
      </c>
      <c r="H663" t="s">
        <v>28</v>
      </c>
      <c r="I663" t="s">
        <v>749</v>
      </c>
      <c r="J663" t="s">
        <v>63</v>
      </c>
      <c r="K663" t="s">
        <v>64</v>
      </c>
      <c r="L663" t="s">
        <v>32</v>
      </c>
      <c r="M663">
        <v>100</v>
      </c>
      <c r="N663" t="s">
        <v>49</v>
      </c>
      <c r="O663" t="s">
        <v>750</v>
      </c>
      <c r="P663" t="s">
        <v>751</v>
      </c>
      <c r="Q663" t="s">
        <v>752</v>
      </c>
      <c r="R663" t="s">
        <v>37</v>
      </c>
      <c r="S663" t="s">
        <v>753</v>
      </c>
      <c r="T663" t="s">
        <v>55</v>
      </c>
      <c r="U663" t="s">
        <v>56</v>
      </c>
      <c r="V663" t="s">
        <v>56</v>
      </c>
    </row>
    <row r="664" spans="1:22" x14ac:dyDescent="0.3">
      <c r="A664" s="49">
        <v>45539</v>
      </c>
      <c r="B664" t="s">
        <v>645</v>
      </c>
      <c r="C664" t="s">
        <v>646</v>
      </c>
      <c r="D664" t="s">
        <v>24</v>
      </c>
      <c r="E664" t="s">
        <v>754</v>
      </c>
      <c r="F664" t="s">
        <v>755</v>
      </c>
      <c r="G664" t="s">
        <v>756</v>
      </c>
      <c r="H664" t="s">
        <v>28</v>
      </c>
      <c r="I664" t="s">
        <v>757</v>
      </c>
      <c r="J664" t="s">
        <v>63</v>
      </c>
      <c r="K664" t="s">
        <v>211</v>
      </c>
      <c r="L664" t="s">
        <v>32</v>
      </c>
      <c r="M664">
        <v>100</v>
      </c>
      <c r="N664" t="s">
        <v>49</v>
      </c>
      <c r="O664" t="s">
        <v>758</v>
      </c>
      <c r="P664" t="s">
        <v>85</v>
      </c>
      <c r="Q664" t="s">
        <v>759</v>
      </c>
      <c r="R664" t="s">
        <v>37</v>
      </c>
      <c r="S664" t="s">
        <v>760</v>
      </c>
      <c r="T664" t="s">
        <v>55</v>
      </c>
      <c r="U664" t="s">
        <v>56</v>
      </c>
      <c r="V664" t="s">
        <v>56</v>
      </c>
    </row>
    <row r="665" spans="1:22" x14ac:dyDescent="0.3">
      <c r="A665" s="49">
        <v>45539</v>
      </c>
      <c r="B665" t="s">
        <v>645</v>
      </c>
      <c r="C665" t="s">
        <v>646</v>
      </c>
      <c r="D665" t="s">
        <v>24</v>
      </c>
      <c r="E665" t="s">
        <v>174</v>
      </c>
      <c r="F665" t="s">
        <v>175</v>
      </c>
      <c r="G665" t="s">
        <v>761</v>
      </c>
      <c r="H665" t="s">
        <v>89</v>
      </c>
      <c r="J665" t="s">
        <v>63</v>
      </c>
      <c r="K665" t="s">
        <v>64</v>
      </c>
      <c r="L665" t="s">
        <v>32</v>
      </c>
      <c r="M665">
        <v>100</v>
      </c>
      <c r="N665" t="s">
        <v>49</v>
      </c>
      <c r="O665" t="s">
        <v>762</v>
      </c>
      <c r="P665" t="s">
        <v>85</v>
      </c>
      <c r="Q665" t="s">
        <v>491</v>
      </c>
      <c r="R665" t="s">
        <v>37</v>
      </c>
      <c r="S665" t="s">
        <v>763</v>
      </c>
      <c r="T665" t="s">
        <v>55</v>
      </c>
      <c r="U665" t="s">
        <v>56</v>
      </c>
      <c r="V665" t="s">
        <v>56</v>
      </c>
    </row>
    <row r="666" spans="1:22" x14ac:dyDescent="0.3">
      <c r="A666" s="49">
        <v>45539</v>
      </c>
      <c r="B666" t="s">
        <v>645</v>
      </c>
      <c r="C666" t="s">
        <v>646</v>
      </c>
      <c r="D666" t="s">
        <v>24</v>
      </c>
      <c r="E666" t="s">
        <v>174</v>
      </c>
      <c r="F666" t="s">
        <v>175</v>
      </c>
      <c r="G666" t="s">
        <v>764</v>
      </c>
      <c r="H666" t="s">
        <v>89</v>
      </c>
      <c r="I666" t="s">
        <v>761</v>
      </c>
      <c r="J666" t="s">
        <v>63</v>
      </c>
      <c r="K666" t="s">
        <v>64</v>
      </c>
      <c r="L666" t="s">
        <v>32</v>
      </c>
      <c r="M666">
        <v>100</v>
      </c>
      <c r="N666" t="s">
        <v>33</v>
      </c>
      <c r="O666" t="s">
        <v>765</v>
      </c>
      <c r="P666" t="s">
        <v>163</v>
      </c>
      <c r="Q666" t="s">
        <v>766</v>
      </c>
      <c r="R666" t="s">
        <v>37</v>
      </c>
      <c r="S666" t="s">
        <v>767</v>
      </c>
      <c r="T666" t="s">
        <v>55</v>
      </c>
      <c r="U666" t="s">
        <v>56</v>
      </c>
      <c r="V666" t="s">
        <v>56</v>
      </c>
    </row>
    <row r="667" spans="1:22" x14ac:dyDescent="0.3">
      <c r="A667" s="49">
        <v>45539</v>
      </c>
      <c r="B667" t="s">
        <v>645</v>
      </c>
      <c r="C667" t="s">
        <v>646</v>
      </c>
      <c r="D667" t="s">
        <v>24</v>
      </c>
      <c r="E667" t="s">
        <v>234</v>
      </c>
      <c r="F667" t="s">
        <v>235</v>
      </c>
      <c r="G667" t="s">
        <v>768</v>
      </c>
      <c r="H667" t="s">
        <v>28</v>
      </c>
      <c r="I667" t="s">
        <v>769</v>
      </c>
      <c r="J667" t="s">
        <v>63</v>
      </c>
      <c r="K667" t="s">
        <v>64</v>
      </c>
      <c r="L667" t="s">
        <v>32</v>
      </c>
      <c r="M667">
        <v>80</v>
      </c>
      <c r="N667" t="s">
        <v>49</v>
      </c>
      <c r="O667" t="s">
        <v>770</v>
      </c>
      <c r="P667" t="s">
        <v>686</v>
      </c>
      <c r="Q667" t="s">
        <v>771</v>
      </c>
      <c r="R667" t="s">
        <v>37</v>
      </c>
      <c r="S667" t="s">
        <v>772</v>
      </c>
      <c r="T667" t="s">
        <v>55</v>
      </c>
      <c r="U667" t="s">
        <v>56</v>
      </c>
      <c r="V667" t="s">
        <v>56</v>
      </c>
    </row>
    <row r="668" spans="1:22" x14ac:dyDescent="0.3">
      <c r="A668" s="49">
        <v>45539</v>
      </c>
      <c r="B668" t="s">
        <v>645</v>
      </c>
      <c r="C668" t="s">
        <v>646</v>
      </c>
      <c r="D668" t="s">
        <v>24</v>
      </c>
      <c r="E668" t="s">
        <v>234</v>
      </c>
      <c r="F668" t="s">
        <v>235</v>
      </c>
      <c r="G668" t="s">
        <v>773</v>
      </c>
      <c r="H668" t="s">
        <v>28</v>
      </c>
      <c r="I668" t="s">
        <v>769</v>
      </c>
      <c r="J668" t="s">
        <v>63</v>
      </c>
      <c r="K668" t="s">
        <v>64</v>
      </c>
      <c r="L668" t="s">
        <v>32</v>
      </c>
      <c r="M668">
        <v>100</v>
      </c>
      <c r="N668" t="s">
        <v>49</v>
      </c>
      <c r="O668" t="s">
        <v>774</v>
      </c>
      <c r="P668" t="s">
        <v>686</v>
      </c>
      <c r="Q668" t="s">
        <v>771</v>
      </c>
      <c r="R668" t="s">
        <v>37</v>
      </c>
      <c r="S668" t="s">
        <v>775</v>
      </c>
      <c r="T668" t="s">
        <v>55</v>
      </c>
      <c r="U668" t="s">
        <v>56</v>
      </c>
      <c r="V668" t="s">
        <v>56</v>
      </c>
    </row>
    <row r="669" spans="1:22" x14ac:dyDescent="0.3">
      <c r="A669" s="49">
        <v>45539</v>
      </c>
      <c r="B669" t="s">
        <v>645</v>
      </c>
      <c r="C669" t="s">
        <v>646</v>
      </c>
      <c r="D669" t="s">
        <v>24</v>
      </c>
      <c r="E669" t="s">
        <v>776</v>
      </c>
      <c r="F669" t="s">
        <v>777</v>
      </c>
      <c r="G669" t="s">
        <v>778</v>
      </c>
      <c r="H669" t="s">
        <v>28</v>
      </c>
      <c r="I669" t="s">
        <v>779</v>
      </c>
      <c r="J669" t="s">
        <v>30</v>
      </c>
      <c r="K669" t="s">
        <v>31</v>
      </c>
      <c r="L669" t="s">
        <v>780</v>
      </c>
      <c r="M669">
        <v>100</v>
      </c>
      <c r="N669" t="s">
        <v>49</v>
      </c>
      <c r="O669" t="s">
        <v>781</v>
      </c>
      <c r="P669" t="s">
        <v>104</v>
      </c>
      <c r="Q669" t="s">
        <v>782</v>
      </c>
      <c r="R669" t="s">
        <v>783</v>
      </c>
      <c r="S669" t="s">
        <v>784</v>
      </c>
      <c r="T669" t="s">
        <v>55</v>
      </c>
      <c r="U669" t="s">
        <v>56</v>
      </c>
      <c r="V669" t="s">
        <v>56</v>
      </c>
    </row>
    <row r="670" spans="1:22" x14ac:dyDescent="0.3">
      <c r="A670" s="49">
        <v>45539</v>
      </c>
      <c r="B670" t="s">
        <v>645</v>
      </c>
      <c r="C670" t="s">
        <v>646</v>
      </c>
      <c r="D670" t="s">
        <v>24</v>
      </c>
      <c r="E670" t="s">
        <v>776</v>
      </c>
      <c r="F670" t="s">
        <v>777</v>
      </c>
      <c r="G670" t="s">
        <v>778</v>
      </c>
      <c r="H670" t="s">
        <v>28</v>
      </c>
      <c r="I670" t="s">
        <v>779</v>
      </c>
      <c r="J670" t="s">
        <v>30</v>
      </c>
      <c r="K670" t="s">
        <v>31</v>
      </c>
      <c r="L670" t="s">
        <v>780</v>
      </c>
      <c r="M670">
        <v>100</v>
      </c>
      <c r="N670" t="s">
        <v>49</v>
      </c>
      <c r="O670" t="s">
        <v>781</v>
      </c>
      <c r="P670" t="s">
        <v>104</v>
      </c>
      <c r="Q670" t="s">
        <v>782</v>
      </c>
      <c r="R670" t="s">
        <v>783</v>
      </c>
      <c r="S670" t="s">
        <v>784</v>
      </c>
      <c r="T670" t="s">
        <v>55</v>
      </c>
      <c r="U670" t="s">
        <v>56</v>
      </c>
      <c r="V670" t="s">
        <v>56</v>
      </c>
    </row>
    <row r="671" spans="1:22" x14ac:dyDescent="0.3">
      <c r="A671" s="49">
        <v>45539</v>
      </c>
      <c r="B671" t="s">
        <v>645</v>
      </c>
      <c r="C671" t="s">
        <v>646</v>
      </c>
      <c r="D671" t="s">
        <v>24</v>
      </c>
      <c r="E671" t="s">
        <v>785</v>
      </c>
      <c r="F671" t="s">
        <v>786</v>
      </c>
      <c r="G671" t="s">
        <v>787</v>
      </c>
      <c r="H671" t="s">
        <v>28</v>
      </c>
      <c r="I671" t="s">
        <v>788</v>
      </c>
      <c r="J671" t="s">
        <v>30</v>
      </c>
      <c r="K671" t="s">
        <v>481</v>
      </c>
      <c r="L671" t="s">
        <v>789</v>
      </c>
      <c r="M671">
        <v>100</v>
      </c>
      <c r="N671" t="s">
        <v>49</v>
      </c>
      <c r="O671" t="s">
        <v>790</v>
      </c>
      <c r="P671" t="s">
        <v>791</v>
      </c>
      <c r="Q671" t="s">
        <v>792</v>
      </c>
      <c r="R671" t="s">
        <v>37</v>
      </c>
      <c r="S671" t="s">
        <v>793</v>
      </c>
      <c r="T671" t="s">
        <v>39</v>
      </c>
      <c r="U671" t="s">
        <v>40</v>
      </c>
      <c r="V671" t="s">
        <v>41</v>
      </c>
    </row>
    <row r="672" spans="1:22" x14ac:dyDescent="0.3">
      <c r="A672" s="49">
        <v>45539</v>
      </c>
      <c r="B672" t="s">
        <v>645</v>
      </c>
      <c r="C672" t="s">
        <v>646</v>
      </c>
      <c r="D672" t="s">
        <v>24</v>
      </c>
      <c r="E672" t="s">
        <v>794</v>
      </c>
      <c r="F672" t="s">
        <v>795</v>
      </c>
      <c r="G672" t="s">
        <v>796</v>
      </c>
      <c r="H672" t="s">
        <v>28</v>
      </c>
      <c r="I672" t="s">
        <v>797</v>
      </c>
      <c r="J672" t="s">
        <v>30</v>
      </c>
      <c r="K672" t="s">
        <v>264</v>
      </c>
      <c r="L672" t="s">
        <v>351</v>
      </c>
      <c r="M672">
        <v>70</v>
      </c>
      <c r="N672" t="s">
        <v>49</v>
      </c>
      <c r="O672" t="s">
        <v>798</v>
      </c>
      <c r="P672" t="s">
        <v>306</v>
      </c>
      <c r="Q672" t="s">
        <v>683</v>
      </c>
      <c r="R672" t="s">
        <v>37</v>
      </c>
      <c r="S672" t="s">
        <v>799</v>
      </c>
      <c r="T672" t="s">
        <v>55</v>
      </c>
      <c r="U672" t="s">
        <v>56</v>
      </c>
      <c r="V672" t="s">
        <v>56</v>
      </c>
    </row>
    <row r="673" spans="1:22" x14ac:dyDescent="0.3">
      <c r="A673" s="49">
        <v>45539</v>
      </c>
      <c r="B673" t="s">
        <v>645</v>
      </c>
      <c r="C673" t="s">
        <v>646</v>
      </c>
      <c r="D673" t="s">
        <v>173</v>
      </c>
      <c r="E673" t="s">
        <v>800</v>
      </c>
      <c r="F673" t="s">
        <v>419</v>
      </c>
      <c r="G673" t="s">
        <v>801</v>
      </c>
      <c r="H673" t="s">
        <v>28</v>
      </c>
      <c r="I673" t="s">
        <v>802</v>
      </c>
      <c r="J673" t="s">
        <v>30</v>
      </c>
      <c r="K673" t="s">
        <v>422</v>
      </c>
      <c r="L673" t="s">
        <v>803</v>
      </c>
      <c r="M673">
        <v>100</v>
      </c>
      <c r="N673" t="s">
        <v>49</v>
      </c>
      <c r="O673" t="s">
        <v>804</v>
      </c>
      <c r="P673" t="s">
        <v>306</v>
      </c>
      <c r="Q673" t="s">
        <v>805</v>
      </c>
      <c r="R673" t="s">
        <v>37</v>
      </c>
      <c r="S673" t="s">
        <v>806</v>
      </c>
      <c r="T673" t="s">
        <v>55</v>
      </c>
      <c r="U673" t="s">
        <v>56</v>
      </c>
      <c r="V673" t="s">
        <v>56</v>
      </c>
    </row>
    <row r="674" spans="1:22" x14ac:dyDescent="0.3">
      <c r="A674" s="49">
        <v>45539</v>
      </c>
      <c r="B674" t="s">
        <v>645</v>
      </c>
      <c r="C674" t="s">
        <v>646</v>
      </c>
      <c r="D674" t="s">
        <v>24</v>
      </c>
      <c r="E674" t="s">
        <v>807</v>
      </c>
      <c r="F674" t="s">
        <v>808</v>
      </c>
      <c r="G674" t="s">
        <v>809</v>
      </c>
      <c r="H674" t="s">
        <v>89</v>
      </c>
      <c r="J674" t="s">
        <v>63</v>
      </c>
      <c r="K674" t="s">
        <v>64</v>
      </c>
      <c r="L674" t="s">
        <v>32</v>
      </c>
      <c r="M674">
        <v>0</v>
      </c>
      <c r="N674" t="s">
        <v>74</v>
      </c>
      <c r="O674" t="s">
        <v>810</v>
      </c>
      <c r="P674" t="s">
        <v>358</v>
      </c>
      <c r="Q674" t="s">
        <v>92</v>
      </c>
      <c r="R674" t="s">
        <v>37</v>
      </c>
      <c r="S674" t="s">
        <v>811</v>
      </c>
      <c r="T674" t="s">
        <v>55</v>
      </c>
      <c r="U674" t="s">
        <v>56</v>
      </c>
      <c r="V674" t="s">
        <v>56</v>
      </c>
    </row>
    <row r="675" spans="1:22" x14ac:dyDescent="0.3">
      <c r="A675" s="49">
        <v>45539</v>
      </c>
      <c r="B675" t="s">
        <v>645</v>
      </c>
      <c r="C675" t="s">
        <v>646</v>
      </c>
      <c r="D675" t="s">
        <v>24</v>
      </c>
      <c r="E675" t="s">
        <v>812</v>
      </c>
      <c r="F675" t="s">
        <v>813</v>
      </c>
      <c r="G675" t="s">
        <v>814</v>
      </c>
      <c r="H675" t="s">
        <v>89</v>
      </c>
      <c r="J675" t="s">
        <v>63</v>
      </c>
      <c r="K675" t="s">
        <v>197</v>
      </c>
      <c r="L675" t="s">
        <v>32</v>
      </c>
      <c r="M675">
        <v>100</v>
      </c>
      <c r="N675" t="s">
        <v>49</v>
      </c>
      <c r="O675" t="s">
        <v>815</v>
      </c>
      <c r="P675" t="s">
        <v>104</v>
      </c>
      <c r="Q675" t="s">
        <v>816</v>
      </c>
      <c r="R675" t="s">
        <v>37</v>
      </c>
      <c r="S675" t="s">
        <v>817</v>
      </c>
      <c r="T675" t="s">
        <v>55</v>
      </c>
      <c r="U675" t="s">
        <v>56</v>
      </c>
      <c r="V675" t="s">
        <v>56</v>
      </c>
    </row>
    <row r="676" spans="1:22" x14ac:dyDescent="0.3">
      <c r="A676" s="49">
        <v>45539</v>
      </c>
      <c r="B676" t="s">
        <v>645</v>
      </c>
      <c r="C676" t="s">
        <v>646</v>
      </c>
      <c r="D676" t="s">
        <v>24</v>
      </c>
      <c r="E676" t="s">
        <v>818</v>
      </c>
      <c r="F676" t="s">
        <v>819</v>
      </c>
      <c r="G676" t="s">
        <v>820</v>
      </c>
      <c r="H676" t="s">
        <v>28</v>
      </c>
      <c r="I676" t="s">
        <v>821</v>
      </c>
      <c r="J676" t="s">
        <v>46</v>
      </c>
      <c r="K676" t="s">
        <v>422</v>
      </c>
      <c r="L676" t="s">
        <v>32</v>
      </c>
      <c r="M676">
        <v>100</v>
      </c>
      <c r="N676" t="s">
        <v>49</v>
      </c>
      <c r="O676" t="s">
        <v>822</v>
      </c>
      <c r="P676" t="s">
        <v>106</v>
      </c>
      <c r="Q676" t="s">
        <v>353</v>
      </c>
      <c r="R676" t="s">
        <v>37</v>
      </c>
      <c r="S676" t="s">
        <v>823</v>
      </c>
      <c r="T676" t="s">
        <v>55</v>
      </c>
      <c r="U676" t="s">
        <v>56</v>
      </c>
      <c r="V676" t="s">
        <v>56</v>
      </c>
    </row>
    <row r="677" spans="1:22" x14ac:dyDescent="0.3">
      <c r="A677" s="49">
        <v>45539</v>
      </c>
      <c r="B677" t="s">
        <v>645</v>
      </c>
      <c r="C677" t="s">
        <v>646</v>
      </c>
      <c r="D677" t="s">
        <v>24</v>
      </c>
      <c r="E677" t="s">
        <v>818</v>
      </c>
      <c r="F677" t="s">
        <v>819</v>
      </c>
      <c r="G677" t="s">
        <v>820</v>
      </c>
      <c r="H677" t="s">
        <v>28</v>
      </c>
      <c r="I677" t="s">
        <v>821</v>
      </c>
      <c r="J677" t="s">
        <v>46</v>
      </c>
      <c r="K677" t="s">
        <v>422</v>
      </c>
      <c r="L677" t="s">
        <v>32</v>
      </c>
      <c r="M677">
        <v>100</v>
      </c>
      <c r="N677" t="s">
        <v>49</v>
      </c>
      <c r="O677" t="s">
        <v>822</v>
      </c>
      <c r="P677" t="s">
        <v>106</v>
      </c>
      <c r="Q677" t="s">
        <v>353</v>
      </c>
      <c r="R677" t="s">
        <v>37</v>
      </c>
      <c r="S677" t="s">
        <v>823</v>
      </c>
      <c r="T677" t="s">
        <v>55</v>
      </c>
      <c r="U677" t="s">
        <v>56</v>
      </c>
      <c r="V677" t="s">
        <v>56</v>
      </c>
    </row>
    <row r="678" spans="1:22" x14ac:dyDescent="0.3">
      <c r="A678" s="49">
        <v>45539</v>
      </c>
      <c r="B678" t="s">
        <v>645</v>
      </c>
      <c r="C678" t="s">
        <v>646</v>
      </c>
      <c r="D678" t="s">
        <v>24</v>
      </c>
      <c r="E678" t="s">
        <v>824</v>
      </c>
      <c r="F678" t="s">
        <v>825</v>
      </c>
      <c r="G678" t="s">
        <v>826</v>
      </c>
      <c r="H678" t="s">
        <v>28</v>
      </c>
      <c r="I678" t="s">
        <v>827</v>
      </c>
      <c r="J678" t="s">
        <v>46</v>
      </c>
      <c r="K678" t="s">
        <v>481</v>
      </c>
      <c r="L678" t="s">
        <v>564</v>
      </c>
      <c r="M678">
        <v>100</v>
      </c>
      <c r="N678" t="s">
        <v>49</v>
      </c>
      <c r="O678" t="s">
        <v>828</v>
      </c>
      <c r="P678" t="s">
        <v>829</v>
      </c>
      <c r="Q678" t="s">
        <v>830</v>
      </c>
      <c r="R678" t="s">
        <v>37</v>
      </c>
      <c r="S678" t="s">
        <v>831</v>
      </c>
      <c r="T678" t="s">
        <v>55</v>
      </c>
      <c r="U678" t="s">
        <v>56</v>
      </c>
      <c r="V678" t="s">
        <v>56</v>
      </c>
    </row>
    <row r="679" spans="1:22" x14ac:dyDescent="0.3">
      <c r="A679" s="49">
        <v>45539</v>
      </c>
      <c r="B679" t="s">
        <v>645</v>
      </c>
      <c r="C679" t="s">
        <v>646</v>
      </c>
      <c r="D679" t="s">
        <v>24</v>
      </c>
      <c r="E679" t="s">
        <v>832</v>
      </c>
      <c r="F679" t="s">
        <v>576</v>
      </c>
      <c r="G679" t="s">
        <v>833</v>
      </c>
      <c r="H679" t="s">
        <v>28</v>
      </c>
      <c r="I679" t="s">
        <v>834</v>
      </c>
      <c r="J679" t="s">
        <v>30</v>
      </c>
      <c r="K679" t="s">
        <v>31</v>
      </c>
      <c r="L679" t="s">
        <v>351</v>
      </c>
      <c r="M679">
        <v>100</v>
      </c>
      <c r="N679" t="s">
        <v>49</v>
      </c>
      <c r="O679" t="s">
        <v>835</v>
      </c>
      <c r="P679" t="s">
        <v>106</v>
      </c>
      <c r="Q679" t="s">
        <v>836</v>
      </c>
      <c r="R679" t="s">
        <v>37</v>
      </c>
      <c r="S679" t="s">
        <v>837</v>
      </c>
      <c r="T679" t="s">
        <v>39</v>
      </c>
      <c r="U679" t="s">
        <v>40</v>
      </c>
      <c r="V679" t="s">
        <v>41</v>
      </c>
    </row>
    <row r="680" spans="1:22" x14ac:dyDescent="0.3">
      <c r="A680" s="49">
        <v>45539</v>
      </c>
      <c r="B680" t="s">
        <v>645</v>
      </c>
      <c r="C680" t="s">
        <v>646</v>
      </c>
      <c r="D680" t="s">
        <v>24</v>
      </c>
      <c r="E680" t="s">
        <v>838</v>
      </c>
      <c r="F680" t="s">
        <v>839</v>
      </c>
      <c r="G680" t="s">
        <v>840</v>
      </c>
      <c r="H680" t="s">
        <v>28</v>
      </c>
      <c r="I680" t="s">
        <v>841</v>
      </c>
      <c r="J680" t="s">
        <v>63</v>
      </c>
      <c r="K680" t="s">
        <v>197</v>
      </c>
      <c r="L680" t="s">
        <v>32</v>
      </c>
      <c r="M680">
        <v>45</v>
      </c>
      <c r="N680" t="s">
        <v>49</v>
      </c>
      <c r="O680" t="s">
        <v>842</v>
      </c>
      <c r="P680" t="s">
        <v>108</v>
      </c>
      <c r="Q680" t="s">
        <v>683</v>
      </c>
      <c r="R680" t="s">
        <v>37</v>
      </c>
      <c r="S680" t="s">
        <v>843</v>
      </c>
      <c r="T680" t="s">
        <v>55</v>
      </c>
      <c r="U680" t="s">
        <v>56</v>
      </c>
      <c r="V680" t="s">
        <v>56</v>
      </c>
    </row>
    <row r="681" spans="1:22" x14ac:dyDescent="0.3">
      <c r="A681" s="49">
        <v>45539</v>
      </c>
      <c r="B681" t="s">
        <v>645</v>
      </c>
      <c r="C681" t="s">
        <v>646</v>
      </c>
      <c r="D681" t="s">
        <v>24</v>
      </c>
      <c r="E681" t="s">
        <v>838</v>
      </c>
      <c r="F681" t="s">
        <v>839</v>
      </c>
      <c r="G681" t="s">
        <v>840</v>
      </c>
      <c r="H681" t="s">
        <v>28</v>
      </c>
      <c r="I681" t="s">
        <v>841</v>
      </c>
      <c r="J681" t="s">
        <v>63</v>
      </c>
      <c r="K681" t="s">
        <v>197</v>
      </c>
      <c r="L681" t="s">
        <v>32</v>
      </c>
      <c r="M681">
        <v>55</v>
      </c>
      <c r="N681" t="s">
        <v>49</v>
      </c>
      <c r="O681" t="s">
        <v>842</v>
      </c>
      <c r="P681" t="s">
        <v>108</v>
      </c>
      <c r="Q681" t="s">
        <v>683</v>
      </c>
      <c r="R681" t="s">
        <v>37</v>
      </c>
      <c r="S681" t="s">
        <v>843</v>
      </c>
      <c r="T681" t="s">
        <v>55</v>
      </c>
      <c r="U681" t="s">
        <v>56</v>
      </c>
      <c r="V681" t="s">
        <v>56</v>
      </c>
    </row>
    <row r="682" spans="1:22" x14ac:dyDescent="0.3">
      <c r="A682" s="49">
        <v>45539</v>
      </c>
      <c r="B682" t="s">
        <v>645</v>
      </c>
      <c r="C682" t="s">
        <v>646</v>
      </c>
      <c r="D682" t="s">
        <v>24</v>
      </c>
      <c r="E682" t="s">
        <v>838</v>
      </c>
      <c r="F682" t="s">
        <v>839</v>
      </c>
      <c r="G682" t="s">
        <v>840</v>
      </c>
      <c r="H682" t="s">
        <v>28</v>
      </c>
      <c r="I682" t="s">
        <v>841</v>
      </c>
      <c r="J682" t="s">
        <v>63</v>
      </c>
      <c r="K682" t="s">
        <v>197</v>
      </c>
      <c r="L682" t="s">
        <v>32</v>
      </c>
      <c r="M682">
        <v>60</v>
      </c>
      <c r="N682" t="s">
        <v>49</v>
      </c>
      <c r="O682" t="s">
        <v>844</v>
      </c>
      <c r="P682" t="s">
        <v>104</v>
      </c>
      <c r="Q682" t="s">
        <v>683</v>
      </c>
      <c r="R682" t="s">
        <v>37</v>
      </c>
      <c r="S682" t="s">
        <v>843</v>
      </c>
      <c r="T682" t="s">
        <v>55</v>
      </c>
      <c r="U682" t="s">
        <v>56</v>
      </c>
      <c r="V682" t="s">
        <v>56</v>
      </c>
    </row>
    <row r="683" spans="1:22" x14ac:dyDescent="0.3">
      <c r="A683" s="49">
        <v>45539</v>
      </c>
      <c r="B683" t="s">
        <v>645</v>
      </c>
      <c r="C683" t="s">
        <v>646</v>
      </c>
      <c r="D683" t="s">
        <v>24</v>
      </c>
      <c r="E683" t="s">
        <v>845</v>
      </c>
      <c r="F683" t="s">
        <v>846</v>
      </c>
      <c r="G683" t="s">
        <v>847</v>
      </c>
      <c r="H683" t="s">
        <v>28</v>
      </c>
      <c r="I683" t="s">
        <v>848</v>
      </c>
      <c r="J683" t="s">
        <v>63</v>
      </c>
      <c r="K683" t="s">
        <v>849</v>
      </c>
      <c r="L683" t="s">
        <v>32</v>
      </c>
      <c r="M683">
        <v>58</v>
      </c>
      <c r="N683" t="s">
        <v>49</v>
      </c>
      <c r="O683" t="s">
        <v>850</v>
      </c>
      <c r="P683" t="s">
        <v>483</v>
      </c>
      <c r="Q683" t="s">
        <v>851</v>
      </c>
      <c r="R683" t="s">
        <v>852</v>
      </c>
      <c r="S683" t="s">
        <v>853</v>
      </c>
      <c r="T683" t="s">
        <v>39</v>
      </c>
      <c r="U683" t="s">
        <v>40</v>
      </c>
      <c r="V683" t="s">
        <v>41</v>
      </c>
    </row>
    <row r="684" spans="1:22" x14ac:dyDescent="0.3">
      <c r="A684" s="49">
        <v>45539</v>
      </c>
      <c r="B684" t="s">
        <v>645</v>
      </c>
      <c r="C684" t="s">
        <v>646</v>
      </c>
      <c r="D684" t="s">
        <v>24</v>
      </c>
      <c r="E684" t="s">
        <v>854</v>
      </c>
      <c r="F684" t="s">
        <v>855</v>
      </c>
      <c r="G684" t="s">
        <v>856</v>
      </c>
      <c r="H684" t="s">
        <v>28</v>
      </c>
      <c r="J684" t="s">
        <v>46</v>
      </c>
      <c r="K684" t="s">
        <v>481</v>
      </c>
      <c r="L684" t="s">
        <v>857</v>
      </c>
      <c r="M684">
        <v>100</v>
      </c>
      <c r="N684" t="s">
        <v>49</v>
      </c>
      <c r="O684" t="s">
        <v>858</v>
      </c>
      <c r="P684" t="s">
        <v>85</v>
      </c>
      <c r="Q684" t="s">
        <v>567</v>
      </c>
      <c r="R684" t="s">
        <v>859</v>
      </c>
      <c r="S684" t="s">
        <v>860</v>
      </c>
      <c r="T684" t="s">
        <v>55</v>
      </c>
      <c r="U684" t="s">
        <v>56</v>
      </c>
      <c r="V684" t="s">
        <v>56</v>
      </c>
    </row>
    <row r="685" spans="1:22" x14ac:dyDescent="0.3">
      <c r="A685" s="49">
        <v>45539</v>
      </c>
      <c r="B685" t="s">
        <v>645</v>
      </c>
      <c r="C685" t="s">
        <v>646</v>
      </c>
      <c r="D685" t="s">
        <v>24</v>
      </c>
      <c r="E685" t="s">
        <v>854</v>
      </c>
      <c r="F685" t="s">
        <v>855</v>
      </c>
      <c r="G685" t="s">
        <v>856</v>
      </c>
      <c r="H685" t="s">
        <v>28</v>
      </c>
      <c r="J685" t="s">
        <v>46</v>
      </c>
      <c r="K685" t="s">
        <v>481</v>
      </c>
      <c r="L685" t="s">
        <v>857</v>
      </c>
      <c r="M685">
        <v>100</v>
      </c>
      <c r="N685" t="s">
        <v>49</v>
      </c>
      <c r="O685" t="s">
        <v>858</v>
      </c>
      <c r="P685" t="s">
        <v>85</v>
      </c>
      <c r="Q685" t="s">
        <v>567</v>
      </c>
      <c r="R685" t="s">
        <v>859</v>
      </c>
      <c r="S685" t="s">
        <v>860</v>
      </c>
      <c r="T685" t="s">
        <v>55</v>
      </c>
      <c r="U685" t="s">
        <v>56</v>
      </c>
      <c r="V685" t="s">
        <v>56</v>
      </c>
    </row>
    <row r="686" spans="1:22" x14ac:dyDescent="0.3">
      <c r="A686" s="49">
        <v>45539</v>
      </c>
      <c r="B686" t="s">
        <v>645</v>
      </c>
      <c r="C686" t="s">
        <v>646</v>
      </c>
      <c r="D686" t="s">
        <v>24</v>
      </c>
      <c r="E686" t="s">
        <v>854</v>
      </c>
      <c r="F686" t="s">
        <v>855</v>
      </c>
      <c r="G686" t="s">
        <v>856</v>
      </c>
      <c r="H686" t="s">
        <v>28</v>
      </c>
      <c r="J686" t="s">
        <v>46</v>
      </c>
      <c r="K686" t="s">
        <v>481</v>
      </c>
      <c r="L686" t="s">
        <v>857</v>
      </c>
      <c r="M686">
        <v>100</v>
      </c>
      <c r="N686" t="s">
        <v>49</v>
      </c>
      <c r="O686" t="s">
        <v>858</v>
      </c>
      <c r="P686" t="s">
        <v>85</v>
      </c>
      <c r="Q686" t="s">
        <v>567</v>
      </c>
      <c r="R686" t="s">
        <v>859</v>
      </c>
      <c r="S686" t="s">
        <v>860</v>
      </c>
      <c r="T686" t="s">
        <v>55</v>
      </c>
      <c r="U686" t="s">
        <v>56</v>
      </c>
      <c r="V686" t="s">
        <v>56</v>
      </c>
    </row>
    <row r="687" spans="1:22" x14ac:dyDescent="0.3">
      <c r="A687" s="49">
        <v>45539</v>
      </c>
      <c r="B687" t="s">
        <v>645</v>
      </c>
      <c r="C687" t="s">
        <v>646</v>
      </c>
      <c r="D687" t="s">
        <v>24</v>
      </c>
      <c r="E687" t="s">
        <v>854</v>
      </c>
      <c r="F687" t="s">
        <v>855</v>
      </c>
      <c r="G687" t="s">
        <v>856</v>
      </c>
      <c r="H687" t="s">
        <v>28</v>
      </c>
      <c r="J687" t="s">
        <v>46</v>
      </c>
      <c r="K687" t="s">
        <v>481</v>
      </c>
      <c r="L687" t="s">
        <v>857</v>
      </c>
      <c r="M687">
        <v>100</v>
      </c>
      <c r="N687" t="s">
        <v>49</v>
      </c>
      <c r="O687" t="s">
        <v>858</v>
      </c>
      <c r="P687" t="s">
        <v>85</v>
      </c>
      <c r="Q687" t="s">
        <v>567</v>
      </c>
      <c r="R687" t="s">
        <v>859</v>
      </c>
      <c r="S687" t="s">
        <v>860</v>
      </c>
      <c r="T687" t="s">
        <v>55</v>
      </c>
      <c r="U687" t="s">
        <v>56</v>
      </c>
      <c r="V687" t="s">
        <v>56</v>
      </c>
    </row>
    <row r="688" spans="1:22" x14ac:dyDescent="0.3">
      <c r="A688" s="49">
        <v>45539</v>
      </c>
      <c r="B688" t="s">
        <v>645</v>
      </c>
      <c r="C688" t="s">
        <v>646</v>
      </c>
      <c r="D688" t="s">
        <v>24</v>
      </c>
      <c r="E688" t="s">
        <v>854</v>
      </c>
      <c r="F688" t="s">
        <v>855</v>
      </c>
      <c r="G688" t="s">
        <v>856</v>
      </c>
      <c r="H688" t="s">
        <v>28</v>
      </c>
      <c r="J688" t="s">
        <v>46</v>
      </c>
      <c r="K688" t="s">
        <v>481</v>
      </c>
      <c r="L688" t="s">
        <v>857</v>
      </c>
      <c r="M688">
        <v>100</v>
      </c>
      <c r="N688" t="s">
        <v>49</v>
      </c>
      <c r="O688" t="s">
        <v>861</v>
      </c>
      <c r="P688" t="s">
        <v>108</v>
      </c>
      <c r="Q688" t="s">
        <v>567</v>
      </c>
      <c r="R688" t="s">
        <v>859</v>
      </c>
      <c r="S688" t="s">
        <v>860</v>
      </c>
      <c r="T688" t="s">
        <v>55</v>
      </c>
      <c r="U688" t="s">
        <v>56</v>
      </c>
      <c r="V688" t="s">
        <v>56</v>
      </c>
    </row>
    <row r="689" spans="1:22" x14ac:dyDescent="0.3">
      <c r="A689" s="49">
        <v>45539</v>
      </c>
      <c r="B689" t="s">
        <v>645</v>
      </c>
      <c r="C689" t="s">
        <v>646</v>
      </c>
      <c r="D689" t="s">
        <v>24</v>
      </c>
      <c r="E689" t="s">
        <v>854</v>
      </c>
      <c r="F689" t="s">
        <v>855</v>
      </c>
      <c r="G689" t="s">
        <v>856</v>
      </c>
      <c r="H689" t="s">
        <v>28</v>
      </c>
      <c r="J689" t="s">
        <v>46</v>
      </c>
      <c r="K689" t="s">
        <v>481</v>
      </c>
      <c r="L689" t="s">
        <v>857</v>
      </c>
      <c r="M689">
        <v>100</v>
      </c>
      <c r="N689" t="s">
        <v>49</v>
      </c>
      <c r="O689" t="s">
        <v>861</v>
      </c>
      <c r="P689" t="s">
        <v>108</v>
      </c>
      <c r="Q689" t="s">
        <v>567</v>
      </c>
      <c r="R689" t="s">
        <v>859</v>
      </c>
      <c r="S689" t="s">
        <v>860</v>
      </c>
      <c r="T689" t="s">
        <v>55</v>
      </c>
      <c r="U689" t="s">
        <v>56</v>
      </c>
      <c r="V689" t="s">
        <v>56</v>
      </c>
    </row>
    <row r="690" spans="1:22" x14ac:dyDescent="0.3">
      <c r="A690" s="49">
        <v>45539</v>
      </c>
      <c r="B690" t="s">
        <v>645</v>
      </c>
      <c r="C690" t="s">
        <v>646</v>
      </c>
      <c r="D690" t="s">
        <v>24</v>
      </c>
      <c r="E690" t="s">
        <v>854</v>
      </c>
      <c r="F690" t="s">
        <v>855</v>
      </c>
      <c r="G690" t="s">
        <v>856</v>
      </c>
      <c r="H690" t="s">
        <v>28</v>
      </c>
      <c r="J690" t="s">
        <v>46</v>
      </c>
      <c r="K690" t="s">
        <v>481</v>
      </c>
      <c r="L690" t="s">
        <v>857</v>
      </c>
      <c r="M690">
        <v>100</v>
      </c>
      <c r="N690" t="s">
        <v>49</v>
      </c>
      <c r="O690" t="s">
        <v>861</v>
      </c>
      <c r="P690" t="s">
        <v>108</v>
      </c>
      <c r="Q690" t="s">
        <v>567</v>
      </c>
      <c r="R690" t="s">
        <v>859</v>
      </c>
      <c r="S690" t="s">
        <v>860</v>
      </c>
      <c r="T690" t="s">
        <v>55</v>
      </c>
      <c r="U690" t="s">
        <v>56</v>
      </c>
      <c r="V690" t="s">
        <v>56</v>
      </c>
    </row>
    <row r="691" spans="1:22" x14ac:dyDescent="0.3">
      <c r="A691" s="49">
        <v>45539</v>
      </c>
      <c r="B691" t="s">
        <v>645</v>
      </c>
      <c r="C691" t="s">
        <v>646</v>
      </c>
      <c r="D691" t="s">
        <v>24</v>
      </c>
      <c r="E691" t="s">
        <v>854</v>
      </c>
      <c r="F691" t="s">
        <v>855</v>
      </c>
      <c r="G691" t="s">
        <v>856</v>
      </c>
      <c r="H691" t="s">
        <v>28</v>
      </c>
      <c r="J691" t="s">
        <v>46</v>
      </c>
      <c r="K691" t="s">
        <v>481</v>
      </c>
      <c r="L691" t="s">
        <v>857</v>
      </c>
      <c r="M691">
        <v>100</v>
      </c>
      <c r="N691" t="s">
        <v>49</v>
      </c>
      <c r="O691" t="s">
        <v>861</v>
      </c>
      <c r="P691" t="s">
        <v>108</v>
      </c>
      <c r="Q691" t="s">
        <v>567</v>
      </c>
      <c r="R691" t="s">
        <v>859</v>
      </c>
      <c r="S691" t="s">
        <v>860</v>
      </c>
      <c r="T691" t="s">
        <v>55</v>
      </c>
      <c r="U691" t="s">
        <v>56</v>
      </c>
      <c r="V691" t="s">
        <v>56</v>
      </c>
    </row>
    <row r="692" spans="1:22" x14ac:dyDescent="0.3">
      <c r="A692" s="49">
        <v>45539</v>
      </c>
      <c r="B692" t="s">
        <v>645</v>
      </c>
      <c r="C692" t="s">
        <v>646</v>
      </c>
      <c r="D692" t="s">
        <v>24</v>
      </c>
      <c r="E692" t="s">
        <v>854</v>
      </c>
      <c r="F692" t="s">
        <v>855</v>
      </c>
      <c r="G692" t="s">
        <v>856</v>
      </c>
      <c r="H692" t="s">
        <v>28</v>
      </c>
      <c r="J692" t="s">
        <v>46</v>
      </c>
      <c r="K692" t="s">
        <v>481</v>
      </c>
      <c r="L692" t="s">
        <v>857</v>
      </c>
      <c r="M692">
        <v>100</v>
      </c>
      <c r="N692" t="s">
        <v>49</v>
      </c>
      <c r="O692" t="s">
        <v>858</v>
      </c>
      <c r="P692" t="s">
        <v>85</v>
      </c>
      <c r="Q692" t="s">
        <v>567</v>
      </c>
      <c r="R692" t="s">
        <v>859</v>
      </c>
      <c r="S692" t="s">
        <v>860</v>
      </c>
      <c r="T692" t="s">
        <v>55</v>
      </c>
      <c r="U692" t="s">
        <v>56</v>
      </c>
      <c r="V692" t="s">
        <v>56</v>
      </c>
    </row>
    <row r="693" spans="1:22" x14ac:dyDescent="0.3">
      <c r="A693" s="49">
        <v>45539</v>
      </c>
      <c r="B693" t="s">
        <v>645</v>
      </c>
      <c r="C693" t="s">
        <v>646</v>
      </c>
      <c r="D693" t="s">
        <v>24</v>
      </c>
      <c r="E693" t="s">
        <v>862</v>
      </c>
      <c r="F693" t="s">
        <v>863</v>
      </c>
      <c r="G693" t="s">
        <v>864</v>
      </c>
      <c r="H693" t="s">
        <v>28</v>
      </c>
      <c r="I693" t="s">
        <v>865</v>
      </c>
      <c r="J693" t="s">
        <v>63</v>
      </c>
      <c r="K693" t="s">
        <v>64</v>
      </c>
      <c r="L693" t="s">
        <v>32</v>
      </c>
      <c r="M693">
        <v>12</v>
      </c>
      <c r="N693" t="s">
        <v>49</v>
      </c>
      <c r="O693" t="s">
        <v>866</v>
      </c>
      <c r="P693" t="s">
        <v>668</v>
      </c>
      <c r="Q693" t="s">
        <v>867</v>
      </c>
      <c r="R693" t="s">
        <v>37</v>
      </c>
      <c r="S693" t="s">
        <v>868</v>
      </c>
      <c r="T693" t="s">
        <v>39</v>
      </c>
      <c r="U693" t="s">
        <v>40</v>
      </c>
      <c r="V693" t="s">
        <v>41</v>
      </c>
    </row>
    <row r="694" spans="1:22" x14ac:dyDescent="0.3">
      <c r="A694" s="49">
        <v>45539</v>
      </c>
      <c r="B694" t="s">
        <v>645</v>
      </c>
      <c r="C694" t="s">
        <v>646</v>
      </c>
      <c r="D694" t="s">
        <v>173</v>
      </c>
      <c r="E694" t="s">
        <v>869</v>
      </c>
      <c r="F694" t="s">
        <v>870</v>
      </c>
      <c r="G694" t="s">
        <v>871</v>
      </c>
      <c r="H694" t="s">
        <v>89</v>
      </c>
      <c r="J694" t="s">
        <v>63</v>
      </c>
      <c r="K694" t="s">
        <v>64</v>
      </c>
      <c r="L694" t="s">
        <v>32</v>
      </c>
      <c r="M694">
        <v>100</v>
      </c>
      <c r="N694" t="s">
        <v>49</v>
      </c>
      <c r="O694" t="s">
        <v>872</v>
      </c>
      <c r="P694" t="s">
        <v>873</v>
      </c>
      <c r="Q694" t="s">
        <v>874</v>
      </c>
      <c r="R694" t="s">
        <v>37</v>
      </c>
      <c r="S694" t="s">
        <v>875</v>
      </c>
      <c r="T694" t="s">
        <v>55</v>
      </c>
      <c r="U694" t="s">
        <v>56</v>
      </c>
      <c r="V694" t="s">
        <v>56</v>
      </c>
    </row>
    <row r="695" spans="1:22" x14ac:dyDescent="0.3">
      <c r="A695" s="49">
        <v>45539</v>
      </c>
      <c r="B695" t="s">
        <v>645</v>
      </c>
      <c r="C695" t="s">
        <v>646</v>
      </c>
      <c r="D695" t="s">
        <v>24</v>
      </c>
      <c r="E695" t="s">
        <v>376</v>
      </c>
      <c r="F695" t="s">
        <v>377</v>
      </c>
      <c r="G695" t="s">
        <v>876</v>
      </c>
      <c r="H695" t="s">
        <v>28</v>
      </c>
      <c r="J695" t="s">
        <v>63</v>
      </c>
      <c r="K695" t="s">
        <v>414</v>
      </c>
      <c r="L695" t="s">
        <v>32</v>
      </c>
      <c r="M695">
        <v>90</v>
      </c>
      <c r="N695" t="s">
        <v>49</v>
      </c>
      <c r="O695" t="s">
        <v>877</v>
      </c>
      <c r="P695" t="s">
        <v>878</v>
      </c>
      <c r="Q695" t="s">
        <v>376</v>
      </c>
      <c r="R695" t="s">
        <v>37</v>
      </c>
      <c r="S695" t="s">
        <v>879</v>
      </c>
      <c r="T695" t="s">
        <v>39</v>
      </c>
      <c r="U695" t="s">
        <v>40</v>
      </c>
      <c r="V695" t="s">
        <v>41</v>
      </c>
    </row>
    <row r="696" spans="1:22" x14ac:dyDescent="0.3">
      <c r="A696" s="49">
        <v>45539</v>
      </c>
      <c r="B696" t="s">
        <v>645</v>
      </c>
      <c r="C696" t="s">
        <v>646</v>
      </c>
      <c r="D696" t="s">
        <v>24</v>
      </c>
      <c r="E696" t="s">
        <v>376</v>
      </c>
      <c r="F696" t="s">
        <v>377</v>
      </c>
      <c r="G696" t="s">
        <v>379</v>
      </c>
      <c r="H696" t="s">
        <v>28</v>
      </c>
      <c r="I696" t="s">
        <v>582</v>
      </c>
      <c r="J696" t="s">
        <v>46</v>
      </c>
      <c r="K696" t="s">
        <v>880</v>
      </c>
      <c r="L696" t="s">
        <v>32</v>
      </c>
      <c r="M696">
        <v>60</v>
      </c>
      <c r="N696" t="s">
        <v>33</v>
      </c>
      <c r="O696" t="s">
        <v>881</v>
      </c>
      <c r="P696" t="s">
        <v>170</v>
      </c>
      <c r="Q696" t="s">
        <v>882</v>
      </c>
      <c r="R696" t="s">
        <v>37</v>
      </c>
      <c r="S696" t="s">
        <v>883</v>
      </c>
      <c r="T696" t="s">
        <v>39</v>
      </c>
      <c r="U696" t="s">
        <v>40</v>
      </c>
      <c r="V696" t="s">
        <v>41</v>
      </c>
    </row>
    <row r="697" spans="1:22" x14ac:dyDescent="0.3">
      <c r="A697" s="49">
        <v>45539</v>
      </c>
      <c r="B697" t="s">
        <v>645</v>
      </c>
      <c r="C697" t="s">
        <v>646</v>
      </c>
      <c r="D697" t="s">
        <v>24</v>
      </c>
      <c r="E697" t="s">
        <v>376</v>
      </c>
      <c r="F697" t="s">
        <v>377</v>
      </c>
      <c r="G697" t="s">
        <v>379</v>
      </c>
      <c r="H697" t="s">
        <v>28</v>
      </c>
      <c r="I697" t="s">
        <v>582</v>
      </c>
      <c r="J697" t="s">
        <v>46</v>
      </c>
      <c r="K697" t="s">
        <v>880</v>
      </c>
      <c r="L697" t="s">
        <v>32</v>
      </c>
      <c r="M697">
        <v>5</v>
      </c>
      <c r="N697" t="s">
        <v>33</v>
      </c>
      <c r="O697" t="s">
        <v>884</v>
      </c>
      <c r="P697" t="s">
        <v>51</v>
      </c>
      <c r="Q697" t="s">
        <v>882</v>
      </c>
      <c r="R697" t="s">
        <v>37</v>
      </c>
      <c r="S697" t="s">
        <v>883</v>
      </c>
      <c r="T697" t="s">
        <v>39</v>
      </c>
      <c r="U697" t="s">
        <v>40</v>
      </c>
      <c r="V697" t="s">
        <v>41</v>
      </c>
    </row>
    <row r="698" spans="1:22" x14ac:dyDescent="0.3">
      <c r="A698" s="49">
        <v>45539</v>
      </c>
      <c r="B698" t="s">
        <v>645</v>
      </c>
      <c r="C698" t="s">
        <v>646</v>
      </c>
      <c r="D698" t="s">
        <v>24</v>
      </c>
      <c r="E698" t="s">
        <v>885</v>
      </c>
      <c r="F698" t="s">
        <v>886</v>
      </c>
      <c r="G698" t="s">
        <v>887</v>
      </c>
      <c r="H698" t="s">
        <v>89</v>
      </c>
      <c r="J698" t="s">
        <v>63</v>
      </c>
      <c r="K698" t="s">
        <v>64</v>
      </c>
      <c r="L698" t="s">
        <v>32</v>
      </c>
      <c r="M698">
        <v>60</v>
      </c>
      <c r="N698" t="s">
        <v>33</v>
      </c>
      <c r="O698" t="s">
        <v>888</v>
      </c>
      <c r="P698" t="s">
        <v>373</v>
      </c>
      <c r="Q698" t="s">
        <v>889</v>
      </c>
      <c r="R698" t="s">
        <v>37</v>
      </c>
      <c r="S698" t="s">
        <v>890</v>
      </c>
      <c r="T698" t="s">
        <v>55</v>
      </c>
      <c r="U698" t="s">
        <v>56</v>
      </c>
      <c r="V698" t="s">
        <v>56</v>
      </c>
    </row>
    <row r="699" spans="1:22" x14ac:dyDescent="0.3">
      <c r="A699" s="49">
        <v>45539</v>
      </c>
      <c r="B699" t="s">
        <v>891</v>
      </c>
      <c r="C699" t="s">
        <v>892</v>
      </c>
      <c r="D699" t="s">
        <v>173</v>
      </c>
      <c r="E699" t="s">
        <v>893</v>
      </c>
      <c r="F699" t="s">
        <v>894</v>
      </c>
      <c r="G699" t="s">
        <v>895</v>
      </c>
      <c r="H699" t="s">
        <v>28</v>
      </c>
      <c r="I699" t="s">
        <v>896</v>
      </c>
      <c r="J699" t="s">
        <v>63</v>
      </c>
      <c r="K699" t="s">
        <v>64</v>
      </c>
      <c r="L699" t="s">
        <v>32</v>
      </c>
      <c r="M699">
        <v>55</v>
      </c>
      <c r="N699" t="s">
        <v>49</v>
      </c>
      <c r="O699" t="s">
        <v>897</v>
      </c>
      <c r="P699" t="s">
        <v>416</v>
      </c>
      <c r="Q699" t="s">
        <v>889</v>
      </c>
      <c r="R699" t="s">
        <v>37</v>
      </c>
      <c r="S699" t="s">
        <v>898</v>
      </c>
      <c r="T699" t="s">
        <v>55</v>
      </c>
      <c r="U699" t="s">
        <v>56</v>
      </c>
      <c r="V699" t="s">
        <v>56</v>
      </c>
    </row>
    <row r="700" spans="1:22" x14ac:dyDescent="0.3">
      <c r="A700" s="49">
        <v>45539</v>
      </c>
      <c r="B700" t="s">
        <v>645</v>
      </c>
      <c r="C700" t="s">
        <v>646</v>
      </c>
      <c r="D700" t="s">
        <v>24</v>
      </c>
      <c r="E700" t="s">
        <v>899</v>
      </c>
      <c r="F700" t="s">
        <v>900</v>
      </c>
      <c r="G700" t="s">
        <v>901</v>
      </c>
      <c r="H700" t="s">
        <v>28</v>
      </c>
      <c r="I700" t="s">
        <v>902</v>
      </c>
      <c r="J700" t="s">
        <v>63</v>
      </c>
      <c r="K700" t="s">
        <v>64</v>
      </c>
      <c r="L700" t="s">
        <v>32</v>
      </c>
      <c r="M700">
        <v>33</v>
      </c>
      <c r="N700" t="s">
        <v>33</v>
      </c>
      <c r="O700" t="s">
        <v>903</v>
      </c>
      <c r="P700" t="s">
        <v>904</v>
      </c>
      <c r="Q700" t="s">
        <v>905</v>
      </c>
      <c r="R700" t="s">
        <v>37</v>
      </c>
      <c r="S700" t="s">
        <v>906</v>
      </c>
      <c r="T700" t="s">
        <v>55</v>
      </c>
      <c r="U700" t="s">
        <v>56</v>
      </c>
      <c r="V700" t="s">
        <v>56</v>
      </c>
    </row>
    <row r="701" spans="1:22" x14ac:dyDescent="0.3">
      <c r="A701" s="49">
        <v>45539</v>
      </c>
      <c r="B701" t="s">
        <v>645</v>
      </c>
      <c r="C701" t="s">
        <v>646</v>
      </c>
      <c r="D701" t="s">
        <v>24</v>
      </c>
      <c r="E701" t="s">
        <v>907</v>
      </c>
      <c r="F701" t="s">
        <v>908</v>
      </c>
      <c r="G701" t="s">
        <v>909</v>
      </c>
      <c r="H701" t="s">
        <v>28</v>
      </c>
      <c r="I701" t="s">
        <v>910</v>
      </c>
      <c r="J701" t="s">
        <v>46</v>
      </c>
      <c r="K701" t="s">
        <v>911</v>
      </c>
      <c r="L701" t="s">
        <v>912</v>
      </c>
      <c r="M701">
        <v>90</v>
      </c>
      <c r="N701" t="s">
        <v>33</v>
      </c>
      <c r="O701" t="s">
        <v>913</v>
      </c>
      <c r="P701" t="s">
        <v>76</v>
      </c>
      <c r="Q701" t="s">
        <v>914</v>
      </c>
      <c r="R701" t="s">
        <v>37</v>
      </c>
      <c r="S701" t="s">
        <v>915</v>
      </c>
      <c r="T701" t="s">
        <v>55</v>
      </c>
      <c r="U701" t="s">
        <v>56</v>
      </c>
      <c r="V701" t="s">
        <v>56</v>
      </c>
    </row>
    <row r="702" spans="1:22" x14ac:dyDescent="0.3">
      <c r="A702" s="49">
        <v>45539</v>
      </c>
      <c r="B702" t="s">
        <v>645</v>
      </c>
      <c r="C702" t="s">
        <v>646</v>
      </c>
      <c r="D702" t="s">
        <v>24</v>
      </c>
      <c r="E702" t="s">
        <v>916</v>
      </c>
      <c r="F702" t="s">
        <v>917</v>
      </c>
      <c r="G702" t="s">
        <v>918</v>
      </c>
      <c r="H702" t="s">
        <v>89</v>
      </c>
      <c r="I702" t="s">
        <v>919</v>
      </c>
      <c r="J702" t="s">
        <v>46</v>
      </c>
      <c r="K702" t="s">
        <v>422</v>
      </c>
      <c r="L702" t="s">
        <v>803</v>
      </c>
      <c r="M702">
        <v>100</v>
      </c>
      <c r="N702" t="s">
        <v>49</v>
      </c>
      <c r="O702" t="s">
        <v>920</v>
      </c>
      <c r="P702" t="s">
        <v>306</v>
      </c>
      <c r="Q702" t="s">
        <v>921</v>
      </c>
      <c r="R702" t="s">
        <v>922</v>
      </c>
      <c r="S702" t="s">
        <v>923</v>
      </c>
      <c r="T702" t="s">
        <v>55</v>
      </c>
      <c r="U702" t="s">
        <v>56</v>
      </c>
      <c r="V702" t="s">
        <v>56</v>
      </c>
    </row>
    <row r="703" spans="1:22" x14ac:dyDescent="0.3">
      <c r="A703" s="49">
        <v>45539</v>
      </c>
      <c r="B703" t="s">
        <v>645</v>
      </c>
      <c r="C703" t="s">
        <v>646</v>
      </c>
      <c r="D703" t="s">
        <v>173</v>
      </c>
      <c r="E703" t="s">
        <v>924</v>
      </c>
      <c r="F703" t="s">
        <v>925</v>
      </c>
      <c r="G703" t="s">
        <v>926</v>
      </c>
      <c r="H703" t="s">
        <v>28</v>
      </c>
      <c r="I703" t="s">
        <v>927</v>
      </c>
      <c r="J703" t="s">
        <v>46</v>
      </c>
      <c r="K703" t="s">
        <v>481</v>
      </c>
      <c r="L703" t="s">
        <v>32</v>
      </c>
      <c r="M703">
        <v>10</v>
      </c>
      <c r="N703" t="s">
        <v>49</v>
      </c>
      <c r="O703" t="s">
        <v>928</v>
      </c>
      <c r="P703" t="s">
        <v>314</v>
      </c>
      <c r="Q703" t="s">
        <v>929</v>
      </c>
      <c r="R703" t="s">
        <v>37</v>
      </c>
      <c r="S703" t="s">
        <v>930</v>
      </c>
      <c r="T703" t="s">
        <v>55</v>
      </c>
      <c r="U703" t="s">
        <v>56</v>
      </c>
      <c r="V703" t="s">
        <v>56</v>
      </c>
    </row>
    <row r="704" spans="1:22" x14ac:dyDescent="0.3">
      <c r="A704" s="49">
        <v>45539</v>
      </c>
      <c r="B704" t="s">
        <v>645</v>
      </c>
      <c r="C704" t="s">
        <v>646</v>
      </c>
      <c r="D704" t="s">
        <v>24</v>
      </c>
      <c r="E704" t="s">
        <v>931</v>
      </c>
      <c r="F704" t="s">
        <v>932</v>
      </c>
      <c r="G704" t="s">
        <v>933</v>
      </c>
      <c r="H704" t="s">
        <v>28</v>
      </c>
      <c r="I704" t="s">
        <v>934</v>
      </c>
      <c r="J704" t="s">
        <v>63</v>
      </c>
      <c r="K704" t="s">
        <v>197</v>
      </c>
      <c r="L704" t="s">
        <v>32</v>
      </c>
      <c r="M704">
        <v>100</v>
      </c>
      <c r="N704" t="s">
        <v>49</v>
      </c>
      <c r="O704" t="s">
        <v>935</v>
      </c>
      <c r="P704" t="s">
        <v>85</v>
      </c>
      <c r="Q704" t="s">
        <v>936</v>
      </c>
      <c r="R704" t="s">
        <v>37</v>
      </c>
      <c r="S704" t="s">
        <v>937</v>
      </c>
      <c r="T704" t="s">
        <v>39</v>
      </c>
      <c r="U704" t="s">
        <v>40</v>
      </c>
      <c r="V704" t="s">
        <v>41</v>
      </c>
    </row>
    <row r="705" spans="1:22" x14ac:dyDescent="0.3">
      <c r="A705" s="49">
        <v>45539</v>
      </c>
      <c r="B705" t="s">
        <v>645</v>
      </c>
      <c r="C705" t="s">
        <v>646</v>
      </c>
      <c r="D705" t="s">
        <v>24</v>
      </c>
      <c r="E705" t="s">
        <v>938</v>
      </c>
      <c r="F705" t="s">
        <v>939</v>
      </c>
      <c r="G705" t="s">
        <v>940</v>
      </c>
      <c r="H705" t="s">
        <v>28</v>
      </c>
      <c r="I705" t="s">
        <v>941</v>
      </c>
      <c r="J705" t="s">
        <v>63</v>
      </c>
      <c r="K705" t="s">
        <v>64</v>
      </c>
      <c r="L705" t="s">
        <v>32</v>
      </c>
      <c r="M705">
        <v>10</v>
      </c>
      <c r="N705" t="s">
        <v>49</v>
      </c>
      <c r="O705" t="s">
        <v>942</v>
      </c>
      <c r="P705" t="s">
        <v>85</v>
      </c>
      <c r="Q705" t="s">
        <v>669</v>
      </c>
      <c r="R705" t="s">
        <v>37</v>
      </c>
      <c r="S705" t="s">
        <v>943</v>
      </c>
      <c r="T705" t="s">
        <v>55</v>
      </c>
      <c r="U705" t="s">
        <v>56</v>
      </c>
      <c r="V705" t="s">
        <v>56</v>
      </c>
    </row>
    <row r="706" spans="1:22" x14ac:dyDescent="0.3">
      <c r="A706" s="49">
        <v>45539</v>
      </c>
      <c r="B706" t="s">
        <v>645</v>
      </c>
      <c r="C706" t="s">
        <v>646</v>
      </c>
      <c r="D706" t="s">
        <v>24</v>
      </c>
      <c r="E706" t="s">
        <v>944</v>
      </c>
      <c r="F706" t="s">
        <v>945</v>
      </c>
      <c r="G706" t="s">
        <v>946</v>
      </c>
      <c r="H706" t="s">
        <v>28</v>
      </c>
      <c r="I706" t="s">
        <v>947</v>
      </c>
      <c r="J706" t="s">
        <v>46</v>
      </c>
      <c r="K706" t="s">
        <v>481</v>
      </c>
      <c r="L706" t="s">
        <v>32</v>
      </c>
      <c r="M706">
        <v>100</v>
      </c>
      <c r="N706" t="s">
        <v>49</v>
      </c>
      <c r="O706" t="s">
        <v>948</v>
      </c>
      <c r="P706" t="s">
        <v>344</v>
      </c>
      <c r="Q706" t="s">
        <v>949</v>
      </c>
      <c r="R706" t="s">
        <v>37</v>
      </c>
      <c r="S706" t="s">
        <v>950</v>
      </c>
      <c r="T706" t="s">
        <v>55</v>
      </c>
      <c r="U706" t="s">
        <v>56</v>
      </c>
      <c r="V706" t="s">
        <v>56</v>
      </c>
    </row>
    <row r="707" spans="1:22" x14ac:dyDescent="0.3">
      <c r="A707" s="49">
        <v>45539</v>
      </c>
      <c r="B707" t="s">
        <v>645</v>
      </c>
      <c r="C707" t="s">
        <v>646</v>
      </c>
      <c r="D707" t="s">
        <v>24</v>
      </c>
      <c r="E707" t="s">
        <v>951</v>
      </c>
      <c r="F707" t="s">
        <v>952</v>
      </c>
      <c r="G707" t="s">
        <v>953</v>
      </c>
      <c r="H707" t="s">
        <v>28</v>
      </c>
      <c r="I707" t="s">
        <v>954</v>
      </c>
      <c r="J707" t="s">
        <v>63</v>
      </c>
      <c r="K707" t="s">
        <v>64</v>
      </c>
      <c r="L707" t="s">
        <v>32</v>
      </c>
      <c r="M707">
        <v>100</v>
      </c>
      <c r="N707" t="s">
        <v>49</v>
      </c>
      <c r="O707" t="s">
        <v>955</v>
      </c>
      <c r="P707" t="s">
        <v>956</v>
      </c>
      <c r="Q707" t="s">
        <v>957</v>
      </c>
      <c r="R707" t="s">
        <v>37</v>
      </c>
      <c r="S707" t="s">
        <v>958</v>
      </c>
      <c r="T707" t="s">
        <v>55</v>
      </c>
      <c r="U707" t="s">
        <v>56</v>
      </c>
      <c r="V707" t="s">
        <v>56</v>
      </c>
    </row>
    <row r="708" spans="1:22" x14ac:dyDescent="0.3">
      <c r="A708" s="49">
        <v>45539</v>
      </c>
      <c r="B708" t="s">
        <v>645</v>
      </c>
      <c r="C708" t="s">
        <v>646</v>
      </c>
      <c r="D708" t="s">
        <v>24</v>
      </c>
      <c r="E708" t="s">
        <v>951</v>
      </c>
      <c r="F708" t="s">
        <v>952</v>
      </c>
      <c r="G708" t="s">
        <v>953</v>
      </c>
      <c r="H708" t="s">
        <v>28</v>
      </c>
      <c r="I708" t="s">
        <v>954</v>
      </c>
      <c r="J708" t="s">
        <v>63</v>
      </c>
      <c r="K708" t="s">
        <v>64</v>
      </c>
      <c r="L708" t="s">
        <v>32</v>
      </c>
      <c r="M708">
        <v>100</v>
      </c>
      <c r="N708" t="s">
        <v>49</v>
      </c>
      <c r="O708" t="s">
        <v>955</v>
      </c>
      <c r="P708" t="s">
        <v>956</v>
      </c>
      <c r="Q708" t="s">
        <v>957</v>
      </c>
      <c r="R708" t="s">
        <v>37</v>
      </c>
      <c r="S708" t="s">
        <v>958</v>
      </c>
      <c r="T708" t="s">
        <v>55</v>
      </c>
      <c r="U708" t="s">
        <v>56</v>
      </c>
      <c r="V708" t="s">
        <v>56</v>
      </c>
    </row>
    <row r="709" spans="1:22" x14ac:dyDescent="0.3">
      <c r="A709" s="49">
        <v>45539</v>
      </c>
      <c r="B709" t="s">
        <v>645</v>
      </c>
      <c r="C709" t="s">
        <v>646</v>
      </c>
      <c r="D709" t="s">
        <v>24</v>
      </c>
      <c r="E709" t="s">
        <v>951</v>
      </c>
      <c r="F709" t="s">
        <v>952</v>
      </c>
      <c r="G709" t="s">
        <v>953</v>
      </c>
      <c r="H709" t="s">
        <v>28</v>
      </c>
      <c r="I709" t="s">
        <v>954</v>
      </c>
      <c r="J709" t="s">
        <v>63</v>
      </c>
      <c r="K709" t="s">
        <v>64</v>
      </c>
      <c r="L709" t="s">
        <v>32</v>
      </c>
      <c r="M709">
        <v>100</v>
      </c>
      <c r="N709" t="s">
        <v>49</v>
      </c>
      <c r="O709" t="s">
        <v>955</v>
      </c>
      <c r="P709" t="s">
        <v>956</v>
      </c>
      <c r="Q709" t="s">
        <v>957</v>
      </c>
      <c r="R709" t="s">
        <v>37</v>
      </c>
      <c r="S709" t="s">
        <v>958</v>
      </c>
      <c r="T709" t="s">
        <v>55</v>
      </c>
      <c r="U709" t="s">
        <v>56</v>
      </c>
      <c r="V709" t="s">
        <v>56</v>
      </c>
    </row>
    <row r="710" spans="1:22" x14ac:dyDescent="0.3">
      <c r="A710" s="49">
        <v>45539</v>
      </c>
      <c r="B710" t="s">
        <v>645</v>
      </c>
      <c r="C710" t="s">
        <v>646</v>
      </c>
      <c r="D710" t="s">
        <v>24</v>
      </c>
      <c r="E710" t="s">
        <v>951</v>
      </c>
      <c r="F710" t="s">
        <v>952</v>
      </c>
      <c r="G710" t="s">
        <v>953</v>
      </c>
      <c r="H710" t="s">
        <v>28</v>
      </c>
      <c r="I710" t="s">
        <v>954</v>
      </c>
      <c r="J710" t="s">
        <v>63</v>
      </c>
      <c r="K710" t="s">
        <v>64</v>
      </c>
      <c r="L710" t="s">
        <v>32</v>
      </c>
      <c r="M710">
        <v>100</v>
      </c>
      <c r="N710" t="s">
        <v>49</v>
      </c>
      <c r="O710" t="s">
        <v>955</v>
      </c>
      <c r="P710" t="s">
        <v>956</v>
      </c>
      <c r="Q710" t="s">
        <v>957</v>
      </c>
      <c r="R710" t="s">
        <v>37</v>
      </c>
      <c r="S710" t="s">
        <v>959</v>
      </c>
      <c r="T710" t="s">
        <v>55</v>
      </c>
      <c r="U710" t="s">
        <v>56</v>
      </c>
      <c r="V710" t="s">
        <v>56</v>
      </c>
    </row>
    <row r="711" spans="1:22" x14ac:dyDescent="0.3">
      <c r="A711" s="49">
        <v>45519</v>
      </c>
      <c r="B711" t="s">
        <v>457</v>
      </c>
      <c r="C711" t="s">
        <v>458</v>
      </c>
      <c r="D711" t="s">
        <v>24</v>
      </c>
      <c r="E711" t="s">
        <v>459</v>
      </c>
      <c r="F711" t="s">
        <v>460</v>
      </c>
      <c r="G711" t="s">
        <v>461</v>
      </c>
      <c r="H711" t="s">
        <v>89</v>
      </c>
      <c r="I711" t="s">
        <v>462</v>
      </c>
      <c r="J711" t="s">
        <v>63</v>
      </c>
      <c r="K711" t="s">
        <v>463</v>
      </c>
      <c r="L711" t="s">
        <v>464</v>
      </c>
      <c r="M711">
        <v>70</v>
      </c>
      <c r="N711" t="s">
        <v>33</v>
      </c>
      <c r="O711" t="s">
        <v>465</v>
      </c>
      <c r="P711" t="s">
        <v>466</v>
      </c>
      <c r="Q711" t="s">
        <v>467</v>
      </c>
      <c r="R711" t="s">
        <v>337</v>
      </c>
      <c r="S711" t="s">
        <v>468</v>
      </c>
      <c r="T711" t="s">
        <v>39</v>
      </c>
      <c r="U711" t="s">
        <v>40</v>
      </c>
      <c r="V711" t="s">
        <v>41</v>
      </c>
    </row>
    <row r="712" spans="1:22" x14ac:dyDescent="0.3">
      <c r="A712" s="49">
        <v>45519</v>
      </c>
      <c r="B712" t="s">
        <v>457</v>
      </c>
      <c r="C712" t="s">
        <v>458</v>
      </c>
      <c r="D712" t="s">
        <v>24</v>
      </c>
      <c r="E712" t="s">
        <v>469</v>
      </c>
      <c r="F712" t="s">
        <v>470</v>
      </c>
      <c r="G712" t="s">
        <v>471</v>
      </c>
      <c r="H712" t="s">
        <v>89</v>
      </c>
      <c r="I712" t="s">
        <v>472</v>
      </c>
      <c r="J712" t="s">
        <v>63</v>
      </c>
      <c r="K712" t="s">
        <v>463</v>
      </c>
      <c r="L712" t="s">
        <v>464</v>
      </c>
      <c r="M712">
        <v>40</v>
      </c>
      <c r="N712" t="s">
        <v>33</v>
      </c>
      <c r="O712" t="s">
        <v>473</v>
      </c>
      <c r="P712" t="s">
        <v>474</v>
      </c>
      <c r="Q712" t="s">
        <v>475</v>
      </c>
      <c r="R712" t="s">
        <v>337</v>
      </c>
      <c r="S712" t="s">
        <v>476</v>
      </c>
      <c r="T712" t="s">
        <v>55</v>
      </c>
      <c r="U712" t="s">
        <v>56</v>
      </c>
      <c r="V712" t="s">
        <v>56</v>
      </c>
    </row>
    <row r="713" spans="1:22" x14ac:dyDescent="0.3">
      <c r="A713" s="49">
        <v>45519</v>
      </c>
      <c r="B713" t="s">
        <v>457</v>
      </c>
      <c r="C713" t="s">
        <v>458</v>
      </c>
      <c r="D713" t="s">
        <v>24</v>
      </c>
      <c r="E713" t="s">
        <v>477</v>
      </c>
      <c r="F713" t="s">
        <v>478</v>
      </c>
      <c r="G713" t="s">
        <v>479</v>
      </c>
      <c r="H713" t="s">
        <v>28</v>
      </c>
      <c r="I713" t="s">
        <v>480</v>
      </c>
      <c r="J713" t="s">
        <v>46</v>
      </c>
      <c r="K713" t="s">
        <v>481</v>
      </c>
      <c r="L713" t="s">
        <v>32</v>
      </c>
      <c r="M713">
        <v>70</v>
      </c>
      <c r="N713" t="s">
        <v>33</v>
      </c>
      <c r="O713" t="s">
        <v>482</v>
      </c>
      <c r="P713" t="s">
        <v>483</v>
      </c>
      <c r="Q713" t="s">
        <v>484</v>
      </c>
      <c r="R713" t="s">
        <v>37</v>
      </c>
      <c r="S713" t="s">
        <v>485</v>
      </c>
      <c r="T713" t="s">
        <v>55</v>
      </c>
      <c r="U713" t="s">
        <v>56</v>
      </c>
      <c r="V713" t="s">
        <v>56</v>
      </c>
    </row>
    <row r="714" spans="1:22" x14ac:dyDescent="0.3">
      <c r="A714" s="49">
        <v>45519</v>
      </c>
      <c r="B714" t="s">
        <v>457</v>
      </c>
      <c r="C714" t="s">
        <v>458</v>
      </c>
      <c r="D714" t="s">
        <v>24</v>
      </c>
      <c r="E714" t="s">
        <v>486</v>
      </c>
      <c r="F714" t="s">
        <v>487</v>
      </c>
      <c r="G714" t="s">
        <v>488</v>
      </c>
      <c r="H714" t="s">
        <v>89</v>
      </c>
      <c r="J714" t="s">
        <v>63</v>
      </c>
      <c r="K714" t="s">
        <v>64</v>
      </c>
      <c r="L714" t="s">
        <v>464</v>
      </c>
      <c r="M714">
        <v>100</v>
      </c>
      <c r="N714" t="s">
        <v>49</v>
      </c>
      <c r="O714" t="s">
        <v>489</v>
      </c>
      <c r="P714" t="s">
        <v>490</v>
      </c>
      <c r="Q714" t="s">
        <v>491</v>
      </c>
      <c r="R714" t="s">
        <v>337</v>
      </c>
      <c r="S714" t="s">
        <v>492</v>
      </c>
      <c r="T714" t="s">
        <v>55</v>
      </c>
      <c r="U714" t="s">
        <v>56</v>
      </c>
      <c r="V714" t="s">
        <v>56</v>
      </c>
    </row>
    <row r="715" spans="1:22" x14ac:dyDescent="0.3">
      <c r="A715" s="49">
        <v>45519</v>
      </c>
      <c r="B715" t="s">
        <v>457</v>
      </c>
      <c r="C715" t="s">
        <v>458</v>
      </c>
      <c r="D715" t="s">
        <v>24</v>
      </c>
      <c r="E715" t="s">
        <v>493</v>
      </c>
      <c r="F715" t="s">
        <v>494</v>
      </c>
      <c r="G715" t="s">
        <v>495</v>
      </c>
      <c r="H715" t="s">
        <v>89</v>
      </c>
      <c r="I715" t="s">
        <v>496</v>
      </c>
      <c r="J715" t="s">
        <v>63</v>
      </c>
      <c r="K715" t="s">
        <v>64</v>
      </c>
      <c r="L715" t="s">
        <v>464</v>
      </c>
      <c r="M715">
        <v>85</v>
      </c>
      <c r="N715" t="s">
        <v>49</v>
      </c>
      <c r="O715" t="s">
        <v>497</v>
      </c>
      <c r="P715" t="s">
        <v>498</v>
      </c>
      <c r="Q715" t="s">
        <v>499</v>
      </c>
      <c r="R715" t="s">
        <v>337</v>
      </c>
      <c r="S715" t="s">
        <v>500</v>
      </c>
      <c r="T715" t="s">
        <v>55</v>
      </c>
      <c r="U715" t="s">
        <v>56</v>
      </c>
      <c r="V715" t="s">
        <v>56</v>
      </c>
    </row>
    <row r="716" spans="1:22" x14ac:dyDescent="0.3">
      <c r="A716" s="49">
        <v>45519</v>
      </c>
      <c r="B716" t="s">
        <v>457</v>
      </c>
      <c r="C716" t="s">
        <v>458</v>
      </c>
      <c r="D716" t="s">
        <v>24</v>
      </c>
      <c r="E716" t="s">
        <v>501</v>
      </c>
      <c r="F716" t="s">
        <v>502</v>
      </c>
      <c r="G716" t="s">
        <v>503</v>
      </c>
      <c r="H716" t="s">
        <v>89</v>
      </c>
      <c r="J716" t="s">
        <v>63</v>
      </c>
      <c r="K716" t="s">
        <v>64</v>
      </c>
      <c r="L716" t="s">
        <v>464</v>
      </c>
      <c r="M716">
        <v>0</v>
      </c>
      <c r="N716" t="s">
        <v>74</v>
      </c>
      <c r="O716" t="s">
        <v>504</v>
      </c>
      <c r="P716" t="s">
        <v>505</v>
      </c>
      <c r="Q716" t="s">
        <v>506</v>
      </c>
      <c r="R716" t="s">
        <v>337</v>
      </c>
      <c r="S716" t="s">
        <v>507</v>
      </c>
      <c r="T716" t="s">
        <v>55</v>
      </c>
      <c r="U716" t="s">
        <v>56</v>
      </c>
      <c r="V716" t="s">
        <v>56</v>
      </c>
    </row>
    <row r="717" spans="1:22" x14ac:dyDescent="0.3">
      <c r="A717" s="49">
        <v>45519</v>
      </c>
      <c r="B717" t="s">
        <v>457</v>
      </c>
      <c r="C717" t="s">
        <v>458</v>
      </c>
      <c r="D717" t="s">
        <v>24</v>
      </c>
      <c r="E717" t="s">
        <v>508</v>
      </c>
      <c r="F717" t="s">
        <v>509</v>
      </c>
      <c r="G717" t="s">
        <v>510</v>
      </c>
      <c r="H717" t="s">
        <v>28</v>
      </c>
      <c r="I717" t="s">
        <v>511</v>
      </c>
      <c r="J717" t="s">
        <v>63</v>
      </c>
      <c r="K717" t="s">
        <v>64</v>
      </c>
      <c r="L717" t="s">
        <v>32</v>
      </c>
      <c r="M717">
        <v>6</v>
      </c>
      <c r="N717" t="s">
        <v>49</v>
      </c>
      <c r="O717" t="s">
        <v>512</v>
      </c>
      <c r="P717" t="s">
        <v>513</v>
      </c>
      <c r="Q717" t="s">
        <v>514</v>
      </c>
      <c r="R717" t="s">
        <v>515</v>
      </c>
      <c r="S717" t="s">
        <v>516</v>
      </c>
      <c r="T717" t="s">
        <v>55</v>
      </c>
      <c r="U717" t="s">
        <v>56</v>
      </c>
      <c r="V717" t="s">
        <v>56</v>
      </c>
    </row>
    <row r="718" spans="1:22" x14ac:dyDescent="0.3">
      <c r="A718" s="49">
        <v>45519</v>
      </c>
      <c r="B718" t="s">
        <v>457</v>
      </c>
      <c r="C718" t="s">
        <v>458</v>
      </c>
      <c r="D718" t="s">
        <v>24</v>
      </c>
      <c r="E718" t="s">
        <v>517</v>
      </c>
      <c r="F718" t="s">
        <v>518</v>
      </c>
      <c r="G718" t="s">
        <v>519</v>
      </c>
      <c r="H718" t="s">
        <v>28</v>
      </c>
      <c r="I718" t="s">
        <v>520</v>
      </c>
      <c r="J718" t="s">
        <v>63</v>
      </c>
      <c r="K718" t="s">
        <v>64</v>
      </c>
      <c r="L718" t="s">
        <v>32</v>
      </c>
      <c r="M718">
        <v>86</v>
      </c>
      <c r="N718" t="s">
        <v>49</v>
      </c>
      <c r="O718" t="s">
        <v>521</v>
      </c>
      <c r="P718" t="s">
        <v>205</v>
      </c>
      <c r="Q718" t="s">
        <v>522</v>
      </c>
      <c r="R718" t="s">
        <v>37</v>
      </c>
      <c r="S718" t="s">
        <v>523</v>
      </c>
      <c r="T718" t="s">
        <v>55</v>
      </c>
      <c r="U718" t="s">
        <v>56</v>
      </c>
      <c r="V718" t="s">
        <v>56</v>
      </c>
    </row>
    <row r="719" spans="1:22" x14ac:dyDescent="0.3">
      <c r="A719" s="49">
        <v>45519</v>
      </c>
      <c r="B719" t="s">
        <v>457</v>
      </c>
      <c r="C719" t="s">
        <v>458</v>
      </c>
      <c r="D719" t="s">
        <v>24</v>
      </c>
      <c r="E719" t="s">
        <v>524</v>
      </c>
      <c r="F719" t="s">
        <v>525</v>
      </c>
      <c r="G719" t="s">
        <v>526</v>
      </c>
      <c r="H719" t="s">
        <v>89</v>
      </c>
      <c r="J719" t="s">
        <v>63</v>
      </c>
      <c r="K719" t="s">
        <v>414</v>
      </c>
      <c r="L719" t="s">
        <v>32</v>
      </c>
      <c r="M719">
        <v>0</v>
      </c>
      <c r="N719" t="s">
        <v>74</v>
      </c>
      <c r="O719" t="s">
        <v>527</v>
      </c>
      <c r="P719" t="s">
        <v>528</v>
      </c>
      <c r="Q719" t="s">
        <v>529</v>
      </c>
      <c r="R719" t="s">
        <v>337</v>
      </c>
      <c r="S719" t="s">
        <v>530</v>
      </c>
      <c r="T719" t="s">
        <v>55</v>
      </c>
      <c r="U719" t="s">
        <v>56</v>
      </c>
      <c r="V719" t="s">
        <v>56</v>
      </c>
    </row>
    <row r="720" spans="1:22" x14ac:dyDescent="0.3">
      <c r="A720" s="49">
        <v>45519</v>
      </c>
      <c r="B720" t="s">
        <v>457</v>
      </c>
      <c r="C720" t="s">
        <v>458</v>
      </c>
      <c r="D720" t="s">
        <v>24</v>
      </c>
      <c r="E720" t="s">
        <v>524</v>
      </c>
      <c r="F720" t="s">
        <v>525</v>
      </c>
      <c r="G720" t="s">
        <v>531</v>
      </c>
      <c r="H720" t="s">
        <v>89</v>
      </c>
      <c r="J720" t="s">
        <v>63</v>
      </c>
      <c r="K720" t="s">
        <v>64</v>
      </c>
      <c r="L720" t="s">
        <v>464</v>
      </c>
      <c r="M720">
        <v>50</v>
      </c>
      <c r="N720" t="s">
        <v>33</v>
      </c>
      <c r="O720" t="s">
        <v>527</v>
      </c>
      <c r="P720" t="s">
        <v>528</v>
      </c>
      <c r="Q720" t="s">
        <v>532</v>
      </c>
      <c r="R720" t="s">
        <v>337</v>
      </c>
      <c r="S720" t="s">
        <v>530</v>
      </c>
      <c r="T720" t="s">
        <v>55</v>
      </c>
      <c r="U720" t="s">
        <v>56</v>
      </c>
      <c r="V720" t="s">
        <v>56</v>
      </c>
    </row>
    <row r="721" spans="1:22" x14ac:dyDescent="0.3">
      <c r="A721" s="49">
        <v>45519</v>
      </c>
      <c r="B721" t="s">
        <v>457</v>
      </c>
      <c r="C721" t="s">
        <v>458</v>
      </c>
      <c r="D721" t="s">
        <v>24</v>
      </c>
      <c r="E721" t="s">
        <v>533</v>
      </c>
      <c r="F721" t="s">
        <v>534</v>
      </c>
      <c r="G721" t="s">
        <v>535</v>
      </c>
      <c r="H721" t="s">
        <v>89</v>
      </c>
      <c r="J721" t="s">
        <v>46</v>
      </c>
      <c r="K721" t="s">
        <v>481</v>
      </c>
      <c r="L721" t="s">
        <v>32</v>
      </c>
      <c r="M721">
        <v>70</v>
      </c>
      <c r="N721" t="s">
        <v>33</v>
      </c>
      <c r="O721" t="s">
        <v>536</v>
      </c>
      <c r="P721" t="s">
        <v>85</v>
      </c>
      <c r="Q721" t="s">
        <v>537</v>
      </c>
      <c r="R721" t="s">
        <v>37</v>
      </c>
      <c r="S721" t="s">
        <v>538</v>
      </c>
      <c r="T721" t="s">
        <v>55</v>
      </c>
      <c r="U721" t="s">
        <v>56</v>
      </c>
      <c r="V721" t="s">
        <v>56</v>
      </c>
    </row>
    <row r="722" spans="1:22" x14ac:dyDescent="0.3">
      <c r="A722" s="49">
        <v>45519</v>
      </c>
      <c r="B722" t="s">
        <v>457</v>
      </c>
      <c r="C722" t="s">
        <v>458</v>
      </c>
      <c r="D722" t="s">
        <v>24</v>
      </c>
      <c r="E722" t="s">
        <v>539</v>
      </c>
      <c r="F722" t="s">
        <v>540</v>
      </c>
      <c r="G722" t="s">
        <v>541</v>
      </c>
      <c r="H722" t="s">
        <v>28</v>
      </c>
      <c r="I722" t="s">
        <v>542</v>
      </c>
      <c r="J722" t="s">
        <v>63</v>
      </c>
      <c r="K722" t="s">
        <v>64</v>
      </c>
      <c r="L722" t="s">
        <v>32</v>
      </c>
      <c r="M722">
        <v>100</v>
      </c>
      <c r="N722" t="s">
        <v>49</v>
      </c>
      <c r="O722" t="s">
        <v>543</v>
      </c>
      <c r="P722" t="s">
        <v>358</v>
      </c>
      <c r="Q722" t="s">
        <v>544</v>
      </c>
      <c r="R722" t="s">
        <v>37</v>
      </c>
      <c r="S722" t="s">
        <v>545</v>
      </c>
      <c r="T722" t="s">
        <v>55</v>
      </c>
      <c r="U722" t="s">
        <v>56</v>
      </c>
      <c r="V722" t="s">
        <v>56</v>
      </c>
    </row>
    <row r="723" spans="1:22" x14ac:dyDescent="0.3">
      <c r="A723" s="49">
        <v>45519</v>
      </c>
      <c r="B723" t="s">
        <v>457</v>
      </c>
      <c r="C723" t="s">
        <v>458</v>
      </c>
      <c r="D723" t="s">
        <v>24</v>
      </c>
      <c r="E723" t="s">
        <v>539</v>
      </c>
      <c r="F723" t="s">
        <v>540</v>
      </c>
      <c r="G723" t="s">
        <v>541</v>
      </c>
      <c r="H723" t="s">
        <v>28</v>
      </c>
      <c r="I723" t="s">
        <v>542</v>
      </c>
      <c r="J723" t="s">
        <v>63</v>
      </c>
      <c r="K723" t="s">
        <v>64</v>
      </c>
      <c r="L723" t="s">
        <v>32</v>
      </c>
      <c r="M723">
        <v>100</v>
      </c>
      <c r="N723" t="s">
        <v>49</v>
      </c>
      <c r="O723" t="s">
        <v>543</v>
      </c>
      <c r="P723" t="s">
        <v>358</v>
      </c>
      <c r="Q723" t="s">
        <v>544</v>
      </c>
      <c r="R723" t="s">
        <v>37</v>
      </c>
      <c r="S723" t="s">
        <v>545</v>
      </c>
      <c r="T723" t="s">
        <v>55</v>
      </c>
      <c r="U723" t="s">
        <v>56</v>
      </c>
      <c r="V723" t="s">
        <v>56</v>
      </c>
    </row>
    <row r="724" spans="1:22" x14ac:dyDescent="0.3">
      <c r="A724" s="49">
        <v>45519</v>
      </c>
      <c r="B724" t="s">
        <v>457</v>
      </c>
      <c r="C724" t="s">
        <v>458</v>
      </c>
      <c r="D724" t="s">
        <v>24</v>
      </c>
      <c r="E724" t="s">
        <v>539</v>
      </c>
      <c r="F724" t="s">
        <v>540</v>
      </c>
      <c r="G724" t="s">
        <v>541</v>
      </c>
      <c r="H724" t="s">
        <v>28</v>
      </c>
      <c r="I724" t="s">
        <v>542</v>
      </c>
      <c r="J724" t="s">
        <v>63</v>
      </c>
      <c r="K724" t="s">
        <v>64</v>
      </c>
      <c r="L724" t="s">
        <v>32</v>
      </c>
      <c r="M724">
        <v>100</v>
      </c>
      <c r="N724" t="s">
        <v>49</v>
      </c>
      <c r="O724" t="s">
        <v>543</v>
      </c>
      <c r="P724" t="s">
        <v>358</v>
      </c>
      <c r="Q724" t="s">
        <v>544</v>
      </c>
      <c r="R724" t="s">
        <v>37</v>
      </c>
      <c r="S724" t="s">
        <v>545</v>
      </c>
      <c r="T724" t="s">
        <v>55</v>
      </c>
      <c r="U724" t="s">
        <v>56</v>
      </c>
      <c r="V724" t="s">
        <v>56</v>
      </c>
    </row>
    <row r="725" spans="1:22" x14ac:dyDescent="0.3">
      <c r="A725" s="49">
        <v>45519</v>
      </c>
      <c r="B725" t="s">
        <v>457</v>
      </c>
      <c r="C725" t="s">
        <v>458</v>
      </c>
      <c r="D725" t="s">
        <v>24</v>
      </c>
      <c r="E725" t="s">
        <v>539</v>
      </c>
      <c r="F725" t="s">
        <v>540</v>
      </c>
      <c r="G725" t="s">
        <v>541</v>
      </c>
      <c r="H725" t="s">
        <v>28</v>
      </c>
      <c r="I725" t="s">
        <v>542</v>
      </c>
      <c r="J725" t="s">
        <v>63</v>
      </c>
      <c r="K725" t="s">
        <v>64</v>
      </c>
      <c r="L725" t="s">
        <v>32</v>
      </c>
      <c r="M725">
        <v>100</v>
      </c>
      <c r="N725" t="s">
        <v>49</v>
      </c>
      <c r="O725" t="s">
        <v>543</v>
      </c>
      <c r="P725" t="s">
        <v>358</v>
      </c>
      <c r="Q725" t="s">
        <v>544</v>
      </c>
      <c r="R725" t="s">
        <v>37</v>
      </c>
      <c r="S725" t="s">
        <v>545</v>
      </c>
      <c r="T725" t="s">
        <v>55</v>
      </c>
      <c r="U725" t="s">
        <v>56</v>
      </c>
      <c r="V725" t="s">
        <v>56</v>
      </c>
    </row>
    <row r="726" spans="1:22" x14ac:dyDescent="0.3">
      <c r="A726" s="49">
        <v>45519</v>
      </c>
      <c r="B726" t="s">
        <v>457</v>
      </c>
      <c r="C726" t="s">
        <v>458</v>
      </c>
      <c r="D726" t="s">
        <v>24</v>
      </c>
      <c r="E726" t="s">
        <v>546</v>
      </c>
      <c r="F726" t="s">
        <v>547</v>
      </c>
      <c r="G726" t="s">
        <v>548</v>
      </c>
      <c r="H726" t="s">
        <v>89</v>
      </c>
      <c r="I726" t="s">
        <v>549</v>
      </c>
      <c r="J726" t="s">
        <v>63</v>
      </c>
      <c r="K726" t="s">
        <v>463</v>
      </c>
      <c r="L726" t="s">
        <v>464</v>
      </c>
      <c r="M726">
        <v>15</v>
      </c>
      <c r="N726" t="s">
        <v>33</v>
      </c>
      <c r="O726" t="s">
        <v>550</v>
      </c>
      <c r="P726" t="s">
        <v>498</v>
      </c>
      <c r="Q726" t="s">
        <v>551</v>
      </c>
      <c r="R726" t="s">
        <v>337</v>
      </c>
      <c r="S726" t="s">
        <v>552</v>
      </c>
      <c r="T726" t="s">
        <v>55</v>
      </c>
      <c r="U726" t="s">
        <v>56</v>
      </c>
      <c r="V726" t="s">
        <v>56</v>
      </c>
    </row>
    <row r="727" spans="1:22" x14ac:dyDescent="0.3">
      <c r="A727" s="49">
        <v>45519</v>
      </c>
      <c r="B727" t="s">
        <v>457</v>
      </c>
      <c r="C727" t="s">
        <v>458</v>
      </c>
      <c r="D727" t="s">
        <v>24</v>
      </c>
      <c r="E727" t="s">
        <v>553</v>
      </c>
      <c r="F727" t="s">
        <v>554</v>
      </c>
      <c r="G727" t="s">
        <v>555</v>
      </c>
      <c r="H727" t="s">
        <v>89</v>
      </c>
      <c r="I727" t="s">
        <v>556</v>
      </c>
      <c r="J727" t="s">
        <v>63</v>
      </c>
      <c r="K727" t="s">
        <v>64</v>
      </c>
      <c r="L727" t="s">
        <v>464</v>
      </c>
      <c r="M727">
        <v>100</v>
      </c>
      <c r="N727" t="s">
        <v>49</v>
      </c>
      <c r="O727" t="s">
        <v>557</v>
      </c>
      <c r="P727" t="s">
        <v>558</v>
      </c>
      <c r="Q727" t="s">
        <v>559</v>
      </c>
      <c r="R727" t="s">
        <v>337</v>
      </c>
      <c r="S727" t="s">
        <v>560</v>
      </c>
      <c r="T727" t="s">
        <v>55</v>
      </c>
      <c r="U727" t="s">
        <v>56</v>
      </c>
      <c r="V727" t="s">
        <v>56</v>
      </c>
    </row>
    <row r="728" spans="1:22" x14ac:dyDescent="0.3">
      <c r="A728" s="49">
        <v>45519</v>
      </c>
      <c r="B728" t="s">
        <v>457</v>
      </c>
      <c r="C728" t="s">
        <v>458</v>
      </c>
      <c r="D728" t="s">
        <v>173</v>
      </c>
      <c r="E728" t="s">
        <v>561</v>
      </c>
      <c r="F728" t="s">
        <v>562</v>
      </c>
      <c r="G728" t="s">
        <v>563</v>
      </c>
      <c r="H728" t="s">
        <v>89</v>
      </c>
      <c r="J728" t="s">
        <v>46</v>
      </c>
      <c r="K728" t="s">
        <v>481</v>
      </c>
      <c r="L728" t="s">
        <v>564</v>
      </c>
      <c r="M728">
        <v>0</v>
      </c>
      <c r="N728" t="s">
        <v>74</v>
      </c>
      <c r="O728" t="s">
        <v>565</v>
      </c>
      <c r="P728" t="s">
        <v>566</v>
      </c>
      <c r="Q728" t="s">
        <v>567</v>
      </c>
      <c r="R728" t="s">
        <v>37</v>
      </c>
      <c r="S728" t="s">
        <v>568</v>
      </c>
      <c r="T728" t="s">
        <v>55</v>
      </c>
      <c r="U728" t="s">
        <v>56</v>
      </c>
      <c r="V728" t="s">
        <v>56</v>
      </c>
    </row>
    <row r="729" spans="1:22" x14ac:dyDescent="0.3">
      <c r="A729" s="49">
        <v>45519</v>
      </c>
      <c r="B729" t="s">
        <v>457</v>
      </c>
      <c r="C729" t="s">
        <v>458</v>
      </c>
      <c r="D729" t="s">
        <v>24</v>
      </c>
      <c r="E729" t="s">
        <v>561</v>
      </c>
      <c r="F729" t="s">
        <v>562</v>
      </c>
      <c r="G729" t="s">
        <v>563</v>
      </c>
      <c r="H729" t="s">
        <v>28</v>
      </c>
      <c r="I729" t="s">
        <v>569</v>
      </c>
      <c r="J729" t="s">
        <v>46</v>
      </c>
      <c r="K729" t="s">
        <v>570</v>
      </c>
      <c r="L729" t="s">
        <v>564</v>
      </c>
      <c r="M729">
        <v>0</v>
      </c>
      <c r="N729" t="s">
        <v>49</v>
      </c>
      <c r="O729" t="s">
        <v>571</v>
      </c>
      <c r="P729" t="s">
        <v>572</v>
      </c>
      <c r="Q729" t="s">
        <v>573</v>
      </c>
      <c r="R729" t="s">
        <v>37</v>
      </c>
      <c r="S729" t="s">
        <v>574</v>
      </c>
      <c r="T729" t="s">
        <v>55</v>
      </c>
      <c r="U729" t="s">
        <v>56</v>
      </c>
      <c r="V729" t="s">
        <v>56</v>
      </c>
    </row>
    <row r="730" spans="1:22" x14ac:dyDescent="0.3">
      <c r="A730" s="49">
        <v>45519</v>
      </c>
      <c r="B730" t="s">
        <v>457</v>
      </c>
      <c r="C730" t="s">
        <v>458</v>
      </c>
      <c r="D730" t="s">
        <v>24</v>
      </c>
      <c r="E730" t="s">
        <v>575</v>
      </c>
      <c r="F730" t="s">
        <v>576</v>
      </c>
      <c r="G730" t="s">
        <v>577</v>
      </c>
      <c r="H730" t="s">
        <v>28</v>
      </c>
      <c r="I730" t="s">
        <v>578</v>
      </c>
      <c r="J730" t="s">
        <v>63</v>
      </c>
      <c r="K730" t="s">
        <v>64</v>
      </c>
      <c r="L730" t="s">
        <v>32</v>
      </c>
      <c r="M730">
        <v>100</v>
      </c>
      <c r="N730" t="s">
        <v>49</v>
      </c>
      <c r="O730" t="s">
        <v>579</v>
      </c>
      <c r="P730" t="s">
        <v>163</v>
      </c>
      <c r="Q730" t="s">
        <v>258</v>
      </c>
      <c r="R730" t="s">
        <v>37</v>
      </c>
      <c r="S730" t="s">
        <v>580</v>
      </c>
      <c r="T730" t="s">
        <v>55</v>
      </c>
      <c r="U730" t="s">
        <v>56</v>
      </c>
      <c r="V730" t="s">
        <v>56</v>
      </c>
    </row>
    <row r="731" spans="1:22" x14ac:dyDescent="0.3">
      <c r="A731" s="49">
        <v>45519</v>
      </c>
      <c r="B731" t="s">
        <v>457</v>
      </c>
      <c r="C731" t="s">
        <v>458</v>
      </c>
      <c r="D731" t="s">
        <v>24</v>
      </c>
      <c r="E731" t="s">
        <v>376</v>
      </c>
      <c r="F731" t="s">
        <v>377</v>
      </c>
      <c r="G731" t="s">
        <v>581</v>
      </c>
      <c r="H731" t="s">
        <v>89</v>
      </c>
      <c r="I731" t="s">
        <v>582</v>
      </c>
      <c r="J731" t="s">
        <v>63</v>
      </c>
      <c r="K731" t="s">
        <v>64</v>
      </c>
      <c r="L731" t="s">
        <v>464</v>
      </c>
      <c r="M731">
        <v>30</v>
      </c>
      <c r="N731" t="s">
        <v>33</v>
      </c>
      <c r="O731" t="s">
        <v>583</v>
      </c>
      <c r="P731" t="s">
        <v>584</v>
      </c>
      <c r="Q731" t="s">
        <v>585</v>
      </c>
      <c r="R731" t="s">
        <v>337</v>
      </c>
      <c r="S731" t="s">
        <v>586</v>
      </c>
      <c r="T731" t="s">
        <v>39</v>
      </c>
      <c r="U731" t="s">
        <v>40</v>
      </c>
      <c r="V731" t="s">
        <v>41</v>
      </c>
    </row>
    <row r="732" spans="1:22" x14ac:dyDescent="0.3">
      <c r="A732" s="49">
        <v>45519</v>
      </c>
      <c r="B732" t="s">
        <v>457</v>
      </c>
      <c r="C732" t="s">
        <v>458</v>
      </c>
      <c r="D732" t="s">
        <v>24</v>
      </c>
      <c r="E732" t="s">
        <v>587</v>
      </c>
      <c r="F732" t="s">
        <v>588</v>
      </c>
      <c r="G732" t="s">
        <v>589</v>
      </c>
      <c r="H732" t="s">
        <v>28</v>
      </c>
      <c r="I732" t="s">
        <v>590</v>
      </c>
      <c r="J732" t="s">
        <v>63</v>
      </c>
      <c r="K732" t="s">
        <v>64</v>
      </c>
      <c r="L732" t="s">
        <v>32</v>
      </c>
      <c r="M732">
        <v>100</v>
      </c>
      <c r="N732" t="s">
        <v>49</v>
      </c>
      <c r="O732" t="s">
        <v>591</v>
      </c>
      <c r="P732" t="s">
        <v>100</v>
      </c>
      <c r="Q732" t="s">
        <v>592</v>
      </c>
      <c r="R732" t="s">
        <v>37</v>
      </c>
      <c r="S732" t="s">
        <v>593</v>
      </c>
      <c r="T732" t="s">
        <v>55</v>
      </c>
      <c r="U732" t="s">
        <v>56</v>
      </c>
      <c r="V732" t="s">
        <v>56</v>
      </c>
    </row>
    <row r="733" spans="1:22" x14ac:dyDescent="0.3">
      <c r="A733" s="49">
        <v>45519</v>
      </c>
      <c r="B733" t="s">
        <v>457</v>
      </c>
      <c r="C733" t="s">
        <v>458</v>
      </c>
      <c r="D733" t="s">
        <v>24</v>
      </c>
      <c r="E733" t="s">
        <v>587</v>
      </c>
      <c r="F733" t="s">
        <v>588</v>
      </c>
      <c r="G733" t="s">
        <v>594</v>
      </c>
      <c r="H733" t="s">
        <v>28</v>
      </c>
      <c r="I733" t="s">
        <v>595</v>
      </c>
      <c r="J733" t="s">
        <v>63</v>
      </c>
      <c r="K733" t="s">
        <v>64</v>
      </c>
      <c r="L733" t="s">
        <v>32</v>
      </c>
      <c r="M733">
        <v>70</v>
      </c>
      <c r="N733" t="s">
        <v>49</v>
      </c>
      <c r="O733" t="s">
        <v>596</v>
      </c>
      <c r="P733" t="s">
        <v>205</v>
      </c>
      <c r="Q733" t="s">
        <v>258</v>
      </c>
      <c r="R733" t="s">
        <v>37</v>
      </c>
      <c r="S733" t="s">
        <v>597</v>
      </c>
      <c r="T733" t="s">
        <v>39</v>
      </c>
      <c r="U733" t="s">
        <v>40</v>
      </c>
      <c r="V733" t="s">
        <v>41</v>
      </c>
    </row>
    <row r="734" spans="1:22" x14ac:dyDescent="0.3">
      <c r="A734" s="49">
        <v>45519</v>
      </c>
      <c r="B734" t="s">
        <v>457</v>
      </c>
      <c r="C734" t="s">
        <v>458</v>
      </c>
      <c r="D734" t="s">
        <v>173</v>
      </c>
      <c r="E734" t="s">
        <v>598</v>
      </c>
      <c r="F734" t="s">
        <v>599</v>
      </c>
      <c r="G734" t="s">
        <v>600</v>
      </c>
      <c r="H734" t="s">
        <v>89</v>
      </c>
      <c r="I734" t="s">
        <v>601</v>
      </c>
      <c r="J734" t="s">
        <v>63</v>
      </c>
      <c r="K734" t="s">
        <v>64</v>
      </c>
      <c r="L734" t="s">
        <v>464</v>
      </c>
      <c r="M734">
        <v>77</v>
      </c>
      <c r="N734" t="s">
        <v>49</v>
      </c>
      <c r="O734" t="s">
        <v>602</v>
      </c>
      <c r="P734" t="s">
        <v>603</v>
      </c>
      <c r="Q734" t="s">
        <v>604</v>
      </c>
      <c r="R734" t="s">
        <v>186</v>
      </c>
      <c r="S734" t="s">
        <v>605</v>
      </c>
      <c r="T734" t="s">
        <v>55</v>
      </c>
      <c r="U734" t="s">
        <v>56</v>
      </c>
      <c r="V734" t="s">
        <v>56</v>
      </c>
    </row>
    <row r="735" spans="1:22" x14ac:dyDescent="0.3">
      <c r="A735" s="49">
        <v>45519</v>
      </c>
      <c r="B735" t="s">
        <v>606</v>
      </c>
      <c r="C735" t="s">
        <v>607</v>
      </c>
      <c r="D735" t="s">
        <v>24</v>
      </c>
      <c r="E735" t="s">
        <v>418</v>
      </c>
      <c r="F735" t="s">
        <v>419</v>
      </c>
      <c r="G735" t="s">
        <v>608</v>
      </c>
      <c r="H735" t="s">
        <v>28</v>
      </c>
      <c r="I735" t="s">
        <v>609</v>
      </c>
      <c r="J735" t="s">
        <v>30</v>
      </c>
      <c r="K735" t="s">
        <v>610</v>
      </c>
      <c r="L735" t="s">
        <v>611</v>
      </c>
      <c r="M735">
        <v>20</v>
      </c>
      <c r="N735" t="s">
        <v>49</v>
      </c>
      <c r="O735" t="s">
        <v>612</v>
      </c>
      <c r="P735" t="s">
        <v>416</v>
      </c>
      <c r="Q735" t="s">
        <v>613</v>
      </c>
      <c r="R735" t="s">
        <v>614</v>
      </c>
      <c r="S735" t="s">
        <v>615</v>
      </c>
      <c r="T735" t="s">
        <v>55</v>
      </c>
      <c r="U735" t="s">
        <v>56</v>
      </c>
      <c r="V735" t="s">
        <v>56</v>
      </c>
    </row>
    <row r="736" spans="1:22" x14ac:dyDescent="0.3">
      <c r="A736" s="49">
        <v>45519</v>
      </c>
      <c r="B736" t="s">
        <v>457</v>
      </c>
      <c r="C736" t="s">
        <v>458</v>
      </c>
      <c r="D736" t="s">
        <v>24</v>
      </c>
      <c r="E736" t="s">
        <v>616</v>
      </c>
      <c r="F736" t="s">
        <v>617</v>
      </c>
      <c r="G736" t="s">
        <v>618</v>
      </c>
      <c r="H736" t="s">
        <v>89</v>
      </c>
      <c r="I736" t="s">
        <v>619</v>
      </c>
      <c r="J736" t="s">
        <v>63</v>
      </c>
      <c r="K736" t="s">
        <v>64</v>
      </c>
      <c r="L736" t="s">
        <v>464</v>
      </c>
      <c r="M736">
        <v>100</v>
      </c>
      <c r="N736" t="s">
        <v>49</v>
      </c>
      <c r="O736" t="s">
        <v>620</v>
      </c>
      <c r="P736" t="s">
        <v>621</v>
      </c>
      <c r="Q736" t="s">
        <v>499</v>
      </c>
      <c r="R736" t="s">
        <v>337</v>
      </c>
      <c r="S736" t="s">
        <v>622</v>
      </c>
      <c r="T736" t="s">
        <v>55</v>
      </c>
      <c r="U736" t="s">
        <v>56</v>
      </c>
      <c r="V736" t="s">
        <v>56</v>
      </c>
    </row>
    <row r="737" spans="1:22" x14ac:dyDescent="0.3">
      <c r="A737" s="49">
        <v>45519</v>
      </c>
      <c r="B737" t="s">
        <v>457</v>
      </c>
      <c r="C737" t="s">
        <v>458</v>
      </c>
      <c r="D737" t="s">
        <v>24</v>
      </c>
      <c r="E737" t="s">
        <v>623</v>
      </c>
      <c r="F737" t="s">
        <v>624</v>
      </c>
      <c r="G737" t="s">
        <v>625</v>
      </c>
      <c r="H737" t="s">
        <v>28</v>
      </c>
      <c r="I737" t="s">
        <v>626</v>
      </c>
      <c r="J737" t="s">
        <v>63</v>
      </c>
      <c r="K737" t="s">
        <v>197</v>
      </c>
      <c r="L737" t="s">
        <v>32</v>
      </c>
      <c r="M737">
        <v>50</v>
      </c>
      <c r="N737" t="s">
        <v>49</v>
      </c>
      <c r="O737" t="s">
        <v>627</v>
      </c>
      <c r="P737" t="s">
        <v>163</v>
      </c>
      <c r="Q737" t="s">
        <v>178</v>
      </c>
      <c r="R737" t="s">
        <v>37</v>
      </c>
      <c r="S737" t="s">
        <v>628</v>
      </c>
      <c r="T737" t="s">
        <v>55</v>
      </c>
      <c r="U737" t="s">
        <v>56</v>
      </c>
      <c r="V737" t="s">
        <v>56</v>
      </c>
    </row>
    <row r="738" spans="1:22" x14ac:dyDescent="0.3">
      <c r="A738" s="49">
        <v>45519</v>
      </c>
      <c r="B738" t="s">
        <v>457</v>
      </c>
      <c r="C738" t="s">
        <v>458</v>
      </c>
      <c r="D738" t="s">
        <v>24</v>
      </c>
      <c r="E738" t="s">
        <v>629</v>
      </c>
      <c r="F738" t="s">
        <v>630</v>
      </c>
      <c r="G738" t="s">
        <v>631</v>
      </c>
      <c r="H738" t="s">
        <v>28</v>
      </c>
      <c r="I738" t="s">
        <v>632</v>
      </c>
      <c r="J738" t="s">
        <v>46</v>
      </c>
      <c r="K738" t="s">
        <v>481</v>
      </c>
      <c r="L738" t="s">
        <v>633</v>
      </c>
      <c r="M738">
        <v>100</v>
      </c>
      <c r="N738" t="s">
        <v>49</v>
      </c>
      <c r="O738" t="s">
        <v>634</v>
      </c>
      <c r="P738" t="s">
        <v>58</v>
      </c>
      <c r="Q738" t="s">
        <v>635</v>
      </c>
      <c r="R738" t="s">
        <v>186</v>
      </c>
      <c r="S738" t="s">
        <v>636</v>
      </c>
      <c r="T738" t="s">
        <v>55</v>
      </c>
      <c r="U738" t="s">
        <v>56</v>
      </c>
      <c r="V738" t="s">
        <v>56</v>
      </c>
    </row>
    <row r="739" spans="1:22" x14ac:dyDescent="0.3">
      <c r="A739" s="49">
        <v>45519</v>
      </c>
      <c r="B739" t="s">
        <v>457</v>
      </c>
      <c r="C739" t="s">
        <v>458</v>
      </c>
      <c r="D739" t="s">
        <v>24</v>
      </c>
      <c r="E739" t="s">
        <v>629</v>
      </c>
      <c r="F739" t="s">
        <v>630</v>
      </c>
      <c r="G739" t="s">
        <v>631</v>
      </c>
      <c r="H739" t="s">
        <v>28</v>
      </c>
      <c r="I739" t="s">
        <v>632</v>
      </c>
      <c r="J739" t="s">
        <v>46</v>
      </c>
      <c r="K739" t="s">
        <v>481</v>
      </c>
      <c r="L739" t="s">
        <v>633</v>
      </c>
      <c r="M739">
        <v>100</v>
      </c>
      <c r="N739" t="s">
        <v>49</v>
      </c>
      <c r="O739" t="s">
        <v>634</v>
      </c>
      <c r="P739" t="s">
        <v>58</v>
      </c>
      <c r="Q739" t="s">
        <v>635</v>
      </c>
      <c r="R739" t="s">
        <v>186</v>
      </c>
      <c r="S739" t="s">
        <v>636</v>
      </c>
      <c r="T739" t="s">
        <v>55</v>
      </c>
      <c r="U739" t="s">
        <v>56</v>
      </c>
      <c r="V739" t="s">
        <v>56</v>
      </c>
    </row>
    <row r="740" spans="1:22" x14ac:dyDescent="0.3">
      <c r="A740" s="49">
        <v>45519</v>
      </c>
      <c r="B740" t="s">
        <v>457</v>
      </c>
      <c r="C740" t="s">
        <v>458</v>
      </c>
      <c r="D740" t="s">
        <v>24</v>
      </c>
      <c r="E740" t="s">
        <v>629</v>
      </c>
      <c r="F740" t="s">
        <v>630</v>
      </c>
      <c r="G740" t="s">
        <v>631</v>
      </c>
      <c r="H740" t="s">
        <v>28</v>
      </c>
      <c r="I740" t="s">
        <v>632</v>
      </c>
      <c r="J740" t="s">
        <v>46</v>
      </c>
      <c r="K740" t="s">
        <v>481</v>
      </c>
      <c r="L740" t="s">
        <v>633</v>
      </c>
      <c r="M740">
        <v>100</v>
      </c>
      <c r="N740" t="s">
        <v>49</v>
      </c>
      <c r="O740" t="s">
        <v>634</v>
      </c>
      <c r="P740" t="s">
        <v>58</v>
      </c>
      <c r="Q740" t="s">
        <v>635</v>
      </c>
      <c r="R740" t="s">
        <v>186</v>
      </c>
      <c r="S740" t="s">
        <v>636</v>
      </c>
      <c r="T740" t="s">
        <v>55</v>
      </c>
      <c r="U740" t="s">
        <v>56</v>
      </c>
      <c r="V740" t="s">
        <v>56</v>
      </c>
    </row>
    <row r="741" spans="1:22" x14ac:dyDescent="0.3">
      <c r="A741" s="49">
        <v>45519</v>
      </c>
      <c r="B741" t="s">
        <v>457</v>
      </c>
      <c r="C741" t="s">
        <v>458</v>
      </c>
      <c r="D741" t="s">
        <v>24</v>
      </c>
      <c r="E741" t="s">
        <v>629</v>
      </c>
      <c r="F741" t="s">
        <v>630</v>
      </c>
      <c r="G741" t="s">
        <v>631</v>
      </c>
      <c r="H741" t="s">
        <v>28</v>
      </c>
      <c r="I741" t="s">
        <v>632</v>
      </c>
      <c r="J741" t="s">
        <v>46</v>
      </c>
      <c r="K741" t="s">
        <v>481</v>
      </c>
      <c r="L741" t="s">
        <v>633</v>
      </c>
      <c r="M741">
        <v>100</v>
      </c>
      <c r="N741" t="s">
        <v>49</v>
      </c>
      <c r="O741" t="s">
        <v>634</v>
      </c>
      <c r="P741" t="s">
        <v>58</v>
      </c>
      <c r="Q741" t="s">
        <v>635</v>
      </c>
      <c r="R741" t="s">
        <v>186</v>
      </c>
      <c r="S741" t="s">
        <v>636</v>
      </c>
      <c r="T741" t="s">
        <v>55</v>
      </c>
      <c r="U741" t="s">
        <v>56</v>
      </c>
      <c r="V741" t="s">
        <v>56</v>
      </c>
    </row>
    <row r="742" spans="1:22" x14ac:dyDescent="0.3">
      <c r="A742" s="49">
        <v>45519</v>
      </c>
      <c r="B742" t="s">
        <v>457</v>
      </c>
      <c r="C742" t="s">
        <v>458</v>
      </c>
      <c r="D742" t="s">
        <v>24</v>
      </c>
      <c r="E742" t="s">
        <v>637</v>
      </c>
      <c r="F742" t="s">
        <v>638</v>
      </c>
      <c r="G742" t="s">
        <v>639</v>
      </c>
      <c r="H742" t="s">
        <v>89</v>
      </c>
      <c r="J742" t="s">
        <v>46</v>
      </c>
      <c r="K742" t="s">
        <v>640</v>
      </c>
      <c r="L742" t="s">
        <v>641</v>
      </c>
      <c r="M742">
        <v>100</v>
      </c>
      <c r="N742" t="s">
        <v>33</v>
      </c>
      <c r="O742" t="s">
        <v>642</v>
      </c>
      <c r="P742" t="s">
        <v>104</v>
      </c>
      <c r="Q742" t="s">
        <v>643</v>
      </c>
      <c r="R742" t="s">
        <v>337</v>
      </c>
      <c r="S742" t="s">
        <v>644</v>
      </c>
      <c r="T742" t="s">
        <v>55</v>
      </c>
      <c r="U742" t="s">
        <v>56</v>
      </c>
      <c r="V742" t="s">
        <v>56</v>
      </c>
    </row>
    <row r="743" spans="1:22" x14ac:dyDescent="0.3">
      <c r="A743" s="49">
        <v>45517</v>
      </c>
      <c r="B743" t="s">
        <v>22</v>
      </c>
      <c r="C743" t="s">
        <v>23</v>
      </c>
      <c r="D743" t="s">
        <v>24</v>
      </c>
      <c r="E743" t="s">
        <v>25</v>
      </c>
      <c r="F743" t="s">
        <v>26</v>
      </c>
      <c r="G743" t="s">
        <v>27</v>
      </c>
      <c r="H743" t="s">
        <v>28</v>
      </c>
      <c r="I743" t="s">
        <v>29</v>
      </c>
      <c r="J743" t="s">
        <v>30</v>
      </c>
      <c r="K743" t="s">
        <v>31</v>
      </c>
      <c r="L743" t="s">
        <v>32</v>
      </c>
      <c r="M743">
        <v>100</v>
      </c>
      <c r="N743" t="s">
        <v>33</v>
      </c>
      <c r="O743" t="s">
        <v>34</v>
      </c>
      <c r="P743" t="s">
        <v>35</v>
      </c>
      <c r="Q743" t="s">
        <v>36</v>
      </c>
      <c r="R743" t="s">
        <v>37</v>
      </c>
      <c r="S743" t="s">
        <v>38</v>
      </c>
      <c r="T743" t="s">
        <v>39</v>
      </c>
      <c r="U743" t="s">
        <v>40</v>
      </c>
      <c r="V743" t="s">
        <v>41</v>
      </c>
    </row>
    <row r="744" spans="1:22" x14ac:dyDescent="0.3">
      <c r="A744" s="49">
        <v>45517</v>
      </c>
      <c r="B744" t="s">
        <v>22</v>
      </c>
      <c r="C744" t="s">
        <v>23</v>
      </c>
      <c r="D744" t="s">
        <v>24</v>
      </c>
      <c r="E744" t="s">
        <v>42</v>
      </c>
      <c r="F744" t="s">
        <v>43</v>
      </c>
      <c r="G744" t="s">
        <v>44</v>
      </c>
      <c r="H744" t="s">
        <v>28</v>
      </c>
      <c r="I744" t="s">
        <v>45</v>
      </c>
      <c r="J744" t="s">
        <v>46</v>
      </c>
      <c r="K744" t="s">
        <v>47</v>
      </c>
      <c r="L744" t="s">
        <v>48</v>
      </c>
      <c r="M744">
        <v>100</v>
      </c>
      <c r="N744" t="s">
        <v>49</v>
      </c>
      <c r="O744" t="s">
        <v>50</v>
      </c>
      <c r="P744" t="s">
        <v>51</v>
      </c>
      <c r="Q744" t="s">
        <v>52</v>
      </c>
      <c r="R744" t="s">
        <v>53</v>
      </c>
      <c r="S744" t="s">
        <v>54</v>
      </c>
      <c r="T744" t="s">
        <v>55</v>
      </c>
      <c r="U744" t="s">
        <v>56</v>
      </c>
      <c r="V744" t="s">
        <v>56</v>
      </c>
    </row>
    <row r="745" spans="1:22" x14ac:dyDescent="0.3">
      <c r="A745" s="49">
        <v>45517</v>
      </c>
      <c r="B745" t="s">
        <v>22</v>
      </c>
      <c r="C745" t="s">
        <v>23</v>
      </c>
      <c r="D745" t="s">
        <v>24</v>
      </c>
      <c r="E745" t="s">
        <v>42</v>
      </c>
      <c r="F745" t="s">
        <v>43</v>
      </c>
      <c r="G745" t="s">
        <v>44</v>
      </c>
      <c r="H745" t="s">
        <v>28</v>
      </c>
      <c r="I745" t="s">
        <v>45</v>
      </c>
      <c r="J745" t="s">
        <v>46</v>
      </c>
      <c r="K745" t="s">
        <v>47</v>
      </c>
      <c r="L745" t="s">
        <v>48</v>
      </c>
      <c r="M745">
        <v>100</v>
      </c>
      <c r="N745" t="s">
        <v>49</v>
      </c>
      <c r="O745" t="s">
        <v>50</v>
      </c>
      <c r="P745" t="s">
        <v>51</v>
      </c>
      <c r="Q745" t="s">
        <v>52</v>
      </c>
      <c r="R745" t="s">
        <v>53</v>
      </c>
      <c r="S745" t="s">
        <v>54</v>
      </c>
      <c r="T745" t="s">
        <v>55</v>
      </c>
      <c r="U745" t="s">
        <v>56</v>
      </c>
      <c r="V745" t="s">
        <v>56</v>
      </c>
    </row>
    <row r="746" spans="1:22" x14ac:dyDescent="0.3">
      <c r="A746" s="49">
        <v>45517</v>
      </c>
      <c r="B746" t="s">
        <v>22</v>
      </c>
      <c r="C746" t="s">
        <v>23</v>
      </c>
      <c r="D746" t="s">
        <v>24</v>
      </c>
      <c r="E746" t="s">
        <v>42</v>
      </c>
      <c r="F746" t="s">
        <v>43</v>
      </c>
      <c r="G746" t="s">
        <v>44</v>
      </c>
      <c r="H746" t="s">
        <v>28</v>
      </c>
      <c r="I746" t="s">
        <v>45</v>
      </c>
      <c r="J746" t="s">
        <v>46</v>
      </c>
      <c r="K746" t="s">
        <v>47</v>
      </c>
      <c r="L746" t="s">
        <v>48</v>
      </c>
      <c r="M746">
        <v>100</v>
      </c>
      <c r="N746" t="s">
        <v>49</v>
      </c>
      <c r="O746" t="s">
        <v>57</v>
      </c>
      <c r="P746" t="s">
        <v>58</v>
      </c>
      <c r="Q746" t="s">
        <v>52</v>
      </c>
      <c r="R746" t="s">
        <v>53</v>
      </c>
      <c r="S746" t="s">
        <v>54</v>
      </c>
      <c r="T746" t="s">
        <v>55</v>
      </c>
      <c r="U746" t="s">
        <v>56</v>
      </c>
      <c r="V746" t="s">
        <v>56</v>
      </c>
    </row>
    <row r="747" spans="1:22" x14ac:dyDescent="0.3">
      <c r="A747" s="49">
        <v>45517</v>
      </c>
      <c r="B747" t="s">
        <v>22</v>
      </c>
      <c r="C747" t="s">
        <v>23</v>
      </c>
      <c r="D747" t="s">
        <v>24</v>
      </c>
      <c r="E747" t="s">
        <v>59</v>
      </c>
      <c r="F747" t="s">
        <v>60</v>
      </c>
      <c r="G747" t="s">
        <v>61</v>
      </c>
      <c r="H747" t="s">
        <v>28</v>
      </c>
      <c r="I747" t="s">
        <v>62</v>
      </c>
      <c r="J747" t="s">
        <v>63</v>
      </c>
      <c r="K747" t="s">
        <v>64</v>
      </c>
      <c r="L747" t="s">
        <v>32</v>
      </c>
      <c r="M747">
        <v>100</v>
      </c>
      <c r="N747" t="s">
        <v>49</v>
      </c>
      <c r="O747" t="s">
        <v>65</v>
      </c>
      <c r="P747" t="s">
        <v>66</v>
      </c>
      <c r="Q747" t="s">
        <v>67</v>
      </c>
      <c r="R747" t="s">
        <v>37</v>
      </c>
      <c r="S747" t="s">
        <v>68</v>
      </c>
      <c r="T747" t="s">
        <v>55</v>
      </c>
      <c r="U747" t="s">
        <v>56</v>
      </c>
      <c r="V747" t="s">
        <v>56</v>
      </c>
    </row>
    <row r="748" spans="1:22" x14ac:dyDescent="0.3">
      <c r="A748" s="49">
        <v>45517</v>
      </c>
      <c r="B748" t="s">
        <v>22</v>
      </c>
      <c r="C748" t="s">
        <v>23</v>
      </c>
      <c r="D748" t="s">
        <v>24</v>
      </c>
      <c r="E748" t="s">
        <v>69</v>
      </c>
      <c r="F748" t="s">
        <v>70</v>
      </c>
      <c r="G748" t="s">
        <v>71</v>
      </c>
      <c r="H748" t="s">
        <v>28</v>
      </c>
      <c r="I748" t="s">
        <v>72</v>
      </c>
      <c r="J748" t="s">
        <v>46</v>
      </c>
      <c r="K748" t="s">
        <v>73</v>
      </c>
      <c r="L748" t="s">
        <v>48</v>
      </c>
      <c r="M748">
        <v>0</v>
      </c>
      <c r="N748" t="s">
        <v>74</v>
      </c>
      <c r="O748" t="s">
        <v>75</v>
      </c>
      <c r="P748" t="s">
        <v>76</v>
      </c>
      <c r="Q748" t="s">
        <v>77</v>
      </c>
      <c r="R748" t="s">
        <v>78</v>
      </c>
      <c r="S748" t="s">
        <v>79</v>
      </c>
      <c r="T748" t="s">
        <v>55</v>
      </c>
      <c r="U748" t="s">
        <v>56</v>
      </c>
      <c r="V748" t="s">
        <v>56</v>
      </c>
    </row>
    <row r="749" spans="1:22" x14ac:dyDescent="0.3">
      <c r="A749" s="49">
        <v>45517</v>
      </c>
      <c r="B749" t="s">
        <v>22</v>
      </c>
      <c r="C749" t="s">
        <v>23</v>
      </c>
      <c r="D749" t="s">
        <v>24</v>
      </c>
      <c r="E749" t="s">
        <v>69</v>
      </c>
      <c r="F749" t="s">
        <v>70</v>
      </c>
      <c r="G749" t="s">
        <v>71</v>
      </c>
      <c r="H749" t="s">
        <v>28</v>
      </c>
      <c r="I749" t="s">
        <v>72</v>
      </c>
      <c r="J749" t="s">
        <v>46</v>
      </c>
      <c r="K749" t="s">
        <v>73</v>
      </c>
      <c r="L749" t="s">
        <v>48</v>
      </c>
      <c r="M749">
        <v>0</v>
      </c>
      <c r="N749" t="s">
        <v>74</v>
      </c>
      <c r="O749" t="s">
        <v>75</v>
      </c>
      <c r="P749" t="s">
        <v>76</v>
      </c>
      <c r="Q749" t="s">
        <v>77</v>
      </c>
      <c r="R749" t="s">
        <v>78</v>
      </c>
      <c r="S749" t="s">
        <v>79</v>
      </c>
      <c r="T749" t="s">
        <v>55</v>
      </c>
      <c r="U749" t="s">
        <v>56</v>
      </c>
      <c r="V749" t="s">
        <v>56</v>
      </c>
    </row>
    <row r="750" spans="1:22" x14ac:dyDescent="0.3">
      <c r="A750" s="49">
        <v>45517</v>
      </c>
      <c r="B750" t="s">
        <v>22</v>
      </c>
      <c r="C750" t="s">
        <v>23</v>
      </c>
      <c r="D750" t="s">
        <v>24</v>
      </c>
      <c r="E750" t="s">
        <v>80</v>
      </c>
      <c r="F750" t="s">
        <v>81</v>
      </c>
      <c r="G750" t="s">
        <v>82</v>
      </c>
      <c r="H750" t="s">
        <v>28</v>
      </c>
      <c r="I750" t="s">
        <v>83</v>
      </c>
      <c r="J750" t="s">
        <v>63</v>
      </c>
      <c r="K750" t="s">
        <v>64</v>
      </c>
      <c r="L750" t="s">
        <v>32</v>
      </c>
      <c r="M750">
        <v>100</v>
      </c>
      <c r="N750" t="s">
        <v>49</v>
      </c>
      <c r="O750" t="s">
        <v>84</v>
      </c>
      <c r="P750" t="s">
        <v>85</v>
      </c>
      <c r="Q750" t="s">
        <v>86</v>
      </c>
      <c r="R750" t="s">
        <v>37</v>
      </c>
      <c r="S750" t="s">
        <v>87</v>
      </c>
      <c r="T750" t="s">
        <v>55</v>
      </c>
      <c r="U750" t="s">
        <v>56</v>
      </c>
      <c r="V750" t="s">
        <v>56</v>
      </c>
    </row>
    <row r="751" spans="1:22" x14ac:dyDescent="0.3">
      <c r="A751" s="49">
        <v>45517</v>
      </c>
      <c r="B751" t="s">
        <v>22</v>
      </c>
      <c r="C751" t="s">
        <v>23</v>
      </c>
      <c r="D751" t="s">
        <v>24</v>
      </c>
      <c r="E751" t="s">
        <v>80</v>
      </c>
      <c r="F751" t="s">
        <v>81</v>
      </c>
      <c r="G751" t="s">
        <v>88</v>
      </c>
      <c r="H751" t="s">
        <v>89</v>
      </c>
      <c r="I751" t="s">
        <v>90</v>
      </c>
      <c r="J751" t="s">
        <v>63</v>
      </c>
      <c r="K751" t="s">
        <v>64</v>
      </c>
      <c r="L751" t="s">
        <v>32</v>
      </c>
      <c r="M751">
        <v>77</v>
      </c>
      <c r="N751" t="s">
        <v>49</v>
      </c>
      <c r="O751" t="s">
        <v>91</v>
      </c>
      <c r="P751" t="s">
        <v>58</v>
      </c>
      <c r="Q751" t="s">
        <v>92</v>
      </c>
      <c r="R751" t="s">
        <v>37</v>
      </c>
      <c r="S751" t="s">
        <v>93</v>
      </c>
      <c r="T751" t="s">
        <v>55</v>
      </c>
      <c r="U751" t="s">
        <v>56</v>
      </c>
      <c r="V751" t="s">
        <v>56</v>
      </c>
    </row>
    <row r="752" spans="1:22" x14ac:dyDescent="0.3">
      <c r="A752" s="49">
        <v>45517</v>
      </c>
      <c r="B752" t="s">
        <v>22</v>
      </c>
      <c r="C752" t="s">
        <v>23</v>
      </c>
      <c r="D752" t="s">
        <v>24</v>
      </c>
      <c r="E752" t="s">
        <v>94</v>
      </c>
      <c r="F752" t="s">
        <v>95</v>
      </c>
      <c r="G752" t="s">
        <v>96</v>
      </c>
      <c r="H752" t="s">
        <v>28</v>
      </c>
      <c r="I752" t="s">
        <v>97</v>
      </c>
      <c r="J752" t="s">
        <v>30</v>
      </c>
      <c r="K752" t="s">
        <v>98</v>
      </c>
      <c r="L752" t="s">
        <v>48</v>
      </c>
      <c r="M752">
        <v>100</v>
      </c>
      <c r="N752" t="s">
        <v>49</v>
      </c>
      <c r="O752" t="s">
        <v>99</v>
      </c>
      <c r="P752" t="s">
        <v>100</v>
      </c>
      <c r="Q752" t="s">
        <v>101</v>
      </c>
      <c r="R752" t="s">
        <v>53</v>
      </c>
      <c r="S752" t="s">
        <v>102</v>
      </c>
      <c r="T752" t="s">
        <v>55</v>
      </c>
      <c r="U752" t="s">
        <v>56</v>
      </c>
      <c r="V752" t="s">
        <v>56</v>
      </c>
    </row>
    <row r="753" spans="1:22" x14ac:dyDescent="0.3">
      <c r="A753" s="49">
        <v>45517</v>
      </c>
      <c r="B753" t="s">
        <v>22</v>
      </c>
      <c r="C753" t="s">
        <v>23</v>
      </c>
      <c r="D753" t="s">
        <v>24</v>
      </c>
      <c r="E753" t="s">
        <v>94</v>
      </c>
      <c r="F753" t="s">
        <v>95</v>
      </c>
      <c r="G753" t="s">
        <v>96</v>
      </c>
      <c r="H753" t="s">
        <v>28</v>
      </c>
      <c r="I753" t="s">
        <v>97</v>
      </c>
      <c r="J753" t="s">
        <v>30</v>
      </c>
      <c r="K753" t="s">
        <v>98</v>
      </c>
      <c r="L753" t="s">
        <v>48</v>
      </c>
      <c r="M753">
        <v>100</v>
      </c>
      <c r="N753" t="s">
        <v>49</v>
      </c>
      <c r="O753" t="s">
        <v>103</v>
      </c>
      <c r="P753" t="s">
        <v>104</v>
      </c>
      <c r="Q753" t="s">
        <v>101</v>
      </c>
      <c r="R753" t="s">
        <v>53</v>
      </c>
      <c r="S753" t="s">
        <v>102</v>
      </c>
      <c r="T753" t="s">
        <v>55</v>
      </c>
      <c r="U753" t="s">
        <v>56</v>
      </c>
      <c r="V753" t="s">
        <v>56</v>
      </c>
    </row>
    <row r="754" spans="1:22" x14ac:dyDescent="0.3">
      <c r="A754" s="49">
        <v>45517</v>
      </c>
      <c r="B754" t="s">
        <v>22</v>
      </c>
      <c r="C754" t="s">
        <v>23</v>
      </c>
      <c r="D754" t="s">
        <v>24</v>
      </c>
      <c r="E754" t="s">
        <v>94</v>
      </c>
      <c r="F754" t="s">
        <v>95</v>
      </c>
      <c r="G754" t="s">
        <v>96</v>
      </c>
      <c r="H754" t="s">
        <v>28</v>
      </c>
      <c r="I754" t="s">
        <v>97</v>
      </c>
      <c r="J754" t="s">
        <v>30</v>
      </c>
      <c r="K754" t="s">
        <v>98</v>
      </c>
      <c r="L754" t="s">
        <v>48</v>
      </c>
      <c r="M754">
        <v>100</v>
      </c>
      <c r="N754" t="s">
        <v>49</v>
      </c>
      <c r="O754" t="s">
        <v>105</v>
      </c>
      <c r="P754" t="s">
        <v>106</v>
      </c>
      <c r="Q754" t="s">
        <v>101</v>
      </c>
      <c r="R754" t="s">
        <v>53</v>
      </c>
      <c r="S754" t="s">
        <v>102</v>
      </c>
      <c r="T754" t="s">
        <v>55</v>
      </c>
      <c r="U754" t="s">
        <v>56</v>
      </c>
      <c r="V754" t="s">
        <v>56</v>
      </c>
    </row>
    <row r="755" spans="1:22" x14ac:dyDescent="0.3">
      <c r="A755" s="49">
        <v>45517</v>
      </c>
      <c r="B755" t="s">
        <v>22</v>
      </c>
      <c r="C755" t="s">
        <v>23</v>
      </c>
      <c r="D755" t="s">
        <v>24</v>
      </c>
      <c r="E755" t="s">
        <v>94</v>
      </c>
      <c r="F755" t="s">
        <v>95</v>
      </c>
      <c r="G755" t="s">
        <v>96</v>
      </c>
      <c r="H755" t="s">
        <v>28</v>
      </c>
      <c r="I755" t="s">
        <v>97</v>
      </c>
      <c r="J755" t="s">
        <v>30</v>
      </c>
      <c r="K755" t="s">
        <v>98</v>
      </c>
      <c r="L755" t="s">
        <v>48</v>
      </c>
      <c r="M755">
        <v>100</v>
      </c>
      <c r="N755" t="s">
        <v>49</v>
      </c>
      <c r="O755" t="s">
        <v>107</v>
      </c>
      <c r="P755" t="s">
        <v>108</v>
      </c>
      <c r="Q755" t="s">
        <v>101</v>
      </c>
      <c r="R755" t="s">
        <v>53</v>
      </c>
      <c r="S755" t="s">
        <v>102</v>
      </c>
      <c r="T755" t="s">
        <v>55</v>
      </c>
      <c r="U755" t="s">
        <v>56</v>
      </c>
      <c r="V755" t="s">
        <v>56</v>
      </c>
    </row>
    <row r="756" spans="1:22" x14ac:dyDescent="0.3">
      <c r="A756" s="49">
        <v>45517</v>
      </c>
      <c r="B756" t="s">
        <v>22</v>
      </c>
      <c r="C756" t="s">
        <v>23</v>
      </c>
      <c r="D756" t="s">
        <v>24</v>
      </c>
      <c r="E756" t="s">
        <v>109</v>
      </c>
      <c r="F756" t="s">
        <v>110</v>
      </c>
      <c r="G756" t="s">
        <v>111</v>
      </c>
      <c r="H756" t="s">
        <v>28</v>
      </c>
      <c r="I756" t="s">
        <v>112</v>
      </c>
      <c r="J756" t="s">
        <v>63</v>
      </c>
      <c r="K756" t="s">
        <v>64</v>
      </c>
      <c r="L756" t="s">
        <v>32</v>
      </c>
      <c r="M756">
        <v>0</v>
      </c>
      <c r="N756" t="s">
        <v>74</v>
      </c>
      <c r="O756" t="s">
        <v>113</v>
      </c>
      <c r="P756" t="s">
        <v>85</v>
      </c>
      <c r="Q756" t="s">
        <v>114</v>
      </c>
      <c r="R756" t="s">
        <v>37</v>
      </c>
      <c r="S756" t="s">
        <v>115</v>
      </c>
      <c r="T756" t="s">
        <v>39</v>
      </c>
      <c r="U756" t="s">
        <v>40</v>
      </c>
      <c r="V756" t="s">
        <v>41</v>
      </c>
    </row>
    <row r="757" spans="1:22" x14ac:dyDescent="0.3">
      <c r="A757" s="49">
        <v>45517</v>
      </c>
      <c r="B757" t="s">
        <v>22</v>
      </c>
      <c r="C757" t="s">
        <v>23</v>
      </c>
      <c r="D757" t="s">
        <v>24</v>
      </c>
      <c r="E757" t="s">
        <v>116</v>
      </c>
      <c r="F757" t="s">
        <v>117</v>
      </c>
      <c r="G757" t="s">
        <v>118</v>
      </c>
      <c r="H757" t="s">
        <v>89</v>
      </c>
      <c r="J757" t="s">
        <v>63</v>
      </c>
      <c r="K757" t="s">
        <v>119</v>
      </c>
      <c r="L757" t="s">
        <v>48</v>
      </c>
      <c r="M757">
        <v>0</v>
      </c>
      <c r="N757" t="s">
        <v>74</v>
      </c>
      <c r="O757" t="s">
        <v>120</v>
      </c>
      <c r="P757" t="s">
        <v>121</v>
      </c>
      <c r="Q757" t="s">
        <v>122</v>
      </c>
      <c r="R757" t="s">
        <v>53</v>
      </c>
      <c r="S757" t="s">
        <v>123</v>
      </c>
      <c r="T757" t="s">
        <v>55</v>
      </c>
      <c r="U757" t="s">
        <v>56</v>
      </c>
      <c r="V757" t="s">
        <v>56</v>
      </c>
    </row>
    <row r="758" spans="1:22" x14ac:dyDescent="0.3">
      <c r="A758" s="49">
        <v>45517</v>
      </c>
      <c r="B758" t="s">
        <v>22</v>
      </c>
      <c r="C758" t="s">
        <v>23</v>
      </c>
      <c r="D758" t="s">
        <v>24</v>
      </c>
      <c r="E758" t="s">
        <v>116</v>
      </c>
      <c r="F758" t="s">
        <v>117</v>
      </c>
      <c r="G758" t="s">
        <v>118</v>
      </c>
      <c r="H758" t="s">
        <v>89</v>
      </c>
      <c r="J758" t="s">
        <v>63</v>
      </c>
      <c r="K758" t="s">
        <v>119</v>
      </c>
      <c r="L758" t="s">
        <v>48</v>
      </c>
      <c r="M758">
        <v>0</v>
      </c>
      <c r="N758" t="s">
        <v>74</v>
      </c>
      <c r="O758" t="s">
        <v>120</v>
      </c>
      <c r="P758" t="s">
        <v>121</v>
      </c>
      <c r="Q758" t="s">
        <v>122</v>
      </c>
      <c r="R758" t="s">
        <v>53</v>
      </c>
      <c r="S758" t="s">
        <v>123</v>
      </c>
      <c r="T758" t="s">
        <v>55</v>
      </c>
      <c r="U758" t="s">
        <v>56</v>
      </c>
      <c r="V758" t="s">
        <v>56</v>
      </c>
    </row>
    <row r="759" spans="1:22" x14ac:dyDescent="0.3">
      <c r="A759" s="49">
        <v>45517</v>
      </c>
      <c r="B759" t="s">
        <v>22</v>
      </c>
      <c r="C759" t="s">
        <v>23</v>
      </c>
      <c r="D759" t="s">
        <v>24</v>
      </c>
      <c r="E759" t="s">
        <v>116</v>
      </c>
      <c r="F759" t="s">
        <v>117</v>
      </c>
      <c r="G759" t="s">
        <v>124</v>
      </c>
      <c r="H759" t="s">
        <v>28</v>
      </c>
      <c r="I759" t="s">
        <v>125</v>
      </c>
      <c r="J759" t="s">
        <v>63</v>
      </c>
      <c r="K759" t="s">
        <v>64</v>
      </c>
      <c r="L759" t="s">
        <v>32</v>
      </c>
      <c r="M759">
        <v>0</v>
      </c>
      <c r="N759" t="s">
        <v>49</v>
      </c>
      <c r="O759" t="s">
        <v>126</v>
      </c>
      <c r="P759" t="s">
        <v>127</v>
      </c>
      <c r="Q759" t="s">
        <v>128</v>
      </c>
      <c r="R759" t="s">
        <v>37</v>
      </c>
      <c r="S759" t="s">
        <v>129</v>
      </c>
      <c r="T759" t="s">
        <v>55</v>
      </c>
      <c r="U759" t="s">
        <v>56</v>
      </c>
      <c r="V759" t="s">
        <v>56</v>
      </c>
    </row>
    <row r="760" spans="1:22" x14ac:dyDescent="0.3">
      <c r="A760" s="49">
        <v>45517</v>
      </c>
      <c r="B760" t="s">
        <v>22</v>
      </c>
      <c r="C760" t="s">
        <v>23</v>
      </c>
      <c r="D760" t="s">
        <v>24</v>
      </c>
      <c r="E760" t="s">
        <v>130</v>
      </c>
      <c r="F760" t="s">
        <v>131</v>
      </c>
      <c r="G760" t="s">
        <v>132</v>
      </c>
      <c r="H760" t="s">
        <v>28</v>
      </c>
      <c r="I760" t="s">
        <v>133</v>
      </c>
      <c r="J760" t="s">
        <v>30</v>
      </c>
      <c r="K760" t="s">
        <v>134</v>
      </c>
      <c r="L760" t="s">
        <v>135</v>
      </c>
      <c r="M760">
        <v>0</v>
      </c>
      <c r="N760" t="s">
        <v>74</v>
      </c>
      <c r="O760" t="s">
        <v>136</v>
      </c>
      <c r="P760" t="s">
        <v>137</v>
      </c>
      <c r="Q760" t="s">
        <v>138</v>
      </c>
      <c r="R760" t="s">
        <v>139</v>
      </c>
      <c r="S760" t="s">
        <v>140</v>
      </c>
      <c r="T760" t="s">
        <v>55</v>
      </c>
      <c r="U760" t="s">
        <v>56</v>
      </c>
      <c r="V760" t="s">
        <v>56</v>
      </c>
    </row>
    <row r="761" spans="1:22" x14ac:dyDescent="0.3">
      <c r="A761" s="49">
        <v>45517</v>
      </c>
      <c r="B761" t="s">
        <v>22</v>
      </c>
      <c r="C761" t="s">
        <v>23</v>
      </c>
      <c r="D761" t="s">
        <v>24</v>
      </c>
      <c r="E761" t="s">
        <v>130</v>
      </c>
      <c r="F761" t="s">
        <v>131</v>
      </c>
      <c r="G761" t="s">
        <v>132</v>
      </c>
      <c r="H761" t="s">
        <v>28</v>
      </c>
      <c r="I761" t="s">
        <v>133</v>
      </c>
      <c r="J761" t="s">
        <v>30</v>
      </c>
      <c r="K761" t="s">
        <v>134</v>
      </c>
      <c r="L761" t="s">
        <v>135</v>
      </c>
      <c r="M761">
        <v>0</v>
      </c>
      <c r="N761" t="s">
        <v>74</v>
      </c>
      <c r="O761" t="s">
        <v>136</v>
      </c>
      <c r="P761" t="s">
        <v>137</v>
      </c>
      <c r="Q761" t="s">
        <v>138</v>
      </c>
      <c r="R761" t="s">
        <v>139</v>
      </c>
      <c r="S761" t="s">
        <v>140</v>
      </c>
      <c r="T761" t="s">
        <v>55</v>
      </c>
      <c r="U761" t="s">
        <v>56</v>
      </c>
      <c r="V761" t="s">
        <v>56</v>
      </c>
    </row>
    <row r="762" spans="1:22" x14ac:dyDescent="0.3">
      <c r="A762" s="49">
        <v>45517</v>
      </c>
      <c r="B762" t="s">
        <v>22</v>
      </c>
      <c r="C762" t="s">
        <v>23</v>
      </c>
      <c r="D762" t="s">
        <v>24</v>
      </c>
      <c r="E762" t="s">
        <v>141</v>
      </c>
      <c r="F762" t="s">
        <v>142</v>
      </c>
      <c r="G762" t="s">
        <v>143</v>
      </c>
      <c r="H762" t="s">
        <v>28</v>
      </c>
      <c r="I762" t="s">
        <v>144</v>
      </c>
      <c r="J762" t="s">
        <v>30</v>
      </c>
      <c r="K762" t="s">
        <v>98</v>
      </c>
      <c r="L762" t="s">
        <v>48</v>
      </c>
      <c r="M762">
        <v>100</v>
      </c>
      <c r="N762" t="s">
        <v>49</v>
      </c>
      <c r="O762" t="s">
        <v>145</v>
      </c>
      <c r="P762" t="s">
        <v>85</v>
      </c>
      <c r="Q762" t="s">
        <v>146</v>
      </c>
      <c r="R762" t="s">
        <v>53</v>
      </c>
      <c r="S762" t="s">
        <v>147</v>
      </c>
      <c r="T762" t="s">
        <v>55</v>
      </c>
      <c r="U762" t="s">
        <v>56</v>
      </c>
      <c r="V762" t="s">
        <v>56</v>
      </c>
    </row>
    <row r="763" spans="1:22" x14ac:dyDescent="0.3">
      <c r="A763" s="49">
        <v>45517</v>
      </c>
      <c r="B763" t="s">
        <v>22</v>
      </c>
      <c r="C763" t="s">
        <v>23</v>
      </c>
      <c r="D763" t="s">
        <v>24</v>
      </c>
      <c r="E763" t="s">
        <v>141</v>
      </c>
      <c r="F763" t="s">
        <v>142</v>
      </c>
      <c r="G763" t="s">
        <v>143</v>
      </c>
      <c r="H763" t="s">
        <v>28</v>
      </c>
      <c r="I763" t="s">
        <v>144</v>
      </c>
      <c r="J763" t="s">
        <v>30</v>
      </c>
      <c r="K763" t="s">
        <v>98</v>
      </c>
      <c r="L763" t="s">
        <v>48</v>
      </c>
      <c r="M763">
        <v>100</v>
      </c>
      <c r="N763" t="s">
        <v>49</v>
      </c>
      <c r="O763" t="s">
        <v>145</v>
      </c>
      <c r="P763" t="s">
        <v>85</v>
      </c>
      <c r="Q763" t="s">
        <v>146</v>
      </c>
      <c r="R763" t="s">
        <v>53</v>
      </c>
      <c r="S763" t="s">
        <v>147</v>
      </c>
      <c r="T763" t="s">
        <v>55</v>
      </c>
      <c r="U763" t="s">
        <v>56</v>
      </c>
      <c r="V763" t="s">
        <v>56</v>
      </c>
    </row>
    <row r="764" spans="1:22" x14ac:dyDescent="0.3">
      <c r="A764" s="49">
        <v>45517</v>
      </c>
      <c r="B764" t="s">
        <v>22</v>
      </c>
      <c r="C764" t="s">
        <v>23</v>
      </c>
      <c r="D764" t="s">
        <v>24</v>
      </c>
      <c r="E764" t="s">
        <v>141</v>
      </c>
      <c r="F764" t="s">
        <v>142</v>
      </c>
      <c r="G764" t="s">
        <v>148</v>
      </c>
      <c r="H764" t="s">
        <v>28</v>
      </c>
      <c r="I764" t="s">
        <v>144</v>
      </c>
      <c r="J764" t="s">
        <v>30</v>
      </c>
      <c r="K764" t="s">
        <v>98</v>
      </c>
      <c r="L764" t="s">
        <v>48</v>
      </c>
      <c r="M764">
        <v>100</v>
      </c>
      <c r="N764" t="s">
        <v>49</v>
      </c>
      <c r="O764" t="s">
        <v>149</v>
      </c>
      <c r="P764" t="s">
        <v>106</v>
      </c>
      <c r="Q764" t="s">
        <v>146</v>
      </c>
      <c r="R764" t="s">
        <v>53</v>
      </c>
      <c r="S764" t="s">
        <v>147</v>
      </c>
      <c r="T764" t="s">
        <v>55</v>
      </c>
      <c r="U764" t="s">
        <v>56</v>
      </c>
      <c r="V764" t="s">
        <v>56</v>
      </c>
    </row>
    <row r="765" spans="1:22" x14ac:dyDescent="0.3">
      <c r="A765" s="49">
        <v>45517</v>
      </c>
      <c r="B765" t="s">
        <v>22</v>
      </c>
      <c r="C765" t="s">
        <v>23</v>
      </c>
      <c r="D765" t="s">
        <v>24</v>
      </c>
      <c r="E765" t="s">
        <v>141</v>
      </c>
      <c r="F765" t="s">
        <v>142</v>
      </c>
      <c r="G765" t="s">
        <v>143</v>
      </c>
      <c r="H765" t="s">
        <v>28</v>
      </c>
      <c r="I765" t="s">
        <v>144</v>
      </c>
      <c r="J765" t="s">
        <v>30</v>
      </c>
      <c r="K765" t="s">
        <v>98</v>
      </c>
      <c r="L765" t="s">
        <v>48</v>
      </c>
      <c r="M765">
        <v>100</v>
      </c>
      <c r="N765" t="s">
        <v>49</v>
      </c>
      <c r="O765" t="s">
        <v>150</v>
      </c>
      <c r="P765" t="s">
        <v>106</v>
      </c>
      <c r="Q765" t="s">
        <v>146</v>
      </c>
      <c r="R765" t="s">
        <v>53</v>
      </c>
      <c r="S765" t="s">
        <v>147</v>
      </c>
      <c r="T765" t="s">
        <v>55</v>
      </c>
      <c r="U765" t="s">
        <v>56</v>
      </c>
      <c r="V765" t="s">
        <v>56</v>
      </c>
    </row>
    <row r="766" spans="1:22" x14ac:dyDescent="0.3">
      <c r="A766" s="49">
        <v>45517</v>
      </c>
      <c r="B766" t="s">
        <v>22</v>
      </c>
      <c r="C766" t="s">
        <v>23</v>
      </c>
      <c r="D766" t="s">
        <v>24</v>
      </c>
      <c r="E766" t="s">
        <v>151</v>
      </c>
      <c r="F766" t="s">
        <v>152</v>
      </c>
      <c r="G766" t="s">
        <v>153</v>
      </c>
      <c r="H766" t="s">
        <v>28</v>
      </c>
      <c r="I766" t="s">
        <v>154</v>
      </c>
      <c r="J766" t="s">
        <v>63</v>
      </c>
      <c r="K766" t="s">
        <v>119</v>
      </c>
      <c r="L766" t="s">
        <v>48</v>
      </c>
      <c r="M766">
        <v>100</v>
      </c>
      <c r="N766" t="s">
        <v>49</v>
      </c>
      <c r="O766" t="s">
        <v>155</v>
      </c>
      <c r="P766" t="s">
        <v>58</v>
      </c>
      <c r="Q766" t="s">
        <v>156</v>
      </c>
      <c r="R766" t="s">
        <v>53</v>
      </c>
      <c r="S766" t="s">
        <v>157</v>
      </c>
      <c r="T766" t="s">
        <v>55</v>
      </c>
      <c r="U766" t="s">
        <v>56</v>
      </c>
      <c r="V766" t="s">
        <v>56</v>
      </c>
    </row>
    <row r="767" spans="1:22" x14ac:dyDescent="0.3">
      <c r="A767" s="49">
        <v>45517</v>
      </c>
      <c r="B767" t="s">
        <v>22</v>
      </c>
      <c r="C767" t="s">
        <v>23</v>
      </c>
      <c r="D767" t="s">
        <v>24</v>
      </c>
      <c r="E767" t="s">
        <v>151</v>
      </c>
      <c r="F767" t="s">
        <v>152</v>
      </c>
      <c r="G767" t="s">
        <v>153</v>
      </c>
      <c r="H767" t="s">
        <v>28</v>
      </c>
      <c r="I767" t="s">
        <v>154</v>
      </c>
      <c r="J767" t="s">
        <v>63</v>
      </c>
      <c r="K767" t="s">
        <v>119</v>
      </c>
      <c r="L767" t="s">
        <v>48</v>
      </c>
      <c r="M767">
        <v>66</v>
      </c>
      <c r="N767" t="s">
        <v>49</v>
      </c>
      <c r="O767" t="s">
        <v>155</v>
      </c>
      <c r="P767" t="s">
        <v>58</v>
      </c>
      <c r="Q767" t="s">
        <v>156</v>
      </c>
      <c r="R767" t="s">
        <v>53</v>
      </c>
      <c r="S767" t="s">
        <v>157</v>
      </c>
      <c r="T767" t="s">
        <v>55</v>
      </c>
      <c r="U767" t="s">
        <v>56</v>
      </c>
      <c r="V767" t="s">
        <v>56</v>
      </c>
    </row>
    <row r="768" spans="1:22" x14ac:dyDescent="0.3">
      <c r="A768" s="49">
        <v>45517</v>
      </c>
      <c r="B768" t="s">
        <v>22</v>
      </c>
      <c r="C768" t="s">
        <v>23</v>
      </c>
      <c r="D768" t="s">
        <v>24</v>
      </c>
      <c r="E768" t="s">
        <v>158</v>
      </c>
      <c r="F768" t="s">
        <v>159</v>
      </c>
      <c r="G768" t="s">
        <v>160</v>
      </c>
      <c r="H768" t="s">
        <v>28</v>
      </c>
      <c r="I768" t="s">
        <v>161</v>
      </c>
      <c r="J768" t="s">
        <v>63</v>
      </c>
      <c r="K768" t="s">
        <v>64</v>
      </c>
      <c r="L768" t="s">
        <v>32</v>
      </c>
      <c r="M768">
        <v>20</v>
      </c>
      <c r="N768" t="s">
        <v>49</v>
      </c>
      <c r="O768" t="s">
        <v>162</v>
      </c>
      <c r="P768" t="s">
        <v>163</v>
      </c>
      <c r="Q768" t="s">
        <v>164</v>
      </c>
      <c r="R768" t="s">
        <v>37</v>
      </c>
      <c r="S768" t="s">
        <v>165</v>
      </c>
      <c r="T768" t="s">
        <v>55</v>
      </c>
      <c r="U768" t="s">
        <v>56</v>
      </c>
      <c r="V768" t="s">
        <v>56</v>
      </c>
    </row>
    <row r="769" spans="1:22" x14ac:dyDescent="0.3">
      <c r="A769" s="49">
        <v>45517</v>
      </c>
      <c r="B769" t="s">
        <v>22</v>
      </c>
      <c r="C769" t="s">
        <v>23</v>
      </c>
      <c r="D769" t="s">
        <v>24</v>
      </c>
      <c r="E769" t="s">
        <v>166</v>
      </c>
      <c r="F769" t="s">
        <v>167</v>
      </c>
      <c r="G769" t="s">
        <v>168</v>
      </c>
      <c r="H769" t="s">
        <v>89</v>
      </c>
      <c r="J769" t="s">
        <v>63</v>
      </c>
      <c r="K769" t="s">
        <v>64</v>
      </c>
      <c r="L769" t="s">
        <v>32</v>
      </c>
      <c r="M769">
        <v>100</v>
      </c>
      <c r="N769" t="s">
        <v>49</v>
      </c>
      <c r="O769" t="s">
        <v>169</v>
      </c>
      <c r="P769" t="s">
        <v>170</v>
      </c>
      <c r="Q769" t="s">
        <v>171</v>
      </c>
      <c r="R769" t="s">
        <v>37</v>
      </c>
      <c r="S769" t="s">
        <v>172</v>
      </c>
      <c r="T769" t="s">
        <v>55</v>
      </c>
      <c r="U769" t="s">
        <v>56</v>
      </c>
      <c r="V769" t="s">
        <v>56</v>
      </c>
    </row>
    <row r="770" spans="1:22" x14ac:dyDescent="0.3">
      <c r="A770" s="49">
        <v>45517</v>
      </c>
      <c r="B770" t="s">
        <v>22</v>
      </c>
      <c r="C770" t="s">
        <v>23</v>
      </c>
      <c r="D770" t="s">
        <v>173</v>
      </c>
      <c r="E770" t="s">
        <v>174</v>
      </c>
      <c r="F770" t="s">
        <v>175</v>
      </c>
      <c r="G770" t="s">
        <v>176</v>
      </c>
      <c r="H770" t="s">
        <v>89</v>
      </c>
      <c r="J770" t="s">
        <v>63</v>
      </c>
      <c r="K770" t="s">
        <v>64</v>
      </c>
      <c r="L770" t="s">
        <v>32</v>
      </c>
      <c r="M770">
        <v>0</v>
      </c>
      <c r="N770" t="s">
        <v>49</v>
      </c>
      <c r="O770" t="s">
        <v>177</v>
      </c>
      <c r="P770" t="s">
        <v>127</v>
      </c>
      <c r="Q770" t="s">
        <v>178</v>
      </c>
      <c r="R770" t="s">
        <v>37</v>
      </c>
      <c r="S770" t="s">
        <v>179</v>
      </c>
      <c r="T770" t="s">
        <v>55</v>
      </c>
      <c r="U770" t="s">
        <v>56</v>
      </c>
      <c r="V770" t="s">
        <v>56</v>
      </c>
    </row>
    <row r="771" spans="1:22" x14ac:dyDescent="0.3">
      <c r="A771" s="49">
        <v>45517</v>
      </c>
      <c r="B771" t="s">
        <v>22</v>
      </c>
      <c r="C771" t="s">
        <v>23</v>
      </c>
      <c r="D771" t="s">
        <v>24</v>
      </c>
      <c r="E771" t="s">
        <v>180</v>
      </c>
      <c r="F771" t="s">
        <v>181</v>
      </c>
      <c r="G771" t="s">
        <v>182</v>
      </c>
      <c r="H771" t="s">
        <v>89</v>
      </c>
      <c r="I771" t="s">
        <v>183</v>
      </c>
      <c r="J771" t="s">
        <v>63</v>
      </c>
      <c r="K771" t="s">
        <v>64</v>
      </c>
      <c r="L771" t="s">
        <v>32</v>
      </c>
      <c r="M771">
        <v>0</v>
      </c>
      <c r="N771" t="s">
        <v>74</v>
      </c>
      <c r="O771" t="s">
        <v>184</v>
      </c>
      <c r="P771" t="s">
        <v>76</v>
      </c>
      <c r="Q771" t="s">
        <v>185</v>
      </c>
      <c r="R771" t="s">
        <v>186</v>
      </c>
      <c r="S771" t="s">
        <v>187</v>
      </c>
      <c r="T771" t="s">
        <v>55</v>
      </c>
      <c r="U771" t="s">
        <v>56</v>
      </c>
      <c r="V771" t="s">
        <v>56</v>
      </c>
    </row>
    <row r="772" spans="1:22" x14ac:dyDescent="0.3">
      <c r="A772" s="49">
        <v>45517</v>
      </c>
      <c r="B772" t="s">
        <v>22</v>
      </c>
      <c r="C772" t="s">
        <v>23</v>
      </c>
      <c r="D772" t="s">
        <v>24</v>
      </c>
      <c r="E772" t="s">
        <v>188</v>
      </c>
      <c r="F772" t="s">
        <v>189</v>
      </c>
      <c r="G772" t="s">
        <v>190</v>
      </c>
      <c r="H772" t="s">
        <v>28</v>
      </c>
      <c r="I772" t="s">
        <v>191</v>
      </c>
      <c r="J772" t="s">
        <v>30</v>
      </c>
      <c r="K772" t="s">
        <v>98</v>
      </c>
      <c r="L772" t="s">
        <v>48</v>
      </c>
      <c r="M772">
        <v>100</v>
      </c>
      <c r="N772" t="s">
        <v>49</v>
      </c>
      <c r="O772" t="s">
        <v>192</v>
      </c>
      <c r="P772" t="s">
        <v>58</v>
      </c>
      <c r="Q772" t="s">
        <v>193</v>
      </c>
      <c r="R772" t="s">
        <v>53</v>
      </c>
      <c r="S772" t="s">
        <v>194</v>
      </c>
      <c r="T772" t="s">
        <v>55</v>
      </c>
      <c r="U772" t="s">
        <v>56</v>
      </c>
      <c r="V772" t="s">
        <v>56</v>
      </c>
    </row>
    <row r="773" spans="1:22" x14ac:dyDescent="0.3">
      <c r="A773" s="49">
        <v>45517</v>
      </c>
      <c r="B773" t="s">
        <v>22</v>
      </c>
      <c r="C773" t="s">
        <v>23</v>
      </c>
      <c r="D773" t="s">
        <v>24</v>
      </c>
      <c r="E773" t="s">
        <v>188</v>
      </c>
      <c r="F773" t="s">
        <v>189</v>
      </c>
      <c r="G773" t="s">
        <v>190</v>
      </c>
      <c r="H773" t="s">
        <v>28</v>
      </c>
      <c r="I773" t="s">
        <v>191</v>
      </c>
      <c r="J773" t="s">
        <v>30</v>
      </c>
      <c r="K773" t="s">
        <v>98</v>
      </c>
      <c r="L773" t="s">
        <v>48</v>
      </c>
      <c r="M773">
        <v>100</v>
      </c>
      <c r="N773" t="s">
        <v>49</v>
      </c>
      <c r="O773" t="s">
        <v>192</v>
      </c>
      <c r="P773" t="s">
        <v>58</v>
      </c>
      <c r="Q773" t="s">
        <v>193</v>
      </c>
      <c r="R773" t="s">
        <v>53</v>
      </c>
      <c r="S773" t="s">
        <v>194</v>
      </c>
      <c r="T773" t="s">
        <v>55</v>
      </c>
      <c r="U773" t="s">
        <v>56</v>
      </c>
      <c r="V773" t="s">
        <v>56</v>
      </c>
    </row>
    <row r="774" spans="1:22" x14ac:dyDescent="0.3">
      <c r="A774" s="49">
        <v>45517</v>
      </c>
      <c r="B774" t="s">
        <v>22</v>
      </c>
      <c r="C774" t="s">
        <v>23</v>
      </c>
      <c r="D774" t="s">
        <v>24</v>
      </c>
      <c r="E774" t="s">
        <v>188</v>
      </c>
      <c r="F774" t="s">
        <v>189</v>
      </c>
      <c r="G774" t="s">
        <v>190</v>
      </c>
      <c r="H774" t="s">
        <v>28</v>
      </c>
      <c r="I774" t="s">
        <v>191</v>
      </c>
      <c r="J774" t="s">
        <v>30</v>
      </c>
      <c r="K774" t="s">
        <v>98</v>
      </c>
      <c r="L774" t="s">
        <v>48</v>
      </c>
      <c r="M774">
        <v>100</v>
      </c>
      <c r="N774" t="s">
        <v>49</v>
      </c>
      <c r="O774" t="s">
        <v>192</v>
      </c>
      <c r="P774" t="s">
        <v>58</v>
      </c>
      <c r="Q774" t="s">
        <v>193</v>
      </c>
      <c r="R774" t="s">
        <v>53</v>
      </c>
      <c r="S774" t="s">
        <v>194</v>
      </c>
      <c r="T774" t="s">
        <v>55</v>
      </c>
      <c r="U774" t="s">
        <v>56</v>
      </c>
      <c r="V774" t="s">
        <v>56</v>
      </c>
    </row>
    <row r="775" spans="1:22" x14ac:dyDescent="0.3">
      <c r="A775" s="49">
        <v>45517</v>
      </c>
      <c r="B775" t="s">
        <v>22</v>
      </c>
      <c r="C775" t="s">
        <v>23</v>
      </c>
      <c r="D775" t="s">
        <v>24</v>
      </c>
      <c r="E775" t="s">
        <v>188</v>
      </c>
      <c r="F775" t="s">
        <v>189</v>
      </c>
      <c r="G775" t="s">
        <v>190</v>
      </c>
      <c r="H775" t="s">
        <v>28</v>
      </c>
      <c r="I775" t="s">
        <v>191</v>
      </c>
      <c r="J775" t="s">
        <v>30</v>
      </c>
      <c r="K775" t="s">
        <v>98</v>
      </c>
      <c r="L775" t="s">
        <v>48</v>
      </c>
      <c r="M775">
        <v>100</v>
      </c>
      <c r="N775" t="s">
        <v>49</v>
      </c>
      <c r="O775" t="s">
        <v>192</v>
      </c>
      <c r="P775" t="s">
        <v>58</v>
      </c>
      <c r="Q775" t="s">
        <v>193</v>
      </c>
      <c r="R775" t="s">
        <v>53</v>
      </c>
      <c r="S775" t="s">
        <v>194</v>
      </c>
      <c r="T775" t="s">
        <v>55</v>
      </c>
      <c r="U775" t="s">
        <v>56</v>
      </c>
      <c r="V775" t="s">
        <v>56</v>
      </c>
    </row>
    <row r="776" spans="1:22" x14ac:dyDescent="0.3">
      <c r="A776" s="49">
        <v>45517</v>
      </c>
      <c r="B776" t="s">
        <v>22</v>
      </c>
      <c r="C776" t="s">
        <v>23</v>
      </c>
      <c r="D776" t="s">
        <v>24</v>
      </c>
      <c r="E776" t="s">
        <v>188</v>
      </c>
      <c r="F776" t="s">
        <v>189</v>
      </c>
      <c r="G776" t="s">
        <v>195</v>
      </c>
      <c r="H776" t="s">
        <v>28</v>
      </c>
      <c r="I776" t="s">
        <v>196</v>
      </c>
      <c r="J776" t="s">
        <v>63</v>
      </c>
      <c r="K776" t="s">
        <v>197</v>
      </c>
      <c r="L776" t="s">
        <v>32</v>
      </c>
      <c r="M776">
        <v>100</v>
      </c>
      <c r="N776" t="s">
        <v>49</v>
      </c>
      <c r="O776" t="s">
        <v>198</v>
      </c>
      <c r="P776" t="s">
        <v>58</v>
      </c>
      <c r="Q776" t="s">
        <v>199</v>
      </c>
      <c r="R776" t="s">
        <v>200</v>
      </c>
      <c r="S776" t="s">
        <v>194</v>
      </c>
      <c r="T776" t="s">
        <v>55</v>
      </c>
      <c r="U776" t="s">
        <v>56</v>
      </c>
      <c r="V776" t="s">
        <v>56</v>
      </c>
    </row>
    <row r="777" spans="1:22" x14ac:dyDescent="0.3">
      <c r="A777" s="49">
        <v>45517</v>
      </c>
      <c r="B777" t="s">
        <v>22</v>
      </c>
      <c r="C777" t="s">
        <v>23</v>
      </c>
      <c r="D777" t="s">
        <v>24</v>
      </c>
      <c r="E777" t="s">
        <v>201</v>
      </c>
      <c r="F777" t="s">
        <v>202</v>
      </c>
      <c r="G777" t="s">
        <v>203</v>
      </c>
      <c r="H777" t="s">
        <v>89</v>
      </c>
      <c r="J777" t="s">
        <v>63</v>
      </c>
      <c r="K777" t="s">
        <v>119</v>
      </c>
      <c r="L777" t="s">
        <v>48</v>
      </c>
      <c r="M777">
        <v>100</v>
      </c>
      <c r="N777" t="s">
        <v>49</v>
      </c>
      <c r="O777" t="s">
        <v>204</v>
      </c>
      <c r="P777" t="s">
        <v>205</v>
      </c>
      <c r="Q777" t="s">
        <v>114</v>
      </c>
      <c r="R777" t="s">
        <v>53</v>
      </c>
      <c r="S777" t="s">
        <v>206</v>
      </c>
      <c r="T777" t="s">
        <v>55</v>
      </c>
      <c r="U777" t="s">
        <v>56</v>
      </c>
      <c r="V777" t="s">
        <v>56</v>
      </c>
    </row>
    <row r="778" spans="1:22" x14ac:dyDescent="0.3">
      <c r="A778" s="49">
        <v>45517</v>
      </c>
      <c r="B778" t="s">
        <v>22</v>
      </c>
      <c r="C778" t="s">
        <v>23</v>
      </c>
      <c r="D778" t="s">
        <v>24</v>
      </c>
      <c r="E778" t="s">
        <v>207</v>
      </c>
      <c r="F778" t="s">
        <v>208</v>
      </c>
      <c r="G778" t="s">
        <v>209</v>
      </c>
      <c r="H778" t="s">
        <v>28</v>
      </c>
      <c r="I778" t="s">
        <v>210</v>
      </c>
      <c r="J778" t="s">
        <v>63</v>
      </c>
      <c r="K778" t="s">
        <v>211</v>
      </c>
      <c r="L778" t="s">
        <v>32</v>
      </c>
      <c r="M778">
        <v>0</v>
      </c>
      <c r="N778" t="s">
        <v>74</v>
      </c>
      <c r="O778" t="s">
        <v>212</v>
      </c>
      <c r="P778" t="s">
        <v>51</v>
      </c>
      <c r="Q778" t="s">
        <v>213</v>
      </c>
      <c r="R778" t="s">
        <v>214</v>
      </c>
      <c r="S778" t="s">
        <v>215</v>
      </c>
      <c r="T778" t="s">
        <v>55</v>
      </c>
      <c r="U778" t="s">
        <v>56</v>
      </c>
      <c r="V778" t="s">
        <v>56</v>
      </c>
    </row>
    <row r="779" spans="1:22" x14ac:dyDescent="0.3">
      <c r="A779" s="49">
        <v>45517</v>
      </c>
      <c r="B779" t="s">
        <v>22</v>
      </c>
      <c r="C779" t="s">
        <v>23</v>
      </c>
      <c r="D779" t="s">
        <v>24</v>
      </c>
      <c r="E779" t="s">
        <v>207</v>
      </c>
      <c r="F779" t="s">
        <v>208</v>
      </c>
      <c r="G779" t="s">
        <v>216</v>
      </c>
      <c r="H779" t="s">
        <v>28</v>
      </c>
      <c r="I779" t="s">
        <v>217</v>
      </c>
      <c r="J779" t="s">
        <v>63</v>
      </c>
      <c r="K779" t="s">
        <v>211</v>
      </c>
      <c r="L779" t="s">
        <v>32</v>
      </c>
      <c r="M779">
        <v>100</v>
      </c>
      <c r="N779" t="s">
        <v>49</v>
      </c>
      <c r="O779" t="s">
        <v>218</v>
      </c>
      <c r="P779" t="s">
        <v>108</v>
      </c>
      <c r="Q779" t="s">
        <v>213</v>
      </c>
      <c r="R779" t="s">
        <v>214</v>
      </c>
      <c r="S779" t="s">
        <v>219</v>
      </c>
      <c r="T779" t="s">
        <v>55</v>
      </c>
      <c r="U779" t="s">
        <v>56</v>
      </c>
      <c r="V779" t="s">
        <v>56</v>
      </c>
    </row>
    <row r="780" spans="1:22" x14ac:dyDescent="0.3">
      <c r="A780" s="49">
        <v>45517</v>
      </c>
      <c r="B780" t="s">
        <v>22</v>
      </c>
      <c r="C780" t="s">
        <v>23</v>
      </c>
      <c r="D780" t="s">
        <v>24</v>
      </c>
      <c r="E780" t="s">
        <v>220</v>
      </c>
      <c r="F780" t="s">
        <v>221</v>
      </c>
      <c r="G780" t="s">
        <v>222</v>
      </c>
      <c r="H780" t="s">
        <v>89</v>
      </c>
      <c r="J780" t="s">
        <v>63</v>
      </c>
      <c r="K780" t="s">
        <v>64</v>
      </c>
      <c r="L780" t="s">
        <v>32</v>
      </c>
      <c r="M780">
        <v>94</v>
      </c>
      <c r="N780" t="s">
        <v>49</v>
      </c>
      <c r="O780" t="s">
        <v>223</v>
      </c>
      <c r="P780" t="s">
        <v>224</v>
      </c>
      <c r="Q780" t="s">
        <v>225</v>
      </c>
      <c r="R780" t="s">
        <v>37</v>
      </c>
      <c r="S780" t="s">
        <v>226</v>
      </c>
      <c r="T780" t="s">
        <v>55</v>
      </c>
      <c r="U780" t="s">
        <v>56</v>
      </c>
      <c r="V780" t="s">
        <v>56</v>
      </c>
    </row>
    <row r="781" spans="1:22" x14ac:dyDescent="0.3">
      <c r="A781" s="49">
        <v>45517</v>
      </c>
      <c r="B781" t="s">
        <v>22</v>
      </c>
      <c r="C781" t="s">
        <v>23</v>
      </c>
      <c r="D781" t="s">
        <v>24</v>
      </c>
      <c r="E781" t="s">
        <v>227</v>
      </c>
      <c r="F781" t="s">
        <v>228</v>
      </c>
      <c r="G781" t="s">
        <v>229</v>
      </c>
      <c r="H781" t="s">
        <v>28</v>
      </c>
      <c r="I781" t="s">
        <v>230</v>
      </c>
      <c r="J781" t="s">
        <v>63</v>
      </c>
      <c r="K781" t="s">
        <v>119</v>
      </c>
      <c r="L781" t="s">
        <v>32</v>
      </c>
      <c r="M781">
        <v>100</v>
      </c>
      <c r="N781" t="s">
        <v>49</v>
      </c>
      <c r="O781" t="s">
        <v>231</v>
      </c>
      <c r="P781" t="s">
        <v>163</v>
      </c>
      <c r="Q781" t="s">
        <v>232</v>
      </c>
      <c r="R781" t="s">
        <v>53</v>
      </c>
      <c r="S781" t="s">
        <v>233</v>
      </c>
      <c r="T781" t="s">
        <v>55</v>
      </c>
      <c r="U781" t="s">
        <v>56</v>
      </c>
      <c r="V781" t="s">
        <v>56</v>
      </c>
    </row>
    <row r="782" spans="1:22" x14ac:dyDescent="0.3">
      <c r="A782" s="49">
        <v>45517</v>
      </c>
      <c r="B782" t="s">
        <v>22</v>
      </c>
      <c r="C782" t="s">
        <v>23</v>
      </c>
      <c r="D782" t="s">
        <v>173</v>
      </c>
      <c r="E782" t="s">
        <v>234</v>
      </c>
      <c r="F782" t="s">
        <v>235</v>
      </c>
      <c r="G782" t="s">
        <v>236</v>
      </c>
      <c r="H782" t="s">
        <v>89</v>
      </c>
      <c r="J782" t="s">
        <v>63</v>
      </c>
      <c r="K782" t="s">
        <v>64</v>
      </c>
      <c r="L782" t="s">
        <v>32</v>
      </c>
      <c r="M782">
        <v>0</v>
      </c>
      <c r="N782" t="s">
        <v>74</v>
      </c>
      <c r="O782" t="s">
        <v>237</v>
      </c>
      <c r="P782" t="s">
        <v>127</v>
      </c>
      <c r="Q782" t="s">
        <v>238</v>
      </c>
      <c r="R782" t="s">
        <v>37</v>
      </c>
      <c r="S782" t="s">
        <v>239</v>
      </c>
      <c r="T782" t="s">
        <v>55</v>
      </c>
      <c r="U782" t="s">
        <v>56</v>
      </c>
      <c r="V782" t="s">
        <v>56</v>
      </c>
    </row>
    <row r="783" spans="1:22" x14ac:dyDescent="0.3">
      <c r="A783" s="49">
        <v>45517</v>
      </c>
      <c r="B783" t="s">
        <v>22</v>
      </c>
      <c r="C783" t="s">
        <v>23</v>
      </c>
      <c r="D783" t="s">
        <v>173</v>
      </c>
      <c r="E783" t="s">
        <v>234</v>
      </c>
      <c r="F783" t="s">
        <v>235</v>
      </c>
      <c r="G783" t="s">
        <v>236</v>
      </c>
      <c r="H783" t="s">
        <v>89</v>
      </c>
      <c r="J783" t="s">
        <v>63</v>
      </c>
      <c r="K783" t="s">
        <v>64</v>
      </c>
      <c r="L783" t="s">
        <v>32</v>
      </c>
      <c r="M783">
        <v>0</v>
      </c>
      <c r="N783" t="s">
        <v>74</v>
      </c>
      <c r="O783" t="s">
        <v>237</v>
      </c>
      <c r="P783" t="s">
        <v>127</v>
      </c>
      <c r="Q783" t="s">
        <v>238</v>
      </c>
      <c r="R783" t="s">
        <v>37</v>
      </c>
      <c r="S783" t="s">
        <v>239</v>
      </c>
      <c r="T783" t="s">
        <v>55</v>
      </c>
      <c r="U783" t="s">
        <v>56</v>
      </c>
      <c r="V783" t="s">
        <v>56</v>
      </c>
    </row>
    <row r="784" spans="1:22" x14ac:dyDescent="0.3">
      <c r="A784" s="49">
        <v>45517</v>
      </c>
      <c r="B784" t="s">
        <v>22</v>
      </c>
      <c r="C784" t="s">
        <v>23</v>
      </c>
      <c r="D784" t="s">
        <v>24</v>
      </c>
      <c r="E784" t="s">
        <v>240</v>
      </c>
      <c r="F784" t="s">
        <v>241</v>
      </c>
      <c r="G784" t="s">
        <v>242</v>
      </c>
      <c r="H784" t="s">
        <v>89</v>
      </c>
      <c r="J784" t="s">
        <v>63</v>
      </c>
      <c r="K784" t="s">
        <v>64</v>
      </c>
      <c r="L784" t="s">
        <v>32</v>
      </c>
      <c r="M784">
        <v>100</v>
      </c>
      <c r="N784" t="s">
        <v>49</v>
      </c>
      <c r="O784" t="s">
        <v>243</v>
      </c>
      <c r="P784" t="s">
        <v>205</v>
      </c>
      <c r="Q784" t="s">
        <v>244</v>
      </c>
      <c r="R784" t="s">
        <v>37</v>
      </c>
      <c r="S784" t="s">
        <v>245</v>
      </c>
      <c r="T784" t="s">
        <v>55</v>
      </c>
      <c r="U784" t="s">
        <v>56</v>
      </c>
      <c r="V784" t="s">
        <v>56</v>
      </c>
    </row>
    <row r="785" spans="1:22" x14ac:dyDescent="0.3">
      <c r="A785" s="49">
        <v>45517</v>
      </c>
      <c r="B785" t="s">
        <v>22</v>
      </c>
      <c r="C785" t="s">
        <v>23</v>
      </c>
      <c r="D785" t="s">
        <v>24</v>
      </c>
      <c r="E785" t="s">
        <v>246</v>
      </c>
      <c r="F785" t="s">
        <v>247</v>
      </c>
      <c r="G785" t="s">
        <v>248</v>
      </c>
      <c r="H785" t="s">
        <v>28</v>
      </c>
      <c r="I785" t="s">
        <v>249</v>
      </c>
      <c r="J785" t="s">
        <v>63</v>
      </c>
      <c r="K785" t="s">
        <v>64</v>
      </c>
      <c r="L785" t="s">
        <v>32</v>
      </c>
      <c r="M785">
        <v>92</v>
      </c>
      <c r="N785" t="s">
        <v>49</v>
      </c>
      <c r="O785" t="s">
        <v>250</v>
      </c>
      <c r="P785" t="s">
        <v>205</v>
      </c>
      <c r="Q785" t="s">
        <v>251</v>
      </c>
      <c r="R785" t="s">
        <v>37</v>
      </c>
      <c r="S785" t="s">
        <v>252</v>
      </c>
      <c r="T785" t="s">
        <v>55</v>
      </c>
      <c r="U785" t="s">
        <v>56</v>
      </c>
      <c r="V785" t="s">
        <v>56</v>
      </c>
    </row>
    <row r="786" spans="1:22" x14ac:dyDescent="0.3">
      <c r="A786" s="49">
        <v>45517</v>
      </c>
      <c r="B786" t="s">
        <v>22</v>
      </c>
      <c r="C786" t="s">
        <v>23</v>
      </c>
      <c r="D786" t="s">
        <v>24</v>
      </c>
      <c r="E786" t="s">
        <v>253</v>
      </c>
      <c r="F786" t="s">
        <v>254</v>
      </c>
      <c r="G786" t="s">
        <v>255</v>
      </c>
      <c r="H786" t="s">
        <v>28</v>
      </c>
      <c r="J786" t="s">
        <v>63</v>
      </c>
      <c r="K786" t="s">
        <v>256</v>
      </c>
      <c r="L786" t="s">
        <v>32</v>
      </c>
      <c r="M786">
        <v>100</v>
      </c>
      <c r="N786" t="s">
        <v>49</v>
      </c>
      <c r="O786" t="s">
        <v>257</v>
      </c>
      <c r="P786" t="s">
        <v>85</v>
      </c>
      <c r="Q786" t="s">
        <v>258</v>
      </c>
      <c r="R786" t="s">
        <v>37</v>
      </c>
      <c r="S786" t="s">
        <v>259</v>
      </c>
      <c r="T786" t="s">
        <v>55</v>
      </c>
      <c r="U786" t="s">
        <v>56</v>
      </c>
      <c r="V786" t="s">
        <v>56</v>
      </c>
    </row>
    <row r="787" spans="1:22" x14ac:dyDescent="0.3">
      <c r="A787" s="49">
        <v>45517</v>
      </c>
      <c r="B787" t="s">
        <v>22</v>
      </c>
      <c r="C787" t="s">
        <v>23</v>
      </c>
      <c r="D787" t="s">
        <v>24</v>
      </c>
      <c r="E787" t="s">
        <v>260</v>
      </c>
      <c r="F787" t="s">
        <v>261</v>
      </c>
      <c r="G787" t="s">
        <v>262</v>
      </c>
      <c r="H787" t="s">
        <v>28</v>
      </c>
      <c r="I787" t="s">
        <v>263</v>
      </c>
      <c r="J787" t="s">
        <v>30</v>
      </c>
      <c r="K787" t="s">
        <v>264</v>
      </c>
      <c r="L787" t="s">
        <v>265</v>
      </c>
      <c r="M787">
        <v>25</v>
      </c>
      <c r="N787" t="s">
        <v>33</v>
      </c>
      <c r="O787" t="s">
        <v>266</v>
      </c>
      <c r="P787" t="s">
        <v>267</v>
      </c>
      <c r="Q787" t="s">
        <v>268</v>
      </c>
      <c r="R787" t="s">
        <v>37</v>
      </c>
      <c r="S787" t="s">
        <v>269</v>
      </c>
      <c r="T787" t="s">
        <v>39</v>
      </c>
      <c r="U787" t="s">
        <v>40</v>
      </c>
      <c r="V787" t="s">
        <v>41</v>
      </c>
    </row>
    <row r="788" spans="1:22" x14ac:dyDescent="0.3">
      <c r="A788" s="49">
        <v>45517</v>
      </c>
      <c r="B788" t="s">
        <v>22</v>
      </c>
      <c r="C788" t="s">
        <v>23</v>
      </c>
      <c r="D788" t="s">
        <v>24</v>
      </c>
      <c r="E788" t="s">
        <v>270</v>
      </c>
      <c r="F788" t="s">
        <v>271</v>
      </c>
      <c r="G788" t="s">
        <v>272</v>
      </c>
      <c r="H788" t="s">
        <v>28</v>
      </c>
      <c r="I788" t="s">
        <v>273</v>
      </c>
      <c r="J788" t="s">
        <v>30</v>
      </c>
      <c r="K788" t="s">
        <v>274</v>
      </c>
      <c r="L788" t="s">
        <v>275</v>
      </c>
      <c r="M788">
        <v>85</v>
      </c>
      <c r="N788" t="s">
        <v>49</v>
      </c>
      <c r="O788" t="s">
        <v>276</v>
      </c>
      <c r="P788" t="s">
        <v>205</v>
      </c>
      <c r="Q788" t="s">
        <v>277</v>
      </c>
      <c r="R788" t="s">
        <v>278</v>
      </c>
      <c r="S788" t="s">
        <v>279</v>
      </c>
      <c r="T788" t="s">
        <v>55</v>
      </c>
      <c r="U788" t="s">
        <v>56</v>
      </c>
      <c r="V788" t="s">
        <v>56</v>
      </c>
    </row>
    <row r="789" spans="1:22" x14ac:dyDescent="0.3">
      <c r="A789" s="49">
        <v>45517</v>
      </c>
      <c r="B789" t="s">
        <v>22</v>
      </c>
      <c r="C789" t="s">
        <v>23</v>
      </c>
      <c r="D789" t="s">
        <v>24</v>
      </c>
      <c r="E789" t="s">
        <v>280</v>
      </c>
      <c r="F789" t="s">
        <v>281</v>
      </c>
      <c r="G789" t="s">
        <v>282</v>
      </c>
      <c r="H789" t="s">
        <v>28</v>
      </c>
      <c r="I789" t="s">
        <v>283</v>
      </c>
      <c r="J789" t="s">
        <v>30</v>
      </c>
      <c r="K789" t="s">
        <v>284</v>
      </c>
      <c r="L789" t="s">
        <v>285</v>
      </c>
      <c r="M789">
        <v>100</v>
      </c>
      <c r="N789" t="s">
        <v>49</v>
      </c>
      <c r="O789" t="s">
        <v>286</v>
      </c>
      <c r="P789" t="s">
        <v>287</v>
      </c>
      <c r="Q789" t="s">
        <v>288</v>
      </c>
      <c r="R789" t="s">
        <v>289</v>
      </c>
      <c r="S789" t="s">
        <v>290</v>
      </c>
      <c r="T789" t="s">
        <v>55</v>
      </c>
      <c r="U789" t="s">
        <v>56</v>
      </c>
      <c r="V789" t="s">
        <v>56</v>
      </c>
    </row>
    <row r="790" spans="1:22" x14ac:dyDescent="0.3">
      <c r="A790" s="49">
        <v>45517</v>
      </c>
      <c r="B790" t="s">
        <v>22</v>
      </c>
      <c r="C790" t="s">
        <v>23</v>
      </c>
      <c r="D790" t="s">
        <v>24</v>
      </c>
      <c r="E790" t="s">
        <v>291</v>
      </c>
      <c r="F790" t="s">
        <v>292</v>
      </c>
      <c r="G790" t="s">
        <v>293</v>
      </c>
      <c r="H790" t="s">
        <v>28</v>
      </c>
      <c r="I790" t="s">
        <v>283</v>
      </c>
      <c r="J790" t="s">
        <v>30</v>
      </c>
      <c r="K790" t="s">
        <v>294</v>
      </c>
      <c r="L790" t="s">
        <v>295</v>
      </c>
      <c r="M790">
        <v>100</v>
      </c>
      <c r="N790" t="s">
        <v>49</v>
      </c>
      <c r="O790" t="s">
        <v>296</v>
      </c>
      <c r="P790" t="s">
        <v>66</v>
      </c>
      <c r="Q790" t="s">
        <v>297</v>
      </c>
      <c r="R790" t="s">
        <v>298</v>
      </c>
      <c r="S790" t="s">
        <v>290</v>
      </c>
      <c r="T790" t="s">
        <v>55</v>
      </c>
      <c r="U790" t="s">
        <v>56</v>
      </c>
      <c r="V790" t="s">
        <v>56</v>
      </c>
    </row>
    <row r="791" spans="1:22" x14ac:dyDescent="0.3">
      <c r="A791" s="49">
        <v>45517</v>
      </c>
      <c r="B791" t="s">
        <v>22</v>
      </c>
      <c r="C791" t="s">
        <v>23</v>
      </c>
      <c r="D791" t="s">
        <v>24</v>
      </c>
      <c r="E791" t="s">
        <v>291</v>
      </c>
      <c r="F791" t="s">
        <v>292</v>
      </c>
      <c r="G791" t="s">
        <v>293</v>
      </c>
      <c r="H791" t="s">
        <v>28</v>
      </c>
      <c r="I791" t="s">
        <v>283</v>
      </c>
      <c r="J791" t="s">
        <v>30</v>
      </c>
      <c r="K791" t="s">
        <v>294</v>
      </c>
      <c r="L791" t="s">
        <v>295</v>
      </c>
      <c r="M791">
        <v>100</v>
      </c>
      <c r="N791" t="s">
        <v>49</v>
      </c>
      <c r="O791" t="s">
        <v>296</v>
      </c>
      <c r="P791" t="s">
        <v>66</v>
      </c>
      <c r="Q791" t="s">
        <v>297</v>
      </c>
      <c r="R791" t="s">
        <v>298</v>
      </c>
      <c r="S791" t="s">
        <v>290</v>
      </c>
      <c r="T791" t="s">
        <v>55</v>
      </c>
      <c r="U791" t="s">
        <v>56</v>
      </c>
      <c r="V791" t="s">
        <v>56</v>
      </c>
    </row>
    <row r="792" spans="1:22" x14ac:dyDescent="0.3">
      <c r="A792" s="49">
        <v>45517</v>
      </c>
      <c r="B792" t="s">
        <v>22</v>
      </c>
      <c r="C792" t="s">
        <v>23</v>
      </c>
      <c r="D792" t="s">
        <v>24</v>
      </c>
      <c r="E792" t="s">
        <v>291</v>
      </c>
      <c r="F792" t="s">
        <v>292</v>
      </c>
      <c r="G792" t="s">
        <v>293</v>
      </c>
      <c r="H792" t="s">
        <v>28</v>
      </c>
      <c r="I792" t="s">
        <v>283</v>
      </c>
      <c r="J792" t="s">
        <v>30</v>
      </c>
      <c r="K792" t="s">
        <v>294</v>
      </c>
      <c r="L792" t="s">
        <v>295</v>
      </c>
      <c r="M792">
        <v>100</v>
      </c>
      <c r="N792" t="s">
        <v>49</v>
      </c>
      <c r="O792" t="s">
        <v>296</v>
      </c>
      <c r="P792" t="s">
        <v>66</v>
      </c>
      <c r="Q792" t="s">
        <v>297</v>
      </c>
      <c r="R792" t="s">
        <v>298</v>
      </c>
      <c r="S792" t="s">
        <v>290</v>
      </c>
      <c r="T792" t="s">
        <v>55</v>
      </c>
      <c r="U792" t="s">
        <v>56</v>
      </c>
      <c r="V792" t="s">
        <v>56</v>
      </c>
    </row>
    <row r="793" spans="1:22" x14ac:dyDescent="0.3">
      <c r="A793" s="49">
        <v>45517</v>
      </c>
      <c r="B793" t="s">
        <v>22</v>
      </c>
      <c r="C793" t="s">
        <v>23</v>
      </c>
      <c r="D793" t="s">
        <v>24</v>
      </c>
      <c r="E793" t="s">
        <v>291</v>
      </c>
      <c r="F793" t="s">
        <v>292</v>
      </c>
      <c r="G793" t="s">
        <v>293</v>
      </c>
      <c r="H793" t="s">
        <v>28</v>
      </c>
      <c r="I793" t="s">
        <v>283</v>
      </c>
      <c r="J793" t="s">
        <v>30</v>
      </c>
      <c r="K793" t="s">
        <v>294</v>
      </c>
      <c r="L793" t="s">
        <v>295</v>
      </c>
      <c r="M793">
        <v>100</v>
      </c>
      <c r="N793" t="s">
        <v>49</v>
      </c>
      <c r="O793" t="s">
        <v>299</v>
      </c>
      <c r="P793" t="s">
        <v>66</v>
      </c>
      <c r="Q793" t="s">
        <v>297</v>
      </c>
      <c r="R793" t="s">
        <v>298</v>
      </c>
      <c r="S793" t="s">
        <v>290</v>
      </c>
      <c r="T793" t="s">
        <v>55</v>
      </c>
      <c r="U793" t="s">
        <v>56</v>
      </c>
      <c r="V793" t="s">
        <v>56</v>
      </c>
    </row>
    <row r="794" spans="1:22" x14ac:dyDescent="0.3">
      <c r="A794" s="49">
        <v>45517</v>
      </c>
      <c r="B794" t="s">
        <v>22</v>
      </c>
      <c r="C794" t="s">
        <v>23</v>
      </c>
      <c r="D794" t="s">
        <v>24</v>
      </c>
      <c r="E794" t="s">
        <v>291</v>
      </c>
      <c r="F794" t="s">
        <v>292</v>
      </c>
      <c r="G794" t="s">
        <v>293</v>
      </c>
      <c r="H794" t="s">
        <v>28</v>
      </c>
      <c r="I794" t="s">
        <v>283</v>
      </c>
      <c r="J794" t="s">
        <v>30</v>
      </c>
      <c r="K794" t="s">
        <v>294</v>
      </c>
      <c r="L794" t="s">
        <v>295</v>
      </c>
      <c r="M794">
        <v>100</v>
      </c>
      <c r="N794" t="s">
        <v>49</v>
      </c>
      <c r="O794" t="s">
        <v>300</v>
      </c>
      <c r="P794" t="s">
        <v>66</v>
      </c>
      <c r="Q794" t="s">
        <v>297</v>
      </c>
      <c r="R794" t="s">
        <v>298</v>
      </c>
      <c r="S794" t="s">
        <v>290</v>
      </c>
      <c r="T794" t="s">
        <v>55</v>
      </c>
      <c r="U794" t="s">
        <v>56</v>
      </c>
      <c r="V794" t="s">
        <v>56</v>
      </c>
    </row>
    <row r="795" spans="1:22" x14ac:dyDescent="0.3">
      <c r="A795" s="49">
        <v>45517</v>
      </c>
      <c r="B795" t="s">
        <v>22</v>
      </c>
      <c r="C795" t="s">
        <v>23</v>
      </c>
      <c r="D795" t="s">
        <v>24</v>
      </c>
      <c r="E795" t="s">
        <v>301</v>
      </c>
      <c r="F795" t="s">
        <v>302</v>
      </c>
      <c r="G795" t="s">
        <v>303</v>
      </c>
      <c r="H795" t="s">
        <v>28</v>
      </c>
      <c r="I795" t="s">
        <v>304</v>
      </c>
      <c r="J795" t="s">
        <v>63</v>
      </c>
      <c r="K795" t="s">
        <v>64</v>
      </c>
      <c r="L795" t="s">
        <v>32</v>
      </c>
      <c r="M795">
        <v>100</v>
      </c>
      <c r="N795" t="s">
        <v>49</v>
      </c>
      <c r="O795" t="s">
        <v>305</v>
      </c>
      <c r="P795" t="s">
        <v>306</v>
      </c>
      <c r="Q795" t="s">
        <v>307</v>
      </c>
      <c r="R795" t="s">
        <v>37</v>
      </c>
      <c r="S795" t="s">
        <v>308</v>
      </c>
      <c r="T795" t="s">
        <v>55</v>
      </c>
      <c r="U795" t="s">
        <v>56</v>
      </c>
      <c r="V795" t="s">
        <v>56</v>
      </c>
    </row>
    <row r="796" spans="1:22" x14ac:dyDescent="0.3">
      <c r="A796" s="49">
        <v>45517</v>
      </c>
      <c r="B796" t="s">
        <v>22</v>
      </c>
      <c r="C796" t="s">
        <v>23</v>
      </c>
      <c r="D796" t="s">
        <v>24</v>
      </c>
      <c r="E796" t="s">
        <v>309</v>
      </c>
      <c r="F796" t="s">
        <v>310</v>
      </c>
      <c r="G796" t="s">
        <v>311</v>
      </c>
      <c r="H796" t="s">
        <v>28</v>
      </c>
      <c r="I796" t="s">
        <v>312</v>
      </c>
      <c r="J796" t="s">
        <v>63</v>
      </c>
      <c r="K796" t="s">
        <v>64</v>
      </c>
      <c r="L796" t="s">
        <v>32</v>
      </c>
      <c r="M796">
        <v>100</v>
      </c>
      <c r="N796" t="s">
        <v>49</v>
      </c>
      <c r="O796" t="s">
        <v>313</v>
      </c>
      <c r="P796" t="s">
        <v>314</v>
      </c>
      <c r="Q796" t="s">
        <v>315</v>
      </c>
      <c r="R796" t="s">
        <v>316</v>
      </c>
      <c r="S796" t="s">
        <v>317</v>
      </c>
      <c r="T796" t="s">
        <v>55</v>
      </c>
      <c r="U796" t="s">
        <v>56</v>
      </c>
      <c r="V796" t="s">
        <v>56</v>
      </c>
    </row>
    <row r="797" spans="1:22" x14ac:dyDescent="0.3">
      <c r="A797" s="49">
        <v>45517</v>
      </c>
      <c r="B797" t="s">
        <v>22</v>
      </c>
      <c r="C797" t="s">
        <v>23</v>
      </c>
      <c r="D797" t="s">
        <v>24</v>
      </c>
      <c r="E797" t="s">
        <v>318</v>
      </c>
      <c r="F797" t="s">
        <v>319</v>
      </c>
      <c r="G797" t="s">
        <v>320</v>
      </c>
      <c r="H797" t="s">
        <v>89</v>
      </c>
      <c r="J797" t="s">
        <v>63</v>
      </c>
      <c r="K797" t="s">
        <v>119</v>
      </c>
      <c r="L797" t="s">
        <v>48</v>
      </c>
      <c r="M797">
        <v>60</v>
      </c>
      <c r="N797" t="s">
        <v>49</v>
      </c>
      <c r="O797" t="s">
        <v>321</v>
      </c>
      <c r="P797" t="s">
        <v>104</v>
      </c>
      <c r="Q797" t="s">
        <v>322</v>
      </c>
      <c r="R797" t="s">
        <v>53</v>
      </c>
      <c r="S797" t="s">
        <v>323</v>
      </c>
      <c r="T797" t="s">
        <v>55</v>
      </c>
      <c r="U797" t="s">
        <v>56</v>
      </c>
      <c r="V797" t="s">
        <v>56</v>
      </c>
    </row>
    <row r="798" spans="1:22" x14ac:dyDescent="0.3">
      <c r="A798" s="49">
        <v>45517</v>
      </c>
      <c r="B798" t="s">
        <v>22</v>
      </c>
      <c r="C798" t="s">
        <v>23</v>
      </c>
      <c r="D798" t="s">
        <v>24</v>
      </c>
      <c r="E798" t="s">
        <v>324</v>
      </c>
      <c r="F798" t="s">
        <v>325</v>
      </c>
      <c r="G798" t="s">
        <v>326</v>
      </c>
      <c r="H798" t="s">
        <v>89</v>
      </c>
      <c r="J798" t="s">
        <v>63</v>
      </c>
      <c r="K798" t="s">
        <v>98</v>
      </c>
      <c r="L798" t="s">
        <v>48</v>
      </c>
      <c r="M798">
        <v>100</v>
      </c>
      <c r="N798" t="s">
        <v>49</v>
      </c>
      <c r="O798" t="s">
        <v>327</v>
      </c>
      <c r="P798" t="s">
        <v>58</v>
      </c>
      <c r="Q798" t="s">
        <v>328</v>
      </c>
      <c r="R798" t="s">
        <v>53</v>
      </c>
      <c r="S798" t="s">
        <v>329</v>
      </c>
      <c r="T798" t="s">
        <v>55</v>
      </c>
      <c r="U798" t="s">
        <v>56</v>
      </c>
      <c r="V798" t="s">
        <v>56</v>
      </c>
    </row>
    <row r="799" spans="1:22" x14ac:dyDescent="0.3">
      <c r="A799" s="49">
        <v>45517</v>
      </c>
      <c r="B799" t="s">
        <v>22</v>
      </c>
      <c r="C799" t="s">
        <v>23</v>
      </c>
      <c r="D799" t="s">
        <v>24</v>
      </c>
      <c r="E799" t="s">
        <v>324</v>
      </c>
      <c r="F799" t="s">
        <v>325</v>
      </c>
      <c r="G799" t="s">
        <v>326</v>
      </c>
      <c r="H799" t="s">
        <v>89</v>
      </c>
      <c r="J799" t="s">
        <v>63</v>
      </c>
      <c r="K799" t="s">
        <v>98</v>
      </c>
      <c r="L799" t="s">
        <v>48</v>
      </c>
      <c r="M799">
        <v>100</v>
      </c>
      <c r="N799" t="s">
        <v>49</v>
      </c>
      <c r="O799" t="s">
        <v>327</v>
      </c>
      <c r="P799" t="s">
        <v>58</v>
      </c>
      <c r="Q799" t="s">
        <v>328</v>
      </c>
      <c r="R799" t="s">
        <v>53</v>
      </c>
      <c r="S799" t="s">
        <v>329</v>
      </c>
      <c r="T799" t="s">
        <v>55</v>
      </c>
      <c r="U799" t="s">
        <v>56</v>
      </c>
      <c r="V799" t="s">
        <v>56</v>
      </c>
    </row>
    <row r="800" spans="1:22" x14ac:dyDescent="0.3">
      <c r="A800" s="49">
        <v>45517</v>
      </c>
      <c r="B800" t="s">
        <v>22</v>
      </c>
      <c r="C800" t="s">
        <v>23</v>
      </c>
      <c r="D800" t="s">
        <v>24</v>
      </c>
      <c r="E800" t="s">
        <v>324</v>
      </c>
      <c r="F800" t="s">
        <v>325</v>
      </c>
      <c r="G800" t="s">
        <v>326</v>
      </c>
      <c r="H800" t="s">
        <v>89</v>
      </c>
      <c r="J800" t="s">
        <v>63</v>
      </c>
      <c r="K800" t="s">
        <v>98</v>
      </c>
      <c r="L800" t="s">
        <v>48</v>
      </c>
      <c r="M800">
        <v>100</v>
      </c>
      <c r="N800" t="s">
        <v>49</v>
      </c>
      <c r="O800" t="s">
        <v>327</v>
      </c>
      <c r="P800" t="s">
        <v>58</v>
      </c>
      <c r="Q800" t="s">
        <v>328</v>
      </c>
      <c r="R800" t="s">
        <v>53</v>
      </c>
      <c r="S800" t="s">
        <v>329</v>
      </c>
      <c r="T800" t="s">
        <v>55</v>
      </c>
      <c r="U800" t="s">
        <v>56</v>
      </c>
      <c r="V800" t="s">
        <v>56</v>
      </c>
    </row>
    <row r="801" spans="1:22" x14ac:dyDescent="0.3">
      <c r="A801" s="49">
        <v>45517</v>
      </c>
      <c r="B801" t="s">
        <v>22</v>
      </c>
      <c r="C801" t="s">
        <v>23</v>
      </c>
      <c r="D801" t="s">
        <v>24</v>
      </c>
      <c r="E801" t="s">
        <v>324</v>
      </c>
      <c r="F801" t="s">
        <v>325</v>
      </c>
      <c r="G801" t="s">
        <v>326</v>
      </c>
      <c r="H801" t="s">
        <v>89</v>
      </c>
      <c r="J801" t="s">
        <v>63</v>
      </c>
      <c r="K801" t="s">
        <v>98</v>
      </c>
      <c r="L801" t="s">
        <v>48</v>
      </c>
      <c r="M801">
        <v>100</v>
      </c>
      <c r="N801" t="s">
        <v>49</v>
      </c>
      <c r="O801" t="s">
        <v>327</v>
      </c>
      <c r="P801" t="s">
        <v>58</v>
      </c>
      <c r="Q801" t="s">
        <v>328</v>
      </c>
      <c r="R801" t="s">
        <v>53</v>
      </c>
      <c r="S801" t="s">
        <v>329</v>
      </c>
      <c r="T801" t="s">
        <v>55</v>
      </c>
      <c r="U801" t="s">
        <v>56</v>
      </c>
      <c r="V801" t="s">
        <v>56</v>
      </c>
    </row>
    <row r="802" spans="1:22" x14ac:dyDescent="0.3">
      <c r="A802" s="49">
        <v>45517</v>
      </c>
      <c r="B802" t="s">
        <v>22</v>
      </c>
      <c r="C802" t="s">
        <v>23</v>
      </c>
      <c r="D802" t="s">
        <v>24</v>
      </c>
      <c r="E802" t="s">
        <v>324</v>
      </c>
      <c r="F802" t="s">
        <v>325</v>
      </c>
      <c r="G802" t="s">
        <v>326</v>
      </c>
      <c r="H802" t="s">
        <v>89</v>
      </c>
      <c r="J802" t="s">
        <v>63</v>
      </c>
      <c r="K802" t="s">
        <v>98</v>
      </c>
      <c r="L802" t="s">
        <v>48</v>
      </c>
      <c r="M802">
        <v>100</v>
      </c>
      <c r="N802" t="s">
        <v>49</v>
      </c>
      <c r="O802" t="s">
        <v>327</v>
      </c>
      <c r="P802" t="s">
        <v>58</v>
      </c>
      <c r="Q802" t="s">
        <v>328</v>
      </c>
      <c r="R802" t="s">
        <v>53</v>
      </c>
      <c r="S802" t="s">
        <v>329</v>
      </c>
      <c r="T802" t="s">
        <v>55</v>
      </c>
      <c r="U802" t="s">
        <v>56</v>
      </c>
      <c r="V802" t="s">
        <v>56</v>
      </c>
    </row>
    <row r="803" spans="1:22" x14ac:dyDescent="0.3">
      <c r="A803" s="49">
        <v>45517</v>
      </c>
      <c r="B803" t="s">
        <v>22</v>
      </c>
      <c r="C803" t="s">
        <v>23</v>
      </c>
      <c r="D803" t="s">
        <v>24</v>
      </c>
      <c r="E803" t="s">
        <v>324</v>
      </c>
      <c r="F803" t="s">
        <v>325</v>
      </c>
      <c r="G803" t="s">
        <v>326</v>
      </c>
      <c r="H803" t="s">
        <v>89</v>
      </c>
      <c r="J803" t="s">
        <v>63</v>
      </c>
      <c r="K803" t="s">
        <v>98</v>
      </c>
      <c r="L803" t="s">
        <v>48</v>
      </c>
      <c r="M803">
        <v>100</v>
      </c>
      <c r="N803" t="s">
        <v>49</v>
      </c>
      <c r="O803" t="s">
        <v>327</v>
      </c>
      <c r="P803" t="s">
        <v>58</v>
      </c>
      <c r="Q803" t="s">
        <v>328</v>
      </c>
      <c r="R803" t="s">
        <v>53</v>
      </c>
      <c r="S803" t="s">
        <v>329</v>
      </c>
      <c r="T803" t="s">
        <v>55</v>
      </c>
      <c r="U803" t="s">
        <v>56</v>
      </c>
      <c r="V803" t="s">
        <v>56</v>
      </c>
    </row>
    <row r="804" spans="1:22" x14ac:dyDescent="0.3">
      <c r="A804" s="49">
        <v>45517</v>
      </c>
      <c r="B804" t="s">
        <v>22</v>
      </c>
      <c r="C804" t="s">
        <v>23</v>
      </c>
      <c r="D804" t="s">
        <v>24</v>
      </c>
      <c r="E804" t="s">
        <v>324</v>
      </c>
      <c r="F804" t="s">
        <v>325</v>
      </c>
      <c r="G804" t="s">
        <v>326</v>
      </c>
      <c r="H804" t="s">
        <v>89</v>
      </c>
      <c r="J804" t="s">
        <v>63</v>
      </c>
      <c r="K804" t="s">
        <v>98</v>
      </c>
      <c r="L804" t="s">
        <v>48</v>
      </c>
      <c r="M804">
        <v>100</v>
      </c>
      <c r="N804" t="s">
        <v>49</v>
      </c>
      <c r="O804" t="s">
        <v>327</v>
      </c>
      <c r="P804" t="s">
        <v>58</v>
      </c>
      <c r="Q804" t="s">
        <v>328</v>
      </c>
      <c r="R804" t="s">
        <v>53</v>
      </c>
      <c r="S804" t="s">
        <v>329</v>
      </c>
      <c r="T804" t="s">
        <v>55</v>
      </c>
      <c r="U804" t="s">
        <v>56</v>
      </c>
      <c r="V804" t="s">
        <v>56</v>
      </c>
    </row>
    <row r="805" spans="1:22" x14ac:dyDescent="0.3">
      <c r="A805" s="49">
        <v>45517</v>
      </c>
      <c r="B805" t="s">
        <v>22</v>
      </c>
      <c r="C805" t="s">
        <v>23</v>
      </c>
      <c r="D805" t="s">
        <v>173</v>
      </c>
      <c r="E805" t="s">
        <v>324</v>
      </c>
      <c r="F805" t="s">
        <v>325</v>
      </c>
      <c r="G805" t="s">
        <v>330</v>
      </c>
      <c r="H805" t="s">
        <v>28</v>
      </c>
      <c r="I805" t="s">
        <v>331</v>
      </c>
      <c r="J805" t="s">
        <v>63</v>
      </c>
      <c r="K805" t="s">
        <v>256</v>
      </c>
      <c r="L805" t="s">
        <v>32</v>
      </c>
      <c r="M805">
        <v>100</v>
      </c>
      <c r="N805" t="s">
        <v>49</v>
      </c>
      <c r="O805" t="s">
        <v>332</v>
      </c>
      <c r="P805" t="s">
        <v>58</v>
      </c>
      <c r="Q805" t="s">
        <v>328</v>
      </c>
      <c r="R805" t="s">
        <v>37</v>
      </c>
      <c r="S805" t="s">
        <v>329</v>
      </c>
      <c r="T805" t="s">
        <v>55</v>
      </c>
      <c r="U805" t="s">
        <v>56</v>
      </c>
      <c r="V805" t="s">
        <v>56</v>
      </c>
    </row>
    <row r="806" spans="1:22" x14ac:dyDescent="0.3">
      <c r="A806" s="49">
        <v>45517</v>
      </c>
      <c r="B806" t="s">
        <v>22</v>
      </c>
      <c r="C806" t="s">
        <v>23</v>
      </c>
      <c r="D806" t="s">
        <v>24</v>
      </c>
      <c r="E806" t="s">
        <v>333</v>
      </c>
      <c r="F806" t="s">
        <v>334</v>
      </c>
      <c r="G806" t="s">
        <v>335</v>
      </c>
      <c r="H806" t="s">
        <v>89</v>
      </c>
      <c r="J806" t="s">
        <v>63</v>
      </c>
      <c r="K806" t="s">
        <v>64</v>
      </c>
      <c r="L806" t="s">
        <v>32</v>
      </c>
      <c r="M806">
        <v>50</v>
      </c>
      <c r="N806" t="s">
        <v>49</v>
      </c>
      <c r="O806" t="s">
        <v>336</v>
      </c>
      <c r="P806" t="s">
        <v>66</v>
      </c>
      <c r="Q806" t="s">
        <v>171</v>
      </c>
      <c r="R806" t="s">
        <v>337</v>
      </c>
      <c r="S806" t="s">
        <v>338</v>
      </c>
      <c r="T806" t="s">
        <v>55</v>
      </c>
      <c r="U806" t="s">
        <v>56</v>
      </c>
      <c r="V806" t="s">
        <v>56</v>
      </c>
    </row>
    <row r="807" spans="1:22" x14ac:dyDescent="0.3">
      <c r="A807" s="49">
        <v>45517</v>
      </c>
      <c r="B807" t="s">
        <v>22</v>
      </c>
      <c r="C807" t="s">
        <v>23</v>
      </c>
      <c r="D807" t="s">
        <v>24</v>
      </c>
      <c r="E807" t="s">
        <v>339</v>
      </c>
      <c r="F807" t="s">
        <v>340</v>
      </c>
      <c r="G807" t="s">
        <v>341</v>
      </c>
      <c r="H807" t="s">
        <v>28</v>
      </c>
      <c r="I807" t="s">
        <v>342</v>
      </c>
      <c r="J807" t="s">
        <v>63</v>
      </c>
      <c r="K807" t="s">
        <v>119</v>
      </c>
      <c r="L807" t="s">
        <v>48</v>
      </c>
      <c r="M807">
        <v>100</v>
      </c>
      <c r="N807" t="s">
        <v>49</v>
      </c>
      <c r="O807" t="s">
        <v>343</v>
      </c>
      <c r="P807" t="s">
        <v>344</v>
      </c>
      <c r="Q807" t="s">
        <v>345</v>
      </c>
      <c r="R807" t="s">
        <v>53</v>
      </c>
      <c r="S807" t="s">
        <v>346</v>
      </c>
      <c r="T807" t="s">
        <v>55</v>
      </c>
      <c r="U807" t="s">
        <v>56</v>
      </c>
      <c r="V807" t="s">
        <v>56</v>
      </c>
    </row>
    <row r="808" spans="1:22" x14ac:dyDescent="0.3">
      <c r="A808" s="49">
        <v>45517</v>
      </c>
      <c r="B808" t="s">
        <v>22</v>
      </c>
      <c r="C808" t="s">
        <v>23</v>
      </c>
      <c r="D808" t="s">
        <v>24</v>
      </c>
      <c r="E808" t="s">
        <v>339</v>
      </c>
      <c r="F808" t="s">
        <v>340</v>
      </c>
      <c r="G808" t="s">
        <v>341</v>
      </c>
      <c r="H808" t="s">
        <v>28</v>
      </c>
      <c r="I808" t="s">
        <v>342</v>
      </c>
      <c r="J808" t="s">
        <v>63</v>
      </c>
      <c r="K808" t="s">
        <v>119</v>
      </c>
      <c r="L808" t="s">
        <v>48</v>
      </c>
      <c r="M808">
        <v>100</v>
      </c>
      <c r="N808" t="s">
        <v>49</v>
      </c>
      <c r="O808" t="s">
        <v>343</v>
      </c>
      <c r="P808" t="s">
        <v>344</v>
      </c>
      <c r="Q808" t="s">
        <v>345</v>
      </c>
      <c r="R808" t="s">
        <v>53</v>
      </c>
      <c r="S808" t="s">
        <v>346</v>
      </c>
      <c r="T808" t="s">
        <v>55</v>
      </c>
      <c r="U808" t="s">
        <v>56</v>
      </c>
      <c r="V808" t="s">
        <v>56</v>
      </c>
    </row>
    <row r="809" spans="1:22" x14ac:dyDescent="0.3">
      <c r="A809" s="49">
        <v>45517</v>
      </c>
      <c r="B809" t="s">
        <v>22</v>
      </c>
      <c r="C809" t="s">
        <v>23</v>
      </c>
      <c r="D809" t="s">
        <v>24</v>
      </c>
      <c r="E809" t="s">
        <v>339</v>
      </c>
      <c r="F809" t="s">
        <v>340</v>
      </c>
      <c r="G809" t="s">
        <v>341</v>
      </c>
      <c r="H809" t="s">
        <v>28</v>
      </c>
      <c r="I809" t="s">
        <v>342</v>
      </c>
      <c r="J809" t="s">
        <v>63</v>
      </c>
      <c r="K809" t="s">
        <v>119</v>
      </c>
      <c r="L809" t="s">
        <v>48</v>
      </c>
      <c r="M809">
        <v>100</v>
      </c>
      <c r="N809" t="s">
        <v>49</v>
      </c>
      <c r="O809" t="s">
        <v>343</v>
      </c>
      <c r="P809" t="s">
        <v>344</v>
      </c>
      <c r="Q809" t="s">
        <v>345</v>
      </c>
      <c r="R809" t="s">
        <v>53</v>
      </c>
      <c r="S809" t="s">
        <v>346</v>
      </c>
      <c r="T809" t="s">
        <v>55</v>
      </c>
      <c r="U809" t="s">
        <v>56</v>
      </c>
      <c r="V809" t="s">
        <v>56</v>
      </c>
    </row>
    <row r="810" spans="1:22" x14ac:dyDescent="0.3">
      <c r="A810" s="49">
        <v>45517</v>
      </c>
      <c r="B810" t="s">
        <v>22</v>
      </c>
      <c r="C810" t="s">
        <v>23</v>
      </c>
      <c r="D810" t="s">
        <v>24</v>
      </c>
      <c r="E810" t="s">
        <v>347</v>
      </c>
      <c r="F810" t="s">
        <v>348</v>
      </c>
      <c r="G810" t="s">
        <v>349</v>
      </c>
      <c r="H810" t="s">
        <v>28</v>
      </c>
      <c r="I810" t="s">
        <v>350</v>
      </c>
      <c r="J810" t="s">
        <v>30</v>
      </c>
      <c r="K810" t="s">
        <v>31</v>
      </c>
      <c r="L810" t="s">
        <v>351</v>
      </c>
      <c r="M810">
        <v>100</v>
      </c>
      <c r="N810" t="s">
        <v>49</v>
      </c>
      <c r="O810" t="s">
        <v>352</v>
      </c>
      <c r="P810" t="s">
        <v>344</v>
      </c>
      <c r="Q810" t="s">
        <v>353</v>
      </c>
      <c r="R810" t="s">
        <v>37</v>
      </c>
      <c r="S810" t="s">
        <v>354</v>
      </c>
      <c r="T810" t="s">
        <v>55</v>
      </c>
      <c r="U810" t="s">
        <v>56</v>
      </c>
      <c r="V810" t="s">
        <v>56</v>
      </c>
    </row>
    <row r="811" spans="1:22" x14ac:dyDescent="0.3">
      <c r="A811" s="49">
        <v>45517</v>
      </c>
      <c r="B811" t="s">
        <v>22</v>
      </c>
      <c r="C811" t="s">
        <v>23</v>
      </c>
      <c r="D811" t="s">
        <v>24</v>
      </c>
      <c r="E811" t="s">
        <v>347</v>
      </c>
      <c r="F811" t="s">
        <v>348</v>
      </c>
      <c r="G811" t="s">
        <v>355</v>
      </c>
      <c r="H811" t="s">
        <v>28</v>
      </c>
      <c r="I811" t="s">
        <v>356</v>
      </c>
      <c r="J811" t="s">
        <v>30</v>
      </c>
      <c r="K811" t="s">
        <v>31</v>
      </c>
      <c r="L811" t="s">
        <v>351</v>
      </c>
      <c r="M811">
        <v>100</v>
      </c>
      <c r="N811" t="s">
        <v>49</v>
      </c>
      <c r="O811" t="s">
        <v>357</v>
      </c>
      <c r="P811" t="s">
        <v>358</v>
      </c>
      <c r="Q811" t="s">
        <v>359</v>
      </c>
      <c r="R811" t="s">
        <v>37</v>
      </c>
      <c r="S811" t="s">
        <v>360</v>
      </c>
      <c r="T811" t="s">
        <v>39</v>
      </c>
      <c r="U811" t="s">
        <v>40</v>
      </c>
      <c r="V811" t="s">
        <v>41</v>
      </c>
    </row>
    <row r="812" spans="1:22" x14ac:dyDescent="0.3">
      <c r="A812" s="49">
        <v>45517</v>
      </c>
      <c r="B812" t="s">
        <v>22</v>
      </c>
      <c r="C812" t="s">
        <v>23</v>
      </c>
      <c r="D812" t="s">
        <v>24</v>
      </c>
      <c r="E812" t="s">
        <v>361</v>
      </c>
      <c r="F812" t="s">
        <v>362</v>
      </c>
      <c r="G812" t="s">
        <v>363</v>
      </c>
      <c r="H812" t="s">
        <v>89</v>
      </c>
      <c r="I812" t="s">
        <v>364</v>
      </c>
      <c r="J812" t="s">
        <v>63</v>
      </c>
      <c r="K812" t="s">
        <v>197</v>
      </c>
      <c r="L812" t="s">
        <v>32</v>
      </c>
      <c r="M812">
        <v>40</v>
      </c>
      <c r="N812" t="s">
        <v>49</v>
      </c>
      <c r="O812" t="s">
        <v>365</v>
      </c>
      <c r="P812" t="s">
        <v>85</v>
      </c>
      <c r="Q812" t="s">
        <v>366</v>
      </c>
      <c r="R812" t="s">
        <v>37</v>
      </c>
      <c r="S812" t="s">
        <v>367</v>
      </c>
      <c r="T812" t="s">
        <v>39</v>
      </c>
      <c r="U812" t="s">
        <v>40</v>
      </c>
      <c r="V812" t="s">
        <v>41</v>
      </c>
    </row>
    <row r="813" spans="1:22" x14ac:dyDescent="0.3">
      <c r="A813" s="49">
        <v>45517</v>
      </c>
      <c r="B813" t="s">
        <v>22</v>
      </c>
      <c r="C813" t="s">
        <v>23</v>
      </c>
      <c r="D813" t="s">
        <v>24</v>
      </c>
      <c r="E813" t="s">
        <v>368</v>
      </c>
      <c r="F813" t="s">
        <v>369</v>
      </c>
      <c r="G813" t="s">
        <v>370</v>
      </c>
      <c r="H813" t="s">
        <v>28</v>
      </c>
      <c r="I813" t="s">
        <v>371</v>
      </c>
      <c r="J813" t="s">
        <v>63</v>
      </c>
      <c r="K813" t="s">
        <v>197</v>
      </c>
      <c r="L813" t="s">
        <v>32</v>
      </c>
      <c r="M813">
        <v>100</v>
      </c>
      <c r="N813" t="s">
        <v>49</v>
      </c>
      <c r="O813" t="s">
        <v>372</v>
      </c>
      <c r="P813" t="s">
        <v>373</v>
      </c>
      <c r="Q813" t="s">
        <v>374</v>
      </c>
      <c r="R813" t="s">
        <v>37</v>
      </c>
      <c r="S813" t="s">
        <v>375</v>
      </c>
      <c r="T813" t="s">
        <v>55</v>
      </c>
      <c r="U813" t="s">
        <v>56</v>
      </c>
      <c r="V813" t="s">
        <v>56</v>
      </c>
    </row>
    <row r="814" spans="1:22" x14ac:dyDescent="0.3">
      <c r="A814" s="49">
        <v>45517</v>
      </c>
      <c r="B814" t="s">
        <v>22</v>
      </c>
      <c r="C814" t="s">
        <v>23</v>
      </c>
      <c r="D814" t="s">
        <v>173</v>
      </c>
      <c r="E814" t="s">
        <v>376</v>
      </c>
      <c r="F814" t="s">
        <v>377</v>
      </c>
      <c r="G814" t="s">
        <v>378</v>
      </c>
      <c r="H814" t="s">
        <v>89</v>
      </c>
      <c r="I814" t="s">
        <v>379</v>
      </c>
      <c r="J814" t="s">
        <v>63</v>
      </c>
      <c r="K814" t="s">
        <v>64</v>
      </c>
      <c r="L814" t="s">
        <v>32</v>
      </c>
      <c r="M814">
        <v>100</v>
      </c>
      <c r="N814" t="s">
        <v>49</v>
      </c>
      <c r="O814" t="s">
        <v>380</v>
      </c>
      <c r="P814" t="s">
        <v>381</v>
      </c>
      <c r="Q814" t="s">
        <v>382</v>
      </c>
      <c r="R814" t="s">
        <v>37</v>
      </c>
      <c r="S814" t="s">
        <v>383</v>
      </c>
      <c r="T814" t="s">
        <v>39</v>
      </c>
      <c r="U814" t="s">
        <v>40</v>
      </c>
      <c r="V814" t="s">
        <v>41</v>
      </c>
    </row>
    <row r="815" spans="1:22" x14ac:dyDescent="0.3">
      <c r="A815" s="49">
        <v>45517</v>
      </c>
      <c r="B815" t="s">
        <v>22</v>
      </c>
      <c r="C815" t="s">
        <v>23</v>
      </c>
      <c r="D815" t="s">
        <v>24</v>
      </c>
      <c r="E815" t="s">
        <v>384</v>
      </c>
      <c r="F815" t="s">
        <v>385</v>
      </c>
      <c r="G815" t="s">
        <v>386</v>
      </c>
      <c r="H815" t="s">
        <v>28</v>
      </c>
      <c r="I815" t="s">
        <v>387</v>
      </c>
      <c r="J815" t="s">
        <v>63</v>
      </c>
      <c r="K815" t="s">
        <v>119</v>
      </c>
      <c r="L815" t="s">
        <v>48</v>
      </c>
      <c r="M815">
        <v>100</v>
      </c>
      <c r="N815" t="s">
        <v>49</v>
      </c>
      <c r="O815" t="s">
        <v>388</v>
      </c>
      <c r="P815" t="s">
        <v>35</v>
      </c>
      <c r="Q815" t="s">
        <v>389</v>
      </c>
      <c r="R815" t="s">
        <v>53</v>
      </c>
      <c r="S815" t="s">
        <v>390</v>
      </c>
      <c r="T815" t="s">
        <v>55</v>
      </c>
      <c r="U815" t="s">
        <v>56</v>
      </c>
      <c r="V815" t="s">
        <v>56</v>
      </c>
    </row>
    <row r="816" spans="1:22" x14ac:dyDescent="0.3">
      <c r="A816" s="49">
        <v>45517</v>
      </c>
      <c r="B816" t="s">
        <v>22</v>
      </c>
      <c r="C816" t="s">
        <v>23</v>
      </c>
      <c r="D816" t="s">
        <v>24</v>
      </c>
      <c r="E816" t="s">
        <v>384</v>
      </c>
      <c r="F816" t="s">
        <v>385</v>
      </c>
      <c r="G816" t="s">
        <v>386</v>
      </c>
      <c r="H816" t="s">
        <v>28</v>
      </c>
      <c r="I816" t="s">
        <v>387</v>
      </c>
      <c r="J816" t="s">
        <v>63</v>
      </c>
      <c r="K816" t="s">
        <v>119</v>
      </c>
      <c r="L816" t="s">
        <v>48</v>
      </c>
      <c r="M816">
        <v>100</v>
      </c>
      <c r="N816" t="s">
        <v>49</v>
      </c>
      <c r="O816" t="s">
        <v>388</v>
      </c>
      <c r="P816" t="s">
        <v>35</v>
      </c>
      <c r="Q816" t="s">
        <v>389</v>
      </c>
      <c r="R816" t="s">
        <v>53</v>
      </c>
      <c r="S816" t="s">
        <v>390</v>
      </c>
      <c r="T816" t="s">
        <v>55</v>
      </c>
      <c r="U816" t="s">
        <v>56</v>
      </c>
      <c r="V816" t="s">
        <v>56</v>
      </c>
    </row>
    <row r="817" spans="1:22" x14ac:dyDescent="0.3">
      <c r="A817" s="49">
        <v>45517</v>
      </c>
      <c r="B817" t="s">
        <v>22</v>
      </c>
      <c r="C817" t="s">
        <v>23</v>
      </c>
      <c r="D817" t="s">
        <v>24</v>
      </c>
      <c r="E817" t="s">
        <v>384</v>
      </c>
      <c r="F817" t="s">
        <v>385</v>
      </c>
      <c r="G817" t="s">
        <v>386</v>
      </c>
      <c r="H817" t="s">
        <v>28</v>
      </c>
      <c r="I817" t="s">
        <v>387</v>
      </c>
      <c r="J817" t="s">
        <v>63</v>
      </c>
      <c r="K817" t="s">
        <v>119</v>
      </c>
      <c r="L817" t="s">
        <v>48</v>
      </c>
      <c r="M817">
        <v>100</v>
      </c>
      <c r="N817" t="s">
        <v>49</v>
      </c>
      <c r="O817" t="s">
        <v>388</v>
      </c>
      <c r="P817" t="s">
        <v>35</v>
      </c>
      <c r="Q817" t="s">
        <v>389</v>
      </c>
      <c r="R817" t="s">
        <v>53</v>
      </c>
      <c r="S817" t="s">
        <v>390</v>
      </c>
      <c r="T817" t="s">
        <v>55</v>
      </c>
      <c r="U817" t="s">
        <v>56</v>
      </c>
      <c r="V817" t="s">
        <v>56</v>
      </c>
    </row>
    <row r="818" spans="1:22" x14ac:dyDescent="0.3">
      <c r="A818" s="49">
        <v>45517</v>
      </c>
      <c r="B818" t="s">
        <v>22</v>
      </c>
      <c r="C818" t="s">
        <v>23</v>
      </c>
      <c r="D818" t="s">
        <v>24</v>
      </c>
      <c r="E818" t="s">
        <v>384</v>
      </c>
      <c r="F818" t="s">
        <v>385</v>
      </c>
      <c r="G818" t="s">
        <v>386</v>
      </c>
      <c r="H818" t="s">
        <v>28</v>
      </c>
      <c r="I818" t="s">
        <v>387</v>
      </c>
      <c r="J818" t="s">
        <v>63</v>
      </c>
      <c r="K818" t="s">
        <v>119</v>
      </c>
      <c r="L818" t="s">
        <v>48</v>
      </c>
      <c r="M818">
        <v>100</v>
      </c>
      <c r="N818" t="s">
        <v>49</v>
      </c>
      <c r="O818" t="s">
        <v>388</v>
      </c>
      <c r="P818" t="s">
        <v>35</v>
      </c>
      <c r="Q818" t="s">
        <v>389</v>
      </c>
      <c r="R818" t="s">
        <v>53</v>
      </c>
      <c r="S818" t="s">
        <v>390</v>
      </c>
      <c r="T818" t="s">
        <v>55</v>
      </c>
      <c r="U818" t="s">
        <v>56</v>
      </c>
      <c r="V818" t="s">
        <v>56</v>
      </c>
    </row>
    <row r="819" spans="1:22" x14ac:dyDescent="0.3">
      <c r="A819" s="49">
        <v>45517</v>
      </c>
      <c r="B819" t="s">
        <v>22</v>
      </c>
      <c r="C819" t="s">
        <v>23</v>
      </c>
      <c r="D819" t="s">
        <v>24</v>
      </c>
      <c r="E819" t="s">
        <v>384</v>
      </c>
      <c r="F819" t="s">
        <v>385</v>
      </c>
      <c r="G819" t="s">
        <v>386</v>
      </c>
      <c r="H819" t="s">
        <v>28</v>
      </c>
      <c r="I819" t="s">
        <v>387</v>
      </c>
      <c r="J819" t="s">
        <v>63</v>
      </c>
      <c r="K819" t="s">
        <v>119</v>
      </c>
      <c r="L819" t="s">
        <v>48</v>
      </c>
      <c r="M819">
        <v>100</v>
      </c>
      <c r="N819" t="s">
        <v>49</v>
      </c>
      <c r="O819" t="s">
        <v>388</v>
      </c>
      <c r="P819" t="s">
        <v>35</v>
      </c>
      <c r="Q819" t="s">
        <v>389</v>
      </c>
      <c r="R819" t="s">
        <v>53</v>
      </c>
      <c r="S819" t="s">
        <v>390</v>
      </c>
      <c r="T819" t="s">
        <v>55</v>
      </c>
      <c r="U819" t="s">
        <v>56</v>
      </c>
      <c r="V819" t="s">
        <v>56</v>
      </c>
    </row>
    <row r="820" spans="1:22" x14ac:dyDescent="0.3">
      <c r="A820" s="49">
        <v>45517</v>
      </c>
      <c r="B820" t="s">
        <v>22</v>
      </c>
      <c r="C820" t="s">
        <v>23</v>
      </c>
      <c r="D820" t="s">
        <v>24</v>
      </c>
      <c r="E820" t="s">
        <v>384</v>
      </c>
      <c r="F820" t="s">
        <v>385</v>
      </c>
      <c r="G820" t="s">
        <v>386</v>
      </c>
      <c r="H820" t="s">
        <v>28</v>
      </c>
      <c r="I820" t="s">
        <v>387</v>
      </c>
      <c r="J820" t="s">
        <v>63</v>
      </c>
      <c r="K820" t="s">
        <v>119</v>
      </c>
      <c r="L820" t="s">
        <v>48</v>
      </c>
      <c r="M820">
        <v>50</v>
      </c>
      <c r="N820" t="s">
        <v>49</v>
      </c>
      <c r="O820" t="s">
        <v>388</v>
      </c>
      <c r="P820" t="s">
        <v>35</v>
      </c>
      <c r="Q820" t="s">
        <v>389</v>
      </c>
      <c r="R820" t="s">
        <v>53</v>
      </c>
      <c r="S820" t="s">
        <v>390</v>
      </c>
      <c r="T820" t="s">
        <v>55</v>
      </c>
      <c r="U820" t="s">
        <v>56</v>
      </c>
      <c r="V820" t="s">
        <v>56</v>
      </c>
    </row>
    <row r="821" spans="1:22" x14ac:dyDescent="0.3">
      <c r="A821" s="49">
        <v>45517</v>
      </c>
      <c r="B821" t="s">
        <v>22</v>
      </c>
      <c r="C821" t="s">
        <v>23</v>
      </c>
      <c r="D821" t="s">
        <v>24</v>
      </c>
      <c r="E821" t="s">
        <v>391</v>
      </c>
      <c r="F821" t="s">
        <v>392</v>
      </c>
      <c r="G821" t="s">
        <v>393</v>
      </c>
      <c r="H821" t="s">
        <v>89</v>
      </c>
      <c r="J821" t="s">
        <v>63</v>
      </c>
      <c r="K821" t="s">
        <v>98</v>
      </c>
      <c r="L821" t="s">
        <v>48</v>
      </c>
      <c r="M821">
        <v>100</v>
      </c>
      <c r="N821" t="s">
        <v>49</v>
      </c>
      <c r="O821" t="s">
        <v>394</v>
      </c>
      <c r="P821" t="s">
        <v>205</v>
      </c>
      <c r="Q821" t="s">
        <v>322</v>
      </c>
      <c r="R821" t="s">
        <v>395</v>
      </c>
      <c r="S821" t="s">
        <v>396</v>
      </c>
      <c r="T821" t="s">
        <v>55</v>
      </c>
      <c r="U821" t="s">
        <v>56</v>
      </c>
      <c r="V821" t="s">
        <v>56</v>
      </c>
    </row>
    <row r="822" spans="1:22" x14ac:dyDescent="0.3">
      <c r="A822" s="49">
        <v>45517</v>
      </c>
      <c r="B822" t="s">
        <v>22</v>
      </c>
      <c r="C822" t="s">
        <v>23</v>
      </c>
      <c r="D822" t="s">
        <v>24</v>
      </c>
      <c r="E822" t="s">
        <v>391</v>
      </c>
      <c r="F822" t="s">
        <v>392</v>
      </c>
      <c r="G822" t="s">
        <v>393</v>
      </c>
      <c r="H822" t="s">
        <v>89</v>
      </c>
      <c r="J822" t="s">
        <v>63</v>
      </c>
      <c r="K822" t="s">
        <v>98</v>
      </c>
      <c r="L822" t="s">
        <v>48</v>
      </c>
      <c r="M822">
        <v>100</v>
      </c>
      <c r="N822" t="s">
        <v>49</v>
      </c>
      <c r="O822" t="s">
        <v>394</v>
      </c>
      <c r="P822" t="s">
        <v>205</v>
      </c>
      <c r="Q822" t="s">
        <v>322</v>
      </c>
      <c r="R822" t="s">
        <v>395</v>
      </c>
      <c r="S822" t="s">
        <v>396</v>
      </c>
      <c r="T822" t="s">
        <v>55</v>
      </c>
      <c r="U822" t="s">
        <v>56</v>
      </c>
      <c r="V822" t="s">
        <v>56</v>
      </c>
    </row>
    <row r="823" spans="1:22" x14ac:dyDescent="0.3">
      <c r="A823" s="49">
        <v>45517</v>
      </c>
      <c r="B823" t="s">
        <v>22</v>
      </c>
      <c r="C823" t="s">
        <v>23</v>
      </c>
      <c r="D823" t="s">
        <v>24</v>
      </c>
      <c r="E823" t="s">
        <v>391</v>
      </c>
      <c r="F823" t="s">
        <v>392</v>
      </c>
      <c r="G823" t="s">
        <v>393</v>
      </c>
      <c r="H823" t="s">
        <v>89</v>
      </c>
      <c r="J823" t="s">
        <v>63</v>
      </c>
      <c r="K823" t="s">
        <v>98</v>
      </c>
      <c r="L823" t="s">
        <v>48</v>
      </c>
      <c r="M823">
        <v>100</v>
      </c>
      <c r="N823" t="s">
        <v>49</v>
      </c>
      <c r="O823" t="s">
        <v>394</v>
      </c>
      <c r="P823" t="s">
        <v>205</v>
      </c>
      <c r="Q823" t="s">
        <v>322</v>
      </c>
      <c r="R823" t="s">
        <v>395</v>
      </c>
      <c r="S823" t="s">
        <v>396</v>
      </c>
      <c r="T823" t="s">
        <v>55</v>
      </c>
      <c r="U823" t="s">
        <v>56</v>
      </c>
      <c r="V823" t="s">
        <v>56</v>
      </c>
    </row>
    <row r="824" spans="1:22" x14ac:dyDescent="0.3">
      <c r="A824" s="49">
        <v>45517</v>
      </c>
      <c r="B824" t="s">
        <v>22</v>
      </c>
      <c r="C824" t="s">
        <v>23</v>
      </c>
      <c r="D824" t="s">
        <v>24</v>
      </c>
      <c r="E824" t="s">
        <v>391</v>
      </c>
      <c r="F824" t="s">
        <v>392</v>
      </c>
      <c r="G824" t="s">
        <v>393</v>
      </c>
      <c r="H824" t="s">
        <v>89</v>
      </c>
      <c r="J824" t="s">
        <v>63</v>
      </c>
      <c r="K824" t="s">
        <v>98</v>
      </c>
      <c r="L824" t="s">
        <v>48</v>
      </c>
      <c r="M824">
        <v>100</v>
      </c>
      <c r="N824" t="s">
        <v>49</v>
      </c>
      <c r="O824" t="s">
        <v>394</v>
      </c>
      <c r="P824" t="s">
        <v>205</v>
      </c>
      <c r="Q824" t="s">
        <v>322</v>
      </c>
      <c r="R824" t="s">
        <v>395</v>
      </c>
      <c r="S824" t="s">
        <v>396</v>
      </c>
      <c r="T824" t="s">
        <v>55</v>
      </c>
      <c r="U824" t="s">
        <v>56</v>
      </c>
      <c r="V824" t="s">
        <v>56</v>
      </c>
    </row>
    <row r="825" spans="1:22" x14ac:dyDescent="0.3">
      <c r="A825" s="49">
        <v>45517</v>
      </c>
      <c r="B825" t="s">
        <v>22</v>
      </c>
      <c r="C825" t="s">
        <v>23</v>
      </c>
      <c r="D825" t="s">
        <v>24</v>
      </c>
      <c r="E825" t="s">
        <v>391</v>
      </c>
      <c r="F825" t="s">
        <v>392</v>
      </c>
      <c r="G825" t="s">
        <v>393</v>
      </c>
      <c r="H825" t="s">
        <v>89</v>
      </c>
      <c r="J825" t="s">
        <v>63</v>
      </c>
      <c r="K825" t="s">
        <v>98</v>
      </c>
      <c r="L825" t="s">
        <v>48</v>
      </c>
      <c r="M825">
        <v>100</v>
      </c>
      <c r="N825" t="s">
        <v>49</v>
      </c>
      <c r="O825" t="s">
        <v>394</v>
      </c>
      <c r="P825" t="s">
        <v>205</v>
      </c>
      <c r="Q825" t="s">
        <v>322</v>
      </c>
      <c r="R825" t="s">
        <v>395</v>
      </c>
      <c r="S825" t="s">
        <v>396</v>
      </c>
      <c r="T825" t="s">
        <v>55</v>
      </c>
      <c r="U825" t="s">
        <v>56</v>
      </c>
      <c r="V825" t="s">
        <v>56</v>
      </c>
    </row>
    <row r="826" spans="1:22" x14ac:dyDescent="0.3">
      <c r="A826" s="49">
        <v>45517</v>
      </c>
      <c r="B826" t="s">
        <v>22</v>
      </c>
      <c r="C826" t="s">
        <v>23</v>
      </c>
      <c r="D826" t="s">
        <v>24</v>
      </c>
      <c r="E826" t="s">
        <v>391</v>
      </c>
      <c r="F826" t="s">
        <v>392</v>
      </c>
      <c r="G826" t="s">
        <v>393</v>
      </c>
      <c r="H826" t="s">
        <v>89</v>
      </c>
      <c r="J826" t="s">
        <v>63</v>
      </c>
      <c r="K826" t="s">
        <v>98</v>
      </c>
      <c r="L826" t="s">
        <v>48</v>
      </c>
      <c r="M826">
        <v>100</v>
      </c>
      <c r="N826" t="s">
        <v>49</v>
      </c>
      <c r="O826" t="s">
        <v>394</v>
      </c>
      <c r="P826" t="s">
        <v>205</v>
      </c>
      <c r="Q826" t="s">
        <v>322</v>
      </c>
      <c r="R826" t="s">
        <v>395</v>
      </c>
      <c r="S826" t="s">
        <v>396</v>
      </c>
      <c r="T826" t="s">
        <v>55</v>
      </c>
      <c r="U826" t="s">
        <v>56</v>
      </c>
      <c r="V826" t="s">
        <v>56</v>
      </c>
    </row>
    <row r="827" spans="1:22" x14ac:dyDescent="0.3">
      <c r="A827" s="49">
        <v>45517</v>
      </c>
      <c r="B827" t="s">
        <v>22</v>
      </c>
      <c r="C827" t="s">
        <v>23</v>
      </c>
      <c r="D827" t="s">
        <v>24</v>
      </c>
      <c r="E827" t="s">
        <v>391</v>
      </c>
      <c r="F827" t="s">
        <v>392</v>
      </c>
      <c r="G827" t="s">
        <v>393</v>
      </c>
      <c r="H827" t="s">
        <v>89</v>
      </c>
      <c r="J827" t="s">
        <v>63</v>
      </c>
      <c r="K827" t="s">
        <v>98</v>
      </c>
      <c r="L827" t="s">
        <v>48</v>
      </c>
      <c r="M827">
        <v>100</v>
      </c>
      <c r="N827" t="s">
        <v>49</v>
      </c>
      <c r="O827" t="s">
        <v>394</v>
      </c>
      <c r="P827" t="s">
        <v>205</v>
      </c>
      <c r="Q827" t="s">
        <v>322</v>
      </c>
      <c r="R827" t="s">
        <v>395</v>
      </c>
      <c r="S827" t="s">
        <v>396</v>
      </c>
      <c r="T827" t="s">
        <v>55</v>
      </c>
      <c r="U827" t="s">
        <v>56</v>
      </c>
      <c r="V827" t="s">
        <v>56</v>
      </c>
    </row>
    <row r="828" spans="1:22" x14ac:dyDescent="0.3">
      <c r="A828" s="49">
        <v>45517</v>
      </c>
      <c r="B828" t="s">
        <v>22</v>
      </c>
      <c r="C828" t="s">
        <v>23</v>
      </c>
      <c r="D828" t="s">
        <v>24</v>
      </c>
      <c r="E828" t="s">
        <v>391</v>
      </c>
      <c r="F828" t="s">
        <v>392</v>
      </c>
      <c r="G828" t="s">
        <v>393</v>
      </c>
      <c r="H828" t="s">
        <v>89</v>
      </c>
      <c r="J828" t="s">
        <v>63</v>
      </c>
      <c r="K828" t="s">
        <v>98</v>
      </c>
      <c r="L828" t="s">
        <v>48</v>
      </c>
      <c r="M828">
        <v>100</v>
      </c>
      <c r="N828" t="s">
        <v>49</v>
      </c>
      <c r="O828" t="s">
        <v>394</v>
      </c>
      <c r="P828" t="s">
        <v>205</v>
      </c>
      <c r="Q828" t="s">
        <v>322</v>
      </c>
      <c r="R828" t="s">
        <v>395</v>
      </c>
      <c r="S828" t="s">
        <v>396</v>
      </c>
      <c r="T828" t="s">
        <v>55</v>
      </c>
      <c r="U828" t="s">
        <v>56</v>
      </c>
      <c r="V828" t="s">
        <v>56</v>
      </c>
    </row>
    <row r="829" spans="1:22" x14ac:dyDescent="0.3">
      <c r="A829" s="49">
        <v>45517</v>
      </c>
      <c r="B829" t="s">
        <v>22</v>
      </c>
      <c r="C829" t="s">
        <v>23</v>
      </c>
      <c r="D829" t="s">
        <v>24</v>
      </c>
      <c r="E829" t="s">
        <v>391</v>
      </c>
      <c r="F829" t="s">
        <v>392</v>
      </c>
      <c r="G829" t="s">
        <v>393</v>
      </c>
      <c r="H829" t="s">
        <v>89</v>
      </c>
      <c r="J829" t="s">
        <v>63</v>
      </c>
      <c r="K829" t="s">
        <v>98</v>
      </c>
      <c r="L829" t="s">
        <v>48</v>
      </c>
      <c r="M829">
        <v>100</v>
      </c>
      <c r="N829" t="s">
        <v>49</v>
      </c>
      <c r="O829" t="s">
        <v>394</v>
      </c>
      <c r="P829" t="s">
        <v>205</v>
      </c>
      <c r="Q829" t="s">
        <v>322</v>
      </c>
      <c r="R829" t="s">
        <v>395</v>
      </c>
      <c r="S829" t="s">
        <v>396</v>
      </c>
      <c r="T829" t="s">
        <v>55</v>
      </c>
      <c r="U829" t="s">
        <v>56</v>
      </c>
      <c r="V829" t="s">
        <v>56</v>
      </c>
    </row>
    <row r="830" spans="1:22" x14ac:dyDescent="0.3">
      <c r="A830" s="49">
        <v>45517</v>
      </c>
      <c r="B830" t="s">
        <v>22</v>
      </c>
      <c r="C830" t="s">
        <v>23</v>
      </c>
      <c r="D830" t="s">
        <v>24</v>
      </c>
      <c r="E830" t="s">
        <v>391</v>
      </c>
      <c r="F830" t="s">
        <v>392</v>
      </c>
      <c r="G830" t="s">
        <v>393</v>
      </c>
      <c r="H830" t="s">
        <v>89</v>
      </c>
      <c r="J830" t="s">
        <v>63</v>
      </c>
      <c r="K830" t="s">
        <v>98</v>
      </c>
      <c r="L830" t="s">
        <v>48</v>
      </c>
      <c r="M830">
        <v>100</v>
      </c>
      <c r="N830" t="s">
        <v>49</v>
      </c>
      <c r="O830" t="s">
        <v>394</v>
      </c>
      <c r="P830" t="s">
        <v>205</v>
      </c>
      <c r="Q830" t="s">
        <v>322</v>
      </c>
      <c r="R830" t="s">
        <v>395</v>
      </c>
      <c r="S830" t="s">
        <v>396</v>
      </c>
      <c r="T830" t="s">
        <v>55</v>
      </c>
      <c r="U830" t="s">
        <v>56</v>
      </c>
      <c r="V830" t="s">
        <v>56</v>
      </c>
    </row>
    <row r="831" spans="1:22" x14ac:dyDescent="0.3">
      <c r="A831" s="49">
        <v>45517</v>
      </c>
      <c r="B831" t="s">
        <v>22</v>
      </c>
      <c r="C831" t="s">
        <v>23</v>
      </c>
      <c r="D831" t="s">
        <v>24</v>
      </c>
      <c r="E831" t="s">
        <v>391</v>
      </c>
      <c r="F831" t="s">
        <v>392</v>
      </c>
      <c r="G831" t="s">
        <v>393</v>
      </c>
      <c r="H831" t="s">
        <v>89</v>
      </c>
      <c r="J831" t="s">
        <v>63</v>
      </c>
      <c r="K831" t="s">
        <v>98</v>
      </c>
      <c r="L831" t="s">
        <v>48</v>
      </c>
      <c r="M831">
        <v>100</v>
      </c>
      <c r="N831" t="s">
        <v>49</v>
      </c>
      <c r="O831" t="s">
        <v>394</v>
      </c>
      <c r="P831" t="s">
        <v>205</v>
      </c>
      <c r="Q831" t="s">
        <v>322</v>
      </c>
      <c r="R831" t="s">
        <v>395</v>
      </c>
      <c r="S831" t="s">
        <v>396</v>
      </c>
      <c r="T831" t="s">
        <v>55</v>
      </c>
      <c r="U831" t="s">
        <v>56</v>
      </c>
      <c r="V831" t="s">
        <v>56</v>
      </c>
    </row>
    <row r="832" spans="1:22" x14ac:dyDescent="0.3">
      <c r="A832" s="49">
        <v>45517</v>
      </c>
      <c r="B832" t="s">
        <v>22</v>
      </c>
      <c r="C832" t="s">
        <v>23</v>
      </c>
      <c r="D832" t="s">
        <v>24</v>
      </c>
      <c r="E832" t="s">
        <v>391</v>
      </c>
      <c r="F832" t="s">
        <v>392</v>
      </c>
      <c r="G832" t="s">
        <v>393</v>
      </c>
      <c r="H832" t="s">
        <v>89</v>
      </c>
      <c r="J832" t="s">
        <v>63</v>
      </c>
      <c r="K832" t="s">
        <v>98</v>
      </c>
      <c r="L832" t="s">
        <v>48</v>
      </c>
      <c r="M832">
        <v>100</v>
      </c>
      <c r="N832" t="s">
        <v>49</v>
      </c>
      <c r="O832" t="s">
        <v>394</v>
      </c>
      <c r="P832" t="s">
        <v>205</v>
      </c>
      <c r="Q832" t="s">
        <v>322</v>
      </c>
      <c r="R832" t="s">
        <v>395</v>
      </c>
      <c r="S832" t="s">
        <v>396</v>
      </c>
      <c r="T832" t="s">
        <v>55</v>
      </c>
      <c r="U832" t="s">
        <v>56</v>
      </c>
      <c r="V832" t="s">
        <v>56</v>
      </c>
    </row>
    <row r="833" spans="1:22" x14ac:dyDescent="0.3">
      <c r="A833" s="49">
        <v>45517</v>
      </c>
      <c r="B833" t="s">
        <v>22</v>
      </c>
      <c r="C833" t="s">
        <v>23</v>
      </c>
      <c r="D833" t="s">
        <v>24</v>
      </c>
      <c r="E833" t="s">
        <v>391</v>
      </c>
      <c r="F833" t="s">
        <v>392</v>
      </c>
      <c r="G833" t="s">
        <v>393</v>
      </c>
      <c r="H833" t="s">
        <v>89</v>
      </c>
      <c r="J833" t="s">
        <v>63</v>
      </c>
      <c r="K833" t="s">
        <v>98</v>
      </c>
      <c r="L833" t="s">
        <v>48</v>
      </c>
      <c r="M833">
        <v>100</v>
      </c>
      <c r="N833" t="s">
        <v>49</v>
      </c>
      <c r="O833" t="s">
        <v>394</v>
      </c>
      <c r="P833" t="s">
        <v>205</v>
      </c>
      <c r="Q833" t="s">
        <v>322</v>
      </c>
      <c r="R833" t="s">
        <v>395</v>
      </c>
      <c r="S833" t="s">
        <v>396</v>
      </c>
      <c r="T833" t="s">
        <v>55</v>
      </c>
      <c r="U833" t="s">
        <v>56</v>
      </c>
      <c r="V833" t="s">
        <v>56</v>
      </c>
    </row>
    <row r="834" spans="1:22" x14ac:dyDescent="0.3">
      <c r="A834" s="49">
        <v>45517</v>
      </c>
      <c r="B834" t="s">
        <v>22</v>
      </c>
      <c r="C834" t="s">
        <v>23</v>
      </c>
      <c r="D834" t="s">
        <v>24</v>
      </c>
      <c r="E834" t="s">
        <v>391</v>
      </c>
      <c r="F834" t="s">
        <v>392</v>
      </c>
      <c r="G834" t="s">
        <v>393</v>
      </c>
      <c r="H834" t="s">
        <v>89</v>
      </c>
      <c r="J834" t="s">
        <v>63</v>
      </c>
      <c r="K834" t="s">
        <v>98</v>
      </c>
      <c r="L834" t="s">
        <v>48</v>
      </c>
      <c r="M834">
        <v>100</v>
      </c>
      <c r="N834" t="s">
        <v>49</v>
      </c>
      <c r="O834" t="s">
        <v>394</v>
      </c>
      <c r="P834" t="s">
        <v>205</v>
      </c>
      <c r="Q834" t="s">
        <v>322</v>
      </c>
      <c r="R834" t="s">
        <v>395</v>
      </c>
      <c r="S834" t="s">
        <v>396</v>
      </c>
      <c r="T834" t="s">
        <v>55</v>
      </c>
      <c r="U834" t="s">
        <v>56</v>
      </c>
      <c r="V834" t="s">
        <v>56</v>
      </c>
    </row>
    <row r="835" spans="1:22" x14ac:dyDescent="0.3">
      <c r="A835" s="49">
        <v>45517</v>
      </c>
      <c r="B835" t="s">
        <v>22</v>
      </c>
      <c r="C835" t="s">
        <v>23</v>
      </c>
      <c r="D835" t="s">
        <v>24</v>
      </c>
      <c r="E835" t="s">
        <v>391</v>
      </c>
      <c r="F835" t="s">
        <v>392</v>
      </c>
      <c r="G835" t="s">
        <v>393</v>
      </c>
      <c r="H835" t="s">
        <v>89</v>
      </c>
      <c r="J835" t="s">
        <v>63</v>
      </c>
      <c r="K835" t="s">
        <v>98</v>
      </c>
      <c r="L835" t="s">
        <v>48</v>
      </c>
      <c r="M835">
        <v>100</v>
      </c>
      <c r="N835" t="s">
        <v>49</v>
      </c>
      <c r="O835" t="s">
        <v>394</v>
      </c>
      <c r="P835" t="s">
        <v>205</v>
      </c>
      <c r="Q835" t="s">
        <v>322</v>
      </c>
      <c r="R835" t="s">
        <v>395</v>
      </c>
      <c r="S835" t="s">
        <v>396</v>
      </c>
      <c r="T835" t="s">
        <v>55</v>
      </c>
      <c r="U835" t="s">
        <v>56</v>
      </c>
      <c r="V835" t="s">
        <v>56</v>
      </c>
    </row>
    <row r="836" spans="1:22" x14ac:dyDescent="0.3">
      <c r="A836" s="49">
        <v>45517</v>
      </c>
      <c r="B836" t="s">
        <v>22</v>
      </c>
      <c r="C836" t="s">
        <v>23</v>
      </c>
      <c r="D836" t="s">
        <v>24</v>
      </c>
      <c r="E836" t="s">
        <v>391</v>
      </c>
      <c r="F836" t="s">
        <v>392</v>
      </c>
      <c r="G836" t="s">
        <v>393</v>
      </c>
      <c r="H836" t="s">
        <v>89</v>
      </c>
      <c r="J836" t="s">
        <v>63</v>
      </c>
      <c r="K836" t="s">
        <v>98</v>
      </c>
      <c r="L836" t="s">
        <v>48</v>
      </c>
      <c r="M836">
        <v>100</v>
      </c>
      <c r="N836" t="s">
        <v>49</v>
      </c>
      <c r="O836" t="s">
        <v>394</v>
      </c>
      <c r="P836" t="s">
        <v>205</v>
      </c>
      <c r="Q836" t="s">
        <v>322</v>
      </c>
      <c r="R836" t="s">
        <v>395</v>
      </c>
      <c r="S836" t="s">
        <v>396</v>
      </c>
      <c r="T836" t="s">
        <v>55</v>
      </c>
      <c r="U836" t="s">
        <v>56</v>
      </c>
      <c r="V836" t="s">
        <v>56</v>
      </c>
    </row>
    <row r="837" spans="1:22" x14ac:dyDescent="0.3">
      <c r="A837" s="49">
        <v>45517</v>
      </c>
      <c r="B837" t="s">
        <v>22</v>
      </c>
      <c r="C837" t="s">
        <v>23</v>
      </c>
      <c r="D837" t="s">
        <v>24</v>
      </c>
      <c r="E837" t="s">
        <v>391</v>
      </c>
      <c r="F837" t="s">
        <v>392</v>
      </c>
      <c r="G837" t="s">
        <v>393</v>
      </c>
      <c r="H837" t="s">
        <v>89</v>
      </c>
      <c r="J837" t="s">
        <v>63</v>
      </c>
      <c r="K837" t="s">
        <v>98</v>
      </c>
      <c r="L837" t="s">
        <v>48</v>
      </c>
      <c r="M837">
        <v>100</v>
      </c>
      <c r="N837" t="s">
        <v>49</v>
      </c>
      <c r="O837" t="s">
        <v>394</v>
      </c>
      <c r="P837" t="s">
        <v>205</v>
      </c>
      <c r="Q837" t="s">
        <v>322</v>
      </c>
      <c r="R837" t="s">
        <v>395</v>
      </c>
      <c r="S837" t="s">
        <v>396</v>
      </c>
      <c r="T837" t="s">
        <v>55</v>
      </c>
      <c r="U837" t="s">
        <v>56</v>
      </c>
      <c r="V837" t="s">
        <v>56</v>
      </c>
    </row>
    <row r="838" spans="1:22" x14ac:dyDescent="0.3">
      <c r="A838" s="49">
        <v>45517</v>
      </c>
      <c r="B838" t="s">
        <v>22</v>
      </c>
      <c r="C838" t="s">
        <v>23</v>
      </c>
      <c r="D838" t="s">
        <v>24</v>
      </c>
      <c r="E838" t="s">
        <v>391</v>
      </c>
      <c r="F838" t="s">
        <v>392</v>
      </c>
      <c r="G838" t="s">
        <v>393</v>
      </c>
      <c r="H838" t="s">
        <v>89</v>
      </c>
      <c r="J838" t="s">
        <v>63</v>
      </c>
      <c r="K838" t="s">
        <v>98</v>
      </c>
      <c r="L838" t="s">
        <v>48</v>
      </c>
      <c r="M838">
        <v>100</v>
      </c>
      <c r="N838" t="s">
        <v>49</v>
      </c>
      <c r="O838" t="s">
        <v>394</v>
      </c>
      <c r="P838" t="s">
        <v>205</v>
      </c>
      <c r="Q838" t="s">
        <v>322</v>
      </c>
      <c r="R838" t="s">
        <v>395</v>
      </c>
      <c r="S838" t="s">
        <v>396</v>
      </c>
      <c r="T838" t="s">
        <v>55</v>
      </c>
      <c r="U838" t="s">
        <v>56</v>
      </c>
      <c r="V838" t="s">
        <v>56</v>
      </c>
    </row>
    <row r="839" spans="1:22" x14ac:dyDescent="0.3">
      <c r="A839" s="49">
        <v>45517</v>
      </c>
      <c r="B839" t="s">
        <v>22</v>
      </c>
      <c r="C839" t="s">
        <v>23</v>
      </c>
      <c r="D839" t="s">
        <v>24</v>
      </c>
      <c r="E839" t="s">
        <v>391</v>
      </c>
      <c r="F839" t="s">
        <v>392</v>
      </c>
      <c r="G839" t="s">
        <v>393</v>
      </c>
      <c r="H839" t="s">
        <v>89</v>
      </c>
      <c r="J839" t="s">
        <v>63</v>
      </c>
      <c r="K839" t="s">
        <v>98</v>
      </c>
      <c r="L839" t="s">
        <v>48</v>
      </c>
      <c r="M839">
        <v>100</v>
      </c>
      <c r="N839" t="s">
        <v>49</v>
      </c>
      <c r="O839" t="s">
        <v>394</v>
      </c>
      <c r="P839" t="s">
        <v>205</v>
      </c>
      <c r="Q839" t="s">
        <v>322</v>
      </c>
      <c r="R839" t="s">
        <v>395</v>
      </c>
      <c r="S839" t="s">
        <v>396</v>
      </c>
      <c r="T839" t="s">
        <v>55</v>
      </c>
      <c r="U839" t="s">
        <v>56</v>
      </c>
      <c r="V839" t="s">
        <v>56</v>
      </c>
    </row>
    <row r="840" spans="1:22" x14ac:dyDescent="0.3">
      <c r="A840" s="49">
        <v>45517</v>
      </c>
      <c r="B840" t="s">
        <v>22</v>
      </c>
      <c r="C840" t="s">
        <v>23</v>
      </c>
      <c r="D840" t="s">
        <v>24</v>
      </c>
      <c r="E840" t="s">
        <v>391</v>
      </c>
      <c r="F840" t="s">
        <v>392</v>
      </c>
      <c r="G840" t="s">
        <v>393</v>
      </c>
      <c r="H840" t="s">
        <v>89</v>
      </c>
      <c r="J840" t="s">
        <v>63</v>
      </c>
      <c r="K840" t="s">
        <v>98</v>
      </c>
      <c r="L840" t="s">
        <v>48</v>
      </c>
      <c r="M840">
        <v>100</v>
      </c>
      <c r="N840" t="s">
        <v>49</v>
      </c>
      <c r="O840" t="s">
        <v>394</v>
      </c>
      <c r="P840" t="s">
        <v>205</v>
      </c>
      <c r="Q840" t="s">
        <v>322</v>
      </c>
      <c r="R840" t="s">
        <v>395</v>
      </c>
      <c r="S840" t="s">
        <v>396</v>
      </c>
      <c r="T840" t="s">
        <v>55</v>
      </c>
      <c r="U840" t="s">
        <v>56</v>
      </c>
      <c r="V840" t="s">
        <v>56</v>
      </c>
    </row>
    <row r="841" spans="1:22" x14ac:dyDescent="0.3">
      <c r="A841" s="49">
        <v>45517</v>
      </c>
      <c r="B841" t="s">
        <v>22</v>
      </c>
      <c r="C841" t="s">
        <v>23</v>
      </c>
      <c r="D841" t="s">
        <v>24</v>
      </c>
      <c r="E841" t="s">
        <v>391</v>
      </c>
      <c r="F841" t="s">
        <v>392</v>
      </c>
      <c r="G841" t="s">
        <v>393</v>
      </c>
      <c r="H841" t="s">
        <v>89</v>
      </c>
      <c r="J841" t="s">
        <v>63</v>
      </c>
      <c r="K841" t="s">
        <v>98</v>
      </c>
      <c r="L841" t="s">
        <v>48</v>
      </c>
      <c r="M841">
        <v>100</v>
      </c>
      <c r="N841" t="s">
        <v>49</v>
      </c>
      <c r="O841" t="s">
        <v>394</v>
      </c>
      <c r="P841" t="s">
        <v>205</v>
      </c>
      <c r="Q841" t="s">
        <v>322</v>
      </c>
      <c r="R841" t="s">
        <v>395</v>
      </c>
      <c r="S841" t="s">
        <v>396</v>
      </c>
      <c r="T841" t="s">
        <v>55</v>
      </c>
      <c r="U841" t="s">
        <v>56</v>
      </c>
      <c r="V841" t="s">
        <v>56</v>
      </c>
    </row>
    <row r="842" spans="1:22" x14ac:dyDescent="0.3">
      <c r="A842" s="49">
        <v>45517</v>
      </c>
      <c r="B842" t="s">
        <v>22</v>
      </c>
      <c r="C842" t="s">
        <v>23</v>
      </c>
      <c r="D842" t="s">
        <v>24</v>
      </c>
      <c r="E842" t="s">
        <v>391</v>
      </c>
      <c r="F842" t="s">
        <v>392</v>
      </c>
      <c r="G842" t="s">
        <v>393</v>
      </c>
      <c r="H842" t="s">
        <v>89</v>
      </c>
      <c r="J842" t="s">
        <v>63</v>
      </c>
      <c r="K842" t="s">
        <v>98</v>
      </c>
      <c r="L842" t="s">
        <v>48</v>
      </c>
      <c r="M842">
        <v>100</v>
      </c>
      <c r="N842" t="s">
        <v>49</v>
      </c>
      <c r="O842" t="s">
        <v>394</v>
      </c>
      <c r="P842" t="s">
        <v>205</v>
      </c>
      <c r="Q842" t="s">
        <v>322</v>
      </c>
      <c r="R842" t="s">
        <v>395</v>
      </c>
      <c r="S842" t="s">
        <v>396</v>
      </c>
      <c r="T842" t="s">
        <v>55</v>
      </c>
      <c r="U842" t="s">
        <v>56</v>
      </c>
      <c r="V842" t="s">
        <v>56</v>
      </c>
    </row>
    <row r="843" spans="1:22" x14ac:dyDescent="0.3">
      <c r="A843" s="49">
        <v>45517</v>
      </c>
      <c r="B843" t="s">
        <v>22</v>
      </c>
      <c r="C843" t="s">
        <v>23</v>
      </c>
      <c r="D843" t="s">
        <v>24</v>
      </c>
      <c r="E843" t="s">
        <v>397</v>
      </c>
      <c r="F843" t="s">
        <v>398</v>
      </c>
      <c r="G843" t="s">
        <v>399</v>
      </c>
      <c r="H843" t="s">
        <v>89</v>
      </c>
      <c r="J843" t="s">
        <v>63</v>
      </c>
      <c r="K843" t="s">
        <v>119</v>
      </c>
      <c r="L843" t="s">
        <v>48</v>
      </c>
      <c r="M843">
        <v>100</v>
      </c>
      <c r="N843" t="s">
        <v>49</v>
      </c>
      <c r="O843" t="s">
        <v>400</v>
      </c>
      <c r="P843" t="s">
        <v>106</v>
      </c>
      <c r="Q843" t="s">
        <v>322</v>
      </c>
      <c r="R843" t="s">
        <v>53</v>
      </c>
      <c r="S843" t="s">
        <v>401</v>
      </c>
      <c r="T843" t="s">
        <v>55</v>
      </c>
      <c r="U843" t="s">
        <v>56</v>
      </c>
      <c r="V843" t="s">
        <v>56</v>
      </c>
    </row>
    <row r="844" spans="1:22" x14ac:dyDescent="0.3">
      <c r="A844" s="49">
        <v>45517</v>
      </c>
      <c r="B844" t="s">
        <v>22</v>
      </c>
      <c r="C844" t="s">
        <v>23</v>
      </c>
      <c r="D844" t="s">
        <v>24</v>
      </c>
      <c r="E844" t="s">
        <v>397</v>
      </c>
      <c r="F844" t="s">
        <v>398</v>
      </c>
      <c r="G844" t="s">
        <v>399</v>
      </c>
      <c r="H844" t="s">
        <v>89</v>
      </c>
      <c r="J844" t="s">
        <v>63</v>
      </c>
      <c r="K844" t="s">
        <v>119</v>
      </c>
      <c r="L844" t="s">
        <v>48</v>
      </c>
      <c r="M844">
        <v>100</v>
      </c>
      <c r="N844" t="s">
        <v>49</v>
      </c>
      <c r="O844" t="s">
        <v>400</v>
      </c>
      <c r="P844" t="s">
        <v>106</v>
      </c>
      <c r="Q844" t="s">
        <v>322</v>
      </c>
      <c r="R844" t="s">
        <v>53</v>
      </c>
      <c r="S844" t="s">
        <v>401</v>
      </c>
      <c r="T844" t="s">
        <v>55</v>
      </c>
      <c r="U844" t="s">
        <v>56</v>
      </c>
      <c r="V844" t="s">
        <v>56</v>
      </c>
    </row>
    <row r="845" spans="1:22" x14ac:dyDescent="0.3">
      <c r="A845" s="49">
        <v>45517</v>
      </c>
      <c r="B845" t="s">
        <v>22</v>
      </c>
      <c r="C845" t="s">
        <v>23</v>
      </c>
      <c r="D845" t="s">
        <v>24</v>
      </c>
      <c r="E845" t="s">
        <v>397</v>
      </c>
      <c r="F845" t="s">
        <v>398</v>
      </c>
      <c r="G845" t="s">
        <v>399</v>
      </c>
      <c r="H845" t="s">
        <v>89</v>
      </c>
      <c r="J845" t="s">
        <v>63</v>
      </c>
      <c r="K845" t="s">
        <v>119</v>
      </c>
      <c r="L845" t="s">
        <v>48</v>
      </c>
      <c r="M845">
        <v>100</v>
      </c>
      <c r="N845" t="s">
        <v>49</v>
      </c>
      <c r="O845" t="s">
        <v>400</v>
      </c>
      <c r="P845" t="s">
        <v>106</v>
      </c>
      <c r="Q845" t="s">
        <v>322</v>
      </c>
      <c r="R845" t="s">
        <v>53</v>
      </c>
      <c r="S845" t="s">
        <v>401</v>
      </c>
      <c r="T845" t="s">
        <v>55</v>
      </c>
      <c r="U845" t="s">
        <v>56</v>
      </c>
      <c r="V845" t="s">
        <v>56</v>
      </c>
    </row>
    <row r="846" spans="1:22" x14ac:dyDescent="0.3">
      <c r="A846" s="49">
        <v>45517</v>
      </c>
      <c r="B846" t="s">
        <v>22</v>
      </c>
      <c r="C846" t="s">
        <v>23</v>
      </c>
      <c r="D846" t="s">
        <v>24</v>
      </c>
      <c r="E846" t="s">
        <v>397</v>
      </c>
      <c r="F846" t="s">
        <v>398</v>
      </c>
      <c r="G846" t="s">
        <v>399</v>
      </c>
      <c r="H846" t="s">
        <v>89</v>
      </c>
      <c r="J846" t="s">
        <v>63</v>
      </c>
      <c r="K846" t="s">
        <v>119</v>
      </c>
      <c r="L846" t="s">
        <v>48</v>
      </c>
      <c r="M846">
        <v>100</v>
      </c>
      <c r="N846" t="s">
        <v>49</v>
      </c>
      <c r="O846" t="s">
        <v>400</v>
      </c>
      <c r="P846" t="s">
        <v>106</v>
      </c>
      <c r="Q846" t="s">
        <v>322</v>
      </c>
      <c r="R846" t="s">
        <v>53</v>
      </c>
      <c r="S846" t="s">
        <v>401</v>
      </c>
      <c r="T846" t="s">
        <v>55</v>
      </c>
      <c r="U846" t="s">
        <v>56</v>
      </c>
      <c r="V846" t="s">
        <v>56</v>
      </c>
    </row>
    <row r="847" spans="1:22" x14ac:dyDescent="0.3">
      <c r="A847" s="49">
        <v>45517</v>
      </c>
      <c r="B847" t="s">
        <v>22</v>
      </c>
      <c r="C847" t="s">
        <v>23</v>
      </c>
      <c r="D847" t="s">
        <v>24</v>
      </c>
      <c r="E847" t="s">
        <v>397</v>
      </c>
      <c r="F847" t="s">
        <v>398</v>
      </c>
      <c r="G847" t="s">
        <v>399</v>
      </c>
      <c r="H847" t="s">
        <v>89</v>
      </c>
      <c r="J847" t="s">
        <v>63</v>
      </c>
      <c r="K847" t="s">
        <v>119</v>
      </c>
      <c r="L847" t="s">
        <v>48</v>
      </c>
      <c r="M847">
        <v>100</v>
      </c>
      <c r="N847" t="s">
        <v>49</v>
      </c>
      <c r="O847" t="s">
        <v>400</v>
      </c>
      <c r="P847" t="s">
        <v>106</v>
      </c>
      <c r="Q847" t="s">
        <v>322</v>
      </c>
      <c r="R847" t="s">
        <v>53</v>
      </c>
      <c r="S847" t="s">
        <v>401</v>
      </c>
      <c r="T847" t="s">
        <v>55</v>
      </c>
      <c r="U847" t="s">
        <v>56</v>
      </c>
      <c r="V847" t="s">
        <v>56</v>
      </c>
    </row>
    <row r="848" spans="1:22" x14ac:dyDescent="0.3">
      <c r="A848" s="49">
        <v>45517</v>
      </c>
      <c r="B848" t="s">
        <v>22</v>
      </c>
      <c r="C848" t="s">
        <v>23</v>
      </c>
      <c r="D848" t="s">
        <v>24</v>
      </c>
      <c r="E848" t="s">
        <v>397</v>
      </c>
      <c r="F848" t="s">
        <v>398</v>
      </c>
      <c r="G848" t="s">
        <v>399</v>
      </c>
      <c r="H848" t="s">
        <v>89</v>
      </c>
      <c r="J848" t="s">
        <v>63</v>
      </c>
      <c r="K848" t="s">
        <v>119</v>
      </c>
      <c r="L848" t="s">
        <v>48</v>
      </c>
      <c r="M848">
        <v>100</v>
      </c>
      <c r="N848" t="s">
        <v>49</v>
      </c>
      <c r="O848" t="s">
        <v>400</v>
      </c>
      <c r="P848" t="s">
        <v>106</v>
      </c>
      <c r="Q848" t="s">
        <v>322</v>
      </c>
      <c r="R848" t="s">
        <v>53</v>
      </c>
      <c r="S848" t="s">
        <v>401</v>
      </c>
      <c r="T848" t="s">
        <v>55</v>
      </c>
      <c r="U848" t="s">
        <v>56</v>
      </c>
      <c r="V848" t="s">
        <v>56</v>
      </c>
    </row>
    <row r="849" spans="1:22" x14ac:dyDescent="0.3">
      <c r="A849" s="49">
        <v>45517</v>
      </c>
      <c r="B849" t="s">
        <v>22</v>
      </c>
      <c r="C849" t="s">
        <v>23</v>
      </c>
      <c r="D849" t="s">
        <v>24</v>
      </c>
      <c r="E849" t="s">
        <v>397</v>
      </c>
      <c r="F849" t="s">
        <v>398</v>
      </c>
      <c r="G849" t="s">
        <v>399</v>
      </c>
      <c r="H849" t="s">
        <v>89</v>
      </c>
      <c r="J849" t="s">
        <v>63</v>
      </c>
      <c r="K849" t="s">
        <v>119</v>
      </c>
      <c r="L849" t="s">
        <v>48</v>
      </c>
      <c r="M849">
        <v>100</v>
      </c>
      <c r="N849" t="s">
        <v>49</v>
      </c>
      <c r="O849" t="s">
        <v>400</v>
      </c>
      <c r="P849" t="s">
        <v>106</v>
      </c>
      <c r="Q849" t="s">
        <v>322</v>
      </c>
      <c r="R849" t="s">
        <v>53</v>
      </c>
      <c r="S849" t="s">
        <v>401</v>
      </c>
      <c r="T849" t="s">
        <v>55</v>
      </c>
      <c r="U849" t="s">
        <v>56</v>
      </c>
      <c r="V849" t="s">
        <v>56</v>
      </c>
    </row>
    <row r="850" spans="1:22" x14ac:dyDescent="0.3">
      <c r="A850" s="49">
        <v>45517</v>
      </c>
      <c r="B850" t="s">
        <v>22</v>
      </c>
      <c r="C850" t="s">
        <v>23</v>
      </c>
      <c r="D850" t="s">
        <v>24</v>
      </c>
      <c r="E850" t="s">
        <v>397</v>
      </c>
      <c r="F850" t="s">
        <v>398</v>
      </c>
      <c r="G850" t="s">
        <v>399</v>
      </c>
      <c r="H850" t="s">
        <v>89</v>
      </c>
      <c r="J850" t="s">
        <v>63</v>
      </c>
      <c r="K850" t="s">
        <v>119</v>
      </c>
      <c r="L850" t="s">
        <v>48</v>
      </c>
      <c r="M850">
        <v>100</v>
      </c>
      <c r="N850" t="s">
        <v>49</v>
      </c>
      <c r="O850" t="s">
        <v>400</v>
      </c>
      <c r="P850" t="s">
        <v>106</v>
      </c>
      <c r="Q850" t="s">
        <v>322</v>
      </c>
      <c r="R850" t="s">
        <v>53</v>
      </c>
      <c r="S850" t="s">
        <v>401</v>
      </c>
      <c r="T850" t="s">
        <v>55</v>
      </c>
      <c r="U850" t="s">
        <v>56</v>
      </c>
      <c r="V850" t="s">
        <v>56</v>
      </c>
    </row>
    <row r="851" spans="1:22" x14ac:dyDescent="0.3">
      <c r="A851" s="49">
        <v>45517</v>
      </c>
      <c r="B851" t="s">
        <v>22</v>
      </c>
      <c r="C851" t="s">
        <v>23</v>
      </c>
      <c r="D851" t="s">
        <v>24</v>
      </c>
      <c r="E851" t="s">
        <v>397</v>
      </c>
      <c r="F851" t="s">
        <v>398</v>
      </c>
      <c r="G851" t="s">
        <v>399</v>
      </c>
      <c r="H851" t="s">
        <v>89</v>
      </c>
      <c r="J851" t="s">
        <v>63</v>
      </c>
      <c r="K851" t="s">
        <v>119</v>
      </c>
      <c r="L851" t="s">
        <v>48</v>
      </c>
      <c r="M851">
        <v>100</v>
      </c>
      <c r="N851" t="s">
        <v>49</v>
      </c>
      <c r="O851" t="s">
        <v>400</v>
      </c>
      <c r="P851" t="s">
        <v>106</v>
      </c>
      <c r="Q851" t="s">
        <v>322</v>
      </c>
      <c r="R851" t="s">
        <v>53</v>
      </c>
      <c r="S851" t="s">
        <v>401</v>
      </c>
      <c r="T851" t="s">
        <v>55</v>
      </c>
      <c r="U851" t="s">
        <v>56</v>
      </c>
      <c r="V851" t="s">
        <v>56</v>
      </c>
    </row>
    <row r="852" spans="1:22" x14ac:dyDescent="0.3">
      <c r="A852" s="49">
        <v>45517</v>
      </c>
      <c r="B852" t="s">
        <v>22</v>
      </c>
      <c r="C852" t="s">
        <v>23</v>
      </c>
      <c r="D852" t="s">
        <v>24</v>
      </c>
      <c r="E852" t="s">
        <v>402</v>
      </c>
      <c r="F852" t="s">
        <v>403</v>
      </c>
      <c r="G852" t="s">
        <v>404</v>
      </c>
      <c r="H852" t="s">
        <v>28</v>
      </c>
      <c r="I852" t="s">
        <v>405</v>
      </c>
      <c r="J852" t="s">
        <v>63</v>
      </c>
      <c r="K852" t="s">
        <v>64</v>
      </c>
      <c r="L852" t="s">
        <v>32</v>
      </c>
      <c r="M852">
        <v>50</v>
      </c>
      <c r="N852" t="s">
        <v>49</v>
      </c>
      <c r="O852" t="s">
        <v>406</v>
      </c>
      <c r="P852" t="s">
        <v>58</v>
      </c>
      <c r="Q852" t="s">
        <v>407</v>
      </c>
      <c r="R852" t="s">
        <v>408</v>
      </c>
      <c r="S852" t="s">
        <v>409</v>
      </c>
      <c r="T852" t="s">
        <v>55</v>
      </c>
      <c r="U852" t="s">
        <v>56</v>
      </c>
      <c r="V852" t="s">
        <v>56</v>
      </c>
    </row>
    <row r="853" spans="1:22" x14ac:dyDescent="0.3">
      <c r="A853" s="49">
        <v>45517</v>
      </c>
      <c r="B853" t="s">
        <v>22</v>
      </c>
      <c r="C853" t="s">
        <v>23</v>
      </c>
      <c r="D853" t="s">
        <v>24</v>
      </c>
      <c r="E853" t="s">
        <v>410</v>
      </c>
      <c r="F853" t="s">
        <v>411</v>
      </c>
      <c r="G853" t="s">
        <v>412</v>
      </c>
      <c r="H853" t="s">
        <v>28</v>
      </c>
      <c r="I853" t="s">
        <v>413</v>
      </c>
      <c r="J853" t="s">
        <v>63</v>
      </c>
      <c r="K853" t="s">
        <v>414</v>
      </c>
      <c r="L853" t="s">
        <v>32</v>
      </c>
      <c r="M853">
        <v>40</v>
      </c>
      <c r="N853" t="s">
        <v>49</v>
      </c>
      <c r="O853" t="s">
        <v>415</v>
      </c>
      <c r="P853" t="s">
        <v>416</v>
      </c>
      <c r="Q853" t="s">
        <v>417</v>
      </c>
      <c r="R853" t="s">
        <v>37</v>
      </c>
      <c r="S853" t="s">
        <v>410</v>
      </c>
      <c r="T853" t="s">
        <v>55</v>
      </c>
      <c r="U853" t="s">
        <v>56</v>
      </c>
      <c r="V853" t="s">
        <v>56</v>
      </c>
    </row>
    <row r="854" spans="1:22" x14ac:dyDescent="0.3">
      <c r="A854" s="49">
        <v>45517</v>
      </c>
      <c r="B854" t="s">
        <v>22</v>
      </c>
      <c r="C854" t="s">
        <v>23</v>
      </c>
      <c r="D854" t="s">
        <v>24</v>
      </c>
      <c r="E854" t="s">
        <v>418</v>
      </c>
      <c r="F854" t="s">
        <v>419</v>
      </c>
      <c r="G854" t="s">
        <v>420</v>
      </c>
      <c r="H854" t="s">
        <v>28</v>
      </c>
      <c r="I854" t="s">
        <v>421</v>
      </c>
      <c r="J854" t="s">
        <v>46</v>
      </c>
      <c r="K854" t="s">
        <v>422</v>
      </c>
      <c r="L854" t="s">
        <v>423</v>
      </c>
      <c r="M854">
        <v>10</v>
      </c>
      <c r="N854" t="s">
        <v>49</v>
      </c>
      <c r="O854" t="s">
        <v>424</v>
      </c>
      <c r="P854" t="s">
        <v>163</v>
      </c>
      <c r="Q854" t="s">
        <v>425</v>
      </c>
      <c r="R854" t="s">
        <v>37</v>
      </c>
      <c r="S854" t="s">
        <v>426</v>
      </c>
      <c r="T854" t="s">
        <v>55</v>
      </c>
      <c r="U854" t="s">
        <v>56</v>
      </c>
      <c r="V854" t="s">
        <v>56</v>
      </c>
    </row>
    <row r="855" spans="1:22" x14ac:dyDescent="0.3">
      <c r="A855" s="49">
        <v>45517</v>
      </c>
      <c r="B855" t="s">
        <v>22</v>
      </c>
      <c r="C855" t="s">
        <v>23</v>
      </c>
      <c r="D855" t="s">
        <v>24</v>
      </c>
      <c r="E855" t="s">
        <v>427</v>
      </c>
      <c r="F855" t="s">
        <v>428</v>
      </c>
      <c r="G855" t="s">
        <v>429</v>
      </c>
      <c r="H855" t="s">
        <v>28</v>
      </c>
      <c r="I855" t="s">
        <v>430</v>
      </c>
      <c r="J855" t="s">
        <v>63</v>
      </c>
      <c r="K855" t="s">
        <v>64</v>
      </c>
      <c r="L855" t="s">
        <v>32</v>
      </c>
      <c r="M855">
        <v>100</v>
      </c>
      <c r="N855" t="s">
        <v>49</v>
      </c>
      <c r="O855" t="s">
        <v>431</v>
      </c>
      <c r="P855" t="s">
        <v>306</v>
      </c>
      <c r="Q855" t="s">
        <v>432</v>
      </c>
      <c r="R855" t="s">
        <v>408</v>
      </c>
      <c r="S855" t="s">
        <v>433</v>
      </c>
      <c r="T855" t="s">
        <v>39</v>
      </c>
      <c r="U855" t="s">
        <v>40</v>
      </c>
      <c r="V855" t="s">
        <v>41</v>
      </c>
    </row>
    <row r="856" spans="1:22" x14ac:dyDescent="0.3">
      <c r="A856" s="49">
        <v>45517</v>
      </c>
      <c r="B856" t="s">
        <v>22</v>
      </c>
      <c r="C856" t="s">
        <v>23</v>
      </c>
      <c r="D856" t="s">
        <v>24</v>
      </c>
      <c r="E856" t="s">
        <v>434</v>
      </c>
      <c r="F856" t="s">
        <v>435</v>
      </c>
      <c r="G856" t="s">
        <v>436</v>
      </c>
      <c r="H856" t="s">
        <v>28</v>
      </c>
      <c r="I856" t="s">
        <v>437</v>
      </c>
      <c r="J856" t="s">
        <v>63</v>
      </c>
      <c r="K856" t="s">
        <v>211</v>
      </c>
      <c r="L856" t="s">
        <v>32</v>
      </c>
      <c r="M856">
        <v>100</v>
      </c>
      <c r="N856" t="s">
        <v>49</v>
      </c>
      <c r="O856" t="s">
        <v>438</v>
      </c>
      <c r="P856" t="s">
        <v>85</v>
      </c>
      <c r="Q856" t="s">
        <v>439</v>
      </c>
      <c r="R856" t="s">
        <v>37</v>
      </c>
      <c r="S856" t="s">
        <v>440</v>
      </c>
      <c r="T856" t="s">
        <v>55</v>
      </c>
      <c r="U856" t="s">
        <v>56</v>
      </c>
      <c r="V856" t="s">
        <v>56</v>
      </c>
    </row>
    <row r="857" spans="1:22" x14ac:dyDescent="0.3">
      <c r="A857" s="49">
        <v>45517</v>
      </c>
      <c r="B857" t="s">
        <v>22</v>
      </c>
      <c r="C857" t="s">
        <v>23</v>
      </c>
      <c r="D857" t="s">
        <v>24</v>
      </c>
      <c r="E857" t="s">
        <v>441</v>
      </c>
      <c r="F857" t="s">
        <v>442</v>
      </c>
      <c r="G857" t="s">
        <v>443</v>
      </c>
      <c r="H857" t="s">
        <v>28</v>
      </c>
      <c r="I857" t="s">
        <v>444</v>
      </c>
      <c r="J857" t="s">
        <v>63</v>
      </c>
      <c r="K857" t="s">
        <v>445</v>
      </c>
      <c r="L857" t="s">
        <v>32</v>
      </c>
      <c r="M857">
        <v>100</v>
      </c>
      <c r="N857" t="s">
        <v>49</v>
      </c>
      <c r="O857" t="s">
        <v>446</v>
      </c>
      <c r="P857" t="s">
        <v>170</v>
      </c>
      <c r="Q857" t="s">
        <v>447</v>
      </c>
      <c r="R857" t="s">
        <v>37</v>
      </c>
      <c r="S857" t="s">
        <v>448</v>
      </c>
      <c r="T857" t="s">
        <v>55</v>
      </c>
      <c r="U857" t="s">
        <v>56</v>
      </c>
      <c r="V857" t="s">
        <v>56</v>
      </c>
    </row>
    <row r="858" spans="1:22" x14ac:dyDescent="0.3">
      <c r="A858" s="49">
        <v>45517</v>
      </c>
      <c r="B858" t="s">
        <v>22</v>
      </c>
      <c r="C858" t="s">
        <v>23</v>
      </c>
      <c r="D858" t="s">
        <v>24</v>
      </c>
      <c r="E858" t="s">
        <v>449</v>
      </c>
      <c r="F858" t="s">
        <v>450</v>
      </c>
      <c r="G858" t="s">
        <v>451</v>
      </c>
      <c r="H858" t="s">
        <v>89</v>
      </c>
      <c r="J858" t="s">
        <v>30</v>
      </c>
      <c r="K858" t="s">
        <v>452</v>
      </c>
      <c r="L858" t="s">
        <v>453</v>
      </c>
      <c r="M858">
        <v>100</v>
      </c>
      <c r="N858" t="s">
        <v>49</v>
      </c>
      <c r="O858" t="s">
        <v>454</v>
      </c>
      <c r="P858" t="s">
        <v>205</v>
      </c>
      <c r="Q858" t="s">
        <v>455</v>
      </c>
      <c r="R858" t="s">
        <v>53</v>
      </c>
      <c r="S858" t="s">
        <v>456</v>
      </c>
      <c r="T858" t="s">
        <v>55</v>
      </c>
      <c r="U858" t="s">
        <v>56</v>
      </c>
      <c r="V858" t="s">
        <v>56</v>
      </c>
    </row>
    <row r="859" spans="1:22" x14ac:dyDescent="0.3">
      <c r="A859" s="49">
        <v>45371</v>
      </c>
      <c r="B859" t="s">
        <v>645</v>
      </c>
      <c r="D859" t="s">
        <v>24</v>
      </c>
      <c r="E859" t="s">
        <v>3104</v>
      </c>
      <c r="G859" t="s">
        <v>4962</v>
      </c>
      <c r="H859" t="s">
        <v>28</v>
      </c>
      <c r="I859" t="s">
        <v>5391</v>
      </c>
      <c r="J859" t="s">
        <v>46</v>
      </c>
      <c r="K859" t="s">
        <v>422</v>
      </c>
      <c r="M859">
        <v>100</v>
      </c>
      <c r="N859" t="s">
        <v>49</v>
      </c>
      <c r="O859" t="s">
        <v>3273</v>
      </c>
      <c r="P859" t="s">
        <v>344</v>
      </c>
      <c r="Q859" t="s">
        <v>3248</v>
      </c>
      <c r="R859" t="s">
        <v>3246</v>
      </c>
      <c r="S859" t="s">
        <v>6060</v>
      </c>
      <c r="T859">
        <v>4</v>
      </c>
      <c r="U859" t="s">
        <v>56</v>
      </c>
      <c r="V859" t="s">
        <v>56</v>
      </c>
    </row>
    <row r="860" spans="1:22" x14ac:dyDescent="0.3">
      <c r="A860" s="49">
        <v>45371</v>
      </c>
      <c r="B860" t="s">
        <v>606</v>
      </c>
      <c r="D860" t="s">
        <v>24</v>
      </c>
      <c r="E860" t="s">
        <v>3105</v>
      </c>
      <c r="G860" t="s">
        <v>4963</v>
      </c>
      <c r="H860" t="s">
        <v>28</v>
      </c>
      <c r="I860" t="s">
        <v>5392</v>
      </c>
      <c r="J860" t="s">
        <v>63</v>
      </c>
      <c r="K860" t="s">
        <v>197</v>
      </c>
      <c r="M860">
        <v>0</v>
      </c>
      <c r="N860" t="s">
        <v>74</v>
      </c>
      <c r="O860" t="s">
        <v>3274</v>
      </c>
      <c r="P860" t="s">
        <v>4827</v>
      </c>
      <c r="Q860" t="s">
        <v>1399</v>
      </c>
      <c r="R860" t="s">
        <v>3246</v>
      </c>
      <c r="S860" t="s">
        <v>6061</v>
      </c>
      <c r="T860">
        <v>6</v>
      </c>
      <c r="U860" t="s">
        <v>40</v>
      </c>
      <c r="V860" t="s">
        <v>41</v>
      </c>
    </row>
    <row r="861" spans="1:22" x14ac:dyDescent="0.3">
      <c r="A861" s="49">
        <v>45371</v>
      </c>
      <c r="B861" t="s">
        <v>645</v>
      </c>
      <c r="D861" t="s">
        <v>24</v>
      </c>
      <c r="E861" t="s">
        <v>3105</v>
      </c>
      <c r="G861" t="s">
        <v>4963</v>
      </c>
      <c r="H861" t="s">
        <v>28</v>
      </c>
      <c r="I861" t="s">
        <v>5392</v>
      </c>
      <c r="J861" t="s">
        <v>63</v>
      </c>
      <c r="K861" t="s">
        <v>197</v>
      </c>
      <c r="M861">
        <v>86</v>
      </c>
      <c r="N861" t="s">
        <v>33</v>
      </c>
      <c r="O861" t="s">
        <v>3275</v>
      </c>
      <c r="P861" t="s">
        <v>381</v>
      </c>
      <c r="Q861" t="s">
        <v>1399</v>
      </c>
      <c r="R861" t="s">
        <v>3246</v>
      </c>
      <c r="S861" t="s">
        <v>6061</v>
      </c>
      <c r="T861">
        <v>6</v>
      </c>
      <c r="U861" t="s">
        <v>40</v>
      </c>
      <c r="V861" t="s">
        <v>41</v>
      </c>
    </row>
    <row r="862" spans="1:22" x14ac:dyDescent="0.3">
      <c r="A862" s="49">
        <v>45371</v>
      </c>
      <c r="B862" t="s">
        <v>645</v>
      </c>
      <c r="D862" t="s">
        <v>24</v>
      </c>
      <c r="E862" t="s">
        <v>2799</v>
      </c>
      <c r="G862" t="s">
        <v>4964</v>
      </c>
      <c r="H862" t="s">
        <v>89</v>
      </c>
      <c r="J862" t="s">
        <v>63</v>
      </c>
      <c r="K862" t="s">
        <v>64</v>
      </c>
      <c r="M862">
        <v>2.5</v>
      </c>
      <c r="N862" t="s">
        <v>49</v>
      </c>
      <c r="O862" t="s">
        <v>3276</v>
      </c>
      <c r="P862" t="s">
        <v>58</v>
      </c>
      <c r="Q862" t="s">
        <v>1721</v>
      </c>
      <c r="R862" t="s">
        <v>3246</v>
      </c>
      <c r="S862" t="s">
        <v>6062</v>
      </c>
      <c r="T862">
        <v>4</v>
      </c>
      <c r="U862" t="s">
        <v>56</v>
      </c>
      <c r="V862" t="s">
        <v>56</v>
      </c>
    </row>
    <row r="863" spans="1:22" x14ac:dyDescent="0.3">
      <c r="A863" s="49">
        <v>45371</v>
      </c>
      <c r="B863" t="s">
        <v>645</v>
      </c>
      <c r="D863" t="s">
        <v>24</v>
      </c>
      <c r="E863" t="s">
        <v>2799</v>
      </c>
      <c r="G863" t="s">
        <v>4965</v>
      </c>
      <c r="H863" t="s">
        <v>89</v>
      </c>
      <c r="J863" t="s">
        <v>63</v>
      </c>
      <c r="K863" t="s">
        <v>197</v>
      </c>
      <c r="M863">
        <v>100</v>
      </c>
      <c r="N863" t="s">
        <v>33</v>
      </c>
      <c r="O863" t="s">
        <v>3277</v>
      </c>
      <c r="P863" t="s">
        <v>1701</v>
      </c>
      <c r="Q863" t="s">
        <v>889</v>
      </c>
      <c r="R863" t="s">
        <v>3246</v>
      </c>
      <c r="S863" t="s">
        <v>6063</v>
      </c>
      <c r="T863">
        <v>6</v>
      </c>
      <c r="U863" t="s">
        <v>40</v>
      </c>
      <c r="V863" t="s">
        <v>41</v>
      </c>
    </row>
    <row r="864" spans="1:22" x14ac:dyDescent="0.3">
      <c r="A864" s="49">
        <v>45371</v>
      </c>
      <c r="B864" t="s">
        <v>645</v>
      </c>
      <c r="D864" t="s">
        <v>24</v>
      </c>
      <c r="E864" t="s">
        <v>3106</v>
      </c>
      <c r="G864" t="s">
        <v>4966</v>
      </c>
      <c r="H864" t="s">
        <v>28</v>
      </c>
      <c r="I864" t="s">
        <v>5393</v>
      </c>
      <c r="J864" t="s">
        <v>63</v>
      </c>
      <c r="K864" t="s">
        <v>64</v>
      </c>
      <c r="M864">
        <v>100</v>
      </c>
      <c r="N864" t="s">
        <v>33</v>
      </c>
      <c r="O864" t="s">
        <v>3278</v>
      </c>
      <c r="P864" t="s">
        <v>381</v>
      </c>
      <c r="Q864" t="s">
        <v>676</v>
      </c>
      <c r="R864" t="s">
        <v>3246</v>
      </c>
      <c r="S864" t="s">
        <v>6064</v>
      </c>
      <c r="T864">
        <v>6</v>
      </c>
      <c r="U864" t="s">
        <v>40</v>
      </c>
      <c r="V864" t="s">
        <v>41</v>
      </c>
    </row>
    <row r="865" spans="1:22" x14ac:dyDescent="0.3">
      <c r="A865" s="49">
        <v>45371</v>
      </c>
      <c r="B865" t="s">
        <v>606</v>
      </c>
      <c r="D865" t="s">
        <v>24</v>
      </c>
      <c r="E865" t="s">
        <v>3107</v>
      </c>
      <c r="G865" t="s">
        <v>4967</v>
      </c>
      <c r="H865" t="s">
        <v>28</v>
      </c>
      <c r="I865" t="s">
        <v>5394</v>
      </c>
      <c r="J865" t="s">
        <v>46</v>
      </c>
      <c r="K865" t="s">
        <v>422</v>
      </c>
      <c r="M865">
        <v>100</v>
      </c>
      <c r="N865" t="s">
        <v>33</v>
      </c>
      <c r="O865" t="s">
        <v>3279</v>
      </c>
      <c r="P865" t="s">
        <v>4828</v>
      </c>
      <c r="Q865" t="s">
        <v>3249</v>
      </c>
      <c r="R865" t="s">
        <v>3247</v>
      </c>
      <c r="S865" t="s">
        <v>6065</v>
      </c>
      <c r="T865">
        <v>5</v>
      </c>
      <c r="U865" t="s">
        <v>40</v>
      </c>
      <c r="V865" t="s">
        <v>41</v>
      </c>
    </row>
    <row r="866" spans="1:22" x14ac:dyDescent="0.3">
      <c r="A866" s="49">
        <v>45371</v>
      </c>
      <c r="B866" t="s">
        <v>645</v>
      </c>
      <c r="D866" t="s">
        <v>24</v>
      </c>
      <c r="E866" t="s">
        <v>3107</v>
      </c>
      <c r="G866" t="s">
        <v>4968</v>
      </c>
      <c r="H866" t="s">
        <v>28</v>
      </c>
      <c r="I866" t="s">
        <v>5395</v>
      </c>
      <c r="J866" t="s">
        <v>63</v>
      </c>
      <c r="K866" t="s">
        <v>64</v>
      </c>
      <c r="M866">
        <v>100</v>
      </c>
      <c r="N866" t="s">
        <v>33</v>
      </c>
      <c r="O866" t="s">
        <v>3280</v>
      </c>
      <c r="P866" t="s">
        <v>4829</v>
      </c>
      <c r="Q866" t="s">
        <v>3077</v>
      </c>
      <c r="R866" t="s">
        <v>3246</v>
      </c>
      <c r="S866" t="s">
        <v>6066</v>
      </c>
      <c r="T866">
        <v>6</v>
      </c>
      <c r="U866" t="s">
        <v>40</v>
      </c>
      <c r="V866" t="s">
        <v>41</v>
      </c>
    </row>
    <row r="867" spans="1:22" x14ac:dyDescent="0.3">
      <c r="A867" s="49">
        <v>45371</v>
      </c>
      <c r="B867" t="s">
        <v>645</v>
      </c>
      <c r="D867" t="s">
        <v>24</v>
      </c>
      <c r="E867" t="s">
        <v>3107</v>
      </c>
      <c r="G867" t="s">
        <v>4968</v>
      </c>
      <c r="H867" t="s">
        <v>28</v>
      </c>
      <c r="I867" t="s">
        <v>5395</v>
      </c>
      <c r="J867" t="s">
        <v>63</v>
      </c>
      <c r="K867" t="s">
        <v>64</v>
      </c>
      <c r="M867">
        <v>100</v>
      </c>
      <c r="N867" t="s">
        <v>33</v>
      </c>
      <c r="O867" t="s">
        <v>3281</v>
      </c>
      <c r="P867" t="s">
        <v>416</v>
      </c>
      <c r="Q867" t="s">
        <v>3077</v>
      </c>
      <c r="R867" t="s">
        <v>3246</v>
      </c>
      <c r="S867" t="s">
        <v>6066</v>
      </c>
      <c r="T867">
        <v>6</v>
      </c>
      <c r="U867" t="s">
        <v>40</v>
      </c>
      <c r="V867" t="s">
        <v>41</v>
      </c>
    </row>
    <row r="868" spans="1:22" x14ac:dyDescent="0.3">
      <c r="A868" s="49">
        <v>45371</v>
      </c>
      <c r="B868" t="s">
        <v>645</v>
      </c>
      <c r="D868" t="s">
        <v>24</v>
      </c>
      <c r="E868" t="s">
        <v>3108</v>
      </c>
      <c r="G868" t="s">
        <v>984</v>
      </c>
      <c r="H868" t="s">
        <v>28</v>
      </c>
      <c r="I868" t="s">
        <v>5396</v>
      </c>
      <c r="J868" t="s">
        <v>63</v>
      </c>
      <c r="K868" t="s">
        <v>64</v>
      </c>
      <c r="M868">
        <v>100</v>
      </c>
      <c r="N868" t="s">
        <v>33</v>
      </c>
      <c r="O868" t="s">
        <v>3282</v>
      </c>
      <c r="P868" t="s">
        <v>829</v>
      </c>
      <c r="Q868" t="s">
        <v>3250</v>
      </c>
      <c r="R868" t="s">
        <v>3247</v>
      </c>
      <c r="S868" t="s">
        <v>6067</v>
      </c>
      <c r="T868">
        <v>4</v>
      </c>
      <c r="U868" t="s">
        <v>56</v>
      </c>
      <c r="V868" t="s">
        <v>56</v>
      </c>
    </row>
    <row r="869" spans="1:22" x14ac:dyDescent="0.3">
      <c r="A869" s="49">
        <v>45371</v>
      </c>
      <c r="B869" t="s">
        <v>645</v>
      </c>
      <c r="D869" t="s">
        <v>24</v>
      </c>
      <c r="E869" t="s">
        <v>3108</v>
      </c>
      <c r="G869" t="s">
        <v>4969</v>
      </c>
      <c r="H869" t="s">
        <v>28</v>
      </c>
      <c r="I869" t="s">
        <v>5397</v>
      </c>
      <c r="J869" t="s">
        <v>63</v>
      </c>
      <c r="K869" t="s">
        <v>64</v>
      </c>
      <c r="M869">
        <v>100</v>
      </c>
      <c r="N869" t="s">
        <v>33</v>
      </c>
      <c r="O869" t="s">
        <v>3283</v>
      </c>
      <c r="P869" t="s">
        <v>4830</v>
      </c>
      <c r="Q869" t="s">
        <v>3251</v>
      </c>
      <c r="R869" t="s">
        <v>3246</v>
      </c>
      <c r="S869" t="s">
        <v>6068</v>
      </c>
      <c r="T869">
        <v>6</v>
      </c>
      <c r="U869" t="s">
        <v>40</v>
      </c>
      <c r="V869" t="s">
        <v>41</v>
      </c>
    </row>
    <row r="870" spans="1:22" x14ac:dyDescent="0.3">
      <c r="A870" s="49">
        <v>45371</v>
      </c>
      <c r="B870" t="s">
        <v>606</v>
      </c>
      <c r="D870" t="s">
        <v>173</v>
      </c>
      <c r="E870" t="s">
        <v>3109</v>
      </c>
      <c r="G870" t="s">
        <v>4970</v>
      </c>
      <c r="H870" t="s">
        <v>28</v>
      </c>
      <c r="I870" t="s">
        <v>5398</v>
      </c>
      <c r="J870" t="s">
        <v>30</v>
      </c>
      <c r="K870" t="s">
        <v>264</v>
      </c>
      <c r="M870">
        <v>30</v>
      </c>
      <c r="N870" t="s">
        <v>49</v>
      </c>
      <c r="O870" t="s">
        <v>3284</v>
      </c>
      <c r="P870" t="s">
        <v>1586</v>
      </c>
      <c r="Q870" t="s">
        <v>3252</v>
      </c>
      <c r="R870" t="s">
        <v>3246</v>
      </c>
      <c r="S870" t="s">
        <v>6069</v>
      </c>
      <c r="T870">
        <v>6</v>
      </c>
      <c r="U870" t="s">
        <v>40</v>
      </c>
      <c r="V870" t="s">
        <v>41</v>
      </c>
    </row>
    <row r="871" spans="1:22" x14ac:dyDescent="0.3">
      <c r="A871" s="49">
        <v>45371</v>
      </c>
      <c r="B871" t="s">
        <v>606</v>
      </c>
      <c r="D871" t="s">
        <v>24</v>
      </c>
      <c r="E871" t="s">
        <v>3110</v>
      </c>
      <c r="G871" t="s">
        <v>4971</v>
      </c>
      <c r="H871" t="s">
        <v>28</v>
      </c>
      <c r="I871" t="s">
        <v>5399</v>
      </c>
      <c r="J871" t="s">
        <v>63</v>
      </c>
      <c r="K871" t="s">
        <v>64</v>
      </c>
      <c r="M871">
        <v>60</v>
      </c>
      <c r="N871" t="s">
        <v>49</v>
      </c>
      <c r="O871" t="s">
        <v>3285</v>
      </c>
      <c r="P871" t="s">
        <v>314</v>
      </c>
      <c r="Q871" t="s">
        <v>491</v>
      </c>
      <c r="R871" t="s">
        <v>3246</v>
      </c>
      <c r="S871" t="s">
        <v>6070</v>
      </c>
      <c r="T871">
        <v>6</v>
      </c>
      <c r="U871" t="s">
        <v>40</v>
      </c>
      <c r="V871" t="s">
        <v>41</v>
      </c>
    </row>
    <row r="872" spans="1:22" x14ac:dyDescent="0.3">
      <c r="A872" s="49">
        <v>45371</v>
      </c>
      <c r="B872" t="s">
        <v>606</v>
      </c>
      <c r="D872" t="s">
        <v>24</v>
      </c>
      <c r="E872" t="s">
        <v>3111</v>
      </c>
      <c r="G872" t="s">
        <v>4972</v>
      </c>
      <c r="H872" t="s">
        <v>28</v>
      </c>
      <c r="I872" t="s">
        <v>5400</v>
      </c>
      <c r="J872" t="s">
        <v>63</v>
      </c>
      <c r="K872" t="s">
        <v>4922</v>
      </c>
      <c r="M872">
        <v>8</v>
      </c>
      <c r="N872" t="s">
        <v>49</v>
      </c>
      <c r="O872" t="s">
        <v>3286</v>
      </c>
      <c r="P872" t="s">
        <v>1727</v>
      </c>
      <c r="Q872" t="s">
        <v>889</v>
      </c>
      <c r="R872" t="s">
        <v>3246</v>
      </c>
      <c r="S872" t="s">
        <v>6071</v>
      </c>
      <c r="T872">
        <v>4</v>
      </c>
      <c r="U872" t="s">
        <v>56</v>
      </c>
      <c r="V872" t="s">
        <v>56</v>
      </c>
    </row>
    <row r="873" spans="1:22" x14ac:dyDescent="0.3">
      <c r="A873" s="49">
        <v>45371</v>
      </c>
      <c r="B873" t="s">
        <v>606</v>
      </c>
      <c r="D873" t="s">
        <v>24</v>
      </c>
      <c r="E873" t="s">
        <v>3112</v>
      </c>
      <c r="G873" t="s">
        <v>4973</v>
      </c>
      <c r="H873" t="s">
        <v>28</v>
      </c>
      <c r="J873" t="s">
        <v>63</v>
      </c>
      <c r="K873" t="s">
        <v>64</v>
      </c>
      <c r="M873">
        <v>100</v>
      </c>
      <c r="N873" t="s">
        <v>49</v>
      </c>
      <c r="O873" t="s">
        <v>3287</v>
      </c>
      <c r="P873" t="s">
        <v>358</v>
      </c>
      <c r="Q873" t="s">
        <v>3253</v>
      </c>
      <c r="R873" t="s">
        <v>3246</v>
      </c>
      <c r="S873" t="s">
        <v>6072</v>
      </c>
      <c r="T873">
        <v>4</v>
      </c>
      <c r="U873" t="s">
        <v>56</v>
      </c>
      <c r="V873" t="s">
        <v>56</v>
      </c>
    </row>
    <row r="874" spans="1:22" x14ac:dyDescent="0.3">
      <c r="A874" s="49">
        <v>45371</v>
      </c>
      <c r="B874" t="s">
        <v>645</v>
      </c>
      <c r="D874" t="s">
        <v>24</v>
      </c>
      <c r="E874" t="s">
        <v>3113</v>
      </c>
      <c r="G874" t="s">
        <v>4974</v>
      </c>
      <c r="H874" t="s">
        <v>28</v>
      </c>
      <c r="I874" t="s">
        <v>5401</v>
      </c>
      <c r="J874" t="s">
        <v>1712</v>
      </c>
      <c r="K874" t="s">
        <v>481</v>
      </c>
      <c r="M874">
        <v>100</v>
      </c>
      <c r="N874" t="s">
        <v>33</v>
      </c>
      <c r="O874" t="s">
        <v>3288</v>
      </c>
      <c r="P874" t="s">
        <v>358</v>
      </c>
      <c r="Q874" t="s">
        <v>643</v>
      </c>
      <c r="R874" t="s">
        <v>3246</v>
      </c>
      <c r="S874" t="s">
        <v>6073</v>
      </c>
      <c r="T874">
        <v>4</v>
      </c>
      <c r="U874" t="s">
        <v>56</v>
      </c>
      <c r="V874" t="s">
        <v>56</v>
      </c>
    </row>
    <row r="875" spans="1:22" x14ac:dyDescent="0.3">
      <c r="A875" s="49">
        <v>45371</v>
      </c>
      <c r="B875" t="s">
        <v>606</v>
      </c>
      <c r="D875" t="s">
        <v>24</v>
      </c>
      <c r="E875" t="s">
        <v>3114</v>
      </c>
      <c r="G875" t="s">
        <v>4975</v>
      </c>
      <c r="H875" t="s">
        <v>28</v>
      </c>
      <c r="I875" t="s">
        <v>5402</v>
      </c>
      <c r="J875" t="s">
        <v>30</v>
      </c>
      <c r="K875" t="s">
        <v>264</v>
      </c>
      <c r="M875">
        <v>0</v>
      </c>
      <c r="N875" t="s">
        <v>74</v>
      </c>
      <c r="O875" t="s">
        <v>3289</v>
      </c>
      <c r="P875" t="s">
        <v>1644</v>
      </c>
      <c r="Q875" t="s">
        <v>3254</v>
      </c>
      <c r="R875" t="s">
        <v>3246</v>
      </c>
      <c r="S875" t="s">
        <v>6074</v>
      </c>
      <c r="T875">
        <v>6</v>
      </c>
      <c r="U875" t="s">
        <v>40</v>
      </c>
      <c r="V875" t="s">
        <v>41</v>
      </c>
    </row>
    <row r="876" spans="1:22" x14ac:dyDescent="0.3">
      <c r="A876" s="49">
        <v>45371</v>
      </c>
      <c r="B876" t="s">
        <v>645</v>
      </c>
      <c r="D876" t="s">
        <v>24</v>
      </c>
      <c r="E876" t="s">
        <v>3115</v>
      </c>
      <c r="G876" t="s">
        <v>4976</v>
      </c>
      <c r="H876" t="s">
        <v>89</v>
      </c>
      <c r="J876" t="s">
        <v>63</v>
      </c>
      <c r="K876" t="s">
        <v>64</v>
      </c>
      <c r="M876">
        <v>73</v>
      </c>
      <c r="N876" t="s">
        <v>33</v>
      </c>
      <c r="O876" t="s">
        <v>3290</v>
      </c>
      <c r="P876" t="s">
        <v>358</v>
      </c>
      <c r="Q876" t="s">
        <v>1698</v>
      </c>
      <c r="R876" t="s">
        <v>3246</v>
      </c>
      <c r="S876" t="s">
        <v>6075</v>
      </c>
      <c r="T876">
        <v>4</v>
      </c>
      <c r="U876" t="s">
        <v>56</v>
      </c>
      <c r="V876" t="s">
        <v>56</v>
      </c>
    </row>
    <row r="877" spans="1:22" x14ac:dyDescent="0.3">
      <c r="A877" s="49">
        <v>45371</v>
      </c>
      <c r="B877" t="s">
        <v>606</v>
      </c>
      <c r="D877" t="s">
        <v>24</v>
      </c>
      <c r="E877" t="s">
        <v>3116</v>
      </c>
      <c r="G877" t="s">
        <v>4977</v>
      </c>
      <c r="H877" t="s">
        <v>28</v>
      </c>
      <c r="I877" t="s">
        <v>5403</v>
      </c>
      <c r="J877" t="s">
        <v>63</v>
      </c>
      <c r="K877" t="s">
        <v>64</v>
      </c>
      <c r="M877">
        <v>100</v>
      </c>
      <c r="N877" t="s">
        <v>33</v>
      </c>
      <c r="O877" t="s">
        <v>3291</v>
      </c>
      <c r="P877" t="s">
        <v>1878</v>
      </c>
      <c r="Q877" t="s">
        <v>3255</v>
      </c>
      <c r="R877" t="s">
        <v>3246</v>
      </c>
      <c r="S877" t="s">
        <v>6076</v>
      </c>
      <c r="T877">
        <v>4</v>
      </c>
      <c r="U877" t="s">
        <v>56</v>
      </c>
      <c r="V877" t="s">
        <v>56</v>
      </c>
    </row>
    <row r="878" spans="1:22" x14ac:dyDescent="0.3">
      <c r="A878" s="49">
        <v>45371</v>
      </c>
      <c r="B878" t="s">
        <v>606</v>
      </c>
      <c r="D878" t="s">
        <v>24</v>
      </c>
      <c r="E878" t="s">
        <v>3117</v>
      </c>
      <c r="G878" t="s">
        <v>4978</v>
      </c>
      <c r="H878" t="s">
        <v>28</v>
      </c>
      <c r="I878" t="s">
        <v>5404</v>
      </c>
      <c r="J878" t="s">
        <v>30</v>
      </c>
      <c r="K878" t="s">
        <v>264</v>
      </c>
      <c r="M878">
        <v>100</v>
      </c>
      <c r="N878" t="s">
        <v>33</v>
      </c>
      <c r="O878" t="s">
        <v>3292</v>
      </c>
      <c r="P878" t="s">
        <v>4831</v>
      </c>
      <c r="Q878" t="s">
        <v>3256</v>
      </c>
      <c r="R878" t="s">
        <v>3246</v>
      </c>
      <c r="S878" t="s">
        <v>6077</v>
      </c>
      <c r="T878">
        <v>6</v>
      </c>
      <c r="U878" t="s">
        <v>40</v>
      </c>
      <c r="V878" t="s">
        <v>41</v>
      </c>
    </row>
    <row r="879" spans="1:22" x14ac:dyDescent="0.3">
      <c r="A879" s="49">
        <v>45371</v>
      </c>
      <c r="B879" t="s">
        <v>606</v>
      </c>
      <c r="D879" t="s">
        <v>24</v>
      </c>
      <c r="E879" t="s">
        <v>3118</v>
      </c>
      <c r="G879" t="s">
        <v>4979</v>
      </c>
      <c r="H879" t="s">
        <v>89</v>
      </c>
      <c r="J879" t="s">
        <v>63</v>
      </c>
      <c r="K879" t="s">
        <v>197</v>
      </c>
      <c r="M879">
        <v>91</v>
      </c>
      <c r="N879" t="s">
        <v>49</v>
      </c>
      <c r="O879" t="s">
        <v>3293</v>
      </c>
      <c r="P879" t="s">
        <v>1701</v>
      </c>
      <c r="Q879" t="s">
        <v>2620</v>
      </c>
      <c r="R879" t="s">
        <v>3246</v>
      </c>
      <c r="S879" t="s">
        <v>6078</v>
      </c>
      <c r="T879">
        <v>4</v>
      </c>
      <c r="U879" t="s">
        <v>56</v>
      </c>
      <c r="V879" t="s">
        <v>56</v>
      </c>
    </row>
    <row r="880" spans="1:22" x14ac:dyDescent="0.3">
      <c r="A880" s="49">
        <v>45371</v>
      </c>
      <c r="B880" t="s">
        <v>606</v>
      </c>
      <c r="D880" t="s">
        <v>24</v>
      </c>
      <c r="E880" t="s">
        <v>3118</v>
      </c>
      <c r="G880" t="s">
        <v>4979</v>
      </c>
      <c r="H880" t="s">
        <v>28</v>
      </c>
      <c r="I880" t="s">
        <v>5405</v>
      </c>
      <c r="J880" t="s">
        <v>63</v>
      </c>
      <c r="K880" t="s">
        <v>197</v>
      </c>
      <c r="M880">
        <v>30</v>
      </c>
      <c r="N880" t="s">
        <v>33</v>
      </c>
      <c r="O880" t="s">
        <v>3294</v>
      </c>
      <c r="P880" t="s">
        <v>66</v>
      </c>
      <c r="Q880" t="s">
        <v>759</v>
      </c>
      <c r="R880" t="s">
        <v>3246</v>
      </c>
      <c r="S880" t="s">
        <v>6079</v>
      </c>
      <c r="T880">
        <v>4</v>
      </c>
      <c r="U880" t="s">
        <v>56</v>
      </c>
      <c r="V880" t="s">
        <v>56</v>
      </c>
    </row>
    <row r="881" spans="1:22" x14ac:dyDescent="0.3">
      <c r="A881" s="49">
        <v>45371</v>
      </c>
      <c r="B881" t="s">
        <v>645</v>
      </c>
      <c r="D881" t="s">
        <v>24</v>
      </c>
      <c r="E881" t="s">
        <v>3118</v>
      </c>
      <c r="G881" t="s">
        <v>4980</v>
      </c>
      <c r="H881" t="s">
        <v>89</v>
      </c>
      <c r="J881" t="s">
        <v>63</v>
      </c>
      <c r="K881" t="s">
        <v>64</v>
      </c>
      <c r="M881">
        <v>50</v>
      </c>
      <c r="N881" t="s">
        <v>33</v>
      </c>
      <c r="O881" t="s">
        <v>3295</v>
      </c>
      <c r="P881" t="s">
        <v>416</v>
      </c>
      <c r="Q881" t="s">
        <v>499</v>
      </c>
      <c r="R881" t="s">
        <v>3246</v>
      </c>
      <c r="S881" t="s">
        <v>6080</v>
      </c>
      <c r="T881">
        <v>4</v>
      </c>
      <c r="U881" t="s">
        <v>56</v>
      </c>
      <c r="V881" t="s">
        <v>56</v>
      </c>
    </row>
    <row r="882" spans="1:22" x14ac:dyDescent="0.3">
      <c r="A882" s="49">
        <v>45371</v>
      </c>
      <c r="B882" t="s">
        <v>645</v>
      </c>
      <c r="D882" t="s">
        <v>24</v>
      </c>
      <c r="E882" t="s">
        <v>3118</v>
      </c>
      <c r="G882" t="s">
        <v>4980</v>
      </c>
      <c r="H882" t="s">
        <v>28</v>
      </c>
      <c r="I882" t="s">
        <v>5406</v>
      </c>
      <c r="J882" t="s">
        <v>63</v>
      </c>
      <c r="K882" t="s">
        <v>64</v>
      </c>
      <c r="M882">
        <v>100</v>
      </c>
      <c r="N882" t="s">
        <v>33</v>
      </c>
      <c r="O882" t="s">
        <v>3296</v>
      </c>
      <c r="P882" t="s">
        <v>743</v>
      </c>
      <c r="Q882" t="s">
        <v>551</v>
      </c>
      <c r="R882" t="s">
        <v>3246</v>
      </c>
      <c r="S882" t="s">
        <v>6081</v>
      </c>
      <c r="T882">
        <v>4</v>
      </c>
      <c r="U882" t="s">
        <v>56</v>
      </c>
      <c r="V882" t="s">
        <v>56</v>
      </c>
    </row>
    <row r="883" spans="1:22" x14ac:dyDescent="0.3">
      <c r="A883" s="49">
        <v>45371</v>
      </c>
      <c r="B883" t="s">
        <v>645</v>
      </c>
      <c r="D883" t="s">
        <v>24</v>
      </c>
      <c r="E883" t="s">
        <v>3118</v>
      </c>
      <c r="G883" t="s">
        <v>4981</v>
      </c>
      <c r="H883" t="s">
        <v>28</v>
      </c>
      <c r="I883" t="s">
        <v>5407</v>
      </c>
      <c r="J883" t="s">
        <v>63</v>
      </c>
      <c r="K883" t="s">
        <v>64</v>
      </c>
      <c r="M883">
        <v>100</v>
      </c>
      <c r="N883" t="s">
        <v>33</v>
      </c>
      <c r="O883" t="s">
        <v>3297</v>
      </c>
      <c r="P883" t="s">
        <v>4828</v>
      </c>
      <c r="Q883" t="s">
        <v>551</v>
      </c>
      <c r="R883" t="s">
        <v>3246</v>
      </c>
      <c r="S883" t="s">
        <v>6082</v>
      </c>
      <c r="T883">
        <v>4</v>
      </c>
      <c r="U883" t="s">
        <v>56</v>
      </c>
      <c r="V883" t="s">
        <v>56</v>
      </c>
    </row>
    <row r="884" spans="1:22" x14ac:dyDescent="0.3">
      <c r="A884" s="49">
        <v>45371</v>
      </c>
      <c r="B884" t="s">
        <v>606</v>
      </c>
      <c r="D884" t="s">
        <v>24</v>
      </c>
      <c r="E884" t="s">
        <v>3119</v>
      </c>
      <c r="G884" t="s">
        <v>4982</v>
      </c>
      <c r="H884" t="s">
        <v>28</v>
      </c>
      <c r="I884" t="s">
        <v>5408</v>
      </c>
      <c r="J884" t="s">
        <v>63</v>
      </c>
      <c r="K884" t="s">
        <v>197</v>
      </c>
      <c r="M884">
        <v>100</v>
      </c>
      <c r="N884" t="s">
        <v>74</v>
      </c>
      <c r="O884" t="s">
        <v>3298</v>
      </c>
      <c r="P884" t="s">
        <v>1159</v>
      </c>
      <c r="Q884" t="s">
        <v>3257</v>
      </c>
      <c r="R884" t="s">
        <v>3247</v>
      </c>
      <c r="S884" t="s">
        <v>6083</v>
      </c>
      <c r="T884">
        <v>4</v>
      </c>
      <c r="U884" t="s">
        <v>56</v>
      </c>
      <c r="V884" t="s">
        <v>56</v>
      </c>
    </row>
    <row r="885" spans="1:22" x14ac:dyDescent="0.3">
      <c r="A885" s="49">
        <v>45371</v>
      </c>
      <c r="B885" t="s">
        <v>606</v>
      </c>
      <c r="D885" t="s">
        <v>24</v>
      </c>
      <c r="E885" t="s">
        <v>3120</v>
      </c>
      <c r="G885" t="s">
        <v>4983</v>
      </c>
      <c r="H885" t="s">
        <v>28</v>
      </c>
      <c r="I885" t="s">
        <v>5409</v>
      </c>
      <c r="J885" t="s">
        <v>63</v>
      </c>
      <c r="K885" t="s">
        <v>197</v>
      </c>
      <c r="M885">
        <v>50</v>
      </c>
      <c r="N885" t="s">
        <v>33</v>
      </c>
      <c r="O885" t="s">
        <v>3299</v>
      </c>
      <c r="P885" t="s">
        <v>1727</v>
      </c>
      <c r="Q885" t="s">
        <v>3258</v>
      </c>
      <c r="R885" t="s">
        <v>3246</v>
      </c>
      <c r="S885" t="s">
        <v>6084</v>
      </c>
      <c r="T885">
        <v>4</v>
      </c>
      <c r="U885" t="s">
        <v>56</v>
      </c>
      <c r="V885" t="s">
        <v>56</v>
      </c>
    </row>
    <row r="886" spans="1:22" x14ac:dyDescent="0.3">
      <c r="A886" s="49">
        <v>45371</v>
      </c>
      <c r="B886" t="s">
        <v>606</v>
      </c>
      <c r="D886" t="s">
        <v>24</v>
      </c>
      <c r="E886" t="s">
        <v>3121</v>
      </c>
      <c r="G886" t="s">
        <v>4984</v>
      </c>
      <c r="H886" t="s">
        <v>28</v>
      </c>
      <c r="I886" t="s">
        <v>2670</v>
      </c>
      <c r="J886" t="s">
        <v>63</v>
      </c>
      <c r="K886" t="s">
        <v>64</v>
      </c>
      <c r="M886">
        <v>60</v>
      </c>
      <c r="N886" t="s">
        <v>49</v>
      </c>
      <c r="O886" t="s">
        <v>3300</v>
      </c>
      <c r="P886" t="s">
        <v>358</v>
      </c>
      <c r="Q886" t="s">
        <v>771</v>
      </c>
      <c r="R886" t="s">
        <v>3246</v>
      </c>
      <c r="S886" t="s">
        <v>6085</v>
      </c>
      <c r="T886">
        <v>4</v>
      </c>
      <c r="U886" t="s">
        <v>56</v>
      </c>
      <c r="V886" t="s">
        <v>56</v>
      </c>
    </row>
    <row r="887" spans="1:22" x14ac:dyDescent="0.3">
      <c r="A887" s="49">
        <v>45371</v>
      </c>
      <c r="B887" t="s">
        <v>606</v>
      </c>
      <c r="D887" t="s">
        <v>24</v>
      </c>
      <c r="E887" t="s">
        <v>3121</v>
      </c>
      <c r="G887" t="s">
        <v>364</v>
      </c>
      <c r="H887" t="s">
        <v>89</v>
      </c>
      <c r="J887" t="s">
        <v>63</v>
      </c>
      <c r="K887" t="s">
        <v>197</v>
      </c>
      <c r="M887">
        <v>90</v>
      </c>
      <c r="N887" t="s">
        <v>33</v>
      </c>
      <c r="O887" t="s">
        <v>3301</v>
      </c>
      <c r="P887" t="s">
        <v>668</v>
      </c>
      <c r="Q887" t="s">
        <v>3259</v>
      </c>
      <c r="R887" t="s">
        <v>3246</v>
      </c>
      <c r="S887" t="s">
        <v>6086</v>
      </c>
      <c r="T887">
        <v>4</v>
      </c>
      <c r="U887" t="s">
        <v>56</v>
      </c>
      <c r="V887" t="s">
        <v>56</v>
      </c>
    </row>
    <row r="888" spans="1:22" x14ac:dyDescent="0.3">
      <c r="A888" s="49">
        <v>45371</v>
      </c>
      <c r="B888" t="s">
        <v>606</v>
      </c>
      <c r="D888" t="s">
        <v>24</v>
      </c>
      <c r="E888" t="s">
        <v>3121</v>
      </c>
      <c r="G888" t="s">
        <v>4985</v>
      </c>
      <c r="H888" t="s">
        <v>89</v>
      </c>
      <c r="J888" t="s">
        <v>63</v>
      </c>
      <c r="K888" t="s">
        <v>211</v>
      </c>
      <c r="M888">
        <v>43</v>
      </c>
      <c r="N888" t="s">
        <v>49</v>
      </c>
      <c r="O888" t="s">
        <v>3302</v>
      </c>
      <c r="P888" t="s">
        <v>85</v>
      </c>
      <c r="Q888" t="s">
        <v>3260</v>
      </c>
      <c r="R888" t="s">
        <v>3247</v>
      </c>
      <c r="S888" t="s">
        <v>6087</v>
      </c>
      <c r="T888">
        <v>4</v>
      </c>
      <c r="U888" t="s">
        <v>56</v>
      </c>
      <c r="V888" t="s">
        <v>56</v>
      </c>
    </row>
    <row r="889" spans="1:22" x14ac:dyDescent="0.3">
      <c r="A889" s="49">
        <v>45371</v>
      </c>
      <c r="B889" t="s">
        <v>606</v>
      </c>
      <c r="D889" t="s">
        <v>24</v>
      </c>
      <c r="E889" t="s">
        <v>3121</v>
      </c>
      <c r="G889" t="s">
        <v>4986</v>
      </c>
      <c r="H889" t="s">
        <v>28</v>
      </c>
      <c r="I889" t="s">
        <v>5410</v>
      </c>
      <c r="J889" t="s">
        <v>63</v>
      </c>
      <c r="K889" t="s">
        <v>197</v>
      </c>
      <c r="M889">
        <v>75</v>
      </c>
      <c r="N889" t="s">
        <v>49</v>
      </c>
      <c r="O889" t="s">
        <v>3303</v>
      </c>
      <c r="P889" t="s">
        <v>4832</v>
      </c>
      <c r="Q889" t="s">
        <v>3261</v>
      </c>
      <c r="R889" t="s">
        <v>3247</v>
      </c>
      <c r="S889" t="s">
        <v>6088</v>
      </c>
      <c r="T889">
        <v>4</v>
      </c>
      <c r="U889" t="s">
        <v>56</v>
      </c>
      <c r="V889" t="s">
        <v>56</v>
      </c>
    </row>
    <row r="890" spans="1:22" x14ac:dyDescent="0.3">
      <c r="A890" s="49">
        <v>45371</v>
      </c>
      <c r="B890" t="s">
        <v>606</v>
      </c>
      <c r="D890" t="s">
        <v>24</v>
      </c>
      <c r="E890" t="s">
        <v>3121</v>
      </c>
      <c r="G890" t="s">
        <v>4986</v>
      </c>
      <c r="H890" t="s">
        <v>28</v>
      </c>
      <c r="I890" t="s">
        <v>5411</v>
      </c>
      <c r="J890" t="s">
        <v>63</v>
      </c>
      <c r="K890" t="s">
        <v>4923</v>
      </c>
      <c r="M890">
        <v>100</v>
      </c>
      <c r="N890" t="s">
        <v>33</v>
      </c>
      <c r="O890" t="s">
        <v>3303</v>
      </c>
      <c r="P890" t="s">
        <v>743</v>
      </c>
      <c r="Q890" t="s">
        <v>3261</v>
      </c>
      <c r="R890" t="s">
        <v>3247</v>
      </c>
      <c r="S890" t="s">
        <v>6089</v>
      </c>
      <c r="T890">
        <v>4</v>
      </c>
      <c r="U890" t="s">
        <v>56</v>
      </c>
      <c r="V890" t="s">
        <v>56</v>
      </c>
    </row>
    <row r="891" spans="1:22" x14ac:dyDescent="0.3">
      <c r="A891" s="49">
        <v>45371</v>
      </c>
      <c r="B891" t="s">
        <v>645</v>
      </c>
      <c r="D891" t="s">
        <v>24</v>
      </c>
      <c r="E891" t="s">
        <v>3122</v>
      </c>
      <c r="G891" t="s">
        <v>4987</v>
      </c>
      <c r="H891" t="s">
        <v>28</v>
      </c>
      <c r="I891" t="s">
        <v>5412</v>
      </c>
      <c r="J891" t="s">
        <v>63</v>
      </c>
      <c r="K891" t="s">
        <v>414</v>
      </c>
      <c r="M891">
        <v>60</v>
      </c>
      <c r="N891" t="s">
        <v>33</v>
      </c>
      <c r="O891" t="s">
        <v>3304</v>
      </c>
      <c r="P891" t="s">
        <v>1786</v>
      </c>
      <c r="Q891" t="s">
        <v>3262</v>
      </c>
      <c r="R891" t="s">
        <v>3246</v>
      </c>
      <c r="S891" t="s">
        <v>6090</v>
      </c>
      <c r="T891">
        <v>4</v>
      </c>
      <c r="U891" t="s">
        <v>56</v>
      </c>
      <c r="V891" t="s">
        <v>56</v>
      </c>
    </row>
    <row r="892" spans="1:22" x14ac:dyDescent="0.3">
      <c r="A892" s="49">
        <v>45371</v>
      </c>
      <c r="B892" t="s">
        <v>606</v>
      </c>
      <c r="D892" t="s">
        <v>24</v>
      </c>
      <c r="E892" t="s">
        <v>1364</v>
      </c>
      <c r="G892" t="s">
        <v>4988</v>
      </c>
      <c r="H892" t="s">
        <v>28</v>
      </c>
      <c r="I892" t="s">
        <v>5413</v>
      </c>
      <c r="J892" t="s">
        <v>63</v>
      </c>
      <c r="K892" t="s">
        <v>2018</v>
      </c>
      <c r="M892">
        <v>75</v>
      </c>
      <c r="N892" t="s">
        <v>33</v>
      </c>
      <c r="O892" t="s">
        <v>3305</v>
      </c>
      <c r="P892" t="s">
        <v>287</v>
      </c>
      <c r="Q892" t="s">
        <v>851</v>
      </c>
      <c r="R892" t="s">
        <v>3247</v>
      </c>
      <c r="S892" t="s">
        <v>6091</v>
      </c>
      <c r="T892">
        <v>4</v>
      </c>
      <c r="U892" t="s">
        <v>56</v>
      </c>
      <c r="V892" t="s">
        <v>56</v>
      </c>
    </row>
    <row r="893" spans="1:22" x14ac:dyDescent="0.3">
      <c r="A893" s="49">
        <v>45371</v>
      </c>
      <c r="B893" t="s">
        <v>645</v>
      </c>
      <c r="D893" t="s">
        <v>24</v>
      </c>
      <c r="E893" t="s">
        <v>1364</v>
      </c>
      <c r="G893" t="s">
        <v>4989</v>
      </c>
      <c r="H893" t="s">
        <v>28</v>
      </c>
      <c r="I893" t="s">
        <v>5414</v>
      </c>
      <c r="J893" t="s">
        <v>46</v>
      </c>
      <c r="K893" t="s">
        <v>481</v>
      </c>
      <c r="M893">
        <v>100</v>
      </c>
      <c r="N893" t="s">
        <v>33</v>
      </c>
      <c r="O893" t="s">
        <v>3306</v>
      </c>
      <c r="P893" t="s">
        <v>1122</v>
      </c>
      <c r="Q893" t="s">
        <v>3263</v>
      </c>
      <c r="R893" t="s">
        <v>3247</v>
      </c>
      <c r="S893" t="s">
        <v>6092</v>
      </c>
      <c r="T893">
        <v>4</v>
      </c>
      <c r="U893" t="s">
        <v>56</v>
      </c>
      <c r="V893" t="s">
        <v>56</v>
      </c>
    </row>
    <row r="894" spans="1:22" x14ac:dyDescent="0.3">
      <c r="A894" s="49">
        <v>45371</v>
      </c>
      <c r="B894" t="s">
        <v>645</v>
      </c>
      <c r="D894" t="s">
        <v>24</v>
      </c>
      <c r="E894" t="s">
        <v>1364</v>
      </c>
      <c r="G894" t="s">
        <v>4989</v>
      </c>
      <c r="H894" t="s">
        <v>28</v>
      </c>
      <c r="I894" t="s">
        <v>5414</v>
      </c>
      <c r="J894" t="s">
        <v>46</v>
      </c>
      <c r="K894" t="s">
        <v>481</v>
      </c>
      <c r="M894">
        <v>100</v>
      </c>
      <c r="N894" t="s">
        <v>33</v>
      </c>
      <c r="O894" t="s">
        <v>3307</v>
      </c>
      <c r="P894" t="s">
        <v>1054</v>
      </c>
      <c r="Q894" t="s">
        <v>3263</v>
      </c>
      <c r="R894" t="s">
        <v>3247</v>
      </c>
      <c r="S894" t="s">
        <v>6092</v>
      </c>
      <c r="T894">
        <v>4</v>
      </c>
      <c r="U894" t="s">
        <v>56</v>
      </c>
      <c r="V894" t="s">
        <v>56</v>
      </c>
    </row>
    <row r="895" spans="1:22" x14ac:dyDescent="0.3">
      <c r="A895" s="49">
        <v>45371</v>
      </c>
      <c r="B895" t="s">
        <v>645</v>
      </c>
      <c r="D895" t="s">
        <v>24</v>
      </c>
      <c r="E895" t="s">
        <v>1364</v>
      </c>
      <c r="G895" t="s">
        <v>4989</v>
      </c>
      <c r="H895" t="s">
        <v>28</v>
      </c>
      <c r="I895" t="s">
        <v>5414</v>
      </c>
      <c r="J895" t="s">
        <v>46</v>
      </c>
      <c r="K895" t="s">
        <v>481</v>
      </c>
      <c r="M895">
        <v>100</v>
      </c>
      <c r="N895" t="s">
        <v>33</v>
      </c>
      <c r="O895" t="s">
        <v>3308</v>
      </c>
      <c r="P895" t="s">
        <v>1243</v>
      </c>
      <c r="Q895" t="s">
        <v>3263</v>
      </c>
      <c r="R895" t="s">
        <v>3247</v>
      </c>
      <c r="S895" t="s">
        <v>6092</v>
      </c>
      <c r="T895">
        <v>4</v>
      </c>
      <c r="U895" t="s">
        <v>56</v>
      </c>
      <c r="V895" t="s">
        <v>56</v>
      </c>
    </row>
    <row r="896" spans="1:22" x14ac:dyDescent="0.3">
      <c r="A896" s="49">
        <v>45371</v>
      </c>
      <c r="B896" t="s">
        <v>606</v>
      </c>
      <c r="D896" t="s">
        <v>24</v>
      </c>
      <c r="E896" t="s">
        <v>3123</v>
      </c>
      <c r="G896" t="s">
        <v>4990</v>
      </c>
      <c r="H896" t="s">
        <v>89</v>
      </c>
      <c r="J896" t="s">
        <v>63</v>
      </c>
      <c r="K896" t="s">
        <v>64</v>
      </c>
      <c r="M896">
        <v>30</v>
      </c>
      <c r="N896" t="s">
        <v>33</v>
      </c>
      <c r="O896" t="s">
        <v>3309</v>
      </c>
      <c r="P896" t="s">
        <v>358</v>
      </c>
      <c r="Q896" t="s">
        <v>643</v>
      </c>
      <c r="R896" t="s">
        <v>3246</v>
      </c>
      <c r="S896" t="s">
        <v>6093</v>
      </c>
      <c r="T896">
        <v>4</v>
      </c>
      <c r="U896" t="s">
        <v>56</v>
      </c>
      <c r="V896" t="s">
        <v>56</v>
      </c>
    </row>
    <row r="897" spans="1:22" x14ac:dyDescent="0.3">
      <c r="A897" s="49">
        <v>45371</v>
      </c>
      <c r="B897" t="s">
        <v>645</v>
      </c>
      <c r="D897" t="s">
        <v>24</v>
      </c>
      <c r="E897" t="s">
        <v>3124</v>
      </c>
      <c r="G897" t="s">
        <v>864</v>
      </c>
      <c r="H897" t="s">
        <v>28</v>
      </c>
      <c r="I897" t="s">
        <v>865</v>
      </c>
      <c r="J897" t="s">
        <v>63</v>
      </c>
      <c r="K897" t="s">
        <v>4924</v>
      </c>
      <c r="M897">
        <v>75</v>
      </c>
      <c r="N897" t="s">
        <v>49</v>
      </c>
      <c r="O897" t="s">
        <v>3310</v>
      </c>
      <c r="P897" t="s">
        <v>170</v>
      </c>
      <c r="Q897" t="s">
        <v>3264</v>
      </c>
      <c r="R897" t="s">
        <v>3247</v>
      </c>
      <c r="S897" t="s">
        <v>6094</v>
      </c>
      <c r="T897">
        <v>6</v>
      </c>
      <c r="U897" t="s">
        <v>40</v>
      </c>
      <c r="V897" t="s">
        <v>41</v>
      </c>
    </row>
    <row r="898" spans="1:22" x14ac:dyDescent="0.3">
      <c r="A898" s="49">
        <v>45371</v>
      </c>
      <c r="B898" t="s">
        <v>606</v>
      </c>
      <c r="D898" t="s">
        <v>173</v>
      </c>
      <c r="E898" t="s">
        <v>3124</v>
      </c>
      <c r="G898" t="s">
        <v>4991</v>
      </c>
      <c r="H898" t="s">
        <v>28</v>
      </c>
      <c r="I898" t="s">
        <v>5415</v>
      </c>
      <c r="J898" t="s">
        <v>63</v>
      </c>
      <c r="K898" t="s">
        <v>64</v>
      </c>
      <c r="M898">
        <v>60</v>
      </c>
      <c r="N898" t="s">
        <v>49</v>
      </c>
      <c r="O898" t="s">
        <v>3311</v>
      </c>
      <c r="P898" t="s">
        <v>791</v>
      </c>
      <c r="Q898" t="s">
        <v>3265</v>
      </c>
      <c r="R898" t="s">
        <v>3246</v>
      </c>
      <c r="S898" t="s">
        <v>6095</v>
      </c>
      <c r="T898">
        <v>4</v>
      </c>
      <c r="U898" t="s">
        <v>56</v>
      </c>
      <c r="V898" t="s">
        <v>56</v>
      </c>
    </row>
    <row r="899" spans="1:22" x14ac:dyDescent="0.3">
      <c r="A899" s="49">
        <v>45371</v>
      </c>
      <c r="B899" t="s">
        <v>606</v>
      </c>
      <c r="D899" t="s">
        <v>24</v>
      </c>
      <c r="E899" t="s">
        <v>3125</v>
      </c>
      <c r="G899" t="s">
        <v>4992</v>
      </c>
      <c r="H899" t="s">
        <v>89</v>
      </c>
      <c r="J899" t="s">
        <v>63</v>
      </c>
      <c r="K899" t="s">
        <v>64</v>
      </c>
      <c r="M899">
        <v>46.599998474121101</v>
      </c>
      <c r="N899" t="s">
        <v>49</v>
      </c>
      <c r="O899" t="s">
        <v>3312</v>
      </c>
      <c r="P899" t="s">
        <v>566</v>
      </c>
      <c r="Q899" t="s">
        <v>669</v>
      </c>
      <c r="R899" t="s">
        <v>3246</v>
      </c>
      <c r="S899" t="s">
        <v>6096</v>
      </c>
      <c r="T899">
        <v>4</v>
      </c>
      <c r="U899" t="s">
        <v>56</v>
      </c>
      <c r="V899" t="s">
        <v>56</v>
      </c>
    </row>
    <row r="900" spans="1:22" x14ac:dyDescent="0.3">
      <c r="A900" s="49">
        <v>45371</v>
      </c>
      <c r="B900" t="s">
        <v>606</v>
      </c>
      <c r="D900" t="s">
        <v>24</v>
      </c>
      <c r="E900" t="s">
        <v>3126</v>
      </c>
      <c r="G900" t="s">
        <v>4993</v>
      </c>
      <c r="H900" t="s">
        <v>28</v>
      </c>
      <c r="I900" t="s">
        <v>5416</v>
      </c>
      <c r="J900" t="s">
        <v>63</v>
      </c>
      <c r="K900" t="s">
        <v>64</v>
      </c>
      <c r="M900">
        <v>96</v>
      </c>
      <c r="N900" t="s">
        <v>49</v>
      </c>
      <c r="O900" t="s">
        <v>3313</v>
      </c>
      <c r="P900" t="s">
        <v>1697</v>
      </c>
      <c r="Q900" t="s">
        <v>771</v>
      </c>
      <c r="R900" t="s">
        <v>3246</v>
      </c>
      <c r="S900" t="s">
        <v>6097</v>
      </c>
      <c r="T900">
        <v>4</v>
      </c>
      <c r="U900" t="s">
        <v>56</v>
      </c>
      <c r="V900" t="s">
        <v>56</v>
      </c>
    </row>
    <row r="901" spans="1:22" x14ac:dyDescent="0.3">
      <c r="A901" s="49">
        <v>45371</v>
      </c>
      <c r="B901" t="s">
        <v>645</v>
      </c>
      <c r="D901" t="s">
        <v>24</v>
      </c>
      <c r="E901" t="s">
        <v>3126</v>
      </c>
      <c r="G901" t="s">
        <v>4994</v>
      </c>
      <c r="H901" t="s">
        <v>28</v>
      </c>
      <c r="I901" t="s">
        <v>5417</v>
      </c>
      <c r="J901" t="s">
        <v>1712</v>
      </c>
      <c r="K901" t="s">
        <v>481</v>
      </c>
      <c r="M901">
        <v>100</v>
      </c>
      <c r="N901" t="s">
        <v>49</v>
      </c>
      <c r="O901" t="s">
        <v>3314</v>
      </c>
      <c r="P901" t="s">
        <v>483</v>
      </c>
      <c r="Q901" t="s">
        <v>1413</v>
      </c>
      <c r="R901" t="s">
        <v>3246</v>
      </c>
      <c r="S901" t="s">
        <v>6098</v>
      </c>
      <c r="T901">
        <v>2</v>
      </c>
      <c r="U901" t="s">
        <v>1763</v>
      </c>
      <c r="V901" t="s">
        <v>56</v>
      </c>
    </row>
    <row r="902" spans="1:22" x14ac:dyDescent="0.3">
      <c r="A902" s="49">
        <v>45371</v>
      </c>
      <c r="B902" t="s">
        <v>606</v>
      </c>
      <c r="D902" t="s">
        <v>24</v>
      </c>
      <c r="E902" t="s">
        <v>3127</v>
      </c>
      <c r="G902" t="s">
        <v>4995</v>
      </c>
      <c r="H902" t="s">
        <v>28</v>
      </c>
      <c r="I902" t="s">
        <v>5418</v>
      </c>
      <c r="J902" t="s">
        <v>63</v>
      </c>
      <c r="K902" t="s">
        <v>64</v>
      </c>
      <c r="M902">
        <v>100</v>
      </c>
      <c r="N902" t="s">
        <v>49</v>
      </c>
      <c r="O902" t="s">
        <v>3315</v>
      </c>
      <c r="P902" t="s">
        <v>85</v>
      </c>
      <c r="Q902" t="s">
        <v>752</v>
      </c>
      <c r="R902" t="s">
        <v>3246</v>
      </c>
      <c r="S902" t="s">
        <v>6099</v>
      </c>
      <c r="T902">
        <v>4</v>
      </c>
      <c r="U902" t="s">
        <v>56</v>
      </c>
      <c r="V902" t="s">
        <v>56</v>
      </c>
    </row>
    <row r="903" spans="1:22" x14ac:dyDescent="0.3">
      <c r="A903" s="49">
        <v>45371</v>
      </c>
      <c r="B903" t="s">
        <v>606</v>
      </c>
      <c r="D903" t="s">
        <v>24</v>
      </c>
      <c r="E903" t="s">
        <v>3128</v>
      </c>
      <c r="G903" t="s">
        <v>4996</v>
      </c>
      <c r="H903" t="s">
        <v>28</v>
      </c>
      <c r="I903" t="s">
        <v>5419</v>
      </c>
      <c r="J903" t="s">
        <v>63</v>
      </c>
      <c r="K903" t="s">
        <v>414</v>
      </c>
      <c r="M903">
        <v>0</v>
      </c>
      <c r="N903" t="s">
        <v>33</v>
      </c>
      <c r="O903" t="s">
        <v>3316</v>
      </c>
      <c r="P903" t="s">
        <v>682</v>
      </c>
      <c r="Q903" t="s">
        <v>759</v>
      </c>
      <c r="R903" t="s">
        <v>3246</v>
      </c>
      <c r="S903" t="s">
        <v>6100</v>
      </c>
      <c r="T903">
        <v>6</v>
      </c>
      <c r="U903" t="s">
        <v>40</v>
      </c>
      <c r="V903" t="s">
        <v>41</v>
      </c>
    </row>
    <row r="904" spans="1:22" x14ac:dyDescent="0.3">
      <c r="A904" s="49">
        <v>45371</v>
      </c>
      <c r="B904" t="s">
        <v>606</v>
      </c>
      <c r="D904" t="s">
        <v>24</v>
      </c>
      <c r="E904" t="s">
        <v>3128</v>
      </c>
      <c r="G904" t="s">
        <v>4996</v>
      </c>
      <c r="H904" t="s">
        <v>28</v>
      </c>
      <c r="I904" t="s">
        <v>5419</v>
      </c>
      <c r="J904" t="s">
        <v>63</v>
      </c>
      <c r="K904" t="s">
        <v>414</v>
      </c>
      <c r="M904">
        <v>0</v>
      </c>
      <c r="N904" t="s">
        <v>33</v>
      </c>
      <c r="O904" t="s">
        <v>3316</v>
      </c>
      <c r="P904" t="s">
        <v>682</v>
      </c>
      <c r="Q904" t="s">
        <v>759</v>
      </c>
      <c r="R904" t="s">
        <v>3246</v>
      </c>
      <c r="S904" t="s">
        <v>6100</v>
      </c>
      <c r="T904">
        <v>6</v>
      </c>
      <c r="U904" t="s">
        <v>40</v>
      </c>
      <c r="V904" t="s">
        <v>41</v>
      </c>
    </row>
    <row r="905" spans="1:22" x14ac:dyDescent="0.3">
      <c r="A905" s="49">
        <v>45371</v>
      </c>
      <c r="B905" t="s">
        <v>606</v>
      </c>
      <c r="D905" t="s">
        <v>24</v>
      </c>
      <c r="E905" t="s">
        <v>3129</v>
      </c>
      <c r="G905" t="s">
        <v>4997</v>
      </c>
      <c r="H905" t="s">
        <v>28</v>
      </c>
      <c r="I905" t="s">
        <v>5420</v>
      </c>
      <c r="J905" t="s">
        <v>63</v>
      </c>
      <c r="K905" t="s">
        <v>64</v>
      </c>
      <c r="M905">
        <v>83</v>
      </c>
      <c r="N905" t="s">
        <v>33</v>
      </c>
      <c r="O905" t="s">
        <v>3317</v>
      </c>
      <c r="P905" t="s">
        <v>205</v>
      </c>
      <c r="Q905" t="s">
        <v>499</v>
      </c>
      <c r="R905" t="s">
        <v>3246</v>
      </c>
      <c r="S905" t="s">
        <v>6101</v>
      </c>
      <c r="T905">
        <v>6</v>
      </c>
      <c r="U905" t="s">
        <v>40</v>
      </c>
      <c r="V905" t="s">
        <v>41</v>
      </c>
    </row>
    <row r="906" spans="1:22" x14ac:dyDescent="0.3">
      <c r="A906" s="49">
        <v>45371</v>
      </c>
      <c r="B906" t="s">
        <v>606</v>
      </c>
      <c r="D906" t="s">
        <v>24</v>
      </c>
      <c r="E906" t="s">
        <v>3130</v>
      </c>
      <c r="G906" t="s">
        <v>4998</v>
      </c>
      <c r="H906" t="s">
        <v>28</v>
      </c>
      <c r="I906" t="s">
        <v>5421</v>
      </c>
      <c r="J906" t="s">
        <v>63</v>
      </c>
      <c r="K906" t="s">
        <v>64</v>
      </c>
      <c r="M906">
        <v>0</v>
      </c>
      <c r="N906" t="s">
        <v>74</v>
      </c>
      <c r="O906" t="s">
        <v>3318</v>
      </c>
      <c r="P906" t="s">
        <v>1189</v>
      </c>
      <c r="Q906" t="s">
        <v>3266</v>
      </c>
      <c r="R906" t="s">
        <v>3246</v>
      </c>
      <c r="S906" t="s">
        <v>6102</v>
      </c>
      <c r="T906">
        <v>4</v>
      </c>
      <c r="U906" t="s">
        <v>56</v>
      </c>
      <c r="V906" t="s">
        <v>56</v>
      </c>
    </row>
    <row r="907" spans="1:22" x14ac:dyDescent="0.3">
      <c r="A907" s="49">
        <v>45371</v>
      </c>
      <c r="B907" t="s">
        <v>606</v>
      </c>
      <c r="D907" t="s">
        <v>24</v>
      </c>
      <c r="E907" t="s">
        <v>3131</v>
      </c>
      <c r="G907" t="s">
        <v>4999</v>
      </c>
      <c r="H907" t="s">
        <v>28</v>
      </c>
      <c r="I907" t="s">
        <v>5422</v>
      </c>
      <c r="J907" t="s">
        <v>46</v>
      </c>
      <c r="K907" t="s">
        <v>481</v>
      </c>
      <c r="M907">
        <v>20</v>
      </c>
      <c r="N907" t="s">
        <v>33</v>
      </c>
      <c r="O907" t="s">
        <v>3319</v>
      </c>
      <c r="P907" t="s">
        <v>358</v>
      </c>
      <c r="Q907" t="s">
        <v>766</v>
      </c>
      <c r="R907" t="s">
        <v>3246</v>
      </c>
      <c r="S907" t="s">
        <v>6103</v>
      </c>
      <c r="T907">
        <v>6</v>
      </c>
      <c r="U907" t="s">
        <v>40</v>
      </c>
      <c r="V907" t="s">
        <v>41</v>
      </c>
    </row>
    <row r="908" spans="1:22" x14ac:dyDescent="0.3">
      <c r="A908" s="49">
        <v>45371</v>
      </c>
      <c r="B908" t="s">
        <v>606</v>
      </c>
      <c r="D908" t="s">
        <v>24</v>
      </c>
      <c r="E908" t="s">
        <v>3131</v>
      </c>
      <c r="G908" t="s">
        <v>5000</v>
      </c>
      <c r="H908" t="s">
        <v>28</v>
      </c>
      <c r="I908" t="s">
        <v>2921</v>
      </c>
      <c r="J908" t="s">
        <v>46</v>
      </c>
      <c r="K908" t="s">
        <v>481</v>
      </c>
      <c r="M908">
        <v>0</v>
      </c>
      <c r="N908" t="s">
        <v>74</v>
      </c>
      <c r="O908" t="s">
        <v>3320</v>
      </c>
      <c r="P908" t="s">
        <v>224</v>
      </c>
      <c r="Q908" t="s">
        <v>3267</v>
      </c>
      <c r="R908" t="s">
        <v>3247</v>
      </c>
      <c r="S908" t="s">
        <v>6104</v>
      </c>
      <c r="T908">
        <v>6</v>
      </c>
      <c r="U908" t="s">
        <v>40</v>
      </c>
      <c r="V908" t="s">
        <v>41</v>
      </c>
    </row>
    <row r="909" spans="1:22" x14ac:dyDescent="0.3">
      <c r="A909" s="49">
        <v>45371</v>
      </c>
      <c r="B909" t="s">
        <v>606</v>
      </c>
      <c r="D909" t="s">
        <v>24</v>
      </c>
      <c r="E909" t="s">
        <v>3132</v>
      </c>
      <c r="G909" t="s">
        <v>5001</v>
      </c>
      <c r="H909" t="s">
        <v>89</v>
      </c>
      <c r="J909" t="s">
        <v>63</v>
      </c>
      <c r="K909" t="s">
        <v>64</v>
      </c>
      <c r="M909">
        <v>0</v>
      </c>
      <c r="N909" t="s">
        <v>33</v>
      </c>
      <c r="O909" t="s">
        <v>3321</v>
      </c>
      <c r="P909" t="s">
        <v>224</v>
      </c>
      <c r="Q909" t="s">
        <v>669</v>
      </c>
      <c r="R909" t="s">
        <v>3246</v>
      </c>
      <c r="S909" t="s">
        <v>6105</v>
      </c>
      <c r="T909">
        <v>4</v>
      </c>
      <c r="U909" t="s">
        <v>56</v>
      </c>
      <c r="V909" t="s">
        <v>56</v>
      </c>
    </row>
    <row r="910" spans="1:22" x14ac:dyDescent="0.3">
      <c r="A910" s="49">
        <v>45371</v>
      </c>
      <c r="B910" t="s">
        <v>606</v>
      </c>
      <c r="D910" t="s">
        <v>24</v>
      </c>
      <c r="E910" t="s">
        <v>3132</v>
      </c>
      <c r="G910" t="s">
        <v>5001</v>
      </c>
      <c r="H910" t="s">
        <v>28</v>
      </c>
      <c r="I910" t="s">
        <v>5423</v>
      </c>
      <c r="J910" t="s">
        <v>63</v>
      </c>
      <c r="K910" t="s">
        <v>64</v>
      </c>
      <c r="M910">
        <v>0</v>
      </c>
      <c r="N910" t="s">
        <v>33</v>
      </c>
      <c r="O910" t="s">
        <v>3322</v>
      </c>
      <c r="P910" t="s">
        <v>100</v>
      </c>
      <c r="Q910" t="s">
        <v>3268</v>
      </c>
      <c r="R910" t="s">
        <v>3246</v>
      </c>
      <c r="S910" t="s">
        <v>6106</v>
      </c>
      <c r="T910">
        <v>4</v>
      </c>
      <c r="U910" t="s">
        <v>56</v>
      </c>
      <c r="V910" t="s">
        <v>56</v>
      </c>
    </row>
    <row r="911" spans="1:22" x14ac:dyDescent="0.3">
      <c r="A911" s="49">
        <v>45371</v>
      </c>
      <c r="B911" t="s">
        <v>606</v>
      </c>
      <c r="D911" t="s">
        <v>24</v>
      </c>
      <c r="E911" t="s">
        <v>3132</v>
      </c>
      <c r="G911" t="s">
        <v>5002</v>
      </c>
      <c r="H911" t="s">
        <v>28</v>
      </c>
      <c r="I911" t="s">
        <v>5424</v>
      </c>
      <c r="J911" t="s">
        <v>63</v>
      </c>
      <c r="K911" t="s">
        <v>64</v>
      </c>
      <c r="M911">
        <v>10</v>
      </c>
      <c r="N911" t="s">
        <v>33</v>
      </c>
      <c r="O911" t="s">
        <v>3323</v>
      </c>
      <c r="P911" t="s">
        <v>4833</v>
      </c>
      <c r="Q911" t="s">
        <v>1787</v>
      </c>
      <c r="R911" t="s">
        <v>3246</v>
      </c>
      <c r="S911" t="s">
        <v>6107</v>
      </c>
      <c r="T911">
        <v>4</v>
      </c>
      <c r="U911" t="s">
        <v>56</v>
      </c>
      <c r="V911" t="s">
        <v>56</v>
      </c>
    </row>
    <row r="912" spans="1:22" x14ac:dyDescent="0.3">
      <c r="A912" s="49">
        <v>45371</v>
      </c>
      <c r="B912" t="s">
        <v>645</v>
      </c>
      <c r="D912" t="s">
        <v>173</v>
      </c>
      <c r="E912" t="s">
        <v>3132</v>
      </c>
      <c r="G912" t="s">
        <v>1798</v>
      </c>
      <c r="H912" t="s">
        <v>28</v>
      </c>
      <c r="I912" t="s">
        <v>5425</v>
      </c>
      <c r="J912" t="s">
        <v>63</v>
      </c>
      <c r="K912" t="s">
        <v>64</v>
      </c>
      <c r="M912">
        <v>100</v>
      </c>
      <c r="N912" t="s">
        <v>49</v>
      </c>
      <c r="O912" t="s">
        <v>3324</v>
      </c>
      <c r="P912" t="s">
        <v>287</v>
      </c>
      <c r="Q912" t="s">
        <v>2680</v>
      </c>
      <c r="R912" t="s">
        <v>3246</v>
      </c>
      <c r="S912" t="s">
        <v>6108</v>
      </c>
      <c r="T912">
        <v>6</v>
      </c>
      <c r="U912" t="s">
        <v>40</v>
      </c>
      <c r="V912" t="s">
        <v>41</v>
      </c>
    </row>
    <row r="913" spans="1:22" x14ac:dyDescent="0.3">
      <c r="A913" s="49">
        <v>45371</v>
      </c>
      <c r="B913" t="s">
        <v>645</v>
      </c>
      <c r="D913" t="s">
        <v>24</v>
      </c>
      <c r="E913" t="s">
        <v>3132</v>
      </c>
      <c r="G913" t="s">
        <v>5003</v>
      </c>
      <c r="H913" t="s">
        <v>28</v>
      </c>
      <c r="I913" t="s">
        <v>5426</v>
      </c>
      <c r="J913" t="s">
        <v>1712</v>
      </c>
      <c r="K913" t="s">
        <v>481</v>
      </c>
      <c r="M913">
        <v>100</v>
      </c>
      <c r="N913" t="s">
        <v>49</v>
      </c>
      <c r="O913" t="s">
        <v>3325</v>
      </c>
      <c r="P913" t="s">
        <v>1243</v>
      </c>
      <c r="Q913" t="s">
        <v>3269</v>
      </c>
      <c r="R913" t="s">
        <v>3246</v>
      </c>
      <c r="S913" t="s">
        <v>6109</v>
      </c>
      <c r="T913">
        <v>5</v>
      </c>
      <c r="U913" t="s">
        <v>40</v>
      </c>
      <c r="V913" t="s">
        <v>41</v>
      </c>
    </row>
    <row r="914" spans="1:22" x14ac:dyDescent="0.3">
      <c r="A914" s="49">
        <v>45371</v>
      </c>
      <c r="B914" t="s">
        <v>645</v>
      </c>
      <c r="D914" t="s">
        <v>24</v>
      </c>
      <c r="E914" t="s">
        <v>3132</v>
      </c>
      <c r="G914" t="s">
        <v>5003</v>
      </c>
      <c r="H914" t="s">
        <v>89</v>
      </c>
      <c r="J914" t="s">
        <v>63</v>
      </c>
      <c r="K914" t="s">
        <v>64</v>
      </c>
      <c r="M914">
        <v>100</v>
      </c>
      <c r="N914" t="s">
        <v>33</v>
      </c>
      <c r="O914" t="s">
        <v>3326</v>
      </c>
      <c r="P914" t="s">
        <v>4832</v>
      </c>
      <c r="Q914" t="s">
        <v>3081</v>
      </c>
      <c r="R914" t="s">
        <v>3246</v>
      </c>
      <c r="S914" t="s">
        <v>6110</v>
      </c>
      <c r="T914">
        <v>6</v>
      </c>
      <c r="U914" t="s">
        <v>40</v>
      </c>
      <c r="V914" t="s">
        <v>41</v>
      </c>
    </row>
    <row r="915" spans="1:22" x14ac:dyDescent="0.3">
      <c r="A915" s="49">
        <v>45371</v>
      </c>
      <c r="B915" t="s">
        <v>645</v>
      </c>
      <c r="D915" t="s">
        <v>24</v>
      </c>
      <c r="E915" t="s">
        <v>3132</v>
      </c>
      <c r="G915" t="s">
        <v>5004</v>
      </c>
      <c r="H915" t="s">
        <v>89</v>
      </c>
      <c r="J915" t="s">
        <v>63</v>
      </c>
      <c r="K915" t="s">
        <v>211</v>
      </c>
      <c r="M915">
        <v>50</v>
      </c>
      <c r="N915" t="s">
        <v>49</v>
      </c>
      <c r="O915" t="s">
        <v>3327</v>
      </c>
      <c r="P915" t="s">
        <v>358</v>
      </c>
      <c r="Q915" t="s">
        <v>643</v>
      </c>
      <c r="R915" t="s">
        <v>3246</v>
      </c>
      <c r="S915" t="s">
        <v>6111</v>
      </c>
      <c r="T915">
        <v>6</v>
      </c>
      <c r="U915" t="s">
        <v>40</v>
      </c>
      <c r="V915" t="s">
        <v>41</v>
      </c>
    </row>
    <row r="916" spans="1:22" x14ac:dyDescent="0.3">
      <c r="A916" s="49">
        <v>45371</v>
      </c>
      <c r="B916" t="s">
        <v>645</v>
      </c>
      <c r="D916" t="s">
        <v>24</v>
      </c>
      <c r="E916" t="s">
        <v>3132</v>
      </c>
      <c r="G916" t="s">
        <v>1798</v>
      </c>
      <c r="H916" t="s">
        <v>28</v>
      </c>
      <c r="I916" t="s">
        <v>5427</v>
      </c>
      <c r="J916" t="s">
        <v>63</v>
      </c>
      <c r="K916" t="s">
        <v>64</v>
      </c>
      <c r="M916">
        <v>100</v>
      </c>
      <c r="N916" t="s">
        <v>33</v>
      </c>
      <c r="O916" t="s">
        <v>3328</v>
      </c>
      <c r="P916" t="s">
        <v>4834</v>
      </c>
      <c r="Q916" t="s">
        <v>766</v>
      </c>
      <c r="R916" t="s">
        <v>3246</v>
      </c>
      <c r="S916" t="s">
        <v>6112</v>
      </c>
      <c r="T916">
        <v>6</v>
      </c>
      <c r="U916" t="s">
        <v>40</v>
      </c>
      <c r="V916" t="s">
        <v>41</v>
      </c>
    </row>
    <row r="917" spans="1:22" x14ac:dyDescent="0.3">
      <c r="A917" s="49">
        <v>45371</v>
      </c>
      <c r="B917" t="s">
        <v>645</v>
      </c>
      <c r="D917" t="s">
        <v>24</v>
      </c>
      <c r="E917" t="s">
        <v>3132</v>
      </c>
      <c r="G917" t="s">
        <v>5002</v>
      </c>
      <c r="H917" t="s">
        <v>28</v>
      </c>
      <c r="I917" t="s">
        <v>1795</v>
      </c>
      <c r="J917" t="s">
        <v>63</v>
      </c>
      <c r="K917" t="s">
        <v>414</v>
      </c>
      <c r="M917">
        <v>100</v>
      </c>
      <c r="N917" t="s">
        <v>33</v>
      </c>
      <c r="O917" t="s">
        <v>3329</v>
      </c>
      <c r="P917" t="s">
        <v>1701</v>
      </c>
      <c r="Q917" t="s">
        <v>683</v>
      </c>
      <c r="R917" t="s">
        <v>3246</v>
      </c>
      <c r="S917" t="s">
        <v>6113</v>
      </c>
      <c r="T917">
        <v>4</v>
      </c>
      <c r="U917" t="s">
        <v>56</v>
      </c>
      <c r="V917" t="s">
        <v>56</v>
      </c>
    </row>
    <row r="918" spans="1:22" x14ac:dyDescent="0.3">
      <c r="A918" s="49">
        <v>45371</v>
      </c>
      <c r="B918" t="s">
        <v>606</v>
      </c>
      <c r="D918" t="s">
        <v>24</v>
      </c>
      <c r="E918" t="s">
        <v>3133</v>
      </c>
      <c r="G918" t="s">
        <v>5005</v>
      </c>
      <c r="H918" t="s">
        <v>28</v>
      </c>
      <c r="I918" t="s">
        <v>5428</v>
      </c>
      <c r="J918" t="s">
        <v>46</v>
      </c>
      <c r="K918" t="s">
        <v>481</v>
      </c>
      <c r="M918">
        <v>50</v>
      </c>
      <c r="N918" t="s">
        <v>33</v>
      </c>
      <c r="O918" t="s">
        <v>3330</v>
      </c>
      <c r="P918" t="s">
        <v>4835</v>
      </c>
      <c r="Q918" t="s">
        <v>3270</v>
      </c>
      <c r="R918" t="s">
        <v>3247</v>
      </c>
      <c r="S918" t="s">
        <v>6114</v>
      </c>
      <c r="T918">
        <v>6</v>
      </c>
      <c r="U918" t="s">
        <v>40</v>
      </c>
      <c r="V918" t="s">
        <v>41</v>
      </c>
    </row>
    <row r="919" spans="1:22" x14ac:dyDescent="0.3">
      <c r="A919" s="49">
        <v>45371</v>
      </c>
      <c r="B919" t="s">
        <v>606</v>
      </c>
      <c r="D919" t="s">
        <v>24</v>
      </c>
      <c r="E919" t="s">
        <v>3133</v>
      </c>
      <c r="G919" t="s">
        <v>5006</v>
      </c>
      <c r="H919" t="s">
        <v>28</v>
      </c>
      <c r="I919" t="s">
        <v>5429</v>
      </c>
      <c r="J919" t="s">
        <v>46</v>
      </c>
      <c r="K919" t="s">
        <v>481</v>
      </c>
      <c r="M919">
        <v>100</v>
      </c>
      <c r="N919" t="s">
        <v>33</v>
      </c>
      <c r="O919" t="s">
        <v>3331</v>
      </c>
      <c r="P919" t="s">
        <v>2703</v>
      </c>
      <c r="Q919" t="s">
        <v>792</v>
      </c>
      <c r="R919" t="s">
        <v>3246</v>
      </c>
      <c r="S919" t="s">
        <v>6115</v>
      </c>
      <c r="T919">
        <v>4</v>
      </c>
      <c r="U919" t="s">
        <v>56</v>
      </c>
      <c r="V919" t="s">
        <v>56</v>
      </c>
    </row>
    <row r="920" spans="1:22" x14ac:dyDescent="0.3">
      <c r="A920" s="49">
        <v>45371</v>
      </c>
      <c r="B920" t="s">
        <v>606</v>
      </c>
      <c r="D920" t="s">
        <v>24</v>
      </c>
      <c r="E920" t="s">
        <v>3134</v>
      </c>
      <c r="G920" t="s">
        <v>5007</v>
      </c>
      <c r="H920" t="s">
        <v>28</v>
      </c>
      <c r="I920" t="s">
        <v>5430</v>
      </c>
      <c r="J920" t="s">
        <v>46</v>
      </c>
      <c r="K920" t="s">
        <v>481</v>
      </c>
      <c r="M920">
        <v>0</v>
      </c>
      <c r="N920" t="s">
        <v>74</v>
      </c>
      <c r="O920" t="s">
        <v>3332</v>
      </c>
      <c r="P920" t="s">
        <v>1727</v>
      </c>
      <c r="Q920" t="s">
        <v>3271</v>
      </c>
      <c r="R920" t="s">
        <v>3247</v>
      </c>
      <c r="S920" t="s">
        <v>6116</v>
      </c>
      <c r="T920">
        <v>6</v>
      </c>
      <c r="U920" t="s">
        <v>40</v>
      </c>
      <c r="V920" t="s">
        <v>41</v>
      </c>
    </row>
    <row r="921" spans="1:22" x14ac:dyDescent="0.3">
      <c r="A921" s="49">
        <v>45371</v>
      </c>
      <c r="B921" t="s">
        <v>645</v>
      </c>
      <c r="D921" t="s">
        <v>24</v>
      </c>
      <c r="E921" t="s">
        <v>3135</v>
      </c>
      <c r="G921" t="s">
        <v>5008</v>
      </c>
      <c r="H921" t="s">
        <v>28</v>
      </c>
      <c r="I921" t="s">
        <v>5431</v>
      </c>
      <c r="J921" t="s">
        <v>1712</v>
      </c>
      <c r="K921" t="s">
        <v>481</v>
      </c>
      <c r="M921">
        <v>100</v>
      </c>
      <c r="N921" t="s">
        <v>49</v>
      </c>
      <c r="O921" t="s">
        <v>3333</v>
      </c>
      <c r="P921" t="s">
        <v>4836</v>
      </c>
      <c r="Q921" t="s">
        <v>3272</v>
      </c>
      <c r="R921" t="s">
        <v>3246</v>
      </c>
      <c r="S921" t="s">
        <v>6117</v>
      </c>
      <c r="T921">
        <v>4</v>
      </c>
      <c r="U921" t="s">
        <v>56</v>
      </c>
      <c r="V921" t="s">
        <v>56</v>
      </c>
    </row>
    <row r="922" spans="1:22" x14ac:dyDescent="0.3">
      <c r="A922" s="49">
        <v>45342</v>
      </c>
      <c r="B922" t="s">
        <v>645</v>
      </c>
      <c r="D922" t="s">
        <v>24</v>
      </c>
      <c r="E922" t="s">
        <v>3104</v>
      </c>
      <c r="G922" t="s">
        <v>5009</v>
      </c>
      <c r="H922" t="s">
        <v>89</v>
      </c>
      <c r="I922" t="s">
        <v>5432</v>
      </c>
      <c r="J922" t="s">
        <v>63</v>
      </c>
      <c r="K922" t="s">
        <v>445</v>
      </c>
      <c r="M922">
        <v>55</v>
      </c>
      <c r="N922" t="s">
        <v>49</v>
      </c>
      <c r="O922" t="s">
        <v>3334</v>
      </c>
      <c r="P922" t="s">
        <v>4837</v>
      </c>
      <c r="Q922" t="s">
        <v>655</v>
      </c>
      <c r="R922" t="s">
        <v>3246</v>
      </c>
      <c r="S922" t="s">
        <v>6118</v>
      </c>
      <c r="T922">
        <v>4</v>
      </c>
      <c r="U922" t="s">
        <v>56</v>
      </c>
      <c r="V922" t="s">
        <v>56</v>
      </c>
    </row>
    <row r="923" spans="1:22" x14ac:dyDescent="0.3">
      <c r="A923" s="49">
        <v>45342</v>
      </c>
      <c r="B923" t="s">
        <v>645</v>
      </c>
      <c r="D923" t="s">
        <v>173</v>
      </c>
      <c r="E923" t="s">
        <v>2799</v>
      </c>
      <c r="G923" t="s">
        <v>4964</v>
      </c>
      <c r="H923" t="s">
        <v>89</v>
      </c>
      <c r="J923" t="s">
        <v>63</v>
      </c>
      <c r="K923" t="s">
        <v>414</v>
      </c>
      <c r="M923">
        <v>0</v>
      </c>
      <c r="N923" t="s">
        <v>74</v>
      </c>
      <c r="O923" t="s">
        <v>3335</v>
      </c>
      <c r="P923" t="s">
        <v>4838</v>
      </c>
      <c r="Q923" t="s">
        <v>1843</v>
      </c>
      <c r="R923" t="s">
        <v>3246</v>
      </c>
      <c r="S923" t="s">
        <v>6119</v>
      </c>
      <c r="T923">
        <v>4</v>
      </c>
      <c r="U923" t="s">
        <v>56</v>
      </c>
      <c r="V923" t="s">
        <v>56</v>
      </c>
    </row>
    <row r="924" spans="1:22" x14ac:dyDescent="0.3">
      <c r="A924" s="49">
        <v>45342</v>
      </c>
      <c r="B924" t="s">
        <v>645</v>
      </c>
      <c r="E924" t="s">
        <v>2799</v>
      </c>
      <c r="G924" t="s">
        <v>4964</v>
      </c>
      <c r="H924" t="s">
        <v>89</v>
      </c>
      <c r="J924" t="s">
        <v>63</v>
      </c>
      <c r="K924" t="s">
        <v>64</v>
      </c>
      <c r="M924">
        <v>0.80000001192092896</v>
      </c>
      <c r="N924" t="s">
        <v>33</v>
      </c>
      <c r="O924" t="s">
        <v>3336</v>
      </c>
      <c r="P924" t="s">
        <v>4839</v>
      </c>
      <c r="S924" t="s">
        <v>6120</v>
      </c>
      <c r="T924">
        <v>4</v>
      </c>
      <c r="U924" t="s">
        <v>56</v>
      </c>
      <c r="V924" t="s">
        <v>56</v>
      </c>
    </row>
    <row r="925" spans="1:22" x14ac:dyDescent="0.3">
      <c r="A925" s="49">
        <v>45342</v>
      </c>
      <c r="B925" t="s">
        <v>645</v>
      </c>
      <c r="E925" t="s">
        <v>2799</v>
      </c>
      <c r="G925" t="s">
        <v>4964</v>
      </c>
      <c r="H925" t="s">
        <v>28</v>
      </c>
      <c r="I925" t="s">
        <v>5433</v>
      </c>
      <c r="J925" t="s">
        <v>63</v>
      </c>
      <c r="K925" t="s">
        <v>414</v>
      </c>
      <c r="M925">
        <v>1</v>
      </c>
      <c r="N925" t="s">
        <v>49</v>
      </c>
      <c r="O925" t="s">
        <v>3337</v>
      </c>
      <c r="P925" t="s">
        <v>1237</v>
      </c>
      <c r="S925" t="s">
        <v>6121</v>
      </c>
      <c r="T925">
        <v>4</v>
      </c>
      <c r="U925" t="s">
        <v>56</v>
      </c>
      <c r="V925" t="s">
        <v>56</v>
      </c>
    </row>
    <row r="926" spans="1:22" x14ac:dyDescent="0.3">
      <c r="A926" s="49">
        <v>45342</v>
      </c>
      <c r="B926" t="s">
        <v>645</v>
      </c>
      <c r="E926" t="s">
        <v>3136</v>
      </c>
      <c r="G926" t="s">
        <v>5010</v>
      </c>
      <c r="H926" t="s">
        <v>3245</v>
      </c>
      <c r="I926" t="s">
        <v>1947</v>
      </c>
      <c r="J926" t="s">
        <v>63</v>
      </c>
      <c r="K926" t="s">
        <v>414</v>
      </c>
      <c r="M926">
        <v>97</v>
      </c>
      <c r="N926" t="s">
        <v>33</v>
      </c>
      <c r="O926" t="s">
        <v>3338</v>
      </c>
      <c r="P926" t="s">
        <v>4834</v>
      </c>
      <c r="S926" t="s">
        <v>6122</v>
      </c>
      <c r="T926">
        <v>4</v>
      </c>
      <c r="U926" t="s">
        <v>56</v>
      </c>
      <c r="V926" t="s">
        <v>56</v>
      </c>
    </row>
    <row r="927" spans="1:22" x14ac:dyDescent="0.3">
      <c r="A927" s="49">
        <v>45342</v>
      </c>
      <c r="B927" t="s">
        <v>645</v>
      </c>
      <c r="E927" t="s">
        <v>3108</v>
      </c>
      <c r="G927" t="s">
        <v>4969</v>
      </c>
      <c r="H927" t="s">
        <v>28</v>
      </c>
      <c r="I927" t="s">
        <v>5434</v>
      </c>
      <c r="J927" t="s">
        <v>63</v>
      </c>
      <c r="K927" t="s">
        <v>414</v>
      </c>
      <c r="M927">
        <v>0.5</v>
      </c>
      <c r="N927" t="s">
        <v>49</v>
      </c>
      <c r="O927" t="s">
        <v>3339</v>
      </c>
      <c r="P927" t="s">
        <v>1310</v>
      </c>
      <c r="S927" t="s">
        <v>6123</v>
      </c>
      <c r="T927">
        <v>6</v>
      </c>
      <c r="U927" t="s">
        <v>40</v>
      </c>
      <c r="V927" t="s">
        <v>41</v>
      </c>
    </row>
    <row r="928" spans="1:22" x14ac:dyDescent="0.3">
      <c r="A928" s="49">
        <v>45342</v>
      </c>
      <c r="B928" t="s">
        <v>891</v>
      </c>
      <c r="E928" t="s">
        <v>3108</v>
      </c>
      <c r="G928" t="s">
        <v>5011</v>
      </c>
      <c r="H928" t="s">
        <v>89</v>
      </c>
      <c r="I928" t="s">
        <v>5435</v>
      </c>
      <c r="J928" t="s">
        <v>63</v>
      </c>
      <c r="K928" t="s">
        <v>64</v>
      </c>
      <c r="M928">
        <v>50</v>
      </c>
      <c r="N928" t="s">
        <v>49</v>
      </c>
      <c r="O928" t="s">
        <v>3340</v>
      </c>
      <c r="P928" t="s">
        <v>743</v>
      </c>
      <c r="S928" t="s">
        <v>6124</v>
      </c>
      <c r="T928">
        <v>4</v>
      </c>
      <c r="U928" t="s">
        <v>56</v>
      </c>
      <c r="V928" t="s">
        <v>56</v>
      </c>
    </row>
    <row r="929" spans="1:22" x14ac:dyDescent="0.3">
      <c r="A929" s="49">
        <v>45342</v>
      </c>
      <c r="B929" t="s">
        <v>645</v>
      </c>
      <c r="E929" t="s">
        <v>3137</v>
      </c>
      <c r="G929" t="s">
        <v>5012</v>
      </c>
      <c r="H929" t="s">
        <v>89</v>
      </c>
      <c r="I929" t="s">
        <v>5436</v>
      </c>
      <c r="J929" t="s">
        <v>63</v>
      </c>
      <c r="K929" t="s">
        <v>414</v>
      </c>
      <c r="M929">
        <v>50</v>
      </c>
      <c r="N929" t="s">
        <v>49</v>
      </c>
      <c r="O929" t="s">
        <v>3341</v>
      </c>
      <c r="P929" t="s">
        <v>306</v>
      </c>
      <c r="S929" t="s">
        <v>6125</v>
      </c>
      <c r="T929">
        <v>4</v>
      </c>
      <c r="U929" t="s">
        <v>56</v>
      </c>
      <c r="V929" t="s">
        <v>56</v>
      </c>
    </row>
    <row r="930" spans="1:22" x14ac:dyDescent="0.3">
      <c r="A930" s="49">
        <v>45342</v>
      </c>
      <c r="B930" t="s">
        <v>891</v>
      </c>
      <c r="E930" t="s">
        <v>3109</v>
      </c>
      <c r="G930" t="s">
        <v>5013</v>
      </c>
      <c r="H930" t="s">
        <v>89</v>
      </c>
      <c r="I930" t="s">
        <v>5437</v>
      </c>
      <c r="J930" t="s">
        <v>63</v>
      </c>
      <c r="K930" t="s">
        <v>414</v>
      </c>
      <c r="M930">
        <v>100</v>
      </c>
      <c r="N930" t="s">
        <v>49</v>
      </c>
      <c r="O930" t="s">
        <v>3342</v>
      </c>
      <c r="P930" t="s">
        <v>416</v>
      </c>
      <c r="S930" t="s">
        <v>6126</v>
      </c>
      <c r="T930">
        <v>4</v>
      </c>
      <c r="U930" t="s">
        <v>56</v>
      </c>
      <c r="V930" t="s">
        <v>56</v>
      </c>
    </row>
    <row r="931" spans="1:22" x14ac:dyDescent="0.3">
      <c r="A931" s="49">
        <v>45342</v>
      </c>
      <c r="B931" t="s">
        <v>891</v>
      </c>
      <c r="E931" t="s">
        <v>3109</v>
      </c>
      <c r="G931" t="s">
        <v>5013</v>
      </c>
      <c r="H931" t="s">
        <v>89</v>
      </c>
      <c r="I931" t="s">
        <v>5437</v>
      </c>
      <c r="J931" t="s">
        <v>63</v>
      </c>
      <c r="K931" t="s">
        <v>414</v>
      </c>
      <c r="M931">
        <v>100</v>
      </c>
      <c r="N931" t="s">
        <v>49</v>
      </c>
      <c r="O931" t="s">
        <v>3342</v>
      </c>
      <c r="P931" t="s">
        <v>416</v>
      </c>
      <c r="S931" t="s">
        <v>6126</v>
      </c>
      <c r="T931">
        <v>4</v>
      </c>
      <c r="U931" t="s">
        <v>56</v>
      </c>
      <c r="V931" t="s">
        <v>56</v>
      </c>
    </row>
    <row r="932" spans="1:22" x14ac:dyDescent="0.3">
      <c r="A932" s="49">
        <v>45342</v>
      </c>
      <c r="B932" t="s">
        <v>891</v>
      </c>
      <c r="E932" t="s">
        <v>3109</v>
      </c>
      <c r="G932" t="s">
        <v>5013</v>
      </c>
      <c r="H932" t="s">
        <v>89</v>
      </c>
      <c r="I932" t="s">
        <v>5437</v>
      </c>
      <c r="J932" t="s">
        <v>63</v>
      </c>
      <c r="K932" t="s">
        <v>414</v>
      </c>
      <c r="M932">
        <v>100</v>
      </c>
      <c r="N932" t="s">
        <v>49</v>
      </c>
      <c r="O932" t="s">
        <v>3342</v>
      </c>
      <c r="P932" t="s">
        <v>416</v>
      </c>
      <c r="S932" t="s">
        <v>6126</v>
      </c>
      <c r="T932">
        <v>4</v>
      </c>
      <c r="U932" t="s">
        <v>56</v>
      </c>
      <c r="V932" t="s">
        <v>56</v>
      </c>
    </row>
    <row r="933" spans="1:22" x14ac:dyDescent="0.3">
      <c r="A933" s="49">
        <v>45342</v>
      </c>
      <c r="B933" t="s">
        <v>891</v>
      </c>
      <c r="E933" t="s">
        <v>3109</v>
      </c>
      <c r="G933" t="s">
        <v>5013</v>
      </c>
      <c r="H933" t="s">
        <v>89</v>
      </c>
      <c r="I933" t="s">
        <v>5437</v>
      </c>
      <c r="J933" t="s">
        <v>63</v>
      </c>
      <c r="K933" t="s">
        <v>414</v>
      </c>
      <c r="M933">
        <v>100</v>
      </c>
      <c r="N933" t="s">
        <v>49</v>
      </c>
      <c r="O933" t="s">
        <v>3342</v>
      </c>
      <c r="P933" t="s">
        <v>416</v>
      </c>
      <c r="S933" t="s">
        <v>6126</v>
      </c>
      <c r="T933">
        <v>4</v>
      </c>
      <c r="U933" t="s">
        <v>56</v>
      </c>
      <c r="V933" t="s">
        <v>56</v>
      </c>
    </row>
    <row r="934" spans="1:22" x14ac:dyDescent="0.3">
      <c r="A934" s="49">
        <v>45342</v>
      </c>
      <c r="B934" t="s">
        <v>645</v>
      </c>
      <c r="E934" t="s">
        <v>3138</v>
      </c>
      <c r="G934" t="s">
        <v>5014</v>
      </c>
      <c r="H934" t="s">
        <v>28</v>
      </c>
      <c r="J934" t="s">
        <v>46</v>
      </c>
      <c r="K934" t="s">
        <v>481</v>
      </c>
      <c r="M934">
        <v>100</v>
      </c>
      <c r="N934" t="s">
        <v>49</v>
      </c>
      <c r="O934" t="s">
        <v>3343</v>
      </c>
      <c r="P934" t="s">
        <v>163</v>
      </c>
      <c r="S934" t="s">
        <v>6127</v>
      </c>
      <c r="T934">
        <v>4</v>
      </c>
      <c r="U934" t="s">
        <v>56</v>
      </c>
      <c r="V934" t="s">
        <v>56</v>
      </c>
    </row>
    <row r="935" spans="1:22" x14ac:dyDescent="0.3">
      <c r="A935" s="49">
        <v>45342</v>
      </c>
      <c r="B935" t="s">
        <v>891</v>
      </c>
      <c r="E935" t="s">
        <v>3139</v>
      </c>
      <c r="G935" t="s">
        <v>5015</v>
      </c>
      <c r="H935" t="s">
        <v>89</v>
      </c>
      <c r="J935" t="s">
        <v>63</v>
      </c>
      <c r="K935" t="s">
        <v>414</v>
      </c>
      <c r="M935">
        <v>100</v>
      </c>
      <c r="N935" t="s">
        <v>49</v>
      </c>
      <c r="O935" t="s">
        <v>3344</v>
      </c>
      <c r="P935" t="s">
        <v>287</v>
      </c>
      <c r="S935" t="s">
        <v>6128</v>
      </c>
      <c r="T935">
        <v>4</v>
      </c>
      <c r="U935" t="s">
        <v>56</v>
      </c>
      <c r="V935" t="s">
        <v>56</v>
      </c>
    </row>
    <row r="936" spans="1:22" x14ac:dyDescent="0.3">
      <c r="A936" s="49">
        <v>45342</v>
      </c>
      <c r="B936" t="s">
        <v>645</v>
      </c>
      <c r="E936" t="s">
        <v>3139</v>
      </c>
      <c r="G936" t="s">
        <v>5016</v>
      </c>
      <c r="H936" t="s">
        <v>89</v>
      </c>
      <c r="I936" t="s">
        <v>5438</v>
      </c>
      <c r="J936" t="s">
        <v>63</v>
      </c>
      <c r="K936" t="s">
        <v>1235</v>
      </c>
      <c r="M936">
        <v>100</v>
      </c>
      <c r="N936" t="s">
        <v>49</v>
      </c>
      <c r="O936" t="s">
        <v>3345</v>
      </c>
      <c r="P936" t="s">
        <v>306</v>
      </c>
      <c r="S936" t="s">
        <v>6129</v>
      </c>
      <c r="T936">
        <v>4</v>
      </c>
      <c r="U936" t="s">
        <v>56</v>
      </c>
      <c r="V936" t="s">
        <v>56</v>
      </c>
    </row>
    <row r="937" spans="1:22" x14ac:dyDescent="0.3">
      <c r="A937" s="49">
        <v>45342</v>
      </c>
      <c r="B937" t="s">
        <v>645</v>
      </c>
      <c r="E937" t="s">
        <v>3139</v>
      </c>
      <c r="G937" t="s">
        <v>5017</v>
      </c>
      <c r="H937" t="s">
        <v>28</v>
      </c>
      <c r="I937" t="s">
        <v>5439</v>
      </c>
      <c r="J937" t="s">
        <v>63</v>
      </c>
      <c r="K937" t="s">
        <v>445</v>
      </c>
      <c r="M937">
        <v>1</v>
      </c>
      <c r="N937" t="s">
        <v>49</v>
      </c>
      <c r="O937" t="s">
        <v>3346</v>
      </c>
      <c r="P937" t="s">
        <v>621</v>
      </c>
      <c r="S937" t="s">
        <v>6130</v>
      </c>
      <c r="T937">
        <v>4</v>
      </c>
      <c r="U937" t="s">
        <v>56</v>
      </c>
      <c r="V937" t="s">
        <v>56</v>
      </c>
    </row>
    <row r="938" spans="1:22" x14ac:dyDescent="0.3">
      <c r="A938" s="49">
        <v>45342</v>
      </c>
      <c r="B938" t="s">
        <v>891</v>
      </c>
      <c r="E938" t="s">
        <v>3140</v>
      </c>
      <c r="G938" t="s">
        <v>5018</v>
      </c>
      <c r="H938" t="s">
        <v>28</v>
      </c>
      <c r="I938" t="s">
        <v>5440</v>
      </c>
      <c r="J938" t="s">
        <v>1712</v>
      </c>
      <c r="K938" t="s">
        <v>481</v>
      </c>
      <c r="M938">
        <v>1</v>
      </c>
      <c r="N938" t="s">
        <v>49</v>
      </c>
      <c r="O938" t="s">
        <v>3347</v>
      </c>
      <c r="P938" t="s">
        <v>1310</v>
      </c>
      <c r="S938" t="s">
        <v>6131</v>
      </c>
      <c r="T938">
        <v>4</v>
      </c>
      <c r="U938" t="s">
        <v>56</v>
      </c>
      <c r="V938" t="s">
        <v>56</v>
      </c>
    </row>
    <row r="939" spans="1:22" x14ac:dyDescent="0.3">
      <c r="A939" s="49">
        <v>45342</v>
      </c>
      <c r="B939" t="s">
        <v>645</v>
      </c>
      <c r="E939" t="s">
        <v>3141</v>
      </c>
      <c r="G939" t="s">
        <v>740</v>
      </c>
      <c r="H939" t="s">
        <v>89</v>
      </c>
      <c r="I939" t="s">
        <v>5441</v>
      </c>
      <c r="J939" t="s">
        <v>63</v>
      </c>
      <c r="K939" t="s">
        <v>64</v>
      </c>
      <c r="M939">
        <v>53</v>
      </c>
      <c r="N939" t="s">
        <v>49</v>
      </c>
      <c r="O939" t="s">
        <v>3348</v>
      </c>
      <c r="P939" t="s">
        <v>743</v>
      </c>
      <c r="S939" t="s">
        <v>6132</v>
      </c>
      <c r="T939">
        <v>4</v>
      </c>
      <c r="U939" t="s">
        <v>56</v>
      </c>
      <c r="V939" t="s">
        <v>56</v>
      </c>
    </row>
    <row r="940" spans="1:22" x14ac:dyDescent="0.3">
      <c r="A940" s="49">
        <v>45342</v>
      </c>
      <c r="B940" t="s">
        <v>891</v>
      </c>
      <c r="E940" t="s">
        <v>3142</v>
      </c>
      <c r="G940" t="s">
        <v>5019</v>
      </c>
      <c r="H940" t="s">
        <v>28</v>
      </c>
      <c r="I940" t="s">
        <v>5442</v>
      </c>
      <c r="J940" t="s">
        <v>63</v>
      </c>
      <c r="K940" t="s">
        <v>64</v>
      </c>
      <c r="M940">
        <v>100</v>
      </c>
      <c r="N940" t="s">
        <v>49</v>
      </c>
      <c r="O940" t="s">
        <v>3349</v>
      </c>
      <c r="P940" t="s">
        <v>170</v>
      </c>
      <c r="S940" t="s">
        <v>6133</v>
      </c>
      <c r="T940">
        <v>4</v>
      </c>
      <c r="U940" t="s">
        <v>56</v>
      </c>
      <c r="V940" t="s">
        <v>56</v>
      </c>
    </row>
    <row r="941" spans="1:22" x14ac:dyDescent="0.3">
      <c r="A941" s="49">
        <v>45342</v>
      </c>
      <c r="B941" t="s">
        <v>891</v>
      </c>
      <c r="E941" t="s">
        <v>3143</v>
      </c>
      <c r="G941" t="s">
        <v>5020</v>
      </c>
      <c r="H941" t="s">
        <v>89</v>
      </c>
      <c r="I941" t="s">
        <v>5443</v>
      </c>
      <c r="J941" t="s">
        <v>63</v>
      </c>
      <c r="K941" t="s">
        <v>414</v>
      </c>
      <c r="M941">
        <v>100</v>
      </c>
      <c r="N941" t="s">
        <v>49</v>
      </c>
      <c r="O941" t="s">
        <v>3350</v>
      </c>
      <c r="P941" t="s">
        <v>1508</v>
      </c>
      <c r="S941" t="s">
        <v>6134</v>
      </c>
      <c r="T941">
        <v>4</v>
      </c>
      <c r="U941" t="s">
        <v>56</v>
      </c>
      <c r="V941" t="s">
        <v>56</v>
      </c>
    </row>
    <row r="942" spans="1:22" x14ac:dyDescent="0.3">
      <c r="A942" s="49">
        <v>45342</v>
      </c>
      <c r="B942" t="s">
        <v>645</v>
      </c>
      <c r="E942" t="s">
        <v>3143</v>
      </c>
      <c r="G942" t="s">
        <v>5020</v>
      </c>
      <c r="H942" t="s">
        <v>89</v>
      </c>
      <c r="J942" t="s">
        <v>63</v>
      </c>
      <c r="K942" t="s">
        <v>64</v>
      </c>
      <c r="M942">
        <v>1</v>
      </c>
      <c r="N942" t="s">
        <v>49</v>
      </c>
      <c r="O942" t="s">
        <v>3351</v>
      </c>
      <c r="P942" t="s">
        <v>603</v>
      </c>
      <c r="S942" t="s">
        <v>6135</v>
      </c>
      <c r="T942">
        <v>4</v>
      </c>
      <c r="U942" t="s">
        <v>56</v>
      </c>
      <c r="V942" t="s">
        <v>56</v>
      </c>
    </row>
    <row r="943" spans="1:22" x14ac:dyDescent="0.3">
      <c r="A943" s="49">
        <v>45342</v>
      </c>
      <c r="B943" t="s">
        <v>645</v>
      </c>
      <c r="E943" t="s">
        <v>3143</v>
      </c>
      <c r="G943" t="s">
        <v>5020</v>
      </c>
      <c r="H943" t="s">
        <v>89</v>
      </c>
      <c r="J943" t="s">
        <v>63</v>
      </c>
      <c r="K943" t="s">
        <v>64</v>
      </c>
      <c r="M943">
        <v>1</v>
      </c>
      <c r="N943" t="s">
        <v>49</v>
      </c>
      <c r="O943" t="s">
        <v>3351</v>
      </c>
      <c r="P943" t="s">
        <v>603</v>
      </c>
      <c r="S943" t="s">
        <v>6135</v>
      </c>
      <c r="T943">
        <v>4</v>
      </c>
      <c r="U943" t="s">
        <v>56</v>
      </c>
      <c r="V943" t="s">
        <v>56</v>
      </c>
    </row>
    <row r="944" spans="1:22" x14ac:dyDescent="0.3">
      <c r="A944" s="49">
        <v>45342</v>
      </c>
      <c r="B944" t="s">
        <v>891</v>
      </c>
      <c r="E944" t="s">
        <v>3144</v>
      </c>
      <c r="G944" t="s">
        <v>5021</v>
      </c>
      <c r="H944" t="s">
        <v>89</v>
      </c>
      <c r="I944" t="s">
        <v>5444</v>
      </c>
      <c r="J944" t="s">
        <v>63</v>
      </c>
      <c r="K944" t="s">
        <v>414</v>
      </c>
      <c r="M944">
        <v>100</v>
      </c>
      <c r="N944" t="s">
        <v>49</v>
      </c>
      <c r="O944" t="s">
        <v>3352</v>
      </c>
      <c r="P944" t="s">
        <v>287</v>
      </c>
      <c r="S944" t="s">
        <v>6136</v>
      </c>
      <c r="T944">
        <v>4</v>
      </c>
      <c r="U944" t="s">
        <v>56</v>
      </c>
      <c r="V944" t="s">
        <v>56</v>
      </c>
    </row>
    <row r="945" spans="1:22" x14ac:dyDescent="0.3">
      <c r="A945" s="49">
        <v>45342</v>
      </c>
      <c r="B945" t="s">
        <v>891</v>
      </c>
      <c r="E945" t="s">
        <v>3144</v>
      </c>
      <c r="G945" t="s">
        <v>5021</v>
      </c>
      <c r="H945" t="s">
        <v>89</v>
      </c>
      <c r="I945" t="s">
        <v>5444</v>
      </c>
      <c r="J945" t="s">
        <v>63</v>
      </c>
      <c r="K945" t="s">
        <v>414</v>
      </c>
      <c r="M945">
        <v>100</v>
      </c>
      <c r="N945" t="s">
        <v>49</v>
      </c>
      <c r="O945" t="s">
        <v>3352</v>
      </c>
      <c r="P945" t="s">
        <v>287</v>
      </c>
      <c r="S945" t="s">
        <v>6136</v>
      </c>
      <c r="T945">
        <v>4</v>
      </c>
      <c r="U945" t="s">
        <v>56</v>
      </c>
      <c r="V945" t="s">
        <v>56</v>
      </c>
    </row>
    <row r="946" spans="1:22" x14ac:dyDescent="0.3">
      <c r="A946" s="49">
        <v>45342</v>
      </c>
      <c r="B946" t="s">
        <v>645</v>
      </c>
      <c r="E946" t="s">
        <v>3145</v>
      </c>
      <c r="G946" t="s">
        <v>5022</v>
      </c>
      <c r="H946" t="s">
        <v>89</v>
      </c>
      <c r="J946" t="s">
        <v>63</v>
      </c>
      <c r="K946" t="s">
        <v>414</v>
      </c>
      <c r="M946">
        <v>66</v>
      </c>
      <c r="N946" t="s">
        <v>49</v>
      </c>
      <c r="O946" t="s">
        <v>3353</v>
      </c>
      <c r="P946" t="s">
        <v>344</v>
      </c>
      <c r="S946" t="s">
        <v>6137</v>
      </c>
      <c r="T946">
        <v>4</v>
      </c>
      <c r="U946" t="s">
        <v>56</v>
      </c>
      <c r="V946" t="s">
        <v>56</v>
      </c>
    </row>
    <row r="947" spans="1:22" x14ac:dyDescent="0.3">
      <c r="A947" s="49">
        <v>45342</v>
      </c>
      <c r="B947" t="s">
        <v>645</v>
      </c>
      <c r="E947" t="s">
        <v>3146</v>
      </c>
      <c r="G947" t="s">
        <v>5023</v>
      </c>
      <c r="H947" t="s">
        <v>28</v>
      </c>
      <c r="I947" t="s">
        <v>5445</v>
      </c>
      <c r="J947" t="s">
        <v>63</v>
      </c>
      <c r="K947" t="s">
        <v>64</v>
      </c>
      <c r="M947">
        <v>0</v>
      </c>
      <c r="N947" t="s">
        <v>74</v>
      </c>
      <c r="O947" t="s">
        <v>3354</v>
      </c>
      <c r="P947" t="s">
        <v>4840</v>
      </c>
      <c r="S947" t="s">
        <v>6138</v>
      </c>
      <c r="T947">
        <v>4</v>
      </c>
      <c r="U947" t="s">
        <v>56</v>
      </c>
      <c r="V947" t="s">
        <v>56</v>
      </c>
    </row>
    <row r="948" spans="1:22" x14ac:dyDescent="0.3">
      <c r="A948" s="49">
        <v>45342</v>
      </c>
      <c r="B948" t="s">
        <v>645</v>
      </c>
      <c r="E948" t="s">
        <v>3116</v>
      </c>
      <c r="G948" t="s">
        <v>5024</v>
      </c>
      <c r="H948" t="s">
        <v>28</v>
      </c>
      <c r="I948" t="s">
        <v>5446</v>
      </c>
      <c r="J948" t="s">
        <v>63</v>
      </c>
      <c r="K948" t="s">
        <v>211</v>
      </c>
      <c r="M948">
        <v>78</v>
      </c>
      <c r="N948" t="s">
        <v>33</v>
      </c>
      <c r="O948" t="s">
        <v>3355</v>
      </c>
      <c r="P948" t="s">
        <v>2178</v>
      </c>
      <c r="S948" t="s">
        <v>6139</v>
      </c>
      <c r="T948">
        <v>4</v>
      </c>
      <c r="U948" t="s">
        <v>56</v>
      </c>
      <c r="V948" t="s">
        <v>56</v>
      </c>
    </row>
    <row r="949" spans="1:22" x14ac:dyDescent="0.3">
      <c r="A949" s="49">
        <v>45342</v>
      </c>
      <c r="B949" t="s">
        <v>891</v>
      </c>
      <c r="E949" t="s">
        <v>2309</v>
      </c>
      <c r="G949" t="s">
        <v>5025</v>
      </c>
      <c r="H949" t="s">
        <v>89</v>
      </c>
      <c r="I949" t="s">
        <v>5447</v>
      </c>
      <c r="J949" t="s">
        <v>30</v>
      </c>
      <c r="K949" t="s">
        <v>1546</v>
      </c>
      <c r="M949">
        <v>80</v>
      </c>
      <c r="N949" t="s">
        <v>33</v>
      </c>
      <c r="O949" t="s">
        <v>3356</v>
      </c>
      <c r="P949" t="s">
        <v>287</v>
      </c>
      <c r="S949" t="s">
        <v>6140</v>
      </c>
      <c r="T949">
        <v>6</v>
      </c>
      <c r="U949" t="s">
        <v>40</v>
      </c>
      <c r="V949" t="s">
        <v>41</v>
      </c>
    </row>
    <row r="950" spans="1:22" x14ac:dyDescent="0.3">
      <c r="A950" s="49">
        <v>45342</v>
      </c>
      <c r="B950" t="s">
        <v>645</v>
      </c>
      <c r="E950" t="s">
        <v>3147</v>
      </c>
      <c r="G950" t="s">
        <v>5026</v>
      </c>
      <c r="H950" t="s">
        <v>28</v>
      </c>
      <c r="I950" t="s">
        <v>5448</v>
      </c>
      <c r="J950" t="s">
        <v>30</v>
      </c>
      <c r="K950" t="s">
        <v>31</v>
      </c>
      <c r="M950">
        <v>90</v>
      </c>
      <c r="N950" t="s">
        <v>49</v>
      </c>
      <c r="O950" t="s">
        <v>3357</v>
      </c>
      <c r="P950" t="s">
        <v>35</v>
      </c>
      <c r="S950" t="s">
        <v>6141</v>
      </c>
      <c r="T950">
        <v>6</v>
      </c>
      <c r="U950" t="s">
        <v>40</v>
      </c>
      <c r="V950" t="s">
        <v>41</v>
      </c>
    </row>
    <row r="951" spans="1:22" x14ac:dyDescent="0.3">
      <c r="A951" s="49">
        <v>45342</v>
      </c>
      <c r="B951" t="s">
        <v>3243</v>
      </c>
      <c r="E951" t="s">
        <v>3148</v>
      </c>
      <c r="G951" t="s">
        <v>5027</v>
      </c>
      <c r="H951" t="s">
        <v>89</v>
      </c>
      <c r="I951" t="s">
        <v>5449</v>
      </c>
      <c r="J951" t="s">
        <v>63</v>
      </c>
      <c r="K951" t="s">
        <v>64</v>
      </c>
      <c r="M951">
        <v>40</v>
      </c>
      <c r="N951" t="s">
        <v>49</v>
      </c>
      <c r="O951" t="s">
        <v>3358</v>
      </c>
      <c r="P951" t="s">
        <v>4841</v>
      </c>
      <c r="T951">
        <v>4</v>
      </c>
      <c r="U951" t="s">
        <v>56</v>
      </c>
      <c r="V951" t="s">
        <v>56</v>
      </c>
    </row>
    <row r="952" spans="1:22" x14ac:dyDescent="0.3">
      <c r="A952" s="49">
        <v>45342</v>
      </c>
      <c r="B952" t="s">
        <v>645</v>
      </c>
      <c r="E952" t="s">
        <v>3149</v>
      </c>
      <c r="G952" t="s">
        <v>5028</v>
      </c>
      <c r="H952" t="s">
        <v>28</v>
      </c>
      <c r="I952" t="s">
        <v>5450</v>
      </c>
      <c r="J952" t="s">
        <v>63</v>
      </c>
      <c r="K952" t="s">
        <v>414</v>
      </c>
      <c r="M952">
        <v>61</v>
      </c>
      <c r="N952" t="s">
        <v>49</v>
      </c>
      <c r="O952" t="s">
        <v>3359</v>
      </c>
      <c r="P952" t="s">
        <v>1697</v>
      </c>
      <c r="S952" t="s">
        <v>6142</v>
      </c>
      <c r="T952">
        <v>4</v>
      </c>
      <c r="U952" t="s">
        <v>56</v>
      </c>
      <c r="V952" t="s">
        <v>56</v>
      </c>
    </row>
    <row r="953" spans="1:22" x14ac:dyDescent="0.3">
      <c r="A953" s="49">
        <v>45342</v>
      </c>
      <c r="B953" t="s">
        <v>645</v>
      </c>
      <c r="E953" t="s">
        <v>3150</v>
      </c>
      <c r="G953" t="s">
        <v>5028</v>
      </c>
      <c r="H953" t="s">
        <v>89</v>
      </c>
      <c r="I953" t="s">
        <v>5451</v>
      </c>
      <c r="J953" t="s">
        <v>63</v>
      </c>
      <c r="K953" t="s">
        <v>64</v>
      </c>
      <c r="M953">
        <v>100</v>
      </c>
      <c r="N953" t="s">
        <v>49</v>
      </c>
      <c r="O953" t="s">
        <v>3360</v>
      </c>
      <c r="P953" t="s">
        <v>170</v>
      </c>
      <c r="S953" t="s">
        <v>6143</v>
      </c>
      <c r="T953">
        <v>4</v>
      </c>
      <c r="U953" t="s">
        <v>56</v>
      </c>
      <c r="V953" t="s">
        <v>56</v>
      </c>
    </row>
    <row r="954" spans="1:22" x14ac:dyDescent="0.3">
      <c r="A954" s="49">
        <v>45342</v>
      </c>
      <c r="B954" t="s">
        <v>645</v>
      </c>
      <c r="E954" t="s">
        <v>3151</v>
      </c>
      <c r="G954" t="s">
        <v>5029</v>
      </c>
      <c r="H954" t="s">
        <v>89</v>
      </c>
      <c r="I954" t="s">
        <v>5452</v>
      </c>
      <c r="J954" t="s">
        <v>63</v>
      </c>
      <c r="K954" t="s">
        <v>197</v>
      </c>
      <c r="M954">
        <v>100</v>
      </c>
      <c r="N954" t="s">
        <v>49</v>
      </c>
      <c r="O954" t="s">
        <v>3361</v>
      </c>
      <c r="P954" t="s">
        <v>344</v>
      </c>
      <c r="S954" t="s">
        <v>6144</v>
      </c>
      <c r="T954">
        <v>4</v>
      </c>
      <c r="U954" t="s">
        <v>56</v>
      </c>
      <c r="V954" t="s">
        <v>56</v>
      </c>
    </row>
    <row r="955" spans="1:22" x14ac:dyDescent="0.3">
      <c r="A955" s="49">
        <v>45342</v>
      </c>
      <c r="B955" t="s">
        <v>645</v>
      </c>
      <c r="E955" t="s">
        <v>3152</v>
      </c>
      <c r="G955" t="s">
        <v>5029</v>
      </c>
      <c r="H955" t="s">
        <v>89</v>
      </c>
      <c r="I955" t="s">
        <v>5453</v>
      </c>
      <c r="J955" t="s">
        <v>63</v>
      </c>
      <c r="K955" t="s">
        <v>463</v>
      </c>
      <c r="M955">
        <v>100</v>
      </c>
      <c r="N955" t="s">
        <v>49</v>
      </c>
      <c r="O955" t="s">
        <v>3361</v>
      </c>
      <c r="P955" t="s">
        <v>344</v>
      </c>
      <c r="S955" t="s">
        <v>6145</v>
      </c>
      <c r="T955">
        <v>4</v>
      </c>
      <c r="U955" t="s">
        <v>56</v>
      </c>
      <c r="V955" t="s">
        <v>56</v>
      </c>
    </row>
    <row r="956" spans="1:22" x14ac:dyDescent="0.3">
      <c r="A956" s="49">
        <v>45342</v>
      </c>
      <c r="B956" t="s">
        <v>645</v>
      </c>
      <c r="E956" t="s">
        <v>3153</v>
      </c>
      <c r="G956" t="s">
        <v>5030</v>
      </c>
      <c r="H956" t="s">
        <v>89</v>
      </c>
      <c r="I956" t="s">
        <v>5454</v>
      </c>
      <c r="J956" t="s">
        <v>46</v>
      </c>
      <c r="K956" t="s">
        <v>481</v>
      </c>
      <c r="M956">
        <v>0</v>
      </c>
      <c r="N956" t="s">
        <v>49</v>
      </c>
      <c r="O956" t="s">
        <v>3362</v>
      </c>
      <c r="P956" t="s">
        <v>4842</v>
      </c>
      <c r="S956" t="s">
        <v>6146</v>
      </c>
      <c r="T956">
        <v>4</v>
      </c>
      <c r="U956" t="s">
        <v>56</v>
      </c>
      <c r="V956" t="s">
        <v>56</v>
      </c>
    </row>
    <row r="957" spans="1:22" x14ac:dyDescent="0.3">
      <c r="A957" s="49">
        <v>45342</v>
      </c>
      <c r="B957" t="s">
        <v>645</v>
      </c>
      <c r="E957" t="s">
        <v>3154</v>
      </c>
      <c r="G957" t="s">
        <v>5031</v>
      </c>
      <c r="H957" t="s">
        <v>28</v>
      </c>
      <c r="I957" t="s">
        <v>5455</v>
      </c>
      <c r="J957" t="s">
        <v>63</v>
      </c>
      <c r="K957" t="s">
        <v>414</v>
      </c>
      <c r="M957">
        <v>1</v>
      </c>
      <c r="N957" t="s">
        <v>33</v>
      </c>
      <c r="O957" t="s">
        <v>3363</v>
      </c>
      <c r="P957" t="s">
        <v>4839</v>
      </c>
      <c r="S957" t="s">
        <v>6147</v>
      </c>
      <c r="T957">
        <v>4</v>
      </c>
      <c r="U957" t="s">
        <v>56</v>
      </c>
      <c r="V957" t="s">
        <v>56</v>
      </c>
    </row>
    <row r="958" spans="1:22" x14ac:dyDescent="0.3">
      <c r="A958" s="49">
        <v>45342</v>
      </c>
      <c r="B958" t="s">
        <v>645</v>
      </c>
      <c r="E958" t="s">
        <v>3118</v>
      </c>
      <c r="G958" t="s">
        <v>5032</v>
      </c>
      <c r="H958" t="s">
        <v>28</v>
      </c>
      <c r="I958" t="s">
        <v>5456</v>
      </c>
      <c r="J958" t="s">
        <v>63</v>
      </c>
      <c r="K958" t="s">
        <v>256</v>
      </c>
      <c r="M958">
        <v>0.93000000715255704</v>
      </c>
      <c r="N958" t="s">
        <v>49</v>
      </c>
      <c r="O958" t="s">
        <v>3364</v>
      </c>
      <c r="P958" t="s">
        <v>1237</v>
      </c>
      <c r="S958" t="s">
        <v>6148</v>
      </c>
      <c r="T958">
        <v>4</v>
      </c>
      <c r="U958" t="s">
        <v>56</v>
      </c>
      <c r="V958" t="s">
        <v>56</v>
      </c>
    </row>
    <row r="959" spans="1:22" x14ac:dyDescent="0.3">
      <c r="A959" s="49">
        <v>45342</v>
      </c>
      <c r="B959" t="s">
        <v>645</v>
      </c>
      <c r="E959" t="s">
        <v>3155</v>
      </c>
      <c r="G959" t="s">
        <v>5033</v>
      </c>
      <c r="H959" t="s">
        <v>28</v>
      </c>
      <c r="I959" t="s">
        <v>5457</v>
      </c>
      <c r="J959" t="s">
        <v>1712</v>
      </c>
      <c r="K959" t="s">
        <v>481</v>
      </c>
      <c r="M959">
        <v>1</v>
      </c>
      <c r="N959" t="s">
        <v>33</v>
      </c>
      <c r="O959" t="s">
        <v>3365</v>
      </c>
      <c r="P959" t="s">
        <v>4843</v>
      </c>
      <c r="S959" t="s">
        <v>6149</v>
      </c>
      <c r="T959">
        <v>4</v>
      </c>
      <c r="U959" t="s">
        <v>56</v>
      </c>
      <c r="V959" t="s">
        <v>56</v>
      </c>
    </row>
    <row r="960" spans="1:22" x14ac:dyDescent="0.3">
      <c r="A960" s="49">
        <v>45342</v>
      </c>
      <c r="B960" t="s">
        <v>891</v>
      </c>
      <c r="E960" t="s">
        <v>2777</v>
      </c>
      <c r="G960" t="s">
        <v>5031</v>
      </c>
      <c r="H960" t="s">
        <v>89</v>
      </c>
      <c r="I960" t="s">
        <v>5458</v>
      </c>
      <c r="J960" t="s">
        <v>46</v>
      </c>
      <c r="K960" t="s">
        <v>422</v>
      </c>
      <c r="M960">
        <v>100</v>
      </c>
      <c r="N960" t="s">
        <v>49</v>
      </c>
      <c r="O960" t="s">
        <v>3366</v>
      </c>
      <c r="P960" t="s">
        <v>170</v>
      </c>
      <c r="S960" t="s">
        <v>6150</v>
      </c>
      <c r="T960">
        <v>4</v>
      </c>
      <c r="U960" t="s">
        <v>56</v>
      </c>
      <c r="V960" t="s">
        <v>56</v>
      </c>
    </row>
    <row r="961" spans="1:22" x14ac:dyDescent="0.3">
      <c r="A961" s="49">
        <v>45342</v>
      </c>
      <c r="B961" t="s">
        <v>645</v>
      </c>
      <c r="E961" t="s">
        <v>3156</v>
      </c>
      <c r="G961" t="s">
        <v>5034</v>
      </c>
      <c r="H961" t="s">
        <v>89</v>
      </c>
      <c r="J961" t="s">
        <v>63</v>
      </c>
      <c r="K961" t="s">
        <v>414</v>
      </c>
      <c r="M961">
        <v>100</v>
      </c>
      <c r="N961" t="s">
        <v>49</v>
      </c>
      <c r="O961" t="s">
        <v>3367</v>
      </c>
      <c r="P961" t="s">
        <v>306</v>
      </c>
      <c r="S961" t="s">
        <v>6151</v>
      </c>
      <c r="T961">
        <v>4</v>
      </c>
      <c r="U961" t="s">
        <v>56</v>
      </c>
      <c r="V961" t="s">
        <v>56</v>
      </c>
    </row>
    <row r="962" spans="1:22" x14ac:dyDescent="0.3">
      <c r="A962" s="49">
        <v>45342</v>
      </c>
      <c r="B962" t="s">
        <v>645</v>
      </c>
      <c r="E962" t="s">
        <v>3156</v>
      </c>
      <c r="G962" t="s">
        <v>5034</v>
      </c>
      <c r="H962" t="s">
        <v>28</v>
      </c>
      <c r="I962" t="s">
        <v>5459</v>
      </c>
      <c r="J962" t="s">
        <v>46</v>
      </c>
      <c r="K962" t="s">
        <v>481</v>
      </c>
      <c r="M962">
        <v>0</v>
      </c>
      <c r="N962" t="s">
        <v>49</v>
      </c>
      <c r="O962" t="s">
        <v>3368</v>
      </c>
      <c r="P962" t="s">
        <v>686</v>
      </c>
      <c r="S962" t="s">
        <v>6152</v>
      </c>
      <c r="T962">
        <v>4</v>
      </c>
      <c r="U962" t="s">
        <v>56</v>
      </c>
      <c r="V962" t="s">
        <v>56</v>
      </c>
    </row>
    <row r="963" spans="1:22" x14ac:dyDescent="0.3">
      <c r="A963" s="49">
        <v>45342</v>
      </c>
      <c r="B963" t="s">
        <v>645</v>
      </c>
      <c r="E963" t="s">
        <v>3157</v>
      </c>
      <c r="G963" t="s">
        <v>5035</v>
      </c>
      <c r="H963" t="s">
        <v>28</v>
      </c>
      <c r="I963" t="s">
        <v>5445</v>
      </c>
      <c r="J963" t="s">
        <v>63</v>
      </c>
      <c r="K963" t="s">
        <v>256</v>
      </c>
      <c r="M963">
        <v>1</v>
      </c>
      <c r="N963" t="s">
        <v>33</v>
      </c>
      <c r="O963" t="s">
        <v>3369</v>
      </c>
      <c r="P963" t="s">
        <v>603</v>
      </c>
      <c r="S963" t="s">
        <v>6153</v>
      </c>
      <c r="T963">
        <v>4</v>
      </c>
      <c r="U963" t="s">
        <v>56</v>
      </c>
      <c r="V963" t="s">
        <v>56</v>
      </c>
    </row>
    <row r="964" spans="1:22" x14ac:dyDescent="0.3">
      <c r="A964" s="49">
        <v>45342</v>
      </c>
      <c r="B964" t="s">
        <v>645</v>
      </c>
      <c r="E964" t="s">
        <v>3121</v>
      </c>
      <c r="G964" t="s">
        <v>864</v>
      </c>
      <c r="H964" t="s">
        <v>28</v>
      </c>
      <c r="I964" t="s">
        <v>865</v>
      </c>
      <c r="J964" t="s">
        <v>63</v>
      </c>
      <c r="K964" t="s">
        <v>414</v>
      </c>
      <c r="M964">
        <v>90</v>
      </c>
      <c r="N964" t="s">
        <v>33</v>
      </c>
      <c r="O964" t="s">
        <v>3370</v>
      </c>
      <c r="P964" t="s">
        <v>1727</v>
      </c>
      <c r="S964" t="s">
        <v>6094</v>
      </c>
      <c r="T964">
        <v>6</v>
      </c>
      <c r="U964" t="s">
        <v>40</v>
      </c>
      <c r="V964" t="s">
        <v>41</v>
      </c>
    </row>
    <row r="965" spans="1:22" x14ac:dyDescent="0.3">
      <c r="A965" s="49">
        <v>45342</v>
      </c>
      <c r="B965" t="s">
        <v>891</v>
      </c>
      <c r="E965" t="s">
        <v>3121</v>
      </c>
      <c r="G965" t="s">
        <v>364</v>
      </c>
      <c r="H965" t="s">
        <v>89</v>
      </c>
      <c r="J965" t="s">
        <v>63</v>
      </c>
      <c r="K965" t="s">
        <v>256</v>
      </c>
      <c r="M965">
        <v>0</v>
      </c>
      <c r="N965" t="s">
        <v>74</v>
      </c>
      <c r="O965" t="s">
        <v>3371</v>
      </c>
      <c r="P965" t="s">
        <v>1398</v>
      </c>
      <c r="S965" t="s">
        <v>6154</v>
      </c>
      <c r="T965">
        <v>4</v>
      </c>
      <c r="U965" t="s">
        <v>56</v>
      </c>
      <c r="V965" t="s">
        <v>56</v>
      </c>
    </row>
    <row r="966" spans="1:22" x14ac:dyDescent="0.3">
      <c r="A966" s="49">
        <v>45342</v>
      </c>
      <c r="B966" t="s">
        <v>645</v>
      </c>
      <c r="E966" t="s">
        <v>3121</v>
      </c>
      <c r="G966" t="s">
        <v>4985</v>
      </c>
      <c r="H966" t="s">
        <v>89</v>
      </c>
      <c r="I966" t="s">
        <v>5460</v>
      </c>
      <c r="J966" t="s">
        <v>63</v>
      </c>
      <c r="K966" t="s">
        <v>64</v>
      </c>
      <c r="M966">
        <v>100</v>
      </c>
      <c r="N966" t="s">
        <v>49</v>
      </c>
      <c r="O966" t="s">
        <v>3372</v>
      </c>
      <c r="P966" t="s">
        <v>170</v>
      </c>
      <c r="S966" t="s">
        <v>6155</v>
      </c>
      <c r="T966">
        <v>4</v>
      </c>
      <c r="U966" t="s">
        <v>56</v>
      </c>
      <c r="V966" t="s">
        <v>56</v>
      </c>
    </row>
    <row r="967" spans="1:22" x14ac:dyDescent="0.3">
      <c r="A967" s="49">
        <v>45342</v>
      </c>
      <c r="B967" t="s">
        <v>645</v>
      </c>
      <c r="E967" t="s">
        <v>2006</v>
      </c>
      <c r="G967" t="s">
        <v>5036</v>
      </c>
      <c r="H967" t="s">
        <v>89</v>
      </c>
      <c r="I967" t="s">
        <v>5461</v>
      </c>
      <c r="J967" t="s">
        <v>30</v>
      </c>
      <c r="K967" t="s">
        <v>4925</v>
      </c>
      <c r="M967">
        <v>100</v>
      </c>
      <c r="N967" t="s">
        <v>49</v>
      </c>
      <c r="O967" t="s">
        <v>3373</v>
      </c>
      <c r="P967" t="s">
        <v>4844</v>
      </c>
      <c r="S967" t="s">
        <v>6156</v>
      </c>
      <c r="T967">
        <v>4</v>
      </c>
      <c r="U967" t="s">
        <v>56</v>
      </c>
      <c r="V967" t="s">
        <v>56</v>
      </c>
    </row>
    <row r="968" spans="1:22" x14ac:dyDescent="0.3">
      <c r="A968" s="49">
        <v>45342</v>
      </c>
      <c r="B968" t="s">
        <v>645</v>
      </c>
      <c r="E968" t="s">
        <v>3158</v>
      </c>
      <c r="G968" t="s">
        <v>5037</v>
      </c>
      <c r="H968" t="s">
        <v>28</v>
      </c>
      <c r="I968" t="s">
        <v>5462</v>
      </c>
      <c r="J968" t="s">
        <v>63</v>
      </c>
      <c r="K968" t="s">
        <v>4926</v>
      </c>
      <c r="M968">
        <v>0.119999997317791</v>
      </c>
      <c r="N968" t="s">
        <v>49</v>
      </c>
      <c r="O968" t="s">
        <v>3374</v>
      </c>
      <c r="P968" t="s">
        <v>416</v>
      </c>
      <c r="S968" t="s">
        <v>6157</v>
      </c>
      <c r="T968">
        <v>4</v>
      </c>
      <c r="U968" t="s">
        <v>56</v>
      </c>
      <c r="V968" t="s">
        <v>56</v>
      </c>
    </row>
    <row r="969" spans="1:22" x14ac:dyDescent="0.3">
      <c r="A969" s="49">
        <v>45342</v>
      </c>
      <c r="B969" t="s">
        <v>645</v>
      </c>
      <c r="E969" t="s">
        <v>3158</v>
      </c>
      <c r="G969" t="s">
        <v>5037</v>
      </c>
      <c r="H969" t="s">
        <v>28</v>
      </c>
      <c r="I969" t="s">
        <v>5462</v>
      </c>
      <c r="J969" t="s">
        <v>63</v>
      </c>
      <c r="K969" t="s">
        <v>4926</v>
      </c>
      <c r="M969">
        <v>0.119999997317791</v>
      </c>
      <c r="N969" t="s">
        <v>49</v>
      </c>
      <c r="O969" t="s">
        <v>3375</v>
      </c>
      <c r="P969" t="s">
        <v>4838</v>
      </c>
      <c r="S969" t="s">
        <v>6157</v>
      </c>
      <c r="T969">
        <v>4</v>
      </c>
      <c r="U969" t="s">
        <v>56</v>
      </c>
      <c r="V969" t="s">
        <v>56</v>
      </c>
    </row>
    <row r="970" spans="1:22" x14ac:dyDescent="0.3">
      <c r="A970" s="49">
        <v>45342</v>
      </c>
      <c r="B970" t="s">
        <v>645</v>
      </c>
      <c r="E970" t="s">
        <v>3124</v>
      </c>
      <c r="G970" t="s">
        <v>864</v>
      </c>
      <c r="H970" t="s">
        <v>89</v>
      </c>
      <c r="I970" t="s">
        <v>5463</v>
      </c>
      <c r="J970" t="s">
        <v>63</v>
      </c>
      <c r="K970" t="s">
        <v>211</v>
      </c>
      <c r="M970">
        <v>100</v>
      </c>
      <c r="N970" t="s">
        <v>49</v>
      </c>
      <c r="O970" t="s">
        <v>3376</v>
      </c>
      <c r="P970" t="s">
        <v>668</v>
      </c>
      <c r="S970" t="s">
        <v>6158</v>
      </c>
      <c r="T970">
        <v>4</v>
      </c>
      <c r="U970" t="s">
        <v>56</v>
      </c>
      <c r="V970" t="s">
        <v>56</v>
      </c>
    </row>
    <row r="971" spans="1:22" x14ac:dyDescent="0.3">
      <c r="A971" s="49">
        <v>45342</v>
      </c>
      <c r="B971" t="s">
        <v>891</v>
      </c>
      <c r="E971" t="s">
        <v>3124</v>
      </c>
      <c r="G971" t="s">
        <v>379</v>
      </c>
      <c r="H971" t="s">
        <v>89</v>
      </c>
      <c r="I971" t="s">
        <v>5464</v>
      </c>
      <c r="J971" t="s">
        <v>46</v>
      </c>
      <c r="K971" t="s">
        <v>880</v>
      </c>
      <c r="M971">
        <v>90</v>
      </c>
      <c r="N971" t="s">
        <v>49</v>
      </c>
      <c r="O971" t="s">
        <v>3377</v>
      </c>
      <c r="P971" t="s">
        <v>4844</v>
      </c>
      <c r="S971" t="s">
        <v>6159</v>
      </c>
      <c r="T971">
        <v>4</v>
      </c>
      <c r="U971" t="s">
        <v>56</v>
      </c>
      <c r="V971" t="s">
        <v>56</v>
      </c>
    </row>
    <row r="972" spans="1:22" x14ac:dyDescent="0.3">
      <c r="A972" s="49">
        <v>45342</v>
      </c>
      <c r="B972" t="s">
        <v>645</v>
      </c>
      <c r="E972" t="s">
        <v>3124</v>
      </c>
      <c r="G972" t="s">
        <v>379</v>
      </c>
      <c r="H972" t="s">
        <v>89</v>
      </c>
      <c r="I972" t="s">
        <v>2708</v>
      </c>
      <c r="J972" t="s">
        <v>63</v>
      </c>
      <c r="K972" t="s">
        <v>414</v>
      </c>
      <c r="M972">
        <v>100</v>
      </c>
      <c r="N972" t="s">
        <v>49</v>
      </c>
      <c r="O972" t="s">
        <v>3378</v>
      </c>
      <c r="P972" t="s">
        <v>1727</v>
      </c>
      <c r="S972" t="s">
        <v>6160</v>
      </c>
      <c r="T972">
        <v>4</v>
      </c>
      <c r="U972" t="s">
        <v>56</v>
      </c>
      <c r="V972" t="s">
        <v>56</v>
      </c>
    </row>
    <row r="973" spans="1:22" x14ac:dyDescent="0.3">
      <c r="A973" s="49">
        <v>45342</v>
      </c>
      <c r="B973" t="s">
        <v>645</v>
      </c>
      <c r="E973" t="s">
        <v>3124</v>
      </c>
      <c r="G973" t="s">
        <v>4991</v>
      </c>
      <c r="H973" t="s">
        <v>28</v>
      </c>
      <c r="I973" t="s">
        <v>5465</v>
      </c>
      <c r="J973" t="s">
        <v>63</v>
      </c>
      <c r="K973" t="s">
        <v>64</v>
      </c>
      <c r="M973">
        <v>1</v>
      </c>
      <c r="N973" t="s">
        <v>49</v>
      </c>
      <c r="O973" t="s">
        <v>3379</v>
      </c>
      <c r="P973" t="s">
        <v>466</v>
      </c>
      <c r="S973" t="s">
        <v>6095</v>
      </c>
      <c r="T973">
        <v>4</v>
      </c>
      <c r="U973" t="s">
        <v>56</v>
      </c>
      <c r="V973" t="s">
        <v>56</v>
      </c>
    </row>
    <row r="974" spans="1:22" x14ac:dyDescent="0.3">
      <c r="A974" s="49">
        <v>45342</v>
      </c>
      <c r="B974" t="s">
        <v>645</v>
      </c>
      <c r="E974" t="s">
        <v>3124</v>
      </c>
      <c r="G974" t="s">
        <v>4991</v>
      </c>
      <c r="H974" t="s">
        <v>89</v>
      </c>
      <c r="J974" t="s">
        <v>1712</v>
      </c>
      <c r="K974" t="s">
        <v>481</v>
      </c>
      <c r="M974">
        <v>0</v>
      </c>
      <c r="N974" t="s">
        <v>49</v>
      </c>
      <c r="O974" t="s">
        <v>3380</v>
      </c>
      <c r="P974" t="s">
        <v>4845</v>
      </c>
      <c r="S974" t="s">
        <v>6161</v>
      </c>
      <c r="T974">
        <v>4</v>
      </c>
      <c r="U974" t="s">
        <v>56</v>
      </c>
      <c r="V974" t="s">
        <v>56</v>
      </c>
    </row>
    <row r="975" spans="1:22" x14ac:dyDescent="0.3">
      <c r="A975" s="49">
        <v>45342</v>
      </c>
      <c r="B975" t="s">
        <v>645</v>
      </c>
      <c r="E975" t="s">
        <v>3159</v>
      </c>
      <c r="G975" t="s">
        <v>5038</v>
      </c>
      <c r="H975" t="s">
        <v>28</v>
      </c>
      <c r="I975" t="s">
        <v>5466</v>
      </c>
      <c r="J975" t="s">
        <v>63</v>
      </c>
      <c r="K975" t="s">
        <v>256</v>
      </c>
      <c r="M975">
        <v>0</v>
      </c>
      <c r="N975" t="s">
        <v>74</v>
      </c>
      <c r="O975" t="s">
        <v>3381</v>
      </c>
      <c r="P975" t="s">
        <v>1398</v>
      </c>
      <c r="S975" t="s">
        <v>6162</v>
      </c>
      <c r="T975">
        <v>5</v>
      </c>
      <c r="U975" t="s">
        <v>40</v>
      </c>
      <c r="V975" t="s">
        <v>41</v>
      </c>
    </row>
    <row r="976" spans="1:22" x14ac:dyDescent="0.3">
      <c r="A976" s="49">
        <v>45342</v>
      </c>
      <c r="B976" t="s">
        <v>645</v>
      </c>
      <c r="E976" t="s">
        <v>2720</v>
      </c>
      <c r="G976" t="s">
        <v>5038</v>
      </c>
      <c r="H976" t="s">
        <v>89</v>
      </c>
      <c r="I976" t="s">
        <v>5467</v>
      </c>
      <c r="J976" t="s">
        <v>63</v>
      </c>
      <c r="K976" t="s">
        <v>463</v>
      </c>
      <c r="M976">
        <v>100</v>
      </c>
      <c r="N976" t="s">
        <v>33</v>
      </c>
      <c r="O976" t="s">
        <v>3381</v>
      </c>
      <c r="P976" t="s">
        <v>358</v>
      </c>
      <c r="S976" t="s">
        <v>6162</v>
      </c>
      <c r="T976">
        <v>5</v>
      </c>
      <c r="U976" t="s">
        <v>40</v>
      </c>
      <c r="V976" t="s">
        <v>41</v>
      </c>
    </row>
    <row r="977" spans="1:22" x14ac:dyDescent="0.3">
      <c r="A977" s="49">
        <v>45342</v>
      </c>
      <c r="B977" t="s">
        <v>645</v>
      </c>
      <c r="E977" t="s">
        <v>2720</v>
      </c>
      <c r="G977" t="s">
        <v>5038</v>
      </c>
      <c r="H977" t="s">
        <v>89</v>
      </c>
      <c r="I977" t="s">
        <v>5467</v>
      </c>
      <c r="J977" t="s">
        <v>63</v>
      </c>
      <c r="K977" t="s">
        <v>463</v>
      </c>
      <c r="M977">
        <v>80</v>
      </c>
      <c r="N977" t="s">
        <v>33</v>
      </c>
      <c r="O977" t="s">
        <v>3381</v>
      </c>
      <c r="P977" t="s">
        <v>358</v>
      </c>
      <c r="S977" t="s">
        <v>6162</v>
      </c>
      <c r="T977">
        <v>5</v>
      </c>
      <c r="U977" t="s">
        <v>40</v>
      </c>
      <c r="V977" t="s">
        <v>41</v>
      </c>
    </row>
    <row r="978" spans="1:22" x14ac:dyDescent="0.3">
      <c r="A978" s="49">
        <v>45342</v>
      </c>
      <c r="B978" t="s">
        <v>891</v>
      </c>
      <c r="E978" t="s">
        <v>3160</v>
      </c>
      <c r="G978" t="s">
        <v>5039</v>
      </c>
      <c r="H978" t="s">
        <v>89</v>
      </c>
      <c r="I978" t="s">
        <v>5468</v>
      </c>
      <c r="J978" t="s">
        <v>63</v>
      </c>
      <c r="K978" t="s">
        <v>414</v>
      </c>
      <c r="M978">
        <v>100</v>
      </c>
      <c r="N978" t="s">
        <v>49</v>
      </c>
      <c r="O978" t="s">
        <v>3382</v>
      </c>
      <c r="P978" t="s">
        <v>35</v>
      </c>
      <c r="S978" t="s">
        <v>6163</v>
      </c>
      <c r="T978">
        <v>4</v>
      </c>
      <c r="U978" t="s">
        <v>56</v>
      </c>
      <c r="V978" t="s">
        <v>56</v>
      </c>
    </row>
    <row r="979" spans="1:22" x14ac:dyDescent="0.3">
      <c r="A979" s="49">
        <v>45342</v>
      </c>
      <c r="B979" t="s">
        <v>645</v>
      </c>
      <c r="E979" t="s">
        <v>3126</v>
      </c>
      <c r="G979" t="s">
        <v>4993</v>
      </c>
      <c r="H979" t="s">
        <v>89</v>
      </c>
      <c r="J979" t="s">
        <v>63</v>
      </c>
      <c r="K979" t="s">
        <v>414</v>
      </c>
      <c r="M979">
        <v>100</v>
      </c>
      <c r="N979" t="s">
        <v>49</v>
      </c>
      <c r="O979" t="s">
        <v>3383</v>
      </c>
      <c r="P979" t="s">
        <v>4846</v>
      </c>
      <c r="S979" t="s">
        <v>6164</v>
      </c>
      <c r="T979">
        <v>4</v>
      </c>
      <c r="U979" t="s">
        <v>56</v>
      </c>
      <c r="V979" t="s">
        <v>56</v>
      </c>
    </row>
    <row r="980" spans="1:22" x14ac:dyDescent="0.3">
      <c r="A980" s="49">
        <v>45342</v>
      </c>
      <c r="B980" t="s">
        <v>645</v>
      </c>
      <c r="E980" t="s">
        <v>3161</v>
      </c>
      <c r="G980" t="s">
        <v>5040</v>
      </c>
      <c r="H980" t="s">
        <v>89</v>
      </c>
      <c r="J980" t="s">
        <v>63</v>
      </c>
      <c r="K980" t="s">
        <v>414</v>
      </c>
      <c r="M980">
        <v>55</v>
      </c>
      <c r="N980" t="s">
        <v>49</v>
      </c>
      <c r="O980" t="s">
        <v>3384</v>
      </c>
      <c r="P980" t="s">
        <v>35</v>
      </c>
      <c r="S980" t="s">
        <v>6165</v>
      </c>
      <c r="T980">
        <v>3</v>
      </c>
      <c r="U980" t="s">
        <v>1763</v>
      </c>
      <c r="V980" t="s">
        <v>56</v>
      </c>
    </row>
    <row r="981" spans="1:22" x14ac:dyDescent="0.3">
      <c r="A981" s="49">
        <v>45342</v>
      </c>
      <c r="B981" t="s">
        <v>645</v>
      </c>
      <c r="E981" t="s">
        <v>3161</v>
      </c>
      <c r="G981" t="s">
        <v>5041</v>
      </c>
      <c r="H981" t="s">
        <v>89</v>
      </c>
      <c r="I981" t="s">
        <v>5469</v>
      </c>
      <c r="J981" t="s">
        <v>63</v>
      </c>
      <c r="K981" t="s">
        <v>414</v>
      </c>
      <c r="M981">
        <v>90</v>
      </c>
      <c r="N981" t="s">
        <v>33</v>
      </c>
      <c r="O981" t="s">
        <v>3385</v>
      </c>
      <c r="P981" t="s">
        <v>1189</v>
      </c>
      <c r="S981" t="s">
        <v>6166</v>
      </c>
      <c r="T981">
        <v>4</v>
      </c>
      <c r="U981" t="s">
        <v>56</v>
      </c>
      <c r="V981" t="s">
        <v>56</v>
      </c>
    </row>
    <row r="982" spans="1:22" x14ac:dyDescent="0.3">
      <c r="A982" s="49">
        <v>45342</v>
      </c>
      <c r="B982" t="s">
        <v>891</v>
      </c>
      <c r="E982" t="s">
        <v>3162</v>
      </c>
      <c r="G982" t="s">
        <v>5042</v>
      </c>
      <c r="H982" t="s">
        <v>89</v>
      </c>
      <c r="J982" t="s">
        <v>63</v>
      </c>
      <c r="K982" t="s">
        <v>2692</v>
      </c>
      <c r="M982">
        <v>50</v>
      </c>
      <c r="N982" t="s">
        <v>49</v>
      </c>
      <c r="O982" t="s">
        <v>3386</v>
      </c>
      <c r="P982" t="s">
        <v>1878</v>
      </c>
      <c r="S982" t="s">
        <v>6167</v>
      </c>
      <c r="T982">
        <v>4</v>
      </c>
      <c r="U982" t="s">
        <v>56</v>
      </c>
      <c r="V982" t="s">
        <v>56</v>
      </c>
    </row>
    <row r="983" spans="1:22" x14ac:dyDescent="0.3">
      <c r="A983" s="49">
        <v>45342</v>
      </c>
      <c r="B983" t="s">
        <v>645</v>
      </c>
      <c r="E983" t="s">
        <v>3163</v>
      </c>
      <c r="G983" t="s">
        <v>5043</v>
      </c>
      <c r="H983" t="s">
        <v>89</v>
      </c>
      <c r="J983" t="s">
        <v>63</v>
      </c>
      <c r="K983" t="s">
        <v>414</v>
      </c>
      <c r="M983">
        <v>16</v>
      </c>
      <c r="N983" t="s">
        <v>49</v>
      </c>
      <c r="O983" t="s">
        <v>3387</v>
      </c>
      <c r="P983" t="s">
        <v>791</v>
      </c>
      <c r="S983" t="s">
        <v>6168</v>
      </c>
      <c r="T983">
        <v>4</v>
      </c>
      <c r="U983" t="s">
        <v>56</v>
      </c>
      <c r="V983" t="s">
        <v>56</v>
      </c>
    </row>
    <row r="984" spans="1:22" x14ac:dyDescent="0.3">
      <c r="A984" s="49">
        <v>45342</v>
      </c>
      <c r="B984" t="s">
        <v>645</v>
      </c>
      <c r="E984" t="s">
        <v>899</v>
      </c>
      <c r="G984" t="s">
        <v>5044</v>
      </c>
      <c r="H984" t="s">
        <v>28</v>
      </c>
      <c r="I984" t="s">
        <v>5470</v>
      </c>
      <c r="J984" t="s">
        <v>63</v>
      </c>
      <c r="K984" t="s">
        <v>4927</v>
      </c>
      <c r="M984">
        <v>0</v>
      </c>
      <c r="N984" t="s">
        <v>49</v>
      </c>
      <c r="O984" t="s">
        <v>3388</v>
      </c>
      <c r="P984" t="s">
        <v>498</v>
      </c>
      <c r="S984" t="s">
        <v>6169</v>
      </c>
      <c r="T984">
        <v>4</v>
      </c>
      <c r="U984" t="s">
        <v>56</v>
      </c>
      <c r="V984" t="s">
        <v>56</v>
      </c>
    </row>
    <row r="985" spans="1:22" x14ac:dyDescent="0.3">
      <c r="A985" s="49">
        <v>45342</v>
      </c>
      <c r="B985" t="s">
        <v>645</v>
      </c>
      <c r="E985" t="s">
        <v>899</v>
      </c>
      <c r="G985" t="s">
        <v>5044</v>
      </c>
      <c r="H985" t="s">
        <v>28</v>
      </c>
      <c r="I985" t="s">
        <v>5470</v>
      </c>
      <c r="J985" t="s">
        <v>63</v>
      </c>
      <c r="K985" t="s">
        <v>4927</v>
      </c>
      <c r="M985">
        <v>0</v>
      </c>
      <c r="N985" t="s">
        <v>49</v>
      </c>
      <c r="O985" t="s">
        <v>3388</v>
      </c>
      <c r="P985" t="s">
        <v>498</v>
      </c>
      <c r="S985" t="s">
        <v>6169</v>
      </c>
      <c r="T985">
        <v>4</v>
      </c>
      <c r="U985" t="s">
        <v>56</v>
      </c>
      <c r="V985" t="s">
        <v>56</v>
      </c>
    </row>
    <row r="986" spans="1:22" x14ac:dyDescent="0.3">
      <c r="A986" s="49">
        <v>45342</v>
      </c>
      <c r="B986" t="s">
        <v>891</v>
      </c>
      <c r="E986" t="s">
        <v>3110</v>
      </c>
      <c r="G986" t="s">
        <v>5045</v>
      </c>
      <c r="H986" t="s">
        <v>89</v>
      </c>
      <c r="I986" t="s">
        <v>5471</v>
      </c>
      <c r="J986" t="s">
        <v>63</v>
      </c>
      <c r="K986" t="s">
        <v>414</v>
      </c>
      <c r="M986">
        <v>60</v>
      </c>
      <c r="N986" t="s">
        <v>49</v>
      </c>
      <c r="O986" t="s">
        <v>3389</v>
      </c>
      <c r="P986" t="s">
        <v>163</v>
      </c>
      <c r="S986" t="s">
        <v>6170</v>
      </c>
      <c r="T986">
        <v>6</v>
      </c>
      <c r="U986" t="s">
        <v>40</v>
      </c>
      <c r="V986" t="s">
        <v>41</v>
      </c>
    </row>
    <row r="987" spans="1:22" x14ac:dyDescent="0.3">
      <c r="A987" s="49">
        <v>45342</v>
      </c>
      <c r="B987" t="s">
        <v>645</v>
      </c>
      <c r="E987" t="s">
        <v>3130</v>
      </c>
      <c r="G987" t="s">
        <v>4998</v>
      </c>
      <c r="H987" t="s">
        <v>28</v>
      </c>
      <c r="I987" t="s">
        <v>5472</v>
      </c>
      <c r="J987" t="s">
        <v>63</v>
      </c>
      <c r="K987" t="s">
        <v>414</v>
      </c>
      <c r="M987">
        <v>0</v>
      </c>
      <c r="N987" t="s">
        <v>49</v>
      </c>
      <c r="O987" t="s">
        <v>3390</v>
      </c>
      <c r="P987" t="s">
        <v>4847</v>
      </c>
      <c r="S987" t="s">
        <v>6171</v>
      </c>
      <c r="T987">
        <v>4</v>
      </c>
      <c r="U987" t="s">
        <v>56</v>
      </c>
      <c r="V987" t="s">
        <v>56</v>
      </c>
    </row>
    <row r="988" spans="1:22" x14ac:dyDescent="0.3">
      <c r="A988" s="49">
        <v>45342</v>
      </c>
      <c r="B988" t="s">
        <v>645</v>
      </c>
      <c r="E988" t="s">
        <v>3131</v>
      </c>
      <c r="G988" t="s">
        <v>4999</v>
      </c>
      <c r="H988" t="s">
        <v>89</v>
      </c>
      <c r="I988" t="s">
        <v>5473</v>
      </c>
      <c r="J988" t="s">
        <v>63</v>
      </c>
      <c r="K988" t="s">
        <v>1235</v>
      </c>
      <c r="M988">
        <v>90</v>
      </c>
      <c r="N988" t="s">
        <v>33</v>
      </c>
      <c r="O988" t="s">
        <v>3391</v>
      </c>
      <c r="P988" t="s">
        <v>85</v>
      </c>
      <c r="S988" t="s">
        <v>6172</v>
      </c>
      <c r="T988">
        <v>6</v>
      </c>
      <c r="U988" t="s">
        <v>40</v>
      </c>
      <c r="V988" t="s">
        <v>41</v>
      </c>
    </row>
    <row r="989" spans="1:22" x14ac:dyDescent="0.3">
      <c r="A989" s="49">
        <v>45342</v>
      </c>
      <c r="B989" t="s">
        <v>645</v>
      </c>
      <c r="E989" t="s">
        <v>3164</v>
      </c>
      <c r="G989" t="s">
        <v>1198</v>
      </c>
      <c r="H989" t="s">
        <v>89</v>
      </c>
      <c r="I989" t="s">
        <v>5474</v>
      </c>
      <c r="J989" t="s">
        <v>63</v>
      </c>
      <c r="K989" t="s">
        <v>197</v>
      </c>
      <c r="M989">
        <v>35</v>
      </c>
      <c r="N989" t="s">
        <v>33</v>
      </c>
      <c r="O989" t="s">
        <v>3392</v>
      </c>
      <c r="P989" t="s">
        <v>1697</v>
      </c>
      <c r="S989" t="s">
        <v>6173</v>
      </c>
      <c r="T989">
        <v>6</v>
      </c>
      <c r="U989" t="s">
        <v>40</v>
      </c>
      <c r="V989" t="s">
        <v>41</v>
      </c>
    </row>
    <row r="990" spans="1:22" x14ac:dyDescent="0.3">
      <c r="A990" s="49">
        <v>45342</v>
      </c>
      <c r="B990" t="s">
        <v>645</v>
      </c>
      <c r="E990" t="s">
        <v>3132</v>
      </c>
      <c r="G990" t="s">
        <v>1798</v>
      </c>
      <c r="H990" t="s">
        <v>89</v>
      </c>
      <c r="J990" t="s">
        <v>63</v>
      </c>
      <c r="K990" t="s">
        <v>414</v>
      </c>
      <c r="M990">
        <v>45</v>
      </c>
      <c r="N990" t="s">
        <v>33</v>
      </c>
      <c r="O990" t="s">
        <v>3393</v>
      </c>
      <c r="P990" t="s">
        <v>106</v>
      </c>
      <c r="S990" t="s">
        <v>6174</v>
      </c>
      <c r="T990">
        <v>4</v>
      </c>
      <c r="U990" t="s">
        <v>56</v>
      </c>
      <c r="V990" t="s">
        <v>56</v>
      </c>
    </row>
    <row r="991" spans="1:22" x14ac:dyDescent="0.3">
      <c r="A991" s="49">
        <v>45342</v>
      </c>
      <c r="B991" t="s">
        <v>891</v>
      </c>
      <c r="E991" t="s">
        <v>3132</v>
      </c>
      <c r="G991" t="s">
        <v>5003</v>
      </c>
      <c r="H991" t="s">
        <v>89</v>
      </c>
      <c r="I991" t="s">
        <v>5475</v>
      </c>
      <c r="J991" t="s">
        <v>46</v>
      </c>
      <c r="K991" t="s">
        <v>880</v>
      </c>
      <c r="M991">
        <v>10</v>
      </c>
      <c r="N991" t="s">
        <v>33</v>
      </c>
      <c r="O991" t="s">
        <v>3394</v>
      </c>
      <c r="P991" t="s">
        <v>358</v>
      </c>
      <c r="S991" t="s">
        <v>6175</v>
      </c>
      <c r="T991">
        <v>4</v>
      </c>
      <c r="U991" t="s">
        <v>56</v>
      </c>
      <c r="V991" t="s">
        <v>56</v>
      </c>
    </row>
    <row r="992" spans="1:22" x14ac:dyDescent="0.3">
      <c r="A992" s="49">
        <v>45342</v>
      </c>
      <c r="B992" t="s">
        <v>645</v>
      </c>
      <c r="E992" t="s">
        <v>3132</v>
      </c>
      <c r="G992" t="s">
        <v>940</v>
      </c>
      <c r="H992" t="s">
        <v>89</v>
      </c>
      <c r="J992" t="s">
        <v>63</v>
      </c>
      <c r="K992" t="s">
        <v>414</v>
      </c>
      <c r="M992">
        <v>0.80000001192092896</v>
      </c>
      <c r="N992" t="s">
        <v>49</v>
      </c>
      <c r="O992" t="s">
        <v>3395</v>
      </c>
      <c r="P992" t="s">
        <v>466</v>
      </c>
      <c r="S992" t="s">
        <v>6176</v>
      </c>
      <c r="T992">
        <v>4</v>
      </c>
      <c r="U992" t="s">
        <v>56</v>
      </c>
      <c r="V992" t="s">
        <v>56</v>
      </c>
    </row>
    <row r="993" spans="1:22" x14ac:dyDescent="0.3">
      <c r="A993" s="49">
        <v>45342</v>
      </c>
      <c r="B993" t="s">
        <v>645</v>
      </c>
      <c r="E993" t="s">
        <v>3132</v>
      </c>
      <c r="G993" t="s">
        <v>1798</v>
      </c>
      <c r="H993" t="s">
        <v>89</v>
      </c>
      <c r="J993" t="s">
        <v>63</v>
      </c>
      <c r="K993" t="s">
        <v>64</v>
      </c>
      <c r="M993">
        <v>0.10000000149011599</v>
      </c>
      <c r="N993" t="s">
        <v>49</v>
      </c>
      <c r="O993" t="s">
        <v>3396</v>
      </c>
      <c r="P993" t="s">
        <v>4848</v>
      </c>
      <c r="S993" t="s">
        <v>6177</v>
      </c>
      <c r="T993">
        <v>4</v>
      </c>
      <c r="U993" t="s">
        <v>56</v>
      </c>
      <c r="V993" t="s">
        <v>56</v>
      </c>
    </row>
    <row r="994" spans="1:22" x14ac:dyDescent="0.3">
      <c r="A994" s="49">
        <v>45342</v>
      </c>
      <c r="B994" t="s">
        <v>645</v>
      </c>
      <c r="E994" t="s">
        <v>3132</v>
      </c>
      <c r="G994" t="s">
        <v>5046</v>
      </c>
      <c r="H994" t="s">
        <v>28</v>
      </c>
      <c r="I994" t="s">
        <v>5476</v>
      </c>
      <c r="J994" t="s">
        <v>63</v>
      </c>
      <c r="K994" t="s">
        <v>414</v>
      </c>
      <c r="M994">
        <v>1</v>
      </c>
      <c r="N994" t="s">
        <v>49</v>
      </c>
      <c r="O994" t="s">
        <v>3397</v>
      </c>
      <c r="P994" t="s">
        <v>621</v>
      </c>
      <c r="S994" t="s">
        <v>6178</v>
      </c>
      <c r="T994">
        <v>4</v>
      </c>
      <c r="U994" t="s">
        <v>56</v>
      </c>
      <c r="V994" t="s">
        <v>56</v>
      </c>
    </row>
    <row r="995" spans="1:22" x14ac:dyDescent="0.3">
      <c r="A995" s="49">
        <v>45342</v>
      </c>
      <c r="B995" t="s">
        <v>645</v>
      </c>
      <c r="E995" t="s">
        <v>3132</v>
      </c>
      <c r="G995" t="s">
        <v>5047</v>
      </c>
      <c r="H995" t="s">
        <v>28</v>
      </c>
      <c r="I995" t="s">
        <v>5477</v>
      </c>
      <c r="J995" t="s">
        <v>46</v>
      </c>
      <c r="K995" t="s">
        <v>481</v>
      </c>
      <c r="M995">
        <v>0</v>
      </c>
      <c r="N995" t="s">
        <v>74</v>
      </c>
      <c r="O995" t="s">
        <v>3398</v>
      </c>
      <c r="P995" t="s">
        <v>4849</v>
      </c>
      <c r="S995" t="s">
        <v>6179</v>
      </c>
      <c r="T995">
        <v>4</v>
      </c>
      <c r="U995" t="s">
        <v>56</v>
      </c>
      <c r="V995" t="s">
        <v>56</v>
      </c>
    </row>
    <row r="996" spans="1:22" x14ac:dyDescent="0.3">
      <c r="A996" s="49">
        <v>45342</v>
      </c>
      <c r="B996" t="s">
        <v>891</v>
      </c>
      <c r="E996" t="s">
        <v>3132</v>
      </c>
      <c r="G996" t="s">
        <v>5048</v>
      </c>
      <c r="H996" t="s">
        <v>89</v>
      </c>
      <c r="J996" t="s">
        <v>63</v>
      </c>
      <c r="K996" t="s">
        <v>414</v>
      </c>
      <c r="M996">
        <v>40</v>
      </c>
      <c r="N996" t="s">
        <v>49</v>
      </c>
      <c r="O996" t="s">
        <v>3399</v>
      </c>
      <c r="P996" t="s">
        <v>528</v>
      </c>
      <c r="S996" t="s">
        <v>6180</v>
      </c>
      <c r="T996">
        <v>6</v>
      </c>
      <c r="U996" t="s">
        <v>40</v>
      </c>
      <c r="V996" t="s">
        <v>41</v>
      </c>
    </row>
    <row r="997" spans="1:22" x14ac:dyDescent="0.3">
      <c r="A997" s="49">
        <v>45342</v>
      </c>
      <c r="B997" t="s">
        <v>645</v>
      </c>
      <c r="E997" t="s">
        <v>1222</v>
      </c>
      <c r="G997" t="s">
        <v>1798</v>
      </c>
      <c r="H997" t="s">
        <v>89</v>
      </c>
      <c r="J997" t="s">
        <v>63</v>
      </c>
      <c r="K997" t="s">
        <v>1235</v>
      </c>
      <c r="M997">
        <v>65</v>
      </c>
      <c r="N997" t="s">
        <v>49</v>
      </c>
      <c r="O997" t="s">
        <v>3400</v>
      </c>
      <c r="P997" t="s">
        <v>686</v>
      </c>
      <c r="S997" t="s">
        <v>6177</v>
      </c>
      <c r="T997">
        <v>4</v>
      </c>
      <c r="U997" t="s">
        <v>56</v>
      </c>
      <c r="V997" t="s">
        <v>56</v>
      </c>
    </row>
    <row r="998" spans="1:22" x14ac:dyDescent="0.3">
      <c r="A998" s="49">
        <v>45342</v>
      </c>
      <c r="B998" t="s">
        <v>891</v>
      </c>
      <c r="E998" t="s">
        <v>3165</v>
      </c>
      <c r="G998" t="s">
        <v>5049</v>
      </c>
      <c r="H998" t="s">
        <v>89</v>
      </c>
      <c r="I998" t="s">
        <v>5478</v>
      </c>
      <c r="J998" t="s">
        <v>46</v>
      </c>
      <c r="K998" t="s">
        <v>481</v>
      </c>
      <c r="M998">
        <v>100</v>
      </c>
      <c r="N998" t="s">
        <v>49</v>
      </c>
      <c r="O998" t="s">
        <v>3401</v>
      </c>
      <c r="P998" t="s">
        <v>791</v>
      </c>
      <c r="S998" t="s">
        <v>6181</v>
      </c>
      <c r="T998">
        <v>4</v>
      </c>
      <c r="U998" t="s">
        <v>56</v>
      </c>
      <c r="V998" t="s">
        <v>56</v>
      </c>
    </row>
    <row r="999" spans="1:22" x14ac:dyDescent="0.3">
      <c r="A999" s="49">
        <v>45342</v>
      </c>
      <c r="B999" t="s">
        <v>891</v>
      </c>
      <c r="E999" t="s">
        <v>3166</v>
      </c>
      <c r="G999" t="s">
        <v>5050</v>
      </c>
      <c r="H999" t="s">
        <v>3245</v>
      </c>
      <c r="I999" t="s">
        <v>5050</v>
      </c>
      <c r="J999" t="s">
        <v>46</v>
      </c>
      <c r="K999" t="s">
        <v>4928</v>
      </c>
      <c r="M999">
        <v>100</v>
      </c>
      <c r="N999" t="s">
        <v>49</v>
      </c>
      <c r="O999" t="s">
        <v>3402</v>
      </c>
      <c r="P999" t="s">
        <v>2627</v>
      </c>
      <c r="S999" t="s">
        <v>6182</v>
      </c>
      <c r="T999">
        <v>4</v>
      </c>
      <c r="U999" t="s">
        <v>56</v>
      </c>
      <c r="V999" t="s">
        <v>56</v>
      </c>
    </row>
    <row r="1000" spans="1:22" x14ac:dyDescent="0.3">
      <c r="A1000" s="49">
        <v>45342</v>
      </c>
      <c r="B1000" t="s">
        <v>891</v>
      </c>
      <c r="E1000" t="s">
        <v>3166</v>
      </c>
      <c r="G1000" t="s">
        <v>5050</v>
      </c>
      <c r="H1000" t="s">
        <v>3245</v>
      </c>
      <c r="I1000" t="s">
        <v>5050</v>
      </c>
      <c r="J1000" t="s">
        <v>46</v>
      </c>
      <c r="K1000" t="s">
        <v>4928</v>
      </c>
      <c r="M1000">
        <v>100</v>
      </c>
      <c r="N1000" t="s">
        <v>49</v>
      </c>
      <c r="O1000" t="s">
        <v>3402</v>
      </c>
      <c r="P1000" t="s">
        <v>2627</v>
      </c>
      <c r="S1000" t="s">
        <v>6182</v>
      </c>
      <c r="T1000">
        <v>4</v>
      </c>
      <c r="U1000" t="s">
        <v>56</v>
      </c>
      <c r="V1000" t="s">
        <v>56</v>
      </c>
    </row>
    <row r="1001" spans="1:22" x14ac:dyDescent="0.3">
      <c r="A1001" s="49">
        <v>45342</v>
      </c>
      <c r="B1001" t="s">
        <v>891</v>
      </c>
      <c r="E1001" t="s">
        <v>3166</v>
      </c>
      <c r="G1001" t="s">
        <v>5050</v>
      </c>
      <c r="H1001" t="s">
        <v>3245</v>
      </c>
      <c r="I1001" t="s">
        <v>5050</v>
      </c>
      <c r="J1001" t="s">
        <v>46</v>
      </c>
      <c r="K1001" t="s">
        <v>4928</v>
      </c>
      <c r="M1001">
        <v>100</v>
      </c>
      <c r="N1001" t="s">
        <v>49</v>
      </c>
      <c r="O1001" t="s">
        <v>3402</v>
      </c>
      <c r="P1001" t="s">
        <v>2627</v>
      </c>
      <c r="S1001" t="s">
        <v>6182</v>
      </c>
      <c r="T1001">
        <v>4</v>
      </c>
      <c r="U1001" t="s">
        <v>56</v>
      </c>
      <c r="V1001" t="s">
        <v>56</v>
      </c>
    </row>
    <row r="1002" spans="1:22" x14ac:dyDescent="0.3">
      <c r="A1002" s="49">
        <v>45342</v>
      </c>
      <c r="B1002" t="s">
        <v>645</v>
      </c>
      <c r="E1002" t="s">
        <v>3167</v>
      </c>
      <c r="G1002" t="s">
        <v>5051</v>
      </c>
      <c r="H1002" t="s">
        <v>89</v>
      </c>
      <c r="I1002" t="s">
        <v>5479</v>
      </c>
      <c r="J1002" t="s">
        <v>46</v>
      </c>
      <c r="K1002" t="s">
        <v>1431</v>
      </c>
      <c r="M1002">
        <v>10</v>
      </c>
      <c r="N1002" t="s">
        <v>49</v>
      </c>
      <c r="O1002" t="s">
        <v>3403</v>
      </c>
      <c r="P1002" t="s">
        <v>35</v>
      </c>
      <c r="S1002" t="s">
        <v>6183</v>
      </c>
      <c r="T1002">
        <v>4</v>
      </c>
      <c r="U1002" t="s">
        <v>56</v>
      </c>
      <c r="V1002" t="s">
        <v>56</v>
      </c>
    </row>
    <row r="1003" spans="1:22" x14ac:dyDescent="0.3">
      <c r="A1003" s="49">
        <v>45329</v>
      </c>
      <c r="B1003" t="s">
        <v>3244</v>
      </c>
      <c r="E1003" t="s">
        <v>3105</v>
      </c>
      <c r="G1003" t="s">
        <v>4963</v>
      </c>
      <c r="H1003" t="s">
        <v>89</v>
      </c>
      <c r="J1003" t="s">
        <v>63</v>
      </c>
      <c r="K1003" t="s">
        <v>256</v>
      </c>
      <c r="M1003">
        <v>64</v>
      </c>
      <c r="N1003" t="s">
        <v>33</v>
      </c>
      <c r="O1003" t="s">
        <v>3404</v>
      </c>
      <c r="P1003" t="s">
        <v>306</v>
      </c>
      <c r="S1003" t="s">
        <v>6184</v>
      </c>
      <c r="T1003">
        <v>6</v>
      </c>
      <c r="U1003" t="s">
        <v>40</v>
      </c>
      <c r="V1003" t="s">
        <v>41</v>
      </c>
    </row>
    <row r="1004" spans="1:22" x14ac:dyDescent="0.3">
      <c r="A1004" s="49">
        <v>45329</v>
      </c>
      <c r="B1004" t="s">
        <v>606</v>
      </c>
      <c r="E1004" t="s">
        <v>3105</v>
      </c>
      <c r="G1004" t="s">
        <v>4963</v>
      </c>
      <c r="H1004" t="s">
        <v>28</v>
      </c>
      <c r="I1004" t="s">
        <v>5480</v>
      </c>
      <c r="J1004" t="s">
        <v>63</v>
      </c>
      <c r="K1004" t="s">
        <v>463</v>
      </c>
      <c r="M1004">
        <v>100</v>
      </c>
      <c r="N1004" t="s">
        <v>49</v>
      </c>
      <c r="O1004" t="s">
        <v>3405</v>
      </c>
      <c r="P1004" t="s">
        <v>4850</v>
      </c>
      <c r="S1004" t="s">
        <v>6185</v>
      </c>
      <c r="T1004">
        <v>6</v>
      </c>
      <c r="U1004" t="s">
        <v>40</v>
      </c>
      <c r="V1004" t="s">
        <v>41</v>
      </c>
    </row>
    <row r="1005" spans="1:22" x14ac:dyDescent="0.3">
      <c r="A1005" s="49">
        <v>45329</v>
      </c>
      <c r="B1005" t="s">
        <v>606</v>
      </c>
      <c r="E1005" t="s">
        <v>3105</v>
      </c>
      <c r="G1005" t="s">
        <v>4963</v>
      </c>
      <c r="H1005" t="s">
        <v>28</v>
      </c>
      <c r="I1005" t="s">
        <v>5480</v>
      </c>
      <c r="J1005" t="s">
        <v>63</v>
      </c>
      <c r="K1005" t="s">
        <v>463</v>
      </c>
      <c r="M1005">
        <v>100</v>
      </c>
      <c r="N1005" t="s">
        <v>49</v>
      </c>
      <c r="O1005" t="s">
        <v>3405</v>
      </c>
      <c r="P1005" t="s">
        <v>4850</v>
      </c>
      <c r="S1005" t="s">
        <v>6185</v>
      </c>
      <c r="T1005">
        <v>6</v>
      </c>
      <c r="U1005" t="s">
        <v>40</v>
      </c>
      <c r="V1005" t="s">
        <v>41</v>
      </c>
    </row>
    <row r="1006" spans="1:22" x14ac:dyDescent="0.3">
      <c r="A1006" s="49">
        <v>45329</v>
      </c>
      <c r="B1006" t="s">
        <v>606</v>
      </c>
      <c r="E1006" t="s">
        <v>3105</v>
      </c>
      <c r="G1006" t="s">
        <v>4963</v>
      </c>
      <c r="H1006" t="s">
        <v>28</v>
      </c>
      <c r="I1006" t="s">
        <v>5480</v>
      </c>
      <c r="J1006" t="s">
        <v>63</v>
      </c>
      <c r="K1006" t="s">
        <v>463</v>
      </c>
      <c r="M1006">
        <v>100</v>
      </c>
      <c r="N1006" t="s">
        <v>49</v>
      </c>
      <c r="O1006" t="s">
        <v>3406</v>
      </c>
      <c r="P1006" t="s">
        <v>4851</v>
      </c>
      <c r="S1006" t="s">
        <v>6185</v>
      </c>
      <c r="T1006">
        <v>6</v>
      </c>
      <c r="U1006" t="s">
        <v>40</v>
      </c>
      <c r="V1006" t="s">
        <v>41</v>
      </c>
    </row>
    <row r="1007" spans="1:22" x14ac:dyDescent="0.3">
      <c r="A1007" s="49">
        <v>45329</v>
      </c>
      <c r="B1007" t="s">
        <v>606</v>
      </c>
      <c r="E1007" t="s">
        <v>3105</v>
      </c>
      <c r="G1007" t="s">
        <v>4963</v>
      </c>
      <c r="H1007" t="s">
        <v>28</v>
      </c>
      <c r="I1007" t="s">
        <v>5480</v>
      </c>
      <c r="J1007" t="s">
        <v>63</v>
      </c>
      <c r="K1007" t="s">
        <v>463</v>
      </c>
      <c r="M1007">
        <v>100</v>
      </c>
      <c r="N1007" t="s">
        <v>49</v>
      </c>
      <c r="O1007" t="s">
        <v>3406</v>
      </c>
      <c r="P1007" t="s">
        <v>4851</v>
      </c>
      <c r="S1007" t="s">
        <v>6185</v>
      </c>
      <c r="T1007">
        <v>6</v>
      </c>
      <c r="U1007" t="s">
        <v>40</v>
      </c>
      <c r="V1007" t="s">
        <v>41</v>
      </c>
    </row>
    <row r="1008" spans="1:22" x14ac:dyDescent="0.3">
      <c r="A1008" s="49">
        <v>45329</v>
      </c>
      <c r="B1008" t="s">
        <v>606</v>
      </c>
      <c r="E1008" t="s">
        <v>3105</v>
      </c>
      <c r="G1008" t="s">
        <v>5052</v>
      </c>
      <c r="H1008" t="s">
        <v>89</v>
      </c>
      <c r="I1008" t="s">
        <v>5481</v>
      </c>
      <c r="J1008" t="s">
        <v>63</v>
      </c>
      <c r="K1008" t="s">
        <v>414</v>
      </c>
      <c r="M1008">
        <v>85</v>
      </c>
      <c r="N1008" t="s">
        <v>33</v>
      </c>
      <c r="O1008" t="s">
        <v>3407</v>
      </c>
      <c r="P1008" t="s">
        <v>373</v>
      </c>
      <c r="S1008" t="s">
        <v>6186</v>
      </c>
      <c r="T1008">
        <v>4</v>
      </c>
      <c r="U1008" t="s">
        <v>56</v>
      </c>
      <c r="V1008" t="s">
        <v>56</v>
      </c>
    </row>
    <row r="1009" spans="1:22" x14ac:dyDescent="0.3">
      <c r="A1009" s="49">
        <v>45329</v>
      </c>
      <c r="B1009" t="s">
        <v>606</v>
      </c>
      <c r="E1009" t="s">
        <v>2799</v>
      </c>
      <c r="G1009" t="s">
        <v>1254</v>
      </c>
      <c r="H1009" t="s">
        <v>28</v>
      </c>
      <c r="J1009" t="s">
        <v>63</v>
      </c>
      <c r="K1009" t="s">
        <v>64</v>
      </c>
      <c r="M1009">
        <v>30</v>
      </c>
      <c r="N1009" t="s">
        <v>33</v>
      </c>
      <c r="O1009" t="s">
        <v>3408</v>
      </c>
      <c r="P1009" t="s">
        <v>791</v>
      </c>
      <c r="S1009" t="s">
        <v>6187</v>
      </c>
      <c r="T1009">
        <v>4</v>
      </c>
      <c r="U1009" t="s">
        <v>56</v>
      </c>
      <c r="V1009" t="s">
        <v>56</v>
      </c>
    </row>
    <row r="1010" spans="1:22" x14ac:dyDescent="0.3">
      <c r="A1010" s="49">
        <v>45329</v>
      </c>
      <c r="B1010" t="s">
        <v>3244</v>
      </c>
      <c r="E1010" t="s">
        <v>2799</v>
      </c>
      <c r="G1010" t="s">
        <v>1254</v>
      </c>
      <c r="H1010" t="s">
        <v>89</v>
      </c>
      <c r="J1010" t="s">
        <v>63</v>
      </c>
      <c r="K1010" t="s">
        <v>64</v>
      </c>
      <c r="M1010">
        <v>57</v>
      </c>
      <c r="N1010" t="s">
        <v>49</v>
      </c>
      <c r="O1010" t="s">
        <v>1255</v>
      </c>
      <c r="P1010" t="s">
        <v>66</v>
      </c>
      <c r="S1010" t="s">
        <v>6188</v>
      </c>
      <c r="T1010">
        <v>4</v>
      </c>
      <c r="U1010" t="s">
        <v>56</v>
      </c>
      <c r="V1010" t="s">
        <v>56</v>
      </c>
    </row>
    <row r="1011" spans="1:22" x14ac:dyDescent="0.3">
      <c r="A1011" s="49">
        <v>45329</v>
      </c>
      <c r="B1011" t="s">
        <v>3244</v>
      </c>
      <c r="E1011" t="s">
        <v>2799</v>
      </c>
      <c r="G1011" t="s">
        <v>663</v>
      </c>
      <c r="H1011" t="s">
        <v>28</v>
      </c>
      <c r="I1011" t="s">
        <v>5482</v>
      </c>
      <c r="J1011" t="s">
        <v>63</v>
      </c>
      <c r="K1011" t="s">
        <v>64</v>
      </c>
      <c r="M1011">
        <v>50</v>
      </c>
      <c r="N1011" t="s">
        <v>49</v>
      </c>
      <c r="O1011" t="s">
        <v>3409</v>
      </c>
      <c r="P1011" t="s">
        <v>829</v>
      </c>
      <c r="S1011" t="s">
        <v>6189</v>
      </c>
      <c r="T1011">
        <v>6</v>
      </c>
      <c r="U1011" t="s">
        <v>40</v>
      </c>
      <c r="V1011" t="s">
        <v>41</v>
      </c>
    </row>
    <row r="1012" spans="1:22" x14ac:dyDescent="0.3">
      <c r="A1012" s="49">
        <v>45329</v>
      </c>
      <c r="B1012" t="s">
        <v>606</v>
      </c>
      <c r="E1012" t="s">
        <v>3168</v>
      </c>
      <c r="G1012" t="s">
        <v>5053</v>
      </c>
      <c r="H1012" t="s">
        <v>28</v>
      </c>
      <c r="I1012" t="s">
        <v>5483</v>
      </c>
      <c r="J1012" t="s">
        <v>63</v>
      </c>
      <c r="K1012" t="s">
        <v>64</v>
      </c>
      <c r="M1012">
        <v>100</v>
      </c>
      <c r="N1012" t="s">
        <v>49</v>
      </c>
      <c r="O1012" t="s">
        <v>3410</v>
      </c>
      <c r="P1012" t="s">
        <v>743</v>
      </c>
      <c r="S1012" t="s">
        <v>6190</v>
      </c>
      <c r="T1012">
        <v>4</v>
      </c>
      <c r="U1012" t="s">
        <v>56</v>
      </c>
      <c r="V1012" t="s">
        <v>56</v>
      </c>
    </row>
    <row r="1013" spans="1:22" x14ac:dyDescent="0.3">
      <c r="A1013" s="49">
        <v>45329</v>
      </c>
      <c r="B1013" t="s">
        <v>606</v>
      </c>
      <c r="E1013" t="s">
        <v>3168</v>
      </c>
      <c r="G1013" t="s">
        <v>5053</v>
      </c>
      <c r="H1013" t="s">
        <v>28</v>
      </c>
      <c r="I1013" t="s">
        <v>5483</v>
      </c>
      <c r="J1013" t="s">
        <v>63</v>
      </c>
      <c r="K1013" t="s">
        <v>64</v>
      </c>
      <c r="M1013">
        <v>100</v>
      </c>
      <c r="N1013" t="s">
        <v>49</v>
      </c>
      <c r="O1013" t="s">
        <v>3410</v>
      </c>
      <c r="P1013" t="s">
        <v>743</v>
      </c>
      <c r="S1013" t="s">
        <v>6190</v>
      </c>
      <c r="T1013">
        <v>4</v>
      </c>
      <c r="U1013" t="s">
        <v>56</v>
      </c>
      <c r="V1013" t="s">
        <v>56</v>
      </c>
    </row>
    <row r="1014" spans="1:22" x14ac:dyDescent="0.3">
      <c r="A1014" s="49">
        <v>45329</v>
      </c>
      <c r="B1014" t="s">
        <v>3244</v>
      </c>
      <c r="E1014" t="s">
        <v>3169</v>
      </c>
      <c r="G1014" t="s">
        <v>488</v>
      </c>
      <c r="H1014" t="s">
        <v>89</v>
      </c>
      <c r="I1014" t="s">
        <v>5484</v>
      </c>
      <c r="J1014" t="s">
        <v>63</v>
      </c>
      <c r="K1014" t="s">
        <v>414</v>
      </c>
      <c r="M1014">
        <v>15</v>
      </c>
      <c r="N1014" t="s">
        <v>33</v>
      </c>
      <c r="O1014" t="s">
        <v>3411</v>
      </c>
      <c r="P1014" t="s">
        <v>1878</v>
      </c>
      <c r="S1014" t="s">
        <v>6191</v>
      </c>
      <c r="T1014">
        <v>4</v>
      </c>
      <c r="U1014" t="s">
        <v>56</v>
      </c>
      <c r="V1014" t="s">
        <v>56</v>
      </c>
    </row>
    <row r="1015" spans="1:22" x14ac:dyDescent="0.3">
      <c r="A1015" s="49">
        <v>45329</v>
      </c>
      <c r="B1015" t="s">
        <v>3244</v>
      </c>
      <c r="E1015" t="s">
        <v>3136</v>
      </c>
      <c r="G1015" t="s">
        <v>5054</v>
      </c>
      <c r="H1015" t="s">
        <v>28</v>
      </c>
      <c r="I1015" t="s">
        <v>5485</v>
      </c>
      <c r="J1015" t="s">
        <v>46</v>
      </c>
      <c r="K1015" t="s">
        <v>1712</v>
      </c>
      <c r="M1015">
        <v>100</v>
      </c>
      <c r="N1015" t="s">
        <v>49</v>
      </c>
      <c r="O1015" t="s">
        <v>3412</v>
      </c>
      <c r="P1015" t="s">
        <v>381</v>
      </c>
      <c r="S1015" t="s">
        <v>6192</v>
      </c>
      <c r="T1015">
        <v>4</v>
      </c>
      <c r="U1015" t="s">
        <v>56</v>
      </c>
      <c r="V1015" t="s">
        <v>56</v>
      </c>
    </row>
    <row r="1016" spans="1:22" x14ac:dyDescent="0.3">
      <c r="A1016" s="49">
        <v>45329</v>
      </c>
      <c r="B1016" t="s">
        <v>3244</v>
      </c>
      <c r="E1016" t="s">
        <v>3170</v>
      </c>
      <c r="G1016" t="s">
        <v>5055</v>
      </c>
      <c r="H1016" t="s">
        <v>89</v>
      </c>
      <c r="J1016" t="s">
        <v>63</v>
      </c>
      <c r="K1016" t="s">
        <v>4929</v>
      </c>
      <c r="M1016">
        <v>100</v>
      </c>
      <c r="N1016" t="s">
        <v>33</v>
      </c>
      <c r="O1016" t="s">
        <v>3413</v>
      </c>
      <c r="P1016" t="s">
        <v>737</v>
      </c>
      <c r="S1016" t="s">
        <v>6193</v>
      </c>
      <c r="T1016">
        <v>6</v>
      </c>
      <c r="U1016" t="s">
        <v>40</v>
      </c>
      <c r="V1016" t="s">
        <v>41</v>
      </c>
    </row>
    <row r="1017" spans="1:22" x14ac:dyDescent="0.3">
      <c r="A1017" s="49">
        <v>45329</v>
      </c>
      <c r="B1017" t="s">
        <v>3244</v>
      </c>
      <c r="E1017" t="s">
        <v>3170</v>
      </c>
      <c r="G1017" t="s">
        <v>5055</v>
      </c>
      <c r="H1017" t="s">
        <v>89</v>
      </c>
      <c r="J1017" t="s">
        <v>63</v>
      </c>
      <c r="K1017" t="s">
        <v>4929</v>
      </c>
      <c r="M1017">
        <v>100</v>
      </c>
      <c r="N1017" t="s">
        <v>33</v>
      </c>
      <c r="O1017" t="s">
        <v>3414</v>
      </c>
      <c r="P1017" t="s">
        <v>1697</v>
      </c>
      <c r="S1017" t="s">
        <v>6193</v>
      </c>
      <c r="T1017">
        <v>6</v>
      </c>
      <c r="U1017" t="s">
        <v>40</v>
      </c>
      <c r="V1017" t="s">
        <v>41</v>
      </c>
    </row>
    <row r="1018" spans="1:22" x14ac:dyDescent="0.3">
      <c r="A1018" s="49">
        <v>45329</v>
      </c>
      <c r="B1018" t="s">
        <v>3244</v>
      </c>
      <c r="E1018" t="s">
        <v>3139</v>
      </c>
      <c r="G1018" t="s">
        <v>90</v>
      </c>
      <c r="H1018" t="s">
        <v>28</v>
      </c>
      <c r="J1018" t="s">
        <v>63</v>
      </c>
      <c r="K1018" t="s">
        <v>64</v>
      </c>
      <c r="M1018">
        <v>10</v>
      </c>
      <c r="N1018" t="s">
        <v>33</v>
      </c>
      <c r="O1018" t="s">
        <v>3415</v>
      </c>
      <c r="P1018" t="s">
        <v>4852</v>
      </c>
      <c r="S1018" t="s">
        <v>6194</v>
      </c>
      <c r="T1018">
        <v>4</v>
      </c>
      <c r="U1018" t="s">
        <v>56</v>
      </c>
      <c r="V1018" t="s">
        <v>56</v>
      </c>
    </row>
    <row r="1019" spans="1:22" x14ac:dyDescent="0.3">
      <c r="A1019" s="49">
        <v>45329</v>
      </c>
      <c r="B1019" t="s">
        <v>3244</v>
      </c>
      <c r="E1019" t="s">
        <v>3139</v>
      </c>
      <c r="G1019" t="s">
        <v>90</v>
      </c>
      <c r="H1019" t="s">
        <v>28</v>
      </c>
      <c r="J1019" t="s">
        <v>63</v>
      </c>
      <c r="K1019" t="s">
        <v>64</v>
      </c>
      <c r="M1019">
        <v>20</v>
      </c>
      <c r="N1019" t="s">
        <v>33</v>
      </c>
      <c r="O1019" t="s">
        <v>3415</v>
      </c>
      <c r="P1019" t="s">
        <v>4852</v>
      </c>
      <c r="S1019" t="s">
        <v>6194</v>
      </c>
      <c r="T1019">
        <v>4</v>
      </c>
      <c r="U1019" t="s">
        <v>56</v>
      </c>
      <c r="V1019" t="s">
        <v>56</v>
      </c>
    </row>
    <row r="1020" spans="1:22" x14ac:dyDescent="0.3">
      <c r="A1020" s="49">
        <v>45329</v>
      </c>
      <c r="B1020" t="s">
        <v>3244</v>
      </c>
      <c r="E1020" t="s">
        <v>3139</v>
      </c>
      <c r="G1020" t="s">
        <v>5016</v>
      </c>
      <c r="H1020" t="s">
        <v>28</v>
      </c>
      <c r="I1020" t="s">
        <v>5486</v>
      </c>
      <c r="J1020" t="s">
        <v>63</v>
      </c>
      <c r="K1020" t="s">
        <v>64</v>
      </c>
      <c r="M1020">
        <v>0</v>
      </c>
      <c r="N1020" t="s">
        <v>74</v>
      </c>
      <c r="O1020" t="s">
        <v>3416</v>
      </c>
      <c r="P1020" t="s">
        <v>743</v>
      </c>
      <c r="S1020" t="s">
        <v>6195</v>
      </c>
      <c r="T1020">
        <v>4</v>
      </c>
      <c r="U1020" t="s">
        <v>56</v>
      </c>
      <c r="V1020" t="s">
        <v>56</v>
      </c>
    </row>
    <row r="1021" spans="1:22" x14ac:dyDescent="0.3">
      <c r="A1021" s="49">
        <v>45329</v>
      </c>
      <c r="B1021" t="s">
        <v>3244</v>
      </c>
      <c r="E1021" t="s">
        <v>3139</v>
      </c>
      <c r="G1021" t="s">
        <v>90</v>
      </c>
      <c r="H1021" t="s">
        <v>28</v>
      </c>
      <c r="I1021" t="s">
        <v>5487</v>
      </c>
      <c r="J1021" t="s">
        <v>63</v>
      </c>
      <c r="K1021" t="s">
        <v>64</v>
      </c>
      <c r="M1021">
        <v>10</v>
      </c>
      <c r="N1021" t="s">
        <v>33</v>
      </c>
      <c r="O1021" t="s">
        <v>3417</v>
      </c>
      <c r="P1021" t="s">
        <v>878</v>
      </c>
      <c r="S1021" t="s">
        <v>6196</v>
      </c>
      <c r="T1021">
        <v>4</v>
      </c>
      <c r="U1021" t="s">
        <v>56</v>
      </c>
      <c r="V1021" t="s">
        <v>56</v>
      </c>
    </row>
    <row r="1022" spans="1:22" x14ac:dyDescent="0.3">
      <c r="A1022" s="49">
        <v>45329</v>
      </c>
      <c r="B1022" t="s">
        <v>3244</v>
      </c>
      <c r="E1022" t="s">
        <v>3139</v>
      </c>
      <c r="G1022" t="s">
        <v>5056</v>
      </c>
      <c r="H1022" t="s">
        <v>28</v>
      </c>
      <c r="I1022" t="s">
        <v>5488</v>
      </c>
      <c r="J1022" t="s">
        <v>63</v>
      </c>
      <c r="K1022" t="s">
        <v>64</v>
      </c>
      <c r="M1022">
        <v>60</v>
      </c>
      <c r="N1022" t="s">
        <v>33</v>
      </c>
      <c r="O1022" t="s">
        <v>3418</v>
      </c>
      <c r="P1022" t="s">
        <v>743</v>
      </c>
      <c r="S1022" t="s">
        <v>6197</v>
      </c>
      <c r="T1022">
        <v>4</v>
      </c>
      <c r="U1022" t="s">
        <v>56</v>
      </c>
      <c r="V1022" t="s">
        <v>56</v>
      </c>
    </row>
    <row r="1023" spans="1:22" x14ac:dyDescent="0.3">
      <c r="A1023" s="49">
        <v>45329</v>
      </c>
      <c r="B1023" t="s">
        <v>606</v>
      </c>
      <c r="E1023" t="s">
        <v>3139</v>
      </c>
      <c r="G1023" t="s">
        <v>5016</v>
      </c>
      <c r="H1023" t="s">
        <v>28</v>
      </c>
      <c r="I1023" t="s">
        <v>5489</v>
      </c>
      <c r="J1023" t="s">
        <v>63</v>
      </c>
      <c r="K1023" t="s">
        <v>414</v>
      </c>
      <c r="M1023">
        <v>100</v>
      </c>
      <c r="N1023" t="s">
        <v>49</v>
      </c>
      <c r="O1023" t="s">
        <v>3419</v>
      </c>
      <c r="P1023" t="s">
        <v>306</v>
      </c>
      <c r="S1023" t="s">
        <v>6198</v>
      </c>
      <c r="T1023">
        <v>4</v>
      </c>
      <c r="U1023" t="s">
        <v>56</v>
      </c>
      <c r="V1023" t="s">
        <v>56</v>
      </c>
    </row>
    <row r="1024" spans="1:22" x14ac:dyDescent="0.3">
      <c r="A1024" s="49">
        <v>45329</v>
      </c>
      <c r="B1024" t="s">
        <v>606</v>
      </c>
      <c r="E1024" t="s">
        <v>3171</v>
      </c>
      <c r="G1024" t="s">
        <v>5057</v>
      </c>
      <c r="H1024" t="s">
        <v>28</v>
      </c>
      <c r="I1024" t="s">
        <v>5490</v>
      </c>
      <c r="J1024" t="s">
        <v>1712</v>
      </c>
      <c r="K1024" t="s">
        <v>640</v>
      </c>
      <c r="M1024">
        <v>50</v>
      </c>
      <c r="N1024" t="s">
        <v>49</v>
      </c>
      <c r="O1024" t="s">
        <v>3420</v>
      </c>
      <c r="P1024" t="s">
        <v>4853</v>
      </c>
      <c r="S1024" t="s">
        <v>6199</v>
      </c>
      <c r="T1024">
        <v>4</v>
      </c>
      <c r="U1024" t="s">
        <v>56</v>
      </c>
      <c r="V1024" t="s">
        <v>56</v>
      </c>
    </row>
    <row r="1025" spans="1:22" x14ac:dyDescent="0.3">
      <c r="A1025" s="49">
        <v>45329</v>
      </c>
      <c r="B1025" t="s">
        <v>606</v>
      </c>
      <c r="E1025" t="s">
        <v>3171</v>
      </c>
      <c r="G1025" t="s">
        <v>5058</v>
      </c>
      <c r="H1025" t="s">
        <v>28</v>
      </c>
      <c r="I1025" t="s">
        <v>5491</v>
      </c>
      <c r="J1025" t="s">
        <v>1712</v>
      </c>
      <c r="K1025" t="s">
        <v>4930</v>
      </c>
      <c r="M1025">
        <v>100</v>
      </c>
      <c r="N1025" t="s">
        <v>33</v>
      </c>
      <c r="O1025" t="s">
        <v>3421</v>
      </c>
      <c r="P1025" t="s">
        <v>381</v>
      </c>
      <c r="S1025" t="s">
        <v>6200</v>
      </c>
      <c r="T1025">
        <v>4</v>
      </c>
      <c r="U1025" t="s">
        <v>56</v>
      </c>
      <c r="V1025" t="s">
        <v>56</v>
      </c>
    </row>
    <row r="1026" spans="1:22" x14ac:dyDescent="0.3">
      <c r="A1026" s="49">
        <v>45329</v>
      </c>
      <c r="B1026" t="s">
        <v>606</v>
      </c>
      <c r="E1026" t="s">
        <v>3172</v>
      </c>
      <c r="G1026" t="s">
        <v>5059</v>
      </c>
      <c r="H1026" t="s">
        <v>28</v>
      </c>
      <c r="I1026" t="s">
        <v>5492</v>
      </c>
      <c r="J1026" t="s">
        <v>46</v>
      </c>
      <c r="K1026" t="s">
        <v>640</v>
      </c>
      <c r="M1026">
        <v>100</v>
      </c>
      <c r="N1026" t="s">
        <v>49</v>
      </c>
      <c r="O1026" t="s">
        <v>3422</v>
      </c>
      <c r="P1026" t="s">
        <v>4854</v>
      </c>
      <c r="S1026" t="s">
        <v>6201</v>
      </c>
      <c r="T1026">
        <v>6</v>
      </c>
      <c r="U1026" t="s">
        <v>40</v>
      </c>
      <c r="V1026" t="s">
        <v>41</v>
      </c>
    </row>
    <row r="1027" spans="1:22" x14ac:dyDescent="0.3">
      <c r="A1027" s="49">
        <v>45329</v>
      </c>
      <c r="B1027" t="s">
        <v>3244</v>
      </c>
      <c r="E1027" t="s">
        <v>3173</v>
      </c>
      <c r="G1027" t="s">
        <v>5060</v>
      </c>
      <c r="H1027" t="s">
        <v>28</v>
      </c>
      <c r="J1027" t="s">
        <v>63</v>
      </c>
      <c r="K1027" t="s">
        <v>211</v>
      </c>
      <c r="M1027">
        <v>100</v>
      </c>
      <c r="N1027" t="s">
        <v>74</v>
      </c>
      <c r="O1027" t="s">
        <v>3423</v>
      </c>
      <c r="P1027" t="s">
        <v>35</v>
      </c>
      <c r="S1027" t="s">
        <v>6202</v>
      </c>
      <c r="T1027">
        <v>6</v>
      </c>
      <c r="U1027" t="s">
        <v>40</v>
      </c>
      <c r="V1027" t="s">
        <v>41</v>
      </c>
    </row>
    <row r="1028" spans="1:22" x14ac:dyDescent="0.3">
      <c r="A1028" s="49">
        <v>45329</v>
      </c>
      <c r="B1028" t="s">
        <v>3244</v>
      </c>
      <c r="E1028" t="s">
        <v>3173</v>
      </c>
      <c r="G1028" t="s">
        <v>5060</v>
      </c>
      <c r="H1028" t="s">
        <v>28</v>
      </c>
      <c r="J1028" t="s">
        <v>63</v>
      </c>
      <c r="K1028" t="s">
        <v>211</v>
      </c>
      <c r="M1028">
        <v>100</v>
      </c>
      <c r="N1028" t="s">
        <v>74</v>
      </c>
      <c r="O1028" t="s">
        <v>3423</v>
      </c>
      <c r="P1028" t="s">
        <v>35</v>
      </c>
      <c r="S1028" t="s">
        <v>6202</v>
      </c>
      <c r="T1028">
        <v>6</v>
      </c>
      <c r="U1028" t="s">
        <v>40</v>
      </c>
      <c r="V1028" t="s">
        <v>41</v>
      </c>
    </row>
    <row r="1029" spans="1:22" x14ac:dyDescent="0.3">
      <c r="A1029" s="49">
        <v>45329</v>
      </c>
      <c r="B1029" t="s">
        <v>606</v>
      </c>
      <c r="E1029" t="s">
        <v>3112</v>
      </c>
      <c r="G1029" t="s">
        <v>4973</v>
      </c>
      <c r="H1029" t="s">
        <v>28</v>
      </c>
      <c r="J1029" t="s">
        <v>63</v>
      </c>
      <c r="K1029" t="s">
        <v>64</v>
      </c>
      <c r="M1029">
        <v>100</v>
      </c>
      <c r="N1029" t="s">
        <v>33</v>
      </c>
      <c r="O1029" t="s">
        <v>3424</v>
      </c>
      <c r="P1029" t="s">
        <v>743</v>
      </c>
      <c r="S1029" t="s">
        <v>6203</v>
      </c>
      <c r="T1029">
        <v>4</v>
      </c>
      <c r="U1029" t="s">
        <v>56</v>
      </c>
      <c r="V1029" t="s">
        <v>56</v>
      </c>
    </row>
    <row r="1030" spans="1:22" x14ac:dyDescent="0.3">
      <c r="A1030" s="49">
        <v>45329</v>
      </c>
      <c r="B1030" t="s">
        <v>606</v>
      </c>
      <c r="E1030" t="s">
        <v>3112</v>
      </c>
      <c r="G1030" t="s">
        <v>4973</v>
      </c>
      <c r="H1030" t="s">
        <v>89</v>
      </c>
      <c r="I1030" t="s">
        <v>5493</v>
      </c>
      <c r="J1030" t="s">
        <v>63</v>
      </c>
      <c r="K1030" t="s">
        <v>414</v>
      </c>
      <c r="M1030">
        <v>100</v>
      </c>
      <c r="N1030" t="s">
        <v>49</v>
      </c>
      <c r="O1030" t="s">
        <v>3425</v>
      </c>
      <c r="P1030" t="s">
        <v>163</v>
      </c>
      <c r="S1030" t="s">
        <v>6204</v>
      </c>
      <c r="T1030">
        <v>4</v>
      </c>
      <c r="U1030" t="s">
        <v>56</v>
      </c>
      <c r="V1030" t="s">
        <v>56</v>
      </c>
    </row>
    <row r="1031" spans="1:22" x14ac:dyDescent="0.3">
      <c r="A1031" s="49">
        <v>45329</v>
      </c>
      <c r="B1031" t="s">
        <v>606</v>
      </c>
      <c r="E1031" t="s">
        <v>3112</v>
      </c>
      <c r="G1031" t="s">
        <v>4973</v>
      </c>
      <c r="H1031" t="s">
        <v>89</v>
      </c>
      <c r="I1031" t="s">
        <v>5493</v>
      </c>
      <c r="J1031" t="s">
        <v>63</v>
      </c>
      <c r="K1031" t="s">
        <v>414</v>
      </c>
      <c r="M1031">
        <v>100</v>
      </c>
      <c r="N1031" t="s">
        <v>49</v>
      </c>
      <c r="O1031" t="s">
        <v>3425</v>
      </c>
      <c r="P1031" t="s">
        <v>163</v>
      </c>
      <c r="S1031" t="s">
        <v>6204</v>
      </c>
      <c r="T1031">
        <v>4</v>
      </c>
      <c r="U1031" t="s">
        <v>56</v>
      </c>
      <c r="V1031" t="s">
        <v>56</v>
      </c>
    </row>
    <row r="1032" spans="1:22" x14ac:dyDescent="0.3">
      <c r="A1032" s="49">
        <v>45329</v>
      </c>
      <c r="B1032" t="s">
        <v>606</v>
      </c>
      <c r="E1032" t="s">
        <v>3112</v>
      </c>
      <c r="G1032" t="s">
        <v>4973</v>
      </c>
      <c r="H1032" t="s">
        <v>89</v>
      </c>
      <c r="I1032" t="s">
        <v>5493</v>
      </c>
      <c r="J1032" t="s">
        <v>63</v>
      </c>
      <c r="K1032" t="s">
        <v>414</v>
      </c>
      <c r="M1032">
        <v>100</v>
      </c>
      <c r="N1032" t="s">
        <v>49</v>
      </c>
      <c r="O1032" t="s">
        <v>3425</v>
      </c>
      <c r="P1032" t="s">
        <v>163</v>
      </c>
      <c r="S1032" t="s">
        <v>6204</v>
      </c>
      <c r="T1032">
        <v>4</v>
      </c>
      <c r="U1032" t="s">
        <v>56</v>
      </c>
      <c r="V1032" t="s">
        <v>56</v>
      </c>
    </row>
    <row r="1033" spans="1:22" x14ac:dyDescent="0.3">
      <c r="A1033" s="49">
        <v>45329</v>
      </c>
      <c r="B1033" t="s">
        <v>606</v>
      </c>
      <c r="E1033" t="s">
        <v>3112</v>
      </c>
      <c r="G1033" t="s">
        <v>4973</v>
      </c>
      <c r="H1033" t="s">
        <v>89</v>
      </c>
      <c r="I1033" t="s">
        <v>5493</v>
      </c>
      <c r="J1033" t="s">
        <v>63</v>
      </c>
      <c r="K1033" t="s">
        <v>414</v>
      </c>
      <c r="M1033">
        <v>100</v>
      </c>
      <c r="N1033" t="s">
        <v>49</v>
      </c>
      <c r="O1033" t="s">
        <v>3425</v>
      </c>
      <c r="P1033" t="s">
        <v>163</v>
      </c>
      <c r="S1033" t="s">
        <v>6204</v>
      </c>
      <c r="T1033">
        <v>4</v>
      </c>
      <c r="U1033" t="s">
        <v>56</v>
      </c>
      <c r="V1033" t="s">
        <v>56</v>
      </c>
    </row>
    <row r="1034" spans="1:22" x14ac:dyDescent="0.3">
      <c r="A1034" s="49">
        <v>45329</v>
      </c>
      <c r="B1034" t="s">
        <v>606</v>
      </c>
      <c r="E1034" t="s">
        <v>3174</v>
      </c>
      <c r="G1034" t="s">
        <v>5061</v>
      </c>
      <c r="H1034" t="s">
        <v>28</v>
      </c>
      <c r="I1034" t="s">
        <v>5494</v>
      </c>
      <c r="J1034" t="s">
        <v>1712</v>
      </c>
      <c r="K1034" t="s">
        <v>481</v>
      </c>
      <c r="M1034">
        <v>100</v>
      </c>
      <c r="N1034" t="s">
        <v>33</v>
      </c>
      <c r="O1034" t="s">
        <v>3426</v>
      </c>
      <c r="P1034" t="s">
        <v>358</v>
      </c>
      <c r="S1034" t="s">
        <v>6205</v>
      </c>
      <c r="T1034">
        <v>4</v>
      </c>
      <c r="U1034" t="s">
        <v>56</v>
      </c>
      <c r="V1034" t="s">
        <v>56</v>
      </c>
    </row>
    <row r="1035" spans="1:22" x14ac:dyDescent="0.3">
      <c r="A1035" s="49">
        <v>45329</v>
      </c>
      <c r="B1035" t="s">
        <v>606</v>
      </c>
      <c r="E1035" t="s">
        <v>3175</v>
      </c>
      <c r="G1035" t="s">
        <v>5062</v>
      </c>
      <c r="H1035" t="s">
        <v>89</v>
      </c>
      <c r="J1035" t="s">
        <v>63</v>
      </c>
      <c r="K1035" t="s">
        <v>414</v>
      </c>
      <c r="M1035">
        <v>100</v>
      </c>
      <c r="N1035" t="s">
        <v>49</v>
      </c>
      <c r="O1035" t="s">
        <v>3427</v>
      </c>
      <c r="P1035" t="s">
        <v>306</v>
      </c>
      <c r="S1035" t="s">
        <v>6206</v>
      </c>
      <c r="T1035">
        <v>4</v>
      </c>
      <c r="U1035" t="s">
        <v>56</v>
      </c>
      <c r="V1035" t="s">
        <v>56</v>
      </c>
    </row>
    <row r="1036" spans="1:22" x14ac:dyDescent="0.3">
      <c r="A1036" s="49">
        <v>45329</v>
      </c>
      <c r="B1036" t="s">
        <v>606</v>
      </c>
      <c r="E1036" t="s">
        <v>3176</v>
      </c>
      <c r="G1036" t="s">
        <v>5063</v>
      </c>
      <c r="H1036" t="s">
        <v>28</v>
      </c>
      <c r="I1036" t="s">
        <v>5495</v>
      </c>
      <c r="J1036" t="s">
        <v>63</v>
      </c>
      <c r="K1036" t="s">
        <v>1666</v>
      </c>
      <c r="M1036">
        <v>100</v>
      </c>
      <c r="N1036" t="s">
        <v>33</v>
      </c>
      <c r="O1036" t="s">
        <v>3428</v>
      </c>
      <c r="P1036" t="s">
        <v>4855</v>
      </c>
      <c r="S1036" t="s">
        <v>6207</v>
      </c>
      <c r="T1036">
        <v>6</v>
      </c>
      <c r="U1036" t="s">
        <v>40</v>
      </c>
      <c r="V1036" t="s">
        <v>41</v>
      </c>
    </row>
    <row r="1037" spans="1:22" x14ac:dyDescent="0.3">
      <c r="A1037" s="49">
        <v>45329</v>
      </c>
      <c r="B1037" t="s">
        <v>606</v>
      </c>
      <c r="E1037" t="s">
        <v>3145</v>
      </c>
      <c r="G1037" t="s">
        <v>5064</v>
      </c>
      <c r="H1037" t="s">
        <v>28</v>
      </c>
      <c r="J1037" t="s">
        <v>63</v>
      </c>
      <c r="K1037" t="s">
        <v>64</v>
      </c>
      <c r="M1037">
        <v>100</v>
      </c>
      <c r="N1037" t="s">
        <v>49</v>
      </c>
      <c r="O1037" t="s">
        <v>3429</v>
      </c>
      <c r="P1037" t="s">
        <v>686</v>
      </c>
      <c r="S1037" t="s">
        <v>6208</v>
      </c>
      <c r="T1037">
        <v>4</v>
      </c>
      <c r="U1037" t="s">
        <v>56</v>
      </c>
      <c r="V1037" t="s">
        <v>56</v>
      </c>
    </row>
    <row r="1038" spans="1:22" x14ac:dyDescent="0.3">
      <c r="A1038" s="49">
        <v>45329</v>
      </c>
      <c r="B1038" t="s">
        <v>606</v>
      </c>
      <c r="E1038" t="s">
        <v>3145</v>
      </c>
      <c r="G1038" t="s">
        <v>5064</v>
      </c>
      <c r="H1038" t="s">
        <v>28</v>
      </c>
      <c r="I1038" t="s">
        <v>5496</v>
      </c>
      <c r="J1038" t="s">
        <v>63</v>
      </c>
      <c r="K1038" t="s">
        <v>1666</v>
      </c>
      <c r="M1038">
        <v>100</v>
      </c>
      <c r="N1038" t="s">
        <v>49</v>
      </c>
      <c r="O1038" t="s">
        <v>3430</v>
      </c>
      <c r="P1038" t="s">
        <v>4856</v>
      </c>
      <c r="S1038" t="s">
        <v>6209</v>
      </c>
      <c r="T1038">
        <v>4</v>
      </c>
      <c r="U1038" t="s">
        <v>56</v>
      </c>
      <c r="V1038" t="s">
        <v>56</v>
      </c>
    </row>
    <row r="1039" spans="1:22" x14ac:dyDescent="0.3">
      <c r="A1039" s="49">
        <v>45329</v>
      </c>
      <c r="B1039" t="s">
        <v>3244</v>
      </c>
      <c r="E1039" t="s">
        <v>3115</v>
      </c>
      <c r="G1039" t="s">
        <v>1524</v>
      </c>
      <c r="H1039" t="s">
        <v>89</v>
      </c>
      <c r="J1039" t="s">
        <v>63</v>
      </c>
      <c r="K1039" t="s">
        <v>211</v>
      </c>
      <c r="M1039">
        <v>27</v>
      </c>
      <c r="N1039" t="s">
        <v>49</v>
      </c>
      <c r="O1039" t="s">
        <v>3431</v>
      </c>
      <c r="P1039" t="s">
        <v>791</v>
      </c>
      <c r="S1039" t="s">
        <v>6210</v>
      </c>
      <c r="T1039">
        <v>4</v>
      </c>
      <c r="U1039" t="s">
        <v>56</v>
      </c>
      <c r="V1039" t="s">
        <v>56</v>
      </c>
    </row>
    <row r="1040" spans="1:22" x14ac:dyDescent="0.3">
      <c r="A1040" s="49">
        <v>45329</v>
      </c>
      <c r="B1040" t="s">
        <v>606</v>
      </c>
      <c r="E1040" t="s">
        <v>3115</v>
      </c>
      <c r="G1040" t="s">
        <v>1524</v>
      </c>
      <c r="H1040" t="s">
        <v>28</v>
      </c>
      <c r="I1040" t="s">
        <v>5497</v>
      </c>
      <c r="J1040" t="s">
        <v>63</v>
      </c>
      <c r="K1040" t="s">
        <v>64</v>
      </c>
      <c r="M1040">
        <v>13</v>
      </c>
      <c r="N1040" t="s">
        <v>33</v>
      </c>
      <c r="O1040" t="s">
        <v>3432</v>
      </c>
      <c r="P1040" t="s">
        <v>108</v>
      </c>
      <c r="S1040" t="s">
        <v>6211</v>
      </c>
      <c r="T1040">
        <v>4</v>
      </c>
      <c r="U1040" t="s">
        <v>56</v>
      </c>
      <c r="V1040" t="s">
        <v>56</v>
      </c>
    </row>
    <row r="1041" spans="1:22" x14ac:dyDescent="0.3">
      <c r="A1041" s="49">
        <v>45329</v>
      </c>
      <c r="B1041" t="s">
        <v>606</v>
      </c>
      <c r="E1041" t="s">
        <v>3115</v>
      </c>
      <c r="G1041" t="s">
        <v>1524</v>
      </c>
      <c r="H1041" t="s">
        <v>28</v>
      </c>
      <c r="J1041" t="s">
        <v>63</v>
      </c>
      <c r="K1041" t="s">
        <v>64</v>
      </c>
      <c r="M1041">
        <v>100</v>
      </c>
      <c r="N1041" t="s">
        <v>49</v>
      </c>
      <c r="O1041" t="s">
        <v>3433</v>
      </c>
      <c r="P1041" t="s">
        <v>100</v>
      </c>
      <c r="S1041" t="s">
        <v>6210</v>
      </c>
      <c r="T1041">
        <v>4</v>
      </c>
      <c r="U1041" t="s">
        <v>56</v>
      </c>
      <c r="V1041" t="s">
        <v>56</v>
      </c>
    </row>
    <row r="1042" spans="1:22" x14ac:dyDescent="0.3">
      <c r="A1042" s="49">
        <v>45329</v>
      </c>
      <c r="B1042" t="s">
        <v>606</v>
      </c>
      <c r="E1042" t="s">
        <v>3115</v>
      </c>
      <c r="G1042" t="s">
        <v>5065</v>
      </c>
      <c r="H1042" t="s">
        <v>28</v>
      </c>
      <c r="J1042" t="s">
        <v>63</v>
      </c>
      <c r="K1042" t="s">
        <v>64</v>
      </c>
      <c r="M1042">
        <v>100</v>
      </c>
      <c r="N1042" t="s">
        <v>49</v>
      </c>
      <c r="O1042" t="s">
        <v>3434</v>
      </c>
      <c r="P1042" t="s">
        <v>1597</v>
      </c>
      <c r="S1042" t="s">
        <v>6212</v>
      </c>
      <c r="T1042">
        <v>4</v>
      </c>
      <c r="U1042" t="s">
        <v>56</v>
      </c>
      <c r="V1042" t="s">
        <v>56</v>
      </c>
    </row>
    <row r="1043" spans="1:22" x14ac:dyDescent="0.3">
      <c r="A1043" s="49">
        <v>45329</v>
      </c>
      <c r="B1043" t="s">
        <v>3244</v>
      </c>
      <c r="E1043" t="s">
        <v>3146</v>
      </c>
      <c r="G1043" t="s">
        <v>5023</v>
      </c>
      <c r="H1043" t="s">
        <v>28</v>
      </c>
      <c r="I1043" t="s">
        <v>5498</v>
      </c>
      <c r="J1043" t="s">
        <v>63</v>
      </c>
      <c r="K1043" t="s">
        <v>64</v>
      </c>
      <c r="M1043">
        <v>100</v>
      </c>
      <c r="N1043" t="s">
        <v>49</v>
      </c>
      <c r="O1043" t="s">
        <v>3435</v>
      </c>
      <c r="P1043" t="s">
        <v>306</v>
      </c>
      <c r="S1043" t="s">
        <v>6213</v>
      </c>
      <c r="T1043">
        <v>4</v>
      </c>
      <c r="U1043" t="s">
        <v>56</v>
      </c>
      <c r="V1043" t="s">
        <v>56</v>
      </c>
    </row>
    <row r="1044" spans="1:22" x14ac:dyDescent="0.3">
      <c r="A1044" s="49">
        <v>45329</v>
      </c>
      <c r="B1044" t="s">
        <v>606</v>
      </c>
      <c r="E1044" t="s">
        <v>3116</v>
      </c>
      <c r="G1044" t="s">
        <v>5066</v>
      </c>
      <c r="H1044" t="s">
        <v>28</v>
      </c>
      <c r="I1044" t="s">
        <v>5499</v>
      </c>
      <c r="J1044" t="s">
        <v>63</v>
      </c>
      <c r="K1044" t="s">
        <v>64</v>
      </c>
      <c r="M1044">
        <v>100</v>
      </c>
      <c r="N1044" t="s">
        <v>49</v>
      </c>
      <c r="O1044" t="s">
        <v>3436</v>
      </c>
      <c r="P1044" t="s">
        <v>4857</v>
      </c>
      <c r="S1044" t="s">
        <v>6214</v>
      </c>
      <c r="T1044">
        <v>4</v>
      </c>
      <c r="U1044" t="s">
        <v>56</v>
      </c>
      <c r="V1044" t="s">
        <v>56</v>
      </c>
    </row>
    <row r="1045" spans="1:22" x14ac:dyDescent="0.3">
      <c r="A1045" s="49">
        <v>45329</v>
      </c>
      <c r="B1045" t="s">
        <v>3244</v>
      </c>
      <c r="E1045" t="s">
        <v>3116</v>
      </c>
      <c r="G1045" t="s">
        <v>768</v>
      </c>
      <c r="H1045" t="s">
        <v>28</v>
      </c>
      <c r="I1045" t="s">
        <v>5500</v>
      </c>
      <c r="J1045" t="s">
        <v>63</v>
      </c>
      <c r="K1045" t="s">
        <v>414</v>
      </c>
      <c r="M1045">
        <v>100</v>
      </c>
      <c r="N1045" t="s">
        <v>49</v>
      </c>
      <c r="O1045" t="s">
        <v>3437</v>
      </c>
      <c r="P1045" t="s">
        <v>170</v>
      </c>
      <c r="S1045" t="s">
        <v>6215</v>
      </c>
      <c r="T1045">
        <v>4</v>
      </c>
      <c r="U1045" t="s">
        <v>56</v>
      </c>
      <c r="V1045" t="s">
        <v>56</v>
      </c>
    </row>
    <row r="1046" spans="1:22" x14ac:dyDescent="0.3">
      <c r="A1046" s="49">
        <v>45329</v>
      </c>
      <c r="B1046" t="s">
        <v>3244</v>
      </c>
      <c r="E1046" t="s">
        <v>3116</v>
      </c>
      <c r="G1046" t="s">
        <v>768</v>
      </c>
      <c r="H1046" t="s">
        <v>28</v>
      </c>
      <c r="J1046" t="s">
        <v>63</v>
      </c>
      <c r="K1046" t="s">
        <v>64</v>
      </c>
      <c r="M1046">
        <v>100</v>
      </c>
      <c r="N1046" t="s">
        <v>33</v>
      </c>
      <c r="O1046" t="s">
        <v>3438</v>
      </c>
      <c r="P1046" t="s">
        <v>1508</v>
      </c>
      <c r="S1046" t="s">
        <v>6216</v>
      </c>
      <c r="T1046">
        <v>4</v>
      </c>
      <c r="U1046" t="s">
        <v>56</v>
      </c>
      <c r="V1046" t="s">
        <v>56</v>
      </c>
    </row>
    <row r="1047" spans="1:22" x14ac:dyDescent="0.3">
      <c r="A1047" s="49">
        <v>45329</v>
      </c>
      <c r="B1047" t="s">
        <v>3244</v>
      </c>
      <c r="E1047" t="s">
        <v>3116</v>
      </c>
      <c r="G1047" t="s">
        <v>768</v>
      </c>
      <c r="H1047" t="s">
        <v>28</v>
      </c>
      <c r="J1047" t="s">
        <v>63</v>
      </c>
      <c r="K1047" t="s">
        <v>64</v>
      </c>
      <c r="M1047">
        <v>100</v>
      </c>
      <c r="N1047" t="s">
        <v>33</v>
      </c>
      <c r="O1047" t="s">
        <v>3438</v>
      </c>
      <c r="P1047" t="s">
        <v>1508</v>
      </c>
      <c r="S1047" t="s">
        <v>6216</v>
      </c>
      <c r="T1047">
        <v>4</v>
      </c>
      <c r="U1047" t="s">
        <v>56</v>
      </c>
      <c r="V1047" t="s">
        <v>56</v>
      </c>
    </row>
    <row r="1048" spans="1:22" x14ac:dyDescent="0.3">
      <c r="A1048" s="49">
        <v>45329</v>
      </c>
      <c r="B1048" t="s">
        <v>3244</v>
      </c>
      <c r="E1048" t="s">
        <v>3116</v>
      </c>
      <c r="G1048" t="s">
        <v>768</v>
      </c>
      <c r="H1048" t="s">
        <v>28</v>
      </c>
      <c r="J1048" t="s">
        <v>63</v>
      </c>
      <c r="K1048" t="s">
        <v>64</v>
      </c>
      <c r="M1048">
        <v>100</v>
      </c>
      <c r="N1048" t="s">
        <v>33</v>
      </c>
      <c r="O1048" t="s">
        <v>3439</v>
      </c>
      <c r="P1048" t="s">
        <v>1508</v>
      </c>
      <c r="S1048" t="s">
        <v>6216</v>
      </c>
      <c r="T1048">
        <v>4</v>
      </c>
      <c r="U1048" t="s">
        <v>56</v>
      </c>
      <c r="V1048" t="s">
        <v>56</v>
      </c>
    </row>
    <row r="1049" spans="1:22" x14ac:dyDescent="0.3">
      <c r="A1049" s="49">
        <v>45329</v>
      </c>
      <c r="B1049" t="s">
        <v>3244</v>
      </c>
      <c r="E1049" t="s">
        <v>3116</v>
      </c>
      <c r="G1049" t="s">
        <v>768</v>
      </c>
      <c r="H1049" t="s">
        <v>28</v>
      </c>
      <c r="J1049" t="s">
        <v>63</v>
      </c>
      <c r="K1049" t="s">
        <v>64</v>
      </c>
      <c r="M1049">
        <v>100</v>
      </c>
      <c r="N1049" t="s">
        <v>33</v>
      </c>
      <c r="O1049" t="s">
        <v>3440</v>
      </c>
      <c r="P1049" t="s">
        <v>306</v>
      </c>
      <c r="S1049" t="s">
        <v>6216</v>
      </c>
      <c r="T1049">
        <v>4</v>
      </c>
      <c r="U1049" t="s">
        <v>56</v>
      </c>
      <c r="V1049" t="s">
        <v>56</v>
      </c>
    </row>
    <row r="1050" spans="1:22" x14ac:dyDescent="0.3">
      <c r="A1050" s="49">
        <v>45329</v>
      </c>
      <c r="B1050" t="s">
        <v>3244</v>
      </c>
      <c r="E1050" t="s">
        <v>3116</v>
      </c>
      <c r="G1050" t="s">
        <v>4977</v>
      </c>
      <c r="H1050" t="s">
        <v>89</v>
      </c>
      <c r="I1050" t="s">
        <v>5501</v>
      </c>
      <c r="J1050" t="s">
        <v>63</v>
      </c>
      <c r="K1050" t="s">
        <v>414</v>
      </c>
      <c r="M1050">
        <v>33</v>
      </c>
      <c r="N1050" t="s">
        <v>49</v>
      </c>
      <c r="O1050" t="s">
        <v>3441</v>
      </c>
      <c r="P1050" t="s">
        <v>743</v>
      </c>
      <c r="S1050" t="s">
        <v>6217</v>
      </c>
      <c r="T1050">
        <v>4</v>
      </c>
      <c r="U1050" t="s">
        <v>56</v>
      </c>
      <c r="V1050" t="s">
        <v>56</v>
      </c>
    </row>
    <row r="1051" spans="1:22" x14ac:dyDescent="0.3">
      <c r="A1051" s="49">
        <v>45329</v>
      </c>
      <c r="B1051" t="s">
        <v>606</v>
      </c>
      <c r="E1051" t="s">
        <v>3116</v>
      </c>
      <c r="G1051" t="s">
        <v>5066</v>
      </c>
      <c r="H1051" t="s">
        <v>28</v>
      </c>
      <c r="I1051" t="s">
        <v>5502</v>
      </c>
      <c r="J1051" t="s">
        <v>63</v>
      </c>
      <c r="K1051" t="s">
        <v>64</v>
      </c>
      <c r="M1051">
        <v>100</v>
      </c>
      <c r="N1051" t="s">
        <v>49</v>
      </c>
      <c r="O1051" t="s">
        <v>3442</v>
      </c>
      <c r="P1051" t="s">
        <v>4858</v>
      </c>
      <c r="S1051" t="s">
        <v>6218</v>
      </c>
      <c r="T1051">
        <v>4</v>
      </c>
      <c r="U1051" t="s">
        <v>56</v>
      </c>
      <c r="V1051" t="s">
        <v>56</v>
      </c>
    </row>
    <row r="1052" spans="1:22" x14ac:dyDescent="0.3">
      <c r="A1052" s="49">
        <v>45329</v>
      </c>
      <c r="B1052" t="s">
        <v>606</v>
      </c>
      <c r="E1052" t="s">
        <v>3116</v>
      </c>
      <c r="G1052" t="s">
        <v>5066</v>
      </c>
      <c r="H1052" t="s">
        <v>28</v>
      </c>
      <c r="I1052" t="s">
        <v>5503</v>
      </c>
      <c r="J1052" t="s">
        <v>6059</v>
      </c>
      <c r="K1052" t="s">
        <v>64</v>
      </c>
      <c r="M1052">
        <v>100</v>
      </c>
      <c r="N1052" t="s">
        <v>49</v>
      </c>
      <c r="O1052" t="s">
        <v>3443</v>
      </c>
      <c r="P1052" t="s">
        <v>4859</v>
      </c>
      <c r="S1052" t="s">
        <v>6219</v>
      </c>
      <c r="T1052">
        <v>4</v>
      </c>
      <c r="U1052" t="s">
        <v>56</v>
      </c>
      <c r="V1052" t="s">
        <v>56</v>
      </c>
    </row>
    <row r="1053" spans="1:22" x14ac:dyDescent="0.3">
      <c r="A1053" s="49">
        <v>45329</v>
      </c>
      <c r="B1053" t="s">
        <v>606</v>
      </c>
      <c r="E1053" t="s">
        <v>3116</v>
      </c>
      <c r="G1053" t="s">
        <v>5066</v>
      </c>
      <c r="H1053" t="s">
        <v>28</v>
      </c>
      <c r="I1053" t="s">
        <v>5503</v>
      </c>
      <c r="J1053" t="s">
        <v>6059</v>
      </c>
      <c r="K1053" t="s">
        <v>64</v>
      </c>
      <c r="M1053">
        <v>100</v>
      </c>
      <c r="N1053" t="s">
        <v>49</v>
      </c>
      <c r="O1053" t="s">
        <v>3443</v>
      </c>
      <c r="P1053" t="s">
        <v>4859</v>
      </c>
      <c r="S1053" t="s">
        <v>6219</v>
      </c>
      <c r="T1053">
        <v>4</v>
      </c>
      <c r="U1053" t="s">
        <v>56</v>
      </c>
      <c r="V1053" t="s">
        <v>56</v>
      </c>
    </row>
    <row r="1054" spans="1:22" x14ac:dyDescent="0.3">
      <c r="A1054" s="49">
        <v>45329</v>
      </c>
      <c r="B1054" t="s">
        <v>3244</v>
      </c>
      <c r="E1054" t="s">
        <v>3177</v>
      </c>
      <c r="G1054" t="s">
        <v>5024</v>
      </c>
      <c r="H1054" t="s">
        <v>28</v>
      </c>
      <c r="I1054" t="s">
        <v>5504</v>
      </c>
      <c r="J1054" t="s">
        <v>63</v>
      </c>
      <c r="K1054" t="s">
        <v>211</v>
      </c>
      <c r="M1054">
        <v>0</v>
      </c>
      <c r="N1054" t="s">
        <v>74</v>
      </c>
      <c r="O1054" t="s">
        <v>3444</v>
      </c>
      <c r="P1054" t="s">
        <v>1597</v>
      </c>
      <c r="S1054" t="s">
        <v>6220</v>
      </c>
      <c r="T1054">
        <v>4</v>
      </c>
      <c r="U1054" t="s">
        <v>56</v>
      </c>
      <c r="V1054" t="s">
        <v>56</v>
      </c>
    </row>
    <row r="1055" spans="1:22" x14ac:dyDescent="0.3">
      <c r="A1055" s="49">
        <v>45329</v>
      </c>
      <c r="B1055" t="s">
        <v>606</v>
      </c>
      <c r="E1055" t="s">
        <v>2309</v>
      </c>
      <c r="G1055" t="s">
        <v>5067</v>
      </c>
      <c r="H1055" t="s">
        <v>89</v>
      </c>
      <c r="I1055" t="s">
        <v>5505</v>
      </c>
      <c r="J1055" t="s">
        <v>30</v>
      </c>
      <c r="K1055" t="s">
        <v>4925</v>
      </c>
      <c r="M1055">
        <v>100</v>
      </c>
      <c r="N1055" t="s">
        <v>49</v>
      </c>
      <c r="O1055" t="s">
        <v>3445</v>
      </c>
      <c r="P1055" t="s">
        <v>1697</v>
      </c>
      <c r="S1055" t="s">
        <v>6221</v>
      </c>
      <c r="T1055">
        <v>4</v>
      </c>
      <c r="U1055" t="s">
        <v>56</v>
      </c>
      <c r="V1055" t="s">
        <v>56</v>
      </c>
    </row>
    <row r="1056" spans="1:22" x14ac:dyDescent="0.3">
      <c r="A1056" s="49">
        <v>45329</v>
      </c>
      <c r="B1056" t="s">
        <v>3244</v>
      </c>
      <c r="E1056" t="s">
        <v>3178</v>
      </c>
      <c r="G1056" t="s">
        <v>796</v>
      </c>
      <c r="H1056" t="s">
        <v>28</v>
      </c>
      <c r="J1056" t="s">
        <v>30</v>
      </c>
      <c r="K1056" t="s">
        <v>264</v>
      </c>
      <c r="M1056">
        <v>35</v>
      </c>
      <c r="N1056" t="s">
        <v>49</v>
      </c>
      <c r="O1056" t="s">
        <v>3446</v>
      </c>
      <c r="P1056" t="s">
        <v>829</v>
      </c>
      <c r="S1056" t="s">
        <v>6222</v>
      </c>
      <c r="T1056">
        <v>4</v>
      </c>
      <c r="U1056" t="s">
        <v>56</v>
      </c>
      <c r="V1056" t="s">
        <v>56</v>
      </c>
    </row>
    <row r="1057" spans="1:22" x14ac:dyDescent="0.3">
      <c r="A1057" s="49">
        <v>45329</v>
      </c>
      <c r="B1057" t="s">
        <v>606</v>
      </c>
      <c r="E1057" t="s">
        <v>3178</v>
      </c>
      <c r="G1057" t="s">
        <v>796</v>
      </c>
      <c r="H1057" t="s">
        <v>28</v>
      </c>
      <c r="I1057" t="s">
        <v>797</v>
      </c>
      <c r="J1057" t="s">
        <v>30</v>
      </c>
      <c r="K1057" t="s">
        <v>264</v>
      </c>
      <c r="M1057">
        <v>30</v>
      </c>
      <c r="N1057" t="s">
        <v>33</v>
      </c>
      <c r="O1057" t="s">
        <v>3447</v>
      </c>
      <c r="P1057" t="s">
        <v>1878</v>
      </c>
      <c r="S1057" t="s">
        <v>6223</v>
      </c>
      <c r="T1057">
        <v>4</v>
      </c>
      <c r="U1057" t="s">
        <v>56</v>
      </c>
      <c r="V1057" t="s">
        <v>56</v>
      </c>
    </row>
    <row r="1058" spans="1:22" x14ac:dyDescent="0.3">
      <c r="A1058" s="49">
        <v>45329</v>
      </c>
      <c r="B1058" t="s">
        <v>606</v>
      </c>
      <c r="E1058" t="s">
        <v>3179</v>
      </c>
      <c r="G1058" t="s">
        <v>2648</v>
      </c>
      <c r="H1058" t="s">
        <v>89</v>
      </c>
      <c r="I1058" t="s">
        <v>5506</v>
      </c>
      <c r="J1058" t="s">
        <v>63</v>
      </c>
      <c r="K1058" t="s">
        <v>414</v>
      </c>
      <c r="M1058">
        <v>71</v>
      </c>
      <c r="N1058" t="s">
        <v>33</v>
      </c>
      <c r="O1058" t="s">
        <v>3448</v>
      </c>
      <c r="P1058" t="s">
        <v>2627</v>
      </c>
      <c r="S1058" t="s">
        <v>6224</v>
      </c>
      <c r="T1058">
        <v>4</v>
      </c>
      <c r="U1058" t="s">
        <v>56</v>
      </c>
      <c r="V1058" t="s">
        <v>56</v>
      </c>
    </row>
    <row r="1059" spans="1:22" x14ac:dyDescent="0.3">
      <c r="A1059" s="49">
        <v>45329</v>
      </c>
      <c r="B1059" t="s">
        <v>606</v>
      </c>
      <c r="E1059" t="s">
        <v>3180</v>
      </c>
      <c r="G1059" t="s">
        <v>5068</v>
      </c>
      <c r="H1059" t="s">
        <v>28</v>
      </c>
      <c r="I1059" t="s">
        <v>5507</v>
      </c>
      <c r="J1059" t="s">
        <v>30</v>
      </c>
      <c r="K1059" t="s">
        <v>1546</v>
      </c>
      <c r="M1059">
        <v>100</v>
      </c>
      <c r="N1059" t="s">
        <v>49</v>
      </c>
      <c r="O1059" t="s">
        <v>3449</v>
      </c>
      <c r="P1059" t="s">
        <v>483</v>
      </c>
      <c r="S1059" t="s">
        <v>6225</v>
      </c>
      <c r="T1059">
        <v>4</v>
      </c>
      <c r="U1059" t="s">
        <v>56</v>
      </c>
      <c r="V1059" t="s">
        <v>56</v>
      </c>
    </row>
    <row r="1060" spans="1:22" x14ac:dyDescent="0.3">
      <c r="A1060" s="49">
        <v>45329</v>
      </c>
      <c r="B1060" t="s">
        <v>606</v>
      </c>
      <c r="E1060" t="s">
        <v>3149</v>
      </c>
      <c r="G1060" t="s">
        <v>5069</v>
      </c>
      <c r="H1060" t="s">
        <v>89</v>
      </c>
      <c r="I1060" t="s">
        <v>5508</v>
      </c>
      <c r="J1060" t="s">
        <v>63</v>
      </c>
      <c r="K1060" t="s">
        <v>256</v>
      </c>
      <c r="M1060">
        <v>80</v>
      </c>
      <c r="N1060" t="s">
        <v>33</v>
      </c>
      <c r="O1060" t="s">
        <v>3450</v>
      </c>
      <c r="P1060" t="s">
        <v>1878</v>
      </c>
      <c r="S1060" t="s">
        <v>6226</v>
      </c>
      <c r="T1060">
        <v>4</v>
      </c>
      <c r="U1060" t="s">
        <v>56</v>
      </c>
      <c r="V1060" t="s">
        <v>56</v>
      </c>
    </row>
    <row r="1061" spans="1:22" x14ac:dyDescent="0.3">
      <c r="A1061" s="49">
        <v>45329</v>
      </c>
      <c r="B1061" t="s">
        <v>606</v>
      </c>
      <c r="E1061" t="s">
        <v>3149</v>
      </c>
      <c r="G1061" t="s">
        <v>5069</v>
      </c>
      <c r="H1061" t="s">
        <v>89</v>
      </c>
      <c r="I1061" t="s">
        <v>5508</v>
      </c>
      <c r="J1061" t="s">
        <v>63</v>
      </c>
      <c r="K1061" t="s">
        <v>256</v>
      </c>
      <c r="M1061">
        <v>100</v>
      </c>
      <c r="N1061" t="s">
        <v>33</v>
      </c>
      <c r="O1061" t="s">
        <v>3450</v>
      </c>
      <c r="P1061" t="s">
        <v>4832</v>
      </c>
      <c r="S1061" t="s">
        <v>6226</v>
      </c>
      <c r="T1061">
        <v>4</v>
      </c>
      <c r="U1061" t="s">
        <v>56</v>
      </c>
      <c r="V1061" t="s">
        <v>56</v>
      </c>
    </row>
    <row r="1062" spans="1:22" x14ac:dyDescent="0.3">
      <c r="A1062" s="49">
        <v>45329</v>
      </c>
      <c r="B1062" t="s">
        <v>606</v>
      </c>
      <c r="E1062" t="s">
        <v>3153</v>
      </c>
      <c r="G1062" t="s">
        <v>5013</v>
      </c>
      <c r="H1062" t="s">
        <v>89</v>
      </c>
      <c r="I1062" t="s">
        <v>5509</v>
      </c>
      <c r="J1062" t="s">
        <v>63</v>
      </c>
      <c r="K1062" t="s">
        <v>414</v>
      </c>
      <c r="M1062">
        <v>100</v>
      </c>
      <c r="N1062" t="s">
        <v>49</v>
      </c>
      <c r="O1062" t="s">
        <v>3451</v>
      </c>
      <c r="P1062" t="s">
        <v>1697</v>
      </c>
      <c r="S1062" t="s">
        <v>6227</v>
      </c>
      <c r="T1062">
        <v>4</v>
      </c>
      <c r="U1062" t="s">
        <v>56</v>
      </c>
      <c r="V1062" t="s">
        <v>56</v>
      </c>
    </row>
    <row r="1063" spans="1:22" x14ac:dyDescent="0.3">
      <c r="A1063" s="49">
        <v>45329</v>
      </c>
      <c r="B1063" t="s">
        <v>3244</v>
      </c>
      <c r="E1063" t="s">
        <v>3181</v>
      </c>
      <c r="G1063" t="s">
        <v>5070</v>
      </c>
      <c r="H1063" t="s">
        <v>28</v>
      </c>
      <c r="I1063" t="s">
        <v>2632</v>
      </c>
      <c r="J1063" t="s">
        <v>63</v>
      </c>
      <c r="K1063" t="s">
        <v>414</v>
      </c>
      <c r="M1063">
        <v>32</v>
      </c>
      <c r="N1063" t="s">
        <v>74</v>
      </c>
      <c r="O1063" t="s">
        <v>3452</v>
      </c>
      <c r="P1063" t="s">
        <v>1508</v>
      </c>
      <c r="S1063" t="s">
        <v>6228</v>
      </c>
      <c r="T1063">
        <v>4</v>
      </c>
      <c r="U1063" t="s">
        <v>56</v>
      </c>
      <c r="V1063" t="s">
        <v>56</v>
      </c>
    </row>
    <row r="1064" spans="1:22" x14ac:dyDescent="0.3">
      <c r="A1064" s="49">
        <v>45329</v>
      </c>
      <c r="B1064" t="s">
        <v>606</v>
      </c>
      <c r="E1064" t="s">
        <v>3118</v>
      </c>
      <c r="G1064" t="s">
        <v>4981</v>
      </c>
      <c r="H1064" t="s">
        <v>28</v>
      </c>
      <c r="I1064" t="s">
        <v>5510</v>
      </c>
      <c r="J1064" t="s">
        <v>30</v>
      </c>
      <c r="K1064" t="s">
        <v>4927</v>
      </c>
      <c r="M1064">
        <v>100</v>
      </c>
      <c r="N1064" t="s">
        <v>49</v>
      </c>
      <c r="O1064" t="s">
        <v>3453</v>
      </c>
      <c r="P1064" t="s">
        <v>306</v>
      </c>
      <c r="S1064" t="s">
        <v>6229</v>
      </c>
      <c r="T1064">
        <v>4</v>
      </c>
      <c r="U1064" t="s">
        <v>56</v>
      </c>
      <c r="V1064" t="s">
        <v>56</v>
      </c>
    </row>
    <row r="1065" spans="1:22" x14ac:dyDescent="0.3">
      <c r="A1065" s="49">
        <v>45329</v>
      </c>
      <c r="B1065" t="s">
        <v>3244</v>
      </c>
      <c r="E1065" t="s">
        <v>3156</v>
      </c>
      <c r="G1065" t="s">
        <v>5034</v>
      </c>
      <c r="H1065" t="s">
        <v>89</v>
      </c>
      <c r="I1065" t="s">
        <v>5511</v>
      </c>
      <c r="J1065" t="s">
        <v>63</v>
      </c>
      <c r="K1065" t="s">
        <v>414</v>
      </c>
      <c r="M1065">
        <v>100</v>
      </c>
      <c r="N1065" t="s">
        <v>49</v>
      </c>
      <c r="O1065" t="s">
        <v>3454</v>
      </c>
      <c r="P1065" t="s">
        <v>170</v>
      </c>
      <c r="S1065" t="s">
        <v>6230</v>
      </c>
      <c r="T1065">
        <v>4</v>
      </c>
      <c r="U1065" t="s">
        <v>56</v>
      </c>
      <c r="V1065" t="s">
        <v>56</v>
      </c>
    </row>
    <row r="1066" spans="1:22" x14ac:dyDescent="0.3">
      <c r="A1066" s="49">
        <v>45329</v>
      </c>
      <c r="B1066" t="s">
        <v>3244</v>
      </c>
      <c r="E1066" t="s">
        <v>3156</v>
      </c>
      <c r="G1066" t="s">
        <v>5034</v>
      </c>
      <c r="H1066" t="s">
        <v>89</v>
      </c>
      <c r="I1066" t="s">
        <v>5511</v>
      </c>
      <c r="J1066" t="s">
        <v>63</v>
      </c>
      <c r="K1066" t="s">
        <v>414</v>
      </c>
      <c r="M1066">
        <v>75</v>
      </c>
      <c r="N1066" t="s">
        <v>33</v>
      </c>
      <c r="O1066" t="s">
        <v>3454</v>
      </c>
      <c r="P1066" t="s">
        <v>170</v>
      </c>
      <c r="S1066" t="s">
        <v>6230</v>
      </c>
      <c r="T1066">
        <v>4</v>
      </c>
      <c r="U1066" t="s">
        <v>56</v>
      </c>
      <c r="V1066" t="s">
        <v>56</v>
      </c>
    </row>
    <row r="1067" spans="1:22" x14ac:dyDescent="0.3">
      <c r="A1067" s="49">
        <v>45329</v>
      </c>
      <c r="B1067" t="s">
        <v>3244</v>
      </c>
      <c r="E1067" t="s">
        <v>3156</v>
      </c>
      <c r="G1067" t="s">
        <v>5034</v>
      </c>
      <c r="H1067" t="s">
        <v>89</v>
      </c>
      <c r="I1067" t="s">
        <v>5511</v>
      </c>
      <c r="J1067" t="s">
        <v>63</v>
      </c>
      <c r="K1067" t="s">
        <v>414</v>
      </c>
      <c r="M1067">
        <v>25</v>
      </c>
      <c r="N1067" t="s">
        <v>33</v>
      </c>
      <c r="O1067" t="s">
        <v>3454</v>
      </c>
      <c r="P1067" t="s">
        <v>170</v>
      </c>
      <c r="S1067" t="s">
        <v>6230</v>
      </c>
      <c r="T1067">
        <v>4</v>
      </c>
      <c r="U1067" t="s">
        <v>56</v>
      </c>
      <c r="V1067" t="s">
        <v>56</v>
      </c>
    </row>
    <row r="1068" spans="1:22" x14ac:dyDescent="0.3">
      <c r="A1068" s="49">
        <v>45329</v>
      </c>
      <c r="B1068" t="s">
        <v>3244</v>
      </c>
      <c r="E1068" t="s">
        <v>3156</v>
      </c>
      <c r="G1068" t="s">
        <v>5034</v>
      </c>
      <c r="H1068" t="s">
        <v>89</v>
      </c>
      <c r="I1068" t="s">
        <v>5511</v>
      </c>
      <c r="J1068" t="s">
        <v>63</v>
      </c>
      <c r="K1068" t="s">
        <v>414</v>
      </c>
      <c r="M1068">
        <v>50</v>
      </c>
      <c r="N1068" t="s">
        <v>49</v>
      </c>
      <c r="O1068" t="s">
        <v>3455</v>
      </c>
      <c r="P1068" t="s">
        <v>743</v>
      </c>
      <c r="S1068" t="s">
        <v>6230</v>
      </c>
      <c r="T1068">
        <v>4</v>
      </c>
      <c r="U1068" t="s">
        <v>56</v>
      </c>
      <c r="V1068" t="s">
        <v>56</v>
      </c>
    </row>
    <row r="1069" spans="1:22" x14ac:dyDescent="0.3">
      <c r="A1069" s="49">
        <v>45329</v>
      </c>
      <c r="B1069" t="s">
        <v>3244</v>
      </c>
      <c r="E1069" t="s">
        <v>3121</v>
      </c>
      <c r="G1069" t="s">
        <v>1108</v>
      </c>
      <c r="H1069" t="s">
        <v>28</v>
      </c>
      <c r="I1069" t="s">
        <v>1109</v>
      </c>
      <c r="J1069" t="s">
        <v>63</v>
      </c>
      <c r="K1069" t="s">
        <v>256</v>
      </c>
      <c r="M1069">
        <v>90</v>
      </c>
      <c r="N1069" t="s">
        <v>33</v>
      </c>
      <c r="O1069" t="s">
        <v>3456</v>
      </c>
      <c r="P1069" t="s">
        <v>4834</v>
      </c>
      <c r="S1069" t="s">
        <v>6231</v>
      </c>
      <c r="T1069">
        <v>4</v>
      </c>
      <c r="U1069" t="s">
        <v>56</v>
      </c>
      <c r="V1069" t="s">
        <v>56</v>
      </c>
    </row>
    <row r="1070" spans="1:22" x14ac:dyDescent="0.3">
      <c r="A1070" s="49">
        <v>45329</v>
      </c>
      <c r="B1070" t="s">
        <v>3244</v>
      </c>
      <c r="E1070" t="s">
        <v>3121</v>
      </c>
      <c r="G1070" t="s">
        <v>1108</v>
      </c>
      <c r="H1070" t="s">
        <v>28</v>
      </c>
      <c r="I1070" t="s">
        <v>1109</v>
      </c>
      <c r="J1070" t="s">
        <v>63</v>
      </c>
      <c r="K1070" t="s">
        <v>256</v>
      </c>
      <c r="M1070">
        <v>70</v>
      </c>
      <c r="N1070" t="s">
        <v>33</v>
      </c>
      <c r="O1070" t="s">
        <v>3456</v>
      </c>
      <c r="P1070" t="s">
        <v>4834</v>
      </c>
      <c r="S1070" t="s">
        <v>6231</v>
      </c>
      <c r="T1070">
        <v>4</v>
      </c>
      <c r="U1070" t="s">
        <v>56</v>
      </c>
      <c r="V1070" t="s">
        <v>56</v>
      </c>
    </row>
    <row r="1071" spans="1:22" x14ac:dyDescent="0.3">
      <c r="A1071" s="49">
        <v>45329</v>
      </c>
      <c r="B1071" t="s">
        <v>606</v>
      </c>
      <c r="E1071" t="s">
        <v>3121</v>
      </c>
      <c r="G1071" t="s">
        <v>5071</v>
      </c>
      <c r="H1071" t="s">
        <v>28</v>
      </c>
      <c r="I1071" t="s">
        <v>5512</v>
      </c>
      <c r="J1071" t="s">
        <v>63</v>
      </c>
      <c r="K1071" t="s">
        <v>64</v>
      </c>
      <c r="M1071">
        <v>100</v>
      </c>
      <c r="N1071" t="s">
        <v>49</v>
      </c>
      <c r="O1071" t="s">
        <v>3457</v>
      </c>
      <c r="P1071" t="s">
        <v>1697</v>
      </c>
      <c r="S1071" t="s">
        <v>6232</v>
      </c>
      <c r="T1071">
        <v>4</v>
      </c>
      <c r="U1071" t="s">
        <v>56</v>
      </c>
      <c r="V1071" t="s">
        <v>56</v>
      </c>
    </row>
    <row r="1072" spans="1:22" x14ac:dyDescent="0.3">
      <c r="A1072" s="49">
        <v>45329</v>
      </c>
      <c r="B1072" t="s">
        <v>606</v>
      </c>
      <c r="E1072" t="s">
        <v>3121</v>
      </c>
      <c r="G1072" t="s">
        <v>5071</v>
      </c>
      <c r="H1072" t="s">
        <v>28</v>
      </c>
      <c r="I1072" t="s">
        <v>5512</v>
      </c>
      <c r="J1072" t="s">
        <v>63</v>
      </c>
      <c r="K1072" t="s">
        <v>64</v>
      </c>
      <c r="M1072">
        <v>100</v>
      </c>
      <c r="N1072" t="s">
        <v>49</v>
      </c>
      <c r="O1072" t="s">
        <v>3457</v>
      </c>
      <c r="P1072" t="s">
        <v>1697</v>
      </c>
      <c r="S1072" t="s">
        <v>6232</v>
      </c>
      <c r="T1072">
        <v>4</v>
      </c>
      <c r="U1072" t="s">
        <v>56</v>
      </c>
      <c r="V1072" t="s">
        <v>56</v>
      </c>
    </row>
    <row r="1073" spans="1:22" x14ac:dyDescent="0.3">
      <c r="A1073" s="49">
        <v>45329</v>
      </c>
      <c r="B1073" t="s">
        <v>606</v>
      </c>
      <c r="E1073" t="s">
        <v>3121</v>
      </c>
      <c r="G1073" t="s">
        <v>5071</v>
      </c>
      <c r="H1073" t="s">
        <v>28</v>
      </c>
      <c r="I1073" t="s">
        <v>5512</v>
      </c>
      <c r="J1073" t="s">
        <v>63</v>
      </c>
      <c r="K1073" t="s">
        <v>64</v>
      </c>
      <c r="M1073">
        <v>100</v>
      </c>
      <c r="N1073" t="s">
        <v>49</v>
      </c>
      <c r="O1073" t="s">
        <v>3457</v>
      </c>
      <c r="P1073" t="s">
        <v>1697</v>
      </c>
      <c r="S1073" t="s">
        <v>6232</v>
      </c>
      <c r="T1073">
        <v>4</v>
      </c>
      <c r="U1073" t="s">
        <v>56</v>
      </c>
      <c r="V1073" t="s">
        <v>56</v>
      </c>
    </row>
    <row r="1074" spans="1:22" x14ac:dyDescent="0.3">
      <c r="A1074" s="49">
        <v>45329</v>
      </c>
      <c r="B1074" t="s">
        <v>606</v>
      </c>
      <c r="E1074" t="s">
        <v>3121</v>
      </c>
      <c r="G1074" t="s">
        <v>5071</v>
      </c>
      <c r="H1074" t="s">
        <v>28</v>
      </c>
      <c r="I1074" t="s">
        <v>5512</v>
      </c>
      <c r="J1074" t="s">
        <v>63</v>
      </c>
      <c r="K1074" t="s">
        <v>64</v>
      </c>
      <c r="M1074">
        <v>100</v>
      </c>
      <c r="N1074" t="s">
        <v>49</v>
      </c>
      <c r="O1074" t="s">
        <v>3457</v>
      </c>
      <c r="P1074" t="s">
        <v>1697</v>
      </c>
      <c r="S1074" t="s">
        <v>6232</v>
      </c>
      <c r="T1074">
        <v>4</v>
      </c>
      <c r="U1074" t="s">
        <v>56</v>
      </c>
      <c r="V1074" t="s">
        <v>56</v>
      </c>
    </row>
    <row r="1075" spans="1:22" x14ac:dyDescent="0.3">
      <c r="A1075" s="49">
        <v>45329</v>
      </c>
      <c r="B1075" t="s">
        <v>606</v>
      </c>
      <c r="E1075" t="s">
        <v>3121</v>
      </c>
      <c r="G1075" t="s">
        <v>5071</v>
      </c>
      <c r="H1075" t="s">
        <v>28</v>
      </c>
      <c r="I1075" t="s">
        <v>5512</v>
      </c>
      <c r="J1075" t="s">
        <v>63</v>
      </c>
      <c r="K1075" t="s">
        <v>64</v>
      </c>
      <c r="M1075">
        <v>100</v>
      </c>
      <c r="N1075" t="s">
        <v>49</v>
      </c>
      <c r="O1075" t="s">
        <v>3457</v>
      </c>
      <c r="P1075" t="s">
        <v>1697</v>
      </c>
      <c r="S1075" t="s">
        <v>6232</v>
      </c>
      <c r="T1075">
        <v>4</v>
      </c>
      <c r="U1075" t="s">
        <v>56</v>
      </c>
      <c r="V1075" t="s">
        <v>56</v>
      </c>
    </row>
    <row r="1076" spans="1:22" x14ac:dyDescent="0.3">
      <c r="A1076" s="49">
        <v>45329</v>
      </c>
      <c r="B1076" t="s">
        <v>3244</v>
      </c>
      <c r="E1076" t="s">
        <v>3121</v>
      </c>
      <c r="G1076" t="s">
        <v>5072</v>
      </c>
      <c r="H1076" t="s">
        <v>28</v>
      </c>
      <c r="I1076" t="s">
        <v>5513</v>
      </c>
      <c r="J1076" t="s">
        <v>63</v>
      </c>
      <c r="K1076" t="s">
        <v>64</v>
      </c>
      <c r="M1076">
        <v>55</v>
      </c>
      <c r="N1076" t="s">
        <v>74</v>
      </c>
      <c r="O1076" t="s">
        <v>3458</v>
      </c>
      <c r="P1076" t="s">
        <v>1697</v>
      </c>
      <c r="S1076" t="s">
        <v>6233</v>
      </c>
      <c r="T1076">
        <v>4</v>
      </c>
      <c r="U1076" t="s">
        <v>56</v>
      </c>
      <c r="V1076" t="s">
        <v>56</v>
      </c>
    </row>
    <row r="1077" spans="1:22" x14ac:dyDescent="0.3">
      <c r="A1077" s="49">
        <v>45329</v>
      </c>
      <c r="B1077" t="s">
        <v>606</v>
      </c>
      <c r="E1077" t="s">
        <v>3121</v>
      </c>
      <c r="G1077" t="s">
        <v>5073</v>
      </c>
      <c r="H1077" t="s">
        <v>28</v>
      </c>
      <c r="I1077" t="s">
        <v>5514</v>
      </c>
      <c r="J1077" t="s">
        <v>63</v>
      </c>
      <c r="K1077" t="s">
        <v>64</v>
      </c>
      <c r="M1077">
        <v>100</v>
      </c>
      <c r="N1077" t="s">
        <v>49</v>
      </c>
      <c r="O1077" t="s">
        <v>3459</v>
      </c>
      <c r="P1077" t="s">
        <v>743</v>
      </c>
      <c r="S1077" t="s">
        <v>6234</v>
      </c>
      <c r="T1077">
        <v>4</v>
      </c>
      <c r="U1077" t="s">
        <v>56</v>
      </c>
      <c r="V1077" t="s">
        <v>56</v>
      </c>
    </row>
    <row r="1078" spans="1:22" x14ac:dyDescent="0.3">
      <c r="A1078" s="49">
        <v>45329</v>
      </c>
      <c r="B1078" t="s">
        <v>606</v>
      </c>
      <c r="E1078" t="s">
        <v>3121</v>
      </c>
      <c r="G1078" t="s">
        <v>5074</v>
      </c>
      <c r="H1078" t="s">
        <v>89</v>
      </c>
      <c r="J1078" t="s">
        <v>63</v>
      </c>
      <c r="K1078" t="s">
        <v>414</v>
      </c>
      <c r="M1078">
        <v>100</v>
      </c>
      <c r="N1078" t="s">
        <v>49</v>
      </c>
      <c r="O1078" t="s">
        <v>3460</v>
      </c>
      <c r="P1078" t="s">
        <v>416</v>
      </c>
      <c r="S1078" t="s">
        <v>6235</v>
      </c>
      <c r="T1078">
        <v>4</v>
      </c>
      <c r="U1078" t="s">
        <v>56</v>
      </c>
      <c r="V1078" t="s">
        <v>56</v>
      </c>
    </row>
    <row r="1079" spans="1:22" x14ac:dyDescent="0.3">
      <c r="A1079" s="49">
        <v>45329</v>
      </c>
      <c r="B1079" t="s">
        <v>606</v>
      </c>
      <c r="E1079" t="s">
        <v>3121</v>
      </c>
      <c r="G1079" t="s">
        <v>5073</v>
      </c>
      <c r="H1079" t="s">
        <v>89</v>
      </c>
      <c r="J1079" t="s">
        <v>63</v>
      </c>
      <c r="K1079" t="s">
        <v>414</v>
      </c>
      <c r="M1079">
        <v>100</v>
      </c>
      <c r="N1079" t="s">
        <v>49</v>
      </c>
      <c r="O1079" t="s">
        <v>3461</v>
      </c>
      <c r="P1079" t="s">
        <v>4860</v>
      </c>
      <c r="S1079" t="s">
        <v>6236</v>
      </c>
      <c r="T1079">
        <v>4</v>
      </c>
      <c r="U1079" t="s">
        <v>56</v>
      </c>
      <c r="V1079" t="s">
        <v>56</v>
      </c>
    </row>
    <row r="1080" spans="1:22" x14ac:dyDescent="0.3">
      <c r="A1080" s="49">
        <v>45329</v>
      </c>
      <c r="B1080" t="s">
        <v>3244</v>
      </c>
      <c r="E1080" t="s">
        <v>3122</v>
      </c>
      <c r="G1080" t="s">
        <v>364</v>
      </c>
      <c r="H1080" t="s">
        <v>28</v>
      </c>
      <c r="I1080" t="s">
        <v>5515</v>
      </c>
      <c r="J1080" t="s">
        <v>63</v>
      </c>
      <c r="K1080" t="s">
        <v>256</v>
      </c>
      <c r="M1080">
        <v>0</v>
      </c>
      <c r="N1080" t="s">
        <v>74</v>
      </c>
      <c r="O1080" t="s">
        <v>3462</v>
      </c>
      <c r="P1080" t="s">
        <v>224</v>
      </c>
      <c r="S1080" t="s">
        <v>6237</v>
      </c>
      <c r="T1080">
        <v>6</v>
      </c>
      <c r="U1080" t="s">
        <v>40</v>
      </c>
      <c r="V1080" t="s">
        <v>41</v>
      </c>
    </row>
    <row r="1081" spans="1:22" x14ac:dyDescent="0.3">
      <c r="A1081" s="49">
        <v>45329</v>
      </c>
      <c r="B1081" t="s">
        <v>3244</v>
      </c>
      <c r="E1081" t="s">
        <v>3124</v>
      </c>
      <c r="G1081" t="s">
        <v>379</v>
      </c>
      <c r="H1081" t="s">
        <v>89</v>
      </c>
      <c r="J1081" t="s">
        <v>63</v>
      </c>
      <c r="K1081" t="s">
        <v>414</v>
      </c>
      <c r="M1081">
        <v>20</v>
      </c>
      <c r="N1081" t="s">
        <v>33</v>
      </c>
      <c r="O1081" t="s">
        <v>3463</v>
      </c>
      <c r="P1081" t="s">
        <v>668</v>
      </c>
      <c r="S1081" t="s">
        <v>6238</v>
      </c>
      <c r="T1081">
        <v>6</v>
      </c>
      <c r="U1081" t="s">
        <v>40</v>
      </c>
      <c r="V1081" t="s">
        <v>41</v>
      </c>
    </row>
    <row r="1082" spans="1:22" x14ac:dyDescent="0.3">
      <c r="A1082" s="49">
        <v>45329</v>
      </c>
      <c r="B1082" t="s">
        <v>606</v>
      </c>
      <c r="E1082" t="s">
        <v>3123</v>
      </c>
      <c r="G1082" t="s">
        <v>5071</v>
      </c>
      <c r="H1082" t="s">
        <v>28</v>
      </c>
      <c r="I1082" t="s">
        <v>5516</v>
      </c>
      <c r="J1082" t="s">
        <v>63</v>
      </c>
      <c r="K1082" t="s">
        <v>256</v>
      </c>
      <c r="M1082">
        <v>60</v>
      </c>
      <c r="N1082" t="s">
        <v>33</v>
      </c>
      <c r="O1082" t="s">
        <v>3464</v>
      </c>
      <c r="P1082" t="s">
        <v>314</v>
      </c>
      <c r="S1082" t="s">
        <v>6239</v>
      </c>
      <c r="T1082">
        <v>4</v>
      </c>
      <c r="U1082" t="s">
        <v>56</v>
      </c>
      <c r="V1082" t="s">
        <v>56</v>
      </c>
    </row>
    <row r="1083" spans="1:22" x14ac:dyDescent="0.3">
      <c r="A1083" s="49">
        <v>45329</v>
      </c>
      <c r="B1083" t="s">
        <v>3244</v>
      </c>
      <c r="E1083" t="s">
        <v>3124</v>
      </c>
      <c r="G1083" t="s">
        <v>4991</v>
      </c>
      <c r="H1083" t="s">
        <v>89</v>
      </c>
      <c r="J1083" t="s">
        <v>63</v>
      </c>
      <c r="K1083" t="s">
        <v>414</v>
      </c>
      <c r="M1083">
        <v>50</v>
      </c>
      <c r="N1083" t="s">
        <v>33</v>
      </c>
      <c r="O1083" t="s">
        <v>3465</v>
      </c>
      <c r="P1083" t="s">
        <v>381</v>
      </c>
      <c r="S1083" t="s">
        <v>6240</v>
      </c>
      <c r="T1083">
        <v>4</v>
      </c>
      <c r="U1083" t="s">
        <v>56</v>
      </c>
      <c r="V1083" t="s">
        <v>56</v>
      </c>
    </row>
    <row r="1084" spans="1:22" x14ac:dyDescent="0.3">
      <c r="A1084" s="49">
        <v>45329</v>
      </c>
      <c r="B1084" t="s">
        <v>606</v>
      </c>
      <c r="E1084" t="s">
        <v>3125</v>
      </c>
      <c r="G1084" t="s">
        <v>5075</v>
      </c>
      <c r="H1084" t="s">
        <v>28</v>
      </c>
      <c r="J1084" t="s">
        <v>63</v>
      </c>
      <c r="K1084" t="s">
        <v>64</v>
      </c>
      <c r="M1084">
        <v>100</v>
      </c>
      <c r="N1084" t="s">
        <v>49</v>
      </c>
      <c r="O1084" t="s">
        <v>3466</v>
      </c>
      <c r="P1084" t="s">
        <v>344</v>
      </c>
      <c r="S1084" t="s">
        <v>6241</v>
      </c>
      <c r="T1084">
        <v>4</v>
      </c>
      <c r="U1084" t="s">
        <v>56</v>
      </c>
      <c r="V1084" t="s">
        <v>56</v>
      </c>
    </row>
    <row r="1085" spans="1:22" x14ac:dyDescent="0.3">
      <c r="A1085" s="49">
        <v>45329</v>
      </c>
      <c r="B1085" t="s">
        <v>606</v>
      </c>
      <c r="E1085" t="s">
        <v>3125</v>
      </c>
      <c r="G1085" t="s">
        <v>5076</v>
      </c>
      <c r="H1085" t="s">
        <v>89</v>
      </c>
      <c r="J1085" t="s">
        <v>63</v>
      </c>
      <c r="K1085" t="s">
        <v>64</v>
      </c>
      <c r="M1085">
        <v>100</v>
      </c>
      <c r="N1085" t="s">
        <v>33</v>
      </c>
      <c r="O1085" t="s">
        <v>3467</v>
      </c>
      <c r="P1085" t="s">
        <v>163</v>
      </c>
      <c r="S1085" t="s">
        <v>6242</v>
      </c>
      <c r="T1085">
        <v>4</v>
      </c>
      <c r="U1085" t="s">
        <v>56</v>
      </c>
      <c r="V1085" t="s">
        <v>56</v>
      </c>
    </row>
    <row r="1086" spans="1:22" x14ac:dyDescent="0.3">
      <c r="A1086" s="49">
        <v>45329</v>
      </c>
      <c r="B1086" t="s">
        <v>606</v>
      </c>
      <c r="E1086" t="s">
        <v>3125</v>
      </c>
      <c r="G1086" t="s">
        <v>5076</v>
      </c>
      <c r="H1086" t="s">
        <v>89</v>
      </c>
      <c r="J1086" t="s">
        <v>63</v>
      </c>
      <c r="K1086" t="s">
        <v>64</v>
      </c>
      <c r="M1086">
        <v>100</v>
      </c>
      <c r="N1086" t="s">
        <v>33</v>
      </c>
      <c r="O1086" t="s">
        <v>3467</v>
      </c>
      <c r="P1086" t="s">
        <v>163</v>
      </c>
      <c r="S1086" t="s">
        <v>6242</v>
      </c>
      <c r="T1086">
        <v>4</v>
      </c>
      <c r="U1086" t="s">
        <v>56</v>
      </c>
      <c r="V1086" t="s">
        <v>56</v>
      </c>
    </row>
    <row r="1087" spans="1:22" x14ac:dyDescent="0.3">
      <c r="A1087" s="49">
        <v>45329</v>
      </c>
      <c r="B1087" t="s">
        <v>606</v>
      </c>
      <c r="E1087" t="s">
        <v>3125</v>
      </c>
      <c r="G1087" t="s">
        <v>5076</v>
      </c>
      <c r="H1087" t="s">
        <v>89</v>
      </c>
      <c r="J1087" t="s">
        <v>63</v>
      </c>
      <c r="K1087" t="s">
        <v>64</v>
      </c>
      <c r="M1087">
        <v>100</v>
      </c>
      <c r="N1087" t="s">
        <v>33</v>
      </c>
      <c r="O1087" t="s">
        <v>3467</v>
      </c>
      <c r="P1087" t="s">
        <v>163</v>
      </c>
      <c r="S1087" t="s">
        <v>6242</v>
      </c>
      <c r="T1087">
        <v>4</v>
      </c>
      <c r="U1087" t="s">
        <v>56</v>
      </c>
      <c r="V1087" t="s">
        <v>56</v>
      </c>
    </row>
    <row r="1088" spans="1:22" x14ac:dyDescent="0.3">
      <c r="A1088" s="49">
        <v>45329</v>
      </c>
      <c r="B1088" t="s">
        <v>606</v>
      </c>
      <c r="E1088" t="s">
        <v>3125</v>
      </c>
      <c r="G1088" t="s">
        <v>5076</v>
      </c>
      <c r="H1088" t="s">
        <v>89</v>
      </c>
      <c r="J1088" t="s">
        <v>63</v>
      </c>
      <c r="K1088" t="s">
        <v>64</v>
      </c>
      <c r="M1088">
        <v>100</v>
      </c>
      <c r="N1088" t="s">
        <v>33</v>
      </c>
      <c r="O1088" t="s">
        <v>3467</v>
      </c>
      <c r="P1088" t="s">
        <v>163</v>
      </c>
      <c r="S1088" t="s">
        <v>6242</v>
      </c>
      <c r="T1088">
        <v>4</v>
      </c>
      <c r="U1088" t="s">
        <v>56</v>
      </c>
      <c r="V1088" t="s">
        <v>56</v>
      </c>
    </row>
    <row r="1089" spans="1:22" x14ac:dyDescent="0.3">
      <c r="A1089" s="49">
        <v>45329</v>
      </c>
      <c r="B1089" t="s">
        <v>606</v>
      </c>
      <c r="E1089" t="s">
        <v>3161</v>
      </c>
      <c r="G1089" t="s">
        <v>5077</v>
      </c>
      <c r="H1089" t="s">
        <v>28</v>
      </c>
      <c r="I1089" t="s">
        <v>5517</v>
      </c>
      <c r="J1089" t="s">
        <v>63</v>
      </c>
      <c r="K1089" t="s">
        <v>64</v>
      </c>
      <c r="M1089">
        <v>100</v>
      </c>
      <c r="N1089" t="s">
        <v>49</v>
      </c>
      <c r="O1089" t="s">
        <v>3468</v>
      </c>
      <c r="P1089" t="s">
        <v>743</v>
      </c>
      <c r="S1089" t="s">
        <v>6243</v>
      </c>
      <c r="T1089">
        <v>4</v>
      </c>
      <c r="U1089" t="s">
        <v>56</v>
      </c>
      <c r="V1089" t="s">
        <v>56</v>
      </c>
    </row>
    <row r="1090" spans="1:22" x14ac:dyDescent="0.3">
      <c r="A1090" s="49">
        <v>45329</v>
      </c>
      <c r="B1090" t="s">
        <v>606</v>
      </c>
      <c r="E1090" t="s">
        <v>3161</v>
      </c>
      <c r="G1090" t="s">
        <v>5078</v>
      </c>
      <c r="H1090" t="s">
        <v>28</v>
      </c>
      <c r="I1090" t="s">
        <v>5518</v>
      </c>
      <c r="J1090" t="s">
        <v>63</v>
      </c>
      <c r="K1090" t="s">
        <v>64</v>
      </c>
      <c r="M1090">
        <v>80</v>
      </c>
      <c r="N1090" t="s">
        <v>33</v>
      </c>
      <c r="O1090" t="s">
        <v>3469</v>
      </c>
      <c r="P1090" t="s">
        <v>306</v>
      </c>
      <c r="S1090" t="s">
        <v>6244</v>
      </c>
      <c r="T1090">
        <v>4</v>
      </c>
      <c r="U1090" t="s">
        <v>56</v>
      </c>
      <c r="V1090" t="s">
        <v>56</v>
      </c>
    </row>
    <row r="1091" spans="1:22" x14ac:dyDescent="0.3">
      <c r="A1091" s="49">
        <v>45329</v>
      </c>
      <c r="B1091" t="s">
        <v>3244</v>
      </c>
      <c r="E1091" t="s">
        <v>3161</v>
      </c>
      <c r="G1091" t="s">
        <v>5040</v>
      </c>
      <c r="H1091" t="s">
        <v>89</v>
      </c>
      <c r="J1091" t="s">
        <v>63</v>
      </c>
      <c r="K1091" t="s">
        <v>414</v>
      </c>
      <c r="M1091">
        <v>95</v>
      </c>
      <c r="N1091" t="s">
        <v>49</v>
      </c>
      <c r="O1091" t="s">
        <v>3470</v>
      </c>
      <c r="P1091" t="s">
        <v>1159</v>
      </c>
      <c r="S1091" t="s">
        <v>6245</v>
      </c>
      <c r="T1091">
        <v>3</v>
      </c>
      <c r="U1091" t="s">
        <v>1763</v>
      </c>
      <c r="V1091" t="s">
        <v>56</v>
      </c>
    </row>
    <row r="1092" spans="1:22" x14ac:dyDescent="0.3">
      <c r="A1092" s="49">
        <v>45329</v>
      </c>
      <c r="B1092" t="s">
        <v>3244</v>
      </c>
      <c r="E1092" t="s">
        <v>3161</v>
      </c>
      <c r="G1092" t="s">
        <v>5040</v>
      </c>
      <c r="H1092" t="s">
        <v>89</v>
      </c>
      <c r="J1092" t="s">
        <v>63</v>
      </c>
      <c r="K1092" t="s">
        <v>414</v>
      </c>
      <c r="M1092">
        <v>85</v>
      </c>
      <c r="N1092" t="s">
        <v>49</v>
      </c>
      <c r="O1092" t="s">
        <v>3470</v>
      </c>
      <c r="P1092" t="s">
        <v>1159</v>
      </c>
      <c r="S1092" t="s">
        <v>6245</v>
      </c>
      <c r="T1092">
        <v>3</v>
      </c>
      <c r="U1092" t="s">
        <v>1763</v>
      </c>
      <c r="V1092" t="s">
        <v>56</v>
      </c>
    </row>
    <row r="1093" spans="1:22" x14ac:dyDescent="0.3">
      <c r="A1093" s="49">
        <v>45329</v>
      </c>
      <c r="B1093" t="s">
        <v>606</v>
      </c>
      <c r="E1093" t="s">
        <v>3128</v>
      </c>
      <c r="G1093" t="s">
        <v>5079</v>
      </c>
      <c r="H1093" t="s">
        <v>28</v>
      </c>
      <c r="I1093" t="s">
        <v>5519</v>
      </c>
      <c r="J1093" t="s">
        <v>63</v>
      </c>
      <c r="K1093" t="s">
        <v>414</v>
      </c>
      <c r="M1093">
        <v>100</v>
      </c>
      <c r="N1093" t="s">
        <v>49</v>
      </c>
      <c r="O1093" t="s">
        <v>3471</v>
      </c>
      <c r="P1093" t="s">
        <v>163</v>
      </c>
      <c r="S1093" t="s">
        <v>6246</v>
      </c>
      <c r="T1093">
        <v>4</v>
      </c>
      <c r="U1093" t="s">
        <v>56</v>
      </c>
      <c r="V1093" t="s">
        <v>56</v>
      </c>
    </row>
    <row r="1094" spans="1:22" x14ac:dyDescent="0.3">
      <c r="A1094" s="49">
        <v>45329</v>
      </c>
      <c r="B1094" t="s">
        <v>3244</v>
      </c>
      <c r="E1094" t="s">
        <v>3130</v>
      </c>
      <c r="G1094" t="s">
        <v>4998</v>
      </c>
      <c r="H1094" t="s">
        <v>28</v>
      </c>
      <c r="I1094" t="s">
        <v>5520</v>
      </c>
      <c r="J1094" t="s">
        <v>63</v>
      </c>
      <c r="K1094" t="s">
        <v>64</v>
      </c>
      <c r="M1094">
        <v>87</v>
      </c>
      <c r="N1094" t="s">
        <v>49</v>
      </c>
      <c r="O1094" t="s">
        <v>3472</v>
      </c>
      <c r="P1094" t="s">
        <v>743</v>
      </c>
      <c r="S1094" t="s">
        <v>6171</v>
      </c>
      <c r="T1094">
        <v>4</v>
      </c>
      <c r="U1094" t="s">
        <v>56</v>
      </c>
      <c r="V1094" t="s">
        <v>56</v>
      </c>
    </row>
    <row r="1095" spans="1:22" x14ac:dyDescent="0.3">
      <c r="A1095" s="49">
        <v>45329</v>
      </c>
      <c r="B1095" t="s">
        <v>3244</v>
      </c>
      <c r="E1095" t="s">
        <v>3130</v>
      </c>
      <c r="G1095" t="s">
        <v>4998</v>
      </c>
      <c r="H1095" t="s">
        <v>28</v>
      </c>
      <c r="I1095" t="s">
        <v>5520</v>
      </c>
      <c r="J1095" t="s">
        <v>63</v>
      </c>
      <c r="K1095" t="s">
        <v>64</v>
      </c>
      <c r="M1095">
        <v>100</v>
      </c>
      <c r="N1095" t="s">
        <v>49</v>
      </c>
      <c r="O1095" t="s">
        <v>3473</v>
      </c>
      <c r="P1095" t="s">
        <v>416</v>
      </c>
      <c r="S1095" t="s">
        <v>6171</v>
      </c>
      <c r="T1095">
        <v>4</v>
      </c>
      <c r="U1095" t="s">
        <v>56</v>
      </c>
      <c r="V1095" t="s">
        <v>56</v>
      </c>
    </row>
    <row r="1096" spans="1:22" x14ac:dyDescent="0.3">
      <c r="A1096" s="49">
        <v>45329</v>
      </c>
      <c r="B1096" t="s">
        <v>3244</v>
      </c>
      <c r="E1096" t="s">
        <v>3130</v>
      </c>
      <c r="G1096" t="s">
        <v>4998</v>
      </c>
      <c r="H1096" t="s">
        <v>28</v>
      </c>
      <c r="I1096" t="s">
        <v>5520</v>
      </c>
      <c r="J1096" t="s">
        <v>63</v>
      </c>
      <c r="K1096" t="s">
        <v>64</v>
      </c>
      <c r="M1096">
        <v>100</v>
      </c>
      <c r="N1096" t="s">
        <v>33</v>
      </c>
      <c r="O1096" t="s">
        <v>3473</v>
      </c>
      <c r="P1096" t="s">
        <v>416</v>
      </c>
      <c r="S1096" t="s">
        <v>6171</v>
      </c>
      <c r="T1096">
        <v>4</v>
      </c>
      <c r="U1096" t="s">
        <v>56</v>
      </c>
      <c r="V1096" t="s">
        <v>56</v>
      </c>
    </row>
    <row r="1097" spans="1:22" x14ac:dyDescent="0.3">
      <c r="A1097" s="49">
        <v>45329</v>
      </c>
      <c r="B1097" t="s">
        <v>3244</v>
      </c>
      <c r="E1097" t="s">
        <v>3130</v>
      </c>
      <c r="G1097" t="s">
        <v>4998</v>
      </c>
      <c r="H1097" t="s">
        <v>28</v>
      </c>
      <c r="I1097" t="s">
        <v>5520</v>
      </c>
      <c r="J1097" t="s">
        <v>63</v>
      </c>
      <c r="K1097" t="s">
        <v>64</v>
      </c>
      <c r="M1097">
        <v>100</v>
      </c>
      <c r="N1097" t="s">
        <v>33</v>
      </c>
      <c r="O1097" t="s">
        <v>3473</v>
      </c>
      <c r="P1097" t="s">
        <v>416</v>
      </c>
      <c r="S1097" t="s">
        <v>6171</v>
      </c>
      <c r="T1097">
        <v>4</v>
      </c>
      <c r="U1097" t="s">
        <v>56</v>
      </c>
      <c r="V1097" t="s">
        <v>56</v>
      </c>
    </row>
    <row r="1098" spans="1:22" x14ac:dyDescent="0.3">
      <c r="A1098" s="49">
        <v>45329</v>
      </c>
      <c r="B1098" t="s">
        <v>3244</v>
      </c>
      <c r="E1098" t="s">
        <v>3130</v>
      </c>
      <c r="G1098" t="s">
        <v>4998</v>
      </c>
      <c r="H1098" t="s">
        <v>89</v>
      </c>
      <c r="J1098" t="s">
        <v>63</v>
      </c>
      <c r="K1098" t="s">
        <v>64</v>
      </c>
      <c r="M1098">
        <v>20</v>
      </c>
      <c r="N1098" t="s">
        <v>33</v>
      </c>
      <c r="O1098" t="s">
        <v>3474</v>
      </c>
      <c r="P1098" t="s">
        <v>1786</v>
      </c>
      <c r="S1098" t="s">
        <v>6247</v>
      </c>
      <c r="T1098">
        <v>4</v>
      </c>
      <c r="U1098" t="s">
        <v>56</v>
      </c>
      <c r="V1098" t="s">
        <v>56</v>
      </c>
    </row>
    <row r="1099" spans="1:22" x14ac:dyDescent="0.3">
      <c r="A1099" s="49">
        <v>45329</v>
      </c>
      <c r="B1099" t="s">
        <v>3244</v>
      </c>
      <c r="E1099" t="s">
        <v>3131</v>
      </c>
      <c r="G1099" t="s">
        <v>4999</v>
      </c>
      <c r="H1099" t="s">
        <v>89</v>
      </c>
      <c r="I1099" t="s">
        <v>5521</v>
      </c>
      <c r="J1099" t="s">
        <v>63</v>
      </c>
      <c r="K1099" t="s">
        <v>414</v>
      </c>
      <c r="M1099">
        <v>20</v>
      </c>
      <c r="N1099" t="s">
        <v>49</v>
      </c>
      <c r="O1099" t="s">
        <v>3475</v>
      </c>
      <c r="P1099" t="s">
        <v>2627</v>
      </c>
      <c r="S1099" t="s">
        <v>6248</v>
      </c>
      <c r="T1099">
        <v>4</v>
      </c>
      <c r="U1099" t="s">
        <v>56</v>
      </c>
      <c r="V1099" t="s">
        <v>56</v>
      </c>
    </row>
    <row r="1100" spans="1:22" x14ac:dyDescent="0.3">
      <c r="A1100" s="49">
        <v>45329</v>
      </c>
      <c r="B1100" t="s">
        <v>3244</v>
      </c>
      <c r="E1100" t="s">
        <v>3131</v>
      </c>
      <c r="G1100" t="s">
        <v>4999</v>
      </c>
      <c r="H1100" t="s">
        <v>89</v>
      </c>
      <c r="I1100" t="s">
        <v>5521</v>
      </c>
      <c r="J1100" t="s">
        <v>63</v>
      </c>
      <c r="K1100" t="s">
        <v>414</v>
      </c>
      <c r="M1100">
        <v>90</v>
      </c>
      <c r="N1100" t="s">
        <v>33</v>
      </c>
      <c r="O1100" t="s">
        <v>3475</v>
      </c>
      <c r="P1100" t="s">
        <v>2627</v>
      </c>
      <c r="S1100" t="s">
        <v>6248</v>
      </c>
      <c r="T1100">
        <v>4</v>
      </c>
      <c r="U1100" t="s">
        <v>56</v>
      </c>
      <c r="V1100" t="s">
        <v>56</v>
      </c>
    </row>
    <row r="1101" spans="1:22" x14ac:dyDescent="0.3">
      <c r="A1101" s="49">
        <v>45329</v>
      </c>
      <c r="B1101" t="s">
        <v>3244</v>
      </c>
      <c r="E1101" t="s">
        <v>3131</v>
      </c>
      <c r="G1101" t="s">
        <v>5080</v>
      </c>
      <c r="H1101" t="s">
        <v>28</v>
      </c>
      <c r="I1101" t="s">
        <v>5522</v>
      </c>
      <c r="J1101" t="s">
        <v>63</v>
      </c>
      <c r="K1101" t="s">
        <v>256</v>
      </c>
      <c r="M1101">
        <v>100</v>
      </c>
      <c r="N1101" t="s">
        <v>33</v>
      </c>
      <c r="O1101" t="s">
        <v>3476</v>
      </c>
      <c r="P1101" t="s">
        <v>66</v>
      </c>
      <c r="S1101" t="s">
        <v>6249</v>
      </c>
      <c r="T1101">
        <v>6</v>
      </c>
      <c r="U1101" t="s">
        <v>40</v>
      </c>
      <c r="V1101" t="s">
        <v>41</v>
      </c>
    </row>
    <row r="1102" spans="1:22" x14ac:dyDescent="0.3">
      <c r="A1102" s="49">
        <v>45329</v>
      </c>
      <c r="B1102" t="s">
        <v>3244</v>
      </c>
      <c r="E1102" t="s">
        <v>3182</v>
      </c>
      <c r="G1102" t="s">
        <v>1198</v>
      </c>
      <c r="H1102" t="s">
        <v>89</v>
      </c>
      <c r="I1102" t="s">
        <v>5523</v>
      </c>
      <c r="J1102" t="s">
        <v>63</v>
      </c>
      <c r="K1102" t="s">
        <v>4931</v>
      </c>
      <c r="M1102">
        <v>100</v>
      </c>
      <c r="N1102" t="s">
        <v>49</v>
      </c>
      <c r="O1102" t="s">
        <v>3477</v>
      </c>
      <c r="P1102" t="s">
        <v>373</v>
      </c>
      <c r="S1102" t="s">
        <v>6250</v>
      </c>
      <c r="T1102">
        <v>4</v>
      </c>
      <c r="U1102" t="s">
        <v>56</v>
      </c>
      <c r="V1102" t="s">
        <v>56</v>
      </c>
    </row>
    <row r="1103" spans="1:22" x14ac:dyDescent="0.3">
      <c r="A1103" s="49">
        <v>45329</v>
      </c>
      <c r="B1103" t="s">
        <v>3244</v>
      </c>
      <c r="E1103" t="s">
        <v>3182</v>
      </c>
      <c r="G1103" t="s">
        <v>1198</v>
      </c>
      <c r="H1103" t="s">
        <v>89</v>
      </c>
      <c r="I1103" t="s">
        <v>5523</v>
      </c>
      <c r="J1103" t="s">
        <v>63</v>
      </c>
      <c r="K1103" t="s">
        <v>4931</v>
      </c>
      <c r="M1103">
        <v>50</v>
      </c>
      <c r="N1103" t="s">
        <v>33</v>
      </c>
      <c r="O1103" t="s">
        <v>3477</v>
      </c>
      <c r="P1103" t="s">
        <v>373</v>
      </c>
      <c r="S1103" t="s">
        <v>6250</v>
      </c>
      <c r="T1103">
        <v>4</v>
      </c>
      <c r="U1103" t="s">
        <v>56</v>
      </c>
      <c r="V1103" t="s">
        <v>56</v>
      </c>
    </row>
    <row r="1104" spans="1:22" x14ac:dyDescent="0.3">
      <c r="A1104" s="49">
        <v>45329</v>
      </c>
      <c r="B1104" t="s">
        <v>606</v>
      </c>
      <c r="E1104" t="s">
        <v>3164</v>
      </c>
      <c r="G1104" t="s">
        <v>5081</v>
      </c>
      <c r="H1104" t="s">
        <v>28</v>
      </c>
      <c r="I1104" t="s">
        <v>5524</v>
      </c>
      <c r="J1104" t="s">
        <v>46</v>
      </c>
      <c r="K1104" t="s">
        <v>880</v>
      </c>
      <c r="M1104">
        <v>0</v>
      </c>
      <c r="N1104" t="s">
        <v>74</v>
      </c>
      <c r="O1104" t="s">
        <v>3478</v>
      </c>
      <c r="P1104" t="s">
        <v>58</v>
      </c>
      <c r="S1104" t="s">
        <v>6251</v>
      </c>
      <c r="T1104">
        <v>4</v>
      </c>
      <c r="U1104" t="s">
        <v>56</v>
      </c>
      <c r="V1104" t="s">
        <v>56</v>
      </c>
    </row>
    <row r="1105" spans="1:22" x14ac:dyDescent="0.3">
      <c r="A1105" s="49">
        <v>45329</v>
      </c>
      <c r="B1105" t="s">
        <v>3244</v>
      </c>
      <c r="E1105" t="s">
        <v>3132</v>
      </c>
      <c r="G1105" t="s">
        <v>1798</v>
      </c>
      <c r="H1105" t="s">
        <v>89</v>
      </c>
      <c r="J1105" t="s">
        <v>63</v>
      </c>
      <c r="K1105" t="s">
        <v>414</v>
      </c>
      <c r="M1105">
        <v>72</v>
      </c>
      <c r="N1105" t="s">
        <v>49</v>
      </c>
      <c r="O1105" t="s">
        <v>3479</v>
      </c>
      <c r="P1105" t="s">
        <v>1697</v>
      </c>
      <c r="S1105" t="s">
        <v>6252</v>
      </c>
      <c r="T1105">
        <v>4</v>
      </c>
      <c r="U1105" t="s">
        <v>56</v>
      </c>
      <c r="V1105" t="s">
        <v>56</v>
      </c>
    </row>
    <row r="1106" spans="1:22" x14ac:dyDescent="0.3">
      <c r="A1106" s="49">
        <v>45329</v>
      </c>
      <c r="B1106" t="s">
        <v>606</v>
      </c>
      <c r="E1106" t="s">
        <v>3132</v>
      </c>
      <c r="G1106" t="s">
        <v>1798</v>
      </c>
      <c r="H1106" t="s">
        <v>89</v>
      </c>
      <c r="J1106" t="s">
        <v>63</v>
      </c>
      <c r="K1106" t="s">
        <v>64</v>
      </c>
      <c r="M1106">
        <v>100</v>
      </c>
      <c r="N1106" t="s">
        <v>49</v>
      </c>
      <c r="O1106" t="s">
        <v>3480</v>
      </c>
      <c r="P1106" t="s">
        <v>1697</v>
      </c>
      <c r="S1106" t="s">
        <v>6253</v>
      </c>
      <c r="T1106">
        <v>4</v>
      </c>
      <c r="U1106" t="s">
        <v>56</v>
      </c>
      <c r="V1106" t="s">
        <v>56</v>
      </c>
    </row>
    <row r="1107" spans="1:22" x14ac:dyDescent="0.3">
      <c r="A1107" s="49">
        <v>45329</v>
      </c>
      <c r="B1107" t="s">
        <v>606</v>
      </c>
      <c r="E1107" t="s">
        <v>3132</v>
      </c>
      <c r="G1107" t="s">
        <v>1798</v>
      </c>
      <c r="H1107" t="s">
        <v>89</v>
      </c>
      <c r="J1107" t="s">
        <v>63</v>
      </c>
      <c r="K1107" t="s">
        <v>64</v>
      </c>
      <c r="M1107">
        <v>100</v>
      </c>
      <c r="N1107" t="s">
        <v>49</v>
      </c>
      <c r="O1107" t="s">
        <v>3480</v>
      </c>
      <c r="P1107" t="s">
        <v>1697</v>
      </c>
      <c r="S1107" t="s">
        <v>6253</v>
      </c>
      <c r="T1107">
        <v>4</v>
      </c>
      <c r="U1107" t="s">
        <v>56</v>
      </c>
      <c r="V1107" t="s">
        <v>56</v>
      </c>
    </row>
    <row r="1108" spans="1:22" x14ac:dyDescent="0.3">
      <c r="A1108" s="49">
        <v>45329</v>
      </c>
      <c r="B1108" t="s">
        <v>606</v>
      </c>
      <c r="E1108" t="s">
        <v>3132</v>
      </c>
      <c r="G1108" t="s">
        <v>1798</v>
      </c>
      <c r="H1108" t="s">
        <v>89</v>
      </c>
      <c r="J1108" t="s">
        <v>63</v>
      </c>
      <c r="K1108" t="s">
        <v>64</v>
      </c>
      <c r="M1108">
        <v>100</v>
      </c>
      <c r="N1108" t="s">
        <v>49</v>
      </c>
      <c r="O1108" t="s">
        <v>3480</v>
      </c>
      <c r="P1108" t="s">
        <v>1697</v>
      </c>
      <c r="S1108" t="s">
        <v>6253</v>
      </c>
      <c r="T1108">
        <v>4</v>
      </c>
      <c r="U1108" t="s">
        <v>56</v>
      </c>
      <c r="V1108" t="s">
        <v>56</v>
      </c>
    </row>
    <row r="1109" spans="1:22" x14ac:dyDescent="0.3">
      <c r="A1109" s="49">
        <v>45329</v>
      </c>
      <c r="B1109" t="s">
        <v>606</v>
      </c>
      <c r="E1109" t="s">
        <v>3132</v>
      </c>
      <c r="G1109" t="s">
        <v>1798</v>
      </c>
      <c r="H1109" t="s">
        <v>89</v>
      </c>
      <c r="J1109" t="s">
        <v>63</v>
      </c>
      <c r="K1109" t="s">
        <v>64</v>
      </c>
      <c r="M1109">
        <v>100</v>
      </c>
      <c r="N1109" t="s">
        <v>49</v>
      </c>
      <c r="O1109" t="s">
        <v>3480</v>
      </c>
      <c r="P1109" t="s">
        <v>1697</v>
      </c>
      <c r="S1109" t="s">
        <v>6253</v>
      </c>
      <c r="T1109">
        <v>4</v>
      </c>
      <c r="U1109" t="s">
        <v>56</v>
      </c>
      <c r="V1109" t="s">
        <v>56</v>
      </c>
    </row>
    <row r="1110" spans="1:22" x14ac:dyDescent="0.3">
      <c r="A1110" s="49">
        <v>45329</v>
      </c>
      <c r="B1110" t="s">
        <v>606</v>
      </c>
      <c r="E1110" t="s">
        <v>3132</v>
      </c>
      <c r="G1110" t="s">
        <v>1798</v>
      </c>
      <c r="H1110" t="s">
        <v>89</v>
      </c>
      <c r="J1110" t="s">
        <v>63</v>
      </c>
      <c r="K1110" t="s">
        <v>64</v>
      </c>
      <c r="M1110">
        <v>100</v>
      </c>
      <c r="N1110" t="s">
        <v>49</v>
      </c>
      <c r="O1110" t="s">
        <v>3480</v>
      </c>
      <c r="P1110" t="s">
        <v>1697</v>
      </c>
      <c r="S1110" t="s">
        <v>6253</v>
      </c>
      <c r="T1110">
        <v>4</v>
      </c>
      <c r="U1110" t="s">
        <v>56</v>
      </c>
      <c r="V1110" t="s">
        <v>56</v>
      </c>
    </row>
    <row r="1111" spans="1:22" x14ac:dyDescent="0.3">
      <c r="A1111" s="49">
        <v>45329</v>
      </c>
      <c r="B1111" t="s">
        <v>3244</v>
      </c>
      <c r="E1111" t="s">
        <v>3132</v>
      </c>
      <c r="G1111" t="s">
        <v>5082</v>
      </c>
      <c r="H1111" t="s">
        <v>89</v>
      </c>
      <c r="I1111" t="s">
        <v>5525</v>
      </c>
      <c r="J1111" t="s">
        <v>63</v>
      </c>
      <c r="K1111" t="s">
        <v>414</v>
      </c>
      <c r="M1111">
        <v>10</v>
      </c>
      <c r="N1111" t="s">
        <v>33</v>
      </c>
      <c r="O1111" t="s">
        <v>3481</v>
      </c>
      <c r="P1111" t="s">
        <v>104</v>
      </c>
      <c r="S1111" t="s">
        <v>6254</v>
      </c>
      <c r="T1111">
        <v>4</v>
      </c>
      <c r="U1111" t="s">
        <v>56</v>
      </c>
      <c r="V1111" t="s">
        <v>56</v>
      </c>
    </row>
    <row r="1112" spans="1:22" x14ac:dyDescent="0.3">
      <c r="A1112" s="49">
        <v>45329</v>
      </c>
      <c r="B1112" t="s">
        <v>606</v>
      </c>
      <c r="E1112" t="s">
        <v>3132</v>
      </c>
      <c r="G1112" t="s">
        <v>5082</v>
      </c>
      <c r="H1112" t="s">
        <v>28</v>
      </c>
      <c r="I1112" t="s">
        <v>5525</v>
      </c>
      <c r="J1112" t="s">
        <v>63</v>
      </c>
      <c r="K1112" t="s">
        <v>64</v>
      </c>
      <c r="M1112">
        <v>100</v>
      </c>
      <c r="N1112" t="s">
        <v>49</v>
      </c>
      <c r="O1112" t="s">
        <v>3482</v>
      </c>
      <c r="P1112" t="s">
        <v>306</v>
      </c>
      <c r="S1112" t="s">
        <v>6255</v>
      </c>
      <c r="T1112">
        <v>4</v>
      </c>
      <c r="U1112" t="s">
        <v>56</v>
      </c>
      <c r="V1112" t="s">
        <v>56</v>
      </c>
    </row>
    <row r="1113" spans="1:22" x14ac:dyDescent="0.3">
      <c r="A1113" s="49">
        <v>45329</v>
      </c>
      <c r="B1113" t="s">
        <v>606</v>
      </c>
      <c r="E1113" t="s">
        <v>3132</v>
      </c>
      <c r="G1113" t="s">
        <v>5082</v>
      </c>
      <c r="H1113" t="s">
        <v>28</v>
      </c>
      <c r="I1113" t="s">
        <v>5525</v>
      </c>
      <c r="J1113" t="s">
        <v>63</v>
      </c>
      <c r="K1113" t="s">
        <v>64</v>
      </c>
      <c r="M1113">
        <v>100</v>
      </c>
      <c r="N1113" t="s">
        <v>49</v>
      </c>
      <c r="O1113" t="s">
        <v>3482</v>
      </c>
      <c r="P1113" t="s">
        <v>306</v>
      </c>
      <c r="S1113" t="s">
        <v>6255</v>
      </c>
      <c r="T1113">
        <v>4</v>
      </c>
      <c r="U1113" t="s">
        <v>56</v>
      </c>
      <c r="V1113" t="s">
        <v>56</v>
      </c>
    </row>
    <row r="1114" spans="1:22" x14ac:dyDescent="0.3">
      <c r="A1114" s="49">
        <v>45329</v>
      </c>
      <c r="B1114" t="s">
        <v>606</v>
      </c>
      <c r="E1114" t="s">
        <v>3132</v>
      </c>
      <c r="G1114" t="s">
        <v>5082</v>
      </c>
      <c r="H1114" t="s">
        <v>28</v>
      </c>
      <c r="I1114" t="s">
        <v>5525</v>
      </c>
      <c r="J1114" t="s">
        <v>63</v>
      </c>
      <c r="K1114" t="s">
        <v>64</v>
      </c>
      <c r="M1114">
        <v>100</v>
      </c>
      <c r="N1114" t="s">
        <v>49</v>
      </c>
      <c r="O1114" t="s">
        <v>3482</v>
      </c>
      <c r="P1114" t="s">
        <v>306</v>
      </c>
      <c r="S1114" t="s">
        <v>6255</v>
      </c>
      <c r="T1114">
        <v>4</v>
      </c>
      <c r="U1114" t="s">
        <v>56</v>
      </c>
      <c r="V1114" t="s">
        <v>56</v>
      </c>
    </row>
    <row r="1115" spans="1:22" x14ac:dyDescent="0.3">
      <c r="A1115" s="49">
        <v>45329</v>
      </c>
      <c r="B1115" t="s">
        <v>606</v>
      </c>
      <c r="E1115" t="s">
        <v>3166</v>
      </c>
      <c r="G1115" t="s">
        <v>5083</v>
      </c>
      <c r="H1115" t="s">
        <v>28</v>
      </c>
      <c r="I1115" t="s">
        <v>5526</v>
      </c>
      <c r="J1115" t="s">
        <v>46</v>
      </c>
      <c r="K1115" t="s">
        <v>640</v>
      </c>
      <c r="M1115">
        <v>100</v>
      </c>
      <c r="N1115" t="s">
        <v>49</v>
      </c>
      <c r="O1115" t="s">
        <v>3483</v>
      </c>
      <c r="P1115" t="s">
        <v>106</v>
      </c>
      <c r="S1115" t="s">
        <v>6256</v>
      </c>
      <c r="T1115">
        <v>4</v>
      </c>
      <c r="U1115" t="s">
        <v>56</v>
      </c>
      <c r="V1115" t="s">
        <v>56</v>
      </c>
    </row>
    <row r="1116" spans="1:22" x14ac:dyDescent="0.3">
      <c r="A1116" s="49">
        <v>45329</v>
      </c>
      <c r="B1116" t="s">
        <v>606</v>
      </c>
      <c r="E1116" t="s">
        <v>3133</v>
      </c>
      <c r="G1116" t="s">
        <v>5084</v>
      </c>
      <c r="H1116" t="s">
        <v>28</v>
      </c>
      <c r="I1116" t="s">
        <v>5527</v>
      </c>
      <c r="J1116" t="s">
        <v>46</v>
      </c>
      <c r="K1116" t="s">
        <v>640</v>
      </c>
      <c r="M1116">
        <v>100</v>
      </c>
      <c r="N1116" t="s">
        <v>49</v>
      </c>
      <c r="O1116" t="s">
        <v>3484</v>
      </c>
      <c r="P1116" t="s">
        <v>4861</v>
      </c>
      <c r="S1116" t="s">
        <v>6257</v>
      </c>
      <c r="T1116">
        <v>6</v>
      </c>
      <c r="U1116" t="s">
        <v>40</v>
      </c>
      <c r="V1116" t="s">
        <v>41</v>
      </c>
    </row>
    <row r="1117" spans="1:22" x14ac:dyDescent="0.3">
      <c r="A1117" s="49">
        <v>45329</v>
      </c>
      <c r="B1117" t="s">
        <v>606</v>
      </c>
      <c r="E1117" t="s">
        <v>3133</v>
      </c>
      <c r="G1117" t="s">
        <v>5084</v>
      </c>
      <c r="H1117" t="s">
        <v>28</v>
      </c>
      <c r="I1117" t="s">
        <v>5527</v>
      </c>
      <c r="J1117" t="s">
        <v>46</v>
      </c>
      <c r="K1117" t="s">
        <v>640</v>
      </c>
      <c r="M1117">
        <v>100</v>
      </c>
      <c r="N1117" t="s">
        <v>49</v>
      </c>
      <c r="O1117" t="s">
        <v>3484</v>
      </c>
      <c r="P1117" t="s">
        <v>4861</v>
      </c>
      <c r="S1117" t="s">
        <v>6257</v>
      </c>
      <c r="T1117">
        <v>6</v>
      </c>
      <c r="U1117" t="s">
        <v>40</v>
      </c>
      <c r="V1117" t="s">
        <v>41</v>
      </c>
    </row>
    <row r="1118" spans="1:22" x14ac:dyDescent="0.3">
      <c r="A1118" s="49">
        <v>45316</v>
      </c>
      <c r="B1118" t="s">
        <v>2199</v>
      </c>
      <c r="E1118" t="s">
        <v>3104</v>
      </c>
      <c r="G1118" t="s">
        <v>4962</v>
      </c>
      <c r="H1118" t="s">
        <v>28</v>
      </c>
      <c r="I1118" t="s">
        <v>5391</v>
      </c>
      <c r="J1118" t="s">
        <v>46</v>
      </c>
      <c r="K1118" t="s">
        <v>422</v>
      </c>
      <c r="M1118">
        <v>1</v>
      </c>
      <c r="N1118" t="s">
        <v>49</v>
      </c>
      <c r="O1118" t="s">
        <v>3485</v>
      </c>
      <c r="P1118" t="s">
        <v>1727</v>
      </c>
      <c r="S1118" t="s">
        <v>6060</v>
      </c>
      <c r="T1118">
        <v>4</v>
      </c>
      <c r="U1118" t="s">
        <v>56</v>
      </c>
      <c r="V1118" t="s">
        <v>56</v>
      </c>
    </row>
    <row r="1119" spans="1:22" x14ac:dyDescent="0.3">
      <c r="A1119" s="49">
        <v>45316</v>
      </c>
      <c r="B1119" t="s">
        <v>2199</v>
      </c>
      <c r="E1119" t="s">
        <v>3104</v>
      </c>
      <c r="G1119" t="s">
        <v>5085</v>
      </c>
      <c r="H1119" t="s">
        <v>28</v>
      </c>
      <c r="I1119" t="s">
        <v>29</v>
      </c>
      <c r="J1119" t="s">
        <v>46</v>
      </c>
      <c r="K1119" t="s">
        <v>31</v>
      </c>
      <c r="M1119">
        <v>0.10000000149011599</v>
      </c>
      <c r="N1119" t="s">
        <v>49</v>
      </c>
      <c r="O1119" t="s">
        <v>3486</v>
      </c>
      <c r="P1119" t="s">
        <v>344</v>
      </c>
      <c r="S1119" t="s">
        <v>6258</v>
      </c>
      <c r="T1119">
        <v>6</v>
      </c>
      <c r="U1119" t="s">
        <v>40</v>
      </c>
      <c r="V1119" t="s">
        <v>41</v>
      </c>
    </row>
    <row r="1120" spans="1:22" x14ac:dyDescent="0.3">
      <c r="A1120" s="49">
        <v>45316</v>
      </c>
      <c r="B1120" t="s">
        <v>2199</v>
      </c>
      <c r="E1120" t="s">
        <v>3105</v>
      </c>
      <c r="G1120" t="s">
        <v>5052</v>
      </c>
      <c r="H1120" t="s">
        <v>89</v>
      </c>
      <c r="J1120" t="s">
        <v>63</v>
      </c>
      <c r="K1120" t="s">
        <v>414</v>
      </c>
      <c r="M1120">
        <v>0.77999997138977095</v>
      </c>
      <c r="N1120" t="s">
        <v>49</v>
      </c>
      <c r="O1120" t="s">
        <v>3487</v>
      </c>
      <c r="P1120" t="s">
        <v>66</v>
      </c>
      <c r="S1120" t="s">
        <v>6259</v>
      </c>
      <c r="T1120">
        <v>4</v>
      </c>
      <c r="U1120" t="s">
        <v>56</v>
      </c>
      <c r="V1120" t="s">
        <v>56</v>
      </c>
    </row>
    <row r="1121" spans="1:22" x14ac:dyDescent="0.3">
      <c r="A1121" s="49">
        <v>45316</v>
      </c>
      <c r="B1121" t="s">
        <v>606</v>
      </c>
      <c r="E1121" t="s">
        <v>3183</v>
      </c>
      <c r="G1121" t="s">
        <v>5086</v>
      </c>
      <c r="H1121" t="s">
        <v>28</v>
      </c>
      <c r="I1121" t="s">
        <v>5528</v>
      </c>
      <c r="J1121" t="s">
        <v>63</v>
      </c>
      <c r="K1121" t="s">
        <v>4926</v>
      </c>
      <c r="M1121">
        <v>80</v>
      </c>
      <c r="N1121" t="s">
        <v>74</v>
      </c>
      <c r="O1121" t="s">
        <v>3488</v>
      </c>
      <c r="P1121" t="s">
        <v>668</v>
      </c>
      <c r="S1121" t="s">
        <v>6260</v>
      </c>
      <c r="T1121">
        <v>4</v>
      </c>
      <c r="U1121" t="s">
        <v>56</v>
      </c>
      <c r="V1121" t="s">
        <v>56</v>
      </c>
    </row>
    <row r="1122" spans="1:22" x14ac:dyDescent="0.3">
      <c r="A1122" s="49">
        <v>45316</v>
      </c>
      <c r="B1122" t="s">
        <v>606</v>
      </c>
      <c r="E1122" t="s">
        <v>3169</v>
      </c>
      <c r="G1122" t="s">
        <v>680</v>
      </c>
      <c r="H1122" t="s">
        <v>28</v>
      </c>
      <c r="I1122" t="s">
        <v>5529</v>
      </c>
      <c r="J1122" t="s">
        <v>63</v>
      </c>
      <c r="K1122" t="s">
        <v>64</v>
      </c>
      <c r="M1122">
        <v>100</v>
      </c>
      <c r="N1122" t="s">
        <v>49</v>
      </c>
      <c r="O1122" t="s">
        <v>3489</v>
      </c>
      <c r="P1122" t="s">
        <v>1697</v>
      </c>
      <c r="S1122" t="s">
        <v>6261</v>
      </c>
      <c r="T1122">
        <v>4</v>
      </c>
      <c r="U1122" t="s">
        <v>56</v>
      </c>
      <c r="V1122" t="s">
        <v>56</v>
      </c>
    </row>
    <row r="1123" spans="1:22" x14ac:dyDescent="0.3">
      <c r="A1123" s="49">
        <v>45316</v>
      </c>
      <c r="B1123" t="s">
        <v>606</v>
      </c>
      <c r="E1123" t="s">
        <v>3169</v>
      </c>
      <c r="G1123" t="s">
        <v>5087</v>
      </c>
      <c r="H1123" t="s">
        <v>89</v>
      </c>
      <c r="J1123" t="s">
        <v>63</v>
      </c>
      <c r="K1123" t="s">
        <v>414</v>
      </c>
      <c r="M1123">
        <v>100</v>
      </c>
      <c r="N1123" t="s">
        <v>49</v>
      </c>
      <c r="O1123" t="s">
        <v>3490</v>
      </c>
      <c r="P1123" t="s">
        <v>743</v>
      </c>
      <c r="S1123" t="s">
        <v>6262</v>
      </c>
      <c r="T1123">
        <v>4</v>
      </c>
      <c r="U1123" t="s">
        <v>56</v>
      </c>
      <c r="V1123" t="s">
        <v>56</v>
      </c>
    </row>
    <row r="1124" spans="1:22" x14ac:dyDescent="0.3">
      <c r="A1124" s="49">
        <v>45316</v>
      </c>
      <c r="B1124" t="s">
        <v>2199</v>
      </c>
      <c r="E1124" t="s">
        <v>3136</v>
      </c>
      <c r="G1124" t="s">
        <v>5010</v>
      </c>
      <c r="H1124" t="s">
        <v>89</v>
      </c>
      <c r="J1124" t="s">
        <v>63</v>
      </c>
      <c r="K1124" t="s">
        <v>414</v>
      </c>
      <c r="M1124">
        <v>0.980000019073486</v>
      </c>
      <c r="N1124" t="s">
        <v>49</v>
      </c>
      <c r="O1124" t="s">
        <v>3491</v>
      </c>
      <c r="P1124" t="s">
        <v>1159</v>
      </c>
      <c r="S1124" t="s">
        <v>6263</v>
      </c>
      <c r="T1124">
        <v>4</v>
      </c>
      <c r="U1124" t="s">
        <v>56</v>
      </c>
      <c r="V1124" t="s">
        <v>56</v>
      </c>
    </row>
    <row r="1125" spans="1:22" x14ac:dyDescent="0.3">
      <c r="A1125" s="49">
        <v>45316</v>
      </c>
      <c r="B1125" t="s">
        <v>606</v>
      </c>
      <c r="E1125" t="s">
        <v>3136</v>
      </c>
      <c r="G1125" t="s">
        <v>5054</v>
      </c>
      <c r="H1125" t="s">
        <v>28</v>
      </c>
      <c r="I1125" t="s">
        <v>5530</v>
      </c>
      <c r="J1125" t="s">
        <v>1712</v>
      </c>
      <c r="K1125" t="s">
        <v>481</v>
      </c>
      <c r="M1125">
        <v>100</v>
      </c>
      <c r="N1125" t="s">
        <v>74</v>
      </c>
      <c r="O1125" t="s">
        <v>3492</v>
      </c>
      <c r="P1125" t="s">
        <v>1697</v>
      </c>
      <c r="S1125" t="s">
        <v>6264</v>
      </c>
      <c r="T1125">
        <v>4</v>
      </c>
      <c r="U1125" t="s">
        <v>56</v>
      </c>
      <c r="V1125" t="s">
        <v>56</v>
      </c>
    </row>
    <row r="1126" spans="1:22" x14ac:dyDescent="0.3">
      <c r="A1126" s="49">
        <v>45316</v>
      </c>
      <c r="B1126" t="s">
        <v>606</v>
      </c>
      <c r="E1126" t="s">
        <v>3136</v>
      </c>
      <c r="G1126" t="s">
        <v>5010</v>
      </c>
      <c r="H1126" t="s">
        <v>28</v>
      </c>
      <c r="I1126" t="s">
        <v>5531</v>
      </c>
      <c r="J1126" t="s">
        <v>63</v>
      </c>
      <c r="K1126" t="s">
        <v>64</v>
      </c>
      <c r="M1126">
        <v>85</v>
      </c>
      <c r="N1126" t="s">
        <v>49</v>
      </c>
      <c r="O1126" t="s">
        <v>3493</v>
      </c>
      <c r="P1126" t="s">
        <v>1508</v>
      </c>
      <c r="S1126" t="s">
        <v>6265</v>
      </c>
      <c r="T1126">
        <v>4</v>
      </c>
      <c r="U1126" t="s">
        <v>56</v>
      </c>
      <c r="V1126" t="s">
        <v>56</v>
      </c>
    </row>
    <row r="1127" spans="1:22" x14ac:dyDescent="0.3">
      <c r="A1127" s="49">
        <v>45316</v>
      </c>
      <c r="B1127" t="s">
        <v>606</v>
      </c>
      <c r="E1127" t="s">
        <v>3136</v>
      </c>
      <c r="G1127" t="s">
        <v>5010</v>
      </c>
      <c r="H1127" t="s">
        <v>89</v>
      </c>
      <c r="J1127" t="s">
        <v>63</v>
      </c>
      <c r="K1127" t="s">
        <v>64</v>
      </c>
      <c r="M1127">
        <v>90</v>
      </c>
      <c r="N1127" t="s">
        <v>49</v>
      </c>
      <c r="O1127" t="s">
        <v>3494</v>
      </c>
      <c r="P1127" t="s">
        <v>66</v>
      </c>
      <c r="S1127" t="s">
        <v>6266</v>
      </c>
      <c r="T1127">
        <v>4</v>
      </c>
      <c r="U1127" t="s">
        <v>56</v>
      </c>
      <c r="V1127" t="s">
        <v>56</v>
      </c>
    </row>
    <row r="1128" spans="1:22" x14ac:dyDescent="0.3">
      <c r="A1128" s="49">
        <v>45316</v>
      </c>
      <c r="B1128" t="s">
        <v>2199</v>
      </c>
      <c r="E1128" t="s">
        <v>3107</v>
      </c>
      <c r="G1128" t="s">
        <v>4967</v>
      </c>
      <c r="H1128" t="s">
        <v>28</v>
      </c>
      <c r="I1128" t="s">
        <v>5394</v>
      </c>
      <c r="J1128" t="s">
        <v>30</v>
      </c>
      <c r="K1128" t="s">
        <v>4932</v>
      </c>
      <c r="M1128">
        <v>0</v>
      </c>
      <c r="N1128" t="s">
        <v>33</v>
      </c>
      <c r="O1128" t="s">
        <v>3495</v>
      </c>
      <c r="P1128" t="s">
        <v>751</v>
      </c>
      <c r="S1128" t="s">
        <v>6267</v>
      </c>
      <c r="T1128">
        <v>4</v>
      </c>
      <c r="U1128" t="s">
        <v>56</v>
      </c>
      <c r="V1128" t="s">
        <v>56</v>
      </c>
    </row>
    <row r="1129" spans="1:22" x14ac:dyDescent="0.3">
      <c r="A1129" s="49">
        <v>45316</v>
      </c>
      <c r="B1129" t="s">
        <v>2199</v>
      </c>
      <c r="E1129" t="s">
        <v>3137</v>
      </c>
      <c r="G1129" t="s">
        <v>5012</v>
      </c>
      <c r="H1129" t="s">
        <v>28</v>
      </c>
      <c r="I1129" t="s">
        <v>5532</v>
      </c>
      <c r="J1129" t="s">
        <v>63</v>
      </c>
      <c r="K1129" t="s">
        <v>414</v>
      </c>
      <c r="M1129">
        <v>0.125</v>
      </c>
      <c r="N1129" t="s">
        <v>49</v>
      </c>
      <c r="O1129" t="s">
        <v>3496</v>
      </c>
      <c r="P1129" t="s">
        <v>2052</v>
      </c>
      <c r="S1129" t="s">
        <v>6268</v>
      </c>
      <c r="T1129">
        <v>6</v>
      </c>
      <c r="U1129" t="s">
        <v>40</v>
      </c>
      <c r="V1129" t="s">
        <v>41</v>
      </c>
    </row>
    <row r="1130" spans="1:22" x14ac:dyDescent="0.3">
      <c r="A1130" s="49">
        <v>45316</v>
      </c>
      <c r="B1130" t="s">
        <v>606</v>
      </c>
      <c r="E1130" t="s">
        <v>3139</v>
      </c>
      <c r="G1130" t="s">
        <v>5056</v>
      </c>
      <c r="H1130" t="s">
        <v>28</v>
      </c>
      <c r="I1130" t="s">
        <v>5533</v>
      </c>
      <c r="J1130" t="s">
        <v>63</v>
      </c>
      <c r="K1130" t="s">
        <v>414</v>
      </c>
      <c r="M1130">
        <v>100</v>
      </c>
      <c r="N1130" t="s">
        <v>74</v>
      </c>
      <c r="O1130" t="s">
        <v>3497</v>
      </c>
      <c r="P1130" t="s">
        <v>1230</v>
      </c>
      <c r="S1130" t="s">
        <v>6269</v>
      </c>
      <c r="T1130">
        <v>4</v>
      </c>
      <c r="U1130" t="s">
        <v>56</v>
      </c>
      <c r="V1130" t="s">
        <v>56</v>
      </c>
    </row>
    <row r="1131" spans="1:22" x14ac:dyDescent="0.3">
      <c r="A1131" s="49">
        <v>45316</v>
      </c>
      <c r="B1131" t="s">
        <v>606</v>
      </c>
      <c r="E1131" t="s">
        <v>3139</v>
      </c>
      <c r="G1131" t="s">
        <v>90</v>
      </c>
      <c r="H1131" t="s">
        <v>28</v>
      </c>
      <c r="I1131" t="s">
        <v>5534</v>
      </c>
      <c r="J1131" t="s">
        <v>63</v>
      </c>
      <c r="K1131" t="s">
        <v>414</v>
      </c>
      <c r="M1131">
        <v>100</v>
      </c>
      <c r="N1131" t="s">
        <v>74</v>
      </c>
      <c r="O1131" t="s">
        <v>3498</v>
      </c>
      <c r="P1131" t="s">
        <v>743</v>
      </c>
      <c r="S1131" t="s">
        <v>6270</v>
      </c>
      <c r="T1131">
        <v>4</v>
      </c>
      <c r="U1131" t="s">
        <v>56</v>
      </c>
      <c r="V1131" t="s">
        <v>56</v>
      </c>
    </row>
    <row r="1132" spans="1:22" x14ac:dyDescent="0.3">
      <c r="A1132" s="49">
        <v>45316</v>
      </c>
      <c r="B1132" t="s">
        <v>606</v>
      </c>
      <c r="E1132" t="s">
        <v>3139</v>
      </c>
      <c r="G1132" t="s">
        <v>5088</v>
      </c>
      <c r="H1132" t="s">
        <v>28</v>
      </c>
      <c r="I1132" t="s">
        <v>5535</v>
      </c>
      <c r="J1132" t="s">
        <v>63</v>
      </c>
      <c r="K1132" t="s">
        <v>445</v>
      </c>
      <c r="M1132">
        <v>11</v>
      </c>
      <c r="N1132" t="s">
        <v>33</v>
      </c>
      <c r="O1132" t="s">
        <v>3499</v>
      </c>
      <c r="P1132" t="s">
        <v>791</v>
      </c>
      <c r="S1132" t="s">
        <v>6271</v>
      </c>
      <c r="T1132">
        <v>4</v>
      </c>
      <c r="U1132" t="s">
        <v>56</v>
      </c>
      <c r="V1132" t="s">
        <v>56</v>
      </c>
    </row>
    <row r="1133" spans="1:22" x14ac:dyDescent="0.3">
      <c r="A1133" s="49">
        <v>45316</v>
      </c>
      <c r="B1133" t="s">
        <v>606</v>
      </c>
      <c r="E1133" t="s">
        <v>3139</v>
      </c>
      <c r="G1133" t="s">
        <v>5015</v>
      </c>
      <c r="H1133" t="s">
        <v>28</v>
      </c>
      <c r="I1133" t="s">
        <v>2381</v>
      </c>
      <c r="J1133" t="s">
        <v>63</v>
      </c>
      <c r="K1133" t="s">
        <v>211</v>
      </c>
      <c r="M1133">
        <v>100</v>
      </c>
      <c r="N1133" t="s">
        <v>49</v>
      </c>
      <c r="O1133" t="s">
        <v>3500</v>
      </c>
      <c r="P1133" t="s">
        <v>1697</v>
      </c>
      <c r="S1133" t="s">
        <v>6272</v>
      </c>
      <c r="T1133">
        <v>4</v>
      </c>
      <c r="U1133" t="s">
        <v>56</v>
      </c>
      <c r="V1133" t="s">
        <v>56</v>
      </c>
    </row>
    <row r="1134" spans="1:22" x14ac:dyDescent="0.3">
      <c r="A1134" s="49">
        <v>45316</v>
      </c>
      <c r="B1134" t="s">
        <v>606</v>
      </c>
      <c r="E1134" t="s">
        <v>3139</v>
      </c>
      <c r="G1134" t="s">
        <v>5015</v>
      </c>
      <c r="H1134" t="s">
        <v>28</v>
      </c>
      <c r="I1134" t="s">
        <v>2381</v>
      </c>
      <c r="J1134" t="s">
        <v>63</v>
      </c>
      <c r="K1134" t="s">
        <v>211</v>
      </c>
      <c r="M1134">
        <v>100</v>
      </c>
      <c r="N1134" t="s">
        <v>49</v>
      </c>
      <c r="O1134" t="s">
        <v>3500</v>
      </c>
      <c r="P1134" t="s">
        <v>1697</v>
      </c>
      <c r="S1134" t="s">
        <v>6272</v>
      </c>
      <c r="T1134">
        <v>4</v>
      </c>
      <c r="U1134" t="s">
        <v>56</v>
      </c>
      <c r="V1134" t="s">
        <v>56</v>
      </c>
    </row>
    <row r="1135" spans="1:22" x14ac:dyDescent="0.3">
      <c r="A1135" s="49">
        <v>45316</v>
      </c>
      <c r="B1135" t="s">
        <v>606</v>
      </c>
      <c r="E1135" t="s">
        <v>3139</v>
      </c>
      <c r="G1135" t="s">
        <v>5015</v>
      </c>
      <c r="H1135" t="s">
        <v>28</v>
      </c>
      <c r="I1135" t="s">
        <v>2381</v>
      </c>
      <c r="J1135" t="s">
        <v>63</v>
      </c>
      <c r="K1135" t="s">
        <v>211</v>
      </c>
      <c r="M1135">
        <v>100</v>
      </c>
      <c r="N1135" t="s">
        <v>33</v>
      </c>
      <c r="O1135" t="s">
        <v>3500</v>
      </c>
      <c r="P1135" t="s">
        <v>1697</v>
      </c>
      <c r="S1135" t="s">
        <v>6272</v>
      </c>
      <c r="T1135">
        <v>4</v>
      </c>
      <c r="U1135" t="s">
        <v>56</v>
      </c>
      <c r="V1135" t="s">
        <v>56</v>
      </c>
    </row>
    <row r="1136" spans="1:22" x14ac:dyDescent="0.3">
      <c r="A1136" s="49">
        <v>45316</v>
      </c>
      <c r="B1136" t="s">
        <v>606</v>
      </c>
      <c r="E1136" t="s">
        <v>3139</v>
      </c>
      <c r="G1136" t="s">
        <v>5015</v>
      </c>
      <c r="H1136" t="s">
        <v>28</v>
      </c>
      <c r="I1136" t="s">
        <v>2381</v>
      </c>
      <c r="J1136" t="s">
        <v>63</v>
      </c>
      <c r="K1136" t="s">
        <v>211</v>
      </c>
      <c r="M1136">
        <v>100</v>
      </c>
      <c r="N1136" t="s">
        <v>33</v>
      </c>
      <c r="O1136" t="s">
        <v>3500</v>
      </c>
      <c r="P1136" t="s">
        <v>1697</v>
      </c>
      <c r="S1136" t="s">
        <v>6272</v>
      </c>
      <c r="T1136">
        <v>4</v>
      </c>
      <c r="U1136" t="s">
        <v>56</v>
      </c>
      <c r="V1136" t="s">
        <v>56</v>
      </c>
    </row>
    <row r="1137" spans="1:22" x14ac:dyDescent="0.3">
      <c r="A1137" s="49">
        <v>45316</v>
      </c>
      <c r="B1137" t="s">
        <v>606</v>
      </c>
      <c r="E1137" t="s">
        <v>3139</v>
      </c>
      <c r="G1137" t="s">
        <v>5015</v>
      </c>
      <c r="H1137" t="s">
        <v>28</v>
      </c>
      <c r="I1137" t="s">
        <v>2381</v>
      </c>
      <c r="J1137" t="s">
        <v>63</v>
      </c>
      <c r="K1137" t="s">
        <v>211</v>
      </c>
      <c r="M1137">
        <v>100</v>
      </c>
      <c r="N1137" t="s">
        <v>33</v>
      </c>
      <c r="O1137" t="s">
        <v>3500</v>
      </c>
      <c r="P1137" t="s">
        <v>1697</v>
      </c>
      <c r="S1137" t="s">
        <v>6272</v>
      </c>
      <c r="T1137">
        <v>4</v>
      </c>
      <c r="U1137" t="s">
        <v>56</v>
      </c>
      <c r="V1137" t="s">
        <v>56</v>
      </c>
    </row>
    <row r="1138" spans="1:22" x14ac:dyDescent="0.3">
      <c r="A1138" s="49">
        <v>45316</v>
      </c>
      <c r="B1138" t="s">
        <v>606</v>
      </c>
      <c r="E1138" t="s">
        <v>3139</v>
      </c>
      <c r="G1138" t="s">
        <v>5015</v>
      </c>
      <c r="H1138" t="s">
        <v>28</v>
      </c>
      <c r="I1138" t="s">
        <v>2381</v>
      </c>
      <c r="J1138" t="s">
        <v>63</v>
      </c>
      <c r="K1138" t="s">
        <v>211</v>
      </c>
      <c r="M1138">
        <v>100</v>
      </c>
      <c r="N1138" t="s">
        <v>33</v>
      </c>
      <c r="O1138" t="s">
        <v>3500</v>
      </c>
      <c r="P1138" t="s">
        <v>1697</v>
      </c>
      <c r="S1138" t="s">
        <v>6272</v>
      </c>
      <c r="T1138">
        <v>4</v>
      </c>
      <c r="U1138" t="s">
        <v>56</v>
      </c>
      <c r="V1138" t="s">
        <v>56</v>
      </c>
    </row>
    <row r="1139" spans="1:22" x14ac:dyDescent="0.3">
      <c r="A1139" s="49">
        <v>45316</v>
      </c>
      <c r="B1139" t="s">
        <v>606</v>
      </c>
      <c r="E1139" t="s">
        <v>3139</v>
      </c>
      <c r="G1139" t="s">
        <v>5015</v>
      </c>
      <c r="H1139" t="s">
        <v>28</v>
      </c>
      <c r="I1139" t="s">
        <v>2381</v>
      </c>
      <c r="J1139" t="s">
        <v>63</v>
      </c>
      <c r="K1139" t="s">
        <v>211</v>
      </c>
      <c r="M1139">
        <v>100</v>
      </c>
      <c r="N1139" t="s">
        <v>49</v>
      </c>
      <c r="O1139" t="s">
        <v>3501</v>
      </c>
      <c r="P1139" t="s">
        <v>1697</v>
      </c>
      <c r="S1139" t="s">
        <v>6272</v>
      </c>
      <c r="T1139">
        <v>4</v>
      </c>
      <c r="U1139" t="s">
        <v>56</v>
      </c>
      <c r="V1139" t="s">
        <v>56</v>
      </c>
    </row>
    <row r="1140" spans="1:22" x14ac:dyDescent="0.3">
      <c r="A1140" s="49">
        <v>45316</v>
      </c>
      <c r="B1140" t="s">
        <v>606</v>
      </c>
      <c r="E1140" t="s">
        <v>3139</v>
      </c>
      <c r="G1140" t="s">
        <v>5015</v>
      </c>
      <c r="H1140" t="s">
        <v>28</v>
      </c>
      <c r="I1140" t="s">
        <v>2381</v>
      </c>
      <c r="J1140" t="s">
        <v>63</v>
      </c>
      <c r="K1140" t="s">
        <v>211</v>
      </c>
      <c r="M1140">
        <v>100</v>
      </c>
      <c r="N1140" t="s">
        <v>49</v>
      </c>
      <c r="O1140" t="s">
        <v>3501</v>
      </c>
      <c r="P1140" t="s">
        <v>1697</v>
      </c>
      <c r="S1140" t="s">
        <v>6272</v>
      </c>
      <c r="T1140">
        <v>4</v>
      </c>
      <c r="U1140" t="s">
        <v>56</v>
      </c>
      <c r="V1140" t="s">
        <v>56</v>
      </c>
    </row>
    <row r="1141" spans="1:22" x14ac:dyDescent="0.3">
      <c r="A1141" s="49">
        <v>45316</v>
      </c>
      <c r="B1141" t="s">
        <v>606</v>
      </c>
      <c r="E1141" t="s">
        <v>3139</v>
      </c>
      <c r="G1141" t="s">
        <v>5015</v>
      </c>
      <c r="H1141" t="s">
        <v>28</v>
      </c>
      <c r="I1141" t="s">
        <v>2381</v>
      </c>
      <c r="J1141" t="s">
        <v>63</v>
      </c>
      <c r="K1141" t="s">
        <v>211</v>
      </c>
      <c r="M1141">
        <v>100</v>
      </c>
      <c r="N1141" t="s">
        <v>49</v>
      </c>
      <c r="O1141" t="s">
        <v>3501</v>
      </c>
      <c r="P1141" t="s">
        <v>1697</v>
      </c>
      <c r="S1141" t="s">
        <v>6272</v>
      </c>
      <c r="T1141">
        <v>4</v>
      </c>
      <c r="U1141" t="s">
        <v>56</v>
      </c>
      <c r="V1141" t="s">
        <v>56</v>
      </c>
    </row>
    <row r="1142" spans="1:22" x14ac:dyDescent="0.3">
      <c r="A1142" s="49">
        <v>45316</v>
      </c>
      <c r="B1142" t="s">
        <v>606</v>
      </c>
      <c r="E1142" t="s">
        <v>3139</v>
      </c>
      <c r="G1142" t="s">
        <v>5089</v>
      </c>
      <c r="H1142" t="s">
        <v>89</v>
      </c>
      <c r="J1142" t="s">
        <v>63</v>
      </c>
      <c r="K1142" t="s">
        <v>414</v>
      </c>
      <c r="M1142">
        <v>71</v>
      </c>
      <c r="N1142" t="s">
        <v>49</v>
      </c>
      <c r="O1142" t="s">
        <v>3502</v>
      </c>
      <c r="P1142" t="s">
        <v>1597</v>
      </c>
      <c r="S1142" t="s">
        <v>6273</v>
      </c>
      <c r="T1142">
        <v>4</v>
      </c>
      <c r="U1142" t="s">
        <v>56</v>
      </c>
      <c r="V1142" t="s">
        <v>56</v>
      </c>
    </row>
    <row r="1143" spans="1:22" x14ac:dyDescent="0.3">
      <c r="A1143" s="49">
        <v>45316</v>
      </c>
      <c r="B1143" t="s">
        <v>606</v>
      </c>
      <c r="E1143" t="s">
        <v>3140</v>
      </c>
      <c r="G1143" t="s">
        <v>5090</v>
      </c>
      <c r="H1143" t="s">
        <v>28</v>
      </c>
      <c r="I1143" t="s">
        <v>5536</v>
      </c>
      <c r="J1143" t="s">
        <v>63</v>
      </c>
      <c r="K1143" t="s">
        <v>64</v>
      </c>
      <c r="M1143">
        <v>100</v>
      </c>
      <c r="N1143" t="s">
        <v>49</v>
      </c>
      <c r="O1143" t="s">
        <v>3503</v>
      </c>
      <c r="P1143" t="s">
        <v>306</v>
      </c>
      <c r="S1143" t="s">
        <v>6274</v>
      </c>
      <c r="T1143">
        <v>4</v>
      </c>
      <c r="U1143" t="s">
        <v>56</v>
      </c>
      <c r="V1143" t="s">
        <v>56</v>
      </c>
    </row>
    <row r="1144" spans="1:22" x14ac:dyDescent="0.3">
      <c r="A1144" s="49">
        <v>45316</v>
      </c>
      <c r="B1144" t="s">
        <v>606</v>
      </c>
      <c r="E1144" t="s">
        <v>3140</v>
      </c>
      <c r="G1144" t="s">
        <v>5090</v>
      </c>
      <c r="H1144" t="s">
        <v>28</v>
      </c>
      <c r="I1144" t="s">
        <v>5536</v>
      </c>
      <c r="J1144" t="s">
        <v>63</v>
      </c>
      <c r="K1144" t="s">
        <v>64</v>
      </c>
      <c r="M1144">
        <v>100</v>
      </c>
      <c r="N1144" t="s">
        <v>49</v>
      </c>
      <c r="O1144" t="s">
        <v>3504</v>
      </c>
      <c r="P1144" t="s">
        <v>306</v>
      </c>
      <c r="S1144" t="s">
        <v>6274</v>
      </c>
      <c r="T1144">
        <v>4</v>
      </c>
      <c r="U1144" t="s">
        <v>56</v>
      </c>
      <c r="V1144" t="s">
        <v>56</v>
      </c>
    </row>
    <row r="1145" spans="1:22" x14ac:dyDescent="0.3">
      <c r="A1145" s="49">
        <v>45316</v>
      </c>
      <c r="B1145" t="s">
        <v>2199</v>
      </c>
      <c r="E1145" t="s">
        <v>3184</v>
      </c>
      <c r="G1145" t="s">
        <v>5091</v>
      </c>
      <c r="H1145" t="s">
        <v>28</v>
      </c>
      <c r="I1145" t="s">
        <v>5537</v>
      </c>
      <c r="J1145" t="s">
        <v>63</v>
      </c>
      <c r="K1145" t="s">
        <v>64</v>
      </c>
      <c r="M1145">
        <v>1</v>
      </c>
      <c r="N1145" t="s">
        <v>49</v>
      </c>
      <c r="O1145" t="s">
        <v>3505</v>
      </c>
      <c r="P1145" t="s">
        <v>4862</v>
      </c>
      <c r="S1145" t="s">
        <v>6275</v>
      </c>
      <c r="T1145">
        <v>4</v>
      </c>
      <c r="U1145" t="s">
        <v>56</v>
      </c>
      <c r="V1145" t="s">
        <v>56</v>
      </c>
    </row>
    <row r="1146" spans="1:22" x14ac:dyDescent="0.3">
      <c r="A1146" s="49">
        <v>45316</v>
      </c>
      <c r="B1146" t="s">
        <v>606</v>
      </c>
      <c r="E1146" t="s">
        <v>3185</v>
      </c>
      <c r="G1146" t="s">
        <v>5092</v>
      </c>
      <c r="H1146" t="s">
        <v>89</v>
      </c>
      <c r="J1146" t="s">
        <v>63</v>
      </c>
      <c r="K1146" t="s">
        <v>64</v>
      </c>
      <c r="M1146">
        <v>100</v>
      </c>
      <c r="N1146" t="s">
        <v>49</v>
      </c>
      <c r="O1146" t="s">
        <v>3506</v>
      </c>
      <c r="P1146" t="s">
        <v>791</v>
      </c>
      <c r="S1146" t="s">
        <v>6276</v>
      </c>
      <c r="T1146">
        <v>4</v>
      </c>
      <c r="U1146" t="s">
        <v>56</v>
      </c>
      <c r="V1146" t="s">
        <v>56</v>
      </c>
    </row>
    <row r="1147" spans="1:22" x14ac:dyDescent="0.3">
      <c r="A1147" s="49">
        <v>45316</v>
      </c>
      <c r="B1147" t="s">
        <v>606</v>
      </c>
      <c r="E1147" t="s">
        <v>3185</v>
      </c>
      <c r="G1147" t="s">
        <v>5092</v>
      </c>
      <c r="H1147" t="s">
        <v>89</v>
      </c>
      <c r="J1147" t="s">
        <v>63</v>
      </c>
      <c r="K1147" t="s">
        <v>64</v>
      </c>
      <c r="M1147">
        <v>100</v>
      </c>
      <c r="N1147" t="s">
        <v>49</v>
      </c>
      <c r="O1147" t="s">
        <v>3506</v>
      </c>
      <c r="P1147" t="s">
        <v>791</v>
      </c>
      <c r="S1147" t="s">
        <v>6276</v>
      </c>
      <c r="T1147">
        <v>4</v>
      </c>
      <c r="U1147" t="s">
        <v>56</v>
      </c>
      <c r="V1147" t="s">
        <v>56</v>
      </c>
    </row>
    <row r="1148" spans="1:22" x14ac:dyDescent="0.3">
      <c r="A1148" s="49">
        <v>45316</v>
      </c>
      <c r="B1148" t="s">
        <v>2199</v>
      </c>
      <c r="E1148" t="s">
        <v>3186</v>
      </c>
      <c r="G1148" t="s">
        <v>5093</v>
      </c>
      <c r="H1148" t="s">
        <v>28</v>
      </c>
      <c r="I1148" t="s">
        <v>2275</v>
      </c>
      <c r="J1148" t="s">
        <v>63</v>
      </c>
      <c r="K1148" t="s">
        <v>414</v>
      </c>
      <c r="M1148">
        <v>0.85000002384185802</v>
      </c>
      <c r="N1148" t="s">
        <v>49</v>
      </c>
      <c r="O1148" t="s">
        <v>3507</v>
      </c>
      <c r="P1148" t="s">
        <v>1508</v>
      </c>
      <c r="S1148" t="s">
        <v>6277</v>
      </c>
      <c r="T1148">
        <v>4</v>
      </c>
      <c r="U1148" t="s">
        <v>56</v>
      </c>
      <c r="V1148" t="s">
        <v>56</v>
      </c>
    </row>
    <row r="1149" spans="1:22" x14ac:dyDescent="0.3">
      <c r="A1149" s="49">
        <v>45316</v>
      </c>
      <c r="B1149" t="s">
        <v>606</v>
      </c>
      <c r="E1149" t="s">
        <v>3143</v>
      </c>
      <c r="G1149" t="s">
        <v>5020</v>
      </c>
      <c r="H1149" t="s">
        <v>89</v>
      </c>
      <c r="J1149" t="s">
        <v>63</v>
      </c>
      <c r="K1149" t="s">
        <v>64</v>
      </c>
      <c r="M1149">
        <v>15</v>
      </c>
      <c r="N1149" t="s">
        <v>33</v>
      </c>
      <c r="O1149" t="s">
        <v>3508</v>
      </c>
      <c r="P1149" t="s">
        <v>1701</v>
      </c>
      <c r="S1149" t="s">
        <v>6278</v>
      </c>
      <c r="T1149">
        <v>4</v>
      </c>
      <c r="U1149" t="s">
        <v>56</v>
      </c>
      <c r="V1149" t="s">
        <v>56</v>
      </c>
    </row>
    <row r="1150" spans="1:22" x14ac:dyDescent="0.3">
      <c r="A1150" s="49">
        <v>45316</v>
      </c>
      <c r="B1150" t="s">
        <v>606</v>
      </c>
      <c r="E1150" t="s">
        <v>3187</v>
      </c>
      <c r="G1150" t="s">
        <v>183</v>
      </c>
      <c r="H1150" t="s">
        <v>28</v>
      </c>
      <c r="I1150" t="s">
        <v>5538</v>
      </c>
      <c r="J1150" t="s">
        <v>63</v>
      </c>
      <c r="K1150" t="s">
        <v>64</v>
      </c>
      <c r="M1150">
        <v>100</v>
      </c>
      <c r="N1150" t="s">
        <v>49</v>
      </c>
      <c r="O1150" t="s">
        <v>3509</v>
      </c>
      <c r="P1150" t="s">
        <v>1697</v>
      </c>
      <c r="S1150" t="s">
        <v>6279</v>
      </c>
      <c r="T1150">
        <v>4</v>
      </c>
      <c r="U1150" t="s">
        <v>56</v>
      </c>
      <c r="V1150" t="s">
        <v>56</v>
      </c>
    </row>
    <row r="1151" spans="1:22" x14ac:dyDescent="0.3">
      <c r="A1151" s="49">
        <v>45316</v>
      </c>
      <c r="B1151" t="s">
        <v>606</v>
      </c>
      <c r="E1151" t="s">
        <v>3187</v>
      </c>
      <c r="G1151" t="s">
        <v>761</v>
      </c>
      <c r="H1151" t="s">
        <v>89</v>
      </c>
      <c r="J1151" t="s">
        <v>63</v>
      </c>
      <c r="K1151" t="s">
        <v>64</v>
      </c>
      <c r="M1151">
        <v>100</v>
      </c>
      <c r="N1151" t="s">
        <v>33</v>
      </c>
      <c r="O1151" t="s">
        <v>3510</v>
      </c>
      <c r="P1151" t="s">
        <v>170</v>
      </c>
      <c r="S1151" t="s">
        <v>6280</v>
      </c>
      <c r="T1151">
        <v>4</v>
      </c>
      <c r="U1151" t="s">
        <v>56</v>
      </c>
      <c r="V1151" t="s">
        <v>56</v>
      </c>
    </row>
    <row r="1152" spans="1:22" x14ac:dyDescent="0.3">
      <c r="A1152" s="49">
        <v>45316</v>
      </c>
      <c r="B1152" t="s">
        <v>606</v>
      </c>
      <c r="E1152" t="s">
        <v>3115</v>
      </c>
      <c r="G1152" t="s">
        <v>1524</v>
      </c>
      <c r="H1152" t="s">
        <v>89</v>
      </c>
      <c r="J1152" t="s">
        <v>63</v>
      </c>
      <c r="K1152" t="s">
        <v>64</v>
      </c>
      <c r="M1152">
        <v>13.300000190734901</v>
      </c>
      <c r="N1152" t="s">
        <v>33</v>
      </c>
      <c r="O1152" t="s">
        <v>3511</v>
      </c>
      <c r="P1152" t="s">
        <v>1878</v>
      </c>
      <c r="S1152" t="s">
        <v>6281</v>
      </c>
      <c r="T1152">
        <v>4</v>
      </c>
      <c r="U1152" t="s">
        <v>56</v>
      </c>
      <c r="V1152" t="s">
        <v>56</v>
      </c>
    </row>
    <row r="1153" spans="1:22" x14ac:dyDescent="0.3">
      <c r="A1153" s="49">
        <v>45316</v>
      </c>
      <c r="B1153" t="s">
        <v>606</v>
      </c>
      <c r="E1153" t="s">
        <v>3149</v>
      </c>
      <c r="G1153" t="s">
        <v>5069</v>
      </c>
      <c r="H1153" t="s">
        <v>28</v>
      </c>
      <c r="I1153" t="s">
        <v>5539</v>
      </c>
      <c r="J1153" t="s">
        <v>30</v>
      </c>
      <c r="K1153" t="s">
        <v>31</v>
      </c>
      <c r="M1153">
        <v>100</v>
      </c>
      <c r="N1153" t="s">
        <v>74</v>
      </c>
      <c r="O1153" t="s">
        <v>3512</v>
      </c>
      <c r="P1153" t="s">
        <v>66</v>
      </c>
      <c r="S1153" t="s">
        <v>6282</v>
      </c>
      <c r="T1153">
        <v>4</v>
      </c>
      <c r="U1153" t="s">
        <v>56</v>
      </c>
      <c r="V1153" t="s">
        <v>56</v>
      </c>
    </row>
    <row r="1154" spans="1:22" x14ac:dyDescent="0.3">
      <c r="A1154" s="49">
        <v>45316</v>
      </c>
      <c r="B1154" t="s">
        <v>606</v>
      </c>
      <c r="E1154" t="s">
        <v>3188</v>
      </c>
      <c r="G1154" t="s">
        <v>5094</v>
      </c>
      <c r="H1154" t="s">
        <v>89</v>
      </c>
      <c r="J1154" t="s">
        <v>63</v>
      </c>
      <c r="K1154" t="s">
        <v>414</v>
      </c>
      <c r="M1154">
        <v>100</v>
      </c>
      <c r="N1154" t="s">
        <v>74</v>
      </c>
      <c r="O1154" t="s">
        <v>3513</v>
      </c>
      <c r="P1154" t="s">
        <v>170</v>
      </c>
      <c r="S1154" t="s">
        <v>6283</v>
      </c>
      <c r="T1154">
        <v>4</v>
      </c>
      <c r="U1154" t="s">
        <v>56</v>
      </c>
      <c r="V1154" t="s">
        <v>56</v>
      </c>
    </row>
    <row r="1155" spans="1:22" x14ac:dyDescent="0.3">
      <c r="A1155" s="49">
        <v>45316</v>
      </c>
      <c r="B1155" t="s">
        <v>606</v>
      </c>
      <c r="E1155" t="s">
        <v>3188</v>
      </c>
      <c r="G1155" t="s">
        <v>5095</v>
      </c>
      <c r="H1155" t="s">
        <v>28</v>
      </c>
      <c r="I1155" t="s">
        <v>5540</v>
      </c>
      <c r="J1155" t="s">
        <v>63</v>
      </c>
      <c r="K1155" t="s">
        <v>414</v>
      </c>
      <c r="M1155">
        <v>100</v>
      </c>
      <c r="N1155" t="s">
        <v>74</v>
      </c>
      <c r="O1155" t="s">
        <v>3514</v>
      </c>
      <c r="P1155" t="s">
        <v>205</v>
      </c>
      <c r="S1155" t="s">
        <v>6284</v>
      </c>
      <c r="T1155">
        <v>4</v>
      </c>
      <c r="U1155" t="s">
        <v>56</v>
      </c>
      <c r="V1155" t="s">
        <v>56</v>
      </c>
    </row>
    <row r="1156" spans="1:22" x14ac:dyDescent="0.3">
      <c r="A1156" s="49">
        <v>45316</v>
      </c>
      <c r="B1156" t="s">
        <v>606</v>
      </c>
      <c r="E1156" t="s">
        <v>3118</v>
      </c>
      <c r="G1156" t="s">
        <v>5096</v>
      </c>
      <c r="H1156" t="s">
        <v>28</v>
      </c>
      <c r="I1156" t="s">
        <v>5541</v>
      </c>
      <c r="J1156" t="s">
        <v>63</v>
      </c>
      <c r="K1156" t="s">
        <v>463</v>
      </c>
      <c r="M1156">
        <v>0</v>
      </c>
      <c r="N1156" t="s">
        <v>33</v>
      </c>
      <c r="O1156" t="s">
        <v>3515</v>
      </c>
      <c r="P1156" t="s">
        <v>224</v>
      </c>
      <c r="S1156" t="s">
        <v>6285</v>
      </c>
      <c r="T1156">
        <v>4</v>
      </c>
      <c r="U1156" t="s">
        <v>56</v>
      </c>
      <c r="V1156" t="s">
        <v>56</v>
      </c>
    </row>
    <row r="1157" spans="1:22" x14ac:dyDescent="0.3">
      <c r="A1157" s="49">
        <v>45316</v>
      </c>
      <c r="B1157" t="s">
        <v>2199</v>
      </c>
      <c r="E1157" t="s">
        <v>3155</v>
      </c>
      <c r="G1157" t="s">
        <v>5097</v>
      </c>
      <c r="H1157" t="s">
        <v>28</v>
      </c>
      <c r="I1157" t="s">
        <v>5542</v>
      </c>
      <c r="J1157" t="s">
        <v>63</v>
      </c>
      <c r="K1157" t="s">
        <v>197</v>
      </c>
      <c r="M1157">
        <v>1</v>
      </c>
      <c r="N1157" t="s">
        <v>49</v>
      </c>
      <c r="O1157" t="s">
        <v>3516</v>
      </c>
      <c r="P1157" t="s">
        <v>668</v>
      </c>
      <c r="S1157" t="s">
        <v>6286</v>
      </c>
      <c r="T1157">
        <v>4</v>
      </c>
      <c r="U1157" t="s">
        <v>56</v>
      </c>
      <c r="V1157" t="s">
        <v>56</v>
      </c>
    </row>
    <row r="1158" spans="1:22" x14ac:dyDescent="0.3">
      <c r="A1158" s="49">
        <v>45316</v>
      </c>
      <c r="B1158" t="s">
        <v>2199</v>
      </c>
      <c r="E1158" t="s">
        <v>3155</v>
      </c>
      <c r="G1158" t="s">
        <v>5097</v>
      </c>
      <c r="H1158" t="s">
        <v>28</v>
      </c>
      <c r="I1158" t="s">
        <v>5542</v>
      </c>
      <c r="J1158" t="s">
        <v>63</v>
      </c>
      <c r="K1158" t="s">
        <v>197</v>
      </c>
      <c r="M1158">
        <v>1</v>
      </c>
      <c r="N1158" t="s">
        <v>49</v>
      </c>
      <c r="O1158" t="s">
        <v>3516</v>
      </c>
      <c r="P1158" t="s">
        <v>668</v>
      </c>
      <c r="S1158" t="s">
        <v>6286</v>
      </c>
      <c r="T1158">
        <v>4</v>
      </c>
      <c r="U1158" t="s">
        <v>56</v>
      </c>
      <c r="V1158" t="s">
        <v>56</v>
      </c>
    </row>
    <row r="1159" spans="1:22" x14ac:dyDescent="0.3">
      <c r="A1159" s="49">
        <v>45316</v>
      </c>
      <c r="B1159" t="s">
        <v>606</v>
      </c>
      <c r="E1159" t="s">
        <v>3155</v>
      </c>
      <c r="G1159" t="s">
        <v>5033</v>
      </c>
      <c r="H1159" t="s">
        <v>89</v>
      </c>
      <c r="J1159" t="s">
        <v>1712</v>
      </c>
      <c r="K1159" t="s">
        <v>1712</v>
      </c>
      <c r="M1159">
        <v>100</v>
      </c>
      <c r="N1159" t="s">
        <v>49</v>
      </c>
      <c r="O1159" t="s">
        <v>3517</v>
      </c>
      <c r="P1159" t="s">
        <v>1727</v>
      </c>
      <c r="S1159" t="s">
        <v>6287</v>
      </c>
      <c r="T1159">
        <v>4</v>
      </c>
      <c r="U1159" t="s">
        <v>56</v>
      </c>
      <c r="V1159" t="s">
        <v>56</v>
      </c>
    </row>
    <row r="1160" spans="1:22" x14ac:dyDescent="0.3">
      <c r="A1160" s="49">
        <v>45316</v>
      </c>
      <c r="B1160" t="s">
        <v>606</v>
      </c>
      <c r="E1160" t="s">
        <v>2777</v>
      </c>
      <c r="G1160" t="s">
        <v>5031</v>
      </c>
      <c r="H1160" t="s">
        <v>28</v>
      </c>
      <c r="I1160" t="s">
        <v>5543</v>
      </c>
      <c r="J1160" t="s">
        <v>63</v>
      </c>
      <c r="K1160" t="s">
        <v>64</v>
      </c>
      <c r="M1160">
        <v>0</v>
      </c>
      <c r="N1160" t="s">
        <v>49</v>
      </c>
      <c r="O1160" t="s">
        <v>3518</v>
      </c>
      <c r="P1160" t="s">
        <v>956</v>
      </c>
      <c r="S1160" t="s">
        <v>6288</v>
      </c>
      <c r="T1160">
        <v>4</v>
      </c>
      <c r="U1160" t="s">
        <v>56</v>
      </c>
      <c r="V1160" t="s">
        <v>56</v>
      </c>
    </row>
    <row r="1161" spans="1:22" x14ac:dyDescent="0.3">
      <c r="A1161" s="49">
        <v>45316</v>
      </c>
      <c r="B1161" t="s">
        <v>2199</v>
      </c>
      <c r="E1161" t="s">
        <v>3181</v>
      </c>
      <c r="G1161" t="s">
        <v>5070</v>
      </c>
      <c r="H1161" t="s">
        <v>89</v>
      </c>
      <c r="J1161" t="s">
        <v>63</v>
      </c>
      <c r="K1161" t="s">
        <v>64</v>
      </c>
      <c r="M1161">
        <v>100</v>
      </c>
      <c r="N1161" t="s">
        <v>49</v>
      </c>
      <c r="O1161" t="s">
        <v>3519</v>
      </c>
      <c r="P1161" t="s">
        <v>1159</v>
      </c>
      <c r="S1161" t="s">
        <v>6289</v>
      </c>
      <c r="T1161">
        <v>4</v>
      </c>
      <c r="U1161" t="s">
        <v>56</v>
      </c>
      <c r="V1161" t="s">
        <v>56</v>
      </c>
    </row>
    <row r="1162" spans="1:22" x14ac:dyDescent="0.3">
      <c r="A1162" s="49">
        <v>45316</v>
      </c>
      <c r="B1162" t="s">
        <v>2199</v>
      </c>
      <c r="E1162" t="s">
        <v>3156</v>
      </c>
      <c r="G1162" t="s">
        <v>5034</v>
      </c>
      <c r="H1162" t="s">
        <v>28</v>
      </c>
      <c r="I1162" t="s">
        <v>5544</v>
      </c>
      <c r="J1162" t="s">
        <v>63</v>
      </c>
      <c r="K1162" t="s">
        <v>414</v>
      </c>
      <c r="M1162">
        <v>1</v>
      </c>
      <c r="N1162" t="s">
        <v>49</v>
      </c>
      <c r="O1162" t="s">
        <v>3520</v>
      </c>
      <c r="P1162" t="s">
        <v>878</v>
      </c>
      <c r="S1162" t="s">
        <v>6290</v>
      </c>
      <c r="T1162">
        <v>4</v>
      </c>
      <c r="U1162" t="s">
        <v>56</v>
      </c>
      <c r="V1162" t="s">
        <v>56</v>
      </c>
    </row>
    <row r="1163" spans="1:22" x14ac:dyDescent="0.3">
      <c r="A1163" s="49">
        <v>45316</v>
      </c>
      <c r="B1163" t="s">
        <v>2199</v>
      </c>
      <c r="E1163" t="s">
        <v>3156</v>
      </c>
      <c r="G1163" t="s">
        <v>5034</v>
      </c>
      <c r="H1163" t="s">
        <v>28</v>
      </c>
      <c r="I1163" t="s">
        <v>5545</v>
      </c>
      <c r="J1163" t="s">
        <v>63</v>
      </c>
      <c r="K1163" t="s">
        <v>414</v>
      </c>
      <c r="M1163">
        <v>100</v>
      </c>
      <c r="N1163" t="s">
        <v>49</v>
      </c>
      <c r="O1163" t="s">
        <v>3521</v>
      </c>
      <c r="P1163" t="s">
        <v>373</v>
      </c>
      <c r="S1163" t="s">
        <v>6230</v>
      </c>
      <c r="T1163">
        <v>4</v>
      </c>
      <c r="U1163" t="s">
        <v>56</v>
      </c>
      <c r="V1163" t="s">
        <v>56</v>
      </c>
    </row>
    <row r="1164" spans="1:22" x14ac:dyDescent="0.3">
      <c r="A1164" s="49">
        <v>45316</v>
      </c>
      <c r="B1164" t="s">
        <v>606</v>
      </c>
      <c r="E1164" t="s">
        <v>3156</v>
      </c>
      <c r="G1164" t="s">
        <v>5034</v>
      </c>
      <c r="H1164" t="s">
        <v>28</v>
      </c>
      <c r="I1164" t="s">
        <v>5546</v>
      </c>
      <c r="J1164" t="s">
        <v>63</v>
      </c>
      <c r="K1164" t="s">
        <v>64</v>
      </c>
      <c r="M1164">
        <v>100</v>
      </c>
      <c r="N1164" t="s">
        <v>49</v>
      </c>
      <c r="O1164" t="s">
        <v>3522</v>
      </c>
      <c r="P1164" t="s">
        <v>416</v>
      </c>
      <c r="S1164" t="s">
        <v>6291</v>
      </c>
      <c r="T1164">
        <v>4</v>
      </c>
      <c r="U1164" t="s">
        <v>56</v>
      </c>
      <c r="V1164" t="s">
        <v>56</v>
      </c>
    </row>
    <row r="1165" spans="1:22" x14ac:dyDescent="0.3">
      <c r="A1165" s="49">
        <v>45316</v>
      </c>
      <c r="B1165" t="s">
        <v>606</v>
      </c>
      <c r="E1165" t="s">
        <v>3189</v>
      </c>
      <c r="G1165" t="s">
        <v>820</v>
      </c>
      <c r="H1165" t="s">
        <v>28</v>
      </c>
      <c r="I1165" t="s">
        <v>5547</v>
      </c>
      <c r="J1165" t="s">
        <v>63</v>
      </c>
      <c r="K1165" t="s">
        <v>256</v>
      </c>
      <c r="M1165">
        <v>16</v>
      </c>
      <c r="N1165" t="s">
        <v>49</v>
      </c>
      <c r="O1165" t="s">
        <v>3523</v>
      </c>
      <c r="P1165" t="s">
        <v>743</v>
      </c>
      <c r="S1165" t="s">
        <v>6292</v>
      </c>
      <c r="T1165">
        <v>4</v>
      </c>
      <c r="U1165" t="s">
        <v>56</v>
      </c>
      <c r="V1165" t="s">
        <v>56</v>
      </c>
    </row>
    <row r="1166" spans="1:22" x14ac:dyDescent="0.3">
      <c r="A1166" s="49">
        <v>45316</v>
      </c>
      <c r="B1166" t="s">
        <v>606</v>
      </c>
      <c r="E1166" t="s">
        <v>3189</v>
      </c>
      <c r="G1166" t="s">
        <v>5098</v>
      </c>
      <c r="H1166" t="s">
        <v>89</v>
      </c>
      <c r="J1166" t="s">
        <v>63</v>
      </c>
      <c r="K1166" t="s">
        <v>64</v>
      </c>
      <c r="M1166">
        <v>70</v>
      </c>
      <c r="N1166" t="s">
        <v>33</v>
      </c>
      <c r="O1166" t="s">
        <v>3524</v>
      </c>
      <c r="P1166" t="s">
        <v>1697</v>
      </c>
      <c r="S1166" t="s">
        <v>6293</v>
      </c>
      <c r="T1166">
        <v>4</v>
      </c>
      <c r="U1166" t="s">
        <v>56</v>
      </c>
      <c r="V1166" t="s">
        <v>56</v>
      </c>
    </row>
    <row r="1167" spans="1:22" x14ac:dyDescent="0.3">
      <c r="A1167" s="49">
        <v>45316</v>
      </c>
      <c r="B1167" t="s">
        <v>606</v>
      </c>
      <c r="E1167" t="s">
        <v>3119</v>
      </c>
      <c r="G1167" t="s">
        <v>4982</v>
      </c>
      <c r="H1167" t="s">
        <v>28</v>
      </c>
      <c r="I1167" t="s">
        <v>5408</v>
      </c>
      <c r="J1167" t="s">
        <v>63</v>
      </c>
      <c r="K1167" t="s">
        <v>197</v>
      </c>
      <c r="M1167">
        <v>100</v>
      </c>
      <c r="N1167" t="s">
        <v>74</v>
      </c>
      <c r="O1167" t="s">
        <v>3525</v>
      </c>
      <c r="P1167" t="s">
        <v>170</v>
      </c>
      <c r="S1167" t="s">
        <v>6083</v>
      </c>
      <c r="T1167">
        <v>4</v>
      </c>
      <c r="U1167" t="s">
        <v>56</v>
      </c>
      <c r="V1167" t="s">
        <v>56</v>
      </c>
    </row>
    <row r="1168" spans="1:22" x14ac:dyDescent="0.3">
      <c r="A1168" s="49">
        <v>45316</v>
      </c>
      <c r="B1168" t="s">
        <v>606</v>
      </c>
      <c r="E1168" t="s">
        <v>3119</v>
      </c>
      <c r="G1168" t="s">
        <v>4982</v>
      </c>
      <c r="H1168" t="s">
        <v>28</v>
      </c>
      <c r="I1168" t="s">
        <v>5408</v>
      </c>
      <c r="J1168" t="s">
        <v>63</v>
      </c>
      <c r="K1168" t="s">
        <v>197</v>
      </c>
      <c r="M1168">
        <v>100</v>
      </c>
      <c r="N1168" t="s">
        <v>74</v>
      </c>
      <c r="O1168" t="s">
        <v>3525</v>
      </c>
      <c r="P1168" t="s">
        <v>170</v>
      </c>
      <c r="S1168" t="s">
        <v>6083</v>
      </c>
      <c r="T1168">
        <v>4</v>
      </c>
      <c r="U1168" t="s">
        <v>56</v>
      </c>
      <c r="V1168" t="s">
        <v>56</v>
      </c>
    </row>
    <row r="1169" spans="1:22" x14ac:dyDescent="0.3">
      <c r="A1169" s="49">
        <v>45316</v>
      </c>
      <c r="B1169" t="s">
        <v>606</v>
      </c>
      <c r="E1169" t="s">
        <v>3121</v>
      </c>
      <c r="G1169" t="s">
        <v>364</v>
      </c>
      <c r="H1169" t="s">
        <v>89</v>
      </c>
      <c r="J1169" t="s">
        <v>63</v>
      </c>
      <c r="K1169" t="s">
        <v>197</v>
      </c>
      <c r="M1169">
        <v>0</v>
      </c>
      <c r="N1169" t="s">
        <v>49</v>
      </c>
      <c r="O1169" t="s">
        <v>3526</v>
      </c>
      <c r="P1169" t="s">
        <v>1189</v>
      </c>
      <c r="S1169" t="s">
        <v>6294</v>
      </c>
      <c r="T1169">
        <v>6</v>
      </c>
      <c r="U1169" t="s">
        <v>40</v>
      </c>
      <c r="V1169" t="s">
        <v>41</v>
      </c>
    </row>
    <row r="1170" spans="1:22" x14ac:dyDescent="0.3">
      <c r="A1170" s="49">
        <v>45316</v>
      </c>
      <c r="B1170" t="s">
        <v>606</v>
      </c>
      <c r="E1170" t="s">
        <v>3121</v>
      </c>
      <c r="G1170" t="s">
        <v>364</v>
      </c>
      <c r="H1170" t="s">
        <v>89</v>
      </c>
      <c r="J1170" t="s">
        <v>63</v>
      </c>
      <c r="K1170" t="s">
        <v>197</v>
      </c>
      <c r="M1170">
        <v>0</v>
      </c>
      <c r="N1170" t="s">
        <v>49</v>
      </c>
      <c r="O1170" t="s">
        <v>3526</v>
      </c>
      <c r="P1170" t="s">
        <v>1189</v>
      </c>
      <c r="S1170" t="s">
        <v>6294</v>
      </c>
      <c r="T1170">
        <v>6</v>
      </c>
      <c r="U1170" t="s">
        <v>40</v>
      </c>
      <c r="V1170" t="s">
        <v>41</v>
      </c>
    </row>
    <row r="1171" spans="1:22" x14ac:dyDescent="0.3">
      <c r="A1171" s="49">
        <v>45316</v>
      </c>
      <c r="B1171" t="s">
        <v>606</v>
      </c>
      <c r="E1171" t="s">
        <v>3121</v>
      </c>
      <c r="G1171" t="s">
        <v>364</v>
      </c>
      <c r="H1171" t="s">
        <v>28</v>
      </c>
      <c r="I1171" t="s">
        <v>5548</v>
      </c>
      <c r="J1171" t="s">
        <v>63</v>
      </c>
      <c r="K1171" t="s">
        <v>64</v>
      </c>
      <c r="M1171">
        <v>100</v>
      </c>
      <c r="N1171" t="s">
        <v>49</v>
      </c>
      <c r="O1171" t="s">
        <v>3527</v>
      </c>
      <c r="P1171" t="s">
        <v>743</v>
      </c>
      <c r="S1171" t="s">
        <v>6295</v>
      </c>
      <c r="T1171">
        <v>4</v>
      </c>
      <c r="U1171" t="s">
        <v>56</v>
      </c>
      <c r="V1171" t="s">
        <v>56</v>
      </c>
    </row>
    <row r="1172" spans="1:22" x14ac:dyDescent="0.3">
      <c r="A1172" s="49">
        <v>45316</v>
      </c>
      <c r="B1172" t="s">
        <v>606</v>
      </c>
      <c r="E1172" t="s">
        <v>3121</v>
      </c>
      <c r="G1172" t="s">
        <v>364</v>
      </c>
      <c r="H1172" t="s">
        <v>28</v>
      </c>
      <c r="I1172" t="s">
        <v>1837</v>
      </c>
      <c r="J1172" t="s">
        <v>63</v>
      </c>
      <c r="K1172" t="s">
        <v>197</v>
      </c>
      <c r="M1172">
        <v>0</v>
      </c>
      <c r="N1172" t="s">
        <v>74</v>
      </c>
      <c r="O1172" t="s">
        <v>3528</v>
      </c>
      <c r="P1172" t="s">
        <v>1189</v>
      </c>
      <c r="S1172" t="s">
        <v>6086</v>
      </c>
      <c r="T1172">
        <v>4</v>
      </c>
      <c r="U1172" t="s">
        <v>56</v>
      </c>
      <c r="V1172" t="s">
        <v>56</v>
      </c>
    </row>
    <row r="1173" spans="1:22" x14ac:dyDescent="0.3">
      <c r="A1173" s="49">
        <v>45316</v>
      </c>
      <c r="B1173" t="s">
        <v>2199</v>
      </c>
      <c r="E1173" t="s">
        <v>3121</v>
      </c>
      <c r="G1173" t="s">
        <v>5035</v>
      </c>
      <c r="H1173" t="s">
        <v>28</v>
      </c>
      <c r="I1173" t="s">
        <v>5549</v>
      </c>
      <c r="J1173" t="s">
        <v>63</v>
      </c>
      <c r="K1173" t="s">
        <v>197</v>
      </c>
      <c r="M1173">
        <v>1</v>
      </c>
      <c r="N1173" t="s">
        <v>49</v>
      </c>
      <c r="O1173" t="s">
        <v>3529</v>
      </c>
      <c r="P1173" t="s">
        <v>4863</v>
      </c>
      <c r="S1173" t="s">
        <v>6296</v>
      </c>
      <c r="T1173">
        <v>4</v>
      </c>
      <c r="U1173" t="s">
        <v>56</v>
      </c>
      <c r="V1173" t="s">
        <v>56</v>
      </c>
    </row>
    <row r="1174" spans="1:22" x14ac:dyDescent="0.3">
      <c r="A1174" s="49">
        <v>45316</v>
      </c>
      <c r="B1174" t="s">
        <v>606</v>
      </c>
      <c r="E1174" t="s">
        <v>3121</v>
      </c>
      <c r="G1174" t="s">
        <v>1108</v>
      </c>
      <c r="H1174" t="s">
        <v>28</v>
      </c>
      <c r="I1174" t="s">
        <v>1997</v>
      </c>
      <c r="J1174" t="s">
        <v>63</v>
      </c>
      <c r="K1174" t="s">
        <v>4933</v>
      </c>
      <c r="M1174">
        <v>65</v>
      </c>
      <c r="N1174" t="s">
        <v>49</v>
      </c>
      <c r="O1174" t="s">
        <v>3530</v>
      </c>
      <c r="P1174" t="s">
        <v>1697</v>
      </c>
      <c r="S1174" t="s">
        <v>6231</v>
      </c>
      <c r="T1174">
        <v>4</v>
      </c>
      <c r="U1174" t="s">
        <v>56</v>
      </c>
      <c r="V1174" t="s">
        <v>56</v>
      </c>
    </row>
    <row r="1175" spans="1:22" x14ac:dyDescent="0.3">
      <c r="A1175" s="49">
        <v>45316</v>
      </c>
      <c r="B1175" t="s">
        <v>606</v>
      </c>
      <c r="E1175" t="s">
        <v>3121</v>
      </c>
      <c r="G1175" t="s">
        <v>5099</v>
      </c>
      <c r="H1175" t="s">
        <v>28</v>
      </c>
      <c r="I1175" t="s">
        <v>5550</v>
      </c>
      <c r="J1175" t="s">
        <v>63</v>
      </c>
      <c r="K1175" t="s">
        <v>197</v>
      </c>
      <c r="M1175">
        <v>33</v>
      </c>
      <c r="N1175" t="s">
        <v>49</v>
      </c>
      <c r="O1175" t="s">
        <v>3531</v>
      </c>
      <c r="P1175" t="s">
        <v>287</v>
      </c>
      <c r="S1175" t="s">
        <v>6297</v>
      </c>
      <c r="T1175">
        <v>6</v>
      </c>
      <c r="U1175" t="s">
        <v>40</v>
      </c>
      <c r="V1175" t="s">
        <v>41</v>
      </c>
    </row>
    <row r="1176" spans="1:22" x14ac:dyDescent="0.3">
      <c r="A1176" s="49">
        <v>45316</v>
      </c>
      <c r="B1176" t="s">
        <v>606</v>
      </c>
      <c r="E1176" t="s">
        <v>3121</v>
      </c>
      <c r="G1176" t="s">
        <v>5036</v>
      </c>
      <c r="H1176" t="s">
        <v>28</v>
      </c>
      <c r="I1176" t="s">
        <v>2007</v>
      </c>
      <c r="J1176" t="s">
        <v>63</v>
      </c>
      <c r="K1176" t="s">
        <v>64</v>
      </c>
      <c r="M1176">
        <v>100</v>
      </c>
      <c r="N1176" t="s">
        <v>49</v>
      </c>
      <c r="O1176" t="s">
        <v>3532</v>
      </c>
      <c r="P1176" t="s">
        <v>1697</v>
      </c>
      <c r="S1176" t="s">
        <v>6298</v>
      </c>
      <c r="T1176">
        <v>4</v>
      </c>
      <c r="U1176" t="s">
        <v>56</v>
      </c>
      <c r="V1176" t="s">
        <v>56</v>
      </c>
    </row>
    <row r="1177" spans="1:22" x14ac:dyDescent="0.3">
      <c r="A1177" s="49">
        <v>45316</v>
      </c>
      <c r="B1177" t="s">
        <v>606</v>
      </c>
      <c r="E1177" t="s">
        <v>3121</v>
      </c>
      <c r="G1177" t="s">
        <v>5036</v>
      </c>
      <c r="H1177" t="s">
        <v>28</v>
      </c>
      <c r="I1177" t="s">
        <v>2007</v>
      </c>
      <c r="J1177" t="s">
        <v>63</v>
      </c>
      <c r="K1177" t="s">
        <v>64</v>
      </c>
      <c r="M1177">
        <v>100</v>
      </c>
      <c r="N1177" t="s">
        <v>49</v>
      </c>
      <c r="O1177" t="s">
        <v>3532</v>
      </c>
      <c r="P1177" t="s">
        <v>1697</v>
      </c>
      <c r="S1177" t="s">
        <v>6298</v>
      </c>
      <c r="T1177">
        <v>4</v>
      </c>
      <c r="U1177" t="s">
        <v>56</v>
      </c>
      <c r="V1177" t="s">
        <v>56</v>
      </c>
    </row>
    <row r="1178" spans="1:22" x14ac:dyDescent="0.3">
      <c r="A1178" s="49">
        <v>45316</v>
      </c>
      <c r="B1178" t="s">
        <v>606</v>
      </c>
      <c r="E1178" t="s">
        <v>3190</v>
      </c>
      <c r="G1178" t="s">
        <v>840</v>
      </c>
      <c r="H1178" t="s">
        <v>28</v>
      </c>
      <c r="I1178" t="s">
        <v>5551</v>
      </c>
      <c r="J1178" t="s">
        <v>63</v>
      </c>
      <c r="K1178" t="s">
        <v>197</v>
      </c>
      <c r="M1178">
        <v>90</v>
      </c>
      <c r="N1178" t="s">
        <v>49</v>
      </c>
      <c r="O1178" t="s">
        <v>3533</v>
      </c>
      <c r="P1178" t="s">
        <v>1697</v>
      </c>
      <c r="S1178" t="s">
        <v>6299</v>
      </c>
      <c r="T1178">
        <v>4</v>
      </c>
      <c r="U1178" t="s">
        <v>56</v>
      </c>
      <c r="V1178" t="s">
        <v>56</v>
      </c>
    </row>
    <row r="1179" spans="1:22" x14ac:dyDescent="0.3">
      <c r="A1179" s="49">
        <v>45316</v>
      </c>
      <c r="B1179" t="s">
        <v>606</v>
      </c>
      <c r="E1179" t="s">
        <v>3191</v>
      </c>
      <c r="G1179" t="s">
        <v>5100</v>
      </c>
      <c r="H1179" t="s">
        <v>28</v>
      </c>
      <c r="I1179" t="s">
        <v>5552</v>
      </c>
      <c r="J1179" t="s">
        <v>63</v>
      </c>
      <c r="K1179" t="s">
        <v>211</v>
      </c>
      <c r="M1179">
        <v>100</v>
      </c>
      <c r="N1179" t="s">
        <v>49</v>
      </c>
      <c r="O1179" t="s">
        <v>3534</v>
      </c>
      <c r="P1179" t="s">
        <v>306</v>
      </c>
      <c r="S1179" t="s">
        <v>6300</v>
      </c>
      <c r="T1179">
        <v>4</v>
      </c>
      <c r="U1179" t="s">
        <v>56</v>
      </c>
      <c r="V1179" t="s">
        <v>56</v>
      </c>
    </row>
    <row r="1180" spans="1:22" x14ac:dyDescent="0.3">
      <c r="A1180" s="49">
        <v>45316</v>
      </c>
      <c r="B1180" t="s">
        <v>606</v>
      </c>
      <c r="E1180" t="s">
        <v>3124</v>
      </c>
      <c r="G1180" t="s">
        <v>5101</v>
      </c>
      <c r="H1180" t="s">
        <v>89</v>
      </c>
      <c r="J1180" t="s">
        <v>63</v>
      </c>
      <c r="K1180" t="s">
        <v>4929</v>
      </c>
      <c r="M1180">
        <v>100</v>
      </c>
      <c r="N1180" t="s">
        <v>49</v>
      </c>
      <c r="O1180" t="s">
        <v>3535</v>
      </c>
      <c r="P1180" t="s">
        <v>416</v>
      </c>
      <c r="S1180" t="s">
        <v>6301</v>
      </c>
      <c r="T1180">
        <v>6</v>
      </c>
      <c r="U1180" t="s">
        <v>40</v>
      </c>
      <c r="V1180" t="s">
        <v>41</v>
      </c>
    </row>
    <row r="1181" spans="1:22" x14ac:dyDescent="0.3">
      <c r="A1181" s="49">
        <v>45316</v>
      </c>
      <c r="B1181" t="s">
        <v>606</v>
      </c>
      <c r="E1181" t="s">
        <v>3124</v>
      </c>
      <c r="G1181" t="s">
        <v>5073</v>
      </c>
      <c r="H1181" t="s">
        <v>89</v>
      </c>
      <c r="J1181" t="s">
        <v>46</v>
      </c>
      <c r="K1181" t="s">
        <v>422</v>
      </c>
      <c r="M1181">
        <v>15</v>
      </c>
      <c r="N1181" t="s">
        <v>33</v>
      </c>
      <c r="O1181" t="s">
        <v>3536</v>
      </c>
      <c r="P1181" t="s">
        <v>873</v>
      </c>
      <c r="S1181" t="s">
        <v>6302</v>
      </c>
      <c r="T1181">
        <v>5</v>
      </c>
      <c r="U1181" t="s">
        <v>40</v>
      </c>
      <c r="V1181" t="s">
        <v>41</v>
      </c>
    </row>
    <row r="1182" spans="1:22" x14ac:dyDescent="0.3">
      <c r="A1182" s="49">
        <v>45316</v>
      </c>
      <c r="B1182" t="s">
        <v>2199</v>
      </c>
      <c r="E1182" t="s">
        <v>3125</v>
      </c>
      <c r="G1182" t="s">
        <v>5102</v>
      </c>
      <c r="H1182" t="s">
        <v>28</v>
      </c>
      <c r="I1182" t="s">
        <v>5553</v>
      </c>
      <c r="J1182" t="s">
        <v>63</v>
      </c>
      <c r="K1182" t="s">
        <v>414</v>
      </c>
      <c r="M1182">
        <v>1</v>
      </c>
      <c r="N1182" t="s">
        <v>49</v>
      </c>
      <c r="O1182" t="s">
        <v>3537</v>
      </c>
      <c r="P1182" t="s">
        <v>287</v>
      </c>
      <c r="S1182" t="s">
        <v>6303</v>
      </c>
      <c r="T1182">
        <v>4</v>
      </c>
      <c r="U1182" t="s">
        <v>56</v>
      </c>
      <c r="V1182" t="s">
        <v>56</v>
      </c>
    </row>
    <row r="1183" spans="1:22" x14ac:dyDescent="0.3">
      <c r="A1183" s="49">
        <v>45316</v>
      </c>
      <c r="B1183" t="s">
        <v>606</v>
      </c>
      <c r="E1183" t="s">
        <v>3125</v>
      </c>
      <c r="G1183" t="s">
        <v>5076</v>
      </c>
      <c r="H1183" t="s">
        <v>3245</v>
      </c>
      <c r="J1183" t="s">
        <v>63</v>
      </c>
      <c r="K1183" t="s">
        <v>414</v>
      </c>
      <c r="M1183">
        <v>100</v>
      </c>
      <c r="N1183" t="s">
        <v>49</v>
      </c>
      <c r="O1183" t="s">
        <v>3538</v>
      </c>
      <c r="P1183" t="s">
        <v>100</v>
      </c>
      <c r="S1183" t="s">
        <v>6304</v>
      </c>
      <c r="T1183">
        <v>4</v>
      </c>
      <c r="U1183" t="s">
        <v>56</v>
      </c>
      <c r="V1183" t="s">
        <v>56</v>
      </c>
    </row>
    <row r="1184" spans="1:22" x14ac:dyDescent="0.3">
      <c r="A1184" s="49">
        <v>45316</v>
      </c>
      <c r="B1184" t="s">
        <v>606</v>
      </c>
      <c r="E1184" t="s">
        <v>3125</v>
      </c>
      <c r="G1184" t="s">
        <v>5039</v>
      </c>
      <c r="H1184" t="s">
        <v>28</v>
      </c>
      <c r="I1184" t="s">
        <v>5554</v>
      </c>
      <c r="J1184" t="s">
        <v>63</v>
      </c>
      <c r="K1184" t="s">
        <v>414</v>
      </c>
      <c r="M1184">
        <v>100</v>
      </c>
      <c r="N1184" t="s">
        <v>49</v>
      </c>
      <c r="O1184" t="s">
        <v>3539</v>
      </c>
      <c r="P1184" t="s">
        <v>306</v>
      </c>
      <c r="S1184" t="s">
        <v>6305</v>
      </c>
      <c r="T1184">
        <v>4</v>
      </c>
      <c r="U1184" t="s">
        <v>56</v>
      </c>
      <c r="V1184" t="s">
        <v>56</v>
      </c>
    </row>
    <row r="1185" spans="1:22" x14ac:dyDescent="0.3">
      <c r="A1185" s="49">
        <v>45316</v>
      </c>
      <c r="B1185" t="s">
        <v>606</v>
      </c>
      <c r="E1185" t="s">
        <v>3125</v>
      </c>
      <c r="G1185" t="s">
        <v>5103</v>
      </c>
      <c r="H1185" t="s">
        <v>28</v>
      </c>
      <c r="I1185" t="s">
        <v>5555</v>
      </c>
      <c r="J1185" t="s">
        <v>63</v>
      </c>
      <c r="K1185" t="s">
        <v>64</v>
      </c>
      <c r="M1185">
        <v>50</v>
      </c>
      <c r="N1185" t="s">
        <v>49</v>
      </c>
      <c r="O1185" t="s">
        <v>3540</v>
      </c>
      <c r="P1185" t="s">
        <v>163</v>
      </c>
      <c r="S1185" t="s">
        <v>6306</v>
      </c>
      <c r="T1185">
        <v>4</v>
      </c>
      <c r="U1185" t="s">
        <v>56</v>
      </c>
      <c r="V1185" t="s">
        <v>56</v>
      </c>
    </row>
    <row r="1186" spans="1:22" x14ac:dyDescent="0.3">
      <c r="A1186" s="49">
        <v>45316</v>
      </c>
      <c r="B1186" t="s">
        <v>606</v>
      </c>
      <c r="E1186" t="s">
        <v>3160</v>
      </c>
      <c r="G1186" t="s">
        <v>5039</v>
      </c>
      <c r="H1186" t="s">
        <v>89</v>
      </c>
      <c r="J1186" t="s">
        <v>63</v>
      </c>
      <c r="K1186" t="s">
        <v>4934</v>
      </c>
      <c r="M1186">
        <v>92</v>
      </c>
      <c r="N1186" t="s">
        <v>49</v>
      </c>
      <c r="O1186" t="s">
        <v>3541</v>
      </c>
      <c r="P1186" t="s">
        <v>344</v>
      </c>
      <c r="S1186" t="s">
        <v>6307</v>
      </c>
      <c r="T1186">
        <v>4</v>
      </c>
      <c r="U1186" t="s">
        <v>56</v>
      </c>
      <c r="V1186" t="s">
        <v>56</v>
      </c>
    </row>
    <row r="1187" spans="1:22" x14ac:dyDescent="0.3">
      <c r="A1187" s="49">
        <v>45316</v>
      </c>
      <c r="B1187" t="s">
        <v>606</v>
      </c>
      <c r="E1187" t="s">
        <v>3192</v>
      </c>
      <c r="G1187" t="s">
        <v>5104</v>
      </c>
      <c r="H1187" t="s">
        <v>28</v>
      </c>
      <c r="I1187" t="s">
        <v>5556</v>
      </c>
      <c r="J1187" t="s">
        <v>63</v>
      </c>
      <c r="K1187" t="s">
        <v>64</v>
      </c>
      <c r="M1187">
        <v>90</v>
      </c>
      <c r="N1187" t="s">
        <v>33</v>
      </c>
      <c r="O1187" t="s">
        <v>3542</v>
      </c>
      <c r="P1187" t="s">
        <v>743</v>
      </c>
      <c r="S1187" t="s">
        <v>6308</v>
      </c>
      <c r="T1187">
        <v>3</v>
      </c>
      <c r="U1187" t="s">
        <v>1763</v>
      </c>
      <c r="V1187" t="s">
        <v>56</v>
      </c>
    </row>
    <row r="1188" spans="1:22" x14ac:dyDescent="0.3">
      <c r="A1188" s="49">
        <v>45316</v>
      </c>
      <c r="B1188" t="s">
        <v>606</v>
      </c>
      <c r="E1188" t="s">
        <v>3192</v>
      </c>
      <c r="G1188" t="s">
        <v>5104</v>
      </c>
      <c r="H1188" t="s">
        <v>28</v>
      </c>
      <c r="I1188" t="s">
        <v>5556</v>
      </c>
      <c r="J1188" t="s">
        <v>63</v>
      </c>
      <c r="K1188" t="s">
        <v>64</v>
      </c>
      <c r="M1188">
        <v>90</v>
      </c>
      <c r="N1188" t="s">
        <v>33</v>
      </c>
      <c r="O1188" t="s">
        <v>3542</v>
      </c>
      <c r="P1188" t="s">
        <v>743</v>
      </c>
      <c r="S1188" t="s">
        <v>6308</v>
      </c>
      <c r="T1188">
        <v>3</v>
      </c>
      <c r="U1188" t="s">
        <v>1763</v>
      </c>
      <c r="V1188" t="s">
        <v>56</v>
      </c>
    </row>
    <row r="1189" spans="1:22" x14ac:dyDescent="0.3">
      <c r="A1189" s="49">
        <v>45316</v>
      </c>
      <c r="B1189" t="s">
        <v>606</v>
      </c>
      <c r="E1189" t="s">
        <v>3192</v>
      </c>
      <c r="G1189" t="s">
        <v>5104</v>
      </c>
      <c r="H1189" t="s">
        <v>28</v>
      </c>
      <c r="I1189" t="s">
        <v>5556</v>
      </c>
      <c r="J1189" t="s">
        <v>63</v>
      </c>
      <c r="K1189" t="s">
        <v>64</v>
      </c>
      <c r="M1189">
        <v>90</v>
      </c>
      <c r="N1189" t="s">
        <v>49</v>
      </c>
      <c r="O1189" t="s">
        <v>3542</v>
      </c>
      <c r="P1189" t="s">
        <v>743</v>
      </c>
      <c r="S1189" t="s">
        <v>6308</v>
      </c>
      <c r="T1189">
        <v>3</v>
      </c>
      <c r="U1189" t="s">
        <v>1763</v>
      </c>
      <c r="V1189" t="s">
        <v>56</v>
      </c>
    </row>
    <row r="1190" spans="1:22" x14ac:dyDescent="0.3">
      <c r="A1190" s="49">
        <v>45316</v>
      </c>
      <c r="B1190" t="s">
        <v>606</v>
      </c>
      <c r="E1190" t="s">
        <v>3161</v>
      </c>
      <c r="G1190" t="s">
        <v>5041</v>
      </c>
      <c r="H1190" t="s">
        <v>28</v>
      </c>
      <c r="I1190" t="s">
        <v>5469</v>
      </c>
      <c r="J1190" t="s">
        <v>63</v>
      </c>
      <c r="K1190" t="s">
        <v>64</v>
      </c>
      <c r="M1190">
        <v>100</v>
      </c>
      <c r="N1190" t="s">
        <v>49</v>
      </c>
      <c r="O1190" t="s">
        <v>3543</v>
      </c>
      <c r="P1190" t="s">
        <v>35</v>
      </c>
      <c r="S1190" t="s">
        <v>6166</v>
      </c>
      <c r="T1190">
        <v>4</v>
      </c>
      <c r="U1190" t="s">
        <v>56</v>
      </c>
      <c r="V1190" t="s">
        <v>56</v>
      </c>
    </row>
    <row r="1191" spans="1:22" x14ac:dyDescent="0.3">
      <c r="A1191" s="49">
        <v>45316</v>
      </c>
      <c r="B1191" t="s">
        <v>2199</v>
      </c>
      <c r="E1191" t="s">
        <v>2909</v>
      </c>
      <c r="G1191" t="s">
        <v>5105</v>
      </c>
      <c r="H1191" t="s">
        <v>28</v>
      </c>
      <c r="I1191" t="s">
        <v>5557</v>
      </c>
      <c r="J1191" t="s">
        <v>63</v>
      </c>
      <c r="K1191" t="s">
        <v>445</v>
      </c>
      <c r="M1191">
        <v>0</v>
      </c>
      <c r="N1191" t="s">
        <v>49</v>
      </c>
      <c r="O1191" t="s">
        <v>3544</v>
      </c>
      <c r="P1191" t="s">
        <v>66</v>
      </c>
      <c r="S1191" t="s">
        <v>6309</v>
      </c>
      <c r="T1191">
        <v>4</v>
      </c>
      <c r="U1191" t="s">
        <v>56</v>
      </c>
      <c r="V1191" t="s">
        <v>56</v>
      </c>
    </row>
    <row r="1192" spans="1:22" x14ac:dyDescent="0.3">
      <c r="A1192" s="49">
        <v>45316</v>
      </c>
      <c r="B1192" t="s">
        <v>606</v>
      </c>
      <c r="E1192" t="s">
        <v>2909</v>
      </c>
      <c r="G1192" t="s">
        <v>5106</v>
      </c>
      <c r="H1192" t="s">
        <v>28</v>
      </c>
      <c r="J1192" t="s">
        <v>30</v>
      </c>
      <c r="K1192" t="s">
        <v>4935</v>
      </c>
      <c r="M1192">
        <v>100</v>
      </c>
      <c r="N1192" t="s">
        <v>74</v>
      </c>
      <c r="O1192" t="s">
        <v>3545</v>
      </c>
      <c r="P1192" t="s">
        <v>829</v>
      </c>
      <c r="S1192" t="s">
        <v>6310</v>
      </c>
      <c r="T1192">
        <v>4</v>
      </c>
      <c r="U1192" t="s">
        <v>56</v>
      </c>
      <c r="V1192" t="s">
        <v>56</v>
      </c>
    </row>
    <row r="1193" spans="1:22" x14ac:dyDescent="0.3">
      <c r="A1193" s="49">
        <v>45316</v>
      </c>
      <c r="B1193" t="s">
        <v>2199</v>
      </c>
      <c r="E1193" t="s">
        <v>3128</v>
      </c>
      <c r="G1193" t="s">
        <v>5079</v>
      </c>
      <c r="H1193" t="s">
        <v>28</v>
      </c>
      <c r="I1193" t="s">
        <v>5558</v>
      </c>
      <c r="J1193" t="s">
        <v>63</v>
      </c>
      <c r="K1193" t="s">
        <v>64</v>
      </c>
      <c r="M1193">
        <v>0</v>
      </c>
      <c r="N1193" t="s">
        <v>49</v>
      </c>
      <c r="O1193" t="s">
        <v>3546</v>
      </c>
      <c r="P1193" t="s">
        <v>1159</v>
      </c>
      <c r="S1193" t="s">
        <v>6311</v>
      </c>
      <c r="T1193">
        <v>4</v>
      </c>
      <c r="U1193" t="s">
        <v>56</v>
      </c>
      <c r="V1193" t="s">
        <v>56</v>
      </c>
    </row>
    <row r="1194" spans="1:22" x14ac:dyDescent="0.3">
      <c r="A1194" s="49">
        <v>45316</v>
      </c>
      <c r="B1194" t="s">
        <v>606</v>
      </c>
      <c r="E1194" t="s">
        <v>3128</v>
      </c>
      <c r="G1194" t="s">
        <v>5079</v>
      </c>
      <c r="H1194" t="s">
        <v>28</v>
      </c>
      <c r="I1194" t="s">
        <v>5559</v>
      </c>
      <c r="J1194" t="s">
        <v>63</v>
      </c>
      <c r="K1194" t="s">
        <v>414</v>
      </c>
      <c r="M1194">
        <v>50</v>
      </c>
      <c r="N1194" t="s">
        <v>74</v>
      </c>
      <c r="O1194" t="s">
        <v>3547</v>
      </c>
      <c r="P1194" t="s">
        <v>1159</v>
      </c>
      <c r="S1194" t="s">
        <v>6312</v>
      </c>
      <c r="T1194">
        <v>4</v>
      </c>
      <c r="U1194" t="s">
        <v>56</v>
      </c>
      <c r="V1194" t="s">
        <v>56</v>
      </c>
    </row>
    <row r="1195" spans="1:22" x14ac:dyDescent="0.3">
      <c r="A1195" s="49">
        <v>45316</v>
      </c>
      <c r="B1195" t="s">
        <v>606</v>
      </c>
      <c r="E1195" t="s">
        <v>3128</v>
      </c>
      <c r="G1195" t="s">
        <v>5079</v>
      </c>
      <c r="H1195" t="s">
        <v>28</v>
      </c>
      <c r="I1195" t="s">
        <v>5559</v>
      </c>
      <c r="J1195" t="s">
        <v>63</v>
      </c>
      <c r="K1195" t="s">
        <v>414</v>
      </c>
      <c r="M1195">
        <v>50</v>
      </c>
      <c r="N1195" t="s">
        <v>74</v>
      </c>
      <c r="O1195" t="s">
        <v>3548</v>
      </c>
      <c r="P1195" t="s">
        <v>66</v>
      </c>
      <c r="S1195" t="s">
        <v>6312</v>
      </c>
      <c r="T1195">
        <v>4</v>
      </c>
      <c r="U1195" t="s">
        <v>56</v>
      </c>
      <c r="V1195" t="s">
        <v>56</v>
      </c>
    </row>
    <row r="1196" spans="1:22" x14ac:dyDescent="0.3">
      <c r="A1196" s="49">
        <v>45316</v>
      </c>
      <c r="B1196" t="s">
        <v>606</v>
      </c>
      <c r="E1196" t="s">
        <v>3193</v>
      </c>
      <c r="G1196" t="s">
        <v>5107</v>
      </c>
      <c r="H1196" t="s">
        <v>28</v>
      </c>
      <c r="I1196" t="s">
        <v>5560</v>
      </c>
      <c r="J1196" t="s">
        <v>46</v>
      </c>
      <c r="K1196" t="s">
        <v>422</v>
      </c>
      <c r="M1196">
        <v>100</v>
      </c>
      <c r="N1196" t="s">
        <v>49</v>
      </c>
      <c r="O1196" t="s">
        <v>3549</v>
      </c>
      <c r="P1196" t="s">
        <v>1697</v>
      </c>
      <c r="S1196" t="s">
        <v>6313</v>
      </c>
      <c r="T1196">
        <v>4</v>
      </c>
      <c r="U1196" t="s">
        <v>56</v>
      </c>
      <c r="V1196" t="s">
        <v>56</v>
      </c>
    </row>
    <row r="1197" spans="1:22" x14ac:dyDescent="0.3">
      <c r="A1197" s="49">
        <v>45316</v>
      </c>
      <c r="B1197" t="s">
        <v>606</v>
      </c>
      <c r="E1197" t="s">
        <v>3130</v>
      </c>
      <c r="G1197" t="s">
        <v>4998</v>
      </c>
      <c r="H1197" t="s">
        <v>28</v>
      </c>
      <c r="I1197" t="s">
        <v>5561</v>
      </c>
      <c r="J1197" t="s">
        <v>63</v>
      </c>
      <c r="K1197" t="s">
        <v>414</v>
      </c>
      <c r="M1197">
        <v>100</v>
      </c>
      <c r="N1197" t="s">
        <v>49</v>
      </c>
      <c r="O1197" t="s">
        <v>3550</v>
      </c>
      <c r="P1197" t="s">
        <v>1878</v>
      </c>
      <c r="S1197" t="s">
        <v>6314</v>
      </c>
      <c r="T1197">
        <v>4</v>
      </c>
      <c r="U1197" t="s">
        <v>56</v>
      </c>
      <c r="V1197" t="s">
        <v>56</v>
      </c>
    </row>
    <row r="1198" spans="1:22" x14ac:dyDescent="0.3">
      <c r="A1198" s="49">
        <v>45316</v>
      </c>
      <c r="B1198" t="s">
        <v>606</v>
      </c>
      <c r="E1198" t="s">
        <v>3131</v>
      </c>
      <c r="G1198" t="s">
        <v>4999</v>
      </c>
      <c r="H1198" t="s">
        <v>89</v>
      </c>
      <c r="J1198" t="s">
        <v>46</v>
      </c>
      <c r="K1198" t="s">
        <v>481</v>
      </c>
      <c r="M1198">
        <v>20</v>
      </c>
      <c r="N1198" t="s">
        <v>33</v>
      </c>
      <c r="O1198" t="s">
        <v>3551</v>
      </c>
      <c r="P1198" t="s">
        <v>1701</v>
      </c>
      <c r="S1198" t="s">
        <v>6103</v>
      </c>
      <c r="T1198">
        <v>6</v>
      </c>
      <c r="U1198" t="s">
        <v>40</v>
      </c>
      <c r="V1198" t="s">
        <v>41</v>
      </c>
    </row>
    <row r="1199" spans="1:22" x14ac:dyDescent="0.3">
      <c r="A1199" s="49">
        <v>45316</v>
      </c>
      <c r="B1199" t="s">
        <v>2199</v>
      </c>
      <c r="E1199" t="s">
        <v>3131</v>
      </c>
      <c r="G1199" t="s">
        <v>5108</v>
      </c>
      <c r="H1199" t="s">
        <v>89</v>
      </c>
      <c r="J1199" t="s">
        <v>63</v>
      </c>
      <c r="K1199" t="s">
        <v>414</v>
      </c>
      <c r="M1199">
        <v>0</v>
      </c>
      <c r="N1199" t="s">
        <v>33</v>
      </c>
      <c r="O1199" t="s">
        <v>3552</v>
      </c>
      <c r="P1199" t="s">
        <v>35</v>
      </c>
      <c r="S1199" t="s">
        <v>6315</v>
      </c>
      <c r="T1199">
        <v>6</v>
      </c>
      <c r="U1199" t="s">
        <v>40</v>
      </c>
      <c r="V1199" t="s">
        <v>41</v>
      </c>
    </row>
    <row r="1200" spans="1:22" x14ac:dyDescent="0.3">
      <c r="A1200" s="49">
        <v>45316</v>
      </c>
      <c r="B1200" t="s">
        <v>2199</v>
      </c>
      <c r="E1200" t="s">
        <v>3194</v>
      </c>
      <c r="G1200" t="s">
        <v>5109</v>
      </c>
      <c r="H1200" t="s">
        <v>28</v>
      </c>
      <c r="I1200" t="s">
        <v>5562</v>
      </c>
      <c r="J1200" t="s">
        <v>30</v>
      </c>
      <c r="K1200" t="s">
        <v>4936</v>
      </c>
      <c r="M1200">
        <v>0.66000002622604403</v>
      </c>
      <c r="N1200" t="s">
        <v>49</v>
      </c>
      <c r="O1200" t="s">
        <v>3553</v>
      </c>
      <c r="P1200" t="s">
        <v>381</v>
      </c>
      <c r="S1200" t="s">
        <v>6316</v>
      </c>
      <c r="T1200">
        <v>6</v>
      </c>
      <c r="U1200" t="s">
        <v>40</v>
      </c>
      <c r="V1200" t="s">
        <v>41</v>
      </c>
    </row>
    <row r="1201" spans="1:22" x14ac:dyDescent="0.3">
      <c r="A1201" s="49">
        <v>45316</v>
      </c>
      <c r="B1201" t="s">
        <v>606</v>
      </c>
      <c r="E1201" t="s">
        <v>3194</v>
      </c>
      <c r="G1201" t="s">
        <v>5110</v>
      </c>
      <c r="H1201" t="s">
        <v>28</v>
      </c>
      <c r="I1201" t="s">
        <v>5563</v>
      </c>
      <c r="J1201" t="s">
        <v>46</v>
      </c>
      <c r="K1201" t="s">
        <v>880</v>
      </c>
      <c r="M1201">
        <v>3</v>
      </c>
      <c r="N1201" t="s">
        <v>33</v>
      </c>
      <c r="O1201" t="s">
        <v>3554</v>
      </c>
      <c r="P1201" t="s">
        <v>163</v>
      </c>
      <c r="S1201" t="s">
        <v>6317</v>
      </c>
      <c r="T1201">
        <v>6</v>
      </c>
      <c r="U1201" t="s">
        <v>40</v>
      </c>
      <c r="V1201" t="s">
        <v>41</v>
      </c>
    </row>
    <row r="1202" spans="1:22" x14ac:dyDescent="0.3">
      <c r="A1202" s="49">
        <v>45316</v>
      </c>
      <c r="B1202" t="s">
        <v>2199</v>
      </c>
      <c r="E1202" t="s">
        <v>3132</v>
      </c>
      <c r="G1202" t="s">
        <v>940</v>
      </c>
      <c r="H1202" t="s">
        <v>89</v>
      </c>
      <c r="J1202" t="s">
        <v>63</v>
      </c>
      <c r="K1202" t="s">
        <v>414</v>
      </c>
      <c r="M1202">
        <v>0.30000001192092901</v>
      </c>
      <c r="N1202" t="s">
        <v>49</v>
      </c>
      <c r="O1202" t="s">
        <v>3555</v>
      </c>
      <c r="P1202" t="s">
        <v>4864</v>
      </c>
      <c r="S1202" t="s">
        <v>6318</v>
      </c>
      <c r="T1202">
        <v>4</v>
      </c>
      <c r="U1202" t="s">
        <v>56</v>
      </c>
      <c r="V1202" t="s">
        <v>56</v>
      </c>
    </row>
    <row r="1203" spans="1:22" x14ac:dyDescent="0.3">
      <c r="A1203" s="49">
        <v>45316</v>
      </c>
      <c r="B1203" t="s">
        <v>606</v>
      </c>
      <c r="E1203" t="s">
        <v>3132</v>
      </c>
      <c r="G1203" t="s">
        <v>5003</v>
      </c>
      <c r="H1203" t="s">
        <v>28</v>
      </c>
      <c r="I1203" t="s">
        <v>5564</v>
      </c>
      <c r="J1203" t="s">
        <v>63</v>
      </c>
      <c r="K1203" t="s">
        <v>414</v>
      </c>
      <c r="M1203">
        <v>100</v>
      </c>
      <c r="N1203" t="s">
        <v>74</v>
      </c>
      <c r="O1203" t="s">
        <v>3556</v>
      </c>
      <c r="P1203" t="s">
        <v>170</v>
      </c>
      <c r="S1203" t="s">
        <v>6319</v>
      </c>
      <c r="T1203">
        <v>6</v>
      </c>
      <c r="U1203" t="s">
        <v>40</v>
      </c>
      <c r="V1203" t="s">
        <v>41</v>
      </c>
    </row>
    <row r="1204" spans="1:22" x14ac:dyDescent="0.3">
      <c r="A1204" s="49">
        <v>45316</v>
      </c>
      <c r="B1204" t="s">
        <v>606</v>
      </c>
      <c r="E1204" t="s">
        <v>3132</v>
      </c>
      <c r="G1204" t="s">
        <v>5002</v>
      </c>
      <c r="H1204" t="s">
        <v>28</v>
      </c>
      <c r="I1204" t="s">
        <v>1795</v>
      </c>
      <c r="J1204" t="s">
        <v>63</v>
      </c>
      <c r="K1204" t="s">
        <v>414</v>
      </c>
      <c r="M1204">
        <v>50</v>
      </c>
      <c r="N1204" t="s">
        <v>49</v>
      </c>
      <c r="O1204" t="s">
        <v>3557</v>
      </c>
      <c r="P1204" t="s">
        <v>170</v>
      </c>
      <c r="S1204" t="s">
        <v>6113</v>
      </c>
      <c r="T1204">
        <v>4</v>
      </c>
      <c r="U1204" t="s">
        <v>56</v>
      </c>
      <c r="V1204" t="s">
        <v>56</v>
      </c>
    </row>
    <row r="1205" spans="1:22" x14ac:dyDescent="0.3">
      <c r="A1205" s="49">
        <v>45316</v>
      </c>
      <c r="B1205" t="s">
        <v>606</v>
      </c>
      <c r="E1205" t="s">
        <v>3195</v>
      </c>
      <c r="G1205" t="s">
        <v>5111</v>
      </c>
      <c r="H1205" t="s">
        <v>28</v>
      </c>
      <c r="I1205" t="s">
        <v>954</v>
      </c>
      <c r="J1205" t="s">
        <v>63</v>
      </c>
      <c r="K1205" t="s">
        <v>414</v>
      </c>
      <c r="M1205">
        <v>100</v>
      </c>
      <c r="N1205" t="s">
        <v>74</v>
      </c>
      <c r="O1205" t="s">
        <v>3558</v>
      </c>
      <c r="P1205" t="s">
        <v>1697</v>
      </c>
      <c r="S1205" t="s">
        <v>6320</v>
      </c>
      <c r="T1205">
        <v>4</v>
      </c>
      <c r="U1205" t="s">
        <v>56</v>
      </c>
      <c r="V1205" t="s">
        <v>56</v>
      </c>
    </row>
    <row r="1206" spans="1:22" x14ac:dyDescent="0.3">
      <c r="A1206" s="49">
        <v>45275</v>
      </c>
      <c r="E1206" t="s">
        <v>3196</v>
      </c>
      <c r="G1206" t="s">
        <v>5112</v>
      </c>
      <c r="H1206" t="s">
        <v>28</v>
      </c>
      <c r="I1206" t="s">
        <v>5565</v>
      </c>
      <c r="J1206" t="s">
        <v>46</v>
      </c>
      <c r="K1206" t="s">
        <v>481</v>
      </c>
      <c r="M1206">
        <v>90</v>
      </c>
      <c r="N1206" t="s">
        <v>33</v>
      </c>
      <c r="O1206" t="s">
        <v>3559</v>
      </c>
      <c r="P1206" t="s">
        <v>1159</v>
      </c>
      <c r="T1206">
        <v>6</v>
      </c>
      <c r="U1206" t="s">
        <v>40</v>
      </c>
      <c r="V1206" t="s">
        <v>41</v>
      </c>
    </row>
    <row r="1207" spans="1:22" x14ac:dyDescent="0.3">
      <c r="A1207" s="49">
        <v>45275</v>
      </c>
      <c r="E1207" t="s">
        <v>3196</v>
      </c>
      <c r="G1207" t="s">
        <v>5113</v>
      </c>
      <c r="H1207" t="s">
        <v>89</v>
      </c>
      <c r="J1207" t="s">
        <v>46</v>
      </c>
      <c r="K1207" t="s">
        <v>4937</v>
      </c>
      <c r="M1207">
        <v>100</v>
      </c>
      <c r="N1207" t="s">
        <v>33</v>
      </c>
      <c r="O1207" t="s">
        <v>3560</v>
      </c>
      <c r="P1207" t="s">
        <v>4865</v>
      </c>
      <c r="T1207">
        <v>6</v>
      </c>
      <c r="U1207" t="s">
        <v>40</v>
      </c>
      <c r="V1207" t="s">
        <v>41</v>
      </c>
    </row>
    <row r="1208" spans="1:22" x14ac:dyDescent="0.3">
      <c r="A1208" s="49">
        <v>45275</v>
      </c>
      <c r="E1208" t="s">
        <v>3196</v>
      </c>
      <c r="G1208" t="s">
        <v>5113</v>
      </c>
      <c r="H1208" t="s">
        <v>28</v>
      </c>
      <c r="I1208" t="s">
        <v>5566</v>
      </c>
      <c r="J1208" t="s">
        <v>46</v>
      </c>
      <c r="K1208" t="s">
        <v>4937</v>
      </c>
      <c r="M1208">
        <v>50</v>
      </c>
      <c r="N1208" t="s">
        <v>33</v>
      </c>
      <c r="O1208" t="s">
        <v>3561</v>
      </c>
      <c r="P1208" t="s">
        <v>344</v>
      </c>
      <c r="T1208">
        <v>6</v>
      </c>
      <c r="U1208" t="s">
        <v>40</v>
      </c>
      <c r="V1208" t="s">
        <v>41</v>
      </c>
    </row>
    <row r="1209" spans="1:22" x14ac:dyDescent="0.3">
      <c r="A1209" s="49">
        <v>45275</v>
      </c>
      <c r="E1209" t="s">
        <v>3104</v>
      </c>
      <c r="G1209" t="s">
        <v>5114</v>
      </c>
      <c r="H1209" t="s">
        <v>28</v>
      </c>
      <c r="I1209" t="s">
        <v>5567</v>
      </c>
      <c r="J1209" t="s">
        <v>63</v>
      </c>
      <c r="K1209" t="s">
        <v>64</v>
      </c>
      <c r="M1209">
        <v>100</v>
      </c>
      <c r="N1209" t="s">
        <v>33</v>
      </c>
      <c r="O1209" t="s">
        <v>3562</v>
      </c>
      <c r="P1209" t="s">
        <v>829</v>
      </c>
      <c r="T1209">
        <v>4</v>
      </c>
      <c r="U1209" t="s">
        <v>56</v>
      </c>
      <c r="V1209" t="s">
        <v>56</v>
      </c>
    </row>
    <row r="1210" spans="1:22" x14ac:dyDescent="0.3">
      <c r="A1210" s="49">
        <v>45275</v>
      </c>
      <c r="E1210" t="s">
        <v>3104</v>
      </c>
      <c r="G1210" t="s">
        <v>5115</v>
      </c>
      <c r="H1210" t="s">
        <v>28</v>
      </c>
      <c r="I1210" t="s">
        <v>5568</v>
      </c>
      <c r="J1210" t="s">
        <v>46</v>
      </c>
      <c r="K1210" t="s">
        <v>422</v>
      </c>
      <c r="M1210">
        <v>25</v>
      </c>
      <c r="N1210" t="s">
        <v>33</v>
      </c>
      <c r="O1210" t="s">
        <v>3563</v>
      </c>
      <c r="P1210" t="s">
        <v>4832</v>
      </c>
      <c r="T1210">
        <v>6</v>
      </c>
      <c r="U1210" t="s">
        <v>40</v>
      </c>
      <c r="V1210" t="s">
        <v>41</v>
      </c>
    </row>
    <row r="1211" spans="1:22" x14ac:dyDescent="0.3">
      <c r="A1211" s="49">
        <v>45275</v>
      </c>
      <c r="E1211" t="s">
        <v>3104</v>
      </c>
      <c r="G1211" t="s">
        <v>5115</v>
      </c>
      <c r="H1211" t="s">
        <v>28</v>
      </c>
      <c r="J1211" t="s">
        <v>46</v>
      </c>
      <c r="K1211" t="s">
        <v>422</v>
      </c>
      <c r="M1211">
        <v>100</v>
      </c>
      <c r="N1211" t="s">
        <v>33</v>
      </c>
      <c r="O1211" t="s">
        <v>3564</v>
      </c>
      <c r="P1211" t="s">
        <v>4866</v>
      </c>
      <c r="T1211">
        <v>6</v>
      </c>
      <c r="U1211" t="s">
        <v>40</v>
      </c>
      <c r="V1211" t="s">
        <v>41</v>
      </c>
    </row>
    <row r="1212" spans="1:22" x14ac:dyDescent="0.3">
      <c r="A1212" s="49">
        <v>45275</v>
      </c>
      <c r="E1212" t="s">
        <v>3104</v>
      </c>
      <c r="G1212" t="s">
        <v>5085</v>
      </c>
      <c r="H1212" t="s">
        <v>28</v>
      </c>
      <c r="I1212" t="s">
        <v>5569</v>
      </c>
      <c r="J1212" t="s">
        <v>46</v>
      </c>
      <c r="K1212" t="s">
        <v>31</v>
      </c>
      <c r="M1212">
        <v>90</v>
      </c>
      <c r="N1212" t="s">
        <v>33</v>
      </c>
      <c r="O1212" t="s">
        <v>3565</v>
      </c>
      <c r="P1212" t="s">
        <v>1727</v>
      </c>
      <c r="T1212">
        <v>6</v>
      </c>
      <c r="U1212" t="s">
        <v>40</v>
      </c>
      <c r="V1212" t="s">
        <v>41</v>
      </c>
    </row>
    <row r="1213" spans="1:22" x14ac:dyDescent="0.3">
      <c r="A1213" s="49">
        <v>45275</v>
      </c>
      <c r="E1213" t="s">
        <v>3104</v>
      </c>
      <c r="G1213" t="s">
        <v>5085</v>
      </c>
      <c r="H1213" t="s">
        <v>28</v>
      </c>
      <c r="I1213" t="s">
        <v>5569</v>
      </c>
      <c r="J1213" t="s">
        <v>46</v>
      </c>
      <c r="K1213" t="s">
        <v>31</v>
      </c>
      <c r="M1213">
        <v>75</v>
      </c>
      <c r="N1213" t="s">
        <v>33</v>
      </c>
      <c r="O1213" t="s">
        <v>3566</v>
      </c>
      <c r="P1213" t="s">
        <v>35</v>
      </c>
      <c r="T1213">
        <v>6</v>
      </c>
      <c r="U1213" t="s">
        <v>40</v>
      </c>
      <c r="V1213" t="s">
        <v>41</v>
      </c>
    </row>
    <row r="1214" spans="1:22" x14ac:dyDescent="0.3">
      <c r="A1214" s="49">
        <v>45275</v>
      </c>
      <c r="E1214" t="s">
        <v>3104</v>
      </c>
      <c r="G1214" t="s">
        <v>5085</v>
      </c>
      <c r="H1214" t="s">
        <v>28</v>
      </c>
      <c r="I1214" t="s">
        <v>5569</v>
      </c>
      <c r="J1214" t="s">
        <v>46</v>
      </c>
      <c r="K1214" t="s">
        <v>31</v>
      </c>
      <c r="M1214">
        <v>80</v>
      </c>
      <c r="N1214" t="s">
        <v>33</v>
      </c>
      <c r="O1214" t="s">
        <v>3567</v>
      </c>
      <c r="P1214" t="s">
        <v>1122</v>
      </c>
      <c r="T1214">
        <v>6</v>
      </c>
      <c r="U1214" t="s">
        <v>40</v>
      </c>
      <c r="V1214" t="s">
        <v>41</v>
      </c>
    </row>
    <row r="1215" spans="1:22" x14ac:dyDescent="0.3">
      <c r="A1215" s="49">
        <v>45275</v>
      </c>
      <c r="E1215" t="s">
        <v>3104</v>
      </c>
      <c r="G1215" t="s">
        <v>5116</v>
      </c>
      <c r="H1215" t="s">
        <v>3245</v>
      </c>
      <c r="I1215" t="s">
        <v>5570</v>
      </c>
      <c r="J1215" t="s">
        <v>30</v>
      </c>
      <c r="K1215" t="s">
        <v>422</v>
      </c>
      <c r="M1215">
        <v>10</v>
      </c>
      <c r="N1215" t="s">
        <v>49</v>
      </c>
      <c r="O1215" t="s">
        <v>3568</v>
      </c>
      <c r="P1215" t="s">
        <v>170</v>
      </c>
      <c r="T1215">
        <v>6</v>
      </c>
      <c r="U1215" t="s">
        <v>40</v>
      </c>
      <c r="V1215" t="s">
        <v>41</v>
      </c>
    </row>
    <row r="1216" spans="1:22" x14ac:dyDescent="0.3">
      <c r="A1216" s="49">
        <v>45275</v>
      </c>
      <c r="E1216" t="s">
        <v>3104</v>
      </c>
      <c r="G1216" t="s">
        <v>5117</v>
      </c>
      <c r="H1216" t="s">
        <v>28</v>
      </c>
      <c r="I1216" t="s">
        <v>5571</v>
      </c>
      <c r="J1216" t="s">
        <v>46</v>
      </c>
      <c r="K1216" t="s">
        <v>422</v>
      </c>
      <c r="M1216">
        <v>25</v>
      </c>
      <c r="N1216" t="s">
        <v>33</v>
      </c>
      <c r="O1216" t="s">
        <v>3569</v>
      </c>
      <c r="P1216" t="s">
        <v>1356</v>
      </c>
      <c r="T1216">
        <v>6</v>
      </c>
      <c r="U1216" t="s">
        <v>40</v>
      </c>
      <c r="V1216" t="s">
        <v>41</v>
      </c>
    </row>
    <row r="1217" spans="1:22" x14ac:dyDescent="0.3">
      <c r="A1217" s="49">
        <v>45275</v>
      </c>
      <c r="E1217" t="s">
        <v>3104</v>
      </c>
      <c r="G1217" t="s">
        <v>5117</v>
      </c>
      <c r="H1217" t="s">
        <v>89</v>
      </c>
      <c r="J1217" t="s">
        <v>46</v>
      </c>
      <c r="K1217" t="s">
        <v>422</v>
      </c>
      <c r="M1217">
        <v>90</v>
      </c>
      <c r="N1217" t="s">
        <v>33</v>
      </c>
      <c r="O1217" t="s">
        <v>3570</v>
      </c>
      <c r="P1217" t="s">
        <v>4867</v>
      </c>
      <c r="T1217">
        <v>6</v>
      </c>
      <c r="U1217" t="s">
        <v>40</v>
      </c>
      <c r="V1217" t="s">
        <v>41</v>
      </c>
    </row>
    <row r="1218" spans="1:22" x14ac:dyDescent="0.3">
      <c r="A1218" s="49">
        <v>45275</v>
      </c>
      <c r="E1218" t="s">
        <v>3104</v>
      </c>
      <c r="G1218" t="s">
        <v>5117</v>
      </c>
      <c r="H1218" t="s">
        <v>28</v>
      </c>
      <c r="J1218" t="s">
        <v>46</v>
      </c>
      <c r="K1218" t="s">
        <v>422</v>
      </c>
      <c r="M1218">
        <v>100</v>
      </c>
      <c r="N1218" t="s">
        <v>33</v>
      </c>
      <c r="O1218" t="s">
        <v>3571</v>
      </c>
      <c r="P1218" t="s">
        <v>4868</v>
      </c>
      <c r="T1218">
        <v>6</v>
      </c>
      <c r="U1218" t="s">
        <v>40</v>
      </c>
      <c r="V1218" t="s">
        <v>41</v>
      </c>
    </row>
    <row r="1219" spans="1:22" x14ac:dyDescent="0.3">
      <c r="A1219" s="49">
        <v>45275</v>
      </c>
      <c r="E1219" t="s">
        <v>3105</v>
      </c>
      <c r="G1219" t="s">
        <v>5052</v>
      </c>
      <c r="H1219" t="s">
        <v>89</v>
      </c>
      <c r="J1219" t="s">
        <v>63</v>
      </c>
      <c r="K1219" t="s">
        <v>64</v>
      </c>
      <c r="M1219">
        <v>75</v>
      </c>
      <c r="N1219" t="s">
        <v>49</v>
      </c>
      <c r="O1219" t="s">
        <v>3572</v>
      </c>
      <c r="P1219" t="s">
        <v>170</v>
      </c>
      <c r="T1219">
        <v>4</v>
      </c>
      <c r="U1219" t="s">
        <v>56</v>
      </c>
      <c r="V1219" t="s">
        <v>56</v>
      </c>
    </row>
    <row r="1220" spans="1:22" x14ac:dyDescent="0.3">
      <c r="A1220" s="49">
        <v>45275</v>
      </c>
      <c r="E1220" t="s">
        <v>3105</v>
      </c>
      <c r="G1220" t="s">
        <v>4963</v>
      </c>
      <c r="H1220" t="s">
        <v>28</v>
      </c>
      <c r="I1220" t="s">
        <v>5572</v>
      </c>
      <c r="J1220" t="s">
        <v>63</v>
      </c>
      <c r="K1220" t="s">
        <v>197</v>
      </c>
      <c r="M1220">
        <v>100</v>
      </c>
      <c r="N1220" t="s">
        <v>49</v>
      </c>
      <c r="O1220" t="s">
        <v>3573</v>
      </c>
      <c r="P1220" t="s">
        <v>287</v>
      </c>
      <c r="T1220">
        <v>4</v>
      </c>
      <c r="U1220" t="s">
        <v>56</v>
      </c>
      <c r="V1220" t="s">
        <v>56</v>
      </c>
    </row>
    <row r="1221" spans="1:22" x14ac:dyDescent="0.3">
      <c r="A1221" s="49">
        <v>45275</v>
      </c>
      <c r="E1221" t="s">
        <v>3105</v>
      </c>
      <c r="G1221" t="s">
        <v>5052</v>
      </c>
      <c r="H1221" t="s">
        <v>89</v>
      </c>
      <c r="J1221" t="s">
        <v>63</v>
      </c>
      <c r="K1221" t="s">
        <v>1235</v>
      </c>
      <c r="M1221">
        <v>60</v>
      </c>
      <c r="N1221" t="s">
        <v>33</v>
      </c>
      <c r="O1221" t="s">
        <v>3574</v>
      </c>
      <c r="P1221" t="s">
        <v>668</v>
      </c>
      <c r="T1221">
        <v>6</v>
      </c>
      <c r="U1221" t="s">
        <v>40</v>
      </c>
      <c r="V1221" t="s">
        <v>41</v>
      </c>
    </row>
    <row r="1222" spans="1:22" x14ac:dyDescent="0.3">
      <c r="A1222" s="49">
        <v>45275</v>
      </c>
      <c r="E1222" t="s">
        <v>3105</v>
      </c>
      <c r="G1222" t="s">
        <v>4963</v>
      </c>
      <c r="H1222" t="s">
        <v>28</v>
      </c>
      <c r="I1222" t="s">
        <v>5480</v>
      </c>
      <c r="J1222" t="s">
        <v>63</v>
      </c>
      <c r="K1222" t="s">
        <v>197</v>
      </c>
      <c r="M1222">
        <v>100</v>
      </c>
      <c r="N1222" t="s">
        <v>49</v>
      </c>
      <c r="O1222" t="s">
        <v>3575</v>
      </c>
      <c r="P1222" t="s">
        <v>743</v>
      </c>
      <c r="T1222">
        <v>4</v>
      </c>
      <c r="U1222" t="s">
        <v>56</v>
      </c>
      <c r="V1222" t="s">
        <v>56</v>
      </c>
    </row>
    <row r="1223" spans="1:22" x14ac:dyDescent="0.3">
      <c r="A1223" s="49">
        <v>45275</v>
      </c>
      <c r="E1223" t="s">
        <v>3105</v>
      </c>
      <c r="G1223" t="s">
        <v>4963</v>
      </c>
      <c r="H1223" t="s">
        <v>28</v>
      </c>
      <c r="I1223" t="s">
        <v>5573</v>
      </c>
      <c r="J1223" t="s">
        <v>63</v>
      </c>
      <c r="K1223" t="s">
        <v>197</v>
      </c>
      <c r="M1223">
        <v>4</v>
      </c>
      <c r="N1223" t="s">
        <v>33</v>
      </c>
      <c r="O1223" t="s">
        <v>3576</v>
      </c>
      <c r="P1223" t="s">
        <v>1727</v>
      </c>
      <c r="T1223">
        <v>4</v>
      </c>
      <c r="U1223" t="s">
        <v>56</v>
      </c>
      <c r="V1223" t="s">
        <v>56</v>
      </c>
    </row>
    <row r="1224" spans="1:22" x14ac:dyDescent="0.3">
      <c r="A1224" s="49">
        <v>45275</v>
      </c>
      <c r="E1224" t="s">
        <v>3105</v>
      </c>
      <c r="G1224" t="s">
        <v>4963</v>
      </c>
      <c r="H1224" t="s">
        <v>28</v>
      </c>
      <c r="I1224" t="s">
        <v>5572</v>
      </c>
      <c r="J1224" t="s">
        <v>63</v>
      </c>
      <c r="K1224" t="s">
        <v>64</v>
      </c>
      <c r="M1224">
        <v>100</v>
      </c>
      <c r="N1224" t="s">
        <v>49</v>
      </c>
      <c r="O1224" t="s">
        <v>3577</v>
      </c>
      <c r="P1224" t="s">
        <v>829</v>
      </c>
      <c r="T1224">
        <v>4</v>
      </c>
      <c r="U1224" t="s">
        <v>56</v>
      </c>
      <c r="V1224" t="s">
        <v>56</v>
      </c>
    </row>
    <row r="1225" spans="1:22" x14ac:dyDescent="0.3">
      <c r="A1225" s="49">
        <v>45275</v>
      </c>
      <c r="E1225" t="s">
        <v>3105</v>
      </c>
      <c r="G1225" t="s">
        <v>5118</v>
      </c>
      <c r="H1225" t="s">
        <v>89</v>
      </c>
      <c r="J1225" t="s">
        <v>63</v>
      </c>
      <c r="K1225" t="s">
        <v>64</v>
      </c>
      <c r="M1225">
        <v>100</v>
      </c>
      <c r="N1225" t="s">
        <v>33</v>
      </c>
      <c r="O1225" t="s">
        <v>3578</v>
      </c>
      <c r="P1225" t="s">
        <v>1586</v>
      </c>
      <c r="T1225">
        <v>4</v>
      </c>
      <c r="U1225" t="s">
        <v>56</v>
      </c>
      <c r="V1225" t="s">
        <v>56</v>
      </c>
    </row>
    <row r="1226" spans="1:22" x14ac:dyDescent="0.3">
      <c r="A1226" s="49">
        <v>45275</v>
      </c>
      <c r="E1226" t="s">
        <v>3105</v>
      </c>
      <c r="G1226" t="s">
        <v>5119</v>
      </c>
      <c r="H1226" t="s">
        <v>28</v>
      </c>
      <c r="I1226" t="s">
        <v>5574</v>
      </c>
      <c r="J1226" t="s">
        <v>63</v>
      </c>
      <c r="K1226" t="s">
        <v>197</v>
      </c>
      <c r="M1226">
        <v>100</v>
      </c>
      <c r="N1226" t="s">
        <v>49</v>
      </c>
      <c r="O1226" t="s">
        <v>3579</v>
      </c>
      <c r="P1226" t="s">
        <v>4869</v>
      </c>
      <c r="T1226">
        <v>4</v>
      </c>
      <c r="U1226" t="s">
        <v>56</v>
      </c>
      <c r="V1226" t="s">
        <v>56</v>
      </c>
    </row>
    <row r="1227" spans="1:22" x14ac:dyDescent="0.3">
      <c r="A1227" s="49">
        <v>45275</v>
      </c>
      <c r="E1227" t="s">
        <v>3105</v>
      </c>
      <c r="G1227" t="s">
        <v>4963</v>
      </c>
      <c r="H1227" t="s">
        <v>28</v>
      </c>
      <c r="I1227" t="s">
        <v>5480</v>
      </c>
      <c r="J1227" t="s">
        <v>63</v>
      </c>
      <c r="K1227" t="s">
        <v>197</v>
      </c>
      <c r="M1227">
        <v>50</v>
      </c>
      <c r="N1227" t="s">
        <v>49</v>
      </c>
      <c r="O1227" t="s">
        <v>3580</v>
      </c>
      <c r="P1227" t="s">
        <v>2645</v>
      </c>
      <c r="T1227">
        <v>4</v>
      </c>
      <c r="U1227" t="s">
        <v>56</v>
      </c>
      <c r="V1227" t="s">
        <v>56</v>
      </c>
    </row>
    <row r="1228" spans="1:22" x14ac:dyDescent="0.3">
      <c r="A1228" s="49">
        <v>45275</v>
      </c>
      <c r="E1228" t="s">
        <v>2799</v>
      </c>
      <c r="G1228" t="s">
        <v>5120</v>
      </c>
      <c r="H1228" t="s">
        <v>28</v>
      </c>
      <c r="I1228" t="s">
        <v>5575</v>
      </c>
      <c r="J1228" t="s">
        <v>63</v>
      </c>
      <c r="K1228" t="s">
        <v>64</v>
      </c>
      <c r="M1228">
        <v>100</v>
      </c>
      <c r="N1228" t="s">
        <v>49</v>
      </c>
      <c r="O1228" t="s">
        <v>3581</v>
      </c>
      <c r="P1228" t="s">
        <v>170</v>
      </c>
      <c r="T1228">
        <v>4</v>
      </c>
      <c r="U1228" t="s">
        <v>56</v>
      </c>
      <c r="V1228" t="s">
        <v>56</v>
      </c>
    </row>
    <row r="1229" spans="1:22" x14ac:dyDescent="0.3">
      <c r="A1229" s="49">
        <v>45275</v>
      </c>
      <c r="E1229" t="s">
        <v>2799</v>
      </c>
      <c r="G1229" t="s">
        <v>1254</v>
      </c>
      <c r="H1229" t="s">
        <v>89</v>
      </c>
      <c r="J1229" t="s">
        <v>63</v>
      </c>
      <c r="K1229" t="s">
        <v>64</v>
      </c>
      <c r="M1229">
        <v>0</v>
      </c>
      <c r="N1229" t="s">
        <v>74</v>
      </c>
      <c r="O1229" t="s">
        <v>3582</v>
      </c>
      <c r="P1229" t="s">
        <v>1697</v>
      </c>
      <c r="T1229">
        <v>4</v>
      </c>
      <c r="U1229" t="s">
        <v>56</v>
      </c>
      <c r="V1229" t="s">
        <v>56</v>
      </c>
    </row>
    <row r="1230" spans="1:22" x14ac:dyDescent="0.3">
      <c r="A1230" s="49">
        <v>45275</v>
      </c>
      <c r="E1230" t="s">
        <v>2799</v>
      </c>
      <c r="G1230" t="s">
        <v>4964</v>
      </c>
      <c r="H1230" t="s">
        <v>28</v>
      </c>
      <c r="I1230" t="s">
        <v>5576</v>
      </c>
      <c r="J1230" t="s">
        <v>63</v>
      </c>
      <c r="K1230" t="s">
        <v>422</v>
      </c>
      <c r="M1230">
        <v>50</v>
      </c>
      <c r="N1230" t="s">
        <v>49</v>
      </c>
      <c r="O1230" t="s">
        <v>3583</v>
      </c>
      <c r="P1230" t="s">
        <v>4832</v>
      </c>
      <c r="T1230">
        <v>4</v>
      </c>
      <c r="U1230" t="s">
        <v>56</v>
      </c>
      <c r="V1230" t="s">
        <v>56</v>
      </c>
    </row>
    <row r="1231" spans="1:22" x14ac:dyDescent="0.3">
      <c r="A1231" s="49">
        <v>45275</v>
      </c>
      <c r="E1231" t="s">
        <v>2799</v>
      </c>
      <c r="G1231" t="s">
        <v>5121</v>
      </c>
      <c r="H1231" t="s">
        <v>28</v>
      </c>
      <c r="I1231" t="s">
        <v>5577</v>
      </c>
      <c r="J1231" t="s">
        <v>63</v>
      </c>
      <c r="K1231" t="s">
        <v>197</v>
      </c>
      <c r="M1231">
        <v>90</v>
      </c>
      <c r="N1231" t="s">
        <v>49</v>
      </c>
      <c r="O1231" t="s">
        <v>3584</v>
      </c>
      <c r="P1231" t="s">
        <v>344</v>
      </c>
      <c r="T1231">
        <v>4</v>
      </c>
      <c r="U1231" t="s">
        <v>56</v>
      </c>
      <c r="V1231" t="s">
        <v>56</v>
      </c>
    </row>
    <row r="1232" spans="1:22" x14ac:dyDescent="0.3">
      <c r="A1232" s="49">
        <v>45275</v>
      </c>
      <c r="E1232" t="s">
        <v>2799</v>
      </c>
      <c r="G1232" t="s">
        <v>5122</v>
      </c>
      <c r="H1232" t="s">
        <v>28</v>
      </c>
      <c r="I1232" t="s">
        <v>5578</v>
      </c>
      <c r="J1232" t="s">
        <v>63</v>
      </c>
      <c r="K1232" t="s">
        <v>211</v>
      </c>
      <c r="M1232">
        <v>40</v>
      </c>
      <c r="N1232" t="s">
        <v>33</v>
      </c>
      <c r="O1232" t="s">
        <v>3585</v>
      </c>
      <c r="P1232" t="s">
        <v>66</v>
      </c>
      <c r="T1232">
        <v>4</v>
      </c>
      <c r="U1232" t="s">
        <v>56</v>
      </c>
      <c r="V1232" t="s">
        <v>56</v>
      </c>
    </row>
    <row r="1233" spans="1:22" x14ac:dyDescent="0.3">
      <c r="A1233" s="49">
        <v>45275</v>
      </c>
      <c r="E1233" t="s">
        <v>3183</v>
      </c>
      <c r="G1233" t="s">
        <v>5053</v>
      </c>
      <c r="H1233" t="s">
        <v>28</v>
      </c>
      <c r="I1233" t="s">
        <v>5579</v>
      </c>
      <c r="J1233" t="s">
        <v>63</v>
      </c>
      <c r="K1233" t="s">
        <v>64</v>
      </c>
      <c r="M1233">
        <v>20</v>
      </c>
      <c r="N1233" t="s">
        <v>33</v>
      </c>
      <c r="O1233" t="s">
        <v>3586</v>
      </c>
      <c r="P1233" t="s">
        <v>1786</v>
      </c>
      <c r="T1233">
        <v>6</v>
      </c>
      <c r="U1233" t="s">
        <v>40</v>
      </c>
      <c r="V1233" t="s">
        <v>41</v>
      </c>
    </row>
    <row r="1234" spans="1:22" x14ac:dyDescent="0.3">
      <c r="A1234" s="49">
        <v>45275</v>
      </c>
      <c r="E1234" t="s">
        <v>3183</v>
      </c>
      <c r="G1234" t="s">
        <v>663</v>
      </c>
      <c r="H1234" t="s">
        <v>89</v>
      </c>
      <c r="J1234" t="s">
        <v>63</v>
      </c>
      <c r="K1234" t="s">
        <v>64</v>
      </c>
      <c r="M1234">
        <v>50</v>
      </c>
      <c r="N1234" t="s">
        <v>33</v>
      </c>
      <c r="O1234" t="s">
        <v>3587</v>
      </c>
      <c r="P1234" t="s">
        <v>4866</v>
      </c>
      <c r="T1234">
        <v>4</v>
      </c>
      <c r="U1234" t="s">
        <v>56</v>
      </c>
      <c r="V1234" t="s">
        <v>56</v>
      </c>
    </row>
    <row r="1235" spans="1:22" x14ac:dyDescent="0.3">
      <c r="A1235" s="49">
        <v>45275</v>
      </c>
      <c r="E1235" t="s">
        <v>3183</v>
      </c>
      <c r="G1235" t="s">
        <v>663</v>
      </c>
      <c r="H1235" t="s">
        <v>28</v>
      </c>
      <c r="I1235" t="s">
        <v>674</v>
      </c>
      <c r="J1235" t="s">
        <v>46</v>
      </c>
      <c r="K1235" t="s">
        <v>481</v>
      </c>
      <c r="M1235">
        <v>75</v>
      </c>
      <c r="N1235" t="s">
        <v>33</v>
      </c>
      <c r="O1235" t="s">
        <v>3588</v>
      </c>
      <c r="P1235" t="s">
        <v>4834</v>
      </c>
      <c r="T1235">
        <v>4</v>
      </c>
      <c r="U1235" t="s">
        <v>56</v>
      </c>
      <c r="V1235" t="s">
        <v>56</v>
      </c>
    </row>
    <row r="1236" spans="1:22" x14ac:dyDescent="0.3">
      <c r="A1236" s="49">
        <v>45275</v>
      </c>
      <c r="E1236" t="s">
        <v>3183</v>
      </c>
      <c r="G1236" t="s">
        <v>663</v>
      </c>
      <c r="H1236" t="s">
        <v>89</v>
      </c>
      <c r="J1236" t="s">
        <v>63</v>
      </c>
      <c r="K1236" t="s">
        <v>64</v>
      </c>
      <c r="M1236">
        <v>40</v>
      </c>
      <c r="N1236" t="s">
        <v>49</v>
      </c>
      <c r="O1236" t="s">
        <v>3589</v>
      </c>
      <c r="P1236" t="s">
        <v>791</v>
      </c>
      <c r="T1236">
        <v>6</v>
      </c>
      <c r="U1236" t="s">
        <v>40</v>
      </c>
      <c r="V1236" t="s">
        <v>41</v>
      </c>
    </row>
    <row r="1237" spans="1:22" x14ac:dyDescent="0.3">
      <c r="A1237" s="49">
        <v>45275</v>
      </c>
      <c r="E1237" t="s">
        <v>3183</v>
      </c>
      <c r="G1237" t="s">
        <v>663</v>
      </c>
      <c r="H1237" t="s">
        <v>28</v>
      </c>
      <c r="I1237" t="s">
        <v>5580</v>
      </c>
      <c r="J1237" t="s">
        <v>63</v>
      </c>
      <c r="K1237" t="s">
        <v>64</v>
      </c>
      <c r="M1237">
        <v>70</v>
      </c>
      <c r="N1237" t="s">
        <v>49</v>
      </c>
      <c r="O1237" t="s">
        <v>3590</v>
      </c>
      <c r="P1237" t="s">
        <v>287</v>
      </c>
      <c r="T1237">
        <v>6</v>
      </c>
      <c r="U1237" t="s">
        <v>40</v>
      </c>
      <c r="V1237" t="s">
        <v>41</v>
      </c>
    </row>
    <row r="1238" spans="1:22" x14ac:dyDescent="0.3">
      <c r="A1238" s="49">
        <v>45275</v>
      </c>
      <c r="E1238" t="s">
        <v>3183</v>
      </c>
      <c r="G1238" t="s">
        <v>663</v>
      </c>
      <c r="H1238" t="s">
        <v>28</v>
      </c>
      <c r="I1238" t="s">
        <v>5482</v>
      </c>
      <c r="J1238" t="s">
        <v>63</v>
      </c>
      <c r="K1238" t="s">
        <v>64</v>
      </c>
      <c r="M1238">
        <v>30</v>
      </c>
      <c r="N1238" t="s">
        <v>49</v>
      </c>
      <c r="O1238" t="s">
        <v>3409</v>
      </c>
      <c r="P1238" t="s">
        <v>829</v>
      </c>
      <c r="T1238">
        <v>6</v>
      </c>
      <c r="U1238" t="s">
        <v>40</v>
      </c>
      <c r="V1238" t="s">
        <v>41</v>
      </c>
    </row>
    <row r="1239" spans="1:22" x14ac:dyDescent="0.3">
      <c r="A1239" s="49">
        <v>45275</v>
      </c>
      <c r="E1239" t="s">
        <v>3183</v>
      </c>
      <c r="G1239" t="s">
        <v>5053</v>
      </c>
      <c r="H1239" t="s">
        <v>28</v>
      </c>
      <c r="I1239" t="s">
        <v>5579</v>
      </c>
      <c r="J1239" t="s">
        <v>63</v>
      </c>
      <c r="K1239" t="s">
        <v>64</v>
      </c>
      <c r="M1239">
        <v>80</v>
      </c>
      <c r="N1239" t="s">
        <v>33</v>
      </c>
      <c r="O1239" t="s">
        <v>3591</v>
      </c>
      <c r="P1239" t="s">
        <v>108</v>
      </c>
      <c r="T1239">
        <v>6</v>
      </c>
      <c r="U1239" t="s">
        <v>40</v>
      </c>
      <c r="V1239" t="s">
        <v>41</v>
      </c>
    </row>
    <row r="1240" spans="1:22" x14ac:dyDescent="0.3">
      <c r="A1240" s="49">
        <v>45275</v>
      </c>
      <c r="E1240" t="s">
        <v>3183</v>
      </c>
      <c r="G1240" t="s">
        <v>5123</v>
      </c>
      <c r="H1240" t="s">
        <v>28</v>
      </c>
      <c r="I1240" t="s">
        <v>5581</v>
      </c>
      <c r="J1240" t="s">
        <v>63</v>
      </c>
      <c r="K1240" t="s">
        <v>64</v>
      </c>
      <c r="M1240">
        <v>90</v>
      </c>
      <c r="N1240" t="s">
        <v>49</v>
      </c>
      <c r="O1240" t="s">
        <v>3592</v>
      </c>
      <c r="P1240" t="s">
        <v>4832</v>
      </c>
      <c r="T1240">
        <v>4</v>
      </c>
      <c r="U1240" t="s">
        <v>56</v>
      </c>
      <c r="V1240" t="s">
        <v>56</v>
      </c>
    </row>
    <row r="1241" spans="1:22" x14ac:dyDescent="0.3">
      <c r="A1241" s="49">
        <v>45275</v>
      </c>
      <c r="E1241" t="s">
        <v>3183</v>
      </c>
      <c r="G1241" t="s">
        <v>5124</v>
      </c>
      <c r="H1241" t="s">
        <v>3245</v>
      </c>
      <c r="I1241" t="s">
        <v>5582</v>
      </c>
      <c r="J1241" t="s">
        <v>1712</v>
      </c>
      <c r="K1241" t="s">
        <v>481</v>
      </c>
      <c r="M1241">
        <v>80</v>
      </c>
      <c r="N1241" t="s">
        <v>49</v>
      </c>
      <c r="O1241" t="s">
        <v>3593</v>
      </c>
      <c r="P1241" t="s">
        <v>170</v>
      </c>
      <c r="T1241">
        <v>4</v>
      </c>
      <c r="U1241" t="s">
        <v>56</v>
      </c>
      <c r="V1241" t="s">
        <v>56</v>
      </c>
    </row>
    <row r="1242" spans="1:22" x14ac:dyDescent="0.3">
      <c r="A1242" s="49">
        <v>45275</v>
      </c>
      <c r="E1242" t="s">
        <v>3183</v>
      </c>
      <c r="G1242" t="s">
        <v>5125</v>
      </c>
      <c r="H1242" t="s">
        <v>28</v>
      </c>
      <c r="I1242" t="s">
        <v>5583</v>
      </c>
      <c r="J1242" t="s">
        <v>46</v>
      </c>
      <c r="K1242" t="s">
        <v>880</v>
      </c>
      <c r="M1242">
        <v>50</v>
      </c>
      <c r="N1242" t="s">
        <v>49</v>
      </c>
      <c r="O1242" t="s">
        <v>3594</v>
      </c>
      <c r="P1242" t="s">
        <v>4870</v>
      </c>
      <c r="T1242">
        <v>6</v>
      </c>
      <c r="U1242" t="s">
        <v>40</v>
      </c>
      <c r="V1242" t="s">
        <v>41</v>
      </c>
    </row>
    <row r="1243" spans="1:22" x14ac:dyDescent="0.3">
      <c r="A1243" s="49">
        <v>45275</v>
      </c>
      <c r="E1243" t="s">
        <v>3106</v>
      </c>
      <c r="G1243" t="s">
        <v>5126</v>
      </c>
      <c r="H1243" t="s">
        <v>28</v>
      </c>
      <c r="I1243" t="s">
        <v>5584</v>
      </c>
      <c r="J1243" t="s">
        <v>63</v>
      </c>
      <c r="K1243" t="s">
        <v>1235</v>
      </c>
      <c r="M1243">
        <v>50</v>
      </c>
      <c r="N1243" t="s">
        <v>49</v>
      </c>
      <c r="O1243" t="s">
        <v>3595</v>
      </c>
      <c r="P1243" t="s">
        <v>344</v>
      </c>
      <c r="T1243">
        <v>6</v>
      </c>
      <c r="U1243" t="s">
        <v>40</v>
      </c>
      <c r="V1243" t="s">
        <v>41</v>
      </c>
    </row>
    <row r="1244" spans="1:22" x14ac:dyDescent="0.3">
      <c r="A1244" s="49">
        <v>45275</v>
      </c>
      <c r="E1244" t="s">
        <v>3169</v>
      </c>
      <c r="G1244" t="s">
        <v>488</v>
      </c>
      <c r="H1244" t="s">
        <v>28</v>
      </c>
      <c r="I1244" t="s">
        <v>5484</v>
      </c>
      <c r="J1244" t="s">
        <v>63</v>
      </c>
      <c r="K1244" t="s">
        <v>64</v>
      </c>
      <c r="M1244">
        <v>100</v>
      </c>
      <c r="N1244" t="s">
        <v>49</v>
      </c>
      <c r="O1244" t="s">
        <v>3596</v>
      </c>
      <c r="P1244" t="s">
        <v>878</v>
      </c>
      <c r="T1244">
        <v>4</v>
      </c>
      <c r="U1244" t="s">
        <v>56</v>
      </c>
      <c r="V1244" t="s">
        <v>56</v>
      </c>
    </row>
    <row r="1245" spans="1:22" x14ac:dyDescent="0.3">
      <c r="A1245" s="49">
        <v>45275</v>
      </c>
      <c r="E1245" t="s">
        <v>3169</v>
      </c>
      <c r="G1245" t="s">
        <v>488</v>
      </c>
      <c r="H1245" t="s">
        <v>28</v>
      </c>
      <c r="I1245" t="s">
        <v>5585</v>
      </c>
      <c r="J1245" t="s">
        <v>46</v>
      </c>
      <c r="K1245" t="s">
        <v>481</v>
      </c>
      <c r="M1245">
        <v>80</v>
      </c>
      <c r="N1245" t="s">
        <v>33</v>
      </c>
      <c r="O1245" t="s">
        <v>3597</v>
      </c>
      <c r="P1245" t="s">
        <v>1878</v>
      </c>
      <c r="T1245">
        <v>4</v>
      </c>
      <c r="U1245" t="s">
        <v>56</v>
      </c>
      <c r="V1245" t="s">
        <v>56</v>
      </c>
    </row>
    <row r="1246" spans="1:22" x14ac:dyDescent="0.3">
      <c r="A1246" s="49">
        <v>45275</v>
      </c>
      <c r="E1246" t="s">
        <v>3169</v>
      </c>
      <c r="G1246" t="s">
        <v>488</v>
      </c>
      <c r="H1246" t="s">
        <v>28</v>
      </c>
      <c r="I1246" t="s">
        <v>5585</v>
      </c>
      <c r="J1246" t="s">
        <v>46</v>
      </c>
      <c r="K1246" t="s">
        <v>481</v>
      </c>
      <c r="M1246">
        <v>0</v>
      </c>
      <c r="N1246" t="s">
        <v>74</v>
      </c>
      <c r="O1246" t="s">
        <v>3597</v>
      </c>
      <c r="P1246" t="s">
        <v>1878</v>
      </c>
      <c r="T1246">
        <v>4</v>
      </c>
      <c r="U1246" t="s">
        <v>56</v>
      </c>
      <c r="V1246" t="s">
        <v>56</v>
      </c>
    </row>
    <row r="1247" spans="1:22" x14ac:dyDescent="0.3">
      <c r="A1247" s="49">
        <v>45275</v>
      </c>
      <c r="E1247" t="s">
        <v>3169</v>
      </c>
      <c r="G1247" t="s">
        <v>488</v>
      </c>
      <c r="H1247" t="s">
        <v>28</v>
      </c>
      <c r="I1247" t="s">
        <v>5586</v>
      </c>
      <c r="J1247" t="s">
        <v>63</v>
      </c>
      <c r="K1247" t="s">
        <v>64</v>
      </c>
      <c r="M1247">
        <v>0</v>
      </c>
      <c r="N1247" t="s">
        <v>74</v>
      </c>
      <c r="O1247" t="s">
        <v>3598</v>
      </c>
      <c r="P1247" t="s">
        <v>651</v>
      </c>
      <c r="T1247">
        <v>4</v>
      </c>
      <c r="U1247" t="s">
        <v>56</v>
      </c>
      <c r="V1247" t="s">
        <v>56</v>
      </c>
    </row>
    <row r="1248" spans="1:22" x14ac:dyDescent="0.3">
      <c r="A1248" s="49">
        <v>45275</v>
      </c>
      <c r="E1248" t="s">
        <v>3169</v>
      </c>
      <c r="G1248" t="s">
        <v>488</v>
      </c>
      <c r="H1248" t="s">
        <v>28</v>
      </c>
      <c r="I1248" t="s">
        <v>5587</v>
      </c>
      <c r="J1248" t="s">
        <v>63</v>
      </c>
      <c r="K1248" t="s">
        <v>64</v>
      </c>
      <c r="M1248">
        <v>25</v>
      </c>
      <c r="N1248" t="s">
        <v>49</v>
      </c>
      <c r="O1248" t="s">
        <v>3599</v>
      </c>
      <c r="P1248" t="s">
        <v>1508</v>
      </c>
      <c r="T1248">
        <v>4</v>
      </c>
      <c r="U1248" t="s">
        <v>56</v>
      </c>
      <c r="V1248" t="s">
        <v>56</v>
      </c>
    </row>
    <row r="1249" spans="1:22" x14ac:dyDescent="0.3">
      <c r="A1249" s="49">
        <v>45275</v>
      </c>
      <c r="E1249" t="s">
        <v>3169</v>
      </c>
      <c r="G1249" t="s">
        <v>488</v>
      </c>
      <c r="H1249" t="s">
        <v>28</v>
      </c>
      <c r="I1249" t="s">
        <v>1944</v>
      </c>
      <c r="J1249" t="s">
        <v>63</v>
      </c>
      <c r="K1249" t="s">
        <v>64</v>
      </c>
      <c r="M1249">
        <v>100</v>
      </c>
      <c r="N1249" t="s">
        <v>49</v>
      </c>
      <c r="O1249" t="s">
        <v>3600</v>
      </c>
      <c r="P1249" t="s">
        <v>691</v>
      </c>
      <c r="T1249">
        <v>4</v>
      </c>
      <c r="U1249" t="s">
        <v>56</v>
      </c>
      <c r="V1249" t="s">
        <v>56</v>
      </c>
    </row>
    <row r="1250" spans="1:22" x14ac:dyDescent="0.3">
      <c r="A1250" s="49">
        <v>45275</v>
      </c>
      <c r="E1250" t="s">
        <v>3169</v>
      </c>
      <c r="G1250" t="s">
        <v>488</v>
      </c>
      <c r="H1250" t="s">
        <v>28</v>
      </c>
      <c r="I1250" t="s">
        <v>1944</v>
      </c>
      <c r="J1250" t="s">
        <v>63</v>
      </c>
      <c r="K1250" t="s">
        <v>64</v>
      </c>
      <c r="M1250">
        <v>100</v>
      </c>
      <c r="N1250" t="s">
        <v>49</v>
      </c>
      <c r="O1250" t="s">
        <v>3600</v>
      </c>
      <c r="P1250" t="s">
        <v>691</v>
      </c>
      <c r="T1250">
        <v>4</v>
      </c>
      <c r="U1250" t="s">
        <v>56</v>
      </c>
      <c r="V1250" t="s">
        <v>56</v>
      </c>
    </row>
    <row r="1251" spans="1:22" x14ac:dyDescent="0.3">
      <c r="A1251" s="49">
        <v>45275</v>
      </c>
      <c r="E1251" t="s">
        <v>3169</v>
      </c>
      <c r="G1251" t="s">
        <v>488</v>
      </c>
      <c r="H1251" t="s">
        <v>28</v>
      </c>
      <c r="I1251" t="s">
        <v>1944</v>
      </c>
      <c r="J1251" t="s">
        <v>63</v>
      </c>
      <c r="K1251" t="s">
        <v>64</v>
      </c>
      <c r="M1251">
        <v>60</v>
      </c>
      <c r="N1251" t="s">
        <v>33</v>
      </c>
      <c r="O1251" t="s">
        <v>3600</v>
      </c>
      <c r="P1251" t="s">
        <v>691</v>
      </c>
      <c r="T1251">
        <v>4</v>
      </c>
      <c r="U1251" t="s">
        <v>56</v>
      </c>
      <c r="V1251" t="s">
        <v>56</v>
      </c>
    </row>
    <row r="1252" spans="1:22" x14ac:dyDescent="0.3">
      <c r="A1252" s="49">
        <v>45275</v>
      </c>
      <c r="E1252" t="s">
        <v>3169</v>
      </c>
      <c r="G1252" t="s">
        <v>488</v>
      </c>
      <c r="H1252" t="s">
        <v>28</v>
      </c>
      <c r="I1252" t="s">
        <v>1944</v>
      </c>
      <c r="J1252" t="s">
        <v>63</v>
      </c>
      <c r="K1252" t="s">
        <v>64</v>
      </c>
      <c r="M1252">
        <v>75</v>
      </c>
      <c r="N1252" t="s">
        <v>33</v>
      </c>
      <c r="O1252" t="s">
        <v>3600</v>
      </c>
      <c r="P1252" t="s">
        <v>691</v>
      </c>
      <c r="T1252">
        <v>4</v>
      </c>
      <c r="U1252" t="s">
        <v>56</v>
      </c>
      <c r="V1252" t="s">
        <v>56</v>
      </c>
    </row>
    <row r="1253" spans="1:22" x14ac:dyDescent="0.3">
      <c r="A1253" s="49">
        <v>45275</v>
      </c>
      <c r="E1253" t="s">
        <v>3169</v>
      </c>
      <c r="G1253" t="s">
        <v>495</v>
      </c>
      <c r="H1253" t="s">
        <v>28</v>
      </c>
      <c r="I1253" t="s">
        <v>5588</v>
      </c>
      <c r="J1253" t="s">
        <v>63</v>
      </c>
      <c r="K1253" t="s">
        <v>211</v>
      </c>
      <c r="M1253">
        <v>100</v>
      </c>
      <c r="N1253" t="s">
        <v>33</v>
      </c>
      <c r="O1253" t="s">
        <v>3601</v>
      </c>
      <c r="P1253" t="s">
        <v>267</v>
      </c>
      <c r="T1253">
        <v>4</v>
      </c>
      <c r="U1253" t="s">
        <v>56</v>
      </c>
      <c r="V1253" t="s">
        <v>56</v>
      </c>
    </row>
    <row r="1254" spans="1:22" x14ac:dyDescent="0.3">
      <c r="A1254" s="49">
        <v>45275</v>
      </c>
      <c r="E1254" t="s">
        <v>3169</v>
      </c>
      <c r="G1254" t="s">
        <v>488</v>
      </c>
      <c r="H1254" t="s">
        <v>28</v>
      </c>
      <c r="I1254" t="s">
        <v>5589</v>
      </c>
      <c r="J1254" t="s">
        <v>46</v>
      </c>
      <c r="K1254" t="s">
        <v>481</v>
      </c>
      <c r="M1254">
        <v>70</v>
      </c>
      <c r="N1254" t="s">
        <v>49</v>
      </c>
      <c r="O1254" t="s">
        <v>3602</v>
      </c>
      <c r="P1254" t="s">
        <v>1230</v>
      </c>
      <c r="T1254">
        <v>4</v>
      </c>
      <c r="U1254" t="s">
        <v>56</v>
      </c>
      <c r="V1254" t="s">
        <v>56</v>
      </c>
    </row>
    <row r="1255" spans="1:22" x14ac:dyDescent="0.3">
      <c r="A1255" s="49">
        <v>45275</v>
      </c>
      <c r="E1255" t="s">
        <v>3136</v>
      </c>
      <c r="G1255" t="s">
        <v>5010</v>
      </c>
      <c r="H1255" t="s">
        <v>28</v>
      </c>
      <c r="I1255" t="s">
        <v>5590</v>
      </c>
      <c r="J1255" t="s">
        <v>63</v>
      </c>
      <c r="K1255" t="s">
        <v>64</v>
      </c>
      <c r="M1255">
        <v>90</v>
      </c>
      <c r="N1255" t="s">
        <v>49</v>
      </c>
      <c r="O1255" t="s">
        <v>3603</v>
      </c>
      <c r="P1255" t="s">
        <v>4871</v>
      </c>
      <c r="T1255">
        <v>4</v>
      </c>
      <c r="U1255" t="s">
        <v>56</v>
      </c>
      <c r="V1255" t="s">
        <v>56</v>
      </c>
    </row>
    <row r="1256" spans="1:22" x14ac:dyDescent="0.3">
      <c r="A1256" s="49">
        <v>45275</v>
      </c>
      <c r="E1256" t="s">
        <v>3197</v>
      </c>
      <c r="G1256" t="s">
        <v>5127</v>
      </c>
      <c r="H1256" t="s">
        <v>28</v>
      </c>
      <c r="I1256" t="s">
        <v>5591</v>
      </c>
      <c r="J1256" t="s">
        <v>63</v>
      </c>
      <c r="K1256" t="s">
        <v>197</v>
      </c>
      <c r="M1256">
        <v>100</v>
      </c>
      <c r="N1256" t="s">
        <v>33</v>
      </c>
      <c r="O1256" t="s">
        <v>3604</v>
      </c>
      <c r="P1256" t="s">
        <v>2627</v>
      </c>
      <c r="T1256">
        <v>4</v>
      </c>
      <c r="U1256" t="s">
        <v>56</v>
      </c>
      <c r="V1256" t="s">
        <v>56</v>
      </c>
    </row>
    <row r="1257" spans="1:22" x14ac:dyDescent="0.3">
      <c r="A1257" s="49">
        <v>45275</v>
      </c>
      <c r="E1257" t="s">
        <v>3107</v>
      </c>
      <c r="G1257" t="s">
        <v>4971</v>
      </c>
      <c r="H1257" t="s">
        <v>89</v>
      </c>
      <c r="J1257" t="s">
        <v>63</v>
      </c>
      <c r="K1257" t="s">
        <v>197</v>
      </c>
      <c r="M1257">
        <v>90</v>
      </c>
      <c r="N1257" t="s">
        <v>49</v>
      </c>
      <c r="O1257" t="s">
        <v>3605</v>
      </c>
      <c r="P1257" t="s">
        <v>1230</v>
      </c>
      <c r="T1257">
        <v>6</v>
      </c>
      <c r="U1257" t="s">
        <v>40</v>
      </c>
      <c r="V1257" t="s">
        <v>41</v>
      </c>
    </row>
    <row r="1258" spans="1:22" x14ac:dyDescent="0.3">
      <c r="A1258" s="49">
        <v>45275</v>
      </c>
      <c r="E1258" t="s">
        <v>3107</v>
      </c>
      <c r="G1258" t="s">
        <v>4971</v>
      </c>
      <c r="H1258" t="s">
        <v>89</v>
      </c>
      <c r="J1258" t="s">
        <v>63</v>
      </c>
      <c r="K1258" t="s">
        <v>64</v>
      </c>
      <c r="M1258">
        <v>100</v>
      </c>
      <c r="N1258" t="s">
        <v>49</v>
      </c>
      <c r="O1258" t="s">
        <v>3606</v>
      </c>
      <c r="P1258" t="s">
        <v>1310</v>
      </c>
      <c r="T1258">
        <v>6</v>
      </c>
      <c r="U1258" t="s">
        <v>40</v>
      </c>
      <c r="V1258" t="s">
        <v>41</v>
      </c>
    </row>
    <row r="1259" spans="1:22" x14ac:dyDescent="0.3">
      <c r="A1259" s="49">
        <v>45275</v>
      </c>
      <c r="E1259" t="s">
        <v>3107</v>
      </c>
      <c r="G1259" t="s">
        <v>4971</v>
      </c>
      <c r="H1259" t="s">
        <v>89</v>
      </c>
      <c r="J1259" t="s">
        <v>63</v>
      </c>
      <c r="K1259" t="s">
        <v>64</v>
      </c>
      <c r="M1259">
        <v>100</v>
      </c>
      <c r="N1259" t="s">
        <v>49</v>
      </c>
      <c r="O1259" t="s">
        <v>3607</v>
      </c>
      <c r="P1259" t="s">
        <v>2703</v>
      </c>
      <c r="T1259">
        <v>6</v>
      </c>
      <c r="U1259" t="s">
        <v>40</v>
      </c>
      <c r="V1259" t="s">
        <v>41</v>
      </c>
    </row>
    <row r="1260" spans="1:22" x14ac:dyDescent="0.3">
      <c r="A1260" s="49">
        <v>45275</v>
      </c>
      <c r="E1260" t="s">
        <v>3198</v>
      </c>
      <c r="G1260" t="s">
        <v>5128</v>
      </c>
      <c r="H1260" t="s">
        <v>28</v>
      </c>
      <c r="I1260" t="s">
        <v>5592</v>
      </c>
      <c r="J1260" t="s">
        <v>63</v>
      </c>
      <c r="K1260" t="s">
        <v>64</v>
      </c>
      <c r="M1260">
        <v>100</v>
      </c>
      <c r="N1260" t="s">
        <v>49</v>
      </c>
      <c r="O1260" t="s">
        <v>3608</v>
      </c>
      <c r="P1260" t="s">
        <v>170</v>
      </c>
      <c r="T1260">
        <v>6</v>
      </c>
      <c r="U1260" t="s">
        <v>40</v>
      </c>
      <c r="V1260" t="s">
        <v>41</v>
      </c>
    </row>
    <row r="1261" spans="1:22" x14ac:dyDescent="0.3">
      <c r="A1261" s="49">
        <v>45275</v>
      </c>
      <c r="E1261" t="s">
        <v>3198</v>
      </c>
      <c r="G1261" t="s">
        <v>5128</v>
      </c>
      <c r="H1261" t="s">
        <v>28</v>
      </c>
      <c r="I1261" t="s">
        <v>5592</v>
      </c>
      <c r="J1261" t="s">
        <v>63</v>
      </c>
      <c r="K1261" t="s">
        <v>64</v>
      </c>
      <c r="M1261">
        <v>100</v>
      </c>
      <c r="N1261" t="s">
        <v>49</v>
      </c>
      <c r="O1261" t="s">
        <v>3608</v>
      </c>
      <c r="P1261" t="s">
        <v>170</v>
      </c>
      <c r="T1261">
        <v>6</v>
      </c>
      <c r="U1261" t="s">
        <v>40</v>
      </c>
      <c r="V1261" t="s">
        <v>41</v>
      </c>
    </row>
    <row r="1262" spans="1:22" x14ac:dyDescent="0.3">
      <c r="A1262" s="49">
        <v>45275</v>
      </c>
      <c r="E1262" t="s">
        <v>3198</v>
      </c>
      <c r="G1262" t="s">
        <v>5128</v>
      </c>
      <c r="H1262" t="s">
        <v>28</v>
      </c>
      <c r="I1262" t="s">
        <v>5592</v>
      </c>
      <c r="J1262" t="s">
        <v>63</v>
      </c>
      <c r="K1262" t="s">
        <v>64</v>
      </c>
      <c r="M1262">
        <v>100</v>
      </c>
      <c r="N1262" t="s">
        <v>49</v>
      </c>
      <c r="O1262" t="s">
        <v>3608</v>
      </c>
      <c r="P1262" t="s">
        <v>170</v>
      </c>
      <c r="T1262">
        <v>6</v>
      </c>
      <c r="U1262" t="s">
        <v>40</v>
      </c>
      <c r="V1262" t="s">
        <v>41</v>
      </c>
    </row>
    <row r="1263" spans="1:22" x14ac:dyDescent="0.3">
      <c r="A1263" s="49">
        <v>45275</v>
      </c>
      <c r="E1263" t="s">
        <v>3198</v>
      </c>
      <c r="G1263" t="s">
        <v>5128</v>
      </c>
      <c r="H1263" t="s">
        <v>28</v>
      </c>
      <c r="I1263" t="s">
        <v>5592</v>
      </c>
      <c r="J1263" t="s">
        <v>63</v>
      </c>
      <c r="K1263" t="s">
        <v>64</v>
      </c>
      <c r="M1263">
        <v>100</v>
      </c>
      <c r="N1263" t="s">
        <v>49</v>
      </c>
      <c r="O1263" t="s">
        <v>3608</v>
      </c>
      <c r="P1263" t="s">
        <v>170</v>
      </c>
      <c r="T1263">
        <v>6</v>
      </c>
      <c r="U1263" t="s">
        <v>40</v>
      </c>
      <c r="V1263" t="s">
        <v>41</v>
      </c>
    </row>
    <row r="1264" spans="1:22" x14ac:dyDescent="0.3">
      <c r="A1264" s="49">
        <v>45275</v>
      </c>
      <c r="E1264" t="s">
        <v>3198</v>
      </c>
      <c r="G1264" t="s">
        <v>5128</v>
      </c>
      <c r="H1264" t="s">
        <v>28</v>
      </c>
      <c r="I1264" t="s">
        <v>5592</v>
      </c>
      <c r="J1264" t="s">
        <v>63</v>
      </c>
      <c r="K1264" t="s">
        <v>64</v>
      </c>
      <c r="M1264">
        <v>100</v>
      </c>
      <c r="N1264" t="s">
        <v>49</v>
      </c>
      <c r="O1264" t="s">
        <v>3609</v>
      </c>
      <c r="P1264" t="s">
        <v>170</v>
      </c>
      <c r="T1264">
        <v>6</v>
      </c>
      <c r="U1264" t="s">
        <v>40</v>
      </c>
      <c r="V1264" t="s">
        <v>41</v>
      </c>
    </row>
    <row r="1265" spans="1:22" x14ac:dyDescent="0.3">
      <c r="A1265" s="49">
        <v>45275</v>
      </c>
      <c r="E1265" t="s">
        <v>3198</v>
      </c>
      <c r="G1265" t="s">
        <v>5128</v>
      </c>
      <c r="H1265" t="s">
        <v>28</v>
      </c>
      <c r="I1265" t="s">
        <v>5593</v>
      </c>
      <c r="J1265" t="s">
        <v>63</v>
      </c>
      <c r="K1265" t="s">
        <v>4936</v>
      </c>
      <c r="M1265">
        <v>100</v>
      </c>
      <c r="N1265" t="s">
        <v>49</v>
      </c>
      <c r="O1265" t="s">
        <v>3610</v>
      </c>
      <c r="P1265" t="s">
        <v>66</v>
      </c>
      <c r="T1265">
        <v>6</v>
      </c>
      <c r="U1265" t="s">
        <v>40</v>
      </c>
      <c r="V1265" t="s">
        <v>41</v>
      </c>
    </row>
    <row r="1266" spans="1:22" x14ac:dyDescent="0.3">
      <c r="A1266" s="49">
        <v>45275</v>
      </c>
      <c r="E1266" t="s">
        <v>3170</v>
      </c>
      <c r="G1266" t="s">
        <v>5055</v>
      </c>
      <c r="H1266" t="s">
        <v>89</v>
      </c>
      <c r="J1266" t="s">
        <v>63</v>
      </c>
      <c r="K1266" t="s">
        <v>4929</v>
      </c>
      <c r="M1266">
        <v>100</v>
      </c>
      <c r="N1266" t="s">
        <v>33</v>
      </c>
      <c r="O1266" t="s">
        <v>3611</v>
      </c>
      <c r="P1266" t="s">
        <v>743</v>
      </c>
      <c r="T1266">
        <v>6</v>
      </c>
      <c r="U1266" t="s">
        <v>40</v>
      </c>
      <c r="V1266" t="s">
        <v>41</v>
      </c>
    </row>
    <row r="1267" spans="1:22" x14ac:dyDescent="0.3">
      <c r="A1267" s="49">
        <v>45275</v>
      </c>
      <c r="E1267" t="s">
        <v>3137</v>
      </c>
      <c r="G1267" t="s">
        <v>5012</v>
      </c>
      <c r="H1267" t="s">
        <v>28</v>
      </c>
      <c r="I1267" t="s">
        <v>5594</v>
      </c>
      <c r="J1267" t="s">
        <v>63</v>
      </c>
      <c r="K1267" t="s">
        <v>64</v>
      </c>
      <c r="M1267">
        <v>100</v>
      </c>
      <c r="N1267" t="s">
        <v>33</v>
      </c>
      <c r="O1267" t="s">
        <v>3612</v>
      </c>
      <c r="P1267" t="s">
        <v>1243</v>
      </c>
      <c r="T1267">
        <v>6</v>
      </c>
      <c r="U1267" t="s">
        <v>40</v>
      </c>
      <c r="V1267" t="s">
        <v>41</v>
      </c>
    </row>
    <row r="1268" spans="1:22" x14ac:dyDescent="0.3">
      <c r="A1268" s="49">
        <v>45275</v>
      </c>
      <c r="E1268" t="s">
        <v>3137</v>
      </c>
      <c r="G1268" t="s">
        <v>5012</v>
      </c>
      <c r="H1268" t="s">
        <v>28</v>
      </c>
      <c r="I1268" t="s">
        <v>5436</v>
      </c>
      <c r="J1268" t="s">
        <v>63</v>
      </c>
      <c r="K1268" t="s">
        <v>64</v>
      </c>
      <c r="M1268">
        <v>50</v>
      </c>
      <c r="N1268" t="s">
        <v>49</v>
      </c>
      <c r="O1268" t="s">
        <v>3613</v>
      </c>
      <c r="P1268" t="s">
        <v>2645</v>
      </c>
      <c r="T1268">
        <v>4</v>
      </c>
      <c r="U1268" t="s">
        <v>56</v>
      </c>
      <c r="V1268" t="s">
        <v>56</v>
      </c>
    </row>
    <row r="1269" spans="1:22" x14ac:dyDescent="0.3">
      <c r="A1269" s="49">
        <v>45275</v>
      </c>
      <c r="E1269" t="s">
        <v>3109</v>
      </c>
      <c r="G1269" t="s">
        <v>5129</v>
      </c>
      <c r="H1269" t="s">
        <v>28</v>
      </c>
      <c r="I1269" t="s">
        <v>5595</v>
      </c>
      <c r="J1269" t="s">
        <v>30</v>
      </c>
      <c r="K1269" t="s">
        <v>4938</v>
      </c>
      <c r="M1269">
        <v>0</v>
      </c>
      <c r="N1269" t="s">
        <v>74</v>
      </c>
      <c r="O1269" t="s">
        <v>3614</v>
      </c>
      <c r="P1269" t="s">
        <v>51</v>
      </c>
      <c r="T1269">
        <v>4</v>
      </c>
      <c r="U1269" t="s">
        <v>56</v>
      </c>
      <c r="V1269" t="s">
        <v>56</v>
      </c>
    </row>
    <row r="1270" spans="1:22" x14ac:dyDescent="0.3">
      <c r="A1270" s="49">
        <v>45275</v>
      </c>
      <c r="E1270" t="s">
        <v>3109</v>
      </c>
      <c r="G1270" t="s">
        <v>5129</v>
      </c>
      <c r="H1270" t="s">
        <v>28</v>
      </c>
      <c r="I1270" t="s">
        <v>5595</v>
      </c>
      <c r="J1270" t="s">
        <v>63</v>
      </c>
      <c r="K1270" t="s">
        <v>64</v>
      </c>
      <c r="M1270">
        <v>0</v>
      </c>
      <c r="N1270" t="s">
        <v>74</v>
      </c>
      <c r="O1270" t="s">
        <v>3615</v>
      </c>
      <c r="P1270" t="s">
        <v>121</v>
      </c>
      <c r="T1270">
        <v>4</v>
      </c>
      <c r="U1270" t="s">
        <v>56</v>
      </c>
      <c r="V1270" t="s">
        <v>56</v>
      </c>
    </row>
    <row r="1271" spans="1:22" x14ac:dyDescent="0.3">
      <c r="A1271" s="49">
        <v>45275</v>
      </c>
      <c r="E1271" t="s">
        <v>3109</v>
      </c>
      <c r="G1271" t="s">
        <v>919</v>
      </c>
      <c r="H1271" t="s">
        <v>28</v>
      </c>
      <c r="I1271" t="s">
        <v>5596</v>
      </c>
      <c r="J1271" t="s">
        <v>63</v>
      </c>
      <c r="K1271" t="s">
        <v>197</v>
      </c>
      <c r="M1271">
        <v>100</v>
      </c>
      <c r="N1271" t="s">
        <v>49</v>
      </c>
      <c r="O1271" t="s">
        <v>3616</v>
      </c>
      <c r="P1271" t="s">
        <v>4872</v>
      </c>
      <c r="T1271">
        <v>4</v>
      </c>
      <c r="U1271" t="s">
        <v>56</v>
      </c>
      <c r="V1271" t="s">
        <v>56</v>
      </c>
    </row>
    <row r="1272" spans="1:22" x14ac:dyDescent="0.3">
      <c r="A1272" s="49">
        <v>45275</v>
      </c>
      <c r="E1272" t="s">
        <v>3109</v>
      </c>
      <c r="G1272" t="s">
        <v>919</v>
      </c>
      <c r="H1272" t="s">
        <v>28</v>
      </c>
      <c r="I1272" t="s">
        <v>5596</v>
      </c>
      <c r="J1272" t="s">
        <v>63</v>
      </c>
      <c r="K1272" t="s">
        <v>197</v>
      </c>
      <c r="M1272">
        <v>100</v>
      </c>
      <c r="N1272" t="s">
        <v>49</v>
      </c>
      <c r="O1272" t="s">
        <v>3617</v>
      </c>
      <c r="P1272" t="s">
        <v>4873</v>
      </c>
      <c r="T1272">
        <v>4</v>
      </c>
      <c r="U1272" t="s">
        <v>56</v>
      </c>
      <c r="V1272" t="s">
        <v>56</v>
      </c>
    </row>
    <row r="1273" spans="1:22" x14ac:dyDescent="0.3">
      <c r="A1273" s="49">
        <v>45275</v>
      </c>
      <c r="E1273" t="s">
        <v>3139</v>
      </c>
      <c r="G1273" t="s">
        <v>5130</v>
      </c>
      <c r="H1273" t="s">
        <v>28</v>
      </c>
      <c r="I1273" t="s">
        <v>5597</v>
      </c>
      <c r="J1273" t="s">
        <v>63</v>
      </c>
      <c r="K1273" t="s">
        <v>64</v>
      </c>
      <c r="M1273">
        <v>100</v>
      </c>
      <c r="N1273" t="s">
        <v>49</v>
      </c>
      <c r="O1273" t="s">
        <v>3618</v>
      </c>
      <c r="P1273" t="s">
        <v>170</v>
      </c>
      <c r="T1273">
        <v>4</v>
      </c>
      <c r="U1273" t="s">
        <v>56</v>
      </c>
      <c r="V1273" t="s">
        <v>56</v>
      </c>
    </row>
    <row r="1274" spans="1:22" x14ac:dyDescent="0.3">
      <c r="A1274" s="49">
        <v>45275</v>
      </c>
      <c r="E1274" t="s">
        <v>3139</v>
      </c>
      <c r="G1274" t="s">
        <v>5015</v>
      </c>
      <c r="H1274" t="s">
        <v>28</v>
      </c>
      <c r="I1274" t="s">
        <v>5598</v>
      </c>
      <c r="J1274" t="s">
        <v>63</v>
      </c>
      <c r="K1274" t="s">
        <v>64</v>
      </c>
      <c r="M1274">
        <v>90</v>
      </c>
      <c r="N1274" t="s">
        <v>33</v>
      </c>
      <c r="O1274" t="s">
        <v>3619</v>
      </c>
      <c r="P1274" t="s">
        <v>344</v>
      </c>
      <c r="T1274">
        <v>4</v>
      </c>
      <c r="U1274" t="s">
        <v>56</v>
      </c>
      <c r="V1274" t="s">
        <v>56</v>
      </c>
    </row>
    <row r="1275" spans="1:22" x14ac:dyDescent="0.3">
      <c r="A1275" s="49">
        <v>45275</v>
      </c>
      <c r="E1275" t="s">
        <v>3139</v>
      </c>
      <c r="G1275" t="s">
        <v>90</v>
      </c>
      <c r="H1275" t="s">
        <v>28</v>
      </c>
      <c r="I1275" t="s">
        <v>5599</v>
      </c>
      <c r="J1275" t="s">
        <v>63</v>
      </c>
      <c r="K1275" t="s">
        <v>64</v>
      </c>
      <c r="M1275">
        <v>100</v>
      </c>
      <c r="N1275" t="s">
        <v>49</v>
      </c>
      <c r="O1275" t="s">
        <v>3620</v>
      </c>
      <c r="P1275" t="s">
        <v>791</v>
      </c>
      <c r="T1275">
        <v>4</v>
      </c>
      <c r="U1275" t="s">
        <v>56</v>
      </c>
      <c r="V1275" t="s">
        <v>56</v>
      </c>
    </row>
    <row r="1276" spans="1:22" x14ac:dyDescent="0.3">
      <c r="A1276" s="49">
        <v>45275</v>
      </c>
      <c r="E1276" t="s">
        <v>3139</v>
      </c>
      <c r="G1276" t="s">
        <v>90</v>
      </c>
      <c r="H1276" t="s">
        <v>28</v>
      </c>
      <c r="I1276" t="s">
        <v>5599</v>
      </c>
      <c r="J1276" t="s">
        <v>63</v>
      </c>
      <c r="K1276" t="s">
        <v>64</v>
      </c>
      <c r="M1276">
        <v>100</v>
      </c>
      <c r="N1276" t="s">
        <v>49</v>
      </c>
      <c r="O1276" t="s">
        <v>3620</v>
      </c>
      <c r="P1276" t="s">
        <v>791</v>
      </c>
      <c r="T1276">
        <v>4</v>
      </c>
      <c r="U1276" t="s">
        <v>56</v>
      </c>
      <c r="V1276" t="s">
        <v>56</v>
      </c>
    </row>
    <row r="1277" spans="1:22" x14ac:dyDescent="0.3">
      <c r="A1277" s="49">
        <v>45275</v>
      </c>
      <c r="E1277" t="s">
        <v>3139</v>
      </c>
      <c r="G1277" t="s">
        <v>90</v>
      </c>
      <c r="H1277" t="s">
        <v>28</v>
      </c>
      <c r="I1277" t="s">
        <v>5599</v>
      </c>
      <c r="J1277" t="s">
        <v>63</v>
      </c>
      <c r="K1277" t="s">
        <v>64</v>
      </c>
      <c r="M1277">
        <v>100</v>
      </c>
      <c r="N1277" t="s">
        <v>49</v>
      </c>
      <c r="O1277" t="s">
        <v>3620</v>
      </c>
      <c r="P1277" t="s">
        <v>791</v>
      </c>
      <c r="T1277">
        <v>4</v>
      </c>
      <c r="U1277" t="s">
        <v>56</v>
      </c>
      <c r="V1277" t="s">
        <v>56</v>
      </c>
    </row>
    <row r="1278" spans="1:22" x14ac:dyDescent="0.3">
      <c r="A1278" s="49">
        <v>45275</v>
      </c>
      <c r="E1278" t="s">
        <v>3139</v>
      </c>
      <c r="G1278" t="s">
        <v>5016</v>
      </c>
      <c r="H1278" t="s">
        <v>28</v>
      </c>
      <c r="I1278" t="s">
        <v>5600</v>
      </c>
      <c r="J1278" t="s">
        <v>63</v>
      </c>
      <c r="K1278" t="s">
        <v>64</v>
      </c>
      <c r="M1278">
        <v>40</v>
      </c>
      <c r="N1278" t="s">
        <v>33</v>
      </c>
      <c r="O1278" t="s">
        <v>3621</v>
      </c>
      <c r="P1278" t="s">
        <v>4834</v>
      </c>
      <c r="T1278">
        <v>4</v>
      </c>
      <c r="U1278" t="s">
        <v>56</v>
      </c>
      <c r="V1278" t="s">
        <v>56</v>
      </c>
    </row>
    <row r="1279" spans="1:22" x14ac:dyDescent="0.3">
      <c r="A1279" s="49">
        <v>45275</v>
      </c>
      <c r="E1279" t="s">
        <v>3139</v>
      </c>
      <c r="G1279" t="s">
        <v>5131</v>
      </c>
      <c r="H1279" t="s">
        <v>89</v>
      </c>
      <c r="J1279" t="s">
        <v>63</v>
      </c>
      <c r="K1279" t="s">
        <v>64</v>
      </c>
      <c r="M1279">
        <v>0</v>
      </c>
      <c r="N1279" t="s">
        <v>74</v>
      </c>
      <c r="O1279" t="s">
        <v>3622</v>
      </c>
      <c r="P1279" t="s">
        <v>121</v>
      </c>
      <c r="T1279">
        <v>4</v>
      </c>
      <c r="U1279" t="s">
        <v>56</v>
      </c>
      <c r="V1279" t="s">
        <v>56</v>
      </c>
    </row>
    <row r="1280" spans="1:22" x14ac:dyDescent="0.3">
      <c r="A1280" s="49">
        <v>45275</v>
      </c>
      <c r="E1280" t="s">
        <v>3139</v>
      </c>
      <c r="G1280" t="s">
        <v>5132</v>
      </c>
      <c r="H1280" t="s">
        <v>28</v>
      </c>
      <c r="I1280" t="s">
        <v>5601</v>
      </c>
      <c r="J1280" t="s">
        <v>63</v>
      </c>
      <c r="K1280" t="s">
        <v>211</v>
      </c>
      <c r="M1280">
        <v>100</v>
      </c>
      <c r="N1280" t="s">
        <v>49</v>
      </c>
      <c r="O1280" t="s">
        <v>3623</v>
      </c>
      <c r="P1280" t="s">
        <v>287</v>
      </c>
      <c r="T1280">
        <v>4</v>
      </c>
      <c r="U1280" t="s">
        <v>56</v>
      </c>
      <c r="V1280" t="s">
        <v>56</v>
      </c>
    </row>
    <row r="1281" spans="1:22" x14ac:dyDescent="0.3">
      <c r="A1281" s="49">
        <v>45275</v>
      </c>
      <c r="E1281" t="s">
        <v>3139</v>
      </c>
      <c r="G1281" t="s">
        <v>5133</v>
      </c>
      <c r="H1281" t="s">
        <v>89</v>
      </c>
      <c r="J1281" t="s">
        <v>63</v>
      </c>
      <c r="K1281" t="s">
        <v>64</v>
      </c>
      <c r="M1281">
        <v>100</v>
      </c>
      <c r="N1281" t="s">
        <v>49</v>
      </c>
      <c r="O1281" t="s">
        <v>3624</v>
      </c>
      <c r="P1281" t="s">
        <v>1697</v>
      </c>
      <c r="T1281">
        <v>4</v>
      </c>
      <c r="U1281" t="s">
        <v>56</v>
      </c>
      <c r="V1281" t="s">
        <v>56</v>
      </c>
    </row>
    <row r="1282" spans="1:22" x14ac:dyDescent="0.3">
      <c r="A1282" s="49">
        <v>45275</v>
      </c>
      <c r="E1282" t="s">
        <v>3139</v>
      </c>
      <c r="G1282" t="s">
        <v>90</v>
      </c>
      <c r="H1282" t="s">
        <v>89</v>
      </c>
      <c r="J1282" t="s">
        <v>63</v>
      </c>
      <c r="K1282" t="s">
        <v>64</v>
      </c>
      <c r="M1282">
        <v>0</v>
      </c>
      <c r="N1282" t="s">
        <v>74</v>
      </c>
      <c r="O1282" t="s">
        <v>3625</v>
      </c>
      <c r="P1282" t="s">
        <v>106</v>
      </c>
      <c r="T1282">
        <v>4</v>
      </c>
      <c r="U1282" t="s">
        <v>56</v>
      </c>
      <c r="V1282" t="s">
        <v>56</v>
      </c>
    </row>
    <row r="1283" spans="1:22" x14ac:dyDescent="0.3">
      <c r="A1283" s="49">
        <v>45275</v>
      </c>
      <c r="E1283" t="s">
        <v>3139</v>
      </c>
      <c r="G1283" t="s">
        <v>90</v>
      </c>
      <c r="H1283" t="s">
        <v>89</v>
      </c>
      <c r="J1283" t="s">
        <v>63</v>
      </c>
      <c r="K1283" t="s">
        <v>64</v>
      </c>
      <c r="M1283">
        <v>100</v>
      </c>
      <c r="N1283" t="s">
        <v>33</v>
      </c>
      <c r="O1283" t="s">
        <v>3625</v>
      </c>
      <c r="P1283" t="s">
        <v>106</v>
      </c>
      <c r="T1283">
        <v>4</v>
      </c>
      <c r="U1283" t="s">
        <v>56</v>
      </c>
      <c r="V1283" t="s">
        <v>56</v>
      </c>
    </row>
    <row r="1284" spans="1:22" x14ac:dyDescent="0.3">
      <c r="A1284" s="49">
        <v>45275</v>
      </c>
      <c r="E1284" t="s">
        <v>3139</v>
      </c>
      <c r="G1284" t="s">
        <v>90</v>
      </c>
      <c r="H1284" t="s">
        <v>89</v>
      </c>
      <c r="J1284" t="s">
        <v>63</v>
      </c>
      <c r="K1284" t="s">
        <v>64</v>
      </c>
      <c r="M1284">
        <v>90</v>
      </c>
      <c r="N1284" t="s">
        <v>33</v>
      </c>
      <c r="O1284" t="s">
        <v>3625</v>
      </c>
      <c r="P1284" t="s">
        <v>106</v>
      </c>
      <c r="T1284">
        <v>4</v>
      </c>
      <c r="U1284" t="s">
        <v>56</v>
      </c>
      <c r="V1284" t="s">
        <v>56</v>
      </c>
    </row>
    <row r="1285" spans="1:22" x14ac:dyDescent="0.3">
      <c r="A1285" s="49">
        <v>45275</v>
      </c>
      <c r="E1285" t="s">
        <v>3139</v>
      </c>
      <c r="G1285" t="s">
        <v>90</v>
      </c>
      <c r="H1285" t="s">
        <v>89</v>
      </c>
      <c r="J1285" t="s">
        <v>63</v>
      </c>
      <c r="K1285" t="s">
        <v>64</v>
      </c>
      <c r="M1285">
        <v>45</v>
      </c>
      <c r="N1285" t="s">
        <v>33</v>
      </c>
      <c r="O1285" t="s">
        <v>3626</v>
      </c>
      <c r="P1285" t="s">
        <v>2703</v>
      </c>
      <c r="T1285">
        <v>4</v>
      </c>
      <c r="U1285" t="s">
        <v>56</v>
      </c>
      <c r="V1285" t="s">
        <v>56</v>
      </c>
    </row>
    <row r="1286" spans="1:22" x14ac:dyDescent="0.3">
      <c r="A1286" s="49">
        <v>45275</v>
      </c>
      <c r="E1286" t="s">
        <v>3139</v>
      </c>
      <c r="G1286" t="s">
        <v>5132</v>
      </c>
      <c r="H1286" t="s">
        <v>28</v>
      </c>
      <c r="I1286" t="s">
        <v>5601</v>
      </c>
      <c r="J1286" t="s">
        <v>63</v>
      </c>
      <c r="K1286" t="s">
        <v>211</v>
      </c>
      <c r="M1286">
        <v>0</v>
      </c>
      <c r="N1286" t="s">
        <v>33</v>
      </c>
      <c r="O1286" t="s">
        <v>3627</v>
      </c>
      <c r="P1286" t="s">
        <v>85</v>
      </c>
      <c r="T1286">
        <v>4</v>
      </c>
      <c r="U1286" t="s">
        <v>56</v>
      </c>
      <c r="V1286" t="s">
        <v>56</v>
      </c>
    </row>
    <row r="1287" spans="1:22" x14ac:dyDescent="0.3">
      <c r="A1287" s="49">
        <v>45275</v>
      </c>
      <c r="E1287" t="s">
        <v>3139</v>
      </c>
      <c r="G1287" t="s">
        <v>5132</v>
      </c>
      <c r="H1287" t="s">
        <v>28</v>
      </c>
      <c r="I1287" t="s">
        <v>5601</v>
      </c>
      <c r="J1287" t="s">
        <v>63</v>
      </c>
      <c r="K1287" t="s">
        <v>211</v>
      </c>
      <c r="M1287">
        <v>0</v>
      </c>
      <c r="N1287" t="s">
        <v>33</v>
      </c>
      <c r="O1287" t="s">
        <v>3627</v>
      </c>
      <c r="P1287" t="s">
        <v>85</v>
      </c>
      <c r="T1287">
        <v>4</v>
      </c>
      <c r="U1287" t="s">
        <v>56</v>
      </c>
      <c r="V1287" t="s">
        <v>56</v>
      </c>
    </row>
    <row r="1288" spans="1:22" x14ac:dyDescent="0.3">
      <c r="A1288" s="49">
        <v>45275</v>
      </c>
      <c r="E1288" t="s">
        <v>3139</v>
      </c>
      <c r="G1288" t="s">
        <v>5132</v>
      </c>
      <c r="H1288" t="s">
        <v>28</v>
      </c>
      <c r="I1288" t="s">
        <v>5601</v>
      </c>
      <c r="J1288" t="s">
        <v>63</v>
      </c>
      <c r="K1288" t="s">
        <v>211</v>
      </c>
      <c r="M1288">
        <v>0</v>
      </c>
      <c r="N1288" t="s">
        <v>33</v>
      </c>
      <c r="O1288" t="s">
        <v>3627</v>
      </c>
      <c r="P1288" t="s">
        <v>85</v>
      </c>
      <c r="T1288">
        <v>4</v>
      </c>
      <c r="U1288" t="s">
        <v>56</v>
      </c>
      <c r="V1288" t="s">
        <v>56</v>
      </c>
    </row>
    <row r="1289" spans="1:22" x14ac:dyDescent="0.3">
      <c r="A1289" s="49">
        <v>45275</v>
      </c>
      <c r="E1289" t="s">
        <v>3139</v>
      </c>
      <c r="G1289" t="s">
        <v>90</v>
      </c>
      <c r="H1289" t="s">
        <v>89</v>
      </c>
      <c r="J1289" t="s">
        <v>63</v>
      </c>
      <c r="K1289" t="s">
        <v>64</v>
      </c>
      <c r="M1289">
        <v>70</v>
      </c>
      <c r="N1289" t="s">
        <v>33</v>
      </c>
      <c r="O1289" t="s">
        <v>3628</v>
      </c>
      <c r="P1289" t="s">
        <v>737</v>
      </c>
      <c r="T1289">
        <v>4</v>
      </c>
      <c r="U1289" t="s">
        <v>56</v>
      </c>
      <c r="V1289" t="s">
        <v>56</v>
      </c>
    </row>
    <row r="1290" spans="1:22" x14ac:dyDescent="0.3">
      <c r="A1290" s="49">
        <v>45275</v>
      </c>
      <c r="E1290" t="s">
        <v>508</v>
      </c>
      <c r="G1290" t="s">
        <v>5134</v>
      </c>
      <c r="H1290" t="s">
        <v>28</v>
      </c>
      <c r="I1290" t="s">
        <v>5602</v>
      </c>
      <c r="J1290" t="s">
        <v>63</v>
      </c>
      <c r="K1290" t="s">
        <v>211</v>
      </c>
      <c r="M1290">
        <v>57</v>
      </c>
      <c r="N1290" t="s">
        <v>49</v>
      </c>
      <c r="O1290" t="s">
        <v>3629</v>
      </c>
      <c r="P1290" t="s">
        <v>170</v>
      </c>
      <c r="T1290">
        <v>6</v>
      </c>
      <c r="U1290" t="s">
        <v>40</v>
      </c>
      <c r="V1290" t="s">
        <v>41</v>
      </c>
    </row>
    <row r="1291" spans="1:22" x14ac:dyDescent="0.3">
      <c r="A1291" s="49">
        <v>45275</v>
      </c>
      <c r="E1291" t="s">
        <v>3199</v>
      </c>
      <c r="G1291" t="s">
        <v>5135</v>
      </c>
      <c r="H1291" t="s">
        <v>28</v>
      </c>
      <c r="I1291" t="s">
        <v>5603</v>
      </c>
      <c r="J1291" t="s">
        <v>63</v>
      </c>
      <c r="K1291" t="s">
        <v>64</v>
      </c>
      <c r="M1291">
        <v>0</v>
      </c>
      <c r="N1291" t="s">
        <v>33</v>
      </c>
      <c r="O1291" t="s">
        <v>3630</v>
      </c>
      <c r="P1291" t="s">
        <v>4874</v>
      </c>
      <c r="T1291">
        <v>6</v>
      </c>
      <c r="U1291" t="s">
        <v>40</v>
      </c>
      <c r="V1291" t="s">
        <v>41</v>
      </c>
    </row>
    <row r="1292" spans="1:22" x14ac:dyDescent="0.3">
      <c r="A1292" s="49">
        <v>45275</v>
      </c>
      <c r="E1292" t="s">
        <v>3199</v>
      </c>
      <c r="G1292" t="s">
        <v>5136</v>
      </c>
      <c r="H1292" t="s">
        <v>28</v>
      </c>
      <c r="I1292" t="s">
        <v>5604</v>
      </c>
      <c r="J1292" t="s">
        <v>63</v>
      </c>
      <c r="K1292" t="s">
        <v>64</v>
      </c>
      <c r="M1292">
        <v>0</v>
      </c>
      <c r="N1292" t="s">
        <v>74</v>
      </c>
      <c r="O1292" t="s">
        <v>3631</v>
      </c>
      <c r="P1292" t="s">
        <v>791</v>
      </c>
      <c r="T1292">
        <v>4</v>
      </c>
      <c r="U1292" t="s">
        <v>56</v>
      </c>
      <c r="V1292" t="s">
        <v>56</v>
      </c>
    </row>
    <row r="1293" spans="1:22" x14ac:dyDescent="0.3">
      <c r="A1293" s="49">
        <v>45275</v>
      </c>
      <c r="E1293" t="s">
        <v>3171</v>
      </c>
      <c r="G1293" t="s">
        <v>5137</v>
      </c>
      <c r="H1293" t="s">
        <v>28</v>
      </c>
      <c r="I1293" t="s">
        <v>5605</v>
      </c>
      <c r="J1293" t="s">
        <v>63</v>
      </c>
      <c r="K1293" t="s">
        <v>64</v>
      </c>
      <c r="M1293">
        <v>15</v>
      </c>
      <c r="N1293" t="s">
        <v>49</v>
      </c>
      <c r="O1293" t="s">
        <v>3632</v>
      </c>
      <c r="P1293" t="s">
        <v>2029</v>
      </c>
      <c r="T1293">
        <v>4</v>
      </c>
      <c r="U1293" t="s">
        <v>56</v>
      </c>
      <c r="V1293" t="s">
        <v>56</v>
      </c>
    </row>
    <row r="1294" spans="1:22" x14ac:dyDescent="0.3">
      <c r="A1294" s="49">
        <v>45275</v>
      </c>
      <c r="E1294" t="s">
        <v>3171</v>
      </c>
      <c r="G1294" t="s">
        <v>5057</v>
      </c>
      <c r="H1294" t="s">
        <v>28</v>
      </c>
      <c r="I1294" t="s">
        <v>5606</v>
      </c>
      <c r="J1294" t="s">
        <v>63</v>
      </c>
      <c r="K1294" t="s">
        <v>64</v>
      </c>
      <c r="M1294">
        <v>100</v>
      </c>
      <c r="N1294" t="s">
        <v>49</v>
      </c>
      <c r="O1294" t="s">
        <v>3633</v>
      </c>
      <c r="P1294" t="s">
        <v>106</v>
      </c>
      <c r="T1294">
        <v>4</v>
      </c>
      <c r="U1294" t="s">
        <v>56</v>
      </c>
      <c r="V1294" t="s">
        <v>56</v>
      </c>
    </row>
    <row r="1295" spans="1:22" x14ac:dyDescent="0.3">
      <c r="A1295" s="49">
        <v>45275</v>
      </c>
      <c r="E1295" t="s">
        <v>3171</v>
      </c>
      <c r="G1295" t="s">
        <v>5057</v>
      </c>
      <c r="H1295" t="s">
        <v>28</v>
      </c>
      <c r="I1295" t="s">
        <v>5607</v>
      </c>
      <c r="J1295" t="s">
        <v>63</v>
      </c>
      <c r="K1295" t="s">
        <v>64</v>
      </c>
      <c r="M1295">
        <v>100</v>
      </c>
      <c r="N1295" t="s">
        <v>33</v>
      </c>
      <c r="O1295" t="s">
        <v>3634</v>
      </c>
      <c r="P1295" t="s">
        <v>1727</v>
      </c>
      <c r="T1295">
        <v>6</v>
      </c>
      <c r="U1295" t="s">
        <v>40</v>
      </c>
      <c r="V1295" t="s">
        <v>41</v>
      </c>
    </row>
    <row r="1296" spans="1:22" x14ac:dyDescent="0.3">
      <c r="A1296" s="49">
        <v>45275</v>
      </c>
      <c r="E1296" t="s">
        <v>3172</v>
      </c>
      <c r="G1296" t="s">
        <v>728</v>
      </c>
      <c r="H1296" t="s">
        <v>28</v>
      </c>
      <c r="I1296" t="s">
        <v>5608</v>
      </c>
      <c r="J1296" t="s">
        <v>63</v>
      </c>
      <c r="K1296" t="s">
        <v>4924</v>
      </c>
      <c r="M1296">
        <v>30</v>
      </c>
      <c r="N1296" t="s">
        <v>49</v>
      </c>
      <c r="O1296" t="s">
        <v>3635</v>
      </c>
      <c r="P1296" t="s">
        <v>170</v>
      </c>
      <c r="T1296">
        <v>4</v>
      </c>
      <c r="U1296" t="s">
        <v>56</v>
      </c>
      <c r="V1296" t="s">
        <v>56</v>
      </c>
    </row>
    <row r="1297" spans="1:22" x14ac:dyDescent="0.3">
      <c r="A1297" s="49">
        <v>45275</v>
      </c>
      <c r="E1297" t="s">
        <v>3172</v>
      </c>
      <c r="G1297" t="s">
        <v>728</v>
      </c>
      <c r="H1297" t="s">
        <v>28</v>
      </c>
      <c r="I1297" t="s">
        <v>5609</v>
      </c>
      <c r="J1297" t="s">
        <v>63</v>
      </c>
      <c r="K1297" t="s">
        <v>4939</v>
      </c>
      <c r="M1297">
        <v>100</v>
      </c>
      <c r="N1297" t="s">
        <v>49</v>
      </c>
      <c r="O1297" t="s">
        <v>3636</v>
      </c>
      <c r="P1297" t="s">
        <v>4875</v>
      </c>
      <c r="T1297">
        <v>6</v>
      </c>
      <c r="U1297" t="s">
        <v>40</v>
      </c>
      <c r="V1297" t="s">
        <v>41</v>
      </c>
    </row>
    <row r="1298" spans="1:22" x14ac:dyDescent="0.3">
      <c r="A1298" s="49">
        <v>45275</v>
      </c>
      <c r="E1298" t="s">
        <v>3200</v>
      </c>
      <c r="G1298" t="s">
        <v>5138</v>
      </c>
      <c r="H1298" t="s">
        <v>89</v>
      </c>
      <c r="J1298" t="s">
        <v>63</v>
      </c>
      <c r="K1298" t="s">
        <v>197</v>
      </c>
      <c r="M1298">
        <v>27</v>
      </c>
      <c r="N1298" t="s">
        <v>33</v>
      </c>
      <c r="O1298" t="s">
        <v>3637</v>
      </c>
      <c r="P1298" t="s">
        <v>4866</v>
      </c>
      <c r="T1298">
        <v>6</v>
      </c>
      <c r="U1298" t="s">
        <v>40</v>
      </c>
      <c r="V1298" t="s">
        <v>41</v>
      </c>
    </row>
    <row r="1299" spans="1:22" x14ac:dyDescent="0.3">
      <c r="A1299" s="49">
        <v>45275</v>
      </c>
      <c r="E1299" t="s">
        <v>3140</v>
      </c>
      <c r="G1299" t="s">
        <v>864</v>
      </c>
      <c r="H1299" t="s">
        <v>89</v>
      </c>
      <c r="J1299" t="s">
        <v>63</v>
      </c>
      <c r="K1299" t="s">
        <v>4940</v>
      </c>
      <c r="M1299">
        <v>10</v>
      </c>
      <c r="N1299" t="s">
        <v>49</v>
      </c>
      <c r="O1299" t="s">
        <v>3638</v>
      </c>
      <c r="P1299" t="s">
        <v>4868</v>
      </c>
      <c r="T1299">
        <v>4</v>
      </c>
      <c r="U1299" t="s">
        <v>56</v>
      </c>
      <c r="V1299" t="s">
        <v>56</v>
      </c>
    </row>
    <row r="1300" spans="1:22" x14ac:dyDescent="0.3">
      <c r="A1300" s="49">
        <v>45275</v>
      </c>
      <c r="E1300" t="s">
        <v>3140</v>
      </c>
      <c r="G1300" t="s">
        <v>5139</v>
      </c>
      <c r="H1300" t="s">
        <v>28</v>
      </c>
      <c r="I1300" t="s">
        <v>5610</v>
      </c>
      <c r="J1300" t="s">
        <v>63</v>
      </c>
      <c r="K1300" t="s">
        <v>64</v>
      </c>
      <c r="M1300">
        <v>100</v>
      </c>
      <c r="N1300" t="s">
        <v>49</v>
      </c>
      <c r="O1300" t="s">
        <v>3639</v>
      </c>
      <c r="P1300" t="s">
        <v>287</v>
      </c>
      <c r="T1300">
        <v>4</v>
      </c>
      <c r="U1300" t="s">
        <v>56</v>
      </c>
      <c r="V1300" t="s">
        <v>56</v>
      </c>
    </row>
    <row r="1301" spans="1:22" x14ac:dyDescent="0.3">
      <c r="A1301" s="49">
        <v>45275</v>
      </c>
      <c r="E1301" t="s">
        <v>3140</v>
      </c>
      <c r="G1301" t="s">
        <v>740</v>
      </c>
      <c r="H1301" t="s">
        <v>28</v>
      </c>
      <c r="I1301" t="s">
        <v>741</v>
      </c>
      <c r="J1301" t="s">
        <v>63</v>
      </c>
      <c r="K1301" t="s">
        <v>64</v>
      </c>
      <c r="M1301">
        <v>100</v>
      </c>
      <c r="N1301" t="s">
        <v>49</v>
      </c>
      <c r="O1301" t="s">
        <v>3640</v>
      </c>
      <c r="P1301" t="s">
        <v>66</v>
      </c>
      <c r="T1301">
        <v>4</v>
      </c>
      <c r="U1301" t="s">
        <v>56</v>
      </c>
      <c r="V1301" t="s">
        <v>56</v>
      </c>
    </row>
    <row r="1302" spans="1:22" x14ac:dyDescent="0.3">
      <c r="A1302" s="49">
        <v>45275</v>
      </c>
      <c r="E1302" t="s">
        <v>3140</v>
      </c>
      <c r="G1302" t="s">
        <v>5090</v>
      </c>
      <c r="H1302" t="s">
        <v>28</v>
      </c>
      <c r="I1302" t="s">
        <v>5536</v>
      </c>
      <c r="J1302" t="s">
        <v>63</v>
      </c>
      <c r="K1302" t="s">
        <v>64</v>
      </c>
      <c r="M1302">
        <v>100</v>
      </c>
      <c r="N1302" t="s">
        <v>49</v>
      </c>
      <c r="O1302" t="s">
        <v>3519</v>
      </c>
      <c r="P1302" t="s">
        <v>66</v>
      </c>
      <c r="T1302">
        <v>4</v>
      </c>
      <c r="U1302" t="s">
        <v>56</v>
      </c>
      <c r="V1302" t="s">
        <v>56</v>
      </c>
    </row>
    <row r="1303" spans="1:22" x14ac:dyDescent="0.3">
      <c r="A1303" s="49">
        <v>45275</v>
      </c>
      <c r="E1303" t="s">
        <v>3201</v>
      </c>
      <c r="G1303" t="s">
        <v>5140</v>
      </c>
      <c r="H1303" t="s">
        <v>28</v>
      </c>
      <c r="I1303" t="s">
        <v>5611</v>
      </c>
      <c r="J1303" t="s">
        <v>63</v>
      </c>
      <c r="K1303" t="s">
        <v>1235</v>
      </c>
      <c r="M1303">
        <v>75</v>
      </c>
      <c r="N1303" t="s">
        <v>33</v>
      </c>
      <c r="O1303" t="s">
        <v>3641</v>
      </c>
      <c r="P1303" t="s">
        <v>416</v>
      </c>
      <c r="T1303">
        <v>4</v>
      </c>
      <c r="U1303" t="s">
        <v>56</v>
      </c>
      <c r="V1303" t="s">
        <v>56</v>
      </c>
    </row>
    <row r="1304" spans="1:22" x14ac:dyDescent="0.3">
      <c r="A1304" s="49">
        <v>45275</v>
      </c>
      <c r="E1304" t="s">
        <v>3202</v>
      </c>
      <c r="G1304" t="s">
        <v>5141</v>
      </c>
      <c r="H1304" t="s">
        <v>28</v>
      </c>
      <c r="I1304" t="s">
        <v>5612</v>
      </c>
      <c r="J1304" t="s">
        <v>63</v>
      </c>
      <c r="K1304" t="s">
        <v>64</v>
      </c>
      <c r="M1304">
        <v>60</v>
      </c>
      <c r="N1304" t="s">
        <v>33</v>
      </c>
      <c r="O1304" t="s">
        <v>3642</v>
      </c>
      <c r="P1304" t="s">
        <v>4863</v>
      </c>
      <c r="T1304">
        <v>4</v>
      </c>
      <c r="U1304" t="s">
        <v>56</v>
      </c>
      <c r="V1304" t="s">
        <v>56</v>
      </c>
    </row>
    <row r="1305" spans="1:22" x14ac:dyDescent="0.3">
      <c r="A1305" s="49">
        <v>45275</v>
      </c>
      <c r="E1305" t="s">
        <v>3202</v>
      </c>
      <c r="G1305" t="s">
        <v>5142</v>
      </c>
      <c r="H1305" t="s">
        <v>89</v>
      </c>
      <c r="J1305" t="s">
        <v>63</v>
      </c>
      <c r="K1305" t="s">
        <v>64</v>
      </c>
      <c r="M1305">
        <v>50</v>
      </c>
      <c r="N1305" t="s">
        <v>33</v>
      </c>
      <c r="O1305" t="s">
        <v>3643</v>
      </c>
      <c r="P1305" t="s">
        <v>287</v>
      </c>
      <c r="T1305">
        <v>4</v>
      </c>
      <c r="U1305" t="s">
        <v>56</v>
      </c>
      <c r="V1305" t="s">
        <v>56</v>
      </c>
    </row>
    <row r="1306" spans="1:22" x14ac:dyDescent="0.3">
      <c r="A1306" s="49">
        <v>45275</v>
      </c>
      <c r="E1306" t="s">
        <v>3202</v>
      </c>
      <c r="G1306" t="s">
        <v>5143</v>
      </c>
      <c r="H1306" t="s">
        <v>28</v>
      </c>
      <c r="I1306" t="s">
        <v>5613</v>
      </c>
      <c r="J1306" t="s">
        <v>46</v>
      </c>
      <c r="K1306" t="s">
        <v>481</v>
      </c>
      <c r="M1306">
        <v>50</v>
      </c>
      <c r="N1306" t="s">
        <v>49</v>
      </c>
      <c r="O1306" t="s">
        <v>3644</v>
      </c>
      <c r="P1306" t="s">
        <v>2029</v>
      </c>
      <c r="T1306">
        <v>4</v>
      </c>
      <c r="U1306" t="s">
        <v>56</v>
      </c>
      <c r="V1306" t="s">
        <v>56</v>
      </c>
    </row>
    <row r="1307" spans="1:22" x14ac:dyDescent="0.3">
      <c r="A1307" s="49">
        <v>45275</v>
      </c>
      <c r="E1307" t="s">
        <v>3112</v>
      </c>
      <c r="G1307" t="s">
        <v>4973</v>
      </c>
      <c r="H1307" t="s">
        <v>28</v>
      </c>
      <c r="I1307" t="s">
        <v>2050</v>
      </c>
      <c r="J1307" t="s">
        <v>63</v>
      </c>
      <c r="K1307" t="s">
        <v>1235</v>
      </c>
      <c r="M1307">
        <v>75</v>
      </c>
      <c r="N1307" t="s">
        <v>49</v>
      </c>
      <c r="O1307" t="s">
        <v>3645</v>
      </c>
      <c r="P1307" t="s">
        <v>4876</v>
      </c>
      <c r="T1307">
        <v>4</v>
      </c>
      <c r="U1307" t="s">
        <v>56</v>
      </c>
      <c r="V1307" t="s">
        <v>56</v>
      </c>
    </row>
    <row r="1308" spans="1:22" x14ac:dyDescent="0.3">
      <c r="A1308" s="49">
        <v>45275</v>
      </c>
      <c r="E1308" t="s">
        <v>3203</v>
      </c>
      <c r="G1308" t="s">
        <v>5144</v>
      </c>
      <c r="H1308" t="s">
        <v>28</v>
      </c>
      <c r="I1308" t="s">
        <v>5614</v>
      </c>
      <c r="J1308" t="s">
        <v>1712</v>
      </c>
      <c r="K1308" t="s">
        <v>481</v>
      </c>
      <c r="M1308">
        <v>50</v>
      </c>
      <c r="N1308" t="s">
        <v>33</v>
      </c>
      <c r="O1308" t="s">
        <v>3646</v>
      </c>
      <c r="P1308" t="s">
        <v>4866</v>
      </c>
      <c r="T1308">
        <v>4</v>
      </c>
      <c r="U1308" t="s">
        <v>56</v>
      </c>
      <c r="V1308" t="s">
        <v>56</v>
      </c>
    </row>
    <row r="1309" spans="1:22" x14ac:dyDescent="0.3">
      <c r="A1309" s="49">
        <v>45275</v>
      </c>
      <c r="E1309" t="s">
        <v>3203</v>
      </c>
      <c r="G1309" t="s">
        <v>5144</v>
      </c>
      <c r="H1309" t="s">
        <v>89</v>
      </c>
      <c r="J1309" t="s">
        <v>1712</v>
      </c>
      <c r="K1309" t="s">
        <v>481</v>
      </c>
      <c r="M1309">
        <v>75</v>
      </c>
      <c r="N1309" t="s">
        <v>33</v>
      </c>
      <c r="O1309" t="s">
        <v>3647</v>
      </c>
      <c r="P1309" t="s">
        <v>4869</v>
      </c>
      <c r="T1309">
        <v>4</v>
      </c>
      <c r="U1309" t="s">
        <v>56</v>
      </c>
      <c r="V1309" t="s">
        <v>56</v>
      </c>
    </row>
    <row r="1310" spans="1:22" x14ac:dyDescent="0.3">
      <c r="A1310" s="49">
        <v>45275</v>
      </c>
      <c r="E1310" t="s">
        <v>3204</v>
      </c>
      <c r="G1310" t="s">
        <v>5145</v>
      </c>
      <c r="H1310" t="s">
        <v>28</v>
      </c>
      <c r="I1310" t="s">
        <v>5615</v>
      </c>
      <c r="J1310" t="s">
        <v>46</v>
      </c>
      <c r="K1310" t="s">
        <v>481</v>
      </c>
      <c r="M1310">
        <v>80</v>
      </c>
      <c r="N1310" t="s">
        <v>33</v>
      </c>
      <c r="O1310" t="s">
        <v>3648</v>
      </c>
      <c r="P1310" t="s">
        <v>4834</v>
      </c>
      <c r="T1310">
        <v>4</v>
      </c>
      <c r="U1310" t="s">
        <v>56</v>
      </c>
      <c r="V1310" t="s">
        <v>56</v>
      </c>
    </row>
    <row r="1311" spans="1:22" x14ac:dyDescent="0.3">
      <c r="A1311" s="49">
        <v>45275</v>
      </c>
      <c r="E1311" t="s">
        <v>3142</v>
      </c>
      <c r="G1311" t="s">
        <v>5146</v>
      </c>
      <c r="H1311" t="s">
        <v>28</v>
      </c>
      <c r="J1311" t="s">
        <v>46</v>
      </c>
      <c r="K1311" t="s">
        <v>481</v>
      </c>
      <c r="M1311">
        <v>100</v>
      </c>
      <c r="N1311" t="s">
        <v>49</v>
      </c>
      <c r="O1311" t="s">
        <v>3649</v>
      </c>
      <c r="P1311" t="s">
        <v>1508</v>
      </c>
      <c r="T1311">
        <v>4</v>
      </c>
      <c r="U1311" t="s">
        <v>56</v>
      </c>
      <c r="V1311" t="s">
        <v>56</v>
      </c>
    </row>
    <row r="1312" spans="1:22" x14ac:dyDescent="0.3">
      <c r="A1312" s="49">
        <v>45275</v>
      </c>
      <c r="E1312" t="s">
        <v>3142</v>
      </c>
      <c r="G1312" t="s">
        <v>5146</v>
      </c>
      <c r="H1312" t="s">
        <v>28</v>
      </c>
      <c r="J1312" t="s">
        <v>46</v>
      </c>
      <c r="K1312" t="s">
        <v>481</v>
      </c>
      <c r="M1312">
        <v>100</v>
      </c>
      <c r="N1312" t="s">
        <v>49</v>
      </c>
      <c r="O1312" t="s">
        <v>3649</v>
      </c>
      <c r="P1312" t="s">
        <v>1508</v>
      </c>
      <c r="T1312">
        <v>4</v>
      </c>
      <c r="U1312" t="s">
        <v>56</v>
      </c>
      <c r="V1312" t="s">
        <v>56</v>
      </c>
    </row>
    <row r="1313" spans="1:22" x14ac:dyDescent="0.3">
      <c r="A1313" s="49">
        <v>45275</v>
      </c>
      <c r="E1313" t="s">
        <v>3186</v>
      </c>
      <c r="G1313" t="s">
        <v>5103</v>
      </c>
      <c r="H1313" t="s">
        <v>3245</v>
      </c>
      <c r="I1313" t="s">
        <v>5616</v>
      </c>
      <c r="J1313" t="s">
        <v>63</v>
      </c>
      <c r="K1313" t="s">
        <v>1336</v>
      </c>
      <c r="M1313">
        <v>100</v>
      </c>
      <c r="N1313" t="s">
        <v>49</v>
      </c>
      <c r="O1313" t="s">
        <v>3650</v>
      </c>
      <c r="P1313" t="s">
        <v>106</v>
      </c>
      <c r="T1313">
        <v>4</v>
      </c>
      <c r="U1313" t="s">
        <v>56</v>
      </c>
      <c r="V1313" t="s">
        <v>56</v>
      </c>
    </row>
    <row r="1314" spans="1:22" x14ac:dyDescent="0.3">
      <c r="A1314" s="49">
        <v>45275</v>
      </c>
      <c r="E1314" t="s">
        <v>3186</v>
      </c>
      <c r="G1314" t="s">
        <v>5103</v>
      </c>
      <c r="H1314" t="s">
        <v>28</v>
      </c>
      <c r="I1314" t="s">
        <v>5617</v>
      </c>
      <c r="J1314" t="s">
        <v>63</v>
      </c>
      <c r="K1314" t="s">
        <v>64</v>
      </c>
      <c r="M1314">
        <v>60</v>
      </c>
      <c r="N1314" t="s">
        <v>49</v>
      </c>
      <c r="O1314" t="s">
        <v>3651</v>
      </c>
      <c r="P1314" t="s">
        <v>1122</v>
      </c>
      <c r="T1314">
        <v>4</v>
      </c>
      <c r="U1314" t="s">
        <v>56</v>
      </c>
      <c r="V1314" t="s">
        <v>56</v>
      </c>
    </row>
    <row r="1315" spans="1:22" x14ac:dyDescent="0.3">
      <c r="A1315" s="49">
        <v>45275</v>
      </c>
      <c r="E1315" t="s">
        <v>3114</v>
      </c>
      <c r="G1315" t="s">
        <v>748</v>
      </c>
      <c r="H1315" t="s">
        <v>89</v>
      </c>
      <c r="J1315" t="s">
        <v>63</v>
      </c>
      <c r="K1315" t="s">
        <v>64</v>
      </c>
      <c r="M1315">
        <v>90</v>
      </c>
      <c r="N1315" t="s">
        <v>49</v>
      </c>
      <c r="O1315" t="s">
        <v>3652</v>
      </c>
      <c r="P1315" t="s">
        <v>287</v>
      </c>
      <c r="T1315">
        <v>4</v>
      </c>
      <c r="U1315" t="s">
        <v>56</v>
      </c>
      <c r="V1315" t="s">
        <v>56</v>
      </c>
    </row>
    <row r="1316" spans="1:22" x14ac:dyDescent="0.3">
      <c r="A1316" s="49">
        <v>45275</v>
      </c>
      <c r="E1316" t="s">
        <v>3114</v>
      </c>
      <c r="G1316" t="s">
        <v>748</v>
      </c>
      <c r="H1316" t="s">
        <v>28</v>
      </c>
      <c r="I1316" t="s">
        <v>5618</v>
      </c>
      <c r="J1316" t="s">
        <v>63</v>
      </c>
      <c r="K1316" t="s">
        <v>4926</v>
      </c>
      <c r="M1316">
        <v>100</v>
      </c>
      <c r="N1316" t="s">
        <v>49</v>
      </c>
      <c r="O1316" t="s">
        <v>3653</v>
      </c>
      <c r="P1316" t="s">
        <v>4877</v>
      </c>
      <c r="T1316">
        <v>4</v>
      </c>
      <c r="U1316" t="s">
        <v>56</v>
      </c>
      <c r="V1316" t="s">
        <v>56</v>
      </c>
    </row>
    <row r="1317" spans="1:22" x14ac:dyDescent="0.3">
      <c r="A1317" s="49">
        <v>45275</v>
      </c>
      <c r="E1317" t="s">
        <v>3143</v>
      </c>
      <c r="G1317" t="s">
        <v>5147</v>
      </c>
      <c r="H1317" t="s">
        <v>28</v>
      </c>
      <c r="I1317" t="s">
        <v>5619</v>
      </c>
      <c r="J1317" t="s">
        <v>63</v>
      </c>
      <c r="K1317" t="s">
        <v>64</v>
      </c>
      <c r="M1317">
        <v>75</v>
      </c>
      <c r="N1317" t="s">
        <v>33</v>
      </c>
      <c r="O1317" t="s">
        <v>3654</v>
      </c>
      <c r="P1317" t="s">
        <v>58</v>
      </c>
      <c r="T1317">
        <v>4</v>
      </c>
      <c r="U1317" t="s">
        <v>56</v>
      </c>
      <c r="V1317" t="s">
        <v>56</v>
      </c>
    </row>
    <row r="1318" spans="1:22" x14ac:dyDescent="0.3">
      <c r="A1318" s="49">
        <v>45275</v>
      </c>
      <c r="E1318" t="s">
        <v>3187</v>
      </c>
      <c r="G1318" t="s">
        <v>5021</v>
      </c>
      <c r="H1318" t="s">
        <v>28</v>
      </c>
      <c r="I1318" t="s">
        <v>5444</v>
      </c>
      <c r="J1318" t="s">
        <v>63</v>
      </c>
      <c r="K1318" t="s">
        <v>64</v>
      </c>
      <c r="M1318">
        <v>100</v>
      </c>
      <c r="N1318" t="s">
        <v>49</v>
      </c>
      <c r="O1318" t="s">
        <v>3655</v>
      </c>
      <c r="P1318" t="s">
        <v>4877</v>
      </c>
      <c r="T1318">
        <v>4</v>
      </c>
      <c r="U1318" t="s">
        <v>56</v>
      </c>
      <c r="V1318" t="s">
        <v>56</v>
      </c>
    </row>
    <row r="1319" spans="1:22" x14ac:dyDescent="0.3">
      <c r="A1319" s="49">
        <v>45275</v>
      </c>
      <c r="E1319" t="s">
        <v>3187</v>
      </c>
      <c r="G1319" t="s">
        <v>761</v>
      </c>
      <c r="H1319" t="s">
        <v>89</v>
      </c>
      <c r="J1319" t="s">
        <v>63</v>
      </c>
      <c r="K1319" t="s">
        <v>64</v>
      </c>
      <c r="M1319">
        <v>100</v>
      </c>
      <c r="N1319" t="s">
        <v>49</v>
      </c>
      <c r="O1319" t="s">
        <v>3656</v>
      </c>
      <c r="P1319" t="s">
        <v>51</v>
      </c>
      <c r="T1319">
        <v>4</v>
      </c>
      <c r="U1319" t="s">
        <v>56</v>
      </c>
      <c r="V1319" t="s">
        <v>56</v>
      </c>
    </row>
    <row r="1320" spans="1:22" x14ac:dyDescent="0.3">
      <c r="A1320" s="49">
        <v>45275</v>
      </c>
      <c r="E1320" t="s">
        <v>3187</v>
      </c>
      <c r="G1320" t="s">
        <v>761</v>
      </c>
      <c r="H1320" t="s">
        <v>89</v>
      </c>
      <c r="J1320" t="s">
        <v>63</v>
      </c>
      <c r="K1320" t="s">
        <v>64</v>
      </c>
      <c r="M1320">
        <v>80</v>
      </c>
      <c r="N1320" t="s">
        <v>49</v>
      </c>
      <c r="O1320" t="s">
        <v>3657</v>
      </c>
      <c r="P1320" t="s">
        <v>127</v>
      </c>
      <c r="T1320">
        <v>4</v>
      </c>
      <c r="U1320" t="s">
        <v>56</v>
      </c>
      <c r="V1320" t="s">
        <v>56</v>
      </c>
    </row>
    <row r="1321" spans="1:22" x14ac:dyDescent="0.3">
      <c r="A1321" s="49">
        <v>45275</v>
      </c>
      <c r="E1321" t="s">
        <v>3187</v>
      </c>
      <c r="G1321" t="s">
        <v>761</v>
      </c>
      <c r="H1321" t="s">
        <v>89</v>
      </c>
      <c r="J1321" t="s">
        <v>63</v>
      </c>
      <c r="K1321" t="s">
        <v>64</v>
      </c>
      <c r="M1321">
        <v>0</v>
      </c>
      <c r="N1321" t="s">
        <v>74</v>
      </c>
      <c r="O1321" t="s">
        <v>3658</v>
      </c>
      <c r="P1321" t="s">
        <v>878</v>
      </c>
      <c r="T1321">
        <v>4</v>
      </c>
      <c r="U1321" t="s">
        <v>56</v>
      </c>
      <c r="V1321" t="s">
        <v>56</v>
      </c>
    </row>
    <row r="1322" spans="1:22" x14ac:dyDescent="0.3">
      <c r="A1322" s="49">
        <v>45275</v>
      </c>
      <c r="E1322" t="s">
        <v>3187</v>
      </c>
      <c r="G1322" t="s">
        <v>761</v>
      </c>
      <c r="H1322" t="s">
        <v>28</v>
      </c>
      <c r="I1322" t="s">
        <v>5620</v>
      </c>
      <c r="J1322" t="s">
        <v>63</v>
      </c>
      <c r="K1322" t="s">
        <v>64</v>
      </c>
      <c r="M1322">
        <v>0</v>
      </c>
      <c r="N1322" t="s">
        <v>74</v>
      </c>
      <c r="O1322" t="s">
        <v>3659</v>
      </c>
      <c r="P1322" t="s">
        <v>4833</v>
      </c>
      <c r="T1322">
        <v>4</v>
      </c>
      <c r="U1322" t="s">
        <v>56</v>
      </c>
      <c r="V1322" t="s">
        <v>56</v>
      </c>
    </row>
    <row r="1323" spans="1:22" x14ac:dyDescent="0.3">
      <c r="A1323" s="49">
        <v>45275</v>
      </c>
      <c r="E1323" t="s">
        <v>3187</v>
      </c>
      <c r="G1323" t="s">
        <v>5148</v>
      </c>
      <c r="H1323" t="s">
        <v>28</v>
      </c>
      <c r="I1323" t="s">
        <v>5621</v>
      </c>
      <c r="J1323" t="s">
        <v>63</v>
      </c>
      <c r="K1323" t="s">
        <v>64</v>
      </c>
      <c r="M1323">
        <v>100</v>
      </c>
      <c r="N1323" t="s">
        <v>49</v>
      </c>
      <c r="O1323" t="s">
        <v>3660</v>
      </c>
      <c r="P1323" t="s">
        <v>287</v>
      </c>
      <c r="T1323">
        <v>4</v>
      </c>
      <c r="U1323" t="s">
        <v>56</v>
      </c>
      <c r="V1323" t="s">
        <v>56</v>
      </c>
    </row>
    <row r="1324" spans="1:22" x14ac:dyDescent="0.3">
      <c r="A1324" s="49">
        <v>45275</v>
      </c>
      <c r="E1324" t="s">
        <v>3187</v>
      </c>
      <c r="G1324" t="s">
        <v>5148</v>
      </c>
      <c r="H1324" t="s">
        <v>28</v>
      </c>
      <c r="I1324" t="s">
        <v>5621</v>
      </c>
      <c r="J1324" t="s">
        <v>63</v>
      </c>
      <c r="K1324" t="s">
        <v>64</v>
      </c>
      <c r="M1324">
        <v>100</v>
      </c>
      <c r="N1324" t="s">
        <v>33</v>
      </c>
      <c r="O1324" t="s">
        <v>3660</v>
      </c>
      <c r="P1324" t="s">
        <v>287</v>
      </c>
      <c r="T1324">
        <v>4</v>
      </c>
      <c r="U1324" t="s">
        <v>56</v>
      </c>
      <c r="V1324" t="s">
        <v>56</v>
      </c>
    </row>
    <row r="1325" spans="1:22" x14ac:dyDescent="0.3">
      <c r="A1325" s="49">
        <v>45275</v>
      </c>
      <c r="E1325" t="s">
        <v>3187</v>
      </c>
      <c r="G1325" t="s">
        <v>5148</v>
      </c>
      <c r="H1325" t="s">
        <v>28</v>
      </c>
      <c r="I1325" t="s">
        <v>5621</v>
      </c>
      <c r="J1325" t="s">
        <v>63</v>
      </c>
      <c r="K1325" t="s">
        <v>64</v>
      </c>
      <c r="M1325">
        <v>100</v>
      </c>
      <c r="N1325" t="s">
        <v>33</v>
      </c>
      <c r="O1325" t="s">
        <v>3660</v>
      </c>
      <c r="P1325" t="s">
        <v>287</v>
      </c>
      <c r="T1325">
        <v>4</v>
      </c>
      <c r="U1325" t="s">
        <v>56</v>
      </c>
      <c r="V1325" t="s">
        <v>56</v>
      </c>
    </row>
    <row r="1326" spans="1:22" x14ac:dyDescent="0.3">
      <c r="A1326" s="49">
        <v>45275</v>
      </c>
      <c r="E1326" t="s">
        <v>3187</v>
      </c>
      <c r="G1326" t="s">
        <v>5148</v>
      </c>
      <c r="H1326" t="s">
        <v>28</v>
      </c>
      <c r="I1326" t="s">
        <v>5621</v>
      </c>
      <c r="J1326" t="s">
        <v>63</v>
      </c>
      <c r="K1326" t="s">
        <v>64</v>
      </c>
      <c r="M1326">
        <v>100</v>
      </c>
      <c r="N1326" t="s">
        <v>33</v>
      </c>
      <c r="O1326" t="s">
        <v>3660</v>
      </c>
      <c r="P1326" t="s">
        <v>287</v>
      </c>
      <c r="T1326">
        <v>4</v>
      </c>
      <c r="U1326" t="s">
        <v>56</v>
      </c>
      <c r="V1326" t="s">
        <v>56</v>
      </c>
    </row>
    <row r="1327" spans="1:22" x14ac:dyDescent="0.3">
      <c r="A1327" s="49">
        <v>45275</v>
      </c>
      <c r="E1327" t="s">
        <v>3187</v>
      </c>
      <c r="G1327" t="s">
        <v>761</v>
      </c>
      <c r="H1327" t="s">
        <v>89</v>
      </c>
      <c r="J1327" t="s">
        <v>63</v>
      </c>
      <c r="K1327" t="s">
        <v>64</v>
      </c>
      <c r="M1327">
        <v>100</v>
      </c>
      <c r="N1327" t="s">
        <v>49</v>
      </c>
      <c r="O1327" t="s">
        <v>3661</v>
      </c>
      <c r="P1327" t="s">
        <v>4878</v>
      </c>
      <c r="T1327">
        <v>4</v>
      </c>
      <c r="U1327" t="s">
        <v>56</v>
      </c>
      <c r="V1327" t="s">
        <v>56</v>
      </c>
    </row>
    <row r="1328" spans="1:22" x14ac:dyDescent="0.3">
      <c r="A1328" s="49">
        <v>45275</v>
      </c>
      <c r="E1328" t="s">
        <v>3144</v>
      </c>
      <c r="G1328" t="s">
        <v>5149</v>
      </c>
      <c r="H1328" t="s">
        <v>28</v>
      </c>
      <c r="I1328" t="s">
        <v>5622</v>
      </c>
      <c r="J1328" t="s">
        <v>63</v>
      </c>
      <c r="K1328" t="s">
        <v>64</v>
      </c>
      <c r="M1328">
        <v>100</v>
      </c>
      <c r="N1328" t="s">
        <v>49</v>
      </c>
      <c r="O1328" t="s">
        <v>3662</v>
      </c>
      <c r="P1328" t="s">
        <v>416</v>
      </c>
      <c r="T1328">
        <v>4</v>
      </c>
      <c r="U1328" t="s">
        <v>56</v>
      </c>
      <c r="V1328" t="s">
        <v>56</v>
      </c>
    </row>
    <row r="1329" spans="1:22" x14ac:dyDescent="0.3">
      <c r="A1329" s="49">
        <v>45275</v>
      </c>
      <c r="E1329" t="s">
        <v>3205</v>
      </c>
      <c r="G1329" t="s">
        <v>5019</v>
      </c>
      <c r="H1329" t="s">
        <v>89</v>
      </c>
      <c r="J1329" t="s">
        <v>63</v>
      </c>
      <c r="K1329" t="s">
        <v>64</v>
      </c>
      <c r="M1329">
        <v>100</v>
      </c>
      <c r="N1329" t="s">
        <v>49</v>
      </c>
      <c r="O1329" t="s">
        <v>3663</v>
      </c>
      <c r="P1329" t="s">
        <v>4879</v>
      </c>
      <c r="T1329">
        <v>4</v>
      </c>
      <c r="U1329" t="s">
        <v>56</v>
      </c>
      <c r="V1329" t="s">
        <v>56</v>
      </c>
    </row>
    <row r="1330" spans="1:22" x14ac:dyDescent="0.3">
      <c r="A1330" s="49">
        <v>45275</v>
      </c>
      <c r="E1330" t="s">
        <v>3206</v>
      </c>
      <c r="G1330" t="s">
        <v>5150</v>
      </c>
      <c r="H1330" t="s">
        <v>28</v>
      </c>
      <c r="I1330" t="s">
        <v>5623</v>
      </c>
      <c r="J1330" t="s">
        <v>63</v>
      </c>
      <c r="K1330" t="s">
        <v>211</v>
      </c>
      <c r="M1330">
        <v>100</v>
      </c>
      <c r="N1330" t="s">
        <v>33</v>
      </c>
      <c r="O1330" t="s">
        <v>3664</v>
      </c>
      <c r="P1330" t="s">
        <v>287</v>
      </c>
      <c r="T1330">
        <v>4</v>
      </c>
      <c r="U1330" t="s">
        <v>56</v>
      </c>
      <c r="V1330" t="s">
        <v>56</v>
      </c>
    </row>
    <row r="1331" spans="1:22" x14ac:dyDescent="0.3">
      <c r="A1331" s="49">
        <v>45275</v>
      </c>
      <c r="E1331" t="s">
        <v>3207</v>
      </c>
      <c r="G1331" t="s">
        <v>5151</v>
      </c>
      <c r="H1331" t="s">
        <v>28</v>
      </c>
      <c r="I1331" t="s">
        <v>5624</v>
      </c>
      <c r="J1331" t="s">
        <v>63</v>
      </c>
      <c r="K1331" t="s">
        <v>64</v>
      </c>
      <c r="M1331">
        <v>0</v>
      </c>
      <c r="N1331" t="s">
        <v>74</v>
      </c>
      <c r="O1331" t="s">
        <v>3665</v>
      </c>
      <c r="P1331" t="s">
        <v>85</v>
      </c>
      <c r="T1331">
        <v>4</v>
      </c>
      <c r="U1331" t="s">
        <v>56</v>
      </c>
      <c r="V1331" t="s">
        <v>56</v>
      </c>
    </row>
    <row r="1332" spans="1:22" x14ac:dyDescent="0.3">
      <c r="A1332" s="49">
        <v>45275</v>
      </c>
      <c r="E1332" t="s">
        <v>3207</v>
      </c>
      <c r="G1332" t="s">
        <v>5152</v>
      </c>
      <c r="H1332" t="s">
        <v>28</v>
      </c>
      <c r="I1332" t="s">
        <v>5625</v>
      </c>
      <c r="J1332" t="s">
        <v>63</v>
      </c>
      <c r="K1332" t="s">
        <v>64</v>
      </c>
      <c r="M1332">
        <v>100</v>
      </c>
      <c r="N1332" t="s">
        <v>49</v>
      </c>
      <c r="O1332" t="s">
        <v>3666</v>
      </c>
      <c r="P1332" t="s">
        <v>4880</v>
      </c>
      <c r="T1332">
        <v>4</v>
      </c>
      <c r="U1332" t="s">
        <v>56</v>
      </c>
      <c r="V1332" t="s">
        <v>56</v>
      </c>
    </row>
    <row r="1333" spans="1:22" x14ac:dyDescent="0.3">
      <c r="A1333" s="49">
        <v>45275</v>
      </c>
      <c r="E1333" t="s">
        <v>3207</v>
      </c>
      <c r="G1333" t="s">
        <v>5152</v>
      </c>
      <c r="H1333" t="s">
        <v>28</v>
      </c>
      <c r="I1333" t="s">
        <v>5625</v>
      </c>
      <c r="J1333" t="s">
        <v>63</v>
      </c>
      <c r="K1333" t="s">
        <v>64</v>
      </c>
      <c r="M1333">
        <v>100</v>
      </c>
      <c r="N1333" t="s">
        <v>49</v>
      </c>
      <c r="O1333" t="s">
        <v>3666</v>
      </c>
      <c r="P1333" t="s">
        <v>4880</v>
      </c>
      <c r="T1333">
        <v>4</v>
      </c>
      <c r="U1333" t="s">
        <v>56</v>
      </c>
      <c r="V1333" t="s">
        <v>56</v>
      </c>
    </row>
    <row r="1334" spans="1:22" x14ac:dyDescent="0.3">
      <c r="A1334" s="49">
        <v>45275</v>
      </c>
      <c r="E1334" t="s">
        <v>3115</v>
      </c>
      <c r="G1334" t="s">
        <v>5153</v>
      </c>
      <c r="H1334" t="s">
        <v>28</v>
      </c>
      <c r="I1334" t="s">
        <v>5626</v>
      </c>
      <c r="J1334" t="s">
        <v>63</v>
      </c>
      <c r="K1334" t="s">
        <v>64</v>
      </c>
      <c r="M1334">
        <v>0</v>
      </c>
      <c r="N1334" t="s">
        <v>49</v>
      </c>
      <c r="O1334" t="s">
        <v>3667</v>
      </c>
      <c r="P1334" t="s">
        <v>4827</v>
      </c>
      <c r="T1334">
        <v>4</v>
      </c>
      <c r="U1334" t="s">
        <v>56</v>
      </c>
      <c r="V1334" t="s">
        <v>56</v>
      </c>
    </row>
    <row r="1335" spans="1:22" x14ac:dyDescent="0.3">
      <c r="A1335" s="49">
        <v>45275</v>
      </c>
      <c r="E1335" t="s">
        <v>3115</v>
      </c>
      <c r="G1335" t="s">
        <v>1524</v>
      </c>
      <c r="H1335" t="s">
        <v>28</v>
      </c>
      <c r="I1335" t="s">
        <v>5627</v>
      </c>
      <c r="J1335" t="s">
        <v>63</v>
      </c>
      <c r="K1335" t="s">
        <v>211</v>
      </c>
      <c r="M1335">
        <v>0</v>
      </c>
      <c r="N1335" t="s">
        <v>33</v>
      </c>
      <c r="O1335" t="s">
        <v>3668</v>
      </c>
      <c r="P1335" t="s">
        <v>106</v>
      </c>
      <c r="T1335">
        <v>4</v>
      </c>
      <c r="U1335" t="s">
        <v>56</v>
      </c>
      <c r="V1335" t="s">
        <v>56</v>
      </c>
    </row>
    <row r="1336" spans="1:22" x14ac:dyDescent="0.3">
      <c r="A1336" s="49">
        <v>45275</v>
      </c>
      <c r="E1336" t="s">
        <v>3115</v>
      </c>
      <c r="G1336" t="s">
        <v>1524</v>
      </c>
      <c r="H1336" t="s">
        <v>89</v>
      </c>
      <c r="J1336" t="s">
        <v>63</v>
      </c>
      <c r="K1336" t="s">
        <v>64</v>
      </c>
      <c r="M1336">
        <v>100</v>
      </c>
      <c r="N1336" t="s">
        <v>33</v>
      </c>
      <c r="O1336" t="s">
        <v>3669</v>
      </c>
      <c r="P1336" t="s">
        <v>163</v>
      </c>
      <c r="T1336">
        <v>4</v>
      </c>
      <c r="U1336" t="s">
        <v>56</v>
      </c>
      <c r="V1336" t="s">
        <v>56</v>
      </c>
    </row>
    <row r="1337" spans="1:22" x14ac:dyDescent="0.3">
      <c r="A1337" s="49">
        <v>45275</v>
      </c>
      <c r="E1337" t="s">
        <v>3115</v>
      </c>
      <c r="G1337" t="s">
        <v>5154</v>
      </c>
      <c r="H1337" t="s">
        <v>28</v>
      </c>
      <c r="I1337" t="s">
        <v>5628</v>
      </c>
      <c r="J1337" t="s">
        <v>63</v>
      </c>
      <c r="K1337" t="s">
        <v>211</v>
      </c>
      <c r="M1337">
        <v>100</v>
      </c>
      <c r="N1337" t="s">
        <v>49</v>
      </c>
      <c r="O1337" t="s">
        <v>3670</v>
      </c>
      <c r="P1337" t="s">
        <v>4881</v>
      </c>
      <c r="T1337">
        <v>4</v>
      </c>
      <c r="U1337" t="s">
        <v>56</v>
      </c>
      <c r="V1337" t="s">
        <v>56</v>
      </c>
    </row>
    <row r="1338" spans="1:22" x14ac:dyDescent="0.3">
      <c r="A1338" s="49">
        <v>45275</v>
      </c>
      <c r="E1338" t="s">
        <v>3115</v>
      </c>
      <c r="G1338" t="s">
        <v>5154</v>
      </c>
      <c r="H1338" t="s">
        <v>89</v>
      </c>
      <c r="J1338" t="s">
        <v>63</v>
      </c>
      <c r="K1338" t="s">
        <v>211</v>
      </c>
      <c r="M1338">
        <v>100</v>
      </c>
      <c r="N1338" t="s">
        <v>49</v>
      </c>
      <c r="O1338" t="s">
        <v>3671</v>
      </c>
      <c r="P1338" t="s">
        <v>1230</v>
      </c>
      <c r="T1338">
        <v>4</v>
      </c>
      <c r="U1338" t="s">
        <v>56</v>
      </c>
      <c r="V1338" t="s">
        <v>56</v>
      </c>
    </row>
    <row r="1339" spans="1:22" x14ac:dyDescent="0.3">
      <c r="A1339" s="49">
        <v>45275</v>
      </c>
      <c r="E1339" t="s">
        <v>3146</v>
      </c>
      <c r="G1339" t="s">
        <v>5155</v>
      </c>
      <c r="H1339" t="s">
        <v>28</v>
      </c>
      <c r="I1339" t="s">
        <v>5629</v>
      </c>
      <c r="J1339" t="s">
        <v>63</v>
      </c>
      <c r="K1339" t="s">
        <v>64</v>
      </c>
      <c r="M1339">
        <v>100</v>
      </c>
      <c r="N1339" t="s">
        <v>49</v>
      </c>
      <c r="O1339" t="s">
        <v>3672</v>
      </c>
      <c r="P1339" t="s">
        <v>170</v>
      </c>
      <c r="T1339">
        <v>4</v>
      </c>
      <c r="U1339" t="s">
        <v>56</v>
      </c>
      <c r="V1339" t="s">
        <v>56</v>
      </c>
    </row>
    <row r="1340" spans="1:22" x14ac:dyDescent="0.3">
      <c r="A1340" s="49">
        <v>45275</v>
      </c>
      <c r="E1340" t="s">
        <v>3146</v>
      </c>
      <c r="G1340" t="s">
        <v>5156</v>
      </c>
      <c r="H1340" t="s">
        <v>28</v>
      </c>
      <c r="I1340" t="s">
        <v>5630</v>
      </c>
      <c r="J1340" t="s">
        <v>63</v>
      </c>
      <c r="K1340" t="s">
        <v>64</v>
      </c>
      <c r="M1340">
        <v>100</v>
      </c>
      <c r="N1340" t="s">
        <v>33</v>
      </c>
      <c r="O1340" t="s">
        <v>3673</v>
      </c>
      <c r="P1340" t="s">
        <v>751</v>
      </c>
      <c r="T1340">
        <v>4</v>
      </c>
      <c r="U1340" t="s">
        <v>56</v>
      </c>
      <c r="V1340" t="s">
        <v>56</v>
      </c>
    </row>
    <row r="1341" spans="1:22" x14ac:dyDescent="0.3">
      <c r="A1341" s="49">
        <v>45275</v>
      </c>
      <c r="E1341" t="s">
        <v>3146</v>
      </c>
      <c r="G1341" t="s">
        <v>5157</v>
      </c>
      <c r="H1341" t="s">
        <v>28</v>
      </c>
      <c r="I1341" t="s">
        <v>5631</v>
      </c>
      <c r="J1341" t="s">
        <v>63</v>
      </c>
      <c r="K1341" t="s">
        <v>64</v>
      </c>
      <c r="M1341">
        <v>100</v>
      </c>
      <c r="N1341" t="s">
        <v>49</v>
      </c>
      <c r="O1341" t="s">
        <v>3674</v>
      </c>
      <c r="P1341" t="s">
        <v>416</v>
      </c>
      <c r="T1341">
        <v>4</v>
      </c>
      <c r="U1341" t="s">
        <v>56</v>
      </c>
      <c r="V1341" t="s">
        <v>56</v>
      </c>
    </row>
    <row r="1342" spans="1:22" x14ac:dyDescent="0.3">
      <c r="A1342" s="49">
        <v>45275</v>
      </c>
      <c r="E1342" t="s">
        <v>3116</v>
      </c>
      <c r="G1342" t="s">
        <v>4977</v>
      </c>
      <c r="H1342" t="s">
        <v>89</v>
      </c>
      <c r="J1342" t="s">
        <v>63</v>
      </c>
      <c r="K1342" t="s">
        <v>64</v>
      </c>
      <c r="M1342">
        <v>10</v>
      </c>
      <c r="N1342" t="s">
        <v>33</v>
      </c>
      <c r="O1342" t="s">
        <v>3675</v>
      </c>
      <c r="P1342" t="s">
        <v>1597</v>
      </c>
      <c r="T1342">
        <v>4</v>
      </c>
      <c r="U1342" t="s">
        <v>56</v>
      </c>
      <c r="V1342" t="s">
        <v>56</v>
      </c>
    </row>
    <row r="1343" spans="1:22" x14ac:dyDescent="0.3">
      <c r="A1343" s="49">
        <v>45275</v>
      </c>
      <c r="E1343" t="s">
        <v>3116</v>
      </c>
      <c r="G1343" t="s">
        <v>768</v>
      </c>
      <c r="H1343" t="s">
        <v>89</v>
      </c>
      <c r="J1343" t="s">
        <v>63</v>
      </c>
      <c r="K1343" t="s">
        <v>64</v>
      </c>
      <c r="M1343">
        <v>100</v>
      </c>
      <c r="N1343" t="s">
        <v>49</v>
      </c>
      <c r="O1343" t="s">
        <v>3676</v>
      </c>
      <c r="P1343" t="s">
        <v>4834</v>
      </c>
      <c r="T1343">
        <v>4</v>
      </c>
      <c r="U1343" t="s">
        <v>56</v>
      </c>
      <c r="V1343" t="s">
        <v>56</v>
      </c>
    </row>
    <row r="1344" spans="1:22" x14ac:dyDescent="0.3">
      <c r="A1344" s="49">
        <v>45275</v>
      </c>
      <c r="E1344" t="s">
        <v>3116</v>
      </c>
      <c r="G1344" t="s">
        <v>4977</v>
      </c>
      <c r="H1344" t="s">
        <v>28</v>
      </c>
      <c r="I1344" t="s">
        <v>5632</v>
      </c>
      <c r="J1344" t="s">
        <v>63</v>
      </c>
      <c r="K1344" t="s">
        <v>64</v>
      </c>
      <c r="M1344">
        <v>65</v>
      </c>
      <c r="N1344" t="s">
        <v>49</v>
      </c>
      <c r="O1344" t="s">
        <v>3677</v>
      </c>
      <c r="P1344" t="s">
        <v>4875</v>
      </c>
      <c r="T1344">
        <v>4</v>
      </c>
      <c r="U1344" t="s">
        <v>56</v>
      </c>
      <c r="V1344" t="s">
        <v>56</v>
      </c>
    </row>
    <row r="1345" spans="1:22" x14ac:dyDescent="0.3">
      <c r="A1345" s="49">
        <v>45275</v>
      </c>
      <c r="E1345" t="s">
        <v>3116</v>
      </c>
      <c r="G1345" t="s">
        <v>4977</v>
      </c>
      <c r="H1345" t="s">
        <v>28</v>
      </c>
      <c r="I1345" t="s">
        <v>5633</v>
      </c>
      <c r="J1345" t="s">
        <v>63</v>
      </c>
      <c r="K1345" t="s">
        <v>64</v>
      </c>
      <c r="M1345">
        <v>65</v>
      </c>
      <c r="N1345" t="s">
        <v>49</v>
      </c>
      <c r="O1345" t="s">
        <v>3678</v>
      </c>
      <c r="P1345" t="s">
        <v>4828</v>
      </c>
      <c r="T1345">
        <v>4</v>
      </c>
      <c r="U1345" t="s">
        <v>56</v>
      </c>
      <c r="V1345" t="s">
        <v>56</v>
      </c>
    </row>
    <row r="1346" spans="1:22" x14ac:dyDescent="0.3">
      <c r="A1346" s="49">
        <v>45275</v>
      </c>
      <c r="E1346" t="s">
        <v>3116</v>
      </c>
      <c r="G1346" t="s">
        <v>5066</v>
      </c>
      <c r="H1346" t="s">
        <v>28</v>
      </c>
      <c r="I1346" t="s">
        <v>5634</v>
      </c>
      <c r="J1346" t="s">
        <v>63</v>
      </c>
      <c r="K1346" t="s">
        <v>64</v>
      </c>
      <c r="M1346">
        <v>80</v>
      </c>
      <c r="N1346" t="s">
        <v>33</v>
      </c>
      <c r="O1346" t="s">
        <v>231</v>
      </c>
      <c r="P1346" t="s">
        <v>163</v>
      </c>
      <c r="T1346">
        <v>4</v>
      </c>
      <c r="U1346" t="s">
        <v>56</v>
      </c>
      <c r="V1346" t="s">
        <v>56</v>
      </c>
    </row>
    <row r="1347" spans="1:22" x14ac:dyDescent="0.3">
      <c r="A1347" s="49">
        <v>45275</v>
      </c>
      <c r="E1347" t="s">
        <v>3116</v>
      </c>
      <c r="G1347" t="s">
        <v>5066</v>
      </c>
      <c r="H1347" t="s">
        <v>28</v>
      </c>
      <c r="I1347" t="s">
        <v>5503</v>
      </c>
      <c r="J1347" t="s">
        <v>63</v>
      </c>
      <c r="K1347" t="s">
        <v>64</v>
      </c>
      <c r="M1347">
        <v>80</v>
      </c>
      <c r="N1347" t="s">
        <v>49</v>
      </c>
      <c r="O1347" t="s">
        <v>3679</v>
      </c>
      <c r="P1347" t="s">
        <v>4828</v>
      </c>
      <c r="T1347">
        <v>4</v>
      </c>
      <c r="U1347" t="s">
        <v>56</v>
      </c>
      <c r="V1347" t="s">
        <v>56</v>
      </c>
    </row>
    <row r="1348" spans="1:22" x14ac:dyDescent="0.3">
      <c r="A1348" s="49">
        <v>45275</v>
      </c>
      <c r="E1348" t="s">
        <v>3116</v>
      </c>
      <c r="G1348" t="s">
        <v>5066</v>
      </c>
      <c r="H1348" t="s">
        <v>28</v>
      </c>
      <c r="I1348" t="s">
        <v>5634</v>
      </c>
      <c r="J1348" t="s">
        <v>63</v>
      </c>
      <c r="K1348" t="s">
        <v>64</v>
      </c>
      <c r="M1348">
        <v>98</v>
      </c>
      <c r="N1348" t="s">
        <v>49</v>
      </c>
      <c r="O1348" t="s">
        <v>1044</v>
      </c>
      <c r="P1348" t="s">
        <v>306</v>
      </c>
      <c r="T1348">
        <v>4</v>
      </c>
      <c r="U1348" t="s">
        <v>56</v>
      </c>
      <c r="V1348" t="s">
        <v>56</v>
      </c>
    </row>
    <row r="1349" spans="1:22" x14ac:dyDescent="0.3">
      <c r="A1349" s="49">
        <v>45275</v>
      </c>
      <c r="E1349" t="s">
        <v>3116</v>
      </c>
      <c r="G1349" t="s">
        <v>5066</v>
      </c>
      <c r="H1349" t="s">
        <v>89</v>
      </c>
      <c r="J1349" t="s">
        <v>63</v>
      </c>
      <c r="K1349" t="s">
        <v>64</v>
      </c>
      <c r="M1349">
        <v>100</v>
      </c>
      <c r="N1349" t="s">
        <v>49</v>
      </c>
      <c r="O1349" t="s">
        <v>3680</v>
      </c>
      <c r="P1349" t="s">
        <v>4828</v>
      </c>
      <c r="T1349">
        <v>4</v>
      </c>
      <c r="U1349" t="s">
        <v>56</v>
      </c>
      <c r="V1349" t="s">
        <v>56</v>
      </c>
    </row>
    <row r="1350" spans="1:22" x14ac:dyDescent="0.3">
      <c r="A1350" s="49">
        <v>45275</v>
      </c>
      <c r="E1350" t="s">
        <v>3116</v>
      </c>
      <c r="G1350" t="s">
        <v>5158</v>
      </c>
      <c r="H1350" t="s">
        <v>28</v>
      </c>
      <c r="I1350" t="s">
        <v>5635</v>
      </c>
      <c r="J1350" t="s">
        <v>63</v>
      </c>
      <c r="K1350" t="s">
        <v>64</v>
      </c>
      <c r="M1350">
        <v>100</v>
      </c>
      <c r="N1350" t="s">
        <v>49</v>
      </c>
      <c r="O1350" t="s">
        <v>3681</v>
      </c>
      <c r="P1350" t="s">
        <v>4880</v>
      </c>
      <c r="T1350">
        <v>4</v>
      </c>
      <c r="U1350" t="s">
        <v>56</v>
      </c>
      <c r="V1350" t="s">
        <v>56</v>
      </c>
    </row>
    <row r="1351" spans="1:22" x14ac:dyDescent="0.3">
      <c r="A1351" s="49">
        <v>45275</v>
      </c>
      <c r="E1351" t="s">
        <v>3116</v>
      </c>
      <c r="G1351" t="s">
        <v>768</v>
      </c>
      <c r="H1351" t="s">
        <v>89</v>
      </c>
      <c r="J1351" t="s">
        <v>63</v>
      </c>
      <c r="K1351" t="s">
        <v>64</v>
      </c>
      <c r="M1351">
        <v>100</v>
      </c>
      <c r="N1351" t="s">
        <v>33</v>
      </c>
      <c r="O1351" t="s">
        <v>3682</v>
      </c>
      <c r="P1351" t="s">
        <v>4830</v>
      </c>
      <c r="T1351">
        <v>4</v>
      </c>
      <c r="U1351" t="s">
        <v>56</v>
      </c>
      <c r="V1351" t="s">
        <v>56</v>
      </c>
    </row>
    <row r="1352" spans="1:22" x14ac:dyDescent="0.3">
      <c r="A1352" s="49">
        <v>45275</v>
      </c>
      <c r="E1352" t="s">
        <v>2309</v>
      </c>
      <c r="G1352" t="s">
        <v>5025</v>
      </c>
      <c r="H1352" t="s">
        <v>28</v>
      </c>
      <c r="I1352" t="s">
        <v>5636</v>
      </c>
      <c r="J1352" t="s">
        <v>30</v>
      </c>
      <c r="K1352" t="s">
        <v>1546</v>
      </c>
      <c r="M1352">
        <v>100</v>
      </c>
      <c r="N1352" t="s">
        <v>49</v>
      </c>
      <c r="O1352" t="s">
        <v>3683</v>
      </c>
      <c r="P1352" t="s">
        <v>344</v>
      </c>
      <c r="T1352">
        <v>6</v>
      </c>
      <c r="U1352" t="s">
        <v>40</v>
      </c>
      <c r="V1352" t="s">
        <v>41</v>
      </c>
    </row>
    <row r="1353" spans="1:22" x14ac:dyDescent="0.3">
      <c r="A1353" s="49">
        <v>45275</v>
      </c>
      <c r="E1353" t="s">
        <v>2309</v>
      </c>
      <c r="G1353" t="s">
        <v>5025</v>
      </c>
      <c r="H1353" t="s">
        <v>28</v>
      </c>
      <c r="I1353" t="s">
        <v>5637</v>
      </c>
      <c r="J1353" t="s">
        <v>30</v>
      </c>
      <c r="K1353" t="s">
        <v>1546</v>
      </c>
      <c r="M1353">
        <v>25</v>
      </c>
      <c r="N1353" t="s">
        <v>33</v>
      </c>
      <c r="O1353" t="s">
        <v>3684</v>
      </c>
      <c r="P1353" t="s">
        <v>737</v>
      </c>
      <c r="T1353">
        <v>6</v>
      </c>
      <c r="U1353" t="s">
        <v>40</v>
      </c>
      <c r="V1353" t="s">
        <v>41</v>
      </c>
    </row>
    <row r="1354" spans="1:22" x14ac:dyDescent="0.3">
      <c r="A1354" s="49">
        <v>45275</v>
      </c>
      <c r="E1354" t="s">
        <v>3208</v>
      </c>
      <c r="G1354" t="s">
        <v>5025</v>
      </c>
      <c r="H1354" t="s">
        <v>89</v>
      </c>
      <c r="J1354" t="s">
        <v>63</v>
      </c>
      <c r="K1354" t="s">
        <v>64</v>
      </c>
      <c r="M1354">
        <v>28</v>
      </c>
      <c r="N1354" t="s">
        <v>49</v>
      </c>
      <c r="O1354" t="s">
        <v>3685</v>
      </c>
      <c r="P1354" t="s">
        <v>1701</v>
      </c>
      <c r="T1354">
        <v>4</v>
      </c>
      <c r="U1354" t="s">
        <v>56</v>
      </c>
      <c r="V1354" t="s">
        <v>56</v>
      </c>
    </row>
    <row r="1355" spans="1:22" x14ac:dyDescent="0.3">
      <c r="A1355" s="49">
        <v>45275</v>
      </c>
      <c r="E1355" t="s">
        <v>3178</v>
      </c>
      <c r="G1355" t="s">
        <v>5159</v>
      </c>
      <c r="H1355" t="s">
        <v>28</v>
      </c>
      <c r="I1355" t="s">
        <v>5638</v>
      </c>
      <c r="J1355" t="s">
        <v>30</v>
      </c>
      <c r="K1355" t="s">
        <v>1546</v>
      </c>
      <c r="M1355">
        <v>100</v>
      </c>
      <c r="N1355" t="s">
        <v>49</v>
      </c>
      <c r="O1355" t="s">
        <v>3686</v>
      </c>
      <c r="P1355" t="s">
        <v>1230</v>
      </c>
      <c r="T1355">
        <v>4</v>
      </c>
      <c r="U1355" t="s">
        <v>56</v>
      </c>
      <c r="V1355" t="s">
        <v>56</v>
      </c>
    </row>
    <row r="1356" spans="1:22" x14ac:dyDescent="0.3">
      <c r="A1356" s="49">
        <v>45275</v>
      </c>
      <c r="E1356" t="s">
        <v>3178</v>
      </c>
      <c r="G1356" t="s">
        <v>5159</v>
      </c>
      <c r="H1356" t="s">
        <v>28</v>
      </c>
      <c r="I1356" t="s">
        <v>5638</v>
      </c>
      <c r="J1356" t="s">
        <v>30</v>
      </c>
      <c r="K1356" t="s">
        <v>1546</v>
      </c>
      <c r="M1356">
        <v>100</v>
      </c>
      <c r="N1356" t="s">
        <v>49</v>
      </c>
      <c r="O1356" t="s">
        <v>3687</v>
      </c>
      <c r="P1356" t="s">
        <v>1230</v>
      </c>
      <c r="T1356">
        <v>4</v>
      </c>
      <c r="U1356" t="s">
        <v>56</v>
      </c>
      <c r="V1356" t="s">
        <v>56</v>
      </c>
    </row>
    <row r="1357" spans="1:22" x14ac:dyDescent="0.3">
      <c r="A1357" s="49">
        <v>45275</v>
      </c>
      <c r="E1357" t="s">
        <v>3209</v>
      </c>
      <c r="G1357" t="s">
        <v>5160</v>
      </c>
      <c r="H1357" t="s">
        <v>28</v>
      </c>
      <c r="I1357" t="s">
        <v>5639</v>
      </c>
      <c r="J1357" t="s">
        <v>30</v>
      </c>
      <c r="K1357" t="s">
        <v>1546</v>
      </c>
      <c r="M1357">
        <v>0</v>
      </c>
      <c r="N1357" t="s">
        <v>74</v>
      </c>
      <c r="O1357" t="s">
        <v>3688</v>
      </c>
      <c r="P1357" t="s">
        <v>170</v>
      </c>
      <c r="T1357">
        <v>6</v>
      </c>
      <c r="U1357" t="s">
        <v>40</v>
      </c>
      <c r="V1357" t="s">
        <v>41</v>
      </c>
    </row>
    <row r="1358" spans="1:22" x14ac:dyDescent="0.3">
      <c r="A1358" s="49">
        <v>45275</v>
      </c>
      <c r="E1358" t="s">
        <v>3209</v>
      </c>
      <c r="G1358" t="s">
        <v>5160</v>
      </c>
      <c r="H1358" t="s">
        <v>28</v>
      </c>
      <c r="I1358" t="s">
        <v>5639</v>
      </c>
      <c r="J1358" t="s">
        <v>30</v>
      </c>
      <c r="K1358" t="s">
        <v>1546</v>
      </c>
      <c r="M1358">
        <v>10</v>
      </c>
      <c r="N1358" t="s">
        <v>33</v>
      </c>
      <c r="O1358" t="s">
        <v>3689</v>
      </c>
      <c r="P1358" t="s">
        <v>737</v>
      </c>
      <c r="T1358">
        <v>6</v>
      </c>
      <c r="U1358" t="s">
        <v>40</v>
      </c>
      <c r="V1358" t="s">
        <v>41</v>
      </c>
    </row>
    <row r="1359" spans="1:22" x14ac:dyDescent="0.3">
      <c r="A1359" s="49">
        <v>45275</v>
      </c>
      <c r="E1359" t="s">
        <v>3210</v>
      </c>
      <c r="G1359" t="s">
        <v>5161</v>
      </c>
      <c r="H1359" t="s">
        <v>28</v>
      </c>
      <c r="I1359" t="s">
        <v>5640</v>
      </c>
      <c r="J1359" t="s">
        <v>30</v>
      </c>
      <c r="K1359" t="s">
        <v>1546</v>
      </c>
      <c r="M1359">
        <v>60</v>
      </c>
      <c r="N1359" t="s">
        <v>33</v>
      </c>
      <c r="O1359" t="s">
        <v>3690</v>
      </c>
      <c r="P1359" t="s">
        <v>4830</v>
      </c>
      <c r="T1359">
        <v>4</v>
      </c>
      <c r="U1359" t="s">
        <v>56</v>
      </c>
      <c r="V1359" t="s">
        <v>56</v>
      </c>
    </row>
    <row r="1360" spans="1:22" x14ac:dyDescent="0.3">
      <c r="A1360" s="49">
        <v>45275</v>
      </c>
      <c r="E1360" t="s">
        <v>3180</v>
      </c>
      <c r="G1360" t="s">
        <v>5162</v>
      </c>
      <c r="H1360" t="s">
        <v>89</v>
      </c>
      <c r="J1360" t="s">
        <v>46</v>
      </c>
      <c r="K1360" t="s">
        <v>481</v>
      </c>
      <c r="M1360">
        <v>100</v>
      </c>
      <c r="N1360" t="s">
        <v>33</v>
      </c>
      <c r="O1360" t="s">
        <v>3691</v>
      </c>
      <c r="P1360" t="s">
        <v>1122</v>
      </c>
      <c r="T1360">
        <v>6</v>
      </c>
      <c r="U1360" t="s">
        <v>40</v>
      </c>
      <c r="V1360" t="s">
        <v>41</v>
      </c>
    </row>
    <row r="1361" spans="1:22" x14ac:dyDescent="0.3">
      <c r="A1361" s="49">
        <v>45275</v>
      </c>
      <c r="E1361" t="s">
        <v>3180</v>
      </c>
      <c r="G1361" t="s">
        <v>5163</v>
      </c>
      <c r="H1361" t="s">
        <v>28</v>
      </c>
      <c r="I1361" t="s">
        <v>5641</v>
      </c>
      <c r="J1361" t="s">
        <v>46</v>
      </c>
      <c r="K1361" t="s">
        <v>4941</v>
      </c>
      <c r="M1361">
        <v>50</v>
      </c>
      <c r="N1361" t="s">
        <v>33</v>
      </c>
      <c r="O1361" t="s">
        <v>3692</v>
      </c>
      <c r="P1361" t="s">
        <v>4882</v>
      </c>
      <c r="T1361">
        <v>6</v>
      </c>
      <c r="U1361" t="s">
        <v>40</v>
      </c>
      <c r="V1361" t="s">
        <v>41</v>
      </c>
    </row>
    <row r="1362" spans="1:22" x14ac:dyDescent="0.3">
      <c r="A1362" s="49">
        <v>45275</v>
      </c>
      <c r="E1362" t="s">
        <v>3180</v>
      </c>
      <c r="G1362" t="s">
        <v>5162</v>
      </c>
      <c r="H1362" t="s">
        <v>89</v>
      </c>
      <c r="J1362" t="s">
        <v>46</v>
      </c>
      <c r="K1362" t="s">
        <v>481</v>
      </c>
      <c r="M1362">
        <v>90</v>
      </c>
      <c r="N1362" t="s">
        <v>33</v>
      </c>
      <c r="O1362" t="s">
        <v>3693</v>
      </c>
      <c r="P1362" t="s">
        <v>416</v>
      </c>
      <c r="T1362">
        <v>6</v>
      </c>
      <c r="U1362" t="s">
        <v>40</v>
      </c>
      <c r="V1362" t="s">
        <v>41</v>
      </c>
    </row>
    <row r="1363" spans="1:22" x14ac:dyDescent="0.3">
      <c r="A1363" s="49">
        <v>45275</v>
      </c>
      <c r="E1363" t="s">
        <v>3180</v>
      </c>
      <c r="G1363" t="s">
        <v>5164</v>
      </c>
      <c r="H1363" t="s">
        <v>28</v>
      </c>
      <c r="I1363" t="s">
        <v>5642</v>
      </c>
      <c r="J1363" t="s">
        <v>46</v>
      </c>
      <c r="K1363" t="s">
        <v>481</v>
      </c>
      <c r="M1363">
        <v>10</v>
      </c>
      <c r="N1363" t="s">
        <v>33</v>
      </c>
      <c r="O1363" t="s">
        <v>3694</v>
      </c>
      <c r="P1363" t="s">
        <v>416</v>
      </c>
      <c r="T1363">
        <v>6</v>
      </c>
      <c r="U1363" t="s">
        <v>40</v>
      </c>
      <c r="V1363" t="s">
        <v>41</v>
      </c>
    </row>
    <row r="1364" spans="1:22" x14ac:dyDescent="0.3">
      <c r="A1364" s="49">
        <v>45275</v>
      </c>
      <c r="E1364" t="s">
        <v>3211</v>
      </c>
      <c r="G1364" t="s">
        <v>5165</v>
      </c>
      <c r="H1364" t="s">
        <v>28</v>
      </c>
      <c r="I1364" t="s">
        <v>5643</v>
      </c>
      <c r="J1364" t="s">
        <v>63</v>
      </c>
      <c r="K1364" t="s">
        <v>1546</v>
      </c>
      <c r="M1364">
        <v>100</v>
      </c>
      <c r="N1364" t="s">
        <v>49</v>
      </c>
      <c r="O1364" t="s">
        <v>3695</v>
      </c>
      <c r="P1364" t="s">
        <v>4833</v>
      </c>
      <c r="T1364">
        <v>4</v>
      </c>
      <c r="U1364" t="s">
        <v>56</v>
      </c>
      <c r="V1364" t="s">
        <v>56</v>
      </c>
    </row>
    <row r="1365" spans="1:22" x14ac:dyDescent="0.3">
      <c r="A1365" s="49">
        <v>45275</v>
      </c>
      <c r="E1365" t="s">
        <v>1064</v>
      </c>
      <c r="G1365" t="s">
        <v>5166</v>
      </c>
      <c r="H1365" t="s">
        <v>28</v>
      </c>
      <c r="I1365" t="s">
        <v>5644</v>
      </c>
      <c r="J1365" t="s">
        <v>1712</v>
      </c>
      <c r="K1365" t="s">
        <v>2181</v>
      </c>
      <c r="M1365">
        <v>100</v>
      </c>
      <c r="N1365" t="s">
        <v>49</v>
      </c>
      <c r="O1365" t="s">
        <v>3696</v>
      </c>
      <c r="P1365" t="s">
        <v>4881</v>
      </c>
      <c r="T1365">
        <v>4</v>
      </c>
      <c r="U1365" t="s">
        <v>56</v>
      </c>
      <c r="V1365" t="s">
        <v>56</v>
      </c>
    </row>
    <row r="1366" spans="1:22" x14ac:dyDescent="0.3">
      <c r="A1366" s="49">
        <v>45275</v>
      </c>
      <c r="E1366" t="s">
        <v>1064</v>
      </c>
      <c r="G1366" t="s">
        <v>5167</v>
      </c>
      <c r="H1366" t="s">
        <v>28</v>
      </c>
      <c r="I1366" t="s">
        <v>5645</v>
      </c>
      <c r="J1366" t="s">
        <v>63</v>
      </c>
      <c r="K1366" t="s">
        <v>64</v>
      </c>
      <c r="M1366">
        <v>3</v>
      </c>
      <c r="N1366" t="s">
        <v>49</v>
      </c>
      <c r="O1366" t="s">
        <v>3697</v>
      </c>
      <c r="P1366" t="s">
        <v>2627</v>
      </c>
      <c r="T1366">
        <v>4</v>
      </c>
      <c r="U1366" t="s">
        <v>56</v>
      </c>
      <c r="V1366" t="s">
        <v>56</v>
      </c>
    </row>
    <row r="1367" spans="1:22" x14ac:dyDescent="0.3">
      <c r="A1367" s="49">
        <v>45275</v>
      </c>
      <c r="E1367" t="s">
        <v>1064</v>
      </c>
      <c r="G1367" t="s">
        <v>5168</v>
      </c>
      <c r="H1367" t="s">
        <v>89</v>
      </c>
      <c r="J1367" t="s">
        <v>63</v>
      </c>
      <c r="K1367" t="s">
        <v>1235</v>
      </c>
      <c r="M1367">
        <v>100</v>
      </c>
      <c r="N1367" t="s">
        <v>49</v>
      </c>
      <c r="O1367" t="s">
        <v>3698</v>
      </c>
      <c r="P1367" t="s">
        <v>35</v>
      </c>
      <c r="T1367">
        <v>4</v>
      </c>
      <c r="U1367" t="s">
        <v>56</v>
      </c>
      <c r="V1367" t="s">
        <v>56</v>
      </c>
    </row>
    <row r="1368" spans="1:22" x14ac:dyDescent="0.3">
      <c r="A1368" s="49">
        <v>45275</v>
      </c>
      <c r="E1368" t="s">
        <v>3153</v>
      </c>
      <c r="G1368" t="s">
        <v>5169</v>
      </c>
      <c r="H1368" t="s">
        <v>89</v>
      </c>
      <c r="J1368" t="s">
        <v>46</v>
      </c>
      <c r="K1368" t="s">
        <v>481</v>
      </c>
      <c r="M1368">
        <v>0</v>
      </c>
      <c r="N1368" t="s">
        <v>74</v>
      </c>
      <c r="O1368" t="s">
        <v>3699</v>
      </c>
      <c r="P1368" t="s">
        <v>2627</v>
      </c>
      <c r="T1368">
        <v>4</v>
      </c>
      <c r="U1368" t="s">
        <v>56</v>
      </c>
      <c r="V1368" t="s">
        <v>56</v>
      </c>
    </row>
    <row r="1369" spans="1:22" x14ac:dyDescent="0.3">
      <c r="A1369" s="49">
        <v>45275</v>
      </c>
      <c r="E1369" t="s">
        <v>3153</v>
      </c>
      <c r="G1369" t="s">
        <v>5170</v>
      </c>
      <c r="H1369" t="s">
        <v>89</v>
      </c>
      <c r="J1369" t="s">
        <v>63</v>
      </c>
      <c r="K1369" t="s">
        <v>64</v>
      </c>
      <c r="M1369">
        <v>100</v>
      </c>
      <c r="N1369" t="s">
        <v>49</v>
      </c>
      <c r="O1369" t="s">
        <v>3700</v>
      </c>
      <c r="P1369" t="s">
        <v>791</v>
      </c>
      <c r="T1369">
        <v>4</v>
      </c>
      <c r="U1369" t="s">
        <v>56</v>
      </c>
      <c r="V1369" t="s">
        <v>56</v>
      </c>
    </row>
    <row r="1370" spans="1:22" x14ac:dyDescent="0.3">
      <c r="A1370" s="49">
        <v>45275</v>
      </c>
      <c r="E1370" t="s">
        <v>3153</v>
      </c>
      <c r="G1370" t="s">
        <v>5170</v>
      </c>
      <c r="H1370" t="s">
        <v>89</v>
      </c>
      <c r="J1370" t="s">
        <v>63</v>
      </c>
      <c r="K1370" t="s">
        <v>64</v>
      </c>
      <c r="M1370">
        <v>10</v>
      </c>
      <c r="N1370" t="s">
        <v>33</v>
      </c>
      <c r="O1370" t="s">
        <v>3700</v>
      </c>
      <c r="P1370" t="s">
        <v>791</v>
      </c>
      <c r="T1370">
        <v>4</v>
      </c>
      <c r="U1370" t="s">
        <v>56</v>
      </c>
      <c r="V1370" t="s">
        <v>56</v>
      </c>
    </row>
    <row r="1371" spans="1:22" x14ac:dyDescent="0.3">
      <c r="A1371" s="49">
        <v>45275</v>
      </c>
      <c r="E1371" t="s">
        <v>3153</v>
      </c>
      <c r="G1371" t="s">
        <v>2605</v>
      </c>
      <c r="H1371" t="s">
        <v>28</v>
      </c>
      <c r="I1371" t="s">
        <v>5646</v>
      </c>
      <c r="J1371" t="s">
        <v>1712</v>
      </c>
      <c r="K1371" t="s">
        <v>481</v>
      </c>
      <c r="M1371">
        <v>100</v>
      </c>
      <c r="N1371" t="s">
        <v>49</v>
      </c>
      <c r="O1371" t="s">
        <v>3701</v>
      </c>
      <c r="P1371" t="s">
        <v>4870</v>
      </c>
      <c r="T1371">
        <v>4</v>
      </c>
      <c r="U1371" t="s">
        <v>56</v>
      </c>
      <c r="V1371" t="s">
        <v>56</v>
      </c>
    </row>
    <row r="1372" spans="1:22" x14ac:dyDescent="0.3">
      <c r="A1372" s="49">
        <v>45275</v>
      </c>
      <c r="E1372" t="s">
        <v>3212</v>
      </c>
      <c r="G1372" t="s">
        <v>5171</v>
      </c>
      <c r="H1372" t="s">
        <v>28</v>
      </c>
      <c r="I1372" t="s">
        <v>5647</v>
      </c>
      <c r="J1372" t="s">
        <v>63</v>
      </c>
      <c r="K1372" t="s">
        <v>64</v>
      </c>
      <c r="M1372">
        <v>100</v>
      </c>
      <c r="N1372" t="s">
        <v>49</v>
      </c>
      <c r="O1372" t="s">
        <v>3702</v>
      </c>
      <c r="P1372" t="s">
        <v>170</v>
      </c>
      <c r="T1372">
        <v>4</v>
      </c>
      <c r="U1372" t="s">
        <v>56</v>
      </c>
      <c r="V1372" t="s">
        <v>56</v>
      </c>
    </row>
    <row r="1373" spans="1:22" x14ac:dyDescent="0.3">
      <c r="A1373" s="49">
        <v>45275</v>
      </c>
      <c r="E1373" t="s">
        <v>3118</v>
      </c>
      <c r="G1373" t="s">
        <v>5032</v>
      </c>
      <c r="H1373" t="s">
        <v>28</v>
      </c>
      <c r="I1373" t="s">
        <v>5648</v>
      </c>
      <c r="J1373" t="s">
        <v>63</v>
      </c>
      <c r="K1373" t="s">
        <v>197</v>
      </c>
      <c r="M1373">
        <v>100</v>
      </c>
      <c r="N1373" t="s">
        <v>33</v>
      </c>
      <c r="O1373" t="s">
        <v>3703</v>
      </c>
      <c r="P1373" t="s">
        <v>170</v>
      </c>
      <c r="T1373">
        <v>4</v>
      </c>
      <c r="U1373" t="s">
        <v>56</v>
      </c>
      <c r="V1373" t="s">
        <v>56</v>
      </c>
    </row>
    <row r="1374" spans="1:22" x14ac:dyDescent="0.3">
      <c r="A1374" s="49">
        <v>45275</v>
      </c>
      <c r="E1374" t="s">
        <v>3118</v>
      </c>
      <c r="G1374" t="s">
        <v>4979</v>
      </c>
      <c r="H1374" t="s">
        <v>28</v>
      </c>
      <c r="I1374" t="s">
        <v>5649</v>
      </c>
      <c r="J1374" t="s">
        <v>63</v>
      </c>
      <c r="K1374" t="s">
        <v>197</v>
      </c>
      <c r="M1374">
        <v>0</v>
      </c>
      <c r="N1374" t="s">
        <v>74</v>
      </c>
      <c r="O1374" t="s">
        <v>3704</v>
      </c>
      <c r="P1374" t="s">
        <v>956</v>
      </c>
      <c r="T1374">
        <v>4</v>
      </c>
      <c r="U1374" t="s">
        <v>56</v>
      </c>
      <c r="V1374" t="s">
        <v>56</v>
      </c>
    </row>
    <row r="1375" spans="1:22" x14ac:dyDescent="0.3">
      <c r="A1375" s="49">
        <v>45275</v>
      </c>
      <c r="E1375" t="s">
        <v>3118</v>
      </c>
      <c r="G1375" t="s">
        <v>4979</v>
      </c>
      <c r="H1375" t="s">
        <v>89</v>
      </c>
      <c r="J1375" t="s">
        <v>63</v>
      </c>
      <c r="K1375" t="s">
        <v>197</v>
      </c>
      <c r="M1375">
        <v>70</v>
      </c>
      <c r="N1375" t="s">
        <v>49</v>
      </c>
      <c r="O1375" t="s">
        <v>3705</v>
      </c>
      <c r="P1375" t="s">
        <v>35</v>
      </c>
      <c r="T1375">
        <v>4</v>
      </c>
      <c r="U1375" t="s">
        <v>56</v>
      </c>
      <c r="V1375" t="s">
        <v>56</v>
      </c>
    </row>
    <row r="1376" spans="1:22" x14ac:dyDescent="0.3">
      <c r="A1376" s="49">
        <v>45275</v>
      </c>
      <c r="E1376" t="s">
        <v>3118</v>
      </c>
      <c r="G1376" t="s">
        <v>4979</v>
      </c>
      <c r="H1376" t="s">
        <v>89</v>
      </c>
      <c r="J1376" t="s">
        <v>63</v>
      </c>
      <c r="K1376" t="s">
        <v>197</v>
      </c>
      <c r="M1376">
        <v>30</v>
      </c>
      <c r="N1376" t="s">
        <v>49</v>
      </c>
      <c r="O1376" t="s">
        <v>3705</v>
      </c>
      <c r="P1376" t="s">
        <v>35</v>
      </c>
      <c r="T1376">
        <v>4</v>
      </c>
      <c r="U1376" t="s">
        <v>56</v>
      </c>
      <c r="V1376" t="s">
        <v>56</v>
      </c>
    </row>
    <row r="1377" spans="1:22" x14ac:dyDescent="0.3">
      <c r="A1377" s="49">
        <v>45275</v>
      </c>
      <c r="E1377" t="s">
        <v>3118</v>
      </c>
      <c r="G1377" t="s">
        <v>4979</v>
      </c>
      <c r="H1377" t="s">
        <v>28</v>
      </c>
      <c r="I1377" t="s">
        <v>2056</v>
      </c>
      <c r="J1377" t="s">
        <v>63</v>
      </c>
      <c r="K1377" t="s">
        <v>197</v>
      </c>
      <c r="M1377">
        <v>90</v>
      </c>
      <c r="N1377" t="s">
        <v>33</v>
      </c>
      <c r="O1377" t="s">
        <v>3706</v>
      </c>
      <c r="P1377" t="s">
        <v>1727</v>
      </c>
      <c r="T1377">
        <v>4</v>
      </c>
      <c r="U1377" t="s">
        <v>56</v>
      </c>
      <c r="V1377" t="s">
        <v>56</v>
      </c>
    </row>
    <row r="1378" spans="1:22" x14ac:dyDescent="0.3">
      <c r="A1378" s="49">
        <v>45275</v>
      </c>
      <c r="E1378" t="s">
        <v>3118</v>
      </c>
      <c r="G1378" t="s">
        <v>4980</v>
      </c>
      <c r="H1378" t="s">
        <v>28</v>
      </c>
      <c r="I1378" t="s">
        <v>5406</v>
      </c>
      <c r="J1378" t="s">
        <v>46</v>
      </c>
      <c r="K1378" t="s">
        <v>422</v>
      </c>
      <c r="M1378">
        <v>30</v>
      </c>
      <c r="N1378" t="s">
        <v>33</v>
      </c>
      <c r="O1378" t="s">
        <v>3707</v>
      </c>
      <c r="P1378" t="s">
        <v>4832</v>
      </c>
      <c r="T1378">
        <v>4</v>
      </c>
      <c r="U1378" t="s">
        <v>56</v>
      </c>
      <c r="V1378" t="s">
        <v>56</v>
      </c>
    </row>
    <row r="1379" spans="1:22" x14ac:dyDescent="0.3">
      <c r="A1379" s="49">
        <v>45275</v>
      </c>
      <c r="E1379" t="s">
        <v>3118</v>
      </c>
      <c r="G1379" t="s">
        <v>4980</v>
      </c>
      <c r="H1379" t="s">
        <v>28</v>
      </c>
      <c r="I1379" t="s">
        <v>5650</v>
      </c>
      <c r="J1379" t="s">
        <v>63</v>
      </c>
      <c r="K1379" t="s">
        <v>64</v>
      </c>
      <c r="M1379">
        <v>0</v>
      </c>
      <c r="N1379" t="s">
        <v>74</v>
      </c>
      <c r="O1379" t="s">
        <v>3708</v>
      </c>
      <c r="P1379" t="s">
        <v>306</v>
      </c>
      <c r="T1379">
        <v>4</v>
      </c>
      <c r="U1379" t="s">
        <v>56</v>
      </c>
      <c r="V1379" t="s">
        <v>56</v>
      </c>
    </row>
    <row r="1380" spans="1:22" x14ac:dyDescent="0.3">
      <c r="A1380" s="49">
        <v>45275</v>
      </c>
      <c r="E1380" t="s">
        <v>3118</v>
      </c>
      <c r="G1380" t="s">
        <v>5032</v>
      </c>
      <c r="H1380" t="s">
        <v>28</v>
      </c>
      <c r="I1380" t="s">
        <v>5648</v>
      </c>
      <c r="J1380" t="s">
        <v>63</v>
      </c>
      <c r="K1380" t="s">
        <v>197</v>
      </c>
      <c r="M1380">
        <v>60</v>
      </c>
      <c r="N1380" t="s">
        <v>49</v>
      </c>
      <c r="O1380" t="s">
        <v>3709</v>
      </c>
      <c r="P1380" t="s">
        <v>170</v>
      </c>
      <c r="T1380">
        <v>4</v>
      </c>
      <c r="U1380" t="s">
        <v>56</v>
      </c>
      <c r="V1380" t="s">
        <v>56</v>
      </c>
    </row>
    <row r="1381" spans="1:22" x14ac:dyDescent="0.3">
      <c r="A1381" s="49">
        <v>45275</v>
      </c>
      <c r="E1381" t="s">
        <v>3118</v>
      </c>
      <c r="G1381" t="s">
        <v>5032</v>
      </c>
      <c r="H1381" t="s">
        <v>89</v>
      </c>
      <c r="J1381" t="s">
        <v>63</v>
      </c>
      <c r="K1381" t="s">
        <v>422</v>
      </c>
      <c r="M1381">
        <v>100</v>
      </c>
      <c r="N1381" t="s">
        <v>49</v>
      </c>
      <c r="O1381" t="s">
        <v>3710</v>
      </c>
      <c r="P1381" t="s">
        <v>66</v>
      </c>
      <c r="T1381">
        <v>4</v>
      </c>
      <c r="U1381" t="s">
        <v>56</v>
      </c>
      <c r="V1381" t="s">
        <v>56</v>
      </c>
    </row>
    <row r="1382" spans="1:22" x14ac:dyDescent="0.3">
      <c r="A1382" s="49">
        <v>45275</v>
      </c>
      <c r="E1382" t="s">
        <v>3155</v>
      </c>
      <c r="G1382" t="s">
        <v>5172</v>
      </c>
      <c r="H1382" t="s">
        <v>28</v>
      </c>
      <c r="I1382" t="s">
        <v>5651</v>
      </c>
      <c r="J1382" t="s">
        <v>63</v>
      </c>
      <c r="K1382" t="s">
        <v>422</v>
      </c>
      <c r="M1382">
        <v>5</v>
      </c>
      <c r="N1382" t="s">
        <v>33</v>
      </c>
      <c r="O1382" t="s">
        <v>3711</v>
      </c>
      <c r="P1382" t="s">
        <v>2178</v>
      </c>
      <c r="T1382">
        <v>4</v>
      </c>
      <c r="U1382" t="s">
        <v>56</v>
      </c>
      <c r="V1382" t="s">
        <v>56</v>
      </c>
    </row>
    <row r="1383" spans="1:22" x14ac:dyDescent="0.3">
      <c r="A1383" s="49">
        <v>45275</v>
      </c>
      <c r="E1383" t="s">
        <v>3155</v>
      </c>
      <c r="G1383" t="s">
        <v>5172</v>
      </c>
      <c r="H1383" t="s">
        <v>28</v>
      </c>
      <c r="I1383" t="s">
        <v>5652</v>
      </c>
      <c r="J1383" t="s">
        <v>63</v>
      </c>
      <c r="K1383" t="s">
        <v>422</v>
      </c>
      <c r="M1383">
        <v>100</v>
      </c>
      <c r="N1383" t="s">
        <v>49</v>
      </c>
      <c r="O1383" t="s">
        <v>3712</v>
      </c>
      <c r="P1383" t="s">
        <v>170</v>
      </c>
      <c r="T1383">
        <v>4</v>
      </c>
      <c r="U1383" t="s">
        <v>56</v>
      </c>
      <c r="V1383" t="s">
        <v>56</v>
      </c>
    </row>
    <row r="1384" spans="1:22" x14ac:dyDescent="0.3">
      <c r="A1384" s="49">
        <v>45275</v>
      </c>
      <c r="E1384" t="s">
        <v>3155</v>
      </c>
      <c r="G1384" t="s">
        <v>5172</v>
      </c>
      <c r="H1384" t="s">
        <v>28</v>
      </c>
      <c r="I1384" t="s">
        <v>5651</v>
      </c>
      <c r="J1384" t="s">
        <v>46</v>
      </c>
      <c r="K1384" t="s">
        <v>422</v>
      </c>
      <c r="M1384">
        <v>0</v>
      </c>
      <c r="N1384" t="s">
        <v>74</v>
      </c>
      <c r="O1384" t="s">
        <v>3711</v>
      </c>
      <c r="P1384" t="s">
        <v>2178</v>
      </c>
      <c r="T1384">
        <v>4</v>
      </c>
      <c r="U1384" t="s">
        <v>56</v>
      </c>
      <c r="V1384" t="s">
        <v>56</v>
      </c>
    </row>
    <row r="1385" spans="1:22" x14ac:dyDescent="0.3">
      <c r="A1385" s="49">
        <v>45275</v>
      </c>
      <c r="E1385" t="s">
        <v>3155</v>
      </c>
      <c r="G1385" t="s">
        <v>5173</v>
      </c>
      <c r="H1385" t="s">
        <v>28</v>
      </c>
      <c r="I1385" t="s">
        <v>5653</v>
      </c>
      <c r="J1385" t="s">
        <v>63</v>
      </c>
      <c r="K1385" t="s">
        <v>197</v>
      </c>
      <c r="M1385">
        <v>0</v>
      </c>
      <c r="N1385" t="s">
        <v>33</v>
      </c>
      <c r="O1385" t="s">
        <v>3713</v>
      </c>
      <c r="P1385" t="s">
        <v>4883</v>
      </c>
      <c r="T1385">
        <v>4</v>
      </c>
      <c r="U1385" t="s">
        <v>56</v>
      </c>
      <c r="V1385" t="s">
        <v>56</v>
      </c>
    </row>
    <row r="1386" spans="1:22" x14ac:dyDescent="0.3">
      <c r="A1386" s="49">
        <v>45275</v>
      </c>
      <c r="E1386" t="s">
        <v>3155</v>
      </c>
      <c r="G1386" t="s">
        <v>5097</v>
      </c>
      <c r="H1386" t="s">
        <v>28</v>
      </c>
      <c r="I1386" t="s">
        <v>5654</v>
      </c>
      <c r="J1386" t="s">
        <v>63</v>
      </c>
      <c r="K1386" t="s">
        <v>197</v>
      </c>
      <c r="M1386">
        <v>75</v>
      </c>
      <c r="N1386" t="s">
        <v>33</v>
      </c>
      <c r="O1386" t="s">
        <v>3714</v>
      </c>
      <c r="P1386" t="s">
        <v>2029</v>
      </c>
      <c r="T1386">
        <v>4</v>
      </c>
      <c r="U1386" t="s">
        <v>56</v>
      </c>
      <c r="V1386" t="s">
        <v>56</v>
      </c>
    </row>
    <row r="1387" spans="1:22" x14ac:dyDescent="0.3">
      <c r="A1387" s="49">
        <v>45275</v>
      </c>
      <c r="E1387" t="s">
        <v>3155</v>
      </c>
      <c r="G1387" t="s">
        <v>5173</v>
      </c>
      <c r="H1387" t="s">
        <v>28</v>
      </c>
      <c r="I1387" t="s">
        <v>5655</v>
      </c>
      <c r="J1387" t="s">
        <v>63</v>
      </c>
      <c r="K1387" t="s">
        <v>422</v>
      </c>
      <c r="M1387">
        <v>100</v>
      </c>
      <c r="N1387" t="s">
        <v>49</v>
      </c>
      <c r="O1387" t="s">
        <v>3715</v>
      </c>
      <c r="P1387" t="s">
        <v>4877</v>
      </c>
      <c r="T1387">
        <v>4</v>
      </c>
      <c r="U1387" t="s">
        <v>56</v>
      </c>
      <c r="V1387" t="s">
        <v>56</v>
      </c>
    </row>
    <row r="1388" spans="1:22" x14ac:dyDescent="0.3">
      <c r="A1388" s="49">
        <v>45275</v>
      </c>
      <c r="E1388" t="s">
        <v>3155</v>
      </c>
      <c r="G1388" t="s">
        <v>5097</v>
      </c>
      <c r="H1388" t="s">
        <v>28</v>
      </c>
      <c r="I1388" t="s">
        <v>5656</v>
      </c>
      <c r="J1388" t="s">
        <v>63</v>
      </c>
      <c r="K1388" t="s">
        <v>422</v>
      </c>
      <c r="M1388">
        <v>20</v>
      </c>
      <c r="N1388" t="s">
        <v>49</v>
      </c>
      <c r="O1388" t="s">
        <v>3716</v>
      </c>
      <c r="P1388" t="s">
        <v>904</v>
      </c>
      <c r="T1388">
        <v>4</v>
      </c>
      <c r="U1388" t="s">
        <v>56</v>
      </c>
      <c r="V1388" t="s">
        <v>56</v>
      </c>
    </row>
    <row r="1389" spans="1:22" x14ac:dyDescent="0.3">
      <c r="A1389" s="49">
        <v>45275</v>
      </c>
      <c r="E1389" t="s">
        <v>3155</v>
      </c>
      <c r="G1389" t="s">
        <v>5097</v>
      </c>
      <c r="H1389" t="s">
        <v>28</v>
      </c>
      <c r="I1389" t="s">
        <v>5542</v>
      </c>
      <c r="J1389" t="s">
        <v>63</v>
      </c>
      <c r="K1389" t="s">
        <v>197</v>
      </c>
      <c r="M1389">
        <v>100</v>
      </c>
      <c r="N1389" t="s">
        <v>33</v>
      </c>
      <c r="O1389" t="s">
        <v>3717</v>
      </c>
      <c r="P1389" t="s">
        <v>170</v>
      </c>
      <c r="T1389">
        <v>4</v>
      </c>
      <c r="U1389" t="s">
        <v>56</v>
      </c>
      <c r="V1389" t="s">
        <v>56</v>
      </c>
    </row>
    <row r="1390" spans="1:22" x14ac:dyDescent="0.3">
      <c r="A1390" s="49">
        <v>45275</v>
      </c>
      <c r="E1390" t="s">
        <v>2777</v>
      </c>
      <c r="G1390" t="s">
        <v>5031</v>
      </c>
      <c r="H1390" t="s">
        <v>3245</v>
      </c>
      <c r="I1390" t="s">
        <v>5458</v>
      </c>
      <c r="J1390" t="s">
        <v>63</v>
      </c>
      <c r="K1390" t="s">
        <v>64</v>
      </c>
      <c r="M1390">
        <v>100</v>
      </c>
      <c r="N1390" t="s">
        <v>49</v>
      </c>
      <c r="O1390" t="s">
        <v>3718</v>
      </c>
      <c r="P1390" t="s">
        <v>1116</v>
      </c>
      <c r="T1390">
        <v>4</v>
      </c>
      <c r="U1390" t="s">
        <v>56</v>
      </c>
      <c r="V1390" t="s">
        <v>56</v>
      </c>
    </row>
    <row r="1391" spans="1:22" x14ac:dyDescent="0.3">
      <c r="A1391" s="49">
        <v>45275</v>
      </c>
      <c r="E1391" t="s">
        <v>2777</v>
      </c>
      <c r="G1391" t="s">
        <v>5031</v>
      </c>
      <c r="H1391" t="s">
        <v>89</v>
      </c>
      <c r="J1391" t="s">
        <v>63</v>
      </c>
      <c r="K1391" t="s">
        <v>64</v>
      </c>
      <c r="M1391">
        <v>80</v>
      </c>
      <c r="N1391" t="s">
        <v>49</v>
      </c>
      <c r="O1391" t="s">
        <v>3719</v>
      </c>
      <c r="P1391" t="s">
        <v>66</v>
      </c>
      <c r="T1391">
        <v>4</v>
      </c>
      <c r="U1391" t="s">
        <v>56</v>
      </c>
      <c r="V1391" t="s">
        <v>56</v>
      </c>
    </row>
    <row r="1392" spans="1:22" x14ac:dyDescent="0.3">
      <c r="A1392" s="49">
        <v>45275</v>
      </c>
      <c r="E1392" t="s">
        <v>2777</v>
      </c>
      <c r="G1392" t="s">
        <v>5031</v>
      </c>
      <c r="H1392" t="s">
        <v>28</v>
      </c>
      <c r="I1392" t="s">
        <v>5455</v>
      </c>
      <c r="J1392" t="s">
        <v>46</v>
      </c>
      <c r="K1392" t="s">
        <v>422</v>
      </c>
      <c r="M1392">
        <v>100</v>
      </c>
      <c r="N1392" t="s">
        <v>33</v>
      </c>
      <c r="O1392" t="s">
        <v>3720</v>
      </c>
      <c r="P1392" t="s">
        <v>2029</v>
      </c>
      <c r="T1392">
        <v>4</v>
      </c>
      <c r="U1392" t="s">
        <v>56</v>
      </c>
      <c r="V1392" t="s">
        <v>56</v>
      </c>
    </row>
    <row r="1393" spans="1:22" x14ac:dyDescent="0.3">
      <c r="A1393" s="49">
        <v>45275</v>
      </c>
      <c r="E1393" t="s">
        <v>2777</v>
      </c>
      <c r="G1393" t="s">
        <v>5031</v>
      </c>
      <c r="H1393" t="s">
        <v>28</v>
      </c>
      <c r="I1393" t="s">
        <v>5657</v>
      </c>
      <c r="J1393" t="s">
        <v>63</v>
      </c>
      <c r="K1393" t="s">
        <v>64</v>
      </c>
      <c r="M1393">
        <v>100</v>
      </c>
      <c r="N1393" t="s">
        <v>33</v>
      </c>
      <c r="O1393" t="s">
        <v>3721</v>
      </c>
      <c r="P1393" t="s">
        <v>2029</v>
      </c>
      <c r="T1393">
        <v>4</v>
      </c>
      <c r="U1393" t="s">
        <v>56</v>
      </c>
      <c r="V1393" t="s">
        <v>56</v>
      </c>
    </row>
    <row r="1394" spans="1:22" x14ac:dyDescent="0.3">
      <c r="A1394" s="49">
        <v>45275</v>
      </c>
      <c r="E1394" t="s">
        <v>2777</v>
      </c>
      <c r="G1394" t="s">
        <v>5031</v>
      </c>
      <c r="H1394" t="s">
        <v>28</v>
      </c>
      <c r="I1394" t="s">
        <v>5543</v>
      </c>
      <c r="J1394" t="s">
        <v>63</v>
      </c>
      <c r="K1394" t="s">
        <v>64</v>
      </c>
      <c r="M1394">
        <v>100</v>
      </c>
      <c r="N1394" t="s">
        <v>33</v>
      </c>
      <c r="O1394" t="s">
        <v>3722</v>
      </c>
      <c r="P1394" t="s">
        <v>483</v>
      </c>
      <c r="T1394">
        <v>4</v>
      </c>
      <c r="U1394" t="s">
        <v>56</v>
      </c>
      <c r="V1394" t="s">
        <v>56</v>
      </c>
    </row>
    <row r="1395" spans="1:22" x14ac:dyDescent="0.3">
      <c r="A1395" s="49">
        <v>45275</v>
      </c>
      <c r="E1395" t="s">
        <v>2777</v>
      </c>
      <c r="G1395" t="s">
        <v>5031</v>
      </c>
      <c r="H1395" t="s">
        <v>28</v>
      </c>
      <c r="I1395" t="s">
        <v>5658</v>
      </c>
      <c r="J1395" t="s">
        <v>63</v>
      </c>
      <c r="K1395" t="s">
        <v>64</v>
      </c>
      <c r="M1395">
        <v>0</v>
      </c>
      <c r="N1395" t="s">
        <v>74</v>
      </c>
      <c r="O1395" t="s">
        <v>3723</v>
      </c>
      <c r="P1395" t="s">
        <v>58</v>
      </c>
      <c r="T1395">
        <v>4</v>
      </c>
      <c r="U1395" t="s">
        <v>56</v>
      </c>
      <c r="V1395" t="s">
        <v>56</v>
      </c>
    </row>
    <row r="1396" spans="1:22" x14ac:dyDescent="0.3">
      <c r="A1396" s="49">
        <v>45275</v>
      </c>
      <c r="E1396" t="s">
        <v>2777</v>
      </c>
      <c r="G1396" t="s">
        <v>5031</v>
      </c>
      <c r="H1396" t="s">
        <v>28</v>
      </c>
      <c r="I1396" t="s">
        <v>5659</v>
      </c>
      <c r="J1396" t="s">
        <v>63</v>
      </c>
      <c r="K1396" t="s">
        <v>64</v>
      </c>
      <c r="M1396">
        <v>20</v>
      </c>
      <c r="N1396" t="s">
        <v>49</v>
      </c>
      <c r="O1396" t="s">
        <v>3724</v>
      </c>
      <c r="P1396" t="s">
        <v>344</v>
      </c>
      <c r="T1396">
        <v>4</v>
      </c>
      <c r="U1396" t="s">
        <v>56</v>
      </c>
      <c r="V1396" t="s">
        <v>56</v>
      </c>
    </row>
    <row r="1397" spans="1:22" x14ac:dyDescent="0.3">
      <c r="A1397" s="49">
        <v>45275</v>
      </c>
      <c r="E1397" t="s">
        <v>2777</v>
      </c>
      <c r="G1397" t="s">
        <v>5031</v>
      </c>
      <c r="H1397" t="s">
        <v>28</v>
      </c>
      <c r="I1397" t="s">
        <v>5458</v>
      </c>
      <c r="J1397" t="s">
        <v>63</v>
      </c>
      <c r="K1397" t="s">
        <v>64</v>
      </c>
      <c r="M1397">
        <v>0</v>
      </c>
      <c r="N1397" t="s">
        <v>74</v>
      </c>
      <c r="O1397" t="s">
        <v>3725</v>
      </c>
      <c r="P1397" t="s">
        <v>878</v>
      </c>
      <c r="T1397">
        <v>4</v>
      </c>
      <c r="U1397" t="s">
        <v>56</v>
      </c>
      <c r="V1397" t="s">
        <v>56</v>
      </c>
    </row>
    <row r="1398" spans="1:22" x14ac:dyDescent="0.3">
      <c r="A1398" s="49">
        <v>45275</v>
      </c>
      <c r="E1398" t="s">
        <v>2777</v>
      </c>
      <c r="G1398" t="s">
        <v>5031</v>
      </c>
      <c r="H1398" t="s">
        <v>28</v>
      </c>
      <c r="I1398" t="s">
        <v>5458</v>
      </c>
      <c r="J1398" t="s">
        <v>63</v>
      </c>
      <c r="K1398" t="s">
        <v>64</v>
      </c>
      <c r="M1398">
        <v>100</v>
      </c>
      <c r="N1398" t="s">
        <v>33</v>
      </c>
      <c r="O1398" t="s">
        <v>3725</v>
      </c>
      <c r="P1398" t="s">
        <v>878</v>
      </c>
      <c r="T1398">
        <v>4</v>
      </c>
      <c r="U1398" t="s">
        <v>56</v>
      </c>
      <c r="V1398" t="s">
        <v>56</v>
      </c>
    </row>
    <row r="1399" spans="1:22" x14ac:dyDescent="0.3">
      <c r="A1399" s="49">
        <v>45275</v>
      </c>
      <c r="E1399" t="s">
        <v>2777</v>
      </c>
      <c r="G1399" t="s">
        <v>5031</v>
      </c>
      <c r="H1399" t="s">
        <v>28</v>
      </c>
      <c r="I1399" t="s">
        <v>5458</v>
      </c>
      <c r="J1399" t="s">
        <v>63</v>
      </c>
      <c r="K1399" t="s">
        <v>64</v>
      </c>
      <c r="M1399">
        <v>100</v>
      </c>
      <c r="N1399" t="s">
        <v>49</v>
      </c>
      <c r="O1399" t="s">
        <v>3718</v>
      </c>
      <c r="P1399" t="s">
        <v>1116</v>
      </c>
      <c r="T1399">
        <v>4</v>
      </c>
      <c r="U1399" t="s">
        <v>56</v>
      </c>
      <c r="V1399" t="s">
        <v>56</v>
      </c>
    </row>
    <row r="1400" spans="1:22" x14ac:dyDescent="0.3">
      <c r="A1400" s="49">
        <v>45275</v>
      </c>
      <c r="E1400" t="s">
        <v>3181</v>
      </c>
      <c r="G1400" t="s">
        <v>5174</v>
      </c>
      <c r="H1400" t="s">
        <v>28</v>
      </c>
      <c r="I1400" t="s">
        <v>5660</v>
      </c>
      <c r="J1400" t="s">
        <v>63</v>
      </c>
      <c r="K1400" t="s">
        <v>197</v>
      </c>
      <c r="M1400">
        <v>19</v>
      </c>
      <c r="N1400" t="s">
        <v>33</v>
      </c>
      <c r="O1400" t="s">
        <v>3726</v>
      </c>
      <c r="P1400" t="s">
        <v>1508</v>
      </c>
      <c r="T1400">
        <v>4</v>
      </c>
      <c r="U1400" t="s">
        <v>56</v>
      </c>
      <c r="V1400" t="s">
        <v>56</v>
      </c>
    </row>
    <row r="1401" spans="1:22" x14ac:dyDescent="0.3">
      <c r="A1401" s="49">
        <v>45275</v>
      </c>
      <c r="E1401" t="s">
        <v>3181</v>
      </c>
      <c r="G1401" t="s">
        <v>5175</v>
      </c>
      <c r="H1401" t="s">
        <v>28</v>
      </c>
      <c r="I1401" t="s">
        <v>5661</v>
      </c>
      <c r="J1401" t="s">
        <v>46</v>
      </c>
      <c r="K1401" t="s">
        <v>422</v>
      </c>
      <c r="M1401">
        <v>50</v>
      </c>
      <c r="N1401" t="s">
        <v>33</v>
      </c>
      <c r="O1401" t="s">
        <v>3727</v>
      </c>
      <c r="P1401" t="s">
        <v>904</v>
      </c>
      <c r="T1401">
        <v>4</v>
      </c>
      <c r="U1401" t="s">
        <v>56</v>
      </c>
      <c r="V1401" t="s">
        <v>56</v>
      </c>
    </row>
    <row r="1402" spans="1:22" x14ac:dyDescent="0.3">
      <c r="A1402" s="49">
        <v>45275</v>
      </c>
      <c r="E1402" t="s">
        <v>3181</v>
      </c>
      <c r="G1402" t="s">
        <v>5175</v>
      </c>
      <c r="H1402" t="s">
        <v>28</v>
      </c>
      <c r="I1402" t="s">
        <v>5662</v>
      </c>
      <c r="J1402" t="s">
        <v>63</v>
      </c>
      <c r="K1402" t="s">
        <v>1235</v>
      </c>
      <c r="M1402">
        <v>30</v>
      </c>
      <c r="N1402" t="s">
        <v>49</v>
      </c>
      <c r="O1402" t="s">
        <v>3728</v>
      </c>
      <c r="P1402" t="s">
        <v>4881</v>
      </c>
      <c r="T1402">
        <v>4</v>
      </c>
      <c r="U1402" t="s">
        <v>56</v>
      </c>
      <c r="V1402" t="s">
        <v>56</v>
      </c>
    </row>
    <row r="1403" spans="1:22" x14ac:dyDescent="0.3">
      <c r="A1403" s="49">
        <v>45275</v>
      </c>
      <c r="E1403" t="s">
        <v>3181</v>
      </c>
      <c r="G1403" t="s">
        <v>5175</v>
      </c>
      <c r="H1403" t="s">
        <v>28</v>
      </c>
      <c r="I1403" t="s">
        <v>5662</v>
      </c>
      <c r="J1403" t="s">
        <v>63</v>
      </c>
      <c r="K1403" t="s">
        <v>64</v>
      </c>
      <c r="M1403">
        <v>100</v>
      </c>
      <c r="N1403" t="s">
        <v>49</v>
      </c>
      <c r="O1403" t="s">
        <v>3729</v>
      </c>
      <c r="P1403" t="s">
        <v>344</v>
      </c>
      <c r="T1403">
        <v>4</v>
      </c>
      <c r="U1403" t="s">
        <v>56</v>
      </c>
      <c r="V1403" t="s">
        <v>56</v>
      </c>
    </row>
    <row r="1404" spans="1:22" x14ac:dyDescent="0.3">
      <c r="A1404" s="49">
        <v>45275</v>
      </c>
      <c r="E1404" t="s">
        <v>3181</v>
      </c>
      <c r="G1404" t="s">
        <v>5175</v>
      </c>
      <c r="H1404" t="s">
        <v>28</v>
      </c>
      <c r="I1404" t="s">
        <v>5662</v>
      </c>
      <c r="J1404" t="s">
        <v>63</v>
      </c>
      <c r="K1404" t="s">
        <v>64</v>
      </c>
      <c r="M1404">
        <v>100</v>
      </c>
      <c r="N1404" t="s">
        <v>33</v>
      </c>
      <c r="O1404" t="s">
        <v>3729</v>
      </c>
      <c r="P1404" t="s">
        <v>344</v>
      </c>
      <c r="T1404">
        <v>4</v>
      </c>
      <c r="U1404" t="s">
        <v>56</v>
      </c>
      <c r="V1404" t="s">
        <v>56</v>
      </c>
    </row>
    <row r="1405" spans="1:22" x14ac:dyDescent="0.3">
      <c r="A1405" s="49">
        <v>45275</v>
      </c>
      <c r="E1405" t="s">
        <v>3181</v>
      </c>
      <c r="G1405" t="s">
        <v>5070</v>
      </c>
      <c r="H1405" t="s">
        <v>89</v>
      </c>
      <c r="J1405" t="s">
        <v>63</v>
      </c>
      <c r="K1405" t="s">
        <v>64</v>
      </c>
      <c r="M1405">
        <v>100</v>
      </c>
      <c r="N1405" t="s">
        <v>33</v>
      </c>
      <c r="O1405" t="s">
        <v>3730</v>
      </c>
      <c r="P1405" t="s">
        <v>1159</v>
      </c>
      <c r="T1405">
        <v>4</v>
      </c>
      <c r="U1405" t="s">
        <v>56</v>
      </c>
      <c r="V1405" t="s">
        <v>56</v>
      </c>
    </row>
    <row r="1406" spans="1:22" x14ac:dyDescent="0.3">
      <c r="A1406" s="49">
        <v>45275</v>
      </c>
      <c r="E1406" t="s">
        <v>3181</v>
      </c>
      <c r="G1406" t="s">
        <v>5070</v>
      </c>
      <c r="H1406" t="s">
        <v>89</v>
      </c>
      <c r="J1406" t="s">
        <v>63</v>
      </c>
      <c r="K1406" t="s">
        <v>64</v>
      </c>
      <c r="M1406">
        <v>35</v>
      </c>
      <c r="N1406" t="s">
        <v>49</v>
      </c>
      <c r="O1406" t="s">
        <v>3731</v>
      </c>
      <c r="P1406" t="s">
        <v>4830</v>
      </c>
      <c r="T1406">
        <v>4</v>
      </c>
      <c r="U1406" t="s">
        <v>56</v>
      </c>
      <c r="V1406" t="s">
        <v>56</v>
      </c>
    </row>
    <row r="1407" spans="1:22" x14ac:dyDescent="0.3">
      <c r="A1407" s="49">
        <v>45275</v>
      </c>
      <c r="E1407" t="s">
        <v>3181</v>
      </c>
      <c r="G1407" t="s">
        <v>5070</v>
      </c>
      <c r="H1407" t="s">
        <v>28</v>
      </c>
      <c r="I1407" t="s">
        <v>5663</v>
      </c>
      <c r="J1407" t="s">
        <v>63</v>
      </c>
      <c r="K1407" t="s">
        <v>64</v>
      </c>
      <c r="M1407">
        <v>25</v>
      </c>
      <c r="N1407" t="s">
        <v>49</v>
      </c>
      <c r="O1407" t="s">
        <v>3732</v>
      </c>
      <c r="P1407" t="s">
        <v>1230</v>
      </c>
      <c r="T1407">
        <v>4</v>
      </c>
      <c r="U1407" t="s">
        <v>56</v>
      </c>
      <c r="V1407" t="s">
        <v>56</v>
      </c>
    </row>
    <row r="1408" spans="1:22" x14ac:dyDescent="0.3">
      <c r="A1408" s="49">
        <v>45275</v>
      </c>
      <c r="E1408" t="s">
        <v>3181</v>
      </c>
      <c r="G1408" t="s">
        <v>5070</v>
      </c>
      <c r="H1408" t="s">
        <v>28</v>
      </c>
      <c r="I1408" t="s">
        <v>5664</v>
      </c>
      <c r="J1408" t="s">
        <v>63</v>
      </c>
      <c r="K1408" t="s">
        <v>64</v>
      </c>
      <c r="M1408">
        <v>60</v>
      </c>
      <c r="N1408" t="s">
        <v>49</v>
      </c>
      <c r="O1408" t="s">
        <v>3733</v>
      </c>
      <c r="P1408" t="s">
        <v>2703</v>
      </c>
      <c r="T1408">
        <v>4</v>
      </c>
      <c r="U1408" t="s">
        <v>56</v>
      </c>
      <c r="V1408" t="s">
        <v>56</v>
      </c>
    </row>
    <row r="1409" spans="1:22" x14ac:dyDescent="0.3">
      <c r="A1409" s="49">
        <v>45275</v>
      </c>
      <c r="E1409" t="s">
        <v>3181</v>
      </c>
      <c r="G1409" t="s">
        <v>5175</v>
      </c>
      <c r="H1409" t="s">
        <v>28</v>
      </c>
      <c r="I1409" t="s">
        <v>5661</v>
      </c>
      <c r="J1409" t="s">
        <v>46</v>
      </c>
      <c r="K1409" t="s">
        <v>422</v>
      </c>
      <c r="M1409">
        <v>100</v>
      </c>
      <c r="N1409" t="s">
        <v>49</v>
      </c>
      <c r="O1409" t="s">
        <v>3734</v>
      </c>
      <c r="P1409" t="s">
        <v>4880</v>
      </c>
      <c r="T1409">
        <v>4</v>
      </c>
      <c r="U1409" t="s">
        <v>56</v>
      </c>
      <c r="V1409" t="s">
        <v>56</v>
      </c>
    </row>
    <row r="1410" spans="1:22" x14ac:dyDescent="0.3">
      <c r="A1410" s="49">
        <v>45275</v>
      </c>
      <c r="E1410" t="s">
        <v>3181</v>
      </c>
      <c r="G1410" t="s">
        <v>5175</v>
      </c>
      <c r="H1410" t="s">
        <v>28</v>
      </c>
      <c r="I1410" t="s">
        <v>5661</v>
      </c>
      <c r="J1410" t="s">
        <v>46</v>
      </c>
      <c r="K1410" t="s">
        <v>422</v>
      </c>
      <c r="M1410">
        <v>100</v>
      </c>
      <c r="N1410" t="s">
        <v>49</v>
      </c>
      <c r="O1410" t="s">
        <v>3734</v>
      </c>
      <c r="P1410" t="s">
        <v>4880</v>
      </c>
      <c r="T1410">
        <v>4</v>
      </c>
      <c r="U1410" t="s">
        <v>56</v>
      </c>
      <c r="V1410" t="s">
        <v>56</v>
      </c>
    </row>
    <row r="1411" spans="1:22" x14ac:dyDescent="0.3">
      <c r="A1411" s="49">
        <v>45275</v>
      </c>
      <c r="E1411" t="s">
        <v>3213</v>
      </c>
      <c r="G1411" t="s">
        <v>5176</v>
      </c>
      <c r="H1411" t="s">
        <v>89</v>
      </c>
      <c r="J1411" t="s">
        <v>46</v>
      </c>
      <c r="K1411" t="s">
        <v>481</v>
      </c>
      <c r="M1411">
        <v>90</v>
      </c>
      <c r="N1411" t="s">
        <v>33</v>
      </c>
      <c r="O1411" t="s">
        <v>3735</v>
      </c>
      <c r="P1411" t="s">
        <v>1701</v>
      </c>
      <c r="T1411">
        <v>4</v>
      </c>
      <c r="U1411" t="s">
        <v>56</v>
      </c>
      <c r="V1411" t="s">
        <v>56</v>
      </c>
    </row>
    <row r="1412" spans="1:22" x14ac:dyDescent="0.3">
      <c r="A1412" s="49">
        <v>45275</v>
      </c>
      <c r="E1412" t="s">
        <v>3156</v>
      </c>
      <c r="G1412" t="s">
        <v>809</v>
      </c>
      <c r="H1412" t="s">
        <v>28</v>
      </c>
      <c r="I1412" t="s">
        <v>5665</v>
      </c>
      <c r="J1412" t="s">
        <v>63</v>
      </c>
      <c r="K1412" t="s">
        <v>64</v>
      </c>
      <c r="M1412">
        <v>100</v>
      </c>
      <c r="N1412" t="s">
        <v>49</v>
      </c>
      <c r="O1412" t="s">
        <v>3736</v>
      </c>
      <c r="P1412" t="s">
        <v>287</v>
      </c>
      <c r="T1412">
        <v>4</v>
      </c>
      <c r="U1412" t="s">
        <v>56</v>
      </c>
      <c r="V1412" t="s">
        <v>56</v>
      </c>
    </row>
    <row r="1413" spans="1:22" x14ac:dyDescent="0.3">
      <c r="A1413" s="49">
        <v>45275</v>
      </c>
      <c r="E1413" t="s">
        <v>3156</v>
      </c>
      <c r="G1413" t="s">
        <v>809</v>
      </c>
      <c r="H1413" t="s">
        <v>28</v>
      </c>
      <c r="I1413" t="s">
        <v>5666</v>
      </c>
      <c r="J1413" t="s">
        <v>63</v>
      </c>
      <c r="K1413" t="s">
        <v>64</v>
      </c>
      <c r="M1413">
        <v>90</v>
      </c>
      <c r="N1413" t="s">
        <v>33</v>
      </c>
      <c r="O1413" t="s">
        <v>3737</v>
      </c>
      <c r="P1413" t="s">
        <v>287</v>
      </c>
      <c r="T1413">
        <v>4</v>
      </c>
      <c r="U1413" t="s">
        <v>56</v>
      </c>
      <c r="V1413" t="s">
        <v>56</v>
      </c>
    </row>
    <row r="1414" spans="1:22" x14ac:dyDescent="0.3">
      <c r="A1414" s="49">
        <v>45275</v>
      </c>
      <c r="E1414" t="s">
        <v>3156</v>
      </c>
      <c r="G1414" t="s">
        <v>5034</v>
      </c>
      <c r="H1414" t="s">
        <v>28</v>
      </c>
      <c r="I1414" t="s">
        <v>5545</v>
      </c>
      <c r="J1414" t="s">
        <v>63</v>
      </c>
      <c r="K1414" t="s">
        <v>64</v>
      </c>
      <c r="M1414">
        <v>100</v>
      </c>
      <c r="N1414" t="s">
        <v>49</v>
      </c>
      <c r="O1414" t="s">
        <v>3738</v>
      </c>
      <c r="P1414" t="s">
        <v>66</v>
      </c>
      <c r="T1414">
        <v>4</v>
      </c>
      <c r="U1414" t="s">
        <v>56</v>
      </c>
      <c r="V1414" t="s">
        <v>56</v>
      </c>
    </row>
    <row r="1415" spans="1:22" x14ac:dyDescent="0.3">
      <c r="A1415" s="49">
        <v>45275</v>
      </c>
      <c r="E1415" t="s">
        <v>3156</v>
      </c>
      <c r="G1415" t="s">
        <v>5034</v>
      </c>
      <c r="H1415" t="s">
        <v>89</v>
      </c>
      <c r="J1415" t="s">
        <v>63</v>
      </c>
      <c r="K1415" t="s">
        <v>64</v>
      </c>
      <c r="M1415">
        <v>0</v>
      </c>
      <c r="N1415" t="s">
        <v>74</v>
      </c>
      <c r="O1415" t="s">
        <v>3739</v>
      </c>
      <c r="P1415" t="s">
        <v>108</v>
      </c>
      <c r="T1415">
        <v>4</v>
      </c>
      <c r="U1415" t="s">
        <v>56</v>
      </c>
      <c r="V1415" t="s">
        <v>56</v>
      </c>
    </row>
    <row r="1416" spans="1:22" x14ac:dyDescent="0.3">
      <c r="A1416" s="49">
        <v>45275</v>
      </c>
      <c r="E1416" t="s">
        <v>3156</v>
      </c>
      <c r="G1416" t="s">
        <v>5034</v>
      </c>
      <c r="H1416" t="s">
        <v>89</v>
      </c>
      <c r="J1416" t="s">
        <v>63</v>
      </c>
      <c r="K1416" t="s">
        <v>64</v>
      </c>
      <c r="M1416">
        <v>80</v>
      </c>
      <c r="N1416" t="s">
        <v>49</v>
      </c>
      <c r="O1416" t="s">
        <v>3740</v>
      </c>
      <c r="P1416" t="s">
        <v>306</v>
      </c>
      <c r="T1416">
        <v>4</v>
      </c>
      <c r="U1416" t="s">
        <v>56</v>
      </c>
      <c r="V1416" t="s">
        <v>56</v>
      </c>
    </row>
    <row r="1417" spans="1:22" x14ac:dyDescent="0.3">
      <c r="A1417" s="49">
        <v>45275</v>
      </c>
      <c r="E1417" t="s">
        <v>3156</v>
      </c>
      <c r="G1417" t="s">
        <v>5034</v>
      </c>
      <c r="H1417" t="s">
        <v>89</v>
      </c>
      <c r="J1417" t="s">
        <v>63</v>
      </c>
      <c r="K1417" t="s">
        <v>64</v>
      </c>
      <c r="M1417">
        <v>80</v>
      </c>
      <c r="N1417" t="s">
        <v>49</v>
      </c>
      <c r="O1417" t="s">
        <v>3741</v>
      </c>
      <c r="P1417" t="s">
        <v>1878</v>
      </c>
      <c r="T1417">
        <v>4</v>
      </c>
      <c r="U1417" t="s">
        <v>56</v>
      </c>
      <c r="V1417" t="s">
        <v>56</v>
      </c>
    </row>
    <row r="1418" spans="1:22" x14ac:dyDescent="0.3">
      <c r="A1418" s="49">
        <v>45275</v>
      </c>
      <c r="E1418" t="s">
        <v>3156</v>
      </c>
      <c r="G1418" t="s">
        <v>5177</v>
      </c>
      <c r="H1418" t="s">
        <v>28</v>
      </c>
      <c r="I1418" t="s">
        <v>5667</v>
      </c>
      <c r="J1418" t="s">
        <v>46</v>
      </c>
      <c r="K1418" t="s">
        <v>4942</v>
      </c>
      <c r="M1418">
        <v>0</v>
      </c>
      <c r="N1418" t="s">
        <v>74</v>
      </c>
      <c r="O1418" t="s">
        <v>3742</v>
      </c>
      <c r="P1418" t="s">
        <v>1159</v>
      </c>
      <c r="T1418">
        <v>4</v>
      </c>
      <c r="U1418" t="s">
        <v>56</v>
      </c>
      <c r="V1418" t="s">
        <v>56</v>
      </c>
    </row>
    <row r="1419" spans="1:22" x14ac:dyDescent="0.3">
      <c r="A1419" s="49">
        <v>45275</v>
      </c>
      <c r="E1419" t="s">
        <v>3189</v>
      </c>
      <c r="G1419" t="s">
        <v>5178</v>
      </c>
      <c r="H1419" t="s">
        <v>28</v>
      </c>
      <c r="I1419" t="s">
        <v>5668</v>
      </c>
      <c r="J1419" t="s">
        <v>63</v>
      </c>
      <c r="K1419" t="s">
        <v>197</v>
      </c>
      <c r="M1419">
        <v>75</v>
      </c>
      <c r="N1419" t="s">
        <v>49</v>
      </c>
      <c r="O1419" t="s">
        <v>3743</v>
      </c>
      <c r="P1419" t="s">
        <v>4832</v>
      </c>
      <c r="T1419">
        <v>4</v>
      </c>
      <c r="U1419" t="s">
        <v>56</v>
      </c>
      <c r="V1419" t="s">
        <v>56</v>
      </c>
    </row>
    <row r="1420" spans="1:22" x14ac:dyDescent="0.3">
      <c r="A1420" s="49">
        <v>45275</v>
      </c>
      <c r="E1420" t="s">
        <v>3189</v>
      </c>
      <c r="G1420" t="s">
        <v>5098</v>
      </c>
      <c r="H1420" t="s">
        <v>89</v>
      </c>
      <c r="J1420" t="s">
        <v>63</v>
      </c>
      <c r="K1420" t="s">
        <v>64</v>
      </c>
      <c r="M1420">
        <v>40</v>
      </c>
      <c r="N1420" t="s">
        <v>33</v>
      </c>
      <c r="O1420" t="s">
        <v>3744</v>
      </c>
      <c r="P1420" t="s">
        <v>668</v>
      </c>
      <c r="T1420">
        <v>4</v>
      </c>
      <c r="U1420" t="s">
        <v>56</v>
      </c>
      <c r="V1420" t="s">
        <v>56</v>
      </c>
    </row>
    <row r="1421" spans="1:22" x14ac:dyDescent="0.3">
      <c r="A1421" s="49">
        <v>45275</v>
      </c>
      <c r="E1421" t="s">
        <v>3189</v>
      </c>
      <c r="G1421" t="s">
        <v>5106</v>
      </c>
      <c r="H1421" t="s">
        <v>28</v>
      </c>
      <c r="I1421" t="s">
        <v>5669</v>
      </c>
      <c r="J1421" t="s">
        <v>46</v>
      </c>
      <c r="K1421" t="s">
        <v>422</v>
      </c>
      <c r="M1421">
        <v>80</v>
      </c>
      <c r="N1421" t="s">
        <v>33</v>
      </c>
      <c r="O1421" t="s">
        <v>3745</v>
      </c>
      <c r="P1421" t="s">
        <v>1230</v>
      </c>
      <c r="T1421">
        <v>4</v>
      </c>
      <c r="U1421" t="s">
        <v>56</v>
      </c>
      <c r="V1421" t="s">
        <v>56</v>
      </c>
    </row>
    <row r="1422" spans="1:22" x14ac:dyDescent="0.3">
      <c r="A1422" s="49">
        <v>45275</v>
      </c>
      <c r="E1422" t="s">
        <v>3189</v>
      </c>
      <c r="G1422" t="s">
        <v>5178</v>
      </c>
      <c r="H1422" t="s">
        <v>28</v>
      </c>
      <c r="I1422" t="s">
        <v>2876</v>
      </c>
      <c r="J1422" t="s">
        <v>63</v>
      </c>
      <c r="K1422" t="s">
        <v>197</v>
      </c>
      <c r="M1422">
        <v>100</v>
      </c>
      <c r="N1422" t="s">
        <v>33</v>
      </c>
      <c r="O1422" t="s">
        <v>3746</v>
      </c>
      <c r="P1422" t="s">
        <v>344</v>
      </c>
      <c r="T1422">
        <v>4</v>
      </c>
      <c r="U1422" t="s">
        <v>56</v>
      </c>
      <c r="V1422" t="s">
        <v>56</v>
      </c>
    </row>
    <row r="1423" spans="1:22" x14ac:dyDescent="0.3">
      <c r="A1423" s="49">
        <v>45275</v>
      </c>
      <c r="E1423" t="s">
        <v>3189</v>
      </c>
      <c r="G1423" t="s">
        <v>5178</v>
      </c>
      <c r="H1423" t="s">
        <v>28</v>
      </c>
      <c r="I1423" t="s">
        <v>5670</v>
      </c>
      <c r="J1423" t="s">
        <v>46</v>
      </c>
      <c r="K1423" t="s">
        <v>422</v>
      </c>
      <c r="M1423">
        <v>80</v>
      </c>
      <c r="N1423" t="s">
        <v>33</v>
      </c>
      <c r="O1423" t="s">
        <v>3747</v>
      </c>
      <c r="P1423" t="s">
        <v>737</v>
      </c>
      <c r="T1423">
        <v>4</v>
      </c>
      <c r="U1423" t="s">
        <v>56</v>
      </c>
      <c r="V1423" t="s">
        <v>56</v>
      </c>
    </row>
    <row r="1424" spans="1:22" x14ac:dyDescent="0.3">
      <c r="A1424" s="49">
        <v>45275</v>
      </c>
      <c r="E1424" t="s">
        <v>3119</v>
      </c>
      <c r="G1424" t="s">
        <v>5179</v>
      </c>
      <c r="H1424" t="s">
        <v>28</v>
      </c>
      <c r="I1424" t="s">
        <v>5671</v>
      </c>
      <c r="J1424" t="s">
        <v>63</v>
      </c>
      <c r="K1424" t="s">
        <v>197</v>
      </c>
      <c r="M1424">
        <v>6</v>
      </c>
      <c r="N1424" t="s">
        <v>33</v>
      </c>
      <c r="O1424" t="s">
        <v>3748</v>
      </c>
      <c r="P1424" t="s">
        <v>4834</v>
      </c>
      <c r="T1424">
        <v>4</v>
      </c>
      <c r="U1424" t="s">
        <v>56</v>
      </c>
      <c r="V1424" t="s">
        <v>56</v>
      </c>
    </row>
    <row r="1425" spans="1:22" x14ac:dyDescent="0.3">
      <c r="A1425" s="49">
        <v>45275</v>
      </c>
      <c r="E1425" t="s">
        <v>3119</v>
      </c>
      <c r="G1425" t="s">
        <v>5067</v>
      </c>
      <c r="H1425" t="s">
        <v>28</v>
      </c>
      <c r="I1425" t="s">
        <v>5672</v>
      </c>
      <c r="J1425" t="s">
        <v>63</v>
      </c>
      <c r="K1425" t="s">
        <v>64</v>
      </c>
      <c r="M1425">
        <v>50</v>
      </c>
      <c r="N1425" t="s">
        <v>33</v>
      </c>
      <c r="O1425" t="s">
        <v>3749</v>
      </c>
      <c r="P1425" t="s">
        <v>4833</v>
      </c>
      <c r="T1425">
        <v>4</v>
      </c>
      <c r="U1425" t="s">
        <v>56</v>
      </c>
      <c r="V1425" t="s">
        <v>56</v>
      </c>
    </row>
    <row r="1426" spans="1:22" x14ac:dyDescent="0.3">
      <c r="A1426" s="49">
        <v>45275</v>
      </c>
      <c r="E1426" t="s">
        <v>3119</v>
      </c>
      <c r="G1426" t="s">
        <v>5179</v>
      </c>
      <c r="H1426" t="s">
        <v>28</v>
      </c>
      <c r="I1426" t="s">
        <v>1602</v>
      </c>
      <c r="J1426" t="s">
        <v>63</v>
      </c>
      <c r="K1426" t="s">
        <v>197</v>
      </c>
      <c r="M1426">
        <v>20</v>
      </c>
      <c r="N1426" t="s">
        <v>33</v>
      </c>
      <c r="O1426" t="s">
        <v>3750</v>
      </c>
      <c r="P1426" t="s">
        <v>1878</v>
      </c>
      <c r="T1426">
        <v>4</v>
      </c>
      <c r="U1426" t="s">
        <v>56</v>
      </c>
      <c r="V1426" t="s">
        <v>56</v>
      </c>
    </row>
    <row r="1427" spans="1:22" x14ac:dyDescent="0.3">
      <c r="A1427" s="49">
        <v>45275</v>
      </c>
      <c r="E1427" t="s">
        <v>3120</v>
      </c>
      <c r="G1427" t="s">
        <v>2648</v>
      </c>
      <c r="H1427" t="s">
        <v>28</v>
      </c>
      <c r="I1427" t="s">
        <v>5673</v>
      </c>
      <c r="J1427" t="s">
        <v>63</v>
      </c>
      <c r="K1427" t="s">
        <v>64</v>
      </c>
      <c r="M1427">
        <v>100</v>
      </c>
      <c r="N1427" t="s">
        <v>49</v>
      </c>
      <c r="O1427" t="s">
        <v>3751</v>
      </c>
      <c r="P1427" t="s">
        <v>287</v>
      </c>
      <c r="S1427" t="s">
        <v>6321</v>
      </c>
      <c r="T1427">
        <v>4</v>
      </c>
      <c r="U1427" t="s">
        <v>56</v>
      </c>
      <c r="V1427" t="s">
        <v>56</v>
      </c>
    </row>
    <row r="1428" spans="1:22" x14ac:dyDescent="0.3">
      <c r="A1428" s="49">
        <v>45275</v>
      </c>
      <c r="E1428" t="s">
        <v>3120</v>
      </c>
      <c r="G1428" t="s">
        <v>2648</v>
      </c>
      <c r="H1428" t="s">
        <v>28</v>
      </c>
      <c r="I1428" t="s">
        <v>5673</v>
      </c>
      <c r="J1428" t="s">
        <v>46</v>
      </c>
      <c r="K1428" t="s">
        <v>422</v>
      </c>
      <c r="M1428">
        <v>80</v>
      </c>
      <c r="N1428" t="s">
        <v>33</v>
      </c>
      <c r="O1428" t="s">
        <v>3752</v>
      </c>
      <c r="P1428" t="s">
        <v>1701</v>
      </c>
      <c r="S1428" t="s">
        <v>6321</v>
      </c>
      <c r="T1428">
        <v>4</v>
      </c>
      <c r="U1428" t="s">
        <v>56</v>
      </c>
      <c r="V1428" t="s">
        <v>56</v>
      </c>
    </row>
    <row r="1429" spans="1:22" x14ac:dyDescent="0.3">
      <c r="A1429" s="49">
        <v>45275</v>
      </c>
      <c r="E1429" t="s">
        <v>3120</v>
      </c>
      <c r="G1429" t="s">
        <v>5180</v>
      </c>
      <c r="H1429" t="s">
        <v>28</v>
      </c>
      <c r="I1429" t="s">
        <v>5674</v>
      </c>
      <c r="J1429" t="s">
        <v>63</v>
      </c>
      <c r="K1429" t="s">
        <v>197</v>
      </c>
      <c r="M1429">
        <v>100</v>
      </c>
      <c r="N1429" t="s">
        <v>49</v>
      </c>
      <c r="O1429" t="s">
        <v>3753</v>
      </c>
      <c r="P1429" t="s">
        <v>170</v>
      </c>
      <c r="T1429">
        <v>4</v>
      </c>
      <c r="U1429" t="s">
        <v>56</v>
      </c>
      <c r="V1429" t="s">
        <v>56</v>
      </c>
    </row>
    <row r="1430" spans="1:22" x14ac:dyDescent="0.3">
      <c r="A1430" s="49">
        <v>45275</v>
      </c>
      <c r="E1430" t="s">
        <v>3120</v>
      </c>
      <c r="G1430" t="s">
        <v>2648</v>
      </c>
      <c r="H1430" t="s">
        <v>28</v>
      </c>
      <c r="I1430" t="s">
        <v>5673</v>
      </c>
      <c r="J1430" t="s">
        <v>63</v>
      </c>
      <c r="K1430" t="s">
        <v>64</v>
      </c>
      <c r="M1430">
        <v>100</v>
      </c>
      <c r="N1430" t="s">
        <v>49</v>
      </c>
      <c r="O1430" t="s">
        <v>3754</v>
      </c>
      <c r="P1430" t="s">
        <v>287</v>
      </c>
      <c r="S1430" t="s">
        <v>6321</v>
      </c>
      <c r="T1430">
        <v>4</v>
      </c>
      <c r="U1430" t="s">
        <v>56</v>
      </c>
      <c r="V1430" t="s">
        <v>56</v>
      </c>
    </row>
    <row r="1431" spans="1:22" x14ac:dyDescent="0.3">
      <c r="A1431" s="49">
        <v>45275</v>
      </c>
      <c r="E1431" t="s">
        <v>3120</v>
      </c>
      <c r="G1431" t="s">
        <v>2648</v>
      </c>
      <c r="H1431" t="s">
        <v>28</v>
      </c>
      <c r="I1431" t="s">
        <v>5675</v>
      </c>
      <c r="J1431" t="s">
        <v>63</v>
      </c>
      <c r="K1431" t="s">
        <v>64</v>
      </c>
      <c r="M1431">
        <v>51</v>
      </c>
      <c r="N1431" t="s">
        <v>33</v>
      </c>
      <c r="O1431" t="s">
        <v>3755</v>
      </c>
      <c r="P1431" t="s">
        <v>35</v>
      </c>
      <c r="S1431" t="s">
        <v>6322</v>
      </c>
      <c r="T1431">
        <v>4</v>
      </c>
      <c r="U1431" t="s">
        <v>56</v>
      </c>
      <c r="V1431" t="s">
        <v>56</v>
      </c>
    </row>
    <row r="1432" spans="1:22" x14ac:dyDescent="0.3">
      <c r="A1432" s="49">
        <v>45275</v>
      </c>
      <c r="E1432" t="s">
        <v>3120</v>
      </c>
      <c r="G1432" t="s">
        <v>2648</v>
      </c>
      <c r="H1432" t="s">
        <v>28</v>
      </c>
      <c r="I1432" t="s">
        <v>5673</v>
      </c>
      <c r="J1432" t="s">
        <v>63</v>
      </c>
      <c r="K1432" t="s">
        <v>64</v>
      </c>
      <c r="M1432">
        <v>100</v>
      </c>
      <c r="N1432" t="s">
        <v>49</v>
      </c>
      <c r="O1432" t="s">
        <v>3751</v>
      </c>
      <c r="P1432" t="s">
        <v>287</v>
      </c>
      <c r="S1432" t="s">
        <v>6321</v>
      </c>
      <c r="T1432">
        <v>4</v>
      </c>
      <c r="U1432" t="s">
        <v>56</v>
      </c>
      <c r="V1432" t="s">
        <v>56</v>
      </c>
    </row>
    <row r="1433" spans="1:22" x14ac:dyDescent="0.3">
      <c r="A1433" s="49">
        <v>45275</v>
      </c>
      <c r="E1433" t="s">
        <v>3120</v>
      </c>
      <c r="G1433" t="s">
        <v>2648</v>
      </c>
      <c r="H1433" t="s">
        <v>28</v>
      </c>
      <c r="I1433" t="s">
        <v>5673</v>
      </c>
      <c r="J1433" t="s">
        <v>63</v>
      </c>
      <c r="K1433" t="s">
        <v>64</v>
      </c>
      <c r="M1433">
        <v>100</v>
      </c>
      <c r="N1433" t="s">
        <v>33</v>
      </c>
      <c r="O1433" t="s">
        <v>3751</v>
      </c>
      <c r="P1433" t="s">
        <v>287</v>
      </c>
      <c r="S1433" t="s">
        <v>6321</v>
      </c>
      <c r="T1433">
        <v>4</v>
      </c>
      <c r="U1433" t="s">
        <v>56</v>
      </c>
      <c r="V1433" t="s">
        <v>56</v>
      </c>
    </row>
    <row r="1434" spans="1:22" x14ac:dyDescent="0.3">
      <c r="A1434" s="49">
        <v>45275</v>
      </c>
      <c r="E1434" t="s">
        <v>3121</v>
      </c>
      <c r="G1434" t="s">
        <v>364</v>
      </c>
      <c r="H1434" t="s">
        <v>28</v>
      </c>
      <c r="I1434" t="s">
        <v>5676</v>
      </c>
      <c r="J1434" t="s">
        <v>46</v>
      </c>
      <c r="K1434" t="s">
        <v>422</v>
      </c>
      <c r="M1434">
        <v>0</v>
      </c>
      <c r="N1434" t="s">
        <v>74</v>
      </c>
      <c r="O1434" t="s">
        <v>3756</v>
      </c>
      <c r="P1434" t="s">
        <v>416</v>
      </c>
      <c r="T1434">
        <v>6</v>
      </c>
      <c r="U1434" t="s">
        <v>40</v>
      </c>
      <c r="V1434" t="s">
        <v>41</v>
      </c>
    </row>
    <row r="1435" spans="1:22" x14ac:dyDescent="0.3">
      <c r="A1435" s="49">
        <v>45275</v>
      </c>
      <c r="E1435" t="s">
        <v>3121</v>
      </c>
      <c r="G1435" t="s">
        <v>5074</v>
      </c>
      <c r="H1435" t="s">
        <v>89</v>
      </c>
      <c r="J1435" t="s">
        <v>46</v>
      </c>
      <c r="K1435" t="s">
        <v>422</v>
      </c>
      <c r="M1435">
        <v>80</v>
      </c>
      <c r="N1435" t="s">
        <v>33</v>
      </c>
      <c r="O1435" t="s">
        <v>3757</v>
      </c>
      <c r="P1435" t="s">
        <v>1175</v>
      </c>
      <c r="T1435">
        <v>4</v>
      </c>
      <c r="U1435" t="s">
        <v>56</v>
      </c>
      <c r="V1435" t="s">
        <v>56</v>
      </c>
    </row>
    <row r="1436" spans="1:22" x14ac:dyDescent="0.3">
      <c r="A1436" s="49">
        <v>45275</v>
      </c>
      <c r="E1436" t="s">
        <v>3121</v>
      </c>
      <c r="G1436" t="s">
        <v>5181</v>
      </c>
      <c r="H1436" t="s">
        <v>89</v>
      </c>
      <c r="J1436" t="s">
        <v>63</v>
      </c>
      <c r="K1436" t="s">
        <v>64</v>
      </c>
      <c r="M1436">
        <v>100</v>
      </c>
      <c r="N1436" t="s">
        <v>33</v>
      </c>
      <c r="O1436" t="s">
        <v>3758</v>
      </c>
      <c r="P1436" t="s">
        <v>2029</v>
      </c>
      <c r="T1436">
        <v>4</v>
      </c>
      <c r="U1436" t="s">
        <v>56</v>
      </c>
      <c r="V1436" t="s">
        <v>56</v>
      </c>
    </row>
    <row r="1437" spans="1:22" x14ac:dyDescent="0.3">
      <c r="A1437" s="49">
        <v>45275</v>
      </c>
      <c r="E1437" t="s">
        <v>3121</v>
      </c>
      <c r="G1437" t="s">
        <v>5182</v>
      </c>
      <c r="H1437" t="s">
        <v>89</v>
      </c>
      <c r="J1437" t="s">
        <v>63</v>
      </c>
      <c r="K1437" t="s">
        <v>64</v>
      </c>
      <c r="M1437">
        <v>40</v>
      </c>
      <c r="N1437" t="s">
        <v>33</v>
      </c>
      <c r="O1437" t="s">
        <v>3759</v>
      </c>
      <c r="P1437" t="s">
        <v>791</v>
      </c>
      <c r="T1437">
        <v>4</v>
      </c>
      <c r="U1437" t="s">
        <v>56</v>
      </c>
      <c r="V1437" t="s">
        <v>56</v>
      </c>
    </row>
    <row r="1438" spans="1:22" x14ac:dyDescent="0.3">
      <c r="A1438" s="49">
        <v>45275</v>
      </c>
      <c r="E1438" t="s">
        <v>3121</v>
      </c>
      <c r="G1438" t="s">
        <v>1108</v>
      </c>
      <c r="H1438" t="s">
        <v>28</v>
      </c>
      <c r="I1438" t="s">
        <v>1997</v>
      </c>
      <c r="J1438" t="s">
        <v>63</v>
      </c>
      <c r="K1438" t="s">
        <v>197</v>
      </c>
      <c r="M1438">
        <v>100</v>
      </c>
      <c r="N1438" t="s">
        <v>49</v>
      </c>
      <c r="O1438" t="s">
        <v>3760</v>
      </c>
      <c r="P1438" t="s">
        <v>287</v>
      </c>
      <c r="T1438">
        <v>4</v>
      </c>
      <c r="U1438" t="s">
        <v>56</v>
      </c>
      <c r="V1438" t="s">
        <v>56</v>
      </c>
    </row>
    <row r="1439" spans="1:22" x14ac:dyDescent="0.3">
      <c r="A1439" s="49">
        <v>45275</v>
      </c>
      <c r="E1439" t="s">
        <v>3121</v>
      </c>
      <c r="G1439" t="s">
        <v>5183</v>
      </c>
      <c r="H1439" t="s">
        <v>28</v>
      </c>
      <c r="I1439" t="s">
        <v>5677</v>
      </c>
      <c r="J1439" t="s">
        <v>63</v>
      </c>
      <c r="K1439" t="s">
        <v>64</v>
      </c>
      <c r="M1439">
        <v>0</v>
      </c>
      <c r="N1439" t="s">
        <v>74</v>
      </c>
      <c r="O1439" t="s">
        <v>3761</v>
      </c>
      <c r="P1439" t="s">
        <v>1122</v>
      </c>
      <c r="T1439">
        <v>4</v>
      </c>
      <c r="U1439" t="s">
        <v>56</v>
      </c>
      <c r="V1439" t="s">
        <v>56</v>
      </c>
    </row>
    <row r="1440" spans="1:22" x14ac:dyDescent="0.3">
      <c r="A1440" s="49">
        <v>45275</v>
      </c>
      <c r="E1440" t="s">
        <v>3121</v>
      </c>
      <c r="G1440" t="s">
        <v>5074</v>
      </c>
      <c r="H1440" t="s">
        <v>28</v>
      </c>
      <c r="I1440" t="s">
        <v>2000</v>
      </c>
      <c r="J1440" t="s">
        <v>63</v>
      </c>
      <c r="K1440" t="s">
        <v>64</v>
      </c>
      <c r="M1440">
        <v>100</v>
      </c>
      <c r="N1440" t="s">
        <v>49</v>
      </c>
      <c r="O1440" t="s">
        <v>3762</v>
      </c>
      <c r="P1440" t="s">
        <v>344</v>
      </c>
      <c r="T1440">
        <v>4</v>
      </c>
      <c r="U1440" t="s">
        <v>56</v>
      </c>
      <c r="V1440" t="s">
        <v>56</v>
      </c>
    </row>
    <row r="1441" spans="1:22" x14ac:dyDescent="0.3">
      <c r="A1441" s="49">
        <v>45275</v>
      </c>
      <c r="E1441" t="s">
        <v>3121</v>
      </c>
      <c r="G1441" t="s">
        <v>364</v>
      </c>
      <c r="H1441" t="s">
        <v>89</v>
      </c>
      <c r="J1441" t="s">
        <v>46</v>
      </c>
      <c r="K1441" t="s">
        <v>422</v>
      </c>
      <c r="M1441">
        <v>100</v>
      </c>
      <c r="N1441" t="s">
        <v>33</v>
      </c>
      <c r="O1441" t="s">
        <v>3763</v>
      </c>
      <c r="P1441" t="s">
        <v>1243</v>
      </c>
      <c r="T1441">
        <v>6</v>
      </c>
      <c r="U1441" t="s">
        <v>40</v>
      </c>
      <c r="V1441" t="s">
        <v>41</v>
      </c>
    </row>
    <row r="1442" spans="1:22" x14ac:dyDescent="0.3">
      <c r="A1442" s="49">
        <v>45275</v>
      </c>
      <c r="E1442" t="s">
        <v>3121</v>
      </c>
      <c r="G1442" t="s">
        <v>5182</v>
      </c>
      <c r="H1442" t="s">
        <v>89</v>
      </c>
      <c r="J1442" t="s">
        <v>63</v>
      </c>
      <c r="K1442" t="s">
        <v>64</v>
      </c>
      <c r="M1442">
        <v>100</v>
      </c>
      <c r="N1442" t="s">
        <v>33</v>
      </c>
      <c r="O1442" t="s">
        <v>3764</v>
      </c>
      <c r="P1442" t="s">
        <v>1701</v>
      </c>
      <c r="T1442">
        <v>4</v>
      </c>
      <c r="U1442" t="s">
        <v>56</v>
      </c>
      <c r="V1442" t="s">
        <v>56</v>
      </c>
    </row>
    <row r="1443" spans="1:22" x14ac:dyDescent="0.3">
      <c r="A1443" s="49">
        <v>45275</v>
      </c>
      <c r="E1443" t="s">
        <v>3121</v>
      </c>
      <c r="G1443" t="s">
        <v>5074</v>
      </c>
      <c r="H1443" t="s">
        <v>89</v>
      </c>
      <c r="J1443" t="s">
        <v>63</v>
      </c>
      <c r="K1443" t="s">
        <v>64</v>
      </c>
      <c r="M1443">
        <v>100</v>
      </c>
      <c r="N1443" t="s">
        <v>49</v>
      </c>
      <c r="O1443" t="s">
        <v>3765</v>
      </c>
      <c r="P1443" t="s">
        <v>4827</v>
      </c>
      <c r="T1443">
        <v>4</v>
      </c>
      <c r="U1443" t="s">
        <v>56</v>
      </c>
      <c r="V1443" t="s">
        <v>56</v>
      </c>
    </row>
    <row r="1444" spans="1:22" x14ac:dyDescent="0.3">
      <c r="A1444" s="49">
        <v>45275</v>
      </c>
      <c r="E1444" t="s">
        <v>3121</v>
      </c>
      <c r="G1444" t="s">
        <v>364</v>
      </c>
      <c r="H1444" t="s">
        <v>28</v>
      </c>
      <c r="I1444" t="s">
        <v>5678</v>
      </c>
      <c r="J1444" t="s">
        <v>46</v>
      </c>
      <c r="K1444" t="s">
        <v>422</v>
      </c>
      <c r="M1444">
        <v>25</v>
      </c>
      <c r="N1444" t="s">
        <v>33</v>
      </c>
      <c r="O1444" t="s">
        <v>3766</v>
      </c>
      <c r="P1444" t="s">
        <v>4830</v>
      </c>
      <c r="T1444">
        <v>6</v>
      </c>
      <c r="U1444" t="s">
        <v>40</v>
      </c>
      <c r="V1444" t="s">
        <v>41</v>
      </c>
    </row>
    <row r="1445" spans="1:22" x14ac:dyDescent="0.3">
      <c r="A1445" s="49">
        <v>45275</v>
      </c>
      <c r="E1445" t="s">
        <v>3121</v>
      </c>
      <c r="G1445" t="s">
        <v>1108</v>
      </c>
      <c r="H1445" t="s">
        <v>89</v>
      </c>
      <c r="J1445" t="s">
        <v>63</v>
      </c>
      <c r="K1445" t="s">
        <v>64</v>
      </c>
      <c r="M1445">
        <v>100</v>
      </c>
      <c r="N1445" t="s">
        <v>33</v>
      </c>
      <c r="O1445" t="s">
        <v>3767</v>
      </c>
      <c r="P1445" t="s">
        <v>483</v>
      </c>
      <c r="T1445">
        <v>4</v>
      </c>
      <c r="U1445" t="s">
        <v>56</v>
      </c>
      <c r="V1445" t="s">
        <v>56</v>
      </c>
    </row>
    <row r="1446" spans="1:22" x14ac:dyDescent="0.3">
      <c r="A1446" s="49">
        <v>45275</v>
      </c>
      <c r="E1446" t="s">
        <v>3121</v>
      </c>
      <c r="G1446" t="s">
        <v>5071</v>
      </c>
      <c r="H1446" t="s">
        <v>89</v>
      </c>
      <c r="J1446" t="s">
        <v>63</v>
      </c>
      <c r="K1446" t="s">
        <v>64</v>
      </c>
      <c r="M1446">
        <v>33</v>
      </c>
      <c r="N1446" t="s">
        <v>33</v>
      </c>
      <c r="O1446" t="s">
        <v>3768</v>
      </c>
      <c r="P1446" t="s">
        <v>205</v>
      </c>
      <c r="T1446">
        <v>4</v>
      </c>
      <c r="U1446" t="s">
        <v>56</v>
      </c>
      <c r="V1446" t="s">
        <v>56</v>
      </c>
    </row>
    <row r="1447" spans="1:22" x14ac:dyDescent="0.3">
      <c r="A1447" s="49">
        <v>45275</v>
      </c>
      <c r="E1447" t="s">
        <v>3121</v>
      </c>
      <c r="G1447" t="s">
        <v>1108</v>
      </c>
      <c r="H1447" t="s">
        <v>28</v>
      </c>
      <c r="I1447" t="s">
        <v>1997</v>
      </c>
      <c r="J1447" t="s">
        <v>63</v>
      </c>
      <c r="K1447" t="s">
        <v>197</v>
      </c>
      <c r="M1447">
        <v>100</v>
      </c>
      <c r="N1447" t="s">
        <v>49</v>
      </c>
      <c r="O1447" t="s">
        <v>3769</v>
      </c>
      <c r="P1447" t="s">
        <v>4865</v>
      </c>
      <c r="T1447">
        <v>4</v>
      </c>
      <c r="U1447" t="s">
        <v>56</v>
      </c>
      <c r="V1447" t="s">
        <v>56</v>
      </c>
    </row>
    <row r="1448" spans="1:22" x14ac:dyDescent="0.3">
      <c r="A1448" s="49">
        <v>45275</v>
      </c>
      <c r="E1448" t="s">
        <v>3121</v>
      </c>
      <c r="G1448" t="s">
        <v>1108</v>
      </c>
      <c r="H1448" t="s">
        <v>89</v>
      </c>
      <c r="J1448" t="s">
        <v>63</v>
      </c>
      <c r="K1448" t="s">
        <v>197</v>
      </c>
      <c r="M1448">
        <v>100</v>
      </c>
      <c r="N1448" t="s">
        <v>33</v>
      </c>
      <c r="O1448" t="s">
        <v>3770</v>
      </c>
      <c r="P1448" t="s">
        <v>483</v>
      </c>
      <c r="T1448">
        <v>4</v>
      </c>
      <c r="U1448" t="s">
        <v>56</v>
      </c>
      <c r="V1448" t="s">
        <v>56</v>
      </c>
    </row>
    <row r="1449" spans="1:22" x14ac:dyDescent="0.3">
      <c r="A1449" s="49">
        <v>45275</v>
      </c>
      <c r="E1449" t="s">
        <v>3121</v>
      </c>
      <c r="G1449" t="s">
        <v>364</v>
      </c>
      <c r="H1449" t="s">
        <v>28</v>
      </c>
      <c r="I1449" t="s">
        <v>2784</v>
      </c>
      <c r="J1449" t="s">
        <v>63</v>
      </c>
      <c r="K1449" t="s">
        <v>64</v>
      </c>
      <c r="M1449">
        <v>80</v>
      </c>
      <c r="N1449" t="s">
        <v>33</v>
      </c>
      <c r="O1449" t="s">
        <v>3771</v>
      </c>
      <c r="P1449" t="s">
        <v>1054</v>
      </c>
      <c r="T1449">
        <v>4</v>
      </c>
      <c r="U1449" t="s">
        <v>56</v>
      </c>
      <c r="V1449" t="s">
        <v>56</v>
      </c>
    </row>
    <row r="1450" spans="1:22" x14ac:dyDescent="0.3">
      <c r="A1450" s="49">
        <v>45275</v>
      </c>
      <c r="E1450" t="s">
        <v>3121</v>
      </c>
      <c r="G1450" t="s">
        <v>5071</v>
      </c>
      <c r="H1450" t="s">
        <v>28</v>
      </c>
      <c r="I1450" t="s">
        <v>5679</v>
      </c>
      <c r="J1450" t="s">
        <v>63</v>
      </c>
      <c r="K1450" t="s">
        <v>4943</v>
      </c>
      <c r="M1450">
        <v>0</v>
      </c>
      <c r="N1450" t="s">
        <v>33</v>
      </c>
      <c r="O1450" t="s">
        <v>3772</v>
      </c>
      <c r="P1450" t="s">
        <v>416</v>
      </c>
      <c r="T1450">
        <v>4</v>
      </c>
      <c r="U1450" t="s">
        <v>56</v>
      </c>
      <c r="V1450" t="s">
        <v>56</v>
      </c>
    </row>
    <row r="1451" spans="1:22" x14ac:dyDescent="0.3">
      <c r="A1451" s="49">
        <v>45275</v>
      </c>
      <c r="E1451" t="s">
        <v>3121</v>
      </c>
      <c r="G1451" t="s">
        <v>4985</v>
      </c>
      <c r="H1451" t="s">
        <v>89</v>
      </c>
      <c r="J1451" t="s">
        <v>63</v>
      </c>
      <c r="K1451" t="s">
        <v>211</v>
      </c>
      <c r="M1451">
        <v>80</v>
      </c>
      <c r="N1451" t="s">
        <v>49</v>
      </c>
      <c r="O1451" t="s">
        <v>3773</v>
      </c>
      <c r="P1451" t="s">
        <v>2029</v>
      </c>
      <c r="T1451">
        <v>4</v>
      </c>
      <c r="U1451" t="s">
        <v>56</v>
      </c>
      <c r="V1451" t="s">
        <v>56</v>
      </c>
    </row>
    <row r="1452" spans="1:22" x14ac:dyDescent="0.3">
      <c r="A1452" s="49">
        <v>45275</v>
      </c>
      <c r="E1452" t="s">
        <v>3121</v>
      </c>
      <c r="G1452" t="s">
        <v>364</v>
      </c>
      <c r="H1452" t="s">
        <v>28</v>
      </c>
      <c r="I1452" t="s">
        <v>5676</v>
      </c>
      <c r="J1452" t="s">
        <v>46</v>
      </c>
      <c r="K1452" t="s">
        <v>422</v>
      </c>
      <c r="M1452">
        <v>10</v>
      </c>
      <c r="N1452" t="s">
        <v>33</v>
      </c>
      <c r="O1452" t="s">
        <v>3756</v>
      </c>
      <c r="P1452" t="s">
        <v>416</v>
      </c>
      <c r="T1452">
        <v>6</v>
      </c>
      <c r="U1452" t="s">
        <v>40</v>
      </c>
      <c r="V1452" t="s">
        <v>41</v>
      </c>
    </row>
    <row r="1453" spans="1:22" x14ac:dyDescent="0.3">
      <c r="A1453" s="49">
        <v>45275</v>
      </c>
      <c r="E1453" t="s">
        <v>3121</v>
      </c>
      <c r="G1453" t="s">
        <v>1108</v>
      </c>
      <c r="H1453" t="s">
        <v>89</v>
      </c>
      <c r="J1453" t="s">
        <v>63</v>
      </c>
      <c r="K1453" t="s">
        <v>197</v>
      </c>
      <c r="M1453">
        <v>83</v>
      </c>
      <c r="N1453" t="s">
        <v>49</v>
      </c>
      <c r="O1453" t="s">
        <v>3774</v>
      </c>
      <c r="P1453" t="s">
        <v>4836</v>
      </c>
      <c r="T1453">
        <v>4</v>
      </c>
      <c r="U1453" t="s">
        <v>56</v>
      </c>
      <c r="V1453" t="s">
        <v>56</v>
      </c>
    </row>
    <row r="1454" spans="1:22" x14ac:dyDescent="0.3">
      <c r="A1454" s="49">
        <v>45275</v>
      </c>
      <c r="E1454" t="s">
        <v>3121</v>
      </c>
      <c r="G1454" t="s">
        <v>1108</v>
      </c>
      <c r="H1454" t="s">
        <v>89</v>
      </c>
      <c r="J1454" t="s">
        <v>63</v>
      </c>
      <c r="K1454" t="s">
        <v>197</v>
      </c>
      <c r="M1454">
        <v>30</v>
      </c>
      <c r="N1454" t="s">
        <v>49</v>
      </c>
      <c r="O1454" t="s">
        <v>3774</v>
      </c>
      <c r="P1454" t="s">
        <v>4836</v>
      </c>
      <c r="T1454">
        <v>4</v>
      </c>
      <c r="U1454" t="s">
        <v>56</v>
      </c>
      <c r="V1454" t="s">
        <v>56</v>
      </c>
    </row>
    <row r="1455" spans="1:22" x14ac:dyDescent="0.3">
      <c r="A1455" s="49">
        <v>45275</v>
      </c>
      <c r="E1455" t="s">
        <v>3121</v>
      </c>
      <c r="G1455" t="s">
        <v>1108</v>
      </c>
      <c r="H1455" t="s">
        <v>28</v>
      </c>
      <c r="I1455" t="s">
        <v>5680</v>
      </c>
      <c r="J1455" t="s">
        <v>63</v>
      </c>
      <c r="K1455" t="s">
        <v>197</v>
      </c>
      <c r="M1455">
        <v>90</v>
      </c>
      <c r="N1455" t="s">
        <v>33</v>
      </c>
      <c r="O1455" t="s">
        <v>3775</v>
      </c>
      <c r="P1455" t="s">
        <v>668</v>
      </c>
      <c r="T1455">
        <v>4</v>
      </c>
      <c r="U1455" t="s">
        <v>56</v>
      </c>
      <c r="V1455" t="s">
        <v>56</v>
      </c>
    </row>
    <row r="1456" spans="1:22" x14ac:dyDescent="0.3">
      <c r="A1456" s="49">
        <v>45275</v>
      </c>
      <c r="E1456" t="s">
        <v>3121</v>
      </c>
      <c r="G1456" t="s">
        <v>5036</v>
      </c>
      <c r="H1456" t="s">
        <v>28</v>
      </c>
      <c r="I1456" t="s">
        <v>5681</v>
      </c>
      <c r="J1456" t="s">
        <v>63</v>
      </c>
      <c r="K1456" t="s">
        <v>64</v>
      </c>
      <c r="M1456">
        <v>40</v>
      </c>
      <c r="N1456" t="s">
        <v>33</v>
      </c>
      <c r="O1456" t="s">
        <v>3776</v>
      </c>
      <c r="P1456" t="s">
        <v>35</v>
      </c>
      <c r="T1456">
        <v>4</v>
      </c>
      <c r="U1456" t="s">
        <v>56</v>
      </c>
      <c r="V1456" t="s">
        <v>56</v>
      </c>
    </row>
    <row r="1457" spans="1:22" x14ac:dyDescent="0.3">
      <c r="A1457" s="49">
        <v>45275</v>
      </c>
      <c r="E1457" t="s">
        <v>3121</v>
      </c>
      <c r="G1457" t="s">
        <v>5036</v>
      </c>
      <c r="H1457" t="s">
        <v>28</v>
      </c>
      <c r="I1457" t="s">
        <v>5682</v>
      </c>
      <c r="J1457" t="s">
        <v>63</v>
      </c>
      <c r="K1457" t="s">
        <v>197</v>
      </c>
      <c r="M1457">
        <v>20</v>
      </c>
      <c r="N1457" t="s">
        <v>33</v>
      </c>
      <c r="O1457" t="s">
        <v>3777</v>
      </c>
      <c r="P1457" t="s">
        <v>1175</v>
      </c>
      <c r="T1457">
        <v>4</v>
      </c>
      <c r="U1457" t="s">
        <v>56</v>
      </c>
      <c r="V1457" t="s">
        <v>56</v>
      </c>
    </row>
    <row r="1458" spans="1:22" x14ac:dyDescent="0.3">
      <c r="A1458" s="49">
        <v>45275</v>
      </c>
      <c r="E1458" t="s">
        <v>3121</v>
      </c>
      <c r="G1458" t="s">
        <v>5035</v>
      </c>
      <c r="H1458" t="s">
        <v>89</v>
      </c>
      <c r="J1458" t="s">
        <v>63</v>
      </c>
      <c r="K1458" t="s">
        <v>197</v>
      </c>
      <c r="M1458">
        <v>0</v>
      </c>
      <c r="N1458" t="s">
        <v>74</v>
      </c>
      <c r="O1458" t="s">
        <v>3778</v>
      </c>
      <c r="P1458" t="s">
        <v>163</v>
      </c>
      <c r="T1458">
        <v>4</v>
      </c>
      <c r="U1458" t="s">
        <v>56</v>
      </c>
      <c r="V1458" t="s">
        <v>56</v>
      </c>
    </row>
    <row r="1459" spans="1:22" x14ac:dyDescent="0.3">
      <c r="A1459" s="49">
        <v>45275</v>
      </c>
      <c r="E1459" t="s">
        <v>3121</v>
      </c>
      <c r="G1459" t="s">
        <v>364</v>
      </c>
      <c r="H1459" t="s">
        <v>28</v>
      </c>
      <c r="I1459" t="s">
        <v>5676</v>
      </c>
      <c r="J1459" t="s">
        <v>46</v>
      </c>
      <c r="K1459" t="s">
        <v>422</v>
      </c>
      <c r="M1459">
        <v>30</v>
      </c>
      <c r="N1459" t="s">
        <v>33</v>
      </c>
      <c r="O1459" t="s">
        <v>3756</v>
      </c>
      <c r="P1459" t="s">
        <v>416</v>
      </c>
      <c r="T1459">
        <v>6</v>
      </c>
      <c r="U1459" t="s">
        <v>40</v>
      </c>
      <c r="V1459" t="s">
        <v>41</v>
      </c>
    </row>
    <row r="1460" spans="1:22" x14ac:dyDescent="0.3">
      <c r="A1460" s="49">
        <v>45275</v>
      </c>
      <c r="E1460" t="s">
        <v>3121</v>
      </c>
      <c r="G1460" t="s">
        <v>2063</v>
      </c>
      <c r="H1460" t="s">
        <v>28</v>
      </c>
      <c r="I1460" t="s">
        <v>5683</v>
      </c>
      <c r="J1460" t="s">
        <v>63</v>
      </c>
      <c r="K1460" t="s">
        <v>197</v>
      </c>
      <c r="M1460">
        <v>0</v>
      </c>
      <c r="N1460" t="s">
        <v>74</v>
      </c>
      <c r="O1460" t="s">
        <v>3779</v>
      </c>
      <c r="P1460" t="s">
        <v>651</v>
      </c>
      <c r="T1460">
        <v>4</v>
      </c>
      <c r="U1460" t="s">
        <v>56</v>
      </c>
      <c r="V1460" t="s">
        <v>56</v>
      </c>
    </row>
    <row r="1461" spans="1:22" x14ac:dyDescent="0.3">
      <c r="A1461" s="49">
        <v>45275</v>
      </c>
      <c r="E1461" t="s">
        <v>3121</v>
      </c>
      <c r="G1461" t="s">
        <v>5073</v>
      </c>
      <c r="H1461" t="s">
        <v>28</v>
      </c>
      <c r="I1461" t="s">
        <v>5684</v>
      </c>
      <c r="J1461" t="s">
        <v>46</v>
      </c>
      <c r="K1461" t="s">
        <v>422</v>
      </c>
      <c r="M1461">
        <v>0</v>
      </c>
      <c r="N1461" t="s">
        <v>74</v>
      </c>
      <c r="O1461" t="s">
        <v>3780</v>
      </c>
      <c r="P1461" t="s">
        <v>344</v>
      </c>
      <c r="T1461">
        <v>5</v>
      </c>
      <c r="U1461" t="s">
        <v>40</v>
      </c>
      <c r="V1461" t="s">
        <v>41</v>
      </c>
    </row>
    <row r="1462" spans="1:22" x14ac:dyDescent="0.3">
      <c r="A1462" s="49">
        <v>45275</v>
      </c>
      <c r="E1462" t="s">
        <v>3121</v>
      </c>
      <c r="G1462" t="s">
        <v>5182</v>
      </c>
      <c r="H1462" t="s">
        <v>28</v>
      </c>
      <c r="I1462" t="s">
        <v>5685</v>
      </c>
      <c r="J1462" t="s">
        <v>63</v>
      </c>
      <c r="K1462" t="s">
        <v>64</v>
      </c>
      <c r="M1462">
        <v>90</v>
      </c>
      <c r="N1462" t="s">
        <v>49</v>
      </c>
      <c r="O1462" t="s">
        <v>3781</v>
      </c>
      <c r="P1462" t="s">
        <v>4834</v>
      </c>
      <c r="T1462">
        <v>4</v>
      </c>
      <c r="U1462" t="s">
        <v>56</v>
      </c>
      <c r="V1462" t="s">
        <v>56</v>
      </c>
    </row>
    <row r="1463" spans="1:22" x14ac:dyDescent="0.3">
      <c r="A1463" s="49">
        <v>45275</v>
      </c>
      <c r="E1463" t="s">
        <v>3121</v>
      </c>
      <c r="G1463" t="s">
        <v>5181</v>
      </c>
      <c r="H1463" t="s">
        <v>28</v>
      </c>
      <c r="I1463" t="s">
        <v>5686</v>
      </c>
      <c r="J1463" t="s">
        <v>46</v>
      </c>
      <c r="K1463" t="s">
        <v>422</v>
      </c>
      <c r="M1463">
        <v>90</v>
      </c>
      <c r="N1463" t="s">
        <v>49</v>
      </c>
      <c r="O1463" t="s">
        <v>3782</v>
      </c>
      <c r="P1463" t="s">
        <v>1701</v>
      </c>
      <c r="T1463">
        <v>4</v>
      </c>
      <c r="U1463" t="s">
        <v>56</v>
      </c>
      <c r="V1463" t="s">
        <v>56</v>
      </c>
    </row>
    <row r="1464" spans="1:22" x14ac:dyDescent="0.3">
      <c r="A1464" s="49">
        <v>45275</v>
      </c>
      <c r="E1464" t="s">
        <v>3121</v>
      </c>
      <c r="G1464" t="s">
        <v>364</v>
      </c>
      <c r="H1464" t="s">
        <v>28</v>
      </c>
      <c r="I1464" t="s">
        <v>1837</v>
      </c>
      <c r="J1464" t="s">
        <v>63</v>
      </c>
      <c r="K1464" t="s">
        <v>197</v>
      </c>
      <c r="M1464">
        <v>80</v>
      </c>
      <c r="N1464" t="s">
        <v>49</v>
      </c>
      <c r="O1464" t="s">
        <v>3783</v>
      </c>
      <c r="P1464" t="s">
        <v>4832</v>
      </c>
      <c r="T1464">
        <v>4</v>
      </c>
      <c r="U1464" t="s">
        <v>56</v>
      </c>
      <c r="V1464" t="s">
        <v>56</v>
      </c>
    </row>
    <row r="1465" spans="1:22" x14ac:dyDescent="0.3">
      <c r="A1465" s="49">
        <v>45275</v>
      </c>
      <c r="E1465" t="s">
        <v>3121</v>
      </c>
      <c r="G1465" t="s">
        <v>364</v>
      </c>
      <c r="H1465" t="s">
        <v>28</v>
      </c>
      <c r="I1465" t="s">
        <v>1837</v>
      </c>
      <c r="J1465" t="s">
        <v>63</v>
      </c>
      <c r="K1465" t="s">
        <v>197</v>
      </c>
      <c r="M1465">
        <v>40</v>
      </c>
      <c r="N1465" t="s">
        <v>49</v>
      </c>
      <c r="O1465" t="s">
        <v>3784</v>
      </c>
      <c r="P1465" t="s">
        <v>4828</v>
      </c>
      <c r="T1465">
        <v>6</v>
      </c>
      <c r="U1465" t="s">
        <v>40</v>
      </c>
      <c r="V1465" t="s">
        <v>41</v>
      </c>
    </row>
    <row r="1466" spans="1:22" x14ac:dyDescent="0.3">
      <c r="A1466" s="49">
        <v>45275</v>
      </c>
      <c r="E1466" t="s">
        <v>3121</v>
      </c>
      <c r="G1466" t="s">
        <v>5073</v>
      </c>
      <c r="H1466" t="s">
        <v>28</v>
      </c>
      <c r="I1466" t="s">
        <v>5687</v>
      </c>
      <c r="J1466" t="s">
        <v>46</v>
      </c>
      <c r="K1466" t="s">
        <v>422</v>
      </c>
      <c r="M1466">
        <v>100</v>
      </c>
      <c r="N1466" t="s">
        <v>49</v>
      </c>
      <c r="O1466" t="s">
        <v>3785</v>
      </c>
      <c r="P1466" t="s">
        <v>2645</v>
      </c>
      <c r="T1466">
        <v>5</v>
      </c>
      <c r="U1466" t="s">
        <v>40</v>
      </c>
      <c r="V1466" t="s">
        <v>41</v>
      </c>
    </row>
    <row r="1467" spans="1:22" x14ac:dyDescent="0.3">
      <c r="A1467" s="49">
        <v>45275</v>
      </c>
      <c r="E1467" t="s">
        <v>3121</v>
      </c>
      <c r="G1467" t="s">
        <v>5073</v>
      </c>
      <c r="H1467" t="s">
        <v>28</v>
      </c>
      <c r="I1467" t="s">
        <v>5688</v>
      </c>
      <c r="J1467" t="s">
        <v>46</v>
      </c>
      <c r="K1467" t="s">
        <v>422</v>
      </c>
      <c r="M1467">
        <v>100</v>
      </c>
      <c r="N1467" t="s">
        <v>49</v>
      </c>
      <c r="O1467" t="s">
        <v>3786</v>
      </c>
      <c r="P1467" t="s">
        <v>1122</v>
      </c>
      <c r="T1467">
        <v>6</v>
      </c>
      <c r="U1467" t="s">
        <v>40</v>
      </c>
      <c r="V1467" t="s">
        <v>41</v>
      </c>
    </row>
    <row r="1468" spans="1:22" x14ac:dyDescent="0.3">
      <c r="A1468" s="49">
        <v>45275</v>
      </c>
      <c r="E1468" t="s">
        <v>3121</v>
      </c>
      <c r="G1468" t="s">
        <v>5074</v>
      </c>
      <c r="H1468" t="s">
        <v>28</v>
      </c>
      <c r="I1468" t="s">
        <v>5689</v>
      </c>
      <c r="J1468" t="s">
        <v>63</v>
      </c>
      <c r="K1468" t="s">
        <v>64</v>
      </c>
      <c r="M1468">
        <v>90</v>
      </c>
      <c r="N1468" t="s">
        <v>49</v>
      </c>
      <c r="O1468" t="s">
        <v>3787</v>
      </c>
      <c r="P1468" t="s">
        <v>287</v>
      </c>
      <c r="T1468">
        <v>4</v>
      </c>
      <c r="U1468" t="s">
        <v>56</v>
      </c>
      <c r="V1468" t="s">
        <v>56</v>
      </c>
    </row>
    <row r="1469" spans="1:22" x14ac:dyDescent="0.3">
      <c r="A1469" s="49">
        <v>45275</v>
      </c>
      <c r="E1469" t="s">
        <v>3121</v>
      </c>
      <c r="G1469" t="s">
        <v>5071</v>
      </c>
      <c r="H1469" t="s">
        <v>28</v>
      </c>
      <c r="I1469" t="s">
        <v>5679</v>
      </c>
      <c r="J1469" t="s">
        <v>63</v>
      </c>
      <c r="K1469" t="s">
        <v>64</v>
      </c>
      <c r="M1469">
        <v>100</v>
      </c>
      <c r="N1469" t="s">
        <v>49</v>
      </c>
      <c r="O1469" t="s">
        <v>3788</v>
      </c>
      <c r="P1469" t="s">
        <v>1697</v>
      </c>
      <c r="T1469">
        <v>4</v>
      </c>
      <c r="U1469" t="s">
        <v>56</v>
      </c>
      <c r="V1469" t="s">
        <v>56</v>
      </c>
    </row>
    <row r="1470" spans="1:22" x14ac:dyDescent="0.3">
      <c r="A1470" s="49">
        <v>45275</v>
      </c>
      <c r="E1470" t="s">
        <v>3121</v>
      </c>
      <c r="G1470" t="s">
        <v>5071</v>
      </c>
      <c r="H1470" t="s">
        <v>28</v>
      </c>
      <c r="I1470" t="s">
        <v>5679</v>
      </c>
      <c r="J1470" t="s">
        <v>63</v>
      </c>
      <c r="K1470" t="s">
        <v>4943</v>
      </c>
      <c r="M1470">
        <v>60</v>
      </c>
      <c r="N1470" t="s">
        <v>49</v>
      </c>
      <c r="O1470" t="s">
        <v>3772</v>
      </c>
      <c r="P1470" t="s">
        <v>737</v>
      </c>
      <c r="T1470">
        <v>4</v>
      </c>
      <c r="U1470" t="s">
        <v>56</v>
      </c>
      <c r="V1470" t="s">
        <v>56</v>
      </c>
    </row>
    <row r="1471" spans="1:22" x14ac:dyDescent="0.3">
      <c r="A1471" s="49">
        <v>45275</v>
      </c>
      <c r="E1471" t="s">
        <v>3121</v>
      </c>
      <c r="G1471" t="s">
        <v>5071</v>
      </c>
      <c r="H1471" t="s">
        <v>89</v>
      </c>
      <c r="J1471" t="s">
        <v>63</v>
      </c>
      <c r="K1471" t="s">
        <v>64</v>
      </c>
      <c r="M1471">
        <v>0</v>
      </c>
      <c r="N1471" t="s">
        <v>74</v>
      </c>
      <c r="O1471" t="s">
        <v>3789</v>
      </c>
      <c r="P1471" t="s">
        <v>651</v>
      </c>
      <c r="T1471">
        <v>4</v>
      </c>
      <c r="U1471" t="s">
        <v>56</v>
      </c>
      <c r="V1471" t="s">
        <v>56</v>
      </c>
    </row>
    <row r="1472" spans="1:22" x14ac:dyDescent="0.3">
      <c r="A1472" s="49">
        <v>45275</v>
      </c>
      <c r="E1472" t="s">
        <v>3121</v>
      </c>
      <c r="G1472" t="s">
        <v>364</v>
      </c>
      <c r="H1472" t="s">
        <v>28</v>
      </c>
      <c r="I1472" t="s">
        <v>5690</v>
      </c>
      <c r="J1472" t="s">
        <v>63</v>
      </c>
      <c r="K1472" t="s">
        <v>64</v>
      </c>
      <c r="M1472">
        <v>30</v>
      </c>
      <c r="N1472" t="s">
        <v>33</v>
      </c>
      <c r="O1472" t="s">
        <v>3790</v>
      </c>
      <c r="P1472" t="s">
        <v>4884</v>
      </c>
      <c r="T1472">
        <v>4</v>
      </c>
      <c r="U1472" t="s">
        <v>56</v>
      </c>
      <c r="V1472" t="s">
        <v>56</v>
      </c>
    </row>
    <row r="1473" spans="1:22" x14ac:dyDescent="0.3">
      <c r="A1473" s="49">
        <v>45275</v>
      </c>
      <c r="E1473" t="s">
        <v>3121</v>
      </c>
      <c r="G1473" t="s">
        <v>364</v>
      </c>
      <c r="H1473" t="s">
        <v>89</v>
      </c>
      <c r="J1473" t="s">
        <v>63</v>
      </c>
      <c r="K1473" t="s">
        <v>64</v>
      </c>
      <c r="M1473">
        <v>0</v>
      </c>
      <c r="N1473" t="s">
        <v>74</v>
      </c>
      <c r="O1473" t="s">
        <v>3791</v>
      </c>
      <c r="P1473" t="s">
        <v>1159</v>
      </c>
      <c r="T1473">
        <v>6</v>
      </c>
      <c r="U1473" t="s">
        <v>40</v>
      </c>
      <c r="V1473" t="s">
        <v>41</v>
      </c>
    </row>
    <row r="1474" spans="1:22" x14ac:dyDescent="0.3">
      <c r="A1474" s="49">
        <v>45275</v>
      </c>
      <c r="E1474" t="s">
        <v>3121</v>
      </c>
      <c r="G1474" t="s">
        <v>364</v>
      </c>
      <c r="H1474" t="s">
        <v>28</v>
      </c>
      <c r="I1474" t="s">
        <v>5691</v>
      </c>
      <c r="J1474" t="s">
        <v>63</v>
      </c>
      <c r="K1474" t="s">
        <v>197</v>
      </c>
      <c r="M1474">
        <v>0</v>
      </c>
      <c r="N1474" t="s">
        <v>49</v>
      </c>
      <c r="O1474" t="s">
        <v>3792</v>
      </c>
      <c r="P1474" t="s">
        <v>1243</v>
      </c>
      <c r="T1474">
        <v>4</v>
      </c>
      <c r="U1474" t="s">
        <v>56</v>
      </c>
      <c r="V1474" t="s">
        <v>56</v>
      </c>
    </row>
    <row r="1475" spans="1:22" x14ac:dyDescent="0.3">
      <c r="A1475" s="49">
        <v>45275</v>
      </c>
      <c r="E1475" t="s">
        <v>3121</v>
      </c>
      <c r="G1475" t="s">
        <v>364</v>
      </c>
      <c r="H1475" t="s">
        <v>28</v>
      </c>
      <c r="I1475" t="s">
        <v>1837</v>
      </c>
      <c r="J1475" t="s">
        <v>63</v>
      </c>
      <c r="K1475" t="s">
        <v>197</v>
      </c>
      <c r="M1475">
        <v>0</v>
      </c>
      <c r="N1475" t="s">
        <v>74</v>
      </c>
      <c r="O1475" t="s">
        <v>3793</v>
      </c>
      <c r="P1475" t="s">
        <v>956</v>
      </c>
      <c r="T1475">
        <v>6</v>
      </c>
      <c r="U1475" t="s">
        <v>40</v>
      </c>
      <c r="V1475" t="s">
        <v>41</v>
      </c>
    </row>
    <row r="1476" spans="1:22" x14ac:dyDescent="0.3">
      <c r="A1476" s="49">
        <v>45275</v>
      </c>
      <c r="E1476" t="s">
        <v>3121</v>
      </c>
      <c r="G1476" t="s">
        <v>5073</v>
      </c>
      <c r="H1476" t="s">
        <v>28</v>
      </c>
      <c r="I1476" t="s">
        <v>5692</v>
      </c>
      <c r="J1476" t="s">
        <v>63</v>
      </c>
      <c r="K1476" t="s">
        <v>64</v>
      </c>
      <c r="M1476">
        <v>50</v>
      </c>
      <c r="N1476" t="s">
        <v>33</v>
      </c>
      <c r="O1476" t="s">
        <v>3794</v>
      </c>
      <c r="P1476" t="s">
        <v>108</v>
      </c>
      <c r="T1476">
        <v>4</v>
      </c>
      <c r="U1476" t="s">
        <v>56</v>
      </c>
      <c r="V1476" t="s">
        <v>56</v>
      </c>
    </row>
    <row r="1477" spans="1:22" x14ac:dyDescent="0.3">
      <c r="A1477" s="49">
        <v>45275</v>
      </c>
      <c r="E1477" t="s">
        <v>3121</v>
      </c>
      <c r="G1477" t="s">
        <v>5073</v>
      </c>
      <c r="H1477" t="s">
        <v>28</v>
      </c>
      <c r="I1477" t="s">
        <v>5684</v>
      </c>
      <c r="J1477" t="s">
        <v>46</v>
      </c>
      <c r="K1477" t="s">
        <v>422</v>
      </c>
      <c r="M1477">
        <v>60</v>
      </c>
      <c r="N1477" t="s">
        <v>33</v>
      </c>
      <c r="O1477" t="s">
        <v>3795</v>
      </c>
      <c r="P1477" t="s">
        <v>170</v>
      </c>
      <c r="T1477">
        <v>5</v>
      </c>
      <c r="U1477" t="s">
        <v>40</v>
      </c>
      <c r="V1477" t="s">
        <v>41</v>
      </c>
    </row>
    <row r="1478" spans="1:22" x14ac:dyDescent="0.3">
      <c r="A1478" s="49">
        <v>45275</v>
      </c>
      <c r="E1478" t="s">
        <v>3121</v>
      </c>
      <c r="G1478" t="s">
        <v>5074</v>
      </c>
      <c r="H1478" t="s">
        <v>28</v>
      </c>
      <c r="I1478" t="s">
        <v>5693</v>
      </c>
      <c r="J1478" t="s">
        <v>46</v>
      </c>
      <c r="K1478" t="s">
        <v>422</v>
      </c>
      <c r="M1478">
        <v>100</v>
      </c>
      <c r="N1478" t="s">
        <v>49</v>
      </c>
      <c r="O1478" t="s">
        <v>3796</v>
      </c>
      <c r="P1478" t="s">
        <v>4885</v>
      </c>
      <c r="T1478">
        <v>4</v>
      </c>
      <c r="U1478" t="s">
        <v>56</v>
      </c>
      <c r="V1478" t="s">
        <v>56</v>
      </c>
    </row>
    <row r="1479" spans="1:22" x14ac:dyDescent="0.3">
      <c r="A1479" s="49">
        <v>45275</v>
      </c>
      <c r="E1479" t="s">
        <v>3121</v>
      </c>
      <c r="G1479" t="s">
        <v>5071</v>
      </c>
      <c r="H1479" t="s">
        <v>89</v>
      </c>
      <c r="J1479" t="s">
        <v>63</v>
      </c>
      <c r="K1479" t="s">
        <v>64</v>
      </c>
      <c r="M1479">
        <v>80</v>
      </c>
      <c r="N1479" t="s">
        <v>33</v>
      </c>
      <c r="O1479" t="s">
        <v>3797</v>
      </c>
      <c r="P1479" t="s">
        <v>4830</v>
      </c>
      <c r="T1479">
        <v>4</v>
      </c>
      <c r="U1479" t="s">
        <v>56</v>
      </c>
      <c r="V1479" t="s">
        <v>56</v>
      </c>
    </row>
    <row r="1480" spans="1:22" x14ac:dyDescent="0.3">
      <c r="A1480" s="49">
        <v>45275</v>
      </c>
      <c r="E1480" t="s">
        <v>3214</v>
      </c>
      <c r="G1480" t="s">
        <v>5184</v>
      </c>
      <c r="H1480" t="s">
        <v>28</v>
      </c>
      <c r="I1480" t="s">
        <v>5694</v>
      </c>
      <c r="J1480" t="s">
        <v>63</v>
      </c>
      <c r="K1480" t="s">
        <v>197</v>
      </c>
      <c r="M1480">
        <v>100</v>
      </c>
      <c r="N1480" t="s">
        <v>49</v>
      </c>
      <c r="O1480" t="s">
        <v>3798</v>
      </c>
      <c r="P1480" t="s">
        <v>4870</v>
      </c>
      <c r="T1480">
        <v>4</v>
      </c>
      <c r="U1480" t="s">
        <v>56</v>
      </c>
      <c r="V1480" t="s">
        <v>56</v>
      </c>
    </row>
    <row r="1481" spans="1:22" x14ac:dyDescent="0.3">
      <c r="A1481" s="49">
        <v>45275</v>
      </c>
      <c r="E1481" t="s">
        <v>3215</v>
      </c>
      <c r="G1481" t="s">
        <v>5185</v>
      </c>
      <c r="H1481" t="s">
        <v>28</v>
      </c>
      <c r="I1481" t="s">
        <v>5695</v>
      </c>
      <c r="J1481" t="s">
        <v>30</v>
      </c>
      <c r="K1481" t="s">
        <v>31</v>
      </c>
      <c r="M1481">
        <v>10</v>
      </c>
      <c r="N1481" t="s">
        <v>33</v>
      </c>
      <c r="O1481" t="s">
        <v>3799</v>
      </c>
      <c r="P1481" t="s">
        <v>4871</v>
      </c>
      <c r="T1481">
        <v>6</v>
      </c>
      <c r="U1481" t="s">
        <v>40</v>
      </c>
      <c r="V1481" t="s">
        <v>41</v>
      </c>
    </row>
    <row r="1482" spans="1:22" x14ac:dyDescent="0.3">
      <c r="A1482" s="49">
        <v>45275</v>
      </c>
      <c r="E1482" t="s">
        <v>3215</v>
      </c>
      <c r="G1482" t="s">
        <v>5186</v>
      </c>
      <c r="H1482" t="s">
        <v>28</v>
      </c>
      <c r="I1482" t="s">
        <v>5696</v>
      </c>
      <c r="J1482" t="s">
        <v>63</v>
      </c>
      <c r="K1482" t="s">
        <v>197</v>
      </c>
      <c r="M1482">
        <v>90</v>
      </c>
      <c r="N1482" t="s">
        <v>49</v>
      </c>
      <c r="O1482" t="s">
        <v>3800</v>
      </c>
      <c r="P1482" t="s">
        <v>4876</v>
      </c>
      <c r="T1482">
        <v>4</v>
      </c>
      <c r="U1482" t="s">
        <v>56</v>
      </c>
      <c r="V1482" t="s">
        <v>56</v>
      </c>
    </row>
    <row r="1483" spans="1:22" x14ac:dyDescent="0.3">
      <c r="A1483" s="49">
        <v>45275</v>
      </c>
      <c r="E1483" t="s">
        <v>3190</v>
      </c>
      <c r="G1483" t="s">
        <v>5187</v>
      </c>
      <c r="H1483" t="s">
        <v>28</v>
      </c>
      <c r="I1483" t="s">
        <v>5697</v>
      </c>
      <c r="J1483" t="s">
        <v>63</v>
      </c>
      <c r="K1483" t="s">
        <v>64</v>
      </c>
      <c r="M1483">
        <v>30</v>
      </c>
      <c r="N1483" t="s">
        <v>33</v>
      </c>
      <c r="O1483" t="s">
        <v>3801</v>
      </c>
      <c r="P1483" t="s">
        <v>4834</v>
      </c>
      <c r="T1483">
        <v>4</v>
      </c>
      <c r="U1483" t="s">
        <v>56</v>
      </c>
      <c r="V1483" t="s">
        <v>56</v>
      </c>
    </row>
    <row r="1484" spans="1:22" x14ac:dyDescent="0.3">
      <c r="A1484" s="49">
        <v>45275</v>
      </c>
      <c r="E1484" t="s">
        <v>3190</v>
      </c>
      <c r="G1484" t="s">
        <v>5188</v>
      </c>
      <c r="H1484" t="s">
        <v>28</v>
      </c>
      <c r="I1484" t="s">
        <v>1745</v>
      </c>
      <c r="J1484" t="s">
        <v>63</v>
      </c>
      <c r="K1484" t="s">
        <v>64</v>
      </c>
      <c r="M1484">
        <v>70</v>
      </c>
      <c r="N1484" t="s">
        <v>49</v>
      </c>
      <c r="O1484" t="s">
        <v>3802</v>
      </c>
      <c r="P1484" t="s">
        <v>4886</v>
      </c>
      <c r="T1484">
        <v>4</v>
      </c>
      <c r="U1484" t="s">
        <v>56</v>
      </c>
      <c r="V1484" t="s">
        <v>56</v>
      </c>
    </row>
    <row r="1485" spans="1:22" x14ac:dyDescent="0.3">
      <c r="A1485" s="49">
        <v>45275</v>
      </c>
      <c r="E1485" t="s">
        <v>3190</v>
      </c>
      <c r="G1485" t="s">
        <v>5187</v>
      </c>
      <c r="H1485" t="s">
        <v>28</v>
      </c>
      <c r="I1485" t="s">
        <v>5697</v>
      </c>
      <c r="J1485" t="s">
        <v>63</v>
      </c>
      <c r="K1485" t="s">
        <v>64</v>
      </c>
      <c r="M1485">
        <v>0</v>
      </c>
      <c r="N1485" t="s">
        <v>74</v>
      </c>
      <c r="O1485" t="s">
        <v>3803</v>
      </c>
      <c r="P1485" t="s">
        <v>4832</v>
      </c>
      <c r="T1485">
        <v>4</v>
      </c>
      <c r="U1485" t="s">
        <v>56</v>
      </c>
      <c r="V1485" t="s">
        <v>56</v>
      </c>
    </row>
    <row r="1486" spans="1:22" x14ac:dyDescent="0.3">
      <c r="A1486" s="49">
        <v>45275</v>
      </c>
      <c r="E1486" t="s">
        <v>3190</v>
      </c>
      <c r="G1486" t="s">
        <v>5189</v>
      </c>
      <c r="H1486" t="s">
        <v>28</v>
      </c>
      <c r="I1486" t="s">
        <v>5698</v>
      </c>
      <c r="J1486" t="s">
        <v>63</v>
      </c>
      <c r="K1486" t="s">
        <v>197</v>
      </c>
      <c r="M1486">
        <v>81</v>
      </c>
      <c r="N1486" t="s">
        <v>49</v>
      </c>
      <c r="O1486" t="s">
        <v>3804</v>
      </c>
      <c r="P1486" t="s">
        <v>1116</v>
      </c>
      <c r="T1486">
        <v>4</v>
      </c>
      <c r="U1486" t="s">
        <v>56</v>
      </c>
      <c r="V1486" t="s">
        <v>56</v>
      </c>
    </row>
    <row r="1487" spans="1:22" x14ac:dyDescent="0.3">
      <c r="A1487" s="49">
        <v>45275</v>
      </c>
      <c r="E1487" t="s">
        <v>3190</v>
      </c>
      <c r="G1487" t="s">
        <v>5190</v>
      </c>
      <c r="H1487" t="s">
        <v>28</v>
      </c>
      <c r="I1487" t="s">
        <v>5699</v>
      </c>
      <c r="J1487" t="s">
        <v>63</v>
      </c>
      <c r="K1487" t="s">
        <v>64</v>
      </c>
      <c r="M1487">
        <v>11</v>
      </c>
      <c r="N1487" t="s">
        <v>49</v>
      </c>
      <c r="O1487" t="s">
        <v>3805</v>
      </c>
      <c r="P1487" t="s">
        <v>287</v>
      </c>
      <c r="T1487">
        <v>4</v>
      </c>
      <c r="U1487" t="s">
        <v>56</v>
      </c>
      <c r="V1487" t="s">
        <v>56</v>
      </c>
    </row>
    <row r="1488" spans="1:22" x14ac:dyDescent="0.3">
      <c r="A1488" s="49">
        <v>45275</v>
      </c>
      <c r="E1488" t="s">
        <v>3216</v>
      </c>
      <c r="G1488" t="s">
        <v>5191</v>
      </c>
      <c r="H1488" t="s">
        <v>28</v>
      </c>
      <c r="I1488" t="s">
        <v>5700</v>
      </c>
      <c r="J1488" t="s">
        <v>63</v>
      </c>
      <c r="K1488" t="s">
        <v>64</v>
      </c>
      <c r="M1488">
        <v>0</v>
      </c>
      <c r="N1488" t="s">
        <v>74</v>
      </c>
      <c r="O1488" t="s">
        <v>3806</v>
      </c>
      <c r="P1488" t="s">
        <v>651</v>
      </c>
      <c r="T1488">
        <v>4</v>
      </c>
      <c r="U1488" t="s">
        <v>56</v>
      </c>
      <c r="V1488" t="s">
        <v>56</v>
      </c>
    </row>
    <row r="1489" spans="1:22" x14ac:dyDescent="0.3">
      <c r="A1489" s="49">
        <v>45275</v>
      </c>
      <c r="E1489" t="s">
        <v>3191</v>
      </c>
      <c r="G1489" t="s">
        <v>5192</v>
      </c>
      <c r="H1489" t="s">
        <v>28</v>
      </c>
      <c r="I1489" t="s">
        <v>5701</v>
      </c>
      <c r="J1489" t="s">
        <v>63</v>
      </c>
      <c r="K1489" t="s">
        <v>211</v>
      </c>
      <c r="M1489">
        <v>100</v>
      </c>
      <c r="N1489" t="s">
        <v>49</v>
      </c>
      <c r="O1489" t="s">
        <v>3807</v>
      </c>
      <c r="P1489" t="s">
        <v>4887</v>
      </c>
      <c r="T1489">
        <v>4</v>
      </c>
      <c r="U1489" t="s">
        <v>56</v>
      </c>
      <c r="V1489" t="s">
        <v>56</v>
      </c>
    </row>
    <row r="1490" spans="1:22" x14ac:dyDescent="0.3">
      <c r="A1490" s="49">
        <v>45275</v>
      </c>
      <c r="E1490" t="s">
        <v>3123</v>
      </c>
      <c r="G1490" t="s">
        <v>5193</v>
      </c>
      <c r="H1490" t="s">
        <v>28</v>
      </c>
      <c r="I1490" t="s">
        <v>5702</v>
      </c>
      <c r="J1490" t="s">
        <v>63</v>
      </c>
      <c r="K1490" t="s">
        <v>64</v>
      </c>
      <c r="M1490">
        <v>100</v>
      </c>
      <c r="N1490" t="s">
        <v>49</v>
      </c>
      <c r="O1490" t="s">
        <v>3808</v>
      </c>
      <c r="P1490" t="s">
        <v>170</v>
      </c>
      <c r="T1490">
        <v>4</v>
      </c>
      <c r="U1490" t="s">
        <v>56</v>
      </c>
      <c r="V1490" t="s">
        <v>56</v>
      </c>
    </row>
    <row r="1491" spans="1:22" x14ac:dyDescent="0.3">
      <c r="A1491" s="49">
        <v>45275</v>
      </c>
      <c r="E1491" t="s">
        <v>3123</v>
      </c>
      <c r="G1491" t="s">
        <v>5194</v>
      </c>
      <c r="H1491" t="s">
        <v>28</v>
      </c>
      <c r="I1491" t="s">
        <v>5703</v>
      </c>
      <c r="J1491" t="s">
        <v>63</v>
      </c>
      <c r="K1491" t="s">
        <v>1235</v>
      </c>
      <c r="M1491">
        <v>40</v>
      </c>
      <c r="N1491" t="s">
        <v>33</v>
      </c>
      <c r="O1491" t="s">
        <v>3809</v>
      </c>
      <c r="P1491" t="s">
        <v>416</v>
      </c>
      <c r="T1491">
        <v>4</v>
      </c>
      <c r="U1491" t="s">
        <v>56</v>
      </c>
      <c r="V1491" t="s">
        <v>56</v>
      </c>
    </row>
    <row r="1492" spans="1:22" x14ac:dyDescent="0.3">
      <c r="A1492" s="49">
        <v>45275</v>
      </c>
      <c r="E1492" t="s">
        <v>3124</v>
      </c>
      <c r="G1492" t="s">
        <v>864</v>
      </c>
      <c r="H1492" t="s">
        <v>89</v>
      </c>
      <c r="J1492" t="s">
        <v>63</v>
      </c>
      <c r="K1492" t="s">
        <v>4924</v>
      </c>
      <c r="M1492">
        <v>17</v>
      </c>
      <c r="N1492" t="s">
        <v>33</v>
      </c>
      <c r="O1492" t="s">
        <v>3810</v>
      </c>
      <c r="P1492" t="s">
        <v>691</v>
      </c>
      <c r="T1492">
        <v>6</v>
      </c>
      <c r="U1492" t="s">
        <v>40</v>
      </c>
      <c r="V1492" t="s">
        <v>41</v>
      </c>
    </row>
    <row r="1493" spans="1:22" x14ac:dyDescent="0.3">
      <c r="A1493" s="49">
        <v>45275</v>
      </c>
      <c r="E1493" t="s">
        <v>3124</v>
      </c>
      <c r="G1493" t="s">
        <v>864</v>
      </c>
      <c r="H1493" t="s">
        <v>89</v>
      </c>
      <c r="J1493" t="s">
        <v>63</v>
      </c>
      <c r="K1493" t="s">
        <v>4924</v>
      </c>
      <c r="M1493">
        <v>100</v>
      </c>
      <c r="N1493" t="s">
        <v>49</v>
      </c>
      <c r="O1493" t="s">
        <v>3811</v>
      </c>
      <c r="P1493" t="s">
        <v>35</v>
      </c>
      <c r="T1493">
        <v>6</v>
      </c>
      <c r="U1493" t="s">
        <v>40</v>
      </c>
      <c r="V1493" t="s">
        <v>41</v>
      </c>
    </row>
    <row r="1494" spans="1:22" x14ac:dyDescent="0.3">
      <c r="A1494" s="49">
        <v>45275</v>
      </c>
      <c r="E1494" t="s">
        <v>3124</v>
      </c>
      <c r="G1494" t="s">
        <v>864</v>
      </c>
      <c r="H1494" t="s">
        <v>89</v>
      </c>
      <c r="J1494" t="s">
        <v>63</v>
      </c>
      <c r="K1494" t="s">
        <v>4924</v>
      </c>
      <c r="M1494">
        <v>50</v>
      </c>
      <c r="N1494" t="s">
        <v>33</v>
      </c>
      <c r="O1494" t="s">
        <v>3812</v>
      </c>
      <c r="P1494" t="s">
        <v>1054</v>
      </c>
      <c r="T1494">
        <v>6</v>
      </c>
      <c r="U1494" t="s">
        <v>40</v>
      </c>
      <c r="V1494" t="s">
        <v>41</v>
      </c>
    </row>
    <row r="1495" spans="1:22" x14ac:dyDescent="0.3">
      <c r="A1495" s="49">
        <v>45275</v>
      </c>
      <c r="E1495" t="s">
        <v>3124</v>
      </c>
      <c r="G1495" t="s">
        <v>864</v>
      </c>
      <c r="H1495" t="s">
        <v>89</v>
      </c>
      <c r="J1495" t="s">
        <v>63</v>
      </c>
      <c r="K1495" t="s">
        <v>4924</v>
      </c>
      <c r="M1495">
        <v>100</v>
      </c>
      <c r="N1495" t="s">
        <v>49</v>
      </c>
      <c r="O1495" t="s">
        <v>3813</v>
      </c>
      <c r="P1495" t="s">
        <v>691</v>
      </c>
      <c r="T1495">
        <v>6</v>
      </c>
      <c r="U1495" t="s">
        <v>40</v>
      </c>
      <c r="V1495" t="s">
        <v>41</v>
      </c>
    </row>
    <row r="1496" spans="1:22" x14ac:dyDescent="0.3">
      <c r="A1496" s="49">
        <v>45275</v>
      </c>
      <c r="E1496" t="s">
        <v>3124</v>
      </c>
      <c r="G1496" t="s">
        <v>5101</v>
      </c>
      <c r="H1496" t="s">
        <v>28</v>
      </c>
      <c r="I1496" t="s">
        <v>5704</v>
      </c>
      <c r="J1496" t="s">
        <v>63</v>
      </c>
      <c r="K1496" t="s">
        <v>64</v>
      </c>
      <c r="M1496">
        <v>100</v>
      </c>
      <c r="N1496" t="s">
        <v>33</v>
      </c>
      <c r="O1496" t="s">
        <v>3814</v>
      </c>
      <c r="P1496" t="s">
        <v>4878</v>
      </c>
      <c r="S1496" t="s">
        <v>6323</v>
      </c>
      <c r="T1496">
        <v>6</v>
      </c>
      <c r="U1496" t="s">
        <v>40</v>
      </c>
      <c r="V1496" t="s">
        <v>41</v>
      </c>
    </row>
    <row r="1497" spans="1:22" x14ac:dyDescent="0.3">
      <c r="A1497" s="49">
        <v>45275</v>
      </c>
      <c r="E1497" t="s">
        <v>3124</v>
      </c>
      <c r="G1497" t="s">
        <v>5101</v>
      </c>
      <c r="H1497" t="s">
        <v>28</v>
      </c>
      <c r="I1497" t="s">
        <v>5704</v>
      </c>
      <c r="J1497" t="s">
        <v>63</v>
      </c>
      <c r="K1497" t="s">
        <v>64</v>
      </c>
      <c r="M1497">
        <v>90</v>
      </c>
      <c r="N1497" t="s">
        <v>33</v>
      </c>
      <c r="O1497" t="s">
        <v>3814</v>
      </c>
      <c r="P1497" t="s">
        <v>4878</v>
      </c>
      <c r="S1497" t="s">
        <v>6323</v>
      </c>
      <c r="T1497">
        <v>6</v>
      </c>
      <c r="U1497" t="s">
        <v>40</v>
      </c>
      <c r="V1497" t="s">
        <v>41</v>
      </c>
    </row>
    <row r="1498" spans="1:22" x14ac:dyDescent="0.3">
      <c r="A1498" s="49">
        <v>45275</v>
      </c>
      <c r="E1498" t="s">
        <v>3124</v>
      </c>
      <c r="G1498" t="s">
        <v>5101</v>
      </c>
      <c r="H1498" t="s">
        <v>28</v>
      </c>
      <c r="I1498" t="s">
        <v>5704</v>
      </c>
      <c r="J1498" t="s">
        <v>63</v>
      </c>
      <c r="K1498" t="s">
        <v>64</v>
      </c>
      <c r="M1498">
        <v>100</v>
      </c>
      <c r="N1498" t="s">
        <v>33</v>
      </c>
      <c r="O1498" t="s">
        <v>3814</v>
      </c>
      <c r="P1498" t="s">
        <v>4878</v>
      </c>
      <c r="S1498" t="s">
        <v>6323</v>
      </c>
      <c r="T1498">
        <v>6</v>
      </c>
      <c r="U1498" t="s">
        <v>40</v>
      </c>
      <c r="V1498" t="s">
        <v>41</v>
      </c>
    </row>
    <row r="1499" spans="1:22" x14ac:dyDescent="0.3">
      <c r="A1499" s="49">
        <v>45275</v>
      </c>
      <c r="E1499" t="s">
        <v>3124</v>
      </c>
      <c r="G1499" t="s">
        <v>5101</v>
      </c>
      <c r="H1499" t="s">
        <v>28</v>
      </c>
      <c r="I1499" t="s">
        <v>5704</v>
      </c>
      <c r="J1499" t="s">
        <v>63</v>
      </c>
      <c r="K1499" t="s">
        <v>64</v>
      </c>
      <c r="M1499">
        <v>0</v>
      </c>
      <c r="N1499" t="s">
        <v>74</v>
      </c>
      <c r="O1499" t="s">
        <v>3814</v>
      </c>
      <c r="P1499" t="s">
        <v>4878</v>
      </c>
      <c r="S1499" t="s">
        <v>6323</v>
      </c>
      <c r="T1499">
        <v>6</v>
      </c>
      <c r="U1499" t="s">
        <v>40</v>
      </c>
      <c r="V1499" t="s">
        <v>41</v>
      </c>
    </row>
    <row r="1500" spans="1:22" x14ac:dyDescent="0.3">
      <c r="A1500" s="49">
        <v>45275</v>
      </c>
      <c r="E1500" t="s">
        <v>3124</v>
      </c>
      <c r="G1500" t="s">
        <v>5195</v>
      </c>
      <c r="H1500" t="s">
        <v>28</v>
      </c>
      <c r="I1500" t="s">
        <v>5705</v>
      </c>
      <c r="J1500" t="s">
        <v>63</v>
      </c>
      <c r="K1500" t="s">
        <v>64</v>
      </c>
      <c r="M1500">
        <v>30</v>
      </c>
      <c r="N1500" t="s">
        <v>33</v>
      </c>
      <c r="O1500" t="s">
        <v>3815</v>
      </c>
      <c r="P1500" t="s">
        <v>1054</v>
      </c>
      <c r="T1500">
        <v>4</v>
      </c>
      <c r="U1500" t="s">
        <v>56</v>
      </c>
      <c r="V1500" t="s">
        <v>56</v>
      </c>
    </row>
    <row r="1501" spans="1:22" x14ac:dyDescent="0.3">
      <c r="A1501" s="49">
        <v>45275</v>
      </c>
      <c r="E1501" t="s">
        <v>3124</v>
      </c>
      <c r="G1501" t="s">
        <v>379</v>
      </c>
      <c r="H1501" t="s">
        <v>28</v>
      </c>
      <c r="I1501" t="s">
        <v>2711</v>
      </c>
      <c r="J1501" t="s">
        <v>63</v>
      </c>
      <c r="K1501" t="s">
        <v>64</v>
      </c>
      <c r="M1501">
        <v>100</v>
      </c>
      <c r="N1501" t="s">
        <v>49</v>
      </c>
      <c r="O1501" t="s">
        <v>3816</v>
      </c>
      <c r="P1501" t="s">
        <v>1175</v>
      </c>
      <c r="T1501">
        <v>4</v>
      </c>
      <c r="U1501" t="s">
        <v>56</v>
      </c>
      <c r="V1501" t="s">
        <v>56</v>
      </c>
    </row>
    <row r="1502" spans="1:22" x14ac:dyDescent="0.3">
      <c r="A1502" s="49">
        <v>45275</v>
      </c>
      <c r="E1502" t="s">
        <v>3124</v>
      </c>
      <c r="G1502" t="s">
        <v>379</v>
      </c>
      <c r="H1502" t="s">
        <v>89</v>
      </c>
      <c r="J1502" t="s">
        <v>63</v>
      </c>
      <c r="K1502" t="s">
        <v>64</v>
      </c>
      <c r="M1502">
        <v>20</v>
      </c>
      <c r="N1502" t="s">
        <v>49</v>
      </c>
      <c r="O1502" t="s">
        <v>3817</v>
      </c>
      <c r="P1502" t="s">
        <v>35</v>
      </c>
      <c r="T1502">
        <v>6</v>
      </c>
      <c r="U1502" t="s">
        <v>40</v>
      </c>
      <c r="V1502" t="s">
        <v>41</v>
      </c>
    </row>
    <row r="1503" spans="1:22" x14ac:dyDescent="0.3">
      <c r="A1503" s="49">
        <v>45275</v>
      </c>
      <c r="E1503" t="s">
        <v>3124</v>
      </c>
      <c r="G1503" t="s">
        <v>379</v>
      </c>
      <c r="H1503" t="s">
        <v>28</v>
      </c>
      <c r="I1503" t="s">
        <v>5706</v>
      </c>
      <c r="J1503" t="s">
        <v>63</v>
      </c>
      <c r="K1503" t="s">
        <v>64</v>
      </c>
      <c r="M1503">
        <v>40</v>
      </c>
      <c r="N1503" t="s">
        <v>33</v>
      </c>
      <c r="O1503" t="s">
        <v>3818</v>
      </c>
      <c r="P1503" t="s">
        <v>1508</v>
      </c>
      <c r="T1503">
        <v>4</v>
      </c>
      <c r="U1503" t="s">
        <v>56</v>
      </c>
      <c r="V1503" t="s">
        <v>56</v>
      </c>
    </row>
    <row r="1504" spans="1:22" x14ac:dyDescent="0.3">
      <c r="A1504" s="49">
        <v>45275</v>
      </c>
      <c r="E1504" t="s">
        <v>3124</v>
      </c>
      <c r="G1504" t="s">
        <v>5195</v>
      </c>
      <c r="H1504" t="s">
        <v>28</v>
      </c>
      <c r="I1504" t="s">
        <v>2170</v>
      </c>
      <c r="J1504" t="s">
        <v>46</v>
      </c>
      <c r="K1504" t="s">
        <v>880</v>
      </c>
      <c r="M1504">
        <v>50</v>
      </c>
      <c r="N1504" t="s">
        <v>33</v>
      </c>
      <c r="O1504" t="s">
        <v>3819</v>
      </c>
      <c r="P1504" t="s">
        <v>2627</v>
      </c>
      <c r="T1504">
        <v>4</v>
      </c>
      <c r="U1504" t="s">
        <v>56</v>
      </c>
      <c r="V1504" t="s">
        <v>56</v>
      </c>
    </row>
    <row r="1505" spans="1:22" x14ac:dyDescent="0.3">
      <c r="A1505" s="49">
        <v>45275</v>
      </c>
      <c r="E1505" t="s">
        <v>3124</v>
      </c>
      <c r="G1505" t="s">
        <v>379</v>
      </c>
      <c r="H1505" t="s">
        <v>89</v>
      </c>
      <c r="J1505" t="s">
        <v>63</v>
      </c>
      <c r="K1505" t="s">
        <v>64</v>
      </c>
      <c r="M1505">
        <v>10</v>
      </c>
      <c r="N1505" t="s">
        <v>49</v>
      </c>
      <c r="O1505" t="s">
        <v>3820</v>
      </c>
      <c r="P1505" t="s">
        <v>4888</v>
      </c>
      <c r="T1505">
        <v>6</v>
      </c>
      <c r="U1505" t="s">
        <v>40</v>
      </c>
      <c r="V1505" t="s">
        <v>41</v>
      </c>
    </row>
    <row r="1506" spans="1:22" x14ac:dyDescent="0.3">
      <c r="A1506" s="49">
        <v>45275</v>
      </c>
      <c r="E1506" t="s">
        <v>3124</v>
      </c>
      <c r="G1506" t="s">
        <v>379</v>
      </c>
      <c r="H1506" t="s">
        <v>89</v>
      </c>
      <c r="J1506" t="s">
        <v>46</v>
      </c>
      <c r="K1506" t="s">
        <v>880</v>
      </c>
      <c r="M1506">
        <v>90</v>
      </c>
      <c r="N1506" t="s">
        <v>33</v>
      </c>
      <c r="O1506" t="s">
        <v>3821</v>
      </c>
      <c r="P1506" t="s">
        <v>4830</v>
      </c>
      <c r="T1506">
        <v>6</v>
      </c>
      <c r="U1506" t="s">
        <v>40</v>
      </c>
      <c r="V1506" t="s">
        <v>41</v>
      </c>
    </row>
    <row r="1507" spans="1:22" x14ac:dyDescent="0.3">
      <c r="A1507" s="49">
        <v>45275</v>
      </c>
      <c r="E1507" t="s">
        <v>3124</v>
      </c>
      <c r="G1507" t="s">
        <v>379</v>
      </c>
      <c r="H1507" t="s">
        <v>89</v>
      </c>
      <c r="J1507" t="s">
        <v>63</v>
      </c>
      <c r="K1507" t="s">
        <v>64</v>
      </c>
      <c r="M1507">
        <v>10</v>
      </c>
      <c r="N1507" t="s">
        <v>33</v>
      </c>
      <c r="O1507" t="s">
        <v>3822</v>
      </c>
      <c r="P1507" t="s">
        <v>791</v>
      </c>
      <c r="T1507">
        <v>6</v>
      </c>
      <c r="U1507" t="s">
        <v>40</v>
      </c>
      <c r="V1507" t="s">
        <v>41</v>
      </c>
    </row>
    <row r="1508" spans="1:22" x14ac:dyDescent="0.3">
      <c r="A1508" s="49">
        <v>45275</v>
      </c>
      <c r="E1508" t="s">
        <v>3124</v>
      </c>
      <c r="G1508" t="s">
        <v>379</v>
      </c>
      <c r="H1508" t="s">
        <v>89</v>
      </c>
      <c r="J1508" t="s">
        <v>63</v>
      </c>
      <c r="K1508" t="s">
        <v>64</v>
      </c>
      <c r="M1508">
        <v>70</v>
      </c>
      <c r="N1508" t="s">
        <v>33</v>
      </c>
      <c r="O1508" t="s">
        <v>3823</v>
      </c>
      <c r="P1508" t="s">
        <v>344</v>
      </c>
      <c r="T1508">
        <v>6</v>
      </c>
      <c r="U1508" t="s">
        <v>40</v>
      </c>
      <c r="V1508" t="s">
        <v>41</v>
      </c>
    </row>
    <row r="1509" spans="1:22" x14ac:dyDescent="0.3">
      <c r="A1509" s="49">
        <v>45275</v>
      </c>
      <c r="E1509" t="s">
        <v>3124</v>
      </c>
      <c r="G1509" t="s">
        <v>5195</v>
      </c>
      <c r="H1509" t="s">
        <v>28</v>
      </c>
      <c r="I1509" t="s">
        <v>2170</v>
      </c>
      <c r="J1509" t="s">
        <v>46</v>
      </c>
      <c r="K1509" t="s">
        <v>880</v>
      </c>
      <c r="M1509">
        <v>100</v>
      </c>
      <c r="N1509" t="s">
        <v>49</v>
      </c>
      <c r="O1509" t="s">
        <v>3824</v>
      </c>
      <c r="P1509" t="s">
        <v>751</v>
      </c>
      <c r="T1509">
        <v>4</v>
      </c>
      <c r="U1509" t="s">
        <v>56</v>
      </c>
      <c r="V1509" t="s">
        <v>56</v>
      </c>
    </row>
    <row r="1510" spans="1:22" x14ac:dyDescent="0.3">
      <c r="A1510" s="49">
        <v>45275</v>
      </c>
      <c r="E1510" t="s">
        <v>3124</v>
      </c>
      <c r="G1510" t="s">
        <v>5195</v>
      </c>
      <c r="H1510" t="s">
        <v>28</v>
      </c>
      <c r="I1510" t="s">
        <v>2031</v>
      </c>
      <c r="J1510" t="s">
        <v>63</v>
      </c>
      <c r="K1510" t="s">
        <v>211</v>
      </c>
      <c r="M1510">
        <v>60</v>
      </c>
      <c r="N1510" t="s">
        <v>49</v>
      </c>
      <c r="O1510" t="s">
        <v>3825</v>
      </c>
      <c r="P1510" t="s">
        <v>66</v>
      </c>
      <c r="T1510">
        <v>4</v>
      </c>
      <c r="U1510" t="s">
        <v>56</v>
      </c>
      <c r="V1510" t="s">
        <v>56</v>
      </c>
    </row>
    <row r="1511" spans="1:22" x14ac:dyDescent="0.3">
      <c r="A1511" s="49">
        <v>45275</v>
      </c>
      <c r="E1511" t="s">
        <v>3124</v>
      </c>
      <c r="G1511" t="s">
        <v>5195</v>
      </c>
      <c r="H1511" t="s">
        <v>28</v>
      </c>
      <c r="I1511" t="s">
        <v>5705</v>
      </c>
      <c r="J1511" t="s">
        <v>63</v>
      </c>
      <c r="K1511" t="s">
        <v>64</v>
      </c>
      <c r="M1511">
        <v>30</v>
      </c>
      <c r="N1511" t="s">
        <v>33</v>
      </c>
      <c r="O1511" t="s">
        <v>3826</v>
      </c>
      <c r="P1511" t="s">
        <v>2627</v>
      </c>
      <c r="T1511">
        <v>4</v>
      </c>
      <c r="U1511" t="s">
        <v>56</v>
      </c>
      <c r="V1511" t="s">
        <v>56</v>
      </c>
    </row>
    <row r="1512" spans="1:22" x14ac:dyDescent="0.3">
      <c r="A1512" s="49">
        <v>45275</v>
      </c>
      <c r="E1512" t="s">
        <v>3124</v>
      </c>
      <c r="G1512" t="s">
        <v>5195</v>
      </c>
      <c r="H1512" t="s">
        <v>89</v>
      </c>
      <c r="J1512" t="s">
        <v>1712</v>
      </c>
      <c r="K1512" t="s">
        <v>4944</v>
      </c>
      <c r="M1512">
        <v>100</v>
      </c>
      <c r="N1512" t="s">
        <v>49</v>
      </c>
      <c r="O1512" t="s">
        <v>3827</v>
      </c>
      <c r="P1512" t="s">
        <v>416</v>
      </c>
      <c r="T1512">
        <v>4</v>
      </c>
      <c r="U1512" t="s">
        <v>56</v>
      </c>
      <c r="V1512" t="s">
        <v>56</v>
      </c>
    </row>
    <row r="1513" spans="1:22" x14ac:dyDescent="0.3">
      <c r="A1513" s="49">
        <v>45275</v>
      </c>
      <c r="E1513" t="s">
        <v>3124</v>
      </c>
      <c r="G1513" t="s">
        <v>5195</v>
      </c>
      <c r="H1513" t="s">
        <v>28</v>
      </c>
      <c r="I1513" t="s">
        <v>5707</v>
      </c>
      <c r="J1513" t="s">
        <v>46</v>
      </c>
      <c r="K1513" t="s">
        <v>880</v>
      </c>
      <c r="M1513">
        <v>100</v>
      </c>
      <c r="N1513" t="s">
        <v>49</v>
      </c>
      <c r="O1513" t="s">
        <v>3828</v>
      </c>
      <c r="P1513" t="s">
        <v>2178</v>
      </c>
      <c r="T1513">
        <v>4</v>
      </c>
      <c r="U1513" t="s">
        <v>56</v>
      </c>
      <c r="V1513" t="s">
        <v>56</v>
      </c>
    </row>
    <row r="1514" spans="1:22" x14ac:dyDescent="0.3">
      <c r="A1514" s="49">
        <v>45275</v>
      </c>
      <c r="E1514" t="s">
        <v>3124</v>
      </c>
      <c r="G1514" t="s">
        <v>5195</v>
      </c>
      <c r="H1514" t="s">
        <v>89</v>
      </c>
      <c r="J1514" t="s">
        <v>1712</v>
      </c>
      <c r="K1514" t="s">
        <v>4944</v>
      </c>
      <c r="M1514">
        <v>100</v>
      </c>
      <c r="N1514" t="s">
        <v>49</v>
      </c>
      <c r="O1514" t="s">
        <v>3827</v>
      </c>
      <c r="P1514" t="s">
        <v>416</v>
      </c>
      <c r="T1514">
        <v>4</v>
      </c>
      <c r="U1514" t="s">
        <v>56</v>
      </c>
      <c r="V1514" t="s">
        <v>56</v>
      </c>
    </row>
    <row r="1515" spans="1:22" x14ac:dyDescent="0.3">
      <c r="A1515" s="49">
        <v>45275</v>
      </c>
      <c r="E1515" t="s">
        <v>3124</v>
      </c>
      <c r="G1515" t="s">
        <v>5195</v>
      </c>
      <c r="H1515" t="s">
        <v>89</v>
      </c>
      <c r="J1515" t="s">
        <v>1712</v>
      </c>
      <c r="K1515" t="s">
        <v>4944</v>
      </c>
      <c r="M1515">
        <v>100</v>
      </c>
      <c r="N1515" t="s">
        <v>49</v>
      </c>
      <c r="O1515" t="s">
        <v>3827</v>
      </c>
      <c r="P1515" t="s">
        <v>416</v>
      </c>
      <c r="T1515">
        <v>4</v>
      </c>
      <c r="U1515" t="s">
        <v>56</v>
      </c>
      <c r="V1515" t="s">
        <v>56</v>
      </c>
    </row>
    <row r="1516" spans="1:22" x14ac:dyDescent="0.3">
      <c r="A1516" s="49">
        <v>45275</v>
      </c>
      <c r="E1516" t="s">
        <v>3124</v>
      </c>
      <c r="G1516" t="s">
        <v>5195</v>
      </c>
      <c r="H1516" t="s">
        <v>89</v>
      </c>
      <c r="J1516" t="s">
        <v>1712</v>
      </c>
      <c r="K1516" t="s">
        <v>4944</v>
      </c>
      <c r="M1516">
        <v>100</v>
      </c>
      <c r="N1516" t="s">
        <v>49</v>
      </c>
      <c r="O1516" t="s">
        <v>3827</v>
      </c>
      <c r="P1516" t="s">
        <v>416</v>
      </c>
      <c r="T1516">
        <v>4</v>
      </c>
      <c r="U1516" t="s">
        <v>56</v>
      </c>
      <c r="V1516" t="s">
        <v>56</v>
      </c>
    </row>
    <row r="1517" spans="1:22" x14ac:dyDescent="0.3">
      <c r="A1517" s="49">
        <v>45275</v>
      </c>
      <c r="E1517" t="s">
        <v>3124</v>
      </c>
      <c r="G1517" t="s">
        <v>5196</v>
      </c>
      <c r="H1517" t="s">
        <v>89</v>
      </c>
      <c r="J1517" t="s">
        <v>63</v>
      </c>
      <c r="K1517" t="s">
        <v>197</v>
      </c>
      <c r="M1517">
        <v>100</v>
      </c>
      <c r="N1517" t="s">
        <v>49</v>
      </c>
      <c r="O1517" t="s">
        <v>3829</v>
      </c>
      <c r="P1517" t="s">
        <v>306</v>
      </c>
      <c r="T1517">
        <v>4</v>
      </c>
      <c r="U1517" t="s">
        <v>56</v>
      </c>
      <c r="V1517" t="s">
        <v>56</v>
      </c>
    </row>
    <row r="1518" spans="1:22" x14ac:dyDescent="0.3">
      <c r="A1518" s="49">
        <v>45275</v>
      </c>
      <c r="E1518" t="s">
        <v>3124</v>
      </c>
      <c r="G1518" t="s">
        <v>5197</v>
      </c>
      <c r="H1518" t="s">
        <v>28</v>
      </c>
      <c r="I1518" t="s">
        <v>5708</v>
      </c>
      <c r="J1518" t="s">
        <v>63</v>
      </c>
      <c r="K1518" t="s">
        <v>197</v>
      </c>
      <c r="M1518">
        <v>0</v>
      </c>
      <c r="N1518" t="s">
        <v>74</v>
      </c>
      <c r="O1518" t="s">
        <v>3830</v>
      </c>
      <c r="P1518" t="s">
        <v>106</v>
      </c>
      <c r="T1518">
        <v>4</v>
      </c>
      <c r="U1518" t="s">
        <v>56</v>
      </c>
      <c r="V1518" t="s">
        <v>56</v>
      </c>
    </row>
    <row r="1519" spans="1:22" x14ac:dyDescent="0.3">
      <c r="A1519" s="49">
        <v>45275</v>
      </c>
      <c r="E1519" t="s">
        <v>3124</v>
      </c>
      <c r="G1519" t="s">
        <v>5196</v>
      </c>
      <c r="H1519" t="s">
        <v>89</v>
      </c>
      <c r="J1519" t="s">
        <v>63</v>
      </c>
      <c r="K1519" t="s">
        <v>197</v>
      </c>
      <c r="M1519">
        <v>100</v>
      </c>
      <c r="N1519" t="s">
        <v>49</v>
      </c>
      <c r="O1519" t="s">
        <v>3831</v>
      </c>
      <c r="P1519" t="s">
        <v>170</v>
      </c>
      <c r="T1519">
        <v>4</v>
      </c>
      <c r="U1519" t="s">
        <v>56</v>
      </c>
      <c r="V1519" t="s">
        <v>56</v>
      </c>
    </row>
    <row r="1520" spans="1:22" x14ac:dyDescent="0.3">
      <c r="A1520" s="49">
        <v>45275</v>
      </c>
      <c r="E1520" t="s">
        <v>3124</v>
      </c>
      <c r="G1520" t="s">
        <v>379</v>
      </c>
      <c r="H1520" t="s">
        <v>28</v>
      </c>
      <c r="I1520" t="s">
        <v>582</v>
      </c>
      <c r="J1520" t="s">
        <v>63</v>
      </c>
      <c r="K1520" t="s">
        <v>64</v>
      </c>
      <c r="M1520">
        <v>60</v>
      </c>
      <c r="N1520" t="s">
        <v>49</v>
      </c>
      <c r="O1520" t="s">
        <v>3832</v>
      </c>
      <c r="P1520" t="s">
        <v>1243</v>
      </c>
      <c r="T1520">
        <v>6</v>
      </c>
      <c r="U1520" t="s">
        <v>40</v>
      </c>
      <c r="V1520" t="s">
        <v>41</v>
      </c>
    </row>
    <row r="1521" spans="1:22" x14ac:dyDescent="0.3">
      <c r="A1521" s="49">
        <v>45275</v>
      </c>
      <c r="E1521" t="s">
        <v>3124</v>
      </c>
      <c r="G1521" t="s">
        <v>379</v>
      </c>
      <c r="H1521" t="s">
        <v>89</v>
      </c>
      <c r="J1521" t="s">
        <v>63</v>
      </c>
      <c r="K1521" t="s">
        <v>64</v>
      </c>
      <c r="M1521">
        <v>100</v>
      </c>
      <c r="N1521" t="s">
        <v>49</v>
      </c>
      <c r="O1521" t="s">
        <v>3833</v>
      </c>
      <c r="P1521" t="s">
        <v>416</v>
      </c>
      <c r="T1521">
        <v>6</v>
      </c>
      <c r="U1521" t="s">
        <v>40</v>
      </c>
      <c r="V1521" t="s">
        <v>41</v>
      </c>
    </row>
    <row r="1522" spans="1:22" x14ac:dyDescent="0.3">
      <c r="A1522" s="49">
        <v>45275</v>
      </c>
      <c r="E1522" t="s">
        <v>3124</v>
      </c>
      <c r="G1522" t="s">
        <v>379</v>
      </c>
      <c r="H1522" t="s">
        <v>28</v>
      </c>
      <c r="I1522" t="s">
        <v>2711</v>
      </c>
      <c r="J1522" t="s">
        <v>63</v>
      </c>
      <c r="K1522" t="s">
        <v>64</v>
      </c>
      <c r="M1522">
        <v>90</v>
      </c>
      <c r="N1522" t="s">
        <v>49</v>
      </c>
      <c r="O1522" t="s">
        <v>2709</v>
      </c>
      <c r="P1522" t="s">
        <v>287</v>
      </c>
      <c r="T1522">
        <v>4</v>
      </c>
      <c r="U1522" t="s">
        <v>56</v>
      </c>
      <c r="V1522" t="s">
        <v>56</v>
      </c>
    </row>
    <row r="1523" spans="1:22" x14ac:dyDescent="0.3">
      <c r="A1523" s="49">
        <v>45275</v>
      </c>
      <c r="E1523" t="s">
        <v>3124</v>
      </c>
      <c r="G1523" t="s">
        <v>379</v>
      </c>
      <c r="H1523" t="s">
        <v>28</v>
      </c>
      <c r="I1523" t="s">
        <v>5709</v>
      </c>
      <c r="J1523" t="s">
        <v>46</v>
      </c>
      <c r="K1523" t="s">
        <v>481</v>
      </c>
      <c r="M1523">
        <v>40</v>
      </c>
      <c r="N1523" t="s">
        <v>33</v>
      </c>
      <c r="O1523" t="s">
        <v>3834</v>
      </c>
      <c r="P1523" t="s">
        <v>4830</v>
      </c>
      <c r="T1523">
        <v>6</v>
      </c>
      <c r="U1523" t="s">
        <v>40</v>
      </c>
      <c r="V1523" t="s">
        <v>41</v>
      </c>
    </row>
    <row r="1524" spans="1:22" x14ac:dyDescent="0.3">
      <c r="A1524" s="49">
        <v>45275</v>
      </c>
      <c r="E1524" t="s">
        <v>3124</v>
      </c>
      <c r="G1524" t="s">
        <v>379</v>
      </c>
      <c r="H1524" t="s">
        <v>28</v>
      </c>
      <c r="I1524" t="s">
        <v>2068</v>
      </c>
      <c r="J1524" t="s">
        <v>63</v>
      </c>
      <c r="K1524" t="s">
        <v>64</v>
      </c>
      <c r="M1524">
        <v>30</v>
      </c>
      <c r="N1524" t="s">
        <v>49</v>
      </c>
      <c r="O1524" t="s">
        <v>3835</v>
      </c>
      <c r="P1524" t="s">
        <v>170</v>
      </c>
      <c r="T1524">
        <v>4</v>
      </c>
      <c r="U1524" t="s">
        <v>56</v>
      </c>
      <c r="V1524" t="s">
        <v>56</v>
      </c>
    </row>
    <row r="1525" spans="1:22" x14ac:dyDescent="0.3">
      <c r="A1525" s="49">
        <v>45275</v>
      </c>
      <c r="E1525" t="s">
        <v>3124</v>
      </c>
      <c r="G1525" t="s">
        <v>379</v>
      </c>
      <c r="H1525" t="s">
        <v>89</v>
      </c>
      <c r="J1525" t="s">
        <v>63</v>
      </c>
      <c r="K1525" t="s">
        <v>64</v>
      </c>
      <c r="M1525">
        <v>5</v>
      </c>
      <c r="N1525" t="s">
        <v>49</v>
      </c>
      <c r="O1525" t="s">
        <v>3836</v>
      </c>
      <c r="P1525" t="s">
        <v>170</v>
      </c>
      <c r="T1525">
        <v>4</v>
      </c>
      <c r="U1525" t="s">
        <v>56</v>
      </c>
      <c r="V1525" t="s">
        <v>56</v>
      </c>
    </row>
    <row r="1526" spans="1:22" x14ac:dyDescent="0.3">
      <c r="A1526" s="49">
        <v>45275</v>
      </c>
      <c r="E1526" t="s">
        <v>3124</v>
      </c>
      <c r="G1526" t="s">
        <v>379</v>
      </c>
      <c r="H1526" t="s">
        <v>89</v>
      </c>
      <c r="J1526" t="s">
        <v>46</v>
      </c>
      <c r="K1526" t="s">
        <v>880</v>
      </c>
      <c r="M1526">
        <v>80</v>
      </c>
      <c r="N1526" t="s">
        <v>33</v>
      </c>
      <c r="O1526" t="s">
        <v>3837</v>
      </c>
      <c r="P1526" t="s">
        <v>4828</v>
      </c>
      <c r="T1526">
        <v>6</v>
      </c>
      <c r="U1526" t="s">
        <v>40</v>
      </c>
      <c r="V1526" t="s">
        <v>41</v>
      </c>
    </row>
    <row r="1527" spans="1:22" x14ac:dyDescent="0.3">
      <c r="A1527" s="49">
        <v>45275</v>
      </c>
      <c r="E1527" t="s">
        <v>3125</v>
      </c>
      <c r="G1527" t="s">
        <v>5102</v>
      </c>
      <c r="H1527" t="s">
        <v>28</v>
      </c>
      <c r="I1527" t="s">
        <v>5710</v>
      </c>
      <c r="J1527" t="s">
        <v>63</v>
      </c>
      <c r="K1527" t="s">
        <v>64</v>
      </c>
      <c r="M1527">
        <v>100</v>
      </c>
      <c r="N1527" t="s">
        <v>49</v>
      </c>
      <c r="O1527" t="s">
        <v>3838</v>
      </c>
      <c r="P1527" t="s">
        <v>344</v>
      </c>
      <c r="T1527">
        <v>4</v>
      </c>
      <c r="U1527" t="s">
        <v>56</v>
      </c>
      <c r="V1527" t="s">
        <v>56</v>
      </c>
    </row>
    <row r="1528" spans="1:22" x14ac:dyDescent="0.3">
      <c r="A1528" s="49">
        <v>45275</v>
      </c>
      <c r="E1528" t="s">
        <v>3125</v>
      </c>
      <c r="G1528" t="s">
        <v>5076</v>
      </c>
      <c r="H1528" t="s">
        <v>89</v>
      </c>
      <c r="J1528" t="s">
        <v>63</v>
      </c>
      <c r="K1528" t="s">
        <v>64</v>
      </c>
      <c r="M1528">
        <v>100</v>
      </c>
      <c r="N1528" t="s">
        <v>49</v>
      </c>
      <c r="O1528" t="s">
        <v>3839</v>
      </c>
      <c r="P1528" t="s">
        <v>306</v>
      </c>
      <c r="T1528">
        <v>4</v>
      </c>
      <c r="U1528" t="s">
        <v>56</v>
      </c>
      <c r="V1528" t="s">
        <v>56</v>
      </c>
    </row>
    <row r="1529" spans="1:22" x14ac:dyDescent="0.3">
      <c r="A1529" s="49">
        <v>45275</v>
      </c>
      <c r="E1529" t="s">
        <v>3160</v>
      </c>
      <c r="G1529" t="s">
        <v>5198</v>
      </c>
      <c r="H1529" t="s">
        <v>28</v>
      </c>
      <c r="I1529" t="s">
        <v>5711</v>
      </c>
      <c r="J1529" t="s">
        <v>63</v>
      </c>
      <c r="K1529" t="s">
        <v>64</v>
      </c>
      <c r="M1529">
        <v>0</v>
      </c>
      <c r="N1529" t="s">
        <v>74</v>
      </c>
      <c r="O1529" t="s">
        <v>3840</v>
      </c>
      <c r="P1529" t="s">
        <v>108</v>
      </c>
      <c r="T1529">
        <v>4</v>
      </c>
      <c r="U1529" t="s">
        <v>56</v>
      </c>
      <c r="V1529" t="s">
        <v>56</v>
      </c>
    </row>
    <row r="1530" spans="1:22" x14ac:dyDescent="0.3">
      <c r="A1530" s="49">
        <v>45275</v>
      </c>
      <c r="E1530" t="s">
        <v>3126</v>
      </c>
      <c r="G1530" t="s">
        <v>4993</v>
      </c>
      <c r="H1530" t="s">
        <v>28</v>
      </c>
      <c r="I1530" t="s">
        <v>5416</v>
      </c>
      <c r="J1530" t="s">
        <v>63</v>
      </c>
      <c r="K1530" t="s">
        <v>64</v>
      </c>
      <c r="M1530">
        <v>85</v>
      </c>
      <c r="N1530" t="s">
        <v>49</v>
      </c>
      <c r="O1530" t="s">
        <v>3841</v>
      </c>
      <c r="P1530" t="s">
        <v>104</v>
      </c>
      <c r="T1530">
        <v>4</v>
      </c>
      <c r="U1530" t="s">
        <v>56</v>
      </c>
      <c r="V1530" t="s">
        <v>56</v>
      </c>
    </row>
    <row r="1531" spans="1:22" x14ac:dyDescent="0.3">
      <c r="A1531" s="49">
        <v>45275</v>
      </c>
      <c r="E1531" t="s">
        <v>3161</v>
      </c>
      <c r="G1531" t="s">
        <v>5199</v>
      </c>
      <c r="H1531" t="s">
        <v>28</v>
      </c>
      <c r="I1531" t="s">
        <v>5712</v>
      </c>
      <c r="J1531" t="s">
        <v>63</v>
      </c>
      <c r="K1531" t="s">
        <v>197</v>
      </c>
      <c r="M1531">
        <v>100</v>
      </c>
      <c r="N1531" t="s">
        <v>49</v>
      </c>
      <c r="O1531" t="s">
        <v>3842</v>
      </c>
      <c r="P1531" t="s">
        <v>416</v>
      </c>
      <c r="T1531">
        <v>4</v>
      </c>
      <c r="U1531" t="s">
        <v>56</v>
      </c>
      <c r="V1531" t="s">
        <v>56</v>
      </c>
    </row>
    <row r="1532" spans="1:22" x14ac:dyDescent="0.3">
      <c r="A1532" s="49">
        <v>45275</v>
      </c>
      <c r="E1532" t="s">
        <v>3161</v>
      </c>
      <c r="G1532" t="s">
        <v>5042</v>
      </c>
      <c r="H1532" t="s">
        <v>28</v>
      </c>
      <c r="I1532" t="s">
        <v>5713</v>
      </c>
      <c r="J1532" t="s">
        <v>63</v>
      </c>
      <c r="K1532" t="s">
        <v>197</v>
      </c>
      <c r="M1532">
        <v>100</v>
      </c>
      <c r="N1532" t="s">
        <v>49</v>
      </c>
      <c r="O1532" t="s">
        <v>3843</v>
      </c>
      <c r="P1532" t="s">
        <v>170</v>
      </c>
      <c r="T1532">
        <v>4</v>
      </c>
      <c r="U1532" t="s">
        <v>56</v>
      </c>
      <c r="V1532" t="s">
        <v>56</v>
      </c>
    </row>
    <row r="1533" spans="1:22" x14ac:dyDescent="0.3">
      <c r="A1533" s="49">
        <v>45275</v>
      </c>
      <c r="E1533" t="s">
        <v>3161</v>
      </c>
      <c r="G1533" t="s">
        <v>5199</v>
      </c>
      <c r="H1533" t="s">
        <v>28</v>
      </c>
      <c r="I1533" t="s">
        <v>5714</v>
      </c>
      <c r="J1533" t="s">
        <v>63</v>
      </c>
      <c r="K1533" t="s">
        <v>4945</v>
      </c>
      <c r="M1533">
        <v>100</v>
      </c>
      <c r="N1533" t="s">
        <v>49</v>
      </c>
      <c r="O1533" t="s">
        <v>3844</v>
      </c>
      <c r="P1533" t="s">
        <v>170</v>
      </c>
      <c r="T1533">
        <v>4</v>
      </c>
      <c r="U1533" t="s">
        <v>56</v>
      </c>
      <c r="V1533" t="s">
        <v>56</v>
      </c>
    </row>
    <row r="1534" spans="1:22" x14ac:dyDescent="0.3">
      <c r="A1534" s="49">
        <v>45275</v>
      </c>
      <c r="E1534" t="s">
        <v>3161</v>
      </c>
      <c r="G1534" t="s">
        <v>5042</v>
      </c>
      <c r="H1534" t="s">
        <v>28</v>
      </c>
      <c r="I1534" t="s">
        <v>5713</v>
      </c>
      <c r="J1534" t="s">
        <v>63</v>
      </c>
      <c r="K1534" t="s">
        <v>197</v>
      </c>
      <c r="M1534">
        <v>100</v>
      </c>
      <c r="N1534" t="s">
        <v>49</v>
      </c>
      <c r="O1534" t="s">
        <v>3843</v>
      </c>
      <c r="P1534" t="s">
        <v>170</v>
      </c>
      <c r="T1534">
        <v>4</v>
      </c>
      <c r="U1534" t="s">
        <v>56</v>
      </c>
      <c r="V1534" t="s">
        <v>56</v>
      </c>
    </row>
    <row r="1535" spans="1:22" x14ac:dyDescent="0.3">
      <c r="A1535" s="49">
        <v>45275</v>
      </c>
      <c r="E1535" t="s">
        <v>2150</v>
      </c>
      <c r="G1535" t="s">
        <v>5200</v>
      </c>
      <c r="H1535" t="s">
        <v>28</v>
      </c>
      <c r="I1535" t="s">
        <v>413</v>
      </c>
      <c r="J1535" t="s">
        <v>63</v>
      </c>
      <c r="K1535" t="s">
        <v>64</v>
      </c>
      <c r="M1535">
        <v>100</v>
      </c>
      <c r="N1535" t="s">
        <v>49</v>
      </c>
      <c r="O1535" t="s">
        <v>3845</v>
      </c>
      <c r="P1535" t="s">
        <v>878</v>
      </c>
      <c r="T1535">
        <v>4</v>
      </c>
      <c r="U1535" t="s">
        <v>56</v>
      </c>
      <c r="V1535" t="s">
        <v>56</v>
      </c>
    </row>
    <row r="1536" spans="1:22" x14ac:dyDescent="0.3">
      <c r="A1536" s="49">
        <v>45275</v>
      </c>
      <c r="E1536" t="s">
        <v>3217</v>
      </c>
      <c r="G1536" t="s">
        <v>5201</v>
      </c>
      <c r="H1536" t="s">
        <v>89</v>
      </c>
      <c r="J1536" t="s">
        <v>63</v>
      </c>
      <c r="K1536" t="s">
        <v>64</v>
      </c>
      <c r="M1536">
        <v>95</v>
      </c>
      <c r="N1536" t="s">
        <v>49</v>
      </c>
      <c r="O1536" t="s">
        <v>3846</v>
      </c>
      <c r="P1536" t="s">
        <v>483</v>
      </c>
      <c r="T1536">
        <v>4</v>
      </c>
      <c r="U1536" t="s">
        <v>56</v>
      </c>
      <c r="V1536" t="s">
        <v>56</v>
      </c>
    </row>
    <row r="1537" spans="1:22" x14ac:dyDescent="0.3">
      <c r="A1537" s="49">
        <v>45275</v>
      </c>
      <c r="E1537" t="s">
        <v>3217</v>
      </c>
      <c r="G1537" t="s">
        <v>895</v>
      </c>
      <c r="H1537" t="s">
        <v>89</v>
      </c>
      <c r="J1537" t="s">
        <v>63</v>
      </c>
      <c r="K1537" t="s">
        <v>64</v>
      </c>
      <c r="M1537">
        <v>100</v>
      </c>
      <c r="N1537" t="s">
        <v>33</v>
      </c>
      <c r="O1537" t="s">
        <v>3847</v>
      </c>
      <c r="P1537" t="s">
        <v>4889</v>
      </c>
      <c r="T1537">
        <v>4</v>
      </c>
      <c r="U1537" t="s">
        <v>56</v>
      </c>
      <c r="V1537" t="s">
        <v>56</v>
      </c>
    </row>
    <row r="1538" spans="1:22" x14ac:dyDescent="0.3">
      <c r="A1538" s="49">
        <v>45275</v>
      </c>
      <c r="E1538" t="s">
        <v>2909</v>
      </c>
      <c r="G1538" t="s">
        <v>5044</v>
      </c>
      <c r="H1538" t="s">
        <v>28</v>
      </c>
      <c r="I1538" t="s">
        <v>902</v>
      </c>
      <c r="J1538" t="s">
        <v>63</v>
      </c>
      <c r="K1538" t="s">
        <v>64</v>
      </c>
      <c r="M1538">
        <v>0</v>
      </c>
      <c r="N1538" t="s">
        <v>49</v>
      </c>
      <c r="O1538" t="s">
        <v>3848</v>
      </c>
      <c r="P1538" t="s">
        <v>878</v>
      </c>
      <c r="T1538">
        <v>4</v>
      </c>
      <c r="U1538" t="s">
        <v>56</v>
      </c>
      <c r="V1538" t="s">
        <v>56</v>
      </c>
    </row>
    <row r="1539" spans="1:22" x14ac:dyDescent="0.3">
      <c r="A1539" s="49">
        <v>45275</v>
      </c>
      <c r="E1539" t="s">
        <v>2909</v>
      </c>
      <c r="G1539" t="s">
        <v>5202</v>
      </c>
      <c r="H1539" t="s">
        <v>28</v>
      </c>
      <c r="I1539" t="s">
        <v>5715</v>
      </c>
      <c r="J1539" t="s">
        <v>46</v>
      </c>
      <c r="K1539" t="s">
        <v>422</v>
      </c>
      <c r="M1539">
        <v>0</v>
      </c>
      <c r="N1539" t="s">
        <v>74</v>
      </c>
      <c r="O1539" t="s">
        <v>3849</v>
      </c>
      <c r="P1539" t="s">
        <v>1697</v>
      </c>
      <c r="T1539">
        <v>6</v>
      </c>
      <c r="U1539" t="s">
        <v>40</v>
      </c>
      <c r="V1539" t="s">
        <v>41</v>
      </c>
    </row>
    <row r="1540" spans="1:22" x14ac:dyDescent="0.3">
      <c r="A1540" s="49">
        <v>45275</v>
      </c>
      <c r="E1540" t="s">
        <v>3128</v>
      </c>
      <c r="G1540" t="s">
        <v>5203</v>
      </c>
      <c r="H1540" t="s">
        <v>28</v>
      </c>
      <c r="I1540" t="s">
        <v>5716</v>
      </c>
      <c r="J1540" t="s">
        <v>63</v>
      </c>
      <c r="K1540" t="s">
        <v>64</v>
      </c>
      <c r="M1540">
        <v>100</v>
      </c>
      <c r="N1540" t="s">
        <v>49</v>
      </c>
      <c r="O1540" t="s">
        <v>3850</v>
      </c>
      <c r="P1540" t="s">
        <v>2703</v>
      </c>
      <c r="T1540">
        <v>4</v>
      </c>
      <c r="U1540" t="s">
        <v>56</v>
      </c>
      <c r="V1540" t="s">
        <v>56</v>
      </c>
    </row>
    <row r="1541" spans="1:22" x14ac:dyDescent="0.3">
      <c r="A1541" s="49">
        <v>45275</v>
      </c>
      <c r="E1541" t="s">
        <v>3128</v>
      </c>
      <c r="G1541" t="s">
        <v>5203</v>
      </c>
      <c r="H1541" t="s">
        <v>28</v>
      </c>
      <c r="I1541" t="s">
        <v>5716</v>
      </c>
      <c r="J1541" t="s">
        <v>63</v>
      </c>
      <c r="K1541" t="s">
        <v>64</v>
      </c>
      <c r="M1541">
        <v>100</v>
      </c>
      <c r="N1541" t="s">
        <v>49</v>
      </c>
      <c r="O1541" t="s">
        <v>3850</v>
      </c>
      <c r="P1541" t="s">
        <v>2703</v>
      </c>
      <c r="T1541">
        <v>4</v>
      </c>
      <c r="U1541" t="s">
        <v>56</v>
      </c>
      <c r="V1541" t="s">
        <v>56</v>
      </c>
    </row>
    <row r="1542" spans="1:22" x14ac:dyDescent="0.3">
      <c r="A1542" s="49">
        <v>45275</v>
      </c>
      <c r="E1542" t="s">
        <v>3128</v>
      </c>
      <c r="G1542" t="s">
        <v>5203</v>
      </c>
      <c r="H1542" t="s">
        <v>89</v>
      </c>
      <c r="J1542" t="s">
        <v>46</v>
      </c>
      <c r="K1542" t="s">
        <v>481</v>
      </c>
      <c r="M1542">
        <v>100</v>
      </c>
      <c r="N1542" t="s">
        <v>33</v>
      </c>
      <c r="O1542" t="s">
        <v>3586</v>
      </c>
      <c r="P1542" t="s">
        <v>1786</v>
      </c>
      <c r="T1542">
        <v>4</v>
      </c>
      <c r="U1542" t="s">
        <v>56</v>
      </c>
      <c r="V1542" t="s">
        <v>56</v>
      </c>
    </row>
    <row r="1543" spans="1:22" x14ac:dyDescent="0.3">
      <c r="A1543" s="49">
        <v>45275</v>
      </c>
      <c r="E1543" t="s">
        <v>3218</v>
      </c>
      <c r="G1543" t="s">
        <v>5204</v>
      </c>
      <c r="H1543" t="s">
        <v>28</v>
      </c>
      <c r="I1543" t="s">
        <v>5717</v>
      </c>
      <c r="J1543" t="s">
        <v>46</v>
      </c>
      <c r="K1543" t="s">
        <v>4946</v>
      </c>
      <c r="M1543">
        <v>80</v>
      </c>
      <c r="N1543" t="s">
        <v>49</v>
      </c>
      <c r="O1543" t="s">
        <v>3851</v>
      </c>
      <c r="P1543" t="s">
        <v>4877</v>
      </c>
      <c r="T1543">
        <v>6</v>
      </c>
      <c r="U1543" t="s">
        <v>40</v>
      </c>
      <c r="V1543" t="s">
        <v>41</v>
      </c>
    </row>
    <row r="1544" spans="1:22" x14ac:dyDescent="0.3">
      <c r="A1544" s="49">
        <v>45275</v>
      </c>
      <c r="E1544" t="s">
        <v>3193</v>
      </c>
      <c r="G1544" t="s">
        <v>5205</v>
      </c>
      <c r="H1544" t="s">
        <v>28</v>
      </c>
      <c r="I1544" t="s">
        <v>5718</v>
      </c>
      <c r="J1544" t="s">
        <v>46</v>
      </c>
      <c r="K1544" t="s">
        <v>481</v>
      </c>
      <c r="M1544">
        <v>90</v>
      </c>
      <c r="N1544" t="s">
        <v>33</v>
      </c>
      <c r="O1544" t="s">
        <v>3852</v>
      </c>
      <c r="P1544" t="s">
        <v>2703</v>
      </c>
      <c r="T1544">
        <v>6</v>
      </c>
      <c r="U1544" t="s">
        <v>40</v>
      </c>
      <c r="V1544" t="s">
        <v>41</v>
      </c>
    </row>
    <row r="1545" spans="1:22" x14ac:dyDescent="0.3">
      <c r="A1545" s="49">
        <v>45275</v>
      </c>
      <c r="E1545" t="s">
        <v>3193</v>
      </c>
      <c r="G1545" t="s">
        <v>5205</v>
      </c>
      <c r="H1545" t="s">
        <v>28</v>
      </c>
      <c r="I1545" t="s">
        <v>5710</v>
      </c>
      <c r="J1545" t="s">
        <v>46</v>
      </c>
      <c r="K1545" t="s">
        <v>481</v>
      </c>
      <c r="M1545">
        <v>30</v>
      </c>
      <c r="N1545" t="s">
        <v>49</v>
      </c>
      <c r="O1545" t="s">
        <v>3853</v>
      </c>
      <c r="P1545" t="s">
        <v>1243</v>
      </c>
      <c r="T1545">
        <v>6</v>
      </c>
      <c r="U1545" t="s">
        <v>40</v>
      </c>
      <c r="V1545" t="s">
        <v>41</v>
      </c>
    </row>
    <row r="1546" spans="1:22" x14ac:dyDescent="0.3">
      <c r="A1546" s="49">
        <v>45275</v>
      </c>
      <c r="E1546" t="s">
        <v>3193</v>
      </c>
      <c r="G1546" t="s">
        <v>5206</v>
      </c>
      <c r="H1546" t="s">
        <v>28</v>
      </c>
      <c r="I1546" t="s">
        <v>5719</v>
      </c>
      <c r="J1546" t="s">
        <v>30</v>
      </c>
      <c r="K1546" t="s">
        <v>911</v>
      </c>
      <c r="M1546">
        <v>0</v>
      </c>
      <c r="N1546" t="s">
        <v>74</v>
      </c>
      <c r="O1546" t="s">
        <v>3854</v>
      </c>
      <c r="P1546" t="s">
        <v>566</v>
      </c>
      <c r="T1546">
        <v>6</v>
      </c>
      <c r="U1546" t="s">
        <v>40</v>
      </c>
      <c r="V1546" t="s">
        <v>41</v>
      </c>
    </row>
    <row r="1547" spans="1:22" x14ac:dyDescent="0.3">
      <c r="A1547" s="49">
        <v>45275</v>
      </c>
      <c r="E1547" t="s">
        <v>3129</v>
      </c>
      <c r="G1547" t="s">
        <v>5082</v>
      </c>
      <c r="H1547" t="s">
        <v>28</v>
      </c>
      <c r="I1547" t="s">
        <v>5720</v>
      </c>
      <c r="J1547" t="s">
        <v>63</v>
      </c>
      <c r="K1547" t="s">
        <v>197</v>
      </c>
      <c r="M1547">
        <v>75</v>
      </c>
      <c r="N1547" t="s">
        <v>49</v>
      </c>
      <c r="O1547" t="s">
        <v>3855</v>
      </c>
      <c r="P1547" t="s">
        <v>66</v>
      </c>
      <c r="T1547">
        <v>6</v>
      </c>
      <c r="U1547" t="s">
        <v>40</v>
      </c>
      <c r="V1547" t="s">
        <v>41</v>
      </c>
    </row>
    <row r="1548" spans="1:22" x14ac:dyDescent="0.3">
      <c r="A1548" s="49">
        <v>45275</v>
      </c>
      <c r="E1548" t="s">
        <v>3129</v>
      </c>
      <c r="G1548" t="s">
        <v>5207</v>
      </c>
      <c r="H1548" t="s">
        <v>28</v>
      </c>
      <c r="I1548" t="s">
        <v>595</v>
      </c>
      <c r="J1548" t="s">
        <v>63</v>
      </c>
      <c r="K1548" t="s">
        <v>64</v>
      </c>
      <c r="M1548">
        <v>70</v>
      </c>
      <c r="N1548" t="s">
        <v>49</v>
      </c>
      <c r="O1548" t="s">
        <v>3856</v>
      </c>
      <c r="P1548" t="s">
        <v>344</v>
      </c>
      <c r="T1548">
        <v>4</v>
      </c>
      <c r="U1548" t="s">
        <v>56</v>
      </c>
      <c r="V1548" t="s">
        <v>56</v>
      </c>
    </row>
    <row r="1549" spans="1:22" x14ac:dyDescent="0.3">
      <c r="A1549" s="49">
        <v>45275</v>
      </c>
      <c r="E1549" t="s">
        <v>3129</v>
      </c>
      <c r="G1549" t="s">
        <v>4997</v>
      </c>
      <c r="H1549" t="s">
        <v>28</v>
      </c>
      <c r="I1549" t="s">
        <v>5420</v>
      </c>
      <c r="J1549" t="s">
        <v>63</v>
      </c>
      <c r="K1549" t="s">
        <v>64</v>
      </c>
      <c r="M1549">
        <v>75</v>
      </c>
      <c r="N1549" t="s">
        <v>33</v>
      </c>
      <c r="O1549" t="s">
        <v>3857</v>
      </c>
      <c r="P1549" t="s">
        <v>1697</v>
      </c>
      <c r="T1549">
        <v>6</v>
      </c>
      <c r="U1549" t="s">
        <v>40</v>
      </c>
      <c r="V1549" t="s">
        <v>41</v>
      </c>
    </row>
    <row r="1550" spans="1:22" x14ac:dyDescent="0.3">
      <c r="A1550" s="49">
        <v>45275</v>
      </c>
      <c r="E1550" t="s">
        <v>3129</v>
      </c>
      <c r="G1550" t="s">
        <v>5208</v>
      </c>
      <c r="H1550" t="s">
        <v>28</v>
      </c>
      <c r="I1550" t="s">
        <v>5721</v>
      </c>
      <c r="J1550" t="s">
        <v>63</v>
      </c>
      <c r="K1550" t="s">
        <v>4947</v>
      </c>
      <c r="M1550">
        <v>0</v>
      </c>
      <c r="N1550" t="s">
        <v>74</v>
      </c>
      <c r="O1550" t="s">
        <v>3858</v>
      </c>
      <c r="P1550" t="s">
        <v>1597</v>
      </c>
      <c r="T1550">
        <v>6</v>
      </c>
      <c r="U1550" t="s">
        <v>40</v>
      </c>
      <c r="V1550" t="s">
        <v>41</v>
      </c>
    </row>
    <row r="1551" spans="1:22" x14ac:dyDescent="0.3">
      <c r="A1551" s="49">
        <v>45275</v>
      </c>
      <c r="E1551" t="s">
        <v>3219</v>
      </c>
      <c r="G1551" t="s">
        <v>5209</v>
      </c>
      <c r="H1551" t="s">
        <v>28</v>
      </c>
      <c r="I1551" t="s">
        <v>5722</v>
      </c>
      <c r="J1551" t="s">
        <v>46</v>
      </c>
      <c r="K1551" t="s">
        <v>911</v>
      </c>
      <c r="M1551">
        <v>100</v>
      </c>
      <c r="N1551" t="s">
        <v>49</v>
      </c>
      <c r="O1551" t="s">
        <v>3859</v>
      </c>
      <c r="P1551" t="s">
        <v>35</v>
      </c>
      <c r="T1551">
        <v>4</v>
      </c>
      <c r="U1551" t="s">
        <v>56</v>
      </c>
      <c r="V1551" t="s">
        <v>56</v>
      </c>
    </row>
    <row r="1552" spans="1:22" x14ac:dyDescent="0.3">
      <c r="A1552" s="49">
        <v>45275</v>
      </c>
      <c r="E1552" t="s">
        <v>3219</v>
      </c>
      <c r="G1552" t="s">
        <v>5209</v>
      </c>
      <c r="H1552" t="s">
        <v>28</v>
      </c>
      <c r="I1552" t="s">
        <v>5723</v>
      </c>
      <c r="J1552" t="s">
        <v>63</v>
      </c>
      <c r="K1552" t="s">
        <v>4948</v>
      </c>
      <c r="M1552">
        <v>100</v>
      </c>
      <c r="N1552" t="s">
        <v>49</v>
      </c>
      <c r="O1552" t="s">
        <v>3860</v>
      </c>
      <c r="P1552" t="s">
        <v>35</v>
      </c>
      <c r="T1552">
        <v>4</v>
      </c>
      <c r="U1552" t="s">
        <v>56</v>
      </c>
      <c r="V1552" t="s">
        <v>56</v>
      </c>
    </row>
    <row r="1553" spans="1:22" x14ac:dyDescent="0.3">
      <c r="A1553" s="49">
        <v>45275</v>
      </c>
      <c r="E1553" t="s">
        <v>3220</v>
      </c>
      <c r="G1553" t="s">
        <v>919</v>
      </c>
      <c r="H1553" t="s">
        <v>28</v>
      </c>
      <c r="I1553" t="s">
        <v>5596</v>
      </c>
      <c r="J1553" t="s">
        <v>63</v>
      </c>
      <c r="K1553" t="s">
        <v>4948</v>
      </c>
      <c r="M1553">
        <v>50</v>
      </c>
      <c r="N1553" t="s">
        <v>49</v>
      </c>
      <c r="O1553" t="s">
        <v>3617</v>
      </c>
      <c r="P1553" t="s">
        <v>4873</v>
      </c>
      <c r="T1553">
        <v>4</v>
      </c>
      <c r="U1553" t="s">
        <v>56</v>
      </c>
      <c r="V1553" t="s">
        <v>56</v>
      </c>
    </row>
    <row r="1554" spans="1:22" x14ac:dyDescent="0.3">
      <c r="A1554" s="49">
        <v>45275</v>
      </c>
      <c r="E1554" t="s">
        <v>3220</v>
      </c>
      <c r="G1554" t="s">
        <v>919</v>
      </c>
      <c r="H1554" t="s">
        <v>28</v>
      </c>
      <c r="I1554" t="s">
        <v>5724</v>
      </c>
      <c r="J1554" t="s">
        <v>46</v>
      </c>
      <c r="K1554" t="s">
        <v>4949</v>
      </c>
      <c r="M1554">
        <v>100</v>
      </c>
      <c r="N1554" t="s">
        <v>49</v>
      </c>
      <c r="O1554" t="s">
        <v>3861</v>
      </c>
      <c r="P1554" t="s">
        <v>4833</v>
      </c>
      <c r="T1554">
        <v>4</v>
      </c>
      <c r="U1554" t="s">
        <v>56</v>
      </c>
      <c r="V1554" t="s">
        <v>56</v>
      </c>
    </row>
    <row r="1555" spans="1:22" x14ac:dyDescent="0.3">
      <c r="A1555" s="49">
        <v>45275</v>
      </c>
      <c r="E1555" t="s">
        <v>3220</v>
      </c>
      <c r="G1555" t="s">
        <v>919</v>
      </c>
      <c r="H1555" t="s">
        <v>28</v>
      </c>
      <c r="I1555" t="s">
        <v>5724</v>
      </c>
      <c r="J1555" t="s">
        <v>46</v>
      </c>
      <c r="K1555" t="s">
        <v>4949</v>
      </c>
      <c r="M1555">
        <v>100</v>
      </c>
      <c r="N1555" t="s">
        <v>33</v>
      </c>
      <c r="O1555" t="s">
        <v>3862</v>
      </c>
      <c r="P1555" t="s">
        <v>1356</v>
      </c>
      <c r="T1555">
        <v>4</v>
      </c>
      <c r="U1555" t="s">
        <v>56</v>
      </c>
      <c r="V1555" t="s">
        <v>56</v>
      </c>
    </row>
    <row r="1556" spans="1:22" x14ac:dyDescent="0.3">
      <c r="A1556" s="49">
        <v>45275</v>
      </c>
      <c r="E1556" t="s">
        <v>3221</v>
      </c>
      <c r="G1556" t="s">
        <v>5210</v>
      </c>
      <c r="H1556" t="s">
        <v>28</v>
      </c>
      <c r="I1556" t="s">
        <v>5725</v>
      </c>
      <c r="J1556" t="s">
        <v>46</v>
      </c>
      <c r="K1556" t="s">
        <v>481</v>
      </c>
      <c r="M1556">
        <v>50</v>
      </c>
      <c r="N1556" t="s">
        <v>33</v>
      </c>
      <c r="O1556" t="s">
        <v>3863</v>
      </c>
      <c r="P1556" t="s">
        <v>483</v>
      </c>
      <c r="S1556" t="s">
        <v>6324</v>
      </c>
      <c r="T1556">
        <v>4</v>
      </c>
      <c r="U1556" t="s">
        <v>56</v>
      </c>
      <c r="V1556" t="s">
        <v>56</v>
      </c>
    </row>
    <row r="1557" spans="1:22" x14ac:dyDescent="0.3">
      <c r="A1557" s="49">
        <v>45275</v>
      </c>
      <c r="E1557" t="s">
        <v>3130</v>
      </c>
      <c r="G1557" t="s">
        <v>4998</v>
      </c>
      <c r="H1557" t="s">
        <v>89</v>
      </c>
      <c r="J1557" t="s">
        <v>63</v>
      </c>
      <c r="K1557" t="s">
        <v>211</v>
      </c>
      <c r="M1557">
        <v>0</v>
      </c>
      <c r="N1557" t="s">
        <v>49</v>
      </c>
      <c r="O1557" t="s">
        <v>3864</v>
      </c>
      <c r="P1557" t="s">
        <v>205</v>
      </c>
      <c r="T1557">
        <v>4</v>
      </c>
      <c r="U1557" t="s">
        <v>56</v>
      </c>
      <c r="V1557" t="s">
        <v>56</v>
      </c>
    </row>
    <row r="1558" spans="1:22" x14ac:dyDescent="0.3">
      <c r="A1558" s="49">
        <v>45275</v>
      </c>
      <c r="E1558" t="s">
        <v>3130</v>
      </c>
      <c r="G1558" t="s">
        <v>5211</v>
      </c>
      <c r="H1558" t="s">
        <v>28</v>
      </c>
      <c r="I1558" t="s">
        <v>5726</v>
      </c>
      <c r="J1558" t="s">
        <v>1712</v>
      </c>
      <c r="K1558" t="s">
        <v>481</v>
      </c>
      <c r="M1558">
        <v>100</v>
      </c>
      <c r="N1558" t="s">
        <v>49</v>
      </c>
      <c r="O1558" t="s">
        <v>3865</v>
      </c>
      <c r="P1558" t="s">
        <v>4827</v>
      </c>
      <c r="T1558">
        <v>4</v>
      </c>
      <c r="U1558" t="s">
        <v>56</v>
      </c>
      <c r="V1558" t="s">
        <v>56</v>
      </c>
    </row>
    <row r="1559" spans="1:22" x14ac:dyDescent="0.3">
      <c r="A1559" s="49">
        <v>45275</v>
      </c>
      <c r="E1559" t="s">
        <v>3130</v>
      </c>
      <c r="G1559" t="s">
        <v>4998</v>
      </c>
      <c r="H1559" t="s">
        <v>28</v>
      </c>
      <c r="I1559" t="s">
        <v>5421</v>
      </c>
      <c r="J1559" t="s">
        <v>63</v>
      </c>
      <c r="K1559" t="s">
        <v>64</v>
      </c>
      <c r="M1559">
        <v>0</v>
      </c>
      <c r="N1559" t="s">
        <v>49</v>
      </c>
      <c r="O1559" t="s">
        <v>3866</v>
      </c>
      <c r="P1559" t="s">
        <v>4828</v>
      </c>
      <c r="T1559">
        <v>4</v>
      </c>
      <c r="U1559" t="s">
        <v>56</v>
      </c>
      <c r="V1559" t="s">
        <v>56</v>
      </c>
    </row>
    <row r="1560" spans="1:22" x14ac:dyDescent="0.3">
      <c r="A1560" s="49">
        <v>45275</v>
      </c>
      <c r="E1560" t="s">
        <v>3131</v>
      </c>
      <c r="G1560" t="s">
        <v>4999</v>
      </c>
      <c r="H1560" t="s">
        <v>28</v>
      </c>
      <c r="I1560" t="s">
        <v>5727</v>
      </c>
      <c r="J1560" t="s">
        <v>63</v>
      </c>
      <c r="K1560" t="s">
        <v>64</v>
      </c>
      <c r="M1560">
        <v>70</v>
      </c>
      <c r="N1560" t="s">
        <v>33</v>
      </c>
      <c r="O1560" t="s">
        <v>3867</v>
      </c>
      <c r="P1560" t="s">
        <v>682</v>
      </c>
      <c r="T1560">
        <v>4</v>
      </c>
      <c r="U1560" t="s">
        <v>56</v>
      </c>
      <c r="V1560" t="s">
        <v>56</v>
      </c>
    </row>
    <row r="1561" spans="1:22" x14ac:dyDescent="0.3">
      <c r="A1561" s="49">
        <v>45275</v>
      </c>
      <c r="E1561" t="s">
        <v>3131</v>
      </c>
      <c r="G1561" t="s">
        <v>5000</v>
      </c>
      <c r="H1561" t="s">
        <v>89</v>
      </c>
      <c r="J1561" t="s">
        <v>46</v>
      </c>
      <c r="K1561" t="s">
        <v>481</v>
      </c>
      <c r="M1561">
        <v>25</v>
      </c>
      <c r="N1561" t="s">
        <v>33</v>
      </c>
      <c r="O1561" t="s">
        <v>3868</v>
      </c>
      <c r="P1561" t="s">
        <v>4864</v>
      </c>
      <c r="T1561">
        <v>6</v>
      </c>
      <c r="U1561" t="s">
        <v>40</v>
      </c>
      <c r="V1561" t="s">
        <v>41</v>
      </c>
    </row>
    <row r="1562" spans="1:22" x14ac:dyDescent="0.3">
      <c r="A1562" s="49">
        <v>45275</v>
      </c>
      <c r="E1562" t="s">
        <v>3131</v>
      </c>
      <c r="G1562" t="s">
        <v>5000</v>
      </c>
      <c r="H1562" t="s">
        <v>89</v>
      </c>
      <c r="J1562" t="s">
        <v>46</v>
      </c>
      <c r="K1562" t="s">
        <v>481</v>
      </c>
      <c r="M1562">
        <v>25</v>
      </c>
      <c r="N1562" t="s">
        <v>33</v>
      </c>
      <c r="O1562" t="s">
        <v>3869</v>
      </c>
      <c r="P1562" t="s">
        <v>2178</v>
      </c>
      <c r="T1562">
        <v>6</v>
      </c>
      <c r="U1562" t="s">
        <v>40</v>
      </c>
      <c r="V1562" t="s">
        <v>41</v>
      </c>
    </row>
    <row r="1563" spans="1:22" x14ac:dyDescent="0.3">
      <c r="A1563" s="49">
        <v>45275</v>
      </c>
      <c r="E1563" t="s">
        <v>3131</v>
      </c>
      <c r="G1563" t="s">
        <v>5108</v>
      </c>
      <c r="H1563" t="s">
        <v>89</v>
      </c>
      <c r="J1563" t="s">
        <v>63</v>
      </c>
      <c r="K1563" t="s">
        <v>4924</v>
      </c>
      <c r="M1563">
        <v>0</v>
      </c>
      <c r="N1563" t="s">
        <v>33</v>
      </c>
      <c r="O1563" t="s">
        <v>3870</v>
      </c>
      <c r="P1563" t="s">
        <v>4834</v>
      </c>
      <c r="T1563">
        <v>6</v>
      </c>
      <c r="U1563" t="s">
        <v>40</v>
      </c>
      <c r="V1563" t="s">
        <v>41</v>
      </c>
    </row>
    <row r="1564" spans="1:22" x14ac:dyDescent="0.3">
      <c r="A1564" s="49">
        <v>45275</v>
      </c>
      <c r="E1564" t="s">
        <v>3131</v>
      </c>
      <c r="G1564" t="s">
        <v>4999</v>
      </c>
      <c r="H1564" t="s">
        <v>28</v>
      </c>
      <c r="I1564" t="s">
        <v>5422</v>
      </c>
      <c r="J1564" t="s">
        <v>46</v>
      </c>
      <c r="K1564" t="s">
        <v>481</v>
      </c>
      <c r="M1564">
        <v>25</v>
      </c>
      <c r="N1564" t="s">
        <v>33</v>
      </c>
      <c r="O1564" t="s">
        <v>3871</v>
      </c>
      <c r="P1564" t="s">
        <v>4886</v>
      </c>
      <c r="T1564">
        <v>4</v>
      </c>
      <c r="U1564" t="s">
        <v>56</v>
      </c>
      <c r="V1564" t="s">
        <v>56</v>
      </c>
    </row>
    <row r="1565" spans="1:22" x14ac:dyDescent="0.3">
      <c r="A1565" s="49">
        <v>45275</v>
      </c>
      <c r="E1565" t="s">
        <v>3131</v>
      </c>
      <c r="G1565" t="s">
        <v>4999</v>
      </c>
      <c r="H1565" t="s">
        <v>28</v>
      </c>
      <c r="I1565" t="s">
        <v>5422</v>
      </c>
      <c r="J1565" t="s">
        <v>46</v>
      </c>
      <c r="K1565" t="s">
        <v>481</v>
      </c>
      <c r="M1565">
        <v>50</v>
      </c>
      <c r="N1565" t="s">
        <v>33</v>
      </c>
      <c r="O1565" t="s">
        <v>3872</v>
      </c>
      <c r="P1565" t="s">
        <v>4830</v>
      </c>
      <c r="T1565">
        <v>4</v>
      </c>
      <c r="U1565" t="s">
        <v>56</v>
      </c>
      <c r="V1565" t="s">
        <v>56</v>
      </c>
    </row>
    <row r="1566" spans="1:22" x14ac:dyDescent="0.3">
      <c r="A1566" s="49">
        <v>45275</v>
      </c>
      <c r="E1566" t="s">
        <v>3131</v>
      </c>
      <c r="G1566" t="s">
        <v>5108</v>
      </c>
      <c r="H1566" t="s">
        <v>3245</v>
      </c>
      <c r="I1566" t="s">
        <v>430</v>
      </c>
      <c r="J1566" t="s">
        <v>63</v>
      </c>
      <c r="K1566" t="s">
        <v>4924</v>
      </c>
      <c r="M1566">
        <v>20</v>
      </c>
      <c r="N1566" t="s">
        <v>49</v>
      </c>
      <c r="O1566" t="s">
        <v>3873</v>
      </c>
      <c r="P1566" t="s">
        <v>1878</v>
      </c>
      <c r="S1566" t="s">
        <v>6325</v>
      </c>
      <c r="T1566">
        <v>6</v>
      </c>
      <c r="U1566" t="s">
        <v>40</v>
      </c>
      <c r="V1566" t="s">
        <v>41</v>
      </c>
    </row>
    <row r="1567" spans="1:22" x14ac:dyDescent="0.3">
      <c r="A1567" s="49">
        <v>45275</v>
      </c>
      <c r="E1567" t="s">
        <v>3131</v>
      </c>
      <c r="G1567" t="s">
        <v>4999</v>
      </c>
      <c r="H1567" t="s">
        <v>28</v>
      </c>
      <c r="I1567" t="s">
        <v>5728</v>
      </c>
      <c r="J1567" t="s">
        <v>46</v>
      </c>
      <c r="K1567" t="s">
        <v>481</v>
      </c>
      <c r="M1567">
        <v>100</v>
      </c>
      <c r="N1567" t="s">
        <v>49</v>
      </c>
      <c r="O1567" t="s">
        <v>3874</v>
      </c>
      <c r="P1567" t="s">
        <v>4890</v>
      </c>
      <c r="T1567">
        <v>6</v>
      </c>
      <c r="U1567" t="s">
        <v>40</v>
      </c>
      <c r="V1567" t="s">
        <v>41</v>
      </c>
    </row>
    <row r="1568" spans="1:22" x14ac:dyDescent="0.3">
      <c r="A1568" s="49">
        <v>45275</v>
      </c>
      <c r="E1568" t="s">
        <v>3131</v>
      </c>
      <c r="G1568" t="s">
        <v>4999</v>
      </c>
      <c r="H1568" t="s">
        <v>28</v>
      </c>
      <c r="I1568" t="s">
        <v>5727</v>
      </c>
      <c r="J1568" t="s">
        <v>63</v>
      </c>
      <c r="K1568" t="s">
        <v>64</v>
      </c>
      <c r="M1568">
        <v>0</v>
      </c>
      <c r="N1568" t="s">
        <v>74</v>
      </c>
      <c r="O1568" t="s">
        <v>3875</v>
      </c>
      <c r="P1568" t="s">
        <v>373</v>
      </c>
      <c r="T1568">
        <v>4</v>
      </c>
      <c r="U1568" t="s">
        <v>56</v>
      </c>
      <c r="V1568" t="s">
        <v>56</v>
      </c>
    </row>
    <row r="1569" spans="1:22" x14ac:dyDescent="0.3">
      <c r="A1569" s="49">
        <v>45275</v>
      </c>
      <c r="E1569" t="s">
        <v>3131</v>
      </c>
      <c r="G1569" t="s">
        <v>4999</v>
      </c>
      <c r="H1569" t="s">
        <v>28</v>
      </c>
      <c r="I1569" t="s">
        <v>5727</v>
      </c>
      <c r="J1569" t="s">
        <v>63</v>
      </c>
      <c r="K1569" t="s">
        <v>1235</v>
      </c>
      <c r="M1569">
        <v>100</v>
      </c>
      <c r="N1569" t="s">
        <v>33</v>
      </c>
      <c r="O1569" t="s">
        <v>3875</v>
      </c>
      <c r="P1569" t="s">
        <v>373</v>
      </c>
      <c r="T1569">
        <v>4</v>
      </c>
      <c r="U1569" t="s">
        <v>56</v>
      </c>
      <c r="V1569" t="s">
        <v>56</v>
      </c>
    </row>
    <row r="1570" spans="1:22" x14ac:dyDescent="0.3">
      <c r="A1570" s="49">
        <v>45275</v>
      </c>
      <c r="E1570" t="s">
        <v>3131</v>
      </c>
      <c r="G1570" t="s">
        <v>5108</v>
      </c>
      <c r="H1570" t="s">
        <v>28</v>
      </c>
      <c r="I1570" t="s">
        <v>2508</v>
      </c>
      <c r="J1570" t="s">
        <v>63</v>
      </c>
      <c r="K1570" t="s">
        <v>4947</v>
      </c>
      <c r="M1570">
        <v>100</v>
      </c>
      <c r="N1570" t="s">
        <v>49</v>
      </c>
      <c r="O1570" t="s">
        <v>3876</v>
      </c>
      <c r="P1570" t="s">
        <v>306</v>
      </c>
      <c r="S1570" t="s">
        <v>6326</v>
      </c>
      <c r="T1570">
        <v>4</v>
      </c>
      <c r="U1570" t="s">
        <v>56</v>
      </c>
      <c r="V1570" t="s">
        <v>56</v>
      </c>
    </row>
    <row r="1571" spans="1:22" x14ac:dyDescent="0.3">
      <c r="A1571" s="49">
        <v>45275</v>
      </c>
      <c r="E1571" t="s">
        <v>3131</v>
      </c>
      <c r="G1571" t="s">
        <v>5108</v>
      </c>
      <c r="H1571" t="s">
        <v>28</v>
      </c>
      <c r="I1571" t="s">
        <v>2508</v>
      </c>
      <c r="J1571" t="s">
        <v>63</v>
      </c>
      <c r="K1571" t="s">
        <v>4947</v>
      </c>
      <c r="M1571">
        <v>100</v>
      </c>
      <c r="N1571" t="s">
        <v>49</v>
      </c>
      <c r="O1571" t="s">
        <v>3876</v>
      </c>
      <c r="P1571" t="s">
        <v>306</v>
      </c>
      <c r="S1571" t="s">
        <v>6326</v>
      </c>
      <c r="T1571">
        <v>4</v>
      </c>
      <c r="U1571" t="s">
        <v>56</v>
      </c>
      <c r="V1571" t="s">
        <v>56</v>
      </c>
    </row>
    <row r="1572" spans="1:22" x14ac:dyDescent="0.3">
      <c r="A1572" s="49">
        <v>45275</v>
      </c>
      <c r="E1572" t="s">
        <v>3131</v>
      </c>
      <c r="G1572" t="s">
        <v>5108</v>
      </c>
      <c r="H1572" t="s">
        <v>28</v>
      </c>
      <c r="I1572" t="s">
        <v>2508</v>
      </c>
      <c r="J1572" t="s">
        <v>63</v>
      </c>
      <c r="K1572" t="s">
        <v>4947</v>
      </c>
      <c r="M1572">
        <v>100</v>
      </c>
      <c r="N1572" t="s">
        <v>49</v>
      </c>
      <c r="O1572" t="s">
        <v>3876</v>
      </c>
      <c r="P1572" t="s">
        <v>306</v>
      </c>
      <c r="S1572" t="s">
        <v>6326</v>
      </c>
      <c r="T1572">
        <v>4</v>
      </c>
      <c r="U1572" t="s">
        <v>56</v>
      </c>
      <c r="V1572" t="s">
        <v>56</v>
      </c>
    </row>
    <row r="1573" spans="1:22" x14ac:dyDescent="0.3">
      <c r="A1573" s="49">
        <v>45275</v>
      </c>
      <c r="E1573" t="s">
        <v>3182</v>
      </c>
      <c r="G1573" t="s">
        <v>5212</v>
      </c>
      <c r="H1573" t="s">
        <v>28</v>
      </c>
      <c r="I1573" t="s">
        <v>5729</v>
      </c>
      <c r="J1573" t="s">
        <v>46</v>
      </c>
      <c r="K1573" t="s">
        <v>880</v>
      </c>
      <c r="M1573">
        <v>90</v>
      </c>
      <c r="N1573" t="s">
        <v>33</v>
      </c>
      <c r="O1573" t="s">
        <v>3877</v>
      </c>
      <c r="P1573" t="s">
        <v>1175</v>
      </c>
      <c r="T1573">
        <v>4</v>
      </c>
      <c r="U1573" t="s">
        <v>56</v>
      </c>
      <c r="V1573" t="s">
        <v>56</v>
      </c>
    </row>
    <row r="1574" spans="1:22" x14ac:dyDescent="0.3">
      <c r="A1574" s="49">
        <v>45275</v>
      </c>
      <c r="E1574" t="s">
        <v>3182</v>
      </c>
      <c r="G1574" t="s">
        <v>5213</v>
      </c>
      <c r="H1574" t="s">
        <v>28</v>
      </c>
      <c r="I1574" t="s">
        <v>5730</v>
      </c>
      <c r="J1574" t="s">
        <v>46</v>
      </c>
      <c r="K1574" t="s">
        <v>880</v>
      </c>
      <c r="M1574">
        <v>25</v>
      </c>
      <c r="N1574" t="s">
        <v>49</v>
      </c>
      <c r="O1574" t="s">
        <v>3878</v>
      </c>
      <c r="P1574" t="s">
        <v>2645</v>
      </c>
      <c r="T1574">
        <v>4</v>
      </c>
      <c r="U1574" t="s">
        <v>56</v>
      </c>
      <c r="V1574" t="s">
        <v>56</v>
      </c>
    </row>
    <row r="1575" spans="1:22" x14ac:dyDescent="0.3">
      <c r="A1575" s="49">
        <v>45275</v>
      </c>
      <c r="E1575" t="s">
        <v>3182</v>
      </c>
      <c r="G1575" t="s">
        <v>5212</v>
      </c>
      <c r="H1575" t="s">
        <v>28</v>
      </c>
      <c r="I1575" t="s">
        <v>5731</v>
      </c>
      <c r="J1575" t="s">
        <v>46</v>
      </c>
      <c r="K1575" t="s">
        <v>880</v>
      </c>
      <c r="M1575">
        <v>20</v>
      </c>
      <c r="N1575" t="s">
        <v>33</v>
      </c>
      <c r="O1575" t="s">
        <v>3879</v>
      </c>
      <c r="P1575" t="s">
        <v>1141</v>
      </c>
      <c r="T1575">
        <v>4</v>
      </c>
      <c r="U1575" t="s">
        <v>56</v>
      </c>
      <c r="V1575" t="s">
        <v>56</v>
      </c>
    </row>
    <row r="1576" spans="1:22" x14ac:dyDescent="0.3">
      <c r="A1576" s="49">
        <v>45275</v>
      </c>
      <c r="E1576" t="s">
        <v>3182</v>
      </c>
      <c r="G1576" t="s">
        <v>5212</v>
      </c>
      <c r="H1576" t="s">
        <v>28</v>
      </c>
      <c r="I1576" t="s">
        <v>5732</v>
      </c>
      <c r="J1576" t="s">
        <v>46</v>
      </c>
      <c r="K1576" t="s">
        <v>880</v>
      </c>
      <c r="M1576">
        <v>90</v>
      </c>
      <c r="N1576" t="s">
        <v>33</v>
      </c>
      <c r="O1576" t="s">
        <v>3880</v>
      </c>
      <c r="P1576" t="s">
        <v>306</v>
      </c>
      <c r="T1576">
        <v>4</v>
      </c>
      <c r="U1576" t="s">
        <v>56</v>
      </c>
      <c r="V1576" t="s">
        <v>56</v>
      </c>
    </row>
    <row r="1577" spans="1:22" x14ac:dyDescent="0.3">
      <c r="A1577" s="49">
        <v>45275</v>
      </c>
      <c r="E1577" t="s">
        <v>3182</v>
      </c>
      <c r="G1577" t="s">
        <v>5214</v>
      </c>
      <c r="H1577" t="s">
        <v>28</v>
      </c>
      <c r="I1577" t="s">
        <v>5733</v>
      </c>
      <c r="J1577" t="s">
        <v>63</v>
      </c>
      <c r="K1577" t="s">
        <v>4947</v>
      </c>
      <c r="M1577">
        <v>0</v>
      </c>
      <c r="N1577" t="s">
        <v>74</v>
      </c>
      <c r="O1577" t="s">
        <v>3881</v>
      </c>
      <c r="P1577" t="s">
        <v>956</v>
      </c>
      <c r="T1577">
        <v>6</v>
      </c>
      <c r="U1577" t="s">
        <v>40</v>
      </c>
      <c r="V1577" t="s">
        <v>41</v>
      </c>
    </row>
    <row r="1578" spans="1:22" x14ac:dyDescent="0.3">
      <c r="A1578" s="49">
        <v>45275</v>
      </c>
      <c r="E1578" t="s">
        <v>3182</v>
      </c>
      <c r="G1578" t="s">
        <v>5212</v>
      </c>
      <c r="H1578" t="s">
        <v>28</v>
      </c>
      <c r="I1578" t="s">
        <v>5731</v>
      </c>
      <c r="J1578" t="s">
        <v>46</v>
      </c>
      <c r="K1578" t="s">
        <v>880</v>
      </c>
      <c r="M1578">
        <v>100</v>
      </c>
      <c r="N1578" t="s">
        <v>33</v>
      </c>
      <c r="O1578" t="s">
        <v>3882</v>
      </c>
      <c r="P1578" t="s">
        <v>2178</v>
      </c>
      <c r="T1578">
        <v>4</v>
      </c>
      <c r="U1578" t="s">
        <v>56</v>
      </c>
      <c r="V1578" t="s">
        <v>56</v>
      </c>
    </row>
    <row r="1579" spans="1:22" x14ac:dyDescent="0.3">
      <c r="A1579" s="49">
        <v>45275</v>
      </c>
      <c r="E1579" t="s">
        <v>3164</v>
      </c>
      <c r="G1579" t="s">
        <v>5215</v>
      </c>
      <c r="H1579" t="s">
        <v>28</v>
      </c>
      <c r="I1579" t="s">
        <v>5734</v>
      </c>
      <c r="J1579" t="s">
        <v>46</v>
      </c>
      <c r="K1579" t="s">
        <v>880</v>
      </c>
      <c r="M1579">
        <v>80</v>
      </c>
      <c r="N1579" t="s">
        <v>33</v>
      </c>
      <c r="O1579" t="s">
        <v>3883</v>
      </c>
      <c r="P1579" t="s">
        <v>4891</v>
      </c>
      <c r="T1579">
        <v>6</v>
      </c>
      <c r="U1579" t="s">
        <v>40</v>
      </c>
      <c r="V1579" t="s">
        <v>41</v>
      </c>
    </row>
    <row r="1580" spans="1:22" x14ac:dyDescent="0.3">
      <c r="A1580" s="49">
        <v>45275</v>
      </c>
      <c r="E1580" t="s">
        <v>3164</v>
      </c>
      <c r="G1580" t="s">
        <v>5215</v>
      </c>
      <c r="H1580" t="s">
        <v>28</v>
      </c>
      <c r="I1580" t="s">
        <v>5735</v>
      </c>
      <c r="J1580" t="s">
        <v>46</v>
      </c>
      <c r="K1580" t="s">
        <v>880</v>
      </c>
      <c r="M1580">
        <v>0</v>
      </c>
      <c r="N1580" t="s">
        <v>74</v>
      </c>
      <c r="O1580" t="s">
        <v>3884</v>
      </c>
      <c r="P1580" t="s">
        <v>170</v>
      </c>
      <c r="T1580">
        <v>6</v>
      </c>
      <c r="U1580" t="s">
        <v>40</v>
      </c>
      <c r="V1580" t="s">
        <v>41</v>
      </c>
    </row>
    <row r="1581" spans="1:22" x14ac:dyDescent="0.3">
      <c r="A1581" s="49">
        <v>45275</v>
      </c>
      <c r="E1581" t="s">
        <v>3164</v>
      </c>
      <c r="G1581" t="s">
        <v>5216</v>
      </c>
      <c r="H1581" t="s">
        <v>28</v>
      </c>
      <c r="I1581" t="s">
        <v>5736</v>
      </c>
      <c r="J1581" t="s">
        <v>46</v>
      </c>
      <c r="K1581" t="s">
        <v>880</v>
      </c>
      <c r="M1581">
        <v>100</v>
      </c>
      <c r="N1581" t="s">
        <v>33</v>
      </c>
      <c r="O1581" t="s">
        <v>3885</v>
      </c>
      <c r="P1581" t="s">
        <v>2178</v>
      </c>
      <c r="T1581">
        <v>4</v>
      </c>
      <c r="U1581" t="s">
        <v>56</v>
      </c>
      <c r="V1581" t="s">
        <v>56</v>
      </c>
    </row>
    <row r="1582" spans="1:22" x14ac:dyDescent="0.3">
      <c r="A1582" s="49">
        <v>45275</v>
      </c>
      <c r="E1582" t="s">
        <v>3132</v>
      </c>
      <c r="G1582" t="s">
        <v>5217</v>
      </c>
      <c r="H1582" t="s">
        <v>28</v>
      </c>
      <c r="I1582" t="s">
        <v>5737</v>
      </c>
      <c r="J1582" t="s">
        <v>46</v>
      </c>
      <c r="K1582" t="s">
        <v>880</v>
      </c>
      <c r="M1582">
        <v>100</v>
      </c>
      <c r="N1582" t="s">
        <v>49</v>
      </c>
      <c r="O1582" t="s">
        <v>3886</v>
      </c>
      <c r="P1582" t="s">
        <v>4885</v>
      </c>
      <c r="T1582">
        <v>4</v>
      </c>
      <c r="U1582" t="s">
        <v>56</v>
      </c>
      <c r="V1582" t="s">
        <v>56</v>
      </c>
    </row>
    <row r="1583" spans="1:22" x14ac:dyDescent="0.3">
      <c r="A1583" s="49">
        <v>45275</v>
      </c>
      <c r="E1583" t="s">
        <v>3132</v>
      </c>
      <c r="G1583" t="s">
        <v>5217</v>
      </c>
      <c r="H1583" t="s">
        <v>28</v>
      </c>
      <c r="I1583" t="s">
        <v>5738</v>
      </c>
      <c r="J1583" t="s">
        <v>46</v>
      </c>
      <c r="K1583" t="s">
        <v>880</v>
      </c>
      <c r="M1583">
        <v>10</v>
      </c>
      <c r="N1583" t="s">
        <v>49</v>
      </c>
      <c r="O1583" t="s">
        <v>3887</v>
      </c>
      <c r="P1583" t="s">
        <v>1356</v>
      </c>
      <c r="T1583">
        <v>4</v>
      </c>
      <c r="U1583" t="s">
        <v>56</v>
      </c>
      <c r="V1583" t="s">
        <v>56</v>
      </c>
    </row>
    <row r="1584" spans="1:22" x14ac:dyDescent="0.3">
      <c r="A1584" s="49">
        <v>45275</v>
      </c>
      <c r="E1584" t="s">
        <v>3132</v>
      </c>
      <c r="G1584" t="s">
        <v>5218</v>
      </c>
      <c r="H1584" t="s">
        <v>28</v>
      </c>
      <c r="I1584" t="s">
        <v>5739</v>
      </c>
      <c r="J1584" t="s">
        <v>63</v>
      </c>
      <c r="K1584" t="s">
        <v>64</v>
      </c>
      <c r="M1584">
        <v>35</v>
      </c>
      <c r="N1584" t="s">
        <v>33</v>
      </c>
      <c r="O1584" t="s">
        <v>3888</v>
      </c>
      <c r="P1584" t="s">
        <v>4892</v>
      </c>
      <c r="T1584">
        <v>6</v>
      </c>
      <c r="U1584" t="s">
        <v>40</v>
      </c>
      <c r="V1584" t="s">
        <v>41</v>
      </c>
    </row>
    <row r="1585" spans="1:22" x14ac:dyDescent="0.3">
      <c r="A1585" s="49">
        <v>45275</v>
      </c>
      <c r="E1585" t="s">
        <v>3132</v>
      </c>
      <c r="G1585" t="s">
        <v>1798</v>
      </c>
      <c r="H1585" t="s">
        <v>28</v>
      </c>
      <c r="I1585" t="s">
        <v>5477</v>
      </c>
      <c r="J1585" t="s">
        <v>46</v>
      </c>
      <c r="K1585" t="s">
        <v>481</v>
      </c>
      <c r="M1585">
        <v>90</v>
      </c>
      <c r="N1585" t="s">
        <v>33</v>
      </c>
      <c r="O1585" t="s">
        <v>3889</v>
      </c>
      <c r="P1585" t="s">
        <v>4871</v>
      </c>
      <c r="T1585">
        <v>4</v>
      </c>
      <c r="U1585" t="s">
        <v>56</v>
      </c>
      <c r="V1585" t="s">
        <v>56</v>
      </c>
    </row>
    <row r="1586" spans="1:22" x14ac:dyDescent="0.3">
      <c r="A1586" s="49">
        <v>45275</v>
      </c>
      <c r="E1586" t="s">
        <v>3132</v>
      </c>
      <c r="G1586" t="s">
        <v>5219</v>
      </c>
      <c r="H1586" t="s">
        <v>28</v>
      </c>
      <c r="I1586" t="s">
        <v>5740</v>
      </c>
      <c r="J1586" t="s">
        <v>46</v>
      </c>
      <c r="K1586" t="s">
        <v>481</v>
      </c>
      <c r="M1586">
        <v>0</v>
      </c>
      <c r="N1586" t="s">
        <v>33</v>
      </c>
      <c r="O1586" t="s">
        <v>3890</v>
      </c>
      <c r="P1586" t="s">
        <v>4888</v>
      </c>
      <c r="T1586">
        <v>6</v>
      </c>
      <c r="U1586" t="s">
        <v>40</v>
      </c>
      <c r="V1586" t="s">
        <v>41</v>
      </c>
    </row>
    <row r="1587" spans="1:22" x14ac:dyDescent="0.3">
      <c r="A1587" s="49">
        <v>45275</v>
      </c>
      <c r="E1587" t="s">
        <v>3132</v>
      </c>
      <c r="G1587" t="s">
        <v>5003</v>
      </c>
      <c r="H1587" t="s">
        <v>28</v>
      </c>
      <c r="I1587" t="s">
        <v>5741</v>
      </c>
      <c r="J1587" t="s">
        <v>63</v>
      </c>
      <c r="K1587" t="s">
        <v>64</v>
      </c>
      <c r="M1587">
        <v>100</v>
      </c>
      <c r="N1587" t="s">
        <v>49</v>
      </c>
      <c r="O1587" t="s">
        <v>3891</v>
      </c>
      <c r="P1587" t="s">
        <v>4830</v>
      </c>
      <c r="T1587">
        <v>4</v>
      </c>
      <c r="U1587" t="s">
        <v>56</v>
      </c>
      <c r="V1587" t="s">
        <v>56</v>
      </c>
    </row>
    <row r="1588" spans="1:22" x14ac:dyDescent="0.3">
      <c r="A1588" s="49">
        <v>45275</v>
      </c>
      <c r="E1588" t="s">
        <v>3132</v>
      </c>
      <c r="G1588" t="s">
        <v>5002</v>
      </c>
      <c r="H1588" t="s">
        <v>28</v>
      </c>
      <c r="I1588" t="s">
        <v>1795</v>
      </c>
      <c r="J1588" t="s">
        <v>63</v>
      </c>
      <c r="K1588" t="s">
        <v>64</v>
      </c>
      <c r="M1588">
        <v>80</v>
      </c>
      <c r="N1588" t="s">
        <v>49</v>
      </c>
      <c r="O1588" t="s">
        <v>3892</v>
      </c>
      <c r="P1588" t="s">
        <v>1141</v>
      </c>
      <c r="T1588">
        <v>4</v>
      </c>
      <c r="U1588" t="s">
        <v>56</v>
      </c>
      <c r="V1588" t="s">
        <v>56</v>
      </c>
    </row>
    <row r="1589" spans="1:22" x14ac:dyDescent="0.3">
      <c r="A1589" s="49">
        <v>45275</v>
      </c>
      <c r="E1589" t="s">
        <v>3132</v>
      </c>
      <c r="G1589" t="s">
        <v>5220</v>
      </c>
      <c r="H1589" t="s">
        <v>28</v>
      </c>
      <c r="I1589" t="s">
        <v>5605</v>
      </c>
      <c r="J1589" t="s">
        <v>63</v>
      </c>
      <c r="K1589" t="s">
        <v>64</v>
      </c>
      <c r="M1589">
        <v>80</v>
      </c>
      <c r="N1589" t="s">
        <v>49</v>
      </c>
      <c r="O1589" t="s">
        <v>3893</v>
      </c>
      <c r="P1589" t="s">
        <v>668</v>
      </c>
      <c r="T1589">
        <v>4</v>
      </c>
      <c r="U1589" t="s">
        <v>56</v>
      </c>
      <c r="V1589" t="s">
        <v>56</v>
      </c>
    </row>
    <row r="1590" spans="1:22" x14ac:dyDescent="0.3">
      <c r="A1590" s="49">
        <v>45275</v>
      </c>
      <c r="E1590" t="s">
        <v>3132</v>
      </c>
      <c r="G1590" t="s">
        <v>5221</v>
      </c>
      <c r="H1590" t="s">
        <v>28</v>
      </c>
      <c r="I1590" t="s">
        <v>5742</v>
      </c>
      <c r="J1590" t="s">
        <v>63</v>
      </c>
      <c r="K1590" t="s">
        <v>64</v>
      </c>
      <c r="M1590">
        <v>100</v>
      </c>
      <c r="N1590" t="s">
        <v>49</v>
      </c>
      <c r="O1590" t="s">
        <v>3894</v>
      </c>
      <c r="P1590" t="s">
        <v>35</v>
      </c>
      <c r="T1590">
        <v>4</v>
      </c>
      <c r="U1590" t="s">
        <v>56</v>
      </c>
      <c r="V1590" t="s">
        <v>56</v>
      </c>
    </row>
    <row r="1591" spans="1:22" x14ac:dyDescent="0.3">
      <c r="A1591" s="49">
        <v>45275</v>
      </c>
      <c r="E1591" t="s">
        <v>3132</v>
      </c>
      <c r="G1591" t="s">
        <v>1798</v>
      </c>
      <c r="H1591" t="s">
        <v>28</v>
      </c>
      <c r="I1591" t="s">
        <v>5427</v>
      </c>
      <c r="J1591" t="s">
        <v>46</v>
      </c>
      <c r="K1591" t="s">
        <v>880</v>
      </c>
      <c r="M1591">
        <v>80</v>
      </c>
      <c r="N1591" t="s">
        <v>33</v>
      </c>
      <c r="O1591" t="s">
        <v>3895</v>
      </c>
      <c r="P1591" t="s">
        <v>4878</v>
      </c>
      <c r="T1591">
        <v>4</v>
      </c>
      <c r="U1591" t="s">
        <v>56</v>
      </c>
      <c r="V1591" t="s">
        <v>56</v>
      </c>
    </row>
    <row r="1592" spans="1:22" x14ac:dyDescent="0.3">
      <c r="A1592" s="49">
        <v>45275</v>
      </c>
      <c r="E1592" t="s">
        <v>3132</v>
      </c>
      <c r="G1592" t="s">
        <v>5220</v>
      </c>
      <c r="H1592" t="s">
        <v>28</v>
      </c>
      <c r="I1592" t="s">
        <v>5605</v>
      </c>
      <c r="J1592" t="s">
        <v>63</v>
      </c>
      <c r="K1592" t="s">
        <v>64</v>
      </c>
      <c r="M1592">
        <v>80</v>
      </c>
      <c r="N1592" t="s">
        <v>49</v>
      </c>
      <c r="O1592" t="s">
        <v>3896</v>
      </c>
      <c r="P1592" t="s">
        <v>1701</v>
      </c>
      <c r="T1592">
        <v>4</v>
      </c>
      <c r="U1592" t="s">
        <v>56</v>
      </c>
      <c r="V1592" t="s">
        <v>56</v>
      </c>
    </row>
    <row r="1593" spans="1:22" x14ac:dyDescent="0.3">
      <c r="A1593" s="49">
        <v>45275</v>
      </c>
      <c r="E1593" t="s">
        <v>3132</v>
      </c>
      <c r="G1593" t="s">
        <v>1798</v>
      </c>
      <c r="H1593" t="s">
        <v>28</v>
      </c>
      <c r="I1593" t="s">
        <v>5427</v>
      </c>
      <c r="J1593" t="s">
        <v>63</v>
      </c>
      <c r="K1593" t="s">
        <v>64</v>
      </c>
      <c r="M1593">
        <v>50</v>
      </c>
      <c r="N1593" t="s">
        <v>33</v>
      </c>
      <c r="O1593" t="s">
        <v>3897</v>
      </c>
      <c r="P1593" t="s">
        <v>416</v>
      </c>
      <c r="T1593">
        <v>6</v>
      </c>
      <c r="U1593" t="s">
        <v>40</v>
      </c>
      <c r="V1593" t="s">
        <v>41</v>
      </c>
    </row>
    <row r="1594" spans="1:22" x14ac:dyDescent="0.3">
      <c r="A1594" s="49">
        <v>45275</v>
      </c>
      <c r="E1594" t="s">
        <v>3132</v>
      </c>
      <c r="G1594" t="s">
        <v>5222</v>
      </c>
      <c r="H1594" t="s">
        <v>28</v>
      </c>
      <c r="I1594" t="s">
        <v>5743</v>
      </c>
      <c r="J1594" t="s">
        <v>63</v>
      </c>
      <c r="K1594" t="s">
        <v>64</v>
      </c>
      <c r="M1594">
        <v>0</v>
      </c>
      <c r="N1594" t="s">
        <v>74</v>
      </c>
      <c r="O1594" t="s">
        <v>3898</v>
      </c>
      <c r="P1594" t="s">
        <v>314</v>
      </c>
      <c r="T1594">
        <v>6</v>
      </c>
      <c r="U1594" t="s">
        <v>40</v>
      </c>
      <c r="V1594" t="s">
        <v>41</v>
      </c>
    </row>
    <row r="1595" spans="1:22" x14ac:dyDescent="0.3">
      <c r="A1595" s="49">
        <v>45275</v>
      </c>
      <c r="E1595" t="s">
        <v>3132</v>
      </c>
      <c r="G1595" t="s">
        <v>940</v>
      </c>
      <c r="H1595" t="s">
        <v>28</v>
      </c>
      <c r="I1595" t="s">
        <v>941</v>
      </c>
      <c r="J1595" t="s">
        <v>63</v>
      </c>
      <c r="K1595" t="s">
        <v>64</v>
      </c>
      <c r="M1595">
        <v>10</v>
      </c>
      <c r="N1595" t="s">
        <v>49</v>
      </c>
      <c r="O1595" t="s">
        <v>3899</v>
      </c>
      <c r="P1595" t="s">
        <v>373</v>
      </c>
      <c r="T1595">
        <v>4</v>
      </c>
      <c r="U1595" t="s">
        <v>56</v>
      </c>
      <c r="V1595" t="s">
        <v>56</v>
      </c>
    </row>
    <row r="1596" spans="1:22" x14ac:dyDescent="0.3">
      <c r="A1596" s="49">
        <v>45275</v>
      </c>
      <c r="E1596" t="s">
        <v>3132</v>
      </c>
      <c r="G1596" t="s">
        <v>5001</v>
      </c>
      <c r="H1596" t="s">
        <v>89</v>
      </c>
      <c r="J1596" t="s">
        <v>63</v>
      </c>
      <c r="K1596" t="s">
        <v>64</v>
      </c>
      <c r="M1596">
        <v>40</v>
      </c>
      <c r="N1596" t="s">
        <v>49</v>
      </c>
      <c r="O1596" t="s">
        <v>3900</v>
      </c>
      <c r="P1596" t="s">
        <v>1054</v>
      </c>
      <c r="T1596">
        <v>4</v>
      </c>
      <c r="U1596" t="s">
        <v>56</v>
      </c>
      <c r="V1596" t="s">
        <v>56</v>
      </c>
    </row>
    <row r="1597" spans="1:22" x14ac:dyDescent="0.3">
      <c r="A1597" s="49">
        <v>45275</v>
      </c>
      <c r="E1597" t="s">
        <v>3132</v>
      </c>
      <c r="G1597" t="s">
        <v>5223</v>
      </c>
      <c r="H1597" t="s">
        <v>28</v>
      </c>
      <c r="I1597" t="s">
        <v>5744</v>
      </c>
      <c r="J1597" t="s">
        <v>46</v>
      </c>
      <c r="K1597" t="s">
        <v>481</v>
      </c>
      <c r="M1597">
        <v>100</v>
      </c>
      <c r="N1597" t="s">
        <v>49</v>
      </c>
      <c r="O1597" t="s">
        <v>3901</v>
      </c>
      <c r="P1597" t="s">
        <v>4877</v>
      </c>
      <c r="T1597">
        <v>4</v>
      </c>
      <c r="U1597" t="s">
        <v>56</v>
      </c>
      <c r="V1597" t="s">
        <v>56</v>
      </c>
    </row>
    <row r="1598" spans="1:22" x14ac:dyDescent="0.3">
      <c r="A1598" s="49">
        <v>45275</v>
      </c>
      <c r="E1598" t="s">
        <v>3132</v>
      </c>
      <c r="G1598" t="s">
        <v>5220</v>
      </c>
      <c r="H1598" t="s">
        <v>28</v>
      </c>
      <c r="I1598" t="s">
        <v>5605</v>
      </c>
      <c r="J1598" t="s">
        <v>63</v>
      </c>
      <c r="K1598" t="s">
        <v>64</v>
      </c>
      <c r="M1598">
        <v>95</v>
      </c>
      <c r="N1598" t="s">
        <v>49</v>
      </c>
      <c r="O1598" t="s">
        <v>3902</v>
      </c>
      <c r="P1598" t="s">
        <v>1054</v>
      </c>
      <c r="T1598">
        <v>4</v>
      </c>
      <c r="U1598" t="s">
        <v>56</v>
      </c>
      <c r="V1598" t="s">
        <v>56</v>
      </c>
    </row>
    <row r="1599" spans="1:22" x14ac:dyDescent="0.3">
      <c r="A1599" s="49">
        <v>45275</v>
      </c>
      <c r="E1599" t="s">
        <v>3132</v>
      </c>
      <c r="G1599" t="s">
        <v>5038</v>
      </c>
      <c r="H1599" t="s">
        <v>28</v>
      </c>
      <c r="I1599" t="s">
        <v>5745</v>
      </c>
      <c r="J1599" t="s">
        <v>63</v>
      </c>
      <c r="K1599" t="s">
        <v>197</v>
      </c>
      <c r="M1599">
        <v>0</v>
      </c>
      <c r="N1599" t="s">
        <v>74</v>
      </c>
      <c r="O1599" t="s">
        <v>3903</v>
      </c>
      <c r="P1599" t="s">
        <v>66</v>
      </c>
      <c r="T1599">
        <v>5</v>
      </c>
      <c r="U1599" t="s">
        <v>40</v>
      </c>
      <c r="V1599" t="s">
        <v>41</v>
      </c>
    </row>
    <row r="1600" spans="1:22" x14ac:dyDescent="0.3">
      <c r="A1600" s="49">
        <v>45275</v>
      </c>
      <c r="E1600" t="s">
        <v>3132</v>
      </c>
      <c r="G1600" t="s">
        <v>5004</v>
      </c>
      <c r="H1600" t="s">
        <v>28</v>
      </c>
      <c r="I1600" t="s">
        <v>1234</v>
      </c>
      <c r="J1600" t="s">
        <v>63</v>
      </c>
      <c r="K1600" t="s">
        <v>64</v>
      </c>
      <c r="M1600">
        <v>80</v>
      </c>
      <c r="N1600" t="s">
        <v>49</v>
      </c>
      <c r="O1600" t="s">
        <v>3904</v>
      </c>
      <c r="P1600" t="s">
        <v>4889</v>
      </c>
      <c r="T1600">
        <v>6</v>
      </c>
      <c r="U1600" t="s">
        <v>40</v>
      </c>
      <c r="V1600" t="s">
        <v>41</v>
      </c>
    </row>
    <row r="1601" spans="1:22" x14ac:dyDescent="0.3">
      <c r="A1601" s="49">
        <v>45275</v>
      </c>
      <c r="E1601" t="s">
        <v>3132</v>
      </c>
      <c r="G1601" t="s">
        <v>5004</v>
      </c>
      <c r="H1601" t="s">
        <v>28</v>
      </c>
      <c r="I1601" t="s">
        <v>1234</v>
      </c>
      <c r="J1601" t="s">
        <v>46</v>
      </c>
      <c r="K1601" t="s">
        <v>422</v>
      </c>
      <c r="M1601">
        <v>0</v>
      </c>
      <c r="N1601" t="s">
        <v>74</v>
      </c>
      <c r="O1601" t="s">
        <v>3905</v>
      </c>
      <c r="P1601" t="s">
        <v>737</v>
      </c>
      <c r="T1601">
        <v>6</v>
      </c>
      <c r="U1601" t="s">
        <v>40</v>
      </c>
      <c r="V1601" t="s">
        <v>41</v>
      </c>
    </row>
    <row r="1602" spans="1:22" x14ac:dyDescent="0.3">
      <c r="A1602" s="49">
        <v>45275</v>
      </c>
      <c r="E1602" t="s">
        <v>3132</v>
      </c>
      <c r="G1602" t="s">
        <v>5003</v>
      </c>
      <c r="H1602" t="s">
        <v>28</v>
      </c>
      <c r="I1602" t="s">
        <v>5746</v>
      </c>
      <c r="J1602" t="s">
        <v>63</v>
      </c>
      <c r="K1602" t="s">
        <v>64</v>
      </c>
      <c r="M1602">
        <v>20</v>
      </c>
      <c r="N1602" t="s">
        <v>33</v>
      </c>
      <c r="O1602" t="s">
        <v>3906</v>
      </c>
      <c r="P1602" t="s">
        <v>1159</v>
      </c>
      <c r="T1602">
        <v>6</v>
      </c>
      <c r="U1602" t="s">
        <v>40</v>
      </c>
      <c r="V1602" t="s">
        <v>41</v>
      </c>
    </row>
    <row r="1603" spans="1:22" x14ac:dyDescent="0.3">
      <c r="A1603" s="49">
        <v>45275</v>
      </c>
      <c r="E1603" t="s">
        <v>3132</v>
      </c>
      <c r="G1603" t="s">
        <v>5003</v>
      </c>
      <c r="H1603" t="s">
        <v>28</v>
      </c>
      <c r="I1603" t="s">
        <v>5746</v>
      </c>
      <c r="J1603" t="s">
        <v>63</v>
      </c>
      <c r="K1603" t="s">
        <v>64</v>
      </c>
      <c r="M1603">
        <v>70</v>
      </c>
      <c r="N1603" t="s">
        <v>33</v>
      </c>
      <c r="O1603" t="s">
        <v>3907</v>
      </c>
      <c r="P1603" t="s">
        <v>1159</v>
      </c>
      <c r="T1603">
        <v>6</v>
      </c>
      <c r="U1603" t="s">
        <v>40</v>
      </c>
      <c r="V1603" t="s">
        <v>41</v>
      </c>
    </row>
    <row r="1604" spans="1:22" x14ac:dyDescent="0.3">
      <c r="A1604" s="49">
        <v>45275</v>
      </c>
      <c r="E1604" t="s">
        <v>3132</v>
      </c>
      <c r="G1604" t="s">
        <v>5224</v>
      </c>
      <c r="H1604" t="s">
        <v>28</v>
      </c>
      <c r="I1604" t="s">
        <v>5747</v>
      </c>
      <c r="J1604" t="s">
        <v>63</v>
      </c>
      <c r="K1604" t="s">
        <v>64</v>
      </c>
      <c r="M1604">
        <v>100</v>
      </c>
      <c r="N1604" t="s">
        <v>49</v>
      </c>
      <c r="O1604" t="s">
        <v>3908</v>
      </c>
      <c r="P1604" t="s">
        <v>4893</v>
      </c>
      <c r="T1604">
        <v>6</v>
      </c>
      <c r="U1604" t="s">
        <v>40</v>
      </c>
      <c r="V1604" t="s">
        <v>41</v>
      </c>
    </row>
    <row r="1605" spans="1:22" x14ac:dyDescent="0.3">
      <c r="A1605" s="49">
        <v>45275</v>
      </c>
      <c r="E1605" t="s">
        <v>3132</v>
      </c>
      <c r="G1605" t="s">
        <v>5225</v>
      </c>
      <c r="H1605" t="s">
        <v>28</v>
      </c>
      <c r="I1605" t="s">
        <v>5748</v>
      </c>
      <c r="J1605" t="s">
        <v>46</v>
      </c>
      <c r="K1605" t="s">
        <v>880</v>
      </c>
      <c r="M1605">
        <v>100</v>
      </c>
      <c r="N1605" t="s">
        <v>49</v>
      </c>
      <c r="O1605" t="s">
        <v>3909</v>
      </c>
      <c r="P1605" t="s">
        <v>4879</v>
      </c>
      <c r="T1605">
        <v>4</v>
      </c>
      <c r="U1605" t="s">
        <v>56</v>
      </c>
      <c r="V1605" t="s">
        <v>56</v>
      </c>
    </row>
    <row r="1606" spans="1:22" x14ac:dyDescent="0.3">
      <c r="A1606" s="49">
        <v>45275</v>
      </c>
      <c r="E1606" t="s">
        <v>3132</v>
      </c>
      <c r="G1606" t="s">
        <v>5225</v>
      </c>
      <c r="H1606" t="s">
        <v>28</v>
      </c>
      <c r="I1606" t="s">
        <v>5748</v>
      </c>
      <c r="J1606" t="s">
        <v>46</v>
      </c>
      <c r="K1606" t="s">
        <v>880</v>
      </c>
      <c r="M1606">
        <v>100</v>
      </c>
      <c r="N1606" t="s">
        <v>49</v>
      </c>
      <c r="O1606" t="s">
        <v>3909</v>
      </c>
      <c r="P1606" t="s">
        <v>4879</v>
      </c>
      <c r="T1606">
        <v>4</v>
      </c>
      <c r="U1606" t="s">
        <v>56</v>
      </c>
      <c r="V1606" t="s">
        <v>56</v>
      </c>
    </row>
    <row r="1607" spans="1:22" x14ac:dyDescent="0.3">
      <c r="A1607" s="49">
        <v>45275</v>
      </c>
      <c r="E1607" t="s">
        <v>3132</v>
      </c>
      <c r="G1607" t="s">
        <v>1798</v>
      </c>
      <c r="H1607" t="s">
        <v>89</v>
      </c>
      <c r="J1607" t="s">
        <v>63</v>
      </c>
      <c r="K1607" t="s">
        <v>64</v>
      </c>
      <c r="M1607">
        <v>40</v>
      </c>
      <c r="N1607" t="s">
        <v>33</v>
      </c>
      <c r="O1607" t="s">
        <v>3910</v>
      </c>
      <c r="P1607" t="s">
        <v>4877</v>
      </c>
      <c r="T1607">
        <v>4</v>
      </c>
      <c r="U1607" t="s">
        <v>56</v>
      </c>
      <c r="V1607" t="s">
        <v>56</v>
      </c>
    </row>
    <row r="1608" spans="1:22" x14ac:dyDescent="0.3">
      <c r="A1608" s="49">
        <v>45275</v>
      </c>
      <c r="E1608" t="s">
        <v>3132</v>
      </c>
      <c r="G1608" t="s">
        <v>1798</v>
      </c>
      <c r="H1608" t="s">
        <v>28</v>
      </c>
      <c r="I1608" t="s">
        <v>5749</v>
      </c>
      <c r="J1608" t="s">
        <v>63</v>
      </c>
      <c r="K1608" t="s">
        <v>64</v>
      </c>
      <c r="M1608">
        <v>0</v>
      </c>
      <c r="N1608" t="s">
        <v>33</v>
      </c>
      <c r="O1608" t="s">
        <v>3911</v>
      </c>
      <c r="P1608" t="s">
        <v>2178</v>
      </c>
      <c r="T1608">
        <v>6</v>
      </c>
      <c r="U1608" t="s">
        <v>40</v>
      </c>
      <c r="V1608" t="s">
        <v>41</v>
      </c>
    </row>
    <row r="1609" spans="1:22" x14ac:dyDescent="0.3">
      <c r="A1609" s="49">
        <v>45275</v>
      </c>
      <c r="E1609" t="s">
        <v>3132</v>
      </c>
      <c r="G1609" t="s">
        <v>5002</v>
      </c>
      <c r="H1609" t="s">
        <v>28</v>
      </c>
      <c r="I1609" t="s">
        <v>1795</v>
      </c>
      <c r="J1609" t="s">
        <v>63</v>
      </c>
      <c r="K1609" t="s">
        <v>64</v>
      </c>
      <c r="M1609">
        <v>60</v>
      </c>
      <c r="N1609" t="s">
        <v>49</v>
      </c>
      <c r="O1609" t="s">
        <v>3557</v>
      </c>
      <c r="P1609" t="s">
        <v>170</v>
      </c>
      <c r="T1609">
        <v>4</v>
      </c>
      <c r="U1609" t="s">
        <v>56</v>
      </c>
      <c r="V1609" t="s">
        <v>56</v>
      </c>
    </row>
    <row r="1610" spans="1:22" x14ac:dyDescent="0.3">
      <c r="A1610" s="49">
        <v>45275</v>
      </c>
      <c r="E1610" t="s">
        <v>3132</v>
      </c>
      <c r="G1610" t="s">
        <v>1798</v>
      </c>
      <c r="H1610" t="s">
        <v>28</v>
      </c>
      <c r="I1610" t="s">
        <v>5750</v>
      </c>
      <c r="J1610" t="s">
        <v>63</v>
      </c>
      <c r="K1610" t="s">
        <v>64</v>
      </c>
      <c r="M1610">
        <v>100</v>
      </c>
      <c r="N1610" t="s">
        <v>49</v>
      </c>
      <c r="O1610" t="s">
        <v>3912</v>
      </c>
      <c r="P1610" t="s">
        <v>4877</v>
      </c>
      <c r="T1610">
        <v>6</v>
      </c>
      <c r="U1610" t="s">
        <v>40</v>
      </c>
      <c r="V1610" t="s">
        <v>41</v>
      </c>
    </row>
    <row r="1611" spans="1:22" x14ac:dyDescent="0.3">
      <c r="A1611" s="49">
        <v>45275</v>
      </c>
      <c r="E1611" t="s">
        <v>3132</v>
      </c>
      <c r="G1611" t="s">
        <v>1798</v>
      </c>
      <c r="H1611" t="s">
        <v>28</v>
      </c>
      <c r="I1611" t="s">
        <v>5750</v>
      </c>
      <c r="J1611" t="s">
        <v>63</v>
      </c>
      <c r="K1611" t="s">
        <v>64</v>
      </c>
      <c r="M1611">
        <v>100</v>
      </c>
      <c r="N1611" t="s">
        <v>49</v>
      </c>
      <c r="O1611" t="s">
        <v>3912</v>
      </c>
      <c r="P1611" t="s">
        <v>4877</v>
      </c>
      <c r="T1611">
        <v>6</v>
      </c>
      <c r="U1611" t="s">
        <v>40</v>
      </c>
      <c r="V1611" t="s">
        <v>41</v>
      </c>
    </row>
    <row r="1612" spans="1:22" x14ac:dyDescent="0.3">
      <c r="A1612" s="49">
        <v>45275</v>
      </c>
      <c r="E1612" t="s">
        <v>3132</v>
      </c>
      <c r="G1612" t="s">
        <v>1798</v>
      </c>
      <c r="H1612" t="s">
        <v>28</v>
      </c>
      <c r="I1612" t="s">
        <v>5750</v>
      </c>
      <c r="J1612" t="s">
        <v>63</v>
      </c>
      <c r="K1612" t="s">
        <v>64</v>
      </c>
      <c r="M1612">
        <v>100</v>
      </c>
      <c r="N1612" t="s">
        <v>49</v>
      </c>
      <c r="O1612" t="s">
        <v>3912</v>
      </c>
      <c r="P1612" t="s">
        <v>4877</v>
      </c>
      <c r="T1612">
        <v>6</v>
      </c>
      <c r="U1612" t="s">
        <v>40</v>
      </c>
      <c r="V1612" t="s">
        <v>41</v>
      </c>
    </row>
    <row r="1613" spans="1:22" x14ac:dyDescent="0.3">
      <c r="A1613" s="49">
        <v>45275</v>
      </c>
      <c r="E1613" t="s">
        <v>3132</v>
      </c>
      <c r="G1613" t="s">
        <v>5226</v>
      </c>
      <c r="H1613" t="s">
        <v>28</v>
      </c>
      <c r="I1613" t="s">
        <v>5751</v>
      </c>
      <c r="J1613" t="s">
        <v>46</v>
      </c>
      <c r="K1613" t="s">
        <v>880</v>
      </c>
      <c r="M1613">
        <v>30</v>
      </c>
      <c r="N1613" t="s">
        <v>49</v>
      </c>
      <c r="O1613" t="s">
        <v>3913</v>
      </c>
      <c r="P1613" t="s">
        <v>483</v>
      </c>
      <c r="T1613">
        <v>6</v>
      </c>
      <c r="U1613" t="s">
        <v>40</v>
      </c>
      <c r="V1613" t="s">
        <v>41</v>
      </c>
    </row>
    <row r="1614" spans="1:22" x14ac:dyDescent="0.3">
      <c r="A1614" s="49">
        <v>45275</v>
      </c>
      <c r="E1614" t="s">
        <v>3132</v>
      </c>
      <c r="G1614" t="s">
        <v>5038</v>
      </c>
      <c r="H1614" t="s">
        <v>28</v>
      </c>
      <c r="I1614" t="s">
        <v>5745</v>
      </c>
      <c r="J1614" t="s">
        <v>63</v>
      </c>
      <c r="K1614" t="s">
        <v>64</v>
      </c>
      <c r="M1614">
        <v>55</v>
      </c>
      <c r="N1614" t="s">
        <v>49</v>
      </c>
      <c r="O1614" t="s">
        <v>3914</v>
      </c>
      <c r="P1614" t="s">
        <v>4830</v>
      </c>
      <c r="T1614">
        <v>6</v>
      </c>
      <c r="U1614" t="s">
        <v>40</v>
      </c>
      <c r="V1614" t="s">
        <v>41</v>
      </c>
    </row>
    <row r="1615" spans="1:22" x14ac:dyDescent="0.3">
      <c r="A1615" s="49">
        <v>45275</v>
      </c>
      <c r="E1615" t="s">
        <v>3132</v>
      </c>
      <c r="G1615" t="s">
        <v>5038</v>
      </c>
      <c r="H1615" t="s">
        <v>28</v>
      </c>
      <c r="I1615" t="s">
        <v>5745</v>
      </c>
      <c r="J1615" t="s">
        <v>63</v>
      </c>
      <c r="K1615" t="s">
        <v>197</v>
      </c>
      <c r="M1615">
        <v>100</v>
      </c>
      <c r="N1615" t="s">
        <v>33</v>
      </c>
      <c r="O1615" t="s">
        <v>3915</v>
      </c>
      <c r="P1615" t="s">
        <v>66</v>
      </c>
      <c r="T1615">
        <v>5</v>
      </c>
      <c r="U1615" t="s">
        <v>40</v>
      </c>
      <c r="V1615" t="s">
        <v>41</v>
      </c>
    </row>
    <row r="1616" spans="1:22" x14ac:dyDescent="0.3">
      <c r="A1616" s="49">
        <v>45275</v>
      </c>
      <c r="E1616" t="s">
        <v>3132</v>
      </c>
      <c r="G1616" t="s">
        <v>5226</v>
      </c>
      <c r="H1616" t="s">
        <v>28</v>
      </c>
      <c r="I1616" t="s">
        <v>5751</v>
      </c>
      <c r="J1616" t="s">
        <v>46</v>
      </c>
      <c r="K1616" t="s">
        <v>481</v>
      </c>
      <c r="M1616">
        <v>30</v>
      </c>
      <c r="N1616" t="s">
        <v>33</v>
      </c>
      <c r="O1616" t="s">
        <v>3916</v>
      </c>
      <c r="P1616" t="s">
        <v>2029</v>
      </c>
      <c r="T1616">
        <v>6</v>
      </c>
      <c r="U1616" t="s">
        <v>40</v>
      </c>
      <c r="V1616" t="s">
        <v>41</v>
      </c>
    </row>
    <row r="1617" spans="1:22" x14ac:dyDescent="0.3">
      <c r="A1617" s="49">
        <v>45275</v>
      </c>
      <c r="E1617" t="s">
        <v>3132</v>
      </c>
      <c r="G1617" t="s">
        <v>5222</v>
      </c>
      <c r="H1617" t="s">
        <v>89</v>
      </c>
      <c r="J1617" t="s">
        <v>63</v>
      </c>
      <c r="K1617" t="s">
        <v>197</v>
      </c>
      <c r="M1617">
        <v>0</v>
      </c>
      <c r="N1617" t="s">
        <v>74</v>
      </c>
      <c r="O1617" t="s">
        <v>3917</v>
      </c>
      <c r="P1617" t="s">
        <v>651</v>
      </c>
      <c r="T1617">
        <v>6</v>
      </c>
      <c r="U1617" t="s">
        <v>40</v>
      </c>
      <c r="V1617" t="s">
        <v>41</v>
      </c>
    </row>
    <row r="1618" spans="1:22" x14ac:dyDescent="0.3">
      <c r="A1618" s="49">
        <v>45275</v>
      </c>
      <c r="E1618" t="s">
        <v>3222</v>
      </c>
      <c r="G1618" t="s">
        <v>5227</v>
      </c>
      <c r="H1618" t="s">
        <v>28</v>
      </c>
      <c r="I1618" t="s">
        <v>5752</v>
      </c>
      <c r="J1618" t="s">
        <v>46</v>
      </c>
      <c r="K1618" t="s">
        <v>481</v>
      </c>
      <c r="M1618">
        <v>100</v>
      </c>
      <c r="N1618" t="s">
        <v>33</v>
      </c>
      <c r="O1618" t="s">
        <v>3918</v>
      </c>
      <c r="P1618" t="s">
        <v>737</v>
      </c>
      <c r="S1618" t="s">
        <v>6327</v>
      </c>
      <c r="T1618">
        <v>4</v>
      </c>
      <c r="U1618" t="s">
        <v>56</v>
      </c>
      <c r="V1618" t="s">
        <v>56</v>
      </c>
    </row>
    <row r="1619" spans="1:22" x14ac:dyDescent="0.3">
      <c r="A1619" s="49">
        <v>45275</v>
      </c>
      <c r="E1619" t="s">
        <v>3133</v>
      </c>
      <c r="G1619" t="s">
        <v>5228</v>
      </c>
      <c r="H1619" t="s">
        <v>28</v>
      </c>
      <c r="I1619" t="s">
        <v>5753</v>
      </c>
      <c r="J1619" t="s">
        <v>46</v>
      </c>
      <c r="K1619" t="s">
        <v>481</v>
      </c>
      <c r="M1619">
        <v>100</v>
      </c>
      <c r="N1619" t="s">
        <v>49</v>
      </c>
      <c r="O1619" t="s">
        <v>3919</v>
      </c>
      <c r="P1619" t="s">
        <v>4871</v>
      </c>
      <c r="T1619">
        <v>4</v>
      </c>
      <c r="U1619" t="s">
        <v>56</v>
      </c>
      <c r="V1619" t="s">
        <v>56</v>
      </c>
    </row>
    <row r="1620" spans="1:22" x14ac:dyDescent="0.3">
      <c r="A1620" s="49">
        <v>45274</v>
      </c>
      <c r="E1620" t="s">
        <v>3196</v>
      </c>
      <c r="G1620" t="s">
        <v>5229</v>
      </c>
      <c r="H1620" t="s">
        <v>89</v>
      </c>
      <c r="J1620" t="s">
        <v>46</v>
      </c>
      <c r="K1620" t="s">
        <v>481</v>
      </c>
      <c r="M1620">
        <v>40</v>
      </c>
      <c r="N1620" t="s">
        <v>33</v>
      </c>
      <c r="O1620" t="s">
        <v>3920</v>
      </c>
      <c r="P1620" t="s">
        <v>373</v>
      </c>
      <c r="T1620">
        <v>4</v>
      </c>
      <c r="U1620" t="s">
        <v>56</v>
      </c>
      <c r="V1620" t="s">
        <v>56</v>
      </c>
    </row>
    <row r="1621" spans="1:22" x14ac:dyDescent="0.3">
      <c r="A1621" s="49">
        <v>45274</v>
      </c>
      <c r="E1621" t="s">
        <v>3104</v>
      </c>
      <c r="G1621" t="s">
        <v>5230</v>
      </c>
      <c r="H1621" t="s">
        <v>28</v>
      </c>
      <c r="I1621" t="s">
        <v>5391</v>
      </c>
      <c r="J1621" t="s">
        <v>46</v>
      </c>
      <c r="K1621" t="s">
        <v>422</v>
      </c>
      <c r="M1621">
        <v>50</v>
      </c>
      <c r="N1621" t="s">
        <v>33</v>
      </c>
      <c r="O1621" t="s">
        <v>3921</v>
      </c>
      <c r="P1621" t="s">
        <v>314</v>
      </c>
      <c r="T1621">
        <v>4</v>
      </c>
      <c r="U1621" t="s">
        <v>56</v>
      </c>
      <c r="V1621" t="s">
        <v>56</v>
      </c>
    </row>
    <row r="1622" spans="1:22" x14ac:dyDescent="0.3">
      <c r="A1622" s="49">
        <v>45274</v>
      </c>
      <c r="E1622" t="s">
        <v>3104</v>
      </c>
      <c r="G1622" t="s">
        <v>5231</v>
      </c>
      <c r="H1622" t="s">
        <v>28</v>
      </c>
      <c r="I1622" t="s">
        <v>5754</v>
      </c>
      <c r="J1622" t="s">
        <v>63</v>
      </c>
      <c r="K1622" t="s">
        <v>4924</v>
      </c>
      <c r="M1622">
        <v>20</v>
      </c>
      <c r="N1622" t="s">
        <v>33</v>
      </c>
      <c r="O1622" t="s">
        <v>3922</v>
      </c>
      <c r="P1622" t="s">
        <v>791</v>
      </c>
      <c r="T1622">
        <v>6</v>
      </c>
      <c r="U1622" t="s">
        <v>40</v>
      </c>
      <c r="V1622" t="s">
        <v>41</v>
      </c>
    </row>
    <row r="1623" spans="1:22" x14ac:dyDescent="0.3">
      <c r="A1623" s="49">
        <v>45274</v>
      </c>
      <c r="E1623" t="s">
        <v>3104</v>
      </c>
      <c r="G1623" t="s">
        <v>5232</v>
      </c>
      <c r="H1623" t="s">
        <v>28</v>
      </c>
      <c r="I1623" t="s">
        <v>5755</v>
      </c>
      <c r="J1623" t="s">
        <v>63</v>
      </c>
      <c r="K1623" t="s">
        <v>4950</v>
      </c>
      <c r="M1623">
        <v>100</v>
      </c>
      <c r="N1623" t="s">
        <v>33</v>
      </c>
      <c r="O1623" t="s">
        <v>3923</v>
      </c>
      <c r="P1623" t="s">
        <v>306</v>
      </c>
      <c r="T1623">
        <v>6</v>
      </c>
      <c r="U1623" t="s">
        <v>40</v>
      </c>
      <c r="V1623" t="s">
        <v>41</v>
      </c>
    </row>
    <row r="1624" spans="1:22" x14ac:dyDescent="0.3">
      <c r="A1624" s="49">
        <v>45274</v>
      </c>
      <c r="E1624" t="s">
        <v>3104</v>
      </c>
      <c r="G1624" t="s">
        <v>5232</v>
      </c>
      <c r="H1624" t="s">
        <v>28</v>
      </c>
      <c r="I1624" t="s">
        <v>5755</v>
      </c>
      <c r="J1624" t="s">
        <v>63</v>
      </c>
      <c r="K1624" t="s">
        <v>4950</v>
      </c>
      <c r="M1624">
        <v>100</v>
      </c>
      <c r="N1624" t="s">
        <v>33</v>
      </c>
      <c r="O1624" t="s">
        <v>3923</v>
      </c>
      <c r="P1624" t="s">
        <v>306</v>
      </c>
      <c r="T1624">
        <v>6</v>
      </c>
      <c r="U1624" t="s">
        <v>40</v>
      </c>
      <c r="V1624" t="s">
        <v>41</v>
      </c>
    </row>
    <row r="1625" spans="1:22" x14ac:dyDescent="0.3">
      <c r="A1625" s="49">
        <v>45274</v>
      </c>
      <c r="E1625" t="s">
        <v>3104</v>
      </c>
      <c r="G1625" t="s">
        <v>5115</v>
      </c>
      <c r="H1625" t="s">
        <v>28</v>
      </c>
      <c r="I1625" t="s">
        <v>5568</v>
      </c>
      <c r="J1625" t="s">
        <v>46</v>
      </c>
      <c r="K1625" t="s">
        <v>4927</v>
      </c>
      <c r="M1625">
        <v>100</v>
      </c>
      <c r="N1625" t="s">
        <v>33</v>
      </c>
      <c r="O1625" t="s">
        <v>3924</v>
      </c>
      <c r="P1625" t="s">
        <v>4874</v>
      </c>
      <c r="T1625">
        <v>6</v>
      </c>
      <c r="U1625" t="s">
        <v>40</v>
      </c>
      <c r="V1625" t="s">
        <v>41</v>
      </c>
    </row>
    <row r="1626" spans="1:22" x14ac:dyDescent="0.3">
      <c r="A1626" s="49">
        <v>45274</v>
      </c>
      <c r="E1626" t="s">
        <v>3104</v>
      </c>
      <c r="G1626" t="s">
        <v>5233</v>
      </c>
      <c r="H1626" t="s">
        <v>28</v>
      </c>
      <c r="I1626" t="s">
        <v>5756</v>
      </c>
      <c r="J1626" t="s">
        <v>46</v>
      </c>
      <c r="K1626" t="s">
        <v>422</v>
      </c>
      <c r="M1626">
        <v>60</v>
      </c>
      <c r="N1626" t="s">
        <v>33</v>
      </c>
      <c r="O1626" t="s">
        <v>3925</v>
      </c>
      <c r="P1626" t="s">
        <v>4830</v>
      </c>
      <c r="T1626">
        <v>6</v>
      </c>
      <c r="U1626" t="s">
        <v>40</v>
      </c>
      <c r="V1626" t="s">
        <v>41</v>
      </c>
    </row>
    <row r="1627" spans="1:22" x14ac:dyDescent="0.3">
      <c r="A1627" s="49">
        <v>45274</v>
      </c>
      <c r="E1627" t="s">
        <v>3104</v>
      </c>
      <c r="G1627" t="s">
        <v>5085</v>
      </c>
      <c r="H1627" t="s">
        <v>28</v>
      </c>
      <c r="I1627" t="s">
        <v>5569</v>
      </c>
      <c r="J1627" t="s">
        <v>30</v>
      </c>
      <c r="K1627" t="s">
        <v>31</v>
      </c>
      <c r="M1627">
        <v>70</v>
      </c>
      <c r="N1627" t="s">
        <v>49</v>
      </c>
      <c r="O1627" t="s">
        <v>3926</v>
      </c>
      <c r="P1627" t="s">
        <v>4832</v>
      </c>
      <c r="T1627">
        <v>6</v>
      </c>
      <c r="U1627" t="s">
        <v>40</v>
      </c>
      <c r="V1627" t="s">
        <v>41</v>
      </c>
    </row>
    <row r="1628" spans="1:22" x14ac:dyDescent="0.3">
      <c r="A1628" s="49">
        <v>45274</v>
      </c>
      <c r="E1628" t="s">
        <v>3105</v>
      </c>
      <c r="G1628" t="s">
        <v>5118</v>
      </c>
      <c r="H1628" t="s">
        <v>28</v>
      </c>
      <c r="I1628" t="s">
        <v>5757</v>
      </c>
      <c r="J1628" t="s">
        <v>63</v>
      </c>
      <c r="K1628" t="s">
        <v>64</v>
      </c>
      <c r="M1628">
        <v>100</v>
      </c>
      <c r="N1628" t="s">
        <v>33</v>
      </c>
      <c r="O1628" t="s">
        <v>3578</v>
      </c>
      <c r="P1628" t="s">
        <v>1586</v>
      </c>
      <c r="T1628">
        <v>4</v>
      </c>
      <c r="U1628" t="s">
        <v>56</v>
      </c>
      <c r="V1628" t="s">
        <v>56</v>
      </c>
    </row>
    <row r="1629" spans="1:22" x14ac:dyDescent="0.3">
      <c r="A1629" s="49">
        <v>45274</v>
      </c>
      <c r="E1629" t="s">
        <v>3105</v>
      </c>
      <c r="G1629" t="s">
        <v>5234</v>
      </c>
      <c r="H1629" t="s">
        <v>28</v>
      </c>
      <c r="I1629" t="s">
        <v>5758</v>
      </c>
      <c r="J1629" t="s">
        <v>46</v>
      </c>
      <c r="K1629" t="s">
        <v>880</v>
      </c>
      <c r="M1629">
        <v>0</v>
      </c>
      <c r="N1629" t="s">
        <v>74</v>
      </c>
      <c r="O1629" t="s">
        <v>3927</v>
      </c>
      <c r="P1629" t="s">
        <v>4877</v>
      </c>
      <c r="T1629">
        <v>4</v>
      </c>
      <c r="U1629" t="s">
        <v>56</v>
      </c>
      <c r="V1629" t="s">
        <v>56</v>
      </c>
    </row>
    <row r="1630" spans="1:22" x14ac:dyDescent="0.3">
      <c r="A1630" s="49">
        <v>45274</v>
      </c>
      <c r="E1630" t="s">
        <v>3105</v>
      </c>
      <c r="G1630" t="s">
        <v>5234</v>
      </c>
      <c r="H1630" t="s">
        <v>28</v>
      </c>
      <c r="I1630" t="s">
        <v>5758</v>
      </c>
      <c r="J1630" t="s">
        <v>46</v>
      </c>
      <c r="K1630" t="s">
        <v>880</v>
      </c>
      <c r="M1630">
        <v>80</v>
      </c>
      <c r="N1630" t="s">
        <v>33</v>
      </c>
      <c r="O1630" t="s">
        <v>3927</v>
      </c>
      <c r="P1630" t="s">
        <v>4877</v>
      </c>
      <c r="T1630">
        <v>4</v>
      </c>
      <c r="U1630" t="s">
        <v>56</v>
      </c>
      <c r="V1630" t="s">
        <v>56</v>
      </c>
    </row>
    <row r="1631" spans="1:22" x14ac:dyDescent="0.3">
      <c r="A1631" s="49">
        <v>45274</v>
      </c>
      <c r="E1631" t="s">
        <v>3105</v>
      </c>
      <c r="G1631" t="s">
        <v>5118</v>
      </c>
      <c r="H1631" t="s">
        <v>28</v>
      </c>
      <c r="I1631" t="s">
        <v>5757</v>
      </c>
      <c r="J1631" t="s">
        <v>63</v>
      </c>
      <c r="K1631" t="s">
        <v>64</v>
      </c>
      <c r="M1631">
        <v>100</v>
      </c>
      <c r="N1631" t="s">
        <v>49</v>
      </c>
      <c r="O1631" t="s">
        <v>3928</v>
      </c>
      <c r="P1631" t="s">
        <v>4827</v>
      </c>
      <c r="T1631">
        <v>4</v>
      </c>
      <c r="U1631" t="s">
        <v>56</v>
      </c>
      <c r="V1631" t="s">
        <v>56</v>
      </c>
    </row>
    <row r="1632" spans="1:22" x14ac:dyDescent="0.3">
      <c r="A1632" s="49">
        <v>45274</v>
      </c>
      <c r="E1632" t="s">
        <v>3105</v>
      </c>
      <c r="G1632" t="s">
        <v>4963</v>
      </c>
      <c r="H1632" t="s">
        <v>28</v>
      </c>
      <c r="I1632" t="s">
        <v>5759</v>
      </c>
      <c r="J1632" t="s">
        <v>63</v>
      </c>
      <c r="K1632" t="s">
        <v>197</v>
      </c>
      <c r="M1632">
        <v>100</v>
      </c>
      <c r="N1632" t="s">
        <v>49</v>
      </c>
      <c r="O1632" t="s">
        <v>3929</v>
      </c>
      <c r="P1632" t="s">
        <v>1697</v>
      </c>
      <c r="T1632">
        <v>4</v>
      </c>
      <c r="U1632" t="s">
        <v>56</v>
      </c>
      <c r="V1632" t="s">
        <v>56</v>
      </c>
    </row>
    <row r="1633" spans="1:22" x14ac:dyDescent="0.3">
      <c r="A1633" s="49">
        <v>45274</v>
      </c>
      <c r="E1633" t="s">
        <v>3105</v>
      </c>
      <c r="G1633" t="s">
        <v>5118</v>
      </c>
      <c r="H1633" t="s">
        <v>28</v>
      </c>
      <c r="I1633" t="s">
        <v>5760</v>
      </c>
      <c r="J1633" t="s">
        <v>63</v>
      </c>
      <c r="K1633" t="s">
        <v>64</v>
      </c>
      <c r="M1633">
        <v>100</v>
      </c>
      <c r="N1633" t="s">
        <v>49</v>
      </c>
      <c r="O1633" t="s">
        <v>3930</v>
      </c>
      <c r="P1633" t="s">
        <v>4864</v>
      </c>
      <c r="T1633">
        <v>4</v>
      </c>
      <c r="U1633" t="s">
        <v>56</v>
      </c>
      <c r="V1633" t="s">
        <v>56</v>
      </c>
    </row>
    <row r="1634" spans="1:22" x14ac:dyDescent="0.3">
      <c r="A1634" s="49">
        <v>45274</v>
      </c>
      <c r="E1634" t="s">
        <v>3105</v>
      </c>
      <c r="G1634" t="s">
        <v>5118</v>
      </c>
      <c r="H1634" t="s">
        <v>28</v>
      </c>
      <c r="I1634" t="s">
        <v>5760</v>
      </c>
      <c r="J1634" t="s">
        <v>63</v>
      </c>
      <c r="K1634" t="s">
        <v>64</v>
      </c>
      <c r="M1634">
        <v>100</v>
      </c>
      <c r="N1634" t="s">
        <v>49</v>
      </c>
      <c r="O1634" t="s">
        <v>3930</v>
      </c>
      <c r="P1634" t="s">
        <v>4864</v>
      </c>
      <c r="T1634">
        <v>4</v>
      </c>
      <c r="U1634" t="s">
        <v>56</v>
      </c>
      <c r="V1634" t="s">
        <v>56</v>
      </c>
    </row>
    <row r="1635" spans="1:22" x14ac:dyDescent="0.3">
      <c r="A1635" s="49">
        <v>45274</v>
      </c>
      <c r="E1635" t="s">
        <v>3105</v>
      </c>
      <c r="G1635" t="s">
        <v>5118</v>
      </c>
      <c r="H1635" t="s">
        <v>28</v>
      </c>
      <c r="I1635" t="s">
        <v>5757</v>
      </c>
      <c r="J1635" t="s">
        <v>63</v>
      </c>
      <c r="K1635" t="s">
        <v>64</v>
      </c>
      <c r="M1635">
        <v>80</v>
      </c>
      <c r="N1635" t="s">
        <v>33</v>
      </c>
      <c r="O1635" t="s">
        <v>3931</v>
      </c>
      <c r="P1635" t="s">
        <v>287</v>
      </c>
      <c r="T1635">
        <v>4</v>
      </c>
      <c r="U1635" t="s">
        <v>56</v>
      </c>
      <c r="V1635" t="s">
        <v>56</v>
      </c>
    </row>
    <row r="1636" spans="1:22" x14ac:dyDescent="0.3">
      <c r="A1636" s="49">
        <v>45274</v>
      </c>
      <c r="E1636" t="s">
        <v>3105</v>
      </c>
      <c r="G1636" t="s">
        <v>4963</v>
      </c>
      <c r="H1636" t="s">
        <v>28</v>
      </c>
      <c r="I1636" t="s">
        <v>5761</v>
      </c>
      <c r="J1636" t="s">
        <v>63</v>
      </c>
      <c r="K1636" t="s">
        <v>4947</v>
      </c>
      <c r="M1636">
        <v>96</v>
      </c>
      <c r="N1636" t="s">
        <v>49</v>
      </c>
      <c r="O1636" t="s">
        <v>3932</v>
      </c>
      <c r="P1636" t="s">
        <v>4894</v>
      </c>
      <c r="T1636">
        <v>4</v>
      </c>
      <c r="U1636" t="s">
        <v>56</v>
      </c>
      <c r="V1636" t="s">
        <v>56</v>
      </c>
    </row>
    <row r="1637" spans="1:22" x14ac:dyDescent="0.3">
      <c r="A1637" s="49">
        <v>45274</v>
      </c>
      <c r="E1637" t="s">
        <v>3105</v>
      </c>
      <c r="G1637" t="s">
        <v>4963</v>
      </c>
      <c r="H1637" t="s">
        <v>28</v>
      </c>
      <c r="I1637" t="s">
        <v>5761</v>
      </c>
      <c r="J1637" t="s">
        <v>63</v>
      </c>
      <c r="K1637" t="s">
        <v>4947</v>
      </c>
      <c r="M1637">
        <v>100</v>
      </c>
      <c r="N1637" t="s">
        <v>49</v>
      </c>
      <c r="O1637" t="s">
        <v>3932</v>
      </c>
      <c r="P1637" t="s">
        <v>4894</v>
      </c>
      <c r="T1637">
        <v>4</v>
      </c>
      <c r="U1637" t="s">
        <v>56</v>
      </c>
      <c r="V1637" t="s">
        <v>56</v>
      </c>
    </row>
    <row r="1638" spans="1:22" x14ac:dyDescent="0.3">
      <c r="A1638" s="49">
        <v>45274</v>
      </c>
      <c r="E1638" t="s">
        <v>3105</v>
      </c>
      <c r="G1638" t="s">
        <v>4963</v>
      </c>
      <c r="H1638" t="s">
        <v>28</v>
      </c>
      <c r="I1638" t="s">
        <v>462</v>
      </c>
      <c r="J1638" t="s">
        <v>63</v>
      </c>
      <c r="K1638" t="s">
        <v>197</v>
      </c>
      <c r="M1638">
        <v>86</v>
      </c>
      <c r="N1638" t="s">
        <v>33</v>
      </c>
      <c r="O1638" t="s">
        <v>3933</v>
      </c>
      <c r="P1638" t="s">
        <v>2052</v>
      </c>
      <c r="T1638">
        <v>6</v>
      </c>
      <c r="U1638" t="s">
        <v>40</v>
      </c>
      <c r="V1638" t="s">
        <v>41</v>
      </c>
    </row>
    <row r="1639" spans="1:22" x14ac:dyDescent="0.3">
      <c r="A1639" s="49">
        <v>45274</v>
      </c>
      <c r="E1639" t="s">
        <v>3105</v>
      </c>
      <c r="G1639" t="s">
        <v>4963</v>
      </c>
      <c r="H1639" t="s">
        <v>89</v>
      </c>
      <c r="J1639" t="s">
        <v>63</v>
      </c>
      <c r="K1639" t="s">
        <v>197</v>
      </c>
      <c r="M1639">
        <v>100</v>
      </c>
      <c r="N1639" t="s">
        <v>49</v>
      </c>
      <c r="O1639" t="s">
        <v>3934</v>
      </c>
      <c r="P1639" t="s">
        <v>416</v>
      </c>
      <c r="T1639">
        <v>6</v>
      </c>
      <c r="U1639" t="s">
        <v>40</v>
      </c>
      <c r="V1639" t="s">
        <v>41</v>
      </c>
    </row>
    <row r="1640" spans="1:22" x14ac:dyDescent="0.3">
      <c r="A1640" s="49">
        <v>45274</v>
      </c>
      <c r="E1640" t="s">
        <v>3105</v>
      </c>
      <c r="G1640" t="s">
        <v>5235</v>
      </c>
      <c r="H1640" t="s">
        <v>28</v>
      </c>
      <c r="I1640" t="s">
        <v>5762</v>
      </c>
      <c r="J1640" t="s">
        <v>63</v>
      </c>
      <c r="K1640" t="s">
        <v>1336</v>
      </c>
      <c r="M1640">
        <v>45</v>
      </c>
      <c r="N1640" t="s">
        <v>49</v>
      </c>
      <c r="O1640" t="s">
        <v>3935</v>
      </c>
      <c r="P1640" t="s">
        <v>373</v>
      </c>
      <c r="T1640">
        <v>4</v>
      </c>
      <c r="U1640" t="s">
        <v>56</v>
      </c>
      <c r="V1640" t="s">
        <v>56</v>
      </c>
    </row>
    <row r="1641" spans="1:22" x14ac:dyDescent="0.3">
      <c r="A1641" s="49">
        <v>45274</v>
      </c>
      <c r="E1641" t="s">
        <v>3105</v>
      </c>
      <c r="G1641" t="s">
        <v>4963</v>
      </c>
      <c r="H1641" t="s">
        <v>89</v>
      </c>
      <c r="J1641" t="s">
        <v>63</v>
      </c>
      <c r="K1641" t="s">
        <v>197</v>
      </c>
      <c r="M1641">
        <v>15</v>
      </c>
      <c r="N1641" t="s">
        <v>33</v>
      </c>
      <c r="O1641" t="s">
        <v>3936</v>
      </c>
      <c r="P1641" t="s">
        <v>170</v>
      </c>
      <c r="T1641">
        <v>6</v>
      </c>
      <c r="U1641" t="s">
        <v>40</v>
      </c>
      <c r="V1641" t="s">
        <v>41</v>
      </c>
    </row>
    <row r="1642" spans="1:22" x14ac:dyDescent="0.3">
      <c r="A1642" s="49">
        <v>45274</v>
      </c>
      <c r="E1642" t="s">
        <v>3105</v>
      </c>
      <c r="G1642" t="s">
        <v>4963</v>
      </c>
      <c r="H1642" t="s">
        <v>89</v>
      </c>
      <c r="J1642" t="s">
        <v>63</v>
      </c>
      <c r="K1642" t="s">
        <v>197</v>
      </c>
      <c r="M1642">
        <v>100</v>
      </c>
      <c r="N1642" t="s">
        <v>33</v>
      </c>
      <c r="O1642" t="s">
        <v>3937</v>
      </c>
      <c r="P1642" t="s">
        <v>1054</v>
      </c>
      <c r="T1642">
        <v>6</v>
      </c>
      <c r="U1642" t="s">
        <v>40</v>
      </c>
      <c r="V1642" t="s">
        <v>41</v>
      </c>
    </row>
    <row r="1643" spans="1:22" x14ac:dyDescent="0.3">
      <c r="A1643" s="49">
        <v>45274</v>
      </c>
      <c r="E1643" t="s">
        <v>3105</v>
      </c>
      <c r="G1643" t="s">
        <v>4963</v>
      </c>
      <c r="H1643" t="s">
        <v>28</v>
      </c>
      <c r="I1643" t="s">
        <v>5763</v>
      </c>
      <c r="J1643" t="s">
        <v>63</v>
      </c>
      <c r="K1643" t="s">
        <v>197</v>
      </c>
      <c r="M1643">
        <v>100</v>
      </c>
      <c r="N1643" t="s">
        <v>49</v>
      </c>
      <c r="O1643" t="s">
        <v>3938</v>
      </c>
      <c r="P1643" t="s">
        <v>1054</v>
      </c>
      <c r="T1643">
        <v>6</v>
      </c>
      <c r="U1643" t="s">
        <v>40</v>
      </c>
      <c r="V1643" t="s">
        <v>41</v>
      </c>
    </row>
    <row r="1644" spans="1:22" x14ac:dyDescent="0.3">
      <c r="A1644" s="49">
        <v>45274</v>
      </c>
      <c r="E1644" t="s">
        <v>3105</v>
      </c>
      <c r="G1644" t="s">
        <v>5234</v>
      </c>
      <c r="H1644" t="s">
        <v>89</v>
      </c>
      <c r="J1644" t="s">
        <v>63</v>
      </c>
      <c r="K1644" t="s">
        <v>64</v>
      </c>
      <c r="M1644">
        <v>85</v>
      </c>
      <c r="N1644" t="s">
        <v>49</v>
      </c>
      <c r="O1644" t="s">
        <v>3939</v>
      </c>
      <c r="P1644" t="s">
        <v>4895</v>
      </c>
      <c r="T1644">
        <v>4</v>
      </c>
      <c r="U1644" t="s">
        <v>56</v>
      </c>
      <c r="V1644" t="s">
        <v>56</v>
      </c>
    </row>
    <row r="1645" spans="1:22" x14ac:dyDescent="0.3">
      <c r="A1645" s="49">
        <v>45274</v>
      </c>
      <c r="E1645" t="s">
        <v>3105</v>
      </c>
      <c r="G1645" t="s">
        <v>5118</v>
      </c>
      <c r="H1645" t="s">
        <v>28</v>
      </c>
      <c r="I1645" t="s">
        <v>5760</v>
      </c>
      <c r="J1645" t="s">
        <v>63</v>
      </c>
      <c r="K1645" t="s">
        <v>64</v>
      </c>
      <c r="M1645">
        <v>100</v>
      </c>
      <c r="N1645" t="s">
        <v>33</v>
      </c>
      <c r="O1645" t="s">
        <v>3940</v>
      </c>
      <c r="P1645" t="s">
        <v>4864</v>
      </c>
      <c r="T1645">
        <v>4</v>
      </c>
      <c r="U1645" t="s">
        <v>56</v>
      </c>
      <c r="V1645" t="s">
        <v>56</v>
      </c>
    </row>
    <row r="1646" spans="1:22" x14ac:dyDescent="0.3">
      <c r="A1646" s="49">
        <v>45274</v>
      </c>
      <c r="E1646" t="s">
        <v>3105</v>
      </c>
      <c r="G1646" t="s">
        <v>5052</v>
      </c>
      <c r="H1646" t="s">
        <v>28</v>
      </c>
      <c r="I1646" t="s">
        <v>5764</v>
      </c>
      <c r="J1646" t="s">
        <v>63</v>
      </c>
      <c r="K1646" t="s">
        <v>64</v>
      </c>
      <c r="M1646">
        <v>71</v>
      </c>
      <c r="N1646" t="s">
        <v>49</v>
      </c>
      <c r="O1646" t="s">
        <v>3941</v>
      </c>
      <c r="P1646" t="s">
        <v>416</v>
      </c>
      <c r="T1646">
        <v>4</v>
      </c>
      <c r="U1646" t="s">
        <v>56</v>
      </c>
      <c r="V1646" t="s">
        <v>56</v>
      </c>
    </row>
    <row r="1647" spans="1:22" x14ac:dyDescent="0.3">
      <c r="A1647" s="49">
        <v>45274</v>
      </c>
      <c r="E1647" t="s">
        <v>3105</v>
      </c>
      <c r="G1647" t="s">
        <v>5052</v>
      </c>
      <c r="H1647" t="s">
        <v>28</v>
      </c>
      <c r="I1647" t="s">
        <v>5765</v>
      </c>
      <c r="J1647" t="s">
        <v>63</v>
      </c>
      <c r="K1647" t="s">
        <v>64</v>
      </c>
      <c r="M1647">
        <v>100</v>
      </c>
      <c r="N1647" t="s">
        <v>49</v>
      </c>
      <c r="O1647" t="s">
        <v>3942</v>
      </c>
      <c r="P1647" t="s">
        <v>416</v>
      </c>
      <c r="T1647">
        <v>4</v>
      </c>
      <c r="U1647" t="s">
        <v>56</v>
      </c>
      <c r="V1647" t="s">
        <v>56</v>
      </c>
    </row>
    <row r="1648" spans="1:22" x14ac:dyDescent="0.3">
      <c r="A1648" s="49">
        <v>45274</v>
      </c>
      <c r="E1648" t="s">
        <v>3105</v>
      </c>
      <c r="G1648" t="s">
        <v>5052</v>
      </c>
      <c r="H1648" t="s">
        <v>28</v>
      </c>
      <c r="I1648" t="s">
        <v>5766</v>
      </c>
      <c r="J1648" t="s">
        <v>63</v>
      </c>
      <c r="K1648" t="s">
        <v>64</v>
      </c>
      <c r="M1648">
        <v>100</v>
      </c>
      <c r="N1648" t="s">
        <v>49</v>
      </c>
      <c r="O1648" t="s">
        <v>3943</v>
      </c>
      <c r="P1648" t="s">
        <v>416</v>
      </c>
      <c r="T1648">
        <v>4</v>
      </c>
      <c r="U1648" t="s">
        <v>56</v>
      </c>
      <c r="V1648" t="s">
        <v>56</v>
      </c>
    </row>
    <row r="1649" spans="1:22" x14ac:dyDescent="0.3">
      <c r="A1649" s="49">
        <v>45274</v>
      </c>
      <c r="E1649" t="s">
        <v>2799</v>
      </c>
      <c r="G1649" t="s">
        <v>4964</v>
      </c>
      <c r="H1649" t="s">
        <v>28</v>
      </c>
      <c r="I1649" t="s">
        <v>5576</v>
      </c>
      <c r="J1649" t="s">
        <v>63</v>
      </c>
      <c r="K1649" t="s">
        <v>64</v>
      </c>
      <c r="M1649">
        <v>40</v>
      </c>
      <c r="N1649" t="s">
        <v>33</v>
      </c>
      <c r="O1649" t="s">
        <v>3474</v>
      </c>
      <c r="P1649" t="s">
        <v>1786</v>
      </c>
      <c r="T1649">
        <v>4</v>
      </c>
      <c r="U1649" t="s">
        <v>56</v>
      </c>
      <c r="V1649" t="s">
        <v>56</v>
      </c>
    </row>
    <row r="1650" spans="1:22" x14ac:dyDescent="0.3">
      <c r="A1650" s="49">
        <v>45274</v>
      </c>
      <c r="E1650" t="s">
        <v>2799</v>
      </c>
      <c r="G1650" t="s">
        <v>5236</v>
      </c>
      <c r="H1650" t="s">
        <v>28</v>
      </c>
      <c r="I1650" t="s">
        <v>5767</v>
      </c>
      <c r="J1650" t="s">
        <v>63</v>
      </c>
      <c r="K1650" t="s">
        <v>211</v>
      </c>
      <c r="M1650">
        <v>100</v>
      </c>
      <c r="N1650" t="s">
        <v>33</v>
      </c>
      <c r="O1650" t="s">
        <v>3944</v>
      </c>
      <c r="P1650" t="s">
        <v>104</v>
      </c>
      <c r="T1650">
        <v>4</v>
      </c>
      <c r="U1650" t="s">
        <v>56</v>
      </c>
      <c r="V1650" t="s">
        <v>56</v>
      </c>
    </row>
    <row r="1651" spans="1:22" x14ac:dyDescent="0.3">
      <c r="A1651" s="49">
        <v>45274</v>
      </c>
      <c r="E1651" t="s">
        <v>2799</v>
      </c>
      <c r="G1651" t="s">
        <v>5122</v>
      </c>
      <c r="H1651" t="s">
        <v>89</v>
      </c>
      <c r="J1651" t="s">
        <v>63</v>
      </c>
      <c r="K1651" t="s">
        <v>211</v>
      </c>
      <c r="M1651">
        <v>100</v>
      </c>
      <c r="N1651" t="s">
        <v>33</v>
      </c>
      <c r="O1651" t="s">
        <v>3945</v>
      </c>
      <c r="P1651" t="s">
        <v>66</v>
      </c>
      <c r="T1651">
        <v>4</v>
      </c>
      <c r="U1651" t="s">
        <v>56</v>
      </c>
      <c r="V1651" t="s">
        <v>56</v>
      </c>
    </row>
    <row r="1652" spans="1:22" x14ac:dyDescent="0.3">
      <c r="A1652" s="49">
        <v>45274</v>
      </c>
      <c r="E1652" t="s">
        <v>2799</v>
      </c>
      <c r="G1652" t="s">
        <v>5237</v>
      </c>
      <c r="H1652" t="s">
        <v>28</v>
      </c>
      <c r="I1652" t="s">
        <v>5768</v>
      </c>
      <c r="J1652" t="s">
        <v>46</v>
      </c>
      <c r="K1652" t="s">
        <v>422</v>
      </c>
      <c r="M1652">
        <v>80</v>
      </c>
      <c r="N1652" t="s">
        <v>33</v>
      </c>
      <c r="O1652" t="s">
        <v>3946</v>
      </c>
      <c r="P1652" t="s">
        <v>873</v>
      </c>
      <c r="T1652">
        <v>4</v>
      </c>
      <c r="U1652" t="s">
        <v>56</v>
      </c>
      <c r="V1652" t="s">
        <v>56</v>
      </c>
    </row>
    <row r="1653" spans="1:22" x14ac:dyDescent="0.3">
      <c r="A1653" s="49">
        <v>45274</v>
      </c>
      <c r="E1653" t="s">
        <v>2799</v>
      </c>
      <c r="G1653" t="s">
        <v>5122</v>
      </c>
      <c r="H1653" t="s">
        <v>28</v>
      </c>
      <c r="J1653" t="s">
        <v>63</v>
      </c>
      <c r="K1653" t="s">
        <v>211</v>
      </c>
      <c r="M1653">
        <v>100</v>
      </c>
      <c r="N1653" t="s">
        <v>33</v>
      </c>
      <c r="O1653" t="s">
        <v>3585</v>
      </c>
      <c r="P1653" t="s">
        <v>66</v>
      </c>
      <c r="T1653">
        <v>4</v>
      </c>
      <c r="U1653" t="s">
        <v>56</v>
      </c>
      <c r="V1653" t="s">
        <v>56</v>
      </c>
    </row>
    <row r="1654" spans="1:22" x14ac:dyDescent="0.3">
      <c r="A1654" s="49">
        <v>45274</v>
      </c>
      <c r="E1654" t="s">
        <v>2799</v>
      </c>
      <c r="G1654" t="s">
        <v>4964</v>
      </c>
      <c r="H1654" t="s">
        <v>89</v>
      </c>
      <c r="J1654" t="s">
        <v>63</v>
      </c>
      <c r="K1654" t="s">
        <v>64</v>
      </c>
      <c r="M1654">
        <v>71</v>
      </c>
      <c r="N1654" t="s">
        <v>33</v>
      </c>
      <c r="O1654" t="s">
        <v>3947</v>
      </c>
      <c r="P1654" t="s">
        <v>4828</v>
      </c>
      <c r="T1654">
        <v>4</v>
      </c>
      <c r="U1654" t="s">
        <v>56</v>
      </c>
      <c r="V1654" t="s">
        <v>56</v>
      </c>
    </row>
    <row r="1655" spans="1:22" x14ac:dyDescent="0.3">
      <c r="A1655" s="49">
        <v>45274</v>
      </c>
      <c r="E1655" t="s">
        <v>2799</v>
      </c>
      <c r="G1655" t="s">
        <v>5238</v>
      </c>
      <c r="H1655" t="s">
        <v>28</v>
      </c>
      <c r="I1655" t="s">
        <v>5769</v>
      </c>
      <c r="J1655" t="s">
        <v>63</v>
      </c>
      <c r="K1655" t="s">
        <v>64</v>
      </c>
      <c r="M1655">
        <v>33</v>
      </c>
      <c r="N1655" t="s">
        <v>49</v>
      </c>
      <c r="O1655" t="s">
        <v>3948</v>
      </c>
      <c r="P1655" t="s">
        <v>878</v>
      </c>
      <c r="T1655">
        <v>4</v>
      </c>
      <c r="U1655" t="s">
        <v>56</v>
      </c>
      <c r="V1655" t="s">
        <v>56</v>
      </c>
    </row>
    <row r="1656" spans="1:22" x14ac:dyDescent="0.3">
      <c r="A1656" s="49">
        <v>45274</v>
      </c>
      <c r="E1656" t="s">
        <v>2799</v>
      </c>
      <c r="G1656" t="s">
        <v>5121</v>
      </c>
      <c r="H1656" t="s">
        <v>28</v>
      </c>
      <c r="I1656" t="s">
        <v>5577</v>
      </c>
      <c r="J1656" t="s">
        <v>63</v>
      </c>
      <c r="K1656" t="s">
        <v>197</v>
      </c>
      <c r="M1656">
        <v>80</v>
      </c>
      <c r="N1656" t="s">
        <v>49</v>
      </c>
      <c r="O1656" t="s">
        <v>3949</v>
      </c>
      <c r="P1656" t="s">
        <v>287</v>
      </c>
      <c r="T1656">
        <v>4</v>
      </c>
      <c r="U1656" t="s">
        <v>56</v>
      </c>
      <c r="V1656" t="s">
        <v>56</v>
      </c>
    </row>
    <row r="1657" spans="1:22" x14ac:dyDescent="0.3">
      <c r="A1657" s="49">
        <v>45274</v>
      </c>
      <c r="E1657" t="s">
        <v>2799</v>
      </c>
      <c r="G1657" t="s">
        <v>4964</v>
      </c>
      <c r="H1657" t="s">
        <v>28</v>
      </c>
      <c r="I1657" t="s">
        <v>5770</v>
      </c>
      <c r="J1657" t="s">
        <v>63</v>
      </c>
      <c r="K1657" t="s">
        <v>64</v>
      </c>
      <c r="M1657">
        <v>100</v>
      </c>
      <c r="N1657" t="s">
        <v>49</v>
      </c>
      <c r="O1657" t="s">
        <v>3950</v>
      </c>
      <c r="P1657" t="s">
        <v>66</v>
      </c>
      <c r="T1657">
        <v>4</v>
      </c>
      <c r="U1657" t="s">
        <v>56</v>
      </c>
      <c r="V1657" t="s">
        <v>56</v>
      </c>
    </row>
    <row r="1658" spans="1:22" x14ac:dyDescent="0.3">
      <c r="A1658" s="49">
        <v>45274</v>
      </c>
      <c r="E1658" t="s">
        <v>2799</v>
      </c>
      <c r="G1658" t="s">
        <v>5239</v>
      </c>
      <c r="H1658" t="s">
        <v>28</v>
      </c>
      <c r="I1658" t="s">
        <v>5771</v>
      </c>
      <c r="J1658" t="s">
        <v>63</v>
      </c>
      <c r="K1658" t="s">
        <v>197</v>
      </c>
      <c r="M1658">
        <v>85</v>
      </c>
      <c r="N1658" t="s">
        <v>49</v>
      </c>
      <c r="O1658" t="s">
        <v>3951</v>
      </c>
      <c r="P1658" t="s">
        <v>373</v>
      </c>
      <c r="T1658">
        <v>4</v>
      </c>
      <c r="U1658" t="s">
        <v>56</v>
      </c>
      <c r="V1658" t="s">
        <v>56</v>
      </c>
    </row>
    <row r="1659" spans="1:22" x14ac:dyDescent="0.3">
      <c r="A1659" s="49">
        <v>45274</v>
      </c>
      <c r="E1659" t="s">
        <v>2799</v>
      </c>
      <c r="G1659" t="s">
        <v>5238</v>
      </c>
      <c r="H1659" t="s">
        <v>28</v>
      </c>
      <c r="I1659" t="s">
        <v>5769</v>
      </c>
      <c r="J1659" t="s">
        <v>63</v>
      </c>
      <c r="K1659" t="s">
        <v>64</v>
      </c>
      <c r="M1659">
        <v>100</v>
      </c>
      <c r="N1659" t="s">
        <v>49</v>
      </c>
      <c r="O1659" t="s">
        <v>3952</v>
      </c>
      <c r="P1659" t="s">
        <v>878</v>
      </c>
      <c r="T1659">
        <v>4</v>
      </c>
      <c r="U1659" t="s">
        <v>56</v>
      </c>
      <c r="V1659" t="s">
        <v>56</v>
      </c>
    </row>
    <row r="1660" spans="1:22" x14ac:dyDescent="0.3">
      <c r="A1660" s="49">
        <v>45274</v>
      </c>
      <c r="E1660" t="s">
        <v>2799</v>
      </c>
      <c r="G1660" t="s">
        <v>1254</v>
      </c>
      <c r="H1660" t="s">
        <v>89</v>
      </c>
      <c r="J1660" t="s">
        <v>63</v>
      </c>
      <c r="K1660" t="s">
        <v>1235</v>
      </c>
      <c r="M1660">
        <v>33</v>
      </c>
      <c r="N1660" t="s">
        <v>49</v>
      </c>
      <c r="O1660" t="s">
        <v>3953</v>
      </c>
      <c r="P1660" t="s">
        <v>1054</v>
      </c>
      <c r="T1660">
        <v>4</v>
      </c>
      <c r="U1660" t="s">
        <v>56</v>
      </c>
      <c r="V1660" t="s">
        <v>56</v>
      </c>
    </row>
    <row r="1661" spans="1:22" x14ac:dyDescent="0.3">
      <c r="A1661" s="49">
        <v>45274</v>
      </c>
      <c r="E1661" t="s">
        <v>2799</v>
      </c>
      <c r="G1661" t="s">
        <v>1254</v>
      </c>
      <c r="H1661" t="s">
        <v>89</v>
      </c>
      <c r="J1661" t="s">
        <v>63</v>
      </c>
      <c r="K1661" t="s">
        <v>1235</v>
      </c>
      <c r="M1661">
        <v>15</v>
      </c>
      <c r="N1661" t="s">
        <v>33</v>
      </c>
      <c r="O1661" t="s">
        <v>3954</v>
      </c>
      <c r="P1661" t="s">
        <v>4832</v>
      </c>
      <c r="T1661">
        <v>4</v>
      </c>
      <c r="U1661" t="s">
        <v>56</v>
      </c>
      <c r="V1661" t="s">
        <v>56</v>
      </c>
    </row>
    <row r="1662" spans="1:22" x14ac:dyDescent="0.3">
      <c r="A1662" s="49">
        <v>45274</v>
      </c>
      <c r="E1662" t="s">
        <v>2799</v>
      </c>
      <c r="G1662" t="s">
        <v>5240</v>
      </c>
      <c r="H1662" t="s">
        <v>28</v>
      </c>
      <c r="I1662" t="s">
        <v>5772</v>
      </c>
      <c r="J1662" t="s">
        <v>63</v>
      </c>
      <c r="K1662" t="s">
        <v>197</v>
      </c>
      <c r="M1662">
        <v>60</v>
      </c>
      <c r="N1662" t="s">
        <v>49</v>
      </c>
      <c r="O1662" t="s">
        <v>3955</v>
      </c>
      <c r="P1662" t="s">
        <v>170</v>
      </c>
      <c r="T1662">
        <v>4</v>
      </c>
      <c r="U1662" t="s">
        <v>56</v>
      </c>
      <c r="V1662" t="s">
        <v>56</v>
      </c>
    </row>
    <row r="1663" spans="1:22" x14ac:dyDescent="0.3">
      <c r="A1663" s="49">
        <v>45274</v>
      </c>
      <c r="E1663" t="s">
        <v>2799</v>
      </c>
      <c r="G1663" t="s">
        <v>1254</v>
      </c>
      <c r="H1663" t="s">
        <v>28</v>
      </c>
      <c r="I1663" t="s">
        <v>5773</v>
      </c>
      <c r="J1663" t="s">
        <v>63</v>
      </c>
      <c r="K1663" t="s">
        <v>64</v>
      </c>
      <c r="M1663">
        <v>50</v>
      </c>
      <c r="N1663" t="s">
        <v>33</v>
      </c>
      <c r="O1663" t="s">
        <v>3956</v>
      </c>
      <c r="P1663" t="s">
        <v>691</v>
      </c>
      <c r="T1663">
        <v>4</v>
      </c>
      <c r="U1663" t="s">
        <v>56</v>
      </c>
      <c r="V1663" t="s">
        <v>56</v>
      </c>
    </row>
    <row r="1664" spans="1:22" x14ac:dyDescent="0.3">
      <c r="A1664" s="49">
        <v>45274</v>
      </c>
      <c r="E1664" t="s">
        <v>2799</v>
      </c>
      <c r="G1664" t="s">
        <v>4964</v>
      </c>
      <c r="H1664" t="s">
        <v>28</v>
      </c>
      <c r="I1664" t="s">
        <v>5433</v>
      </c>
      <c r="J1664" t="s">
        <v>63</v>
      </c>
      <c r="K1664" t="s">
        <v>64</v>
      </c>
      <c r="M1664">
        <v>80</v>
      </c>
      <c r="N1664" t="s">
        <v>33</v>
      </c>
      <c r="O1664" t="s">
        <v>3957</v>
      </c>
      <c r="P1664" t="s">
        <v>4896</v>
      </c>
      <c r="T1664">
        <v>4</v>
      </c>
      <c r="U1664" t="s">
        <v>56</v>
      </c>
      <c r="V1664" t="s">
        <v>56</v>
      </c>
    </row>
    <row r="1665" spans="1:22" x14ac:dyDescent="0.3">
      <c r="A1665" s="49">
        <v>45274</v>
      </c>
      <c r="E1665" t="s">
        <v>2799</v>
      </c>
      <c r="G1665" t="s">
        <v>4964</v>
      </c>
      <c r="H1665" t="s">
        <v>89</v>
      </c>
      <c r="J1665" t="s">
        <v>63</v>
      </c>
      <c r="K1665" t="s">
        <v>64</v>
      </c>
      <c r="M1665">
        <v>57</v>
      </c>
      <c r="N1665" t="s">
        <v>49</v>
      </c>
      <c r="O1665" t="s">
        <v>3958</v>
      </c>
      <c r="P1665" t="s">
        <v>344</v>
      </c>
      <c r="T1665">
        <v>4</v>
      </c>
      <c r="U1665" t="s">
        <v>56</v>
      </c>
      <c r="V1665" t="s">
        <v>56</v>
      </c>
    </row>
    <row r="1666" spans="1:22" x14ac:dyDescent="0.3">
      <c r="A1666" s="49">
        <v>45274</v>
      </c>
      <c r="E1666" t="s">
        <v>3183</v>
      </c>
      <c r="G1666" t="s">
        <v>663</v>
      </c>
      <c r="H1666" t="s">
        <v>89</v>
      </c>
      <c r="J1666" t="s">
        <v>63</v>
      </c>
      <c r="K1666" t="s">
        <v>64</v>
      </c>
      <c r="M1666">
        <v>100</v>
      </c>
      <c r="N1666" t="s">
        <v>49</v>
      </c>
      <c r="O1666" t="s">
        <v>3959</v>
      </c>
      <c r="P1666" t="s">
        <v>373</v>
      </c>
      <c r="T1666">
        <v>6</v>
      </c>
      <c r="U1666" t="s">
        <v>40</v>
      </c>
      <c r="V1666" t="s">
        <v>41</v>
      </c>
    </row>
    <row r="1667" spans="1:22" x14ac:dyDescent="0.3">
      <c r="A1667" s="49">
        <v>45274</v>
      </c>
      <c r="E1667" t="s">
        <v>3183</v>
      </c>
      <c r="G1667" t="s">
        <v>663</v>
      </c>
      <c r="H1667" t="s">
        <v>28</v>
      </c>
      <c r="I1667" t="s">
        <v>5774</v>
      </c>
      <c r="J1667" t="s">
        <v>63</v>
      </c>
      <c r="K1667" t="s">
        <v>64</v>
      </c>
      <c r="M1667">
        <v>100</v>
      </c>
      <c r="N1667" t="s">
        <v>49</v>
      </c>
      <c r="O1667" t="s">
        <v>3960</v>
      </c>
      <c r="P1667" t="s">
        <v>4830</v>
      </c>
      <c r="T1667">
        <v>4</v>
      </c>
      <c r="U1667" t="s">
        <v>56</v>
      </c>
      <c r="V1667" t="s">
        <v>56</v>
      </c>
    </row>
    <row r="1668" spans="1:22" x14ac:dyDescent="0.3">
      <c r="A1668" s="49">
        <v>45274</v>
      </c>
      <c r="E1668" t="s">
        <v>3183</v>
      </c>
      <c r="G1668" t="s">
        <v>663</v>
      </c>
      <c r="H1668" t="s">
        <v>28</v>
      </c>
      <c r="I1668" t="s">
        <v>5774</v>
      </c>
      <c r="J1668" t="s">
        <v>63</v>
      </c>
      <c r="K1668" t="s">
        <v>64</v>
      </c>
      <c r="M1668">
        <v>100</v>
      </c>
      <c r="N1668" t="s">
        <v>49</v>
      </c>
      <c r="O1668" t="s">
        <v>3960</v>
      </c>
      <c r="P1668" t="s">
        <v>4830</v>
      </c>
      <c r="T1668">
        <v>4</v>
      </c>
      <c r="U1668" t="s">
        <v>56</v>
      </c>
      <c r="V1668" t="s">
        <v>56</v>
      </c>
    </row>
    <row r="1669" spans="1:22" x14ac:dyDescent="0.3">
      <c r="A1669" s="49">
        <v>45274</v>
      </c>
      <c r="E1669" t="s">
        <v>3183</v>
      </c>
      <c r="G1669" t="s">
        <v>663</v>
      </c>
      <c r="H1669" t="s">
        <v>28</v>
      </c>
      <c r="I1669" t="s">
        <v>5774</v>
      </c>
      <c r="J1669" t="s">
        <v>63</v>
      </c>
      <c r="K1669" t="s">
        <v>64</v>
      </c>
      <c r="M1669">
        <v>100</v>
      </c>
      <c r="N1669" t="s">
        <v>49</v>
      </c>
      <c r="O1669" t="s">
        <v>3960</v>
      </c>
      <c r="P1669" t="s">
        <v>4830</v>
      </c>
      <c r="T1669">
        <v>4</v>
      </c>
      <c r="U1669" t="s">
        <v>56</v>
      </c>
      <c r="V1669" t="s">
        <v>56</v>
      </c>
    </row>
    <row r="1670" spans="1:22" x14ac:dyDescent="0.3">
      <c r="A1670" s="49">
        <v>45274</v>
      </c>
      <c r="E1670" t="s">
        <v>3183</v>
      </c>
      <c r="G1670" t="s">
        <v>663</v>
      </c>
      <c r="H1670" t="s">
        <v>89</v>
      </c>
      <c r="J1670" t="s">
        <v>63</v>
      </c>
      <c r="K1670" t="s">
        <v>64</v>
      </c>
      <c r="M1670">
        <v>80</v>
      </c>
      <c r="N1670" t="s">
        <v>49</v>
      </c>
      <c r="O1670" t="s">
        <v>3961</v>
      </c>
      <c r="P1670" t="s">
        <v>791</v>
      </c>
      <c r="T1670">
        <v>6</v>
      </c>
      <c r="U1670" t="s">
        <v>40</v>
      </c>
      <c r="V1670" t="s">
        <v>41</v>
      </c>
    </row>
    <row r="1671" spans="1:22" x14ac:dyDescent="0.3">
      <c r="A1671" s="49">
        <v>45274</v>
      </c>
      <c r="E1671" t="s">
        <v>3183</v>
      </c>
      <c r="G1671" t="s">
        <v>663</v>
      </c>
      <c r="H1671" t="s">
        <v>89</v>
      </c>
      <c r="J1671" t="s">
        <v>1712</v>
      </c>
      <c r="K1671" t="s">
        <v>4944</v>
      </c>
      <c r="M1671">
        <v>100</v>
      </c>
      <c r="N1671" t="s">
        <v>49</v>
      </c>
      <c r="O1671" t="s">
        <v>3962</v>
      </c>
      <c r="P1671" t="s">
        <v>106</v>
      </c>
      <c r="T1671">
        <v>4</v>
      </c>
      <c r="U1671" t="s">
        <v>56</v>
      </c>
      <c r="V1671" t="s">
        <v>56</v>
      </c>
    </row>
    <row r="1672" spans="1:22" x14ac:dyDescent="0.3">
      <c r="A1672" s="49">
        <v>45274</v>
      </c>
      <c r="E1672" t="s">
        <v>3183</v>
      </c>
      <c r="G1672" t="s">
        <v>5124</v>
      </c>
      <c r="H1672" t="s">
        <v>28</v>
      </c>
      <c r="I1672" t="s">
        <v>5582</v>
      </c>
      <c r="J1672" t="s">
        <v>63</v>
      </c>
      <c r="K1672" t="s">
        <v>64</v>
      </c>
      <c r="M1672">
        <v>20</v>
      </c>
      <c r="N1672" t="s">
        <v>33</v>
      </c>
      <c r="O1672" t="s">
        <v>3963</v>
      </c>
      <c r="P1672" t="s">
        <v>373</v>
      </c>
      <c r="T1672">
        <v>4</v>
      </c>
      <c r="U1672" t="s">
        <v>56</v>
      </c>
      <c r="V1672" t="s">
        <v>56</v>
      </c>
    </row>
    <row r="1673" spans="1:22" x14ac:dyDescent="0.3">
      <c r="A1673" s="49">
        <v>45274</v>
      </c>
      <c r="E1673" t="s">
        <v>3183</v>
      </c>
      <c r="G1673" t="s">
        <v>5125</v>
      </c>
      <c r="H1673" t="s">
        <v>28</v>
      </c>
      <c r="I1673" t="s">
        <v>5583</v>
      </c>
      <c r="J1673" t="s">
        <v>46</v>
      </c>
      <c r="K1673" t="s">
        <v>481</v>
      </c>
      <c r="M1673">
        <v>45</v>
      </c>
      <c r="N1673" t="s">
        <v>49</v>
      </c>
      <c r="O1673" t="s">
        <v>3594</v>
      </c>
      <c r="P1673" t="s">
        <v>4870</v>
      </c>
      <c r="T1673">
        <v>6</v>
      </c>
      <c r="U1673" t="s">
        <v>40</v>
      </c>
      <c r="V1673" t="s">
        <v>41</v>
      </c>
    </row>
    <row r="1674" spans="1:22" x14ac:dyDescent="0.3">
      <c r="A1674" s="49">
        <v>45274</v>
      </c>
      <c r="E1674" t="s">
        <v>3183</v>
      </c>
      <c r="G1674" t="s">
        <v>5123</v>
      </c>
      <c r="H1674" t="s">
        <v>28</v>
      </c>
      <c r="I1674" t="s">
        <v>5581</v>
      </c>
      <c r="J1674" t="s">
        <v>63</v>
      </c>
      <c r="K1674" t="s">
        <v>64</v>
      </c>
      <c r="M1674">
        <v>66</v>
      </c>
      <c r="N1674" t="s">
        <v>33</v>
      </c>
      <c r="O1674" t="s">
        <v>3964</v>
      </c>
      <c r="P1674" t="s">
        <v>878</v>
      </c>
      <c r="T1674">
        <v>4</v>
      </c>
      <c r="U1674" t="s">
        <v>56</v>
      </c>
      <c r="V1674" t="s">
        <v>56</v>
      </c>
    </row>
    <row r="1675" spans="1:22" x14ac:dyDescent="0.3">
      <c r="A1675" s="49">
        <v>45274</v>
      </c>
      <c r="E1675" t="s">
        <v>3183</v>
      </c>
      <c r="G1675" t="s">
        <v>5123</v>
      </c>
      <c r="H1675" t="s">
        <v>28</v>
      </c>
      <c r="I1675" t="s">
        <v>5581</v>
      </c>
      <c r="J1675" t="s">
        <v>63</v>
      </c>
      <c r="K1675" t="s">
        <v>64</v>
      </c>
      <c r="M1675">
        <v>100</v>
      </c>
      <c r="N1675" t="s">
        <v>49</v>
      </c>
      <c r="O1675" t="s">
        <v>3964</v>
      </c>
      <c r="P1675" t="s">
        <v>878</v>
      </c>
      <c r="T1675">
        <v>4</v>
      </c>
      <c r="U1675" t="s">
        <v>56</v>
      </c>
      <c r="V1675" t="s">
        <v>56</v>
      </c>
    </row>
    <row r="1676" spans="1:22" x14ac:dyDescent="0.3">
      <c r="A1676" s="49">
        <v>45274</v>
      </c>
      <c r="E1676" t="s">
        <v>3183</v>
      </c>
      <c r="G1676" t="s">
        <v>5123</v>
      </c>
      <c r="H1676" t="s">
        <v>89</v>
      </c>
      <c r="J1676" t="s">
        <v>63</v>
      </c>
      <c r="K1676" t="s">
        <v>64</v>
      </c>
      <c r="M1676">
        <v>100</v>
      </c>
      <c r="N1676" t="s">
        <v>49</v>
      </c>
      <c r="O1676" t="s">
        <v>3965</v>
      </c>
      <c r="P1676" t="s">
        <v>4864</v>
      </c>
      <c r="T1676">
        <v>6</v>
      </c>
      <c r="U1676" t="s">
        <v>40</v>
      </c>
      <c r="V1676" t="s">
        <v>41</v>
      </c>
    </row>
    <row r="1677" spans="1:22" x14ac:dyDescent="0.3">
      <c r="A1677" s="49">
        <v>45274</v>
      </c>
      <c r="E1677" t="s">
        <v>3106</v>
      </c>
      <c r="G1677" t="s">
        <v>5241</v>
      </c>
      <c r="H1677" t="s">
        <v>28</v>
      </c>
      <c r="I1677" t="s">
        <v>5393</v>
      </c>
      <c r="J1677" t="s">
        <v>63</v>
      </c>
      <c r="K1677" t="s">
        <v>64</v>
      </c>
      <c r="M1677">
        <v>70</v>
      </c>
      <c r="N1677" t="s">
        <v>33</v>
      </c>
      <c r="O1677" t="s">
        <v>3966</v>
      </c>
      <c r="P1677" t="s">
        <v>1230</v>
      </c>
      <c r="T1677">
        <v>6</v>
      </c>
      <c r="U1677" t="s">
        <v>40</v>
      </c>
      <c r="V1677" t="s">
        <v>41</v>
      </c>
    </row>
    <row r="1678" spans="1:22" x14ac:dyDescent="0.3">
      <c r="A1678" s="49">
        <v>45274</v>
      </c>
      <c r="E1678" t="s">
        <v>3169</v>
      </c>
      <c r="G1678" t="s">
        <v>488</v>
      </c>
      <c r="H1678" t="s">
        <v>28</v>
      </c>
      <c r="I1678" t="s">
        <v>5391</v>
      </c>
      <c r="J1678" t="s">
        <v>46</v>
      </c>
      <c r="K1678" t="s">
        <v>481</v>
      </c>
      <c r="M1678">
        <v>100</v>
      </c>
      <c r="N1678" t="s">
        <v>33</v>
      </c>
      <c r="O1678" t="s">
        <v>3967</v>
      </c>
      <c r="P1678" t="s">
        <v>104</v>
      </c>
      <c r="T1678">
        <v>4</v>
      </c>
      <c r="U1678" t="s">
        <v>56</v>
      </c>
      <c r="V1678" t="s">
        <v>56</v>
      </c>
    </row>
    <row r="1679" spans="1:22" x14ac:dyDescent="0.3">
      <c r="A1679" s="49">
        <v>45274</v>
      </c>
      <c r="E1679" t="s">
        <v>3169</v>
      </c>
      <c r="G1679" t="s">
        <v>488</v>
      </c>
      <c r="H1679" t="s">
        <v>28</v>
      </c>
      <c r="I1679" t="s">
        <v>1944</v>
      </c>
      <c r="J1679" t="s">
        <v>63</v>
      </c>
      <c r="K1679" t="s">
        <v>64</v>
      </c>
      <c r="M1679">
        <v>50</v>
      </c>
      <c r="N1679" t="s">
        <v>33</v>
      </c>
      <c r="O1679" t="s">
        <v>3968</v>
      </c>
      <c r="P1679" t="s">
        <v>668</v>
      </c>
      <c r="T1679">
        <v>4</v>
      </c>
      <c r="U1679" t="s">
        <v>56</v>
      </c>
      <c r="V1679" t="s">
        <v>56</v>
      </c>
    </row>
    <row r="1680" spans="1:22" x14ac:dyDescent="0.3">
      <c r="A1680" s="49">
        <v>45274</v>
      </c>
      <c r="E1680" t="s">
        <v>3169</v>
      </c>
      <c r="G1680" t="s">
        <v>488</v>
      </c>
      <c r="H1680" t="s">
        <v>28</v>
      </c>
      <c r="I1680" t="s">
        <v>5391</v>
      </c>
      <c r="J1680" t="s">
        <v>46</v>
      </c>
      <c r="K1680" t="s">
        <v>481</v>
      </c>
      <c r="M1680">
        <v>100</v>
      </c>
      <c r="N1680" t="s">
        <v>49</v>
      </c>
      <c r="O1680" t="s">
        <v>3969</v>
      </c>
      <c r="P1680" t="s">
        <v>104</v>
      </c>
      <c r="T1680">
        <v>4</v>
      </c>
      <c r="U1680" t="s">
        <v>56</v>
      </c>
      <c r="V1680" t="s">
        <v>56</v>
      </c>
    </row>
    <row r="1681" spans="1:22" x14ac:dyDescent="0.3">
      <c r="A1681" s="49">
        <v>45274</v>
      </c>
      <c r="E1681" t="s">
        <v>3169</v>
      </c>
      <c r="G1681" t="s">
        <v>488</v>
      </c>
      <c r="H1681" t="s">
        <v>28</v>
      </c>
      <c r="I1681" t="s">
        <v>1944</v>
      </c>
      <c r="J1681" t="s">
        <v>63</v>
      </c>
      <c r="K1681" t="s">
        <v>64</v>
      </c>
      <c r="M1681">
        <v>100</v>
      </c>
      <c r="N1681" t="s">
        <v>49</v>
      </c>
      <c r="O1681" t="s">
        <v>3970</v>
      </c>
      <c r="P1681" t="s">
        <v>4827</v>
      </c>
      <c r="T1681">
        <v>4</v>
      </c>
      <c r="U1681" t="s">
        <v>56</v>
      </c>
      <c r="V1681" t="s">
        <v>56</v>
      </c>
    </row>
    <row r="1682" spans="1:22" x14ac:dyDescent="0.3">
      <c r="A1682" s="49">
        <v>45274</v>
      </c>
      <c r="E1682" t="s">
        <v>3169</v>
      </c>
      <c r="G1682" t="s">
        <v>5087</v>
      </c>
      <c r="H1682" t="s">
        <v>89</v>
      </c>
      <c r="J1682" t="s">
        <v>63</v>
      </c>
      <c r="K1682" t="s">
        <v>64</v>
      </c>
      <c r="M1682">
        <v>100</v>
      </c>
      <c r="N1682" t="s">
        <v>49</v>
      </c>
      <c r="O1682" t="s">
        <v>3971</v>
      </c>
      <c r="P1682" t="s">
        <v>344</v>
      </c>
      <c r="T1682">
        <v>4</v>
      </c>
      <c r="U1682" t="s">
        <v>56</v>
      </c>
      <c r="V1682" t="s">
        <v>56</v>
      </c>
    </row>
    <row r="1683" spans="1:22" x14ac:dyDescent="0.3">
      <c r="A1683" s="49">
        <v>45274</v>
      </c>
      <c r="E1683" t="s">
        <v>3169</v>
      </c>
      <c r="G1683" t="s">
        <v>5087</v>
      </c>
      <c r="H1683" t="s">
        <v>89</v>
      </c>
      <c r="J1683" t="s">
        <v>63</v>
      </c>
      <c r="K1683" t="s">
        <v>64</v>
      </c>
      <c r="M1683">
        <v>76</v>
      </c>
      <c r="N1683" t="s">
        <v>49</v>
      </c>
      <c r="O1683" t="s">
        <v>3972</v>
      </c>
      <c r="P1683" t="s">
        <v>35</v>
      </c>
      <c r="T1683">
        <v>4</v>
      </c>
      <c r="U1683" t="s">
        <v>56</v>
      </c>
      <c r="V1683" t="s">
        <v>56</v>
      </c>
    </row>
    <row r="1684" spans="1:22" x14ac:dyDescent="0.3">
      <c r="A1684" s="49">
        <v>45274</v>
      </c>
      <c r="E1684" t="s">
        <v>3169</v>
      </c>
      <c r="G1684" t="s">
        <v>488</v>
      </c>
      <c r="H1684" t="s">
        <v>89</v>
      </c>
      <c r="J1684" t="s">
        <v>63</v>
      </c>
      <c r="K1684" t="s">
        <v>64</v>
      </c>
      <c r="M1684">
        <v>75</v>
      </c>
      <c r="N1684" t="s">
        <v>33</v>
      </c>
      <c r="O1684" t="s">
        <v>3973</v>
      </c>
      <c r="P1684" t="s">
        <v>2627</v>
      </c>
      <c r="T1684">
        <v>4</v>
      </c>
      <c r="U1684" t="s">
        <v>56</v>
      </c>
      <c r="V1684" t="s">
        <v>56</v>
      </c>
    </row>
    <row r="1685" spans="1:22" x14ac:dyDescent="0.3">
      <c r="A1685" s="49">
        <v>45274</v>
      </c>
      <c r="E1685" t="s">
        <v>3169</v>
      </c>
      <c r="G1685" t="s">
        <v>5087</v>
      </c>
      <c r="H1685" t="s">
        <v>89</v>
      </c>
      <c r="J1685" t="s">
        <v>63</v>
      </c>
      <c r="K1685" t="s">
        <v>64</v>
      </c>
      <c r="M1685">
        <v>100</v>
      </c>
      <c r="N1685" t="s">
        <v>49</v>
      </c>
      <c r="O1685" t="s">
        <v>3974</v>
      </c>
      <c r="P1685" t="s">
        <v>306</v>
      </c>
      <c r="T1685">
        <v>4</v>
      </c>
      <c r="U1685" t="s">
        <v>56</v>
      </c>
      <c r="V1685" t="s">
        <v>56</v>
      </c>
    </row>
    <row r="1686" spans="1:22" x14ac:dyDescent="0.3">
      <c r="A1686" s="49">
        <v>45274</v>
      </c>
      <c r="E1686" t="s">
        <v>3169</v>
      </c>
      <c r="G1686" t="s">
        <v>5087</v>
      </c>
      <c r="H1686" t="s">
        <v>89</v>
      </c>
      <c r="J1686" t="s">
        <v>63</v>
      </c>
      <c r="K1686" t="s">
        <v>64</v>
      </c>
      <c r="M1686">
        <v>100</v>
      </c>
      <c r="N1686" t="s">
        <v>49</v>
      </c>
      <c r="O1686" t="s">
        <v>3974</v>
      </c>
      <c r="P1686" t="s">
        <v>306</v>
      </c>
      <c r="T1686">
        <v>4</v>
      </c>
      <c r="U1686" t="s">
        <v>56</v>
      </c>
      <c r="V1686" t="s">
        <v>56</v>
      </c>
    </row>
    <row r="1687" spans="1:22" x14ac:dyDescent="0.3">
      <c r="A1687" s="49">
        <v>45274</v>
      </c>
      <c r="E1687" t="s">
        <v>3169</v>
      </c>
      <c r="G1687" t="s">
        <v>495</v>
      </c>
      <c r="H1687" t="s">
        <v>28</v>
      </c>
      <c r="I1687" t="s">
        <v>5588</v>
      </c>
      <c r="J1687" t="s">
        <v>63</v>
      </c>
      <c r="K1687" t="s">
        <v>64</v>
      </c>
      <c r="M1687">
        <v>50</v>
      </c>
      <c r="N1687" t="s">
        <v>49</v>
      </c>
      <c r="O1687" t="s">
        <v>3975</v>
      </c>
      <c r="P1687" t="s">
        <v>66</v>
      </c>
      <c r="T1687">
        <v>4</v>
      </c>
      <c r="U1687" t="s">
        <v>56</v>
      </c>
      <c r="V1687" t="s">
        <v>56</v>
      </c>
    </row>
    <row r="1688" spans="1:22" x14ac:dyDescent="0.3">
      <c r="A1688" s="49">
        <v>45274</v>
      </c>
      <c r="E1688" t="s">
        <v>3169</v>
      </c>
      <c r="G1688" t="s">
        <v>495</v>
      </c>
      <c r="H1688" t="s">
        <v>28</v>
      </c>
      <c r="I1688" t="s">
        <v>5588</v>
      </c>
      <c r="J1688" t="s">
        <v>63</v>
      </c>
      <c r="K1688" t="s">
        <v>64</v>
      </c>
      <c r="M1688">
        <v>90</v>
      </c>
      <c r="N1688" t="s">
        <v>49</v>
      </c>
      <c r="O1688" t="s">
        <v>3976</v>
      </c>
      <c r="P1688" t="s">
        <v>1141</v>
      </c>
      <c r="T1688">
        <v>4</v>
      </c>
      <c r="U1688" t="s">
        <v>56</v>
      </c>
      <c r="V1688" t="s">
        <v>56</v>
      </c>
    </row>
    <row r="1689" spans="1:22" x14ac:dyDescent="0.3">
      <c r="A1689" s="49">
        <v>45274</v>
      </c>
      <c r="E1689" t="s">
        <v>3169</v>
      </c>
      <c r="G1689" t="s">
        <v>488</v>
      </c>
      <c r="H1689" t="s">
        <v>89</v>
      </c>
      <c r="J1689" t="s">
        <v>63</v>
      </c>
      <c r="K1689" t="s">
        <v>64</v>
      </c>
      <c r="M1689">
        <v>95</v>
      </c>
      <c r="N1689" t="s">
        <v>49</v>
      </c>
      <c r="O1689" t="s">
        <v>3977</v>
      </c>
      <c r="P1689" t="s">
        <v>170</v>
      </c>
      <c r="T1689">
        <v>4</v>
      </c>
      <c r="U1689" t="s">
        <v>56</v>
      </c>
      <c r="V1689" t="s">
        <v>56</v>
      </c>
    </row>
    <row r="1690" spans="1:22" x14ac:dyDescent="0.3">
      <c r="A1690" s="49">
        <v>45274</v>
      </c>
      <c r="E1690" t="s">
        <v>3169</v>
      </c>
      <c r="G1690" t="s">
        <v>488</v>
      </c>
      <c r="H1690" t="s">
        <v>89</v>
      </c>
      <c r="J1690" t="s">
        <v>63</v>
      </c>
      <c r="K1690" t="s">
        <v>64</v>
      </c>
      <c r="M1690">
        <v>100</v>
      </c>
      <c r="N1690" t="s">
        <v>33</v>
      </c>
      <c r="O1690" t="s">
        <v>3973</v>
      </c>
      <c r="P1690" t="s">
        <v>2627</v>
      </c>
      <c r="T1690">
        <v>4</v>
      </c>
      <c r="U1690" t="s">
        <v>56</v>
      </c>
      <c r="V1690" t="s">
        <v>56</v>
      </c>
    </row>
    <row r="1691" spans="1:22" x14ac:dyDescent="0.3">
      <c r="A1691" s="49">
        <v>45274</v>
      </c>
      <c r="E1691" t="s">
        <v>3169</v>
      </c>
      <c r="G1691" t="s">
        <v>488</v>
      </c>
      <c r="H1691" t="s">
        <v>28</v>
      </c>
      <c r="I1691" t="s">
        <v>5484</v>
      </c>
      <c r="J1691" t="s">
        <v>63</v>
      </c>
      <c r="K1691" t="s">
        <v>64</v>
      </c>
      <c r="M1691">
        <v>40</v>
      </c>
      <c r="N1691" t="s">
        <v>49</v>
      </c>
      <c r="O1691" t="s">
        <v>3978</v>
      </c>
      <c r="P1691" t="s">
        <v>878</v>
      </c>
      <c r="T1691">
        <v>4</v>
      </c>
      <c r="U1691" t="s">
        <v>56</v>
      </c>
      <c r="V1691" t="s">
        <v>56</v>
      </c>
    </row>
    <row r="1692" spans="1:22" x14ac:dyDescent="0.3">
      <c r="A1692" s="49">
        <v>45274</v>
      </c>
      <c r="E1692" t="s">
        <v>3136</v>
      </c>
      <c r="G1692" t="s">
        <v>5010</v>
      </c>
      <c r="H1692" t="s">
        <v>89</v>
      </c>
      <c r="J1692" t="s">
        <v>63</v>
      </c>
      <c r="K1692" t="s">
        <v>64</v>
      </c>
      <c r="M1692">
        <v>70</v>
      </c>
      <c r="N1692" t="s">
        <v>49</v>
      </c>
      <c r="O1692" t="s">
        <v>3979</v>
      </c>
      <c r="P1692" t="s">
        <v>4865</v>
      </c>
      <c r="T1692">
        <v>4</v>
      </c>
      <c r="U1692" t="s">
        <v>56</v>
      </c>
      <c r="V1692" t="s">
        <v>56</v>
      </c>
    </row>
    <row r="1693" spans="1:22" x14ac:dyDescent="0.3">
      <c r="A1693" s="49">
        <v>45274</v>
      </c>
      <c r="E1693" t="s">
        <v>3136</v>
      </c>
      <c r="G1693" t="s">
        <v>5010</v>
      </c>
      <c r="H1693" t="s">
        <v>28</v>
      </c>
      <c r="I1693" t="s">
        <v>1947</v>
      </c>
      <c r="J1693" t="s">
        <v>63</v>
      </c>
      <c r="K1693" t="s">
        <v>64</v>
      </c>
      <c r="M1693">
        <v>60</v>
      </c>
      <c r="N1693" t="s">
        <v>33</v>
      </c>
      <c r="O1693" t="s">
        <v>3980</v>
      </c>
      <c r="P1693" t="s">
        <v>2052</v>
      </c>
      <c r="T1693">
        <v>4</v>
      </c>
      <c r="U1693" t="s">
        <v>56</v>
      </c>
      <c r="V1693" t="s">
        <v>56</v>
      </c>
    </row>
    <row r="1694" spans="1:22" x14ac:dyDescent="0.3">
      <c r="A1694" s="49">
        <v>45274</v>
      </c>
      <c r="E1694" t="s">
        <v>3136</v>
      </c>
      <c r="G1694" t="s">
        <v>5010</v>
      </c>
      <c r="H1694" t="s">
        <v>28</v>
      </c>
      <c r="I1694" t="s">
        <v>1947</v>
      </c>
      <c r="J1694" t="s">
        <v>63</v>
      </c>
      <c r="K1694" t="s">
        <v>64</v>
      </c>
      <c r="M1694">
        <v>100</v>
      </c>
      <c r="N1694" t="s">
        <v>33</v>
      </c>
      <c r="O1694" t="s">
        <v>3981</v>
      </c>
      <c r="P1694" t="s">
        <v>483</v>
      </c>
      <c r="T1694">
        <v>4</v>
      </c>
      <c r="U1694" t="s">
        <v>56</v>
      </c>
      <c r="V1694" t="s">
        <v>56</v>
      </c>
    </row>
    <row r="1695" spans="1:22" x14ac:dyDescent="0.3">
      <c r="A1695" s="49">
        <v>45274</v>
      </c>
      <c r="E1695" t="s">
        <v>3136</v>
      </c>
      <c r="G1695" t="s">
        <v>5010</v>
      </c>
      <c r="H1695" t="s">
        <v>28</v>
      </c>
      <c r="I1695" t="s">
        <v>5590</v>
      </c>
      <c r="J1695" t="s">
        <v>63</v>
      </c>
      <c r="K1695" t="s">
        <v>1235</v>
      </c>
      <c r="M1695">
        <v>94</v>
      </c>
      <c r="N1695" t="s">
        <v>49</v>
      </c>
      <c r="O1695" t="s">
        <v>3982</v>
      </c>
      <c r="P1695" t="s">
        <v>416</v>
      </c>
      <c r="T1695">
        <v>4</v>
      </c>
      <c r="U1695" t="s">
        <v>56</v>
      </c>
      <c r="V1695" t="s">
        <v>56</v>
      </c>
    </row>
    <row r="1696" spans="1:22" x14ac:dyDescent="0.3">
      <c r="A1696" s="49">
        <v>45274</v>
      </c>
      <c r="E1696" t="s">
        <v>3136</v>
      </c>
      <c r="G1696" t="s">
        <v>5010</v>
      </c>
      <c r="H1696" t="s">
        <v>89</v>
      </c>
      <c r="J1696" t="s">
        <v>63</v>
      </c>
      <c r="K1696" t="s">
        <v>64</v>
      </c>
      <c r="M1696">
        <v>100</v>
      </c>
      <c r="N1696" t="s">
        <v>33</v>
      </c>
      <c r="O1696" t="s">
        <v>3983</v>
      </c>
      <c r="P1696" t="s">
        <v>4888</v>
      </c>
      <c r="T1696">
        <v>4</v>
      </c>
      <c r="U1696" t="s">
        <v>56</v>
      </c>
      <c r="V1696" t="s">
        <v>56</v>
      </c>
    </row>
    <row r="1697" spans="1:22" x14ac:dyDescent="0.3">
      <c r="A1697" s="49">
        <v>45274</v>
      </c>
      <c r="E1697" t="s">
        <v>3107</v>
      </c>
      <c r="G1697" t="s">
        <v>4971</v>
      </c>
      <c r="H1697" t="s">
        <v>28</v>
      </c>
      <c r="I1697" t="s">
        <v>5399</v>
      </c>
      <c r="J1697" t="s">
        <v>63</v>
      </c>
      <c r="K1697" t="s">
        <v>64</v>
      </c>
      <c r="M1697">
        <v>90</v>
      </c>
      <c r="N1697" t="s">
        <v>33</v>
      </c>
      <c r="O1697" t="s">
        <v>3984</v>
      </c>
      <c r="P1697" t="s">
        <v>108</v>
      </c>
      <c r="T1697">
        <v>6</v>
      </c>
      <c r="U1697" t="s">
        <v>40</v>
      </c>
      <c r="V1697" t="s">
        <v>41</v>
      </c>
    </row>
    <row r="1698" spans="1:22" x14ac:dyDescent="0.3">
      <c r="A1698" s="49">
        <v>45274</v>
      </c>
      <c r="E1698" t="s">
        <v>3107</v>
      </c>
      <c r="G1698" t="s">
        <v>5242</v>
      </c>
      <c r="H1698" t="s">
        <v>28</v>
      </c>
      <c r="I1698" t="s">
        <v>5395</v>
      </c>
      <c r="J1698" t="s">
        <v>46</v>
      </c>
      <c r="K1698" t="s">
        <v>481</v>
      </c>
      <c r="M1698">
        <v>50</v>
      </c>
      <c r="N1698" t="s">
        <v>49</v>
      </c>
      <c r="O1698" t="s">
        <v>3985</v>
      </c>
      <c r="P1698" t="s">
        <v>4897</v>
      </c>
      <c r="T1698">
        <v>6</v>
      </c>
      <c r="U1698" t="s">
        <v>40</v>
      </c>
      <c r="V1698" t="s">
        <v>41</v>
      </c>
    </row>
    <row r="1699" spans="1:22" x14ac:dyDescent="0.3">
      <c r="A1699" s="49">
        <v>45274</v>
      </c>
      <c r="E1699" t="s">
        <v>3107</v>
      </c>
      <c r="G1699" t="s">
        <v>5242</v>
      </c>
      <c r="H1699" t="s">
        <v>28</v>
      </c>
      <c r="I1699" t="s">
        <v>5395</v>
      </c>
      <c r="J1699" t="s">
        <v>46</v>
      </c>
      <c r="K1699" t="s">
        <v>481</v>
      </c>
      <c r="M1699">
        <v>100</v>
      </c>
      <c r="N1699" t="s">
        <v>49</v>
      </c>
      <c r="O1699" t="s">
        <v>3985</v>
      </c>
      <c r="P1699" t="s">
        <v>4897</v>
      </c>
      <c r="T1699">
        <v>6</v>
      </c>
      <c r="U1699" t="s">
        <v>40</v>
      </c>
      <c r="V1699" t="s">
        <v>41</v>
      </c>
    </row>
    <row r="1700" spans="1:22" x14ac:dyDescent="0.3">
      <c r="A1700" s="49">
        <v>45274</v>
      </c>
      <c r="E1700" t="s">
        <v>3107</v>
      </c>
      <c r="G1700" t="s">
        <v>5242</v>
      </c>
      <c r="H1700" t="s">
        <v>28</v>
      </c>
      <c r="I1700" t="s">
        <v>5395</v>
      </c>
      <c r="J1700" t="s">
        <v>46</v>
      </c>
      <c r="K1700" t="s">
        <v>481</v>
      </c>
      <c r="M1700">
        <v>100</v>
      </c>
      <c r="N1700" t="s">
        <v>49</v>
      </c>
      <c r="O1700" t="s">
        <v>3985</v>
      </c>
      <c r="P1700" t="s">
        <v>4897</v>
      </c>
      <c r="T1700">
        <v>6</v>
      </c>
      <c r="U1700" t="s">
        <v>40</v>
      </c>
      <c r="V1700" t="s">
        <v>41</v>
      </c>
    </row>
    <row r="1701" spans="1:22" x14ac:dyDescent="0.3">
      <c r="A1701" s="49">
        <v>45274</v>
      </c>
      <c r="E1701" t="s">
        <v>3107</v>
      </c>
      <c r="G1701" t="s">
        <v>5242</v>
      </c>
      <c r="H1701" t="s">
        <v>28</v>
      </c>
      <c r="I1701" t="s">
        <v>5395</v>
      </c>
      <c r="J1701" t="s">
        <v>46</v>
      </c>
      <c r="K1701" t="s">
        <v>481</v>
      </c>
      <c r="M1701">
        <v>100</v>
      </c>
      <c r="N1701" t="s">
        <v>49</v>
      </c>
      <c r="O1701" t="s">
        <v>3985</v>
      </c>
      <c r="P1701" t="s">
        <v>4897</v>
      </c>
      <c r="T1701">
        <v>6</v>
      </c>
      <c r="U1701" t="s">
        <v>40</v>
      </c>
      <c r="V1701" t="s">
        <v>41</v>
      </c>
    </row>
    <row r="1702" spans="1:22" x14ac:dyDescent="0.3">
      <c r="A1702" s="49">
        <v>45274</v>
      </c>
      <c r="E1702" t="s">
        <v>3107</v>
      </c>
      <c r="G1702" t="s">
        <v>5242</v>
      </c>
      <c r="H1702" t="s">
        <v>28</v>
      </c>
      <c r="I1702" t="s">
        <v>5395</v>
      </c>
      <c r="J1702" t="s">
        <v>46</v>
      </c>
      <c r="K1702" t="s">
        <v>481</v>
      </c>
      <c r="M1702">
        <v>100</v>
      </c>
      <c r="N1702" t="s">
        <v>49</v>
      </c>
      <c r="O1702" t="s">
        <v>3985</v>
      </c>
      <c r="P1702" t="s">
        <v>4897</v>
      </c>
      <c r="T1702">
        <v>6</v>
      </c>
      <c r="U1702" t="s">
        <v>40</v>
      </c>
      <c r="V1702" t="s">
        <v>41</v>
      </c>
    </row>
    <row r="1703" spans="1:22" x14ac:dyDescent="0.3">
      <c r="A1703" s="49">
        <v>45274</v>
      </c>
      <c r="E1703" t="s">
        <v>3107</v>
      </c>
      <c r="G1703" t="s">
        <v>5242</v>
      </c>
      <c r="H1703" t="s">
        <v>28</v>
      </c>
      <c r="I1703" t="s">
        <v>5395</v>
      </c>
      <c r="J1703" t="s">
        <v>46</v>
      </c>
      <c r="K1703" t="s">
        <v>481</v>
      </c>
      <c r="M1703">
        <v>50</v>
      </c>
      <c r="N1703" t="s">
        <v>49</v>
      </c>
      <c r="O1703" t="s">
        <v>3985</v>
      </c>
      <c r="P1703" t="s">
        <v>4897</v>
      </c>
      <c r="T1703">
        <v>6</v>
      </c>
      <c r="U1703" t="s">
        <v>40</v>
      </c>
      <c r="V1703" t="s">
        <v>41</v>
      </c>
    </row>
    <row r="1704" spans="1:22" x14ac:dyDescent="0.3">
      <c r="A1704" s="49">
        <v>45274</v>
      </c>
      <c r="E1704" t="s">
        <v>3107</v>
      </c>
      <c r="G1704" t="s">
        <v>4971</v>
      </c>
      <c r="H1704" t="s">
        <v>89</v>
      </c>
      <c r="J1704" t="s">
        <v>63</v>
      </c>
      <c r="K1704" t="s">
        <v>64</v>
      </c>
      <c r="M1704">
        <v>100</v>
      </c>
      <c r="N1704" t="s">
        <v>49</v>
      </c>
      <c r="O1704" t="s">
        <v>3606</v>
      </c>
      <c r="P1704" t="s">
        <v>66</v>
      </c>
      <c r="T1704">
        <v>6</v>
      </c>
      <c r="U1704" t="s">
        <v>40</v>
      </c>
      <c r="V1704" t="s">
        <v>41</v>
      </c>
    </row>
    <row r="1705" spans="1:22" x14ac:dyDescent="0.3">
      <c r="A1705" s="49">
        <v>45274</v>
      </c>
      <c r="E1705" t="s">
        <v>3107</v>
      </c>
      <c r="G1705" t="s">
        <v>4971</v>
      </c>
      <c r="H1705" t="s">
        <v>89</v>
      </c>
      <c r="J1705" t="s">
        <v>63</v>
      </c>
      <c r="K1705" t="s">
        <v>64</v>
      </c>
      <c r="M1705">
        <v>100</v>
      </c>
      <c r="N1705" t="s">
        <v>49</v>
      </c>
      <c r="O1705" t="s">
        <v>3606</v>
      </c>
      <c r="P1705" t="s">
        <v>66</v>
      </c>
      <c r="T1705">
        <v>6</v>
      </c>
      <c r="U1705" t="s">
        <v>40</v>
      </c>
      <c r="V1705" t="s">
        <v>41</v>
      </c>
    </row>
    <row r="1706" spans="1:22" x14ac:dyDescent="0.3">
      <c r="A1706" s="49">
        <v>45274</v>
      </c>
      <c r="E1706" t="s">
        <v>3108</v>
      </c>
      <c r="G1706" t="s">
        <v>984</v>
      </c>
      <c r="H1706" t="s">
        <v>3245</v>
      </c>
      <c r="I1706" t="s">
        <v>5775</v>
      </c>
      <c r="J1706" t="s">
        <v>46</v>
      </c>
      <c r="K1706" t="s">
        <v>422</v>
      </c>
      <c r="M1706">
        <v>60</v>
      </c>
      <c r="N1706" t="s">
        <v>49</v>
      </c>
      <c r="O1706" t="s">
        <v>3986</v>
      </c>
      <c r="P1706" t="s">
        <v>306</v>
      </c>
      <c r="T1706">
        <v>6</v>
      </c>
      <c r="U1706" t="s">
        <v>40</v>
      </c>
      <c r="V1706" t="s">
        <v>41</v>
      </c>
    </row>
    <row r="1707" spans="1:22" x14ac:dyDescent="0.3">
      <c r="A1707" s="49">
        <v>45274</v>
      </c>
      <c r="E1707" t="s">
        <v>3108</v>
      </c>
      <c r="G1707" t="s">
        <v>4969</v>
      </c>
      <c r="H1707" t="s">
        <v>28</v>
      </c>
      <c r="I1707" t="s">
        <v>5776</v>
      </c>
      <c r="J1707" t="s">
        <v>63</v>
      </c>
      <c r="K1707" t="s">
        <v>64</v>
      </c>
      <c r="M1707">
        <v>25</v>
      </c>
      <c r="N1707" t="s">
        <v>33</v>
      </c>
      <c r="O1707" t="s">
        <v>3987</v>
      </c>
      <c r="P1707" t="s">
        <v>1786</v>
      </c>
      <c r="T1707">
        <v>6</v>
      </c>
      <c r="U1707" t="s">
        <v>40</v>
      </c>
      <c r="V1707" t="s">
        <v>41</v>
      </c>
    </row>
    <row r="1708" spans="1:22" x14ac:dyDescent="0.3">
      <c r="A1708" s="49">
        <v>45274</v>
      </c>
      <c r="E1708" t="s">
        <v>3108</v>
      </c>
      <c r="G1708" t="s">
        <v>4969</v>
      </c>
      <c r="H1708" t="s">
        <v>28</v>
      </c>
      <c r="I1708" t="s">
        <v>5776</v>
      </c>
      <c r="J1708" t="s">
        <v>63</v>
      </c>
      <c r="K1708" t="s">
        <v>64</v>
      </c>
      <c r="M1708">
        <v>95</v>
      </c>
      <c r="N1708" t="s">
        <v>33</v>
      </c>
      <c r="O1708" t="s">
        <v>3988</v>
      </c>
      <c r="P1708" t="s">
        <v>287</v>
      </c>
      <c r="T1708">
        <v>6</v>
      </c>
      <c r="U1708" t="s">
        <v>40</v>
      </c>
      <c r="V1708" t="s">
        <v>41</v>
      </c>
    </row>
    <row r="1709" spans="1:22" x14ac:dyDescent="0.3">
      <c r="A1709" s="49">
        <v>45274</v>
      </c>
      <c r="E1709" t="s">
        <v>3108</v>
      </c>
      <c r="G1709" t="s">
        <v>984</v>
      </c>
      <c r="H1709" t="s">
        <v>28</v>
      </c>
      <c r="I1709" t="s">
        <v>5777</v>
      </c>
      <c r="J1709" t="s">
        <v>46</v>
      </c>
      <c r="K1709" t="s">
        <v>422</v>
      </c>
      <c r="M1709">
        <v>23</v>
      </c>
      <c r="N1709" t="s">
        <v>33</v>
      </c>
      <c r="O1709" t="s">
        <v>3989</v>
      </c>
      <c r="P1709" t="s">
        <v>35</v>
      </c>
      <c r="T1709">
        <v>6</v>
      </c>
      <c r="U1709" t="s">
        <v>40</v>
      </c>
      <c r="V1709" t="s">
        <v>41</v>
      </c>
    </row>
    <row r="1710" spans="1:22" x14ac:dyDescent="0.3">
      <c r="A1710" s="49">
        <v>45274</v>
      </c>
      <c r="E1710" t="s">
        <v>3108</v>
      </c>
      <c r="G1710" t="s">
        <v>4969</v>
      </c>
      <c r="H1710" t="s">
        <v>28</v>
      </c>
      <c r="I1710" t="s">
        <v>5778</v>
      </c>
      <c r="J1710" t="s">
        <v>63</v>
      </c>
      <c r="K1710" t="s">
        <v>64</v>
      </c>
      <c r="M1710">
        <v>100</v>
      </c>
      <c r="N1710" t="s">
        <v>49</v>
      </c>
      <c r="O1710" t="s">
        <v>2529</v>
      </c>
      <c r="P1710" t="s">
        <v>1054</v>
      </c>
      <c r="T1710">
        <v>6</v>
      </c>
      <c r="U1710" t="s">
        <v>40</v>
      </c>
      <c r="V1710" t="s">
        <v>41</v>
      </c>
    </row>
    <row r="1711" spans="1:22" x14ac:dyDescent="0.3">
      <c r="A1711" s="49">
        <v>45274</v>
      </c>
      <c r="E1711" t="s">
        <v>3108</v>
      </c>
      <c r="G1711" t="s">
        <v>4969</v>
      </c>
      <c r="H1711" t="s">
        <v>28</v>
      </c>
      <c r="I1711" t="s">
        <v>5778</v>
      </c>
      <c r="J1711" t="s">
        <v>63</v>
      </c>
      <c r="K1711" t="s">
        <v>64</v>
      </c>
      <c r="M1711">
        <v>100</v>
      </c>
      <c r="N1711" t="s">
        <v>49</v>
      </c>
      <c r="O1711" t="s">
        <v>2529</v>
      </c>
      <c r="P1711" t="s">
        <v>1054</v>
      </c>
      <c r="T1711">
        <v>6</v>
      </c>
      <c r="U1711" t="s">
        <v>40</v>
      </c>
      <c r="V1711" t="s">
        <v>41</v>
      </c>
    </row>
    <row r="1712" spans="1:22" x14ac:dyDescent="0.3">
      <c r="A1712" s="49">
        <v>45274</v>
      </c>
      <c r="E1712" t="s">
        <v>3108</v>
      </c>
      <c r="G1712" t="s">
        <v>5243</v>
      </c>
      <c r="H1712" t="s">
        <v>28</v>
      </c>
      <c r="I1712" t="s">
        <v>5777</v>
      </c>
      <c r="J1712" t="s">
        <v>63</v>
      </c>
      <c r="K1712" t="s">
        <v>197</v>
      </c>
      <c r="M1712">
        <v>60</v>
      </c>
      <c r="N1712" t="s">
        <v>49</v>
      </c>
      <c r="O1712" t="s">
        <v>3990</v>
      </c>
      <c r="P1712" t="s">
        <v>1701</v>
      </c>
      <c r="T1712">
        <v>4</v>
      </c>
      <c r="U1712" t="s">
        <v>56</v>
      </c>
      <c r="V1712" t="s">
        <v>56</v>
      </c>
    </row>
    <row r="1713" spans="1:22" x14ac:dyDescent="0.3">
      <c r="A1713" s="49">
        <v>45274</v>
      </c>
      <c r="E1713" t="s">
        <v>3108</v>
      </c>
      <c r="G1713" t="s">
        <v>4969</v>
      </c>
      <c r="H1713" t="s">
        <v>28</v>
      </c>
      <c r="I1713" t="s">
        <v>5778</v>
      </c>
      <c r="J1713" t="s">
        <v>63</v>
      </c>
      <c r="K1713" t="s">
        <v>64</v>
      </c>
      <c r="M1713">
        <v>100</v>
      </c>
      <c r="N1713" t="s">
        <v>49</v>
      </c>
      <c r="O1713" t="s">
        <v>2529</v>
      </c>
      <c r="P1713" t="s">
        <v>1054</v>
      </c>
      <c r="T1713">
        <v>6</v>
      </c>
      <c r="U1713" t="s">
        <v>40</v>
      </c>
      <c r="V1713" t="s">
        <v>41</v>
      </c>
    </row>
    <row r="1714" spans="1:22" x14ac:dyDescent="0.3">
      <c r="A1714" s="49">
        <v>45274</v>
      </c>
      <c r="E1714" t="s">
        <v>3108</v>
      </c>
      <c r="G1714" t="s">
        <v>4969</v>
      </c>
      <c r="H1714" t="s">
        <v>28</v>
      </c>
      <c r="I1714" t="s">
        <v>5778</v>
      </c>
      <c r="J1714" t="s">
        <v>46</v>
      </c>
      <c r="K1714" t="s">
        <v>422</v>
      </c>
      <c r="M1714">
        <v>100</v>
      </c>
      <c r="N1714" t="s">
        <v>49</v>
      </c>
      <c r="O1714" t="s">
        <v>3991</v>
      </c>
      <c r="P1714" t="s">
        <v>1054</v>
      </c>
      <c r="T1714">
        <v>6</v>
      </c>
      <c r="U1714" t="s">
        <v>40</v>
      </c>
      <c r="V1714" t="s">
        <v>41</v>
      </c>
    </row>
    <row r="1715" spans="1:22" x14ac:dyDescent="0.3">
      <c r="A1715" s="49">
        <v>45274</v>
      </c>
      <c r="E1715" t="s">
        <v>3108</v>
      </c>
      <c r="G1715" t="s">
        <v>4969</v>
      </c>
      <c r="H1715" t="s">
        <v>28</v>
      </c>
      <c r="I1715" t="s">
        <v>5778</v>
      </c>
      <c r="J1715" t="s">
        <v>46</v>
      </c>
      <c r="K1715" t="s">
        <v>422</v>
      </c>
      <c r="M1715">
        <v>100</v>
      </c>
      <c r="N1715" t="s">
        <v>49</v>
      </c>
      <c r="O1715" t="s">
        <v>3991</v>
      </c>
      <c r="P1715" t="s">
        <v>1054</v>
      </c>
      <c r="T1715">
        <v>6</v>
      </c>
      <c r="U1715" t="s">
        <v>40</v>
      </c>
      <c r="V1715" t="s">
        <v>41</v>
      </c>
    </row>
    <row r="1716" spans="1:22" x14ac:dyDescent="0.3">
      <c r="A1716" s="49">
        <v>45274</v>
      </c>
      <c r="E1716" t="s">
        <v>3108</v>
      </c>
      <c r="G1716" t="s">
        <v>4969</v>
      </c>
      <c r="H1716" t="s">
        <v>28</v>
      </c>
      <c r="I1716" t="s">
        <v>5778</v>
      </c>
      <c r="J1716" t="s">
        <v>46</v>
      </c>
      <c r="K1716" t="s">
        <v>422</v>
      </c>
      <c r="M1716">
        <v>100</v>
      </c>
      <c r="N1716" t="s">
        <v>49</v>
      </c>
      <c r="O1716" t="s">
        <v>3991</v>
      </c>
      <c r="P1716" t="s">
        <v>1054</v>
      </c>
      <c r="T1716">
        <v>6</v>
      </c>
      <c r="U1716" t="s">
        <v>40</v>
      </c>
      <c r="V1716" t="s">
        <v>41</v>
      </c>
    </row>
    <row r="1717" spans="1:22" x14ac:dyDescent="0.3">
      <c r="A1717" s="49">
        <v>45274</v>
      </c>
      <c r="E1717" t="s">
        <v>3108</v>
      </c>
      <c r="G1717" t="s">
        <v>4969</v>
      </c>
      <c r="H1717" t="s">
        <v>28</v>
      </c>
      <c r="I1717" t="s">
        <v>5778</v>
      </c>
      <c r="J1717" t="s">
        <v>46</v>
      </c>
      <c r="K1717" t="s">
        <v>422</v>
      </c>
      <c r="M1717">
        <v>100</v>
      </c>
      <c r="N1717" t="s">
        <v>49</v>
      </c>
      <c r="O1717" t="s">
        <v>3991</v>
      </c>
      <c r="P1717" t="s">
        <v>1054</v>
      </c>
      <c r="T1717">
        <v>6</v>
      </c>
      <c r="U1717" t="s">
        <v>40</v>
      </c>
      <c r="V1717" t="s">
        <v>41</v>
      </c>
    </row>
    <row r="1718" spans="1:22" x14ac:dyDescent="0.3">
      <c r="A1718" s="49">
        <v>45274</v>
      </c>
      <c r="E1718" t="s">
        <v>3108</v>
      </c>
      <c r="G1718" t="s">
        <v>4969</v>
      </c>
      <c r="H1718" t="s">
        <v>28</v>
      </c>
      <c r="I1718" t="s">
        <v>5778</v>
      </c>
      <c r="J1718" t="s">
        <v>46</v>
      </c>
      <c r="K1718" t="s">
        <v>422</v>
      </c>
      <c r="M1718">
        <v>100</v>
      </c>
      <c r="N1718" t="s">
        <v>49</v>
      </c>
      <c r="O1718" t="s">
        <v>3991</v>
      </c>
      <c r="P1718" t="s">
        <v>1054</v>
      </c>
      <c r="T1718">
        <v>6</v>
      </c>
      <c r="U1718" t="s">
        <v>40</v>
      </c>
      <c r="V1718" t="s">
        <v>41</v>
      </c>
    </row>
    <row r="1719" spans="1:22" x14ac:dyDescent="0.3">
      <c r="A1719" s="49">
        <v>45274</v>
      </c>
      <c r="E1719" t="s">
        <v>3108</v>
      </c>
      <c r="G1719" t="s">
        <v>4969</v>
      </c>
      <c r="H1719" t="s">
        <v>28</v>
      </c>
      <c r="I1719" t="s">
        <v>5778</v>
      </c>
      <c r="J1719" t="s">
        <v>46</v>
      </c>
      <c r="K1719" t="s">
        <v>422</v>
      </c>
      <c r="M1719">
        <v>100</v>
      </c>
      <c r="N1719" t="s">
        <v>49</v>
      </c>
      <c r="O1719" t="s">
        <v>3991</v>
      </c>
      <c r="P1719" t="s">
        <v>1054</v>
      </c>
      <c r="T1719">
        <v>6</v>
      </c>
      <c r="U1719" t="s">
        <v>40</v>
      </c>
      <c r="V1719" t="s">
        <v>41</v>
      </c>
    </row>
    <row r="1720" spans="1:22" x14ac:dyDescent="0.3">
      <c r="A1720" s="49">
        <v>45274</v>
      </c>
      <c r="E1720" t="s">
        <v>3108</v>
      </c>
      <c r="G1720" t="s">
        <v>4969</v>
      </c>
      <c r="H1720" t="s">
        <v>28</v>
      </c>
      <c r="I1720" t="s">
        <v>5778</v>
      </c>
      <c r="J1720" t="s">
        <v>46</v>
      </c>
      <c r="K1720" t="s">
        <v>422</v>
      </c>
      <c r="M1720">
        <v>100</v>
      </c>
      <c r="N1720" t="s">
        <v>49</v>
      </c>
      <c r="O1720" t="s">
        <v>3991</v>
      </c>
      <c r="P1720" t="s">
        <v>1054</v>
      </c>
      <c r="T1720">
        <v>6</v>
      </c>
      <c r="U1720" t="s">
        <v>40</v>
      </c>
      <c r="V1720" t="s">
        <v>41</v>
      </c>
    </row>
    <row r="1721" spans="1:22" x14ac:dyDescent="0.3">
      <c r="A1721" s="49">
        <v>45274</v>
      </c>
      <c r="E1721" t="s">
        <v>3108</v>
      </c>
      <c r="G1721" t="s">
        <v>4969</v>
      </c>
      <c r="H1721" t="s">
        <v>28</v>
      </c>
      <c r="I1721" t="s">
        <v>5778</v>
      </c>
      <c r="J1721" t="s">
        <v>46</v>
      </c>
      <c r="K1721" t="s">
        <v>422</v>
      </c>
      <c r="M1721">
        <v>100</v>
      </c>
      <c r="N1721" t="s">
        <v>49</v>
      </c>
      <c r="O1721" t="s">
        <v>3991</v>
      </c>
      <c r="P1721" t="s">
        <v>1054</v>
      </c>
      <c r="T1721">
        <v>6</v>
      </c>
      <c r="U1721" t="s">
        <v>40</v>
      </c>
      <c r="V1721" t="s">
        <v>41</v>
      </c>
    </row>
    <row r="1722" spans="1:22" x14ac:dyDescent="0.3">
      <c r="A1722" s="49">
        <v>45274</v>
      </c>
      <c r="E1722" t="s">
        <v>3108</v>
      </c>
      <c r="G1722" t="s">
        <v>4969</v>
      </c>
      <c r="H1722" t="s">
        <v>28</v>
      </c>
      <c r="I1722" t="s">
        <v>5778</v>
      </c>
      <c r="J1722" t="s">
        <v>46</v>
      </c>
      <c r="K1722" t="s">
        <v>422</v>
      </c>
      <c r="M1722">
        <v>100</v>
      </c>
      <c r="N1722" t="s">
        <v>49</v>
      </c>
      <c r="O1722" t="s">
        <v>3991</v>
      </c>
      <c r="P1722" t="s">
        <v>1054</v>
      </c>
      <c r="T1722">
        <v>6</v>
      </c>
      <c r="U1722" t="s">
        <v>40</v>
      </c>
      <c r="V1722" t="s">
        <v>41</v>
      </c>
    </row>
    <row r="1723" spans="1:22" x14ac:dyDescent="0.3">
      <c r="A1723" s="49">
        <v>45274</v>
      </c>
      <c r="E1723" t="s">
        <v>3108</v>
      </c>
      <c r="G1723" t="s">
        <v>4969</v>
      </c>
      <c r="H1723" t="s">
        <v>28</v>
      </c>
      <c r="I1723" t="s">
        <v>5778</v>
      </c>
      <c r="J1723" t="s">
        <v>46</v>
      </c>
      <c r="K1723" t="s">
        <v>422</v>
      </c>
      <c r="M1723">
        <v>100</v>
      </c>
      <c r="N1723" t="s">
        <v>49</v>
      </c>
      <c r="O1723" t="s">
        <v>3992</v>
      </c>
      <c r="P1723" t="s">
        <v>1122</v>
      </c>
      <c r="T1723">
        <v>6</v>
      </c>
      <c r="U1723" t="s">
        <v>40</v>
      </c>
      <c r="V1723" t="s">
        <v>41</v>
      </c>
    </row>
    <row r="1724" spans="1:22" x14ac:dyDescent="0.3">
      <c r="A1724" s="49">
        <v>45274</v>
      </c>
      <c r="E1724" t="s">
        <v>3108</v>
      </c>
      <c r="G1724" t="s">
        <v>4969</v>
      </c>
      <c r="H1724" t="s">
        <v>28</v>
      </c>
      <c r="I1724" t="s">
        <v>5397</v>
      </c>
      <c r="J1724" t="s">
        <v>63</v>
      </c>
      <c r="K1724" t="s">
        <v>64</v>
      </c>
      <c r="M1724">
        <v>50</v>
      </c>
      <c r="N1724" t="s">
        <v>49</v>
      </c>
      <c r="O1724" t="s">
        <v>3993</v>
      </c>
      <c r="P1724" t="s">
        <v>4832</v>
      </c>
      <c r="T1724">
        <v>6</v>
      </c>
      <c r="U1724" t="s">
        <v>40</v>
      </c>
      <c r="V1724" t="s">
        <v>41</v>
      </c>
    </row>
    <row r="1725" spans="1:22" x14ac:dyDescent="0.3">
      <c r="A1725" s="49">
        <v>45274</v>
      </c>
      <c r="E1725" t="s">
        <v>3108</v>
      </c>
      <c r="G1725" t="s">
        <v>4969</v>
      </c>
      <c r="H1725" t="s">
        <v>28</v>
      </c>
      <c r="I1725" t="s">
        <v>5397</v>
      </c>
      <c r="J1725" t="s">
        <v>63</v>
      </c>
      <c r="K1725" t="s">
        <v>64</v>
      </c>
      <c r="M1725">
        <v>50</v>
      </c>
      <c r="N1725" t="s">
        <v>33</v>
      </c>
      <c r="O1725" t="s">
        <v>3987</v>
      </c>
      <c r="P1725" t="s">
        <v>1786</v>
      </c>
      <c r="T1725">
        <v>6</v>
      </c>
      <c r="U1725" t="s">
        <v>40</v>
      </c>
      <c r="V1725" t="s">
        <v>41</v>
      </c>
    </row>
    <row r="1726" spans="1:22" x14ac:dyDescent="0.3">
      <c r="A1726" s="49">
        <v>45274</v>
      </c>
      <c r="E1726" t="s">
        <v>3108</v>
      </c>
      <c r="G1726" t="s">
        <v>984</v>
      </c>
      <c r="H1726" t="s">
        <v>28</v>
      </c>
      <c r="I1726" t="s">
        <v>985</v>
      </c>
      <c r="J1726" t="s">
        <v>63</v>
      </c>
      <c r="K1726" t="s">
        <v>197</v>
      </c>
      <c r="M1726">
        <v>50</v>
      </c>
      <c r="N1726" t="s">
        <v>49</v>
      </c>
      <c r="O1726" t="s">
        <v>3994</v>
      </c>
      <c r="P1726" t="s">
        <v>108</v>
      </c>
      <c r="T1726">
        <v>6</v>
      </c>
      <c r="U1726" t="s">
        <v>40</v>
      </c>
      <c r="V1726" t="s">
        <v>41</v>
      </c>
    </row>
    <row r="1727" spans="1:22" x14ac:dyDescent="0.3">
      <c r="A1727" s="49">
        <v>45274</v>
      </c>
      <c r="E1727" t="s">
        <v>3198</v>
      </c>
      <c r="G1727" t="s">
        <v>5128</v>
      </c>
      <c r="H1727" t="s">
        <v>28</v>
      </c>
      <c r="I1727" t="s">
        <v>5592</v>
      </c>
      <c r="J1727" t="s">
        <v>63</v>
      </c>
      <c r="K1727" t="s">
        <v>4936</v>
      </c>
      <c r="M1727">
        <v>100</v>
      </c>
      <c r="N1727" t="s">
        <v>49</v>
      </c>
      <c r="O1727" t="s">
        <v>3608</v>
      </c>
      <c r="P1727" t="s">
        <v>170</v>
      </c>
      <c r="T1727">
        <v>6</v>
      </c>
      <c r="U1727" t="s">
        <v>40</v>
      </c>
      <c r="V1727" t="s">
        <v>41</v>
      </c>
    </row>
    <row r="1728" spans="1:22" x14ac:dyDescent="0.3">
      <c r="A1728" s="49">
        <v>45274</v>
      </c>
      <c r="E1728" t="s">
        <v>3198</v>
      </c>
      <c r="G1728" t="s">
        <v>5128</v>
      </c>
      <c r="H1728" t="s">
        <v>28</v>
      </c>
      <c r="I1728" t="s">
        <v>5592</v>
      </c>
      <c r="J1728" t="s">
        <v>63</v>
      </c>
      <c r="K1728" t="s">
        <v>4936</v>
      </c>
      <c r="M1728">
        <v>100</v>
      </c>
      <c r="N1728" t="s">
        <v>49</v>
      </c>
      <c r="O1728" t="s">
        <v>3608</v>
      </c>
      <c r="P1728" t="s">
        <v>170</v>
      </c>
      <c r="T1728">
        <v>6</v>
      </c>
      <c r="U1728" t="s">
        <v>40</v>
      </c>
      <c r="V1728" t="s">
        <v>41</v>
      </c>
    </row>
    <row r="1729" spans="1:22" x14ac:dyDescent="0.3">
      <c r="A1729" s="49">
        <v>45274</v>
      </c>
      <c r="E1729" t="s">
        <v>3198</v>
      </c>
      <c r="G1729" t="s">
        <v>5128</v>
      </c>
      <c r="H1729" t="s">
        <v>28</v>
      </c>
      <c r="I1729" t="s">
        <v>5592</v>
      </c>
      <c r="J1729" t="s">
        <v>63</v>
      </c>
      <c r="K1729" t="s">
        <v>4936</v>
      </c>
      <c r="M1729">
        <v>100</v>
      </c>
      <c r="N1729" t="s">
        <v>49</v>
      </c>
      <c r="O1729" t="s">
        <v>3608</v>
      </c>
      <c r="P1729" t="s">
        <v>170</v>
      </c>
      <c r="T1729">
        <v>6</v>
      </c>
      <c r="U1729" t="s">
        <v>40</v>
      </c>
      <c r="V1729" t="s">
        <v>41</v>
      </c>
    </row>
    <row r="1730" spans="1:22" x14ac:dyDescent="0.3">
      <c r="A1730" s="49">
        <v>45274</v>
      </c>
      <c r="E1730" t="s">
        <v>3198</v>
      </c>
      <c r="G1730" t="s">
        <v>5128</v>
      </c>
      <c r="H1730" t="s">
        <v>28</v>
      </c>
      <c r="I1730" t="s">
        <v>5779</v>
      </c>
      <c r="J1730" t="s">
        <v>46</v>
      </c>
      <c r="K1730" t="s">
        <v>422</v>
      </c>
      <c r="M1730">
        <v>20</v>
      </c>
      <c r="N1730" t="s">
        <v>33</v>
      </c>
      <c r="O1730" t="s">
        <v>3995</v>
      </c>
      <c r="P1730" t="s">
        <v>1230</v>
      </c>
      <c r="T1730">
        <v>6</v>
      </c>
      <c r="U1730" t="s">
        <v>40</v>
      </c>
      <c r="V1730" t="s">
        <v>41</v>
      </c>
    </row>
    <row r="1731" spans="1:22" x14ac:dyDescent="0.3">
      <c r="A1731" s="49">
        <v>45274</v>
      </c>
      <c r="E1731" t="s">
        <v>3170</v>
      </c>
      <c r="G1731" t="s">
        <v>5055</v>
      </c>
      <c r="H1731" t="s">
        <v>89</v>
      </c>
      <c r="J1731" t="s">
        <v>63</v>
      </c>
      <c r="K1731" t="s">
        <v>4929</v>
      </c>
      <c r="M1731">
        <v>100</v>
      </c>
      <c r="N1731" t="s">
        <v>33</v>
      </c>
      <c r="O1731" t="s">
        <v>3996</v>
      </c>
      <c r="P1731" t="s">
        <v>306</v>
      </c>
      <c r="T1731">
        <v>6</v>
      </c>
      <c r="U1731" t="s">
        <v>40</v>
      </c>
      <c r="V1731" t="s">
        <v>41</v>
      </c>
    </row>
    <row r="1732" spans="1:22" x14ac:dyDescent="0.3">
      <c r="A1732" s="49">
        <v>45274</v>
      </c>
      <c r="E1732" t="s">
        <v>3170</v>
      </c>
      <c r="G1732" t="s">
        <v>5055</v>
      </c>
      <c r="H1732" t="s">
        <v>89</v>
      </c>
      <c r="J1732" t="s">
        <v>63</v>
      </c>
      <c r="K1732" t="s">
        <v>4929</v>
      </c>
      <c r="M1732">
        <v>100</v>
      </c>
      <c r="N1732" t="s">
        <v>33</v>
      </c>
      <c r="O1732" t="s">
        <v>3997</v>
      </c>
      <c r="P1732" t="s">
        <v>1727</v>
      </c>
      <c r="T1732">
        <v>6</v>
      </c>
      <c r="U1732" t="s">
        <v>40</v>
      </c>
      <c r="V1732" t="s">
        <v>41</v>
      </c>
    </row>
    <row r="1733" spans="1:22" x14ac:dyDescent="0.3">
      <c r="A1733" s="49">
        <v>45274</v>
      </c>
      <c r="E1733" t="s">
        <v>3137</v>
      </c>
      <c r="G1733" t="s">
        <v>5012</v>
      </c>
      <c r="H1733" t="s">
        <v>28</v>
      </c>
      <c r="I1733" t="s">
        <v>5780</v>
      </c>
      <c r="J1733" t="s">
        <v>63</v>
      </c>
      <c r="K1733" t="s">
        <v>64</v>
      </c>
      <c r="M1733">
        <v>95</v>
      </c>
      <c r="N1733" t="s">
        <v>49</v>
      </c>
      <c r="O1733" t="s">
        <v>3998</v>
      </c>
      <c r="P1733" t="s">
        <v>287</v>
      </c>
      <c r="T1733">
        <v>6</v>
      </c>
      <c r="U1733" t="s">
        <v>40</v>
      </c>
      <c r="V1733" t="s">
        <v>41</v>
      </c>
    </row>
    <row r="1734" spans="1:22" x14ac:dyDescent="0.3">
      <c r="A1734" s="49">
        <v>45274</v>
      </c>
      <c r="E1734" t="s">
        <v>3137</v>
      </c>
      <c r="G1734" t="s">
        <v>5012</v>
      </c>
      <c r="H1734" t="s">
        <v>28</v>
      </c>
      <c r="I1734" t="s">
        <v>5012</v>
      </c>
      <c r="J1734" t="s">
        <v>63</v>
      </c>
      <c r="K1734" t="s">
        <v>64</v>
      </c>
      <c r="M1734">
        <v>90</v>
      </c>
      <c r="N1734" t="s">
        <v>49</v>
      </c>
      <c r="O1734" t="s">
        <v>3999</v>
      </c>
      <c r="P1734" t="s">
        <v>287</v>
      </c>
      <c r="T1734">
        <v>4</v>
      </c>
      <c r="U1734" t="s">
        <v>56</v>
      </c>
      <c r="V1734" t="s">
        <v>56</v>
      </c>
    </row>
    <row r="1735" spans="1:22" x14ac:dyDescent="0.3">
      <c r="A1735" s="49">
        <v>45274</v>
      </c>
      <c r="E1735" t="s">
        <v>3109</v>
      </c>
      <c r="G1735" t="s">
        <v>5129</v>
      </c>
      <c r="H1735" t="s">
        <v>28</v>
      </c>
      <c r="I1735" t="s">
        <v>5595</v>
      </c>
      <c r="J1735" t="s">
        <v>46</v>
      </c>
      <c r="K1735" t="s">
        <v>4951</v>
      </c>
      <c r="M1735">
        <v>100</v>
      </c>
      <c r="N1735" t="s">
        <v>33</v>
      </c>
      <c r="O1735" t="s">
        <v>4000</v>
      </c>
      <c r="P1735" t="s">
        <v>4864</v>
      </c>
      <c r="T1735">
        <v>4</v>
      </c>
      <c r="U1735" t="s">
        <v>56</v>
      </c>
      <c r="V1735" t="s">
        <v>56</v>
      </c>
    </row>
    <row r="1736" spans="1:22" x14ac:dyDescent="0.3">
      <c r="A1736" s="49">
        <v>45274</v>
      </c>
      <c r="E1736" t="s">
        <v>3109</v>
      </c>
      <c r="G1736" t="s">
        <v>5129</v>
      </c>
      <c r="H1736" t="s">
        <v>28</v>
      </c>
      <c r="I1736" t="s">
        <v>5595</v>
      </c>
      <c r="J1736" t="s">
        <v>46</v>
      </c>
      <c r="K1736" t="s">
        <v>4951</v>
      </c>
      <c r="M1736">
        <v>100</v>
      </c>
      <c r="N1736" t="s">
        <v>33</v>
      </c>
      <c r="O1736" t="s">
        <v>4000</v>
      </c>
      <c r="P1736" t="s">
        <v>4864</v>
      </c>
      <c r="T1736">
        <v>4</v>
      </c>
      <c r="U1736" t="s">
        <v>56</v>
      </c>
      <c r="V1736" t="s">
        <v>56</v>
      </c>
    </row>
    <row r="1737" spans="1:22" x14ac:dyDescent="0.3">
      <c r="A1737" s="49">
        <v>45274</v>
      </c>
      <c r="E1737" t="s">
        <v>3109</v>
      </c>
      <c r="G1737" t="s">
        <v>5129</v>
      </c>
      <c r="H1737" t="s">
        <v>28</v>
      </c>
      <c r="I1737" t="s">
        <v>5595</v>
      </c>
      <c r="J1737" t="s">
        <v>46</v>
      </c>
      <c r="K1737" t="s">
        <v>4951</v>
      </c>
      <c r="M1737">
        <v>100</v>
      </c>
      <c r="N1737" t="s">
        <v>33</v>
      </c>
      <c r="O1737" t="s">
        <v>4000</v>
      </c>
      <c r="P1737" t="s">
        <v>4864</v>
      </c>
      <c r="T1737">
        <v>4</v>
      </c>
      <c r="U1737" t="s">
        <v>56</v>
      </c>
      <c r="V1737" t="s">
        <v>56</v>
      </c>
    </row>
    <row r="1738" spans="1:22" x14ac:dyDescent="0.3">
      <c r="A1738" s="49">
        <v>45274</v>
      </c>
      <c r="E1738" t="s">
        <v>3223</v>
      </c>
      <c r="G1738" t="s">
        <v>5244</v>
      </c>
      <c r="H1738" t="s">
        <v>28</v>
      </c>
      <c r="I1738" t="s">
        <v>5781</v>
      </c>
      <c r="J1738" t="s">
        <v>63</v>
      </c>
      <c r="K1738" t="s">
        <v>4952</v>
      </c>
      <c r="M1738">
        <v>0</v>
      </c>
      <c r="N1738" t="s">
        <v>49</v>
      </c>
      <c r="O1738" t="s">
        <v>4001</v>
      </c>
      <c r="P1738" t="s">
        <v>483</v>
      </c>
      <c r="T1738">
        <v>3</v>
      </c>
      <c r="U1738" t="s">
        <v>1763</v>
      </c>
      <c r="V1738" t="s">
        <v>56</v>
      </c>
    </row>
    <row r="1739" spans="1:22" x14ac:dyDescent="0.3">
      <c r="A1739" s="49">
        <v>45274</v>
      </c>
      <c r="E1739" t="s">
        <v>3223</v>
      </c>
      <c r="G1739" t="s">
        <v>5245</v>
      </c>
      <c r="H1739" t="s">
        <v>28</v>
      </c>
      <c r="I1739" t="s">
        <v>5782</v>
      </c>
      <c r="J1739" t="s">
        <v>63</v>
      </c>
      <c r="K1739" t="s">
        <v>197</v>
      </c>
      <c r="M1739">
        <v>0</v>
      </c>
      <c r="N1739" t="s">
        <v>49</v>
      </c>
      <c r="O1739" t="s">
        <v>4002</v>
      </c>
      <c r="P1739" t="s">
        <v>878</v>
      </c>
      <c r="T1739">
        <v>4</v>
      </c>
      <c r="U1739" t="s">
        <v>56</v>
      </c>
      <c r="V1739" t="s">
        <v>56</v>
      </c>
    </row>
    <row r="1740" spans="1:22" x14ac:dyDescent="0.3">
      <c r="A1740" s="49">
        <v>45274</v>
      </c>
      <c r="E1740" t="s">
        <v>3223</v>
      </c>
      <c r="G1740" t="s">
        <v>5245</v>
      </c>
      <c r="H1740" t="s">
        <v>28</v>
      </c>
      <c r="I1740" t="s">
        <v>5783</v>
      </c>
      <c r="J1740" t="s">
        <v>63</v>
      </c>
      <c r="K1740" t="s">
        <v>197</v>
      </c>
      <c r="M1740">
        <v>100</v>
      </c>
      <c r="N1740" t="s">
        <v>49</v>
      </c>
      <c r="O1740" t="s">
        <v>4003</v>
      </c>
      <c r="P1740" t="s">
        <v>4871</v>
      </c>
      <c r="T1740">
        <v>4</v>
      </c>
      <c r="U1740" t="s">
        <v>56</v>
      </c>
      <c r="V1740" t="s">
        <v>56</v>
      </c>
    </row>
    <row r="1741" spans="1:22" x14ac:dyDescent="0.3">
      <c r="A1741" s="49">
        <v>45274</v>
      </c>
      <c r="E1741" t="s">
        <v>3223</v>
      </c>
      <c r="G1741" t="s">
        <v>5246</v>
      </c>
      <c r="H1741" t="s">
        <v>28</v>
      </c>
      <c r="I1741" t="s">
        <v>5784</v>
      </c>
      <c r="J1741" t="s">
        <v>63</v>
      </c>
      <c r="K1741" t="s">
        <v>197</v>
      </c>
      <c r="M1741">
        <v>100</v>
      </c>
      <c r="N1741" t="s">
        <v>49</v>
      </c>
      <c r="O1741" t="s">
        <v>4004</v>
      </c>
      <c r="P1741" t="s">
        <v>4865</v>
      </c>
      <c r="T1741">
        <v>4</v>
      </c>
      <c r="U1741" t="s">
        <v>56</v>
      </c>
      <c r="V1741" t="s">
        <v>56</v>
      </c>
    </row>
    <row r="1742" spans="1:22" x14ac:dyDescent="0.3">
      <c r="A1742" s="49">
        <v>45274</v>
      </c>
      <c r="E1742" t="s">
        <v>3139</v>
      </c>
      <c r="G1742" t="s">
        <v>5089</v>
      </c>
      <c r="H1742" t="s">
        <v>28</v>
      </c>
      <c r="I1742" t="s">
        <v>2545</v>
      </c>
      <c r="J1742" t="s">
        <v>63</v>
      </c>
      <c r="K1742" t="s">
        <v>64</v>
      </c>
      <c r="M1742">
        <v>100</v>
      </c>
      <c r="N1742" t="s">
        <v>49</v>
      </c>
      <c r="O1742" t="s">
        <v>4005</v>
      </c>
      <c r="P1742" t="s">
        <v>751</v>
      </c>
      <c r="T1742">
        <v>4</v>
      </c>
      <c r="U1742" t="s">
        <v>56</v>
      </c>
      <c r="V1742" t="s">
        <v>56</v>
      </c>
    </row>
    <row r="1743" spans="1:22" x14ac:dyDescent="0.3">
      <c r="A1743" s="49">
        <v>45274</v>
      </c>
      <c r="E1743" t="s">
        <v>3139</v>
      </c>
      <c r="G1743" t="s">
        <v>5016</v>
      </c>
      <c r="H1743" t="s">
        <v>28</v>
      </c>
      <c r="I1743" t="s">
        <v>5600</v>
      </c>
      <c r="J1743" t="s">
        <v>63</v>
      </c>
      <c r="K1743" t="s">
        <v>64</v>
      </c>
      <c r="M1743">
        <v>100</v>
      </c>
      <c r="N1743" t="s">
        <v>33</v>
      </c>
      <c r="O1743" t="s">
        <v>3621</v>
      </c>
      <c r="P1743" t="s">
        <v>4834</v>
      </c>
      <c r="T1743">
        <v>4</v>
      </c>
      <c r="U1743" t="s">
        <v>56</v>
      </c>
      <c r="V1743" t="s">
        <v>56</v>
      </c>
    </row>
    <row r="1744" spans="1:22" x14ac:dyDescent="0.3">
      <c r="A1744" s="49">
        <v>45274</v>
      </c>
      <c r="E1744" t="s">
        <v>3139</v>
      </c>
      <c r="G1744" t="s">
        <v>5016</v>
      </c>
      <c r="H1744" t="s">
        <v>28</v>
      </c>
      <c r="I1744" t="s">
        <v>5600</v>
      </c>
      <c r="J1744" t="s">
        <v>63</v>
      </c>
      <c r="K1744" t="s">
        <v>64</v>
      </c>
      <c r="M1744">
        <v>100</v>
      </c>
      <c r="N1744" t="s">
        <v>33</v>
      </c>
      <c r="O1744" t="s">
        <v>4006</v>
      </c>
      <c r="P1744" t="s">
        <v>483</v>
      </c>
      <c r="T1744">
        <v>4</v>
      </c>
      <c r="U1744" t="s">
        <v>56</v>
      </c>
      <c r="V1744" t="s">
        <v>56</v>
      </c>
    </row>
    <row r="1745" spans="1:22" x14ac:dyDescent="0.3">
      <c r="A1745" s="49">
        <v>45274</v>
      </c>
      <c r="E1745" t="s">
        <v>3139</v>
      </c>
      <c r="G1745" t="s">
        <v>5016</v>
      </c>
      <c r="H1745" t="s">
        <v>89</v>
      </c>
      <c r="J1745" t="s">
        <v>63</v>
      </c>
      <c r="K1745" t="s">
        <v>64</v>
      </c>
      <c r="M1745">
        <v>100</v>
      </c>
      <c r="N1745" t="s">
        <v>33</v>
      </c>
      <c r="O1745" t="s">
        <v>4007</v>
      </c>
      <c r="P1745" t="s">
        <v>2627</v>
      </c>
      <c r="T1745">
        <v>4</v>
      </c>
      <c r="U1745" t="s">
        <v>56</v>
      </c>
      <c r="V1745" t="s">
        <v>56</v>
      </c>
    </row>
    <row r="1746" spans="1:22" x14ac:dyDescent="0.3">
      <c r="A1746" s="49">
        <v>45274</v>
      </c>
      <c r="E1746" t="s">
        <v>3139</v>
      </c>
      <c r="G1746" t="s">
        <v>90</v>
      </c>
      <c r="H1746" t="s">
        <v>28</v>
      </c>
      <c r="I1746" t="s">
        <v>5785</v>
      </c>
      <c r="J1746" t="s">
        <v>63</v>
      </c>
      <c r="K1746" t="s">
        <v>64</v>
      </c>
      <c r="M1746">
        <v>100</v>
      </c>
      <c r="N1746" t="s">
        <v>49</v>
      </c>
      <c r="O1746" t="s">
        <v>4008</v>
      </c>
      <c r="P1746" t="s">
        <v>4870</v>
      </c>
      <c r="T1746">
        <v>4</v>
      </c>
      <c r="U1746" t="s">
        <v>56</v>
      </c>
      <c r="V1746" t="s">
        <v>56</v>
      </c>
    </row>
    <row r="1747" spans="1:22" x14ac:dyDescent="0.3">
      <c r="A1747" s="49">
        <v>45274</v>
      </c>
      <c r="E1747" t="s">
        <v>3139</v>
      </c>
      <c r="G1747" t="s">
        <v>90</v>
      </c>
      <c r="H1747" t="s">
        <v>89</v>
      </c>
      <c r="J1747" t="s">
        <v>63</v>
      </c>
      <c r="K1747" t="s">
        <v>64</v>
      </c>
      <c r="M1747">
        <v>100</v>
      </c>
      <c r="N1747" t="s">
        <v>49</v>
      </c>
      <c r="O1747" t="s">
        <v>4009</v>
      </c>
      <c r="P1747" t="s">
        <v>751</v>
      </c>
      <c r="T1747">
        <v>4</v>
      </c>
      <c r="U1747" t="s">
        <v>56</v>
      </c>
      <c r="V1747" t="s">
        <v>56</v>
      </c>
    </row>
    <row r="1748" spans="1:22" x14ac:dyDescent="0.3">
      <c r="A1748" s="49">
        <v>45274</v>
      </c>
      <c r="E1748" t="s">
        <v>3139</v>
      </c>
      <c r="G1748" t="s">
        <v>5247</v>
      </c>
      <c r="H1748" t="s">
        <v>28</v>
      </c>
      <c r="I1748" t="s">
        <v>5786</v>
      </c>
      <c r="J1748" t="s">
        <v>63</v>
      </c>
      <c r="K1748" t="s">
        <v>64</v>
      </c>
      <c r="M1748">
        <v>100</v>
      </c>
      <c r="N1748" t="s">
        <v>49</v>
      </c>
      <c r="O1748" t="s">
        <v>4010</v>
      </c>
      <c r="P1748" t="s">
        <v>4898</v>
      </c>
      <c r="T1748">
        <v>4</v>
      </c>
      <c r="U1748" t="s">
        <v>56</v>
      </c>
      <c r="V1748" t="s">
        <v>56</v>
      </c>
    </row>
    <row r="1749" spans="1:22" x14ac:dyDescent="0.3">
      <c r="A1749" s="49">
        <v>45274</v>
      </c>
      <c r="E1749" t="s">
        <v>3139</v>
      </c>
      <c r="G1749" t="s">
        <v>5056</v>
      </c>
      <c r="H1749" t="s">
        <v>28</v>
      </c>
      <c r="I1749" t="s">
        <v>5787</v>
      </c>
      <c r="J1749" t="s">
        <v>63</v>
      </c>
      <c r="K1749" t="s">
        <v>64</v>
      </c>
      <c r="M1749">
        <v>100</v>
      </c>
      <c r="N1749" t="s">
        <v>49</v>
      </c>
      <c r="O1749" t="s">
        <v>4011</v>
      </c>
      <c r="P1749" t="s">
        <v>4832</v>
      </c>
      <c r="T1749">
        <v>4</v>
      </c>
      <c r="U1749" t="s">
        <v>56</v>
      </c>
      <c r="V1749" t="s">
        <v>56</v>
      </c>
    </row>
    <row r="1750" spans="1:22" x14ac:dyDescent="0.3">
      <c r="A1750" s="49">
        <v>45274</v>
      </c>
      <c r="E1750" t="s">
        <v>3139</v>
      </c>
      <c r="G1750" t="s">
        <v>5016</v>
      </c>
      <c r="H1750" t="s">
        <v>28</v>
      </c>
      <c r="I1750" t="s">
        <v>5600</v>
      </c>
      <c r="J1750" t="s">
        <v>63</v>
      </c>
      <c r="K1750" t="s">
        <v>64</v>
      </c>
      <c r="M1750">
        <v>40</v>
      </c>
      <c r="N1750" t="s">
        <v>33</v>
      </c>
      <c r="O1750" t="s">
        <v>4012</v>
      </c>
      <c r="P1750" t="s">
        <v>170</v>
      </c>
      <c r="T1750">
        <v>4</v>
      </c>
      <c r="U1750" t="s">
        <v>56</v>
      </c>
      <c r="V1750" t="s">
        <v>56</v>
      </c>
    </row>
    <row r="1751" spans="1:22" x14ac:dyDescent="0.3">
      <c r="A1751" s="49">
        <v>45274</v>
      </c>
      <c r="E1751" t="s">
        <v>3139</v>
      </c>
      <c r="G1751" t="s">
        <v>90</v>
      </c>
      <c r="H1751" t="s">
        <v>89</v>
      </c>
      <c r="J1751" t="s">
        <v>63</v>
      </c>
      <c r="K1751" t="s">
        <v>64</v>
      </c>
      <c r="M1751">
        <v>100</v>
      </c>
      <c r="N1751" t="s">
        <v>49</v>
      </c>
      <c r="O1751" t="s">
        <v>4013</v>
      </c>
      <c r="P1751" t="s">
        <v>1054</v>
      </c>
      <c r="T1751">
        <v>4</v>
      </c>
      <c r="U1751" t="s">
        <v>56</v>
      </c>
      <c r="V1751" t="s">
        <v>56</v>
      </c>
    </row>
    <row r="1752" spans="1:22" x14ac:dyDescent="0.3">
      <c r="A1752" s="49">
        <v>45274</v>
      </c>
      <c r="E1752" t="s">
        <v>3139</v>
      </c>
      <c r="G1752" t="s">
        <v>90</v>
      </c>
      <c r="H1752" t="s">
        <v>89</v>
      </c>
      <c r="J1752" t="s">
        <v>63</v>
      </c>
      <c r="K1752" t="s">
        <v>64</v>
      </c>
      <c r="M1752">
        <v>100</v>
      </c>
      <c r="N1752" t="s">
        <v>49</v>
      </c>
      <c r="O1752" t="s">
        <v>4014</v>
      </c>
      <c r="P1752" t="s">
        <v>4871</v>
      </c>
      <c r="T1752">
        <v>4</v>
      </c>
      <c r="U1752" t="s">
        <v>56</v>
      </c>
      <c r="V1752" t="s">
        <v>56</v>
      </c>
    </row>
    <row r="1753" spans="1:22" x14ac:dyDescent="0.3">
      <c r="A1753" s="49">
        <v>45274</v>
      </c>
      <c r="E1753" t="s">
        <v>3139</v>
      </c>
      <c r="G1753" t="s">
        <v>90</v>
      </c>
      <c r="H1753" t="s">
        <v>89</v>
      </c>
      <c r="J1753" t="s">
        <v>63</v>
      </c>
      <c r="K1753" t="s">
        <v>64</v>
      </c>
      <c r="M1753">
        <v>100</v>
      </c>
      <c r="N1753" t="s">
        <v>49</v>
      </c>
      <c r="O1753" t="s">
        <v>4015</v>
      </c>
      <c r="P1753" t="s">
        <v>4891</v>
      </c>
      <c r="T1753">
        <v>4</v>
      </c>
      <c r="U1753" t="s">
        <v>56</v>
      </c>
      <c r="V1753" t="s">
        <v>56</v>
      </c>
    </row>
    <row r="1754" spans="1:22" x14ac:dyDescent="0.3">
      <c r="A1754" s="49">
        <v>45274</v>
      </c>
      <c r="E1754" t="s">
        <v>3139</v>
      </c>
      <c r="G1754" t="s">
        <v>90</v>
      </c>
      <c r="H1754" t="s">
        <v>89</v>
      </c>
      <c r="J1754" t="s">
        <v>63</v>
      </c>
      <c r="K1754" t="s">
        <v>64</v>
      </c>
      <c r="M1754">
        <v>100</v>
      </c>
      <c r="N1754" t="s">
        <v>49</v>
      </c>
      <c r="O1754" t="s">
        <v>4016</v>
      </c>
      <c r="P1754" t="s">
        <v>4833</v>
      </c>
      <c r="T1754">
        <v>4</v>
      </c>
      <c r="U1754" t="s">
        <v>56</v>
      </c>
      <c r="V1754" t="s">
        <v>56</v>
      </c>
    </row>
    <row r="1755" spans="1:22" x14ac:dyDescent="0.3">
      <c r="A1755" s="49">
        <v>45274</v>
      </c>
      <c r="E1755" t="s">
        <v>3139</v>
      </c>
      <c r="G1755" t="s">
        <v>5248</v>
      </c>
      <c r="H1755" t="s">
        <v>28</v>
      </c>
      <c r="I1755" t="s">
        <v>5788</v>
      </c>
      <c r="J1755" t="s">
        <v>63</v>
      </c>
      <c r="K1755" t="s">
        <v>64</v>
      </c>
      <c r="M1755">
        <v>100</v>
      </c>
      <c r="N1755" t="s">
        <v>49</v>
      </c>
      <c r="O1755" t="s">
        <v>4017</v>
      </c>
      <c r="P1755" t="s">
        <v>1356</v>
      </c>
      <c r="T1755">
        <v>4</v>
      </c>
      <c r="U1755" t="s">
        <v>56</v>
      </c>
      <c r="V1755" t="s">
        <v>56</v>
      </c>
    </row>
    <row r="1756" spans="1:22" x14ac:dyDescent="0.3">
      <c r="A1756" s="49">
        <v>45274</v>
      </c>
      <c r="E1756" t="s">
        <v>3139</v>
      </c>
      <c r="G1756" t="s">
        <v>5015</v>
      </c>
      <c r="H1756" t="s">
        <v>28</v>
      </c>
      <c r="I1756" t="s">
        <v>5598</v>
      </c>
      <c r="J1756" t="s">
        <v>63</v>
      </c>
      <c r="K1756" t="s">
        <v>64</v>
      </c>
      <c r="M1756">
        <v>90</v>
      </c>
      <c r="N1756" t="s">
        <v>49</v>
      </c>
      <c r="O1756" t="s">
        <v>4018</v>
      </c>
      <c r="P1756" t="s">
        <v>287</v>
      </c>
      <c r="T1756">
        <v>4</v>
      </c>
      <c r="U1756" t="s">
        <v>56</v>
      </c>
      <c r="V1756" t="s">
        <v>56</v>
      </c>
    </row>
    <row r="1757" spans="1:22" x14ac:dyDescent="0.3">
      <c r="A1757" s="49">
        <v>45274</v>
      </c>
      <c r="E1757" t="s">
        <v>3139</v>
      </c>
      <c r="G1757" t="s">
        <v>5088</v>
      </c>
      <c r="H1757" t="s">
        <v>28</v>
      </c>
      <c r="I1757" t="s">
        <v>5535</v>
      </c>
      <c r="J1757" t="s">
        <v>63</v>
      </c>
      <c r="K1757" t="s">
        <v>211</v>
      </c>
      <c r="M1757">
        <v>100</v>
      </c>
      <c r="N1757" t="s">
        <v>49</v>
      </c>
      <c r="O1757" t="s">
        <v>4019</v>
      </c>
      <c r="P1757" t="s">
        <v>306</v>
      </c>
      <c r="T1757">
        <v>4</v>
      </c>
      <c r="U1757" t="s">
        <v>56</v>
      </c>
      <c r="V1757" t="s">
        <v>56</v>
      </c>
    </row>
    <row r="1758" spans="1:22" x14ac:dyDescent="0.3">
      <c r="A1758" s="49">
        <v>45274</v>
      </c>
      <c r="E1758" t="s">
        <v>3139</v>
      </c>
      <c r="G1758" t="s">
        <v>5249</v>
      </c>
      <c r="H1758" t="s">
        <v>28</v>
      </c>
      <c r="I1758" t="s">
        <v>5789</v>
      </c>
      <c r="J1758" t="s">
        <v>63</v>
      </c>
      <c r="K1758" t="s">
        <v>1235</v>
      </c>
      <c r="M1758">
        <v>100</v>
      </c>
      <c r="N1758" t="s">
        <v>49</v>
      </c>
      <c r="O1758" t="s">
        <v>4020</v>
      </c>
      <c r="P1758" t="s">
        <v>2178</v>
      </c>
      <c r="T1758">
        <v>4</v>
      </c>
      <c r="U1758" t="s">
        <v>56</v>
      </c>
      <c r="V1758" t="s">
        <v>56</v>
      </c>
    </row>
    <row r="1759" spans="1:22" x14ac:dyDescent="0.3">
      <c r="A1759" s="49">
        <v>45274</v>
      </c>
      <c r="E1759" t="s">
        <v>3139</v>
      </c>
      <c r="G1759" t="s">
        <v>5133</v>
      </c>
      <c r="H1759" t="s">
        <v>89</v>
      </c>
      <c r="J1759" t="s">
        <v>63</v>
      </c>
      <c r="K1759" t="s">
        <v>64</v>
      </c>
      <c r="M1759">
        <v>100</v>
      </c>
      <c r="N1759" t="s">
        <v>49</v>
      </c>
      <c r="O1759" t="s">
        <v>4021</v>
      </c>
      <c r="P1759" t="s">
        <v>4888</v>
      </c>
      <c r="T1759">
        <v>4</v>
      </c>
      <c r="U1759" t="s">
        <v>56</v>
      </c>
      <c r="V1759" t="s">
        <v>56</v>
      </c>
    </row>
    <row r="1760" spans="1:22" x14ac:dyDescent="0.3">
      <c r="A1760" s="49">
        <v>45274</v>
      </c>
      <c r="E1760" t="s">
        <v>3139</v>
      </c>
      <c r="G1760" t="s">
        <v>5088</v>
      </c>
      <c r="H1760" t="s">
        <v>28</v>
      </c>
      <c r="I1760" t="s">
        <v>5535</v>
      </c>
      <c r="J1760" t="s">
        <v>63</v>
      </c>
      <c r="K1760" t="s">
        <v>211</v>
      </c>
      <c r="M1760">
        <v>0</v>
      </c>
      <c r="N1760" t="s">
        <v>49</v>
      </c>
      <c r="O1760" t="s">
        <v>4022</v>
      </c>
      <c r="P1760" t="s">
        <v>1189</v>
      </c>
      <c r="T1760">
        <v>4</v>
      </c>
      <c r="U1760" t="s">
        <v>56</v>
      </c>
      <c r="V1760" t="s">
        <v>56</v>
      </c>
    </row>
    <row r="1761" spans="1:22" x14ac:dyDescent="0.3">
      <c r="A1761" s="49">
        <v>45274</v>
      </c>
      <c r="E1761" t="s">
        <v>3139</v>
      </c>
      <c r="G1761" t="s">
        <v>5089</v>
      </c>
      <c r="H1761" t="s">
        <v>28</v>
      </c>
      <c r="I1761" t="s">
        <v>2545</v>
      </c>
      <c r="J1761" t="s">
        <v>63</v>
      </c>
      <c r="K1761" t="s">
        <v>1235</v>
      </c>
      <c r="M1761">
        <v>100</v>
      </c>
      <c r="N1761" t="s">
        <v>49</v>
      </c>
      <c r="O1761" t="s">
        <v>4005</v>
      </c>
      <c r="P1761" t="s">
        <v>751</v>
      </c>
      <c r="T1761">
        <v>4</v>
      </c>
      <c r="U1761" t="s">
        <v>56</v>
      </c>
      <c r="V1761" t="s">
        <v>56</v>
      </c>
    </row>
    <row r="1762" spans="1:22" x14ac:dyDescent="0.3">
      <c r="A1762" s="49">
        <v>45274</v>
      </c>
      <c r="E1762" t="s">
        <v>3139</v>
      </c>
      <c r="G1762" t="s">
        <v>5016</v>
      </c>
      <c r="H1762" t="s">
        <v>89</v>
      </c>
      <c r="J1762" t="s">
        <v>63</v>
      </c>
      <c r="K1762" t="s">
        <v>64</v>
      </c>
      <c r="M1762">
        <v>100</v>
      </c>
      <c r="N1762" t="s">
        <v>33</v>
      </c>
      <c r="O1762" t="s">
        <v>4023</v>
      </c>
      <c r="P1762" t="s">
        <v>483</v>
      </c>
      <c r="T1762">
        <v>4</v>
      </c>
      <c r="U1762" t="s">
        <v>56</v>
      </c>
      <c r="V1762" t="s">
        <v>56</v>
      </c>
    </row>
    <row r="1763" spans="1:22" x14ac:dyDescent="0.3">
      <c r="A1763" s="49">
        <v>45274</v>
      </c>
      <c r="E1763" t="s">
        <v>3139</v>
      </c>
      <c r="G1763" t="s">
        <v>5016</v>
      </c>
      <c r="H1763" t="s">
        <v>28</v>
      </c>
      <c r="I1763" t="s">
        <v>5790</v>
      </c>
      <c r="J1763" t="s">
        <v>63</v>
      </c>
      <c r="K1763" t="s">
        <v>64</v>
      </c>
      <c r="M1763">
        <v>100</v>
      </c>
      <c r="N1763" t="s">
        <v>49</v>
      </c>
      <c r="O1763" t="s">
        <v>4024</v>
      </c>
      <c r="P1763" t="s">
        <v>691</v>
      </c>
      <c r="T1763">
        <v>4</v>
      </c>
      <c r="U1763" t="s">
        <v>56</v>
      </c>
      <c r="V1763" t="s">
        <v>56</v>
      </c>
    </row>
    <row r="1764" spans="1:22" x14ac:dyDescent="0.3">
      <c r="A1764" s="49">
        <v>45274</v>
      </c>
      <c r="E1764" t="s">
        <v>3199</v>
      </c>
      <c r="G1764" t="s">
        <v>5250</v>
      </c>
      <c r="H1764" t="s">
        <v>28</v>
      </c>
      <c r="I1764" t="s">
        <v>5791</v>
      </c>
      <c r="J1764" t="s">
        <v>46</v>
      </c>
      <c r="K1764" t="s">
        <v>481</v>
      </c>
      <c r="M1764">
        <v>0</v>
      </c>
      <c r="N1764" t="s">
        <v>49</v>
      </c>
      <c r="O1764" t="s">
        <v>4025</v>
      </c>
      <c r="P1764" t="s">
        <v>381</v>
      </c>
      <c r="T1764">
        <v>4</v>
      </c>
      <c r="U1764" t="s">
        <v>56</v>
      </c>
      <c r="V1764" t="s">
        <v>56</v>
      </c>
    </row>
    <row r="1765" spans="1:22" x14ac:dyDescent="0.3">
      <c r="A1765" s="49">
        <v>45274</v>
      </c>
      <c r="E1765" t="s">
        <v>3199</v>
      </c>
      <c r="G1765" t="s">
        <v>5251</v>
      </c>
      <c r="H1765" t="s">
        <v>28</v>
      </c>
      <c r="I1765" t="s">
        <v>5792</v>
      </c>
      <c r="J1765" t="s">
        <v>46</v>
      </c>
      <c r="K1765" t="s">
        <v>481</v>
      </c>
      <c r="M1765">
        <v>90</v>
      </c>
      <c r="N1765" t="s">
        <v>33</v>
      </c>
      <c r="O1765" t="s">
        <v>4026</v>
      </c>
      <c r="P1765" t="s">
        <v>287</v>
      </c>
      <c r="T1765">
        <v>6</v>
      </c>
      <c r="U1765" t="s">
        <v>40</v>
      </c>
      <c r="V1765" t="s">
        <v>41</v>
      </c>
    </row>
    <row r="1766" spans="1:22" x14ac:dyDescent="0.3">
      <c r="A1766" s="49">
        <v>45274</v>
      </c>
      <c r="E1766" t="s">
        <v>3199</v>
      </c>
      <c r="G1766" t="s">
        <v>5136</v>
      </c>
      <c r="H1766" t="s">
        <v>28</v>
      </c>
      <c r="I1766" t="s">
        <v>5604</v>
      </c>
      <c r="J1766" t="s">
        <v>63</v>
      </c>
      <c r="K1766" t="s">
        <v>64</v>
      </c>
      <c r="M1766">
        <v>0</v>
      </c>
      <c r="N1766" t="s">
        <v>49</v>
      </c>
      <c r="O1766" t="s">
        <v>4027</v>
      </c>
      <c r="P1766" t="s">
        <v>572</v>
      </c>
      <c r="T1766">
        <v>4</v>
      </c>
      <c r="U1766" t="s">
        <v>56</v>
      </c>
      <c r="V1766" t="s">
        <v>56</v>
      </c>
    </row>
    <row r="1767" spans="1:22" x14ac:dyDescent="0.3">
      <c r="A1767" s="49">
        <v>45274</v>
      </c>
      <c r="E1767" t="s">
        <v>3199</v>
      </c>
      <c r="G1767" t="s">
        <v>5252</v>
      </c>
      <c r="H1767" t="s">
        <v>89</v>
      </c>
      <c r="J1767" t="s">
        <v>63</v>
      </c>
      <c r="K1767" t="s">
        <v>197</v>
      </c>
      <c r="M1767">
        <v>100</v>
      </c>
      <c r="N1767" t="s">
        <v>49</v>
      </c>
      <c r="O1767" t="s">
        <v>4028</v>
      </c>
      <c r="P1767" t="s">
        <v>373</v>
      </c>
      <c r="T1767">
        <v>4</v>
      </c>
      <c r="U1767" t="s">
        <v>56</v>
      </c>
      <c r="V1767" t="s">
        <v>56</v>
      </c>
    </row>
    <row r="1768" spans="1:22" x14ac:dyDescent="0.3">
      <c r="A1768" s="49">
        <v>45274</v>
      </c>
      <c r="E1768" t="s">
        <v>3171</v>
      </c>
      <c r="G1768" t="s">
        <v>5057</v>
      </c>
      <c r="H1768" t="s">
        <v>28</v>
      </c>
      <c r="I1768" t="s">
        <v>1847</v>
      </c>
      <c r="J1768" t="s">
        <v>63</v>
      </c>
      <c r="K1768" t="s">
        <v>64</v>
      </c>
      <c r="M1768">
        <v>67</v>
      </c>
      <c r="N1768" t="s">
        <v>49</v>
      </c>
      <c r="O1768" t="s">
        <v>4029</v>
      </c>
      <c r="P1768" t="s">
        <v>170</v>
      </c>
      <c r="T1768">
        <v>4</v>
      </c>
      <c r="U1768" t="s">
        <v>56</v>
      </c>
      <c r="V1768" t="s">
        <v>56</v>
      </c>
    </row>
    <row r="1769" spans="1:22" x14ac:dyDescent="0.3">
      <c r="A1769" s="49">
        <v>45274</v>
      </c>
      <c r="E1769" t="s">
        <v>3171</v>
      </c>
      <c r="G1769" t="s">
        <v>5057</v>
      </c>
      <c r="H1769" t="s">
        <v>89</v>
      </c>
      <c r="J1769" t="s">
        <v>63</v>
      </c>
      <c r="K1769" t="s">
        <v>64</v>
      </c>
      <c r="M1769">
        <v>100</v>
      </c>
      <c r="N1769" t="s">
        <v>49</v>
      </c>
      <c r="O1769" t="s">
        <v>4030</v>
      </c>
      <c r="P1769" t="s">
        <v>4899</v>
      </c>
      <c r="T1769">
        <v>4</v>
      </c>
      <c r="U1769" t="s">
        <v>56</v>
      </c>
      <c r="V1769" t="s">
        <v>56</v>
      </c>
    </row>
    <row r="1770" spans="1:22" x14ac:dyDescent="0.3">
      <c r="A1770" s="49">
        <v>45274</v>
      </c>
      <c r="E1770" t="s">
        <v>3171</v>
      </c>
      <c r="G1770" t="s">
        <v>5057</v>
      </c>
      <c r="H1770" t="s">
        <v>28</v>
      </c>
      <c r="I1770" t="s">
        <v>1847</v>
      </c>
      <c r="J1770" t="s">
        <v>63</v>
      </c>
      <c r="K1770" t="s">
        <v>64</v>
      </c>
      <c r="M1770">
        <v>100</v>
      </c>
      <c r="N1770" t="s">
        <v>33</v>
      </c>
      <c r="O1770" t="s">
        <v>4031</v>
      </c>
      <c r="P1770" t="s">
        <v>791</v>
      </c>
      <c r="T1770">
        <v>4</v>
      </c>
      <c r="U1770" t="s">
        <v>56</v>
      </c>
      <c r="V1770" t="s">
        <v>56</v>
      </c>
    </row>
    <row r="1771" spans="1:22" x14ac:dyDescent="0.3">
      <c r="A1771" s="49">
        <v>45274</v>
      </c>
      <c r="E1771" t="s">
        <v>3171</v>
      </c>
      <c r="G1771" t="s">
        <v>5057</v>
      </c>
      <c r="H1771" t="s">
        <v>28</v>
      </c>
      <c r="I1771" t="s">
        <v>720</v>
      </c>
      <c r="J1771" t="s">
        <v>63</v>
      </c>
      <c r="K1771" t="s">
        <v>64</v>
      </c>
      <c r="M1771">
        <v>56</v>
      </c>
      <c r="N1771" t="s">
        <v>33</v>
      </c>
      <c r="O1771" t="s">
        <v>4032</v>
      </c>
      <c r="P1771" t="s">
        <v>4834</v>
      </c>
      <c r="T1771">
        <v>4</v>
      </c>
      <c r="U1771" t="s">
        <v>56</v>
      </c>
      <c r="V1771" t="s">
        <v>56</v>
      </c>
    </row>
    <row r="1772" spans="1:22" x14ac:dyDescent="0.3">
      <c r="A1772" s="49">
        <v>45274</v>
      </c>
      <c r="E1772" t="s">
        <v>3171</v>
      </c>
      <c r="G1772" t="s">
        <v>5057</v>
      </c>
      <c r="H1772" t="s">
        <v>28</v>
      </c>
      <c r="I1772" t="s">
        <v>720</v>
      </c>
      <c r="J1772" t="s">
        <v>63</v>
      </c>
      <c r="K1772" t="s">
        <v>64</v>
      </c>
      <c r="M1772">
        <v>23</v>
      </c>
      <c r="N1772" t="s">
        <v>33</v>
      </c>
      <c r="O1772" t="s">
        <v>4033</v>
      </c>
      <c r="P1772" t="s">
        <v>1243</v>
      </c>
      <c r="T1772">
        <v>4</v>
      </c>
      <c r="U1772" t="s">
        <v>56</v>
      </c>
      <c r="V1772" t="s">
        <v>56</v>
      </c>
    </row>
    <row r="1773" spans="1:22" x14ac:dyDescent="0.3">
      <c r="A1773" s="49">
        <v>45274</v>
      </c>
      <c r="E1773" t="s">
        <v>3171</v>
      </c>
      <c r="G1773" t="s">
        <v>5057</v>
      </c>
      <c r="H1773" t="s">
        <v>28</v>
      </c>
      <c r="I1773" t="s">
        <v>1847</v>
      </c>
      <c r="J1773" t="s">
        <v>63</v>
      </c>
      <c r="K1773" t="s">
        <v>1235</v>
      </c>
      <c r="M1773">
        <v>0</v>
      </c>
      <c r="N1773" t="s">
        <v>74</v>
      </c>
      <c r="O1773" t="s">
        <v>4034</v>
      </c>
      <c r="P1773" t="s">
        <v>1094</v>
      </c>
      <c r="T1773">
        <v>4</v>
      </c>
      <c r="U1773" t="s">
        <v>56</v>
      </c>
      <c r="V1773" t="s">
        <v>56</v>
      </c>
    </row>
    <row r="1774" spans="1:22" x14ac:dyDescent="0.3">
      <c r="A1774" s="49">
        <v>45274</v>
      </c>
      <c r="E1774" t="s">
        <v>3172</v>
      </c>
      <c r="G1774" t="s">
        <v>728</v>
      </c>
      <c r="H1774" t="s">
        <v>28</v>
      </c>
      <c r="I1774" t="s">
        <v>5609</v>
      </c>
      <c r="J1774" t="s">
        <v>63</v>
      </c>
      <c r="K1774" t="s">
        <v>4924</v>
      </c>
      <c r="M1774">
        <v>60</v>
      </c>
      <c r="N1774" t="s">
        <v>33</v>
      </c>
      <c r="O1774" t="s">
        <v>4035</v>
      </c>
      <c r="P1774" t="s">
        <v>1054</v>
      </c>
      <c r="T1774">
        <v>6</v>
      </c>
      <c r="U1774" t="s">
        <v>40</v>
      </c>
      <c r="V1774" t="s">
        <v>41</v>
      </c>
    </row>
    <row r="1775" spans="1:22" x14ac:dyDescent="0.3">
      <c r="A1775" s="49">
        <v>45274</v>
      </c>
      <c r="E1775" t="s">
        <v>3172</v>
      </c>
      <c r="G1775" t="s">
        <v>728</v>
      </c>
      <c r="H1775" t="s">
        <v>28</v>
      </c>
      <c r="I1775" t="s">
        <v>5609</v>
      </c>
      <c r="J1775" t="s">
        <v>63</v>
      </c>
      <c r="K1775" t="s">
        <v>4924</v>
      </c>
      <c r="M1775">
        <v>0</v>
      </c>
      <c r="N1775" t="s">
        <v>33</v>
      </c>
      <c r="O1775" t="s">
        <v>4036</v>
      </c>
      <c r="P1775" t="s">
        <v>4891</v>
      </c>
      <c r="T1775">
        <v>6</v>
      </c>
      <c r="U1775" t="s">
        <v>40</v>
      </c>
      <c r="V1775" t="s">
        <v>41</v>
      </c>
    </row>
    <row r="1776" spans="1:22" x14ac:dyDescent="0.3">
      <c r="A1776" s="49">
        <v>45274</v>
      </c>
      <c r="E1776" t="s">
        <v>3200</v>
      </c>
      <c r="G1776" t="s">
        <v>5138</v>
      </c>
      <c r="H1776" t="s">
        <v>28</v>
      </c>
      <c r="I1776" t="s">
        <v>5793</v>
      </c>
      <c r="J1776" t="s">
        <v>63</v>
      </c>
      <c r="K1776" t="s">
        <v>197</v>
      </c>
      <c r="M1776">
        <v>50</v>
      </c>
      <c r="N1776" t="s">
        <v>33</v>
      </c>
      <c r="O1776" t="s">
        <v>4037</v>
      </c>
      <c r="P1776" t="s">
        <v>1508</v>
      </c>
      <c r="T1776">
        <v>6</v>
      </c>
      <c r="U1776" t="s">
        <v>40</v>
      </c>
      <c r="V1776" t="s">
        <v>41</v>
      </c>
    </row>
    <row r="1777" spans="1:22" x14ac:dyDescent="0.3">
      <c r="A1777" s="49">
        <v>45274</v>
      </c>
      <c r="E1777" t="s">
        <v>3200</v>
      </c>
      <c r="G1777" t="s">
        <v>5138</v>
      </c>
      <c r="H1777" t="s">
        <v>28</v>
      </c>
      <c r="I1777" t="s">
        <v>5794</v>
      </c>
      <c r="J1777" t="s">
        <v>63</v>
      </c>
      <c r="K1777" t="s">
        <v>197</v>
      </c>
      <c r="M1777">
        <v>50</v>
      </c>
      <c r="N1777" t="s">
        <v>33</v>
      </c>
      <c r="O1777" t="s">
        <v>4038</v>
      </c>
      <c r="P1777" t="s">
        <v>2627</v>
      </c>
      <c r="T1777">
        <v>6</v>
      </c>
      <c r="U1777" t="s">
        <v>40</v>
      </c>
      <c r="V1777" t="s">
        <v>41</v>
      </c>
    </row>
    <row r="1778" spans="1:22" x14ac:dyDescent="0.3">
      <c r="A1778" s="49">
        <v>45274</v>
      </c>
      <c r="E1778" t="s">
        <v>3200</v>
      </c>
      <c r="G1778" t="s">
        <v>5138</v>
      </c>
      <c r="H1778" t="s">
        <v>28</v>
      </c>
      <c r="I1778" t="s">
        <v>5795</v>
      </c>
      <c r="J1778" t="s">
        <v>63</v>
      </c>
      <c r="K1778" t="s">
        <v>197</v>
      </c>
      <c r="M1778">
        <v>80</v>
      </c>
      <c r="N1778" t="s">
        <v>33</v>
      </c>
      <c r="O1778" t="s">
        <v>4039</v>
      </c>
      <c r="P1778" t="s">
        <v>4891</v>
      </c>
      <c r="T1778">
        <v>6</v>
      </c>
      <c r="U1778" t="s">
        <v>40</v>
      </c>
      <c r="V1778" t="s">
        <v>41</v>
      </c>
    </row>
    <row r="1779" spans="1:22" x14ac:dyDescent="0.3">
      <c r="A1779" s="49">
        <v>45274</v>
      </c>
      <c r="E1779" t="s">
        <v>3173</v>
      </c>
      <c r="G1779" t="s">
        <v>5253</v>
      </c>
      <c r="H1779" t="s">
        <v>28</v>
      </c>
      <c r="I1779" t="s">
        <v>5796</v>
      </c>
      <c r="J1779" t="s">
        <v>63</v>
      </c>
      <c r="K1779" t="s">
        <v>64</v>
      </c>
      <c r="M1779">
        <v>100</v>
      </c>
      <c r="N1779" t="s">
        <v>33</v>
      </c>
      <c r="O1779" t="s">
        <v>4040</v>
      </c>
      <c r="P1779" t="s">
        <v>163</v>
      </c>
      <c r="T1779">
        <v>6</v>
      </c>
      <c r="U1779" t="s">
        <v>40</v>
      </c>
      <c r="V1779" t="s">
        <v>41</v>
      </c>
    </row>
    <row r="1780" spans="1:22" x14ac:dyDescent="0.3">
      <c r="A1780" s="49">
        <v>45274</v>
      </c>
      <c r="E1780" t="s">
        <v>3140</v>
      </c>
      <c r="G1780" t="s">
        <v>740</v>
      </c>
      <c r="H1780" t="s">
        <v>89</v>
      </c>
      <c r="J1780" t="s">
        <v>63</v>
      </c>
      <c r="K1780" t="s">
        <v>64</v>
      </c>
      <c r="M1780">
        <v>100</v>
      </c>
      <c r="N1780" t="s">
        <v>49</v>
      </c>
      <c r="O1780" t="s">
        <v>4041</v>
      </c>
      <c r="P1780" t="s">
        <v>1356</v>
      </c>
      <c r="T1780">
        <v>4</v>
      </c>
      <c r="U1780" t="s">
        <v>56</v>
      </c>
      <c r="V1780" t="s">
        <v>56</v>
      </c>
    </row>
    <row r="1781" spans="1:22" x14ac:dyDescent="0.3">
      <c r="A1781" s="49">
        <v>45274</v>
      </c>
      <c r="E1781" t="s">
        <v>3140</v>
      </c>
      <c r="G1781" t="s">
        <v>740</v>
      </c>
      <c r="H1781" t="s">
        <v>28</v>
      </c>
      <c r="I1781" t="s">
        <v>5797</v>
      </c>
      <c r="J1781" t="s">
        <v>63</v>
      </c>
      <c r="K1781" t="s">
        <v>64</v>
      </c>
      <c r="M1781">
        <v>100</v>
      </c>
      <c r="N1781" t="s">
        <v>49</v>
      </c>
      <c r="O1781" t="s">
        <v>4042</v>
      </c>
      <c r="P1781" t="s">
        <v>66</v>
      </c>
      <c r="T1781">
        <v>4</v>
      </c>
      <c r="U1781" t="s">
        <v>56</v>
      </c>
      <c r="V1781" t="s">
        <v>56</v>
      </c>
    </row>
    <row r="1782" spans="1:22" x14ac:dyDescent="0.3">
      <c r="A1782" s="49">
        <v>45274</v>
      </c>
      <c r="E1782" t="s">
        <v>3140</v>
      </c>
      <c r="G1782" t="s">
        <v>740</v>
      </c>
      <c r="H1782" t="s">
        <v>28</v>
      </c>
      <c r="I1782" t="s">
        <v>5797</v>
      </c>
      <c r="J1782" t="s">
        <v>63</v>
      </c>
      <c r="K1782" t="s">
        <v>64</v>
      </c>
      <c r="M1782">
        <v>100</v>
      </c>
      <c r="N1782" t="s">
        <v>49</v>
      </c>
      <c r="O1782" t="s">
        <v>4043</v>
      </c>
      <c r="P1782" t="s">
        <v>358</v>
      </c>
      <c r="T1782">
        <v>4</v>
      </c>
      <c r="U1782" t="s">
        <v>56</v>
      </c>
      <c r="V1782" t="s">
        <v>56</v>
      </c>
    </row>
    <row r="1783" spans="1:22" x14ac:dyDescent="0.3">
      <c r="A1783" s="49">
        <v>45274</v>
      </c>
      <c r="E1783" t="s">
        <v>3140</v>
      </c>
      <c r="G1783" t="s">
        <v>5090</v>
      </c>
      <c r="H1783" t="s">
        <v>28</v>
      </c>
      <c r="I1783" t="s">
        <v>2950</v>
      </c>
      <c r="J1783" t="s">
        <v>63</v>
      </c>
      <c r="K1783" t="s">
        <v>211</v>
      </c>
      <c r="M1783">
        <v>100</v>
      </c>
      <c r="N1783" t="s">
        <v>49</v>
      </c>
      <c r="O1783" t="s">
        <v>4044</v>
      </c>
      <c r="P1783" t="s">
        <v>1230</v>
      </c>
      <c r="T1783">
        <v>4</v>
      </c>
      <c r="U1783" t="s">
        <v>56</v>
      </c>
      <c r="V1783" t="s">
        <v>56</v>
      </c>
    </row>
    <row r="1784" spans="1:22" x14ac:dyDescent="0.3">
      <c r="A1784" s="49">
        <v>45274</v>
      </c>
      <c r="E1784" t="s">
        <v>3140</v>
      </c>
      <c r="G1784" t="s">
        <v>5254</v>
      </c>
      <c r="H1784" t="s">
        <v>28</v>
      </c>
      <c r="I1784" t="s">
        <v>2392</v>
      </c>
      <c r="J1784" t="s">
        <v>63</v>
      </c>
      <c r="K1784" t="s">
        <v>1235</v>
      </c>
      <c r="M1784">
        <v>100</v>
      </c>
      <c r="N1784" t="s">
        <v>49</v>
      </c>
      <c r="O1784" t="s">
        <v>4045</v>
      </c>
      <c r="P1784" t="s">
        <v>1243</v>
      </c>
      <c r="T1784">
        <v>4</v>
      </c>
      <c r="U1784" t="s">
        <v>56</v>
      </c>
      <c r="V1784" t="s">
        <v>56</v>
      </c>
    </row>
    <row r="1785" spans="1:22" x14ac:dyDescent="0.3">
      <c r="A1785" s="49">
        <v>45274</v>
      </c>
      <c r="E1785" t="s">
        <v>3140</v>
      </c>
      <c r="G1785" t="s">
        <v>5255</v>
      </c>
      <c r="H1785" t="s">
        <v>3245</v>
      </c>
      <c r="I1785" t="s">
        <v>5440</v>
      </c>
      <c r="J1785" t="s">
        <v>1712</v>
      </c>
      <c r="K1785" t="s">
        <v>481</v>
      </c>
      <c r="M1785">
        <v>100</v>
      </c>
      <c r="N1785" t="s">
        <v>49</v>
      </c>
      <c r="O1785" t="s">
        <v>4046</v>
      </c>
      <c r="P1785" t="s">
        <v>4900</v>
      </c>
      <c r="T1785">
        <v>4</v>
      </c>
      <c r="U1785" t="s">
        <v>56</v>
      </c>
      <c r="V1785" t="s">
        <v>56</v>
      </c>
    </row>
    <row r="1786" spans="1:22" x14ac:dyDescent="0.3">
      <c r="A1786" s="49">
        <v>45274</v>
      </c>
      <c r="E1786" t="s">
        <v>3140</v>
      </c>
      <c r="G1786" t="s">
        <v>5255</v>
      </c>
      <c r="H1786" t="s">
        <v>3245</v>
      </c>
      <c r="I1786" t="s">
        <v>5440</v>
      </c>
      <c r="J1786" t="s">
        <v>1712</v>
      </c>
      <c r="K1786" t="s">
        <v>481</v>
      </c>
      <c r="M1786">
        <v>100</v>
      </c>
      <c r="N1786" t="s">
        <v>49</v>
      </c>
      <c r="O1786" t="s">
        <v>4046</v>
      </c>
      <c r="P1786" t="s">
        <v>4900</v>
      </c>
      <c r="T1786">
        <v>4</v>
      </c>
      <c r="U1786" t="s">
        <v>56</v>
      </c>
      <c r="V1786" t="s">
        <v>56</v>
      </c>
    </row>
    <row r="1787" spans="1:22" x14ac:dyDescent="0.3">
      <c r="A1787" s="49">
        <v>45274</v>
      </c>
      <c r="E1787" t="s">
        <v>3140</v>
      </c>
      <c r="G1787" t="s">
        <v>5255</v>
      </c>
      <c r="H1787" t="s">
        <v>3245</v>
      </c>
      <c r="I1787" t="s">
        <v>5440</v>
      </c>
      <c r="J1787" t="s">
        <v>1712</v>
      </c>
      <c r="K1787" t="s">
        <v>481</v>
      </c>
      <c r="M1787">
        <v>100</v>
      </c>
      <c r="N1787" t="s">
        <v>49</v>
      </c>
      <c r="O1787" t="s">
        <v>4046</v>
      </c>
      <c r="P1787" t="s">
        <v>4900</v>
      </c>
      <c r="T1787">
        <v>4</v>
      </c>
      <c r="U1787" t="s">
        <v>56</v>
      </c>
      <c r="V1787" t="s">
        <v>56</v>
      </c>
    </row>
    <row r="1788" spans="1:22" x14ac:dyDescent="0.3">
      <c r="A1788" s="49">
        <v>45274</v>
      </c>
      <c r="E1788" t="s">
        <v>3140</v>
      </c>
      <c r="G1788" t="s">
        <v>5255</v>
      </c>
      <c r="H1788" t="s">
        <v>3245</v>
      </c>
      <c r="I1788" t="s">
        <v>5440</v>
      </c>
      <c r="J1788" t="s">
        <v>1712</v>
      </c>
      <c r="K1788" t="s">
        <v>481</v>
      </c>
      <c r="M1788">
        <v>100</v>
      </c>
      <c r="N1788" t="s">
        <v>49</v>
      </c>
      <c r="O1788" t="s">
        <v>4046</v>
      </c>
      <c r="P1788" t="s">
        <v>4900</v>
      </c>
      <c r="T1788">
        <v>4</v>
      </c>
      <c r="U1788" t="s">
        <v>56</v>
      </c>
      <c r="V1788" t="s">
        <v>56</v>
      </c>
    </row>
    <row r="1789" spans="1:22" x14ac:dyDescent="0.3">
      <c r="A1789" s="49">
        <v>45274</v>
      </c>
      <c r="E1789" t="s">
        <v>3202</v>
      </c>
      <c r="G1789" t="s">
        <v>5141</v>
      </c>
      <c r="H1789" t="s">
        <v>28</v>
      </c>
      <c r="I1789" t="s">
        <v>5798</v>
      </c>
      <c r="J1789" t="s">
        <v>63</v>
      </c>
      <c r="K1789" t="s">
        <v>64</v>
      </c>
      <c r="M1789">
        <v>0</v>
      </c>
      <c r="N1789" t="s">
        <v>33</v>
      </c>
      <c r="O1789" t="s">
        <v>4047</v>
      </c>
      <c r="P1789" t="s">
        <v>1159</v>
      </c>
      <c r="T1789">
        <v>4</v>
      </c>
      <c r="U1789" t="s">
        <v>56</v>
      </c>
      <c r="V1789" t="s">
        <v>56</v>
      </c>
    </row>
    <row r="1790" spans="1:22" x14ac:dyDescent="0.3">
      <c r="A1790" s="49">
        <v>45274</v>
      </c>
      <c r="E1790" t="s">
        <v>3202</v>
      </c>
      <c r="G1790" t="s">
        <v>5256</v>
      </c>
      <c r="H1790" t="s">
        <v>28</v>
      </c>
      <c r="I1790" t="s">
        <v>5799</v>
      </c>
      <c r="J1790" t="s">
        <v>46</v>
      </c>
      <c r="K1790" t="s">
        <v>481</v>
      </c>
      <c r="M1790">
        <v>100</v>
      </c>
      <c r="N1790" t="s">
        <v>49</v>
      </c>
      <c r="O1790" t="s">
        <v>4048</v>
      </c>
      <c r="P1790" t="s">
        <v>4887</v>
      </c>
      <c r="T1790">
        <v>4</v>
      </c>
      <c r="U1790" t="s">
        <v>56</v>
      </c>
      <c r="V1790" t="s">
        <v>56</v>
      </c>
    </row>
    <row r="1791" spans="1:22" x14ac:dyDescent="0.3">
      <c r="A1791" s="49">
        <v>45274</v>
      </c>
      <c r="E1791" t="s">
        <v>3202</v>
      </c>
      <c r="G1791" t="s">
        <v>5256</v>
      </c>
      <c r="H1791" t="s">
        <v>28</v>
      </c>
      <c r="I1791" t="s">
        <v>5799</v>
      </c>
      <c r="J1791" t="s">
        <v>46</v>
      </c>
      <c r="K1791" t="s">
        <v>481</v>
      </c>
      <c r="M1791">
        <v>100</v>
      </c>
      <c r="N1791" t="s">
        <v>49</v>
      </c>
      <c r="O1791" t="s">
        <v>4048</v>
      </c>
      <c r="P1791" t="s">
        <v>4887</v>
      </c>
      <c r="T1791">
        <v>4</v>
      </c>
      <c r="U1791" t="s">
        <v>56</v>
      </c>
      <c r="V1791" t="s">
        <v>56</v>
      </c>
    </row>
    <row r="1792" spans="1:22" x14ac:dyDescent="0.3">
      <c r="A1792" s="49">
        <v>45274</v>
      </c>
      <c r="E1792" t="s">
        <v>3202</v>
      </c>
      <c r="G1792" t="s">
        <v>5257</v>
      </c>
      <c r="H1792" t="s">
        <v>28</v>
      </c>
      <c r="I1792" t="s">
        <v>5800</v>
      </c>
      <c r="J1792" t="s">
        <v>63</v>
      </c>
      <c r="K1792" t="s">
        <v>64</v>
      </c>
      <c r="M1792">
        <v>100</v>
      </c>
      <c r="N1792" t="s">
        <v>33</v>
      </c>
      <c r="O1792" t="s">
        <v>4049</v>
      </c>
      <c r="P1792" t="s">
        <v>1356</v>
      </c>
      <c r="T1792">
        <v>4</v>
      </c>
      <c r="U1792" t="s">
        <v>56</v>
      </c>
      <c r="V1792" t="s">
        <v>56</v>
      </c>
    </row>
    <row r="1793" spans="1:22" x14ac:dyDescent="0.3">
      <c r="A1793" s="49">
        <v>45274</v>
      </c>
      <c r="E1793" t="s">
        <v>3202</v>
      </c>
      <c r="G1793" t="s">
        <v>5258</v>
      </c>
      <c r="H1793" t="s">
        <v>28</v>
      </c>
      <c r="I1793" t="s">
        <v>5801</v>
      </c>
      <c r="J1793" t="s">
        <v>63</v>
      </c>
      <c r="K1793" t="s">
        <v>1235</v>
      </c>
      <c r="M1793">
        <v>50</v>
      </c>
      <c r="N1793" t="s">
        <v>33</v>
      </c>
      <c r="O1793" t="s">
        <v>4050</v>
      </c>
      <c r="P1793" t="s">
        <v>4828</v>
      </c>
      <c r="T1793">
        <v>4</v>
      </c>
      <c r="U1793" t="s">
        <v>56</v>
      </c>
      <c r="V1793" t="s">
        <v>56</v>
      </c>
    </row>
    <row r="1794" spans="1:22" x14ac:dyDescent="0.3">
      <c r="A1794" s="49">
        <v>45274</v>
      </c>
      <c r="E1794" t="s">
        <v>3112</v>
      </c>
      <c r="G1794" t="s">
        <v>4973</v>
      </c>
      <c r="H1794" t="s">
        <v>28</v>
      </c>
      <c r="I1794" t="s">
        <v>2050</v>
      </c>
      <c r="J1794" t="s">
        <v>63</v>
      </c>
      <c r="K1794" t="s">
        <v>64</v>
      </c>
      <c r="M1794">
        <v>100</v>
      </c>
      <c r="N1794" t="s">
        <v>33</v>
      </c>
      <c r="O1794" t="s">
        <v>4051</v>
      </c>
      <c r="P1794" t="s">
        <v>4828</v>
      </c>
      <c r="T1794">
        <v>6</v>
      </c>
      <c r="U1794" t="s">
        <v>40</v>
      </c>
      <c r="V1794" t="s">
        <v>41</v>
      </c>
    </row>
    <row r="1795" spans="1:22" x14ac:dyDescent="0.3">
      <c r="A1795" s="49">
        <v>45274</v>
      </c>
      <c r="E1795" t="s">
        <v>3112</v>
      </c>
      <c r="G1795" t="s">
        <v>4973</v>
      </c>
      <c r="H1795" t="s">
        <v>28</v>
      </c>
      <c r="I1795" t="s">
        <v>2050</v>
      </c>
      <c r="J1795" t="s">
        <v>63</v>
      </c>
      <c r="K1795" t="s">
        <v>64</v>
      </c>
      <c r="M1795">
        <v>100</v>
      </c>
      <c r="N1795" t="s">
        <v>33</v>
      </c>
      <c r="O1795" t="s">
        <v>4052</v>
      </c>
      <c r="P1795" t="s">
        <v>4834</v>
      </c>
      <c r="T1795">
        <v>6</v>
      </c>
      <c r="U1795" t="s">
        <v>40</v>
      </c>
      <c r="V1795" t="s">
        <v>41</v>
      </c>
    </row>
    <row r="1796" spans="1:22" x14ac:dyDescent="0.3">
      <c r="A1796" s="49">
        <v>45274</v>
      </c>
      <c r="E1796" t="s">
        <v>3112</v>
      </c>
      <c r="G1796" t="s">
        <v>4973</v>
      </c>
      <c r="H1796" t="s">
        <v>28</v>
      </c>
      <c r="I1796" t="s">
        <v>2050</v>
      </c>
      <c r="J1796" t="s">
        <v>63</v>
      </c>
      <c r="K1796" t="s">
        <v>64</v>
      </c>
      <c r="M1796">
        <v>100</v>
      </c>
      <c r="N1796" t="s">
        <v>33</v>
      </c>
      <c r="O1796" t="s">
        <v>4053</v>
      </c>
      <c r="P1796" t="s">
        <v>483</v>
      </c>
      <c r="T1796">
        <v>6</v>
      </c>
      <c r="U1796" t="s">
        <v>40</v>
      </c>
      <c r="V1796" t="s">
        <v>41</v>
      </c>
    </row>
    <row r="1797" spans="1:22" x14ac:dyDescent="0.3">
      <c r="A1797" s="49">
        <v>45274</v>
      </c>
      <c r="E1797" t="s">
        <v>3112</v>
      </c>
      <c r="G1797" t="s">
        <v>5259</v>
      </c>
      <c r="H1797" t="s">
        <v>89</v>
      </c>
      <c r="J1797" t="s">
        <v>1712</v>
      </c>
      <c r="K1797" t="s">
        <v>2181</v>
      </c>
      <c r="M1797">
        <v>100</v>
      </c>
      <c r="N1797" t="s">
        <v>49</v>
      </c>
      <c r="O1797" t="s">
        <v>4054</v>
      </c>
      <c r="P1797" t="s">
        <v>2052</v>
      </c>
      <c r="T1797">
        <v>4</v>
      </c>
      <c r="U1797" t="s">
        <v>56</v>
      </c>
      <c r="V1797" t="s">
        <v>56</v>
      </c>
    </row>
    <row r="1798" spans="1:22" x14ac:dyDescent="0.3">
      <c r="A1798" s="49">
        <v>45274</v>
      </c>
      <c r="E1798" t="s">
        <v>3204</v>
      </c>
      <c r="G1798" t="s">
        <v>5145</v>
      </c>
      <c r="H1798" t="s">
        <v>89</v>
      </c>
      <c r="J1798" t="s">
        <v>46</v>
      </c>
      <c r="K1798" t="s">
        <v>422</v>
      </c>
      <c r="M1798">
        <v>100</v>
      </c>
      <c r="N1798" t="s">
        <v>33</v>
      </c>
      <c r="O1798" t="s">
        <v>4055</v>
      </c>
      <c r="P1798" t="s">
        <v>1230</v>
      </c>
      <c r="T1798">
        <v>4</v>
      </c>
      <c r="U1798" t="s">
        <v>56</v>
      </c>
      <c r="V1798" t="s">
        <v>56</v>
      </c>
    </row>
    <row r="1799" spans="1:22" x14ac:dyDescent="0.3">
      <c r="A1799" s="49">
        <v>45274</v>
      </c>
      <c r="E1799" t="s">
        <v>3142</v>
      </c>
      <c r="G1799" t="s">
        <v>5146</v>
      </c>
      <c r="H1799" t="s">
        <v>28</v>
      </c>
      <c r="I1799" t="s">
        <v>5802</v>
      </c>
      <c r="J1799" t="s">
        <v>63</v>
      </c>
      <c r="K1799" t="s">
        <v>64</v>
      </c>
      <c r="M1799">
        <v>100</v>
      </c>
      <c r="N1799" t="s">
        <v>49</v>
      </c>
      <c r="O1799" t="s">
        <v>4056</v>
      </c>
      <c r="P1799" t="s">
        <v>2029</v>
      </c>
      <c r="T1799">
        <v>4</v>
      </c>
      <c r="U1799" t="s">
        <v>56</v>
      </c>
      <c r="V1799" t="s">
        <v>56</v>
      </c>
    </row>
    <row r="1800" spans="1:22" x14ac:dyDescent="0.3">
      <c r="A1800" s="49">
        <v>45274</v>
      </c>
      <c r="E1800" t="s">
        <v>3142</v>
      </c>
      <c r="G1800" t="s">
        <v>5146</v>
      </c>
      <c r="H1800" t="s">
        <v>28</v>
      </c>
      <c r="I1800" t="s">
        <v>5802</v>
      </c>
      <c r="J1800" t="s">
        <v>63</v>
      </c>
      <c r="K1800" t="s">
        <v>64</v>
      </c>
      <c r="M1800">
        <v>100</v>
      </c>
      <c r="N1800" t="s">
        <v>49</v>
      </c>
      <c r="O1800" t="s">
        <v>4057</v>
      </c>
      <c r="P1800" t="s">
        <v>2178</v>
      </c>
      <c r="T1800">
        <v>4</v>
      </c>
      <c r="U1800" t="s">
        <v>56</v>
      </c>
      <c r="V1800" t="s">
        <v>56</v>
      </c>
    </row>
    <row r="1801" spans="1:22" x14ac:dyDescent="0.3">
      <c r="A1801" s="49">
        <v>45274</v>
      </c>
      <c r="E1801" t="s">
        <v>3142</v>
      </c>
      <c r="G1801" t="s">
        <v>5146</v>
      </c>
      <c r="H1801" t="s">
        <v>28</v>
      </c>
      <c r="I1801" t="s">
        <v>5803</v>
      </c>
      <c r="J1801" t="s">
        <v>46</v>
      </c>
      <c r="K1801" t="s">
        <v>481</v>
      </c>
      <c r="M1801">
        <v>95</v>
      </c>
      <c r="N1801" t="s">
        <v>49</v>
      </c>
      <c r="O1801" t="s">
        <v>3649</v>
      </c>
      <c r="P1801" t="s">
        <v>1508</v>
      </c>
      <c r="T1801">
        <v>4</v>
      </c>
      <c r="U1801" t="s">
        <v>56</v>
      </c>
      <c r="V1801" t="s">
        <v>56</v>
      </c>
    </row>
    <row r="1802" spans="1:22" x14ac:dyDescent="0.3">
      <c r="A1802" s="49">
        <v>45274</v>
      </c>
      <c r="E1802" t="s">
        <v>3142</v>
      </c>
      <c r="G1802" t="s">
        <v>5146</v>
      </c>
      <c r="H1802" t="s">
        <v>28</v>
      </c>
      <c r="I1802" t="s">
        <v>5803</v>
      </c>
      <c r="J1802" t="s">
        <v>46</v>
      </c>
      <c r="K1802" t="s">
        <v>481</v>
      </c>
      <c r="M1802">
        <v>95</v>
      </c>
      <c r="N1802" t="s">
        <v>49</v>
      </c>
      <c r="O1802" t="s">
        <v>3649</v>
      </c>
      <c r="P1802" t="s">
        <v>1508</v>
      </c>
      <c r="T1802">
        <v>4</v>
      </c>
      <c r="U1802" t="s">
        <v>56</v>
      </c>
      <c r="V1802" t="s">
        <v>56</v>
      </c>
    </row>
    <row r="1803" spans="1:22" x14ac:dyDescent="0.3">
      <c r="A1803" s="49">
        <v>45274</v>
      </c>
      <c r="E1803" t="s">
        <v>3142</v>
      </c>
      <c r="G1803" t="s">
        <v>5146</v>
      </c>
      <c r="H1803" t="s">
        <v>28</v>
      </c>
      <c r="I1803" t="s">
        <v>5803</v>
      </c>
      <c r="J1803" t="s">
        <v>46</v>
      </c>
      <c r="K1803" t="s">
        <v>481</v>
      </c>
      <c r="M1803">
        <v>95</v>
      </c>
      <c r="N1803" t="s">
        <v>49</v>
      </c>
      <c r="O1803" t="s">
        <v>3649</v>
      </c>
      <c r="P1803" t="s">
        <v>1508</v>
      </c>
      <c r="T1803">
        <v>4</v>
      </c>
      <c r="U1803" t="s">
        <v>56</v>
      </c>
      <c r="V1803" t="s">
        <v>56</v>
      </c>
    </row>
    <row r="1804" spans="1:22" x14ac:dyDescent="0.3">
      <c r="A1804" s="49">
        <v>45274</v>
      </c>
      <c r="E1804" t="s">
        <v>3142</v>
      </c>
      <c r="G1804" t="s">
        <v>5146</v>
      </c>
      <c r="H1804" t="s">
        <v>28</v>
      </c>
      <c r="I1804" t="s">
        <v>5804</v>
      </c>
      <c r="J1804" t="s">
        <v>63</v>
      </c>
      <c r="K1804" t="s">
        <v>4943</v>
      </c>
      <c r="M1804">
        <v>100</v>
      </c>
      <c r="N1804" t="s">
        <v>49</v>
      </c>
      <c r="O1804" t="s">
        <v>4058</v>
      </c>
      <c r="P1804" t="s">
        <v>2178</v>
      </c>
      <c r="T1804">
        <v>4</v>
      </c>
      <c r="U1804" t="s">
        <v>56</v>
      </c>
      <c r="V1804" t="s">
        <v>56</v>
      </c>
    </row>
    <row r="1805" spans="1:22" x14ac:dyDescent="0.3">
      <c r="A1805" s="49">
        <v>45274</v>
      </c>
      <c r="E1805" t="s">
        <v>3142</v>
      </c>
      <c r="G1805" t="s">
        <v>5146</v>
      </c>
      <c r="H1805" t="s">
        <v>28</v>
      </c>
      <c r="I1805" t="s">
        <v>5804</v>
      </c>
      <c r="J1805" t="s">
        <v>63</v>
      </c>
      <c r="K1805" t="s">
        <v>4943</v>
      </c>
      <c r="M1805">
        <v>100</v>
      </c>
      <c r="N1805" t="s">
        <v>49</v>
      </c>
      <c r="O1805" t="s">
        <v>4058</v>
      </c>
      <c r="P1805" t="s">
        <v>2178</v>
      </c>
      <c r="T1805">
        <v>4</v>
      </c>
      <c r="U1805" t="s">
        <v>56</v>
      </c>
      <c r="V1805" t="s">
        <v>56</v>
      </c>
    </row>
    <row r="1806" spans="1:22" x14ac:dyDescent="0.3">
      <c r="A1806" s="49">
        <v>45274</v>
      </c>
      <c r="E1806" t="s">
        <v>3142</v>
      </c>
      <c r="G1806" t="s">
        <v>5146</v>
      </c>
      <c r="H1806" t="s">
        <v>89</v>
      </c>
      <c r="J1806" t="s">
        <v>63</v>
      </c>
      <c r="K1806" t="s">
        <v>64</v>
      </c>
      <c r="M1806">
        <v>100</v>
      </c>
      <c r="N1806" t="s">
        <v>49</v>
      </c>
      <c r="O1806" t="s">
        <v>4059</v>
      </c>
      <c r="P1806" t="s">
        <v>4864</v>
      </c>
      <c r="T1806">
        <v>4</v>
      </c>
      <c r="U1806" t="s">
        <v>56</v>
      </c>
      <c r="V1806" t="s">
        <v>56</v>
      </c>
    </row>
    <row r="1807" spans="1:22" x14ac:dyDescent="0.3">
      <c r="A1807" s="49">
        <v>45274</v>
      </c>
      <c r="E1807" t="s">
        <v>3142</v>
      </c>
      <c r="G1807" t="s">
        <v>5146</v>
      </c>
      <c r="H1807" t="s">
        <v>89</v>
      </c>
      <c r="J1807" t="s">
        <v>63</v>
      </c>
      <c r="K1807" t="s">
        <v>64</v>
      </c>
      <c r="M1807">
        <v>100</v>
      </c>
      <c r="N1807" t="s">
        <v>49</v>
      </c>
      <c r="O1807" t="s">
        <v>4060</v>
      </c>
      <c r="P1807" t="s">
        <v>1230</v>
      </c>
      <c r="T1807">
        <v>4</v>
      </c>
      <c r="U1807" t="s">
        <v>56</v>
      </c>
      <c r="V1807" t="s">
        <v>56</v>
      </c>
    </row>
    <row r="1808" spans="1:22" x14ac:dyDescent="0.3">
      <c r="A1808" s="49">
        <v>45274</v>
      </c>
      <c r="E1808" t="s">
        <v>3142</v>
      </c>
      <c r="G1808" t="s">
        <v>5146</v>
      </c>
      <c r="H1808" t="s">
        <v>89</v>
      </c>
      <c r="J1808" t="s">
        <v>63</v>
      </c>
      <c r="K1808" t="s">
        <v>64</v>
      </c>
      <c r="M1808">
        <v>100</v>
      </c>
      <c r="N1808" t="s">
        <v>33</v>
      </c>
      <c r="O1808" t="s">
        <v>4061</v>
      </c>
      <c r="P1808" t="s">
        <v>4866</v>
      </c>
      <c r="T1808">
        <v>4</v>
      </c>
      <c r="U1808" t="s">
        <v>56</v>
      </c>
      <c r="V1808" t="s">
        <v>56</v>
      </c>
    </row>
    <row r="1809" spans="1:22" x14ac:dyDescent="0.3">
      <c r="A1809" s="49">
        <v>45274</v>
      </c>
      <c r="E1809" t="s">
        <v>3142</v>
      </c>
      <c r="G1809" t="s">
        <v>5146</v>
      </c>
      <c r="H1809" t="s">
        <v>89</v>
      </c>
      <c r="J1809" t="s">
        <v>63</v>
      </c>
      <c r="K1809" t="s">
        <v>64</v>
      </c>
      <c r="M1809">
        <v>100</v>
      </c>
      <c r="N1809" t="s">
        <v>33</v>
      </c>
      <c r="O1809" t="s">
        <v>4062</v>
      </c>
      <c r="P1809" t="s">
        <v>2052</v>
      </c>
      <c r="T1809">
        <v>4</v>
      </c>
      <c r="U1809" t="s">
        <v>56</v>
      </c>
      <c r="V1809" t="s">
        <v>56</v>
      </c>
    </row>
    <row r="1810" spans="1:22" x14ac:dyDescent="0.3">
      <c r="A1810" s="49">
        <v>45274</v>
      </c>
      <c r="E1810" t="s">
        <v>3142</v>
      </c>
      <c r="G1810" t="s">
        <v>5146</v>
      </c>
      <c r="H1810" t="s">
        <v>89</v>
      </c>
      <c r="J1810" t="s">
        <v>63</v>
      </c>
      <c r="K1810" t="s">
        <v>64</v>
      </c>
      <c r="M1810">
        <v>100</v>
      </c>
      <c r="N1810" t="s">
        <v>33</v>
      </c>
      <c r="O1810" t="s">
        <v>4063</v>
      </c>
      <c r="P1810" t="s">
        <v>737</v>
      </c>
      <c r="T1810">
        <v>4</v>
      </c>
      <c r="U1810" t="s">
        <v>56</v>
      </c>
      <c r="V1810" t="s">
        <v>56</v>
      </c>
    </row>
    <row r="1811" spans="1:22" x14ac:dyDescent="0.3">
      <c r="A1811" s="49">
        <v>45274</v>
      </c>
      <c r="E1811" t="s">
        <v>3224</v>
      </c>
      <c r="G1811" t="s">
        <v>5260</v>
      </c>
      <c r="H1811" t="s">
        <v>28</v>
      </c>
      <c r="I1811" t="s">
        <v>2571</v>
      </c>
      <c r="J1811" t="s">
        <v>63</v>
      </c>
      <c r="K1811" t="s">
        <v>4953</v>
      </c>
      <c r="M1811">
        <v>100</v>
      </c>
      <c r="N1811" t="s">
        <v>49</v>
      </c>
      <c r="O1811" t="s">
        <v>4064</v>
      </c>
      <c r="P1811" t="s">
        <v>2627</v>
      </c>
      <c r="T1811">
        <v>4</v>
      </c>
      <c r="U1811" t="s">
        <v>56</v>
      </c>
      <c r="V1811" t="s">
        <v>56</v>
      </c>
    </row>
    <row r="1812" spans="1:22" x14ac:dyDescent="0.3">
      <c r="A1812" s="49">
        <v>45274</v>
      </c>
      <c r="E1812" t="s">
        <v>3185</v>
      </c>
      <c r="G1812" t="s">
        <v>5092</v>
      </c>
      <c r="H1812" t="s">
        <v>89</v>
      </c>
      <c r="J1812" t="s">
        <v>63</v>
      </c>
      <c r="K1812" t="s">
        <v>64</v>
      </c>
      <c r="M1812">
        <v>100</v>
      </c>
      <c r="N1812" t="s">
        <v>49</v>
      </c>
      <c r="O1812" t="s">
        <v>4065</v>
      </c>
      <c r="P1812" t="s">
        <v>4871</v>
      </c>
      <c r="T1812">
        <v>4</v>
      </c>
      <c r="U1812" t="s">
        <v>56</v>
      </c>
      <c r="V1812" t="s">
        <v>56</v>
      </c>
    </row>
    <row r="1813" spans="1:22" x14ac:dyDescent="0.3">
      <c r="A1813" s="49">
        <v>45274</v>
      </c>
      <c r="E1813" t="s">
        <v>3225</v>
      </c>
      <c r="G1813" t="s">
        <v>5261</v>
      </c>
      <c r="H1813" t="s">
        <v>89</v>
      </c>
      <c r="J1813" t="s">
        <v>63</v>
      </c>
      <c r="K1813" t="s">
        <v>64</v>
      </c>
      <c r="M1813">
        <v>95</v>
      </c>
      <c r="N1813" t="s">
        <v>49</v>
      </c>
      <c r="O1813" t="s">
        <v>4066</v>
      </c>
      <c r="P1813" t="s">
        <v>1175</v>
      </c>
      <c r="T1813">
        <v>4</v>
      </c>
      <c r="U1813" t="s">
        <v>56</v>
      </c>
      <c r="V1813" t="s">
        <v>56</v>
      </c>
    </row>
    <row r="1814" spans="1:22" x14ac:dyDescent="0.3">
      <c r="A1814" s="49">
        <v>45274</v>
      </c>
      <c r="E1814" t="s">
        <v>3225</v>
      </c>
      <c r="G1814" t="s">
        <v>5261</v>
      </c>
      <c r="H1814" t="s">
        <v>89</v>
      </c>
      <c r="J1814" t="s">
        <v>63</v>
      </c>
      <c r="K1814" t="s">
        <v>64</v>
      </c>
      <c r="M1814">
        <v>100</v>
      </c>
      <c r="N1814" t="s">
        <v>49</v>
      </c>
      <c r="O1814" t="s">
        <v>4067</v>
      </c>
      <c r="P1814" t="s">
        <v>1116</v>
      </c>
      <c r="T1814">
        <v>4</v>
      </c>
      <c r="U1814" t="s">
        <v>56</v>
      </c>
      <c r="V1814" t="s">
        <v>56</v>
      </c>
    </row>
    <row r="1815" spans="1:22" x14ac:dyDescent="0.3">
      <c r="A1815" s="49">
        <v>45274</v>
      </c>
      <c r="E1815" t="s">
        <v>3225</v>
      </c>
      <c r="G1815" t="s">
        <v>5261</v>
      </c>
      <c r="H1815" t="s">
        <v>89</v>
      </c>
      <c r="J1815" t="s">
        <v>63</v>
      </c>
      <c r="K1815" t="s">
        <v>64</v>
      </c>
      <c r="M1815">
        <v>100</v>
      </c>
      <c r="N1815" t="s">
        <v>49</v>
      </c>
      <c r="O1815" t="s">
        <v>4068</v>
      </c>
      <c r="P1815" t="s">
        <v>4901</v>
      </c>
      <c r="T1815">
        <v>4</v>
      </c>
      <c r="U1815" t="s">
        <v>56</v>
      </c>
      <c r="V1815" t="s">
        <v>56</v>
      </c>
    </row>
    <row r="1816" spans="1:22" x14ac:dyDescent="0.3">
      <c r="A1816" s="49">
        <v>45274</v>
      </c>
      <c r="E1816" t="s">
        <v>3225</v>
      </c>
      <c r="G1816" t="s">
        <v>5261</v>
      </c>
      <c r="H1816" t="s">
        <v>89</v>
      </c>
      <c r="J1816" t="s">
        <v>63</v>
      </c>
      <c r="K1816" t="s">
        <v>64</v>
      </c>
      <c r="M1816">
        <v>20</v>
      </c>
      <c r="N1816" t="s">
        <v>33</v>
      </c>
      <c r="O1816" t="s">
        <v>4069</v>
      </c>
      <c r="P1816" t="s">
        <v>2029</v>
      </c>
      <c r="T1816">
        <v>4</v>
      </c>
      <c r="U1816" t="s">
        <v>56</v>
      </c>
      <c r="V1816" t="s">
        <v>56</v>
      </c>
    </row>
    <row r="1817" spans="1:22" x14ac:dyDescent="0.3">
      <c r="A1817" s="49">
        <v>45274</v>
      </c>
      <c r="E1817" t="s">
        <v>3225</v>
      </c>
      <c r="G1817" t="s">
        <v>5261</v>
      </c>
      <c r="H1817" t="s">
        <v>89</v>
      </c>
      <c r="J1817" t="s">
        <v>63</v>
      </c>
      <c r="K1817" t="s">
        <v>64</v>
      </c>
      <c r="M1817">
        <v>100</v>
      </c>
      <c r="N1817" t="s">
        <v>33</v>
      </c>
      <c r="O1817" t="s">
        <v>4070</v>
      </c>
      <c r="P1817" t="s">
        <v>751</v>
      </c>
      <c r="T1817">
        <v>4</v>
      </c>
      <c r="U1817" t="s">
        <v>56</v>
      </c>
      <c r="V1817" t="s">
        <v>56</v>
      </c>
    </row>
    <row r="1818" spans="1:22" x14ac:dyDescent="0.3">
      <c r="A1818" s="49">
        <v>45274</v>
      </c>
      <c r="E1818" t="s">
        <v>3225</v>
      </c>
      <c r="G1818" t="s">
        <v>5261</v>
      </c>
      <c r="H1818" t="s">
        <v>89</v>
      </c>
      <c r="J1818" t="s">
        <v>63</v>
      </c>
      <c r="K1818" t="s">
        <v>64</v>
      </c>
      <c r="M1818">
        <v>100</v>
      </c>
      <c r="N1818" t="s">
        <v>49</v>
      </c>
      <c r="O1818" t="s">
        <v>4071</v>
      </c>
      <c r="P1818" t="s">
        <v>1175</v>
      </c>
      <c r="T1818">
        <v>4</v>
      </c>
      <c r="U1818" t="s">
        <v>56</v>
      </c>
      <c r="V1818" t="s">
        <v>56</v>
      </c>
    </row>
    <row r="1819" spans="1:22" x14ac:dyDescent="0.3">
      <c r="A1819" s="49">
        <v>45274</v>
      </c>
      <c r="E1819" t="s">
        <v>3225</v>
      </c>
      <c r="G1819" t="s">
        <v>5261</v>
      </c>
      <c r="H1819" t="s">
        <v>89</v>
      </c>
      <c r="J1819" t="s">
        <v>63</v>
      </c>
      <c r="K1819" t="s">
        <v>64</v>
      </c>
      <c r="M1819">
        <v>100</v>
      </c>
      <c r="N1819" t="s">
        <v>49</v>
      </c>
      <c r="O1819" t="s">
        <v>4071</v>
      </c>
      <c r="P1819" t="s">
        <v>1175</v>
      </c>
      <c r="T1819">
        <v>4</v>
      </c>
      <c r="U1819" t="s">
        <v>56</v>
      </c>
      <c r="V1819" t="s">
        <v>56</v>
      </c>
    </row>
    <row r="1820" spans="1:22" x14ac:dyDescent="0.3">
      <c r="A1820" s="49">
        <v>45274</v>
      </c>
      <c r="E1820" t="s">
        <v>3186</v>
      </c>
      <c r="G1820" t="s">
        <v>5093</v>
      </c>
      <c r="H1820" t="s">
        <v>28</v>
      </c>
      <c r="I1820" t="s">
        <v>2275</v>
      </c>
      <c r="J1820" t="s">
        <v>63</v>
      </c>
      <c r="K1820" t="s">
        <v>211</v>
      </c>
      <c r="M1820">
        <v>100</v>
      </c>
      <c r="N1820" t="s">
        <v>49</v>
      </c>
      <c r="O1820" t="s">
        <v>4072</v>
      </c>
      <c r="P1820" t="s">
        <v>751</v>
      </c>
      <c r="T1820">
        <v>4</v>
      </c>
      <c r="U1820" t="s">
        <v>56</v>
      </c>
      <c r="V1820" t="s">
        <v>56</v>
      </c>
    </row>
    <row r="1821" spans="1:22" x14ac:dyDescent="0.3">
      <c r="A1821" s="49">
        <v>45274</v>
      </c>
      <c r="E1821" t="s">
        <v>3186</v>
      </c>
      <c r="G1821" t="s">
        <v>5093</v>
      </c>
      <c r="H1821" t="s">
        <v>28</v>
      </c>
      <c r="I1821" t="s">
        <v>2275</v>
      </c>
      <c r="J1821" t="s">
        <v>63</v>
      </c>
      <c r="K1821" t="s">
        <v>211</v>
      </c>
      <c r="M1821">
        <v>100</v>
      </c>
      <c r="N1821" t="s">
        <v>33</v>
      </c>
      <c r="O1821" t="s">
        <v>4072</v>
      </c>
      <c r="P1821" t="s">
        <v>751</v>
      </c>
      <c r="T1821">
        <v>4</v>
      </c>
      <c r="U1821" t="s">
        <v>56</v>
      </c>
      <c r="V1821" t="s">
        <v>56</v>
      </c>
    </row>
    <row r="1822" spans="1:22" x14ac:dyDescent="0.3">
      <c r="A1822" s="49">
        <v>45274</v>
      </c>
      <c r="E1822" t="s">
        <v>3186</v>
      </c>
      <c r="G1822" t="s">
        <v>5093</v>
      </c>
      <c r="H1822" t="s">
        <v>28</v>
      </c>
      <c r="I1822" t="s">
        <v>2275</v>
      </c>
      <c r="J1822" t="s">
        <v>63</v>
      </c>
      <c r="K1822" t="s">
        <v>211</v>
      </c>
      <c r="M1822">
        <v>100</v>
      </c>
      <c r="N1822" t="s">
        <v>33</v>
      </c>
      <c r="O1822" t="s">
        <v>4072</v>
      </c>
      <c r="P1822" t="s">
        <v>751</v>
      </c>
      <c r="T1822">
        <v>4</v>
      </c>
      <c r="U1822" t="s">
        <v>56</v>
      </c>
      <c r="V1822" t="s">
        <v>56</v>
      </c>
    </row>
    <row r="1823" spans="1:22" x14ac:dyDescent="0.3">
      <c r="A1823" s="49">
        <v>45274</v>
      </c>
      <c r="E1823" t="s">
        <v>3186</v>
      </c>
      <c r="G1823" t="s">
        <v>5093</v>
      </c>
      <c r="H1823" t="s">
        <v>28</v>
      </c>
      <c r="I1823" t="s">
        <v>2275</v>
      </c>
      <c r="J1823" t="s">
        <v>63</v>
      </c>
      <c r="K1823" t="s">
        <v>211</v>
      </c>
      <c r="M1823">
        <v>100</v>
      </c>
      <c r="N1823" t="s">
        <v>33</v>
      </c>
      <c r="O1823" t="s">
        <v>4072</v>
      </c>
      <c r="P1823" t="s">
        <v>751</v>
      </c>
      <c r="T1823">
        <v>4</v>
      </c>
      <c r="U1823" t="s">
        <v>56</v>
      </c>
      <c r="V1823" t="s">
        <v>56</v>
      </c>
    </row>
    <row r="1824" spans="1:22" x14ac:dyDescent="0.3">
      <c r="A1824" s="49">
        <v>45274</v>
      </c>
      <c r="E1824" t="s">
        <v>3186</v>
      </c>
      <c r="G1824" t="s">
        <v>5103</v>
      </c>
      <c r="H1824" t="s">
        <v>28</v>
      </c>
      <c r="I1824" t="s">
        <v>5617</v>
      </c>
      <c r="J1824" t="s">
        <v>63</v>
      </c>
      <c r="K1824" t="s">
        <v>64</v>
      </c>
      <c r="M1824">
        <v>100</v>
      </c>
      <c r="N1824" t="s">
        <v>49</v>
      </c>
      <c r="O1824" t="s">
        <v>4073</v>
      </c>
      <c r="P1824" t="s">
        <v>4871</v>
      </c>
      <c r="T1824">
        <v>4</v>
      </c>
      <c r="U1824" t="s">
        <v>56</v>
      </c>
      <c r="V1824" t="s">
        <v>56</v>
      </c>
    </row>
    <row r="1825" spans="1:22" x14ac:dyDescent="0.3">
      <c r="A1825" s="49">
        <v>45274</v>
      </c>
      <c r="E1825" t="s">
        <v>3186</v>
      </c>
      <c r="G1825" t="s">
        <v>5103</v>
      </c>
      <c r="H1825" t="s">
        <v>28</v>
      </c>
      <c r="I1825" t="s">
        <v>5617</v>
      </c>
      <c r="J1825" t="s">
        <v>63</v>
      </c>
      <c r="K1825" t="s">
        <v>64</v>
      </c>
      <c r="M1825">
        <v>100</v>
      </c>
      <c r="N1825" t="s">
        <v>49</v>
      </c>
      <c r="O1825" t="s">
        <v>4073</v>
      </c>
      <c r="P1825" t="s">
        <v>4871</v>
      </c>
      <c r="T1825">
        <v>4</v>
      </c>
      <c r="U1825" t="s">
        <v>56</v>
      </c>
      <c r="V1825" t="s">
        <v>56</v>
      </c>
    </row>
    <row r="1826" spans="1:22" x14ac:dyDescent="0.3">
      <c r="A1826" s="49">
        <v>45274</v>
      </c>
      <c r="E1826" t="s">
        <v>3186</v>
      </c>
      <c r="G1826" t="s">
        <v>5103</v>
      </c>
      <c r="H1826" t="s">
        <v>28</v>
      </c>
      <c r="I1826" t="s">
        <v>5555</v>
      </c>
      <c r="J1826" t="s">
        <v>63</v>
      </c>
      <c r="K1826" t="s">
        <v>64</v>
      </c>
      <c r="M1826">
        <v>100</v>
      </c>
      <c r="N1826" t="s">
        <v>49</v>
      </c>
      <c r="O1826" t="s">
        <v>4074</v>
      </c>
      <c r="P1826" t="s">
        <v>4834</v>
      </c>
      <c r="T1826">
        <v>4</v>
      </c>
      <c r="U1826" t="s">
        <v>56</v>
      </c>
      <c r="V1826" t="s">
        <v>56</v>
      </c>
    </row>
    <row r="1827" spans="1:22" x14ac:dyDescent="0.3">
      <c r="A1827" s="49">
        <v>45274</v>
      </c>
      <c r="E1827" t="s">
        <v>3186</v>
      </c>
      <c r="G1827" t="s">
        <v>5103</v>
      </c>
      <c r="H1827" t="s">
        <v>28</v>
      </c>
      <c r="I1827" t="s">
        <v>5555</v>
      </c>
      <c r="J1827" t="s">
        <v>63</v>
      </c>
      <c r="K1827" t="s">
        <v>64</v>
      </c>
      <c r="M1827">
        <v>100</v>
      </c>
      <c r="N1827" t="s">
        <v>49</v>
      </c>
      <c r="O1827" t="s">
        <v>4074</v>
      </c>
      <c r="P1827" t="s">
        <v>4834</v>
      </c>
      <c r="T1827">
        <v>4</v>
      </c>
      <c r="U1827" t="s">
        <v>56</v>
      </c>
      <c r="V1827" t="s">
        <v>56</v>
      </c>
    </row>
    <row r="1828" spans="1:22" x14ac:dyDescent="0.3">
      <c r="A1828" s="49">
        <v>45274</v>
      </c>
      <c r="E1828" t="s">
        <v>3186</v>
      </c>
      <c r="G1828" t="s">
        <v>5103</v>
      </c>
      <c r="H1828" t="s">
        <v>28</v>
      </c>
      <c r="I1828" t="s">
        <v>5555</v>
      </c>
      <c r="J1828" t="s">
        <v>63</v>
      </c>
      <c r="K1828" t="s">
        <v>64</v>
      </c>
      <c r="M1828">
        <v>100</v>
      </c>
      <c r="N1828" t="s">
        <v>49</v>
      </c>
      <c r="O1828" t="s">
        <v>4075</v>
      </c>
      <c r="P1828" t="s">
        <v>4830</v>
      </c>
      <c r="T1828">
        <v>4</v>
      </c>
      <c r="U1828" t="s">
        <v>56</v>
      </c>
      <c r="V1828" t="s">
        <v>56</v>
      </c>
    </row>
    <row r="1829" spans="1:22" x14ac:dyDescent="0.3">
      <c r="A1829" s="49">
        <v>45274</v>
      </c>
      <c r="E1829" t="s">
        <v>3186</v>
      </c>
      <c r="G1829" t="s">
        <v>5103</v>
      </c>
      <c r="H1829" t="s">
        <v>28</v>
      </c>
      <c r="I1829" t="s">
        <v>5555</v>
      </c>
      <c r="J1829" t="s">
        <v>63</v>
      </c>
      <c r="K1829" t="s">
        <v>64</v>
      </c>
      <c r="M1829">
        <v>100</v>
      </c>
      <c r="N1829" t="s">
        <v>49</v>
      </c>
      <c r="O1829" t="s">
        <v>4076</v>
      </c>
      <c r="P1829" t="s">
        <v>4828</v>
      </c>
      <c r="T1829">
        <v>4</v>
      </c>
      <c r="U1829" t="s">
        <v>56</v>
      </c>
      <c r="V1829" t="s">
        <v>56</v>
      </c>
    </row>
    <row r="1830" spans="1:22" x14ac:dyDescent="0.3">
      <c r="A1830" s="49">
        <v>45274</v>
      </c>
      <c r="E1830" t="s">
        <v>3186</v>
      </c>
      <c r="G1830" t="s">
        <v>5103</v>
      </c>
      <c r="H1830" t="s">
        <v>28</v>
      </c>
      <c r="I1830" t="s">
        <v>5555</v>
      </c>
      <c r="J1830" t="s">
        <v>63</v>
      </c>
      <c r="K1830" t="s">
        <v>64</v>
      </c>
      <c r="M1830">
        <v>90</v>
      </c>
      <c r="N1830" t="s">
        <v>49</v>
      </c>
      <c r="O1830" t="s">
        <v>4077</v>
      </c>
      <c r="P1830" t="s">
        <v>4866</v>
      </c>
      <c r="T1830">
        <v>4</v>
      </c>
      <c r="U1830" t="s">
        <v>56</v>
      </c>
      <c r="V1830" t="s">
        <v>56</v>
      </c>
    </row>
    <row r="1831" spans="1:22" x14ac:dyDescent="0.3">
      <c r="A1831" s="49">
        <v>45274</v>
      </c>
      <c r="E1831" t="s">
        <v>3186</v>
      </c>
      <c r="G1831" t="s">
        <v>5103</v>
      </c>
      <c r="H1831" t="s">
        <v>28</v>
      </c>
      <c r="I1831" t="s">
        <v>5805</v>
      </c>
      <c r="J1831" t="s">
        <v>1712</v>
      </c>
      <c r="K1831" t="s">
        <v>481</v>
      </c>
      <c r="M1831">
        <v>80</v>
      </c>
      <c r="N1831" t="s">
        <v>49</v>
      </c>
      <c r="O1831" t="s">
        <v>4078</v>
      </c>
      <c r="P1831" t="s">
        <v>743</v>
      </c>
      <c r="T1831">
        <v>4</v>
      </c>
      <c r="U1831" t="s">
        <v>56</v>
      </c>
      <c r="V1831" t="s">
        <v>56</v>
      </c>
    </row>
    <row r="1832" spans="1:22" x14ac:dyDescent="0.3">
      <c r="A1832" s="49">
        <v>45274</v>
      </c>
      <c r="E1832" t="s">
        <v>3114</v>
      </c>
      <c r="G1832" t="s">
        <v>748</v>
      </c>
      <c r="H1832" t="s">
        <v>89</v>
      </c>
      <c r="J1832" t="s">
        <v>63</v>
      </c>
      <c r="K1832" t="s">
        <v>64</v>
      </c>
      <c r="M1832">
        <v>100</v>
      </c>
      <c r="N1832" t="s">
        <v>49</v>
      </c>
      <c r="O1832" t="s">
        <v>4079</v>
      </c>
      <c r="P1832" t="s">
        <v>1116</v>
      </c>
      <c r="T1832">
        <v>4</v>
      </c>
      <c r="U1832" t="s">
        <v>56</v>
      </c>
      <c r="V1832" t="s">
        <v>56</v>
      </c>
    </row>
    <row r="1833" spans="1:22" x14ac:dyDescent="0.3">
      <c r="A1833" s="49">
        <v>45274</v>
      </c>
      <c r="E1833" t="s">
        <v>3114</v>
      </c>
      <c r="G1833" t="s">
        <v>748</v>
      </c>
      <c r="H1833" t="s">
        <v>89</v>
      </c>
      <c r="J1833" t="s">
        <v>63</v>
      </c>
      <c r="K1833" t="s">
        <v>4952</v>
      </c>
      <c r="M1833">
        <v>100</v>
      </c>
      <c r="N1833" t="s">
        <v>33</v>
      </c>
      <c r="O1833" t="s">
        <v>4080</v>
      </c>
      <c r="P1833" t="s">
        <v>2052</v>
      </c>
      <c r="T1833">
        <v>4</v>
      </c>
      <c r="U1833" t="s">
        <v>56</v>
      </c>
      <c r="V1833" t="s">
        <v>56</v>
      </c>
    </row>
    <row r="1834" spans="1:22" x14ac:dyDescent="0.3">
      <c r="A1834" s="49">
        <v>45274</v>
      </c>
      <c r="E1834" t="s">
        <v>3114</v>
      </c>
      <c r="G1834" t="s">
        <v>748</v>
      </c>
      <c r="H1834" t="s">
        <v>89</v>
      </c>
      <c r="J1834" t="s">
        <v>63</v>
      </c>
      <c r="K1834" t="s">
        <v>64</v>
      </c>
      <c r="M1834">
        <v>23</v>
      </c>
      <c r="N1834" t="s">
        <v>49</v>
      </c>
      <c r="O1834" t="s">
        <v>4081</v>
      </c>
      <c r="P1834" t="s">
        <v>1116</v>
      </c>
      <c r="T1834">
        <v>4</v>
      </c>
      <c r="U1834" t="s">
        <v>56</v>
      </c>
      <c r="V1834" t="s">
        <v>56</v>
      </c>
    </row>
    <row r="1835" spans="1:22" x14ac:dyDescent="0.3">
      <c r="A1835" s="49">
        <v>45274</v>
      </c>
      <c r="E1835" t="s">
        <v>3114</v>
      </c>
      <c r="G1835" t="s">
        <v>748</v>
      </c>
      <c r="H1835" t="s">
        <v>89</v>
      </c>
      <c r="J1835" t="s">
        <v>63</v>
      </c>
      <c r="K1835" t="s">
        <v>64</v>
      </c>
      <c r="M1835">
        <v>100</v>
      </c>
      <c r="N1835" t="s">
        <v>49</v>
      </c>
      <c r="O1835" t="s">
        <v>4082</v>
      </c>
      <c r="P1835" t="s">
        <v>1116</v>
      </c>
      <c r="T1835">
        <v>4</v>
      </c>
      <c r="U1835" t="s">
        <v>56</v>
      </c>
      <c r="V1835" t="s">
        <v>56</v>
      </c>
    </row>
    <row r="1836" spans="1:22" x14ac:dyDescent="0.3">
      <c r="A1836" s="49">
        <v>45274</v>
      </c>
      <c r="E1836" t="s">
        <v>3114</v>
      </c>
      <c r="G1836" t="s">
        <v>748</v>
      </c>
      <c r="H1836" t="s">
        <v>28</v>
      </c>
      <c r="I1836" t="s">
        <v>5618</v>
      </c>
      <c r="J1836" t="s">
        <v>63</v>
      </c>
      <c r="K1836" t="s">
        <v>4954</v>
      </c>
      <c r="M1836">
        <v>100</v>
      </c>
      <c r="N1836" t="s">
        <v>49</v>
      </c>
      <c r="O1836" t="s">
        <v>4083</v>
      </c>
      <c r="P1836" t="s">
        <v>4877</v>
      </c>
      <c r="T1836">
        <v>4</v>
      </c>
      <c r="U1836" t="s">
        <v>56</v>
      </c>
      <c r="V1836" t="s">
        <v>56</v>
      </c>
    </row>
    <row r="1837" spans="1:22" x14ac:dyDescent="0.3">
      <c r="A1837" s="49">
        <v>45274</v>
      </c>
      <c r="E1837" t="s">
        <v>3114</v>
      </c>
      <c r="G1837" t="s">
        <v>748</v>
      </c>
      <c r="H1837" t="s">
        <v>28</v>
      </c>
      <c r="I1837" t="s">
        <v>5806</v>
      </c>
      <c r="J1837" t="s">
        <v>63</v>
      </c>
      <c r="K1837" t="s">
        <v>64</v>
      </c>
      <c r="M1837">
        <v>100</v>
      </c>
      <c r="N1837" t="s">
        <v>49</v>
      </c>
      <c r="O1837" t="s">
        <v>4084</v>
      </c>
      <c r="P1837" t="s">
        <v>4833</v>
      </c>
      <c r="T1837">
        <v>4</v>
      </c>
      <c r="U1837" t="s">
        <v>56</v>
      </c>
      <c r="V1837" t="s">
        <v>56</v>
      </c>
    </row>
    <row r="1838" spans="1:22" x14ac:dyDescent="0.3">
      <c r="A1838" s="49">
        <v>45274</v>
      </c>
      <c r="E1838" t="s">
        <v>3143</v>
      </c>
      <c r="G1838" t="s">
        <v>5020</v>
      </c>
      <c r="H1838" t="s">
        <v>89</v>
      </c>
      <c r="J1838" t="s">
        <v>63</v>
      </c>
      <c r="K1838" t="s">
        <v>64</v>
      </c>
      <c r="M1838">
        <v>45</v>
      </c>
      <c r="N1838" t="s">
        <v>49</v>
      </c>
      <c r="O1838" t="s">
        <v>4085</v>
      </c>
      <c r="P1838" t="s">
        <v>1054</v>
      </c>
      <c r="T1838">
        <v>4</v>
      </c>
      <c r="U1838" t="s">
        <v>56</v>
      </c>
      <c r="V1838" t="s">
        <v>56</v>
      </c>
    </row>
    <row r="1839" spans="1:22" x14ac:dyDescent="0.3">
      <c r="A1839" s="49">
        <v>45274</v>
      </c>
      <c r="E1839" t="s">
        <v>3143</v>
      </c>
      <c r="G1839" t="s">
        <v>5020</v>
      </c>
      <c r="H1839" t="s">
        <v>89</v>
      </c>
      <c r="J1839" t="s">
        <v>63</v>
      </c>
      <c r="K1839" t="s">
        <v>64</v>
      </c>
      <c r="M1839">
        <v>95</v>
      </c>
      <c r="N1839" t="s">
        <v>49</v>
      </c>
      <c r="O1839" t="s">
        <v>4086</v>
      </c>
      <c r="P1839" t="s">
        <v>4902</v>
      </c>
      <c r="T1839">
        <v>4</v>
      </c>
      <c r="U1839" t="s">
        <v>56</v>
      </c>
      <c r="V1839" t="s">
        <v>56</v>
      </c>
    </row>
    <row r="1840" spans="1:22" x14ac:dyDescent="0.3">
      <c r="A1840" s="49">
        <v>45274</v>
      </c>
      <c r="E1840" t="s">
        <v>3143</v>
      </c>
      <c r="G1840" t="s">
        <v>5020</v>
      </c>
      <c r="H1840" t="s">
        <v>89</v>
      </c>
      <c r="J1840" t="s">
        <v>63</v>
      </c>
      <c r="K1840" t="s">
        <v>64</v>
      </c>
      <c r="M1840">
        <v>95</v>
      </c>
      <c r="N1840" t="s">
        <v>74</v>
      </c>
      <c r="O1840" t="s">
        <v>4087</v>
      </c>
      <c r="P1840" t="s">
        <v>566</v>
      </c>
      <c r="T1840">
        <v>4</v>
      </c>
      <c r="U1840" t="s">
        <v>56</v>
      </c>
      <c r="V1840" t="s">
        <v>56</v>
      </c>
    </row>
    <row r="1841" spans="1:22" x14ac:dyDescent="0.3">
      <c r="A1841" s="49">
        <v>45274</v>
      </c>
      <c r="E1841" t="s">
        <v>3143</v>
      </c>
      <c r="G1841" t="s">
        <v>5020</v>
      </c>
      <c r="H1841" t="s">
        <v>89</v>
      </c>
      <c r="J1841" t="s">
        <v>63</v>
      </c>
      <c r="K1841" t="s">
        <v>64</v>
      </c>
      <c r="M1841">
        <v>100</v>
      </c>
      <c r="N1841" t="s">
        <v>49</v>
      </c>
      <c r="O1841" t="s">
        <v>4088</v>
      </c>
      <c r="P1841" t="s">
        <v>751</v>
      </c>
      <c r="T1841">
        <v>4</v>
      </c>
      <c r="U1841" t="s">
        <v>56</v>
      </c>
      <c r="V1841" t="s">
        <v>56</v>
      </c>
    </row>
    <row r="1842" spans="1:22" x14ac:dyDescent="0.3">
      <c r="A1842" s="49">
        <v>45274</v>
      </c>
      <c r="E1842" t="s">
        <v>3143</v>
      </c>
      <c r="G1842" t="s">
        <v>5020</v>
      </c>
      <c r="H1842" t="s">
        <v>28</v>
      </c>
      <c r="I1842" t="s">
        <v>5807</v>
      </c>
      <c r="J1842" t="s">
        <v>63</v>
      </c>
      <c r="K1842" t="s">
        <v>64</v>
      </c>
      <c r="M1842">
        <v>100</v>
      </c>
      <c r="N1842" t="s">
        <v>49</v>
      </c>
      <c r="O1842" t="s">
        <v>4088</v>
      </c>
      <c r="P1842" t="s">
        <v>751</v>
      </c>
      <c r="T1842">
        <v>4</v>
      </c>
      <c r="U1842" t="s">
        <v>56</v>
      </c>
      <c r="V1842" t="s">
        <v>56</v>
      </c>
    </row>
    <row r="1843" spans="1:22" x14ac:dyDescent="0.3">
      <c r="A1843" s="49">
        <v>45274</v>
      </c>
      <c r="E1843" t="s">
        <v>3187</v>
      </c>
      <c r="G1843" t="s">
        <v>5262</v>
      </c>
      <c r="H1843" t="s">
        <v>28</v>
      </c>
      <c r="I1843" t="s">
        <v>2430</v>
      </c>
      <c r="J1843" t="s">
        <v>63</v>
      </c>
      <c r="K1843" t="s">
        <v>211</v>
      </c>
      <c r="M1843">
        <v>100</v>
      </c>
      <c r="N1843" t="s">
        <v>49</v>
      </c>
      <c r="O1843" t="s">
        <v>4089</v>
      </c>
      <c r="P1843" t="s">
        <v>4827</v>
      </c>
      <c r="T1843">
        <v>4</v>
      </c>
      <c r="U1843" t="s">
        <v>56</v>
      </c>
      <c r="V1843" t="s">
        <v>56</v>
      </c>
    </row>
    <row r="1844" spans="1:22" x14ac:dyDescent="0.3">
      <c r="A1844" s="49">
        <v>45274</v>
      </c>
      <c r="E1844" t="s">
        <v>3187</v>
      </c>
      <c r="G1844" t="s">
        <v>5262</v>
      </c>
      <c r="H1844" t="s">
        <v>28</v>
      </c>
      <c r="I1844" t="s">
        <v>2430</v>
      </c>
      <c r="J1844" t="s">
        <v>63</v>
      </c>
      <c r="K1844" t="s">
        <v>211</v>
      </c>
      <c r="M1844">
        <v>100</v>
      </c>
      <c r="N1844" t="s">
        <v>49</v>
      </c>
      <c r="O1844" t="s">
        <v>4090</v>
      </c>
      <c r="P1844" t="s">
        <v>1116</v>
      </c>
      <c r="T1844">
        <v>4</v>
      </c>
      <c r="U1844" t="s">
        <v>56</v>
      </c>
      <c r="V1844" t="s">
        <v>56</v>
      </c>
    </row>
    <row r="1845" spans="1:22" x14ac:dyDescent="0.3">
      <c r="A1845" s="49">
        <v>45274</v>
      </c>
      <c r="E1845" t="s">
        <v>3187</v>
      </c>
      <c r="G1845" t="s">
        <v>5262</v>
      </c>
      <c r="H1845" t="s">
        <v>28</v>
      </c>
      <c r="I1845" t="s">
        <v>2430</v>
      </c>
      <c r="J1845" t="s">
        <v>63</v>
      </c>
      <c r="K1845" t="s">
        <v>211</v>
      </c>
      <c r="M1845">
        <v>100</v>
      </c>
      <c r="N1845" t="s">
        <v>33</v>
      </c>
      <c r="O1845" t="s">
        <v>4090</v>
      </c>
      <c r="P1845" t="s">
        <v>1116</v>
      </c>
      <c r="T1845">
        <v>4</v>
      </c>
      <c r="U1845" t="s">
        <v>56</v>
      </c>
      <c r="V1845" t="s">
        <v>56</v>
      </c>
    </row>
    <row r="1846" spans="1:22" x14ac:dyDescent="0.3">
      <c r="A1846" s="49">
        <v>45274</v>
      </c>
      <c r="E1846" t="s">
        <v>3187</v>
      </c>
      <c r="G1846" t="s">
        <v>5262</v>
      </c>
      <c r="H1846" t="s">
        <v>28</v>
      </c>
      <c r="I1846" t="s">
        <v>2430</v>
      </c>
      <c r="J1846" t="s">
        <v>63</v>
      </c>
      <c r="K1846" t="s">
        <v>211</v>
      </c>
      <c r="M1846">
        <v>100</v>
      </c>
      <c r="N1846" t="s">
        <v>33</v>
      </c>
      <c r="O1846" t="s">
        <v>4091</v>
      </c>
      <c r="P1846" t="s">
        <v>4864</v>
      </c>
      <c r="T1846">
        <v>4</v>
      </c>
      <c r="U1846" t="s">
        <v>56</v>
      </c>
      <c r="V1846" t="s">
        <v>56</v>
      </c>
    </row>
    <row r="1847" spans="1:22" x14ac:dyDescent="0.3">
      <c r="A1847" s="49">
        <v>45274</v>
      </c>
      <c r="E1847" t="s">
        <v>3187</v>
      </c>
      <c r="G1847" t="s">
        <v>761</v>
      </c>
      <c r="H1847" t="s">
        <v>28</v>
      </c>
      <c r="I1847" t="s">
        <v>5808</v>
      </c>
      <c r="J1847" t="s">
        <v>63</v>
      </c>
      <c r="K1847" t="s">
        <v>64</v>
      </c>
      <c r="M1847">
        <v>100</v>
      </c>
      <c r="N1847" t="s">
        <v>49</v>
      </c>
      <c r="O1847" t="s">
        <v>4092</v>
      </c>
      <c r="P1847" t="s">
        <v>416</v>
      </c>
      <c r="T1847">
        <v>4</v>
      </c>
      <c r="U1847" t="s">
        <v>56</v>
      </c>
      <c r="V1847" t="s">
        <v>56</v>
      </c>
    </row>
    <row r="1848" spans="1:22" x14ac:dyDescent="0.3">
      <c r="A1848" s="49">
        <v>45274</v>
      </c>
      <c r="E1848" t="s">
        <v>3187</v>
      </c>
      <c r="G1848" t="s">
        <v>761</v>
      </c>
      <c r="H1848" t="s">
        <v>28</v>
      </c>
      <c r="I1848" t="s">
        <v>5809</v>
      </c>
      <c r="J1848" t="s">
        <v>63</v>
      </c>
      <c r="K1848" t="s">
        <v>64</v>
      </c>
      <c r="M1848">
        <v>100</v>
      </c>
      <c r="N1848" t="s">
        <v>33</v>
      </c>
      <c r="O1848" t="s">
        <v>4093</v>
      </c>
      <c r="P1848" t="s">
        <v>737</v>
      </c>
      <c r="T1848">
        <v>4</v>
      </c>
      <c r="U1848" t="s">
        <v>56</v>
      </c>
      <c r="V1848" t="s">
        <v>56</v>
      </c>
    </row>
    <row r="1849" spans="1:22" x14ac:dyDescent="0.3">
      <c r="A1849" s="49">
        <v>45274</v>
      </c>
      <c r="E1849" t="s">
        <v>3187</v>
      </c>
      <c r="G1849" t="s">
        <v>761</v>
      </c>
      <c r="H1849" t="s">
        <v>28</v>
      </c>
      <c r="I1849" t="s">
        <v>5809</v>
      </c>
      <c r="J1849" t="s">
        <v>63</v>
      </c>
      <c r="K1849" t="s">
        <v>64</v>
      </c>
      <c r="M1849">
        <v>100</v>
      </c>
      <c r="N1849" t="s">
        <v>33</v>
      </c>
      <c r="O1849" t="s">
        <v>4093</v>
      </c>
      <c r="P1849" t="s">
        <v>737</v>
      </c>
      <c r="T1849">
        <v>4</v>
      </c>
      <c r="U1849" t="s">
        <v>56</v>
      </c>
      <c r="V1849" t="s">
        <v>56</v>
      </c>
    </row>
    <row r="1850" spans="1:22" x14ac:dyDescent="0.3">
      <c r="A1850" s="49">
        <v>45274</v>
      </c>
      <c r="E1850" t="s">
        <v>3187</v>
      </c>
      <c r="G1850" t="s">
        <v>761</v>
      </c>
      <c r="H1850" t="s">
        <v>28</v>
      </c>
      <c r="I1850" t="s">
        <v>5809</v>
      </c>
      <c r="J1850" t="s">
        <v>63</v>
      </c>
      <c r="K1850" t="s">
        <v>64</v>
      </c>
      <c r="M1850">
        <v>100</v>
      </c>
      <c r="N1850" t="s">
        <v>33</v>
      </c>
      <c r="O1850" t="s">
        <v>4094</v>
      </c>
      <c r="P1850" t="s">
        <v>483</v>
      </c>
      <c r="T1850">
        <v>4</v>
      </c>
      <c r="U1850" t="s">
        <v>56</v>
      </c>
      <c r="V1850" t="s">
        <v>56</v>
      </c>
    </row>
    <row r="1851" spans="1:22" x14ac:dyDescent="0.3">
      <c r="A1851" s="49">
        <v>45274</v>
      </c>
      <c r="E1851" t="s">
        <v>3187</v>
      </c>
      <c r="G1851" t="s">
        <v>761</v>
      </c>
      <c r="H1851" t="s">
        <v>28</v>
      </c>
      <c r="I1851" t="s">
        <v>5809</v>
      </c>
      <c r="J1851" t="s">
        <v>63</v>
      </c>
      <c r="K1851" t="s">
        <v>64</v>
      </c>
      <c r="M1851">
        <v>100</v>
      </c>
      <c r="N1851" t="s">
        <v>33</v>
      </c>
      <c r="O1851" t="s">
        <v>4095</v>
      </c>
      <c r="P1851" t="s">
        <v>2029</v>
      </c>
      <c r="T1851">
        <v>4</v>
      </c>
      <c r="U1851" t="s">
        <v>56</v>
      </c>
      <c r="V1851" t="s">
        <v>56</v>
      </c>
    </row>
    <row r="1852" spans="1:22" x14ac:dyDescent="0.3">
      <c r="A1852" s="49">
        <v>45274</v>
      </c>
      <c r="E1852" t="s">
        <v>3187</v>
      </c>
      <c r="G1852" t="s">
        <v>761</v>
      </c>
      <c r="H1852" t="s">
        <v>28</v>
      </c>
      <c r="I1852" t="s">
        <v>5808</v>
      </c>
      <c r="J1852" t="s">
        <v>63</v>
      </c>
      <c r="K1852" t="s">
        <v>64</v>
      </c>
      <c r="M1852">
        <v>100</v>
      </c>
      <c r="N1852" t="s">
        <v>49</v>
      </c>
      <c r="O1852" t="s">
        <v>4092</v>
      </c>
      <c r="P1852" t="s">
        <v>416</v>
      </c>
      <c r="T1852">
        <v>4</v>
      </c>
      <c r="U1852" t="s">
        <v>56</v>
      </c>
      <c r="V1852" t="s">
        <v>56</v>
      </c>
    </row>
    <row r="1853" spans="1:22" x14ac:dyDescent="0.3">
      <c r="A1853" s="49">
        <v>45274</v>
      </c>
      <c r="E1853" t="s">
        <v>3145</v>
      </c>
      <c r="G1853" t="s">
        <v>5064</v>
      </c>
      <c r="H1853" t="s">
        <v>89</v>
      </c>
      <c r="J1853" t="s">
        <v>63</v>
      </c>
      <c r="K1853" t="s">
        <v>211</v>
      </c>
      <c r="M1853">
        <v>50</v>
      </c>
      <c r="N1853" t="s">
        <v>49</v>
      </c>
      <c r="O1853" t="s">
        <v>4096</v>
      </c>
      <c r="P1853" t="s">
        <v>1230</v>
      </c>
      <c r="T1853">
        <v>4</v>
      </c>
      <c r="U1853" t="s">
        <v>56</v>
      </c>
      <c r="V1853" t="s">
        <v>56</v>
      </c>
    </row>
    <row r="1854" spans="1:22" x14ac:dyDescent="0.3">
      <c r="A1854" s="49">
        <v>45274</v>
      </c>
      <c r="E1854" t="s">
        <v>3145</v>
      </c>
      <c r="G1854" t="s">
        <v>5064</v>
      </c>
      <c r="H1854" t="s">
        <v>89</v>
      </c>
      <c r="J1854" t="s">
        <v>63</v>
      </c>
      <c r="K1854" t="s">
        <v>211</v>
      </c>
      <c r="M1854">
        <v>100</v>
      </c>
      <c r="N1854" t="s">
        <v>49</v>
      </c>
      <c r="O1854" t="s">
        <v>4096</v>
      </c>
      <c r="P1854" t="s">
        <v>1230</v>
      </c>
      <c r="T1854">
        <v>4</v>
      </c>
      <c r="U1854" t="s">
        <v>56</v>
      </c>
      <c r="V1854" t="s">
        <v>56</v>
      </c>
    </row>
    <row r="1855" spans="1:22" x14ac:dyDescent="0.3">
      <c r="A1855" s="49">
        <v>45274</v>
      </c>
      <c r="E1855" t="s">
        <v>3145</v>
      </c>
      <c r="G1855" t="s">
        <v>5064</v>
      </c>
      <c r="H1855" t="s">
        <v>28</v>
      </c>
      <c r="I1855" t="s">
        <v>5810</v>
      </c>
      <c r="J1855" t="s">
        <v>63</v>
      </c>
      <c r="K1855" t="s">
        <v>4955</v>
      </c>
      <c r="M1855">
        <v>100</v>
      </c>
      <c r="N1855" t="s">
        <v>49</v>
      </c>
      <c r="O1855" t="s">
        <v>4097</v>
      </c>
      <c r="P1855" t="s">
        <v>4828</v>
      </c>
      <c r="T1855">
        <v>4</v>
      </c>
      <c r="U1855" t="s">
        <v>56</v>
      </c>
      <c r="V1855" t="s">
        <v>56</v>
      </c>
    </row>
    <row r="1856" spans="1:22" x14ac:dyDescent="0.3">
      <c r="A1856" s="49">
        <v>45274</v>
      </c>
      <c r="E1856" t="s">
        <v>3145</v>
      </c>
      <c r="G1856" t="s">
        <v>5064</v>
      </c>
      <c r="H1856" t="s">
        <v>28</v>
      </c>
      <c r="I1856" t="s">
        <v>5810</v>
      </c>
      <c r="J1856" t="s">
        <v>63</v>
      </c>
      <c r="K1856" t="s">
        <v>4955</v>
      </c>
      <c r="M1856">
        <v>94</v>
      </c>
      <c r="N1856" t="s">
        <v>49</v>
      </c>
      <c r="O1856" t="s">
        <v>4098</v>
      </c>
      <c r="P1856" t="s">
        <v>373</v>
      </c>
      <c r="T1856">
        <v>4</v>
      </c>
      <c r="U1856" t="s">
        <v>56</v>
      </c>
      <c r="V1856" t="s">
        <v>56</v>
      </c>
    </row>
    <row r="1857" spans="1:22" x14ac:dyDescent="0.3">
      <c r="A1857" s="49">
        <v>45274</v>
      </c>
      <c r="E1857" t="s">
        <v>3145</v>
      </c>
      <c r="G1857" t="s">
        <v>5022</v>
      </c>
      <c r="H1857" t="s">
        <v>89</v>
      </c>
      <c r="J1857" t="s">
        <v>63</v>
      </c>
      <c r="K1857" t="s">
        <v>64</v>
      </c>
      <c r="M1857">
        <v>100</v>
      </c>
      <c r="N1857" t="s">
        <v>49</v>
      </c>
      <c r="O1857" t="s">
        <v>4099</v>
      </c>
      <c r="P1857" t="s">
        <v>85</v>
      </c>
      <c r="T1857">
        <v>4</v>
      </c>
      <c r="U1857" t="s">
        <v>56</v>
      </c>
      <c r="V1857" t="s">
        <v>56</v>
      </c>
    </row>
    <row r="1858" spans="1:22" x14ac:dyDescent="0.3">
      <c r="A1858" s="49">
        <v>45274</v>
      </c>
      <c r="E1858" t="s">
        <v>3145</v>
      </c>
      <c r="G1858" t="s">
        <v>5022</v>
      </c>
      <c r="H1858" t="s">
        <v>28</v>
      </c>
      <c r="I1858" t="s">
        <v>5811</v>
      </c>
      <c r="J1858" t="s">
        <v>63</v>
      </c>
      <c r="K1858" t="s">
        <v>64</v>
      </c>
      <c r="M1858">
        <v>100</v>
      </c>
      <c r="N1858" t="s">
        <v>49</v>
      </c>
      <c r="O1858" t="s">
        <v>4100</v>
      </c>
      <c r="P1858" t="s">
        <v>1159</v>
      </c>
      <c r="T1858">
        <v>4</v>
      </c>
      <c r="U1858" t="s">
        <v>56</v>
      </c>
      <c r="V1858" t="s">
        <v>56</v>
      </c>
    </row>
    <row r="1859" spans="1:22" x14ac:dyDescent="0.3">
      <c r="A1859" s="49">
        <v>45274</v>
      </c>
      <c r="E1859" t="s">
        <v>3145</v>
      </c>
      <c r="G1859" t="s">
        <v>5022</v>
      </c>
      <c r="H1859" t="s">
        <v>89</v>
      </c>
      <c r="J1859" t="s">
        <v>63</v>
      </c>
      <c r="K1859" t="s">
        <v>64</v>
      </c>
      <c r="M1859">
        <v>100</v>
      </c>
      <c r="N1859" t="s">
        <v>33</v>
      </c>
      <c r="O1859" t="s">
        <v>4101</v>
      </c>
      <c r="P1859" t="s">
        <v>1878</v>
      </c>
      <c r="T1859">
        <v>4</v>
      </c>
      <c r="U1859" t="s">
        <v>56</v>
      </c>
      <c r="V1859" t="s">
        <v>56</v>
      </c>
    </row>
    <row r="1860" spans="1:22" x14ac:dyDescent="0.3">
      <c r="A1860" s="49">
        <v>45274</v>
      </c>
      <c r="E1860" t="s">
        <v>3205</v>
      </c>
      <c r="G1860" t="s">
        <v>5263</v>
      </c>
      <c r="H1860" t="s">
        <v>89</v>
      </c>
      <c r="J1860" t="s">
        <v>63</v>
      </c>
      <c r="K1860" t="s">
        <v>64</v>
      </c>
      <c r="M1860">
        <v>100</v>
      </c>
      <c r="N1860" t="s">
        <v>49</v>
      </c>
      <c r="O1860" t="s">
        <v>4102</v>
      </c>
      <c r="P1860" t="s">
        <v>1175</v>
      </c>
      <c r="T1860">
        <v>4</v>
      </c>
      <c r="U1860" t="s">
        <v>56</v>
      </c>
      <c r="V1860" t="s">
        <v>56</v>
      </c>
    </row>
    <row r="1861" spans="1:22" x14ac:dyDescent="0.3">
      <c r="A1861" s="49">
        <v>45274</v>
      </c>
      <c r="E1861" t="s">
        <v>3205</v>
      </c>
      <c r="G1861" t="s">
        <v>5263</v>
      </c>
      <c r="H1861" t="s">
        <v>89</v>
      </c>
      <c r="J1861" t="s">
        <v>63</v>
      </c>
      <c r="K1861" t="s">
        <v>64</v>
      </c>
      <c r="M1861">
        <v>100</v>
      </c>
      <c r="N1861" t="s">
        <v>49</v>
      </c>
      <c r="O1861" t="s">
        <v>4103</v>
      </c>
      <c r="P1861" t="s">
        <v>4864</v>
      </c>
      <c r="T1861">
        <v>4</v>
      </c>
      <c r="U1861" t="s">
        <v>56</v>
      </c>
      <c r="V1861" t="s">
        <v>56</v>
      </c>
    </row>
    <row r="1862" spans="1:22" x14ac:dyDescent="0.3">
      <c r="A1862" s="49">
        <v>45274</v>
      </c>
      <c r="E1862" t="s">
        <v>3205</v>
      </c>
      <c r="G1862" t="s">
        <v>5263</v>
      </c>
      <c r="H1862" t="s">
        <v>89</v>
      </c>
      <c r="J1862" t="s">
        <v>63</v>
      </c>
      <c r="K1862" t="s">
        <v>64</v>
      </c>
      <c r="M1862">
        <v>100</v>
      </c>
      <c r="N1862" t="s">
        <v>49</v>
      </c>
      <c r="O1862" t="s">
        <v>4103</v>
      </c>
      <c r="P1862" t="s">
        <v>4864</v>
      </c>
      <c r="T1862">
        <v>4</v>
      </c>
      <c r="U1862" t="s">
        <v>56</v>
      </c>
      <c r="V1862" t="s">
        <v>56</v>
      </c>
    </row>
    <row r="1863" spans="1:22" x14ac:dyDescent="0.3">
      <c r="A1863" s="49">
        <v>45274</v>
      </c>
      <c r="E1863" t="s">
        <v>3205</v>
      </c>
      <c r="G1863" t="s">
        <v>5263</v>
      </c>
      <c r="H1863" t="s">
        <v>89</v>
      </c>
      <c r="J1863" t="s">
        <v>63</v>
      </c>
      <c r="K1863" t="s">
        <v>64</v>
      </c>
      <c r="M1863">
        <v>100</v>
      </c>
      <c r="N1863" t="s">
        <v>49</v>
      </c>
      <c r="O1863" t="s">
        <v>4103</v>
      </c>
      <c r="P1863" t="s">
        <v>4864</v>
      </c>
      <c r="T1863">
        <v>4</v>
      </c>
      <c r="U1863" t="s">
        <v>56</v>
      </c>
      <c r="V1863" t="s">
        <v>56</v>
      </c>
    </row>
    <row r="1864" spans="1:22" x14ac:dyDescent="0.3">
      <c r="A1864" s="49">
        <v>45274</v>
      </c>
      <c r="E1864" t="s">
        <v>2823</v>
      </c>
      <c r="G1864" t="s">
        <v>5264</v>
      </c>
      <c r="H1864" t="s">
        <v>28</v>
      </c>
      <c r="I1864" t="s">
        <v>2829</v>
      </c>
      <c r="J1864" t="s">
        <v>63</v>
      </c>
      <c r="K1864" t="s">
        <v>64</v>
      </c>
      <c r="M1864">
        <v>67</v>
      </c>
      <c r="N1864" t="s">
        <v>49</v>
      </c>
      <c r="O1864" t="s">
        <v>4104</v>
      </c>
      <c r="P1864" t="s">
        <v>1727</v>
      </c>
      <c r="T1864">
        <v>4</v>
      </c>
      <c r="U1864" t="s">
        <v>56</v>
      </c>
      <c r="V1864" t="s">
        <v>56</v>
      </c>
    </row>
    <row r="1865" spans="1:22" x14ac:dyDescent="0.3">
      <c r="A1865" s="49">
        <v>45274</v>
      </c>
      <c r="E1865" t="s">
        <v>2823</v>
      </c>
      <c r="G1865" t="s">
        <v>5264</v>
      </c>
      <c r="H1865" t="s">
        <v>28</v>
      </c>
      <c r="I1865" t="s">
        <v>2829</v>
      </c>
      <c r="J1865" t="s">
        <v>63</v>
      </c>
      <c r="K1865" t="s">
        <v>64</v>
      </c>
      <c r="M1865">
        <v>100</v>
      </c>
      <c r="N1865" t="s">
        <v>49</v>
      </c>
      <c r="O1865" t="s">
        <v>4105</v>
      </c>
      <c r="P1865" t="s">
        <v>287</v>
      </c>
      <c r="T1865">
        <v>4</v>
      </c>
      <c r="U1865" t="s">
        <v>56</v>
      </c>
      <c r="V1865" t="s">
        <v>56</v>
      </c>
    </row>
    <row r="1866" spans="1:22" x14ac:dyDescent="0.3">
      <c r="A1866" s="49">
        <v>45274</v>
      </c>
      <c r="E1866" t="s">
        <v>2823</v>
      </c>
      <c r="G1866" t="s">
        <v>5264</v>
      </c>
      <c r="H1866" t="s">
        <v>28</v>
      </c>
      <c r="I1866" t="s">
        <v>2829</v>
      </c>
      <c r="J1866" t="s">
        <v>63</v>
      </c>
      <c r="K1866" t="s">
        <v>64</v>
      </c>
      <c r="M1866">
        <v>100</v>
      </c>
      <c r="N1866" t="s">
        <v>49</v>
      </c>
      <c r="O1866" t="s">
        <v>4106</v>
      </c>
      <c r="P1866" t="s">
        <v>344</v>
      </c>
      <c r="T1866">
        <v>4</v>
      </c>
      <c r="U1866" t="s">
        <v>56</v>
      </c>
      <c r="V1866" t="s">
        <v>56</v>
      </c>
    </row>
    <row r="1867" spans="1:22" x14ac:dyDescent="0.3">
      <c r="A1867" s="49">
        <v>45274</v>
      </c>
      <c r="E1867" t="s">
        <v>2823</v>
      </c>
      <c r="G1867" t="s">
        <v>5264</v>
      </c>
      <c r="H1867" t="s">
        <v>28</v>
      </c>
      <c r="I1867" t="s">
        <v>2829</v>
      </c>
      <c r="J1867" t="s">
        <v>63</v>
      </c>
      <c r="K1867" t="s">
        <v>64</v>
      </c>
      <c r="M1867">
        <v>93</v>
      </c>
      <c r="N1867" t="s">
        <v>49</v>
      </c>
      <c r="O1867" t="s">
        <v>4107</v>
      </c>
      <c r="P1867" t="s">
        <v>743</v>
      </c>
      <c r="T1867">
        <v>4</v>
      </c>
      <c r="U1867" t="s">
        <v>56</v>
      </c>
      <c r="V1867" t="s">
        <v>56</v>
      </c>
    </row>
    <row r="1868" spans="1:22" x14ac:dyDescent="0.3">
      <c r="A1868" s="49">
        <v>45274</v>
      </c>
      <c r="E1868" t="s">
        <v>2823</v>
      </c>
      <c r="G1868" t="s">
        <v>5264</v>
      </c>
      <c r="H1868" t="s">
        <v>89</v>
      </c>
      <c r="J1868" t="s">
        <v>63</v>
      </c>
      <c r="K1868" t="s">
        <v>64</v>
      </c>
      <c r="M1868">
        <v>100</v>
      </c>
      <c r="N1868" t="s">
        <v>49</v>
      </c>
      <c r="O1868" t="s">
        <v>4108</v>
      </c>
      <c r="P1868" t="s">
        <v>751</v>
      </c>
      <c r="T1868">
        <v>4</v>
      </c>
      <c r="U1868" t="s">
        <v>56</v>
      </c>
      <c r="V1868" t="s">
        <v>56</v>
      </c>
    </row>
    <row r="1869" spans="1:22" x14ac:dyDescent="0.3">
      <c r="A1869" s="49">
        <v>45274</v>
      </c>
      <c r="E1869" t="s">
        <v>2823</v>
      </c>
      <c r="G1869" t="s">
        <v>5264</v>
      </c>
      <c r="H1869" t="s">
        <v>89</v>
      </c>
      <c r="J1869" t="s">
        <v>63</v>
      </c>
      <c r="K1869" t="s">
        <v>64</v>
      </c>
      <c r="M1869">
        <v>95</v>
      </c>
      <c r="N1869" t="s">
        <v>49</v>
      </c>
      <c r="O1869" t="s">
        <v>4109</v>
      </c>
      <c r="P1869" t="s">
        <v>416</v>
      </c>
      <c r="T1869">
        <v>4</v>
      </c>
      <c r="U1869" t="s">
        <v>56</v>
      </c>
      <c r="V1869" t="s">
        <v>56</v>
      </c>
    </row>
    <row r="1870" spans="1:22" x14ac:dyDescent="0.3">
      <c r="A1870" s="49">
        <v>45274</v>
      </c>
      <c r="E1870" t="s">
        <v>2823</v>
      </c>
      <c r="G1870" t="s">
        <v>5264</v>
      </c>
      <c r="H1870" t="s">
        <v>89</v>
      </c>
      <c r="J1870" t="s">
        <v>63</v>
      </c>
      <c r="K1870" t="s">
        <v>64</v>
      </c>
      <c r="M1870">
        <v>100</v>
      </c>
      <c r="N1870" t="s">
        <v>33</v>
      </c>
      <c r="O1870" t="s">
        <v>4110</v>
      </c>
      <c r="P1870" t="s">
        <v>1878</v>
      </c>
      <c r="T1870">
        <v>4</v>
      </c>
      <c r="U1870" t="s">
        <v>56</v>
      </c>
      <c r="V1870" t="s">
        <v>56</v>
      </c>
    </row>
    <row r="1871" spans="1:22" x14ac:dyDescent="0.3">
      <c r="A1871" s="49">
        <v>45274</v>
      </c>
      <c r="E1871" t="s">
        <v>2823</v>
      </c>
      <c r="G1871" t="s">
        <v>5264</v>
      </c>
      <c r="H1871" t="s">
        <v>28</v>
      </c>
      <c r="I1871" t="s">
        <v>2829</v>
      </c>
      <c r="J1871" t="s">
        <v>63</v>
      </c>
      <c r="K1871" t="s">
        <v>64</v>
      </c>
      <c r="M1871">
        <v>100</v>
      </c>
      <c r="N1871" t="s">
        <v>33</v>
      </c>
      <c r="O1871" t="s">
        <v>4111</v>
      </c>
      <c r="P1871" t="s">
        <v>743</v>
      </c>
      <c r="T1871">
        <v>4</v>
      </c>
      <c r="U1871" t="s">
        <v>56</v>
      </c>
      <c r="V1871" t="s">
        <v>56</v>
      </c>
    </row>
    <row r="1872" spans="1:22" x14ac:dyDescent="0.3">
      <c r="A1872" s="49">
        <v>45274</v>
      </c>
      <c r="E1872" t="s">
        <v>3115</v>
      </c>
      <c r="G1872" t="s">
        <v>5265</v>
      </c>
      <c r="H1872" t="s">
        <v>28</v>
      </c>
      <c r="I1872" t="s">
        <v>5812</v>
      </c>
      <c r="J1872" t="s">
        <v>63</v>
      </c>
      <c r="K1872" t="s">
        <v>64</v>
      </c>
      <c r="M1872">
        <v>100</v>
      </c>
      <c r="N1872" t="s">
        <v>49</v>
      </c>
      <c r="O1872" t="s">
        <v>4112</v>
      </c>
      <c r="P1872" t="s">
        <v>358</v>
      </c>
      <c r="T1872">
        <v>4</v>
      </c>
      <c r="U1872" t="s">
        <v>56</v>
      </c>
      <c r="V1872" t="s">
        <v>56</v>
      </c>
    </row>
    <row r="1873" spans="1:22" x14ac:dyDescent="0.3">
      <c r="A1873" s="49">
        <v>45274</v>
      </c>
      <c r="E1873" t="s">
        <v>3115</v>
      </c>
      <c r="G1873" t="s">
        <v>5265</v>
      </c>
      <c r="H1873" t="s">
        <v>28</v>
      </c>
      <c r="I1873" t="s">
        <v>5812</v>
      </c>
      <c r="J1873" t="s">
        <v>63</v>
      </c>
      <c r="K1873" t="s">
        <v>64</v>
      </c>
      <c r="M1873">
        <v>100</v>
      </c>
      <c r="N1873" t="s">
        <v>49</v>
      </c>
      <c r="O1873" t="s">
        <v>4112</v>
      </c>
      <c r="P1873" t="s">
        <v>358</v>
      </c>
      <c r="T1873">
        <v>4</v>
      </c>
      <c r="U1873" t="s">
        <v>56</v>
      </c>
      <c r="V1873" t="s">
        <v>56</v>
      </c>
    </row>
    <row r="1874" spans="1:22" x14ac:dyDescent="0.3">
      <c r="A1874" s="49">
        <v>45274</v>
      </c>
      <c r="E1874" t="s">
        <v>3115</v>
      </c>
      <c r="G1874" t="s">
        <v>5265</v>
      </c>
      <c r="H1874" t="s">
        <v>28</v>
      </c>
      <c r="I1874" t="s">
        <v>5813</v>
      </c>
      <c r="J1874" t="s">
        <v>63</v>
      </c>
      <c r="K1874" t="s">
        <v>64</v>
      </c>
      <c r="M1874">
        <v>100</v>
      </c>
      <c r="N1874" t="s">
        <v>49</v>
      </c>
      <c r="O1874" t="s">
        <v>4113</v>
      </c>
      <c r="P1874" t="s">
        <v>4903</v>
      </c>
      <c r="T1874">
        <v>4</v>
      </c>
      <c r="U1874" t="s">
        <v>56</v>
      </c>
      <c r="V1874" t="s">
        <v>56</v>
      </c>
    </row>
    <row r="1875" spans="1:22" x14ac:dyDescent="0.3">
      <c r="A1875" s="49">
        <v>45274</v>
      </c>
      <c r="E1875" t="s">
        <v>3115</v>
      </c>
      <c r="G1875" t="s">
        <v>5265</v>
      </c>
      <c r="H1875" t="s">
        <v>28</v>
      </c>
      <c r="I1875" t="s">
        <v>5813</v>
      </c>
      <c r="J1875" t="s">
        <v>63</v>
      </c>
      <c r="K1875" t="s">
        <v>64</v>
      </c>
      <c r="M1875">
        <v>100</v>
      </c>
      <c r="N1875" t="s">
        <v>49</v>
      </c>
      <c r="O1875" t="s">
        <v>4113</v>
      </c>
      <c r="P1875" t="s">
        <v>4903</v>
      </c>
      <c r="T1875">
        <v>4</v>
      </c>
      <c r="U1875" t="s">
        <v>56</v>
      </c>
      <c r="V1875" t="s">
        <v>56</v>
      </c>
    </row>
    <row r="1876" spans="1:22" x14ac:dyDescent="0.3">
      <c r="A1876" s="49">
        <v>45274</v>
      </c>
      <c r="E1876" t="s">
        <v>3115</v>
      </c>
      <c r="G1876" t="s">
        <v>5265</v>
      </c>
      <c r="H1876" t="s">
        <v>28</v>
      </c>
      <c r="I1876" t="s">
        <v>5813</v>
      </c>
      <c r="J1876" t="s">
        <v>63</v>
      </c>
      <c r="K1876" t="s">
        <v>64</v>
      </c>
      <c r="M1876">
        <v>100</v>
      </c>
      <c r="N1876" t="s">
        <v>49</v>
      </c>
      <c r="O1876" t="s">
        <v>4113</v>
      </c>
      <c r="P1876" t="s">
        <v>4903</v>
      </c>
      <c r="T1876">
        <v>4</v>
      </c>
      <c r="U1876" t="s">
        <v>56</v>
      </c>
      <c r="V1876" t="s">
        <v>56</v>
      </c>
    </row>
    <row r="1877" spans="1:22" x14ac:dyDescent="0.3">
      <c r="A1877" s="49">
        <v>45274</v>
      </c>
      <c r="E1877" t="s">
        <v>3115</v>
      </c>
      <c r="G1877" t="s">
        <v>5265</v>
      </c>
      <c r="H1877" t="s">
        <v>28</v>
      </c>
      <c r="I1877" t="s">
        <v>5813</v>
      </c>
      <c r="J1877" t="s">
        <v>63</v>
      </c>
      <c r="K1877" t="s">
        <v>64</v>
      </c>
      <c r="M1877">
        <v>100</v>
      </c>
      <c r="N1877" t="s">
        <v>49</v>
      </c>
      <c r="O1877" t="s">
        <v>4113</v>
      </c>
      <c r="P1877" t="s">
        <v>4903</v>
      </c>
      <c r="T1877">
        <v>4</v>
      </c>
      <c r="U1877" t="s">
        <v>56</v>
      </c>
      <c r="V1877" t="s">
        <v>56</v>
      </c>
    </row>
    <row r="1878" spans="1:22" x14ac:dyDescent="0.3">
      <c r="A1878" s="49">
        <v>45274</v>
      </c>
      <c r="E1878" t="s">
        <v>3115</v>
      </c>
      <c r="G1878" t="s">
        <v>5265</v>
      </c>
      <c r="H1878" t="s">
        <v>28</v>
      </c>
      <c r="I1878" t="s">
        <v>5813</v>
      </c>
      <c r="J1878" t="s">
        <v>63</v>
      </c>
      <c r="K1878" t="s">
        <v>64</v>
      </c>
      <c r="M1878">
        <v>100</v>
      </c>
      <c r="N1878" t="s">
        <v>49</v>
      </c>
      <c r="O1878" t="s">
        <v>4113</v>
      </c>
      <c r="P1878" t="s">
        <v>4903</v>
      </c>
      <c r="T1878">
        <v>4</v>
      </c>
      <c r="U1878" t="s">
        <v>56</v>
      </c>
      <c r="V1878" t="s">
        <v>56</v>
      </c>
    </row>
    <row r="1879" spans="1:22" x14ac:dyDescent="0.3">
      <c r="A1879" s="49">
        <v>45274</v>
      </c>
      <c r="E1879" t="s">
        <v>3115</v>
      </c>
      <c r="G1879" t="s">
        <v>5265</v>
      </c>
      <c r="H1879" t="s">
        <v>28</v>
      </c>
      <c r="I1879" t="s">
        <v>5813</v>
      </c>
      <c r="J1879" t="s">
        <v>63</v>
      </c>
      <c r="K1879" t="s">
        <v>64</v>
      </c>
      <c r="M1879">
        <v>100</v>
      </c>
      <c r="N1879" t="s">
        <v>49</v>
      </c>
      <c r="O1879" t="s">
        <v>4113</v>
      </c>
      <c r="P1879" t="s">
        <v>4903</v>
      </c>
      <c r="T1879">
        <v>4</v>
      </c>
      <c r="U1879" t="s">
        <v>56</v>
      </c>
      <c r="V1879" t="s">
        <v>56</v>
      </c>
    </row>
    <row r="1880" spans="1:22" x14ac:dyDescent="0.3">
      <c r="A1880" s="49">
        <v>45274</v>
      </c>
      <c r="E1880" t="s">
        <v>3115</v>
      </c>
      <c r="G1880" t="s">
        <v>5265</v>
      </c>
      <c r="H1880" t="s">
        <v>28</v>
      </c>
      <c r="I1880" t="s">
        <v>5813</v>
      </c>
      <c r="J1880" t="s">
        <v>63</v>
      </c>
      <c r="K1880" t="s">
        <v>64</v>
      </c>
      <c r="M1880">
        <v>100</v>
      </c>
      <c r="N1880" t="s">
        <v>49</v>
      </c>
      <c r="O1880" t="s">
        <v>4113</v>
      </c>
      <c r="P1880" t="s">
        <v>4903</v>
      </c>
      <c r="T1880">
        <v>4</v>
      </c>
      <c r="U1880" t="s">
        <v>56</v>
      </c>
      <c r="V1880" t="s">
        <v>56</v>
      </c>
    </row>
    <row r="1881" spans="1:22" x14ac:dyDescent="0.3">
      <c r="A1881" s="49">
        <v>45274</v>
      </c>
      <c r="E1881" t="s">
        <v>3115</v>
      </c>
      <c r="G1881" t="s">
        <v>5265</v>
      </c>
      <c r="H1881" t="s">
        <v>28</v>
      </c>
      <c r="I1881" t="s">
        <v>5813</v>
      </c>
      <c r="J1881" t="s">
        <v>63</v>
      </c>
      <c r="K1881" t="s">
        <v>64</v>
      </c>
      <c r="M1881">
        <v>100</v>
      </c>
      <c r="N1881" t="s">
        <v>49</v>
      </c>
      <c r="O1881" t="s">
        <v>4113</v>
      </c>
      <c r="P1881" t="s">
        <v>4903</v>
      </c>
      <c r="T1881">
        <v>4</v>
      </c>
      <c r="U1881" t="s">
        <v>56</v>
      </c>
      <c r="V1881" t="s">
        <v>56</v>
      </c>
    </row>
    <row r="1882" spans="1:22" x14ac:dyDescent="0.3">
      <c r="A1882" s="49">
        <v>45274</v>
      </c>
      <c r="E1882" t="s">
        <v>3115</v>
      </c>
      <c r="G1882" t="s">
        <v>5265</v>
      </c>
      <c r="H1882" t="s">
        <v>28</v>
      </c>
      <c r="I1882" t="s">
        <v>5813</v>
      </c>
      <c r="J1882" t="s">
        <v>63</v>
      </c>
      <c r="K1882" t="s">
        <v>64</v>
      </c>
      <c r="M1882">
        <v>100</v>
      </c>
      <c r="N1882" t="s">
        <v>49</v>
      </c>
      <c r="O1882" t="s">
        <v>4113</v>
      </c>
      <c r="P1882" t="s">
        <v>4903</v>
      </c>
      <c r="T1882">
        <v>4</v>
      </c>
      <c r="U1882" t="s">
        <v>56</v>
      </c>
      <c r="V1882" t="s">
        <v>56</v>
      </c>
    </row>
    <row r="1883" spans="1:22" x14ac:dyDescent="0.3">
      <c r="A1883" s="49">
        <v>45274</v>
      </c>
      <c r="E1883" t="s">
        <v>3115</v>
      </c>
      <c r="G1883" t="s">
        <v>1524</v>
      </c>
      <c r="H1883" t="s">
        <v>28</v>
      </c>
      <c r="I1883" t="s">
        <v>5814</v>
      </c>
      <c r="J1883" t="s">
        <v>63</v>
      </c>
      <c r="K1883" t="s">
        <v>211</v>
      </c>
      <c r="M1883">
        <v>100</v>
      </c>
      <c r="N1883" t="s">
        <v>49</v>
      </c>
      <c r="O1883" t="s">
        <v>4114</v>
      </c>
      <c r="P1883" t="s">
        <v>4880</v>
      </c>
      <c r="T1883">
        <v>4</v>
      </c>
      <c r="U1883" t="s">
        <v>56</v>
      </c>
      <c r="V1883" t="s">
        <v>56</v>
      </c>
    </row>
    <row r="1884" spans="1:22" x14ac:dyDescent="0.3">
      <c r="A1884" s="49">
        <v>45274</v>
      </c>
      <c r="E1884" t="s">
        <v>3115</v>
      </c>
      <c r="G1884" t="s">
        <v>1524</v>
      </c>
      <c r="H1884" t="s">
        <v>28</v>
      </c>
      <c r="I1884" t="s">
        <v>5814</v>
      </c>
      <c r="J1884" t="s">
        <v>63</v>
      </c>
      <c r="K1884" t="s">
        <v>211</v>
      </c>
      <c r="M1884">
        <v>100</v>
      </c>
      <c r="N1884" t="s">
        <v>49</v>
      </c>
      <c r="O1884" t="s">
        <v>4114</v>
      </c>
      <c r="P1884" t="s">
        <v>4880</v>
      </c>
      <c r="T1884">
        <v>4</v>
      </c>
      <c r="U1884" t="s">
        <v>56</v>
      </c>
      <c r="V1884" t="s">
        <v>56</v>
      </c>
    </row>
    <row r="1885" spans="1:22" x14ac:dyDescent="0.3">
      <c r="A1885" s="49">
        <v>45274</v>
      </c>
      <c r="E1885" t="s">
        <v>3115</v>
      </c>
      <c r="G1885" t="s">
        <v>1524</v>
      </c>
      <c r="H1885" t="s">
        <v>28</v>
      </c>
      <c r="I1885" t="s">
        <v>5814</v>
      </c>
      <c r="J1885" t="s">
        <v>63</v>
      </c>
      <c r="K1885" t="s">
        <v>211</v>
      </c>
      <c r="M1885">
        <v>100</v>
      </c>
      <c r="N1885" t="s">
        <v>49</v>
      </c>
      <c r="O1885" t="s">
        <v>4114</v>
      </c>
      <c r="P1885" t="s">
        <v>4880</v>
      </c>
      <c r="T1885">
        <v>4</v>
      </c>
      <c r="U1885" t="s">
        <v>56</v>
      </c>
      <c r="V1885" t="s">
        <v>56</v>
      </c>
    </row>
    <row r="1886" spans="1:22" x14ac:dyDescent="0.3">
      <c r="A1886" s="49">
        <v>45274</v>
      </c>
      <c r="E1886" t="s">
        <v>3115</v>
      </c>
      <c r="G1886" t="s">
        <v>1524</v>
      </c>
      <c r="H1886" t="s">
        <v>89</v>
      </c>
      <c r="J1886" t="s">
        <v>63</v>
      </c>
      <c r="K1886" t="s">
        <v>211</v>
      </c>
      <c r="M1886">
        <v>26</v>
      </c>
      <c r="N1886" t="s">
        <v>49</v>
      </c>
      <c r="O1886" t="s">
        <v>4115</v>
      </c>
      <c r="P1886" t="s">
        <v>381</v>
      </c>
      <c r="T1886">
        <v>4</v>
      </c>
      <c r="U1886" t="s">
        <v>56</v>
      </c>
      <c r="V1886" t="s">
        <v>56</v>
      </c>
    </row>
    <row r="1887" spans="1:22" x14ac:dyDescent="0.3">
      <c r="A1887" s="49">
        <v>45274</v>
      </c>
      <c r="E1887" t="s">
        <v>3146</v>
      </c>
      <c r="G1887" t="s">
        <v>5157</v>
      </c>
      <c r="H1887" t="s">
        <v>28</v>
      </c>
      <c r="I1887" t="s">
        <v>5631</v>
      </c>
      <c r="J1887" t="s">
        <v>63</v>
      </c>
      <c r="K1887" t="s">
        <v>64</v>
      </c>
      <c r="M1887">
        <v>100</v>
      </c>
      <c r="N1887" t="s">
        <v>49</v>
      </c>
      <c r="O1887" t="s">
        <v>4116</v>
      </c>
      <c r="P1887" t="s">
        <v>1586</v>
      </c>
      <c r="T1887">
        <v>4</v>
      </c>
      <c r="U1887" t="s">
        <v>56</v>
      </c>
      <c r="V1887" t="s">
        <v>56</v>
      </c>
    </row>
    <row r="1888" spans="1:22" x14ac:dyDescent="0.3">
      <c r="A1888" s="49">
        <v>45274</v>
      </c>
      <c r="E1888" t="s">
        <v>3146</v>
      </c>
      <c r="G1888" t="s">
        <v>5266</v>
      </c>
      <c r="H1888" t="s">
        <v>28</v>
      </c>
      <c r="I1888" t="s">
        <v>5815</v>
      </c>
      <c r="J1888" t="s">
        <v>63</v>
      </c>
      <c r="K1888" t="s">
        <v>64</v>
      </c>
      <c r="M1888">
        <v>100</v>
      </c>
      <c r="N1888" t="s">
        <v>49</v>
      </c>
      <c r="O1888" t="s">
        <v>4117</v>
      </c>
      <c r="P1888" t="s">
        <v>4904</v>
      </c>
      <c r="T1888">
        <v>4</v>
      </c>
      <c r="U1888" t="s">
        <v>56</v>
      </c>
      <c r="V1888" t="s">
        <v>56</v>
      </c>
    </row>
    <row r="1889" spans="1:22" x14ac:dyDescent="0.3">
      <c r="A1889" s="49">
        <v>45274</v>
      </c>
      <c r="E1889" t="s">
        <v>3146</v>
      </c>
      <c r="G1889" t="s">
        <v>5156</v>
      </c>
      <c r="H1889" t="s">
        <v>28</v>
      </c>
      <c r="I1889" t="s">
        <v>5630</v>
      </c>
      <c r="J1889" t="s">
        <v>63</v>
      </c>
      <c r="K1889" t="s">
        <v>64</v>
      </c>
      <c r="M1889">
        <v>0</v>
      </c>
      <c r="N1889" t="s">
        <v>33</v>
      </c>
      <c r="O1889" t="s">
        <v>4118</v>
      </c>
      <c r="P1889" t="s">
        <v>1141</v>
      </c>
      <c r="T1889">
        <v>4</v>
      </c>
      <c r="U1889" t="s">
        <v>56</v>
      </c>
      <c r="V1889" t="s">
        <v>56</v>
      </c>
    </row>
    <row r="1890" spans="1:22" x14ac:dyDescent="0.3">
      <c r="A1890" s="49">
        <v>45274</v>
      </c>
      <c r="E1890" t="s">
        <v>3116</v>
      </c>
      <c r="G1890" t="s">
        <v>768</v>
      </c>
      <c r="H1890" t="s">
        <v>89</v>
      </c>
      <c r="J1890" t="s">
        <v>63</v>
      </c>
      <c r="K1890" t="s">
        <v>64</v>
      </c>
      <c r="M1890">
        <v>100</v>
      </c>
      <c r="N1890" t="s">
        <v>33</v>
      </c>
      <c r="O1890" t="s">
        <v>4119</v>
      </c>
      <c r="P1890" t="s">
        <v>306</v>
      </c>
      <c r="T1890">
        <v>4</v>
      </c>
      <c r="U1890" t="s">
        <v>56</v>
      </c>
      <c r="V1890" t="s">
        <v>56</v>
      </c>
    </row>
    <row r="1891" spans="1:22" x14ac:dyDescent="0.3">
      <c r="A1891" s="49">
        <v>45274</v>
      </c>
      <c r="E1891" t="s">
        <v>3116</v>
      </c>
      <c r="G1891" t="s">
        <v>5267</v>
      </c>
      <c r="H1891" t="s">
        <v>28</v>
      </c>
      <c r="I1891" t="s">
        <v>5816</v>
      </c>
      <c r="J1891" t="s">
        <v>63</v>
      </c>
      <c r="K1891" t="s">
        <v>64</v>
      </c>
      <c r="M1891">
        <v>100</v>
      </c>
      <c r="N1891" t="s">
        <v>33</v>
      </c>
      <c r="O1891" t="s">
        <v>4120</v>
      </c>
      <c r="P1891" t="s">
        <v>1141</v>
      </c>
      <c r="T1891">
        <v>4</v>
      </c>
      <c r="U1891" t="s">
        <v>56</v>
      </c>
      <c r="V1891" t="s">
        <v>56</v>
      </c>
    </row>
    <row r="1892" spans="1:22" x14ac:dyDescent="0.3">
      <c r="A1892" s="49">
        <v>45274</v>
      </c>
      <c r="E1892" t="s">
        <v>3116</v>
      </c>
      <c r="G1892" t="s">
        <v>768</v>
      </c>
      <c r="H1892" t="s">
        <v>89</v>
      </c>
      <c r="J1892" t="s">
        <v>63</v>
      </c>
      <c r="K1892" t="s">
        <v>64</v>
      </c>
      <c r="M1892">
        <v>100</v>
      </c>
      <c r="N1892" t="s">
        <v>33</v>
      </c>
      <c r="O1892" t="s">
        <v>4121</v>
      </c>
      <c r="P1892" t="s">
        <v>1701</v>
      </c>
      <c r="T1892">
        <v>4</v>
      </c>
      <c r="U1892" t="s">
        <v>56</v>
      </c>
      <c r="V1892" t="s">
        <v>56</v>
      </c>
    </row>
    <row r="1893" spans="1:22" x14ac:dyDescent="0.3">
      <c r="A1893" s="49">
        <v>45274</v>
      </c>
      <c r="E1893" t="s">
        <v>3116</v>
      </c>
      <c r="G1893" t="s">
        <v>4977</v>
      </c>
      <c r="H1893" t="s">
        <v>28</v>
      </c>
      <c r="I1893" t="s">
        <v>5633</v>
      </c>
      <c r="J1893" t="s">
        <v>63</v>
      </c>
      <c r="K1893" t="s">
        <v>64</v>
      </c>
      <c r="M1893">
        <v>37</v>
      </c>
      <c r="N1893" t="s">
        <v>49</v>
      </c>
      <c r="O1893" t="s">
        <v>4122</v>
      </c>
      <c r="P1893" t="s">
        <v>2645</v>
      </c>
      <c r="T1893">
        <v>4</v>
      </c>
      <c r="U1893" t="s">
        <v>56</v>
      </c>
      <c r="V1893" t="s">
        <v>56</v>
      </c>
    </row>
    <row r="1894" spans="1:22" x14ac:dyDescent="0.3">
      <c r="A1894" s="49">
        <v>45274</v>
      </c>
      <c r="E1894" t="s">
        <v>3116</v>
      </c>
      <c r="G1894" t="s">
        <v>4977</v>
      </c>
      <c r="H1894" t="s">
        <v>28</v>
      </c>
      <c r="I1894" t="s">
        <v>5817</v>
      </c>
      <c r="J1894" t="s">
        <v>63</v>
      </c>
      <c r="K1894" t="s">
        <v>64</v>
      </c>
      <c r="M1894">
        <v>50</v>
      </c>
      <c r="N1894" t="s">
        <v>49</v>
      </c>
      <c r="O1894" t="s">
        <v>4123</v>
      </c>
      <c r="P1894" t="s">
        <v>4836</v>
      </c>
      <c r="T1894">
        <v>4</v>
      </c>
      <c r="U1894" t="s">
        <v>56</v>
      </c>
      <c r="V1894" t="s">
        <v>56</v>
      </c>
    </row>
    <row r="1895" spans="1:22" x14ac:dyDescent="0.3">
      <c r="A1895" s="49">
        <v>45274</v>
      </c>
      <c r="E1895" t="s">
        <v>3116</v>
      </c>
      <c r="G1895" t="s">
        <v>4977</v>
      </c>
      <c r="H1895" t="s">
        <v>89</v>
      </c>
      <c r="J1895" t="s">
        <v>63</v>
      </c>
      <c r="K1895" t="s">
        <v>64</v>
      </c>
      <c r="M1895">
        <v>50</v>
      </c>
      <c r="N1895" t="s">
        <v>49</v>
      </c>
      <c r="O1895" t="s">
        <v>4124</v>
      </c>
      <c r="P1895" t="s">
        <v>306</v>
      </c>
      <c r="T1895">
        <v>4</v>
      </c>
      <c r="U1895" t="s">
        <v>56</v>
      </c>
      <c r="V1895" t="s">
        <v>56</v>
      </c>
    </row>
    <row r="1896" spans="1:22" x14ac:dyDescent="0.3">
      <c r="A1896" s="49">
        <v>45274</v>
      </c>
      <c r="E1896" t="s">
        <v>3116</v>
      </c>
      <c r="G1896" t="s">
        <v>5268</v>
      </c>
      <c r="H1896" t="s">
        <v>89</v>
      </c>
      <c r="J1896" t="s">
        <v>63</v>
      </c>
      <c r="K1896" t="s">
        <v>197</v>
      </c>
      <c r="M1896">
        <v>27</v>
      </c>
      <c r="N1896" t="s">
        <v>49</v>
      </c>
      <c r="O1896" t="s">
        <v>4125</v>
      </c>
      <c r="P1896" t="s">
        <v>287</v>
      </c>
      <c r="T1896">
        <v>4</v>
      </c>
      <c r="U1896" t="s">
        <v>56</v>
      </c>
      <c r="V1896" t="s">
        <v>56</v>
      </c>
    </row>
    <row r="1897" spans="1:22" x14ac:dyDescent="0.3">
      <c r="A1897" s="49">
        <v>45274</v>
      </c>
      <c r="E1897" t="s">
        <v>3116</v>
      </c>
      <c r="G1897" t="s">
        <v>4977</v>
      </c>
      <c r="H1897" t="s">
        <v>89</v>
      </c>
      <c r="J1897" t="s">
        <v>63</v>
      </c>
      <c r="K1897" t="s">
        <v>64</v>
      </c>
      <c r="M1897">
        <v>80</v>
      </c>
      <c r="N1897" t="s">
        <v>33</v>
      </c>
      <c r="O1897" t="s">
        <v>4126</v>
      </c>
      <c r="P1897" t="s">
        <v>416</v>
      </c>
      <c r="T1897">
        <v>4</v>
      </c>
      <c r="U1897" t="s">
        <v>56</v>
      </c>
      <c r="V1897" t="s">
        <v>56</v>
      </c>
    </row>
    <row r="1898" spans="1:22" x14ac:dyDescent="0.3">
      <c r="A1898" s="49">
        <v>45274</v>
      </c>
      <c r="E1898" t="s">
        <v>3116</v>
      </c>
      <c r="G1898" t="s">
        <v>4977</v>
      </c>
      <c r="H1898" t="s">
        <v>89</v>
      </c>
      <c r="J1898" t="s">
        <v>63</v>
      </c>
      <c r="K1898" t="s">
        <v>64</v>
      </c>
      <c r="M1898">
        <v>100</v>
      </c>
      <c r="N1898" t="s">
        <v>49</v>
      </c>
      <c r="O1898" t="s">
        <v>4127</v>
      </c>
      <c r="P1898" t="s">
        <v>104</v>
      </c>
      <c r="T1898">
        <v>4</v>
      </c>
      <c r="U1898" t="s">
        <v>56</v>
      </c>
      <c r="V1898" t="s">
        <v>56</v>
      </c>
    </row>
    <row r="1899" spans="1:22" x14ac:dyDescent="0.3">
      <c r="A1899" s="49">
        <v>45274</v>
      </c>
      <c r="E1899" t="s">
        <v>3116</v>
      </c>
      <c r="G1899" t="s">
        <v>5158</v>
      </c>
      <c r="H1899" t="s">
        <v>28</v>
      </c>
      <c r="I1899" t="s">
        <v>249</v>
      </c>
      <c r="J1899" t="s">
        <v>63</v>
      </c>
      <c r="K1899" t="s">
        <v>64</v>
      </c>
      <c r="M1899">
        <v>85</v>
      </c>
      <c r="N1899" t="s">
        <v>49</v>
      </c>
      <c r="O1899" t="s">
        <v>4128</v>
      </c>
      <c r="P1899" t="s">
        <v>1508</v>
      </c>
      <c r="T1899">
        <v>4</v>
      </c>
      <c r="U1899" t="s">
        <v>56</v>
      </c>
      <c r="V1899" t="s">
        <v>56</v>
      </c>
    </row>
    <row r="1900" spans="1:22" x14ac:dyDescent="0.3">
      <c r="A1900" s="49">
        <v>45274</v>
      </c>
      <c r="E1900" t="s">
        <v>3116</v>
      </c>
      <c r="G1900" t="s">
        <v>5158</v>
      </c>
      <c r="H1900" t="s">
        <v>28</v>
      </c>
      <c r="I1900" t="s">
        <v>5635</v>
      </c>
      <c r="J1900" t="s">
        <v>63</v>
      </c>
      <c r="K1900" t="s">
        <v>64</v>
      </c>
      <c r="M1900">
        <v>100</v>
      </c>
      <c r="N1900" t="s">
        <v>49</v>
      </c>
      <c r="O1900" t="s">
        <v>3681</v>
      </c>
      <c r="P1900" t="s">
        <v>4880</v>
      </c>
      <c r="T1900">
        <v>4</v>
      </c>
      <c r="U1900" t="s">
        <v>56</v>
      </c>
      <c r="V1900" t="s">
        <v>56</v>
      </c>
    </row>
    <row r="1901" spans="1:22" x14ac:dyDescent="0.3">
      <c r="A1901" s="49">
        <v>45274</v>
      </c>
      <c r="E1901" t="s">
        <v>3116</v>
      </c>
      <c r="G1901" t="s">
        <v>768</v>
      </c>
      <c r="H1901" t="s">
        <v>89</v>
      </c>
      <c r="J1901" t="s">
        <v>63</v>
      </c>
      <c r="K1901" t="s">
        <v>64</v>
      </c>
      <c r="M1901">
        <v>75</v>
      </c>
      <c r="N1901" t="s">
        <v>49</v>
      </c>
      <c r="O1901" t="s">
        <v>4129</v>
      </c>
      <c r="P1901" t="s">
        <v>4828</v>
      </c>
      <c r="T1901">
        <v>4</v>
      </c>
      <c r="U1901" t="s">
        <v>56</v>
      </c>
      <c r="V1901" t="s">
        <v>56</v>
      </c>
    </row>
    <row r="1902" spans="1:22" x14ac:dyDescent="0.3">
      <c r="A1902" s="49">
        <v>45274</v>
      </c>
      <c r="E1902" t="s">
        <v>3116</v>
      </c>
      <c r="G1902" t="s">
        <v>768</v>
      </c>
      <c r="H1902" t="s">
        <v>89</v>
      </c>
      <c r="J1902" t="s">
        <v>63</v>
      </c>
      <c r="K1902" t="s">
        <v>1235</v>
      </c>
      <c r="M1902">
        <v>100</v>
      </c>
      <c r="N1902" t="s">
        <v>33</v>
      </c>
      <c r="O1902" t="s">
        <v>4130</v>
      </c>
      <c r="P1902" t="s">
        <v>4830</v>
      </c>
      <c r="T1902">
        <v>4</v>
      </c>
      <c r="U1902" t="s">
        <v>56</v>
      </c>
      <c r="V1902" t="s">
        <v>56</v>
      </c>
    </row>
    <row r="1903" spans="1:22" x14ac:dyDescent="0.3">
      <c r="A1903" s="49">
        <v>45274</v>
      </c>
      <c r="E1903" t="s">
        <v>3116</v>
      </c>
      <c r="G1903" t="s">
        <v>768</v>
      </c>
      <c r="H1903" t="s">
        <v>89</v>
      </c>
      <c r="J1903" t="s">
        <v>63</v>
      </c>
      <c r="K1903" t="s">
        <v>64</v>
      </c>
      <c r="M1903">
        <v>40</v>
      </c>
      <c r="N1903" t="s">
        <v>33</v>
      </c>
      <c r="O1903" t="s">
        <v>4131</v>
      </c>
      <c r="P1903" t="s">
        <v>4866</v>
      </c>
      <c r="T1903">
        <v>4</v>
      </c>
      <c r="U1903" t="s">
        <v>56</v>
      </c>
      <c r="V1903" t="s">
        <v>56</v>
      </c>
    </row>
    <row r="1904" spans="1:22" x14ac:dyDescent="0.3">
      <c r="A1904" s="49">
        <v>45274</v>
      </c>
      <c r="E1904" t="s">
        <v>3116</v>
      </c>
      <c r="G1904" t="s">
        <v>5066</v>
      </c>
      <c r="H1904" t="s">
        <v>28</v>
      </c>
      <c r="I1904" t="s">
        <v>5502</v>
      </c>
      <c r="J1904" t="s">
        <v>63</v>
      </c>
      <c r="K1904" t="s">
        <v>64</v>
      </c>
      <c r="M1904">
        <v>100</v>
      </c>
      <c r="N1904" t="s">
        <v>49</v>
      </c>
      <c r="O1904" t="s">
        <v>4132</v>
      </c>
      <c r="P1904" t="s">
        <v>4899</v>
      </c>
      <c r="T1904">
        <v>4</v>
      </c>
      <c r="U1904" t="s">
        <v>56</v>
      </c>
      <c r="V1904" t="s">
        <v>56</v>
      </c>
    </row>
    <row r="1905" spans="1:22" x14ac:dyDescent="0.3">
      <c r="A1905" s="49">
        <v>45274</v>
      </c>
      <c r="E1905" t="s">
        <v>2309</v>
      </c>
      <c r="G1905" t="s">
        <v>5025</v>
      </c>
      <c r="H1905" t="s">
        <v>28</v>
      </c>
      <c r="I1905" t="s">
        <v>5818</v>
      </c>
      <c r="J1905" t="s">
        <v>30</v>
      </c>
      <c r="K1905" t="s">
        <v>31</v>
      </c>
      <c r="M1905">
        <v>7</v>
      </c>
      <c r="N1905" t="s">
        <v>49</v>
      </c>
      <c r="O1905" t="s">
        <v>4133</v>
      </c>
      <c r="P1905" t="s">
        <v>751</v>
      </c>
      <c r="T1905">
        <v>6</v>
      </c>
      <c r="U1905" t="s">
        <v>40</v>
      </c>
      <c r="V1905" t="s">
        <v>41</v>
      </c>
    </row>
    <row r="1906" spans="1:22" x14ac:dyDescent="0.3">
      <c r="A1906" s="49">
        <v>45274</v>
      </c>
      <c r="E1906" t="s">
        <v>2309</v>
      </c>
      <c r="G1906" t="s">
        <v>5269</v>
      </c>
      <c r="H1906" t="s">
        <v>28</v>
      </c>
      <c r="I1906" t="s">
        <v>5819</v>
      </c>
      <c r="J1906" t="s">
        <v>30</v>
      </c>
      <c r="K1906" t="s">
        <v>1546</v>
      </c>
      <c r="M1906">
        <v>35</v>
      </c>
      <c r="N1906" t="s">
        <v>33</v>
      </c>
      <c r="O1906" t="s">
        <v>4134</v>
      </c>
      <c r="P1906" t="s">
        <v>4828</v>
      </c>
      <c r="T1906">
        <v>6</v>
      </c>
      <c r="U1906" t="s">
        <v>40</v>
      </c>
      <c r="V1906" t="s">
        <v>41</v>
      </c>
    </row>
    <row r="1907" spans="1:22" x14ac:dyDescent="0.3">
      <c r="A1907" s="49">
        <v>45274</v>
      </c>
      <c r="E1907" t="s">
        <v>2309</v>
      </c>
      <c r="G1907" t="s">
        <v>5270</v>
      </c>
      <c r="H1907" t="s">
        <v>89</v>
      </c>
      <c r="J1907" t="s">
        <v>30</v>
      </c>
      <c r="K1907" t="s">
        <v>1546</v>
      </c>
      <c r="M1907">
        <v>90</v>
      </c>
      <c r="N1907" t="s">
        <v>49</v>
      </c>
      <c r="O1907" t="s">
        <v>4135</v>
      </c>
      <c r="P1907" t="s">
        <v>2052</v>
      </c>
      <c r="T1907">
        <v>4</v>
      </c>
      <c r="U1907" t="s">
        <v>56</v>
      </c>
      <c r="V1907" t="s">
        <v>56</v>
      </c>
    </row>
    <row r="1908" spans="1:22" x14ac:dyDescent="0.3">
      <c r="A1908" s="49">
        <v>45274</v>
      </c>
      <c r="E1908" t="s">
        <v>2309</v>
      </c>
      <c r="G1908" t="s">
        <v>5270</v>
      </c>
      <c r="H1908" t="s">
        <v>28</v>
      </c>
      <c r="I1908" t="s">
        <v>5820</v>
      </c>
      <c r="J1908" t="s">
        <v>30</v>
      </c>
      <c r="K1908" t="s">
        <v>1546</v>
      </c>
      <c r="M1908">
        <v>15</v>
      </c>
      <c r="N1908" t="s">
        <v>33</v>
      </c>
      <c r="O1908" t="s">
        <v>4136</v>
      </c>
      <c r="P1908" t="s">
        <v>668</v>
      </c>
      <c r="T1908">
        <v>6</v>
      </c>
      <c r="U1908" t="s">
        <v>40</v>
      </c>
      <c r="V1908" t="s">
        <v>41</v>
      </c>
    </row>
    <row r="1909" spans="1:22" x14ac:dyDescent="0.3">
      <c r="A1909" s="49">
        <v>45274</v>
      </c>
      <c r="E1909" t="s">
        <v>2309</v>
      </c>
      <c r="G1909" t="s">
        <v>5270</v>
      </c>
      <c r="H1909" t="s">
        <v>89</v>
      </c>
      <c r="J1909" t="s">
        <v>30</v>
      </c>
      <c r="K1909" t="s">
        <v>1546</v>
      </c>
      <c r="M1909">
        <v>50</v>
      </c>
      <c r="N1909" t="s">
        <v>33</v>
      </c>
      <c r="O1909" t="s">
        <v>4137</v>
      </c>
      <c r="P1909" t="s">
        <v>416</v>
      </c>
      <c r="T1909">
        <v>6</v>
      </c>
      <c r="U1909" t="s">
        <v>40</v>
      </c>
      <c r="V1909" t="s">
        <v>41</v>
      </c>
    </row>
    <row r="1910" spans="1:22" x14ac:dyDescent="0.3">
      <c r="A1910" s="49">
        <v>45274</v>
      </c>
      <c r="E1910" t="s">
        <v>3226</v>
      </c>
      <c r="G1910" t="s">
        <v>5271</v>
      </c>
      <c r="H1910" t="s">
        <v>28</v>
      </c>
      <c r="I1910" t="s">
        <v>5821</v>
      </c>
      <c r="J1910" t="s">
        <v>63</v>
      </c>
      <c r="K1910" t="s">
        <v>4929</v>
      </c>
      <c r="M1910">
        <v>100</v>
      </c>
      <c r="N1910" t="s">
        <v>49</v>
      </c>
      <c r="O1910" t="s">
        <v>4138</v>
      </c>
      <c r="P1910" t="s">
        <v>170</v>
      </c>
      <c r="T1910">
        <v>6</v>
      </c>
      <c r="U1910" t="s">
        <v>40</v>
      </c>
      <c r="V1910" t="s">
        <v>41</v>
      </c>
    </row>
    <row r="1911" spans="1:22" x14ac:dyDescent="0.3">
      <c r="A1911" s="49">
        <v>45274</v>
      </c>
      <c r="E1911" t="s">
        <v>3226</v>
      </c>
      <c r="G1911" t="s">
        <v>5271</v>
      </c>
      <c r="H1911" t="s">
        <v>28</v>
      </c>
      <c r="I1911" t="s">
        <v>5821</v>
      </c>
      <c r="J1911" t="s">
        <v>63</v>
      </c>
      <c r="K1911" t="s">
        <v>4929</v>
      </c>
      <c r="M1911">
        <v>100</v>
      </c>
      <c r="N1911" t="s">
        <v>49</v>
      </c>
      <c r="O1911" t="s">
        <v>4139</v>
      </c>
      <c r="P1911" t="s">
        <v>686</v>
      </c>
      <c r="T1911">
        <v>6</v>
      </c>
      <c r="U1911" t="s">
        <v>40</v>
      </c>
      <c r="V1911" t="s">
        <v>41</v>
      </c>
    </row>
    <row r="1912" spans="1:22" x14ac:dyDescent="0.3">
      <c r="A1912" s="49">
        <v>45274</v>
      </c>
      <c r="E1912" t="s">
        <v>3178</v>
      </c>
      <c r="G1912" t="s">
        <v>5159</v>
      </c>
      <c r="H1912" t="s">
        <v>28</v>
      </c>
      <c r="I1912" t="s">
        <v>5638</v>
      </c>
      <c r="J1912" t="s">
        <v>30</v>
      </c>
      <c r="K1912" t="s">
        <v>1546</v>
      </c>
      <c r="M1912">
        <v>100</v>
      </c>
      <c r="N1912" t="s">
        <v>49</v>
      </c>
      <c r="O1912" t="s">
        <v>4140</v>
      </c>
      <c r="P1912" t="s">
        <v>1508</v>
      </c>
      <c r="T1912">
        <v>4</v>
      </c>
      <c r="U1912" t="s">
        <v>56</v>
      </c>
      <c r="V1912" t="s">
        <v>56</v>
      </c>
    </row>
    <row r="1913" spans="1:22" x14ac:dyDescent="0.3">
      <c r="A1913" s="49">
        <v>45274</v>
      </c>
      <c r="E1913" t="s">
        <v>3227</v>
      </c>
      <c r="G1913" t="s">
        <v>5272</v>
      </c>
      <c r="H1913" t="s">
        <v>28</v>
      </c>
      <c r="I1913" t="s">
        <v>5822</v>
      </c>
      <c r="J1913" t="s">
        <v>30</v>
      </c>
      <c r="K1913" t="s">
        <v>1546</v>
      </c>
      <c r="M1913">
        <v>45</v>
      </c>
      <c r="N1913" t="s">
        <v>49</v>
      </c>
      <c r="O1913" t="s">
        <v>4141</v>
      </c>
      <c r="P1913" t="s">
        <v>4886</v>
      </c>
      <c r="T1913">
        <v>4</v>
      </c>
      <c r="U1913" t="s">
        <v>56</v>
      </c>
      <c r="V1913" t="s">
        <v>56</v>
      </c>
    </row>
    <row r="1914" spans="1:22" x14ac:dyDescent="0.3">
      <c r="A1914" s="49">
        <v>45274</v>
      </c>
      <c r="E1914" t="s">
        <v>3209</v>
      </c>
      <c r="G1914" t="s">
        <v>5160</v>
      </c>
      <c r="H1914" t="s">
        <v>89</v>
      </c>
      <c r="J1914" t="s">
        <v>30</v>
      </c>
      <c r="K1914" t="s">
        <v>1546</v>
      </c>
      <c r="M1914">
        <v>35</v>
      </c>
      <c r="N1914" t="s">
        <v>33</v>
      </c>
      <c r="O1914" t="s">
        <v>4142</v>
      </c>
      <c r="P1914" t="s">
        <v>1878</v>
      </c>
      <c r="T1914">
        <v>4</v>
      </c>
      <c r="U1914" t="s">
        <v>56</v>
      </c>
      <c r="V1914" t="s">
        <v>56</v>
      </c>
    </row>
    <row r="1915" spans="1:22" x14ac:dyDescent="0.3">
      <c r="A1915" s="49">
        <v>45274</v>
      </c>
      <c r="E1915" t="s">
        <v>3180</v>
      </c>
      <c r="G1915" t="s">
        <v>5163</v>
      </c>
      <c r="H1915" t="s">
        <v>28</v>
      </c>
      <c r="I1915" t="s">
        <v>5823</v>
      </c>
      <c r="J1915" t="s">
        <v>46</v>
      </c>
      <c r="K1915" t="s">
        <v>481</v>
      </c>
      <c r="M1915">
        <v>85</v>
      </c>
      <c r="N1915" t="s">
        <v>49</v>
      </c>
      <c r="O1915" t="s">
        <v>4143</v>
      </c>
      <c r="P1915" t="s">
        <v>4832</v>
      </c>
      <c r="T1915">
        <v>6</v>
      </c>
      <c r="U1915" t="s">
        <v>40</v>
      </c>
      <c r="V1915" t="s">
        <v>41</v>
      </c>
    </row>
    <row r="1916" spans="1:22" x14ac:dyDescent="0.3">
      <c r="A1916" s="49">
        <v>45274</v>
      </c>
      <c r="E1916" t="s">
        <v>3180</v>
      </c>
      <c r="G1916" t="s">
        <v>5273</v>
      </c>
      <c r="H1916" t="s">
        <v>28</v>
      </c>
      <c r="I1916" t="s">
        <v>5824</v>
      </c>
      <c r="J1916" t="s">
        <v>30</v>
      </c>
      <c r="K1916" t="s">
        <v>4956</v>
      </c>
      <c r="M1916">
        <v>100</v>
      </c>
      <c r="N1916" t="s">
        <v>49</v>
      </c>
      <c r="O1916" t="s">
        <v>4144</v>
      </c>
      <c r="P1916" t="s">
        <v>1508</v>
      </c>
      <c r="T1916">
        <v>4</v>
      </c>
      <c r="U1916" t="s">
        <v>56</v>
      </c>
      <c r="V1916" t="s">
        <v>56</v>
      </c>
    </row>
    <row r="1917" spans="1:22" x14ac:dyDescent="0.3">
      <c r="A1917" s="49">
        <v>45274</v>
      </c>
      <c r="E1917" t="s">
        <v>3147</v>
      </c>
      <c r="G1917" t="s">
        <v>5174</v>
      </c>
      <c r="H1917" t="s">
        <v>28</v>
      </c>
      <c r="I1917" t="s">
        <v>5825</v>
      </c>
      <c r="J1917" t="s">
        <v>30</v>
      </c>
      <c r="K1917" t="s">
        <v>31</v>
      </c>
      <c r="M1917">
        <v>50</v>
      </c>
      <c r="N1917" t="s">
        <v>33</v>
      </c>
      <c r="O1917" t="s">
        <v>4145</v>
      </c>
      <c r="P1917" t="s">
        <v>287</v>
      </c>
      <c r="T1917">
        <v>4</v>
      </c>
      <c r="U1917" t="s">
        <v>56</v>
      </c>
      <c r="V1917" t="s">
        <v>56</v>
      </c>
    </row>
    <row r="1918" spans="1:22" x14ac:dyDescent="0.3">
      <c r="A1918" s="49">
        <v>45274</v>
      </c>
      <c r="E1918" t="s">
        <v>3228</v>
      </c>
      <c r="G1918" t="s">
        <v>5274</v>
      </c>
      <c r="H1918" t="s">
        <v>28</v>
      </c>
      <c r="I1918" t="s">
        <v>5826</v>
      </c>
      <c r="J1918" t="s">
        <v>46</v>
      </c>
      <c r="K1918" t="s">
        <v>422</v>
      </c>
      <c r="M1918">
        <v>100</v>
      </c>
      <c r="N1918" t="s">
        <v>49</v>
      </c>
      <c r="O1918" t="s">
        <v>4146</v>
      </c>
      <c r="P1918" t="s">
        <v>1701</v>
      </c>
      <c r="T1918">
        <v>4</v>
      </c>
      <c r="U1918" t="s">
        <v>56</v>
      </c>
      <c r="V1918" t="s">
        <v>56</v>
      </c>
    </row>
    <row r="1919" spans="1:22" x14ac:dyDescent="0.3">
      <c r="A1919" s="49">
        <v>45274</v>
      </c>
      <c r="E1919" t="s">
        <v>3228</v>
      </c>
      <c r="G1919" t="s">
        <v>5275</v>
      </c>
      <c r="H1919" t="s">
        <v>28</v>
      </c>
      <c r="I1919" t="s">
        <v>5827</v>
      </c>
      <c r="J1919" t="s">
        <v>30</v>
      </c>
      <c r="K1919" t="s">
        <v>4957</v>
      </c>
      <c r="M1919">
        <v>100</v>
      </c>
      <c r="N1919" t="s">
        <v>49</v>
      </c>
      <c r="O1919" t="s">
        <v>4147</v>
      </c>
      <c r="P1919" t="s">
        <v>4880</v>
      </c>
      <c r="T1919">
        <v>4</v>
      </c>
      <c r="U1919" t="s">
        <v>56</v>
      </c>
      <c r="V1919" t="s">
        <v>56</v>
      </c>
    </row>
    <row r="1920" spans="1:22" x14ac:dyDescent="0.3">
      <c r="A1920" s="49">
        <v>45274</v>
      </c>
      <c r="E1920" t="s">
        <v>3228</v>
      </c>
      <c r="G1920" t="s">
        <v>5276</v>
      </c>
      <c r="H1920" t="s">
        <v>28</v>
      </c>
      <c r="I1920" t="s">
        <v>5828</v>
      </c>
      <c r="J1920" t="s">
        <v>30</v>
      </c>
      <c r="K1920" t="s">
        <v>4957</v>
      </c>
      <c r="M1920">
        <v>100</v>
      </c>
      <c r="N1920" t="s">
        <v>49</v>
      </c>
      <c r="O1920" t="s">
        <v>4148</v>
      </c>
      <c r="P1920" t="s">
        <v>4905</v>
      </c>
      <c r="T1920">
        <v>4</v>
      </c>
      <c r="U1920" t="s">
        <v>56</v>
      </c>
      <c r="V1920" t="s">
        <v>56</v>
      </c>
    </row>
    <row r="1921" spans="1:22" x14ac:dyDescent="0.3">
      <c r="A1921" s="49">
        <v>45274</v>
      </c>
      <c r="E1921" t="s">
        <v>1064</v>
      </c>
      <c r="G1921" t="s">
        <v>5277</v>
      </c>
      <c r="H1921" t="s">
        <v>28</v>
      </c>
      <c r="I1921" t="s">
        <v>5829</v>
      </c>
      <c r="J1921" t="s">
        <v>63</v>
      </c>
      <c r="K1921" t="s">
        <v>4958</v>
      </c>
      <c r="M1921">
        <v>100</v>
      </c>
      <c r="N1921" t="s">
        <v>49</v>
      </c>
      <c r="O1921" t="s">
        <v>4149</v>
      </c>
      <c r="P1921" t="s">
        <v>4906</v>
      </c>
      <c r="T1921">
        <v>4</v>
      </c>
      <c r="U1921" t="s">
        <v>56</v>
      </c>
      <c r="V1921" t="s">
        <v>56</v>
      </c>
    </row>
    <row r="1922" spans="1:22" x14ac:dyDescent="0.3">
      <c r="A1922" s="49">
        <v>45274</v>
      </c>
      <c r="E1922" t="s">
        <v>1064</v>
      </c>
      <c r="G1922" t="s">
        <v>5277</v>
      </c>
      <c r="H1922" t="s">
        <v>28</v>
      </c>
      <c r="I1922" t="s">
        <v>5829</v>
      </c>
      <c r="J1922" t="s">
        <v>63</v>
      </c>
      <c r="K1922" t="s">
        <v>4958</v>
      </c>
      <c r="M1922">
        <v>100</v>
      </c>
      <c r="N1922" t="s">
        <v>49</v>
      </c>
      <c r="O1922" t="s">
        <v>4150</v>
      </c>
      <c r="P1922" t="s">
        <v>4897</v>
      </c>
      <c r="T1922">
        <v>4</v>
      </c>
      <c r="U1922" t="s">
        <v>56</v>
      </c>
      <c r="V1922" t="s">
        <v>56</v>
      </c>
    </row>
    <row r="1923" spans="1:22" x14ac:dyDescent="0.3">
      <c r="A1923" s="49">
        <v>45274</v>
      </c>
      <c r="E1923" t="s">
        <v>1064</v>
      </c>
      <c r="G1923" t="s">
        <v>5278</v>
      </c>
      <c r="H1923" t="s">
        <v>3245</v>
      </c>
      <c r="I1923" t="s">
        <v>5830</v>
      </c>
      <c r="J1923" t="s">
        <v>1712</v>
      </c>
      <c r="K1923" t="s">
        <v>4944</v>
      </c>
      <c r="M1923">
        <v>100</v>
      </c>
      <c r="N1923" t="s">
        <v>49</v>
      </c>
      <c r="O1923" t="s">
        <v>4151</v>
      </c>
      <c r="P1923" t="s">
        <v>4898</v>
      </c>
      <c r="T1923">
        <v>4</v>
      </c>
      <c r="U1923" t="s">
        <v>56</v>
      </c>
      <c r="V1923" t="s">
        <v>56</v>
      </c>
    </row>
    <row r="1924" spans="1:22" x14ac:dyDescent="0.3">
      <c r="A1924" s="49">
        <v>45274</v>
      </c>
      <c r="E1924" t="s">
        <v>3229</v>
      </c>
      <c r="G1924" t="s">
        <v>5279</v>
      </c>
      <c r="H1924" t="s">
        <v>28</v>
      </c>
      <c r="I1924" t="s">
        <v>5831</v>
      </c>
      <c r="J1924" t="s">
        <v>30</v>
      </c>
      <c r="K1924" t="s">
        <v>1546</v>
      </c>
      <c r="M1924">
        <v>100</v>
      </c>
      <c r="N1924" t="s">
        <v>49</v>
      </c>
      <c r="O1924" t="s">
        <v>4152</v>
      </c>
      <c r="P1924" t="s">
        <v>4894</v>
      </c>
      <c r="T1924">
        <v>4</v>
      </c>
      <c r="U1924" t="s">
        <v>56</v>
      </c>
      <c r="V1924" t="s">
        <v>56</v>
      </c>
    </row>
    <row r="1925" spans="1:22" x14ac:dyDescent="0.3">
      <c r="A1925" s="49">
        <v>45274</v>
      </c>
      <c r="E1925" t="s">
        <v>3230</v>
      </c>
      <c r="G1925" t="s">
        <v>5280</v>
      </c>
      <c r="H1925" t="s">
        <v>28</v>
      </c>
      <c r="I1925" t="s">
        <v>5832</v>
      </c>
      <c r="J1925" t="s">
        <v>63</v>
      </c>
      <c r="K1925" t="s">
        <v>64</v>
      </c>
      <c r="M1925">
        <v>100</v>
      </c>
      <c r="N1925" t="s">
        <v>49</v>
      </c>
      <c r="O1925" t="s">
        <v>4153</v>
      </c>
      <c r="P1925" t="s">
        <v>4887</v>
      </c>
      <c r="S1925" t="s">
        <v>6328</v>
      </c>
      <c r="T1925">
        <v>4</v>
      </c>
      <c r="U1925" t="s">
        <v>56</v>
      </c>
      <c r="V1925" t="s">
        <v>56</v>
      </c>
    </row>
    <row r="1926" spans="1:22" x14ac:dyDescent="0.3">
      <c r="A1926" s="49">
        <v>45274</v>
      </c>
      <c r="E1926" t="s">
        <v>3230</v>
      </c>
      <c r="G1926" t="s">
        <v>5280</v>
      </c>
      <c r="H1926" t="s">
        <v>28</v>
      </c>
      <c r="I1926" t="s">
        <v>5832</v>
      </c>
      <c r="J1926" t="s">
        <v>63</v>
      </c>
      <c r="K1926" t="s">
        <v>64</v>
      </c>
      <c r="M1926">
        <v>100</v>
      </c>
      <c r="N1926" t="s">
        <v>49</v>
      </c>
      <c r="O1926" t="s">
        <v>4153</v>
      </c>
      <c r="P1926" t="s">
        <v>4887</v>
      </c>
      <c r="S1926" t="s">
        <v>6328</v>
      </c>
      <c r="T1926">
        <v>4</v>
      </c>
      <c r="U1926" t="s">
        <v>56</v>
      </c>
      <c r="V1926" t="s">
        <v>56</v>
      </c>
    </row>
    <row r="1927" spans="1:22" x14ac:dyDescent="0.3">
      <c r="A1927" s="49">
        <v>45274</v>
      </c>
      <c r="E1927" t="s">
        <v>3230</v>
      </c>
      <c r="G1927" t="s">
        <v>5280</v>
      </c>
      <c r="H1927" t="s">
        <v>28</v>
      </c>
      <c r="I1927" t="s">
        <v>5832</v>
      </c>
      <c r="J1927" t="s">
        <v>63</v>
      </c>
      <c r="K1927" t="s">
        <v>64</v>
      </c>
      <c r="M1927">
        <v>100</v>
      </c>
      <c r="N1927" t="s">
        <v>49</v>
      </c>
      <c r="O1927" t="s">
        <v>4153</v>
      </c>
      <c r="P1927" t="s">
        <v>4887</v>
      </c>
      <c r="S1927" t="s">
        <v>6328</v>
      </c>
      <c r="T1927">
        <v>4</v>
      </c>
      <c r="U1927" t="s">
        <v>56</v>
      </c>
      <c r="V1927" t="s">
        <v>56</v>
      </c>
    </row>
    <row r="1928" spans="1:22" x14ac:dyDescent="0.3">
      <c r="A1928" s="49">
        <v>45274</v>
      </c>
      <c r="E1928" t="s">
        <v>3230</v>
      </c>
      <c r="G1928" t="s">
        <v>5280</v>
      </c>
      <c r="H1928" t="s">
        <v>28</v>
      </c>
      <c r="I1928" t="s">
        <v>5832</v>
      </c>
      <c r="J1928" t="s">
        <v>63</v>
      </c>
      <c r="K1928" t="s">
        <v>64</v>
      </c>
      <c r="M1928">
        <v>100</v>
      </c>
      <c r="N1928" t="s">
        <v>49</v>
      </c>
      <c r="O1928" t="s">
        <v>4153</v>
      </c>
      <c r="P1928" t="s">
        <v>4887</v>
      </c>
      <c r="S1928" t="s">
        <v>6328</v>
      </c>
      <c r="T1928">
        <v>4</v>
      </c>
      <c r="U1928" t="s">
        <v>56</v>
      </c>
      <c r="V1928" t="s">
        <v>56</v>
      </c>
    </row>
    <row r="1929" spans="1:22" x14ac:dyDescent="0.3">
      <c r="A1929" s="49">
        <v>45274</v>
      </c>
      <c r="E1929" t="s">
        <v>3230</v>
      </c>
      <c r="G1929" t="s">
        <v>5280</v>
      </c>
      <c r="H1929" t="s">
        <v>28</v>
      </c>
      <c r="I1929" t="s">
        <v>5832</v>
      </c>
      <c r="J1929" t="s">
        <v>63</v>
      </c>
      <c r="K1929" t="s">
        <v>64</v>
      </c>
      <c r="M1929">
        <v>100</v>
      </c>
      <c r="N1929" t="s">
        <v>49</v>
      </c>
      <c r="O1929" t="s">
        <v>4153</v>
      </c>
      <c r="P1929" t="s">
        <v>4887</v>
      </c>
      <c r="S1929" t="s">
        <v>6328</v>
      </c>
      <c r="T1929">
        <v>4</v>
      </c>
      <c r="U1929" t="s">
        <v>56</v>
      </c>
      <c r="V1929" t="s">
        <v>56</v>
      </c>
    </row>
    <row r="1930" spans="1:22" x14ac:dyDescent="0.3">
      <c r="A1930" s="49">
        <v>45274</v>
      </c>
      <c r="E1930" t="s">
        <v>3188</v>
      </c>
      <c r="G1930" t="s">
        <v>5281</v>
      </c>
      <c r="H1930" t="s">
        <v>28</v>
      </c>
      <c r="I1930" t="s">
        <v>1719</v>
      </c>
      <c r="J1930" t="s">
        <v>63</v>
      </c>
      <c r="K1930" t="s">
        <v>64</v>
      </c>
      <c r="M1930">
        <v>100</v>
      </c>
      <c r="N1930" t="s">
        <v>49</v>
      </c>
      <c r="O1930" t="s">
        <v>4154</v>
      </c>
      <c r="P1930" t="s">
        <v>306</v>
      </c>
      <c r="T1930">
        <v>4</v>
      </c>
      <c r="U1930" t="s">
        <v>56</v>
      </c>
      <c r="V1930" t="s">
        <v>56</v>
      </c>
    </row>
    <row r="1931" spans="1:22" x14ac:dyDescent="0.3">
      <c r="A1931" s="49">
        <v>45274</v>
      </c>
      <c r="E1931" t="s">
        <v>3151</v>
      </c>
      <c r="G1931" t="s">
        <v>5029</v>
      </c>
      <c r="H1931" t="s">
        <v>89</v>
      </c>
      <c r="J1931" t="s">
        <v>63</v>
      </c>
      <c r="K1931" t="s">
        <v>4945</v>
      </c>
      <c r="M1931">
        <v>100</v>
      </c>
      <c r="N1931" t="s">
        <v>49</v>
      </c>
      <c r="O1931" t="s">
        <v>4155</v>
      </c>
      <c r="P1931" t="s">
        <v>4868</v>
      </c>
      <c r="T1931">
        <v>4</v>
      </c>
      <c r="U1931" t="s">
        <v>56</v>
      </c>
      <c r="V1931" t="s">
        <v>56</v>
      </c>
    </row>
    <row r="1932" spans="1:22" x14ac:dyDescent="0.3">
      <c r="A1932" s="49">
        <v>45274</v>
      </c>
      <c r="E1932" t="s">
        <v>3151</v>
      </c>
      <c r="G1932" t="s">
        <v>5029</v>
      </c>
      <c r="H1932" t="s">
        <v>89</v>
      </c>
      <c r="J1932" t="s">
        <v>63</v>
      </c>
      <c r="K1932" t="s">
        <v>4945</v>
      </c>
      <c r="M1932">
        <v>0</v>
      </c>
      <c r="N1932" t="s">
        <v>74</v>
      </c>
      <c r="O1932" t="s">
        <v>4156</v>
      </c>
      <c r="P1932" t="s">
        <v>4871</v>
      </c>
      <c r="T1932">
        <v>4</v>
      </c>
      <c r="U1932" t="s">
        <v>56</v>
      </c>
      <c r="V1932" t="s">
        <v>56</v>
      </c>
    </row>
    <row r="1933" spans="1:22" x14ac:dyDescent="0.3">
      <c r="A1933" s="49">
        <v>45274</v>
      </c>
      <c r="E1933" t="s">
        <v>3153</v>
      </c>
      <c r="G1933" t="s">
        <v>2605</v>
      </c>
      <c r="H1933" t="s">
        <v>28</v>
      </c>
      <c r="I1933" t="s">
        <v>5646</v>
      </c>
      <c r="J1933" t="s">
        <v>1712</v>
      </c>
      <c r="K1933" t="s">
        <v>481</v>
      </c>
      <c r="M1933">
        <v>100</v>
      </c>
      <c r="N1933" t="s">
        <v>49</v>
      </c>
      <c r="O1933" t="s">
        <v>4157</v>
      </c>
      <c r="P1933" t="s">
        <v>2645</v>
      </c>
      <c r="T1933">
        <v>4</v>
      </c>
      <c r="U1933" t="s">
        <v>56</v>
      </c>
      <c r="V1933" t="s">
        <v>56</v>
      </c>
    </row>
    <row r="1934" spans="1:22" x14ac:dyDescent="0.3">
      <c r="A1934" s="49">
        <v>45274</v>
      </c>
      <c r="E1934" t="s">
        <v>3153</v>
      </c>
      <c r="G1934" t="s">
        <v>2605</v>
      </c>
      <c r="H1934" t="s">
        <v>89</v>
      </c>
      <c r="J1934" t="s">
        <v>1712</v>
      </c>
      <c r="K1934" t="s">
        <v>4944</v>
      </c>
      <c r="M1934">
        <v>100</v>
      </c>
      <c r="N1934" t="s">
        <v>49</v>
      </c>
      <c r="O1934" t="s">
        <v>4158</v>
      </c>
      <c r="P1934" t="s">
        <v>483</v>
      </c>
      <c r="T1934">
        <v>4</v>
      </c>
      <c r="U1934" t="s">
        <v>56</v>
      </c>
      <c r="V1934" t="s">
        <v>56</v>
      </c>
    </row>
    <row r="1935" spans="1:22" x14ac:dyDescent="0.3">
      <c r="A1935" s="49">
        <v>45274</v>
      </c>
      <c r="E1935" t="s">
        <v>3153</v>
      </c>
      <c r="G1935" t="s">
        <v>5282</v>
      </c>
      <c r="H1935" t="s">
        <v>28</v>
      </c>
      <c r="I1935" t="s">
        <v>5833</v>
      </c>
      <c r="J1935" t="s">
        <v>1712</v>
      </c>
      <c r="K1935" t="s">
        <v>422</v>
      </c>
      <c r="M1935">
        <v>100</v>
      </c>
      <c r="N1935" t="s">
        <v>49</v>
      </c>
      <c r="O1935" t="s">
        <v>4159</v>
      </c>
      <c r="P1935" t="s">
        <v>170</v>
      </c>
      <c r="T1935">
        <v>4</v>
      </c>
      <c r="U1935" t="s">
        <v>56</v>
      </c>
      <c r="V1935" t="s">
        <v>56</v>
      </c>
    </row>
    <row r="1936" spans="1:22" x14ac:dyDescent="0.3">
      <c r="A1936" s="49">
        <v>45274</v>
      </c>
      <c r="E1936" t="s">
        <v>3153</v>
      </c>
      <c r="G1936" t="s">
        <v>5170</v>
      </c>
      <c r="H1936" t="s">
        <v>89</v>
      </c>
      <c r="J1936" t="s">
        <v>63</v>
      </c>
      <c r="K1936" t="s">
        <v>64</v>
      </c>
      <c r="M1936">
        <v>100</v>
      </c>
      <c r="N1936" t="s">
        <v>49</v>
      </c>
      <c r="O1936" t="s">
        <v>4160</v>
      </c>
      <c r="P1936" t="s">
        <v>691</v>
      </c>
      <c r="T1936">
        <v>4</v>
      </c>
      <c r="U1936" t="s">
        <v>56</v>
      </c>
      <c r="V1936" t="s">
        <v>56</v>
      </c>
    </row>
    <row r="1937" spans="1:22" x14ac:dyDescent="0.3">
      <c r="A1937" s="49">
        <v>45274</v>
      </c>
      <c r="E1937" t="s">
        <v>3153</v>
      </c>
      <c r="G1937" t="s">
        <v>5170</v>
      </c>
      <c r="H1937" t="s">
        <v>89</v>
      </c>
      <c r="J1937" t="s">
        <v>63</v>
      </c>
      <c r="K1937" t="s">
        <v>64</v>
      </c>
      <c r="M1937">
        <v>100</v>
      </c>
      <c r="N1937" t="s">
        <v>49</v>
      </c>
      <c r="O1937" t="s">
        <v>4161</v>
      </c>
      <c r="P1937" t="s">
        <v>344</v>
      </c>
      <c r="T1937">
        <v>4</v>
      </c>
      <c r="U1937" t="s">
        <v>56</v>
      </c>
      <c r="V1937" t="s">
        <v>56</v>
      </c>
    </row>
    <row r="1938" spans="1:22" x14ac:dyDescent="0.3">
      <c r="A1938" s="49">
        <v>45274</v>
      </c>
      <c r="E1938" t="s">
        <v>3153</v>
      </c>
      <c r="G1938" t="s">
        <v>5013</v>
      </c>
      <c r="H1938" t="s">
        <v>28</v>
      </c>
      <c r="I1938" t="s">
        <v>5834</v>
      </c>
      <c r="J1938" t="s">
        <v>63</v>
      </c>
      <c r="K1938" t="s">
        <v>64</v>
      </c>
      <c r="M1938">
        <v>100</v>
      </c>
      <c r="N1938" t="s">
        <v>49</v>
      </c>
      <c r="O1938" t="s">
        <v>4162</v>
      </c>
      <c r="P1938" t="s">
        <v>4880</v>
      </c>
      <c r="T1938">
        <v>4</v>
      </c>
      <c r="U1938" t="s">
        <v>56</v>
      </c>
      <c r="V1938" t="s">
        <v>56</v>
      </c>
    </row>
    <row r="1939" spans="1:22" x14ac:dyDescent="0.3">
      <c r="A1939" s="49">
        <v>45274</v>
      </c>
      <c r="E1939" t="s">
        <v>3153</v>
      </c>
      <c r="G1939" t="s">
        <v>5169</v>
      </c>
      <c r="H1939" t="s">
        <v>28</v>
      </c>
      <c r="I1939" t="s">
        <v>5835</v>
      </c>
      <c r="J1939" t="s">
        <v>63</v>
      </c>
      <c r="K1939" t="s">
        <v>64</v>
      </c>
      <c r="M1939">
        <v>7</v>
      </c>
      <c r="N1939" t="s">
        <v>33</v>
      </c>
      <c r="O1939" t="s">
        <v>4163</v>
      </c>
      <c r="P1939" t="s">
        <v>2178</v>
      </c>
      <c r="T1939">
        <v>4</v>
      </c>
      <c r="U1939" t="s">
        <v>56</v>
      </c>
      <c r="V1939" t="s">
        <v>56</v>
      </c>
    </row>
    <row r="1940" spans="1:22" x14ac:dyDescent="0.3">
      <c r="A1940" s="49">
        <v>45274</v>
      </c>
      <c r="E1940" t="s">
        <v>3153</v>
      </c>
      <c r="G1940" t="s">
        <v>5013</v>
      </c>
      <c r="H1940" t="s">
        <v>89</v>
      </c>
      <c r="J1940" t="s">
        <v>63</v>
      </c>
      <c r="K1940" t="s">
        <v>64</v>
      </c>
      <c r="M1940">
        <v>50</v>
      </c>
      <c r="N1940" t="s">
        <v>33</v>
      </c>
      <c r="O1940" t="s">
        <v>4164</v>
      </c>
      <c r="P1940" t="s">
        <v>4907</v>
      </c>
      <c r="T1940">
        <v>4</v>
      </c>
      <c r="U1940" t="s">
        <v>56</v>
      </c>
      <c r="V1940" t="s">
        <v>56</v>
      </c>
    </row>
    <row r="1941" spans="1:22" x14ac:dyDescent="0.3">
      <c r="A1941" s="49">
        <v>45274</v>
      </c>
      <c r="E1941" t="s">
        <v>3212</v>
      </c>
      <c r="G1941" t="s">
        <v>5171</v>
      </c>
      <c r="H1941" t="s">
        <v>28</v>
      </c>
      <c r="I1941" t="s">
        <v>5836</v>
      </c>
      <c r="J1941" t="s">
        <v>63</v>
      </c>
      <c r="K1941" t="s">
        <v>1235</v>
      </c>
      <c r="M1941">
        <v>50</v>
      </c>
      <c r="N1941" t="s">
        <v>49</v>
      </c>
      <c r="O1941" t="s">
        <v>4165</v>
      </c>
      <c r="P1941" t="s">
        <v>1727</v>
      </c>
      <c r="T1941">
        <v>4</v>
      </c>
      <c r="U1941" t="s">
        <v>56</v>
      </c>
      <c r="V1941" t="s">
        <v>56</v>
      </c>
    </row>
    <row r="1942" spans="1:22" x14ac:dyDescent="0.3">
      <c r="A1942" s="49">
        <v>45274</v>
      </c>
      <c r="E1942" t="s">
        <v>3231</v>
      </c>
      <c r="G1942" t="s">
        <v>5283</v>
      </c>
      <c r="H1942" t="s">
        <v>89</v>
      </c>
      <c r="J1942" t="s">
        <v>63</v>
      </c>
      <c r="K1942" t="s">
        <v>64</v>
      </c>
      <c r="M1942">
        <v>100</v>
      </c>
      <c r="N1942" t="s">
        <v>49</v>
      </c>
      <c r="O1942" t="s">
        <v>4166</v>
      </c>
      <c r="P1942" t="s">
        <v>381</v>
      </c>
      <c r="T1942">
        <v>4</v>
      </c>
      <c r="U1942" t="s">
        <v>56</v>
      </c>
      <c r="V1942" t="s">
        <v>56</v>
      </c>
    </row>
    <row r="1943" spans="1:22" x14ac:dyDescent="0.3">
      <c r="A1943" s="49">
        <v>45274</v>
      </c>
      <c r="E1943" t="s">
        <v>3231</v>
      </c>
      <c r="G1943" t="s">
        <v>5283</v>
      </c>
      <c r="H1943" t="s">
        <v>89</v>
      </c>
      <c r="J1943" t="s">
        <v>63</v>
      </c>
      <c r="K1943" t="s">
        <v>197</v>
      </c>
      <c r="M1943">
        <v>50</v>
      </c>
      <c r="N1943" t="s">
        <v>49</v>
      </c>
      <c r="O1943" t="s">
        <v>4167</v>
      </c>
      <c r="P1943" t="s">
        <v>1159</v>
      </c>
      <c r="T1943">
        <v>4</v>
      </c>
      <c r="U1943" t="s">
        <v>56</v>
      </c>
      <c r="V1943" t="s">
        <v>56</v>
      </c>
    </row>
    <row r="1944" spans="1:22" x14ac:dyDescent="0.3">
      <c r="A1944" s="49">
        <v>45274</v>
      </c>
      <c r="E1944" t="s">
        <v>3118</v>
      </c>
      <c r="G1944" t="s">
        <v>4979</v>
      </c>
      <c r="H1944" t="s">
        <v>28</v>
      </c>
      <c r="I1944" t="s">
        <v>2056</v>
      </c>
      <c r="J1944" t="s">
        <v>63</v>
      </c>
      <c r="K1944" t="s">
        <v>197</v>
      </c>
      <c r="M1944">
        <v>25</v>
      </c>
      <c r="N1944" t="s">
        <v>33</v>
      </c>
      <c r="O1944" t="s">
        <v>3987</v>
      </c>
      <c r="P1944" t="s">
        <v>1786</v>
      </c>
      <c r="T1944">
        <v>4</v>
      </c>
      <c r="U1944" t="s">
        <v>56</v>
      </c>
      <c r="V1944" t="s">
        <v>56</v>
      </c>
    </row>
    <row r="1945" spans="1:22" x14ac:dyDescent="0.3">
      <c r="A1945" s="49">
        <v>45274</v>
      </c>
      <c r="E1945" t="s">
        <v>3118</v>
      </c>
      <c r="G1945" t="s">
        <v>4979</v>
      </c>
      <c r="H1945" t="s">
        <v>28</v>
      </c>
      <c r="I1945" t="s">
        <v>5405</v>
      </c>
      <c r="J1945" t="s">
        <v>63</v>
      </c>
      <c r="K1945" t="s">
        <v>197</v>
      </c>
      <c r="M1945">
        <v>75</v>
      </c>
      <c r="N1945" t="s">
        <v>49</v>
      </c>
      <c r="O1945" t="s">
        <v>4168</v>
      </c>
      <c r="P1945" t="s">
        <v>66</v>
      </c>
      <c r="T1945">
        <v>4</v>
      </c>
      <c r="U1945" t="s">
        <v>56</v>
      </c>
      <c r="V1945" t="s">
        <v>56</v>
      </c>
    </row>
    <row r="1946" spans="1:22" x14ac:dyDescent="0.3">
      <c r="A1946" s="49">
        <v>45274</v>
      </c>
      <c r="E1946" t="s">
        <v>3118</v>
      </c>
      <c r="G1946" t="s">
        <v>4979</v>
      </c>
      <c r="H1946" t="s">
        <v>28</v>
      </c>
      <c r="I1946" t="s">
        <v>5405</v>
      </c>
      <c r="J1946" t="s">
        <v>63</v>
      </c>
      <c r="K1946" t="s">
        <v>197</v>
      </c>
      <c r="M1946">
        <v>75</v>
      </c>
      <c r="N1946" t="s">
        <v>49</v>
      </c>
      <c r="O1946" t="s">
        <v>4169</v>
      </c>
      <c r="P1946" t="s">
        <v>306</v>
      </c>
      <c r="T1946">
        <v>4</v>
      </c>
      <c r="U1946" t="s">
        <v>56</v>
      </c>
      <c r="V1946" t="s">
        <v>56</v>
      </c>
    </row>
    <row r="1947" spans="1:22" x14ac:dyDescent="0.3">
      <c r="A1947" s="49">
        <v>45274</v>
      </c>
      <c r="E1947" t="s">
        <v>3118</v>
      </c>
      <c r="G1947" t="s">
        <v>4979</v>
      </c>
      <c r="H1947" t="s">
        <v>28</v>
      </c>
      <c r="I1947" t="s">
        <v>5837</v>
      </c>
      <c r="J1947" t="s">
        <v>63</v>
      </c>
      <c r="K1947" t="s">
        <v>197</v>
      </c>
      <c r="M1947">
        <v>40</v>
      </c>
      <c r="N1947" t="s">
        <v>33</v>
      </c>
      <c r="O1947" t="s">
        <v>4170</v>
      </c>
      <c r="P1947" t="s">
        <v>4836</v>
      </c>
      <c r="T1947">
        <v>4</v>
      </c>
      <c r="U1947" t="s">
        <v>56</v>
      </c>
      <c r="V1947" t="s">
        <v>56</v>
      </c>
    </row>
    <row r="1948" spans="1:22" x14ac:dyDescent="0.3">
      <c r="A1948" s="49">
        <v>45274</v>
      </c>
      <c r="E1948" t="s">
        <v>3118</v>
      </c>
      <c r="G1948" t="s">
        <v>4980</v>
      </c>
      <c r="H1948" t="s">
        <v>28</v>
      </c>
      <c r="I1948" t="s">
        <v>2618</v>
      </c>
      <c r="J1948" t="s">
        <v>63</v>
      </c>
      <c r="K1948" t="s">
        <v>64</v>
      </c>
      <c r="M1948">
        <v>20</v>
      </c>
      <c r="N1948" t="s">
        <v>33</v>
      </c>
      <c r="O1948" t="s">
        <v>4171</v>
      </c>
      <c r="P1948" t="s">
        <v>4866</v>
      </c>
      <c r="T1948">
        <v>4</v>
      </c>
      <c r="U1948" t="s">
        <v>56</v>
      </c>
      <c r="V1948" t="s">
        <v>56</v>
      </c>
    </row>
    <row r="1949" spans="1:22" x14ac:dyDescent="0.3">
      <c r="A1949" s="49">
        <v>45274</v>
      </c>
      <c r="E1949" t="s">
        <v>3118</v>
      </c>
      <c r="G1949" t="s">
        <v>5284</v>
      </c>
      <c r="H1949" t="s">
        <v>89</v>
      </c>
      <c r="J1949" t="s">
        <v>1712</v>
      </c>
      <c r="K1949" t="s">
        <v>422</v>
      </c>
      <c r="M1949">
        <v>100</v>
      </c>
      <c r="N1949" t="s">
        <v>49</v>
      </c>
      <c r="O1949" t="s">
        <v>4172</v>
      </c>
      <c r="P1949" t="s">
        <v>373</v>
      </c>
      <c r="T1949">
        <v>4</v>
      </c>
      <c r="U1949" t="s">
        <v>56</v>
      </c>
      <c r="V1949" t="s">
        <v>56</v>
      </c>
    </row>
    <row r="1950" spans="1:22" x14ac:dyDescent="0.3">
      <c r="A1950" s="49">
        <v>45274</v>
      </c>
      <c r="E1950" t="s">
        <v>3118</v>
      </c>
      <c r="G1950" t="s">
        <v>4980</v>
      </c>
      <c r="H1950" t="s">
        <v>28</v>
      </c>
      <c r="I1950" t="s">
        <v>5650</v>
      </c>
      <c r="J1950" t="s">
        <v>63</v>
      </c>
      <c r="K1950" t="s">
        <v>422</v>
      </c>
      <c r="M1950">
        <v>100</v>
      </c>
      <c r="N1950" t="s">
        <v>49</v>
      </c>
      <c r="O1950" t="s">
        <v>4173</v>
      </c>
      <c r="P1950" t="s">
        <v>66</v>
      </c>
      <c r="T1950">
        <v>4</v>
      </c>
      <c r="U1950" t="s">
        <v>56</v>
      </c>
      <c r="V1950" t="s">
        <v>56</v>
      </c>
    </row>
    <row r="1951" spans="1:22" x14ac:dyDescent="0.3">
      <c r="A1951" s="49">
        <v>45274</v>
      </c>
      <c r="E1951" t="s">
        <v>3118</v>
      </c>
      <c r="G1951" t="s">
        <v>4980</v>
      </c>
      <c r="H1951" t="s">
        <v>28</v>
      </c>
      <c r="I1951" t="s">
        <v>5838</v>
      </c>
      <c r="J1951" t="s">
        <v>63</v>
      </c>
      <c r="K1951" t="s">
        <v>4959</v>
      </c>
      <c r="M1951">
        <v>30</v>
      </c>
      <c r="N1951" t="s">
        <v>49</v>
      </c>
      <c r="O1951" t="s">
        <v>4174</v>
      </c>
      <c r="P1951" t="s">
        <v>1878</v>
      </c>
      <c r="T1951">
        <v>4</v>
      </c>
      <c r="U1951" t="s">
        <v>56</v>
      </c>
      <c r="V1951" t="s">
        <v>56</v>
      </c>
    </row>
    <row r="1952" spans="1:22" x14ac:dyDescent="0.3">
      <c r="A1952" s="49">
        <v>45274</v>
      </c>
      <c r="E1952" t="s">
        <v>3118</v>
      </c>
      <c r="G1952" t="s">
        <v>4980</v>
      </c>
      <c r="H1952" t="s">
        <v>28</v>
      </c>
      <c r="I1952" t="s">
        <v>5839</v>
      </c>
      <c r="J1952" t="s">
        <v>46</v>
      </c>
      <c r="K1952" t="s">
        <v>422</v>
      </c>
      <c r="M1952">
        <v>100</v>
      </c>
      <c r="N1952" t="s">
        <v>49</v>
      </c>
      <c r="O1952" t="s">
        <v>4175</v>
      </c>
      <c r="P1952" t="s">
        <v>483</v>
      </c>
      <c r="T1952">
        <v>4</v>
      </c>
      <c r="U1952" t="s">
        <v>56</v>
      </c>
      <c r="V1952" t="s">
        <v>56</v>
      </c>
    </row>
    <row r="1953" spans="1:22" x14ac:dyDescent="0.3">
      <c r="A1953" s="49">
        <v>45274</v>
      </c>
      <c r="E1953" t="s">
        <v>3118</v>
      </c>
      <c r="G1953" t="s">
        <v>5032</v>
      </c>
      <c r="H1953" t="s">
        <v>28</v>
      </c>
      <c r="I1953" t="s">
        <v>5648</v>
      </c>
      <c r="J1953" t="s">
        <v>46</v>
      </c>
      <c r="K1953" t="s">
        <v>422</v>
      </c>
      <c r="M1953">
        <v>100</v>
      </c>
      <c r="N1953" t="s">
        <v>33</v>
      </c>
      <c r="O1953" t="s">
        <v>4176</v>
      </c>
      <c r="P1953" t="s">
        <v>1230</v>
      </c>
      <c r="T1953">
        <v>4</v>
      </c>
      <c r="U1953" t="s">
        <v>56</v>
      </c>
      <c r="V1953" t="s">
        <v>56</v>
      </c>
    </row>
    <row r="1954" spans="1:22" x14ac:dyDescent="0.3">
      <c r="A1954" s="49">
        <v>45274</v>
      </c>
      <c r="E1954" t="s">
        <v>3118</v>
      </c>
      <c r="G1954" t="s">
        <v>5032</v>
      </c>
      <c r="H1954" t="s">
        <v>28</v>
      </c>
      <c r="I1954" t="s">
        <v>5648</v>
      </c>
      <c r="J1954" t="s">
        <v>46</v>
      </c>
      <c r="K1954" t="s">
        <v>422</v>
      </c>
      <c r="M1954">
        <v>100</v>
      </c>
      <c r="N1954" t="s">
        <v>33</v>
      </c>
      <c r="O1954" t="s">
        <v>4176</v>
      </c>
      <c r="P1954" t="s">
        <v>1230</v>
      </c>
      <c r="T1954">
        <v>4</v>
      </c>
      <c r="U1954" t="s">
        <v>56</v>
      </c>
      <c r="V1954" t="s">
        <v>56</v>
      </c>
    </row>
    <row r="1955" spans="1:22" x14ac:dyDescent="0.3">
      <c r="A1955" s="49">
        <v>45274</v>
      </c>
      <c r="E1955" t="s">
        <v>3118</v>
      </c>
      <c r="G1955" t="s">
        <v>5032</v>
      </c>
      <c r="H1955" t="s">
        <v>28</v>
      </c>
      <c r="I1955" t="s">
        <v>5648</v>
      </c>
      <c r="J1955" t="s">
        <v>46</v>
      </c>
      <c r="K1955" t="s">
        <v>422</v>
      </c>
      <c r="M1955">
        <v>100</v>
      </c>
      <c r="N1955" t="s">
        <v>33</v>
      </c>
      <c r="O1955" t="s">
        <v>4176</v>
      </c>
      <c r="P1955" t="s">
        <v>1230</v>
      </c>
      <c r="T1955">
        <v>4</v>
      </c>
      <c r="U1955" t="s">
        <v>56</v>
      </c>
      <c r="V1955" t="s">
        <v>56</v>
      </c>
    </row>
    <row r="1956" spans="1:22" x14ac:dyDescent="0.3">
      <c r="A1956" s="49">
        <v>45274</v>
      </c>
      <c r="E1956" t="s">
        <v>3118</v>
      </c>
      <c r="G1956" t="s">
        <v>5032</v>
      </c>
      <c r="H1956" t="s">
        <v>28</v>
      </c>
      <c r="I1956" t="s">
        <v>5648</v>
      </c>
      <c r="J1956" t="s">
        <v>46</v>
      </c>
      <c r="K1956" t="s">
        <v>422</v>
      </c>
      <c r="M1956">
        <v>100</v>
      </c>
      <c r="N1956" t="s">
        <v>33</v>
      </c>
      <c r="O1956" t="s">
        <v>4176</v>
      </c>
      <c r="P1956" t="s">
        <v>1230</v>
      </c>
      <c r="T1956">
        <v>4</v>
      </c>
      <c r="U1956" t="s">
        <v>56</v>
      </c>
      <c r="V1956" t="s">
        <v>56</v>
      </c>
    </row>
    <row r="1957" spans="1:22" x14ac:dyDescent="0.3">
      <c r="A1957" s="49">
        <v>45274</v>
      </c>
      <c r="E1957" t="s">
        <v>3118</v>
      </c>
      <c r="G1957" t="s">
        <v>5032</v>
      </c>
      <c r="H1957" t="s">
        <v>28</v>
      </c>
      <c r="I1957" t="s">
        <v>5648</v>
      </c>
      <c r="J1957" t="s">
        <v>46</v>
      </c>
      <c r="K1957" t="s">
        <v>422</v>
      </c>
      <c r="M1957">
        <v>100</v>
      </c>
      <c r="N1957" t="s">
        <v>33</v>
      </c>
      <c r="O1957" t="s">
        <v>4176</v>
      </c>
      <c r="P1957" t="s">
        <v>1230</v>
      </c>
      <c r="T1957">
        <v>4</v>
      </c>
      <c r="U1957" t="s">
        <v>56</v>
      </c>
      <c r="V1957" t="s">
        <v>56</v>
      </c>
    </row>
    <row r="1958" spans="1:22" x14ac:dyDescent="0.3">
      <c r="A1958" s="49">
        <v>45274</v>
      </c>
      <c r="E1958" t="s">
        <v>3118</v>
      </c>
      <c r="G1958" t="s">
        <v>5032</v>
      </c>
      <c r="H1958" t="s">
        <v>28</v>
      </c>
      <c r="I1958" t="s">
        <v>5648</v>
      </c>
      <c r="J1958" t="s">
        <v>46</v>
      </c>
      <c r="K1958" t="s">
        <v>422</v>
      </c>
      <c r="M1958">
        <v>100</v>
      </c>
      <c r="N1958" t="s">
        <v>33</v>
      </c>
      <c r="O1958" t="s">
        <v>4176</v>
      </c>
      <c r="P1958" t="s">
        <v>1230</v>
      </c>
      <c r="T1958">
        <v>4</v>
      </c>
      <c r="U1958" t="s">
        <v>56</v>
      </c>
      <c r="V1958" t="s">
        <v>56</v>
      </c>
    </row>
    <row r="1959" spans="1:22" x14ac:dyDescent="0.3">
      <c r="A1959" s="49">
        <v>45274</v>
      </c>
      <c r="E1959" t="s">
        <v>3118</v>
      </c>
      <c r="G1959" t="s">
        <v>5032</v>
      </c>
      <c r="H1959" t="s">
        <v>28</v>
      </c>
      <c r="I1959" t="s">
        <v>5648</v>
      </c>
      <c r="J1959" t="s">
        <v>46</v>
      </c>
      <c r="K1959" t="s">
        <v>422</v>
      </c>
      <c r="M1959">
        <v>100</v>
      </c>
      <c r="N1959" t="s">
        <v>33</v>
      </c>
      <c r="O1959" t="s">
        <v>4176</v>
      </c>
      <c r="P1959" t="s">
        <v>1230</v>
      </c>
      <c r="T1959">
        <v>4</v>
      </c>
      <c r="U1959" t="s">
        <v>56</v>
      </c>
      <c r="V1959" t="s">
        <v>56</v>
      </c>
    </row>
    <row r="1960" spans="1:22" x14ac:dyDescent="0.3">
      <c r="A1960" s="49">
        <v>45274</v>
      </c>
      <c r="E1960" t="s">
        <v>3118</v>
      </c>
      <c r="G1960" t="s">
        <v>5032</v>
      </c>
      <c r="H1960" t="s">
        <v>28</v>
      </c>
      <c r="I1960" t="s">
        <v>5648</v>
      </c>
      <c r="J1960" t="s">
        <v>46</v>
      </c>
      <c r="K1960" t="s">
        <v>422</v>
      </c>
      <c r="M1960">
        <v>100</v>
      </c>
      <c r="N1960" t="s">
        <v>33</v>
      </c>
      <c r="O1960" t="s">
        <v>4176</v>
      </c>
      <c r="P1960" t="s">
        <v>1230</v>
      </c>
      <c r="T1960">
        <v>4</v>
      </c>
      <c r="U1960" t="s">
        <v>56</v>
      </c>
      <c r="V1960" t="s">
        <v>56</v>
      </c>
    </row>
    <row r="1961" spans="1:22" x14ac:dyDescent="0.3">
      <c r="A1961" s="49">
        <v>45274</v>
      </c>
      <c r="E1961" t="s">
        <v>3118</v>
      </c>
      <c r="G1961" t="s">
        <v>5032</v>
      </c>
      <c r="H1961" t="s">
        <v>28</v>
      </c>
      <c r="I1961" t="s">
        <v>5648</v>
      </c>
      <c r="J1961" t="s">
        <v>46</v>
      </c>
      <c r="K1961" t="s">
        <v>422</v>
      </c>
      <c r="M1961">
        <v>100</v>
      </c>
      <c r="N1961" t="s">
        <v>33</v>
      </c>
      <c r="O1961" t="s">
        <v>4176</v>
      </c>
      <c r="P1961" t="s">
        <v>1230</v>
      </c>
      <c r="T1961">
        <v>4</v>
      </c>
      <c r="U1961" t="s">
        <v>56</v>
      </c>
      <c r="V1961" t="s">
        <v>56</v>
      </c>
    </row>
    <row r="1962" spans="1:22" x14ac:dyDescent="0.3">
      <c r="A1962" s="49">
        <v>45274</v>
      </c>
      <c r="E1962" t="s">
        <v>3118</v>
      </c>
      <c r="G1962" t="s">
        <v>5032</v>
      </c>
      <c r="H1962" t="s">
        <v>28</v>
      </c>
      <c r="I1962" t="s">
        <v>5648</v>
      </c>
      <c r="J1962" t="s">
        <v>46</v>
      </c>
      <c r="K1962" t="s">
        <v>422</v>
      </c>
      <c r="M1962">
        <v>100</v>
      </c>
      <c r="N1962" t="s">
        <v>33</v>
      </c>
      <c r="O1962" t="s">
        <v>4176</v>
      </c>
      <c r="P1962" t="s">
        <v>1230</v>
      </c>
      <c r="T1962">
        <v>4</v>
      </c>
      <c r="U1962" t="s">
        <v>56</v>
      </c>
      <c r="V1962" t="s">
        <v>56</v>
      </c>
    </row>
    <row r="1963" spans="1:22" x14ac:dyDescent="0.3">
      <c r="A1963" s="49">
        <v>45274</v>
      </c>
      <c r="E1963" t="s">
        <v>3118</v>
      </c>
      <c r="G1963" t="s">
        <v>5032</v>
      </c>
      <c r="H1963" t="s">
        <v>28</v>
      </c>
      <c r="I1963" t="s">
        <v>5648</v>
      </c>
      <c r="J1963" t="s">
        <v>46</v>
      </c>
      <c r="K1963" t="s">
        <v>422</v>
      </c>
      <c r="M1963">
        <v>100</v>
      </c>
      <c r="N1963" t="s">
        <v>33</v>
      </c>
      <c r="O1963" t="s">
        <v>4176</v>
      </c>
      <c r="P1963" t="s">
        <v>1230</v>
      </c>
      <c r="T1963">
        <v>4</v>
      </c>
      <c r="U1963" t="s">
        <v>56</v>
      </c>
      <c r="V1963" t="s">
        <v>56</v>
      </c>
    </row>
    <row r="1964" spans="1:22" x14ac:dyDescent="0.3">
      <c r="A1964" s="49">
        <v>45274</v>
      </c>
      <c r="E1964" t="s">
        <v>3118</v>
      </c>
      <c r="G1964" t="s">
        <v>5032</v>
      </c>
      <c r="H1964" t="s">
        <v>28</v>
      </c>
      <c r="I1964" t="s">
        <v>5648</v>
      </c>
      <c r="J1964" t="s">
        <v>46</v>
      </c>
      <c r="K1964" t="s">
        <v>422</v>
      </c>
      <c r="M1964">
        <v>100</v>
      </c>
      <c r="N1964" t="s">
        <v>33</v>
      </c>
      <c r="O1964" t="s">
        <v>4176</v>
      </c>
      <c r="P1964" t="s">
        <v>1230</v>
      </c>
      <c r="T1964">
        <v>4</v>
      </c>
      <c r="U1964" t="s">
        <v>56</v>
      </c>
      <c r="V1964" t="s">
        <v>56</v>
      </c>
    </row>
    <row r="1965" spans="1:22" x14ac:dyDescent="0.3">
      <c r="A1965" s="49">
        <v>45274</v>
      </c>
      <c r="E1965" t="s">
        <v>3118</v>
      </c>
      <c r="G1965" t="s">
        <v>5032</v>
      </c>
      <c r="H1965" t="s">
        <v>28</v>
      </c>
      <c r="I1965" t="s">
        <v>5648</v>
      </c>
      <c r="J1965" t="s">
        <v>46</v>
      </c>
      <c r="K1965" t="s">
        <v>422</v>
      </c>
      <c r="M1965">
        <v>100</v>
      </c>
      <c r="N1965" t="s">
        <v>33</v>
      </c>
      <c r="O1965" t="s">
        <v>4176</v>
      </c>
      <c r="P1965" t="s">
        <v>1230</v>
      </c>
      <c r="T1965">
        <v>4</v>
      </c>
      <c r="U1965" t="s">
        <v>56</v>
      </c>
      <c r="V1965" t="s">
        <v>56</v>
      </c>
    </row>
    <row r="1966" spans="1:22" x14ac:dyDescent="0.3">
      <c r="A1966" s="49">
        <v>45274</v>
      </c>
      <c r="E1966" t="s">
        <v>3118</v>
      </c>
      <c r="G1966" t="s">
        <v>5032</v>
      </c>
      <c r="H1966" t="s">
        <v>28</v>
      </c>
      <c r="I1966" t="s">
        <v>5648</v>
      </c>
      <c r="J1966" t="s">
        <v>46</v>
      </c>
      <c r="K1966" t="s">
        <v>422</v>
      </c>
      <c r="M1966">
        <v>100</v>
      </c>
      <c r="N1966" t="s">
        <v>33</v>
      </c>
      <c r="O1966" t="s">
        <v>4176</v>
      </c>
      <c r="P1966" t="s">
        <v>1230</v>
      </c>
      <c r="T1966">
        <v>4</v>
      </c>
      <c r="U1966" t="s">
        <v>56</v>
      </c>
      <c r="V1966" t="s">
        <v>56</v>
      </c>
    </row>
    <row r="1967" spans="1:22" x14ac:dyDescent="0.3">
      <c r="A1967" s="49">
        <v>45274</v>
      </c>
      <c r="E1967" t="s">
        <v>3118</v>
      </c>
      <c r="G1967" t="s">
        <v>5032</v>
      </c>
      <c r="H1967" t="s">
        <v>28</v>
      </c>
      <c r="I1967" t="s">
        <v>5648</v>
      </c>
      <c r="J1967" t="s">
        <v>46</v>
      </c>
      <c r="K1967" t="s">
        <v>422</v>
      </c>
      <c r="M1967">
        <v>100</v>
      </c>
      <c r="N1967" t="s">
        <v>33</v>
      </c>
      <c r="O1967" t="s">
        <v>4176</v>
      </c>
      <c r="P1967" t="s">
        <v>1230</v>
      </c>
      <c r="T1967">
        <v>4</v>
      </c>
      <c r="U1967" t="s">
        <v>56</v>
      </c>
      <c r="V1967" t="s">
        <v>56</v>
      </c>
    </row>
    <row r="1968" spans="1:22" x14ac:dyDescent="0.3">
      <c r="A1968" s="49">
        <v>45274</v>
      </c>
      <c r="E1968" t="s">
        <v>3118</v>
      </c>
      <c r="G1968" t="s">
        <v>5032</v>
      </c>
      <c r="H1968" t="s">
        <v>28</v>
      </c>
      <c r="I1968" t="s">
        <v>5648</v>
      </c>
      <c r="J1968" t="s">
        <v>46</v>
      </c>
      <c r="K1968" t="s">
        <v>422</v>
      </c>
      <c r="M1968">
        <v>100</v>
      </c>
      <c r="N1968" t="s">
        <v>33</v>
      </c>
      <c r="O1968" t="s">
        <v>4176</v>
      </c>
      <c r="P1968" t="s">
        <v>1230</v>
      </c>
      <c r="T1968">
        <v>4</v>
      </c>
      <c r="U1968" t="s">
        <v>56</v>
      </c>
      <c r="V1968" t="s">
        <v>56</v>
      </c>
    </row>
    <row r="1969" spans="1:22" x14ac:dyDescent="0.3">
      <c r="A1969" s="49">
        <v>45274</v>
      </c>
      <c r="E1969" t="s">
        <v>3118</v>
      </c>
      <c r="G1969" t="s">
        <v>5032</v>
      </c>
      <c r="H1969" t="s">
        <v>28</v>
      </c>
      <c r="I1969" t="s">
        <v>5648</v>
      </c>
      <c r="J1969" t="s">
        <v>46</v>
      </c>
      <c r="K1969" t="s">
        <v>422</v>
      </c>
      <c r="M1969">
        <v>100</v>
      </c>
      <c r="N1969" t="s">
        <v>33</v>
      </c>
      <c r="O1969" t="s">
        <v>4176</v>
      </c>
      <c r="P1969" t="s">
        <v>1230</v>
      </c>
      <c r="T1969">
        <v>4</v>
      </c>
      <c r="U1969" t="s">
        <v>56</v>
      </c>
      <c r="V1969" t="s">
        <v>56</v>
      </c>
    </row>
    <row r="1970" spans="1:22" x14ac:dyDescent="0.3">
      <c r="A1970" s="49">
        <v>45274</v>
      </c>
      <c r="E1970" t="s">
        <v>3118</v>
      </c>
      <c r="G1970" t="s">
        <v>5032</v>
      </c>
      <c r="H1970" t="s">
        <v>28</v>
      </c>
      <c r="I1970" t="s">
        <v>5648</v>
      </c>
      <c r="J1970" t="s">
        <v>46</v>
      </c>
      <c r="K1970" t="s">
        <v>422</v>
      </c>
      <c r="M1970">
        <v>100</v>
      </c>
      <c r="N1970" t="s">
        <v>33</v>
      </c>
      <c r="O1970" t="s">
        <v>4176</v>
      </c>
      <c r="P1970" t="s">
        <v>1230</v>
      </c>
      <c r="T1970">
        <v>4</v>
      </c>
      <c r="U1970" t="s">
        <v>56</v>
      </c>
      <c r="V1970" t="s">
        <v>56</v>
      </c>
    </row>
    <row r="1971" spans="1:22" x14ac:dyDescent="0.3">
      <c r="A1971" s="49">
        <v>45274</v>
      </c>
      <c r="E1971" t="s">
        <v>3118</v>
      </c>
      <c r="G1971" t="s">
        <v>5032</v>
      </c>
      <c r="H1971" t="s">
        <v>28</v>
      </c>
      <c r="I1971" t="s">
        <v>5648</v>
      </c>
      <c r="J1971" t="s">
        <v>46</v>
      </c>
      <c r="K1971" t="s">
        <v>422</v>
      </c>
      <c r="M1971">
        <v>100</v>
      </c>
      <c r="N1971" t="s">
        <v>33</v>
      </c>
      <c r="O1971" t="s">
        <v>4176</v>
      </c>
      <c r="P1971" t="s">
        <v>1230</v>
      </c>
      <c r="T1971">
        <v>4</v>
      </c>
      <c r="U1971" t="s">
        <v>56</v>
      </c>
      <c r="V1971" t="s">
        <v>56</v>
      </c>
    </row>
    <row r="1972" spans="1:22" x14ac:dyDescent="0.3">
      <c r="A1972" s="49">
        <v>45274</v>
      </c>
      <c r="E1972" t="s">
        <v>3118</v>
      </c>
      <c r="G1972" t="s">
        <v>5032</v>
      </c>
      <c r="H1972" t="s">
        <v>28</v>
      </c>
      <c r="I1972" t="s">
        <v>5648</v>
      </c>
      <c r="J1972" t="s">
        <v>46</v>
      </c>
      <c r="K1972" t="s">
        <v>422</v>
      </c>
      <c r="M1972">
        <v>100</v>
      </c>
      <c r="N1972" t="s">
        <v>33</v>
      </c>
      <c r="O1972" t="s">
        <v>4176</v>
      </c>
      <c r="P1972" t="s">
        <v>1230</v>
      </c>
      <c r="T1972">
        <v>4</v>
      </c>
      <c r="U1972" t="s">
        <v>56</v>
      </c>
      <c r="V1972" t="s">
        <v>56</v>
      </c>
    </row>
    <row r="1973" spans="1:22" x14ac:dyDescent="0.3">
      <c r="A1973" s="49">
        <v>45274</v>
      </c>
      <c r="E1973" t="s">
        <v>3118</v>
      </c>
      <c r="G1973" t="s">
        <v>5032</v>
      </c>
      <c r="H1973" t="s">
        <v>28</v>
      </c>
      <c r="I1973" t="s">
        <v>5648</v>
      </c>
      <c r="J1973" t="s">
        <v>46</v>
      </c>
      <c r="K1973" t="s">
        <v>422</v>
      </c>
      <c r="M1973">
        <v>100</v>
      </c>
      <c r="N1973" t="s">
        <v>33</v>
      </c>
      <c r="O1973" t="s">
        <v>4176</v>
      </c>
      <c r="P1973" t="s">
        <v>1230</v>
      </c>
      <c r="T1973">
        <v>4</v>
      </c>
      <c r="U1973" t="s">
        <v>56</v>
      </c>
      <c r="V1973" t="s">
        <v>56</v>
      </c>
    </row>
    <row r="1974" spans="1:22" x14ac:dyDescent="0.3">
      <c r="A1974" s="49">
        <v>45274</v>
      </c>
      <c r="E1974" t="s">
        <v>3118</v>
      </c>
      <c r="G1974" t="s">
        <v>5032</v>
      </c>
      <c r="H1974" t="s">
        <v>28</v>
      </c>
      <c r="I1974" t="s">
        <v>5648</v>
      </c>
      <c r="J1974" t="s">
        <v>46</v>
      </c>
      <c r="K1974" t="s">
        <v>422</v>
      </c>
      <c r="M1974">
        <v>100</v>
      </c>
      <c r="N1974" t="s">
        <v>33</v>
      </c>
      <c r="O1974" t="s">
        <v>4176</v>
      </c>
      <c r="P1974" t="s">
        <v>1230</v>
      </c>
      <c r="T1974">
        <v>4</v>
      </c>
      <c r="U1974" t="s">
        <v>56</v>
      </c>
      <c r="V1974" t="s">
        <v>56</v>
      </c>
    </row>
    <row r="1975" spans="1:22" x14ac:dyDescent="0.3">
      <c r="A1975" s="49">
        <v>45274</v>
      </c>
      <c r="E1975" t="s">
        <v>3118</v>
      </c>
      <c r="G1975" t="s">
        <v>4980</v>
      </c>
      <c r="H1975" t="s">
        <v>28</v>
      </c>
      <c r="I1975" t="s">
        <v>5406</v>
      </c>
      <c r="J1975" t="s">
        <v>46</v>
      </c>
      <c r="K1975" t="s">
        <v>422</v>
      </c>
      <c r="M1975">
        <v>100</v>
      </c>
      <c r="N1975" t="s">
        <v>33</v>
      </c>
      <c r="O1975" t="s">
        <v>4177</v>
      </c>
      <c r="P1975" t="s">
        <v>1597</v>
      </c>
      <c r="T1975">
        <v>4</v>
      </c>
      <c r="U1975" t="s">
        <v>56</v>
      </c>
      <c r="V1975" t="s">
        <v>56</v>
      </c>
    </row>
    <row r="1976" spans="1:22" x14ac:dyDescent="0.3">
      <c r="A1976" s="49">
        <v>45274</v>
      </c>
      <c r="E1976" t="s">
        <v>3118</v>
      </c>
      <c r="G1976" t="s">
        <v>4980</v>
      </c>
      <c r="H1976" t="s">
        <v>28</v>
      </c>
      <c r="I1976" t="s">
        <v>5406</v>
      </c>
      <c r="J1976" t="s">
        <v>63</v>
      </c>
      <c r="K1976" t="s">
        <v>64</v>
      </c>
      <c r="M1976">
        <v>20</v>
      </c>
      <c r="N1976" t="s">
        <v>33</v>
      </c>
      <c r="O1976" t="s">
        <v>4178</v>
      </c>
      <c r="P1976" t="s">
        <v>1701</v>
      </c>
      <c r="T1976">
        <v>4</v>
      </c>
      <c r="U1976" t="s">
        <v>56</v>
      </c>
      <c r="V1976" t="s">
        <v>56</v>
      </c>
    </row>
    <row r="1977" spans="1:22" x14ac:dyDescent="0.3">
      <c r="A1977" s="49">
        <v>45274</v>
      </c>
      <c r="E1977" t="s">
        <v>3118</v>
      </c>
      <c r="G1977" t="s">
        <v>5032</v>
      </c>
      <c r="H1977" t="s">
        <v>28</v>
      </c>
      <c r="I1977" t="s">
        <v>5840</v>
      </c>
      <c r="J1977" t="s">
        <v>63</v>
      </c>
      <c r="K1977" t="s">
        <v>197</v>
      </c>
      <c r="M1977">
        <v>33</v>
      </c>
      <c r="N1977" t="s">
        <v>33</v>
      </c>
      <c r="O1977" t="s">
        <v>4179</v>
      </c>
      <c r="P1977" t="s">
        <v>668</v>
      </c>
      <c r="T1977">
        <v>4</v>
      </c>
      <c r="U1977" t="s">
        <v>56</v>
      </c>
      <c r="V1977" t="s">
        <v>56</v>
      </c>
    </row>
    <row r="1978" spans="1:22" x14ac:dyDescent="0.3">
      <c r="A1978" s="49">
        <v>45274</v>
      </c>
      <c r="E1978" t="s">
        <v>3155</v>
      </c>
      <c r="G1978" t="s">
        <v>5172</v>
      </c>
      <c r="H1978" t="s">
        <v>28</v>
      </c>
      <c r="I1978" t="s">
        <v>5651</v>
      </c>
      <c r="J1978" t="s">
        <v>63</v>
      </c>
      <c r="K1978" t="s">
        <v>197</v>
      </c>
      <c r="M1978">
        <v>33</v>
      </c>
      <c r="N1978" t="s">
        <v>49</v>
      </c>
      <c r="O1978" t="s">
        <v>4180</v>
      </c>
      <c r="P1978" t="s">
        <v>170</v>
      </c>
      <c r="T1978">
        <v>4</v>
      </c>
      <c r="U1978" t="s">
        <v>56</v>
      </c>
      <c r="V1978" t="s">
        <v>56</v>
      </c>
    </row>
    <row r="1979" spans="1:22" x14ac:dyDescent="0.3">
      <c r="A1979" s="49">
        <v>45274</v>
      </c>
      <c r="E1979" t="s">
        <v>3155</v>
      </c>
      <c r="G1979" t="s">
        <v>5097</v>
      </c>
      <c r="H1979" t="s">
        <v>28</v>
      </c>
      <c r="I1979" t="s">
        <v>5542</v>
      </c>
      <c r="J1979" t="s">
        <v>63</v>
      </c>
      <c r="K1979" t="s">
        <v>197</v>
      </c>
      <c r="M1979">
        <v>100</v>
      </c>
      <c r="N1979" t="s">
        <v>33</v>
      </c>
      <c r="O1979" t="s">
        <v>3717</v>
      </c>
      <c r="P1979" t="s">
        <v>170</v>
      </c>
      <c r="T1979">
        <v>4</v>
      </c>
      <c r="U1979" t="s">
        <v>56</v>
      </c>
      <c r="V1979" t="s">
        <v>56</v>
      </c>
    </row>
    <row r="1980" spans="1:22" x14ac:dyDescent="0.3">
      <c r="A1980" s="49">
        <v>45274</v>
      </c>
      <c r="E1980" t="s">
        <v>3155</v>
      </c>
      <c r="G1980" t="s">
        <v>5097</v>
      </c>
      <c r="H1980" t="s">
        <v>89</v>
      </c>
      <c r="J1980" t="s">
        <v>63</v>
      </c>
      <c r="K1980" t="s">
        <v>197</v>
      </c>
      <c r="M1980">
        <v>20</v>
      </c>
      <c r="N1980" t="s">
        <v>33</v>
      </c>
      <c r="O1980" t="s">
        <v>4181</v>
      </c>
      <c r="P1980" t="s">
        <v>572</v>
      </c>
      <c r="T1980">
        <v>4</v>
      </c>
      <c r="U1980" t="s">
        <v>56</v>
      </c>
      <c r="V1980" t="s">
        <v>56</v>
      </c>
    </row>
    <row r="1981" spans="1:22" x14ac:dyDescent="0.3">
      <c r="A1981" s="49">
        <v>45274</v>
      </c>
      <c r="E1981" t="s">
        <v>3155</v>
      </c>
      <c r="G1981" t="s">
        <v>5285</v>
      </c>
      <c r="H1981" t="s">
        <v>28</v>
      </c>
      <c r="I1981" t="s">
        <v>5841</v>
      </c>
      <c r="J1981" t="s">
        <v>46</v>
      </c>
      <c r="K1981" t="s">
        <v>422</v>
      </c>
      <c r="M1981">
        <v>100</v>
      </c>
      <c r="N1981" t="s">
        <v>49</v>
      </c>
      <c r="O1981" t="s">
        <v>4182</v>
      </c>
      <c r="P1981" t="s">
        <v>4885</v>
      </c>
      <c r="T1981">
        <v>4</v>
      </c>
      <c r="U1981" t="s">
        <v>56</v>
      </c>
      <c r="V1981" t="s">
        <v>56</v>
      </c>
    </row>
    <row r="1982" spans="1:22" x14ac:dyDescent="0.3">
      <c r="A1982" s="49">
        <v>45274</v>
      </c>
      <c r="E1982" t="s">
        <v>3155</v>
      </c>
      <c r="G1982" t="s">
        <v>5033</v>
      </c>
      <c r="H1982" t="s">
        <v>89</v>
      </c>
      <c r="J1982" t="s">
        <v>1712</v>
      </c>
      <c r="K1982" t="s">
        <v>481</v>
      </c>
      <c r="M1982">
        <v>100</v>
      </c>
      <c r="N1982" t="s">
        <v>49</v>
      </c>
      <c r="O1982" t="s">
        <v>4183</v>
      </c>
      <c r="P1982" t="s">
        <v>1175</v>
      </c>
      <c r="T1982">
        <v>4</v>
      </c>
      <c r="U1982" t="s">
        <v>56</v>
      </c>
      <c r="V1982" t="s">
        <v>56</v>
      </c>
    </row>
    <row r="1983" spans="1:22" x14ac:dyDescent="0.3">
      <c r="A1983" s="49">
        <v>45274</v>
      </c>
      <c r="E1983" t="s">
        <v>3155</v>
      </c>
      <c r="G1983" t="s">
        <v>5033</v>
      </c>
      <c r="H1983" t="s">
        <v>89</v>
      </c>
      <c r="J1983" t="s">
        <v>1712</v>
      </c>
      <c r="K1983" t="s">
        <v>481</v>
      </c>
      <c r="M1983">
        <v>100</v>
      </c>
      <c r="N1983" t="s">
        <v>49</v>
      </c>
      <c r="O1983" t="s">
        <v>4184</v>
      </c>
      <c r="P1983" t="s">
        <v>1727</v>
      </c>
      <c r="T1983">
        <v>4</v>
      </c>
      <c r="U1983" t="s">
        <v>56</v>
      </c>
      <c r="V1983" t="s">
        <v>56</v>
      </c>
    </row>
    <row r="1984" spans="1:22" x14ac:dyDescent="0.3">
      <c r="A1984" s="49">
        <v>45274</v>
      </c>
      <c r="E1984" t="s">
        <v>3155</v>
      </c>
      <c r="G1984" t="s">
        <v>5033</v>
      </c>
      <c r="H1984" t="s">
        <v>89</v>
      </c>
      <c r="J1984" t="s">
        <v>1712</v>
      </c>
      <c r="K1984" t="s">
        <v>481</v>
      </c>
      <c r="M1984">
        <v>100</v>
      </c>
      <c r="N1984" t="s">
        <v>49</v>
      </c>
      <c r="O1984" t="s">
        <v>4184</v>
      </c>
      <c r="P1984" t="s">
        <v>1727</v>
      </c>
      <c r="T1984">
        <v>4</v>
      </c>
      <c r="U1984" t="s">
        <v>56</v>
      </c>
      <c r="V1984" t="s">
        <v>56</v>
      </c>
    </row>
    <row r="1985" spans="1:22" x14ac:dyDescent="0.3">
      <c r="A1985" s="49">
        <v>45274</v>
      </c>
      <c r="E1985" t="s">
        <v>3155</v>
      </c>
      <c r="G1985" t="s">
        <v>5097</v>
      </c>
      <c r="H1985" t="s">
        <v>28</v>
      </c>
      <c r="I1985" t="s">
        <v>5656</v>
      </c>
      <c r="J1985" t="s">
        <v>63</v>
      </c>
      <c r="K1985" t="s">
        <v>64</v>
      </c>
      <c r="M1985">
        <v>100</v>
      </c>
      <c r="N1985" t="s">
        <v>49</v>
      </c>
      <c r="O1985" t="s">
        <v>4185</v>
      </c>
      <c r="P1985" t="s">
        <v>743</v>
      </c>
      <c r="T1985">
        <v>4</v>
      </c>
      <c r="U1985" t="s">
        <v>56</v>
      </c>
      <c r="V1985" t="s">
        <v>56</v>
      </c>
    </row>
    <row r="1986" spans="1:22" x14ac:dyDescent="0.3">
      <c r="A1986" s="49">
        <v>45274</v>
      </c>
      <c r="E1986" t="s">
        <v>3155</v>
      </c>
      <c r="G1986" t="s">
        <v>555</v>
      </c>
      <c r="H1986" t="s">
        <v>28</v>
      </c>
      <c r="I1986" t="s">
        <v>556</v>
      </c>
      <c r="J1986" t="s">
        <v>63</v>
      </c>
      <c r="K1986" t="s">
        <v>64</v>
      </c>
      <c r="M1986">
        <v>50</v>
      </c>
      <c r="N1986" t="s">
        <v>49</v>
      </c>
      <c r="O1986" t="s">
        <v>4186</v>
      </c>
      <c r="P1986" t="s">
        <v>66</v>
      </c>
      <c r="T1986">
        <v>4</v>
      </c>
      <c r="U1986" t="s">
        <v>56</v>
      </c>
      <c r="V1986" t="s">
        <v>56</v>
      </c>
    </row>
    <row r="1987" spans="1:22" x14ac:dyDescent="0.3">
      <c r="A1987" s="49">
        <v>45274</v>
      </c>
      <c r="E1987" t="s">
        <v>3155</v>
      </c>
      <c r="G1987" t="s">
        <v>5286</v>
      </c>
      <c r="H1987" t="s">
        <v>28</v>
      </c>
      <c r="I1987" t="s">
        <v>5842</v>
      </c>
      <c r="J1987" t="s">
        <v>63</v>
      </c>
      <c r="K1987" t="s">
        <v>1235</v>
      </c>
      <c r="M1987">
        <v>0</v>
      </c>
      <c r="N1987" t="s">
        <v>49</v>
      </c>
      <c r="O1987" t="s">
        <v>4187</v>
      </c>
      <c r="P1987" t="s">
        <v>1701</v>
      </c>
      <c r="T1987">
        <v>4</v>
      </c>
      <c r="U1987" t="s">
        <v>56</v>
      </c>
      <c r="V1987" t="s">
        <v>56</v>
      </c>
    </row>
    <row r="1988" spans="1:22" x14ac:dyDescent="0.3">
      <c r="A1988" s="49">
        <v>45274</v>
      </c>
      <c r="E1988" t="s">
        <v>3155</v>
      </c>
      <c r="G1988" t="s">
        <v>5033</v>
      </c>
      <c r="H1988" t="s">
        <v>28</v>
      </c>
      <c r="I1988" t="s">
        <v>5843</v>
      </c>
      <c r="J1988" t="s">
        <v>1712</v>
      </c>
      <c r="K1988" t="s">
        <v>4944</v>
      </c>
      <c r="M1988">
        <v>100</v>
      </c>
      <c r="N1988" t="s">
        <v>49</v>
      </c>
      <c r="O1988" t="s">
        <v>4188</v>
      </c>
      <c r="P1988" t="s">
        <v>344</v>
      </c>
      <c r="T1988">
        <v>4</v>
      </c>
      <c r="U1988" t="s">
        <v>56</v>
      </c>
      <c r="V1988" t="s">
        <v>56</v>
      </c>
    </row>
    <row r="1989" spans="1:22" x14ac:dyDescent="0.3">
      <c r="A1989" s="49">
        <v>45274</v>
      </c>
      <c r="E1989" t="s">
        <v>3155</v>
      </c>
      <c r="G1989" t="s">
        <v>5097</v>
      </c>
      <c r="H1989" t="s">
        <v>28</v>
      </c>
      <c r="I1989" t="s">
        <v>5656</v>
      </c>
      <c r="J1989" t="s">
        <v>63</v>
      </c>
      <c r="K1989" t="s">
        <v>197</v>
      </c>
      <c r="M1989">
        <v>10</v>
      </c>
      <c r="N1989" t="s">
        <v>49</v>
      </c>
      <c r="O1989" t="s">
        <v>4189</v>
      </c>
      <c r="P1989" t="s">
        <v>4871</v>
      </c>
      <c r="T1989">
        <v>4</v>
      </c>
      <c r="U1989" t="s">
        <v>56</v>
      </c>
      <c r="V1989" t="s">
        <v>56</v>
      </c>
    </row>
    <row r="1990" spans="1:22" x14ac:dyDescent="0.3">
      <c r="A1990" s="49">
        <v>45274</v>
      </c>
      <c r="E1990" t="s">
        <v>3155</v>
      </c>
      <c r="G1990" t="s">
        <v>5097</v>
      </c>
      <c r="H1990" t="s">
        <v>89</v>
      </c>
      <c r="J1990" t="s">
        <v>63</v>
      </c>
      <c r="K1990" t="s">
        <v>197</v>
      </c>
      <c r="M1990">
        <v>0</v>
      </c>
      <c r="N1990" t="s">
        <v>74</v>
      </c>
      <c r="O1990" t="s">
        <v>4181</v>
      </c>
      <c r="P1990" t="s">
        <v>4849</v>
      </c>
      <c r="T1990">
        <v>4</v>
      </c>
      <c r="U1990" t="s">
        <v>56</v>
      </c>
      <c r="V1990" t="s">
        <v>56</v>
      </c>
    </row>
    <row r="1991" spans="1:22" x14ac:dyDescent="0.3">
      <c r="A1991" s="49">
        <v>45274</v>
      </c>
      <c r="E1991" t="s">
        <v>3155</v>
      </c>
      <c r="G1991" t="s">
        <v>5033</v>
      </c>
      <c r="H1991" t="s">
        <v>89</v>
      </c>
      <c r="J1991" t="s">
        <v>1712</v>
      </c>
      <c r="K1991" t="s">
        <v>4944</v>
      </c>
      <c r="M1991">
        <v>100</v>
      </c>
      <c r="N1991" t="s">
        <v>49</v>
      </c>
      <c r="O1991" t="s">
        <v>4190</v>
      </c>
      <c r="P1991" t="s">
        <v>170</v>
      </c>
      <c r="T1991">
        <v>4</v>
      </c>
      <c r="U1991" t="s">
        <v>56</v>
      </c>
      <c r="V1991" t="s">
        <v>56</v>
      </c>
    </row>
    <row r="1992" spans="1:22" x14ac:dyDescent="0.3">
      <c r="A1992" s="49">
        <v>45274</v>
      </c>
      <c r="E1992" t="s">
        <v>3155</v>
      </c>
      <c r="G1992" t="s">
        <v>5097</v>
      </c>
      <c r="H1992" t="s">
        <v>28</v>
      </c>
      <c r="I1992" t="s">
        <v>5542</v>
      </c>
      <c r="J1992" t="s">
        <v>63</v>
      </c>
      <c r="K1992" t="s">
        <v>197</v>
      </c>
      <c r="M1992">
        <v>0</v>
      </c>
      <c r="N1992" t="s">
        <v>74</v>
      </c>
      <c r="O1992" t="s">
        <v>3717</v>
      </c>
      <c r="P1992" t="s">
        <v>170</v>
      </c>
      <c r="T1992">
        <v>4</v>
      </c>
      <c r="U1992" t="s">
        <v>56</v>
      </c>
      <c r="V1992" t="s">
        <v>56</v>
      </c>
    </row>
    <row r="1993" spans="1:22" x14ac:dyDescent="0.3">
      <c r="A1993" s="49">
        <v>45274</v>
      </c>
      <c r="E1993" t="s">
        <v>3155</v>
      </c>
      <c r="G1993" t="s">
        <v>5033</v>
      </c>
      <c r="H1993" t="s">
        <v>89</v>
      </c>
      <c r="J1993" t="s">
        <v>1712</v>
      </c>
      <c r="K1993" t="s">
        <v>4944</v>
      </c>
      <c r="M1993">
        <v>100</v>
      </c>
      <c r="N1993" t="s">
        <v>49</v>
      </c>
      <c r="O1993" t="s">
        <v>4191</v>
      </c>
      <c r="P1993" t="s">
        <v>287</v>
      </c>
      <c r="T1993">
        <v>4</v>
      </c>
      <c r="U1993" t="s">
        <v>56</v>
      </c>
      <c r="V1993" t="s">
        <v>56</v>
      </c>
    </row>
    <row r="1994" spans="1:22" x14ac:dyDescent="0.3">
      <c r="A1994" s="49">
        <v>45274</v>
      </c>
      <c r="E1994" t="s">
        <v>3155</v>
      </c>
      <c r="G1994" t="s">
        <v>5097</v>
      </c>
      <c r="H1994" t="s">
        <v>89</v>
      </c>
      <c r="J1994" t="s">
        <v>63</v>
      </c>
      <c r="K1994" t="s">
        <v>197</v>
      </c>
      <c r="M1994">
        <v>80</v>
      </c>
      <c r="N1994" t="s">
        <v>33</v>
      </c>
      <c r="O1994" t="s">
        <v>4192</v>
      </c>
      <c r="P1994" t="s">
        <v>4867</v>
      </c>
      <c r="T1994">
        <v>4</v>
      </c>
      <c r="U1994" t="s">
        <v>56</v>
      </c>
      <c r="V1994" t="s">
        <v>56</v>
      </c>
    </row>
    <row r="1995" spans="1:22" x14ac:dyDescent="0.3">
      <c r="A1995" s="49">
        <v>45274</v>
      </c>
      <c r="E1995" t="s">
        <v>3155</v>
      </c>
      <c r="G1995" t="s">
        <v>555</v>
      </c>
      <c r="H1995" t="s">
        <v>28</v>
      </c>
      <c r="I1995" t="s">
        <v>5844</v>
      </c>
      <c r="J1995" t="s">
        <v>63</v>
      </c>
      <c r="K1995" t="s">
        <v>64</v>
      </c>
      <c r="M1995">
        <v>20</v>
      </c>
      <c r="N1995" t="s">
        <v>49</v>
      </c>
      <c r="O1995" t="s">
        <v>4193</v>
      </c>
      <c r="P1995" t="s">
        <v>66</v>
      </c>
      <c r="T1995">
        <v>4</v>
      </c>
      <c r="U1995" t="s">
        <v>56</v>
      </c>
      <c r="V1995" t="s">
        <v>56</v>
      </c>
    </row>
    <row r="1996" spans="1:22" x14ac:dyDescent="0.3">
      <c r="A1996" s="49">
        <v>45274</v>
      </c>
      <c r="E1996" t="s">
        <v>2777</v>
      </c>
      <c r="G1996" t="s">
        <v>5031</v>
      </c>
      <c r="H1996" t="s">
        <v>28</v>
      </c>
      <c r="I1996" t="s">
        <v>5455</v>
      </c>
      <c r="J1996" t="s">
        <v>63</v>
      </c>
      <c r="K1996" t="s">
        <v>64</v>
      </c>
      <c r="M1996">
        <v>36</v>
      </c>
      <c r="N1996" t="s">
        <v>33</v>
      </c>
      <c r="O1996" t="s">
        <v>4194</v>
      </c>
      <c r="P1996" t="s">
        <v>1243</v>
      </c>
      <c r="T1996">
        <v>4</v>
      </c>
      <c r="U1996" t="s">
        <v>56</v>
      </c>
      <c r="V1996" t="s">
        <v>56</v>
      </c>
    </row>
    <row r="1997" spans="1:22" x14ac:dyDescent="0.3">
      <c r="A1997" s="49">
        <v>45274</v>
      </c>
      <c r="E1997" t="s">
        <v>2777</v>
      </c>
      <c r="G1997" t="s">
        <v>5031</v>
      </c>
      <c r="H1997" t="s">
        <v>28</v>
      </c>
      <c r="I1997" t="s">
        <v>5657</v>
      </c>
      <c r="J1997" t="s">
        <v>46</v>
      </c>
      <c r="K1997" t="s">
        <v>422</v>
      </c>
      <c r="M1997">
        <v>45</v>
      </c>
      <c r="N1997" t="s">
        <v>49</v>
      </c>
      <c r="O1997" t="s">
        <v>4195</v>
      </c>
      <c r="P1997" t="s">
        <v>1508</v>
      </c>
      <c r="T1997">
        <v>4</v>
      </c>
      <c r="U1997" t="s">
        <v>56</v>
      </c>
      <c r="V1997" t="s">
        <v>56</v>
      </c>
    </row>
    <row r="1998" spans="1:22" x14ac:dyDescent="0.3">
      <c r="A1998" s="49">
        <v>45274</v>
      </c>
      <c r="E1998" t="s">
        <v>2777</v>
      </c>
      <c r="G1998" t="s">
        <v>5031</v>
      </c>
      <c r="H1998" t="s">
        <v>89</v>
      </c>
      <c r="J1998" t="s">
        <v>63</v>
      </c>
      <c r="K1998" t="s">
        <v>64</v>
      </c>
      <c r="M1998">
        <v>21</v>
      </c>
      <c r="N1998" t="s">
        <v>49</v>
      </c>
      <c r="O1998" t="s">
        <v>4196</v>
      </c>
      <c r="P1998" t="s">
        <v>791</v>
      </c>
      <c r="T1998">
        <v>4</v>
      </c>
      <c r="U1998" t="s">
        <v>56</v>
      </c>
      <c r="V1998" t="s">
        <v>56</v>
      </c>
    </row>
    <row r="1999" spans="1:22" x14ac:dyDescent="0.3">
      <c r="A1999" s="49">
        <v>45274</v>
      </c>
      <c r="E1999" t="s">
        <v>2777</v>
      </c>
      <c r="G1999" t="s">
        <v>5031</v>
      </c>
      <c r="H1999" t="s">
        <v>28</v>
      </c>
      <c r="I1999" t="s">
        <v>5845</v>
      </c>
      <c r="J1999" t="s">
        <v>63</v>
      </c>
      <c r="K1999" t="s">
        <v>64</v>
      </c>
      <c r="M1999">
        <v>90</v>
      </c>
      <c r="N1999" t="s">
        <v>49</v>
      </c>
      <c r="O1999" t="s">
        <v>4197</v>
      </c>
      <c r="P1999" t="s">
        <v>2703</v>
      </c>
      <c r="T1999">
        <v>4</v>
      </c>
      <c r="U1999" t="s">
        <v>56</v>
      </c>
      <c r="V1999" t="s">
        <v>56</v>
      </c>
    </row>
    <row r="2000" spans="1:22" x14ac:dyDescent="0.3">
      <c r="A2000" s="49">
        <v>45274</v>
      </c>
      <c r="E2000" t="s">
        <v>2777</v>
      </c>
      <c r="G2000" t="s">
        <v>5031</v>
      </c>
      <c r="H2000" t="s">
        <v>28</v>
      </c>
      <c r="I2000" t="s">
        <v>5658</v>
      </c>
      <c r="J2000" t="s">
        <v>63</v>
      </c>
      <c r="K2000" t="s">
        <v>64</v>
      </c>
      <c r="M2000">
        <v>70</v>
      </c>
      <c r="N2000" t="s">
        <v>49</v>
      </c>
      <c r="O2000" t="s">
        <v>4198</v>
      </c>
      <c r="P2000" t="s">
        <v>4832</v>
      </c>
      <c r="T2000">
        <v>4</v>
      </c>
      <c r="U2000" t="s">
        <v>56</v>
      </c>
      <c r="V2000" t="s">
        <v>56</v>
      </c>
    </row>
    <row r="2001" spans="1:22" x14ac:dyDescent="0.3">
      <c r="A2001" s="49">
        <v>45274</v>
      </c>
      <c r="E2001" t="s">
        <v>2777</v>
      </c>
      <c r="G2001" t="s">
        <v>5031</v>
      </c>
      <c r="H2001" t="s">
        <v>28</v>
      </c>
      <c r="I2001" t="s">
        <v>5846</v>
      </c>
      <c r="J2001" t="s">
        <v>63</v>
      </c>
      <c r="K2001" t="s">
        <v>64</v>
      </c>
      <c r="M2001">
        <v>100</v>
      </c>
      <c r="N2001" t="s">
        <v>49</v>
      </c>
      <c r="O2001" t="s">
        <v>4199</v>
      </c>
      <c r="P2001" t="s">
        <v>4871</v>
      </c>
      <c r="T2001">
        <v>4</v>
      </c>
      <c r="U2001" t="s">
        <v>56</v>
      </c>
      <c r="V2001" t="s">
        <v>56</v>
      </c>
    </row>
    <row r="2002" spans="1:22" x14ac:dyDescent="0.3">
      <c r="A2002" s="49">
        <v>45274</v>
      </c>
      <c r="E2002" t="s">
        <v>2777</v>
      </c>
      <c r="G2002" t="s">
        <v>5031</v>
      </c>
      <c r="H2002" t="s">
        <v>28</v>
      </c>
      <c r="I2002" t="s">
        <v>5658</v>
      </c>
      <c r="J2002" t="s">
        <v>63</v>
      </c>
      <c r="K2002" t="s">
        <v>64</v>
      </c>
      <c r="M2002">
        <v>95</v>
      </c>
      <c r="N2002" t="s">
        <v>49</v>
      </c>
      <c r="O2002" t="s">
        <v>4200</v>
      </c>
      <c r="P2002" t="s">
        <v>4830</v>
      </c>
      <c r="T2002">
        <v>4</v>
      </c>
      <c r="U2002" t="s">
        <v>56</v>
      </c>
      <c r="V2002" t="s">
        <v>56</v>
      </c>
    </row>
    <row r="2003" spans="1:22" x14ac:dyDescent="0.3">
      <c r="A2003" s="49">
        <v>45274</v>
      </c>
      <c r="E2003" t="s">
        <v>2777</v>
      </c>
      <c r="G2003" t="s">
        <v>5031</v>
      </c>
      <c r="H2003" t="s">
        <v>28</v>
      </c>
      <c r="I2003" t="s">
        <v>5658</v>
      </c>
      <c r="J2003" t="s">
        <v>63</v>
      </c>
      <c r="K2003" t="s">
        <v>64</v>
      </c>
      <c r="M2003">
        <v>95</v>
      </c>
      <c r="N2003" t="s">
        <v>49</v>
      </c>
      <c r="O2003" t="s">
        <v>4201</v>
      </c>
      <c r="P2003" t="s">
        <v>1230</v>
      </c>
      <c r="T2003">
        <v>4</v>
      </c>
      <c r="U2003" t="s">
        <v>56</v>
      </c>
      <c r="V2003" t="s">
        <v>56</v>
      </c>
    </row>
    <row r="2004" spans="1:22" x14ac:dyDescent="0.3">
      <c r="A2004" s="49">
        <v>45274</v>
      </c>
      <c r="E2004" t="s">
        <v>2777</v>
      </c>
      <c r="G2004" t="s">
        <v>5031</v>
      </c>
      <c r="H2004" t="s">
        <v>89</v>
      </c>
      <c r="J2004" t="s">
        <v>63</v>
      </c>
      <c r="K2004" t="s">
        <v>64</v>
      </c>
      <c r="M2004">
        <v>30</v>
      </c>
      <c r="N2004" t="s">
        <v>33</v>
      </c>
      <c r="O2004" t="s">
        <v>4202</v>
      </c>
      <c r="P2004" t="s">
        <v>691</v>
      </c>
      <c r="T2004">
        <v>4</v>
      </c>
      <c r="U2004" t="s">
        <v>56</v>
      </c>
      <c r="V2004" t="s">
        <v>56</v>
      </c>
    </row>
    <row r="2005" spans="1:22" x14ac:dyDescent="0.3">
      <c r="A2005" s="49">
        <v>45274</v>
      </c>
      <c r="E2005" t="s">
        <v>3181</v>
      </c>
      <c r="G2005" t="s">
        <v>5027</v>
      </c>
      <c r="H2005" t="s">
        <v>89</v>
      </c>
      <c r="J2005" t="s">
        <v>63</v>
      </c>
      <c r="K2005" t="s">
        <v>64</v>
      </c>
      <c r="M2005">
        <v>30</v>
      </c>
      <c r="N2005" t="s">
        <v>49</v>
      </c>
      <c r="O2005" t="s">
        <v>4203</v>
      </c>
      <c r="P2005" t="s">
        <v>287</v>
      </c>
      <c r="T2005">
        <v>4</v>
      </c>
      <c r="U2005" t="s">
        <v>56</v>
      </c>
      <c r="V2005" t="s">
        <v>56</v>
      </c>
    </row>
    <row r="2006" spans="1:22" x14ac:dyDescent="0.3">
      <c r="A2006" s="49">
        <v>45274</v>
      </c>
      <c r="E2006" t="s">
        <v>3181</v>
      </c>
      <c r="G2006" t="s">
        <v>5174</v>
      </c>
      <c r="H2006" t="s">
        <v>89</v>
      </c>
      <c r="J2006" t="s">
        <v>1712</v>
      </c>
      <c r="K2006" t="s">
        <v>481</v>
      </c>
      <c r="M2006">
        <v>100</v>
      </c>
      <c r="N2006" t="s">
        <v>49</v>
      </c>
      <c r="O2006" t="s">
        <v>4204</v>
      </c>
      <c r="P2006" t="s">
        <v>4865</v>
      </c>
      <c r="T2006">
        <v>4</v>
      </c>
      <c r="U2006" t="s">
        <v>56</v>
      </c>
      <c r="V2006" t="s">
        <v>56</v>
      </c>
    </row>
    <row r="2007" spans="1:22" x14ac:dyDescent="0.3">
      <c r="A2007" s="49">
        <v>45274</v>
      </c>
      <c r="E2007" t="s">
        <v>3181</v>
      </c>
      <c r="G2007" t="s">
        <v>5287</v>
      </c>
      <c r="H2007" t="s">
        <v>28</v>
      </c>
      <c r="I2007" t="s">
        <v>5847</v>
      </c>
      <c r="J2007" t="s">
        <v>63</v>
      </c>
      <c r="K2007" t="s">
        <v>197</v>
      </c>
      <c r="M2007">
        <v>100</v>
      </c>
      <c r="N2007" t="s">
        <v>49</v>
      </c>
      <c r="O2007" t="s">
        <v>4205</v>
      </c>
      <c r="P2007" t="s">
        <v>2029</v>
      </c>
      <c r="T2007">
        <v>4</v>
      </c>
      <c r="U2007" t="s">
        <v>56</v>
      </c>
      <c r="V2007" t="s">
        <v>56</v>
      </c>
    </row>
    <row r="2008" spans="1:22" x14ac:dyDescent="0.3">
      <c r="A2008" s="49">
        <v>45274</v>
      </c>
      <c r="E2008" t="s">
        <v>3181</v>
      </c>
      <c r="G2008" t="s">
        <v>5287</v>
      </c>
      <c r="H2008" t="s">
        <v>28</v>
      </c>
      <c r="I2008" t="s">
        <v>5847</v>
      </c>
      <c r="J2008" t="s">
        <v>63</v>
      </c>
      <c r="K2008" t="s">
        <v>197</v>
      </c>
      <c r="M2008">
        <v>100</v>
      </c>
      <c r="N2008" t="s">
        <v>49</v>
      </c>
      <c r="O2008" t="s">
        <v>4205</v>
      </c>
      <c r="P2008" t="s">
        <v>2029</v>
      </c>
      <c r="T2008">
        <v>4</v>
      </c>
      <c r="U2008" t="s">
        <v>56</v>
      </c>
      <c r="V2008" t="s">
        <v>56</v>
      </c>
    </row>
    <row r="2009" spans="1:22" x14ac:dyDescent="0.3">
      <c r="A2009" s="49">
        <v>45274</v>
      </c>
      <c r="E2009" t="s">
        <v>3181</v>
      </c>
      <c r="G2009" t="s">
        <v>5070</v>
      </c>
      <c r="H2009" t="s">
        <v>28</v>
      </c>
      <c r="I2009" t="s">
        <v>5848</v>
      </c>
      <c r="J2009" t="s">
        <v>63</v>
      </c>
      <c r="K2009" t="s">
        <v>64</v>
      </c>
      <c r="M2009">
        <v>0</v>
      </c>
      <c r="N2009" t="s">
        <v>74</v>
      </c>
      <c r="O2009" t="s">
        <v>4206</v>
      </c>
      <c r="P2009" t="s">
        <v>4874</v>
      </c>
      <c r="T2009">
        <v>4</v>
      </c>
      <c r="U2009" t="s">
        <v>56</v>
      </c>
      <c r="V2009" t="s">
        <v>56</v>
      </c>
    </row>
    <row r="2010" spans="1:22" x14ac:dyDescent="0.3">
      <c r="A2010" s="49">
        <v>45274</v>
      </c>
      <c r="E2010" t="s">
        <v>3181</v>
      </c>
      <c r="G2010" t="s">
        <v>5175</v>
      </c>
      <c r="H2010" t="s">
        <v>28</v>
      </c>
      <c r="I2010" t="s">
        <v>5664</v>
      </c>
      <c r="J2010" t="s">
        <v>63</v>
      </c>
      <c r="K2010" t="s">
        <v>64</v>
      </c>
      <c r="M2010">
        <v>100</v>
      </c>
      <c r="N2010" t="s">
        <v>33</v>
      </c>
      <c r="O2010" t="s">
        <v>4207</v>
      </c>
      <c r="P2010" t="s">
        <v>4864</v>
      </c>
      <c r="T2010">
        <v>4</v>
      </c>
      <c r="U2010" t="s">
        <v>56</v>
      </c>
      <c r="V2010" t="s">
        <v>56</v>
      </c>
    </row>
    <row r="2011" spans="1:22" x14ac:dyDescent="0.3">
      <c r="A2011" s="49">
        <v>45274</v>
      </c>
      <c r="E2011" t="s">
        <v>3213</v>
      </c>
      <c r="G2011" t="s">
        <v>5288</v>
      </c>
      <c r="H2011" t="s">
        <v>89</v>
      </c>
      <c r="J2011" t="s">
        <v>1712</v>
      </c>
      <c r="K2011" t="s">
        <v>481</v>
      </c>
      <c r="M2011">
        <v>40</v>
      </c>
      <c r="N2011" t="s">
        <v>49</v>
      </c>
      <c r="O2011" t="s">
        <v>4208</v>
      </c>
      <c r="P2011" t="s">
        <v>1122</v>
      </c>
      <c r="T2011">
        <v>4</v>
      </c>
      <c r="U2011" t="s">
        <v>56</v>
      </c>
      <c r="V2011" t="s">
        <v>56</v>
      </c>
    </row>
    <row r="2012" spans="1:22" x14ac:dyDescent="0.3">
      <c r="A2012" s="49">
        <v>45274</v>
      </c>
      <c r="E2012" t="s">
        <v>3156</v>
      </c>
      <c r="G2012" t="s">
        <v>5177</v>
      </c>
      <c r="H2012" t="s">
        <v>28</v>
      </c>
      <c r="I2012" t="s">
        <v>5667</v>
      </c>
      <c r="J2012" t="s">
        <v>46</v>
      </c>
      <c r="K2012" t="s">
        <v>481</v>
      </c>
      <c r="M2012">
        <v>75</v>
      </c>
      <c r="N2012" t="s">
        <v>33</v>
      </c>
      <c r="O2012" t="s">
        <v>4209</v>
      </c>
      <c r="P2012" t="s">
        <v>2052</v>
      </c>
      <c r="T2012">
        <v>4</v>
      </c>
      <c r="U2012" t="s">
        <v>56</v>
      </c>
      <c r="V2012" t="s">
        <v>56</v>
      </c>
    </row>
    <row r="2013" spans="1:22" x14ac:dyDescent="0.3">
      <c r="A2013" s="49">
        <v>45274</v>
      </c>
      <c r="E2013" t="s">
        <v>3156</v>
      </c>
      <c r="G2013" t="s">
        <v>809</v>
      </c>
      <c r="H2013" t="s">
        <v>28</v>
      </c>
      <c r="I2013" t="s">
        <v>5666</v>
      </c>
      <c r="J2013" t="s">
        <v>63</v>
      </c>
      <c r="K2013" t="s">
        <v>64</v>
      </c>
      <c r="M2013">
        <v>43</v>
      </c>
      <c r="N2013" t="s">
        <v>33</v>
      </c>
      <c r="O2013" t="s">
        <v>4210</v>
      </c>
      <c r="P2013" t="s">
        <v>4833</v>
      </c>
      <c r="T2013">
        <v>4</v>
      </c>
      <c r="U2013" t="s">
        <v>56</v>
      </c>
      <c r="V2013" t="s">
        <v>56</v>
      </c>
    </row>
    <row r="2014" spans="1:22" x14ac:dyDescent="0.3">
      <c r="A2014" s="49">
        <v>45274</v>
      </c>
      <c r="E2014" t="s">
        <v>3156</v>
      </c>
      <c r="G2014" t="s">
        <v>809</v>
      </c>
      <c r="H2014" t="s">
        <v>28</v>
      </c>
      <c r="I2014" t="s">
        <v>5666</v>
      </c>
      <c r="J2014" t="s">
        <v>63</v>
      </c>
      <c r="K2014" t="s">
        <v>64</v>
      </c>
      <c r="M2014">
        <v>100</v>
      </c>
      <c r="N2014" t="s">
        <v>33</v>
      </c>
      <c r="O2014" t="s">
        <v>4211</v>
      </c>
      <c r="P2014" t="s">
        <v>2627</v>
      </c>
      <c r="T2014">
        <v>4</v>
      </c>
      <c r="U2014" t="s">
        <v>56</v>
      </c>
      <c r="V2014" t="s">
        <v>56</v>
      </c>
    </row>
    <row r="2015" spans="1:22" x14ac:dyDescent="0.3">
      <c r="A2015" s="49">
        <v>45274</v>
      </c>
      <c r="E2015" t="s">
        <v>3156</v>
      </c>
      <c r="G2015" t="s">
        <v>5034</v>
      </c>
      <c r="H2015" t="s">
        <v>89</v>
      </c>
      <c r="J2015" t="s">
        <v>63</v>
      </c>
      <c r="K2015" t="s">
        <v>64</v>
      </c>
      <c r="M2015">
        <v>21</v>
      </c>
      <c r="N2015" t="s">
        <v>49</v>
      </c>
      <c r="O2015" t="s">
        <v>4212</v>
      </c>
      <c r="P2015" t="s">
        <v>4830</v>
      </c>
      <c r="T2015">
        <v>4</v>
      </c>
      <c r="U2015" t="s">
        <v>56</v>
      </c>
      <c r="V2015" t="s">
        <v>56</v>
      </c>
    </row>
    <row r="2016" spans="1:22" x14ac:dyDescent="0.3">
      <c r="A2016" s="49">
        <v>45274</v>
      </c>
      <c r="E2016" t="s">
        <v>3156</v>
      </c>
      <c r="G2016" t="s">
        <v>809</v>
      </c>
      <c r="H2016" t="s">
        <v>89</v>
      </c>
      <c r="J2016" t="s">
        <v>63</v>
      </c>
      <c r="K2016" t="s">
        <v>64</v>
      </c>
      <c r="M2016">
        <v>28</v>
      </c>
      <c r="N2016" t="s">
        <v>49</v>
      </c>
      <c r="O2016" t="s">
        <v>4213</v>
      </c>
      <c r="P2016" t="s">
        <v>4828</v>
      </c>
      <c r="T2016">
        <v>4</v>
      </c>
      <c r="U2016" t="s">
        <v>56</v>
      </c>
      <c r="V2016" t="s">
        <v>56</v>
      </c>
    </row>
    <row r="2017" spans="1:22" x14ac:dyDescent="0.3">
      <c r="A2017" s="49">
        <v>45274</v>
      </c>
      <c r="E2017" t="s">
        <v>3156</v>
      </c>
      <c r="G2017" t="s">
        <v>5034</v>
      </c>
      <c r="H2017" t="s">
        <v>28</v>
      </c>
      <c r="I2017" t="s">
        <v>5849</v>
      </c>
      <c r="J2017" t="s">
        <v>63</v>
      </c>
      <c r="K2017" t="s">
        <v>64</v>
      </c>
      <c r="M2017">
        <v>64</v>
      </c>
      <c r="N2017" t="s">
        <v>49</v>
      </c>
      <c r="O2017" t="s">
        <v>4214</v>
      </c>
      <c r="P2017" t="s">
        <v>66</v>
      </c>
      <c r="T2017">
        <v>4</v>
      </c>
      <c r="U2017" t="s">
        <v>56</v>
      </c>
      <c r="V2017" t="s">
        <v>56</v>
      </c>
    </row>
    <row r="2018" spans="1:22" x14ac:dyDescent="0.3">
      <c r="A2018" s="49">
        <v>45274</v>
      </c>
      <c r="E2018" t="s">
        <v>3156</v>
      </c>
      <c r="G2018" t="s">
        <v>5034</v>
      </c>
      <c r="H2018" t="s">
        <v>28</v>
      </c>
      <c r="I2018" t="s">
        <v>5850</v>
      </c>
      <c r="J2018" t="s">
        <v>63</v>
      </c>
      <c r="K2018" t="s">
        <v>64</v>
      </c>
      <c r="M2018">
        <v>0</v>
      </c>
      <c r="N2018" t="s">
        <v>74</v>
      </c>
      <c r="O2018" t="s">
        <v>4215</v>
      </c>
      <c r="P2018" t="s">
        <v>791</v>
      </c>
      <c r="T2018">
        <v>4</v>
      </c>
      <c r="U2018" t="s">
        <v>56</v>
      </c>
      <c r="V2018" t="s">
        <v>56</v>
      </c>
    </row>
    <row r="2019" spans="1:22" x14ac:dyDescent="0.3">
      <c r="A2019" s="49">
        <v>45274</v>
      </c>
      <c r="E2019" t="s">
        <v>3156</v>
      </c>
      <c r="G2019" t="s">
        <v>5034</v>
      </c>
      <c r="H2019" t="s">
        <v>28</v>
      </c>
      <c r="I2019" t="s">
        <v>5545</v>
      </c>
      <c r="J2019" t="s">
        <v>63</v>
      </c>
      <c r="K2019" t="s">
        <v>64</v>
      </c>
      <c r="M2019">
        <v>100</v>
      </c>
      <c r="N2019" t="s">
        <v>49</v>
      </c>
      <c r="O2019" t="s">
        <v>4216</v>
      </c>
      <c r="P2019" t="s">
        <v>344</v>
      </c>
      <c r="T2019">
        <v>4</v>
      </c>
      <c r="U2019" t="s">
        <v>56</v>
      </c>
      <c r="V2019" t="s">
        <v>56</v>
      </c>
    </row>
    <row r="2020" spans="1:22" x14ac:dyDescent="0.3">
      <c r="A2020" s="49">
        <v>45274</v>
      </c>
      <c r="E2020" t="s">
        <v>3156</v>
      </c>
      <c r="G2020" t="s">
        <v>5034</v>
      </c>
      <c r="H2020" t="s">
        <v>89</v>
      </c>
      <c r="J2020" t="s">
        <v>63</v>
      </c>
      <c r="K2020" t="s">
        <v>64</v>
      </c>
      <c r="M2020">
        <v>100</v>
      </c>
      <c r="N2020" t="s">
        <v>33</v>
      </c>
      <c r="O2020" t="s">
        <v>4217</v>
      </c>
      <c r="P2020" t="s">
        <v>4908</v>
      </c>
      <c r="T2020">
        <v>4</v>
      </c>
      <c r="U2020" t="s">
        <v>56</v>
      </c>
      <c r="V2020" t="s">
        <v>56</v>
      </c>
    </row>
    <row r="2021" spans="1:22" x14ac:dyDescent="0.3">
      <c r="A2021" s="49">
        <v>45274</v>
      </c>
      <c r="E2021" t="s">
        <v>3232</v>
      </c>
      <c r="G2021" t="s">
        <v>5289</v>
      </c>
      <c r="H2021" t="s">
        <v>28</v>
      </c>
      <c r="I2021" t="s">
        <v>5851</v>
      </c>
      <c r="J2021" t="s">
        <v>63</v>
      </c>
      <c r="K2021" t="s">
        <v>197</v>
      </c>
      <c r="M2021">
        <v>20</v>
      </c>
      <c r="N2021" t="s">
        <v>33</v>
      </c>
      <c r="O2021" t="s">
        <v>4218</v>
      </c>
      <c r="P2021" t="s">
        <v>2645</v>
      </c>
      <c r="T2021">
        <v>4</v>
      </c>
      <c r="U2021" t="s">
        <v>56</v>
      </c>
      <c r="V2021" t="s">
        <v>56</v>
      </c>
    </row>
    <row r="2022" spans="1:22" x14ac:dyDescent="0.3">
      <c r="A2022" s="49">
        <v>45274</v>
      </c>
      <c r="E2022" t="s">
        <v>3189</v>
      </c>
      <c r="G2022" t="s">
        <v>5098</v>
      </c>
      <c r="H2022" t="s">
        <v>28</v>
      </c>
      <c r="I2022" t="s">
        <v>5852</v>
      </c>
      <c r="J2022" t="s">
        <v>63</v>
      </c>
      <c r="K2022" t="s">
        <v>64</v>
      </c>
      <c r="M2022">
        <v>65</v>
      </c>
      <c r="N2022" t="s">
        <v>33</v>
      </c>
      <c r="O2022" t="s">
        <v>4219</v>
      </c>
      <c r="P2022" t="s">
        <v>791</v>
      </c>
      <c r="T2022">
        <v>4</v>
      </c>
      <c r="U2022" t="s">
        <v>56</v>
      </c>
      <c r="V2022" t="s">
        <v>56</v>
      </c>
    </row>
    <row r="2023" spans="1:22" x14ac:dyDescent="0.3">
      <c r="A2023" s="49">
        <v>45274</v>
      </c>
      <c r="E2023" t="s">
        <v>3189</v>
      </c>
      <c r="G2023" t="s">
        <v>5098</v>
      </c>
      <c r="H2023" t="s">
        <v>28</v>
      </c>
      <c r="I2023" t="s">
        <v>5852</v>
      </c>
      <c r="J2023" t="s">
        <v>63</v>
      </c>
      <c r="K2023" t="s">
        <v>64</v>
      </c>
      <c r="M2023">
        <v>100</v>
      </c>
      <c r="N2023" t="s">
        <v>33</v>
      </c>
      <c r="O2023" t="s">
        <v>4220</v>
      </c>
      <c r="P2023" t="s">
        <v>1697</v>
      </c>
      <c r="T2023">
        <v>4</v>
      </c>
      <c r="U2023" t="s">
        <v>56</v>
      </c>
      <c r="V2023" t="s">
        <v>56</v>
      </c>
    </row>
    <row r="2024" spans="1:22" x14ac:dyDescent="0.3">
      <c r="A2024" s="49">
        <v>45274</v>
      </c>
      <c r="E2024" t="s">
        <v>3189</v>
      </c>
      <c r="G2024" t="s">
        <v>5098</v>
      </c>
      <c r="H2024" t="s">
        <v>28</v>
      </c>
      <c r="I2024" t="s">
        <v>5853</v>
      </c>
      <c r="J2024" t="s">
        <v>46</v>
      </c>
      <c r="K2024" t="s">
        <v>422</v>
      </c>
      <c r="M2024">
        <v>80</v>
      </c>
      <c r="N2024" t="s">
        <v>33</v>
      </c>
      <c r="O2024" t="s">
        <v>4221</v>
      </c>
      <c r="P2024" t="s">
        <v>4897</v>
      </c>
      <c r="T2024">
        <v>4</v>
      </c>
      <c r="U2024" t="s">
        <v>56</v>
      </c>
      <c r="V2024" t="s">
        <v>56</v>
      </c>
    </row>
    <row r="2025" spans="1:22" x14ac:dyDescent="0.3">
      <c r="A2025" s="49">
        <v>45274</v>
      </c>
      <c r="E2025" t="s">
        <v>3189</v>
      </c>
      <c r="G2025" t="s">
        <v>5098</v>
      </c>
      <c r="H2025" t="s">
        <v>28</v>
      </c>
      <c r="I2025" t="s">
        <v>5853</v>
      </c>
      <c r="J2025" t="s">
        <v>46</v>
      </c>
      <c r="K2025" t="s">
        <v>422</v>
      </c>
      <c r="M2025">
        <v>100</v>
      </c>
      <c r="N2025" t="s">
        <v>33</v>
      </c>
      <c r="O2025" t="s">
        <v>4221</v>
      </c>
      <c r="P2025" t="s">
        <v>4897</v>
      </c>
      <c r="T2025">
        <v>4</v>
      </c>
      <c r="U2025" t="s">
        <v>56</v>
      </c>
      <c r="V2025" t="s">
        <v>56</v>
      </c>
    </row>
    <row r="2026" spans="1:22" x14ac:dyDescent="0.3">
      <c r="A2026" s="49">
        <v>45274</v>
      </c>
      <c r="E2026" t="s">
        <v>3189</v>
      </c>
      <c r="G2026" t="s">
        <v>5098</v>
      </c>
      <c r="H2026" t="s">
        <v>28</v>
      </c>
      <c r="I2026" t="s">
        <v>5853</v>
      </c>
      <c r="J2026" t="s">
        <v>46</v>
      </c>
      <c r="K2026" t="s">
        <v>422</v>
      </c>
      <c r="M2026">
        <v>100</v>
      </c>
      <c r="N2026" t="s">
        <v>33</v>
      </c>
      <c r="O2026" t="s">
        <v>4221</v>
      </c>
      <c r="P2026" t="s">
        <v>4897</v>
      </c>
      <c r="T2026">
        <v>4</v>
      </c>
      <c r="U2026" t="s">
        <v>56</v>
      </c>
      <c r="V2026" t="s">
        <v>56</v>
      </c>
    </row>
    <row r="2027" spans="1:22" x14ac:dyDescent="0.3">
      <c r="A2027" s="49">
        <v>45274</v>
      </c>
      <c r="E2027" t="s">
        <v>3189</v>
      </c>
      <c r="G2027" t="s">
        <v>5178</v>
      </c>
      <c r="H2027" t="s">
        <v>28</v>
      </c>
      <c r="I2027" t="s">
        <v>5854</v>
      </c>
      <c r="J2027" t="s">
        <v>63</v>
      </c>
      <c r="K2027" t="s">
        <v>197</v>
      </c>
      <c r="M2027">
        <v>90</v>
      </c>
      <c r="N2027" t="s">
        <v>49</v>
      </c>
      <c r="O2027" t="s">
        <v>4222</v>
      </c>
      <c r="P2027" t="s">
        <v>1356</v>
      </c>
      <c r="T2027">
        <v>4</v>
      </c>
      <c r="U2027" t="s">
        <v>56</v>
      </c>
      <c r="V2027" t="s">
        <v>56</v>
      </c>
    </row>
    <row r="2028" spans="1:22" x14ac:dyDescent="0.3">
      <c r="A2028" s="49">
        <v>45274</v>
      </c>
      <c r="E2028" t="s">
        <v>3189</v>
      </c>
      <c r="G2028" t="s">
        <v>5178</v>
      </c>
      <c r="H2028" t="s">
        <v>28</v>
      </c>
      <c r="I2028" t="s">
        <v>5855</v>
      </c>
      <c r="J2028" t="s">
        <v>63</v>
      </c>
      <c r="K2028" t="s">
        <v>197</v>
      </c>
      <c r="M2028">
        <v>98</v>
      </c>
      <c r="N2028" t="s">
        <v>49</v>
      </c>
      <c r="O2028" t="s">
        <v>4223</v>
      </c>
      <c r="P2028" t="s">
        <v>35</v>
      </c>
      <c r="T2028">
        <v>4</v>
      </c>
      <c r="U2028" t="s">
        <v>56</v>
      </c>
      <c r="V2028" t="s">
        <v>56</v>
      </c>
    </row>
    <row r="2029" spans="1:22" x14ac:dyDescent="0.3">
      <c r="A2029" s="49">
        <v>45274</v>
      </c>
      <c r="E2029" t="s">
        <v>3189</v>
      </c>
      <c r="G2029" t="s">
        <v>5098</v>
      </c>
      <c r="H2029" t="s">
        <v>28</v>
      </c>
      <c r="I2029" t="s">
        <v>5856</v>
      </c>
      <c r="J2029" t="s">
        <v>63</v>
      </c>
      <c r="K2029" t="s">
        <v>64</v>
      </c>
      <c r="M2029">
        <v>93</v>
      </c>
      <c r="N2029" t="s">
        <v>33</v>
      </c>
      <c r="O2029" t="s">
        <v>4224</v>
      </c>
      <c r="P2029" t="s">
        <v>1701</v>
      </c>
      <c r="T2029">
        <v>4</v>
      </c>
      <c r="U2029" t="s">
        <v>56</v>
      </c>
      <c r="V2029" t="s">
        <v>56</v>
      </c>
    </row>
    <row r="2030" spans="1:22" x14ac:dyDescent="0.3">
      <c r="A2030" s="49">
        <v>45274</v>
      </c>
      <c r="E2030" t="s">
        <v>3189</v>
      </c>
      <c r="G2030" t="s">
        <v>5098</v>
      </c>
      <c r="H2030" t="s">
        <v>28</v>
      </c>
      <c r="I2030" t="s">
        <v>5856</v>
      </c>
      <c r="J2030" t="s">
        <v>63</v>
      </c>
      <c r="K2030" t="s">
        <v>64</v>
      </c>
      <c r="M2030">
        <v>80</v>
      </c>
      <c r="N2030" t="s">
        <v>33</v>
      </c>
      <c r="O2030" t="s">
        <v>4225</v>
      </c>
      <c r="P2030" t="s">
        <v>381</v>
      </c>
      <c r="T2030">
        <v>4</v>
      </c>
      <c r="U2030" t="s">
        <v>56</v>
      </c>
      <c r="V2030" t="s">
        <v>56</v>
      </c>
    </row>
    <row r="2031" spans="1:22" x14ac:dyDescent="0.3">
      <c r="A2031" s="49">
        <v>45274</v>
      </c>
      <c r="E2031" t="s">
        <v>3189</v>
      </c>
      <c r="G2031" t="s">
        <v>5178</v>
      </c>
      <c r="H2031" t="s">
        <v>28</v>
      </c>
      <c r="I2031" t="s">
        <v>5668</v>
      </c>
      <c r="J2031" t="s">
        <v>63</v>
      </c>
      <c r="K2031" t="s">
        <v>197</v>
      </c>
      <c r="M2031">
        <v>90</v>
      </c>
      <c r="N2031" t="s">
        <v>33</v>
      </c>
      <c r="O2031" t="s">
        <v>4226</v>
      </c>
      <c r="P2031" t="s">
        <v>2029</v>
      </c>
      <c r="T2031">
        <v>4</v>
      </c>
      <c r="U2031" t="s">
        <v>56</v>
      </c>
      <c r="V2031" t="s">
        <v>56</v>
      </c>
    </row>
    <row r="2032" spans="1:22" x14ac:dyDescent="0.3">
      <c r="A2032" s="49">
        <v>45274</v>
      </c>
      <c r="E2032" t="s">
        <v>3189</v>
      </c>
      <c r="G2032" t="s">
        <v>5178</v>
      </c>
      <c r="H2032" t="s">
        <v>28</v>
      </c>
      <c r="I2032" t="s">
        <v>5668</v>
      </c>
      <c r="J2032" t="s">
        <v>63</v>
      </c>
      <c r="K2032" t="s">
        <v>197</v>
      </c>
      <c r="M2032">
        <v>50</v>
      </c>
      <c r="N2032" t="s">
        <v>33</v>
      </c>
      <c r="O2032" t="s">
        <v>4227</v>
      </c>
      <c r="P2032" t="s">
        <v>2029</v>
      </c>
      <c r="T2032">
        <v>4</v>
      </c>
      <c r="U2032" t="s">
        <v>56</v>
      </c>
      <c r="V2032" t="s">
        <v>56</v>
      </c>
    </row>
    <row r="2033" spans="1:22" x14ac:dyDescent="0.3">
      <c r="A2033" s="49">
        <v>45274</v>
      </c>
      <c r="E2033" t="s">
        <v>3189</v>
      </c>
      <c r="G2033" t="s">
        <v>5098</v>
      </c>
      <c r="H2033" t="s">
        <v>28</v>
      </c>
      <c r="I2033" t="s">
        <v>5852</v>
      </c>
      <c r="J2033" t="s">
        <v>63</v>
      </c>
      <c r="K2033" t="s">
        <v>64</v>
      </c>
      <c r="M2033">
        <v>0</v>
      </c>
      <c r="N2033" t="s">
        <v>74</v>
      </c>
      <c r="O2033" t="s">
        <v>4228</v>
      </c>
      <c r="P2033" t="s">
        <v>1697</v>
      </c>
      <c r="T2033">
        <v>4</v>
      </c>
      <c r="U2033" t="s">
        <v>56</v>
      </c>
      <c r="V2033" t="s">
        <v>56</v>
      </c>
    </row>
    <row r="2034" spans="1:22" x14ac:dyDescent="0.3">
      <c r="A2034" s="49">
        <v>45274</v>
      </c>
      <c r="E2034" t="s">
        <v>3189</v>
      </c>
      <c r="G2034" t="s">
        <v>5178</v>
      </c>
      <c r="H2034" t="s">
        <v>28</v>
      </c>
      <c r="I2034" t="s">
        <v>5854</v>
      </c>
      <c r="J2034" t="s">
        <v>63</v>
      </c>
      <c r="K2034" t="s">
        <v>197</v>
      </c>
      <c r="M2034">
        <v>50</v>
      </c>
      <c r="N2034" t="s">
        <v>49</v>
      </c>
      <c r="O2034" t="s">
        <v>4229</v>
      </c>
      <c r="P2034" t="s">
        <v>416</v>
      </c>
      <c r="T2034">
        <v>4</v>
      </c>
      <c r="U2034" t="s">
        <v>56</v>
      </c>
      <c r="V2034" t="s">
        <v>56</v>
      </c>
    </row>
    <row r="2035" spans="1:22" x14ac:dyDescent="0.3">
      <c r="A2035" s="49">
        <v>45274</v>
      </c>
      <c r="E2035" t="s">
        <v>3189</v>
      </c>
      <c r="G2035" t="s">
        <v>5178</v>
      </c>
      <c r="H2035" t="s">
        <v>28</v>
      </c>
      <c r="I2035" t="s">
        <v>5668</v>
      </c>
      <c r="J2035" t="s">
        <v>63</v>
      </c>
      <c r="K2035" t="s">
        <v>197</v>
      </c>
      <c r="M2035">
        <v>20</v>
      </c>
      <c r="N2035" t="s">
        <v>49</v>
      </c>
      <c r="O2035" t="s">
        <v>4227</v>
      </c>
      <c r="P2035" t="s">
        <v>2029</v>
      </c>
      <c r="T2035">
        <v>4</v>
      </c>
      <c r="U2035" t="s">
        <v>56</v>
      </c>
      <c r="V2035" t="s">
        <v>56</v>
      </c>
    </row>
    <row r="2036" spans="1:22" x14ac:dyDescent="0.3">
      <c r="A2036" s="49">
        <v>45274</v>
      </c>
      <c r="E2036" t="s">
        <v>3189</v>
      </c>
      <c r="G2036" t="s">
        <v>5178</v>
      </c>
      <c r="H2036" t="s">
        <v>89</v>
      </c>
      <c r="J2036" t="s">
        <v>63</v>
      </c>
      <c r="K2036" t="s">
        <v>64</v>
      </c>
      <c r="M2036">
        <v>0</v>
      </c>
      <c r="N2036" t="s">
        <v>74</v>
      </c>
      <c r="O2036" t="s">
        <v>4230</v>
      </c>
      <c r="P2036" t="s">
        <v>1878</v>
      </c>
      <c r="T2036">
        <v>4</v>
      </c>
      <c r="U2036" t="s">
        <v>56</v>
      </c>
      <c r="V2036" t="s">
        <v>56</v>
      </c>
    </row>
    <row r="2037" spans="1:22" x14ac:dyDescent="0.3">
      <c r="A2037" s="49">
        <v>45274</v>
      </c>
      <c r="E2037" t="s">
        <v>3119</v>
      </c>
      <c r="G2037" t="s">
        <v>4982</v>
      </c>
      <c r="H2037" t="s">
        <v>28</v>
      </c>
      <c r="I2037" t="s">
        <v>5857</v>
      </c>
      <c r="J2037" t="s">
        <v>63</v>
      </c>
      <c r="K2037" t="s">
        <v>197</v>
      </c>
      <c r="M2037">
        <v>100</v>
      </c>
      <c r="N2037" t="s">
        <v>33</v>
      </c>
      <c r="O2037" t="s">
        <v>4231</v>
      </c>
      <c r="P2037" t="s">
        <v>373</v>
      </c>
      <c r="T2037">
        <v>4</v>
      </c>
      <c r="U2037" t="s">
        <v>56</v>
      </c>
      <c r="V2037" t="s">
        <v>56</v>
      </c>
    </row>
    <row r="2038" spans="1:22" x14ac:dyDescent="0.3">
      <c r="A2038" s="49">
        <v>45274</v>
      </c>
      <c r="E2038" t="s">
        <v>3119</v>
      </c>
      <c r="G2038" t="s">
        <v>5179</v>
      </c>
      <c r="H2038" t="s">
        <v>28</v>
      </c>
      <c r="I2038" t="s">
        <v>5858</v>
      </c>
      <c r="J2038" t="s">
        <v>63</v>
      </c>
      <c r="K2038" t="s">
        <v>197</v>
      </c>
      <c r="M2038">
        <v>73</v>
      </c>
      <c r="N2038" t="s">
        <v>33</v>
      </c>
      <c r="O2038" t="s">
        <v>4232</v>
      </c>
      <c r="P2038" t="s">
        <v>1586</v>
      </c>
      <c r="T2038">
        <v>4</v>
      </c>
      <c r="U2038" t="s">
        <v>56</v>
      </c>
      <c r="V2038" t="s">
        <v>56</v>
      </c>
    </row>
    <row r="2039" spans="1:22" x14ac:dyDescent="0.3">
      <c r="A2039" s="49">
        <v>45274</v>
      </c>
      <c r="E2039" t="s">
        <v>3119</v>
      </c>
      <c r="G2039" t="s">
        <v>5067</v>
      </c>
      <c r="H2039" t="s">
        <v>28</v>
      </c>
      <c r="I2039" t="s">
        <v>5672</v>
      </c>
      <c r="J2039" t="s">
        <v>63</v>
      </c>
      <c r="K2039" t="s">
        <v>64</v>
      </c>
      <c r="M2039">
        <v>100</v>
      </c>
      <c r="N2039" t="s">
        <v>49</v>
      </c>
      <c r="O2039" t="s">
        <v>4233</v>
      </c>
      <c r="P2039" t="s">
        <v>483</v>
      </c>
      <c r="T2039">
        <v>4</v>
      </c>
      <c r="U2039" t="s">
        <v>56</v>
      </c>
      <c r="V2039" t="s">
        <v>56</v>
      </c>
    </row>
    <row r="2040" spans="1:22" x14ac:dyDescent="0.3">
      <c r="A2040" s="49">
        <v>45274</v>
      </c>
      <c r="E2040" t="s">
        <v>3119</v>
      </c>
      <c r="G2040" t="s">
        <v>5067</v>
      </c>
      <c r="H2040" t="s">
        <v>28</v>
      </c>
      <c r="I2040" t="s">
        <v>5672</v>
      </c>
      <c r="J2040" t="s">
        <v>63</v>
      </c>
      <c r="K2040" t="s">
        <v>64</v>
      </c>
      <c r="M2040">
        <v>100</v>
      </c>
      <c r="N2040" t="s">
        <v>33</v>
      </c>
      <c r="O2040" t="s">
        <v>4233</v>
      </c>
      <c r="P2040" t="s">
        <v>483</v>
      </c>
      <c r="T2040">
        <v>4</v>
      </c>
      <c r="U2040" t="s">
        <v>56</v>
      </c>
      <c r="V2040" t="s">
        <v>56</v>
      </c>
    </row>
    <row r="2041" spans="1:22" x14ac:dyDescent="0.3">
      <c r="A2041" s="49">
        <v>45274</v>
      </c>
      <c r="E2041" t="s">
        <v>3119</v>
      </c>
      <c r="G2041" t="s">
        <v>5067</v>
      </c>
      <c r="H2041" t="s">
        <v>28</v>
      </c>
      <c r="I2041" t="s">
        <v>5672</v>
      </c>
      <c r="J2041" t="s">
        <v>63</v>
      </c>
      <c r="K2041" t="s">
        <v>64</v>
      </c>
      <c r="M2041">
        <v>100</v>
      </c>
      <c r="N2041" t="s">
        <v>33</v>
      </c>
      <c r="O2041" t="s">
        <v>4233</v>
      </c>
      <c r="P2041" t="s">
        <v>483</v>
      </c>
      <c r="T2041">
        <v>4</v>
      </c>
      <c r="U2041" t="s">
        <v>56</v>
      </c>
      <c r="V2041" t="s">
        <v>56</v>
      </c>
    </row>
    <row r="2042" spans="1:22" x14ac:dyDescent="0.3">
      <c r="A2042" s="49">
        <v>45274</v>
      </c>
      <c r="E2042" t="s">
        <v>3119</v>
      </c>
      <c r="G2042" t="s">
        <v>5067</v>
      </c>
      <c r="H2042" t="s">
        <v>28</v>
      </c>
      <c r="I2042" t="s">
        <v>5672</v>
      </c>
      <c r="J2042" t="s">
        <v>63</v>
      </c>
      <c r="K2042" t="s">
        <v>64</v>
      </c>
      <c r="M2042">
        <v>100</v>
      </c>
      <c r="N2042" t="s">
        <v>33</v>
      </c>
      <c r="O2042" t="s">
        <v>4234</v>
      </c>
      <c r="P2042" t="s">
        <v>4834</v>
      </c>
      <c r="T2042">
        <v>4</v>
      </c>
      <c r="U2042" t="s">
        <v>56</v>
      </c>
      <c r="V2042" t="s">
        <v>56</v>
      </c>
    </row>
    <row r="2043" spans="1:22" x14ac:dyDescent="0.3">
      <c r="A2043" s="49">
        <v>45274</v>
      </c>
      <c r="E2043" t="s">
        <v>3119</v>
      </c>
      <c r="G2043" t="s">
        <v>5067</v>
      </c>
      <c r="H2043" t="s">
        <v>28</v>
      </c>
      <c r="I2043" t="s">
        <v>5672</v>
      </c>
      <c r="J2043" t="s">
        <v>63</v>
      </c>
      <c r="K2043" t="s">
        <v>64</v>
      </c>
      <c r="M2043">
        <v>100</v>
      </c>
      <c r="N2043" t="s">
        <v>49</v>
      </c>
      <c r="O2043" t="s">
        <v>4234</v>
      </c>
      <c r="P2043" t="s">
        <v>4834</v>
      </c>
      <c r="T2043">
        <v>4</v>
      </c>
      <c r="U2043" t="s">
        <v>56</v>
      </c>
      <c r="V2043" t="s">
        <v>56</v>
      </c>
    </row>
    <row r="2044" spans="1:22" x14ac:dyDescent="0.3">
      <c r="A2044" s="49">
        <v>45274</v>
      </c>
      <c r="E2044" t="s">
        <v>3119</v>
      </c>
      <c r="G2044" t="s">
        <v>5067</v>
      </c>
      <c r="H2044" t="s">
        <v>28</v>
      </c>
      <c r="I2044" t="s">
        <v>5859</v>
      </c>
      <c r="J2044" t="s">
        <v>63</v>
      </c>
      <c r="K2044" t="s">
        <v>64</v>
      </c>
      <c r="M2044">
        <v>100</v>
      </c>
      <c r="N2044" t="s">
        <v>49</v>
      </c>
      <c r="O2044" t="s">
        <v>4235</v>
      </c>
      <c r="P2044" t="s">
        <v>416</v>
      </c>
      <c r="T2044">
        <v>4</v>
      </c>
      <c r="U2044" t="s">
        <v>56</v>
      </c>
      <c r="V2044" t="s">
        <v>56</v>
      </c>
    </row>
    <row r="2045" spans="1:22" x14ac:dyDescent="0.3">
      <c r="A2045" s="49">
        <v>45274</v>
      </c>
      <c r="E2045" t="s">
        <v>3119</v>
      </c>
      <c r="G2045" t="s">
        <v>5067</v>
      </c>
      <c r="H2045" t="s">
        <v>28</v>
      </c>
      <c r="I2045" t="s">
        <v>5859</v>
      </c>
      <c r="J2045" t="s">
        <v>63</v>
      </c>
      <c r="K2045" t="s">
        <v>64</v>
      </c>
      <c r="M2045">
        <v>100</v>
      </c>
      <c r="N2045" t="s">
        <v>49</v>
      </c>
      <c r="O2045" t="s">
        <v>4235</v>
      </c>
      <c r="P2045" t="s">
        <v>416</v>
      </c>
      <c r="T2045">
        <v>4</v>
      </c>
      <c r="U2045" t="s">
        <v>56</v>
      </c>
      <c r="V2045" t="s">
        <v>56</v>
      </c>
    </row>
    <row r="2046" spans="1:22" x14ac:dyDescent="0.3">
      <c r="A2046" s="49">
        <v>45274</v>
      </c>
      <c r="E2046" t="s">
        <v>3119</v>
      </c>
      <c r="G2046" t="s">
        <v>5179</v>
      </c>
      <c r="H2046" t="s">
        <v>89</v>
      </c>
      <c r="J2046" t="s">
        <v>63</v>
      </c>
      <c r="K2046" t="s">
        <v>197</v>
      </c>
      <c r="M2046">
        <v>46</v>
      </c>
      <c r="N2046" t="s">
        <v>33</v>
      </c>
      <c r="O2046" t="s">
        <v>4236</v>
      </c>
      <c r="P2046" t="s">
        <v>878</v>
      </c>
      <c r="T2046">
        <v>4</v>
      </c>
      <c r="U2046" t="s">
        <v>56</v>
      </c>
      <c r="V2046" t="s">
        <v>56</v>
      </c>
    </row>
    <row r="2047" spans="1:22" x14ac:dyDescent="0.3">
      <c r="A2047" s="49">
        <v>45274</v>
      </c>
      <c r="E2047" t="s">
        <v>3120</v>
      </c>
      <c r="G2047" t="s">
        <v>2648</v>
      </c>
      <c r="H2047" t="s">
        <v>89</v>
      </c>
      <c r="J2047" t="s">
        <v>63</v>
      </c>
      <c r="K2047" t="s">
        <v>64</v>
      </c>
      <c r="M2047">
        <v>90</v>
      </c>
      <c r="N2047" t="s">
        <v>49</v>
      </c>
      <c r="O2047" t="s">
        <v>4237</v>
      </c>
      <c r="P2047" t="s">
        <v>743</v>
      </c>
      <c r="T2047">
        <v>4</v>
      </c>
      <c r="U2047" t="s">
        <v>56</v>
      </c>
      <c r="V2047" t="s">
        <v>56</v>
      </c>
    </row>
    <row r="2048" spans="1:22" x14ac:dyDescent="0.3">
      <c r="A2048" s="49">
        <v>45274</v>
      </c>
      <c r="E2048" t="s">
        <v>3120</v>
      </c>
      <c r="G2048" t="s">
        <v>5290</v>
      </c>
      <c r="H2048" t="s">
        <v>28</v>
      </c>
      <c r="I2048" t="s">
        <v>5860</v>
      </c>
      <c r="J2048" t="s">
        <v>63</v>
      </c>
      <c r="K2048" t="s">
        <v>64</v>
      </c>
      <c r="M2048">
        <v>100</v>
      </c>
      <c r="N2048" t="s">
        <v>49</v>
      </c>
      <c r="O2048" t="s">
        <v>4238</v>
      </c>
      <c r="P2048" t="s">
        <v>4884</v>
      </c>
      <c r="T2048">
        <v>4</v>
      </c>
      <c r="U2048" t="s">
        <v>56</v>
      </c>
      <c r="V2048" t="s">
        <v>56</v>
      </c>
    </row>
    <row r="2049" spans="1:22" x14ac:dyDescent="0.3">
      <c r="A2049" s="49">
        <v>45274</v>
      </c>
      <c r="E2049" t="s">
        <v>3120</v>
      </c>
      <c r="G2049" t="s">
        <v>5290</v>
      </c>
      <c r="H2049" t="s">
        <v>28</v>
      </c>
      <c r="I2049" t="s">
        <v>5860</v>
      </c>
      <c r="J2049" t="s">
        <v>63</v>
      </c>
      <c r="K2049" t="s">
        <v>64</v>
      </c>
      <c r="M2049">
        <v>100</v>
      </c>
      <c r="N2049" t="s">
        <v>49</v>
      </c>
      <c r="O2049" t="s">
        <v>4239</v>
      </c>
      <c r="P2049" t="s">
        <v>4909</v>
      </c>
      <c r="T2049">
        <v>4</v>
      </c>
      <c r="U2049" t="s">
        <v>56</v>
      </c>
      <c r="V2049" t="s">
        <v>56</v>
      </c>
    </row>
    <row r="2050" spans="1:22" x14ac:dyDescent="0.3">
      <c r="A2050" s="49">
        <v>45274</v>
      </c>
      <c r="E2050" t="s">
        <v>3120</v>
      </c>
      <c r="G2050" t="s">
        <v>2648</v>
      </c>
      <c r="H2050" t="s">
        <v>89</v>
      </c>
      <c r="J2050" t="s">
        <v>46</v>
      </c>
      <c r="K2050" t="s">
        <v>422</v>
      </c>
      <c r="M2050">
        <v>100</v>
      </c>
      <c r="N2050" t="s">
        <v>33</v>
      </c>
      <c r="O2050" t="s">
        <v>4240</v>
      </c>
      <c r="P2050" t="s">
        <v>1122</v>
      </c>
      <c r="T2050">
        <v>4</v>
      </c>
      <c r="U2050" t="s">
        <v>56</v>
      </c>
      <c r="V2050" t="s">
        <v>56</v>
      </c>
    </row>
    <row r="2051" spans="1:22" x14ac:dyDescent="0.3">
      <c r="A2051" s="49">
        <v>45274</v>
      </c>
      <c r="E2051" t="s">
        <v>3120</v>
      </c>
      <c r="G2051" t="s">
        <v>2648</v>
      </c>
      <c r="H2051" t="s">
        <v>89</v>
      </c>
      <c r="J2051" t="s">
        <v>63</v>
      </c>
      <c r="K2051" t="s">
        <v>64</v>
      </c>
      <c r="M2051">
        <v>100</v>
      </c>
      <c r="N2051" t="s">
        <v>33</v>
      </c>
      <c r="O2051" t="s">
        <v>4241</v>
      </c>
      <c r="P2051" t="s">
        <v>4832</v>
      </c>
      <c r="T2051">
        <v>4</v>
      </c>
      <c r="U2051" t="s">
        <v>56</v>
      </c>
      <c r="V2051" t="s">
        <v>56</v>
      </c>
    </row>
    <row r="2052" spans="1:22" x14ac:dyDescent="0.3">
      <c r="A2052" s="49">
        <v>45274</v>
      </c>
      <c r="E2052" t="s">
        <v>3120</v>
      </c>
      <c r="G2052" t="s">
        <v>2648</v>
      </c>
      <c r="H2052" t="s">
        <v>89</v>
      </c>
      <c r="J2052" t="s">
        <v>63</v>
      </c>
      <c r="K2052" t="s">
        <v>64</v>
      </c>
      <c r="M2052">
        <v>100</v>
      </c>
      <c r="N2052" t="s">
        <v>33</v>
      </c>
      <c r="O2052" t="s">
        <v>4242</v>
      </c>
      <c r="P2052" t="s">
        <v>4866</v>
      </c>
      <c r="T2052">
        <v>4</v>
      </c>
      <c r="U2052" t="s">
        <v>56</v>
      </c>
      <c r="V2052" t="s">
        <v>56</v>
      </c>
    </row>
    <row r="2053" spans="1:22" x14ac:dyDescent="0.3">
      <c r="A2053" s="49">
        <v>45274</v>
      </c>
      <c r="E2053" t="s">
        <v>3233</v>
      </c>
      <c r="G2053" t="s">
        <v>5291</v>
      </c>
      <c r="H2053" t="s">
        <v>28</v>
      </c>
      <c r="I2053" t="s">
        <v>5861</v>
      </c>
      <c r="J2053" t="s">
        <v>63</v>
      </c>
      <c r="K2053" t="s">
        <v>1235</v>
      </c>
      <c r="M2053">
        <v>50</v>
      </c>
      <c r="N2053" t="s">
        <v>33</v>
      </c>
      <c r="O2053" t="s">
        <v>4243</v>
      </c>
      <c r="P2053" t="s">
        <v>306</v>
      </c>
      <c r="T2053">
        <v>4</v>
      </c>
      <c r="U2053" t="s">
        <v>56</v>
      </c>
      <c r="V2053" t="s">
        <v>56</v>
      </c>
    </row>
    <row r="2054" spans="1:22" x14ac:dyDescent="0.3">
      <c r="A2054" s="49">
        <v>45274</v>
      </c>
      <c r="E2054" t="s">
        <v>3233</v>
      </c>
      <c r="G2054" t="s">
        <v>5291</v>
      </c>
      <c r="H2054" t="s">
        <v>28</v>
      </c>
      <c r="I2054" t="s">
        <v>5861</v>
      </c>
      <c r="J2054" t="s">
        <v>63</v>
      </c>
      <c r="K2054" t="s">
        <v>64</v>
      </c>
      <c r="M2054">
        <v>50</v>
      </c>
      <c r="N2054" t="s">
        <v>33</v>
      </c>
      <c r="O2054" t="s">
        <v>4243</v>
      </c>
      <c r="P2054" t="s">
        <v>306</v>
      </c>
      <c r="T2054">
        <v>4</v>
      </c>
      <c r="U2054" t="s">
        <v>56</v>
      </c>
      <c r="V2054" t="s">
        <v>56</v>
      </c>
    </row>
    <row r="2055" spans="1:22" x14ac:dyDescent="0.3">
      <c r="A2055" s="49">
        <v>45274</v>
      </c>
      <c r="E2055" t="s">
        <v>3121</v>
      </c>
      <c r="G2055" t="s">
        <v>5292</v>
      </c>
      <c r="H2055" t="s">
        <v>89</v>
      </c>
      <c r="J2055" t="s">
        <v>63</v>
      </c>
      <c r="K2055" t="s">
        <v>4943</v>
      </c>
      <c r="M2055">
        <v>100</v>
      </c>
      <c r="N2055" t="s">
        <v>49</v>
      </c>
      <c r="O2055" t="s">
        <v>4244</v>
      </c>
      <c r="P2055" t="s">
        <v>66</v>
      </c>
      <c r="T2055">
        <v>4</v>
      </c>
      <c r="U2055" t="s">
        <v>56</v>
      </c>
      <c r="V2055" t="s">
        <v>56</v>
      </c>
    </row>
    <row r="2056" spans="1:22" x14ac:dyDescent="0.3">
      <c r="A2056" s="49">
        <v>45274</v>
      </c>
      <c r="E2056" t="s">
        <v>3121</v>
      </c>
      <c r="G2056" t="s">
        <v>5292</v>
      </c>
      <c r="H2056" t="s">
        <v>28</v>
      </c>
      <c r="I2056" t="s">
        <v>5679</v>
      </c>
      <c r="J2056" t="s">
        <v>30</v>
      </c>
      <c r="K2056" t="s">
        <v>1546</v>
      </c>
      <c r="M2056">
        <v>100</v>
      </c>
      <c r="N2056" t="s">
        <v>49</v>
      </c>
      <c r="O2056" t="s">
        <v>4245</v>
      </c>
      <c r="P2056" t="s">
        <v>58</v>
      </c>
      <c r="T2056">
        <v>4</v>
      </c>
      <c r="U2056" t="s">
        <v>56</v>
      </c>
      <c r="V2056" t="s">
        <v>56</v>
      </c>
    </row>
    <row r="2057" spans="1:22" x14ac:dyDescent="0.3">
      <c r="A2057" s="49">
        <v>45274</v>
      </c>
      <c r="E2057" t="s">
        <v>3121</v>
      </c>
      <c r="G2057" t="s">
        <v>5292</v>
      </c>
      <c r="H2057" t="s">
        <v>28</v>
      </c>
      <c r="I2057" t="s">
        <v>5679</v>
      </c>
      <c r="J2057" t="s">
        <v>63</v>
      </c>
      <c r="K2057" t="s">
        <v>64</v>
      </c>
      <c r="M2057">
        <v>45</v>
      </c>
      <c r="N2057" t="s">
        <v>49</v>
      </c>
      <c r="O2057" t="s">
        <v>4246</v>
      </c>
      <c r="P2057" t="s">
        <v>743</v>
      </c>
      <c r="T2057">
        <v>4</v>
      </c>
      <c r="U2057" t="s">
        <v>56</v>
      </c>
      <c r="V2057" t="s">
        <v>56</v>
      </c>
    </row>
    <row r="2058" spans="1:22" x14ac:dyDescent="0.3">
      <c r="A2058" s="49">
        <v>45274</v>
      </c>
      <c r="E2058" t="s">
        <v>3121</v>
      </c>
      <c r="G2058" t="s">
        <v>5293</v>
      </c>
      <c r="H2058" t="s">
        <v>28</v>
      </c>
      <c r="I2058" t="s">
        <v>5862</v>
      </c>
      <c r="J2058" t="s">
        <v>46</v>
      </c>
      <c r="K2058" t="s">
        <v>481</v>
      </c>
      <c r="M2058">
        <v>100</v>
      </c>
      <c r="N2058" t="s">
        <v>49</v>
      </c>
      <c r="O2058" t="s">
        <v>4247</v>
      </c>
      <c r="P2058" t="s">
        <v>737</v>
      </c>
      <c r="T2058">
        <v>4</v>
      </c>
      <c r="U2058" t="s">
        <v>56</v>
      </c>
      <c r="V2058" t="s">
        <v>56</v>
      </c>
    </row>
    <row r="2059" spans="1:22" x14ac:dyDescent="0.3">
      <c r="A2059" s="49">
        <v>45274</v>
      </c>
      <c r="E2059" t="s">
        <v>3121</v>
      </c>
      <c r="G2059" t="s">
        <v>5294</v>
      </c>
      <c r="H2059" t="s">
        <v>28</v>
      </c>
      <c r="I2059" t="s">
        <v>5863</v>
      </c>
      <c r="J2059" t="s">
        <v>63</v>
      </c>
      <c r="K2059" t="s">
        <v>64</v>
      </c>
      <c r="M2059">
        <v>20</v>
      </c>
      <c r="N2059" t="s">
        <v>33</v>
      </c>
      <c r="O2059" t="s">
        <v>4248</v>
      </c>
      <c r="P2059" t="s">
        <v>483</v>
      </c>
      <c r="T2059">
        <v>4</v>
      </c>
      <c r="U2059" t="s">
        <v>56</v>
      </c>
      <c r="V2059" t="s">
        <v>56</v>
      </c>
    </row>
    <row r="2060" spans="1:22" x14ac:dyDescent="0.3">
      <c r="A2060" s="49">
        <v>45274</v>
      </c>
      <c r="E2060" t="s">
        <v>3121</v>
      </c>
      <c r="G2060" t="s">
        <v>1108</v>
      </c>
      <c r="H2060" t="s">
        <v>28</v>
      </c>
      <c r="I2060" t="s">
        <v>1997</v>
      </c>
      <c r="J2060" t="s">
        <v>63</v>
      </c>
      <c r="K2060" t="s">
        <v>197</v>
      </c>
      <c r="M2060">
        <v>100</v>
      </c>
      <c r="N2060" t="s">
        <v>49</v>
      </c>
      <c r="O2060" t="s">
        <v>4249</v>
      </c>
      <c r="P2060" t="s">
        <v>791</v>
      </c>
      <c r="T2060">
        <v>4</v>
      </c>
      <c r="U2060" t="s">
        <v>56</v>
      </c>
      <c r="V2060" t="s">
        <v>56</v>
      </c>
    </row>
    <row r="2061" spans="1:22" x14ac:dyDescent="0.3">
      <c r="A2061" s="49">
        <v>45274</v>
      </c>
      <c r="E2061" t="s">
        <v>3121</v>
      </c>
      <c r="G2061" t="s">
        <v>5182</v>
      </c>
      <c r="H2061" t="s">
        <v>28</v>
      </c>
      <c r="I2061" t="s">
        <v>5864</v>
      </c>
      <c r="J2061" t="s">
        <v>46</v>
      </c>
      <c r="K2061" t="s">
        <v>422</v>
      </c>
      <c r="M2061">
        <v>100</v>
      </c>
      <c r="N2061" t="s">
        <v>49</v>
      </c>
      <c r="O2061" t="s">
        <v>4250</v>
      </c>
      <c r="P2061" t="s">
        <v>344</v>
      </c>
      <c r="T2061">
        <v>4</v>
      </c>
      <c r="U2061" t="s">
        <v>56</v>
      </c>
      <c r="V2061" t="s">
        <v>56</v>
      </c>
    </row>
    <row r="2062" spans="1:22" x14ac:dyDescent="0.3">
      <c r="A2062" s="49">
        <v>45274</v>
      </c>
      <c r="E2062" t="s">
        <v>3121</v>
      </c>
      <c r="G2062" t="s">
        <v>1108</v>
      </c>
      <c r="H2062" t="s">
        <v>89</v>
      </c>
      <c r="J2062" t="s">
        <v>63</v>
      </c>
      <c r="K2062" t="s">
        <v>197</v>
      </c>
      <c r="M2062">
        <v>100</v>
      </c>
      <c r="N2062" t="s">
        <v>33</v>
      </c>
      <c r="O2062" t="s">
        <v>4251</v>
      </c>
      <c r="P2062" t="s">
        <v>2627</v>
      </c>
      <c r="T2062">
        <v>4</v>
      </c>
      <c r="U2062" t="s">
        <v>56</v>
      </c>
      <c r="V2062" t="s">
        <v>56</v>
      </c>
    </row>
    <row r="2063" spans="1:22" x14ac:dyDescent="0.3">
      <c r="A2063" s="49">
        <v>45274</v>
      </c>
      <c r="E2063" t="s">
        <v>3121</v>
      </c>
      <c r="G2063" t="s">
        <v>5183</v>
      </c>
      <c r="H2063" t="s">
        <v>28</v>
      </c>
      <c r="I2063" t="s">
        <v>5865</v>
      </c>
      <c r="J2063" t="s">
        <v>63</v>
      </c>
      <c r="K2063" t="s">
        <v>64</v>
      </c>
      <c r="M2063">
        <v>40</v>
      </c>
      <c r="N2063" t="s">
        <v>33</v>
      </c>
      <c r="O2063" t="s">
        <v>4252</v>
      </c>
      <c r="P2063" t="s">
        <v>1159</v>
      </c>
      <c r="T2063">
        <v>5</v>
      </c>
      <c r="U2063" t="s">
        <v>40</v>
      </c>
      <c r="V2063" t="s">
        <v>41</v>
      </c>
    </row>
    <row r="2064" spans="1:22" x14ac:dyDescent="0.3">
      <c r="A2064" s="49">
        <v>45274</v>
      </c>
      <c r="E2064" t="s">
        <v>3121</v>
      </c>
      <c r="G2064" t="s">
        <v>5074</v>
      </c>
      <c r="H2064" t="s">
        <v>89</v>
      </c>
      <c r="J2064" t="s">
        <v>63</v>
      </c>
      <c r="K2064" t="s">
        <v>64</v>
      </c>
      <c r="M2064">
        <v>100</v>
      </c>
      <c r="N2064" t="s">
        <v>33</v>
      </c>
      <c r="O2064" t="s">
        <v>4253</v>
      </c>
      <c r="P2064" t="s">
        <v>4833</v>
      </c>
      <c r="T2064">
        <v>4</v>
      </c>
      <c r="U2064" t="s">
        <v>56</v>
      </c>
      <c r="V2064" t="s">
        <v>56</v>
      </c>
    </row>
    <row r="2065" spans="1:22" x14ac:dyDescent="0.3">
      <c r="A2065" s="49">
        <v>45274</v>
      </c>
      <c r="E2065" t="s">
        <v>3121</v>
      </c>
      <c r="G2065" t="s">
        <v>5074</v>
      </c>
      <c r="H2065" t="s">
        <v>89</v>
      </c>
      <c r="J2065" t="s">
        <v>63</v>
      </c>
      <c r="K2065" t="s">
        <v>64</v>
      </c>
      <c r="M2065">
        <v>40</v>
      </c>
      <c r="N2065" t="s">
        <v>33</v>
      </c>
      <c r="O2065" t="s">
        <v>4254</v>
      </c>
      <c r="P2065" t="s">
        <v>4878</v>
      </c>
      <c r="T2065">
        <v>4</v>
      </c>
      <c r="U2065" t="s">
        <v>56</v>
      </c>
      <c r="V2065" t="s">
        <v>56</v>
      </c>
    </row>
    <row r="2066" spans="1:22" x14ac:dyDescent="0.3">
      <c r="A2066" s="49">
        <v>45274</v>
      </c>
      <c r="E2066" t="s">
        <v>3121</v>
      </c>
      <c r="G2066" t="s">
        <v>5071</v>
      </c>
      <c r="H2066" t="s">
        <v>28</v>
      </c>
      <c r="I2066" t="s">
        <v>5866</v>
      </c>
      <c r="J2066" t="s">
        <v>63</v>
      </c>
      <c r="K2066" t="s">
        <v>64</v>
      </c>
      <c r="M2066">
        <v>60</v>
      </c>
      <c r="N2066" t="s">
        <v>33</v>
      </c>
      <c r="O2066" t="s">
        <v>4255</v>
      </c>
      <c r="P2066" t="s">
        <v>344</v>
      </c>
      <c r="T2066">
        <v>4</v>
      </c>
      <c r="U2066" t="s">
        <v>56</v>
      </c>
      <c r="V2066" t="s">
        <v>56</v>
      </c>
    </row>
    <row r="2067" spans="1:22" x14ac:dyDescent="0.3">
      <c r="A2067" s="49">
        <v>45274</v>
      </c>
      <c r="E2067" t="s">
        <v>3121</v>
      </c>
      <c r="G2067" t="s">
        <v>5071</v>
      </c>
      <c r="H2067" t="s">
        <v>28</v>
      </c>
      <c r="I2067" t="s">
        <v>5866</v>
      </c>
      <c r="J2067" t="s">
        <v>63</v>
      </c>
      <c r="K2067" t="s">
        <v>64</v>
      </c>
      <c r="M2067">
        <v>40</v>
      </c>
      <c r="N2067" t="s">
        <v>33</v>
      </c>
      <c r="O2067" t="s">
        <v>4256</v>
      </c>
      <c r="P2067" t="s">
        <v>2627</v>
      </c>
      <c r="T2067">
        <v>4</v>
      </c>
      <c r="U2067" t="s">
        <v>56</v>
      </c>
      <c r="V2067" t="s">
        <v>56</v>
      </c>
    </row>
    <row r="2068" spans="1:22" x14ac:dyDescent="0.3">
      <c r="A2068" s="49">
        <v>45274</v>
      </c>
      <c r="E2068" t="s">
        <v>3121</v>
      </c>
      <c r="G2068" t="s">
        <v>5071</v>
      </c>
      <c r="H2068" t="s">
        <v>28</v>
      </c>
      <c r="I2068" t="s">
        <v>5866</v>
      </c>
      <c r="J2068" t="s">
        <v>63</v>
      </c>
      <c r="K2068" t="s">
        <v>64</v>
      </c>
      <c r="M2068">
        <v>40</v>
      </c>
      <c r="N2068" t="s">
        <v>33</v>
      </c>
      <c r="O2068" t="s">
        <v>4257</v>
      </c>
      <c r="P2068" t="s">
        <v>1230</v>
      </c>
      <c r="T2068">
        <v>4</v>
      </c>
      <c r="U2068" t="s">
        <v>56</v>
      </c>
      <c r="V2068" t="s">
        <v>56</v>
      </c>
    </row>
    <row r="2069" spans="1:22" x14ac:dyDescent="0.3">
      <c r="A2069" s="49">
        <v>45274</v>
      </c>
      <c r="E2069" t="s">
        <v>3121</v>
      </c>
      <c r="G2069" t="s">
        <v>5071</v>
      </c>
      <c r="H2069" t="s">
        <v>28</v>
      </c>
      <c r="I2069" t="s">
        <v>5866</v>
      </c>
      <c r="J2069" t="s">
        <v>63</v>
      </c>
      <c r="K2069" t="s">
        <v>64</v>
      </c>
      <c r="M2069">
        <v>40</v>
      </c>
      <c r="N2069" t="s">
        <v>33</v>
      </c>
      <c r="O2069" t="s">
        <v>3797</v>
      </c>
      <c r="P2069" t="s">
        <v>4830</v>
      </c>
      <c r="T2069">
        <v>4</v>
      </c>
      <c r="U2069" t="s">
        <v>56</v>
      </c>
      <c r="V2069" t="s">
        <v>56</v>
      </c>
    </row>
    <row r="2070" spans="1:22" x14ac:dyDescent="0.3">
      <c r="A2070" s="49">
        <v>45274</v>
      </c>
      <c r="E2070" t="s">
        <v>3121</v>
      </c>
      <c r="G2070" t="s">
        <v>1108</v>
      </c>
      <c r="H2070" t="s">
        <v>89</v>
      </c>
      <c r="J2070" t="s">
        <v>63</v>
      </c>
      <c r="K2070" t="s">
        <v>64</v>
      </c>
      <c r="M2070">
        <v>73</v>
      </c>
      <c r="N2070" t="s">
        <v>33</v>
      </c>
      <c r="O2070" t="s">
        <v>4258</v>
      </c>
      <c r="P2070" t="s">
        <v>4830</v>
      </c>
      <c r="T2070">
        <v>4</v>
      </c>
      <c r="U2070" t="s">
        <v>56</v>
      </c>
      <c r="V2070" t="s">
        <v>56</v>
      </c>
    </row>
    <row r="2071" spans="1:22" x14ac:dyDescent="0.3">
      <c r="A2071" s="49">
        <v>45274</v>
      </c>
      <c r="E2071" t="s">
        <v>3121</v>
      </c>
      <c r="G2071" t="s">
        <v>5182</v>
      </c>
      <c r="H2071" t="s">
        <v>89</v>
      </c>
      <c r="J2071" t="s">
        <v>63</v>
      </c>
      <c r="K2071" t="s">
        <v>64</v>
      </c>
      <c r="M2071">
        <v>73</v>
      </c>
      <c r="N2071" t="s">
        <v>33</v>
      </c>
      <c r="O2071" t="s">
        <v>4259</v>
      </c>
      <c r="P2071" t="s">
        <v>66</v>
      </c>
      <c r="T2071">
        <v>4</v>
      </c>
      <c r="U2071" t="s">
        <v>56</v>
      </c>
      <c r="V2071" t="s">
        <v>56</v>
      </c>
    </row>
    <row r="2072" spans="1:22" x14ac:dyDescent="0.3">
      <c r="A2072" s="49">
        <v>45274</v>
      </c>
      <c r="E2072" t="s">
        <v>3121</v>
      </c>
      <c r="G2072" t="s">
        <v>5295</v>
      </c>
      <c r="H2072" t="s">
        <v>28</v>
      </c>
      <c r="I2072" t="s">
        <v>5867</v>
      </c>
      <c r="J2072" t="s">
        <v>63</v>
      </c>
      <c r="K2072" t="s">
        <v>64</v>
      </c>
      <c r="M2072">
        <v>17</v>
      </c>
      <c r="N2072" t="s">
        <v>33</v>
      </c>
      <c r="O2072" t="s">
        <v>4260</v>
      </c>
      <c r="P2072" t="s">
        <v>4830</v>
      </c>
      <c r="T2072">
        <v>6</v>
      </c>
      <c r="U2072" t="s">
        <v>40</v>
      </c>
      <c r="V2072" t="s">
        <v>41</v>
      </c>
    </row>
    <row r="2073" spans="1:22" x14ac:dyDescent="0.3">
      <c r="A2073" s="49">
        <v>45274</v>
      </c>
      <c r="E2073" t="s">
        <v>3121</v>
      </c>
      <c r="G2073" t="s">
        <v>5074</v>
      </c>
      <c r="H2073" t="s">
        <v>89</v>
      </c>
      <c r="J2073" t="s">
        <v>63</v>
      </c>
      <c r="K2073" t="s">
        <v>4952</v>
      </c>
      <c r="M2073">
        <v>45</v>
      </c>
      <c r="N2073" t="s">
        <v>49</v>
      </c>
      <c r="O2073" t="s">
        <v>4261</v>
      </c>
      <c r="P2073" t="s">
        <v>791</v>
      </c>
      <c r="T2073">
        <v>4</v>
      </c>
      <c r="U2073" t="s">
        <v>56</v>
      </c>
      <c r="V2073" t="s">
        <v>56</v>
      </c>
    </row>
    <row r="2074" spans="1:22" x14ac:dyDescent="0.3">
      <c r="A2074" s="49">
        <v>45274</v>
      </c>
      <c r="E2074" t="s">
        <v>3121</v>
      </c>
      <c r="G2074" t="s">
        <v>5074</v>
      </c>
      <c r="H2074" t="s">
        <v>28</v>
      </c>
      <c r="I2074" t="s">
        <v>2000</v>
      </c>
      <c r="J2074" t="s">
        <v>63</v>
      </c>
      <c r="K2074" t="s">
        <v>4952</v>
      </c>
      <c r="M2074">
        <v>90</v>
      </c>
      <c r="N2074" t="s">
        <v>49</v>
      </c>
      <c r="O2074" t="s">
        <v>4262</v>
      </c>
      <c r="P2074" t="s">
        <v>4830</v>
      </c>
      <c r="T2074">
        <v>4</v>
      </c>
      <c r="U2074" t="s">
        <v>56</v>
      </c>
      <c r="V2074" t="s">
        <v>56</v>
      </c>
    </row>
    <row r="2075" spans="1:22" x14ac:dyDescent="0.3">
      <c r="A2075" s="49">
        <v>45274</v>
      </c>
      <c r="E2075" t="s">
        <v>3121</v>
      </c>
      <c r="G2075" t="s">
        <v>364</v>
      </c>
      <c r="H2075" t="s">
        <v>28</v>
      </c>
      <c r="I2075" t="s">
        <v>5868</v>
      </c>
      <c r="J2075" t="s">
        <v>63</v>
      </c>
      <c r="K2075" t="s">
        <v>197</v>
      </c>
      <c r="M2075">
        <v>80</v>
      </c>
      <c r="N2075" t="s">
        <v>49</v>
      </c>
      <c r="O2075" t="s">
        <v>4263</v>
      </c>
      <c r="P2075" t="s">
        <v>106</v>
      </c>
      <c r="T2075">
        <v>6</v>
      </c>
      <c r="U2075" t="s">
        <v>40</v>
      </c>
      <c r="V2075" t="s">
        <v>41</v>
      </c>
    </row>
    <row r="2076" spans="1:22" x14ac:dyDescent="0.3">
      <c r="A2076" s="49">
        <v>45274</v>
      </c>
      <c r="E2076" t="s">
        <v>3121</v>
      </c>
      <c r="G2076" t="s">
        <v>5183</v>
      </c>
      <c r="H2076" t="s">
        <v>28</v>
      </c>
      <c r="I2076" t="s">
        <v>5869</v>
      </c>
      <c r="J2076" t="s">
        <v>63</v>
      </c>
      <c r="K2076" t="s">
        <v>64</v>
      </c>
      <c r="M2076">
        <v>40</v>
      </c>
      <c r="N2076" t="s">
        <v>49</v>
      </c>
      <c r="O2076" t="s">
        <v>4264</v>
      </c>
      <c r="P2076" t="s">
        <v>170</v>
      </c>
      <c r="T2076">
        <v>5</v>
      </c>
      <c r="U2076" t="s">
        <v>40</v>
      </c>
      <c r="V2076" t="s">
        <v>41</v>
      </c>
    </row>
    <row r="2077" spans="1:22" x14ac:dyDescent="0.3">
      <c r="A2077" s="49">
        <v>45274</v>
      </c>
      <c r="E2077" t="s">
        <v>3121</v>
      </c>
      <c r="G2077" t="s">
        <v>364</v>
      </c>
      <c r="H2077" t="s">
        <v>89</v>
      </c>
      <c r="J2077" t="s">
        <v>63</v>
      </c>
      <c r="K2077" t="s">
        <v>197</v>
      </c>
      <c r="M2077">
        <v>0</v>
      </c>
      <c r="N2077" t="s">
        <v>74</v>
      </c>
      <c r="O2077" t="s">
        <v>4265</v>
      </c>
      <c r="P2077" t="s">
        <v>566</v>
      </c>
      <c r="T2077">
        <v>4</v>
      </c>
      <c r="U2077" t="s">
        <v>56</v>
      </c>
      <c r="V2077" t="s">
        <v>56</v>
      </c>
    </row>
    <row r="2078" spans="1:22" x14ac:dyDescent="0.3">
      <c r="A2078" s="49">
        <v>45274</v>
      </c>
      <c r="E2078" t="s">
        <v>3121</v>
      </c>
      <c r="G2078" t="s">
        <v>5296</v>
      </c>
      <c r="H2078" t="s">
        <v>28</v>
      </c>
      <c r="I2078" t="s">
        <v>5870</v>
      </c>
      <c r="J2078" t="s">
        <v>63</v>
      </c>
      <c r="K2078" t="s">
        <v>64</v>
      </c>
      <c r="M2078">
        <v>90</v>
      </c>
      <c r="N2078" t="s">
        <v>49</v>
      </c>
      <c r="O2078" t="s">
        <v>4266</v>
      </c>
      <c r="P2078" t="s">
        <v>170</v>
      </c>
      <c r="T2078">
        <v>4</v>
      </c>
      <c r="U2078" t="s">
        <v>56</v>
      </c>
      <c r="V2078" t="s">
        <v>56</v>
      </c>
    </row>
    <row r="2079" spans="1:22" x14ac:dyDescent="0.3">
      <c r="A2079" s="49">
        <v>45274</v>
      </c>
      <c r="E2079" t="s">
        <v>3121</v>
      </c>
      <c r="G2079" t="s">
        <v>5296</v>
      </c>
      <c r="H2079" t="s">
        <v>28</v>
      </c>
      <c r="I2079" t="s">
        <v>5871</v>
      </c>
      <c r="J2079" t="s">
        <v>46</v>
      </c>
      <c r="K2079" t="s">
        <v>481</v>
      </c>
      <c r="M2079">
        <v>100</v>
      </c>
      <c r="N2079" t="s">
        <v>49</v>
      </c>
      <c r="O2079" t="s">
        <v>4267</v>
      </c>
      <c r="P2079" t="s">
        <v>791</v>
      </c>
      <c r="T2079">
        <v>4</v>
      </c>
      <c r="U2079" t="s">
        <v>56</v>
      </c>
      <c r="V2079" t="s">
        <v>56</v>
      </c>
    </row>
    <row r="2080" spans="1:22" x14ac:dyDescent="0.3">
      <c r="A2080" s="49">
        <v>45274</v>
      </c>
      <c r="E2080" t="s">
        <v>3121</v>
      </c>
      <c r="G2080" t="s">
        <v>5295</v>
      </c>
      <c r="H2080" t="s">
        <v>28</v>
      </c>
      <c r="I2080" t="s">
        <v>5872</v>
      </c>
      <c r="J2080" t="s">
        <v>63</v>
      </c>
      <c r="K2080" t="s">
        <v>64</v>
      </c>
      <c r="M2080">
        <v>50</v>
      </c>
      <c r="N2080" t="s">
        <v>49</v>
      </c>
      <c r="O2080" t="s">
        <v>4268</v>
      </c>
      <c r="P2080" t="s">
        <v>66</v>
      </c>
      <c r="T2080">
        <v>5</v>
      </c>
      <c r="U2080" t="s">
        <v>40</v>
      </c>
      <c r="V2080" t="s">
        <v>41</v>
      </c>
    </row>
    <row r="2081" spans="1:22" x14ac:dyDescent="0.3">
      <c r="A2081" s="49">
        <v>45274</v>
      </c>
      <c r="E2081" t="s">
        <v>3121</v>
      </c>
      <c r="G2081" t="s">
        <v>5182</v>
      </c>
      <c r="H2081" t="s">
        <v>89</v>
      </c>
      <c r="J2081" t="s">
        <v>63</v>
      </c>
      <c r="K2081" t="s">
        <v>64</v>
      </c>
      <c r="M2081">
        <v>100</v>
      </c>
      <c r="N2081" t="s">
        <v>49</v>
      </c>
      <c r="O2081" t="s">
        <v>4269</v>
      </c>
      <c r="P2081" t="s">
        <v>4891</v>
      </c>
      <c r="T2081">
        <v>4</v>
      </c>
      <c r="U2081" t="s">
        <v>56</v>
      </c>
      <c r="V2081" t="s">
        <v>56</v>
      </c>
    </row>
    <row r="2082" spans="1:22" x14ac:dyDescent="0.3">
      <c r="A2082" s="49">
        <v>45274</v>
      </c>
      <c r="E2082" t="s">
        <v>3121</v>
      </c>
      <c r="G2082" t="s">
        <v>5182</v>
      </c>
      <c r="H2082" t="s">
        <v>89</v>
      </c>
      <c r="J2082" t="s">
        <v>63</v>
      </c>
      <c r="K2082" t="s">
        <v>64</v>
      </c>
      <c r="M2082">
        <v>100</v>
      </c>
      <c r="N2082" t="s">
        <v>49</v>
      </c>
      <c r="O2082" t="s">
        <v>4269</v>
      </c>
      <c r="P2082" t="s">
        <v>4891</v>
      </c>
      <c r="T2082">
        <v>4</v>
      </c>
      <c r="U2082" t="s">
        <v>56</v>
      </c>
      <c r="V2082" t="s">
        <v>56</v>
      </c>
    </row>
    <row r="2083" spans="1:22" x14ac:dyDescent="0.3">
      <c r="A2083" s="49">
        <v>45274</v>
      </c>
      <c r="E2083" t="s">
        <v>3121</v>
      </c>
      <c r="G2083" t="s">
        <v>5071</v>
      </c>
      <c r="H2083" t="s">
        <v>89</v>
      </c>
      <c r="J2083" t="s">
        <v>1712</v>
      </c>
      <c r="K2083" t="s">
        <v>481</v>
      </c>
      <c r="M2083">
        <v>100</v>
      </c>
      <c r="N2083" t="s">
        <v>49</v>
      </c>
      <c r="O2083" t="s">
        <v>4270</v>
      </c>
      <c r="P2083" t="s">
        <v>4830</v>
      </c>
      <c r="T2083">
        <v>4</v>
      </c>
      <c r="U2083" t="s">
        <v>56</v>
      </c>
      <c r="V2083" t="s">
        <v>56</v>
      </c>
    </row>
    <row r="2084" spans="1:22" x14ac:dyDescent="0.3">
      <c r="A2084" s="49">
        <v>45274</v>
      </c>
      <c r="E2084" t="s">
        <v>3121</v>
      </c>
      <c r="G2084" t="s">
        <v>1108</v>
      </c>
      <c r="H2084" t="s">
        <v>28</v>
      </c>
      <c r="I2084" t="s">
        <v>1997</v>
      </c>
      <c r="J2084" t="s">
        <v>63</v>
      </c>
      <c r="K2084" t="s">
        <v>197</v>
      </c>
      <c r="M2084">
        <v>100</v>
      </c>
      <c r="N2084" t="s">
        <v>49</v>
      </c>
      <c r="O2084" t="s">
        <v>4271</v>
      </c>
      <c r="P2084" t="s">
        <v>2703</v>
      </c>
      <c r="T2084">
        <v>4</v>
      </c>
      <c r="U2084" t="s">
        <v>56</v>
      </c>
      <c r="V2084" t="s">
        <v>56</v>
      </c>
    </row>
    <row r="2085" spans="1:22" x14ac:dyDescent="0.3">
      <c r="A2085" s="49">
        <v>45274</v>
      </c>
      <c r="E2085" t="s">
        <v>3121</v>
      </c>
      <c r="G2085" t="s">
        <v>5074</v>
      </c>
      <c r="H2085" t="s">
        <v>89</v>
      </c>
      <c r="J2085" t="s">
        <v>63</v>
      </c>
      <c r="K2085" t="s">
        <v>4952</v>
      </c>
      <c r="M2085">
        <v>50</v>
      </c>
      <c r="N2085" t="s">
        <v>33</v>
      </c>
      <c r="O2085" t="s">
        <v>4272</v>
      </c>
      <c r="P2085" t="s">
        <v>1122</v>
      </c>
      <c r="T2085">
        <v>4</v>
      </c>
      <c r="U2085" t="s">
        <v>56</v>
      </c>
      <c r="V2085" t="s">
        <v>56</v>
      </c>
    </row>
    <row r="2086" spans="1:22" x14ac:dyDescent="0.3">
      <c r="A2086" s="49">
        <v>45274</v>
      </c>
      <c r="E2086" t="s">
        <v>3121</v>
      </c>
      <c r="G2086" t="s">
        <v>5074</v>
      </c>
      <c r="H2086" t="s">
        <v>89</v>
      </c>
      <c r="J2086" t="s">
        <v>63</v>
      </c>
      <c r="K2086" t="s">
        <v>4952</v>
      </c>
      <c r="M2086">
        <v>100</v>
      </c>
      <c r="N2086" t="s">
        <v>33</v>
      </c>
      <c r="O2086" t="s">
        <v>4273</v>
      </c>
      <c r="P2086" t="s">
        <v>483</v>
      </c>
      <c r="T2086">
        <v>4</v>
      </c>
      <c r="U2086" t="s">
        <v>56</v>
      </c>
      <c r="V2086" t="s">
        <v>56</v>
      </c>
    </row>
    <row r="2087" spans="1:22" x14ac:dyDescent="0.3">
      <c r="A2087" s="49">
        <v>45274</v>
      </c>
      <c r="E2087" t="s">
        <v>3121</v>
      </c>
      <c r="G2087" t="s">
        <v>5074</v>
      </c>
      <c r="H2087" t="s">
        <v>28</v>
      </c>
      <c r="I2087" t="s">
        <v>2000</v>
      </c>
      <c r="J2087" t="s">
        <v>63</v>
      </c>
      <c r="K2087" t="s">
        <v>4952</v>
      </c>
      <c r="M2087">
        <v>100</v>
      </c>
      <c r="N2087" t="s">
        <v>49</v>
      </c>
      <c r="O2087" t="s">
        <v>4262</v>
      </c>
      <c r="P2087" t="s">
        <v>4830</v>
      </c>
      <c r="T2087">
        <v>4</v>
      </c>
      <c r="U2087" t="s">
        <v>56</v>
      </c>
      <c r="V2087" t="s">
        <v>56</v>
      </c>
    </row>
    <row r="2088" spans="1:22" x14ac:dyDescent="0.3">
      <c r="A2088" s="49">
        <v>45274</v>
      </c>
      <c r="E2088" t="s">
        <v>3121</v>
      </c>
      <c r="G2088" t="s">
        <v>5073</v>
      </c>
      <c r="H2088" t="s">
        <v>28</v>
      </c>
      <c r="I2088" t="s">
        <v>5873</v>
      </c>
      <c r="J2088" t="s">
        <v>63</v>
      </c>
      <c r="K2088" t="s">
        <v>64</v>
      </c>
      <c r="M2088">
        <v>60</v>
      </c>
      <c r="N2088" t="s">
        <v>33</v>
      </c>
      <c r="O2088" t="s">
        <v>4274</v>
      </c>
      <c r="P2088" t="s">
        <v>170</v>
      </c>
      <c r="T2088">
        <v>5</v>
      </c>
      <c r="U2088" t="s">
        <v>40</v>
      </c>
      <c r="V2088" t="s">
        <v>41</v>
      </c>
    </row>
    <row r="2089" spans="1:22" x14ac:dyDescent="0.3">
      <c r="A2089" s="49">
        <v>45274</v>
      </c>
      <c r="E2089" t="s">
        <v>3121</v>
      </c>
      <c r="G2089" t="s">
        <v>5182</v>
      </c>
      <c r="H2089" t="s">
        <v>89</v>
      </c>
      <c r="J2089" t="s">
        <v>63</v>
      </c>
      <c r="K2089" t="s">
        <v>64</v>
      </c>
      <c r="M2089">
        <v>40</v>
      </c>
      <c r="N2089" t="s">
        <v>33</v>
      </c>
      <c r="O2089" t="s">
        <v>4275</v>
      </c>
      <c r="P2089" t="s">
        <v>1878</v>
      </c>
      <c r="T2089">
        <v>4</v>
      </c>
      <c r="U2089" t="s">
        <v>56</v>
      </c>
      <c r="V2089" t="s">
        <v>56</v>
      </c>
    </row>
    <row r="2090" spans="1:22" x14ac:dyDescent="0.3">
      <c r="A2090" s="49">
        <v>45274</v>
      </c>
      <c r="E2090" t="s">
        <v>3121</v>
      </c>
      <c r="G2090" t="s">
        <v>1108</v>
      </c>
      <c r="H2090" t="s">
        <v>28</v>
      </c>
      <c r="I2090" t="s">
        <v>2227</v>
      </c>
      <c r="J2090" t="s">
        <v>30</v>
      </c>
      <c r="K2090" t="s">
        <v>4938</v>
      </c>
      <c r="M2090">
        <v>100</v>
      </c>
      <c r="N2090" t="s">
        <v>49</v>
      </c>
      <c r="O2090" t="s">
        <v>4276</v>
      </c>
      <c r="P2090" t="s">
        <v>4897</v>
      </c>
      <c r="T2090">
        <v>4</v>
      </c>
      <c r="U2090" t="s">
        <v>56</v>
      </c>
      <c r="V2090" t="s">
        <v>56</v>
      </c>
    </row>
    <row r="2091" spans="1:22" x14ac:dyDescent="0.3">
      <c r="A2091" s="49">
        <v>45274</v>
      </c>
      <c r="E2091" t="s">
        <v>3121</v>
      </c>
      <c r="G2091" t="s">
        <v>1108</v>
      </c>
      <c r="H2091" t="s">
        <v>28</v>
      </c>
      <c r="I2091" t="s">
        <v>2227</v>
      </c>
      <c r="J2091" t="s">
        <v>30</v>
      </c>
      <c r="K2091" t="s">
        <v>4938</v>
      </c>
      <c r="M2091">
        <v>100</v>
      </c>
      <c r="N2091" t="s">
        <v>49</v>
      </c>
      <c r="O2091" t="s">
        <v>4276</v>
      </c>
      <c r="P2091" t="s">
        <v>4897</v>
      </c>
      <c r="T2091">
        <v>4</v>
      </c>
      <c r="U2091" t="s">
        <v>56</v>
      </c>
      <c r="V2091" t="s">
        <v>56</v>
      </c>
    </row>
    <row r="2092" spans="1:22" x14ac:dyDescent="0.3">
      <c r="A2092" s="49">
        <v>45274</v>
      </c>
      <c r="E2092" t="s">
        <v>3121</v>
      </c>
      <c r="G2092" t="s">
        <v>1108</v>
      </c>
      <c r="H2092" t="s">
        <v>28</v>
      </c>
      <c r="I2092" t="s">
        <v>2227</v>
      </c>
      <c r="J2092" t="s">
        <v>30</v>
      </c>
      <c r="K2092" t="s">
        <v>4938</v>
      </c>
      <c r="M2092">
        <v>100</v>
      </c>
      <c r="N2092" t="s">
        <v>49</v>
      </c>
      <c r="O2092" t="s">
        <v>4276</v>
      </c>
      <c r="P2092" t="s">
        <v>4897</v>
      </c>
      <c r="T2092">
        <v>4</v>
      </c>
      <c r="U2092" t="s">
        <v>56</v>
      </c>
      <c r="V2092" t="s">
        <v>56</v>
      </c>
    </row>
    <row r="2093" spans="1:22" x14ac:dyDescent="0.3">
      <c r="A2093" s="49">
        <v>45274</v>
      </c>
      <c r="E2093" t="s">
        <v>3121</v>
      </c>
      <c r="G2093" t="s">
        <v>1108</v>
      </c>
      <c r="H2093" t="s">
        <v>28</v>
      </c>
      <c r="I2093" t="s">
        <v>2227</v>
      </c>
      <c r="J2093" t="s">
        <v>30</v>
      </c>
      <c r="K2093" t="s">
        <v>4938</v>
      </c>
      <c r="M2093">
        <v>100</v>
      </c>
      <c r="N2093" t="s">
        <v>49</v>
      </c>
      <c r="O2093" t="s">
        <v>4276</v>
      </c>
      <c r="P2093" t="s">
        <v>4897</v>
      </c>
      <c r="T2093">
        <v>4</v>
      </c>
      <c r="U2093" t="s">
        <v>56</v>
      </c>
      <c r="V2093" t="s">
        <v>56</v>
      </c>
    </row>
    <row r="2094" spans="1:22" x14ac:dyDescent="0.3">
      <c r="A2094" s="49">
        <v>45274</v>
      </c>
      <c r="E2094" t="s">
        <v>3121</v>
      </c>
      <c r="G2094" t="s">
        <v>1108</v>
      </c>
      <c r="H2094" t="s">
        <v>28</v>
      </c>
      <c r="I2094" t="s">
        <v>2227</v>
      </c>
      <c r="J2094" t="s">
        <v>30</v>
      </c>
      <c r="K2094" t="s">
        <v>4938</v>
      </c>
      <c r="M2094">
        <v>100</v>
      </c>
      <c r="N2094" t="s">
        <v>49</v>
      </c>
      <c r="O2094" t="s">
        <v>4276</v>
      </c>
      <c r="P2094" t="s">
        <v>4897</v>
      </c>
      <c r="T2094">
        <v>4</v>
      </c>
      <c r="U2094" t="s">
        <v>56</v>
      </c>
      <c r="V2094" t="s">
        <v>56</v>
      </c>
    </row>
    <row r="2095" spans="1:22" x14ac:dyDescent="0.3">
      <c r="A2095" s="49">
        <v>45274</v>
      </c>
      <c r="E2095" t="s">
        <v>3121</v>
      </c>
      <c r="G2095" t="s">
        <v>1108</v>
      </c>
      <c r="H2095" t="s">
        <v>28</v>
      </c>
      <c r="I2095" t="s">
        <v>2227</v>
      </c>
      <c r="J2095" t="s">
        <v>30</v>
      </c>
      <c r="K2095" t="s">
        <v>4938</v>
      </c>
      <c r="M2095">
        <v>100</v>
      </c>
      <c r="N2095" t="s">
        <v>49</v>
      </c>
      <c r="O2095" t="s">
        <v>4276</v>
      </c>
      <c r="P2095" t="s">
        <v>4897</v>
      </c>
      <c r="T2095">
        <v>4</v>
      </c>
      <c r="U2095" t="s">
        <v>56</v>
      </c>
      <c r="V2095" t="s">
        <v>56</v>
      </c>
    </row>
    <row r="2096" spans="1:22" x14ac:dyDescent="0.3">
      <c r="A2096" s="49">
        <v>45274</v>
      </c>
      <c r="E2096" t="s">
        <v>3121</v>
      </c>
      <c r="G2096" t="s">
        <v>1108</v>
      </c>
      <c r="H2096" t="s">
        <v>28</v>
      </c>
      <c r="I2096" t="s">
        <v>2227</v>
      </c>
      <c r="J2096" t="s">
        <v>30</v>
      </c>
      <c r="K2096" t="s">
        <v>4938</v>
      </c>
      <c r="M2096">
        <v>100</v>
      </c>
      <c r="N2096" t="s">
        <v>49</v>
      </c>
      <c r="O2096" t="s">
        <v>4277</v>
      </c>
      <c r="P2096" t="s">
        <v>4897</v>
      </c>
      <c r="T2096">
        <v>4</v>
      </c>
      <c r="U2096" t="s">
        <v>56</v>
      </c>
      <c r="V2096" t="s">
        <v>56</v>
      </c>
    </row>
    <row r="2097" spans="1:22" x14ac:dyDescent="0.3">
      <c r="A2097" s="49">
        <v>45274</v>
      </c>
      <c r="E2097" t="s">
        <v>3121</v>
      </c>
      <c r="G2097" t="s">
        <v>1108</v>
      </c>
      <c r="H2097" t="s">
        <v>28</v>
      </c>
      <c r="I2097" t="s">
        <v>1997</v>
      </c>
      <c r="J2097" t="s">
        <v>63</v>
      </c>
      <c r="K2097" t="s">
        <v>197</v>
      </c>
      <c r="M2097">
        <v>90</v>
      </c>
      <c r="N2097" t="s">
        <v>49</v>
      </c>
      <c r="O2097" t="s">
        <v>4278</v>
      </c>
      <c r="P2097" t="s">
        <v>483</v>
      </c>
      <c r="T2097">
        <v>4</v>
      </c>
      <c r="U2097" t="s">
        <v>56</v>
      </c>
      <c r="V2097" t="s">
        <v>56</v>
      </c>
    </row>
    <row r="2098" spans="1:22" x14ac:dyDescent="0.3">
      <c r="A2098" s="49">
        <v>45274</v>
      </c>
      <c r="E2098" t="s">
        <v>3121</v>
      </c>
      <c r="G2098" t="s">
        <v>5071</v>
      </c>
      <c r="H2098" t="s">
        <v>89</v>
      </c>
      <c r="J2098" t="s">
        <v>63</v>
      </c>
      <c r="K2098" t="s">
        <v>64</v>
      </c>
      <c r="M2098">
        <v>100</v>
      </c>
      <c r="N2098" t="s">
        <v>49</v>
      </c>
      <c r="O2098" t="s">
        <v>4279</v>
      </c>
      <c r="P2098" t="s">
        <v>66</v>
      </c>
      <c r="T2098">
        <v>4</v>
      </c>
      <c r="U2098" t="s">
        <v>56</v>
      </c>
      <c r="V2098" t="s">
        <v>56</v>
      </c>
    </row>
    <row r="2099" spans="1:22" x14ac:dyDescent="0.3">
      <c r="A2099" s="49">
        <v>45274</v>
      </c>
      <c r="E2099" t="s">
        <v>3121</v>
      </c>
      <c r="G2099" t="s">
        <v>5035</v>
      </c>
      <c r="H2099" t="s">
        <v>28</v>
      </c>
      <c r="I2099" t="s">
        <v>5874</v>
      </c>
      <c r="J2099" t="s">
        <v>63</v>
      </c>
      <c r="K2099" t="s">
        <v>197</v>
      </c>
      <c r="M2099">
        <v>100</v>
      </c>
      <c r="N2099" t="s">
        <v>49</v>
      </c>
      <c r="O2099" t="s">
        <v>4280</v>
      </c>
      <c r="P2099" t="s">
        <v>373</v>
      </c>
      <c r="T2099">
        <v>4</v>
      </c>
      <c r="U2099" t="s">
        <v>56</v>
      </c>
      <c r="V2099" t="s">
        <v>56</v>
      </c>
    </row>
    <row r="2100" spans="1:22" x14ac:dyDescent="0.3">
      <c r="A2100" s="49">
        <v>45274</v>
      </c>
      <c r="E2100" t="s">
        <v>3121</v>
      </c>
      <c r="G2100" t="s">
        <v>5074</v>
      </c>
      <c r="H2100" t="s">
        <v>89</v>
      </c>
      <c r="J2100" t="s">
        <v>63</v>
      </c>
      <c r="K2100" t="s">
        <v>64</v>
      </c>
      <c r="M2100">
        <v>70</v>
      </c>
      <c r="N2100" t="s">
        <v>33</v>
      </c>
      <c r="O2100" t="s">
        <v>4281</v>
      </c>
      <c r="P2100" t="s">
        <v>66</v>
      </c>
      <c r="T2100">
        <v>4</v>
      </c>
      <c r="U2100" t="s">
        <v>56</v>
      </c>
      <c r="V2100" t="s">
        <v>56</v>
      </c>
    </row>
    <row r="2101" spans="1:22" x14ac:dyDescent="0.3">
      <c r="A2101" s="49">
        <v>45274</v>
      </c>
      <c r="E2101" t="s">
        <v>3121</v>
      </c>
      <c r="G2101" t="s">
        <v>5074</v>
      </c>
      <c r="H2101" t="s">
        <v>89</v>
      </c>
      <c r="J2101" t="s">
        <v>63</v>
      </c>
      <c r="K2101" t="s">
        <v>64</v>
      </c>
      <c r="M2101">
        <v>60</v>
      </c>
      <c r="N2101" t="s">
        <v>49</v>
      </c>
      <c r="O2101" t="s">
        <v>4282</v>
      </c>
      <c r="P2101" t="s">
        <v>416</v>
      </c>
      <c r="T2101">
        <v>4</v>
      </c>
      <c r="U2101" t="s">
        <v>56</v>
      </c>
      <c r="V2101" t="s">
        <v>56</v>
      </c>
    </row>
    <row r="2102" spans="1:22" x14ac:dyDescent="0.3">
      <c r="A2102" s="49">
        <v>45274</v>
      </c>
      <c r="E2102" t="s">
        <v>3121</v>
      </c>
      <c r="G2102" t="s">
        <v>5035</v>
      </c>
      <c r="H2102" t="s">
        <v>89</v>
      </c>
      <c r="J2102" t="s">
        <v>63</v>
      </c>
      <c r="K2102" t="s">
        <v>197</v>
      </c>
      <c r="M2102">
        <v>45</v>
      </c>
      <c r="N2102" t="s">
        <v>49</v>
      </c>
      <c r="O2102" t="s">
        <v>4283</v>
      </c>
      <c r="P2102" t="s">
        <v>416</v>
      </c>
      <c r="T2102">
        <v>4</v>
      </c>
      <c r="U2102" t="s">
        <v>56</v>
      </c>
      <c r="V2102" t="s">
        <v>56</v>
      </c>
    </row>
    <row r="2103" spans="1:22" x14ac:dyDescent="0.3">
      <c r="A2103" s="49">
        <v>45274</v>
      </c>
      <c r="E2103" t="s">
        <v>3121</v>
      </c>
      <c r="G2103" t="s">
        <v>4985</v>
      </c>
      <c r="H2103" t="s">
        <v>28</v>
      </c>
      <c r="I2103" t="s">
        <v>5875</v>
      </c>
      <c r="J2103" t="s">
        <v>63</v>
      </c>
      <c r="K2103" t="s">
        <v>211</v>
      </c>
      <c r="M2103">
        <v>40</v>
      </c>
      <c r="N2103" t="s">
        <v>33</v>
      </c>
      <c r="O2103" t="s">
        <v>4284</v>
      </c>
      <c r="P2103" t="s">
        <v>287</v>
      </c>
      <c r="T2103">
        <v>4</v>
      </c>
      <c r="U2103" t="s">
        <v>56</v>
      </c>
      <c r="V2103" t="s">
        <v>56</v>
      </c>
    </row>
    <row r="2104" spans="1:22" x14ac:dyDescent="0.3">
      <c r="A2104" s="49">
        <v>45274</v>
      </c>
      <c r="E2104" t="s">
        <v>3121</v>
      </c>
      <c r="G2104" t="s">
        <v>364</v>
      </c>
      <c r="H2104" t="s">
        <v>89</v>
      </c>
      <c r="J2104" t="s">
        <v>63</v>
      </c>
      <c r="K2104" t="s">
        <v>64</v>
      </c>
      <c r="M2104">
        <v>30</v>
      </c>
      <c r="N2104" t="s">
        <v>33</v>
      </c>
      <c r="O2104" t="s">
        <v>4285</v>
      </c>
      <c r="P2104" t="s">
        <v>170</v>
      </c>
      <c r="T2104">
        <v>4</v>
      </c>
      <c r="U2104" t="s">
        <v>56</v>
      </c>
      <c r="V2104" t="s">
        <v>56</v>
      </c>
    </row>
    <row r="2105" spans="1:22" x14ac:dyDescent="0.3">
      <c r="A2105" s="49">
        <v>45274</v>
      </c>
      <c r="E2105" t="s">
        <v>3121</v>
      </c>
      <c r="G2105" t="s">
        <v>4985</v>
      </c>
      <c r="H2105" t="s">
        <v>28</v>
      </c>
      <c r="I2105" t="s">
        <v>5875</v>
      </c>
      <c r="J2105" t="s">
        <v>63</v>
      </c>
      <c r="K2105" t="s">
        <v>211</v>
      </c>
      <c r="M2105">
        <v>100</v>
      </c>
      <c r="N2105" t="s">
        <v>33</v>
      </c>
      <c r="O2105" t="s">
        <v>4284</v>
      </c>
      <c r="P2105" t="s">
        <v>287</v>
      </c>
      <c r="T2105">
        <v>4</v>
      </c>
      <c r="U2105" t="s">
        <v>56</v>
      </c>
      <c r="V2105" t="s">
        <v>56</v>
      </c>
    </row>
    <row r="2106" spans="1:22" x14ac:dyDescent="0.3">
      <c r="A2106" s="49">
        <v>45274</v>
      </c>
      <c r="E2106" t="s">
        <v>3121</v>
      </c>
      <c r="G2106" t="s">
        <v>1108</v>
      </c>
      <c r="H2106" t="s">
        <v>89</v>
      </c>
      <c r="J2106" t="s">
        <v>63</v>
      </c>
      <c r="K2106" t="s">
        <v>197</v>
      </c>
      <c r="M2106">
        <v>100</v>
      </c>
      <c r="N2106" t="s">
        <v>33</v>
      </c>
      <c r="O2106" t="s">
        <v>4286</v>
      </c>
      <c r="P2106" t="s">
        <v>373</v>
      </c>
      <c r="T2106">
        <v>4</v>
      </c>
      <c r="U2106" t="s">
        <v>56</v>
      </c>
      <c r="V2106" t="s">
        <v>56</v>
      </c>
    </row>
    <row r="2107" spans="1:22" x14ac:dyDescent="0.3">
      <c r="A2107" s="49">
        <v>45274</v>
      </c>
      <c r="E2107" t="s">
        <v>3121</v>
      </c>
      <c r="G2107" t="s">
        <v>1108</v>
      </c>
      <c r="H2107" t="s">
        <v>28</v>
      </c>
      <c r="I2107" t="s">
        <v>1997</v>
      </c>
      <c r="J2107" t="s">
        <v>63</v>
      </c>
      <c r="K2107" t="s">
        <v>197</v>
      </c>
      <c r="M2107">
        <v>80</v>
      </c>
      <c r="N2107" t="s">
        <v>33</v>
      </c>
      <c r="O2107" t="s">
        <v>4287</v>
      </c>
      <c r="P2107" t="s">
        <v>1508</v>
      </c>
      <c r="T2107">
        <v>4</v>
      </c>
      <c r="U2107" t="s">
        <v>56</v>
      </c>
      <c r="V2107" t="s">
        <v>56</v>
      </c>
    </row>
    <row r="2108" spans="1:22" x14ac:dyDescent="0.3">
      <c r="A2108" s="49">
        <v>45274</v>
      </c>
      <c r="E2108" t="s">
        <v>3121</v>
      </c>
      <c r="G2108" t="s">
        <v>1108</v>
      </c>
      <c r="H2108" t="s">
        <v>89</v>
      </c>
      <c r="J2108" t="s">
        <v>63</v>
      </c>
      <c r="K2108" t="s">
        <v>197</v>
      </c>
      <c r="M2108">
        <v>40</v>
      </c>
      <c r="N2108" t="s">
        <v>33</v>
      </c>
      <c r="O2108" t="s">
        <v>4286</v>
      </c>
      <c r="P2108" t="s">
        <v>373</v>
      </c>
      <c r="T2108">
        <v>4</v>
      </c>
      <c r="U2108" t="s">
        <v>56</v>
      </c>
      <c r="V2108" t="s">
        <v>56</v>
      </c>
    </row>
    <row r="2109" spans="1:22" x14ac:dyDescent="0.3">
      <c r="A2109" s="49">
        <v>45274</v>
      </c>
      <c r="E2109" t="s">
        <v>3121</v>
      </c>
      <c r="G2109" t="s">
        <v>5036</v>
      </c>
      <c r="H2109" t="s">
        <v>28</v>
      </c>
      <c r="I2109" t="s">
        <v>2007</v>
      </c>
      <c r="J2109" t="s">
        <v>63</v>
      </c>
      <c r="K2109" t="s">
        <v>64</v>
      </c>
      <c r="M2109">
        <v>85</v>
      </c>
      <c r="N2109" t="s">
        <v>33</v>
      </c>
      <c r="O2109" t="s">
        <v>4288</v>
      </c>
      <c r="P2109" t="s">
        <v>344</v>
      </c>
      <c r="T2109">
        <v>4</v>
      </c>
      <c r="U2109" t="s">
        <v>56</v>
      </c>
      <c r="V2109" t="s">
        <v>56</v>
      </c>
    </row>
    <row r="2110" spans="1:22" x14ac:dyDescent="0.3">
      <c r="A2110" s="49">
        <v>45274</v>
      </c>
      <c r="E2110" t="s">
        <v>3121</v>
      </c>
      <c r="G2110" t="s">
        <v>5036</v>
      </c>
      <c r="H2110" t="s">
        <v>28</v>
      </c>
      <c r="I2110" t="s">
        <v>5682</v>
      </c>
      <c r="J2110" t="s">
        <v>63</v>
      </c>
      <c r="K2110" t="s">
        <v>197</v>
      </c>
      <c r="M2110">
        <v>55</v>
      </c>
      <c r="N2110" t="s">
        <v>33</v>
      </c>
      <c r="O2110" t="s">
        <v>4289</v>
      </c>
      <c r="P2110" t="s">
        <v>743</v>
      </c>
      <c r="T2110">
        <v>4</v>
      </c>
      <c r="U2110" t="s">
        <v>56</v>
      </c>
      <c r="V2110" t="s">
        <v>56</v>
      </c>
    </row>
    <row r="2111" spans="1:22" x14ac:dyDescent="0.3">
      <c r="A2111" s="49">
        <v>45274</v>
      </c>
      <c r="E2111" t="s">
        <v>3121</v>
      </c>
      <c r="G2111" t="s">
        <v>5036</v>
      </c>
      <c r="H2111" t="s">
        <v>28</v>
      </c>
      <c r="I2111" t="s">
        <v>1139</v>
      </c>
      <c r="J2111" t="s">
        <v>30</v>
      </c>
      <c r="K2111" t="s">
        <v>31</v>
      </c>
      <c r="M2111">
        <v>0</v>
      </c>
      <c r="N2111" t="s">
        <v>74</v>
      </c>
      <c r="O2111" t="s">
        <v>4290</v>
      </c>
      <c r="P2111" t="s">
        <v>4871</v>
      </c>
      <c r="T2111">
        <v>6</v>
      </c>
      <c r="U2111" t="s">
        <v>40</v>
      </c>
      <c r="V2111" t="s">
        <v>41</v>
      </c>
    </row>
    <row r="2112" spans="1:22" x14ac:dyDescent="0.3">
      <c r="A2112" s="49">
        <v>45274</v>
      </c>
      <c r="E2112" t="s">
        <v>3121</v>
      </c>
      <c r="G2112" t="s">
        <v>5036</v>
      </c>
      <c r="H2112" t="s">
        <v>28</v>
      </c>
      <c r="I2112" t="s">
        <v>2007</v>
      </c>
      <c r="J2112" t="s">
        <v>63</v>
      </c>
      <c r="K2112" t="s">
        <v>64</v>
      </c>
      <c r="M2112">
        <v>0</v>
      </c>
      <c r="N2112" t="s">
        <v>74</v>
      </c>
      <c r="O2112" t="s">
        <v>4288</v>
      </c>
      <c r="P2112" t="s">
        <v>344</v>
      </c>
      <c r="T2112">
        <v>4</v>
      </c>
      <c r="U2112" t="s">
        <v>56</v>
      </c>
      <c r="V2112" t="s">
        <v>56</v>
      </c>
    </row>
    <row r="2113" spans="1:22" x14ac:dyDescent="0.3">
      <c r="A2113" s="49">
        <v>45274</v>
      </c>
      <c r="E2113" t="s">
        <v>3214</v>
      </c>
      <c r="G2113" t="s">
        <v>5184</v>
      </c>
      <c r="H2113" t="s">
        <v>28</v>
      </c>
      <c r="I2113" t="s">
        <v>5694</v>
      </c>
      <c r="J2113" t="s">
        <v>63</v>
      </c>
      <c r="K2113" t="s">
        <v>197</v>
      </c>
      <c r="M2113">
        <v>100</v>
      </c>
      <c r="N2113" t="s">
        <v>49</v>
      </c>
      <c r="O2113" t="s">
        <v>3798</v>
      </c>
      <c r="P2113" t="s">
        <v>4870</v>
      </c>
      <c r="T2113">
        <v>4</v>
      </c>
      <c r="U2113" t="s">
        <v>56</v>
      </c>
      <c r="V2113" t="s">
        <v>56</v>
      </c>
    </row>
    <row r="2114" spans="1:22" x14ac:dyDescent="0.3">
      <c r="A2114" s="49">
        <v>45274</v>
      </c>
      <c r="E2114" t="s">
        <v>3215</v>
      </c>
      <c r="G2114" t="s">
        <v>5297</v>
      </c>
      <c r="H2114" t="s">
        <v>28</v>
      </c>
      <c r="I2114" t="s">
        <v>5876</v>
      </c>
      <c r="J2114" t="s">
        <v>30</v>
      </c>
      <c r="K2114" t="s">
        <v>1546</v>
      </c>
      <c r="M2114">
        <v>70</v>
      </c>
      <c r="N2114" t="s">
        <v>33</v>
      </c>
      <c r="O2114" t="s">
        <v>4291</v>
      </c>
      <c r="P2114" t="s">
        <v>737</v>
      </c>
      <c r="S2114" t="s">
        <v>6329</v>
      </c>
      <c r="T2114">
        <v>6</v>
      </c>
      <c r="U2114" t="s">
        <v>40</v>
      </c>
      <c r="V2114" t="s">
        <v>41</v>
      </c>
    </row>
    <row r="2115" spans="1:22" x14ac:dyDescent="0.3">
      <c r="A2115" s="49">
        <v>45274</v>
      </c>
      <c r="E2115" t="s">
        <v>3215</v>
      </c>
      <c r="G2115" t="s">
        <v>5185</v>
      </c>
      <c r="H2115" t="s">
        <v>28</v>
      </c>
      <c r="I2115" t="s">
        <v>5695</v>
      </c>
      <c r="J2115" t="s">
        <v>30</v>
      </c>
      <c r="K2115" t="s">
        <v>31</v>
      </c>
      <c r="M2115">
        <v>0</v>
      </c>
      <c r="N2115" t="s">
        <v>33</v>
      </c>
      <c r="O2115" t="s">
        <v>4292</v>
      </c>
      <c r="P2115" t="s">
        <v>743</v>
      </c>
      <c r="T2115">
        <v>6</v>
      </c>
      <c r="U2115" t="s">
        <v>40</v>
      </c>
      <c r="V2115" t="s">
        <v>41</v>
      </c>
    </row>
    <row r="2116" spans="1:22" x14ac:dyDescent="0.3">
      <c r="A2116" s="49">
        <v>45274</v>
      </c>
      <c r="E2116" t="s">
        <v>3215</v>
      </c>
      <c r="G2116" t="s">
        <v>5036</v>
      </c>
      <c r="H2116" t="s">
        <v>89</v>
      </c>
      <c r="J2116" t="s">
        <v>30</v>
      </c>
      <c r="K2116" t="s">
        <v>31</v>
      </c>
      <c r="M2116">
        <v>90</v>
      </c>
      <c r="N2116" t="s">
        <v>49</v>
      </c>
      <c r="O2116" t="s">
        <v>4293</v>
      </c>
      <c r="P2116" t="s">
        <v>878</v>
      </c>
      <c r="T2116">
        <v>6</v>
      </c>
      <c r="U2116" t="s">
        <v>40</v>
      </c>
      <c r="V2116" t="s">
        <v>41</v>
      </c>
    </row>
    <row r="2117" spans="1:22" x14ac:dyDescent="0.3">
      <c r="A2117" s="49">
        <v>45274</v>
      </c>
      <c r="E2117" t="s">
        <v>3190</v>
      </c>
      <c r="G2117" t="s">
        <v>5190</v>
      </c>
      <c r="H2117" t="s">
        <v>28</v>
      </c>
      <c r="I2117" t="s">
        <v>5699</v>
      </c>
      <c r="J2117" t="s">
        <v>63</v>
      </c>
      <c r="K2117" t="s">
        <v>64</v>
      </c>
      <c r="M2117">
        <v>100</v>
      </c>
      <c r="N2117" t="s">
        <v>49</v>
      </c>
      <c r="O2117" t="s">
        <v>4294</v>
      </c>
      <c r="P2117" t="s">
        <v>287</v>
      </c>
      <c r="T2117">
        <v>4</v>
      </c>
      <c r="U2117" t="s">
        <v>56</v>
      </c>
      <c r="V2117" t="s">
        <v>56</v>
      </c>
    </row>
    <row r="2118" spans="1:22" x14ac:dyDescent="0.3">
      <c r="A2118" s="49">
        <v>45274</v>
      </c>
      <c r="E2118" t="s">
        <v>3190</v>
      </c>
      <c r="G2118" t="s">
        <v>5190</v>
      </c>
      <c r="H2118" t="s">
        <v>28</v>
      </c>
      <c r="I2118" t="s">
        <v>5699</v>
      </c>
      <c r="J2118" t="s">
        <v>63</v>
      </c>
      <c r="K2118" t="s">
        <v>64</v>
      </c>
      <c r="M2118">
        <v>100</v>
      </c>
      <c r="N2118" t="s">
        <v>49</v>
      </c>
      <c r="O2118" t="s">
        <v>4294</v>
      </c>
      <c r="P2118" t="s">
        <v>287</v>
      </c>
      <c r="T2118">
        <v>4</v>
      </c>
      <c r="U2118" t="s">
        <v>56</v>
      </c>
      <c r="V2118" t="s">
        <v>56</v>
      </c>
    </row>
    <row r="2119" spans="1:22" x14ac:dyDescent="0.3">
      <c r="A2119" s="49">
        <v>45274</v>
      </c>
      <c r="E2119" t="s">
        <v>3190</v>
      </c>
      <c r="G2119" t="s">
        <v>5190</v>
      </c>
      <c r="H2119" t="s">
        <v>28</v>
      </c>
      <c r="I2119" t="s">
        <v>5699</v>
      </c>
      <c r="J2119" t="s">
        <v>63</v>
      </c>
      <c r="K2119" t="s">
        <v>64</v>
      </c>
      <c r="M2119">
        <v>100</v>
      </c>
      <c r="N2119" t="s">
        <v>49</v>
      </c>
      <c r="O2119" t="s">
        <v>4295</v>
      </c>
      <c r="P2119" t="s">
        <v>416</v>
      </c>
      <c r="T2119">
        <v>4</v>
      </c>
      <c r="U2119" t="s">
        <v>56</v>
      </c>
      <c r="V2119" t="s">
        <v>56</v>
      </c>
    </row>
    <row r="2120" spans="1:22" x14ac:dyDescent="0.3">
      <c r="A2120" s="49">
        <v>45274</v>
      </c>
      <c r="E2120" t="s">
        <v>3190</v>
      </c>
      <c r="G2120" t="s">
        <v>5190</v>
      </c>
      <c r="H2120" t="s">
        <v>28</v>
      </c>
      <c r="I2120" t="s">
        <v>5699</v>
      </c>
      <c r="J2120" t="s">
        <v>63</v>
      </c>
      <c r="K2120" t="s">
        <v>64</v>
      </c>
      <c r="M2120">
        <v>55</v>
      </c>
      <c r="N2120" t="s">
        <v>49</v>
      </c>
      <c r="O2120" t="s">
        <v>4296</v>
      </c>
      <c r="P2120" t="s">
        <v>2178</v>
      </c>
      <c r="T2120">
        <v>4</v>
      </c>
      <c r="U2120" t="s">
        <v>56</v>
      </c>
      <c r="V2120" t="s">
        <v>56</v>
      </c>
    </row>
    <row r="2121" spans="1:22" x14ac:dyDescent="0.3">
      <c r="A2121" s="49">
        <v>45274</v>
      </c>
      <c r="E2121" t="s">
        <v>3216</v>
      </c>
      <c r="G2121" t="s">
        <v>5298</v>
      </c>
      <c r="H2121" t="s">
        <v>89</v>
      </c>
      <c r="J2121" t="s">
        <v>63</v>
      </c>
      <c r="K2121" t="s">
        <v>64</v>
      </c>
      <c r="M2121">
        <v>0</v>
      </c>
      <c r="N2121" t="s">
        <v>49</v>
      </c>
      <c r="O2121" t="s">
        <v>4297</v>
      </c>
      <c r="P2121" t="s">
        <v>35</v>
      </c>
      <c r="T2121">
        <v>4</v>
      </c>
      <c r="U2121" t="s">
        <v>56</v>
      </c>
      <c r="V2121" t="s">
        <v>56</v>
      </c>
    </row>
    <row r="2122" spans="1:22" x14ac:dyDescent="0.3">
      <c r="A2122" s="49">
        <v>45274</v>
      </c>
      <c r="E2122" t="s">
        <v>3216</v>
      </c>
      <c r="G2122" t="s">
        <v>5298</v>
      </c>
      <c r="H2122" t="s">
        <v>28</v>
      </c>
      <c r="I2122" t="s">
        <v>5877</v>
      </c>
      <c r="J2122" t="s">
        <v>63</v>
      </c>
      <c r="K2122" t="s">
        <v>64</v>
      </c>
      <c r="M2122">
        <v>75</v>
      </c>
      <c r="N2122" t="s">
        <v>33</v>
      </c>
      <c r="O2122" t="s">
        <v>4298</v>
      </c>
      <c r="P2122" t="s">
        <v>904</v>
      </c>
      <c r="T2122">
        <v>4</v>
      </c>
      <c r="U2122" t="s">
        <v>56</v>
      </c>
      <c r="V2122" t="s">
        <v>56</v>
      </c>
    </row>
    <row r="2123" spans="1:22" x14ac:dyDescent="0.3">
      <c r="A2123" s="49">
        <v>45274</v>
      </c>
      <c r="E2123" t="s">
        <v>3191</v>
      </c>
      <c r="G2123" t="s">
        <v>5192</v>
      </c>
      <c r="H2123" t="s">
        <v>28</v>
      </c>
      <c r="I2123" t="s">
        <v>5701</v>
      </c>
      <c r="J2123" t="s">
        <v>63</v>
      </c>
      <c r="K2123" t="s">
        <v>211</v>
      </c>
      <c r="M2123">
        <v>100</v>
      </c>
      <c r="N2123" t="s">
        <v>49</v>
      </c>
      <c r="O2123" t="s">
        <v>4299</v>
      </c>
      <c r="P2123" t="s">
        <v>4887</v>
      </c>
      <c r="T2123">
        <v>4</v>
      </c>
      <c r="U2123" t="s">
        <v>56</v>
      </c>
      <c r="V2123" t="s">
        <v>56</v>
      </c>
    </row>
    <row r="2124" spans="1:22" x14ac:dyDescent="0.3">
      <c r="A2124" s="49">
        <v>45274</v>
      </c>
      <c r="E2124" t="s">
        <v>3191</v>
      </c>
      <c r="G2124" t="s">
        <v>5192</v>
      </c>
      <c r="H2124" t="s">
        <v>28</v>
      </c>
      <c r="I2124" t="s">
        <v>5701</v>
      </c>
      <c r="J2124" t="s">
        <v>63</v>
      </c>
      <c r="K2124" t="s">
        <v>211</v>
      </c>
      <c r="M2124">
        <v>100</v>
      </c>
      <c r="N2124" t="s">
        <v>49</v>
      </c>
      <c r="O2124" t="s">
        <v>4299</v>
      </c>
      <c r="P2124" t="s">
        <v>4887</v>
      </c>
      <c r="T2124">
        <v>4</v>
      </c>
      <c r="U2124" t="s">
        <v>56</v>
      </c>
      <c r="V2124" t="s">
        <v>56</v>
      </c>
    </row>
    <row r="2125" spans="1:22" x14ac:dyDescent="0.3">
      <c r="A2125" s="49">
        <v>45274</v>
      </c>
      <c r="E2125" t="s">
        <v>3191</v>
      </c>
      <c r="G2125" t="s">
        <v>5192</v>
      </c>
      <c r="H2125" t="s">
        <v>28</v>
      </c>
      <c r="I2125" t="s">
        <v>5701</v>
      </c>
      <c r="J2125" t="s">
        <v>63</v>
      </c>
      <c r="K2125" t="s">
        <v>211</v>
      </c>
      <c r="M2125">
        <v>100</v>
      </c>
      <c r="N2125" t="s">
        <v>49</v>
      </c>
      <c r="O2125" t="s">
        <v>4299</v>
      </c>
      <c r="P2125" t="s">
        <v>4887</v>
      </c>
      <c r="T2125">
        <v>4</v>
      </c>
      <c r="U2125" t="s">
        <v>56</v>
      </c>
      <c r="V2125" t="s">
        <v>56</v>
      </c>
    </row>
    <row r="2126" spans="1:22" x14ac:dyDescent="0.3">
      <c r="A2126" s="49">
        <v>45274</v>
      </c>
      <c r="E2126" t="s">
        <v>3191</v>
      </c>
      <c r="G2126" t="s">
        <v>5192</v>
      </c>
      <c r="H2126" t="s">
        <v>28</v>
      </c>
      <c r="I2126" t="s">
        <v>5701</v>
      </c>
      <c r="J2126" t="s">
        <v>63</v>
      </c>
      <c r="K2126" t="s">
        <v>211</v>
      </c>
      <c r="M2126">
        <v>100</v>
      </c>
      <c r="N2126" t="s">
        <v>49</v>
      </c>
      <c r="O2126" t="s">
        <v>3807</v>
      </c>
      <c r="P2126" t="s">
        <v>4887</v>
      </c>
      <c r="T2126">
        <v>4</v>
      </c>
      <c r="U2126" t="s">
        <v>56</v>
      </c>
      <c r="V2126" t="s">
        <v>56</v>
      </c>
    </row>
    <row r="2127" spans="1:22" x14ac:dyDescent="0.3">
      <c r="A2127" s="49">
        <v>45274</v>
      </c>
      <c r="E2127" t="s">
        <v>3191</v>
      </c>
      <c r="G2127" t="s">
        <v>5192</v>
      </c>
      <c r="H2127" t="s">
        <v>28</v>
      </c>
      <c r="I2127" t="s">
        <v>5701</v>
      </c>
      <c r="J2127" t="s">
        <v>63</v>
      </c>
      <c r="K2127" t="s">
        <v>211</v>
      </c>
      <c r="M2127">
        <v>100</v>
      </c>
      <c r="N2127" t="s">
        <v>49</v>
      </c>
      <c r="O2127" t="s">
        <v>3807</v>
      </c>
      <c r="P2127" t="s">
        <v>4887</v>
      </c>
      <c r="T2127">
        <v>4</v>
      </c>
      <c r="U2127" t="s">
        <v>56</v>
      </c>
      <c r="V2127" t="s">
        <v>56</v>
      </c>
    </row>
    <row r="2128" spans="1:22" x14ac:dyDescent="0.3">
      <c r="A2128" s="49">
        <v>45274</v>
      </c>
      <c r="E2128" t="s">
        <v>3191</v>
      </c>
      <c r="G2128" t="s">
        <v>5192</v>
      </c>
      <c r="H2128" t="s">
        <v>28</v>
      </c>
      <c r="I2128" t="s">
        <v>5701</v>
      </c>
      <c r="J2128" t="s">
        <v>63</v>
      </c>
      <c r="K2128" t="s">
        <v>211</v>
      </c>
      <c r="M2128">
        <v>100</v>
      </c>
      <c r="N2128" t="s">
        <v>49</v>
      </c>
      <c r="O2128" t="s">
        <v>3807</v>
      </c>
      <c r="P2128" t="s">
        <v>4887</v>
      </c>
      <c r="T2128">
        <v>4</v>
      </c>
      <c r="U2128" t="s">
        <v>56</v>
      </c>
      <c r="V2128" t="s">
        <v>56</v>
      </c>
    </row>
    <row r="2129" spans="1:22" x14ac:dyDescent="0.3">
      <c r="A2129" s="49">
        <v>45274</v>
      </c>
      <c r="E2129" t="s">
        <v>3191</v>
      </c>
      <c r="G2129" t="s">
        <v>5192</v>
      </c>
      <c r="H2129" t="s">
        <v>28</v>
      </c>
      <c r="I2129" t="s">
        <v>5701</v>
      </c>
      <c r="J2129" t="s">
        <v>63</v>
      </c>
      <c r="K2129" t="s">
        <v>211</v>
      </c>
      <c r="M2129">
        <v>100</v>
      </c>
      <c r="N2129" t="s">
        <v>49</v>
      </c>
      <c r="O2129" t="s">
        <v>3807</v>
      </c>
      <c r="P2129" t="s">
        <v>4887</v>
      </c>
      <c r="T2129">
        <v>4</v>
      </c>
      <c r="U2129" t="s">
        <v>56</v>
      </c>
      <c r="V2129" t="s">
        <v>56</v>
      </c>
    </row>
    <row r="2130" spans="1:22" x14ac:dyDescent="0.3">
      <c r="A2130" s="49">
        <v>45274</v>
      </c>
      <c r="E2130" t="s">
        <v>3191</v>
      </c>
      <c r="G2130" t="s">
        <v>5192</v>
      </c>
      <c r="H2130" t="s">
        <v>28</v>
      </c>
      <c r="I2130" t="s">
        <v>5701</v>
      </c>
      <c r="J2130" t="s">
        <v>63</v>
      </c>
      <c r="K2130" t="s">
        <v>211</v>
      </c>
      <c r="M2130">
        <v>100</v>
      </c>
      <c r="N2130" t="s">
        <v>49</v>
      </c>
      <c r="O2130" t="s">
        <v>3807</v>
      </c>
      <c r="P2130" t="s">
        <v>4887</v>
      </c>
      <c r="T2130">
        <v>4</v>
      </c>
      <c r="U2130" t="s">
        <v>56</v>
      </c>
      <c r="V2130" t="s">
        <v>56</v>
      </c>
    </row>
    <row r="2131" spans="1:22" x14ac:dyDescent="0.3">
      <c r="A2131" s="49">
        <v>45274</v>
      </c>
      <c r="E2131" t="s">
        <v>3191</v>
      </c>
      <c r="G2131" t="s">
        <v>5192</v>
      </c>
      <c r="H2131" t="s">
        <v>28</v>
      </c>
      <c r="I2131" t="s">
        <v>5701</v>
      </c>
      <c r="J2131" t="s">
        <v>63</v>
      </c>
      <c r="K2131" t="s">
        <v>211</v>
      </c>
      <c r="M2131">
        <v>100</v>
      </c>
      <c r="N2131" t="s">
        <v>49</v>
      </c>
      <c r="O2131" t="s">
        <v>3807</v>
      </c>
      <c r="P2131" t="s">
        <v>4887</v>
      </c>
      <c r="T2131">
        <v>4</v>
      </c>
      <c r="U2131" t="s">
        <v>56</v>
      </c>
      <c r="V2131" t="s">
        <v>56</v>
      </c>
    </row>
    <row r="2132" spans="1:22" x14ac:dyDescent="0.3">
      <c r="A2132" s="49">
        <v>45274</v>
      </c>
      <c r="E2132" t="s">
        <v>3191</v>
      </c>
      <c r="G2132" t="s">
        <v>5192</v>
      </c>
      <c r="H2132" t="s">
        <v>28</v>
      </c>
      <c r="I2132" t="s">
        <v>5701</v>
      </c>
      <c r="J2132" t="s">
        <v>63</v>
      </c>
      <c r="K2132" t="s">
        <v>211</v>
      </c>
      <c r="M2132">
        <v>100</v>
      </c>
      <c r="N2132" t="s">
        <v>49</v>
      </c>
      <c r="O2132" t="s">
        <v>3807</v>
      </c>
      <c r="P2132" t="s">
        <v>4887</v>
      </c>
      <c r="T2132">
        <v>4</v>
      </c>
      <c r="U2132" t="s">
        <v>56</v>
      </c>
      <c r="V2132" t="s">
        <v>56</v>
      </c>
    </row>
    <row r="2133" spans="1:22" x14ac:dyDescent="0.3">
      <c r="A2133" s="49">
        <v>45274</v>
      </c>
      <c r="E2133" t="s">
        <v>3191</v>
      </c>
      <c r="G2133" t="s">
        <v>5100</v>
      </c>
      <c r="H2133" t="s">
        <v>89</v>
      </c>
      <c r="J2133" t="s">
        <v>63</v>
      </c>
      <c r="K2133" t="s">
        <v>1235</v>
      </c>
      <c r="M2133">
        <v>100</v>
      </c>
      <c r="N2133" t="s">
        <v>49</v>
      </c>
      <c r="O2133" t="s">
        <v>4300</v>
      </c>
      <c r="P2133" t="s">
        <v>306</v>
      </c>
      <c r="T2133">
        <v>4</v>
      </c>
      <c r="U2133" t="s">
        <v>56</v>
      </c>
      <c r="V2133" t="s">
        <v>56</v>
      </c>
    </row>
    <row r="2134" spans="1:22" x14ac:dyDescent="0.3">
      <c r="A2134" s="49">
        <v>45274</v>
      </c>
      <c r="E2134" t="s">
        <v>3158</v>
      </c>
      <c r="G2134" t="s">
        <v>5299</v>
      </c>
      <c r="H2134" t="s">
        <v>28</v>
      </c>
      <c r="I2134" t="s">
        <v>5878</v>
      </c>
      <c r="J2134" t="s">
        <v>63</v>
      </c>
      <c r="K2134" t="s">
        <v>197</v>
      </c>
      <c r="M2134">
        <v>75</v>
      </c>
      <c r="N2134" t="s">
        <v>49</v>
      </c>
      <c r="O2134" t="s">
        <v>4301</v>
      </c>
      <c r="P2134" t="s">
        <v>66</v>
      </c>
      <c r="T2134">
        <v>4</v>
      </c>
      <c r="U2134" t="s">
        <v>56</v>
      </c>
      <c r="V2134" t="s">
        <v>56</v>
      </c>
    </row>
    <row r="2135" spans="1:22" x14ac:dyDescent="0.3">
      <c r="A2135" s="49">
        <v>45274</v>
      </c>
      <c r="E2135" t="s">
        <v>1364</v>
      </c>
      <c r="G2135" t="s">
        <v>5300</v>
      </c>
      <c r="H2135" t="s">
        <v>28</v>
      </c>
      <c r="I2135" t="s">
        <v>5879</v>
      </c>
      <c r="J2135" t="s">
        <v>30</v>
      </c>
      <c r="K2135" t="s">
        <v>1546</v>
      </c>
      <c r="M2135">
        <v>100</v>
      </c>
      <c r="N2135" t="s">
        <v>49</v>
      </c>
      <c r="O2135" t="s">
        <v>4302</v>
      </c>
      <c r="P2135" t="s">
        <v>4886</v>
      </c>
      <c r="T2135">
        <v>6</v>
      </c>
      <c r="U2135" t="s">
        <v>40</v>
      </c>
      <c r="V2135" t="s">
        <v>41</v>
      </c>
    </row>
    <row r="2136" spans="1:22" x14ac:dyDescent="0.3">
      <c r="A2136" s="49">
        <v>45274</v>
      </c>
      <c r="E2136" t="s">
        <v>1364</v>
      </c>
      <c r="G2136" t="s">
        <v>5300</v>
      </c>
      <c r="H2136" t="s">
        <v>28</v>
      </c>
      <c r="I2136" t="s">
        <v>5879</v>
      </c>
      <c r="J2136" t="s">
        <v>30</v>
      </c>
      <c r="K2136" t="s">
        <v>1546</v>
      </c>
      <c r="M2136">
        <v>50</v>
      </c>
      <c r="N2136" t="s">
        <v>49</v>
      </c>
      <c r="O2136" t="s">
        <v>4303</v>
      </c>
      <c r="P2136" t="s">
        <v>4874</v>
      </c>
      <c r="T2136">
        <v>6</v>
      </c>
      <c r="U2136" t="s">
        <v>40</v>
      </c>
      <c r="V2136" t="s">
        <v>41</v>
      </c>
    </row>
    <row r="2137" spans="1:22" x14ac:dyDescent="0.3">
      <c r="A2137" s="49">
        <v>45274</v>
      </c>
      <c r="E2137" t="s">
        <v>3123</v>
      </c>
      <c r="G2137" t="s">
        <v>5301</v>
      </c>
      <c r="H2137" t="s">
        <v>28</v>
      </c>
      <c r="I2137" t="s">
        <v>5880</v>
      </c>
      <c r="J2137" t="s">
        <v>46</v>
      </c>
      <c r="K2137" t="s">
        <v>481</v>
      </c>
      <c r="M2137">
        <v>100</v>
      </c>
      <c r="N2137" t="s">
        <v>49</v>
      </c>
      <c r="O2137" t="s">
        <v>4304</v>
      </c>
      <c r="P2137" t="s">
        <v>4871</v>
      </c>
      <c r="T2137">
        <v>4</v>
      </c>
      <c r="U2137" t="s">
        <v>56</v>
      </c>
      <c r="V2137" t="s">
        <v>56</v>
      </c>
    </row>
    <row r="2138" spans="1:22" x14ac:dyDescent="0.3">
      <c r="A2138" s="49">
        <v>45274</v>
      </c>
      <c r="E2138" t="s">
        <v>3123</v>
      </c>
      <c r="G2138" t="s">
        <v>5302</v>
      </c>
      <c r="H2138" t="s">
        <v>28</v>
      </c>
      <c r="I2138" t="s">
        <v>5516</v>
      </c>
      <c r="J2138" t="s">
        <v>63</v>
      </c>
      <c r="K2138" t="s">
        <v>197</v>
      </c>
      <c r="M2138">
        <v>30</v>
      </c>
      <c r="N2138" t="s">
        <v>49</v>
      </c>
      <c r="O2138" t="s">
        <v>4305</v>
      </c>
      <c r="P2138" t="s">
        <v>35</v>
      </c>
      <c r="T2138">
        <v>4</v>
      </c>
      <c r="U2138" t="s">
        <v>56</v>
      </c>
      <c r="V2138" t="s">
        <v>56</v>
      </c>
    </row>
    <row r="2139" spans="1:22" x14ac:dyDescent="0.3">
      <c r="A2139" s="49">
        <v>45274</v>
      </c>
      <c r="E2139" t="s">
        <v>3123</v>
      </c>
      <c r="G2139" t="s">
        <v>5302</v>
      </c>
      <c r="H2139" t="s">
        <v>28</v>
      </c>
      <c r="I2139" t="s">
        <v>5881</v>
      </c>
      <c r="J2139" t="s">
        <v>1712</v>
      </c>
      <c r="K2139" t="s">
        <v>481</v>
      </c>
      <c r="M2139">
        <v>100</v>
      </c>
      <c r="N2139" t="s">
        <v>49</v>
      </c>
      <c r="O2139" t="s">
        <v>3084</v>
      </c>
      <c r="P2139" t="s">
        <v>686</v>
      </c>
      <c r="T2139">
        <v>4</v>
      </c>
      <c r="U2139" t="s">
        <v>56</v>
      </c>
      <c r="V2139" t="s">
        <v>56</v>
      </c>
    </row>
    <row r="2140" spans="1:22" x14ac:dyDescent="0.3">
      <c r="A2140" s="49">
        <v>45274</v>
      </c>
      <c r="E2140" t="s">
        <v>3123</v>
      </c>
      <c r="G2140" t="s">
        <v>5302</v>
      </c>
      <c r="H2140" t="s">
        <v>89</v>
      </c>
      <c r="J2140" t="s">
        <v>1712</v>
      </c>
      <c r="K2140" t="s">
        <v>481</v>
      </c>
      <c r="M2140">
        <v>100</v>
      </c>
      <c r="N2140" t="s">
        <v>49</v>
      </c>
      <c r="O2140" t="s">
        <v>4306</v>
      </c>
      <c r="P2140" t="s">
        <v>829</v>
      </c>
      <c r="T2140">
        <v>4</v>
      </c>
      <c r="U2140" t="s">
        <v>56</v>
      </c>
      <c r="V2140" t="s">
        <v>56</v>
      </c>
    </row>
    <row r="2141" spans="1:22" x14ac:dyDescent="0.3">
      <c r="A2141" s="49">
        <v>45274</v>
      </c>
      <c r="E2141" t="s">
        <v>3123</v>
      </c>
      <c r="G2141" t="s">
        <v>5301</v>
      </c>
      <c r="H2141" t="s">
        <v>89</v>
      </c>
      <c r="J2141" t="s">
        <v>1712</v>
      </c>
      <c r="K2141" t="s">
        <v>481</v>
      </c>
      <c r="M2141">
        <v>100</v>
      </c>
      <c r="N2141" t="s">
        <v>49</v>
      </c>
      <c r="O2141" t="s">
        <v>4307</v>
      </c>
      <c r="P2141" t="s">
        <v>4830</v>
      </c>
      <c r="T2141">
        <v>4</v>
      </c>
      <c r="U2141" t="s">
        <v>56</v>
      </c>
      <c r="V2141" t="s">
        <v>56</v>
      </c>
    </row>
    <row r="2142" spans="1:22" x14ac:dyDescent="0.3">
      <c r="A2142" s="49">
        <v>45274</v>
      </c>
      <c r="E2142" t="s">
        <v>3123</v>
      </c>
      <c r="G2142" t="s">
        <v>5301</v>
      </c>
      <c r="H2142" t="s">
        <v>28</v>
      </c>
      <c r="I2142" t="s">
        <v>5882</v>
      </c>
      <c r="J2142" t="s">
        <v>63</v>
      </c>
      <c r="K2142" t="s">
        <v>197</v>
      </c>
      <c r="M2142">
        <v>50</v>
      </c>
      <c r="N2142" t="s">
        <v>49</v>
      </c>
      <c r="O2142" t="s">
        <v>4308</v>
      </c>
      <c r="P2142" t="s">
        <v>791</v>
      </c>
      <c r="T2142">
        <v>4</v>
      </c>
      <c r="U2142" t="s">
        <v>56</v>
      </c>
      <c r="V2142" t="s">
        <v>56</v>
      </c>
    </row>
    <row r="2143" spans="1:22" x14ac:dyDescent="0.3">
      <c r="A2143" s="49">
        <v>45274</v>
      </c>
      <c r="E2143" t="s">
        <v>3123</v>
      </c>
      <c r="G2143" t="s">
        <v>5301</v>
      </c>
      <c r="H2143" t="s">
        <v>89</v>
      </c>
      <c r="J2143" t="s">
        <v>1712</v>
      </c>
      <c r="K2143" t="s">
        <v>4944</v>
      </c>
      <c r="M2143">
        <v>0</v>
      </c>
      <c r="N2143" t="s">
        <v>49</v>
      </c>
      <c r="O2143" t="s">
        <v>4309</v>
      </c>
      <c r="P2143" t="s">
        <v>4867</v>
      </c>
      <c r="T2143">
        <v>4</v>
      </c>
      <c r="U2143" t="s">
        <v>56</v>
      </c>
      <c r="V2143" t="s">
        <v>56</v>
      </c>
    </row>
    <row r="2144" spans="1:22" x14ac:dyDescent="0.3">
      <c r="A2144" s="49">
        <v>45274</v>
      </c>
      <c r="E2144" t="s">
        <v>3123</v>
      </c>
      <c r="G2144" t="s">
        <v>5302</v>
      </c>
      <c r="H2144" t="s">
        <v>28</v>
      </c>
      <c r="I2144" t="s">
        <v>5516</v>
      </c>
      <c r="J2144" t="s">
        <v>63</v>
      </c>
      <c r="K2144" t="s">
        <v>64</v>
      </c>
      <c r="M2144">
        <v>30</v>
      </c>
      <c r="N2144" t="s">
        <v>33</v>
      </c>
      <c r="O2144" t="s">
        <v>4310</v>
      </c>
      <c r="P2144" t="s">
        <v>1230</v>
      </c>
      <c r="T2144">
        <v>4</v>
      </c>
      <c r="U2144" t="s">
        <v>56</v>
      </c>
      <c r="V2144" t="s">
        <v>56</v>
      </c>
    </row>
    <row r="2145" spans="1:22" x14ac:dyDescent="0.3">
      <c r="A2145" s="49">
        <v>45274</v>
      </c>
      <c r="E2145" t="s">
        <v>3124</v>
      </c>
      <c r="G2145" t="s">
        <v>864</v>
      </c>
      <c r="H2145" t="s">
        <v>28</v>
      </c>
      <c r="I2145" t="s">
        <v>2107</v>
      </c>
      <c r="J2145" t="s">
        <v>63</v>
      </c>
      <c r="K2145" t="s">
        <v>64</v>
      </c>
      <c r="M2145">
        <v>96</v>
      </c>
      <c r="N2145" t="s">
        <v>49</v>
      </c>
      <c r="O2145" t="s">
        <v>4311</v>
      </c>
      <c r="P2145" t="s">
        <v>4864</v>
      </c>
      <c r="T2145">
        <v>6</v>
      </c>
      <c r="U2145" t="s">
        <v>40</v>
      </c>
      <c r="V2145" t="s">
        <v>41</v>
      </c>
    </row>
    <row r="2146" spans="1:22" x14ac:dyDescent="0.3">
      <c r="A2146" s="49">
        <v>45274</v>
      </c>
      <c r="E2146" t="s">
        <v>3124</v>
      </c>
      <c r="G2146" t="s">
        <v>864</v>
      </c>
      <c r="H2146" t="s">
        <v>89</v>
      </c>
      <c r="J2146" t="s">
        <v>63</v>
      </c>
      <c r="K2146" t="s">
        <v>64</v>
      </c>
      <c r="M2146">
        <v>100</v>
      </c>
      <c r="N2146" t="s">
        <v>49</v>
      </c>
      <c r="O2146" t="s">
        <v>4312</v>
      </c>
      <c r="P2146" t="s">
        <v>170</v>
      </c>
      <c r="T2146">
        <v>6</v>
      </c>
      <c r="U2146" t="s">
        <v>40</v>
      </c>
      <c r="V2146" t="s">
        <v>41</v>
      </c>
    </row>
    <row r="2147" spans="1:22" x14ac:dyDescent="0.3">
      <c r="A2147" s="49">
        <v>45274</v>
      </c>
      <c r="E2147" t="s">
        <v>3124</v>
      </c>
      <c r="G2147" t="s">
        <v>864</v>
      </c>
      <c r="H2147" t="s">
        <v>28</v>
      </c>
      <c r="I2147" t="s">
        <v>5463</v>
      </c>
      <c r="J2147" t="s">
        <v>63</v>
      </c>
      <c r="K2147" t="s">
        <v>211</v>
      </c>
      <c r="M2147">
        <v>33</v>
      </c>
      <c r="N2147" t="s">
        <v>49</v>
      </c>
      <c r="O2147" t="s">
        <v>4313</v>
      </c>
      <c r="P2147" t="s">
        <v>4910</v>
      </c>
      <c r="T2147">
        <v>4</v>
      </c>
      <c r="U2147" t="s">
        <v>56</v>
      </c>
      <c r="V2147" t="s">
        <v>56</v>
      </c>
    </row>
    <row r="2148" spans="1:22" x14ac:dyDescent="0.3">
      <c r="A2148" s="49">
        <v>45274</v>
      </c>
      <c r="E2148" t="s">
        <v>3124</v>
      </c>
      <c r="G2148" t="s">
        <v>864</v>
      </c>
      <c r="H2148" t="s">
        <v>89</v>
      </c>
      <c r="J2148" t="s">
        <v>63</v>
      </c>
      <c r="K2148" t="s">
        <v>64</v>
      </c>
      <c r="M2148">
        <v>50</v>
      </c>
      <c r="N2148" t="s">
        <v>33</v>
      </c>
      <c r="O2148" t="s">
        <v>4314</v>
      </c>
      <c r="P2148" t="s">
        <v>791</v>
      </c>
      <c r="T2148">
        <v>6</v>
      </c>
      <c r="U2148" t="s">
        <v>40</v>
      </c>
      <c r="V2148" t="s">
        <v>41</v>
      </c>
    </row>
    <row r="2149" spans="1:22" x14ac:dyDescent="0.3">
      <c r="A2149" s="49">
        <v>45274</v>
      </c>
      <c r="E2149" t="s">
        <v>3124</v>
      </c>
      <c r="G2149" t="s">
        <v>5303</v>
      </c>
      <c r="H2149" t="s">
        <v>28</v>
      </c>
      <c r="I2149" t="s">
        <v>1618</v>
      </c>
      <c r="J2149" t="s">
        <v>63</v>
      </c>
      <c r="K2149" t="s">
        <v>64</v>
      </c>
      <c r="M2149">
        <v>20</v>
      </c>
      <c r="N2149" t="s">
        <v>33</v>
      </c>
      <c r="O2149" t="s">
        <v>4315</v>
      </c>
      <c r="P2149" t="s">
        <v>1586</v>
      </c>
      <c r="T2149">
        <v>6</v>
      </c>
      <c r="U2149" t="s">
        <v>40</v>
      </c>
      <c r="V2149" t="s">
        <v>41</v>
      </c>
    </row>
    <row r="2150" spans="1:22" x14ac:dyDescent="0.3">
      <c r="A2150" s="49">
        <v>45274</v>
      </c>
      <c r="E2150" t="s">
        <v>3124</v>
      </c>
      <c r="G2150" t="s">
        <v>5195</v>
      </c>
      <c r="H2150" t="s">
        <v>28</v>
      </c>
      <c r="I2150" t="s">
        <v>5883</v>
      </c>
      <c r="J2150" t="s">
        <v>63</v>
      </c>
      <c r="K2150" t="s">
        <v>64</v>
      </c>
      <c r="M2150">
        <v>90</v>
      </c>
      <c r="N2150" t="s">
        <v>49</v>
      </c>
      <c r="O2150" t="s">
        <v>4316</v>
      </c>
      <c r="P2150" t="s">
        <v>287</v>
      </c>
      <c r="T2150">
        <v>4</v>
      </c>
      <c r="U2150" t="s">
        <v>56</v>
      </c>
      <c r="V2150" t="s">
        <v>56</v>
      </c>
    </row>
    <row r="2151" spans="1:22" x14ac:dyDescent="0.3">
      <c r="A2151" s="49">
        <v>45274</v>
      </c>
      <c r="E2151" t="s">
        <v>3124</v>
      </c>
      <c r="G2151" t="s">
        <v>5195</v>
      </c>
      <c r="H2151" t="s">
        <v>28</v>
      </c>
      <c r="I2151" t="s">
        <v>5705</v>
      </c>
      <c r="J2151" t="s">
        <v>63</v>
      </c>
      <c r="K2151" t="s">
        <v>64</v>
      </c>
      <c r="M2151">
        <v>50</v>
      </c>
      <c r="N2151" t="s">
        <v>33</v>
      </c>
      <c r="O2151" t="s">
        <v>4317</v>
      </c>
      <c r="P2151" t="s">
        <v>483</v>
      </c>
      <c r="T2151">
        <v>4</v>
      </c>
      <c r="U2151" t="s">
        <v>56</v>
      </c>
      <c r="V2151" t="s">
        <v>56</v>
      </c>
    </row>
    <row r="2152" spans="1:22" x14ac:dyDescent="0.3">
      <c r="A2152" s="49">
        <v>45274</v>
      </c>
      <c r="E2152" t="s">
        <v>3124</v>
      </c>
      <c r="G2152" t="s">
        <v>5196</v>
      </c>
      <c r="H2152" t="s">
        <v>28</v>
      </c>
      <c r="I2152" t="s">
        <v>5884</v>
      </c>
      <c r="J2152" t="s">
        <v>63</v>
      </c>
      <c r="K2152" t="s">
        <v>197</v>
      </c>
      <c r="M2152">
        <v>100</v>
      </c>
      <c r="N2152" t="s">
        <v>33</v>
      </c>
      <c r="O2152" t="s">
        <v>4318</v>
      </c>
      <c r="P2152" t="s">
        <v>483</v>
      </c>
      <c r="T2152">
        <v>4</v>
      </c>
      <c r="U2152" t="s">
        <v>56</v>
      </c>
      <c r="V2152" t="s">
        <v>56</v>
      </c>
    </row>
    <row r="2153" spans="1:22" x14ac:dyDescent="0.3">
      <c r="A2153" s="49">
        <v>45274</v>
      </c>
      <c r="E2153" t="s">
        <v>3124</v>
      </c>
      <c r="G2153" t="s">
        <v>5304</v>
      </c>
      <c r="H2153" t="s">
        <v>28</v>
      </c>
      <c r="I2153" t="s">
        <v>5885</v>
      </c>
      <c r="J2153" t="s">
        <v>63</v>
      </c>
      <c r="K2153" t="s">
        <v>211</v>
      </c>
      <c r="M2153">
        <v>100</v>
      </c>
      <c r="N2153" t="s">
        <v>49</v>
      </c>
      <c r="O2153" t="s">
        <v>4319</v>
      </c>
      <c r="P2153" t="s">
        <v>287</v>
      </c>
      <c r="T2153">
        <v>4</v>
      </c>
      <c r="U2153" t="s">
        <v>56</v>
      </c>
      <c r="V2153" t="s">
        <v>56</v>
      </c>
    </row>
    <row r="2154" spans="1:22" x14ac:dyDescent="0.3">
      <c r="A2154" s="49">
        <v>45274</v>
      </c>
      <c r="E2154" t="s">
        <v>3124</v>
      </c>
      <c r="G2154" t="s">
        <v>5304</v>
      </c>
      <c r="H2154" t="s">
        <v>28</v>
      </c>
      <c r="I2154" t="s">
        <v>5885</v>
      </c>
      <c r="J2154" t="s">
        <v>63</v>
      </c>
      <c r="K2154" t="s">
        <v>211</v>
      </c>
      <c r="M2154">
        <v>100</v>
      </c>
      <c r="N2154" t="s">
        <v>49</v>
      </c>
      <c r="O2154" t="s">
        <v>4319</v>
      </c>
      <c r="P2154" t="s">
        <v>287</v>
      </c>
      <c r="T2154">
        <v>4</v>
      </c>
      <c r="U2154" t="s">
        <v>56</v>
      </c>
      <c r="V2154" t="s">
        <v>56</v>
      </c>
    </row>
    <row r="2155" spans="1:22" x14ac:dyDescent="0.3">
      <c r="A2155" s="49">
        <v>45274</v>
      </c>
      <c r="E2155" t="s">
        <v>3124</v>
      </c>
      <c r="G2155" t="s">
        <v>5304</v>
      </c>
      <c r="H2155" t="s">
        <v>28</v>
      </c>
      <c r="I2155" t="s">
        <v>5885</v>
      </c>
      <c r="J2155" t="s">
        <v>63</v>
      </c>
      <c r="K2155" t="s">
        <v>211</v>
      </c>
      <c r="M2155">
        <v>100</v>
      </c>
      <c r="N2155" t="s">
        <v>49</v>
      </c>
      <c r="O2155" t="s">
        <v>4320</v>
      </c>
      <c r="P2155" t="s">
        <v>287</v>
      </c>
      <c r="T2155">
        <v>4</v>
      </c>
      <c r="U2155" t="s">
        <v>56</v>
      </c>
      <c r="V2155" t="s">
        <v>56</v>
      </c>
    </row>
    <row r="2156" spans="1:22" x14ac:dyDescent="0.3">
      <c r="A2156" s="49">
        <v>45274</v>
      </c>
      <c r="E2156" t="s">
        <v>3124</v>
      </c>
      <c r="G2156" t="s">
        <v>5304</v>
      </c>
      <c r="H2156" t="s">
        <v>28</v>
      </c>
      <c r="I2156" t="s">
        <v>5885</v>
      </c>
      <c r="J2156" t="s">
        <v>63</v>
      </c>
      <c r="K2156" t="s">
        <v>211</v>
      </c>
      <c r="M2156">
        <v>100</v>
      </c>
      <c r="N2156" t="s">
        <v>33</v>
      </c>
      <c r="O2156" t="s">
        <v>4319</v>
      </c>
      <c r="P2156" t="s">
        <v>287</v>
      </c>
      <c r="T2156">
        <v>4</v>
      </c>
      <c r="U2156" t="s">
        <v>56</v>
      </c>
      <c r="V2156" t="s">
        <v>56</v>
      </c>
    </row>
    <row r="2157" spans="1:22" x14ac:dyDescent="0.3">
      <c r="A2157" s="49">
        <v>45274</v>
      </c>
      <c r="E2157" t="s">
        <v>3124</v>
      </c>
      <c r="G2157" t="s">
        <v>5304</v>
      </c>
      <c r="H2157" t="s">
        <v>28</v>
      </c>
      <c r="I2157" t="s">
        <v>5885</v>
      </c>
      <c r="J2157" t="s">
        <v>63</v>
      </c>
      <c r="K2157" t="s">
        <v>211</v>
      </c>
      <c r="M2157">
        <v>100</v>
      </c>
      <c r="N2157" t="s">
        <v>33</v>
      </c>
      <c r="O2157" t="s">
        <v>4320</v>
      </c>
      <c r="P2157" t="s">
        <v>287</v>
      </c>
      <c r="T2157">
        <v>4</v>
      </c>
      <c r="U2157" t="s">
        <v>56</v>
      </c>
      <c r="V2157" t="s">
        <v>56</v>
      </c>
    </row>
    <row r="2158" spans="1:22" x14ac:dyDescent="0.3">
      <c r="A2158" s="49">
        <v>45274</v>
      </c>
      <c r="E2158" t="s">
        <v>3124</v>
      </c>
      <c r="G2158" t="s">
        <v>5304</v>
      </c>
      <c r="H2158" t="s">
        <v>28</v>
      </c>
      <c r="I2158" t="s">
        <v>5885</v>
      </c>
      <c r="J2158" t="s">
        <v>63</v>
      </c>
      <c r="K2158" t="s">
        <v>211</v>
      </c>
      <c r="M2158">
        <v>100</v>
      </c>
      <c r="N2158" t="s">
        <v>33</v>
      </c>
      <c r="O2158" t="s">
        <v>4320</v>
      </c>
      <c r="P2158" t="s">
        <v>287</v>
      </c>
      <c r="T2158">
        <v>4</v>
      </c>
      <c r="U2158" t="s">
        <v>56</v>
      </c>
      <c r="V2158" t="s">
        <v>56</v>
      </c>
    </row>
    <row r="2159" spans="1:22" x14ac:dyDescent="0.3">
      <c r="A2159" s="49">
        <v>45274</v>
      </c>
      <c r="E2159" t="s">
        <v>3124</v>
      </c>
      <c r="G2159" t="s">
        <v>5304</v>
      </c>
      <c r="H2159" t="s">
        <v>28</v>
      </c>
      <c r="I2159" t="s">
        <v>5885</v>
      </c>
      <c r="J2159" t="s">
        <v>63</v>
      </c>
      <c r="K2159" t="s">
        <v>211</v>
      </c>
      <c r="M2159">
        <v>0</v>
      </c>
      <c r="N2159" t="s">
        <v>33</v>
      </c>
      <c r="O2159" t="s">
        <v>4321</v>
      </c>
      <c r="P2159" t="s">
        <v>373</v>
      </c>
      <c r="T2159">
        <v>4</v>
      </c>
      <c r="U2159" t="s">
        <v>56</v>
      </c>
      <c r="V2159" t="s">
        <v>56</v>
      </c>
    </row>
    <row r="2160" spans="1:22" x14ac:dyDescent="0.3">
      <c r="A2160" s="49">
        <v>45274</v>
      </c>
      <c r="E2160" t="s">
        <v>3124</v>
      </c>
      <c r="G2160" t="s">
        <v>5304</v>
      </c>
      <c r="H2160" t="s">
        <v>28</v>
      </c>
      <c r="I2160" t="s">
        <v>5885</v>
      </c>
      <c r="J2160" t="s">
        <v>30</v>
      </c>
      <c r="K2160" t="s">
        <v>31</v>
      </c>
      <c r="M2160">
        <v>0</v>
      </c>
      <c r="N2160" t="s">
        <v>49</v>
      </c>
      <c r="O2160" t="s">
        <v>4322</v>
      </c>
      <c r="P2160" t="s">
        <v>344</v>
      </c>
      <c r="T2160">
        <v>6</v>
      </c>
      <c r="U2160" t="s">
        <v>40</v>
      </c>
      <c r="V2160" t="s">
        <v>41</v>
      </c>
    </row>
    <row r="2161" spans="1:22" x14ac:dyDescent="0.3">
      <c r="A2161" s="49">
        <v>45274</v>
      </c>
      <c r="E2161" t="s">
        <v>3124</v>
      </c>
      <c r="G2161" t="s">
        <v>5195</v>
      </c>
      <c r="H2161" t="s">
        <v>89</v>
      </c>
      <c r="J2161" t="s">
        <v>63</v>
      </c>
      <c r="K2161" t="s">
        <v>64</v>
      </c>
      <c r="M2161">
        <v>50</v>
      </c>
      <c r="N2161" t="s">
        <v>49</v>
      </c>
      <c r="O2161" t="s">
        <v>4323</v>
      </c>
      <c r="P2161" t="s">
        <v>104</v>
      </c>
      <c r="T2161">
        <v>4</v>
      </c>
      <c r="U2161" t="s">
        <v>56</v>
      </c>
      <c r="V2161" t="s">
        <v>56</v>
      </c>
    </row>
    <row r="2162" spans="1:22" x14ac:dyDescent="0.3">
      <c r="A2162" s="49">
        <v>45274</v>
      </c>
      <c r="E2162" t="s">
        <v>3124</v>
      </c>
      <c r="G2162" t="s">
        <v>379</v>
      </c>
      <c r="H2162" t="s">
        <v>28</v>
      </c>
      <c r="I2162" t="s">
        <v>582</v>
      </c>
      <c r="J2162" t="s">
        <v>46</v>
      </c>
      <c r="K2162" t="s">
        <v>880</v>
      </c>
      <c r="M2162">
        <v>0</v>
      </c>
      <c r="N2162" t="s">
        <v>74</v>
      </c>
      <c r="O2162" t="s">
        <v>4324</v>
      </c>
      <c r="P2162" t="s">
        <v>4837</v>
      </c>
      <c r="T2162">
        <v>6</v>
      </c>
      <c r="U2162" t="s">
        <v>40</v>
      </c>
      <c r="V2162" t="s">
        <v>41</v>
      </c>
    </row>
    <row r="2163" spans="1:22" x14ac:dyDescent="0.3">
      <c r="A2163" s="49">
        <v>45274</v>
      </c>
      <c r="E2163" t="s">
        <v>3124</v>
      </c>
      <c r="G2163" t="s">
        <v>379</v>
      </c>
      <c r="H2163" t="s">
        <v>28</v>
      </c>
      <c r="I2163" t="s">
        <v>5886</v>
      </c>
      <c r="J2163" t="s">
        <v>46</v>
      </c>
      <c r="K2163" t="s">
        <v>481</v>
      </c>
      <c r="M2163">
        <v>90</v>
      </c>
      <c r="N2163" t="s">
        <v>49</v>
      </c>
      <c r="O2163" t="s">
        <v>4325</v>
      </c>
      <c r="P2163" t="s">
        <v>737</v>
      </c>
      <c r="T2163">
        <v>4</v>
      </c>
      <c r="U2163" t="s">
        <v>56</v>
      </c>
      <c r="V2163" t="s">
        <v>56</v>
      </c>
    </row>
    <row r="2164" spans="1:22" x14ac:dyDescent="0.3">
      <c r="A2164" s="49">
        <v>45274</v>
      </c>
      <c r="E2164" t="s">
        <v>3124</v>
      </c>
      <c r="G2164" t="s">
        <v>379</v>
      </c>
      <c r="H2164" t="s">
        <v>28</v>
      </c>
      <c r="I2164" t="s">
        <v>5887</v>
      </c>
      <c r="J2164" t="s">
        <v>63</v>
      </c>
      <c r="K2164" t="s">
        <v>64</v>
      </c>
      <c r="M2164">
        <v>100</v>
      </c>
      <c r="N2164" t="s">
        <v>49</v>
      </c>
      <c r="O2164" t="s">
        <v>4326</v>
      </c>
      <c r="P2164" t="s">
        <v>381</v>
      </c>
      <c r="T2164">
        <v>4</v>
      </c>
      <c r="U2164" t="s">
        <v>56</v>
      </c>
      <c r="V2164" t="s">
        <v>56</v>
      </c>
    </row>
    <row r="2165" spans="1:22" x14ac:dyDescent="0.3">
      <c r="A2165" s="49">
        <v>45274</v>
      </c>
      <c r="E2165" t="s">
        <v>3124</v>
      </c>
      <c r="G2165" t="s">
        <v>5195</v>
      </c>
      <c r="H2165" t="s">
        <v>28</v>
      </c>
      <c r="I2165" t="s">
        <v>5888</v>
      </c>
      <c r="J2165" t="s">
        <v>63</v>
      </c>
      <c r="K2165" t="s">
        <v>481</v>
      </c>
      <c r="M2165">
        <v>90</v>
      </c>
      <c r="N2165" t="s">
        <v>49</v>
      </c>
      <c r="O2165" t="s">
        <v>4327</v>
      </c>
      <c r="P2165" t="s">
        <v>4881</v>
      </c>
      <c r="T2165">
        <v>4</v>
      </c>
      <c r="U2165" t="s">
        <v>56</v>
      </c>
      <c r="V2165" t="s">
        <v>56</v>
      </c>
    </row>
    <row r="2166" spans="1:22" x14ac:dyDescent="0.3">
      <c r="A2166" s="49">
        <v>45274</v>
      </c>
      <c r="E2166" t="s">
        <v>3124</v>
      </c>
      <c r="G2166" t="s">
        <v>5195</v>
      </c>
      <c r="H2166" t="s">
        <v>28</v>
      </c>
      <c r="I2166" t="s">
        <v>5883</v>
      </c>
      <c r="J2166" t="s">
        <v>63</v>
      </c>
      <c r="K2166" t="s">
        <v>64</v>
      </c>
      <c r="M2166">
        <v>100</v>
      </c>
      <c r="N2166" t="s">
        <v>49</v>
      </c>
      <c r="O2166" t="s">
        <v>4328</v>
      </c>
      <c r="P2166" t="s">
        <v>2627</v>
      </c>
      <c r="T2166">
        <v>4</v>
      </c>
      <c r="U2166" t="s">
        <v>56</v>
      </c>
      <c r="V2166" t="s">
        <v>56</v>
      </c>
    </row>
    <row r="2167" spans="1:22" x14ac:dyDescent="0.3">
      <c r="A2167" s="49">
        <v>45274</v>
      </c>
      <c r="E2167" t="s">
        <v>3124</v>
      </c>
      <c r="G2167" t="s">
        <v>5195</v>
      </c>
      <c r="H2167" t="s">
        <v>89</v>
      </c>
      <c r="J2167" t="s">
        <v>63</v>
      </c>
      <c r="K2167" t="s">
        <v>64</v>
      </c>
      <c r="M2167">
        <v>100</v>
      </c>
      <c r="N2167" t="s">
        <v>49</v>
      </c>
      <c r="O2167" t="s">
        <v>4329</v>
      </c>
      <c r="P2167" t="s">
        <v>1230</v>
      </c>
      <c r="T2167">
        <v>4</v>
      </c>
      <c r="U2167" t="s">
        <v>56</v>
      </c>
      <c r="V2167" t="s">
        <v>56</v>
      </c>
    </row>
    <row r="2168" spans="1:22" x14ac:dyDescent="0.3">
      <c r="A2168" s="49">
        <v>45274</v>
      </c>
      <c r="E2168" t="s">
        <v>3124</v>
      </c>
      <c r="G2168" t="s">
        <v>379</v>
      </c>
      <c r="H2168" t="s">
        <v>89</v>
      </c>
      <c r="J2168" t="s">
        <v>63</v>
      </c>
      <c r="K2168" t="s">
        <v>64</v>
      </c>
      <c r="M2168">
        <v>0</v>
      </c>
      <c r="N2168" t="s">
        <v>74</v>
      </c>
      <c r="O2168" t="s">
        <v>4330</v>
      </c>
      <c r="P2168" t="s">
        <v>66</v>
      </c>
      <c r="T2168">
        <v>6</v>
      </c>
      <c r="U2168" t="s">
        <v>40</v>
      </c>
      <c r="V2168" t="s">
        <v>41</v>
      </c>
    </row>
    <row r="2169" spans="1:22" x14ac:dyDescent="0.3">
      <c r="A2169" s="49">
        <v>45274</v>
      </c>
      <c r="E2169" t="s">
        <v>3124</v>
      </c>
      <c r="G2169" t="s">
        <v>379</v>
      </c>
      <c r="H2169" t="s">
        <v>89</v>
      </c>
      <c r="J2169" t="s">
        <v>63</v>
      </c>
      <c r="K2169" t="s">
        <v>64</v>
      </c>
      <c r="M2169">
        <v>100</v>
      </c>
      <c r="N2169" t="s">
        <v>74</v>
      </c>
      <c r="O2169" t="s">
        <v>4331</v>
      </c>
      <c r="P2169" t="s">
        <v>1122</v>
      </c>
      <c r="T2169">
        <v>6</v>
      </c>
      <c r="U2169" t="s">
        <v>40</v>
      </c>
      <c r="V2169" t="s">
        <v>41</v>
      </c>
    </row>
    <row r="2170" spans="1:22" x14ac:dyDescent="0.3">
      <c r="A2170" s="49">
        <v>45274</v>
      </c>
      <c r="E2170" t="s">
        <v>3124</v>
      </c>
      <c r="G2170" t="s">
        <v>379</v>
      </c>
      <c r="H2170" t="s">
        <v>89</v>
      </c>
      <c r="J2170" t="s">
        <v>63</v>
      </c>
      <c r="K2170" t="s">
        <v>64</v>
      </c>
      <c r="M2170">
        <v>100</v>
      </c>
      <c r="N2170" t="s">
        <v>74</v>
      </c>
      <c r="O2170" t="s">
        <v>4332</v>
      </c>
      <c r="P2170" t="s">
        <v>4830</v>
      </c>
      <c r="T2170">
        <v>6</v>
      </c>
      <c r="U2170" t="s">
        <v>40</v>
      </c>
      <c r="V2170" t="s">
        <v>41</v>
      </c>
    </row>
    <row r="2171" spans="1:22" x14ac:dyDescent="0.3">
      <c r="A2171" s="49">
        <v>45274</v>
      </c>
      <c r="E2171" t="s">
        <v>3124</v>
      </c>
      <c r="G2171" t="s">
        <v>379</v>
      </c>
      <c r="H2171" t="s">
        <v>89</v>
      </c>
      <c r="J2171" t="s">
        <v>63</v>
      </c>
      <c r="K2171" t="s">
        <v>64</v>
      </c>
      <c r="M2171">
        <v>100</v>
      </c>
      <c r="N2171" t="s">
        <v>74</v>
      </c>
      <c r="O2171" t="s">
        <v>4333</v>
      </c>
      <c r="P2171" t="s">
        <v>35</v>
      </c>
      <c r="T2171">
        <v>6</v>
      </c>
      <c r="U2171" t="s">
        <v>40</v>
      </c>
      <c r="V2171" t="s">
        <v>41</v>
      </c>
    </row>
    <row r="2172" spans="1:22" x14ac:dyDescent="0.3">
      <c r="A2172" s="49">
        <v>45274</v>
      </c>
      <c r="E2172" t="s">
        <v>3124</v>
      </c>
      <c r="G2172" t="s">
        <v>379</v>
      </c>
      <c r="H2172" t="s">
        <v>89</v>
      </c>
      <c r="J2172" t="s">
        <v>63</v>
      </c>
      <c r="K2172" t="s">
        <v>64</v>
      </c>
      <c r="M2172">
        <v>100</v>
      </c>
      <c r="N2172" t="s">
        <v>74</v>
      </c>
      <c r="O2172" t="s">
        <v>2790</v>
      </c>
      <c r="P2172" t="s">
        <v>170</v>
      </c>
      <c r="T2172">
        <v>6</v>
      </c>
      <c r="U2172" t="s">
        <v>40</v>
      </c>
      <c r="V2172" t="s">
        <v>41</v>
      </c>
    </row>
    <row r="2173" spans="1:22" x14ac:dyDescent="0.3">
      <c r="A2173" s="49">
        <v>45274</v>
      </c>
      <c r="E2173" t="s">
        <v>3124</v>
      </c>
      <c r="G2173" t="s">
        <v>5195</v>
      </c>
      <c r="H2173" t="s">
        <v>28</v>
      </c>
      <c r="I2173" t="s">
        <v>5883</v>
      </c>
      <c r="J2173" t="s">
        <v>63</v>
      </c>
      <c r="K2173" t="s">
        <v>64</v>
      </c>
      <c r="M2173">
        <v>100</v>
      </c>
      <c r="N2173" t="s">
        <v>49</v>
      </c>
      <c r="O2173" t="s">
        <v>4334</v>
      </c>
      <c r="P2173" t="s">
        <v>344</v>
      </c>
      <c r="T2173">
        <v>4</v>
      </c>
      <c r="U2173" t="s">
        <v>56</v>
      </c>
      <c r="V2173" t="s">
        <v>56</v>
      </c>
    </row>
    <row r="2174" spans="1:22" x14ac:dyDescent="0.3">
      <c r="A2174" s="49">
        <v>45274</v>
      </c>
      <c r="E2174" t="s">
        <v>3124</v>
      </c>
      <c r="G2174" t="s">
        <v>379</v>
      </c>
      <c r="H2174" t="s">
        <v>28</v>
      </c>
      <c r="I2174" t="s">
        <v>2711</v>
      </c>
      <c r="J2174" t="s">
        <v>63</v>
      </c>
      <c r="K2174" t="s">
        <v>64</v>
      </c>
      <c r="M2174">
        <v>100</v>
      </c>
      <c r="N2174" t="s">
        <v>49</v>
      </c>
      <c r="O2174" t="s">
        <v>2709</v>
      </c>
      <c r="P2174" t="s">
        <v>287</v>
      </c>
      <c r="T2174">
        <v>4</v>
      </c>
      <c r="U2174" t="s">
        <v>56</v>
      </c>
      <c r="V2174" t="s">
        <v>56</v>
      </c>
    </row>
    <row r="2175" spans="1:22" x14ac:dyDescent="0.3">
      <c r="A2175" s="49">
        <v>45274</v>
      </c>
      <c r="E2175" t="s">
        <v>3124</v>
      </c>
      <c r="G2175" t="s">
        <v>379</v>
      </c>
      <c r="H2175" t="s">
        <v>28</v>
      </c>
      <c r="I2175" t="s">
        <v>2711</v>
      </c>
      <c r="J2175" t="s">
        <v>63</v>
      </c>
      <c r="K2175" t="s">
        <v>64</v>
      </c>
      <c r="M2175">
        <v>100</v>
      </c>
      <c r="N2175" t="s">
        <v>49</v>
      </c>
      <c r="O2175" t="s">
        <v>2709</v>
      </c>
      <c r="P2175" t="s">
        <v>287</v>
      </c>
      <c r="T2175">
        <v>4</v>
      </c>
      <c r="U2175" t="s">
        <v>56</v>
      </c>
      <c r="V2175" t="s">
        <v>56</v>
      </c>
    </row>
    <row r="2176" spans="1:22" x14ac:dyDescent="0.3">
      <c r="A2176" s="49">
        <v>45274</v>
      </c>
      <c r="E2176" t="s">
        <v>3124</v>
      </c>
      <c r="G2176" t="s">
        <v>379</v>
      </c>
      <c r="H2176" t="s">
        <v>28</v>
      </c>
      <c r="I2176" t="s">
        <v>2711</v>
      </c>
      <c r="J2176" t="s">
        <v>63</v>
      </c>
      <c r="K2176" t="s">
        <v>64</v>
      </c>
      <c r="M2176">
        <v>100</v>
      </c>
      <c r="N2176" t="s">
        <v>49</v>
      </c>
      <c r="O2176" t="s">
        <v>2709</v>
      </c>
      <c r="P2176" t="s">
        <v>287</v>
      </c>
      <c r="T2176">
        <v>4</v>
      </c>
      <c r="U2176" t="s">
        <v>56</v>
      </c>
      <c r="V2176" t="s">
        <v>56</v>
      </c>
    </row>
    <row r="2177" spans="1:22" x14ac:dyDescent="0.3">
      <c r="A2177" s="49">
        <v>45274</v>
      </c>
      <c r="E2177" t="s">
        <v>3124</v>
      </c>
      <c r="G2177" t="s">
        <v>379</v>
      </c>
      <c r="H2177" t="s">
        <v>28</v>
      </c>
      <c r="I2177" t="s">
        <v>2711</v>
      </c>
      <c r="J2177" t="s">
        <v>63</v>
      </c>
      <c r="K2177" t="s">
        <v>64</v>
      </c>
      <c r="M2177">
        <v>100</v>
      </c>
      <c r="N2177" t="s">
        <v>49</v>
      </c>
      <c r="O2177" t="s">
        <v>2709</v>
      </c>
      <c r="P2177" t="s">
        <v>287</v>
      </c>
      <c r="T2177">
        <v>4</v>
      </c>
      <c r="U2177" t="s">
        <v>56</v>
      </c>
      <c r="V2177" t="s">
        <v>56</v>
      </c>
    </row>
    <row r="2178" spans="1:22" x14ac:dyDescent="0.3">
      <c r="A2178" s="49">
        <v>45274</v>
      </c>
      <c r="E2178" t="s">
        <v>3124</v>
      </c>
      <c r="G2178" t="s">
        <v>379</v>
      </c>
      <c r="H2178" t="s">
        <v>89</v>
      </c>
      <c r="J2178" t="s">
        <v>63</v>
      </c>
      <c r="K2178" t="s">
        <v>64</v>
      </c>
      <c r="M2178">
        <v>100</v>
      </c>
      <c r="N2178" t="s">
        <v>49</v>
      </c>
      <c r="O2178" t="s">
        <v>4335</v>
      </c>
      <c r="P2178" t="s">
        <v>306</v>
      </c>
      <c r="T2178">
        <v>6</v>
      </c>
      <c r="U2178" t="s">
        <v>40</v>
      </c>
      <c r="V2178" t="s">
        <v>41</v>
      </c>
    </row>
    <row r="2179" spans="1:22" x14ac:dyDescent="0.3">
      <c r="A2179" s="49">
        <v>45274</v>
      </c>
      <c r="E2179" t="s">
        <v>3124</v>
      </c>
      <c r="G2179" t="s">
        <v>5195</v>
      </c>
      <c r="H2179" t="s">
        <v>89</v>
      </c>
      <c r="J2179" t="s">
        <v>1712</v>
      </c>
      <c r="K2179" t="s">
        <v>481</v>
      </c>
      <c r="M2179">
        <v>33</v>
      </c>
      <c r="N2179" t="s">
        <v>49</v>
      </c>
      <c r="O2179" t="s">
        <v>4336</v>
      </c>
      <c r="P2179" t="s">
        <v>1230</v>
      </c>
      <c r="T2179">
        <v>4</v>
      </c>
      <c r="U2179" t="s">
        <v>56</v>
      </c>
      <c r="V2179" t="s">
        <v>56</v>
      </c>
    </row>
    <row r="2180" spans="1:22" x14ac:dyDescent="0.3">
      <c r="A2180" s="49">
        <v>45274</v>
      </c>
      <c r="E2180" t="s">
        <v>3124</v>
      </c>
      <c r="G2180" t="s">
        <v>5195</v>
      </c>
      <c r="H2180" t="s">
        <v>28</v>
      </c>
      <c r="I2180" t="s">
        <v>5465</v>
      </c>
      <c r="J2180" t="s">
        <v>63</v>
      </c>
      <c r="K2180" t="s">
        <v>64</v>
      </c>
      <c r="M2180">
        <v>70</v>
      </c>
      <c r="N2180" t="s">
        <v>49</v>
      </c>
      <c r="O2180" t="s">
        <v>3311</v>
      </c>
      <c r="P2180" t="s">
        <v>791</v>
      </c>
      <c r="T2180">
        <v>4</v>
      </c>
      <c r="U2180" t="s">
        <v>56</v>
      </c>
      <c r="V2180" t="s">
        <v>56</v>
      </c>
    </row>
    <row r="2181" spans="1:22" x14ac:dyDescent="0.3">
      <c r="A2181" s="49">
        <v>45274</v>
      </c>
      <c r="E2181" t="s">
        <v>3124</v>
      </c>
      <c r="G2181" t="s">
        <v>5195</v>
      </c>
      <c r="H2181" t="s">
        <v>28</v>
      </c>
      <c r="I2181" t="s">
        <v>2031</v>
      </c>
      <c r="J2181" t="s">
        <v>63</v>
      </c>
      <c r="K2181" t="s">
        <v>211</v>
      </c>
      <c r="M2181">
        <v>40</v>
      </c>
      <c r="N2181" t="s">
        <v>49</v>
      </c>
      <c r="O2181" t="s">
        <v>4337</v>
      </c>
      <c r="P2181" t="s">
        <v>287</v>
      </c>
      <c r="T2181">
        <v>4</v>
      </c>
      <c r="U2181" t="s">
        <v>56</v>
      </c>
      <c r="V2181" t="s">
        <v>56</v>
      </c>
    </row>
    <row r="2182" spans="1:22" x14ac:dyDescent="0.3">
      <c r="A2182" s="49">
        <v>45274</v>
      </c>
      <c r="E2182" t="s">
        <v>3124</v>
      </c>
      <c r="G2182" t="s">
        <v>379</v>
      </c>
      <c r="H2182" t="s">
        <v>89</v>
      </c>
      <c r="J2182" t="s">
        <v>63</v>
      </c>
      <c r="K2182" t="s">
        <v>64</v>
      </c>
      <c r="M2182">
        <v>100</v>
      </c>
      <c r="N2182" t="s">
        <v>74</v>
      </c>
      <c r="O2182" t="s">
        <v>380</v>
      </c>
      <c r="P2182" t="s">
        <v>381</v>
      </c>
      <c r="T2182">
        <v>6</v>
      </c>
      <c r="U2182" t="s">
        <v>40</v>
      </c>
      <c r="V2182" t="s">
        <v>41</v>
      </c>
    </row>
    <row r="2183" spans="1:22" x14ac:dyDescent="0.3">
      <c r="A2183" s="49">
        <v>45274</v>
      </c>
      <c r="E2183" t="s">
        <v>3124</v>
      </c>
      <c r="G2183" t="s">
        <v>5195</v>
      </c>
      <c r="H2183" t="s">
        <v>28</v>
      </c>
      <c r="I2183" t="s">
        <v>5465</v>
      </c>
      <c r="J2183" t="s">
        <v>63</v>
      </c>
      <c r="K2183" t="s">
        <v>64</v>
      </c>
      <c r="M2183">
        <v>100</v>
      </c>
      <c r="N2183" t="s">
        <v>49</v>
      </c>
      <c r="O2183" t="s">
        <v>4338</v>
      </c>
      <c r="P2183" t="s">
        <v>791</v>
      </c>
      <c r="T2183">
        <v>4</v>
      </c>
      <c r="U2183" t="s">
        <v>56</v>
      </c>
      <c r="V2183" t="s">
        <v>56</v>
      </c>
    </row>
    <row r="2184" spans="1:22" x14ac:dyDescent="0.3">
      <c r="A2184" s="49">
        <v>45274</v>
      </c>
      <c r="E2184" t="s">
        <v>3124</v>
      </c>
      <c r="G2184" t="s">
        <v>5195</v>
      </c>
      <c r="H2184" t="s">
        <v>28</v>
      </c>
      <c r="I2184" t="s">
        <v>5705</v>
      </c>
      <c r="J2184" t="s">
        <v>63</v>
      </c>
      <c r="K2184" t="s">
        <v>64</v>
      </c>
      <c r="M2184">
        <v>70</v>
      </c>
      <c r="N2184" t="s">
        <v>33</v>
      </c>
      <c r="O2184" t="s">
        <v>4339</v>
      </c>
      <c r="P2184" t="s">
        <v>4832</v>
      </c>
      <c r="T2184">
        <v>4</v>
      </c>
      <c r="U2184" t="s">
        <v>56</v>
      </c>
      <c r="V2184" t="s">
        <v>56</v>
      </c>
    </row>
    <row r="2185" spans="1:22" x14ac:dyDescent="0.3">
      <c r="A2185" s="49">
        <v>45274</v>
      </c>
      <c r="E2185" t="s">
        <v>3124</v>
      </c>
      <c r="G2185" t="s">
        <v>379</v>
      </c>
      <c r="H2185" t="s">
        <v>28</v>
      </c>
      <c r="I2185" t="s">
        <v>5889</v>
      </c>
      <c r="J2185" t="s">
        <v>63</v>
      </c>
      <c r="K2185" t="s">
        <v>64</v>
      </c>
      <c r="M2185">
        <v>80</v>
      </c>
      <c r="N2185" t="s">
        <v>49</v>
      </c>
      <c r="O2185" t="s">
        <v>4340</v>
      </c>
      <c r="P2185" t="s">
        <v>1697</v>
      </c>
      <c r="T2185">
        <v>6</v>
      </c>
      <c r="U2185" t="s">
        <v>40</v>
      </c>
      <c r="V2185" t="s">
        <v>41</v>
      </c>
    </row>
    <row r="2186" spans="1:22" x14ac:dyDescent="0.3">
      <c r="A2186" s="49">
        <v>45274</v>
      </c>
      <c r="E2186" t="s">
        <v>3124</v>
      </c>
      <c r="G2186" t="s">
        <v>5196</v>
      </c>
      <c r="H2186" t="s">
        <v>89</v>
      </c>
      <c r="J2186" t="s">
        <v>63</v>
      </c>
      <c r="K2186" t="s">
        <v>197</v>
      </c>
      <c r="M2186">
        <v>20</v>
      </c>
      <c r="N2186" t="s">
        <v>49</v>
      </c>
      <c r="O2186" t="s">
        <v>4341</v>
      </c>
      <c r="P2186" t="s">
        <v>4833</v>
      </c>
      <c r="T2186">
        <v>4</v>
      </c>
      <c r="U2186" t="s">
        <v>56</v>
      </c>
      <c r="V2186" t="s">
        <v>56</v>
      </c>
    </row>
    <row r="2187" spans="1:22" x14ac:dyDescent="0.3">
      <c r="A2187" s="49">
        <v>45274</v>
      </c>
      <c r="E2187" t="s">
        <v>3124</v>
      </c>
      <c r="G2187" t="s">
        <v>5197</v>
      </c>
      <c r="H2187" t="s">
        <v>28</v>
      </c>
      <c r="I2187" t="s">
        <v>5708</v>
      </c>
      <c r="J2187" t="s">
        <v>63</v>
      </c>
      <c r="K2187" t="s">
        <v>197</v>
      </c>
      <c r="M2187">
        <v>70</v>
      </c>
      <c r="N2187" t="s">
        <v>49</v>
      </c>
      <c r="O2187" t="s">
        <v>4342</v>
      </c>
      <c r="P2187" t="s">
        <v>306</v>
      </c>
      <c r="T2187">
        <v>4</v>
      </c>
      <c r="U2187" t="s">
        <v>56</v>
      </c>
      <c r="V2187" t="s">
        <v>56</v>
      </c>
    </row>
    <row r="2188" spans="1:22" x14ac:dyDescent="0.3">
      <c r="A2188" s="49">
        <v>45274</v>
      </c>
      <c r="E2188" t="s">
        <v>3124</v>
      </c>
      <c r="G2188" t="s">
        <v>5197</v>
      </c>
      <c r="H2188" t="s">
        <v>28</v>
      </c>
      <c r="I2188" t="s">
        <v>5890</v>
      </c>
      <c r="J2188" t="s">
        <v>63</v>
      </c>
      <c r="K2188" t="s">
        <v>197</v>
      </c>
      <c r="M2188">
        <v>100</v>
      </c>
      <c r="N2188" t="s">
        <v>49</v>
      </c>
      <c r="O2188" t="s">
        <v>4343</v>
      </c>
      <c r="P2188" t="s">
        <v>4880</v>
      </c>
      <c r="T2188">
        <v>4</v>
      </c>
      <c r="U2188" t="s">
        <v>56</v>
      </c>
      <c r="V2188" t="s">
        <v>56</v>
      </c>
    </row>
    <row r="2189" spans="1:22" x14ac:dyDescent="0.3">
      <c r="A2189" s="49">
        <v>45274</v>
      </c>
      <c r="E2189" t="s">
        <v>3124</v>
      </c>
      <c r="G2189" t="s">
        <v>5196</v>
      </c>
      <c r="H2189" t="s">
        <v>89</v>
      </c>
      <c r="J2189" t="s">
        <v>63</v>
      </c>
      <c r="K2189" t="s">
        <v>197</v>
      </c>
      <c r="M2189">
        <v>100</v>
      </c>
      <c r="N2189" t="s">
        <v>49</v>
      </c>
      <c r="O2189" t="s">
        <v>3829</v>
      </c>
      <c r="P2189" t="s">
        <v>306</v>
      </c>
      <c r="T2189">
        <v>4</v>
      </c>
      <c r="U2189" t="s">
        <v>56</v>
      </c>
      <c r="V2189" t="s">
        <v>56</v>
      </c>
    </row>
    <row r="2190" spans="1:22" x14ac:dyDescent="0.3">
      <c r="A2190" s="49">
        <v>45274</v>
      </c>
      <c r="E2190" t="s">
        <v>3124</v>
      </c>
      <c r="G2190" t="s">
        <v>5196</v>
      </c>
      <c r="H2190" t="s">
        <v>89</v>
      </c>
      <c r="J2190" t="s">
        <v>63</v>
      </c>
      <c r="K2190" t="s">
        <v>197</v>
      </c>
      <c r="M2190">
        <v>100</v>
      </c>
      <c r="N2190" t="s">
        <v>49</v>
      </c>
      <c r="O2190" t="s">
        <v>4344</v>
      </c>
      <c r="P2190" t="s">
        <v>416</v>
      </c>
      <c r="T2190">
        <v>4</v>
      </c>
      <c r="U2190" t="s">
        <v>56</v>
      </c>
      <c r="V2190" t="s">
        <v>56</v>
      </c>
    </row>
    <row r="2191" spans="1:22" x14ac:dyDescent="0.3">
      <c r="A2191" s="49">
        <v>45274</v>
      </c>
      <c r="E2191" t="s">
        <v>3124</v>
      </c>
      <c r="G2191" t="s">
        <v>5197</v>
      </c>
      <c r="H2191" t="s">
        <v>89</v>
      </c>
      <c r="J2191" t="s">
        <v>63</v>
      </c>
      <c r="K2191" t="s">
        <v>64</v>
      </c>
      <c r="M2191">
        <v>33</v>
      </c>
      <c r="N2191" t="s">
        <v>49</v>
      </c>
      <c r="O2191" t="s">
        <v>4345</v>
      </c>
      <c r="P2191" t="s">
        <v>170</v>
      </c>
      <c r="T2191">
        <v>4</v>
      </c>
      <c r="U2191" t="s">
        <v>56</v>
      </c>
      <c r="V2191" t="s">
        <v>56</v>
      </c>
    </row>
    <row r="2192" spans="1:22" x14ac:dyDescent="0.3">
      <c r="A2192" s="49">
        <v>45274</v>
      </c>
      <c r="E2192" t="s">
        <v>3124</v>
      </c>
      <c r="G2192" t="s">
        <v>5197</v>
      </c>
      <c r="H2192" t="s">
        <v>28</v>
      </c>
      <c r="I2192" t="s">
        <v>1396</v>
      </c>
      <c r="J2192" t="s">
        <v>63</v>
      </c>
      <c r="K2192" t="s">
        <v>197</v>
      </c>
      <c r="M2192">
        <v>100</v>
      </c>
      <c r="N2192" t="s">
        <v>49</v>
      </c>
      <c r="O2192" t="s">
        <v>4346</v>
      </c>
      <c r="P2192" t="s">
        <v>2645</v>
      </c>
      <c r="T2192">
        <v>4</v>
      </c>
      <c r="U2192" t="s">
        <v>56</v>
      </c>
      <c r="V2192" t="s">
        <v>56</v>
      </c>
    </row>
    <row r="2193" spans="1:22" x14ac:dyDescent="0.3">
      <c r="A2193" s="49">
        <v>45274</v>
      </c>
      <c r="E2193" t="s">
        <v>3124</v>
      </c>
      <c r="G2193" t="s">
        <v>379</v>
      </c>
      <c r="H2193" t="s">
        <v>28</v>
      </c>
      <c r="I2193" t="s">
        <v>5887</v>
      </c>
      <c r="J2193" t="s">
        <v>63</v>
      </c>
      <c r="K2193" t="s">
        <v>64</v>
      </c>
      <c r="M2193">
        <v>0</v>
      </c>
      <c r="N2193" t="s">
        <v>74</v>
      </c>
      <c r="O2193" t="s">
        <v>4347</v>
      </c>
      <c r="P2193" t="s">
        <v>85</v>
      </c>
      <c r="T2193">
        <v>4</v>
      </c>
      <c r="U2193" t="s">
        <v>56</v>
      </c>
      <c r="V2193" t="s">
        <v>56</v>
      </c>
    </row>
    <row r="2194" spans="1:22" x14ac:dyDescent="0.3">
      <c r="A2194" s="49">
        <v>45274</v>
      </c>
      <c r="E2194" t="s">
        <v>3124</v>
      </c>
      <c r="G2194" t="s">
        <v>379</v>
      </c>
      <c r="H2194" t="s">
        <v>28</v>
      </c>
      <c r="I2194" t="s">
        <v>5891</v>
      </c>
      <c r="J2194" t="s">
        <v>63</v>
      </c>
      <c r="K2194" t="s">
        <v>64</v>
      </c>
      <c r="M2194">
        <v>40</v>
      </c>
      <c r="N2194" t="s">
        <v>33</v>
      </c>
      <c r="O2194" t="s">
        <v>4348</v>
      </c>
      <c r="P2194" t="s">
        <v>743</v>
      </c>
      <c r="T2194">
        <v>6</v>
      </c>
      <c r="U2194" t="s">
        <v>40</v>
      </c>
      <c r="V2194" t="s">
        <v>41</v>
      </c>
    </row>
    <row r="2195" spans="1:22" x14ac:dyDescent="0.3">
      <c r="A2195" s="49">
        <v>45274</v>
      </c>
      <c r="E2195" t="s">
        <v>3124</v>
      </c>
      <c r="G2195" t="s">
        <v>5305</v>
      </c>
      <c r="H2195" t="s">
        <v>89</v>
      </c>
      <c r="J2195" t="s">
        <v>63</v>
      </c>
      <c r="K2195" t="s">
        <v>64</v>
      </c>
      <c r="M2195">
        <v>0</v>
      </c>
      <c r="N2195" t="s">
        <v>74</v>
      </c>
      <c r="O2195" t="s">
        <v>4349</v>
      </c>
      <c r="P2195" t="s">
        <v>358</v>
      </c>
      <c r="T2195">
        <v>6</v>
      </c>
      <c r="U2195" t="s">
        <v>40</v>
      </c>
      <c r="V2195" t="s">
        <v>41</v>
      </c>
    </row>
    <row r="2196" spans="1:22" x14ac:dyDescent="0.3">
      <c r="A2196" s="49">
        <v>45274</v>
      </c>
      <c r="E2196" t="s">
        <v>3125</v>
      </c>
      <c r="G2196" t="s">
        <v>5306</v>
      </c>
      <c r="H2196" t="s">
        <v>28</v>
      </c>
      <c r="I2196" t="s">
        <v>5892</v>
      </c>
      <c r="J2196" t="s">
        <v>46</v>
      </c>
      <c r="K2196" t="s">
        <v>880</v>
      </c>
      <c r="M2196">
        <v>100</v>
      </c>
      <c r="N2196" t="s">
        <v>33</v>
      </c>
      <c r="O2196" t="s">
        <v>4350</v>
      </c>
      <c r="P2196" t="s">
        <v>4897</v>
      </c>
      <c r="T2196">
        <v>4</v>
      </c>
      <c r="U2196" t="s">
        <v>56</v>
      </c>
      <c r="V2196" t="s">
        <v>56</v>
      </c>
    </row>
    <row r="2197" spans="1:22" x14ac:dyDescent="0.3">
      <c r="A2197" s="49">
        <v>45274</v>
      </c>
      <c r="E2197" t="s">
        <v>3125</v>
      </c>
      <c r="G2197" t="s">
        <v>5306</v>
      </c>
      <c r="H2197" t="s">
        <v>28</v>
      </c>
      <c r="I2197" t="s">
        <v>5892</v>
      </c>
      <c r="J2197" t="s">
        <v>46</v>
      </c>
      <c r="K2197" t="s">
        <v>880</v>
      </c>
      <c r="M2197">
        <v>100</v>
      </c>
      <c r="N2197" t="s">
        <v>33</v>
      </c>
      <c r="O2197" t="s">
        <v>4350</v>
      </c>
      <c r="P2197" t="s">
        <v>4897</v>
      </c>
      <c r="T2197">
        <v>4</v>
      </c>
      <c r="U2197" t="s">
        <v>56</v>
      </c>
      <c r="V2197" t="s">
        <v>56</v>
      </c>
    </row>
    <row r="2198" spans="1:22" x14ac:dyDescent="0.3">
      <c r="A2198" s="49">
        <v>45274</v>
      </c>
      <c r="E2198" t="s">
        <v>3125</v>
      </c>
      <c r="G2198" t="s">
        <v>5306</v>
      </c>
      <c r="H2198" t="s">
        <v>28</v>
      </c>
      <c r="I2198" t="s">
        <v>5892</v>
      </c>
      <c r="J2198" t="s">
        <v>46</v>
      </c>
      <c r="K2198" t="s">
        <v>880</v>
      </c>
      <c r="M2198">
        <v>100</v>
      </c>
      <c r="N2198" t="s">
        <v>33</v>
      </c>
      <c r="O2198" t="s">
        <v>4350</v>
      </c>
      <c r="P2198" t="s">
        <v>4897</v>
      </c>
      <c r="T2198">
        <v>4</v>
      </c>
      <c r="U2198" t="s">
        <v>56</v>
      </c>
      <c r="V2198" t="s">
        <v>56</v>
      </c>
    </row>
    <row r="2199" spans="1:22" x14ac:dyDescent="0.3">
      <c r="A2199" s="49">
        <v>45274</v>
      </c>
      <c r="E2199" t="s">
        <v>3125</v>
      </c>
      <c r="G2199" t="s">
        <v>5306</v>
      </c>
      <c r="H2199" t="s">
        <v>28</v>
      </c>
      <c r="I2199" t="s">
        <v>5892</v>
      </c>
      <c r="J2199" t="s">
        <v>46</v>
      </c>
      <c r="K2199" t="s">
        <v>880</v>
      </c>
      <c r="M2199">
        <v>100</v>
      </c>
      <c r="N2199" t="s">
        <v>33</v>
      </c>
      <c r="O2199" t="s">
        <v>4350</v>
      </c>
      <c r="P2199" t="s">
        <v>4897</v>
      </c>
      <c r="T2199">
        <v>4</v>
      </c>
      <c r="U2199" t="s">
        <v>56</v>
      </c>
      <c r="V2199" t="s">
        <v>56</v>
      </c>
    </row>
    <row r="2200" spans="1:22" x14ac:dyDescent="0.3">
      <c r="A2200" s="49">
        <v>45274</v>
      </c>
      <c r="E2200" t="s">
        <v>3125</v>
      </c>
      <c r="G2200" t="s">
        <v>5306</v>
      </c>
      <c r="H2200" t="s">
        <v>28</v>
      </c>
      <c r="I2200" t="s">
        <v>5892</v>
      </c>
      <c r="J2200" t="s">
        <v>46</v>
      </c>
      <c r="K2200" t="s">
        <v>880</v>
      </c>
      <c r="M2200">
        <v>100</v>
      </c>
      <c r="N2200" t="s">
        <v>33</v>
      </c>
      <c r="O2200" t="s">
        <v>4350</v>
      </c>
      <c r="P2200" t="s">
        <v>4897</v>
      </c>
      <c r="T2200">
        <v>4</v>
      </c>
      <c r="U2200" t="s">
        <v>56</v>
      </c>
      <c r="V2200" t="s">
        <v>56</v>
      </c>
    </row>
    <row r="2201" spans="1:22" x14ac:dyDescent="0.3">
      <c r="A2201" s="49">
        <v>45274</v>
      </c>
      <c r="E2201" t="s">
        <v>3125</v>
      </c>
      <c r="G2201" t="s">
        <v>5306</v>
      </c>
      <c r="H2201" t="s">
        <v>28</v>
      </c>
      <c r="I2201" t="s">
        <v>5892</v>
      </c>
      <c r="J2201" t="s">
        <v>46</v>
      </c>
      <c r="K2201" t="s">
        <v>880</v>
      </c>
      <c r="M2201">
        <v>100</v>
      </c>
      <c r="N2201" t="s">
        <v>33</v>
      </c>
      <c r="O2201" t="s">
        <v>4350</v>
      </c>
      <c r="P2201" t="s">
        <v>4897</v>
      </c>
      <c r="T2201">
        <v>4</v>
      </c>
      <c r="U2201" t="s">
        <v>56</v>
      </c>
      <c r="V2201" t="s">
        <v>56</v>
      </c>
    </row>
    <row r="2202" spans="1:22" x14ac:dyDescent="0.3">
      <c r="A2202" s="49">
        <v>45274</v>
      </c>
      <c r="E2202" t="s">
        <v>3125</v>
      </c>
      <c r="G2202" t="s">
        <v>5306</v>
      </c>
      <c r="H2202" t="s">
        <v>28</v>
      </c>
      <c r="I2202" t="s">
        <v>5892</v>
      </c>
      <c r="J2202" t="s">
        <v>46</v>
      </c>
      <c r="K2202" t="s">
        <v>880</v>
      </c>
      <c r="M2202">
        <v>100</v>
      </c>
      <c r="N2202" t="s">
        <v>33</v>
      </c>
      <c r="O2202" t="s">
        <v>4350</v>
      </c>
      <c r="P2202" t="s">
        <v>4897</v>
      </c>
      <c r="T2202">
        <v>4</v>
      </c>
      <c r="U2202" t="s">
        <v>56</v>
      </c>
      <c r="V2202" t="s">
        <v>56</v>
      </c>
    </row>
    <row r="2203" spans="1:22" x14ac:dyDescent="0.3">
      <c r="A2203" s="49">
        <v>45274</v>
      </c>
      <c r="E2203" t="s">
        <v>3125</v>
      </c>
      <c r="G2203" t="s">
        <v>5306</v>
      </c>
      <c r="H2203" t="s">
        <v>28</v>
      </c>
      <c r="I2203" t="s">
        <v>5892</v>
      </c>
      <c r="J2203" t="s">
        <v>46</v>
      </c>
      <c r="K2203" t="s">
        <v>880</v>
      </c>
      <c r="M2203">
        <v>100</v>
      </c>
      <c r="N2203" t="s">
        <v>33</v>
      </c>
      <c r="O2203" t="s">
        <v>4350</v>
      </c>
      <c r="P2203" t="s">
        <v>4897</v>
      </c>
      <c r="T2203">
        <v>4</v>
      </c>
      <c r="U2203" t="s">
        <v>56</v>
      </c>
      <c r="V2203" t="s">
        <v>56</v>
      </c>
    </row>
    <row r="2204" spans="1:22" x14ac:dyDescent="0.3">
      <c r="A2204" s="49">
        <v>45274</v>
      </c>
      <c r="E2204" t="s">
        <v>3125</v>
      </c>
      <c r="G2204" t="s">
        <v>5306</v>
      </c>
      <c r="H2204" t="s">
        <v>28</v>
      </c>
      <c r="I2204" t="s">
        <v>5892</v>
      </c>
      <c r="J2204" t="s">
        <v>46</v>
      </c>
      <c r="K2204" t="s">
        <v>880</v>
      </c>
      <c r="M2204">
        <v>100</v>
      </c>
      <c r="N2204" t="s">
        <v>33</v>
      </c>
      <c r="O2204" t="s">
        <v>4350</v>
      </c>
      <c r="P2204" t="s">
        <v>4897</v>
      </c>
      <c r="T2204">
        <v>4</v>
      </c>
      <c r="U2204" t="s">
        <v>56</v>
      </c>
      <c r="V2204" t="s">
        <v>56</v>
      </c>
    </row>
    <row r="2205" spans="1:22" x14ac:dyDescent="0.3">
      <c r="A2205" s="49">
        <v>45274</v>
      </c>
      <c r="E2205" t="s">
        <v>3125</v>
      </c>
      <c r="G2205" t="s">
        <v>5307</v>
      </c>
      <c r="H2205" t="s">
        <v>28</v>
      </c>
      <c r="I2205" t="s">
        <v>5893</v>
      </c>
      <c r="J2205" t="s">
        <v>46</v>
      </c>
      <c r="K2205" t="s">
        <v>481</v>
      </c>
      <c r="M2205">
        <v>100</v>
      </c>
      <c r="N2205" t="s">
        <v>49</v>
      </c>
      <c r="O2205" t="s">
        <v>4351</v>
      </c>
      <c r="P2205" t="s">
        <v>1116</v>
      </c>
      <c r="T2205">
        <v>4</v>
      </c>
      <c r="U2205" t="s">
        <v>56</v>
      </c>
      <c r="V2205" t="s">
        <v>56</v>
      </c>
    </row>
    <row r="2206" spans="1:22" x14ac:dyDescent="0.3">
      <c r="A2206" s="49">
        <v>45274</v>
      </c>
      <c r="E2206" t="s">
        <v>3125</v>
      </c>
      <c r="G2206" t="s">
        <v>5308</v>
      </c>
      <c r="H2206" t="s">
        <v>28</v>
      </c>
      <c r="I2206" t="s">
        <v>5894</v>
      </c>
      <c r="J2206" t="s">
        <v>63</v>
      </c>
      <c r="K2206" t="s">
        <v>64</v>
      </c>
      <c r="M2206">
        <v>100</v>
      </c>
      <c r="N2206" t="s">
        <v>33</v>
      </c>
      <c r="O2206" t="s">
        <v>4352</v>
      </c>
      <c r="P2206" t="s">
        <v>35</v>
      </c>
      <c r="T2206">
        <v>4</v>
      </c>
      <c r="U2206" t="s">
        <v>56</v>
      </c>
      <c r="V2206" t="s">
        <v>56</v>
      </c>
    </row>
    <row r="2207" spans="1:22" x14ac:dyDescent="0.3">
      <c r="A2207" s="49">
        <v>45274</v>
      </c>
      <c r="E2207" t="s">
        <v>3125</v>
      </c>
      <c r="G2207" t="s">
        <v>5102</v>
      </c>
      <c r="H2207" t="s">
        <v>28</v>
      </c>
      <c r="I2207" t="s">
        <v>5895</v>
      </c>
      <c r="J2207" t="s">
        <v>63</v>
      </c>
      <c r="K2207" t="s">
        <v>64</v>
      </c>
      <c r="M2207">
        <v>100</v>
      </c>
      <c r="N2207" t="s">
        <v>49</v>
      </c>
      <c r="O2207" t="s">
        <v>4353</v>
      </c>
      <c r="P2207" t="s">
        <v>4877</v>
      </c>
      <c r="T2207">
        <v>4</v>
      </c>
      <c r="U2207" t="s">
        <v>56</v>
      </c>
      <c r="V2207" t="s">
        <v>56</v>
      </c>
    </row>
    <row r="2208" spans="1:22" x14ac:dyDescent="0.3">
      <c r="A2208" s="49">
        <v>45274</v>
      </c>
      <c r="E2208" t="s">
        <v>3125</v>
      </c>
      <c r="G2208" t="s">
        <v>5102</v>
      </c>
      <c r="H2208" t="s">
        <v>28</v>
      </c>
      <c r="I2208" t="s">
        <v>5895</v>
      </c>
      <c r="J2208" t="s">
        <v>63</v>
      </c>
      <c r="K2208" t="s">
        <v>64</v>
      </c>
      <c r="M2208">
        <v>100</v>
      </c>
      <c r="N2208" t="s">
        <v>49</v>
      </c>
      <c r="O2208" t="s">
        <v>4353</v>
      </c>
      <c r="P2208" t="s">
        <v>4877</v>
      </c>
      <c r="T2208">
        <v>4</v>
      </c>
      <c r="U2208" t="s">
        <v>56</v>
      </c>
      <c r="V2208" t="s">
        <v>56</v>
      </c>
    </row>
    <row r="2209" spans="1:22" x14ac:dyDescent="0.3">
      <c r="A2209" s="49">
        <v>45274</v>
      </c>
      <c r="E2209" t="s">
        <v>3125</v>
      </c>
      <c r="G2209" t="s">
        <v>5306</v>
      </c>
      <c r="H2209" t="s">
        <v>28</v>
      </c>
      <c r="I2209" t="s">
        <v>5892</v>
      </c>
      <c r="J2209" t="s">
        <v>46</v>
      </c>
      <c r="K2209" t="s">
        <v>880</v>
      </c>
      <c r="M2209">
        <v>100</v>
      </c>
      <c r="N2209" t="s">
        <v>33</v>
      </c>
      <c r="O2209" t="s">
        <v>4350</v>
      </c>
      <c r="P2209" t="s">
        <v>4897</v>
      </c>
      <c r="T2209">
        <v>4</v>
      </c>
      <c r="U2209" t="s">
        <v>56</v>
      </c>
      <c r="V2209" t="s">
        <v>56</v>
      </c>
    </row>
    <row r="2210" spans="1:22" x14ac:dyDescent="0.3">
      <c r="A2210" s="49">
        <v>45274</v>
      </c>
      <c r="E2210" t="s">
        <v>3125</v>
      </c>
      <c r="G2210" t="s">
        <v>5306</v>
      </c>
      <c r="H2210" t="s">
        <v>28</v>
      </c>
      <c r="I2210" t="s">
        <v>5892</v>
      </c>
      <c r="J2210" t="s">
        <v>46</v>
      </c>
      <c r="K2210" t="s">
        <v>880</v>
      </c>
      <c r="M2210">
        <v>100</v>
      </c>
      <c r="N2210" t="s">
        <v>33</v>
      </c>
      <c r="O2210" t="s">
        <v>4350</v>
      </c>
      <c r="P2210" t="s">
        <v>4897</v>
      </c>
      <c r="T2210">
        <v>4</v>
      </c>
      <c r="U2210" t="s">
        <v>56</v>
      </c>
      <c r="V2210" t="s">
        <v>56</v>
      </c>
    </row>
    <row r="2211" spans="1:22" x14ac:dyDescent="0.3">
      <c r="A2211" s="49">
        <v>45274</v>
      </c>
      <c r="E2211" t="s">
        <v>3125</v>
      </c>
      <c r="G2211" t="s">
        <v>5306</v>
      </c>
      <c r="H2211" t="s">
        <v>28</v>
      </c>
      <c r="I2211" t="s">
        <v>5892</v>
      </c>
      <c r="J2211" t="s">
        <v>46</v>
      </c>
      <c r="K2211" t="s">
        <v>880</v>
      </c>
      <c r="M2211">
        <v>100</v>
      </c>
      <c r="N2211" t="s">
        <v>33</v>
      </c>
      <c r="O2211" t="s">
        <v>4350</v>
      </c>
      <c r="P2211" t="s">
        <v>4897</v>
      </c>
      <c r="T2211">
        <v>4</v>
      </c>
      <c r="U2211" t="s">
        <v>56</v>
      </c>
      <c r="V2211" t="s">
        <v>56</v>
      </c>
    </row>
    <row r="2212" spans="1:22" x14ac:dyDescent="0.3">
      <c r="A2212" s="49">
        <v>45274</v>
      </c>
      <c r="E2212" t="s">
        <v>3125</v>
      </c>
      <c r="G2212" t="s">
        <v>5306</v>
      </c>
      <c r="H2212" t="s">
        <v>28</v>
      </c>
      <c r="I2212" t="s">
        <v>5892</v>
      </c>
      <c r="J2212" t="s">
        <v>46</v>
      </c>
      <c r="K2212" t="s">
        <v>880</v>
      </c>
      <c r="M2212">
        <v>100</v>
      </c>
      <c r="N2212" t="s">
        <v>33</v>
      </c>
      <c r="O2212" t="s">
        <v>4350</v>
      </c>
      <c r="P2212" t="s">
        <v>4897</v>
      </c>
      <c r="T2212">
        <v>4</v>
      </c>
      <c r="U2212" t="s">
        <v>56</v>
      </c>
      <c r="V2212" t="s">
        <v>56</v>
      </c>
    </row>
    <row r="2213" spans="1:22" x14ac:dyDescent="0.3">
      <c r="A2213" s="49">
        <v>45274</v>
      </c>
      <c r="E2213" t="s">
        <v>3125</v>
      </c>
      <c r="G2213" t="s">
        <v>5076</v>
      </c>
      <c r="H2213" t="s">
        <v>89</v>
      </c>
      <c r="J2213" t="s">
        <v>63</v>
      </c>
      <c r="K2213" t="s">
        <v>64</v>
      </c>
      <c r="M2213">
        <v>100</v>
      </c>
      <c r="N2213" t="s">
        <v>49</v>
      </c>
      <c r="O2213" t="s">
        <v>4354</v>
      </c>
      <c r="P2213" t="s">
        <v>2645</v>
      </c>
      <c r="T2213">
        <v>4</v>
      </c>
      <c r="U2213" t="s">
        <v>56</v>
      </c>
      <c r="V2213" t="s">
        <v>56</v>
      </c>
    </row>
    <row r="2214" spans="1:22" x14ac:dyDescent="0.3">
      <c r="A2214" s="49">
        <v>45274</v>
      </c>
      <c r="E2214" t="s">
        <v>3125</v>
      </c>
      <c r="G2214" t="s">
        <v>5076</v>
      </c>
      <c r="H2214" t="s">
        <v>89</v>
      </c>
      <c r="J2214" t="s">
        <v>63</v>
      </c>
      <c r="K2214" t="s">
        <v>64</v>
      </c>
      <c r="M2214">
        <v>100</v>
      </c>
      <c r="N2214" t="s">
        <v>49</v>
      </c>
      <c r="O2214" t="s">
        <v>4355</v>
      </c>
      <c r="P2214" t="s">
        <v>1701</v>
      </c>
      <c r="T2214">
        <v>4</v>
      </c>
      <c r="U2214" t="s">
        <v>56</v>
      </c>
      <c r="V2214" t="s">
        <v>56</v>
      </c>
    </row>
    <row r="2215" spans="1:22" x14ac:dyDescent="0.3">
      <c r="A2215" s="49">
        <v>45274</v>
      </c>
      <c r="E2215" t="s">
        <v>3125</v>
      </c>
      <c r="G2215" t="s">
        <v>5076</v>
      </c>
      <c r="H2215" t="s">
        <v>89</v>
      </c>
      <c r="J2215" t="s">
        <v>63</v>
      </c>
      <c r="K2215" t="s">
        <v>64</v>
      </c>
      <c r="M2215">
        <v>100</v>
      </c>
      <c r="N2215" t="s">
        <v>49</v>
      </c>
      <c r="O2215" t="s">
        <v>4356</v>
      </c>
      <c r="P2215" t="s">
        <v>2029</v>
      </c>
      <c r="T2215">
        <v>4</v>
      </c>
      <c r="U2215" t="s">
        <v>56</v>
      </c>
      <c r="V2215" t="s">
        <v>56</v>
      </c>
    </row>
    <row r="2216" spans="1:22" x14ac:dyDescent="0.3">
      <c r="A2216" s="49">
        <v>45274</v>
      </c>
      <c r="E2216" t="s">
        <v>3234</v>
      </c>
      <c r="G2216" t="s">
        <v>5309</v>
      </c>
      <c r="H2216" t="s">
        <v>89</v>
      </c>
      <c r="J2216" t="s">
        <v>63</v>
      </c>
      <c r="K2216" t="s">
        <v>64</v>
      </c>
      <c r="M2216">
        <v>68</v>
      </c>
      <c r="N2216" t="s">
        <v>49</v>
      </c>
      <c r="O2216" t="s">
        <v>4357</v>
      </c>
      <c r="P2216" t="s">
        <v>4896</v>
      </c>
      <c r="T2216">
        <v>4</v>
      </c>
      <c r="U2216" t="s">
        <v>56</v>
      </c>
      <c r="V2216" t="s">
        <v>56</v>
      </c>
    </row>
    <row r="2217" spans="1:22" x14ac:dyDescent="0.3">
      <c r="A2217" s="49">
        <v>45274</v>
      </c>
      <c r="E2217" t="s">
        <v>3159</v>
      </c>
      <c r="G2217" t="s">
        <v>5310</v>
      </c>
      <c r="H2217" t="s">
        <v>28</v>
      </c>
      <c r="I2217" t="s">
        <v>5896</v>
      </c>
      <c r="J2217" t="s">
        <v>63</v>
      </c>
      <c r="K2217" t="s">
        <v>64</v>
      </c>
      <c r="M2217">
        <v>100</v>
      </c>
      <c r="N2217" t="s">
        <v>49</v>
      </c>
      <c r="O2217" t="s">
        <v>4358</v>
      </c>
      <c r="P2217" t="s">
        <v>4897</v>
      </c>
      <c r="T2217">
        <v>4</v>
      </c>
      <c r="U2217" t="s">
        <v>56</v>
      </c>
      <c r="V2217" t="s">
        <v>56</v>
      </c>
    </row>
    <row r="2218" spans="1:22" x14ac:dyDescent="0.3">
      <c r="A2218" s="49">
        <v>45274</v>
      </c>
      <c r="E2218" t="s">
        <v>3159</v>
      </c>
      <c r="G2218" t="s">
        <v>5310</v>
      </c>
      <c r="H2218" t="s">
        <v>28</v>
      </c>
      <c r="I2218" t="s">
        <v>5896</v>
      </c>
      <c r="J2218" t="s">
        <v>63</v>
      </c>
      <c r="K2218" t="s">
        <v>64</v>
      </c>
      <c r="M2218">
        <v>100</v>
      </c>
      <c r="N2218" t="s">
        <v>49</v>
      </c>
      <c r="O2218" t="s">
        <v>4358</v>
      </c>
      <c r="P2218" t="s">
        <v>4897</v>
      </c>
      <c r="T2218">
        <v>4</v>
      </c>
      <c r="U2218" t="s">
        <v>56</v>
      </c>
      <c r="V2218" t="s">
        <v>56</v>
      </c>
    </row>
    <row r="2219" spans="1:22" x14ac:dyDescent="0.3">
      <c r="A2219" s="49">
        <v>45274</v>
      </c>
      <c r="E2219" t="s">
        <v>3159</v>
      </c>
      <c r="G2219" t="s">
        <v>5310</v>
      </c>
      <c r="H2219" t="s">
        <v>28</v>
      </c>
      <c r="I2219" t="s">
        <v>5896</v>
      </c>
      <c r="J2219" t="s">
        <v>63</v>
      </c>
      <c r="K2219" t="s">
        <v>64</v>
      </c>
      <c r="M2219">
        <v>100</v>
      </c>
      <c r="N2219" t="s">
        <v>49</v>
      </c>
      <c r="O2219" t="s">
        <v>4358</v>
      </c>
      <c r="P2219" t="s">
        <v>4897</v>
      </c>
      <c r="T2219">
        <v>4</v>
      </c>
      <c r="U2219" t="s">
        <v>56</v>
      </c>
      <c r="V2219" t="s">
        <v>56</v>
      </c>
    </row>
    <row r="2220" spans="1:22" x14ac:dyDescent="0.3">
      <c r="A2220" s="49">
        <v>45274</v>
      </c>
      <c r="E2220" t="s">
        <v>3159</v>
      </c>
      <c r="G2220" t="s">
        <v>5310</v>
      </c>
      <c r="H2220" t="s">
        <v>28</v>
      </c>
      <c r="I2220" t="s">
        <v>5896</v>
      </c>
      <c r="J2220" t="s">
        <v>63</v>
      </c>
      <c r="K2220" t="s">
        <v>64</v>
      </c>
      <c r="M2220">
        <v>100</v>
      </c>
      <c r="N2220" t="s">
        <v>49</v>
      </c>
      <c r="O2220" t="s">
        <v>4358</v>
      </c>
      <c r="P2220" t="s">
        <v>4897</v>
      </c>
      <c r="T2220">
        <v>4</v>
      </c>
      <c r="U2220" t="s">
        <v>56</v>
      </c>
      <c r="V2220" t="s">
        <v>56</v>
      </c>
    </row>
    <row r="2221" spans="1:22" x14ac:dyDescent="0.3">
      <c r="A2221" s="49">
        <v>45274</v>
      </c>
      <c r="E2221" t="s">
        <v>3159</v>
      </c>
      <c r="G2221" t="s">
        <v>5310</v>
      </c>
      <c r="H2221" t="s">
        <v>28</v>
      </c>
      <c r="I2221" t="s">
        <v>5896</v>
      </c>
      <c r="J2221" t="s">
        <v>63</v>
      </c>
      <c r="K2221" t="s">
        <v>64</v>
      </c>
      <c r="M2221">
        <v>100</v>
      </c>
      <c r="N2221" t="s">
        <v>49</v>
      </c>
      <c r="O2221" t="s">
        <v>4358</v>
      </c>
      <c r="P2221" t="s">
        <v>4897</v>
      </c>
      <c r="T2221">
        <v>4</v>
      </c>
      <c r="U2221" t="s">
        <v>56</v>
      </c>
      <c r="V2221" t="s">
        <v>56</v>
      </c>
    </row>
    <row r="2222" spans="1:22" x14ac:dyDescent="0.3">
      <c r="A2222" s="49">
        <v>45274</v>
      </c>
      <c r="E2222" t="s">
        <v>3159</v>
      </c>
      <c r="G2222" t="s">
        <v>5311</v>
      </c>
      <c r="H2222" t="s">
        <v>28</v>
      </c>
      <c r="I2222" t="s">
        <v>5897</v>
      </c>
      <c r="J2222" t="s">
        <v>63</v>
      </c>
      <c r="K2222" t="s">
        <v>64</v>
      </c>
      <c r="M2222">
        <v>100</v>
      </c>
      <c r="N2222" t="s">
        <v>49</v>
      </c>
      <c r="O2222" t="s">
        <v>4359</v>
      </c>
      <c r="P2222" t="s">
        <v>66</v>
      </c>
      <c r="T2222">
        <v>4</v>
      </c>
      <c r="U2222" t="s">
        <v>56</v>
      </c>
      <c r="V2222" t="s">
        <v>56</v>
      </c>
    </row>
    <row r="2223" spans="1:22" x14ac:dyDescent="0.3">
      <c r="A2223" s="49">
        <v>45274</v>
      </c>
      <c r="E2223" t="s">
        <v>3160</v>
      </c>
      <c r="G2223" t="s">
        <v>5312</v>
      </c>
      <c r="H2223" t="s">
        <v>89</v>
      </c>
      <c r="J2223" t="s">
        <v>63</v>
      </c>
      <c r="K2223" t="s">
        <v>64</v>
      </c>
      <c r="M2223">
        <v>100</v>
      </c>
      <c r="N2223" t="s">
        <v>49</v>
      </c>
      <c r="O2223" t="s">
        <v>4360</v>
      </c>
      <c r="P2223" t="s">
        <v>751</v>
      </c>
      <c r="T2223">
        <v>3</v>
      </c>
      <c r="U2223" t="s">
        <v>1763</v>
      </c>
      <c r="V2223" t="s">
        <v>56</v>
      </c>
    </row>
    <row r="2224" spans="1:22" x14ac:dyDescent="0.3">
      <c r="A2224" s="49">
        <v>45274</v>
      </c>
      <c r="E2224" t="s">
        <v>3160</v>
      </c>
      <c r="G2224" t="s">
        <v>5313</v>
      </c>
      <c r="H2224" t="s">
        <v>28</v>
      </c>
      <c r="I2224" t="s">
        <v>5898</v>
      </c>
      <c r="J2224" t="s">
        <v>1712</v>
      </c>
      <c r="K2224" t="s">
        <v>481</v>
      </c>
      <c r="M2224">
        <v>100</v>
      </c>
      <c r="N2224" t="s">
        <v>49</v>
      </c>
      <c r="O2224" t="s">
        <v>4361</v>
      </c>
      <c r="P2224" t="s">
        <v>4904</v>
      </c>
      <c r="T2224">
        <v>4</v>
      </c>
      <c r="U2224" t="s">
        <v>56</v>
      </c>
      <c r="V2224" t="s">
        <v>56</v>
      </c>
    </row>
    <row r="2225" spans="1:22" x14ac:dyDescent="0.3">
      <c r="A2225" s="49">
        <v>45274</v>
      </c>
      <c r="E2225" t="s">
        <v>3160</v>
      </c>
      <c r="G2225" t="s">
        <v>5313</v>
      </c>
      <c r="H2225" t="s">
        <v>28</v>
      </c>
      <c r="I2225" t="s">
        <v>5898</v>
      </c>
      <c r="J2225" t="s">
        <v>1712</v>
      </c>
      <c r="K2225" t="s">
        <v>481</v>
      </c>
      <c r="M2225">
        <v>100</v>
      </c>
      <c r="N2225" t="s">
        <v>49</v>
      </c>
      <c r="O2225" t="s">
        <v>4361</v>
      </c>
      <c r="P2225" t="s">
        <v>4904</v>
      </c>
      <c r="T2225">
        <v>4</v>
      </c>
      <c r="U2225" t="s">
        <v>56</v>
      </c>
      <c r="V2225" t="s">
        <v>56</v>
      </c>
    </row>
    <row r="2226" spans="1:22" x14ac:dyDescent="0.3">
      <c r="A2226" s="49">
        <v>45274</v>
      </c>
      <c r="E2226" t="s">
        <v>3160</v>
      </c>
      <c r="G2226" t="s">
        <v>5313</v>
      </c>
      <c r="H2226" t="s">
        <v>28</v>
      </c>
      <c r="I2226" t="s">
        <v>5898</v>
      </c>
      <c r="J2226" t="s">
        <v>1712</v>
      </c>
      <c r="K2226" t="s">
        <v>481</v>
      </c>
      <c r="M2226">
        <v>100</v>
      </c>
      <c r="N2226" t="s">
        <v>49</v>
      </c>
      <c r="O2226" t="s">
        <v>4361</v>
      </c>
      <c r="P2226" t="s">
        <v>4904</v>
      </c>
      <c r="T2226">
        <v>4</v>
      </c>
      <c r="U2226" t="s">
        <v>56</v>
      </c>
      <c r="V2226" t="s">
        <v>56</v>
      </c>
    </row>
    <row r="2227" spans="1:22" x14ac:dyDescent="0.3">
      <c r="A2227" s="49">
        <v>45274</v>
      </c>
      <c r="E2227" t="s">
        <v>3160</v>
      </c>
      <c r="G2227" t="s">
        <v>5313</v>
      </c>
      <c r="H2227" t="s">
        <v>28</v>
      </c>
      <c r="I2227" t="s">
        <v>5898</v>
      </c>
      <c r="J2227" t="s">
        <v>1712</v>
      </c>
      <c r="K2227" t="s">
        <v>481</v>
      </c>
      <c r="M2227">
        <v>100</v>
      </c>
      <c r="N2227" t="s">
        <v>49</v>
      </c>
      <c r="O2227" t="s">
        <v>4361</v>
      </c>
      <c r="P2227" t="s">
        <v>4904</v>
      </c>
      <c r="T2227">
        <v>4</v>
      </c>
      <c r="U2227" t="s">
        <v>56</v>
      </c>
      <c r="V2227" t="s">
        <v>56</v>
      </c>
    </row>
    <row r="2228" spans="1:22" x14ac:dyDescent="0.3">
      <c r="A2228" s="49">
        <v>45274</v>
      </c>
      <c r="E2228" t="s">
        <v>3160</v>
      </c>
      <c r="G2228" t="s">
        <v>5312</v>
      </c>
      <c r="H2228" t="s">
        <v>89</v>
      </c>
      <c r="J2228" t="s">
        <v>63</v>
      </c>
      <c r="K2228" t="s">
        <v>64</v>
      </c>
      <c r="M2228">
        <v>100</v>
      </c>
      <c r="N2228" t="s">
        <v>49</v>
      </c>
      <c r="O2228" t="s">
        <v>4362</v>
      </c>
      <c r="P2228" t="s">
        <v>751</v>
      </c>
      <c r="T2228">
        <v>4</v>
      </c>
      <c r="U2228" t="s">
        <v>56</v>
      </c>
      <c r="V2228" t="s">
        <v>56</v>
      </c>
    </row>
    <row r="2229" spans="1:22" x14ac:dyDescent="0.3">
      <c r="A2229" s="49">
        <v>45274</v>
      </c>
      <c r="E2229" t="s">
        <v>3126</v>
      </c>
      <c r="G2229" t="s">
        <v>5314</v>
      </c>
      <c r="H2229" t="s">
        <v>89</v>
      </c>
      <c r="J2229" t="s">
        <v>63</v>
      </c>
      <c r="K2229" t="s">
        <v>64</v>
      </c>
      <c r="M2229">
        <v>75</v>
      </c>
      <c r="N2229" t="s">
        <v>49</v>
      </c>
      <c r="O2229" t="s">
        <v>4363</v>
      </c>
      <c r="P2229" t="s">
        <v>66</v>
      </c>
      <c r="T2229">
        <v>2</v>
      </c>
      <c r="U2229" t="s">
        <v>1763</v>
      </c>
      <c r="V2229" t="s">
        <v>56</v>
      </c>
    </row>
    <row r="2230" spans="1:22" x14ac:dyDescent="0.3">
      <c r="A2230" s="49">
        <v>45274</v>
      </c>
      <c r="E2230" t="s">
        <v>3126</v>
      </c>
      <c r="G2230" t="s">
        <v>4993</v>
      </c>
      <c r="H2230" t="s">
        <v>89</v>
      </c>
      <c r="J2230" t="s">
        <v>63</v>
      </c>
      <c r="K2230" t="s">
        <v>64</v>
      </c>
      <c r="M2230">
        <v>80</v>
      </c>
      <c r="N2230" t="s">
        <v>49</v>
      </c>
      <c r="O2230" t="s">
        <v>4364</v>
      </c>
      <c r="P2230" t="s">
        <v>1116</v>
      </c>
      <c r="T2230">
        <v>4</v>
      </c>
      <c r="U2230" t="s">
        <v>56</v>
      </c>
      <c r="V2230" t="s">
        <v>56</v>
      </c>
    </row>
    <row r="2231" spans="1:22" x14ac:dyDescent="0.3">
      <c r="A2231" s="49">
        <v>45274</v>
      </c>
      <c r="E2231" t="s">
        <v>3126</v>
      </c>
      <c r="G2231" t="s">
        <v>4993</v>
      </c>
      <c r="H2231" t="s">
        <v>28</v>
      </c>
      <c r="I2231" t="s">
        <v>5899</v>
      </c>
      <c r="J2231" t="s">
        <v>63</v>
      </c>
      <c r="K2231" t="s">
        <v>64</v>
      </c>
      <c r="M2231">
        <v>75</v>
      </c>
      <c r="N2231" t="s">
        <v>49</v>
      </c>
      <c r="O2231" t="s">
        <v>4365</v>
      </c>
      <c r="P2231" t="s">
        <v>66</v>
      </c>
      <c r="T2231">
        <v>4</v>
      </c>
      <c r="U2231" t="s">
        <v>56</v>
      </c>
      <c r="V2231" t="s">
        <v>56</v>
      </c>
    </row>
    <row r="2232" spans="1:22" x14ac:dyDescent="0.3">
      <c r="A2232" s="49">
        <v>45274</v>
      </c>
      <c r="E2232" t="s">
        <v>3161</v>
      </c>
      <c r="G2232" t="s">
        <v>5041</v>
      </c>
      <c r="H2232" t="s">
        <v>28</v>
      </c>
      <c r="I2232" t="s">
        <v>5900</v>
      </c>
      <c r="J2232" t="s">
        <v>63</v>
      </c>
      <c r="K2232" t="s">
        <v>197</v>
      </c>
      <c r="M2232">
        <v>86</v>
      </c>
      <c r="N2232" t="s">
        <v>33</v>
      </c>
      <c r="O2232" t="s">
        <v>4366</v>
      </c>
      <c r="P2232" t="s">
        <v>4830</v>
      </c>
      <c r="T2232">
        <v>4</v>
      </c>
      <c r="U2232" t="s">
        <v>56</v>
      </c>
      <c r="V2232" t="s">
        <v>56</v>
      </c>
    </row>
    <row r="2233" spans="1:22" x14ac:dyDescent="0.3">
      <c r="A2233" s="49">
        <v>45274</v>
      </c>
      <c r="E2233" t="s">
        <v>3161</v>
      </c>
      <c r="G2233" t="s">
        <v>5315</v>
      </c>
      <c r="H2233" t="s">
        <v>28</v>
      </c>
      <c r="I2233" t="s">
        <v>5901</v>
      </c>
      <c r="J2233" t="s">
        <v>63</v>
      </c>
      <c r="K2233" t="s">
        <v>1235</v>
      </c>
      <c r="M2233">
        <v>100</v>
      </c>
      <c r="N2233" t="s">
        <v>49</v>
      </c>
      <c r="O2233" t="s">
        <v>4367</v>
      </c>
      <c r="P2233" t="s">
        <v>4891</v>
      </c>
      <c r="T2233">
        <v>4</v>
      </c>
      <c r="U2233" t="s">
        <v>56</v>
      </c>
      <c r="V2233" t="s">
        <v>56</v>
      </c>
    </row>
    <row r="2234" spans="1:22" x14ac:dyDescent="0.3">
      <c r="A2234" s="49">
        <v>45274</v>
      </c>
      <c r="E2234" t="s">
        <v>3161</v>
      </c>
      <c r="G2234" t="s">
        <v>5077</v>
      </c>
      <c r="H2234" t="s">
        <v>89</v>
      </c>
      <c r="J2234" t="s">
        <v>63</v>
      </c>
      <c r="K2234" t="s">
        <v>64</v>
      </c>
      <c r="M2234">
        <v>57</v>
      </c>
      <c r="N2234" t="s">
        <v>49</v>
      </c>
      <c r="O2234" t="s">
        <v>4368</v>
      </c>
      <c r="P2234" t="s">
        <v>4832</v>
      </c>
      <c r="T2234">
        <v>4</v>
      </c>
      <c r="U2234" t="s">
        <v>56</v>
      </c>
      <c r="V2234" t="s">
        <v>56</v>
      </c>
    </row>
    <row r="2235" spans="1:22" x14ac:dyDescent="0.3">
      <c r="A2235" s="49">
        <v>45274</v>
      </c>
      <c r="E2235" t="s">
        <v>2150</v>
      </c>
      <c r="G2235" t="s">
        <v>5316</v>
      </c>
      <c r="H2235" t="s">
        <v>28</v>
      </c>
      <c r="I2235" t="s">
        <v>5902</v>
      </c>
      <c r="J2235" t="s">
        <v>63</v>
      </c>
      <c r="K2235" t="s">
        <v>197</v>
      </c>
      <c r="M2235">
        <v>100</v>
      </c>
      <c r="N2235" t="s">
        <v>33</v>
      </c>
      <c r="O2235" t="s">
        <v>4369</v>
      </c>
      <c r="P2235" t="s">
        <v>4911</v>
      </c>
      <c r="T2235">
        <v>4</v>
      </c>
      <c r="U2235" t="s">
        <v>56</v>
      </c>
      <c r="V2235" t="s">
        <v>56</v>
      </c>
    </row>
    <row r="2236" spans="1:22" x14ac:dyDescent="0.3">
      <c r="A2236" s="49">
        <v>45274</v>
      </c>
      <c r="E2236" t="s">
        <v>2150</v>
      </c>
      <c r="G2236" t="s">
        <v>5316</v>
      </c>
      <c r="H2236" t="s">
        <v>28</v>
      </c>
      <c r="I2236" t="s">
        <v>5902</v>
      </c>
      <c r="J2236" t="s">
        <v>63</v>
      </c>
      <c r="K2236" t="s">
        <v>197</v>
      </c>
      <c r="M2236">
        <v>100</v>
      </c>
      <c r="N2236" t="s">
        <v>33</v>
      </c>
      <c r="O2236" t="s">
        <v>4369</v>
      </c>
      <c r="P2236" t="s">
        <v>4911</v>
      </c>
      <c r="T2236">
        <v>4</v>
      </c>
      <c r="U2236" t="s">
        <v>56</v>
      </c>
      <c r="V2236" t="s">
        <v>56</v>
      </c>
    </row>
    <row r="2237" spans="1:22" x14ac:dyDescent="0.3">
      <c r="A2237" s="49">
        <v>45274</v>
      </c>
      <c r="E2237" t="s">
        <v>2150</v>
      </c>
      <c r="G2237" t="s">
        <v>5316</v>
      </c>
      <c r="H2237" t="s">
        <v>28</v>
      </c>
      <c r="I2237" t="s">
        <v>5902</v>
      </c>
      <c r="J2237" t="s">
        <v>63</v>
      </c>
      <c r="K2237" t="s">
        <v>197</v>
      </c>
      <c r="M2237">
        <v>100</v>
      </c>
      <c r="N2237" t="s">
        <v>33</v>
      </c>
      <c r="O2237" t="s">
        <v>4369</v>
      </c>
      <c r="P2237" t="s">
        <v>4911</v>
      </c>
      <c r="T2237">
        <v>4</v>
      </c>
      <c r="U2237" t="s">
        <v>56</v>
      </c>
      <c r="V2237" t="s">
        <v>56</v>
      </c>
    </row>
    <row r="2238" spans="1:22" x14ac:dyDescent="0.3">
      <c r="A2238" s="49">
        <v>45274</v>
      </c>
      <c r="E2238" t="s">
        <v>2150</v>
      </c>
      <c r="G2238" t="s">
        <v>5316</v>
      </c>
      <c r="H2238" t="s">
        <v>28</v>
      </c>
      <c r="I2238" t="s">
        <v>5902</v>
      </c>
      <c r="J2238" t="s">
        <v>63</v>
      </c>
      <c r="K2238" t="s">
        <v>197</v>
      </c>
      <c r="M2238">
        <v>100</v>
      </c>
      <c r="N2238" t="s">
        <v>33</v>
      </c>
      <c r="O2238" t="s">
        <v>4369</v>
      </c>
      <c r="P2238" t="s">
        <v>4911</v>
      </c>
      <c r="T2238">
        <v>4</v>
      </c>
      <c r="U2238" t="s">
        <v>56</v>
      </c>
      <c r="V2238" t="s">
        <v>56</v>
      </c>
    </row>
    <row r="2239" spans="1:22" x14ac:dyDescent="0.3">
      <c r="A2239" s="49">
        <v>45274</v>
      </c>
      <c r="E2239" t="s">
        <v>2150</v>
      </c>
      <c r="G2239" t="s">
        <v>5316</v>
      </c>
      <c r="H2239" t="s">
        <v>28</v>
      </c>
      <c r="I2239" t="s">
        <v>5902</v>
      </c>
      <c r="J2239" t="s">
        <v>63</v>
      </c>
      <c r="K2239" t="s">
        <v>197</v>
      </c>
      <c r="M2239">
        <v>100</v>
      </c>
      <c r="N2239" t="s">
        <v>33</v>
      </c>
      <c r="O2239" t="s">
        <v>4369</v>
      </c>
      <c r="P2239" t="s">
        <v>4911</v>
      </c>
      <c r="T2239">
        <v>4</v>
      </c>
      <c r="U2239" t="s">
        <v>56</v>
      </c>
      <c r="V2239" t="s">
        <v>56</v>
      </c>
    </row>
    <row r="2240" spans="1:22" x14ac:dyDescent="0.3">
      <c r="A2240" s="49">
        <v>45274</v>
      </c>
      <c r="E2240" t="s">
        <v>2150</v>
      </c>
      <c r="G2240" t="s">
        <v>5316</v>
      </c>
      <c r="H2240" t="s">
        <v>28</v>
      </c>
      <c r="I2240" t="s">
        <v>5902</v>
      </c>
      <c r="J2240" t="s">
        <v>63</v>
      </c>
      <c r="K2240" t="s">
        <v>197</v>
      </c>
      <c r="M2240">
        <v>100</v>
      </c>
      <c r="N2240" t="s">
        <v>49</v>
      </c>
      <c r="O2240" t="s">
        <v>4369</v>
      </c>
      <c r="P2240" t="s">
        <v>4911</v>
      </c>
      <c r="T2240">
        <v>4</v>
      </c>
      <c r="U2240" t="s">
        <v>56</v>
      </c>
      <c r="V2240" t="s">
        <v>56</v>
      </c>
    </row>
    <row r="2241" spans="1:22" x14ac:dyDescent="0.3">
      <c r="A2241" s="49">
        <v>45274</v>
      </c>
      <c r="E2241" t="s">
        <v>2150</v>
      </c>
      <c r="G2241" t="s">
        <v>5316</v>
      </c>
      <c r="H2241" t="s">
        <v>28</v>
      </c>
      <c r="I2241" t="s">
        <v>5902</v>
      </c>
      <c r="J2241" t="s">
        <v>63</v>
      </c>
      <c r="K2241" t="s">
        <v>197</v>
      </c>
      <c r="M2241">
        <v>100</v>
      </c>
      <c r="N2241" t="s">
        <v>49</v>
      </c>
      <c r="O2241" t="s">
        <v>4369</v>
      </c>
      <c r="P2241" t="s">
        <v>4911</v>
      </c>
      <c r="T2241">
        <v>4</v>
      </c>
      <c r="U2241" t="s">
        <v>56</v>
      </c>
      <c r="V2241" t="s">
        <v>56</v>
      </c>
    </row>
    <row r="2242" spans="1:22" x14ac:dyDescent="0.3">
      <c r="A2242" s="49">
        <v>45274</v>
      </c>
      <c r="E2242" t="s">
        <v>2150</v>
      </c>
      <c r="G2242" t="s">
        <v>5316</v>
      </c>
      <c r="H2242" t="s">
        <v>28</v>
      </c>
      <c r="I2242" t="s">
        <v>5902</v>
      </c>
      <c r="J2242" t="s">
        <v>63</v>
      </c>
      <c r="K2242" t="s">
        <v>197</v>
      </c>
      <c r="M2242">
        <v>100</v>
      </c>
      <c r="N2242" t="s">
        <v>49</v>
      </c>
      <c r="O2242" t="s">
        <v>4369</v>
      </c>
      <c r="P2242" t="s">
        <v>4911</v>
      </c>
      <c r="T2242">
        <v>4</v>
      </c>
      <c r="U2242" t="s">
        <v>56</v>
      </c>
      <c r="V2242" t="s">
        <v>56</v>
      </c>
    </row>
    <row r="2243" spans="1:22" x14ac:dyDescent="0.3">
      <c r="A2243" s="49">
        <v>45274</v>
      </c>
      <c r="E2243" t="s">
        <v>2150</v>
      </c>
      <c r="G2243" t="s">
        <v>5316</v>
      </c>
      <c r="H2243" t="s">
        <v>28</v>
      </c>
      <c r="I2243" t="s">
        <v>5902</v>
      </c>
      <c r="J2243" t="s">
        <v>63</v>
      </c>
      <c r="K2243" t="s">
        <v>197</v>
      </c>
      <c r="M2243">
        <v>100</v>
      </c>
      <c r="N2243" t="s">
        <v>49</v>
      </c>
      <c r="O2243" t="s">
        <v>4369</v>
      </c>
      <c r="P2243" t="s">
        <v>4911</v>
      </c>
      <c r="T2243">
        <v>4</v>
      </c>
      <c r="U2243" t="s">
        <v>56</v>
      </c>
      <c r="V2243" t="s">
        <v>56</v>
      </c>
    </row>
    <row r="2244" spans="1:22" x14ac:dyDescent="0.3">
      <c r="A2244" s="49">
        <v>45274</v>
      </c>
      <c r="E2244" t="s">
        <v>2150</v>
      </c>
      <c r="G2244" t="s">
        <v>5316</v>
      </c>
      <c r="H2244" t="s">
        <v>28</v>
      </c>
      <c r="I2244" t="s">
        <v>5902</v>
      </c>
      <c r="J2244" t="s">
        <v>63</v>
      </c>
      <c r="K2244" t="s">
        <v>197</v>
      </c>
      <c r="M2244">
        <v>100</v>
      </c>
      <c r="N2244" t="s">
        <v>49</v>
      </c>
      <c r="O2244" t="s">
        <v>4369</v>
      </c>
      <c r="P2244" t="s">
        <v>4911</v>
      </c>
      <c r="T2244">
        <v>4</v>
      </c>
      <c r="U2244" t="s">
        <v>56</v>
      </c>
      <c r="V2244" t="s">
        <v>56</v>
      </c>
    </row>
    <row r="2245" spans="1:22" x14ac:dyDescent="0.3">
      <c r="A2245" s="49">
        <v>45274</v>
      </c>
      <c r="E2245" t="s">
        <v>2150</v>
      </c>
      <c r="G2245" t="s">
        <v>5316</v>
      </c>
      <c r="H2245" t="s">
        <v>28</v>
      </c>
      <c r="I2245" t="s">
        <v>5902</v>
      </c>
      <c r="J2245" t="s">
        <v>63</v>
      </c>
      <c r="K2245" t="s">
        <v>197</v>
      </c>
      <c r="M2245">
        <v>100</v>
      </c>
      <c r="N2245" t="s">
        <v>49</v>
      </c>
      <c r="O2245" t="s">
        <v>4369</v>
      </c>
      <c r="P2245" t="s">
        <v>4911</v>
      </c>
      <c r="T2245">
        <v>4</v>
      </c>
      <c r="U2245" t="s">
        <v>56</v>
      </c>
      <c r="V2245" t="s">
        <v>56</v>
      </c>
    </row>
    <row r="2246" spans="1:22" x14ac:dyDescent="0.3">
      <c r="A2246" s="49">
        <v>45274</v>
      </c>
      <c r="E2246" t="s">
        <v>2150</v>
      </c>
      <c r="G2246" t="s">
        <v>5316</v>
      </c>
      <c r="H2246" t="s">
        <v>28</v>
      </c>
      <c r="I2246" t="s">
        <v>5902</v>
      </c>
      <c r="J2246" t="s">
        <v>63</v>
      </c>
      <c r="K2246" t="s">
        <v>197</v>
      </c>
      <c r="M2246">
        <v>100</v>
      </c>
      <c r="N2246" t="s">
        <v>49</v>
      </c>
      <c r="O2246" t="s">
        <v>4369</v>
      </c>
      <c r="P2246" t="s">
        <v>4911</v>
      </c>
      <c r="T2246">
        <v>4</v>
      </c>
      <c r="U2246" t="s">
        <v>56</v>
      </c>
      <c r="V2246" t="s">
        <v>56</v>
      </c>
    </row>
    <row r="2247" spans="1:22" x14ac:dyDescent="0.3">
      <c r="A2247" s="49">
        <v>45274</v>
      </c>
      <c r="E2247" t="s">
        <v>2150</v>
      </c>
      <c r="G2247" t="s">
        <v>5316</v>
      </c>
      <c r="H2247" t="s">
        <v>28</v>
      </c>
      <c r="I2247" t="s">
        <v>5902</v>
      </c>
      <c r="J2247" t="s">
        <v>63</v>
      </c>
      <c r="K2247" t="s">
        <v>197</v>
      </c>
      <c r="M2247">
        <v>100</v>
      </c>
      <c r="N2247" t="s">
        <v>49</v>
      </c>
      <c r="O2247" t="s">
        <v>4369</v>
      </c>
      <c r="P2247" t="s">
        <v>4911</v>
      </c>
      <c r="T2247">
        <v>4</v>
      </c>
      <c r="U2247" t="s">
        <v>56</v>
      </c>
      <c r="V2247" t="s">
        <v>56</v>
      </c>
    </row>
    <row r="2248" spans="1:22" x14ac:dyDescent="0.3">
      <c r="A2248" s="49">
        <v>45274</v>
      </c>
      <c r="E2248" t="s">
        <v>2150</v>
      </c>
      <c r="G2248" t="s">
        <v>5316</v>
      </c>
      <c r="H2248" t="s">
        <v>28</v>
      </c>
      <c r="I2248" t="s">
        <v>5902</v>
      </c>
      <c r="J2248" t="s">
        <v>63</v>
      </c>
      <c r="K2248" t="s">
        <v>197</v>
      </c>
      <c r="M2248">
        <v>100</v>
      </c>
      <c r="N2248" t="s">
        <v>49</v>
      </c>
      <c r="O2248" t="s">
        <v>4370</v>
      </c>
      <c r="P2248" t="s">
        <v>4912</v>
      </c>
      <c r="T2248">
        <v>4</v>
      </c>
      <c r="U2248" t="s">
        <v>56</v>
      </c>
      <c r="V2248" t="s">
        <v>56</v>
      </c>
    </row>
    <row r="2249" spans="1:22" x14ac:dyDescent="0.3">
      <c r="A2249" s="49">
        <v>45274</v>
      </c>
      <c r="E2249" t="s">
        <v>2150</v>
      </c>
      <c r="G2249" t="s">
        <v>5316</v>
      </c>
      <c r="H2249" t="s">
        <v>28</v>
      </c>
      <c r="I2249" t="s">
        <v>5902</v>
      </c>
      <c r="J2249" t="s">
        <v>63</v>
      </c>
      <c r="K2249" t="s">
        <v>197</v>
      </c>
      <c r="M2249">
        <v>100</v>
      </c>
      <c r="N2249" t="s">
        <v>49</v>
      </c>
      <c r="O2249" t="s">
        <v>4370</v>
      </c>
      <c r="P2249" t="s">
        <v>4912</v>
      </c>
      <c r="T2249">
        <v>4</v>
      </c>
      <c r="U2249" t="s">
        <v>56</v>
      </c>
      <c r="V2249" t="s">
        <v>56</v>
      </c>
    </row>
    <row r="2250" spans="1:22" x14ac:dyDescent="0.3">
      <c r="A2250" s="49">
        <v>45274</v>
      </c>
      <c r="E2250" t="s">
        <v>2150</v>
      </c>
      <c r="G2250" t="s">
        <v>5316</v>
      </c>
      <c r="H2250" t="s">
        <v>28</v>
      </c>
      <c r="I2250" t="s">
        <v>5902</v>
      </c>
      <c r="J2250" t="s">
        <v>63</v>
      </c>
      <c r="K2250" t="s">
        <v>197</v>
      </c>
      <c r="M2250">
        <v>100</v>
      </c>
      <c r="N2250" t="s">
        <v>49</v>
      </c>
      <c r="O2250" t="s">
        <v>4370</v>
      </c>
      <c r="P2250" t="s">
        <v>4912</v>
      </c>
      <c r="T2250">
        <v>4</v>
      </c>
      <c r="U2250" t="s">
        <v>56</v>
      </c>
      <c r="V2250" t="s">
        <v>56</v>
      </c>
    </row>
    <row r="2251" spans="1:22" x14ac:dyDescent="0.3">
      <c r="A2251" s="49">
        <v>45274</v>
      </c>
      <c r="E2251" t="s">
        <v>2150</v>
      </c>
      <c r="G2251" t="s">
        <v>5316</v>
      </c>
      <c r="H2251" t="s">
        <v>28</v>
      </c>
      <c r="I2251" t="s">
        <v>5902</v>
      </c>
      <c r="J2251" t="s">
        <v>63</v>
      </c>
      <c r="K2251" t="s">
        <v>197</v>
      </c>
      <c r="M2251">
        <v>100</v>
      </c>
      <c r="N2251" t="s">
        <v>49</v>
      </c>
      <c r="O2251" t="s">
        <v>4369</v>
      </c>
      <c r="P2251" t="s">
        <v>4911</v>
      </c>
      <c r="T2251">
        <v>4</v>
      </c>
      <c r="U2251" t="s">
        <v>56</v>
      </c>
      <c r="V2251" t="s">
        <v>56</v>
      </c>
    </row>
    <row r="2252" spans="1:22" x14ac:dyDescent="0.3">
      <c r="A2252" s="49">
        <v>45274</v>
      </c>
      <c r="E2252" t="s">
        <v>2150</v>
      </c>
      <c r="G2252" t="s">
        <v>5316</v>
      </c>
      <c r="H2252" t="s">
        <v>28</v>
      </c>
      <c r="I2252" t="s">
        <v>5902</v>
      </c>
      <c r="J2252" t="s">
        <v>63</v>
      </c>
      <c r="K2252" t="s">
        <v>197</v>
      </c>
      <c r="M2252">
        <v>100</v>
      </c>
      <c r="N2252" t="s">
        <v>49</v>
      </c>
      <c r="O2252" t="s">
        <v>4369</v>
      </c>
      <c r="P2252" t="s">
        <v>4911</v>
      </c>
      <c r="T2252">
        <v>4</v>
      </c>
      <c r="U2252" t="s">
        <v>56</v>
      </c>
      <c r="V2252" t="s">
        <v>56</v>
      </c>
    </row>
    <row r="2253" spans="1:22" x14ac:dyDescent="0.3">
      <c r="A2253" s="49">
        <v>45274</v>
      </c>
      <c r="E2253" t="s">
        <v>2150</v>
      </c>
      <c r="G2253" t="s">
        <v>5316</v>
      </c>
      <c r="H2253" t="s">
        <v>28</v>
      </c>
      <c r="I2253" t="s">
        <v>5902</v>
      </c>
      <c r="J2253" t="s">
        <v>63</v>
      </c>
      <c r="K2253" t="s">
        <v>197</v>
      </c>
      <c r="M2253">
        <v>100</v>
      </c>
      <c r="N2253" t="s">
        <v>49</v>
      </c>
      <c r="O2253" t="s">
        <v>4369</v>
      </c>
      <c r="P2253" t="s">
        <v>4911</v>
      </c>
      <c r="T2253">
        <v>4</v>
      </c>
      <c r="U2253" t="s">
        <v>56</v>
      </c>
      <c r="V2253" t="s">
        <v>56</v>
      </c>
    </row>
    <row r="2254" spans="1:22" x14ac:dyDescent="0.3">
      <c r="A2254" s="49">
        <v>45274</v>
      </c>
      <c r="E2254" t="s">
        <v>2150</v>
      </c>
      <c r="G2254" t="s">
        <v>5316</v>
      </c>
      <c r="H2254" t="s">
        <v>28</v>
      </c>
      <c r="I2254" t="s">
        <v>5902</v>
      </c>
      <c r="J2254" t="s">
        <v>63</v>
      </c>
      <c r="K2254" t="s">
        <v>197</v>
      </c>
      <c r="M2254">
        <v>100</v>
      </c>
      <c r="N2254" t="s">
        <v>49</v>
      </c>
      <c r="O2254" t="s">
        <v>4369</v>
      </c>
      <c r="P2254" t="s">
        <v>4911</v>
      </c>
      <c r="T2254">
        <v>4</v>
      </c>
      <c r="U2254" t="s">
        <v>56</v>
      </c>
      <c r="V2254" t="s">
        <v>56</v>
      </c>
    </row>
    <row r="2255" spans="1:22" x14ac:dyDescent="0.3">
      <c r="A2255" s="49">
        <v>45274</v>
      </c>
      <c r="E2255" t="s">
        <v>2150</v>
      </c>
      <c r="G2255" t="s">
        <v>5316</v>
      </c>
      <c r="H2255" t="s">
        <v>28</v>
      </c>
      <c r="I2255" t="s">
        <v>5902</v>
      </c>
      <c r="J2255" t="s">
        <v>63</v>
      </c>
      <c r="K2255" t="s">
        <v>197</v>
      </c>
      <c r="M2255">
        <v>100</v>
      </c>
      <c r="N2255" t="s">
        <v>49</v>
      </c>
      <c r="O2255" t="s">
        <v>4369</v>
      </c>
      <c r="P2255" t="s">
        <v>4911</v>
      </c>
      <c r="T2255">
        <v>4</v>
      </c>
      <c r="U2255" t="s">
        <v>56</v>
      </c>
      <c r="V2255" t="s">
        <v>56</v>
      </c>
    </row>
    <row r="2256" spans="1:22" x14ac:dyDescent="0.3">
      <c r="A2256" s="49">
        <v>45274</v>
      </c>
      <c r="E2256" t="s">
        <v>2150</v>
      </c>
      <c r="G2256" t="s">
        <v>5316</v>
      </c>
      <c r="H2256" t="s">
        <v>28</v>
      </c>
      <c r="I2256" t="s">
        <v>5902</v>
      </c>
      <c r="J2256" t="s">
        <v>63</v>
      </c>
      <c r="K2256" t="s">
        <v>197</v>
      </c>
      <c r="M2256">
        <v>100</v>
      </c>
      <c r="N2256" t="s">
        <v>49</v>
      </c>
      <c r="O2256" t="s">
        <v>4369</v>
      </c>
      <c r="P2256" t="s">
        <v>4911</v>
      </c>
      <c r="T2256">
        <v>4</v>
      </c>
      <c r="U2256" t="s">
        <v>56</v>
      </c>
      <c r="V2256" t="s">
        <v>56</v>
      </c>
    </row>
    <row r="2257" spans="1:22" x14ac:dyDescent="0.3">
      <c r="A2257" s="49">
        <v>45274</v>
      </c>
      <c r="E2257" t="s">
        <v>2150</v>
      </c>
      <c r="G2257" t="s">
        <v>5316</v>
      </c>
      <c r="H2257" t="s">
        <v>28</v>
      </c>
      <c r="I2257" t="s">
        <v>5902</v>
      </c>
      <c r="J2257" t="s">
        <v>63</v>
      </c>
      <c r="K2257" t="s">
        <v>197</v>
      </c>
      <c r="M2257">
        <v>100</v>
      </c>
      <c r="N2257" t="s">
        <v>49</v>
      </c>
      <c r="O2257" t="s">
        <v>4369</v>
      </c>
      <c r="P2257" t="s">
        <v>4911</v>
      </c>
      <c r="T2257">
        <v>4</v>
      </c>
      <c r="U2257" t="s">
        <v>56</v>
      </c>
      <c r="V2257" t="s">
        <v>56</v>
      </c>
    </row>
    <row r="2258" spans="1:22" x14ac:dyDescent="0.3">
      <c r="A2258" s="49">
        <v>45274</v>
      </c>
      <c r="E2258" t="s">
        <v>3235</v>
      </c>
      <c r="G2258" t="s">
        <v>5317</v>
      </c>
      <c r="H2258" t="s">
        <v>28</v>
      </c>
      <c r="I2258" t="s">
        <v>5903</v>
      </c>
      <c r="J2258" t="s">
        <v>63</v>
      </c>
      <c r="K2258" t="s">
        <v>1235</v>
      </c>
      <c r="M2258">
        <v>45</v>
      </c>
      <c r="N2258" t="s">
        <v>49</v>
      </c>
      <c r="O2258" t="s">
        <v>4371</v>
      </c>
      <c r="P2258" t="s">
        <v>35</v>
      </c>
      <c r="T2258">
        <v>2</v>
      </c>
      <c r="U2258" t="s">
        <v>1763</v>
      </c>
      <c r="V2258" t="s">
        <v>56</v>
      </c>
    </row>
    <row r="2259" spans="1:22" x14ac:dyDescent="0.3">
      <c r="A2259" s="49">
        <v>45274</v>
      </c>
      <c r="E2259" t="s">
        <v>3163</v>
      </c>
      <c r="G2259" t="s">
        <v>5318</v>
      </c>
      <c r="H2259" t="s">
        <v>28</v>
      </c>
      <c r="I2259" t="s">
        <v>5904</v>
      </c>
      <c r="J2259" t="s">
        <v>63</v>
      </c>
      <c r="K2259" t="s">
        <v>4945</v>
      </c>
      <c r="M2259">
        <v>100</v>
      </c>
      <c r="N2259" t="s">
        <v>49</v>
      </c>
      <c r="O2259" t="s">
        <v>4372</v>
      </c>
      <c r="P2259" t="s">
        <v>4913</v>
      </c>
      <c r="T2259">
        <v>4</v>
      </c>
      <c r="U2259" t="s">
        <v>56</v>
      </c>
      <c r="V2259" t="s">
        <v>56</v>
      </c>
    </row>
    <row r="2260" spans="1:22" x14ac:dyDescent="0.3">
      <c r="A2260" s="49">
        <v>45274</v>
      </c>
      <c r="E2260" t="s">
        <v>3163</v>
      </c>
      <c r="G2260" t="s">
        <v>5318</v>
      </c>
      <c r="H2260" t="s">
        <v>28</v>
      </c>
      <c r="I2260" t="s">
        <v>5904</v>
      </c>
      <c r="J2260" t="s">
        <v>63</v>
      </c>
      <c r="K2260" t="s">
        <v>4945</v>
      </c>
      <c r="M2260">
        <v>100</v>
      </c>
      <c r="N2260" t="s">
        <v>49</v>
      </c>
      <c r="O2260" t="s">
        <v>4372</v>
      </c>
      <c r="P2260" t="s">
        <v>4913</v>
      </c>
      <c r="T2260">
        <v>4</v>
      </c>
      <c r="U2260" t="s">
        <v>56</v>
      </c>
      <c r="V2260" t="s">
        <v>56</v>
      </c>
    </row>
    <row r="2261" spans="1:22" x14ac:dyDescent="0.3">
      <c r="A2261" s="49">
        <v>45274</v>
      </c>
      <c r="E2261" t="s">
        <v>3163</v>
      </c>
      <c r="G2261" t="s">
        <v>5318</v>
      </c>
      <c r="H2261" t="s">
        <v>28</v>
      </c>
      <c r="I2261" t="s">
        <v>5904</v>
      </c>
      <c r="J2261" t="s">
        <v>63</v>
      </c>
      <c r="K2261" t="s">
        <v>4945</v>
      </c>
      <c r="M2261">
        <v>100</v>
      </c>
      <c r="N2261" t="s">
        <v>49</v>
      </c>
      <c r="O2261" t="s">
        <v>4373</v>
      </c>
      <c r="P2261" t="s">
        <v>4914</v>
      </c>
      <c r="T2261">
        <v>4</v>
      </c>
      <c r="U2261" t="s">
        <v>56</v>
      </c>
      <c r="V2261" t="s">
        <v>56</v>
      </c>
    </row>
    <row r="2262" spans="1:22" x14ac:dyDescent="0.3">
      <c r="A2262" s="49">
        <v>45274</v>
      </c>
      <c r="E2262" t="s">
        <v>3163</v>
      </c>
      <c r="G2262" t="s">
        <v>5318</v>
      </c>
      <c r="H2262" t="s">
        <v>28</v>
      </c>
      <c r="I2262" t="s">
        <v>5904</v>
      </c>
      <c r="J2262" t="s">
        <v>63</v>
      </c>
      <c r="K2262" t="s">
        <v>197</v>
      </c>
      <c r="M2262">
        <v>100</v>
      </c>
      <c r="N2262" t="s">
        <v>49</v>
      </c>
      <c r="O2262" t="s">
        <v>4372</v>
      </c>
      <c r="P2262" t="s">
        <v>4913</v>
      </c>
      <c r="T2262">
        <v>4</v>
      </c>
      <c r="U2262" t="s">
        <v>56</v>
      </c>
      <c r="V2262" t="s">
        <v>56</v>
      </c>
    </row>
    <row r="2263" spans="1:22" x14ac:dyDescent="0.3">
      <c r="A2263" s="49">
        <v>45274</v>
      </c>
      <c r="E2263" t="s">
        <v>3217</v>
      </c>
      <c r="G2263" t="s">
        <v>895</v>
      </c>
      <c r="H2263" t="s">
        <v>28</v>
      </c>
      <c r="I2263" t="s">
        <v>5905</v>
      </c>
      <c r="J2263" t="s">
        <v>63</v>
      </c>
      <c r="K2263" t="s">
        <v>64</v>
      </c>
      <c r="M2263">
        <v>98</v>
      </c>
      <c r="N2263" t="s">
        <v>33</v>
      </c>
      <c r="O2263" t="s">
        <v>4374</v>
      </c>
      <c r="P2263" t="s">
        <v>287</v>
      </c>
      <c r="T2263">
        <v>4</v>
      </c>
      <c r="U2263" t="s">
        <v>56</v>
      </c>
      <c r="V2263" t="s">
        <v>56</v>
      </c>
    </row>
    <row r="2264" spans="1:22" x14ac:dyDescent="0.3">
      <c r="A2264" s="49">
        <v>45274</v>
      </c>
      <c r="E2264" t="s">
        <v>2909</v>
      </c>
      <c r="G2264" t="s">
        <v>5044</v>
      </c>
      <c r="H2264" t="s">
        <v>28</v>
      </c>
      <c r="I2264" t="s">
        <v>2911</v>
      </c>
      <c r="J2264" t="s">
        <v>46</v>
      </c>
      <c r="K2264" t="s">
        <v>422</v>
      </c>
      <c r="M2264">
        <v>100</v>
      </c>
      <c r="N2264" t="s">
        <v>49</v>
      </c>
      <c r="O2264" t="s">
        <v>4375</v>
      </c>
      <c r="P2264" t="s">
        <v>1701</v>
      </c>
      <c r="T2264">
        <v>4</v>
      </c>
      <c r="U2264" t="s">
        <v>56</v>
      </c>
      <c r="V2264" t="s">
        <v>56</v>
      </c>
    </row>
    <row r="2265" spans="1:22" x14ac:dyDescent="0.3">
      <c r="A2265" s="49">
        <v>45274</v>
      </c>
      <c r="E2265" t="s">
        <v>2909</v>
      </c>
      <c r="G2265" t="s">
        <v>5044</v>
      </c>
      <c r="H2265" t="s">
        <v>28</v>
      </c>
      <c r="I2265" t="s">
        <v>2911</v>
      </c>
      <c r="J2265" t="s">
        <v>46</v>
      </c>
      <c r="K2265" t="s">
        <v>422</v>
      </c>
      <c r="M2265">
        <v>100</v>
      </c>
      <c r="N2265" t="s">
        <v>49</v>
      </c>
      <c r="O2265" t="s">
        <v>4375</v>
      </c>
      <c r="P2265" t="s">
        <v>1701</v>
      </c>
      <c r="T2265">
        <v>4</v>
      </c>
      <c r="U2265" t="s">
        <v>56</v>
      </c>
      <c r="V2265" t="s">
        <v>56</v>
      </c>
    </row>
    <row r="2266" spans="1:22" x14ac:dyDescent="0.3">
      <c r="A2266" s="49">
        <v>45274</v>
      </c>
      <c r="E2266" t="s">
        <v>2909</v>
      </c>
      <c r="G2266" t="s">
        <v>5044</v>
      </c>
      <c r="H2266" t="s">
        <v>28</v>
      </c>
      <c r="I2266" t="s">
        <v>2911</v>
      </c>
      <c r="J2266" t="s">
        <v>46</v>
      </c>
      <c r="K2266" t="s">
        <v>422</v>
      </c>
      <c r="M2266">
        <v>100</v>
      </c>
      <c r="N2266" t="s">
        <v>49</v>
      </c>
      <c r="O2266" t="s">
        <v>4375</v>
      </c>
      <c r="P2266" t="s">
        <v>1701</v>
      </c>
      <c r="T2266">
        <v>4</v>
      </c>
      <c r="U2266" t="s">
        <v>56</v>
      </c>
      <c r="V2266" t="s">
        <v>56</v>
      </c>
    </row>
    <row r="2267" spans="1:22" x14ac:dyDescent="0.3">
      <c r="A2267" s="49">
        <v>45274</v>
      </c>
      <c r="E2267" t="s">
        <v>2909</v>
      </c>
      <c r="G2267" t="s">
        <v>5044</v>
      </c>
      <c r="H2267" t="s">
        <v>28</v>
      </c>
      <c r="I2267" t="s">
        <v>2911</v>
      </c>
      <c r="J2267" t="s">
        <v>46</v>
      </c>
      <c r="K2267" t="s">
        <v>422</v>
      </c>
      <c r="M2267">
        <v>100</v>
      </c>
      <c r="N2267" t="s">
        <v>49</v>
      </c>
      <c r="O2267" t="s">
        <v>4375</v>
      </c>
      <c r="P2267" t="s">
        <v>1701</v>
      </c>
      <c r="T2267">
        <v>4</v>
      </c>
      <c r="U2267" t="s">
        <v>56</v>
      </c>
      <c r="V2267" t="s">
        <v>56</v>
      </c>
    </row>
    <row r="2268" spans="1:22" x14ac:dyDescent="0.3">
      <c r="A2268" s="49">
        <v>45274</v>
      </c>
      <c r="E2268" t="s">
        <v>2909</v>
      </c>
      <c r="G2268" t="s">
        <v>5044</v>
      </c>
      <c r="H2268" t="s">
        <v>28</v>
      </c>
      <c r="I2268" t="s">
        <v>2911</v>
      </c>
      <c r="J2268" t="s">
        <v>46</v>
      </c>
      <c r="K2268" t="s">
        <v>422</v>
      </c>
      <c r="M2268">
        <v>100</v>
      </c>
      <c r="N2268" t="s">
        <v>49</v>
      </c>
      <c r="O2268" t="s">
        <v>4375</v>
      </c>
      <c r="P2268" t="s">
        <v>1701</v>
      </c>
      <c r="T2268">
        <v>4</v>
      </c>
      <c r="U2268" t="s">
        <v>56</v>
      </c>
      <c r="V2268" t="s">
        <v>56</v>
      </c>
    </row>
    <row r="2269" spans="1:22" x14ac:dyDescent="0.3">
      <c r="A2269" s="49">
        <v>45274</v>
      </c>
      <c r="E2269" t="s">
        <v>2909</v>
      </c>
      <c r="G2269" t="s">
        <v>5044</v>
      </c>
      <c r="H2269" t="s">
        <v>28</v>
      </c>
      <c r="I2269" t="s">
        <v>2911</v>
      </c>
      <c r="J2269" t="s">
        <v>46</v>
      </c>
      <c r="K2269" t="s">
        <v>422</v>
      </c>
      <c r="M2269">
        <v>100</v>
      </c>
      <c r="N2269" t="s">
        <v>49</v>
      </c>
      <c r="O2269" t="s">
        <v>4375</v>
      </c>
      <c r="P2269" t="s">
        <v>1701</v>
      </c>
      <c r="T2269">
        <v>4</v>
      </c>
      <c r="U2269" t="s">
        <v>56</v>
      </c>
      <c r="V2269" t="s">
        <v>56</v>
      </c>
    </row>
    <row r="2270" spans="1:22" x14ac:dyDescent="0.3">
      <c r="A2270" s="49">
        <v>45274</v>
      </c>
      <c r="E2270" t="s">
        <v>2909</v>
      </c>
      <c r="G2270" t="s">
        <v>5044</v>
      </c>
      <c r="H2270" t="s">
        <v>28</v>
      </c>
      <c r="I2270" t="s">
        <v>2911</v>
      </c>
      <c r="J2270" t="s">
        <v>46</v>
      </c>
      <c r="K2270" t="s">
        <v>422</v>
      </c>
      <c r="M2270">
        <v>100</v>
      </c>
      <c r="N2270" t="s">
        <v>49</v>
      </c>
      <c r="O2270" t="s">
        <v>4375</v>
      </c>
      <c r="P2270" t="s">
        <v>1701</v>
      </c>
      <c r="T2270">
        <v>4</v>
      </c>
      <c r="U2270" t="s">
        <v>56</v>
      </c>
      <c r="V2270" t="s">
        <v>56</v>
      </c>
    </row>
    <row r="2271" spans="1:22" x14ac:dyDescent="0.3">
      <c r="A2271" s="49">
        <v>45274</v>
      </c>
      <c r="E2271" t="s">
        <v>2909</v>
      </c>
      <c r="G2271" t="s">
        <v>5044</v>
      </c>
      <c r="H2271" t="s">
        <v>28</v>
      </c>
      <c r="I2271" t="s">
        <v>2911</v>
      </c>
      <c r="J2271" t="s">
        <v>46</v>
      </c>
      <c r="K2271" t="s">
        <v>422</v>
      </c>
      <c r="M2271">
        <v>100</v>
      </c>
      <c r="N2271" t="s">
        <v>49</v>
      </c>
      <c r="O2271" t="s">
        <v>4375</v>
      </c>
      <c r="P2271" t="s">
        <v>1701</v>
      </c>
      <c r="T2271">
        <v>4</v>
      </c>
      <c r="U2271" t="s">
        <v>56</v>
      </c>
      <c r="V2271" t="s">
        <v>56</v>
      </c>
    </row>
    <row r="2272" spans="1:22" x14ac:dyDescent="0.3">
      <c r="A2272" s="49">
        <v>45274</v>
      </c>
      <c r="E2272" t="s">
        <v>2909</v>
      </c>
      <c r="G2272" t="s">
        <v>5044</v>
      </c>
      <c r="H2272" t="s">
        <v>28</v>
      </c>
      <c r="I2272" t="s">
        <v>2911</v>
      </c>
      <c r="J2272" t="s">
        <v>46</v>
      </c>
      <c r="K2272" t="s">
        <v>422</v>
      </c>
      <c r="M2272">
        <v>100</v>
      </c>
      <c r="N2272" t="s">
        <v>49</v>
      </c>
      <c r="O2272" t="s">
        <v>4375</v>
      </c>
      <c r="P2272" t="s">
        <v>1701</v>
      </c>
      <c r="T2272">
        <v>4</v>
      </c>
      <c r="U2272" t="s">
        <v>56</v>
      </c>
      <c r="V2272" t="s">
        <v>56</v>
      </c>
    </row>
    <row r="2273" spans="1:22" x14ac:dyDescent="0.3">
      <c r="A2273" s="49">
        <v>45274</v>
      </c>
      <c r="E2273" t="s">
        <v>2909</v>
      </c>
      <c r="G2273" t="s">
        <v>5044</v>
      </c>
      <c r="H2273" t="s">
        <v>28</v>
      </c>
      <c r="I2273" t="s">
        <v>2911</v>
      </c>
      <c r="J2273" t="s">
        <v>46</v>
      </c>
      <c r="K2273" t="s">
        <v>422</v>
      </c>
      <c r="M2273">
        <v>100</v>
      </c>
      <c r="N2273" t="s">
        <v>49</v>
      </c>
      <c r="O2273" t="s">
        <v>4375</v>
      </c>
      <c r="P2273" t="s">
        <v>1701</v>
      </c>
      <c r="T2273">
        <v>4</v>
      </c>
      <c r="U2273" t="s">
        <v>56</v>
      </c>
      <c r="V2273" t="s">
        <v>56</v>
      </c>
    </row>
    <row r="2274" spans="1:22" x14ac:dyDescent="0.3">
      <c r="A2274" s="49">
        <v>45274</v>
      </c>
      <c r="E2274" t="s">
        <v>2909</v>
      </c>
      <c r="G2274" t="s">
        <v>5044</v>
      </c>
      <c r="H2274" t="s">
        <v>28</v>
      </c>
      <c r="I2274" t="s">
        <v>2911</v>
      </c>
      <c r="J2274" t="s">
        <v>46</v>
      </c>
      <c r="K2274" t="s">
        <v>422</v>
      </c>
      <c r="M2274">
        <v>100</v>
      </c>
      <c r="N2274" t="s">
        <v>49</v>
      </c>
      <c r="O2274" t="s">
        <v>4375</v>
      </c>
      <c r="P2274" t="s">
        <v>1701</v>
      </c>
      <c r="T2274">
        <v>4</v>
      </c>
      <c r="U2274" t="s">
        <v>56</v>
      </c>
      <c r="V2274" t="s">
        <v>56</v>
      </c>
    </row>
    <row r="2275" spans="1:22" x14ac:dyDescent="0.3">
      <c r="A2275" s="49">
        <v>45274</v>
      </c>
      <c r="E2275" t="s">
        <v>2909</v>
      </c>
      <c r="G2275" t="s">
        <v>5044</v>
      </c>
      <c r="H2275" t="s">
        <v>28</v>
      </c>
      <c r="I2275" t="s">
        <v>2911</v>
      </c>
      <c r="J2275" t="s">
        <v>46</v>
      </c>
      <c r="K2275" t="s">
        <v>422</v>
      </c>
      <c r="M2275">
        <v>100</v>
      </c>
      <c r="N2275" t="s">
        <v>49</v>
      </c>
      <c r="O2275" t="s">
        <v>4375</v>
      </c>
      <c r="P2275" t="s">
        <v>1701</v>
      </c>
      <c r="T2275">
        <v>4</v>
      </c>
      <c r="U2275" t="s">
        <v>56</v>
      </c>
      <c r="V2275" t="s">
        <v>56</v>
      </c>
    </row>
    <row r="2276" spans="1:22" x14ac:dyDescent="0.3">
      <c r="A2276" s="49">
        <v>45274</v>
      </c>
      <c r="E2276" t="s">
        <v>2909</v>
      </c>
      <c r="G2276" t="s">
        <v>5044</v>
      </c>
      <c r="H2276" t="s">
        <v>28</v>
      </c>
      <c r="I2276" t="s">
        <v>902</v>
      </c>
      <c r="J2276" t="s">
        <v>63</v>
      </c>
      <c r="K2276" t="s">
        <v>64</v>
      </c>
      <c r="M2276">
        <v>100</v>
      </c>
      <c r="N2276" t="s">
        <v>49</v>
      </c>
      <c r="O2276" t="s">
        <v>4376</v>
      </c>
      <c r="P2276" t="s">
        <v>306</v>
      </c>
      <c r="T2276">
        <v>4</v>
      </c>
      <c r="U2276" t="s">
        <v>56</v>
      </c>
      <c r="V2276" t="s">
        <v>56</v>
      </c>
    </row>
    <row r="2277" spans="1:22" x14ac:dyDescent="0.3">
      <c r="A2277" s="49">
        <v>45274</v>
      </c>
      <c r="E2277" t="s">
        <v>2909</v>
      </c>
      <c r="G2277" t="s">
        <v>5044</v>
      </c>
      <c r="H2277" t="s">
        <v>28</v>
      </c>
      <c r="I2277" t="s">
        <v>902</v>
      </c>
      <c r="J2277" t="s">
        <v>63</v>
      </c>
      <c r="K2277" t="s">
        <v>64</v>
      </c>
      <c r="M2277">
        <v>100</v>
      </c>
      <c r="N2277" t="s">
        <v>33</v>
      </c>
      <c r="O2277" t="s">
        <v>4376</v>
      </c>
      <c r="P2277" t="s">
        <v>306</v>
      </c>
      <c r="T2277">
        <v>4</v>
      </c>
      <c r="U2277" t="s">
        <v>56</v>
      </c>
      <c r="V2277" t="s">
        <v>56</v>
      </c>
    </row>
    <row r="2278" spans="1:22" x14ac:dyDescent="0.3">
      <c r="A2278" s="49">
        <v>45274</v>
      </c>
      <c r="E2278" t="s">
        <v>2909</v>
      </c>
      <c r="G2278" t="s">
        <v>5044</v>
      </c>
      <c r="H2278" t="s">
        <v>28</v>
      </c>
      <c r="I2278" t="s">
        <v>902</v>
      </c>
      <c r="J2278" t="s">
        <v>63</v>
      </c>
      <c r="K2278" t="s">
        <v>64</v>
      </c>
      <c r="M2278">
        <v>100</v>
      </c>
      <c r="N2278" t="s">
        <v>33</v>
      </c>
      <c r="O2278" t="s">
        <v>4376</v>
      </c>
      <c r="P2278" t="s">
        <v>306</v>
      </c>
      <c r="T2278">
        <v>4</v>
      </c>
      <c r="U2278" t="s">
        <v>56</v>
      </c>
      <c r="V2278" t="s">
        <v>56</v>
      </c>
    </row>
    <row r="2279" spans="1:22" x14ac:dyDescent="0.3">
      <c r="A2279" s="49">
        <v>45274</v>
      </c>
      <c r="E2279" t="s">
        <v>2909</v>
      </c>
      <c r="G2279" t="s">
        <v>5044</v>
      </c>
      <c r="H2279" t="s">
        <v>28</v>
      </c>
      <c r="I2279" t="s">
        <v>5906</v>
      </c>
      <c r="J2279" t="s">
        <v>63</v>
      </c>
      <c r="K2279" t="s">
        <v>64</v>
      </c>
      <c r="M2279">
        <v>30</v>
      </c>
      <c r="N2279" t="s">
        <v>33</v>
      </c>
      <c r="O2279" t="s">
        <v>4377</v>
      </c>
      <c r="P2279" t="s">
        <v>4869</v>
      </c>
      <c r="T2279">
        <v>4</v>
      </c>
      <c r="U2279" t="s">
        <v>56</v>
      </c>
      <c r="V2279" t="s">
        <v>56</v>
      </c>
    </row>
    <row r="2280" spans="1:22" x14ac:dyDescent="0.3">
      <c r="A2280" s="49">
        <v>45274</v>
      </c>
      <c r="E2280" t="s">
        <v>3128</v>
      </c>
      <c r="G2280" t="s">
        <v>5079</v>
      </c>
      <c r="H2280" t="s">
        <v>89</v>
      </c>
      <c r="J2280" t="s">
        <v>63</v>
      </c>
      <c r="K2280" t="s">
        <v>64</v>
      </c>
      <c r="M2280">
        <v>100</v>
      </c>
      <c r="N2280" t="s">
        <v>49</v>
      </c>
      <c r="O2280" t="s">
        <v>4378</v>
      </c>
      <c r="P2280" t="s">
        <v>381</v>
      </c>
      <c r="T2280">
        <v>4</v>
      </c>
      <c r="U2280" t="s">
        <v>56</v>
      </c>
      <c r="V2280" t="s">
        <v>56</v>
      </c>
    </row>
    <row r="2281" spans="1:22" x14ac:dyDescent="0.3">
      <c r="A2281" s="49">
        <v>45274</v>
      </c>
      <c r="E2281" t="s">
        <v>3128</v>
      </c>
      <c r="G2281" t="s">
        <v>5079</v>
      </c>
      <c r="H2281" t="s">
        <v>28</v>
      </c>
      <c r="I2281" t="s">
        <v>5558</v>
      </c>
      <c r="J2281" t="s">
        <v>63</v>
      </c>
      <c r="K2281" t="s">
        <v>64</v>
      </c>
      <c r="M2281">
        <v>100</v>
      </c>
      <c r="N2281" t="s">
        <v>49</v>
      </c>
      <c r="O2281" t="s">
        <v>4379</v>
      </c>
      <c r="P2281" t="s">
        <v>1701</v>
      </c>
      <c r="T2281">
        <v>4</v>
      </c>
      <c r="U2281" t="s">
        <v>56</v>
      </c>
      <c r="V2281" t="s">
        <v>56</v>
      </c>
    </row>
    <row r="2282" spans="1:22" x14ac:dyDescent="0.3">
      <c r="A2282" s="49">
        <v>45274</v>
      </c>
      <c r="E2282" t="s">
        <v>3128</v>
      </c>
      <c r="G2282" t="s">
        <v>5319</v>
      </c>
      <c r="H2282" t="s">
        <v>28</v>
      </c>
      <c r="I2282" t="s">
        <v>5907</v>
      </c>
      <c r="J2282" t="s">
        <v>63</v>
      </c>
      <c r="K2282" t="s">
        <v>64</v>
      </c>
      <c r="M2282">
        <v>100</v>
      </c>
      <c r="N2282" t="s">
        <v>49</v>
      </c>
      <c r="O2282" t="s">
        <v>4380</v>
      </c>
      <c r="P2282" t="s">
        <v>416</v>
      </c>
      <c r="T2282">
        <v>6</v>
      </c>
      <c r="U2282" t="s">
        <v>40</v>
      </c>
      <c r="V2282" t="s">
        <v>41</v>
      </c>
    </row>
    <row r="2283" spans="1:22" x14ac:dyDescent="0.3">
      <c r="A2283" s="49">
        <v>45274</v>
      </c>
      <c r="E2283" t="s">
        <v>3128</v>
      </c>
      <c r="G2283" t="s">
        <v>5203</v>
      </c>
      <c r="H2283" t="s">
        <v>89</v>
      </c>
      <c r="J2283" t="s">
        <v>63</v>
      </c>
      <c r="K2283" t="s">
        <v>64</v>
      </c>
      <c r="M2283">
        <v>100</v>
      </c>
      <c r="N2283" t="s">
        <v>49</v>
      </c>
      <c r="O2283" t="s">
        <v>4381</v>
      </c>
      <c r="P2283" t="s">
        <v>66</v>
      </c>
      <c r="T2283">
        <v>4</v>
      </c>
      <c r="U2283" t="s">
        <v>56</v>
      </c>
      <c r="V2283" t="s">
        <v>56</v>
      </c>
    </row>
    <row r="2284" spans="1:22" x14ac:dyDescent="0.3">
      <c r="A2284" s="49">
        <v>45274</v>
      </c>
      <c r="E2284" t="s">
        <v>3128</v>
      </c>
      <c r="G2284" t="s">
        <v>5203</v>
      </c>
      <c r="H2284" t="s">
        <v>89</v>
      </c>
      <c r="J2284" t="s">
        <v>63</v>
      </c>
      <c r="K2284" t="s">
        <v>64</v>
      </c>
      <c r="M2284">
        <v>100</v>
      </c>
      <c r="N2284" t="s">
        <v>33</v>
      </c>
      <c r="O2284" t="s">
        <v>4381</v>
      </c>
      <c r="P2284" t="s">
        <v>66</v>
      </c>
      <c r="T2284">
        <v>4</v>
      </c>
      <c r="U2284" t="s">
        <v>56</v>
      </c>
      <c r="V2284" t="s">
        <v>56</v>
      </c>
    </row>
    <row r="2285" spans="1:22" x14ac:dyDescent="0.3">
      <c r="A2285" s="49">
        <v>45274</v>
      </c>
      <c r="E2285" t="s">
        <v>3128</v>
      </c>
      <c r="G2285" t="s">
        <v>5203</v>
      </c>
      <c r="H2285" t="s">
        <v>89</v>
      </c>
      <c r="J2285" t="s">
        <v>63</v>
      </c>
      <c r="K2285" t="s">
        <v>64</v>
      </c>
      <c r="M2285">
        <v>100</v>
      </c>
      <c r="N2285" t="s">
        <v>33</v>
      </c>
      <c r="O2285" t="s">
        <v>4381</v>
      </c>
      <c r="P2285" t="s">
        <v>66</v>
      </c>
      <c r="T2285">
        <v>4</v>
      </c>
      <c r="U2285" t="s">
        <v>56</v>
      </c>
      <c r="V2285" t="s">
        <v>56</v>
      </c>
    </row>
    <row r="2286" spans="1:22" x14ac:dyDescent="0.3">
      <c r="A2286" s="49">
        <v>45274</v>
      </c>
      <c r="E2286" t="s">
        <v>3128</v>
      </c>
      <c r="G2286" t="s">
        <v>5320</v>
      </c>
      <c r="H2286" t="s">
        <v>28</v>
      </c>
      <c r="I2286" t="s">
        <v>5908</v>
      </c>
      <c r="J2286" t="s">
        <v>63</v>
      </c>
      <c r="K2286" t="s">
        <v>64</v>
      </c>
      <c r="M2286">
        <v>100</v>
      </c>
      <c r="N2286" t="s">
        <v>49</v>
      </c>
      <c r="O2286" t="s">
        <v>4382</v>
      </c>
      <c r="P2286" t="s">
        <v>4894</v>
      </c>
      <c r="T2286">
        <v>5</v>
      </c>
      <c r="U2286" t="s">
        <v>40</v>
      </c>
      <c r="V2286" t="s">
        <v>41</v>
      </c>
    </row>
    <row r="2287" spans="1:22" x14ac:dyDescent="0.3">
      <c r="A2287" s="49">
        <v>45274</v>
      </c>
      <c r="E2287" t="s">
        <v>3128</v>
      </c>
      <c r="G2287" t="s">
        <v>5319</v>
      </c>
      <c r="H2287" t="s">
        <v>28</v>
      </c>
      <c r="I2287" t="s">
        <v>5909</v>
      </c>
      <c r="J2287" t="s">
        <v>63</v>
      </c>
      <c r="K2287" t="s">
        <v>64</v>
      </c>
      <c r="M2287">
        <v>0</v>
      </c>
      <c r="N2287" t="s">
        <v>49</v>
      </c>
      <c r="O2287" t="s">
        <v>4383</v>
      </c>
      <c r="P2287" t="s">
        <v>416</v>
      </c>
      <c r="T2287">
        <v>6</v>
      </c>
      <c r="U2287" t="s">
        <v>40</v>
      </c>
      <c r="V2287" t="s">
        <v>41</v>
      </c>
    </row>
    <row r="2288" spans="1:22" x14ac:dyDescent="0.3">
      <c r="A2288" s="49">
        <v>45274</v>
      </c>
      <c r="E2288" t="s">
        <v>3128</v>
      </c>
      <c r="G2288" t="s">
        <v>5079</v>
      </c>
      <c r="H2288" t="s">
        <v>28</v>
      </c>
      <c r="I2288" t="s">
        <v>5558</v>
      </c>
      <c r="J2288" t="s">
        <v>63</v>
      </c>
      <c r="K2288" t="s">
        <v>1235</v>
      </c>
      <c r="M2288">
        <v>33</v>
      </c>
      <c r="N2288" t="s">
        <v>49</v>
      </c>
      <c r="O2288" t="s">
        <v>4379</v>
      </c>
      <c r="P2288" t="s">
        <v>1701</v>
      </c>
      <c r="T2288">
        <v>4</v>
      </c>
      <c r="U2288" t="s">
        <v>56</v>
      </c>
      <c r="V2288" t="s">
        <v>56</v>
      </c>
    </row>
    <row r="2289" spans="1:22" x14ac:dyDescent="0.3">
      <c r="A2289" s="49">
        <v>45274</v>
      </c>
      <c r="E2289" t="s">
        <v>3128</v>
      </c>
      <c r="G2289" t="s">
        <v>5079</v>
      </c>
      <c r="H2289" t="s">
        <v>89</v>
      </c>
      <c r="J2289" t="s">
        <v>63</v>
      </c>
      <c r="K2289" t="s">
        <v>1235</v>
      </c>
      <c r="M2289">
        <v>100</v>
      </c>
      <c r="N2289" t="s">
        <v>49</v>
      </c>
      <c r="O2289" t="s">
        <v>4384</v>
      </c>
      <c r="P2289" t="s">
        <v>381</v>
      </c>
      <c r="T2289">
        <v>4</v>
      </c>
      <c r="U2289" t="s">
        <v>56</v>
      </c>
      <c r="V2289" t="s">
        <v>56</v>
      </c>
    </row>
    <row r="2290" spans="1:22" x14ac:dyDescent="0.3">
      <c r="A2290" s="49">
        <v>45274</v>
      </c>
      <c r="E2290" t="s">
        <v>3128</v>
      </c>
      <c r="G2290" t="s">
        <v>5079</v>
      </c>
      <c r="H2290" t="s">
        <v>89</v>
      </c>
      <c r="J2290" t="s">
        <v>63</v>
      </c>
      <c r="K2290" t="s">
        <v>1235</v>
      </c>
      <c r="M2290">
        <v>100</v>
      </c>
      <c r="N2290" t="s">
        <v>49</v>
      </c>
      <c r="O2290" t="s">
        <v>4384</v>
      </c>
      <c r="P2290" t="s">
        <v>381</v>
      </c>
      <c r="T2290">
        <v>4</v>
      </c>
      <c r="U2290" t="s">
        <v>56</v>
      </c>
      <c r="V2290" t="s">
        <v>56</v>
      </c>
    </row>
    <row r="2291" spans="1:22" x14ac:dyDescent="0.3">
      <c r="A2291" s="49">
        <v>45274</v>
      </c>
      <c r="E2291" t="s">
        <v>3128</v>
      </c>
      <c r="G2291" t="s">
        <v>5202</v>
      </c>
      <c r="H2291" t="s">
        <v>89</v>
      </c>
      <c r="J2291" t="s">
        <v>63</v>
      </c>
      <c r="K2291" t="s">
        <v>1235</v>
      </c>
      <c r="M2291">
        <v>100</v>
      </c>
      <c r="N2291" t="s">
        <v>49</v>
      </c>
      <c r="O2291" t="s">
        <v>4385</v>
      </c>
      <c r="P2291" t="s">
        <v>737</v>
      </c>
      <c r="T2291">
        <v>6</v>
      </c>
      <c r="U2291" t="s">
        <v>40</v>
      </c>
      <c r="V2291" t="s">
        <v>41</v>
      </c>
    </row>
    <row r="2292" spans="1:22" x14ac:dyDescent="0.3">
      <c r="A2292" s="49">
        <v>45274</v>
      </c>
      <c r="E2292" t="s">
        <v>3218</v>
      </c>
      <c r="G2292" t="s">
        <v>5204</v>
      </c>
      <c r="H2292" t="s">
        <v>28</v>
      </c>
      <c r="I2292" t="s">
        <v>5717</v>
      </c>
      <c r="J2292" t="s">
        <v>46</v>
      </c>
      <c r="K2292" t="s">
        <v>4946</v>
      </c>
      <c r="M2292">
        <v>100</v>
      </c>
      <c r="N2292" t="s">
        <v>49</v>
      </c>
      <c r="O2292" t="s">
        <v>3851</v>
      </c>
      <c r="P2292" t="s">
        <v>4877</v>
      </c>
      <c r="T2292">
        <v>6</v>
      </c>
      <c r="U2292" t="s">
        <v>40</v>
      </c>
      <c r="V2292" t="s">
        <v>41</v>
      </c>
    </row>
    <row r="2293" spans="1:22" x14ac:dyDescent="0.3">
      <c r="A2293" s="49">
        <v>45274</v>
      </c>
      <c r="E2293" t="s">
        <v>3193</v>
      </c>
      <c r="G2293" t="s">
        <v>5205</v>
      </c>
      <c r="H2293" t="s">
        <v>28</v>
      </c>
      <c r="I2293" t="s">
        <v>5910</v>
      </c>
      <c r="J2293" t="s">
        <v>46</v>
      </c>
      <c r="K2293" t="s">
        <v>4960</v>
      </c>
      <c r="M2293">
        <v>100</v>
      </c>
      <c r="N2293" t="s">
        <v>49</v>
      </c>
      <c r="O2293" t="s">
        <v>4386</v>
      </c>
      <c r="P2293" t="s">
        <v>344</v>
      </c>
      <c r="T2293">
        <v>6</v>
      </c>
      <c r="U2293" t="s">
        <v>40</v>
      </c>
      <c r="V2293" t="s">
        <v>41</v>
      </c>
    </row>
    <row r="2294" spans="1:22" x14ac:dyDescent="0.3">
      <c r="A2294" s="49">
        <v>45274</v>
      </c>
      <c r="E2294" t="s">
        <v>3129</v>
      </c>
      <c r="G2294" t="s">
        <v>5321</v>
      </c>
      <c r="H2294" t="s">
        <v>28</v>
      </c>
      <c r="I2294" t="s">
        <v>5911</v>
      </c>
      <c r="J2294" t="s">
        <v>63</v>
      </c>
      <c r="K2294" t="s">
        <v>4924</v>
      </c>
      <c r="M2294">
        <v>33</v>
      </c>
      <c r="N2294" t="s">
        <v>33</v>
      </c>
      <c r="O2294" t="s">
        <v>4387</v>
      </c>
      <c r="P2294" t="s">
        <v>4878</v>
      </c>
      <c r="T2294">
        <v>6</v>
      </c>
      <c r="U2294" t="s">
        <v>40</v>
      </c>
      <c r="V2294" t="s">
        <v>41</v>
      </c>
    </row>
    <row r="2295" spans="1:22" x14ac:dyDescent="0.3">
      <c r="A2295" s="49">
        <v>45274</v>
      </c>
      <c r="E2295" t="s">
        <v>3129</v>
      </c>
      <c r="G2295" t="s">
        <v>5082</v>
      </c>
      <c r="H2295" t="s">
        <v>28</v>
      </c>
      <c r="I2295" t="s">
        <v>5720</v>
      </c>
      <c r="J2295" t="s">
        <v>46</v>
      </c>
      <c r="K2295" t="s">
        <v>481</v>
      </c>
      <c r="M2295">
        <v>20</v>
      </c>
      <c r="N2295" t="s">
        <v>49</v>
      </c>
      <c r="O2295" t="s">
        <v>4388</v>
      </c>
      <c r="P2295" t="s">
        <v>668</v>
      </c>
      <c r="T2295">
        <v>6</v>
      </c>
      <c r="U2295" t="s">
        <v>40</v>
      </c>
      <c r="V2295" t="s">
        <v>41</v>
      </c>
    </row>
    <row r="2296" spans="1:22" x14ac:dyDescent="0.3">
      <c r="A2296" s="49">
        <v>45274</v>
      </c>
      <c r="E2296" t="s">
        <v>3129</v>
      </c>
      <c r="G2296" t="s">
        <v>5322</v>
      </c>
      <c r="H2296" t="s">
        <v>28</v>
      </c>
      <c r="I2296" t="s">
        <v>5912</v>
      </c>
      <c r="J2296" t="s">
        <v>63</v>
      </c>
      <c r="K2296" t="s">
        <v>197</v>
      </c>
      <c r="M2296">
        <v>100</v>
      </c>
      <c r="N2296" t="s">
        <v>49</v>
      </c>
      <c r="O2296" t="s">
        <v>4389</v>
      </c>
      <c r="P2296" t="s">
        <v>4833</v>
      </c>
      <c r="T2296">
        <v>6</v>
      </c>
      <c r="U2296" t="s">
        <v>40</v>
      </c>
      <c r="V2296" t="s">
        <v>41</v>
      </c>
    </row>
    <row r="2297" spans="1:22" x14ac:dyDescent="0.3">
      <c r="A2297" s="49">
        <v>45274</v>
      </c>
      <c r="E2297" t="s">
        <v>3236</v>
      </c>
      <c r="G2297" t="s">
        <v>4988</v>
      </c>
      <c r="H2297" t="s">
        <v>28</v>
      </c>
      <c r="I2297" t="s">
        <v>5913</v>
      </c>
      <c r="J2297" t="s">
        <v>46</v>
      </c>
      <c r="K2297" t="s">
        <v>481</v>
      </c>
      <c r="M2297">
        <v>80</v>
      </c>
      <c r="N2297" t="s">
        <v>33</v>
      </c>
      <c r="O2297" t="s">
        <v>4390</v>
      </c>
      <c r="P2297" t="s">
        <v>85</v>
      </c>
      <c r="T2297">
        <v>6</v>
      </c>
      <c r="U2297" t="s">
        <v>40</v>
      </c>
      <c r="V2297" t="s">
        <v>41</v>
      </c>
    </row>
    <row r="2298" spans="1:22" x14ac:dyDescent="0.3">
      <c r="A2298" s="49">
        <v>45274</v>
      </c>
      <c r="E2298" t="s">
        <v>3219</v>
      </c>
      <c r="G2298" t="s">
        <v>5323</v>
      </c>
      <c r="H2298" t="s">
        <v>28</v>
      </c>
      <c r="I2298" t="s">
        <v>5914</v>
      </c>
      <c r="J2298" t="s">
        <v>46</v>
      </c>
      <c r="K2298" t="s">
        <v>481</v>
      </c>
      <c r="M2298">
        <v>100</v>
      </c>
      <c r="N2298" t="s">
        <v>49</v>
      </c>
      <c r="O2298" t="s">
        <v>4391</v>
      </c>
      <c r="P2298" t="s">
        <v>691</v>
      </c>
      <c r="T2298">
        <v>4</v>
      </c>
      <c r="U2298" t="s">
        <v>56</v>
      </c>
      <c r="V2298" t="s">
        <v>56</v>
      </c>
    </row>
    <row r="2299" spans="1:22" x14ac:dyDescent="0.3">
      <c r="A2299" s="49">
        <v>45274</v>
      </c>
      <c r="E2299" t="s">
        <v>3219</v>
      </c>
      <c r="G2299" t="s">
        <v>5324</v>
      </c>
      <c r="H2299" t="s">
        <v>28</v>
      </c>
      <c r="I2299" t="s">
        <v>5915</v>
      </c>
      <c r="J2299" t="s">
        <v>46</v>
      </c>
      <c r="K2299" t="s">
        <v>911</v>
      </c>
      <c r="M2299">
        <v>100</v>
      </c>
      <c r="N2299" t="s">
        <v>49</v>
      </c>
      <c r="O2299" t="s">
        <v>4392</v>
      </c>
      <c r="P2299" t="s">
        <v>344</v>
      </c>
      <c r="T2299">
        <v>4</v>
      </c>
      <c r="U2299" t="s">
        <v>56</v>
      </c>
      <c r="V2299" t="s">
        <v>56</v>
      </c>
    </row>
    <row r="2300" spans="1:22" x14ac:dyDescent="0.3">
      <c r="A2300" s="49">
        <v>45274</v>
      </c>
      <c r="E2300" t="s">
        <v>3219</v>
      </c>
      <c r="G2300" t="s">
        <v>1677</v>
      </c>
      <c r="H2300" t="s">
        <v>89</v>
      </c>
      <c r="J2300" t="s">
        <v>46</v>
      </c>
      <c r="K2300" t="s">
        <v>422</v>
      </c>
      <c r="M2300">
        <v>45</v>
      </c>
      <c r="N2300" t="s">
        <v>33</v>
      </c>
      <c r="O2300" t="s">
        <v>4393</v>
      </c>
      <c r="P2300" t="s">
        <v>170</v>
      </c>
      <c r="T2300">
        <v>4</v>
      </c>
      <c r="U2300" t="s">
        <v>56</v>
      </c>
      <c r="V2300" t="s">
        <v>56</v>
      </c>
    </row>
    <row r="2301" spans="1:22" x14ac:dyDescent="0.3">
      <c r="A2301" s="49">
        <v>45274</v>
      </c>
      <c r="E2301" t="s">
        <v>3220</v>
      </c>
      <c r="G2301" t="s">
        <v>919</v>
      </c>
      <c r="H2301" t="s">
        <v>28</v>
      </c>
      <c r="J2301" t="s">
        <v>46</v>
      </c>
      <c r="K2301" t="s">
        <v>422</v>
      </c>
      <c r="M2301">
        <v>20</v>
      </c>
      <c r="N2301" t="s">
        <v>33</v>
      </c>
      <c r="O2301" t="s">
        <v>3861</v>
      </c>
      <c r="P2301" t="s">
        <v>4833</v>
      </c>
      <c r="T2301">
        <v>4</v>
      </c>
      <c r="U2301" t="s">
        <v>56</v>
      </c>
      <c r="V2301" t="s">
        <v>56</v>
      </c>
    </row>
    <row r="2302" spans="1:22" x14ac:dyDescent="0.3">
      <c r="A2302" s="49">
        <v>45274</v>
      </c>
      <c r="E2302" t="s">
        <v>3220</v>
      </c>
      <c r="G2302" t="s">
        <v>5325</v>
      </c>
      <c r="H2302" t="s">
        <v>28</v>
      </c>
      <c r="I2302" t="s">
        <v>5916</v>
      </c>
      <c r="J2302" t="s">
        <v>63</v>
      </c>
      <c r="K2302" t="s">
        <v>197</v>
      </c>
      <c r="M2302">
        <v>100</v>
      </c>
      <c r="N2302" t="s">
        <v>49</v>
      </c>
      <c r="O2302" t="s">
        <v>4394</v>
      </c>
      <c r="P2302" t="s">
        <v>4904</v>
      </c>
      <c r="T2302">
        <v>4</v>
      </c>
      <c r="U2302" t="s">
        <v>56</v>
      </c>
      <c r="V2302" t="s">
        <v>56</v>
      </c>
    </row>
    <row r="2303" spans="1:22" x14ac:dyDescent="0.3">
      <c r="A2303" s="49">
        <v>45274</v>
      </c>
      <c r="E2303" t="s">
        <v>3130</v>
      </c>
      <c r="G2303" t="s">
        <v>4998</v>
      </c>
      <c r="H2303" t="s">
        <v>89</v>
      </c>
      <c r="J2303" t="s">
        <v>63</v>
      </c>
      <c r="K2303" t="s">
        <v>64</v>
      </c>
      <c r="M2303">
        <v>25</v>
      </c>
      <c r="N2303" t="s">
        <v>33</v>
      </c>
      <c r="O2303" t="s">
        <v>4395</v>
      </c>
      <c r="P2303" t="s">
        <v>1878</v>
      </c>
      <c r="T2303">
        <v>4</v>
      </c>
      <c r="U2303" t="s">
        <v>56</v>
      </c>
      <c r="V2303" t="s">
        <v>56</v>
      </c>
    </row>
    <row r="2304" spans="1:22" x14ac:dyDescent="0.3">
      <c r="A2304" s="49">
        <v>45274</v>
      </c>
      <c r="E2304" t="s">
        <v>3130</v>
      </c>
      <c r="G2304" t="s">
        <v>4998</v>
      </c>
      <c r="H2304" t="s">
        <v>89</v>
      </c>
      <c r="J2304" t="s">
        <v>63</v>
      </c>
      <c r="K2304" t="s">
        <v>64</v>
      </c>
      <c r="M2304">
        <v>0</v>
      </c>
      <c r="N2304" t="s">
        <v>33</v>
      </c>
      <c r="O2304" t="s">
        <v>4396</v>
      </c>
      <c r="P2304" t="s">
        <v>483</v>
      </c>
      <c r="T2304">
        <v>4</v>
      </c>
      <c r="U2304" t="s">
        <v>56</v>
      </c>
      <c r="V2304" t="s">
        <v>56</v>
      </c>
    </row>
    <row r="2305" spans="1:22" x14ac:dyDescent="0.3">
      <c r="A2305" s="49">
        <v>45274</v>
      </c>
      <c r="E2305" t="s">
        <v>3130</v>
      </c>
      <c r="G2305" t="s">
        <v>4998</v>
      </c>
      <c r="H2305" t="s">
        <v>28</v>
      </c>
      <c r="I2305" t="s">
        <v>5917</v>
      </c>
      <c r="J2305" t="s">
        <v>63</v>
      </c>
      <c r="K2305" t="s">
        <v>64</v>
      </c>
      <c r="M2305">
        <v>8</v>
      </c>
      <c r="N2305" t="s">
        <v>33</v>
      </c>
      <c r="O2305" t="s">
        <v>4397</v>
      </c>
      <c r="P2305" t="s">
        <v>791</v>
      </c>
      <c r="T2305">
        <v>4</v>
      </c>
      <c r="U2305" t="s">
        <v>56</v>
      </c>
      <c r="V2305" t="s">
        <v>56</v>
      </c>
    </row>
    <row r="2306" spans="1:22" x14ac:dyDescent="0.3">
      <c r="A2306" s="49">
        <v>45274</v>
      </c>
      <c r="E2306" t="s">
        <v>3130</v>
      </c>
      <c r="G2306" t="s">
        <v>5326</v>
      </c>
      <c r="H2306" t="s">
        <v>28</v>
      </c>
      <c r="I2306" t="s">
        <v>5918</v>
      </c>
      <c r="J2306" t="s">
        <v>46</v>
      </c>
      <c r="K2306" t="s">
        <v>880</v>
      </c>
      <c r="M2306">
        <v>0</v>
      </c>
      <c r="N2306" t="s">
        <v>74</v>
      </c>
      <c r="O2306" t="s">
        <v>4398</v>
      </c>
      <c r="P2306" t="s">
        <v>791</v>
      </c>
      <c r="T2306">
        <v>4</v>
      </c>
      <c r="U2306" t="s">
        <v>56</v>
      </c>
      <c r="V2306" t="s">
        <v>56</v>
      </c>
    </row>
    <row r="2307" spans="1:22" x14ac:dyDescent="0.3">
      <c r="A2307" s="49">
        <v>45274</v>
      </c>
      <c r="E2307" t="s">
        <v>3131</v>
      </c>
      <c r="G2307" t="s">
        <v>5327</v>
      </c>
      <c r="H2307" t="s">
        <v>28</v>
      </c>
      <c r="I2307" t="s">
        <v>5919</v>
      </c>
      <c r="J2307" t="s">
        <v>1712</v>
      </c>
      <c r="K2307" t="s">
        <v>481</v>
      </c>
      <c r="M2307">
        <v>100</v>
      </c>
      <c r="N2307" t="s">
        <v>49</v>
      </c>
      <c r="O2307" t="s">
        <v>4399</v>
      </c>
      <c r="P2307" t="s">
        <v>4828</v>
      </c>
      <c r="T2307">
        <v>4</v>
      </c>
      <c r="U2307" t="s">
        <v>56</v>
      </c>
      <c r="V2307" t="s">
        <v>56</v>
      </c>
    </row>
    <row r="2308" spans="1:22" x14ac:dyDescent="0.3">
      <c r="A2308" s="49">
        <v>45274</v>
      </c>
      <c r="E2308" t="s">
        <v>3131</v>
      </c>
      <c r="G2308" t="s">
        <v>5328</v>
      </c>
      <c r="H2308" t="s">
        <v>28</v>
      </c>
      <c r="I2308" t="s">
        <v>5920</v>
      </c>
      <c r="J2308" t="s">
        <v>63</v>
      </c>
      <c r="K2308" t="s">
        <v>211</v>
      </c>
      <c r="M2308">
        <v>70</v>
      </c>
      <c r="N2308" t="s">
        <v>49</v>
      </c>
      <c r="O2308" t="s">
        <v>4400</v>
      </c>
      <c r="P2308" t="s">
        <v>4891</v>
      </c>
      <c r="T2308">
        <v>4</v>
      </c>
      <c r="U2308" t="s">
        <v>56</v>
      </c>
      <c r="V2308" t="s">
        <v>56</v>
      </c>
    </row>
    <row r="2309" spans="1:22" x14ac:dyDescent="0.3">
      <c r="A2309" s="49">
        <v>45274</v>
      </c>
      <c r="E2309" t="s">
        <v>3131</v>
      </c>
      <c r="G2309" t="s">
        <v>4999</v>
      </c>
      <c r="H2309" t="s">
        <v>28</v>
      </c>
      <c r="I2309" t="s">
        <v>5921</v>
      </c>
      <c r="J2309" t="s">
        <v>46</v>
      </c>
      <c r="K2309" t="s">
        <v>481</v>
      </c>
      <c r="M2309">
        <v>80</v>
      </c>
      <c r="N2309" t="s">
        <v>33</v>
      </c>
      <c r="O2309" t="s">
        <v>4401</v>
      </c>
      <c r="P2309" t="s">
        <v>306</v>
      </c>
      <c r="T2309">
        <v>4</v>
      </c>
      <c r="U2309" t="s">
        <v>56</v>
      </c>
      <c r="V2309" t="s">
        <v>56</v>
      </c>
    </row>
    <row r="2310" spans="1:22" x14ac:dyDescent="0.3">
      <c r="A2310" s="49">
        <v>45274</v>
      </c>
      <c r="E2310" t="s">
        <v>3131</v>
      </c>
      <c r="G2310" t="s">
        <v>5108</v>
      </c>
      <c r="H2310" t="s">
        <v>28</v>
      </c>
      <c r="I2310" t="s">
        <v>430</v>
      </c>
      <c r="J2310" t="s">
        <v>63</v>
      </c>
      <c r="K2310" t="s">
        <v>4924</v>
      </c>
      <c r="M2310">
        <v>50</v>
      </c>
      <c r="N2310" t="s">
        <v>33</v>
      </c>
      <c r="O2310" t="s">
        <v>4402</v>
      </c>
      <c r="P2310" t="s">
        <v>4828</v>
      </c>
      <c r="S2310" t="s">
        <v>6325</v>
      </c>
      <c r="T2310">
        <v>6</v>
      </c>
      <c r="U2310" t="s">
        <v>40</v>
      </c>
      <c r="V2310" t="s">
        <v>41</v>
      </c>
    </row>
    <row r="2311" spans="1:22" x14ac:dyDescent="0.3">
      <c r="A2311" s="49">
        <v>45274</v>
      </c>
      <c r="E2311" t="s">
        <v>3131</v>
      </c>
      <c r="G2311" t="s">
        <v>5108</v>
      </c>
      <c r="H2311" t="s">
        <v>28</v>
      </c>
      <c r="I2311" t="s">
        <v>430</v>
      </c>
      <c r="J2311" t="s">
        <v>63</v>
      </c>
      <c r="K2311" t="s">
        <v>4924</v>
      </c>
      <c r="M2311">
        <v>50</v>
      </c>
      <c r="N2311" t="s">
        <v>33</v>
      </c>
      <c r="O2311" t="s">
        <v>4403</v>
      </c>
      <c r="P2311" t="s">
        <v>4828</v>
      </c>
      <c r="S2311" t="s">
        <v>6325</v>
      </c>
      <c r="T2311">
        <v>6</v>
      </c>
      <c r="U2311" t="s">
        <v>40</v>
      </c>
      <c r="V2311" t="s">
        <v>41</v>
      </c>
    </row>
    <row r="2312" spans="1:22" x14ac:dyDescent="0.3">
      <c r="A2312" s="49">
        <v>45274</v>
      </c>
      <c r="E2312" t="s">
        <v>3182</v>
      </c>
      <c r="G2312" t="s">
        <v>1198</v>
      </c>
      <c r="H2312" t="s">
        <v>28</v>
      </c>
      <c r="I2312" t="s">
        <v>5474</v>
      </c>
      <c r="J2312" t="s">
        <v>63</v>
      </c>
      <c r="K2312" t="s">
        <v>197</v>
      </c>
      <c r="M2312">
        <v>70</v>
      </c>
      <c r="N2312" t="s">
        <v>49</v>
      </c>
      <c r="O2312" t="s">
        <v>4404</v>
      </c>
      <c r="P2312" t="s">
        <v>1508</v>
      </c>
      <c r="T2312">
        <v>6</v>
      </c>
      <c r="U2312" t="s">
        <v>40</v>
      </c>
      <c r="V2312" t="s">
        <v>41</v>
      </c>
    </row>
    <row r="2313" spans="1:22" x14ac:dyDescent="0.3">
      <c r="A2313" s="49">
        <v>45274</v>
      </c>
      <c r="E2313" t="s">
        <v>3182</v>
      </c>
      <c r="G2313" t="s">
        <v>1198</v>
      </c>
      <c r="H2313" t="s">
        <v>28</v>
      </c>
      <c r="I2313" t="s">
        <v>5922</v>
      </c>
      <c r="J2313" t="s">
        <v>63</v>
      </c>
      <c r="K2313" t="s">
        <v>197</v>
      </c>
      <c r="M2313">
        <v>5</v>
      </c>
      <c r="N2313" t="s">
        <v>49</v>
      </c>
      <c r="O2313" t="s">
        <v>4405</v>
      </c>
      <c r="P2313" t="s">
        <v>1701</v>
      </c>
      <c r="T2313">
        <v>6</v>
      </c>
      <c r="U2313" t="s">
        <v>40</v>
      </c>
      <c r="V2313" t="s">
        <v>41</v>
      </c>
    </row>
    <row r="2314" spans="1:22" x14ac:dyDescent="0.3">
      <c r="A2314" s="49">
        <v>45274</v>
      </c>
      <c r="E2314" t="s">
        <v>3182</v>
      </c>
      <c r="G2314" t="s">
        <v>5213</v>
      </c>
      <c r="H2314" t="s">
        <v>28</v>
      </c>
      <c r="I2314" t="s">
        <v>5736</v>
      </c>
      <c r="J2314" t="s">
        <v>63</v>
      </c>
      <c r="K2314" t="s">
        <v>64</v>
      </c>
      <c r="M2314">
        <v>55</v>
      </c>
      <c r="N2314" t="s">
        <v>49</v>
      </c>
      <c r="O2314" t="s">
        <v>4406</v>
      </c>
      <c r="P2314" t="s">
        <v>2052</v>
      </c>
      <c r="T2314">
        <v>6</v>
      </c>
      <c r="U2314" t="s">
        <v>40</v>
      </c>
      <c r="V2314" t="s">
        <v>41</v>
      </c>
    </row>
    <row r="2315" spans="1:22" x14ac:dyDescent="0.3">
      <c r="A2315" s="49">
        <v>45274</v>
      </c>
      <c r="E2315" t="s">
        <v>3182</v>
      </c>
      <c r="G2315" t="s">
        <v>1198</v>
      </c>
      <c r="H2315" t="s">
        <v>28</v>
      </c>
      <c r="I2315" t="s">
        <v>934</v>
      </c>
      <c r="J2315" t="s">
        <v>63</v>
      </c>
      <c r="K2315" t="s">
        <v>197</v>
      </c>
      <c r="M2315">
        <v>85</v>
      </c>
      <c r="N2315" t="s">
        <v>49</v>
      </c>
      <c r="O2315" t="s">
        <v>4407</v>
      </c>
      <c r="P2315" t="s">
        <v>743</v>
      </c>
      <c r="T2315">
        <v>6</v>
      </c>
      <c r="U2315" t="s">
        <v>40</v>
      </c>
      <c r="V2315" t="s">
        <v>41</v>
      </c>
    </row>
    <row r="2316" spans="1:22" x14ac:dyDescent="0.3">
      <c r="A2316" s="49">
        <v>45274</v>
      </c>
      <c r="E2316" t="s">
        <v>3182</v>
      </c>
      <c r="G2316" t="s">
        <v>5212</v>
      </c>
      <c r="H2316" t="s">
        <v>89</v>
      </c>
      <c r="J2316" t="s">
        <v>46</v>
      </c>
      <c r="K2316" t="s">
        <v>880</v>
      </c>
      <c r="M2316">
        <v>100</v>
      </c>
      <c r="N2316" t="s">
        <v>33</v>
      </c>
      <c r="O2316" t="s">
        <v>4408</v>
      </c>
      <c r="P2316" t="s">
        <v>743</v>
      </c>
      <c r="T2316">
        <v>4</v>
      </c>
      <c r="U2316" t="s">
        <v>56</v>
      </c>
      <c r="V2316" t="s">
        <v>56</v>
      </c>
    </row>
    <row r="2317" spans="1:22" x14ac:dyDescent="0.3">
      <c r="A2317" s="49">
        <v>45274</v>
      </c>
      <c r="E2317" t="s">
        <v>3164</v>
      </c>
      <c r="G2317" t="s">
        <v>5329</v>
      </c>
      <c r="H2317" t="s">
        <v>28</v>
      </c>
      <c r="I2317" t="s">
        <v>5923</v>
      </c>
      <c r="J2317" t="s">
        <v>46</v>
      </c>
      <c r="K2317" t="s">
        <v>880</v>
      </c>
      <c r="M2317">
        <v>60</v>
      </c>
      <c r="N2317" t="s">
        <v>33</v>
      </c>
      <c r="O2317" t="s">
        <v>4409</v>
      </c>
      <c r="P2317" t="s">
        <v>306</v>
      </c>
      <c r="T2317">
        <v>6</v>
      </c>
      <c r="U2317" t="s">
        <v>40</v>
      </c>
      <c r="V2317" t="s">
        <v>41</v>
      </c>
    </row>
    <row r="2318" spans="1:22" x14ac:dyDescent="0.3">
      <c r="A2318" s="49">
        <v>45274</v>
      </c>
      <c r="E2318" t="s">
        <v>3164</v>
      </c>
      <c r="G2318" t="s">
        <v>5080</v>
      </c>
      <c r="H2318" t="s">
        <v>28</v>
      </c>
      <c r="I2318" t="s">
        <v>5924</v>
      </c>
      <c r="J2318" t="s">
        <v>46</v>
      </c>
      <c r="K2318" t="s">
        <v>880</v>
      </c>
      <c r="M2318">
        <v>80</v>
      </c>
      <c r="N2318" t="s">
        <v>49</v>
      </c>
      <c r="O2318" t="s">
        <v>4410</v>
      </c>
      <c r="P2318" t="s">
        <v>306</v>
      </c>
      <c r="T2318">
        <v>6</v>
      </c>
      <c r="U2318" t="s">
        <v>40</v>
      </c>
      <c r="V2318" t="s">
        <v>41</v>
      </c>
    </row>
    <row r="2319" spans="1:22" x14ac:dyDescent="0.3">
      <c r="A2319" s="49">
        <v>45274</v>
      </c>
      <c r="E2319" t="s">
        <v>3164</v>
      </c>
      <c r="G2319" t="s">
        <v>5080</v>
      </c>
      <c r="H2319" t="s">
        <v>28</v>
      </c>
      <c r="I2319" t="s">
        <v>5924</v>
      </c>
      <c r="J2319" t="s">
        <v>63</v>
      </c>
      <c r="K2319" t="s">
        <v>197</v>
      </c>
      <c r="M2319">
        <v>85</v>
      </c>
      <c r="N2319" t="s">
        <v>49</v>
      </c>
      <c r="O2319" t="s">
        <v>4411</v>
      </c>
      <c r="P2319" t="s">
        <v>381</v>
      </c>
      <c r="T2319">
        <v>6</v>
      </c>
      <c r="U2319" t="s">
        <v>40</v>
      </c>
      <c r="V2319" t="s">
        <v>41</v>
      </c>
    </row>
    <row r="2320" spans="1:22" x14ac:dyDescent="0.3">
      <c r="A2320" s="49">
        <v>45274</v>
      </c>
      <c r="E2320" t="s">
        <v>3164</v>
      </c>
      <c r="G2320" t="s">
        <v>5330</v>
      </c>
      <c r="H2320" t="s">
        <v>28</v>
      </c>
      <c r="I2320" t="s">
        <v>5925</v>
      </c>
      <c r="J2320" t="s">
        <v>46</v>
      </c>
      <c r="K2320" t="s">
        <v>880</v>
      </c>
      <c r="M2320">
        <v>100</v>
      </c>
      <c r="N2320" t="s">
        <v>33</v>
      </c>
      <c r="O2320" t="s">
        <v>4412</v>
      </c>
      <c r="P2320" t="s">
        <v>2645</v>
      </c>
      <c r="T2320">
        <v>6</v>
      </c>
      <c r="U2320" t="s">
        <v>40</v>
      </c>
      <c r="V2320" t="s">
        <v>41</v>
      </c>
    </row>
    <row r="2321" spans="1:22" x14ac:dyDescent="0.3">
      <c r="A2321" s="49">
        <v>45274</v>
      </c>
      <c r="E2321" t="s">
        <v>3164</v>
      </c>
      <c r="G2321" t="s">
        <v>5331</v>
      </c>
      <c r="H2321" t="s">
        <v>28</v>
      </c>
      <c r="I2321" t="s">
        <v>5926</v>
      </c>
      <c r="J2321" t="s">
        <v>46</v>
      </c>
      <c r="K2321" t="s">
        <v>481</v>
      </c>
      <c r="M2321">
        <v>90</v>
      </c>
      <c r="N2321" t="s">
        <v>33</v>
      </c>
      <c r="O2321" t="s">
        <v>4413</v>
      </c>
      <c r="P2321" t="s">
        <v>743</v>
      </c>
      <c r="T2321">
        <v>6</v>
      </c>
      <c r="U2321" t="s">
        <v>40</v>
      </c>
      <c r="V2321" t="s">
        <v>41</v>
      </c>
    </row>
    <row r="2322" spans="1:22" x14ac:dyDescent="0.3">
      <c r="A2322" s="49">
        <v>45274</v>
      </c>
      <c r="E2322" t="s">
        <v>3164</v>
      </c>
      <c r="G2322" t="s">
        <v>5330</v>
      </c>
      <c r="H2322" t="s">
        <v>89</v>
      </c>
      <c r="J2322" t="s">
        <v>46</v>
      </c>
      <c r="K2322" t="s">
        <v>481</v>
      </c>
      <c r="M2322">
        <v>100</v>
      </c>
      <c r="N2322" t="s">
        <v>33</v>
      </c>
      <c r="O2322" t="s">
        <v>4414</v>
      </c>
      <c r="P2322" t="s">
        <v>829</v>
      </c>
      <c r="T2322">
        <v>6</v>
      </c>
      <c r="U2322" t="s">
        <v>40</v>
      </c>
      <c r="V2322" t="s">
        <v>41</v>
      </c>
    </row>
    <row r="2323" spans="1:22" x14ac:dyDescent="0.3">
      <c r="A2323" s="49">
        <v>45274</v>
      </c>
      <c r="E2323" t="s">
        <v>3164</v>
      </c>
      <c r="G2323" t="s">
        <v>5216</v>
      </c>
      <c r="H2323" t="s">
        <v>3245</v>
      </c>
      <c r="I2323" t="s">
        <v>5927</v>
      </c>
      <c r="J2323" t="s">
        <v>46</v>
      </c>
      <c r="K2323" t="s">
        <v>880</v>
      </c>
      <c r="M2323">
        <v>100</v>
      </c>
      <c r="N2323" t="s">
        <v>49</v>
      </c>
      <c r="O2323" t="s">
        <v>4415</v>
      </c>
      <c r="P2323" t="s">
        <v>306</v>
      </c>
      <c r="T2323">
        <v>4</v>
      </c>
      <c r="U2323" t="s">
        <v>56</v>
      </c>
      <c r="V2323" t="s">
        <v>56</v>
      </c>
    </row>
    <row r="2324" spans="1:22" x14ac:dyDescent="0.3">
      <c r="A2324" s="49">
        <v>45274</v>
      </c>
      <c r="E2324" t="s">
        <v>3132</v>
      </c>
      <c r="G2324" t="s">
        <v>5332</v>
      </c>
      <c r="H2324" t="s">
        <v>28</v>
      </c>
      <c r="I2324" t="s">
        <v>5928</v>
      </c>
      <c r="J2324" t="s">
        <v>63</v>
      </c>
      <c r="K2324" t="s">
        <v>1235</v>
      </c>
      <c r="M2324">
        <v>100</v>
      </c>
      <c r="N2324" t="s">
        <v>49</v>
      </c>
      <c r="O2324" t="s">
        <v>4416</v>
      </c>
      <c r="P2324" t="s">
        <v>267</v>
      </c>
      <c r="T2324">
        <v>6</v>
      </c>
      <c r="U2324" t="s">
        <v>40</v>
      </c>
      <c r="V2324" t="s">
        <v>41</v>
      </c>
    </row>
    <row r="2325" spans="1:22" x14ac:dyDescent="0.3">
      <c r="A2325" s="49">
        <v>45274</v>
      </c>
      <c r="E2325" t="s">
        <v>3132</v>
      </c>
      <c r="G2325" t="s">
        <v>5332</v>
      </c>
      <c r="H2325" t="s">
        <v>89</v>
      </c>
      <c r="J2325" t="s">
        <v>63</v>
      </c>
      <c r="K2325" t="s">
        <v>64</v>
      </c>
      <c r="M2325">
        <v>100</v>
      </c>
      <c r="N2325" t="s">
        <v>49</v>
      </c>
      <c r="O2325" t="s">
        <v>4417</v>
      </c>
      <c r="P2325" t="s">
        <v>691</v>
      </c>
      <c r="T2325">
        <v>6</v>
      </c>
      <c r="U2325" t="s">
        <v>40</v>
      </c>
      <c r="V2325" t="s">
        <v>41</v>
      </c>
    </row>
    <row r="2326" spans="1:22" x14ac:dyDescent="0.3">
      <c r="A2326" s="49">
        <v>45274</v>
      </c>
      <c r="E2326" t="s">
        <v>3132</v>
      </c>
      <c r="G2326" t="s">
        <v>5332</v>
      </c>
      <c r="H2326" t="s">
        <v>28</v>
      </c>
      <c r="I2326" t="s">
        <v>5929</v>
      </c>
      <c r="J2326" t="s">
        <v>63</v>
      </c>
      <c r="K2326" t="s">
        <v>1235</v>
      </c>
      <c r="M2326">
        <v>80</v>
      </c>
      <c r="N2326" t="s">
        <v>49</v>
      </c>
      <c r="O2326" t="s">
        <v>4418</v>
      </c>
      <c r="P2326" t="s">
        <v>691</v>
      </c>
      <c r="T2326">
        <v>6</v>
      </c>
      <c r="U2326" t="s">
        <v>40</v>
      </c>
      <c r="V2326" t="s">
        <v>41</v>
      </c>
    </row>
    <row r="2327" spans="1:22" x14ac:dyDescent="0.3">
      <c r="A2327" s="49">
        <v>45274</v>
      </c>
      <c r="E2327" t="s">
        <v>3132</v>
      </c>
      <c r="G2327" t="s">
        <v>5046</v>
      </c>
      <c r="H2327" t="s">
        <v>28</v>
      </c>
      <c r="I2327" t="s">
        <v>5476</v>
      </c>
      <c r="J2327" t="s">
        <v>63</v>
      </c>
      <c r="K2327" t="s">
        <v>64</v>
      </c>
      <c r="M2327">
        <v>80</v>
      </c>
      <c r="N2327" t="s">
        <v>33</v>
      </c>
      <c r="O2327" t="s">
        <v>4419</v>
      </c>
      <c r="P2327" t="s">
        <v>2029</v>
      </c>
      <c r="T2327">
        <v>6</v>
      </c>
      <c r="U2327" t="s">
        <v>40</v>
      </c>
      <c r="V2327" t="s">
        <v>41</v>
      </c>
    </row>
    <row r="2328" spans="1:22" x14ac:dyDescent="0.3">
      <c r="A2328" s="49">
        <v>45274</v>
      </c>
      <c r="E2328" t="s">
        <v>3132</v>
      </c>
      <c r="G2328" t="s">
        <v>5002</v>
      </c>
      <c r="H2328" t="s">
        <v>28</v>
      </c>
      <c r="I2328" t="s">
        <v>5930</v>
      </c>
      <c r="J2328" t="s">
        <v>63</v>
      </c>
      <c r="K2328" t="s">
        <v>64</v>
      </c>
      <c r="M2328">
        <v>20</v>
      </c>
      <c r="N2328" t="s">
        <v>33</v>
      </c>
      <c r="O2328" t="s">
        <v>4420</v>
      </c>
      <c r="P2328" t="s">
        <v>170</v>
      </c>
      <c r="T2328">
        <v>4</v>
      </c>
      <c r="U2328" t="s">
        <v>56</v>
      </c>
      <c r="V2328" t="s">
        <v>56</v>
      </c>
    </row>
    <row r="2329" spans="1:22" x14ac:dyDescent="0.3">
      <c r="A2329" s="49">
        <v>45274</v>
      </c>
      <c r="E2329" t="s">
        <v>3132</v>
      </c>
      <c r="G2329" t="s">
        <v>5038</v>
      </c>
      <c r="H2329" t="s">
        <v>28</v>
      </c>
      <c r="I2329" t="s">
        <v>5745</v>
      </c>
      <c r="J2329" t="s">
        <v>63</v>
      </c>
      <c r="K2329" t="s">
        <v>197</v>
      </c>
      <c r="M2329">
        <v>88</v>
      </c>
      <c r="N2329" t="s">
        <v>33</v>
      </c>
      <c r="O2329" t="s">
        <v>3903</v>
      </c>
      <c r="P2329" t="s">
        <v>66</v>
      </c>
      <c r="T2329">
        <v>5</v>
      </c>
      <c r="U2329" t="s">
        <v>40</v>
      </c>
      <c r="V2329" t="s">
        <v>41</v>
      </c>
    </row>
    <row r="2330" spans="1:22" x14ac:dyDescent="0.3">
      <c r="A2330" s="49">
        <v>45274</v>
      </c>
      <c r="E2330" t="s">
        <v>3132</v>
      </c>
      <c r="G2330" t="s">
        <v>5038</v>
      </c>
      <c r="H2330" t="s">
        <v>28</v>
      </c>
      <c r="I2330" t="s">
        <v>5931</v>
      </c>
      <c r="J2330" t="s">
        <v>46</v>
      </c>
      <c r="K2330" t="s">
        <v>880</v>
      </c>
      <c r="M2330">
        <v>50</v>
      </c>
      <c r="N2330" t="s">
        <v>33</v>
      </c>
      <c r="O2330" t="s">
        <v>4421</v>
      </c>
      <c r="P2330" t="s">
        <v>1701</v>
      </c>
      <c r="T2330">
        <v>5</v>
      </c>
      <c r="U2330" t="s">
        <v>40</v>
      </c>
      <c r="V2330" t="s">
        <v>41</v>
      </c>
    </row>
    <row r="2331" spans="1:22" x14ac:dyDescent="0.3">
      <c r="A2331" s="49">
        <v>45274</v>
      </c>
      <c r="E2331" t="s">
        <v>3132</v>
      </c>
      <c r="G2331" t="s">
        <v>5220</v>
      </c>
      <c r="H2331" t="s">
        <v>28</v>
      </c>
      <c r="I2331" t="s">
        <v>5932</v>
      </c>
      <c r="J2331" t="s">
        <v>46</v>
      </c>
      <c r="K2331" t="s">
        <v>880</v>
      </c>
      <c r="M2331">
        <v>20</v>
      </c>
      <c r="N2331" t="s">
        <v>49</v>
      </c>
      <c r="O2331" t="s">
        <v>4422</v>
      </c>
      <c r="P2331" t="s">
        <v>66</v>
      </c>
      <c r="T2331">
        <v>4</v>
      </c>
      <c r="U2331" t="s">
        <v>56</v>
      </c>
      <c r="V2331" t="s">
        <v>56</v>
      </c>
    </row>
    <row r="2332" spans="1:22" x14ac:dyDescent="0.3">
      <c r="A2332" s="49">
        <v>45274</v>
      </c>
      <c r="E2332" t="s">
        <v>3132</v>
      </c>
      <c r="G2332" t="s">
        <v>5220</v>
      </c>
      <c r="H2332" t="s">
        <v>28</v>
      </c>
      <c r="I2332" t="s">
        <v>5932</v>
      </c>
      <c r="J2332" t="s">
        <v>46</v>
      </c>
      <c r="K2332" t="s">
        <v>880</v>
      </c>
      <c r="M2332">
        <v>0</v>
      </c>
      <c r="N2332" t="s">
        <v>49</v>
      </c>
      <c r="O2332" t="s">
        <v>4423</v>
      </c>
      <c r="P2332" t="s">
        <v>4909</v>
      </c>
      <c r="T2332">
        <v>4</v>
      </c>
      <c r="U2332" t="s">
        <v>56</v>
      </c>
      <c r="V2332" t="s">
        <v>56</v>
      </c>
    </row>
    <row r="2333" spans="1:22" x14ac:dyDescent="0.3">
      <c r="A2333" s="49">
        <v>45274</v>
      </c>
      <c r="E2333" t="s">
        <v>3132</v>
      </c>
      <c r="G2333" t="s">
        <v>1798</v>
      </c>
      <c r="H2333" t="s">
        <v>28</v>
      </c>
      <c r="I2333" t="s">
        <v>5750</v>
      </c>
      <c r="J2333" t="s">
        <v>46</v>
      </c>
      <c r="K2333" t="s">
        <v>880</v>
      </c>
      <c r="M2333">
        <v>100</v>
      </c>
      <c r="N2333" t="s">
        <v>33</v>
      </c>
      <c r="O2333" t="s">
        <v>4424</v>
      </c>
      <c r="P2333" t="s">
        <v>306</v>
      </c>
      <c r="T2333">
        <v>4</v>
      </c>
      <c r="U2333" t="s">
        <v>56</v>
      </c>
      <c r="V2333" t="s">
        <v>56</v>
      </c>
    </row>
    <row r="2334" spans="1:22" x14ac:dyDescent="0.3">
      <c r="A2334" s="49">
        <v>45274</v>
      </c>
      <c r="E2334" t="s">
        <v>3132</v>
      </c>
      <c r="G2334" t="s">
        <v>5038</v>
      </c>
      <c r="H2334" t="s">
        <v>28</v>
      </c>
      <c r="I2334" t="s">
        <v>5933</v>
      </c>
      <c r="J2334" t="s">
        <v>63</v>
      </c>
      <c r="K2334" t="s">
        <v>197</v>
      </c>
      <c r="M2334">
        <v>80</v>
      </c>
      <c r="N2334" t="s">
        <v>33</v>
      </c>
      <c r="O2334" t="s">
        <v>4425</v>
      </c>
      <c r="P2334" t="s">
        <v>314</v>
      </c>
      <c r="T2334">
        <v>5</v>
      </c>
      <c r="U2334" t="s">
        <v>40</v>
      </c>
      <c r="V2334" t="s">
        <v>41</v>
      </c>
    </row>
    <row r="2335" spans="1:22" x14ac:dyDescent="0.3">
      <c r="A2335" s="49">
        <v>45274</v>
      </c>
      <c r="E2335" t="s">
        <v>3132</v>
      </c>
      <c r="G2335" t="s">
        <v>5003</v>
      </c>
      <c r="H2335" t="s">
        <v>28</v>
      </c>
      <c r="I2335" t="s">
        <v>5934</v>
      </c>
      <c r="J2335" t="s">
        <v>63</v>
      </c>
      <c r="K2335" t="s">
        <v>64</v>
      </c>
      <c r="M2335">
        <v>90</v>
      </c>
      <c r="N2335" t="s">
        <v>33</v>
      </c>
      <c r="O2335" t="s">
        <v>4426</v>
      </c>
      <c r="P2335" t="s">
        <v>287</v>
      </c>
      <c r="T2335">
        <v>6</v>
      </c>
      <c r="U2335" t="s">
        <v>40</v>
      </c>
      <c r="V2335" t="s">
        <v>41</v>
      </c>
    </row>
    <row r="2336" spans="1:22" x14ac:dyDescent="0.3">
      <c r="A2336" s="49">
        <v>45274</v>
      </c>
      <c r="E2336" t="s">
        <v>3132</v>
      </c>
      <c r="G2336" t="s">
        <v>1798</v>
      </c>
      <c r="H2336" t="s">
        <v>89</v>
      </c>
      <c r="J2336" t="s">
        <v>63</v>
      </c>
      <c r="K2336" t="s">
        <v>64</v>
      </c>
      <c r="M2336">
        <v>100</v>
      </c>
      <c r="N2336" t="s">
        <v>49</v>
      </c>
      <c r="O2336" t="s">
        <v>4427</v>
      </c>
      <c r="P2336" t="s">
        <v>483</v>
      </c>
      <c r="T2336">
        <v>4</v>
      </c>
      <c r="U2336" t="s">
        <v>56</v>
      </c>
      <c r="V2336" t="s">
        <v>56</v>
      </c>
    </row>
    <row r="2337" spans="1:22" x14ac:dyDescent="0.3">
      <c r="A2337" s="49">
        <v>45274</v>
      </c>
      <c r="E2337" t="s">
        <v>3132</v>
      </c>
      <c r="G2337" t="s">
        <v>5220</v>
      </c>
      <c r="H2337" t="s">
        <v>28</v>
      </c>
      <c r="I2337" t="s">
        <v>5605</v>
      </c>
      <c r="J2337" t="s">
        <v>63</v>
      </c>
      <c r="K2337" t="s">
        <v>64</v>
      </c>
      <c r="M2337">
        <v>90</v>
      </c>
      <c r="N2337" t="s">
        <v>49</v>
      </c>
      <c r="O2337" t="s">
        <v>4428</v>
      </c>
      <c r="P2337" t="s">
        <v>1054</v>
      </c>
      <c r="T2337">
        <v>4</v>
      </c>
      <c r="U2337" t="s">
        <v>56</v>
      </c>
      <c r="V2337" t="s">
        <v>56</v>
      </c>
    </row>
    <row r="2338" spans="1:22" x14ac:dyDescent="0.3">
      <c r="A2338" s="49">
        <v>45274</v>
      </c>
      <c r="E2338" t="s">
        <v>3132</v>
      </c>
      <c r="G2338" t="s">
        <v>5001</v>
      </c>
      <c r="H2338" t="s">
        <v>89</v>
      </c>
      <c r="J2338" t="s">
        <v>63</v>
      </c>
      <c r="K2338" t="s">
        <v>64</v>
      </c>
      <c r="M2338">
        <v>50</v>
      </c>
      <c r="N2338" t="s">
        <v>49</v>
      </c>
      <c r="O2338" t="s">
        <v>4429</v>
      </c>
      <c r="P2338" t="s">
        <v>381</v>
      </c>
      <c r="T2338">
        <v>4</v>
      </c>
      <c r="U2338" t="s">
        <v>56</v>
      </c>
      <c r="V2338" t="s">
        <v>56</v>
      </c>
    </row>
    <row r="2339" spans="1:22" x14ac:dyDescent="0.3">
      <c r="A2339" s="49">
        <v>45274</v>
      </c>
      <c r="E2339" t="s">
        <v>3132</v>
      </c>
      <c r="G2339" t="s">
        <v>1798</v>
      </c>
      <c r="H2339" t="s">
        <v>89</v>
      </c>
      <c r="J2339" t="s">
        <v>63</v>
      </c>
      <c r="K2339" t="s">
        <v>64</v>
      </c>
      <c r="M2339">
        <v>0</v>
      </c>
      <c r="N2339" t="s">
        <v>74</v>
      </c>
      <c r="O2339" t="s">
        <v>4430</v>
      </c>
      <c r="P2339" t="s">
        <v>1597</v>
      </c>
      <c r="T2339">
        <v>6</v>
      </c>
      <c r="U2339" t="s">
        <v>40</v>
      </c>
      <c r="V2339" t="s">
        <v>41</v>
      </c>
    </row>
    <row r="2340" spans="1:22" x14ac:dyDescent="0.3">
      <c r="A2340" s="49">
        <v>45274</v>
      </c>
      <c r="E2340" t="s">
        <v>3132</v>
      </c>
      <c r="G2340" t="s">
        <v>940</v>
      </c>
      <c r="H2340" t="s">
        <v>89</v>
      </c>
      <c r="J2340" t="s">
        <v>63</v>
      </c>
      <c r="K2340" t="s">
        <v>64</v>
      </c>
      <c r="M2340">
        <v>40</v>
      </c>
      <c r="N2340" t="s">
        <v>49</v>
      </c>
      <c r="O2340" t="s">
        <v>4431</v>
      </c>
      <c r="P2340" t="s">
        <v>829</v>
      </c>
      <c r="T2340">
        <v>4</v>
      </c>
      <c r="U2340" t="s">
        <v>56</v>
      </c>
      <c r="V2340" t="s">
        <v>56</v>
      </c>
    </row>
    <row r="2341" spans="1:22" x14ac:dyDescent="0.3">
      <c r="A2341" s="49">
        <v>45274</v>
      </c>
      <c r="E2341" t="s">
        <v>3132</v>
      </c>
      <c r="G2341" t="s">
        <v>5003</v>
      </c>
      <c r="H2341" t="s">
        <v>28</v>
      </c>
      <c r="I2341" t="s">
        <v>5934</v>
      </c>
      <c r="J2341" t="s">
        <v>63</v>
      </c>
      <c r="K2341" t="s">
        <v>64</v>
      </c>
      <c r="M2341">
        <v>0</v>
      </c>
      <c r="N2341" t="s">
        <v>74</v>
      </c>
      <c r="O2341" t="s">
        <v>4426</v>
      </c>
      <c r="P2341" t="s">
        <v>287</v>
      </c>
      <c r="T2341">
        <v>6</v>
      </c>
      <c r="U2341" t="s">
        <v>40</v>
      </c>
      <c r="V2341" t="s">
        <v>41</v>
      </c>
    </row>
    <row r="2342" spans="1:22" x14ac:dyDescent="0.3">
      <c r="A2342" s="49">
        <v>45274</v>
      </c>
      <c r="E2342" t="s">
        <v>3132</v>
      </c>
      <c r="G2342" t="s">
        <v>5220</v>
      </c>
      <c r="H2342" t="s">
        <v>28</v>
      </c>
      <c r="I2342" t="s">
        <v>5605</v>
      </c>
      <c r="J2342" t="s">
        <v>63</v>
      </c>
      <c r="K2342" t="s">
        <v>64</v>
      </c>
      <c r="M2342">
        <v>100</v>
      </c>
      <c r="N2342" t="s">
        <v>49</v>
      </c>
      <c r="O2342" t="s">
        <v>4432</v>
      </c>
      <c r="P2342" t="s">
        <v>4827</v>
      </c>
      <c r="T2342">
        <v>4</v>
      </c>
      <c r="U2342" t="s">
        <v>56</v>
      </c>
      <c r="V2342" t="s">
        <v>56</v>
      </c>
    </row>
    <row r="2343" spans="1:22" x14ac:dyDescent="0.3">
      <c r="A2343" s="49">
        <v>45274</v>
      </c>
      <c r="E2343" t="s">
        <v>3132</v>
      </c>
      <c r="G2343" t="s">
        <v>5220</v>
      </c>
      <c r="H2343" t="s">
        <v>28</v>
      </c>
      <c r="I2343" t="s">
        <v>5605</v>
      </c>
      <c r="J2343" t="s">
        <v>63</v>
      </c>
      <c r="K2343" t="s">
        <v>64</v>
      </c>
      <c r="M2343">
        <v>90</v>
      </c>
      <c r="N2343" t="s">
        <v>49</v>
      </c>
      <c r="O2343" t="s">
        <v>4433</v>
      </c>
      <c r="P2343" t="s">
        <v>4871</v>
      </c>
      <c r="T2343">
        <v>4</v>
      </c>
      <c r="U2343" t="s">
        <v>56</v>
      </c>
      <c r="V2343" t="s">
        <v>56</v>
      </c>
    </row>
    <row r="2344" spans="1:22" x14ac:dyDescent="0.3">
      <c r="A2344" s="49">
        <v>45274</v>
      </c>
      <c r="E2344" t="s">
        <v>3132</v>
      </c>
      <c r="G2344" t="s">
        <v>5002</v>
      </c>
      <c r="H2344" t="s">
        <v>28</v>
      </c>
      <c r="I2344" t="s">
        <v>1795</v>
      </c>
      <c r="J2344" t="s">
        <v>63</v>
      </c>
      <c r="K2344" t="s">
        <v>64</v>
      </c>
      <c r="M2344">
        <v>80</v>
      </c>
      <c r="N2344" t="s">
        <v>49</v>
      </c>
      <c r="O2344" t="s">
        <v>4434</v>
      </c>
      <c r="P2344" t="s">
        <v>791</v>
      </c>
      <c r="T2344">
        <v>4</v>
      </c>
      <c r="U2344" t="s">
        <v>56</v>
      </c>
      <c r="V2344" t="s">
        <v>56</v>
      </c>
    </row>
    <row r="2345" spans="1:22" x14ac:dyDescent="0.3">
      <c r="A2345" s="49">
        <v>45274</v>
      </c>
      <c r="E2345" t="s">
        <v>3132</v>
      </c>
      <c r="G2345" t="s">
        <v>5001</v>
      </c>
      <c r="H2345" t="s">
        <v>89</v>
      </c>
      <c r="J2345" t="s">
        <v>63</v>
      </c>
      <c r="K2345" t="s">
        <v>64</v>
      </c>
      <c r="M2345">
        <v>20</v>
      </c>
      <c r="N2345" t="s">
        <v>33</v>
      </c>
      <c r="O2345" t="s">
        <v>4435</v>
      </c>
      <c r="P2345" t="s">
        <v>344</v>
      </c>
      <c r="T2345">
        <v>4</v>
      </c>
      <c r="U2345" t="s">
        <v>56</v>
      </c>
      <c r="V2345" t="s">
        <v>56</v>
      </c>
    </row>
    <row r="2346" spans="1:22" x14ac:dyDescent="0.3">
      <c r="A2346" s="49">
        <v>45274</v>
      </c>
      <c r="E2346" t="s">
        <v>3132</v>
      </c>
      <c r="G2346" t="s">
        <v>5002</v>
      </c>
      <c r="H2346" t="s">
        <v>28</v>
      </c>
      <c r="I2346" t="s">
        <v>1795</v>
      </c>
      <c r="J2346" t="s">
        <v>46</v>
      </c>
      <c r="K2346" t="s">
        <v>481</v>
      </c>
      <c r="M2346">
        <v>70</v>
      </c>
      <c r="N2346" t="s">
        <v>49</v>
      </c>
      <c r="O2346" t="s">
        <v>4436</v>
      </c>
      <c r="P2346" t="s">
        <v>2029</v>
      </c>
      <c r="T2346">
        <v>4</v>
      </c>
      <c r="U2346" t="s">
        <v>56</v>
      </c>
      <c r="V2346" t="s">
        <v>56</v>
      </c>
    </row>
    <row r="2347" spans="1:22" x14ac:dyDescent="0.3">
      <c r="A2347" s="49">
        <v>45274</v>
      </c>
      <c r="E2347" t="s">
        <v>3132</v>
      </c>
      <c r="G2347" t="s">
        <v>1798</v>
      </c>
      <c r="H2347" t="s">
        <v>28</v>
      </c>
      <c r="I2347" t="s">
        <v>5750</v>
      </c>
      <c r="J2347" t="s">
        <v>46</v>
      </c>
      <c r="K2347" t="s">
        <v>880</v>
      </c>
      <c r="M2347">
        <v>0</v>
      </c>
      <c r="N2347" t="s">
        <v>74</v>
      </c>
      <c r="O2347" t="s">
        <v>4424</v>
      </c>
      <c r="P2347" t="s">
        <v>306</v>
      </c>
      <c r="T2347">
        <v>4</v>
      </c>
      <c r="U2347" t="s">
        <v>56</v>
      </c>
      <c r="V2347" t="s">
        <v>56</v>
      </c>
    </row>
    <row r="2348" spans="1:22" x14ac:dyDescent="0.3">
      <c r="A2348" s="49">
        <v>45274</v>
      </c>
      <c r="E2348" t="s">
        <v>3132</v>
      </c>
      <c r="G2348" t="s">
        <v>5002</v>
      </c>
      <c r="H2348" t="s">
        <v>28</v>
      </c>
      <c r="I2348" t="s">
        <v>5424</v>
      </c>
      <c r="J2348" t="s">
        <v>63</v>
      </c>
      <c r="K2348" t="s">
        <v>64</v>
      </c>
      <c r="M2348">
        <v>100</v>
      </c>
      <c r="N2348" t="s">
        <v>49</v>
      </c>
      <c r="O2348" t="s">
        <v>4437</v>
      </c>
      <c r="P2348" t="s">
        <v>4870</v>
      </c>
      <c r="T2348">
        <v>4</v>
      </c>
      <c r="U2348" t="s">
        <v>56</v>
      </c>
      <c r="V2348" t="s">
        <v>56</v>
      </c>
    </row>
    <row r="2349" spans="1:22" x14ac:dyDescent="0.3">
      <c r="A2349" s="49">
        <v>45274</v>
      </c>
      <c r="E2349" t="s">
        <v>3132</v>
      </c>
      <c r="G2349" t="s">
        <v>5002</v>
      </c>
      <c r="H2349" t="s">
        <v>28</v>
      </c>
      <c r="I2349" t="s">
        <v>5424</v>
      </c>
      <c r="J2349" t="s">
        <v>63</v>
      </c>
      <c r="K2349" t="s">
        <v>64</v>
      </c>
      <c r="M2349">
        <v>100</v>
      </c>
      <c r="N2349" t="s">
        <v>49</v>
      </c>
      <c r="O2349" t="s">
        <v>4437</v>
      </c>
      <c r="P2349" t="s">
        <v>4870</v>
      </c>
      <c r="T2349">
        <v>4</v>
      </c>
      <c r="U2349" t="s">
        <v>56</v>
      </c>
      <c r="V2349" t="s">
        <v>56</v>
      </c>
    </row>
    <row r="2350" spans="1:22" x14ac:dyDescent="0.3">
      <c r="A2350" s="49">
        <v>45274</v>
      </c>
      <c r="E2350" t="s">
        <v>3132</v>
      </c>
      <c r="G2350" t="s">
        <v>5002</v>
      </c>
      <c r="H2350" t="s">
        <v>28</v>
      </c>
      <c r="I2350" t="s">
        <v>5424</v>
      </c>
      <c r="J2350" t="s">
        <v>63</v>
      </c>
      <c r="K2350" t="s">
        <v>64</v>
      </c>
      <c r="M2350">
        <v>100</v>
      </c>
      <c r="N2350" t="s">
        <v>49</v>
      </c>
      <c r="O2350" t="s">
        <v>4437</v>
      </c>
      <c r="P2350" t="s">
        <v>4870</v>
      </c>
      <c r="T2350">
        <v>4</v>
      </c>
      <c r="U2350" t="s">
        <v>56</v>
      </c>
      <c r="V2350" t="s">
        <v>56</v>
      </c>
    </row>
    <row r="2351" spans="1:22" x14ac:dyDescent="0.3">
      <c r="A2351" s="49">
        <v>45274</v>
      </c>
      <c r="E2351" t="s">
        <v>3132</v>
      </c>
      <c r="G2351" t="s">
        <v>1798</v>
      </c>
      <c r="H2351" t="s">
        <v>89</v>
      </c>
      <c r="J2351" t="s">
        <v>63</v>
      </c>
      <c r="K2351" t="s">
        <v>64</v>
      </c>
      <c r="M2351">
        <v>30</v>
      </c>
      <c r="N2351" t="s">
        <v>33</v>
      </c>
      <c r="O2351" t="s">
        <v>4438</v>
      </c>
      <c r="P2351" t="s">
        <v>1054</v>
      </c>
      <c r="T2351">
        <v>6</v>
      </c>
      <c r="U2351" t="s">
        <v>40</v>
      </c>
      <c r="V2351" t="s">
        <v>41</v>
      </c>
    </row>
    <row r="2352" spans="1:22" x14ac:dyDescent="0.3">
      <c r="A2352" s="49">
        <v>45274</v>
      </c>
      <c r="E2352" t="s">
        <v>3132</v>
      </c>
      <c r="G2352" t="s">
        <v>5004</v>
      </c>
      <c r="H2352" t="s">
        <v>28</v>
      </c>
      <c r="I2352" t="s">
        <v>5004</v>
      </c>
      <c r="J2352" t="s">
        <v>63</v>
      </c>
      <c r="K2352" t="s">
        <v>211</v>
      </c>
      <c r="M2352">
        <v>90</v>
      </c>
      <c r="N2352" t="s">
        <v>49</v>
      </c>
      <c r="O2352" t="s">
        <v>4439</v>
      </c>
      <c r="P2352" t="s">
        <v>4866</v>
      </c>
      <c r="T2352">
        <v>6</v>
      </c>
      <c r="U2352" t="s">
        <v>40</v>
      </c>
      <c r="V2352" t="s">
        <v>41</v>
      </c>
    </row>
    <row r="2353" spans="1:22" x14ac:dyDescent="0.3">
      <c r="A2353" s="49">
        <v>45274</v>
      </c>
      <c r="E2353" t="s">
        <v>3132</v>
      </c>
      <c r="G2353" t="s">
        <v>5004</v>
      </c>
      <c r="H2353" t="s">
        <v>28</v>
      </c>
      <c r="I2353" t="s">
        <v>5004</v>
      </c>
      <c r="J2353" t="s">
        <v>63</v>
      </c>
      <c r="K2353" t="s">
        <v>211</v>
      </c>
      <c r="M2353">
        <v>50</v>
      </c>
      <c r="N2353" t="s">
        <v>49</v>
      </c>
      <c r="O2353" t="s">
        <v>4440</v>
      </c>
      <c r="P2353" t="s">
        <v>4886</v>
      </c>
      <c r="T2353">
        <v>6</v>
      </c>
      <c r="U2353" t="s">
        <v>40</v>
      </c>
      <c r="V2353" t="s">
        <v>41</v>
      </c>
    </row>
    <row r="2354" spans="1:22" x14ac:dyDescent="0.3">
      <c r="A2354" s="49">
        <v>45274</v>
      </c>
      <c r="E2354" t="s">
        <v>3132</v>
      </c>
      <c r="G2354" t="s">
        <v>5333</v>
      </c>
      <c r="H2354" t="s">
        <v>28</v>
      </c>
      <c r="I2354" t="s">
        <v>947</v>
      </c>
      <c r="J2354" t="s">
        <v>63</v>
      </c>
      <c r="K2354" t="s">
        <v>64</v>
      </c>
      <c r="M2354">
        <v>100</v>
      </c>
      <c r="N2354" t="s">
        <v>49</v>
      </c>
      <c r="O2354" t="s">
        <v>4441</v>
      </c>
      <c r="P2354" t="s">
        <v>35</v>
      </c>
      <c r="T2354">
        <v>4</v>
      </c>
      <c r="U2354" t="s">
        <v>56</v>
      </c>
      <c r="V2354" t="s">
        <v>56</v>
      </c>
    </row>
    <row r="2355" spans="1:22" x14ac:dyDescent="0.3">
      <c r="A2355" s="49">
        <v>45274</v>
      </c>
      <c r="E2355" t="s">
        <v>3132</v>
      </c>
      <c r="G2355" t="s">
        <v>5333</v>
      </c>
      <c r="H2355" t="s">
        <v>28</v>
      </c>
      <c r="I2355" t="s">
        <v>947</v>
      </c>
      <c r="J2355" t="s">
        <v>63</v>
      </c>
      <c r="K2355" t="s">
        <v>64</v>
      </c>
      <c r="M2355">
        <v>100</v>
      </c>
      <c r="N2355" t="s">
        <v>49</v>
      </c>
      <c r="O2355" t="s">
        <v>4441</v>
      </c>
      <c r="P2355" t="s">
        <v>35</v>
      </c>
      <c r="T2355">
        <v>4</v>
      </c>
      <c r="U2355" t="s">
        <v>56</v>
      </c>
      <c r="V2355" t="s">
        <v>56</v>
      </c>
    </row>
    <row r="2356" spans="1:22" x14ac:dyDescent="0.3">
      <c r="A2356" s="49">
        <v>45274</v>
      </c>
      <c r="E2356" t="s">
        <v>3132</v>
      </c>
      <c r="G2356" t="s">
        <v>5334</v>
      </c>
      <c r="H2356" t="s">
        <v>28</v>
      </c>
      <c r="I2356" t="s">
        <v>5935</v>
      </c>
      <c r="J2356" t="s">
        <v>1712</v>
      </c>
      <c r="K2356" t="s">
        <v>2181</v>
      </c>
      <c r="M2356">
        <v>100</v>
      </c>
      <c r="N2356" t="s">
        <v>49</v>
      </c>
      <c r="O2356" t="s">
        <v>4442</v>
      </c>
      <c r="P2356" t="s">
        <v>170</v>
      </c>
      <c r="T2356">
        <v>4</v>
      </c>
      <c r="U2356" t="s">
        <v>56</v>
      </c>
      <c r="V2356" t="s">
        <v>56</v>
      </c>
    </row>
    <row r="2357" spans="1:22" x14ac:dyDescent="0.3">
      <c r="A2357" s="49">
        <v>45274</v>
      </c>
      <c r="E2357" t="s">
        <v>3132</v>
      </c>
      <c r="G2357" t="s">
        <v>940</v>
      </c>
      <c r="H2357" t="s">
        <v>28</v>
      </c>
      <c r="I2357" t="s">
        <v>5936</v>
      </c>
      <c r="J2357" t="s">
        <v>63</v>
      </c>
      <c r="K2357" t="s">
        <v>64</v>
      </c>
      <c r="M2357">
        <v>80</v>
      </c>
      <c r="N2357" t="s">
        <v>49</v>
      </c>
      <c r="O2357" t="s">
        <v>4443</v>
      </c>
      <c r="P2357" t="s">
        <v>306</v>
      </c>
      <c r="T2357">
        <v>4</v>
      </c>
      <c r="U2357" t="s">
        <v>56</v>
      </c>
      <c r="V2357" t="s">
        <v>56</v>
      </c>
    </row>
    <row r="2358" spans="1:22" x14ac:dyDescent="0.3">
      <c r="A2358" s="49">
        <v>45274</v>
      </c>
      <c r="E2358" t="s">
        <v>3132</v>
      </c>
      <c r="G2358" t="s">
        <v>5004</v>
      </c>
      <c r="H2358" t="s">
        <v>28</v>
      </c>
      <c r="I2358" t="s">
        <v>444</v>
      </c>
      <c r="J2358" t="s">
        <v>63</v>
      </c>
      <c r="K2358" t="s">
        <v>211</v>
      </c>
      <c r="M2358">
        <v>10</v>
      </c>
      <c r="N2358" t="s">
        <v>49</v>
      </c>
      <c r="O2358" t="s">
        <v>4444</v>
      </c>
      <c r="P2358" t="s">
        <v>85</v>
      </c>
      <c r="T2358">
        <v>6</v>
      </c>
      <c r="U2358" t="s">
        <v>40</v>
      </c>
      <c r="V2358" t="s">
        <v>41</v>
      </c>
    </row>
    <row r="2359" spans="1:22" x14ac:dyDescent="0.3">
      <c r="A2359" s="49">
        <v>45274</v>
      </c>
      <c r="E2359" t="s">
        <v>3132</v>
      </c>
      <c r="G2359" t="s">
        <v>940</v>
      </c>
      <c r="H2359" t="s">
        <v>89</v>
      </c>
      <c r="J2359" t="s">
        <v>63</v>
      </c>
      <c r="K2359" t="s">
        <v>64</v>
      </c>
      <c r="M2359">
        <v>69</v>
      </c>
      <c r="N2359" t="s">
        <v>33</v>
      </c>
      <c r="O2359" t="s">
        <v>4445</v>
      </c>
      <c r="P2359" t="s">
        <v>306</v>
      </c>
      <c r="T2359">
        <v>6</v>
      </c>
      <c r="U2359" t="s">
        <v>40</v>
      </c>
      <c r="V2359" t="s">
        <v>41</v>
      </c>
    </row>
    <row r="2360" spans="1:22" x14ac:dyDescent="0.3">
      <c r="A2360" s="49">
        <v>45274</v>
      </c>
      <c r="E2360" t="s">
        <v>3132</v>
      </c>
      <c r="G2360" t="s">
        <v>5038</v>
      </c>
      <c r="H2360" t="s">
        <v>28</v>
      </c>
      <c r="I2360" t="s">
        <v>5745</v>
      </c>
      <c r="J2360" t="s">
        <v>63</v>
      </c>
      <c r="K2360" t="s">
        <v>64</v>
      </c>
      <c r="M2360">
        <v>70</v>
      </c>
      <c r="N2360" t="s">
        <v>33</v>
      </c>
      <c r="O2360" t="s">
        <v>4446</v>
      </c>
      <c r="P2360" t="s">
        <v>416</v>
      </c>
      <c r="T2360">
        <v>5</v>
      </c>
      <c r="U2360" t="s">
        <v>40</v>
      </c>
      <c r="V2360" t="s">
        <v>41</v>
      </c>
    </row>
    <row r="2361" spans="1:22" x14ac:dyDescent="0.3">
      <c r="A2361" s="49">
        <v>45274</v>
      </c>
      <c r="E2361" t="s">
        <v>3237</v>
      </c>
      <c r="G2361" t="s">
        <v>5176</v>
      </c>
      <c r="H2361" t="s">
        <v>28</v>
      </c>
      <c r="I2361" t="s">
        <v>5937</v>
      </c>
      <c r="J2361" t="s">
        <v>30</v>
      </c>
      <c r="K2361" t="s">
        <v>264</v>
      </c>
      <c r="M2361">
        <v>45</v>
      </c>
      <c r="N2361" t="s">
        <v>33</v>
      </c>
      <c r="O2361" t="s">
        <v>4447</v>
      </c>
      <c r="P2361" t="s">
        <v>66</v>
      </c>
      <c r="T2361">
        <v>4</v>
      </c>
      <c r="U2361" t="s">
        <v>56</v>
      </c>
      <c r="V2361" t="s">
        <v>56</v>
      </c>
    </row>
    <row r="2362" spans="1:22" x14ac:dyDescent="0.3">
      <c r="A2362" s="49">
        <v>45274</v>
      </c>
      <c r="E2362" t="s">
        <v>3237</v>
      </c>
      <c r="G2362" t="s">
        <v>5335</v>
      </c>
      <c r="H2362" t="s">
        <v>28</v>
      </c>
      <c r="I2362" t="s">
        <v>5938</v>
      </c>
      <c r="J2362" t="s">
        <v>30</v>
      </c>
      <c r="K2362" t="s">
        <v>264</v>
      </c>
      <c r="M2362">
        <v>95</v>
      </c>
      <c r="N2362" t="s">
        <v>49</v>
      </c>
      <c r="O2362" t="s">
        <v>4448</v>
      </c>
      <c r="P2362" t="s">
        <v>1175</v>
      </c>
      <c r="T2362">
        <v>4</v>
      </c>
      <c r="U2362" t="s">
        <v>56</v>
      </c>
      <c r="V2362" t="s">
        <v>56</v>
      </c>
    </row>
    <row r="2363" spans="1:22" x14ac:dyDescent="0.3">
      <c r="A2363" s="49">
        <v>45274</v>
      </c>
      <c r="E2363" t="s">
        <v>3166</v>
      </c>
      <c r="G2363" t="s">
        <v>5336</v>
      </c>
      <c r="H2363" t="s">
        <v>28</v>
      </c>
      <c r="I2363" t="s">
        <v>5939</v>
      </c>
      <c r="J2363" t="s">
        <v>46</v>
      </c>
      <c r="K2363" t="s">
        <v>481</v>
      </c>
      <c r="M2363">
        <v>100</v>
      </c>
      <c r="N2363" t="s">
        <v>49</v>
      </c>
      <c r="O2363" t="s">
        <v>4449</v>
      </c>
      <c r="P2363" t="s">
        <v>4871</v>
      </c>
      <c r="T2363">
        <v>4</v>
      </c>
      <c r="U2363" t="s">
        <v>56</v>
      </c>
      <c r="V2363" t="s">
        <v>56</v>
      </c>
    </row>
    <row r="2364" spans="1:22" x14ac:dyDescent="0.3">
      <c r="A2364" s="49">
        <v>45274</v>
      </c>
      <c r="E2364" t="s">
        <v>3238</v>
      </c>
      <c r="G2364" t="s">
        <v>5337</v>
      </c>
      <c r="H2364" t="s">
        <v>28</v>
      </c>
      <c r="I2364" t="s">
        <v>5940</v>
      </c>
      <c r="J2364" t="s">
        <v>46</v>
      </c>
      <c r="K2364" t="s">
        <v>481</v>
      </c>
      <c r="M2364">
        <v>100</v>
      </c>
      <c r="N2364" t="s">
        <v>33</v>
      </c>
      <c r="O2364" t="s">
        <v>4450</v>
      </c>
      <c r="P2364" t="s">
        <v>1122</v>
      </c>
      <c r="T2364">
        <v>4</v>
      </c>
      <c r="U2364" t="s">
        <v>56</v>
      </c>
      <c r="V2364" t="s">
        <v>56</v>
      </c>
    </row>
    <row r="2365" spans="1:22" x14ac:dyDescent="0.3">
      <c r="A2365" s="49">
        <v>45274</v>
      </c>
      <c r="E2365" t="s">
        <v>3238</v>
      </c>
      <c r="G2365" t="s">
        <v>5338</v>
      </c>
      <c r="H2365" t="s">
        <v>89</v>
      </c>
      <c r="J2365" t="s">
        <v>46</v>
      </c>
      <c r="K2365" t="s">
        <v>481</v>
      </c>
      <c r="M2365">
        <v>0</v>
      </c>
      <c r="N2365" t="s">
        <v>74</v>
      </c>
      <c r="O2365" t="s">
        <v>4451</v>
      </c>
      <c r="P2365" t="s">
        <v>4863</v>
      </c>
      <c r="T2365">
        <v>4</v>
      </c>
      <c r="U2365" t="s">
        <v>56</v>
      </c>
      <c r="V2365" t="s">
        <v>56</v>
      </c>
    </row>
    <row r="2366" spans="1:22" x14ac:dyDescent="0.3">
      <c r="A2366" s="49">
        <v>45273</v>
      </c>
      <c r="E2366" t="s">
        <v>3104</v>
      </c>
      <c r="G2366" t="s">
        <v>5114</v>
      </c>
      <c r="H2366" t="s">
        <v>28</v>
      </c>
      <c r="I2366" t="s">
        <v>5567</v>
      </c>
      <c r="J2366" t="s">
        <v>63</v>
      </c>
      <c r="K2366" t="s">
        <v>64</v>
      </c>
      <c r="M2366">
        <v>0</v>
      </c>
      <c r="N2366" t="s">
        <v>74</v>
      </c>
      <c r="O2366" t="s">
        <v>4452</v>
      </c>
      <c r="P2366" t="s">
        <v>1508</v>
      </c>
      <c r="T2366">
        <v>4</v>
      </c>
      <c r="U2366" t="s">
        <v>56</v>
      </c>
      <c r="V2366" t="s">
        <v>56</v>
      </c>
    </row>
    <row r="2367" spans="1:22" x14ac:dyDescent="0.3">
      <c r="A2367" s="49">
        <v>45273</v>
      </c>
      <c r="E2367" t="s">
        <v>3105</v>
      </c>
      <c r="G2367" t="s">
        <v>4963</v>
      </c>
      <c r="H2367" t="s">
        <v>28</v>
      </c>
      <c r="I2367" t="s">
        <v>5480</v>
      </c>
      <c r="J2367" t="s">
        <v>63</v>
      </c>
      <c r="K2367" t="s">
        <v>197</v>
      </c>
      <c r="M2367">
        <v>0</v>
      </c>
      <c r="N2367" t="s">
        <v>74</v>
      </c>
      <c r="O2367" t="s">
        <v>4453</v>
      </c>
      <c r="P2367" t="s">
        <v>686</v>
      </c>
      <c r="T2367">
        <v>6</v>
      </c>
      <c r="U2367" t="s">
        <v>40</v>
      </c>
      <c r="V2367" t="s">
        <v>41</v>
      </c>
    </row>
    <row r="2368" spans="1:22" x14ac:dyDescent="0.3">
      <c r="A2368" s="49">
        <v>45273</v>
      </c>
      <c r="E2368" t="s">
        <v>3105</v>
      </c>
      <c r="G2368" t="s">
        <v>4963</v>
      </c>
      <c r="H2368" t="s">
        <v>28</v>
      </c>
      <c r="I2368" t="s">
        <v>5941</v>
      </c>
      <c r="J2368" t="s">
        <v>63</v>
      </c>
      <c r="K2368" t="s">
        <v>197</v>
      </c>
      <c r="M2368">
        <v>100</v>
      </c>
      <c r="N2368" t="s">
        <v>49</v>
      </c>
      <c r="O2368" t="s">
        <v>4454</v>
      </c>
      <c r="P2368" t="s">
        <v>170</v>
      </c>
      <c r="T2368">
        <v>6</v>
      </c>
      <c r="U2368" t="s">
        <v>40</v>
      </c>
      <c r="V2368" t="s">
        <v>41</v>
      </c>
    </row>
    <row r="2369" spans="1:22" x14ac:dyDescent="0.3">
      <c r="A2369" s="49">
        <v>45273</v>
      </c>
      <c r="E2369" t="s">
        <v>3105</v>
      </c>
      <c r="G2369" t="s">
        <v>5339</v>
      </c>
      <c r="H2369" t="s">
        <v>28</v>
      </c>
      <c r="I2369" t="s">
        <v>5761</v>
      </c>
      <c r="J2369" t="s">
        <v>63</v>
      </c>
      <c r="K2369" t="s">
        <v>4947</v>
      </c>
      <c r="M2369">
        <v>100</v>
      </c>
      <c r="N2369" t="s">
        <v>33</v>
      </c>
      <c r="O2369" t="s">
        <v>3932</v>
      </c>
      <c r="P2369" t="s">
        <v>4894</v>
      </c>
      <c r="T2369">
        <v>4</v>
      </c>
      <c r="U2369" t="s">
        <v>56</v>
      </c>
      <c r="V2369" t="s">
        <v>56</v>
      </c>
    </row>
    <row r="2370" spans="1:22" x14ac:dyDescent="0.3">
      <c r="A2370" s="49">
        <v>45273</v>
      </c>
      <c r="E2370" t="s">
        <v>3105</v>
      </c>
      <c r="G2370" t="s">
        <v>4963</v>
      </c>
      <c r="H2370" t="s">
        <v>89</v>
      </c>
      <c r="J2370" t="s">
        <v>63</v>
      </c>
      <c r="K2370" t="s">
        <v>197</v>
      </c>
      <c r="M2370">
        <v>100</v>
      </c>
      <c r="N2370" t="s">
        <v>33</v>
      </c>
      <c r="O2370" t="s">
        <v>4455</v>
      </c>
      <c r="P2370" t="s">
        <v>791</v>
      </c>
      <c r="T2370">
        <v>6</v>
      </c>
      <c r="U2370" t="s">
        <v>40</v>
      </c>
      <c r="V2370" t="s">
        <v>41</v>
      </c>
    </row>
    <row r="2371" spans="1:22" x14ac:dyDescent="0.3">
      <c r="A2371" s="49">
        <v>45273</v>
      </c>
      <c r="E2371" t="s">
        <v>3105</v>
      </c>
      <c r="G2371" t="s">
        <v>5118</v>
      </c>
      <c r="H2371" t="s">
        <v>89</v>
      </c>
      <c r="J2371" t="s">
        <v>63</v>
      </c>
      <c r="K2371" t="s">
        <v>64</v>
      </c>
      <c r="M2371">
        <v>100</v>
      </c>
      <c r="N2371" t="s">
        <v>33</v>
      </c>
      <c r="O2371" t="s">
        <v>3578</v>
      </c>
      <c r="P2371" t="s">
        <v>1586</v>
      </c>
      <c r="T2371">
        <v>4</v>
      </c>
      <c r="U2371" t="s">
        <v>56</v>
      </c>
      <c r="V2371" t="s">
        <v>56</v>
      </c>
    </row>
    <row r="2372" spans="1:22" x14ac:dyDescent="0.3">
      <c r="A2372" s="49">
        <v>45273</v>
      </c>
      <c r="E2372" t="s">
        <v>3105</v>
      </c>
      <c r="G2372" t="s">
        <v>5339</v>
      </c>
      <c r="H2372" t="s">
        <v>28</v>
      </c>
      <c r="I2372" t="s">
        <v>5761</v>
      </c>
      <c r="J2372" t="s">
        <v>63</v>
      </c>
      <c r="K2372" t="s">
        <v>4947</v>
      </c>
      <c r="M2372">
        <v>96</v>
      </c>
      <c r="N2372" t="s">
        <v>49</v>
      </c>
      <c r="O2372" t="s">
        <v>3932</v>
      </c>
      <c r="P2372" t="s">
        <v>4894</v>
      </c>
      <c r="T2372">
        <v>4</v>
      </c>
      <c r="U2372" t="s">
        <v>56</v>
      </c>
      <c r="V2372" t="s">
        <v>56</v>
      </c>
    </row>
    <row r="2373" spans="1:22" x14ac:dyDescent="0.3">
      <c r="A2373" s="49">
        <v>45273</v>
      </c>
      <c r="E2373" t="s">
        <v>3105</v>
      </c>
      <c r="G2373" t="s">
        <v>4963</v>
      </c>
      <c r="H2373" t="s">
        <v>89</v>
      </c>
      <c r="J2373" t="s">
        <v>63</v>
      </c>
      <c r="K2373" t="s">
        <v>197</v>
      </c>
      <c r="M2373">
        <v>85</v>
      </c>
      <c r="N2373" t="s">
        <v>33</v>
      </c>
      <c r="O2373" t="s">
        <v>3937</v>
      </c>
      <c r="P2373" t="s">
        <v>1054</v>
      </c>
      <c r="T2373">
        <v>6</v>
      </c>
      <c r="U2373" t="s">
        <v>40</v>
      </c>
      <c r="V2373" t="s">
        <v>41</v>
      </c>
    </row>
    <row r="2374" spans="1:22" x14ac:dyDescent="0.3">
      <c r="A2374" s="49">
        <v>45273</v>
      </c>
      <c r="E2374" t="s">
        <v>3105</v>
      </c>
      <c r="G2374" t="s">
        <v>4963</v>
      </c>
      <c r="H2374" t="s">
        <v>89</v>
      </c>
      <c r="J2374" t="s">
        <v>30</v>
      </c>
      <c r="K2374" t="s">
        <v>197</v>
      </c>
      <c r="M2374">
        <v>100</v>
      </c>
      <c r="N2374" t="s">
        <v>33</v>
      </c>
      <c r="O2374" t="s">
        <v>4456</v>
      </c>
      <c r="P2374" t="s">
        <v>66</v>
      </c>
      <c r="T2374">
        <v>6</v>
      </c>
      <c r="U2374" t="s">
        <v>40</v>
      </c>
      <c r="V2374" t="s">
        <v>41</v>
      </c>
    </row>
    <row r="2375" spans="1:22" x14ac:dyDescent="0.3">
      <c r="A2375" s="49">
        <v>45273</v>
      </c>
      <c r="E2375" t="s">
        <v>3105</v>
      </c>
      <c r="G2375" t="s">
        <v>4963</v>
      </c>
      <c r="H2375" t="s">
        <v>28</v>
      </c>
      <c r="I2375" t="s">
        <v>5480</v>
      </c>
      <c r="J2375" t="s">
        <v>63</v>
      </c>
      <c r="K2375" t="s">
        <v>197</v>
      </c>
      <c r="M2375">
        <v>100</v>
      </c>
      <c r="N2375" t="s">
        <v>49</v>
      </c>
      <c r="O2375" t="s">
        <v>4457</v>
      </c>
      <c r="P2375" t="s">
        <v>1159</v>
      </c>
      <c r="T2375">
        <v>4</v>
      </c>
      <c r="U2375" t="s">
        <v>56</v>
      </c>
      <c r="V2375" t="s">
        <v>56</v>
      </c>
    </row>
    <row r="2376" spans="1:22" x14ac:dyDescent="0.3">
      <c r="A2376" s="49">
        <v>45273</v>
      </c>
      <c r="E2376" t="s">
        <v>3105</v>
      </c>
      <c r="G2376" t="s">
        <v>4963</v>
      </c>
      <c r="H2376" t="s">
        <v>28</v>
      </c>
      <c r="I2376" t="s">
        <v>5480</v>
      </c>
      <c r="J2376" t="s">
        <v>63</v>
      </c>
      <c r="K2376" t="s">
        <v>197</v>
      </c>
      <c r="M2376">
        <v>100</v>
      </c>
      <c r="N2376" t="s">
        <v>49</v>
      </c>
      <c r="O2376" t="s">
        <v>4457</v>
      </c>
      <c r="P2376" t="s">
        <v>1159</v>
      </c>
      <c r="T2376">
        <v>4</v>
      </c>
      <c r="U2376" t="s">
        <v>56</v>
      </c>
      <c r="V2376" t="s">
        <v>56</v>
      </c>
    </row>
    <row r="2377" spans="1:22" x14ac:dyDescent="0.3">
      <c r="A2377" s="49">
        <v>45273</v>
      </c>
      <c r="E2377" t="s">
        <v>3105</v>
      </c>
      <c r="G2377" t="s">
        <v>5052</v>
      </c>
      <c r="H2377" t="s">
        <v>28</v>
      </c>
      <c r="I2377" t="s">
        <v>5764</v>
      </c>
      <c r="J2377" t="s">
        <v>63</v>
      </c>
      <c r="K2377" t="s">
        <v>64</v>
      </c>
      <c r="M2377">
        <v>25</v>
      </c>
      <c r="N2377" t="s">
        <v>49</v>
      </c>
      <c r="O2377" t="s">
        <v>4458</v>
      </c>
      <c r="P2377" t="s">
        <v>416</v>
      </c>
      <c r="T2377">
        <v>4</v>
      </c>
      <c r="U2377" t="s">
        <v>56</v>
      </c>
      <c r="V2377" t="s">
        <v>56</v>
      </c>
    </row>
    <row r="2378" spans="1:22" x14ac:dyDescent="0.3">
      <c r="A2378" s="49">
        <v>45273</v>
      </c>
      <c r="E2378" t="s">
        <v>3105</v>
      </c>
      <c r="G2378" t="s">
        <v>5052</v>
      </c>
      <c r="H2378" t="s">
        <v>28</v>
      </c>
      <c r="I2378" t="s">
        <v>5764</v>
      </c>
      <c r="J2378" t="s">
        <v>63</v>
      </c>
      <c r="K2378" t="s">
        <v>64</v>
      </c>
      <c r="M2378">
        <v>86</v>
      </c>
      <c r="N2378" t="s">
        <v>49</v>
      </c>
      <c r="O2378" t="s">
        <v>4459</v>
      </c>
      <c r="P2378" t="s">
        <v>35</v>
      </c>
      <c r="T2378">
        <v>4</v>
      </c>
      <c r="U2378" t="s">
        <v>56</v>
      </c>
      <c r="V2378" t="s">
        <v>56</v>
      </c>
    </row>
    <row r="2379" spans="1:22" x14ac:dyDescent="0.3">
      <c r="A2379" s="49">
        <v>45273</v>
      </c>
      <c r="E2379" t="s">
        <v>3105</v>
      </c>
      <c r="G2379" t="s">
        <v>5052</v>
      </c>
      <c r="H2379" t="s">
        <v>28</v>
      </c>
      <c r="I2379" t="s">
        <v>5942</v>
      </c>
      <c r="J2379" t="s">
        <v>63</v>
      </c>
      <c r="K2379" t="s">
        <v>64</v>
      </c>
      <c r="M2379">
        <v>100</v>
      </c>
      <c r="N2379" t="s">
        <v>49</v>
      </c>
      <c r="O2379" t="s">
        <v>4460</v>
      </c>
      <c r="P2379" t="s">
        <v>287</v>
      </c>
      <c r="T2379">
        <v>4</v>
      </c>
      <c r="U2379" t="s">
        <v>56</v>
      </c>
      <c r="V2379" t="s">
        <v>56</v>
      </c>
    </row>
    <row r="2380" spans="1:22" x14ac:dyDescent="0.3">
      <c r="A2380" s="49">
        <v>45273</v>
      </c>
      <c r="E2380" t="s">
        <v>2799</v>
      </c>
      <c r="G2380" t="s">
        <v>1254</v>
      </c>
      <c r="H2380" t="s">
        <v>28</v>
      </c>
      <c r="I2380" t="s">
        <v>5943</v>
      </c>
      <c r="J2380" t="s">
        <v>63</v>
      </c>
      <c r="K2380" t="s">
        <v>64</v>
      </c>
      <c r="M2380">
        <v>71</v>
      </c>
      <c r="N2380" t="s">
        <v>33</v>
      </c>
      <c r="O2380" t="s">
        <v>4461</v>
      </c>
      <c r="P2380" t="s">
        <v>1159</v>
      </c>
      <c r="T2380">
        <v>4</v>
      </c>
      <c r="U2380" t="s">
        <v>56</v>
      </c>
      <c r="V2380" t="s">
        <v>56</v>
      </c>
    </row>
    <row r="2381" spans="1:22" x14ac:dyDescent="0.3">
      <c r="A2381" s="49">
        <v>45273</v>
      </c>
      <c r="E2381" t="s">
        <v>2799</v>
      </c>
      <c r="G2381" t="s">
        <v>4964</v>
      </c>
      <c r="H2381" t="s">
        <v>28</v>
      </c>
      <c r="I2381" t="s">
        <v>5576</v>
      </c>
      <c r="J2381" t="s">
        <v>63</v>
      </c>
      <c r="K2381" t="s">
        <v>64</v>
      </c>
      <c r="M2381">
        <v>100</v>
      </c>
      <c r="N2381" t="s">
        <v>33</v>
      </c>
      <c r="O2381" t="s">
        <v>4462</v>
      </c>
      <c r="P2381" t="s">
        <v>1786</v>
      </c>
      <c r="T2381">
        <v>4</v>
      </c>
      <c r="U2381" t="s">
        <v>56</v>
      </c>
      <c r="V2381" t="s">
        <v>56</v>
      </c>
    </row>
    <row r="2382" spans="1:22" x14ac:dyDescent="0.3">
      <c r="A2382" s="49">
        <v>45273</v>
      </c>
      <c r="E2382" t="s">
        <v>2799</v>
      </c>
      <c r="G2382" t="s">
        <v>5236</v>
      </c>
      <c r="H2382" t="s">
        <v>28</v>
      </c>
      <c r="I2382" t="s">
        <v>5767</v>
      </c>
      <c r="J2382" t="s">
        <v>63</v>
      </c>
      <c r="K2382" t="s">
        <v>211</v>
      </c>
      <c r="M2382">
        <v>100</v>
      </c>
      <c r="N2382" t="s">
        <v>33</v>
      </c>
      <c r="O2382" t="s">
        <v>4463</v>
      </c>
      <c r="P2382" t="s">
        <v>104</v>
      </c>
      <c r="T2382">
        <v>4</v>
      </c>
      <c r="U2382" t="s">
        <v>56</v>
      </c>
      <c r="V2382" t="s">
        <v>56</v>
      </c>
    </row>
    <row r="2383" spans="1:22" x14ac:dyDescent="0.3">
      <c r="A2383" s="49">
        <v>45273</v>
      </c>
      <c r="E2383" t="s">
        <v>2799</v>
      </c>
      <c r="G2383" t="s">
        <v>5340</v>
      </c>
      <c r="H2383" t="s">
        <v>28</v>
      </c>
      <c r="I2383" t="s">
        <v>5944</v>
      </c>
      <c r="J2383" t="s">
        <v>63</v>
      </c>
      <c r="K2383" t="s">
        <v>197</v>
      </c>
      <c r="M2383">
        <v>85</v>
      </c>
      <c r="N2383" t="s">
        <v>49</v>
      </c>
      <c r="O2383" t="s">
        <v>4464</v>
      </c>
      <c r="P2383" t="s">
        <v>287</v>
      </c>
      <c r="T2383">
        <v>6</v>
      </c>
      <c r="U2383" t="s">
        <v>40</v>
      </c>
      <c r="V2383" t="s">
        <v>41</v>
      </c>
    </row>
    <row r="2384" spans="1:22" x14ac:dyDescent="0.3">
      <c r="A2384" s="49">
        <v>45273</v>
      </c>
      <c r="E2384" t="s">
        <v>2799</v>
      </c>
      <c r="G2384" t="s">
        <v>1254</v>
      </c>
      <c r="H2384" t="s">
        <v>89</v>
      </c>
      <c r="J2384" t="s">
        <v>63</v>
      </c>
      <c r="K2384" t="s">
        <v>64</v>
      </c>
      <c r="M2384">
        <v>86</v>
      </c>
      <c r="N2384" t="s">
        <v>49</v>
      </c>
      <c r="O2384" t="s">
        <v>3582</v>
      </c>
      <c r="P2384" t="s">
        <v>1697</v>
      </c>
      <c r="T2384">
        <v>4</v>
      </c>
      <c r="U2384" t="s">
        <v>56</v>
      </c>
      <c r="V2384" t="s">
        <v>56</v>
      </c>
    </row>
    <row r="2385" spans="1:22" x14ac:dyDescent="0.3">
      <c r="A2385" s="49">
        <v>45273</v>
      </c>
      <c r="E2385" t="s">
        <v>2799</v>
      </c>
      <c r="G2385" t="s">
        <v>5341</v>
      </c>
      <c r="H2385" t="s">
        <v>28</v>
      </c>
      <c r="I2385" t="s">
        <v>5945</v>
      </c>
      <c r="J2385" t="s">
        <v>63</v>
      </c>
      <c r="K2385" t="s">
        <v>197</v>
      </c>
      <c r="M2385">
        <v>50</v>
      </c>
      <c r="N2385" t="s">
        <v>49</v>
      </c>
      <c r="O2385" t="s">
        <v>4465</v>
      </c>
      <c r="P2385" t="s">
        <v>829</v>
      </c>
      <c r="T2385">
        <v>6</v>
      </c>
      <c r="U2385" t="s">
        <v>40</v>
      </c>
      <c r="V2385" t="s">
        <v>41</v>
      </c>
    </row>
    <row r="2386" spans="1:22" x14ac:dyDescent="0.3">
      <c r="A2386" s="49">
        <v>45273</v>
      </c>
      <c r="E2386" t="s">
        <v>2799</v>
      </c>
      <c r="G2386" t="s">
        <v>4964</v>
      </c>
      <c r="H2386" t="s">
        <v>28</v>
      </c>
      <c r="I2386" t="s">
        <v>5576</v>
      </c>
      <c r="J2386" t="s">
        <v>63</v>
      </c>
      <c r="K2386" t="s">
        <v>64</v>
      </c>
      <c r="M2386">
        <v>100</v>
      </c>
      <c r="N2386" t="s">
        <v>33</v>
      </c>
      <c r="O2386" t="s">
        <v>4466</v>
      </c>
      <c r="P2386" t="s">
        <v>743</v>
      </c>
      <c r="T2386">
        <v>4</v>
      </c>
      <c r="U2386" t="s">
        <v>56</v>
      </c>
      <c r="V2386" t="s">
        <v>56</v>
      </c>
    </row>
    <row r="2387" spans="1:22" x14ac:dyDescent="0.3">
      <c r="A2387" s="49">
        <v>45273</v>
      </c>
      <c r="E2387" t="s">
        <v>2799</v>
      </c>
      <c r="G2387" t="s">
        <v>1254</v>
      </c>
      <c r="H2387" t="s">
        <v>89</v>
      </c>
      <c r="J2387" t="s">
        <v>63</v>
      </c>
      <c r="K2387" t="s">
        <v>64</v>
      </c>
      <c r="M2387">
        <v>0</v>
      </c>
      <c r="N2387" t="s">
        <v>74</v>
      </c>
      <c r="O2387" t="s">
        <v>4467</v>
      </c>
      <c r="P2387" t="s">
        <v>108</v>
      </c>
      <c r="T2387">
        <v>4</v>
      </c>
      <c r="U2387" t="s">
        <v>56</v>
      </c>
      <c r="V2387" t="s">
        <v>56</v>
      </c>
    </row>
    <row r="2388" spans="1:22" x14ac:dyDescent="0.3">
      <c r="A2388" s="49">
        <v>45273</v>
      </c>
      <c r="E2388" t="s">
        <v>2799</v>
      </c>
      <c r="G2388" t="s">
        <v>5120</v>
      </c>
      <c r="H2388" t="s">
        <v>28</v>
      </c>
      <c r="I2388" t="s">
        <v>5575</v>
      </c>
      <c r="J2388" t="s">
        <v>63</v>
      </c>
      <c r="K2388" t="s">
        <v>211</v>
      </c>
      <c r="M2388">
        <v>95</v>
      </c>
      <c r="N2388" t="s">
        <v>49</v>
      </c>
      <c r="O2388" t="s">
        <v>4468</v>
      </c>
      <c r="P2388" t="s">
        <v>4830</v>
      </c>
      <c r="T2388">
        <v>4</v>
      </c>
      <c r="U2388" t="s">
        <v>56</v>
      </c>
      <c r="V2388" t="s">
        <v>56</v>
      </c>
    </row>
    <row r="2389" spans="1:22" x14ac:dyDescent="0.3">
      <c r="A2389" s="49">
        <v>45273</v>
      </c>
      <c r="E2389" t="s">
        <v>2799</v>
      </c>
      <c r="G2389" t="s">
        <v>5121</v>
      </c>
      <c r="H2389" t="s">
        <v>28</v>
      </c>
      <c r="I2389" t="s">
        <v>5946</v>
      </c>
      <c r="J2389" t="s">
        <v>63</v>
      </c>
      <c r="K2389" t="s">
        <v>197</v>
      </c>
      <c r="M2389">
        <v>25</v>
      </c>
      <c r="N2389" t="s">
        <v>49</v>
      </c>
      <c r="O2389" t="s">
        <v>4469</v>
      </c>
      <c r="P2389" t="s">
        <v>416</v>
      </c>
      <c r="T2389">
        <v>4</v>
      </c>
      <c r="U2389" t="s">
        <v>56</v>
      </c>
      <c r="V2389" t="s">
        <v>56</v>
      </c>
    </row>
    <row r="2390" spans="1:22" x14ac:dyDescent="0.3">
      <c r="A2390" s="49">
        <v>45273</v>
      </c>
      <c r="E2390" t="s">
        <v>2799</v>
      </c>
      <c r="G2390" t="s">
        <v>4964</v>
      </c>
      <c r="H2390" t="s">
        <v>28</v>
      </c>
      <c r="I2390" t="s">
        <v>5576</v>
      </c>
      <c r="J2390" t="s">
        <v>63</v>
      </c>
      <c r="K2390" t="s">
        <v>64</v>
      </c>
      <c r="M2390">
        <v>100</v>
      </c>
      <c r="N2390" t="s">
        <v>33</v>
      </c>
      <c r="O2390" t="s">
        <v>4470</v>
      </c>
      <c r="P2390" t="s">
        <v>4832</v>
      </c>
      <c r="T2390">
        <v>4</v>
      </c>
      <c r="U2390" t="s">
        <v>56</v>
      </c>
      <c r="V2390" t="s">
        <v>56</v>
      </c>
    </row>
    <row r="2391" spans="1:22" x14ac:dyDescent="0.3">
      <c r="A2391" s="49">
        <v>45273</v>
      </c>
      <c r="E2391" t="s">
        <v>3183</v>
      </c>
      <c r="G2391" t="s">
        <v>5342</v>
      </c>
      <c r="H2391" t="s">
        <v>28</v>
      </c>
      <c r="I2391" t="s">
        <v>5947</v>
      </c>
      <c r="J2391" t="s">
        <v>63</v>
      </c>
      <c r="K2391" t="s">
        <v>64</v>
      </c>
      <c r="M2391">
        <v>10</v>
      </c>
      <c r="N2391" t="s">
        <v>49</v>
      </c>
      <c r="O2391" t="s">
        <v>4471</v>
      </c>
      <c r="P2391" t="s">
        <v>791</v>
      </c>
      <c r="T2391">
        <v>6</v>
      </c>
      <c r="U2391" t="s">
        <v>40</v>
      </c>
      <c r="V2391" t="s">
        <v>41</v>
      </c>
    </row>
    <row r="2392" spans="1:22" x14ac:dyDescent="0.3">
      <c r="A2392" s="49">
        <v>45273</v>
      </c>
      <c r="E2392" t="s">
        <v>3183</v>
      </c>
      <c r="G2392" t="s">
        <v>5124</v>
      </c>
      <c r="H2392" t="s">
        <v>89</v>
      </c>
      <c r="J2392" t="s">
        <v>63</v>
      </c>
      <c r="K2392" t="s">
        <v>64</v>
      </c>
      <c r="M2392">
        <v>25</v>
      </c>
      <c r="N2392" t="s">
        <v>49</v>
      </c>
      <c r="O2392" t="s">
        <v>4472</v>
      </c>
      <c r="P2392" t="s">
        <v>1878</v>
      </c>
      <c r="T2392">
        <v>4</v>
      </c>
      <c r="U2392" t="s">
        <v>56</v>
      </c>
      <c r="V2392" t="s">
        <v>56</v>
      </c>
    </row>
    <row r="2393" spans="1:22" x14ac:dyDescent="0.3">
      <c r="A2393" s="49">
        <v>45273</v>
      </c>
      <c r="E2393" t="s">
        <v>3183</v>
      </c>
      <c r="G2393" t="s">
        <v>663</v>
      </c>
      <c r="H2393" t="s">
        <v>89</v>
      </c>
      <c r="J2393" t="s">
        <v>63</v>
      </c>
      <c r="K2393" t="s">
        <v>64</v>
      </c>
      <c r="M2393">
        <v>60</v>
      </c>
      <c r="N2393" t="s">
        <v>33</v>
      </c>
      <c r="O2393" t="s">
        <v>3961</v>
      </c>
      <c r="P2393" t="s">
        <v>791</v>
      </c>
      <c r="T2393">
        <v>6</v>
      </c>
      <c r="U2393" t="s">
        <v>40</v>
      </c>
      <c r="V2393" t="s">
        <v>41</v>
      </c>
    </row>
    <row r="2394" spans="1:22" x14ac:dyDescent="0.3">
      <c r="A2394" s="49">
        <v>45273</v>
      </c>
      <c r="E2394" t="s">
        <v>3183</v>
      </c>
      <c r="G2394" t="s">
        <v>663</v>
      </c>
      <c r="H2394" t="s">
        <v>89</v>
      </c>
      <c r="J2394" t="s">
        <v>63</v>
      </c>
      <c r="K2394" t="s">
        <v>64</v>
      </c>
      <c r="M2394">
        <v>60</v>
      </c>
      <c r="N2394" t="s">
        <v>33</v>
      </c>
      <c r="O2394" t="s">
        <v>3961</v>
      </c>
      <c r="P2394" t="s">
        <v>791</v>
      </c>
      <c r="T2394">
        <v>6</v>
      </c>
      <c r="U2394" t="s">
        <v>40</v>
      </c>
      <c r="V2394" t="s">
        <v>41</v>
      </c>
    </row>
    <row r="2395" spans="1:22" x14ac:dyDescent="0.3">
      <c r="A2395" s="49">
        <v>45273</v>
      </c>
      <c r="E2395" t="s">
        <v>3183</v>
      </c>
      <c r="G2395" t="s">
        <v>663</v>
      </c>
      <c r="H2395" t="s">
        <v>89</v>
      </c>
      <c r="J2395" t="s">
        <v>1712</v>
      </c>
      <c r="K2395" t="s">
        <v>4944</v>
      </c>
      <c r="M2395">
        <v>66</v>
      </c>
      <c r="N2395" t="s">
        <v>49</v>
      </c>
      <c r="O2395" t="s">
        <v>4473</v>
      </c>
      <c r="P2395" t="s">
        <v>1122</v>
      </c>
      <c r="T2395">
        <v>4</v>
      </c>
      <c r="U2395" t="s">
        <v>56</v>
      </c>
      <c r="V2395" t="s">
        <v>56</v>
      </c>
    </row>
    <row r="2396" spans="1:22" x14ac:dyDescent="0.3">
      <c r="A2396" s="49">
        <v>45273</v>
      </c>
      <c r="E2396" t="s">
        <v>3183</v>
      </c>
      <c r="G2396" t="s">
        <v>663</v>
      </c>
      <c r="H2396" t="s">
        <v>89</v>
      </c>
      <c r="J2396" t="s">
        <v>63</v>
      </c>
      <c r="K2396" t="s">
        <v>64</v>
      </c>
      <c r="M2396">
        <v>70</v>
      </c>
      <c r="N2396" t="s">
        <v>49</v>
      </c>
      <c r="O2396" t="s">
        <v>4474</v>
      </c>
      <c r="P2396" t="s">
        <v>791</v>
      </c>
      <c r="T2396">
        <v>6</v>
      </c>
      <c r="U2396" t="s">
        <v>40</v>
      </c>
      <c r="V2396" t="s">
        <v>41</v>
      </c>
    </row>
    <row r="2397" spans="1:22" x14ac:dyDescent="0.3">
      <c r="A2397" s="49">
        <v>45273</v>
      </c>
      <c r="E2397" t="s">
        <v>3183</v>
      </c>
      <c r="G2397" t="s">
        <v>663</v>
      </c>
      <c r="H2397" t="s">
        <v>89</v>
      </c>
      <c r="J2397" t="s">
        <v>63</v>
      </c>
      <c r="K2397" t="s">
        <v>64</v>
      </c>
      <c r="M2397">
        <v>30</v>
      </c>
      <c r="N2397" t="s">
        <v>49</v>
      </c>
      <c r="O2397" t="s">
        <v>4475</v>
      </c>
      <c r="P2397" t="s">
        <v>287</v>
      </c>
      <c r="T2397">
        <v>6</v>
      </c>
      <c r="U2397" t="s">
        <v>40</v>
      </c>
      <c r="V2397" t="s">
        <v>41</v>
      </c>
    </row>
    <row r="2398" spans="1:22" x14ac:dyDescent="0.3">
      <c r="A2398" s="49">
        <v>45273</v>
      </c>
      <c r="E2398" t="s">
        <v>3183</v>
      </c>
      <c r="G2398" t="s">
        <v>663</v>
      </c>
      <c r="H2398" t="s">
        <v>89</v>
      </c>
      <c r="J2398" t="s">
        <v>63</v>
      </c>
      <c r="K2398" t="s">
        <v>64</v>
      </c>
      <c r="M2398">
        <v>100</v>
      </c>
      <c r="N2398" t="s">
        <v>49</v>
      </c>
      <c r="O2398" t="s">
        <v>4474</v>
      </c>
      <c r="P2398" t="s">
        <v>791</v>
      </c>
      <c r="T2398">
        <v>6</v>
      </c>
      <c r="U2398" t="s">
        <v>40</v>
      </c>
      <c r="V2398" t="s">
        <v>41</v>
      </c>
    </row>
    <row r="2399" spans="1:22" x14ac:dyDescent="0.3">
      <c r="A2399" s="49">
        <v>45273</v>
      </c>
      <c r="E2399" t="s">
        <v>3183</v>
      </c>
      <c r="G2399" t="s">
        <v>5343</v>
      </c>
      <c r="H2399" t="s">
        <v>89</v>
      </c>
      <c r="J2399" t="s">
        <v>63</v>
      </c>
      <c r="K2399" t="s">
        <v>64</v>
      </c>
      <c r="M2399">
        <v>100</v>
      </c>
      <c r="N2399" t="s">
        <v>49</v>
      </c>
      <c r="O2399" t="s">
        <v>4476</v>
      </c>
      <c r="P2399" t="s">
        <v>1878</v>
      </c>
      <c r="T2399">
        <v>4</v>
      </c>
      <c r="U2399" t="s">
        <v>56</v>
      </c>
      <c r="V2399" t="s">
        <v>56</v>
      </c>
    </row>
    <row r="2400" spans="1:22" x14ac:dyDescent="0.3">
      <c r="A2400" s="49">
        <v>45273</v>
      </c>
      <c r="E2400" t="s">
        <v>3183</v>
      </c>
      <c r="G2400" t="s">
        <v>5123</v>
      </c>
      <c r="H2400" t="s">
        <v>89</v>
      </c>
      <c r="J2400" t="s">
        <v>63</v>
      </c>
      <c r="K2400" t="s">
        <v>64</v>
      </c>
      <c r="M2400">
        <v>100</v>
      </c>
      <c r="N2400" t="s">
        <v>33</v>
      </c>
      <c r="O2400" t="s">
        <v>4477</v>
      </c>
      <c r="P2400" t="s">
        <v>4871</v>
      </c>
      <c r="T2400">
        <v>6</v>
      </c>
      <c r="U2400" t="s">
        <v>40</v>
      </c>
      <c r="V2400" t="s">
        <v>41</v>
      </c>
    </row>
    <row r="2401" spans="1:22" x14ac:dyDescent="0.3">
      <c r="A2401" s="49">
        <v>45273</v>
      </c>
      <c r="E2401" t="s">
        <v>3169</v>
      </c>
      <c r="G2401" t="s">
        <v>488</v>
      </c>
      <c r="H2401" t="s">
        <v>28</v>
      </c>
      <c r="I2401" t="s">
        <v>5484</v>
      </c>
      <c r="J2401" t="s">
        <v>63</v>
      </c>
      <c r="K2401" t="s">
        <v>64</v>
      </c>
      <c r="M2401">
        <v>100</v>
      </c>
      <c r="N2401" t="s">
        <v>49</v>
      </c>
      <c r="O2401" t="s">
        <v>4478</v>
      </c>
      <c r="P2401" t="s">
        <v>878</v>
      </c>
      <c r="T2401">
        <v>4</v>
      </c>
      <c r="U2401" t="s">
        <v>56</v>
      </c>
      <c r="V2401" t="s">
        <v>56</v>
      </c>
    </row>
    <row r="2402" spans="1:22" x14ac:dyDescent="0.3">
      <c r="A2402" s="49">
        <v>45273</v>
      </c>
      <c r="E2402" t="s">
        <v>3169</v>
      </c>
      <c r="G2402" t="s">
        <v>5344</v>
      </c>
      <c r="H2402" t="s">
        <v>28</v>
      </c>
      <c r="I2402" t="s">
        <v>5948</v>
      </c>
      <c r="J2402" t="s">
        <v>63</v>
      </c>
      <c r="K2402" t="s">
        <v>4929</v>
      </c>
      <c r="M2402">
        <v>100</v>
      </c>
      <c r="N2402" t="s">
        <v>49</v>
      </c>
      <c r="O2402" t="s">
        <v>4479</v>
      </c>
      <c r="P2402" t="s">
        <v>35</v>
      </c>
      <c r="S2402" t="s">
        <v>6330</v>
      </c>
      <c r="T2402">
        <v>4</v>
      </c>
      <c r="U2402" t="s">
        <v>56</v>
      </c>
      <c r="V2402" t="s">
        <v>56</v>
      </c>
    </row>
    <row r="2403" spans="1:22" x14ac:dyDescent="0.3">
      <c r="A2403" s="49">
        <v>45273</v>
      </c>
      <c r="E2403" t="s">
        <v>3169</v>
      </c>
      <c r="G2403" t="s">
        <v>5344</v>
      </c>
      <c r="H2403" t="s">
        <v>28</v>
      </c>
      <c r="I2403" t="s">
        <v>5948</v>
      </c>
      <c r="J2403" t="s">
        <v>63</v>
      </c>
      <c r="K2403" t="s">
        <v>4929</v>
      </c>
      <c r="M2403">
        <v>100</v>
      </c>
      <c r="N2403" t="s">
        <v>49</v>
      </c>
      <c r="O2403" t="s">
        <v>4479</v>
      </c>
      <c r="P2403" t="s">
        <v>35</v>
      </c>
      <c r="S2403" t="s">
        <v>6330</v>
      </c>
      <c r="T2403">
        <v>4</v>
      </c>
      <c r="U2403" t="s">
        <v>56</v>
      </c>
      <c r="V2403" t="s">
        <v>56</v>
      </c>
    </row>
    <row r="2404" spans="1:22" x14ac:dyDescent="0.3">
      <c r="A2404" s="49">
        <v>45273</v>
      </c>
      <c r="E2404" t="s">
        <v>3169</v>
      </c>
      <c r="G2404" t="s">
        <v>5344</v>
      </c>
      <c r="H2404" t="s">
        <v>28</v>
      </c>
      <c r="I2404" t="s">
        <v>5948</v>
      </c>
      <c r="J2404" t="s">
        <v>63</v>
      </c>
      <c r="K2404" t="s">
        <v>4929</v>
      </c>
      <c r="M2404">
        <v>100</v>
      </c>
      <c r="N2404" t="s">
        <v>49</v>
      </c>
      <c r="O2404" t="s">
        <v>4480</v>
      </c>
      <c r="P2404" t="s">
        <v>743</v>
      </c>
      <c r="S2404" t="s">
        <v>6330</v>
      </c>
      <c r="T2404">
        <v>4</v>
      </c>
      <c r="U2404" t="s">
        <v>56</v>
      </c>
      <c r="V2404" t="s">
        <v>56</v>
      </c>
    </row>
    <row r="2405" spans="1:22" x14ac:dyDescent="0.3">
      <c r="A2405" s="49">
        <v>45273</v>
      </c>
      <c r="E2405" t="s">
        <v>3169</v>
      </c>
      <c r="G2405" t="s">
        <v>5344</v>
      </c>
      <c r="H2405" t="s">
        <v>28</v>
      </c>
      <c r="I2405" t="s">
        <v>5948</v>
      </c>
      <c r="J2405" t="s">
        <v>63</v>
      </c>
      <c r="K2405" t="s">
        <v>4929</v>
      </c>
      <c r="M2405">
        <v>100</v>
      </c>
      <c r="N2405" t="s">
        <v>49</v>
      </c>
      <c r="O2405" t="s">
        <v>4480</v>
      </c>
      <c r="P2405" t="s">
        <v>743</v>
      </c>
      <c r="S2405" t="s">
        <v>6330</v>
      </c>
      <c r="T2405">
        <v>4</v>
      </c>
      <c r="U2405" t="s">
        <v>56</v>
      </c>
      <c r="V2405" t="s">
        <v>56</v>
      </c>
    </row>
    <row r="2406" spans="1:22" x14ac:dyDescent="0.3">
      <c r="A2406" s="49">
        <v>45273</v>
      </c>
      <c r="E2406" t="s">
        <v>3136</v>
      </c>
      <c r="G2406" t="s">
        <v>5010</v>
      </c>
      <c r="H2406" t="s">
        <v>28</v>
      </c>
      <c r="I2406" t="s">
        <v>5590</v>
      </c>
      <c r="J2406" t="s">
        <v>63</v>
      </c>
      <c r="K2406" t="s">
        <v>64</v>
      </c>
      <c r="M2406">
        <v>86</v>
      </c>
      <c r="N2406" t="s">
        <v>49</v>
      </c>
      <c r="O2406" t="s">
        <v>4481</v>
      </c>
      <c r="P2406" t="s">
        <v>1727</v>
      </c>
      <c r="T2406">
        <v>4</v>
      </c>
      <c r="U2406" t="s">
        <v>56</v>
      </c>
      <c r="V2406" t="s">
        <v>56</v>
      </c>
    </row>
    <row r="2407" spans="1:22" x14ac:dyDescent="0.3">
      <c r="A2407" s="49">
        <v>45273</v>
      </c>
      <c r="E2407" t="s">
        <v>3136</v>
      </c>
      <c r="G2407" t="s">
        <v>5010</v>
      </c>
      <c r="H2407" t="s">
        <v>28</v>
      </c>
      <c r="I2407" t="s">
        <v>5531</v>
      </c>
      <c r="J2407" t="s">
        <v>63</v>
      </c>
      <c r="K2407" t="s">
        <v>64</v>
      </c>
      <c r="M2407">
        <v>70</v>
      </c>
      <c r="N2407" t="s">
        <v>49</v>
      </c>
      <c r="O2407" t="s">
        <v>4482</v>
      </c>
      <c r="P2407" t="s">
        <v>344</v>
      </c>
      <c r="T2407">
        <v>4</v>
      </c>
      <c r="U2407" t="s">
        <v>56</v>
      </c>
      <c r="V2407" t="s">
        <v>56</v>
      </c>
    </row>
    <row r="2408" spans="1:22" x14ac:dyDescent="0.3">
      <c r="A2408" s="49">
        <v>45273</v>
      </c>
      <c r="E2408" t="s">
        <v>3136</v>
      </c>
      <c r="G2408" t="s">
        <v>5345</v>
      </c>
      <c r="H2408" t="s">
        <v>28</v>
      </c>
      <c r="I2408" t="s">
        <v>5949</v>
      </c>
      <c r="J2408" t="s">
        <v>1712</v>
      </c>
      <c r="K2408" t="s">
        <v>481</v>
      </c>
      <c r="M2408">
        <v>100</v>
      </c>
      <c r="N2408" t="s">
        <v>49</v>
      </c>
      <c r="O2408" t="s">
        <v>4483</v>
      </c>
      <c r="P2408" t="s">
        <v>1159</v>
      </c>
      <c r="T2408">
        <v>4</v>
      </c>
      <c r="U2408" t="s">
        <v>56</v>
      </c>
      <c r="V2408" t="s">
        <v>56</v>
      </c>
    </row>
    <row r="2409" spans="1:22" x14ac:dyDescent="0.3">
      <c r="A2409" s="49">
        <v>45273</v>
      </c>
      <c r="E2409" t="s">
        <v>3197</v>
      </c>
      <c r="G2409" t="s">
        <v>5127</v>
      </c>
      <c r="H2409" t="s">
        <v>28</v>
      </c>
      <c r="I2409" t="s">
        <v>5591</v>
      </c>
      <c r="J2409" t="s">
        <v>63</v>
      </c>
      <c r="K2409" t="s">
        <v>197</v>
      </c>
      <c r="M2409">
        <v>60</v>
      </c>
      <c r="N2409" t="s">
        <v>33</v>
      </c>
      <c r="O2409" t="s">
        <v>4484</v>
      </c>
      <c r="P2409" t="s">
        <v>1159</v>
      </c>
      <c r="T2409">
        <v>4</v>
      </c>
      <c r="U2409" t="s">
        <v>56</v>
      </c>
      <c r="V2409" t="s">
        <v>56</v>
      </c>
    </row>
    <row r="2410" spans="1:22" x14ac:dyDescent="0.3">
      <c r="A2410" s="49">
        <v>45273</v>
      </c>
      <c r="E2410" t="s">
        <v>3107</v>
      </c>
      <c r="G2410" t="s">
        <v>5346</v>
      </c>
      <c r="H2410" t="s">
        <v>28</v>
      </c>
      <c r="I2410" t="s">
        <v>5950</v>
      </c>
      <c r="J2410" t="s">
        <v>63</v>
      </c>
      <c r="K2410" t="s">
        <v>4940</v>
      </c>
      <c r="M2410">
        <v>30</v>
      </c>
      <c r="N2410" t="s">
        <v>49</v>
      </c>
      <c r="O2410" t="s">
        <v>4485</v>
      </c>
      <c r="P2410" t="s">
        <v>1878</v>
      </c>
      <c r="T2410">
        <v>6</v>
      </c>
      <c r="U2410" t="s">
        <v>40</v>
      </c>
      <c r="V2410" t="s">
        <v>41</v>
      </c>
    </row>
    <row r="2411" spans="1:22" x14ac:dyDescent="0.3">
      <c r="A2411" s="49">
        <v>45273</v>
      </c>
      <c r="E2411" t="s">
        <v>3107</v>
      </c>
      <c r="G2411" t="s">
        <v>4971</v>
      </c>
      <c r="H2411" t="s">
        <v>89</v>
      </c>
      <c r="J2411" t="s">
        <v>63</v>
      </c>
      <c r="K2411" t="s">
        <v>64</v>
      </c>
      <c r="M2411">
        <v>100</v>
      </c>
      <c r="N2411" t="s">
        <v>49</v>
      </c>
      <c r="O2411" t="s">
        <v>3606</v>
      </c>
      <c r="P2411" t="s">
        <v>66</v>
      </c>
      <c r="T2411">
        <v>6</v>
      </c>
      <c r="U2411" t="s">
        <v>40</v>
      </c>
      <c r="V2411" t="s">
        <v>41</v>
      </c>
    </row>
    <row r="2412" spans="1:22" x14ac:dyDescent="0.3">
      <c r="A2412" s="49">
        <v>45273</v>
      </c>
      <c r="E2412" t="s">
        <v>3107</v>
      </c>
      <c r="G2412" t="s">
        <v>5242</v>
      </c>
      <c r="H2412" t="s">
        <v>28</v>
      </c>
      <c r="I2412" t="s">
        <v>5395</v>
      </c>
      <c r="J2412" t="s">
        <v>46</v>
      </c>
      <c r="K2412" t="s">
        <v>481</v>
      </c>
      <c r="M2412">
        <v>90</v>
      </c>
      <c r="N2412" t="s">
        <v>49</v>
      </c>
      <c r="O2412" t="s">
        <v>3985</v>
      </c>
      <c r="P2412" t="s">
        <v>4897</v>
      </c>
      <c r="T2412">
        <v>6</v>
      </c>
      <c r="U2412" t="s">
        <v>40</v>
      </c>
      <c r="V2412" t="s">
        <v>41</v>
      </c>
    </row>
    <row r="2413" spans="1:22" x14ac:dyDescent="0.3">
      <c r="A2413" s="49">
        <v>45273</v>
      </c>
      <c r="E2413" t="s">
        <v>3107</v>
      </c>
      <c r="G2413" t="s">
        <v>5346</v>
      </c>
      <c r="H2413" t="s">
        <v>28</v>
      </c>
      <c r="I2413" t="s">
        <v>5950</v>
      </c>
      <c r="J2413" t="s">
        <v>63</v>
      </c>
      <c r="K2413" t="s">
        <v>4940</v>
      </c>
      <c r="M2413">
        <v>100</v>
      </c>
      <c r="N2413" t="s">
        <v>33</v>
      </c>
      <c r="O2413" t="s">
        <v>4485</v>
      </c>
      <c r="P2413" t="s">
        <v>1878</v>
      </c>
      <c r="T2413">
        <v>6</v>
      </c>
      <c r="U2413" t="s">
        <v>40</v>
      </c>
      <c r="V2413" t="s">
        <v>41</v>
      </c>
    </row>
    <row r="2414" spans="1:22" x14ac:dyDescent="0.3">
      <c r="A2414" s="49">
        <v>45273</v>
      </c>
      <c r="E2414" t="s">
        <v>3107</v>
      </c>
      <c r="G2414" t="s">
        <v>4971</v>
      </c>
      <c r="H2414" t="s">
        <v>89</v>
      </c>
      <c r="J2414" t="s">
        <v>63</v>
      </c>
      <c r="K2414" t="s">
        <v>64</v>
      </c>
      <c r="M2414">
        <v>100</v>
      </c>
      <c r="N2414" t="s">
        <v>49</v>
      </c>
      <c r="O2414" t="s">
        <v>4486</v>
      </c>
      <c r="P2414" t="s">
        <v>306</v>
      </c>
      <c r="T2414">
        <v>6</v>
      </c>
      <c r="U2414" t="s">
        <v>40</v>
      </c>
      <c r="V2414" t="s">
        <v>41</v>
      </c>
    </row>
    <row r="2415" spans="1:22" x14ac:dyDescent="0.3">
      <c r="A2415" s="49">
        <v>45273</v>
      </c>
      <c r="E2415" t="s">
        <v>3107</v>
      </c>
      <c r="G2415" t="s">
        <v>4971</v>
      </c>
      <c r="H2415" t="s">
        <v>89</v>
      </c>
      <c r="J2415" t="s">
        <v>63</v>
      </c>
      <c r="K2415" t="s">
        <v>64</v>
      </c>
      <c r="M2415">
        <v>95</v>
      </c>
      <c r="N2415" t="s">
        <v>33</v>
      </c>
      <c r="O2415" t="s">
        <v>4486</v>
      </c>
      <c r="P2415" t="s">
        <v>306</v>
      </c>
      <c r="T2415">
        <v>6</v>
      </c>
      <c r="U2415" t="s">
        <v>40</v>
      </c>
      <c r="V2415" t="s">
        <v>41</v>
      </c>
    </row>
    <row r="2416" spans="1:22" x14ac:dyDescent="0.3">
      <c r="A2416" s="49">
        <v>45273</v>
      </c>
      <c r="E2416" t="s">
        <v>3107</v>
      </c>
      <c r="G2416" t="s">
        <v>5242</v>
      </c>
      <c r="H2416" t="s">
        <v>28</v>
      </c>
      <c r="I2416" t="s">
        <v>5395</v>
      </c>
      <c r="J2416" t="s">
        <v>46</v>
      </c>
      <c r="K2416" t="s">
        <v>481</v>
      </c>
      <c r="M2416">
        <v>100</v>
      </c>
      <c r="N2416" t="s">
        <v>49</v>
      </c>
      <c r="O2416" t="s">
        <v>3985</v>
      </c>
      <c r="P2416" t="s">
        <v>4897</v>
      </c>
      <c r="T2416">
        <v>6</v>
      </c>
      <c r="U2416" t="s">
        <v>40</v>
      </c>
      <c r="V2416" t="s">
        <v>41</v>
      </c>
    </row>
    <row r="2417" spans="1:22" x14ac:dyDescent="0.3">
      <c r="A2417" s="49">
        <v>45273</v>
      </c>
      <c r="E2417" t="s">
        <v>3107</v>
      </c>
      <c r="G2417" t="s">
        <v>5242</v>
      </c>
      <c r="H2417" t="s">
        <v>28</v>
      </c>
      <c r="I2417" t="s">
        <v>5395</v>
      </c>
      <c r="J2417" t="s">
        <v>46</v>
      </c>
      <c r="K2417" t="s">
        <v>481</v>
      </c>
      <c r="M2417">
        <v>100</v>
      </c>
      <c r="N2417" t="s">
        <v>49</v>
      </c>
      <c r="O2417" t="s">
        <v>3985</v>
      </c>
      <c r="P2417" t="s">
        <v>4897</v>
      </c>
      <c r="T2417">
        <v>6</v>
      </c>
      <c r="U2417" t="s">
        <v>40</v>
      </c>
      <c r="V2417" t="s">
        <v>41</v>
      </c>
    </row>
    <row r="2418" spans="1:22" x14ac:dyDescent="0.3">
      <c r="A2418" s="49">
        <v>45273</v>
      </c>
      <c r="E2418" t="s">
        <v>3107</v>
      </c>
      <c r="G2418" t="s">
        <v>5242</v>
      </c>
      <c r="H2418" t="s">
        <v>28</v>
      </c>
      <c r="I2418" t="s">
        <v>5395</v>
      </c>
      <c r="J2418" t="s">
        <v>46</v>
      </c>
      <c r="K2418" t="s">
        <v>481</v>
      </c>
      <c r="M2418">
        <v>100</v>
      </c>
      <c r="N2418" t="s">
        <v>49</v>
      </c>
      <c r="O2418" t="s">
        <v>3985</v>
      </c>
      <c r="P2418" t="s">
        <v>4897</v>
      </c>
      <c r="T2418">
        <v>6</v>
      </c>
      <c r="U2418" t="s">
        <v>40</v>
      </c>
      <c r="V2418" t="s">
        <v>41</v>
      </c>
    </row>
    <row r="2419" spans="1:22" x14ac:dyDescent="0.3">
      <c r="A2419" s="49">
        <v>45273</v>
      </c>
      <c r="E2419" t="s">
        <v>3108</v>
      </c>
      <c r="G2419" t="s">
        <v>5347</v>
      </c>
      <c r="H2419" t="s">
        <v>28</v>
      </c>
      <c r="I2419" t="s">
        <v>1277</v>
      </c>
      <c r="J2419" t="s">
        <v>63</v>
      </c>
      <c r="K2419" t="s">
        <v>64</v>
      </c>
      <c r="M2419">
        <v>100</v>
      </c>
      <c r="N2419" t="s">
        <v>49</v>
      </c>
      <c r="O2419" t="s">
        <v>4487</v>
      </c>
      <c r="P2419" t="s">
        <v>287</v>
      </c>
      <c r="T2419">
        <v>4</v>
      </c>
      <c r="U2419" t="s">
        <v>56</v>
      </c>
      <c r="V2419" t="s">
        <v>56</v>
      </c>
    </row>
    <row r="2420" spans="1:22" x14ac:dyDescent="0.3">
      <c r="A2420" s="49">
        <v>45273</v>
      </c>
      <c r="E2420" t="s">
        <v>3108</v>
      </c>
      <c r="G2420" t="s">
        <v>5347</v>
      </c>
      <c r="H2420" t="s">
        <v>28</v>
      </c>
      <c r="I2420" t="s">
        <v>1277</v>
      </c>
      <c r="J2420" t="s">
        <v>63</v>
      </c>
      <c r="K2420" t="s">
        <v>64</v>
      </c>
      <c r="M2420">
        <v>50</v>
      </c>
      <c r="N2420" t="s">
        <v>33</v>
      </c>
      <c r="O2420" t="s">
        <v>4487</v>
      </c>
      <c r="P2420" t="s">
        <v>287</v>
      </c>
      <c r="T2420">
        <v>4</v>
      </c>
      <c r="U2420" t="s">
        <v>56</v>
      </c>
      <c r="V2420" t="s">
        <v>56</v>
      </c>
    </row>
    <row r="2421" spans="1:22" x14ac:dyDescent="0.3">
      <c r="A2421" s="49">
        <v>45273</v>
      </c>
      <c r="E2421" t="s">
        <v>3108</v>
      </c>
      <c r="G2421" t="s">
        <v>4969</v>
      </c>
      <c r="H2421" t="s">
        <v>28</v>
      </c>
      <c r="I2421" t="s">
        <v>5778</v>
      </c>
      <c r="J2421" t="s">
        <v>46</v>
      </c>
      <c r="K2421" t="s">
        <v>422</v>
      </c>
      <c r="M2421">
        <v>100</v>
      </c>
      <c r="N2421" t="s">
        <v>49</v>
      </c>
      <c r="O2421" t="s">
        <v>3991</v>
      </c>
      <c r="P2421" t="s">
        <v>1054</v>
      </c>
      <c r="T2421">
        <v>6</v>
      </c>
      <c r="U2421" t="s">
        <v>40</v>
      </c>
      <c r="V2421" t="s">
        <v>41</v>
      </c>
    </row>
    <row r="2422" spans="1:22" x14ac:dyDescent="0.3">
      <c r="A2422" s="49">
        <v>45273</v>
      </c>
      <c r="E2422" t="s">
        <v>3108</v>
      </c>
      <c r="G2422" t="s">
        <v>4969</v>
      </c>
      <c r="H2422" t="s">
        <v>28</v>
      </c>
      <c r="I2422" t="s">
        <v>5776</v>
      </c>
      <c r="J2422" t="s">
        <v>63</v>
      </c>
      <c r="K2422" t="s">
        <v>64</v>
      </c>
      <c r="M2422">
        <v>50</v>
      </c>
      <c r="N2422" t="s">
        <v>49</v>
      </c>
      <c r="O2422" t="s">
        <v>4488</v>
      </c>
      <c r="P2422" t="s">
        <v>1586</v>
      </c>
      <c r="T2422">
        <v>6</v>
      </c>
      <c r="U2422" t="s">
        <v>40</v>
      </c>
      <c r="V2422" t="s">
        <v>41</v>
      </c>
    </row>
    <row r="2423" spans="1:22" x14ac:dyDescent="0.3">
      <c r="A2423" s="49">
        <v>45273</v>
      </c>
      <c r="E2423" t="s">
        <v>3108</v>
      </c>
      <c r="G2423" t="s">
        <v>4969</v>
      </c>
      <c r="H2423" t="s">
        <v>89</v>
      </c>
      <c r="J2423" t="s">
        <v>63</v>
      </c>
      <c r="K2423" t="s">
        <v>64</v>
      </c>
      <c r="M2423">
        <v>25</v>
      </c>
      <c r="N2423" t="s">
        <v>49</v>
      </c>
      <c r="O2423" t="s">
        <v>4489</v>
      </c>
      <c r="P2423" t="s">
        <v>170</v>
      </c>
      <c r="T2423">
        <v>6</v>
      </c>
      <c r="U2423" t="s">
        <v>40</v>
      </c>
      <c r="V2423" t="s">
        <v>41</v>
      </c>
    </row>
    <row r="2424" spans="1:22" x14ac:dyDescent="0.3">
      <c r="A2424" s="49">
        <v>45273</v>
      </c>
      <c r="E2424" t="s">
        <v>3108</v>
      </c>
      <c r="G2424" t="s">
        <v>4969</v>
      </c>
      <c r="H2424" t="s">
        <v>89</v>
      </c>
      <c r="J2424" t="s">
        <v>63</v>
      </c>
      <c r="K2424" t="s">
        <v>64</v>
      </c>
      <c r="M2424">
        <v>75</v>
      </c>
      <c r="N2424" t="s">
        <v>33</v>
      </c>
      <c r="O2424" t="s">
        <v>4489</v>
      </c>
      <c r="P2424" t="s">
        <v>170</v>
      </c>
      <c r="T2424">
        <v>6</v>
      </c>
      <c r="U2424" t="s">
        <v>40</v>
      </c>
      <c r="V2424" t="s">
        <v>41</v>
      </c>
    </row>
    <row r="2425" spans="1:22" x14ac:dyDescent="0.3">
      <c r="A2425" s="49">
        <v>45273</v>
      </c>
      <c r="E2425" t="s">
        <v>3108</v>
      </c>
      <c r="G2425" t="s">
        <v>4969</v>
      </c>
      <c r="H2425" t="s">
        <v>28</v>
      </c>
      <c r="I2425" t="s">
        <v>5778</v>
      </c>
      <c r="J2425" t="s">
        <v>63</v>
      </c>
      <c r="K2425" t="s">
        <v>64</v>
      </c>
      <c r="M2425">
        <v>100</v>
      </c>
      <c r="N2425" t="s">
        <v>49</v>
      </c>
      <c r="O2425" t="s">
        <v>2529</v>
      </c>
      <c r="P2425" t="s">
        <v>1054</v>
      </c>
      <c r="T2425">
        <v>6</v>
      </c>
      <c r="U2425" t="s">
        <v>40</v>
      </c>
      <c r="V2425" t="s">
        <v>41</v>
      </c>
    </row>
    <row r="2426" spans="1:22" x14ac:dyDescent="0.3">
      <c r="A2426" s="49">
        <v>45273</v>
      </c>
      <c r="E2426" t="s">
        <v>3108</v>
      </c>
      <c r="G2426" t="s">
        <v>4969</v>
      </c>
      <c r="H2426" t="s">
        <v>28</v>
      </c>
      <c r="I2426" t="s">
        <v>5778</v>
      </c>
      <c r="J2426" t="s">
        <v>63</v>
      </c>
      <c r="K2426" t="s">
        <v>64</v>
      </c>
      <c r="M2426">
        <v>100</v>
      </c>
      <c r="N2426" t="s">
        <v>49</v>
      </c>
      <c r="O2426" t="s">
        <v>2529</v>
      </c>
      <c r="P2426" t="s">
        <v>1054</v>
      </c>
      <c r="T2426">
        <v>6</v>
      </c>
      <c r="U2426" t="s">
        <v>40</v>
      </c>
      <c r="V2426" t="s">
        <v>41</v>
      </c>
    </row>
    <row r="2427" spans="1:22" x14ac:dyDescent="0.3">
      <c r="A2427" s="49">
        <v>45273</v>
      </c>
      <c r="E2427" t="s">
        <v>3108</v>
      </c>
      <c r="G2427" t="s">
        <v>4969</v>
      </c>
      <c r="H2427" t="s">
        <v>28</v>
      </c>
      <c r="I2427" t="s">
        <v>5397</v>
      </c>
      <c r="J2427" t="s">
        <v>63</v>
      </c>
      <c r="K2427" t="s">
        <v>64</v>
      </c>
      <c r="M2427">
        <v>95</v>
      </c>
      <c r="N2427" t="s">
        <v>49</v>
      </c>
      <c r="O2427" t="s">
        <v>4490</v>
      </c>
      <c r="P2427" t="s">
        <v>829</v>
      </c>
      <c r="T2427">
        <v>6</v>
      </c>
      <c r="U2427" t="s">
        <v>40</v>
      </c>
      <c r="V2427" t="s">
        <v>41</v>
      </c>
    </row>
    <row r="2428" spans="1:22" x14ac:dyDescent="0.3">
      <c r="A2428" s="49">
        <v>45273</v>
      </c>
      <c r="E2428" t="s">
        <v>3108</v>
      </c>
      <c r="G2428" t="s">
        <v>4969</v>
      </c>
      <c r="H2428" t="s">
        <v>28</v>
      </c>
      <c r="I2428" t="s">
        <v>5397</v>
      </c>
      <c r="J2428" t="s">
        <v>63</v>
      </c>
      <c r="K2428" t="s">
        <v>64</v>
      </c>
      <c r="M2428">
        <v>95</v>
      </c>
      <c r="N2428" t="s">
        <v>49</v>
      </c>
      <c r="O2428" t="s">
        <v>4490</v>
      </c>
      <c r="P2428" t="s">
        <v>829</v>
      </c>
      <c r="T2428">
        <v>6</v>
      </c>
      <c r="U2428" t="s">
        <v>40</v>
      </c>
      <c r="V2428" t="s">
        <v>41</v>
      </c>
    </row>
    <row r="2429" spans="1:22" x14ac:dyDescent="0.3">
      <c r="A2429" s="49">
        <v>45273</v>
      </c>
      <c r="E2429" t="s">
        <v>3108</v>
      </c>
      <c r="G2429" t="s">
        <v>4969</v>
      </c>
      <c r="H2429" t="s">
        <v>28</v>
      </c>
      <c r="I2429" t="s">
        <v>5397</v>
      </c>
      <c r="J2429" t="s">
        <v>63</v>
      </c>
      <c r="K2429" t="s">
        <v>64</v>
      </c>
      <c r="M2429">
        <v>95</v>
      </c>
      <c r="N2429" t="s">
        <v>49</v>
      </c>
      <c r="O2429" t="s">
        <v>4490</v>
      </c>
      <c r="P2429" t="s">
        <v>829</v>
      </c>
      <c r="T2429">
        <v>6</v>
      </c>
      <c r="U2429" t="s">
        <v>40</v>
      </c>
      <c r="V2429" t="s">
        <v>41</v>
      </c>
    </row>
    <row r="2430" spans="1:22" x14ac:dyDescent="0.3">
      <c r="A2430" s="49">
        <v>45273</v>
      </c>
      <c r="E2430" t="s">
        <v>3198</v>
      </c>
      <c r="G2430" t="s">
        <v>5128</v>
      </c>
      <c r="H2430" t="s">
        <v>28</v>
      </c>
      <c r="I2430" t="s">
        <v>5592</v>
      </c>
      <c r="J2430" t="s">
        <v>63</v>
      </c>
      <c r="K2430" t="s">
        <v>4936</v>
      </c>
      <c r="M2430">
        <v>100</v>
      </c>
      <c r="N2430" t="s">
        <v>49</v>
      </c>
      <c r="O2430" t="s">
        <v>3608</v>
      </c>
      <c r="P2430" t="s">
        <v>170</v>
      </c>
      <c r="T2430">
        <v>6</v>
      </c>
      <c r="U2430" t="s">
        <v>40</v>
      </c>
      <c r="V2430" t="s">
        <v>41</v>
      </c>
    </row>
    <row r="2431" spans="1:22" x14ac:dyDescent="0.3">
      <c r="A2431" s="49">
        <v>45273</v>
      </c>
      <c r="E2431" t="s">
        <v>3198</v>
      </c>
      <c r="G2431" t="s">
        <v>5128</v>
      </c>
      <c r="H2431" t="s">
        <v>28</v>
      </c>
      <c r="I2431" t="s">
        <v>5592</v>
      </c>
      <c r="J2431" t="s">
        <v>63</v>
      </c>
      <c r="K2431" t="s">
        <v>4936</v>
      </c>
      <c r="M2431">
        <v>100</v>
      </c>
      <c r="N2431" t="s">
        <v>49</v>
      </c>
      <c r="O2431" t="s">
        <v>3608</v>
      </c>
      <c r="P2431" t="s">
        <v>170</v>
      </c>
      <c r="T2431">
        <v>6</v>
      </c>
      <c r="U2431" t="s">
        <v>40</v>
      </c>
      <c r="V2431" t="s">
        <v>41</v>
      </c>
    </row>
    <row r="2432" spans="1:22" x14ac:dyDescent="0.3">
      <c r="A2432" s="49">
        <v>45273</v>
      </c>
      <c r="E2432" t="s">
        <v>3198</v>
      </c>
      <c r="G2432" t="s">
        <v>5128</v>
      </c>
      <c r="H2432" t="s">
        <v>28</v>
      </c>
      <c r="I2432" t="s">
        <v>5592</v>
      </c>
      <c r="J2432" t="s">
        <v>63</v>
      </c>
      <c r="K2432" t="s">
        <v>4936</v>
      </c>
      <c r="M2432">
        <v>100</v>
      </c>
      <c r="N2432" t="s">
        <v>49</v>
      </c>
      <c r="O2432" t="s">
        <v>3608</v>
      </c>
      <c r="P2432" t="s">
        <v>170</v>
      </c>
      <c r="T2432">
        <v>6</v>
      </c>
      <c r="U2432" t="s">
        <v>40</v>
      </c>
      <c r="V2432" t="s">
        <v>41</v>
      </c>
    </row>
    <row r="2433" spans="1:22" x14ac:dyDescent="0.3">
      <c r="A2433" s="49">
        <v>45273</v>
      </c>
      <c r="E2433" t="s">
        <v>3198</v>
      </c>
      <c r="G2433" t="s">
        <v>5128</v>
      </c>
      <c r="H2433" t="s">
        <v>28</v>
      </c>
      <c r="I2433" t="s">
        <v>5951</v>
      </c>
      <c r="J2433" t="s">
        <v>46</v>
      </c>
      <c r="K2433" t="s">
        <v>422</v>
      </c>
      <c r="M2433">
        <v>0</v>
      </c>
      <c r="N2433" t="s">
        <v>33</v>
      </c>
      <c r="O2433" t="s">
        <v>4491</v>
      </c>
      <c r="P2433" t="s">
        <v>4905</v>
      </c>
      <c r="T2433">
        <v>6</v>
      </c>
      <c r="U2433" t="s">
        <v>40</v>
      </c>
      <c r="V2433" t="s">
        <v>41</v>
      </c>
    </row>
    <row r="2434" spans="1:22" x14ac:dyDescent="0.3">
      <c r="A2434" s="49">
        <v>45273</v>
      </c>
      <c r="E2434" t="s">
        <v>3170</v>
      </c>
      <c r="G2434" t="s">
        <v>5055</v>
      </c>
      <c r="H2434" t="s">
        <v>89</v>
      </c>
      <c r="J2434" t="s">
        <v>63</v>
      </c>
      <c r="K2434" t="s">
        <v>4929</v>
      </c>
      <c r="M2434">
        <v>100</v>
      </c>
      <c r="N2434" t="s">
        <v>33</v>
      </c>
      <c r="O2434" t="s">
        <v>4492</v>
      </c>
      <c r="P2434" t="s">
        <v>651</v>
      </c>
      <c r="T2434">
        <v>6</v>
      </c>
      <c r="U2434" t="s">
        <v>40</v>
      </c>
      <c r="V2434" t="s">
        <v>41</v>
      </c>
    </row>
    <row r="2435" spans="1:22" x14ac:dyDescent="0.3">
      <c r="A2435" s="49">
        <v>45273</v>
      </c>
      <c r="E2435" t="s">
        <v>3170</v>
      </c>
      <c r="G2435" t="s">
        <v>5055</v>
      </c>
      <c r="H2435" t="s">
        <v>89</v>
      </c>
      <c r="J2435" t="s">
        <v>63</v>
      </c>
      <c r="K2435" t="s">
        <v>4929</v>
      </c>
      <c r="M2435">
        <v>100</v>
      </c>
      <c r="N2435" t="s">
        <v>33</v>
      </c>
      <c r="O2435" t="s">
        <v>4493</v>
      </c>
      <c r="P2435" t="s">
        <v>743</v>
      </c>
      <c r="T2435">
        <v>6</v>
      </c>
      <c r="U2435" t="s">
        <v>40</v>
      </c>
      <c r="V2435" t="s">
        <v>41</v>
      </c>
    </row>
    <row r="2436" spans="1:22" x14ac:dyDescent="0.3">
      <c r="A2436" s="49">
        <v>45273</v>
      </c>
      <c r="E2436" t="s">
        <v>3137</v>
      </c>
      <c r="G2436" t="s">
        <v>5012</v>
      </c>
      <c r="H2436" t="s">
        <v>28</v>
      </c>
      <c r="I2436" t="s">
        <v>5594</v>
      </c>
      <c r="J2436" t="s">
        <v>63</v>
      </c>
      <c r="K2436" t="s">
        <v>64</v>
      </c>
      <c r="M2436">
        <v>41</v>
      </c>
      <c r="N2436" t="s">
        <v>33</v>
      </c>
      <c r="O2436" t="s">
        <v>4494</v>
      </c>
      <c r="P2436" t="s">
        <v>2178</v>
      </c>
      <c r="T2436">
        <v>4</v>
      </c>
      <c r="U2436" t="s">
        <v>56</v>
      </c>
      <c r="V2436" t="s">
        <v>56</v>
      </c>
    </row>
    <row r="2437" spans="1:22" x14ac:dyDescent="0.3">
      <c r="A2437" s="49">
        <v>45273</v>
      </c>
      <c r="E2437" t="s">
        <v>3239</v>
      </c>
      <c r="G2437" t="s">
        <v>5348</v>
      </c>
      <c r="H2437" t="s">
        <v>28</v>
      </c>
      <c r="I2437" t="s">
        <v>5952</v>
      </c>
      <c r="J2437" t="s">
        <v>46</v>
      </c>
      <c r="K2437" t="s">
        <v>422</v>
      </c>
      <c r="M2437">
        <v>50</v>
      </c>
      <c r="N2437" t="s">
        <v>49</v>
      </c>
      <c r="O2437" t="s">
        <v>4495</v>
      </c>
      <c r="P2437" t="s">
        <v>691</v>
      </c>
      <c r="T2437">
        <v>6</v>
      </c>
      <c r="U2437" t="s">
        <v>40</v>
      </c>
      <c r="V2437" t="s">
        <v>41</v>
      </c>
    </row>
    <row r="2438" spans="1:22" x14ac:dyDescent="0.3">
      <c r="A2438" s="49">
        <v>45273</v>
      </c>
      <c r="E2438" t="s">
        <v>3239</v>
      </c>
      <c r="G2438" t="s">
        <v>5348</v>
      </c>
      <c r="H2438" t="s">
        <v>28</v>
      </c>
      <c r="I2438" t="s">
        <v>5952</v>
      </c>
      <c r="J2438" t="s">
        <v>46</v>
      </c>
      <c r="K2438" t="s">
        <v>422</v>
      </c>
      <c r="M2438">
        <v>50</v>
      </c>
      <c r="N2438" t="s">
        <v>49</v>
      </c>
      <c r="O2438" t="s">
        <v>4495</v>
      </c>
      <c r="P2438" t="s">
        <v>691</v>
      </c>
      <c r="T2438">
        <v>6</v>
      </c>
      <c r="U2438" t="s">
        <v>40</v>
      </c>
      <c r="V2438" t="s">
        <v>41</v>
      </c>
    </row>
    <row r="2439" spans="1:22" x14ac:dyDescent="0.3">
      <c r="A2439" s="49">
        <v>45273</v>
      </c>
      <c r="E2439" t="s">
        <v>3139</v>
      </c>
      <c r="G2439" t="s">
        <v>5249</v>
      </c>
      <c r="H2439" t="s">
        <v>28</v>
      </c>
      <c r="I2439" t="s">
        <v>5789</v>
      </c>
      <c r="J2439" t="s">
        <v>63</v>
      </c>
      <c r="K2439" t="s">
        <v>64</v>
      </c>
      <c r="M2439">
        <v>100</v>
      </c>
      <c r="N2439" t="s">
        <v>49</v>
      </c>
      <c r="O2439" t="s">
        <v>4496</v>
      </c>
      <c r="P2439" t="s">
        <v>66</v>
      </c>
      <c r="T2439">
        <v>4</v>
      </c>
      <c r="U2439" t="s">
        <v>56</v>
      </c>
      <c r="V2439" t="s">
        <v>56</v>
      </c>
    </row>
    <row r="2440" spans="1:22" x14ac:dyDescent="0.3">
      <c r="A2440" s="49">
        <v>45273</v>
      </c>
      <c r="E2440" t="s">
        <v>3139</v>
      </c>
      <c r="G2440" t="s">
        <v>5132</v>
      </c>
      <c r="H2440" t="s">
        <v>28</v>
      </c>
      <c r="I2440" t="s">
        <v>5601</v>
      </c>
      <c r="J2440" t="s">
        <v>63</v>
      </c>
      <c r="K2440" t="s">
        <v>211</v>
      </c>
      <c r="M2440">
        <v>100</v>
      </c>
      <c r="N2440" t="s">
        <v>49</v>
      </c>
      <c r="O2440" t="s">
        <v>4497</v>
      </c>
      <c r="P2440" t="s">
        <v>170</v>
      </c>
      <c r="T2440">
        <v>4</v>
      </c>
      <c r="U2440" t="s">
        <v>56</v>
      </c>
      <c r="V2440" t="s">
        <v>56</v>
      </c>
    </row>
    <row r="2441" spans="1:22" x14ac:dyDescent="0.3">
      <c r="A2441" s="49">
        <v>45273</v>
      </c>
      <c r="E2441" t="s">
        <v>3139</v>
      </c>
      <c r="G2441" t="s">
        <v>5132</v>
      </c>
      <c r="H2441" t="s">
        <v>28</v>
      </c>
      <c r="I2441" t="s">
        <v>5601</v>
      </c>
      <c r="J2441" t="s">
        <v>63</v>
      </c>
      <c r="K2441" t="s">
        <v>211</v>
      </c>
      <c r="M2441">
        <v>100</v>
      </c>
      <c r="N2441" t="s">
        <v>49</v>
      </c>
      <c r="O2441" t="s">
        <v>4498</v>
      </c>
      <c r="P2441" t="s">
        <v>170</v>
      </c>
      <c r="T2441">
        <v>4</v>
      </c>
      <c r="U2441" t="s">
        <v>56</v>
      </c>
      <c r="V2441" t="s">
        <v>56</v>
      </c>
    </row>
    <row r="2442" spans="1:22" x14ac:dyDescent="0.3">
      <c r="A2442" s="49">
        <v>45273</v>
      </c>
      <c r="E2442" t="s">
        <v>3139</v>
      </c>
      <c r="G2442" t="s">
        <v>5132</v>
      </c>
      <c r="H2442" t="s">
        <v>28</v>
      </c>
      <c r="I2442" t="s">
        <v>5601</v>
      </c>
      <c r="J2442" t="s">
        <v>63</v>
      </c>
      <c r="K2442" t="s">
        <v>211</v>
      </c>
      <c r="M2442">
        <v>100</v>
      </c>
      <c r="N2442" t="s">
        <v>49</v>
      </c>
      <c r="O2442" t="s">
        <v>4499</v>
      </c>
      <c r="P2442" t="s">
        <v>344</v>
      </c>
      <c r="T2442">
        <v>4</v>
      </c>
      <c r="U2442" t="s">
        <v>56</v>
      </c>
      <c r="V2442" t="s">
        <v>56</v>
      </c>
    </row>
    <row r="2443" spans="1:22" x14ac:dyDescent="0.3">
      <c r="A2443" s="49">
        <v>45273</v>
      </c>
      <c r="E2443" t="s">
        <v>3139</v>
      </c>
      <c r="G2443" t="s">
        <v>5349</v>
      </c>
      <c r="H2443" t="s">
        <v>28</v>
      </c>
      <c r="I2443" t="s">
        <v>2387</v>
      </c>
      <c r="J2443" t="s">
        <v>63</v>
      </c>
      <c r="K2443" t="s">
        <v>64</v>
      </c>
      <c r="M2443">
        <v>100</v>
      </c>
      <c r="N2443" t="s">
        <v>49</v>
      </c>
      <c r="O2443" t="s">
        <v>4500</v>
      </c>
      <c r="P2443" t="s">
        <v>170</v>
      </c>
      <c r="T2443">
        <v>4</v>
      </c>
      <c r="U2443" t="s">
        <v>56</v>
      </c>
      <c r="V2443" t="s">
        <v>56</v>
      </c>
    </row>
    <row r="2444" spans="1:22" x14ac:dyDescent="0.3">
      <c r="A2444" s="49">
        <v>45273</v>
      </c>
      <c r="E2444" t="s">
        <v>3139</v>
      </c>
      <c r="G2444" t="s">
        <v>5133</v>
      </c>
      <c r="H2444" t="s">
        <v>89</v>
      </c>
      <c r="J2444" t="s">
        <v>63</v>
      </c>
      <c r="K2444" t="s">
        <v>64</v>
      </c>
      <c r="M2444">
        <v>100</v>
      </c>
      <c r="N2444" t="s">
        <v>49</v>
      </c>
      <c r="O2444" t="s">
        <v>4501</v>
      </c>
      <c r="P2444" t="s">
        <v>373</v>
      </c>
      <c r="T2444">
        <v>4</v>
      </c>
      <c r="U2444" t="s">
        <v>56</v>
      </c>
      <c r="V2444" t="s">
        <v>56</v>
      </c>
    </row>
    <row r="2445" spans="1:22" x14ac:dyDescent="0.3">
      <c r="A2445" s="49">
        <v>45273</v>
      </c>
      <c r="E2445" t="s">
        <v>3139</v>
      </c>
      <c r="G2445" t="s">
        <v>5133</v>
      </c>
      <c r="H2445" t="s">
        <v>89</v>
      </c>
      <c r="J2445" t="s">
        <v>63</v>
      </c>
      <c r="K2445" t="s">
        <v>64</v>
      </c>
      <c r="M2445">
        <v>100</v>
      </c>
      <c r="N2445" t="s">
        <v>49</v>
      </c>
      <c r="O2445" t="s">
        <v>4502</v>
      </c>
      <c r="P2445" t="s">
        <v>1697</v>
      </c>
      <c r="T2445">
        <v>4</v>
      </c>
      <c r="U2445" t="s">
        <v>56</v>
      </c>
      <c r="V2445" t="s">
        <v>56</v>
      </c>
    </row>
    <row r="2446" spans="1:22" x14ac:dyDescent="0.3">
      <c r="A2446" s="49">
        <v>45273</v>
      </c>
      <c r="E2446" t="s">
        <v>3139</v>
      </c>
      <c r="G2446" t="s">
        <v>5133</v>
      </c>
      <c r="H2446" t="s">
        <v>89</v>
      </c>
      <c r="J2446" t="s">
        <v>63</v>
      </c>
      <c r="K2446" t="s">
        <v>64</v>
      </c>
      <c r="M2446">
        <v>100</v>
      </c>
      <c r="N2446" t="s">
        <v>49</v>
      </c>
      <c r="O2446" t="s">
        <v>4501</v>
      </c>
      <c r="P2446" t="s">
        <v>373</v>
      </c>
      <c r="T2446">
        <v>4</v>
      </c>
      <c r="U2446" t="s">
        <v>56</v>
      </c>
      <c r="V2446" t="s">
        <v>56</v>
      </c>
    </row>
    <row r="2447" spans="1:22" x14ac:dyDescent="0.3">
      <c r="A2447" s="49">
        <v>45273</v>
      </c>
      <c r="E2447" t="s">
        <v>3139</v>
      </c>
      <c r="G2447" t="s">
        <v>5056</v>
      </c>
      <c r="H2447" t="s">
        <v>89</v>
      </c>
      <c r="J2447" t="s">
        <v>63</v>
      </c>
      <c r="K2447" t="s">
        <v>64</v>
      </c>
      <c r="M2447">
        <v>100</v>
      </c>
      <c r="N2447" t="s">
        <v>49</v>
      </c>
      <c r="O2447" t="s">
        <v>4503</v>
      </c>
      <c r="P2447" t="s">
        <v>306</v>
      </c>
      <c r="T2447">
        <v>4</v>
      </c>
      <c r="U2447" t="s">
        <v>56</v>
      </c>
      <c r="V2447" t="s">
        <v>56</v>
      </c>
    </row>
    <row r="2448" spans="1:22" x14ac:dyDescent="0.3">
      <c r="A2448" s="49">
        <v>45273</v>
      </c>
      <c r="E2448" t="s">
        <v>3139</v>
      </c>
      <c r="G2448" t="s">
        <v>5056</v>
      </c>
      <c r="H2448" t="s">
        <v>28</v>
      </c>
      <c r="I2448" t="s">
        <v>5953</v>
      </c>
      <c r="J2448" t="s">
        <v>63</v>
      </c>
      <c r="K2448" t="s">
        <v>64</v>
      </c>
      <c r="M2448">
        <v>100</v>
      </c>
      <c r="N2448" t="s">
        <v>33</v>
      </c>
      <c r="O2448" t="s">
        <v>4504</v>
      </c>
      <c r="P2448" t="s">
        <v>287</v>
      </c>
      <c r="T2448">
        <v>4</v>
      </c>
      <c r="U2448" t="s">
        <v>56</v>
      </c>
      <c r="V2448" t="s">
        <v>56</v>
      </c>
    </row>
    <row r="2449" spans="1:22" x14ac:dyDescent="0.3">
      <c r="A2449" s="49">
        <v>45273</v>
      </c>
      <c r="E2449" t="s">
        <v>3139</v>
      </c>
      <c r="G2449" t="s">
        <v>5056</v>
      </c>
      <c r="H2449" t="s">
        <v>28</v>
      </c>
      <c r="I2449" t="s">
        <v>5953</v>
      </c>
      <c r="J2449" t="s">
        <v>63</v>
      </c>
      <c r="K2449" t="s">
        <v>64</v>
      </c>
      <c r="M2449">
        <v>100</v>
      </c>
      <c r="N2449" t="s">
        <v>74</v>
      </c>
      <c r="O2449" t="s">
        <v>4504</v>
      </c>
      <c r="P2449" t="s">
        <v>287</v>
      </c>
      <c r="T2449">
        <v>4</v>
      </c>
      <c r="U2449" t="s">
        <v>56</v>
      </c>
      <c r="V2449" t="s">
        <v>56</v>
      </c>
    </row>
    <row r="2450" spans="1:22" x14ac:dyDescent="0.3">
      <c r="A2450" s="49">
        <v>45273</v>
      </c>
      <c r="E2450" t="s">
        <v>3139</v>
      </c>
      <c r="G2450" t="s">
        <v>5130</v>
      </c>
      <c r="H2450" t="s">
        <v>28</v>
      </c>
      <c r="I2450" t="s">
        <v>5597</v>
      </c>
      <c r="J2450" t="s">
        <v>63</v>
      </c>
      <c r="K2450" t="s">
        <v>64</v>
      </c>
      <c r="M2450">
        <v>100</v>
      </c>
      <c r="N2450" t="s">
        <v>49</v>
      </c>
      <c r="O2450" t="s">
        <v>3618</v>
      </c>
      <c r="P2450" t="s">
        <v>170</v>
      </c>
      <c r="T2450">
        <v>4</v>
      </c>
      <c r="U2450" t="s">
        <v>56</v>
      </c>
      <c r="V2450" t="s">
        <v>56</v>
      </c>
    </row>
    <row r="2451" spans="1:22" x14ac:dyDescent="0.3">
      <c r="A2451" s="49">
        <v>45273</v>
      </c>
      <c r="E2451" t="s">
        <v>3139</v>
      </c>
      <c r="G2451" t="s">
        <v>5130</v>
      </c>
      <c r="H2451" t="s">
        <v>28</v>
      </c>
      <c r="I2451" t="s">
        <v>5597</v>
      </c>
      <c r="J2451" t="s">
        <v>63</v>
      </c>
      <c r="K2451" t="s">
        <v>64</v>
      </c>
      <c r="M2451">
        <v>100</v>
      </c>
      <c r="N2451" t="s">
        <v>49</v>
      </c>
      <c r="O2451" t="s">
        <v>3618</v>
      </c>
      <c r="P2451" t="s">
        <v>170</v>
      </c>
      <c r="T2451">
        <v>4</v>
      </c>
      <c r="U2451" t="s">
        <v>56</v>
      </c>
      <c r="V2451" t="s">
        <v>56</v>
      </c>
    </row>
    <row r="2452" spans="1:22" x14ac:dyDescent="0.3">
      <c r="A2452" s="49">
        <v>45273</v>
      </c>
      <c r="E2452" t="s">
        <v>3139</v>
      </c>
      <c r="G2452" t="s">
        <v>5130</v>
      </c>
      <c r="H2452" t="s">
        <v>28</v>
      </c>
      <c r="I2452" t="s">
        <v>5597</v>
      </c>
      <c r="J2452" t="s">
        <v>63</v>
      </c>
      <c r="K2452" t="s">
        <v>64</v>
      </c>
      <c r="M2452">
        <v>100</v>
      </c>
      <c r="N2452" t="s">
        <v>33</v>
      </c>
      <c r="O2452" t="s">
        <v>4505</v>
      </c>
      <c r="P2452" t="s">
        <v>170</v>
      </c>
      <c r="T2452">
        <v>4</v>
      </c>
      <c r="U2452" t="s">
        <v>56</v>
      </c>
      <c r="V2452" t="s">
        <v>56</v>
      </c>
    </row>
    <row r="2453" spans="1:22" x14ac:dyDescent="0.3">
      <c r="A2453" s="49">
        <v>45273</v>
      </c>
      <c r="E2453" t="s">
        <v>3139</v>
      </c>
      <c r="G2453" t="s">
        <v>5130</v>
      </c>
      <c r="H2453" t="s">
        <v>28</v>
      </c>
      <c r="I2453" t="s">
        <v>5597</v>
      </c>
      <c r="J2453" t="s">
        <v>63</v>
      </c>
      <c r="K2453" t="s">
        <v>64</v>
      </c>
      <c r="M2453">
        <v>100</v>
      </c>
      <c r="N2453" t="s">
        <v>33</v>
      </c>
      <c r="O2453" t="s">
        <v>4505</v>
      </c>
      <c r="P2453" t="s">
        <v>170</v>
      </c>
      <c r="T2453">
        <v>4</v>
      </c>
      <c r="U2453" t="s">
        <v>56</v>
      </c>
      <c r="V2453" t="s">
        <v>56</v>
      </c>
    </row>
    <row r="2454" spans="1:22" x14ac:dyDescent="0.3">
      <c r="A2454" s="49">
        <v>45273</v>
      </c>
      <c r="E2454" t="s">
        <v>3139</v>
      </c>
      <c r="G2454" t="s">
        <v>5056</v>
      </c>
      <c r="H2454" t="s">
        <v>28</v>
      </c>
      <c r="I2454" t="s">
        <v>5787</v>
      </c>
      <c r="J2454" t="s">
        <v>63</v>
      </c>
      <c r="K2454" t="s">
        <v>64</v>
      </c>
      <c r="M2454">
        <v>100</v>
      </c>
      <c r="N2454" t="s">
        <v>49</v>
      </c>
      <c r="O2454" t="s">
        <v>4011</v>
      </c>
      <c r="P2454" t="s">
        <v>4832</v>
      </c>
      <c r="T2454">
        <v>4</v>
      </c>
      <c r="U2454" t="s">
        <v>56</v>
      </c>
      <c r="V2454" t="s">
        <v>56</v>
      </c>
    </row>
    <row r="2455" spans="1:22" x14ac:dyDescent="0.3">
      <c r="A2455" s="49">
        <v>45273</v>
      </c>
      <c r="E2455" t="s">
        <v>3171</v>
      </c>
      <c r="G2455" t="s">
        <v>5057</v>
      </c>
      <c r="H2455" t="s">
        <v>28</v>
      </c>
      <c r="I2455" t="s">
        <v>720</v>
      </c>
      <c r="J2455" t="s">
        <v>63</v>
      </c>
      <c r="K2455" t="s">
        <v>64</v>
      </c>
      <c r="M2455">
        <v>100</v>
      </c>
      <c r="N2455" t="s">
        <v>49</v>
      </c>
      <c r="O2455" t="s">
        <v>4506</v>
      </c>
      <c r="P2455" t="s">
        <v>668</v>
      </c>
      <c r="T2455">
        <v>4</v>
      </c>
      <c r="U2455" t="s">
        <v>56</v>
      </c>
      <c r="V2455" t="s">
        <v>56</v>
      </c>
    </row>
    <row r="2456" spans="1:22" x14ac:dyDescent="0.3">
      <c r="A2456" s="49">
        <v>45273</v>
      </c>
      <c r="E2456" t="s">
        <v>3172</v>
      </c>
      <c r="G2456" t="s">
        <v>5350</v>
      </c>
      <c r="H2456" t="s">
        <v>28</v>
      </c>
      <c r="I2456" t="s">
        <v>713</v>
      </c>
      <c r="J2456" t="s">
        <v>63</v>
      </c>
      <c r="K2456" t="s">
        <v>64</v>
      </c>
      <c r="M2456">
        <v>80</v>
      </c>
      <c r="N2456" t="s">
        <v>33</v>
      </c>
      <c r="O2456" t="s">
        <v>4507</v>
      </c>
      <c r="P2456" t="s">
        <v>66</v>
      </c>
      <c r="T2456">
        <v>4</v>
      </c>
      <c r="U2456" t="s">
        <v>56</v>
      </c>
      <c r="V2456" t="s">
        <v>56</v>
      </c>
    </row>
    <row r="2457" spans="1:22" x14ac:dyDescent="0.3">
      <c r="A2457" s="49">
        <v>45273</v>
      </c>
      <c r="E2457" t="s">
        <v>3200</v>
      </c>
      <c r="G2457" t="s">
        <v>5138</v>
      </c>
      <c r="H2457" t="s">
        <v>28</v>
      </c>
      <c r="I2457" t="s">
        <v>5794</v>
      </c>
      <c r="J2457" t="s">
        <v>63</v>
      </c>
      <c r="K2457" t="s">
        <v>197</v>
      </c>
      <c r="M2457">
        <v>47</v>
      </c>
      <c r="N2457" t="s">
        <v>33</v>
      </c>
      <c r="O2457" t="s">
        <v>3474</v>
      </c>
      <c r="P2457" t="s">
        <v>1786</v>
      </c>
      <c r="T2457">
        <v>6</v>
      </c>
      <c r="U2457" t="s">
        <v>40</v>
      </c>
      <c r="V2457" t="s">
        <v>41</v>
      </c>
    </row>
    <row r="2458" spans="1:22" x14ac:dyDescent="0.3">
      <c r="A2458" s="49">
        <v>45273</v>
      </c>
      <c r="E2458" t="s">
        <v>3173</v>
      </c>
      <c r="G2458" t="s">
        <v>5351</v>
      </c>
      <c r="H2458" t="s">
        <v>28</v>
      </c>
      <c r="I2458" t="s">
        <v>5954</v>
      </c>
      <c r="J2458" t="s">
        <v>63</v>
      </c>
      <c r="K2458" t="s">
        <v>4939</v>
      </c>
      <c r="M2458">
        <v>100</v>
      </c>
      <c r="N2458" t="s">
        <v>33</v>
      </c>
      <c r="O2458" t="s">
        <v>4508</v>
      </c>
      <c r="P2458" t="s">
        <v>85</v>
      </c>
      <c r="T2458">
        <v>6</v>
      </c>
      <c r="U2458" t="s">
        <v>40</v>
      </c>
      <c r="V2458" t="s">
        <v>41</v>
      </c>
    </row>
    <row r="2459" spans="1:22" x14ac:dyDescent="0.3">
      <c r="A2459" s="49">
        <v>45273</v>
      </c>
      <c r="E2459" t="s">
        <v>3111</v>
      </c>
      <c r="G2459" t="s">
        <v>5352</v>
      </c>
      <c r="H2459" t="s">
        <v>28</v>
      </c>
      <c r="I2459" t="s">
        <v>5955</v>
      </c>
      <c r="J2459" t="s">
        <v>46</v>
      </c>
      <c r="K2459" t="s">
        <v>481</v>
      </c>
      <c r="M2459">
        <v>25</v>
      </c>
      <c r="N2459" t="s">
        <v>49</v>
      </c>
      <c r="O2459" t="s">
        <v>4509</v>
      </c>
      <c r="P2459" t="s">
        <v>1122</v>
      </c>
      <c r="T2459">
        <v>4</v>
      </c>
      <c r="U2459" t="s">
        <v>56</v>
      </c>
      <c r="V2459" t="s">
        <v>56</v>
      </c>
    </row>
    <row r="2460" spans="1:22" x14ac:dyDescent="0.3">
      <c r="A2460" s="49">
        <v>45273</v>
      </c>
      <c r="E2460" t="s">
        <v>3240</v>
      </c>
      <c r="G2460" t="s">
        <v>5353</v>
      </c>
      <c r="H2460" t="s">
        <v>28</v>
      </c>
      <c r="I2460" t="s">
        <v>5956</v>
      </c>
      <c r="J2460" t="s">
        <v>63</v>
      </c>
      <c r="K2460" t="s">
        <v>64</v>
      </c>
      <c r="M2460">
        <v>17</v>
      </c>
      <c r="N2460" t="s">
        <v>49</v>
      </c>
      <c r="O2460" t="s">
        <v>4510</v>
      </c>
      <c r="P2460" t="s">
        <v>1508</v>
      </c>
      <c r="T2460">
        <v>6</v>
      </c>
      <c r="U2460" t="s">
        <v>40</v>
      </c>
      <c r="V2460" t="s">
        <v>41</v>
      </c>
    </row>
    <row r="2461" spans="1:22" x14ac:dyDescent="0.3">
      <c r="A2461" s="49">
        <v>45273</v>
      </c>
      <c r="E2461" t="s">
        <v>3140</v>
      </c>
      <c r="G2461" t="s">
        <v>864</v>
      </c>
      <c r="H2461" t="s">
        <v>28</v>
      </c>
      <c r="I2461" t="s">
        <v>5957</v>
      </c>
      <c r="J2461" t="s">
        <v>63</v>
      </c>
      <c r="K2461" t="s">
        <v>4952</v>
      </c>
      <c r="M2461">
        <v>80</v>
      </c>
      <c r="N2461" t="s">
        <v>49</v>
      </c>
      <c r="O2461" t="s">
        <v>4511</v>
      </c>
      <c r="P2461" t="s">
        <v>1878</v>
      </c>
      <c r="S2461" t="s">
        <v>6331</v>
      </c>
      <c r="T2461">
        <v>5</v>
      </c>
      <c r="U2461" t="s">
        <v>40</v>
      </c>
      <c r="V2461" t="s">
        <v>41</v>
      </c>
    </row>
    <row r="2462" spans="1:22" x14ac:dyDescent="0.3">
      <c r="A2462" s="49">
        <v>45273</v>
      </c>
      <c r="E2462" t="s">
        <v>3140</v>
      </c>
      <c r="G2462" t="s">
        <v>864</v>
      </c>
      <c r="H2462" t="s">
        <v>28</v>
      </c>
      <c r="I2462" t="s">
        <v>5958</v>
      </c>
      <c r="J2462" t="s">
        <v>63</v>
      </c>
      <c r="K2462" t="s">
        <v>4952</v>
      </c>
      <c r="M2462">
        <v>71</v>
      </c>
      <c r="N2462" t="s">
        <v>33</v>
      </c>
      <c r="O2462" t="s">
        <v>4512</v>
      </c>
      <c r="P2462" t="s">
        <v>4834</v>
      </c>
      <c r="S2462" t="s">
        <v>6332</v>
      </c>
      <c r="T2462">
        <v>4</v>
      </c>
      <c r="U2462" t="s">
        <v>56</v>
      </c>
      <c r="V2462" t="s">
        <v>56</v>
      </c>
    </row>
    <row r="2463" spans="1:22" x14ac:dyDescent="0.3">
      <c r="A2463" s="49">
        <v>45273</v>
      </c>
      <c r="E2463" t="s">
        <v>3140</v>
      </c>
      <c r="G2463" t="s">
        <v>864</v>
      </c>
      <c r="H2463" t="s">
        <v>28</v>
      </c>
      <c r="I2463" t="s">
        <v>5958</v>
      </c>
      <c r="J2463" t="s">
        <v>63</v>
      </c>
      <c r="K2463" t="s">
        <v>4940</v>
      </c>
      <c r="M2463">
        <v>17</v>
      </c>
      <c r="N2463" t="s">
        <v>33</v>
      </c>
      <c r="O2463" t="s">
        <v>4513</v>
      </c>
      <c r="P2463" t="s">
        <v>829</v>
      </c>
      <c r="S2463" t="s">
        <v>6332</v>
      </c>
      <c r="T2463">
        <v>4</v>
      </c>
      <c r="U2463" t="s">
        <v>56</v>
      </c>
      <c r="V2463" t="s">
        <v>56</v>
      </c>
    </row>
    <row r="2464" spans="1:22" x14ac:dyDescent="0.3">
      <c r="A2464" s="49">
        <v>45273</v>
      </c>
      <c r="E2464" t="s">
        <v>3140</v>
      </c>
      <c r="G2464" t="s">
        <v>864</v>
      </c>
      <c r="H2464" t="s">
        <v>28</v>
      </c>
      <c r="I2464" t="s">
        <v>5958</v>
      </c>
      <c r="J2464" t="s">
        <v>63</v>
      </c>
      <c r="K2464" t="s">
        <v>4940</v>
      </c>
      <c r="M2464">
        <v>100</v>
      </c>
      <c r="N2464" t="s">
        <v>49</v>
      </c>
      <c r="O2464" t="s">
        <v>4514</v>
      </c>
      <c r="P2464" t="s">
        <v>381</v>
      </c>
      <c r="S2464" t="s">
        <v>6332</v>
      </c>
      <c r="T2464">
        <v>4</v>
      </c>
      <c r="U2464" t="s">
        <v>56</v>
      </c>
      <c r="V2464" t="s">
        <v>56</v>
      </c>
    </row>
    <row r="2465" spans="1:22" x14ac:dyDescent="0.3">
      <c r="A2465" s="49">
        <v>45273</v>
      </c>
      <c r="E2465" t="s">
        <v>3140</v>
      </c>
      <c r="G2465" t="s">
        <v>5255</v>
      </c>
      <c r="H2465" t="s">
        <v>28</v>
      </c>
      <c r="I2465" t="s">
        <v>5440</v>
      </c>
      <c r="J2465" t="s">
        <v>46</v>
      </c>
      <c r="K2465" t="s">
        <v>481</v>
      </c>
      <c r="M2465">
        <v>100</v>
      </c>
      <c r="N2465" t="s">
        <v>49</v>
      </c>
      <c r="O2465" t="s">
        <v>4515</v>
      </c>
      <c r="P2465" t="s">
        <v>4915</v>
      </c>
      <c r="T2465">
        <v>4</v>
      </c>
      <c r="U2465" t="s">
        <v>56</v>
      </c>
      <c r="V2465" t="s">
        <v>56</v>
      </c>
    </row>
    <row r="2466" spans="1:22" x14ac:dyDescent="0.3">
      <c r="A2466" s="49">
        <v>45273</v>
      </c>
      <c r="E2466" t="s">
        <v>3140</v>
      </c>
      <c r="G2466" t="s">
        <v>5090</v>
      </c>
      <c r="H2466" t="s">
        <v>28</v>
      </c>
      <c r="I2466" t="s">
        <v>5536</v>
      </c>
      <c r="J2466" t="s">
        <v>63</v>
      </c>
      <c r="K2466" t="s">
        <v>64</v>
      </c>
      <c r="M2466">
        <v>100</v>
      </c>
      <c r="N2466" t="s">
        <v>49</v>
      </c>
      <c r="O2466" t="s">
        <v>3519</v>
      </c>
      <c r="P2466" t="s">
        <v>66</v>
      </c>
      <c r="T2466">
        <v>4</v>
      </c>
      <c r="U2466" t="s">
        <v>56</v>
      </c>
      <c r="V2466" t="s">
        <v>56</v>
      </c>
    </row>
    <row r="2467" spans="1:22" x14ac:dyDescent="0.3">
      <c r="A2467" s="49">
        <v>45273</v>
      </c>
      <c r="E2467" t="s">
        <v>3140</v>
      </c>
      <c r="G2467" t="s">
        <v>5090</v>
      </c>
      <c r="H2467" t="s">
        <v>28</v>
      </c>
      <c r="I2467" t="s">
        <v>5536</v>
      </c>
      <c r="J2467" t="s">
        <v>63</v>
      </c>
      <c r="K2467" t="s">
        <v>64</v>
      </c>
      <c r="M2467">
        <v>100</v>
      </c>
      <c r="N2467" t="s">
        <v>49</v>
      </c>
      <c r="O2467" t="s">
        <v>3519</v>
      </c>
      <c r="P2467" t="s">
        <v>66</v>
      </c>
      <c r="T2467">
        <v>4</v>
      </c>
      <c r="U2467" t="s">
        <v>56</v>
      </c>
      <c r="V2467" t="s">
        <v>56</v>
      </c>
    </row>
    <row r="2468" spans="1:22" x14ac:dyDescent="0.3">
      <c r="A2468" s="49">
        <v>45273</v>
      </c>
      <c r="E2468" t="s">
        <v>3140</v>
      </c>
      <c r="G2468" t="s">
        <v>5090</v>
      </c>
      <c r="H2468" t="s">
        <v>28</v>
      </c>
      <c r="I2468" t="s">
        <v>5536</v>
      </c>
      <c r="J2468" t="s">
        <v>63</v>
      </c>
      <c r="K2468" t="s">
        <v>64</v>
      </c>
      <c r="M2468">
        <v>100</v>
      </c>
      <c r="N2468" t="s">
        <v>49</v>
      </c>
      <c r="O2468" t="s">
        <v>3519</v>
      </c>
      <c r="P2468" t="s">
        <v>66</v>
      </c>
      <c r="T2468">
        <v>4</v>
      </c>
      <c r="U2468" t="s">
        <v>56</v>
      </c>
      <c r="V2468" t="s">
        <v>56</v>
      </c>
    </row>
    <row r="2469" spans="1:22" x14ac:dyDescent="0.3">
      <c r="A2469" s="49">
        <v>45273</v>
      </c>
      <c r="E2469" t="s">
        <v>3140</v>
      </c>
      <c r="G2469" t="s">
        <v>5090</v>
      </c>
      <c r="H2469" t="s">
        <v>28</v>
      </c>
      <c r="I2469" t="s">
        <v>5536</v>
      </c>
      <c r="J2469" t="s">
        <v>63</v>
      </c>
      <c r="K2469" t="s">
        <v>64</v>
      </c>
      <c r="M2469">
        <v>100</v>
      </c>
      <c r="N2469" t="s">
        <v>49</v>
      </c>
      <c r="O2469" t="s">
        <v>3519</v>
      </c>
      <c r="P2469" t="s">
        <v>66</v>
      </c>
      <c r="T2469">
        <v>4</v>
      </c>
      <c r="U2469" t="s">
        <v>56</v>
      </c>
      <c r="V2469" t="s">
        <v>56</v>
      </c>
    </row>
    <row r="2470" spans="1:22" x14ac:dyDescent="0.3">
      <c r="A2470" s="49">
        <v>45273</v>
      </c>
      <c r="E2470" t="s">
        <v>3140</v>
      </c>
      <c r="G2470" t="s">
        <v>5090</v>
      </c>
      <c r="H2470" t="s">
        <v>28</v>
      </c>
      <c r="I2470" t="s">
        <v>5536</v>
      </c>
      <c r="J2470" t="s">
        <v>63</v>
      </c>
      <c r="K2470" t="s">
        <v>64</v>
      </c>
      <c r="M2470">
        <v>100</v>
      </c>
      <c r="N2470" t="s">
        <v>49</v>
      </c>
      <c r="O2470" t="s">
        <v>3519</v>
      </c>
      <c r="P2470" t="s">
        <v>66</v>
      </c>
      <c r="T2470">
        <v>4</v>
      </c>
      <c r="U2470" t="s">
        <v>56</v>
      </c>
      <c r="V2470" t="s">
        <v>56</v>
      </c>
    </row>
    <row r="2471" spans="1:22" x14ac:dyDescent="0.3">
      <c r="A2471" s="49">
        <v>45273</v>
      </c>
      <c r="E2471" t="s">
        <v>3140</v>
      </c>
      <c r="G2471" t="s">
        <v>5255</v>
      </c>
      <c r="H2471" t="s">
        <v>28</v>
      </c>
      <c r="I2471" t="s">
        <v>5959</v>
      </c>
      <c r="J2471" t="s">
        <v>1712</v>
      </c>
      <c r="K2471" t="s">
        <v>481</v>
      </c>
      <c r="M2471">
        <v>100</v>
      </c>
      <c r="N2471" t="s">
        <v>49</v>
      </c>
      <c r="O2471" t="s">
        <v>4516</v>
      </c>
      <c r="P2471" t="s">
        <v>100</v>
      </c>
      <c r="T2471">
        <v>4</v>
      </c>
      <c r="U2471" t="s">
        <v>56</v>
      </c>
      <c r="V2471" t="s">
        <v>56</v>
      </c>
    </row>
    <row r="2472" spans="1:22" x14ac:dyDescent="0.3">
      <c r="A2472" s="49">
        <v>45273</v>
      </c>
      <c r="E2472" t="s">
        <v>3140</v>
      </c>
      <c r="G2472" t="s">
        <v>5255</v>
      </c>
      <c r="H2472" t="s">
        <v>28</v>
      </c>
      <c r="I2472" t="s">
        <v>5959</v>
      </c>
      <c r="J2472" t="s">
        <v>1712</v>
      </c>
      <c r="K2472" t="s">
        <v>481</v>
      </c>
      <c r="M2472">
        <v>100</v>
      </c>
      <c r="N2472" t="s">
        <v>49</v>
      </c>
      <c r="O2472" t="s">
        <v>4517</v>
      </c>
      <c r="P2472" t="s">
        <v>743</v>
      </c>
      <c r="T2472">
        <v>4</v>
      </c>
      <c r="U2472" t="s">
        <v>56</v>
      </c>
      <c r="V2472" t="s">
        <v>56</v>
      </c>
    </row>
    <row r="2473" spans="1:22" x14ac:dyDescent="0.3">
      <c r="A2473" s="49">
        <v>45273</v>
      </c>
      <c r="E2473" t="s">
        <v>3140</v>
      </c>
      <c r="G2473" t="s">
        <v>5255</v>
      </c>
      <c r="H2473" t="s">
        <v>28</v>
      </c>
      <c r="I2473" t="s">
        <v>5959</v>
      </c>
      <c r="J2473" t="s">
        <v>1712</v>
      </c>
      <c r="K2473" t="s">
        <v>481</v>
      </c>
      <c r="M2473">
        <v>100</v>
      </c>
      <c r="N2473" t="s">
        <v>49</v>
      </c>
      <c r="O2473" t="s">
        <v>4517</v>
      </c>
      <c r="P2473" t="s">
        <v>743</v>
      </c>
      <c r="T2473">
        <v>4</v>
      </c>
      <c r="U2473" t="s">
        <v>56</v>
      </c>
      <c r="V2473" t="s">
        <v>56</v>
      </c>
    </row>
    <row r="2474" spans="1:22" x14ac:dyDescent="0.3">
      <c r="A2474" s="49">
        <v>45273</v>
      </c>
      <c r="E2474" t="s">
        <v>3140</v>
      </c>
      <c r="G2474" t="s">
        <v>5255</v>
      </c>
      <c r="H2474" t="s">
        <v>28</v>
      </c>
      <c r="I2474" t="s">
        <v>5959</v>
      </c>
      <c r="J2474" t="s">
        <v>1712</v>
      </c>
      <c r="K2474" t="s">
        <v>481</v>
      </c>
      <c r="M2474">
        <v>100</v>
      </c>
      <c r="N2474" t="s">
        <v>49</v>
      </c>
      <c r="O2474" t="s">
        <v>4516</v>
      </c>
      <c r="P2474" t="s">
        <v>100</v>
      </c>
      <c r="T2474">
        <v>4</v>
      </c>
      <c r="U2474" t="s">
        <v>56</v>
      </c>
      <c r="V2474" t="s">
        <v>56</v>
      </c>
    </row>
    <row r="2475" spans="1:22" x14ac:dyDescent="0.3">
      <c r="A2475" s="49">
        <v>45273</v>
      </c>
      <c r="E2475" t="s">
        <v>3140</v>
      </c>
      <c r="G2475" t="s">
        <v>5255</v>
      </c>
      <c r="H2475" t="s">
        <v>28</v>
      </c>
      <c r="I2475" t="s">
        <v>5959</v>
      </c>
      <c r="J2475" t="s">
        <v>1712</v>
      </c>
      <c r="K2475" t="s">
        <v>481</v>
      </c>
      <c r="M2475">
        <v>100</v>
      </c>
      <c r="N2475" t="s">
        <v>49</v>
      </c>
      <c r="O2475" t="s">
        <v>4517</v>
      </c>
      <c r="P2475" t="s">
        <v>743</v>
      </c>
      <c r="T2475">
        <v>4</v>
      </c>
      <c r="U2475" t="s">
        <v>56</v>
      </c>
      <c r="V2475" t="s">
        <v>56</v>
      </c>
    </row>
    <row r="2476" spans="1:22" x14ac:dyDescent="0.3">
      <c r="A2476" s="49">
        <v>45273</v>
      </c>
      <c r="E2476" t="s">
        <v>3140</v>
      </c>
      <c r="G2476" t="s">
        <v>5255</v>
      </c>
      <c r="H2476" t="s">
        <v>28</v>
      </c>
      <c r="I2476" t="s">
        <v>5959</v>
      </c>
      <c r="J2476" t="s">
        <v>1712</v>
      </c>
      <c r="K2476" t="s">
        <v>481</v>
      </c>
      <c r="M2476">
        <v>100</v>
      </c>
      <c r="N2476" t="s">
        <v>49</v>
      </c>
      <c r="O2476" t="s">
        <v>4517</v>
      </c>
      <c r="P2476" t="s">
        <v>743</v>
      </c>
      <c r="T2476">
        <v>4</v>
      </c>
      <c r="U2476" t="s">
        <v>56</v>
      </c>
      <c r="V2476" t="s">
        <v>56</v>
      </c>
    </row>
    <row r="2477" spans="1:22" x14ac:dyDescent="0.3">
      <c r="A2477" s="49">
        <v>45273</v>
      </c>
      <c r="E2477" t="s">
        <v>3112</v>
      </c>
      <c r="G2477" t="s">
        <v>4973</v>
      </c>
      <c r="H2477" t="s">
        <v>28</v>
      </c>
      <c r="I2477" t="s">
        <v>2050</v>
      </c>
      <c r="J2477" t="s">
        <v>63</v>
      </c>
      <c r="K2477" t="s">
        <v>64</v>
      </c>
      <c r="M2477">
        <v>100</v>
      </c>
      <c r="N2477" t="s">
        <v>49</v>
      </c>
      <c r="O2477" t="s">
        <v>4518</v>
      </c>
      <c r="P2477" t="s">
        <v>344</v>
      </c>
      <c r="T2477">
        <v>4</v>
      </c>
      <c r="U2477" t="s">
        <v>56</v>
      </c>
      <c r="V2477" t="s">
        <v>56</v>
      </c>
    </row>
    <row r="2478" spans="1:22" x14ac:dyDescent="0.3">
      <c r="A2478" s="49">
        <v>45273</v>
      </c>
      <c r="E2478" t="s">
        <v>3142</v>
      </c>
      <c r="G2478" t="s">
        <v>5146</v>
      </c>
      <c r="H2478" t="s">
        <v>28</v>
      </c>
      <c r="I2478" t="s">
        <v>5804</v>
      </c>
      <c r="J2478" t="s">
        <v>63</v>
      </c>
      <c r="K2478" t="s">
        <v>64</v>
      </c>
      <c r="M2478">
        <v>100</v>
      </c>
      <c r="N2478" t="s">
        <v>49</v>
      </c>
      <c r="O2478" t="s">
        <v>4519</v>
      </c>
      <c r="P2478" t="s">
        <v>35</v>
      </c>
      <c r="T2478">
        <v>4</v>
      </c>
      <c r="U2478" t="s">
        <v>56</v>
      </c>
      <c r="V2478" t="s">
        <v>56</v>
      </c>
    </row>
    <row r="2479" spans="1:22" x14ac:dyDescent="0.3">
      <c r="A2479" s="49">
        <v>45273</v>
      </c>
      <c r="E2479" t="s">
        <v>3142</v>
      </c>
      <c r="G2479" t="s">
        <v>5146</v>
      </c>
      <c r="H2479" t="s">
        <v>28</v>
      </c>
      <c r="I2479" t="s">
        <v>5802</v>
      </c>
      <c r="J2479" t="s">
        <v>63</v>
      </c>
      <c r="K2479" t="s">
        <v>64</v>
      </c>
      <c r="M2479">
        <v>100</v>
      </c>
      <c r="N2479" t="s">
        <v>49</v>
      </c>
      <c r="O2479" t="s">
        <v>4520</v>
      </c>
      <c r="P2479" t="s">
        <v>829</v>
      </c>
      <c r="T2479">
        <v>4</v>
      </c>
      <c r="U2479" t="s">
        <v>56</v>
      </c>
      <c r="V2479" t="s">
        <v>56</v>
      </c>
    </row>
    <row r="2480" spans="1:22" x14ac:dyDescent="0.3">
      <c r="A2480" s="49">
        <v>45273</v>
      </c>
      <c r="E2480" t="s">
        <v>3185</v>
      </c>
      <c r="G2480" t="s">
        <v>5092</v>
      </c>
      <c r="H2480" t="s">
        <v>89</v>
      </c>
      <c r="J2480" t="s">
        <v>63</v>
      </c>
      <c r="K2480" t="s">
        <v>64</v>
      </c>
      <c r="M2480">
        <v>100</v>
      </c>
      <c r="N2480" t="s">
        <v>49</v>
      </c>
      <c r="O2480" t="s">
        <v>4521</v>
      </c>
      <c r="P2480" t="s">
        <v>791</v>
      </c>
      <c r="T2480">
        <v>4</v>
      </c>
      <c r="U2480" t="s">
        <v>56</v>
      </c>
      <c r="V2480" t="s">
        <v>56</v>
      </c>
    </row>
    <row r="2481" spans="1:22" x14ac:dyDescent="0.3">
      <c r="A2481" s="49">
        <v>45273</v>
      </c>
      <c r="E2481" t="s">
        <v>3241</v>
      </c>
      <c r="G2481" t="s">
        <v>5354</v>
      </c>
      <c r="H2481" t="s">
        <v>28</v>
      </c>
      <c r="I2481" t="s">
        <v>5960</v>
      </c>
      <c r="J2481" t="s">
        <v>63</v>
      </c>
      <c r="K2481" t="s">
        <v>4936</v>
      </c>
      <c r="M2481">
        <v>80</v>
      </c>
      <c r="N2481" t="s">
        <v>33</v>
      </c>
      <c r="O2481" t="s">
        <v>4522</v>
      </c>
      <c r="P2481" t="s">
        <v>373</v>
      </c>
      <c r="T2481">
        <v>6</v>
      </c>
      <c r="U2481" t="s">
        <v>40</v>
      </c>
      <c r="V2481" t="s">
        <v>41</v>
      </c>
    </row>
    <row r="2482" spans="1:22" x14ac:dyDescent="0.3">
      <c r="A2482" s="49">
        <v>45273</v>
      </c>
      <c r="E2482" t="s">
        <v>3241</v>
      </c>
      <c r="G2482" t="s">
        <v>5355</v>
      </c>
      <c r="H2482" t="s">
        <v>89</v>
      </c>
      <c r="J2482" t="s">
        <v>30</v>
      </c>
      <c r="K2482" t="s">
        <v>264</v>
      </c>
      <c r="M2482">
        <v>80</v>
      </c>
      <c r="N2482" t="s">
        <v>33</v>
      </c>
      <c r="O2482" t="s">
        <v>4523</v>
      </c>
      <c r="P2482" t="s">
        <v>1230</v>
      </c>
      <c r="T2482">
        <v>6</v>
      </c>
      <c r="U2482" t="s">
        <v>40</v>
      </c>
      <c r="V2482" t="s">
        <v>41</v>
      </c>
    </row>
    <row r="2483" spans="1:22" x14ac:dyDescent="0.3">
      <c r="A2483" s="49">
        <v>45273</v>
      </c>
      <c r="E2483" t="s">
        <v>3143</v>
      </c>
      <c r="G2483" t="s">
        <v>5020</v>
      </c>
      <c r="H2483" t="s">
        <v>28</v>
      </c>
      <c r="I2483" t="s">
        <v>5961</v>
      </c>
      <c r="J2483" t="s">
        <v>63</v>
      </c>
      <c r="K2483" t="s">
        <v>64</v>
      </c>
      <c r="M2483">
        <v>27</v>
      </c>
      <c r="N2483" t="s">
        <v>33</v>
      </c>
      <c r="O2483" t="s">
        <v>4524</v>
      </c>
      <c r="P2483" t="s">
        <v>1230</v>
      </c>
      <c r="T2483">
        <v>4</v>
      </c>
      <c r="U2483" t="s">
        <v>56</v>
      </c>
      <c r="V2483" t="s">
        <v>56</v>
      </c>
    </row>
    <row r="2484" spans="1:22" x14ac:dyDescent="0.3">
      <c r="A2484" s="49">
        <v>45273</v>
      </c>
      <c r="E2484" t="s">
        <v>3187</v>
      </c>
      <c r="G2484" t="s">
        <v>5262</v>
      </c>
      <c r="H2484" t="s">
        <v>28</v>
      </c>
      <c r="I2484" t="s">
        <v>2430</v>
      </c>
      <c r="J2484" t="s">
        <v>63</v>
      </c>
      <c r="K2484" t="s">
        <v>211</v>
      </c>
      <c r="M2484">
        <v>80</v>
      </c>
      <c r="N2484" t="s">
        <v>49</v>
      </c>
      <c r="O2484" t="s">
        <v>4525</v>
      </c>
      <c r="P2484" t="s">
        <v>1878</v>
      </c>
      <c r="T2484">
        <v>4</v>
      </c>
      <c r="U2484" t="s">
        <v>56</v>
      </c>
      <c r="V2484" t="s">
        <v>56</v>
      </c>
    </row>
    <row r="2485" spans="1:22" x14ac:dyDescent="0.3">
      <c r="A2485" s="49">
        <v>45273</v>
      </c>
      <c r="E2485" t="s">
        <v>3187</v>
      </c>
      <c r="G2485" t="s">
        <v>761</v>
      </c>
      <c r="H2485" t="s">
        <v>89</v>
      </c>
      <c r="J2485" t="s">
        <v>63</v>
      </c>
      <c r="K2485" t="s">
        <v>64</v>
      </c>
      <c r="M2485">
        <v>95</v>
      </c>
      <c r="N2485" t="s">
        <v>49</v>
      </c>
      <c r="O2485" t="s">
        <v>4526</v>
      </c>
      <c r="P2485" t="s">
        <v>4876</v>
      </c>
      <c r="T2485">
        <v>4</v>
      </c>
      <c r="U2485" t="s">
        <v>56</v>
      </c>
      <c r="V2485" t="s">
        <v>56</v>
      </c>
    </row>
    <row r="2486" spans="1:22" x14ac:dyDescent="0.3">
      <c r="A2486" s="49">
        <v>45273</v>
      </c>
      <c r="E2486" t="s">
        <v>3145</v>
      </c>
      <c r="G2486" t="s">
        <v>5022</v>
      </c>
      <c r="H2486" t="s">
        <v>89</v>
      </c>
      <c r="J2486" t="s">
        <v>63</v>
      </c>
      <c r="K2486" t="s">
        <v>64</v>
      </c>
      <c r="M2486">
        <v>100</v>
      </c>
      <c r="N2486" t="s">
        <v>33</v>
      </c>
      <c r="O2486" t="s">
        <v>4527</v>
      </c>
      <c r="P2486" t="s">
        <v>287</v>
      </c>
      <c r="T2486">
        <v>4</v>
      </c>
      <c r="U2486" t="s">
        <v>56</v>
      </c>
      <c r="V2486" t="s">
        <v>56</v>
      </c>
    </row>
    <row r="2487" spans="1:22" x14ac:dyDescent="0.3">
      <c r="A2487" s="49">
        <v>45273</v>
      </c>
      <c r="E2487" t="s">
        <v>3145</v>
      </c>
      <c r="G2487" t="s">
        <v>5064</v>
      </c>
      <c r="H2487" t="s">
        <v>28</v>
      </c>
      <c r="I2487" t="s">
        <v>5962</v>
      </c>
      <c r="J2487" t="s">
        <v>63</v>
      </c>
      <c r="K2487" t="s">
        <v>197</v>
      </c>
      <c r="M2487">
        <v>100</v>
      </c>
      <c r="N2487" t="s">
        <v>49</v>
      </c>
      <c r="O2487" t="s">
        <v>4528</v>
      </c>
      <c r="P2487" t="s">
        <v>381</v>
      </c>
      <c r="T2487">
        <v>4</v>
      </c>
      <c r="U2487" t="s">
        <v>56</v>
      </c>
      <c r="V2487" t="s">
        <v>56</v>
      </c>
    </row>
    <row r="2488" spans="1:22" x14ac:dyDescent="0.3">
      <c r="A2488" s="49">
        <v>45273</v>
      </c>
      <c r="E2488" t="s">
        <v>2823</v>
      </c>
      <c r="G2488" t="s">
        <v>5264</v>
      </c>
      <c r="H2488" t="s">
        <v>89</v>
      </c>
      <c r="J2488" t="s">
        <v>63</v>
      </c>
      <c r="K2488" t="s">
        <v>64</v>
      </c>
      <c r="M2488">
        <v>0</v>
      </c>
      <c r="N2488" t="s">
        <v>74</v>
      </c>
      <c r="O2488" t="s">
        <v>4529</v>
      </c>
      <c r="P2488" t="s">
        <v>85</v>
      </c>
      <c r="T2488">
        <v>4</v>
      </c>
      <c r="U2488" t="s">
        <v>56</v>
      </c>
      <c r="V2488" t="s">
        <v>56</v>
      </c>
    </row>
    <row r="2489" spans="1:22" x14ac:dyDescent="0.3">
      <c r="A2489" s="49">
        <v>45273</v>
      </c>
      <c r="E2489" t="s">
        <v>2823</v>
      </c>
      <c r="G2489" t="s">
        <v>5264</v>
      </c>
      <c r="H2489" t="s">
        <v>28</v>
      </c>
      <c r="I2489" t="s">
        <v>5963</v>
      </c>
      <c r="J2489" t="s">
        <v>63</v>
      </c>
      <c r="K2489" t="s">
        <v>64</v>
      </c>
      <c r="M2489">
        <v>66</v>
      </c>
      <c r="N2489" t="s">
        <v>49</v>
      </c>
      <c r="O2489" t="s">
        <v>4530</v>
      </c>
      <c r="P2489" t="s">
        <v>1230</v>
      </c>
      <c r="T2489">
        <v>4</v>
      </c>
      <c r="U2489" t="s">
        <v>56</v>
      </c>
      <c r="V2489" t="s">
        <v>56</v>
      </c>
    </row>
    <row r="2490" spans="1:22" x14ac:dyDescent="0.3">
      <c r="A2490" s="49">
        <v>45273</v>
      </c>
      <c r="E2490" t="s">
        <v>2823</v>
      </c>
      <c r="G2490" t="s">
        <v>5264</v>
      </c>
      <c r="H2490" t="s">
        <v>28</v>
      </c>
      <c r="I2490" t="s">
        <v>5963</v>
      </c>
      <c r="J2490" t="s">
        <v>63</v>
      </c>
      <c r="K2490" t="s">
        <v>64</v>
      </c>
      <c r="M2490">
        <v>30</v>
      </c>
      <c r="N2490" t="s">
        <v>49</v>
      </c>
      <c r="O2490" t="s">
        <v>4531</v>
      </c>
      <c r="P2490" t="s">
        <v>791</v>
      </c>
      <c r="T2490">
        <v>4</v>
      </c>
      <c r="U2490" t="s">
        <v>56</v>
      </c>
      <c r="V2490" t="s">
        <v>56</v>
      </c>
    </row>
    <row r="2491" spans="1:22" x14ac:dyDescent="0.3">
      <c r="A2491" s="49">
        <v>45273</v>
      </c>
      <c r="E2491" t="s">
        <v>3207</v>
      </c>
      <c r="G2491" t="s">
        <v>5151</v>
      </c>
      <c r="H2491" t="s">
        <v>28</v>
      </c>
      <c r="I2491" t="s">
        <v>2469</v>
      </c>
      <c r="J2491" t="s">
        <v>63</v>
      </c>
      <c r="K2491" t="s">
        <v>211</v>
      </c>
      <c r="M2491">
        <v>100</v>
      </c>
      <c r="N2491" t="s">
        <v>49</v>
      </c>
      <c r="O2491" t="s">
        <v>4532</v>
      </c>
      <c r="P2491" t="s">
        <v>344</v>
      </c>
      <c r="T2491">
        <v>4</v>
      </c>
      <c r="U2491" t="s">
        <v>56</v>
      </c>
      <c r="V2491" t="s">
        <v>56</v>
      </c>
    </row>
    <row r="2492" spans="1:22" x14ac:dyDescent="0.3">
      <c r="A2492" s="49">
        <v>45273</v>
      </c>
      <c r="E2492" t="s">
        <v>3115</v>
      </c>
      <c r="G2492" t="s">
        <v>1524</v>
      </c>
      <c r="H2492" t="s">
        <v>89</v>
      </c>
      <c r="J2492" t="s">
        <v>63</v>
      </c>
      <c r="K2492" t="s">
        <v>64</v>
      </c>
      <c r="M2492">
        <v>0</v>
      </c>
      <c r="N2492" t="s">
        <v>74</v>
      </c>
      <c r="O2492" t="s">
        <v>4533</v>
      </c>
      <c r="P2492" t="s">
        <v>651</v>
      </c>
      <c r="T2492">
        <v>4</v>
      </c>
      <c r="U2492" t="s">
        <v>56</v>
      </c>
      <c r="V2492" t="s">
        <v>56</v>
      </c>
    </row>
    <row r="2493" spans="1:22" x14ac:dyDescent="0.3">
      <c r="A2493" s="49">
        <v>45273</v>
      </c>
      <c r="E2493" t="s">
        <v>3115</v>
      </c>
      <c r="G2493" t="s">
        <v>1524</v>
      </c>
      <c r="H2493" t="s">
        <v>89</v>
      </c>
      <c r="J2493" t="s">
        <v>63</v>
      </c>
      <c r="K2493" t="s">
        <v>211</v>
      </c>
      <c r="M2493">
        <v>100</v>
      </c>
      <c r="N2493" t="s">
        <v>49</v>
      </c>
      <c r="O2493" t="s">
        <v>4534</v>
      </c>
      <c r="P2493" t="s">
        <v>829</v>
      </c>
      <c r="T2493">
        <v>4</v>
      </c>
      <c r="U2493" t="s">
        <v>56</v>
      </c>
      <c r="V2493" t="s">
        <v>56</v>
      </c>
    </row>
    <row r="2494" spans="1:22" x14ac:dyDescent="0.3">
      <c r="A2494" s="49">
        <v>45273</v>
      </c>
      <c r="E2494" t="s">
        <v>3115</v>
      </c>
      <c r="G2494" t="s">
        <v>1524</v>
      </c>
      <c r="H2494" t="s">
        <v>89</v>
      </c>
      <c r="J2494" t="s">
        <v>63</v>
      </c>
      <c r="K2494" t="s">
        <v>211</v>
      </c>
      <c r="M2494">
        <v>0</v>
      </c>
      <c r="N2494" t="s">
        <v>33</v>
      </c>
      <c r="O2494" t="s">
        <v>1525</v>
      </c>
      <c r="P2494" t="s">
        <v>1508</v>
      </c>
      <c r="T2494">
        <v>4</v>
      </c>
      <c r="U2494" t="s">
        <v>56</v>
      </c>
      <c r="V2494" t="s">
        <v>56</v>
      </c>
    </row>
    <row r="2495" spans="1:22" x14ac:dyDescent="0.3">
      <c r="A2495" s="49">
        <v>45273</v>
      </c>
      <c r="E2495" t="s">
        <v>3115</v>
      </c>
      <c r="G2495" t="s">
        <v>5356</v>
      </c>
      <c r="H2495" t="s">
        <v>28</v>
      </c>
      <c r="I2495" t="s">
        <v>5964</v>
      </c>
      <c r="J2495" t="s">
        <v>63</v>
      </c>
      <c r="K2495" t="s">
        <v>64</v>
      </c>
      <c r="M2495">
        <v>100</v>
      </c>
      <c r="N2495" t="s">
        <v>49</v>
      </c>
      <c r="O2495" t="s">
        <v>4535</v>
      </c>
      <c r="P2495" t="s">
        <v>66</v>
      </c>
      <c r="T2495">
        <v>4</v>
      </c>
      <c r="U2495" t="s">
        <v>56</v>
      </c>
      <c r="V2495" t="s">
        <v>56</v>
      </c>
    </row>
    <row r="2496" spans="1:22" x14ac:dyDescent="0.3">
      <c r="A2496" s="49">
        <v>45273</v>
      </c>
      <c r="E2496" t="s">
        <v>3115</v>
      </c>
      <c r="G2496" t="s">
        <v>5356</v>
      </c>
      <c r="H2496" t="s">
        <v>28</v>
      </c>
      <c r="I2496" t="s">
        <v>5964</v>
      </c>
      <c r="J2496" t="s">
        <v>63</v>
      </c>
      <c r="K2496" t="s">
        <v>64</v>
      </c>
      <c r="M2496">
        <v>100</v>
      </c>
      <c r="N2496" t="s">
        <v>49</v>
      </c>
      <c r="O2496" t="s">
        <v>4535</v>
      </c>
      <c r="P2496" t="s">
        <v>66</v>
      </c>
      <c r="T2496">
        <v>4</v>
      </c>
      <c r="U2496" t="s">
        <v>56</v>
      </c>
      <c r="V2496" t="s">
        <v>56</v>
      </c>
    </row>
    <row r="2497" spans="1:22" x14ac:dyDescent="0.3">
      <c r="A2497" s="49">
        <v>45273</v>
      </c>
      <c r="E2497" t="s">
        <v>3115</v>
      </c>
      <c r="G2497" t="s">
        <v>5356</v>
      </c>
      <c r="H2497" t="s">
        <v>28</v>
      </c>
      <c r="I2497" t="s">
        <v>5964</v>
      </c>
      <c r="J2497" t="s">
        <v>63</v>
      </c>
      <c r="K2497" t="s">
        <v>64</v>
      </c>
      <c r="M2497">
        <v>100</v>
      </c>
      <c r="N2497" t="s">
        <v>49</v>
      </c>
      <c r="O2497" t="s">
        <v>4536</v>
      </c>
      <c r="P2497" t="s">
        <v>66</v>
      </c>
      <c r="T2497">
        <v>4</v>
      </c>
      <c r="U2497" t="s">
        <v>56</v>
      </c>
      <c r="V2497" t="s">
        <v>56</v>
      </c>
    </row>
    <row r="2498" spans="1:22" x14ac:dyDescent="0.3">
      <c r="A2498" s="49">
        <v>45273</v>
      </c>
      <c r="E2498" t="s">
        <v>3115</v>
      </c>
      <c r="G2498" t="s">
        <v>5356</v>
      </c>
      <c r="H2498" t="s">
        <v>28</v>
      </c>
      <c r="I2498" t="s">
        <v>5964</v>
      </c>
      <c r="J2498" t="s">
        <v>63</v>
      </c>
      <c r="K2498" t="s">
        <v>64</v>
      </c>
      <c r="M2498">
        <v>100</v>
      </c>
      <c r="N2498" t="s">
        <v>49</v>
      </c>
      <c r="O2498" t="s">
        <v>4536</v>
      </c>
      <c r="P2498" t="s">
        <v>66</v>
      </c>
      <c r="T2498">
        <v>4</v>
      </c>
      <c r="U2498" t="s">
        <v>56</v>
      </c>
      <c r="V2498" t="s">
        <v>56</v>
      </c>
    </row>
    <row r="2499" spans="1:22" x14ac:dyDescent="0.3">
      <c r="A2499" s="49">
        <v>45273</v>
      </c>
      <c r="E2499" t="s">
        <v>3115</v>
      </c>
      <c r="G2499" t="s">
        <v>5356</v>
      </c>
      <c r="H2499" t="s">
        <v>28</v>
      </c>
      <c r="I2499" t="s">
        <v>5964</v>
      </c>
      <c r="J2499" t="s">
        <v>63</v>
      </c>
      <c r="K2499" t="s">
        <v>64</v>
      </c>
      <c r="M2499">
        <v>100</v>
      </c>
      <c r="N2499" t="s">
        <v>49</v>
      </c>
      <c r="O2499" t="s">
        <v>4537</v>
      </c>
      <c r="P2499" t="s">
        <v>66</v>
      </c>
      <c r="T2499">
        <v>4</v>
      </c>
      <c r="U2499" t="s">
        <v>56</v>
      </c>
      <c r="V2499" t="s">
        <v>56</v>
      </c>
    </row>
    <row r="2500" spans="1:22" x14ac:dyDescent="0.3">
      <c r="A2500" s="49">
        <v>45273</v>
      </c>
      <c r="E2500" t="s">
        <v>3115</v>
      </c>
      <c r="G2500" t="s">
        <v>5356</v>
      </c>
      <c r="H2500" t="s">
        <v>28</v>
      </c>
      <c r="I2500" t="s">
        <v>5964</v>
      </c>
      <c r="J2500" t="s">
        <v>63</v>
      </c>
      <c r="K2500" t="s">
        <v>64</v>
      </c>
      <c r="M2500">
        <v>100</v>
      </c>
      <c r="N2500" t="s">
        <v>49</v>
      </c>
      <c r="O2500" t="s">
        <v>4538</v>
      </c>
      <c r="P2500" t="s">
        <v>66</v>
      </c>
      <c r="T2500">
        <v>4</v>
      </c>
      <c r="U2500" t="s">
        <v>56</v>
      </c>
      <c r="V2500" t="s">
        <v>56</v>
      </c>
    </row>
    <row r="2501" spans="1:22" x14ac:dyDescent="0.3">
      <c r="A2501" s="49">
        <v>45273</v>
      </c>
      <c r="E2501" t="s">
        <v>3115</v>
      </c>
      <c r="G2501" t="s">
        <v>5356</v>
      </c>
      <c r="H2501" t="s">
        <v>28</v>
      </c>
      <c r="I2501" t="s">
        <v>5964</v>
      </c>
      <c r="J2501" t="s">
        <v>63</v>
      </c>
      <c r="K2501" t="s">
        <v>64</v>
      </c>
      <c r="M2501">
        <v>100</v>
      </c>
      <c r="N2501" t="s">
        <v>49</v>
      </c>
      <c r="O2501" t="s">
        <v>4538</v>
      </c>
      <c r="P2501" t="s">
        <v>66</v>
      </c>
      <c r="T2501">
        <v>4</v>
      </c>
      <c r="U2501" t="s">
        <v>56</v>
      </c>
      <c r="V2501" t="s">
        <v>56</v>
      </c>
    </row>
    <row r="2502" spans="1:22" x14ac:dyDescent="0.3">
      <c r="A2502" s="49">
        <v>45273</v>
      </c>
      <c r="E2502" t="s">
        <v>3115</v>
      </c>
      <c r="G2502" t="s">
        <v>5356</v>
      </c>
      <c r="H2502" t="s">
        <v>28</v>
      </c>
      <c r="I2502" t="s">
        <v>5964</v>
      </c>
      <c r="J2502" t="s">
        <v>63</v>
      </c>
      <c r="K2502" t="s">
        <v>64</v>
      </c>
      <c r="M2502">
        <v>100</v>
      </c>
      <c r="N2502" t="s">
        <v>49</v>
      </c>
      <c r="O2502" t="s">
        <v>4536</v>
      </c>
      <c r="P2502" t="s">
        <v>66</v>
      </c>
      <c r="T2502">
        <v>4</v>
      </c>
      <c r="U2502" t="s">
        <v>56</v>
      </c>
      <c r="V2502" t="s">
        <v>56</v>
      </c>
    </row>
    <row r="2503" spans="1:22" x14ac:dyDescent="0.3">
      <c r="A2503" s="49">
        <v>45273</v>
      </c>
      <c r="E2503" t="s">
        <v>3115</v>
      </c>
      <c r="G2503" t="s">
        <v>4976</v>
      </c>
      <c r="H2503" t="s">
        <v>89</v>
      </c>
      <c r="J2503" t="s">
        <v>63</v>
      </c>
      <c r="K2503" t="s">
        <v>64</v>
      </c>
      <c r="M2503">
        <v>0</v>
      </c>
      <c r="N2503" t="s">
        <v>74</v>
      </c>
      <c r="O2503" t="s">
        <v>4539</v>
      </c>
      <c r="P2503" t="s">
        <v>1586</v>
      </c>
      <c r="T2503">
        <v>4</v>
      </c>
      <c r="U2503" t="s">
        <v>56</v>
      </c>
      <c r="V2503" t="s">
        <v>56</v>
      </c>
    </row>
    <row r="2504" spans="1:22" x14ac:dyDescent="0.3">
      <c r="A2504" s="49">
        <v>45273</v>
      </c>
      <c r="E2504" t="s">
        <v>3115</v>
      </c>
      <c r="G2504" t="s">
        <v>4976</v>
      </c>
      <c r="H2504" t="s">
        <v>89</v>
      </c>
      <c r="J2504" t="s">
        <v>63</v>
      </c>
      <c r="K2504" t="s">
        <v>64</v>
      </c>
      <c r="M2504">
        <v>0</v>
      </c>
      <c r="N2504" t="s">
        <v>74</v>
      </c>
      <c r="O2504" t="s">
        <v>4540</v>
      </c>
      <c r="P2504" t="s">
        <v>878</v>
      </c>
      <c r="T2504">
        <v>4</v>
      </c>
      <c r="U2504" t="s">
        <v>56</v>
      </c>
      <c r="V2504" t="s">
        <v>56</v>
      </c>
    </row>
    <row r="2505" spans="1:22" x14ac:dyDescent="0.3">
      <c r="A2505" s="49">
        <v>45273</v>
      </c>
      <c r="E2505" t="s">
        <v>3146</v>
      </c>
      <c r="G2505" t="s">
        <v>5157</v>
      </c>
      <c r="H2505" t="s">
        <v>28</v>
      </c>
      <c r="I2505" t="s">
        <v>5631</v>
      </c>
      <c r="J2505" t="s">
        <v>63</v>
      </c>
      <c r="K2505" t="s">
        <v>64</v>
      </c>
      <c r="M2505">
        <v>100</v>
      </c>
      <c r="N2505" t="s">
        <v>49</v>
      </c>
      <c r="O2505" t="s">
        <v>3674</v>
      </c>
      <c r="P2505" t="s">
        <v>416</v>
      </c>
      <c r="T2505">
        <v>4</v>
      </c>
      <c r="U2505" t="s">
        <v>56</v>
      </c>
      <c r="V2505" t="s">
        <v>56</v>
      </c>
    </row>
    <row r="2506" spans="1:22" x14ac:dyDescent="0.3">
      <c r="A2506" s="49">
        <v>45273</v>
      </c>
      <c r="E2506" t="s">
        <v>3146</v>
      </c>
      <c r="G2506" t="s">
        <v>5157</v>
      </c>
      <c r="H2506" t="s">
        <v>28</v>
      </c>
      <c r="I2506" t="s">
        <v>5631</v>
      </c>
      <c r="J2506" t="s">
        <v>63</v>
      </c>
      <c r="K2506" t="s">
        <v>64</v>
      </c>
      <c r="M2506">
        <v>100</v>
      </c>
      <c r="N2506" t="s">
        <v>49</v>
      </c>
      <c r="O2506" t="s">
        <v>3674</v>
      </c>
      <c r="P2506" t="s">
        <v>416</v>
      </c>
      <c r="T2506">
        <v>4</v>
      </c>
      <c r="U2506" t="s">
        <v>56</v>
      </c>
      <c r="V2506" t="s">
        <v>56</v>
      </c>
    </row>
    <row r="2507" spans="1:22" x14ac:dyDescent="0.3">
      <c r="A2507" s="49">
        <v>45273</v>
      </c>
      <c r="E2507" t="s">
        <v>3146</v>
      </c>
      <c r="G2507" t="s">
        <v>5157</v>
      </c>
      <c r="H2507" t="s">
        <v>28</v>
      </c>
      <c r="I2507" t="s">
        <v>5631</v>
      </c>
      <c r="J2507" t="s">
        <v>63</v>
      </c>
      <c r="K2507" t="s">
        <v>64</v>
      </c>
      <c r="M2507">
        <v>100</v>
      </c>
      <c r="N2507" t="s">
        <v>33</v>
      </c>
      <c r="O2507" t="s">
        <v>3674</v>
      </c>
      <c r="P2507" t="s">
        <v>416</v>
      </c>
      <c r="T2507">
        <v>4</v>
      </c>
      <c r="U2507" t="s">
        <v>56</v>
      </c>
      <c r="V2507" t="s">
        <v>56</v>
      </c>
    </row>
    <row r="2508" spans="1:22" x14ac:dyDescent="0.3">
      <c r="A2508" s="49">
        <v>45273</v>
      </c>
      <c r="E2508" t="s">
        <v>3146</v>
      </c>
      <c r="G2508" t="s">
        <v>5157</v>
      </c>
      <c r="H2508" t="s">
        <v>28</v>
      </c>
      <c r="I2508" t="s">
        <v>5631</v>
      </c>
      <c r="J2508" t="s">
        <v>63</v>
      </c>
      <c r="K2508" t="s">
        <v>64</v>
      </c>
      <c r="M2508">
        <v>100</v>
      </c>
      <c r="N2508" t="s">
        <v>33</v>
      </c>
      <c r="O2508" t="s">
        <v>3674</v>
      </c>
      <c r="P2508" t="s">
        <v>416</v>
      </c>
      <c r="T2508">
        <v>4</v>
      </c>
      <c r="U2508" t="s">
        <v>56</v>
      </c>
      <c r="V2508" t="s">
        <v>56</v>
      </c>
    </row>
    <row r="2509" spans="1:22" x14ac:dyDescent="0.3">
      <c r="A2509" s="49">
        <v>45273</v>
      </c>
      <c r="E2509" t="s">
        <v>3146</v>
      </c>
      <c r="G2509" t="s">
        <v>5157</v>
      </c>
      <c r="H2509" t="s">
        <v>28</v>
      </c>
      <c r="I2509" t="s">
        <v>5631</v>
      </c>
      <c r="J2509" t="s">
        <v>63</v>
      </c>
      <c r="K2509" t="s">
        <v>64</v>
      </c>
      <c r="M2509">
        <v>100</v>
      </c>
      <c r="N2509" t="s">
        <v>33</v>
      </c>
      <c r="O2509" t="s">
        <v>3674</v>
      </c>
      <c r="P2509" t="s">
        <v>416</v>
      </c>
      <c r="T2509">
        <v>4</v>
      </c>
      <c r="U2509" t="s">
        <v>56</v>
      </c>
      <c r="V2509" t="s">
        <v>56</v>
      </c>
    </row>
    <row r="2510" spans="1:22" x14ac:dyDescent="0.3">
      <c r="A2510" s="49">
        <v>45273</v>
      </c>
      <c r="E2510" t="s">
        <v>3146</v>
      </c>
      <c r="G2510" t="s">
        <v>5157</v>
      </c>
      <c r="H2510" t="s">
        <v>28</v>
      </c>
      <c r="I2510" t="s">
        <v>5631</v>
      </c>
      <c r="J2510" t="s">
        <v>63</v>
      </c>
      <c r="K2510" t="s">
        <v>64</v>
      </c>
      <c r="M2510">
        <v>100</v>
      </c>
      <c r="N2510" t="s">
        <v>33</v>
      </c>
      <c r="O2510" t="s">
        <v>3674</v>
      </c>
      <c r="P2510" t="s">
        <v>416</v>
      </c>
      <c r="T2510">
        <v>4</v>
      </c>
      <c r="U2510" t="s">
        <v>56</v>
      </c>
      <c r="V2510" t="s">
        <v>56</v>
      </c>
    </row>
    <row r="2511" spans="1:22" x14ac:dyDescent="0.3">
      <c r="A2511" s="49">
        <v>45273</v>
      </c>
      <c r="E2511" t="s">
        <v>3146</v>
      </c>
      <c r="G2511" t="s">
        <v>5157</v>
      </c>
      <c r="H2511" t="s">
        <v>28</v>
      </c>
      <c r="I2511" t="s">
        <v>5631</v>
      </c>
      <c r="J2511" t="s">
        <v>63</v>
      </c>
      <c r="K2511" t="s">
        <v>64</v>
      </c>
      <c r="M2511">
        <v>100</v>
      </c>
      <c r="N2511" t="s">
        <v>33</v>
      </c>
      <c r="O2511" t="s">
        <v>3674</v>
      </c>
      <c r="P2511" t="s">
        <v>416</v>
      </c>
      <c r="T2511">
        <v>4</v>
      </c>
      <c r="U2511" t="s">
        <v>56</v>
      </c>
      <c r="V2511" t="s">
        <v>56</v>
      </c>
    </row>
    <row r="2512" spans="1:22" x14ac:dyDescent="0.3">
      <c r="A2512" s="49">
        <v>45273</v>
      </c>
      <c r="E2512" t="s">
        <v>3146</v>
      </c>
      <c r="G2512" t="s">
        <v>5157</v>
      </c>
      <c r="H2512" t="s">
        <v>28</v>
      </c>
      <c r="I2512" t="s">
        <v>5631</v>
      </c>
      <c r="J2512" t="s">
        <v>63</v>
      </c>
      <c r="K2512" t="s">
        <v>64</v>
      </c>
      <c r="M2512">
        <v>100</v>
      </c>
      <c r="N2512" t="s">
        <v>33</v>
      </c>
      <c r="O2512" t="s">
        <v>3674</v>
      </c>
      <c r="P2512" t="s">
        <v>416</v>
      </c>
      <c r="T2512">
        <v>4</v>
      </c>
      <c r="U2512" t="s">
        <v>56</v>
      </c>
      <c r="V2512" t="s">
        <v>56</v>
      </c>
    </row>
    <row r="2513" spans="1:22" x14ac:dyDescent="0.3">
      <c r="A2513" s="49">
        <v>45273</v>
      </c>
      <c r="E2513" t="s">
        <v>3146</v>
      </c>
      <c r="G2513" t="s">
        <v>5155</v>
      </c>
      <c r="H2513" t="s">
        <v>28</v>
      </c>
      <c r="I2513" t="s">
        <v>5629</v>
      </c>
      <c r="J2513" t="s">
        <v>63</v>
      </c>
      <c r="K2513" t="s">
        <v>64</v>
      </c>
      <c r="M2513">
        <v>100</v>
      </c>
      <c r="N2513" t="s">
        <v>49</v>
      </c>
      <c r="O2513" t="s">
        <v>4541</v>
      </c>
      <c r="P2513" t="s">
        <v>170</v>
      </c>
      <c r="T2513">
        <v>4</v>
      </c>
      <c r="U2513" t="s">
        <v>56</v>
      </c>
      <c r="V2513" t="s">
        <v>56</v>
      </c>
    </row>
    <row r="2514" spans="1:22" x14ac:dyDescent="0.3">
      <c r="A2514" s="49">
        <v>45273</v>
      </c>
      <c r="E2514" t="s">
        <v>3146</v>
      </c>
      <c r="G2514" t="s">
        <v>5155</v>
      </c>
      <c r="H2514" t="s">
        <v>28</v>
      </c>
      <c r="I2514" t="s">
        <v>5629</v>
      </c>
      <c r="J2514" t="s">
        <v>63</v>
      </c>
      <c r="K2514" t="s">
        <v>64</v>
      </c>
      <c r="M2514">
        <v>100</v>
      </c>
      <c r="N2514" t="s">
        <v>49</v>
      </c>
      <c r="O2514" t="s">
        <v>4541</v>
      </c>
      <c r="P2514" t="s">
        <v>170</v>
      </c>
      <c r="T2514">
        <v>4</v>
      </c>
      <c r="U2514" t="s">
        <v>56</v>
      </c>
      <c r="V2514" t="s">
        <v>56</v>
      </c>
    </row>
    <row r="2515" spans="1:22" x14ac:dyDescent="0.3">
      <c r="A2515" s="49">
        <v>45273</v>
      </c>
      <c r="E2515" t="s">
        <v>3146</v>
      </c>
      <c r="G2515" t="s">
        <v>5155</v>
      </c>
      <c r="H2515" t="s">
        <v>28</v>
      </c>
      <c r="I2515" t="s">
        <v>5629</v>
      </c>
      <c r="J2515" t="s">
        <v>63</v>
      </c>
      <c r="K2515" t="s">
        <v>64</v>
      </c>
      <c r="M2515">
        <v>100</v>
      </c>
      <c r="N2515" t="s">
        <v>49</v>
      </c>
      <c r="O2515" t="s">
        <v>4542</v>
      </c>
      <c r="P2515" t="s">
        <v>668</v>
      </c>
      <c r="T2515">
        <v>4</v>
      </c>
      <c r="U2515" t="s">
        <v>56</v>
      </c>
      <c r="V2515" t="s">
        <v>56</v>
      </c>
    </row>
    <row r="2516" spans="1:22" x14ac:dyDescent="0.3">
      <c r="A2516" s="49">
        <v>45273</v>
      </c>
      <c r="E2516" t="s">
        <v>3146</v>
      </c>
      <c r="G2516" t="s">
        <v>5023</v>
      </c>
      <c r="H2516" t="s">
        <v>28</v>
      </c>
      <c r="I2516" t="s">
        <v>5965</v>
      </c>
      <c r="J2516" t="s">
        <v>63</v>
      </c>
      <c r="K2516" t="s">
        <v>64</v>
      </c>
      <c r="M2516">
        <v>100</v>
      </c>
      <c r="N2516" t="s">
        <v>49</v>
      </c>
      <c r="O2516" t="s">
        <v>4543</v>
      </c>
      <c r="P2516" t="s">
        <v>170</v>
      </c>
      <c r="T2516">
        <v>4</v>
      </c>
      <c r="U2516" t="s">
        <v>56</v>
      </c>
      <c r="V2516" t="s">
        <v>56</v>
      </c>
    </row>
    <row r="2517" spans="1:22" x14ac:dyDescent="0.3">
      <c r="A2517" s="49">
        <v>45273</v>
      </c>
      <c r="E2517" t="s">
        <v>3146</v>
      </c>
      <c r="G2517" t="s">
        <v>5023</v>
      </c>
      <c r="H2517" t="s">
        <v>28</v>
      </c>
      <c r="I2517" t="s">
        <v>5965</v>
      </c>
      <c r="J2517" t="s">
        <v>63</v>
      </c>
      <c r="K2517" t="s">
        <v>64</v>
      </c>
      <c r="M2517">
        <v>100</v>
      </c>
      <c r="N2517" t="s">
        <v>49</v>
      </c>
      <c r="O2517" t="s">
        <v>4543</v>
      </c>
      <c r="P2517" t="s">
        <v>170</v>
      </c>
      <c r="T2517">
        <v>4</v>
      </c>
      <c r="U2517" t="s">
        <v>56</v>
      </c>
      <c r="V2517" t="s">
        <v>56</v>
      </c>
    </row>
    <row r="2518" spans="1:22" x14ac:dyDescent="0.3">
      <c r="A2518" s="49">
        <v>45273</v>
      </c>
      <c r="E2518" t="s">
        <v>3146</v>
      </c>
      <c r="G2518" t="s">
        <v>5023</v>
      </c>
      <c r="H2518" t="s">
        <v>28</v>
      </c>
      <c r="I2518" t="s">
        <v>5965</v>
      </c>
      <c r="J2518" t="s">
        <v>63</v>
      </c>
      <c r="K2518" t="s">
        <v>64</v>
      </c>
      <c r="M2518">
        <v>100</v>
      </c>
      <c r="N2518" t="s">
        <v>49</v>
      </c>
      <c r="O2518" t="s">
        <v>4543</v>
      </c>
      <c r="P2518" t="s">
        <v>170</v>
      </c>
      <c r="T2518">
        <v>4</v>
      </c>
      <c r="U2518" t="s">
        <v>56</v>
      </c>
      <c r="V2518" t="s">
        <v>56</v>
      </c>
    </row>
    <row r="2519" spans="1:22" x14ac:dyDescent="0.3">
      <c r="A2519" s="49">
        <v>45273</v>
      </c>
      <c r="E2519" t="s">
        <v>3116</v>
      </c>
      <c r="G2519" t="s">
        <v>4977</v>
      </c>
      <c r="H2519" t="s">
        <v>28</v>
      </c>
      <c r="I2519" t="s">
        <v>5966</v>
      </c>
      <c r="J2519" t="s">
        <v>63</v>
      </c>
      <c r="K2519" t="s">
        <v>64</v>
      </c>
      <c r="M2519">
        <v>100</v>
      </c>
      <c r="N2519" t="s">
        <v>33</v>
      </c>
      <c r="O2519" t="s">
        <v>4544</v>
      </c>
      <c r="P2519" t="s">
        <v>4916</v>
      </c>
      <c r="T2519">
        <v>4</v>
      </c>
      <c r="U2519" t="s">
        <v>56</v>
      </c>
      <c r="V2519" t="s">
        <v>56</v>
      </c>
    </row>
    <row r="2520" spans="1:22" x14ac:dyDescent="0.3">
      <c r="A2520" s="49">
        <v>45273</v>
      </c>
      <c r="E2520" t="s">
        <v>3116</v>
      </c>
      <c r="G2520" t="s">
        <v>5357</v>
      </c>
      <c r="H2520" t="s">
        <v>28</v>
      </c>
      <c r="I2520" t="s">
        <v>5967</v>
      </c>
      <c r="J2520" t="s">
        <v>63</v>
      </c>
      <c r="K2520" t="s">
        <v>211</v>
      </c>
      <c r="M2520">
        <v>80</v>
      </c>
      <c r="N2520" t="s">
        <v>49</v>
      </c>
      <c r="O2520" t="s">
        <v>4545</v>
      </c>
      <c r="P2520" t="s">
        <v>2627</v>
      </c>
      <c r="T2520">
        <v>4</v>
      </c>
      <c r="U2520" t="s">
        <v>56</v>
      </c>
      <c r="V2520" t="s">
        <v>56</v>
      </c>
    </row>
    <row r="2521" spans="1:22" x14ac:dyDescent="0.3">
      <c r="A2521" s="49">
        <v>45273</v>
      </c>
      <c r="E2521" t="s">
        <v>3116</v>
      </c>
      <c r="G2521" t="s">
        <v>4977</v>
      </c>
      <c r="H2521" t="s">
        <v>28</v>
      </c>
      <c r="I2521" t="s">
        <v>5968</v>
      </c>
      <c r="J2521" t="s">
        <v>63</v>
      </c>
      <c r="K2521" t="s">
        <v>64</v>
      </c>
      <c r="M2521">
        <v>20</v>
      </c>
      <c r="N2521" t="s">
        <v>33</v>
      </c>
      <c r="O2521" t="s">
        <v>4546</v>
      </c>
      <c r="P2521" t="s">
        <v>163</v>
      </c>
      <c r="T2521">
        <v>4</v>
      </c>
      <c r="U2521" t="s">
        <v>56</v>
      </c>
      <c r="V2521" t="s">
        <v>56</v>
      </c>
    </row>
    <row r="2522" spans="1:22" x14ac:dyDescent="0.3">
      <c r="A2522" s="49">
        <v>45273</v>
      </c>
      <c r="E2522" t="s">
        <v>3116</v>
      </c>
      <c r="G2522" t="s">
        <v>4977</v>
      </c>
      <c r="H2522" t="s">
        <v>89</v>
      </c>
      <c r="J2522" t="s">
        <v>63</v>
      </c>
      <c r="K2522" t="s">
        <v>64</v>
      </c>
      <c r="M2522">
        <v>23</v>
      </c>
      <c r="N2522" t="s">
        <v>33</v>
      </c>
      <c r="O2522" t="s">
        <v>4547</v>
      </c>
      <c r="P2522" t="s">
        <v>381</v>
      </c>
      <c r="T2522">
        <v>4</v>
      </c>
      <c r="U2522" t="s">
        <v>56</v>
      </c>
      <c r="V2522" t="s">
        <v>56</v>
      </c>
    </row>
    <row r="2523" spans="1:22" x14ac:dyDescent="0.3">
      <c r="A2523" s="49">
        <v>45273</v>
      </c>
      <c r="E2523" t="s">
        <v>3116</v>
      </c>
      <c r="G2523" t="s">
        <v>4977</v>
      </c>
      <c r="H2523" t="s">
        <v>28</v>
      </c>
      <c r="I2523" t="s">
        <v>5966</v>
      </c>
      <c r="J2523" t="s">
        <v>63</v>
      </c>
      <c r="K2523" t="s">
        <v>64</v>
      </c>
      <c r="M2523">
        <v>0</v>
      </c>
      <c r="N2523" t="s">
        <v>74</v>
      </c>
      <c r="O2523" t="s">
        <v>4544</v>
      </c>
      <c r="P2523" t="s">
        <v>4916</v>
      </c>
      <c r="T2523">
        <v>4</v>
      </c>
      <c r="U2523" t="s">
        <v>56</v>
      </c>
      <c r="V2523" t="s">
        <v>56</v>
      </c>
    </row>
    <row r="2524" spans="1:22" x14ac:dyDescent="0.3">
      <c r="A2524" s="49">
        <v>45273</v>
      </c>
      <c r="E2524" t="s">
        <v>3177</v>
      </c>
      <c r="G2524" t="s">
        <v>5358</v>
      </c>
      <c r="H2524" t="s">
        <v>28</v>
      </c>
      <c r="I2524" t="s">
        <v>5969</v>
      </c>
      <c r="J2524" t="s">
        <v>63</v>
      </c>
      <c r="K2524" t="s">
        <v>64</v>
      </c>
      <c r="M2524">
        <v>100</v>
      </c>
      <c r="N2524" t="s">
        <v>49</v>
      </c>
      <c r="O2524" t="s">
        <v>4548</v>
      </c>
      <c r="P2524" t="s">
        <v>170</v>
      </c>
      <c r="T2524">
        <v>4</v>
      </c>
      <c r="U2524" t="s">
        <v>56</v>
      </c>
      <c r="V2524" t="s">
        <v>56</v>
      </c>
    </row>
    <row r="2525" spans="1:22" x14ac:dyDescent="0.3">
      <c r="A2525" s="49">
        <v>45273</v>
      </c>
      <c r="E2525" t="s">
        <v>3177</v>
      </c>
      <c r="G2525" t="s">
        <v>5358</v>
      </c>
      <c r="H2525" t="s">
        <v>28</v>
      </c>
      <c r="I2525" t="s">
        <v>5969</v>
      </c>
      <c r="J2525" t="s">
        <v>63</v>
      </c>
      <c r="K2525" t="s">
        <v>64</v>
      </c>
      <c r="M2525">
        <v>100</v>
      </c>
      <c r="N2525" t="s">
        <v>49</v>
      </c>
      <c r="O2525" t="s">
        <v>4548</v>
      </c>
      <c r="P2525" t="s">
        <v>170</v>
      </c>
      <c r="T2525">
        <v>4</v>
      </c>
      <c r="U2525" t="s">
        <v>56</v>
      </c>
      <c r="V2525" t="s">
        <v>56</v>
      </c>
    </row>
    <row r="2526" spans="1:22" x14ac:dyDescent="0.3">
      <c r="A2526" s="49">
        <v>45273</v>
      </c>
      <c r="E2526" t="s">
        <v>2309</v>
      </c>
      <c r="G2526" t="s">
        <v>5270</v>
      </c>
      <c r="H2526" t="s">
        <v>28</v>
      </c>
      <c r="I2526" t="s">
        <v>5970</v>
      </c>
      <c r="J2526" t="s">
        <v>30</v>
      </c>
      <c r="K2526" t="s">
        <v>31</v>
      </c>
      <c r="M2526">
        <v>75</v>
      </c>
      <c r="N2526" t="s">
        <v>33</v>
      </c>
      <c r="O2526" t="s">
        <v>4549</v>
      </c>
      <c r="P2526" t="s">
        <v>4882</v>
      </c>
      <c r="T2526">
        <v>4</v>
      </c>
      <c r="U2526" t="s">
        <v>56</v>
      </c>
      <c r="V2526" t="s">
        <v>56</v>
      </c>
    </row>
    <row r="2527" spans="1:22" x14ac:dyDescent="0.3">
      <c r="A2527" s="49">
        <v>45273</v>
      </c>
      <c r="E2527" t="s">
        <v>2309</v>
      </c>
      <c r="G2527" t="s">
        <v>5270</v>
      </c>
      <c r="H2527" t="s">
        <v>28</v>
      </c>
      <c r="I2527" t="s">
        <v>5971</v>
      </c>
      <c r="J2527" t="s">
        <v>46</v>
      </c>
      <c r="K2527" t="s">
        <v>911</v>
      </c>
      <c r="M2527">
        <v>30</v>
      </c>
      <c r="N2527" t="s">
        <v>33</v>
      </c>
      <c r="O2527" t="s">
        <v>4550</v>
      </c>
      <c r="P2527" t="s">
        <v>4917</v>
      </c>
      <c r="T2527">
        <v>6</v>
      </c>
      <c r="U2527" t="s">
        <v>40</v>
      </c>
      <c r="V2527" t="s">
        <v>41</v>
      </c>
    </row>
    <row r="2528" spans="1:22" x14ac:dyDescent="0.3">
      <c r="A2528" s="49">
        <v>45273</v>
      </c>
      <c r="E2528" t="s">
        <v>2309</v>
      </c>
      <c r="G2528" t="s">
        <v>5067</v>
      </c>
      <c r="H2528" t="s">
        <v>89</v>
      </c>
      <c r="J2528" t="s">
        <v>30</v>
      </c>
      <c r="K2528" t="s">
        <v>1546</v>
      </c>
      <c r="M2528">
        <v>90</v>
      </c>
      <c r="N2528" t="s">
        <v>33</v>
      </c>
      <c r="O2528" t="s">
        <v>4551</v>
      </c>
      <c r="P2528" t="s">
        <v>1230</v>
      </c>
      <c r="T2528">
        <v>6</v>
      </c>
      <c r="U2528" t="s">
        <v>40</v>
      </c>
      <c r="V2528" t="s">
        <v>41</v>
      </c>
    </row>
    <row r="2529" spans="1:22" x14ac:dyDescent="0.3">
      <c r="A2529" s="49">
        <v>45273</v>
      </c>
      <c r="E2529" t="s">
        <v>2309</v>
      </c>
      <c r="G2529" t="s">
        <v>5067</v>
      </c>
      <c r="H2529" t="s">
        <v>28</v>
      </c>
      <c r="I2529" t="s">
        <v>5972</v>
      </c>
      <c r="J2529" t="s">
        <v>30</v>
      </c>
      <c r="K2529" t="s">
        <v>64</v>
      </c>
      <c r="M2529">
        <v>100</v>
      </c>
      <c r="N2529" t="s">
        <v>49</v>
      </c>
      <c r="O2529" t="s">
        <v>4552</v>
      </c>
      <c r="P2529" t="s">
        <v>2178</v>
      </c>
      <c r="T2529">
        <v>4</v>
      </c>
      <c r="U2529" t="s">
        <v>56</v>
      </c>
      <c r="V2529" t="s">
        <v>56</v>
      </c>
    </row>
    <row r="2530" spans="1:22" x14ac:dyDescent="0.3">
      <c r="A2530" s="49">
        <v>45273</v>
      </c>
      <c r="E2530" t="s">
        <v>2309</v>
      </c>
      <c r="G2530" t="s">
        <v>5025</v>
      </c>
      <c r="H2530" t="s">
        <v>28</v>
      </c>
      <c r="I2530" t="s">
        <v>5636</v>
      </c>
      <c r="J2530" t="s">
        <v>30</v>
      </c>
      <c r="K2530" t="s">
        <v>1546</v>
      </c>
      <c r="M2530">
        <v>100</v>
      </c>
      <c r="N2530" t="s">
        <v>49</v>
      </c>
      <c r="O2530" t="s">
        <v>4553</v>
      </c>
      <c r="P2530" t="s">
        <v>791</v>
      </c>
      <c r="T2530">
        <v>6</v>
      </c>
      <c r="U2530" t="s">
        <v>40</v>
      </c>
      <c r="V2530" t="s">
        <v>41</v>
      </c>
    </row>
    <row r="2531" spans="1:22" x14ac:dyDescent="0.3">
      <c r="A2531" s="49">
        <v>45273</v>
      </c>
      <c r="E2531" t="s">
        <v>2309</v>
      </c>
      <c r="G2531" t="s">
        <v>5025</v>
      </c>
      <c r="H2531" t="s">
        <v>28</v>
      </c>
      <c r="I2531" t="s">
        <v>5636</v>
      </c>
      <c r="J2531" t="s">
        <v>30</v>
      </c>
      <c r="K2531" t="s">
        <v>1546</v>
      </c>
      <c r="M2531">
        <v>100</v>
      </c>
      <c r="N2531" t="s">
        <v>49</v>
      </c>
      <c r="O2531" t="s">
        <v>3683</v>
      </c>
      <c r="P2531" t="s">
        <v>344</v>
      </c>
      <c r="T2531">
        <v>6</v>
      </c>
      <c r="U2531" t="s">
        <v>40</v>
      </c>
      <c r="V2531" t="s">
        <v>41</v>
      </c>
    </row>
    <row r="2532" spans="1:22" x14ac:dyDescent="0.3">
      <c r="A2532" s="49">
        <v>45273</v>
      </c>
      <c r="E2532" t="s">
        <v>2309</v>
      </c>
      <c r="G2532" t="s">
        <v>5025</v>
      </c>
      <c r="H2532" t="s">
        <v>28</v>
      </c>
      <c r="I2532" t="s">
        <v>5636</v>
      </c>
      <c r="J2532" t="s">
        <v>30</v>
      </c>
      <c r="K2532" t="s">
        <v>1546</v>
      </c>
      <c r="M2532">
        <v>100</v>
      </c>
      <c r="N2532" t="s">
        <v>49</v>
      </c>
      <c r="O2532" t="s">
        <v>3683</v>
      </c>
      <c r="P2532" t="s">
        <v>344</v>
      </c>
      <c r="T2532">
        <v>6</v>
      </c>
      <c r="U2532" t="s">
        <v>40</v>
      </c>
      <c r="V2532" t="s">
        <v>41</v>
      </c>
    </row>
    <row r="2533" spans="1:22" x14ac:dyDescent="0.3">
      <c r="A2533" s="49">
        <v>45273</v>
      </c>
      <c r="E2533" t="s">
        <v>2309</v>
      </c>
      <c r="G2533" t="s">
        <v>5359</v>
      </c>
      <c r="H2533" t="s">
        <v>28</v>
      </c>
      <c r="I2533" t="s">
        <v>5973</v>
      </c>
      <c r="J2533" t="s">
        <v>30</v>
      </c>
      <c r="K2533" t="s">
        <v>1546</v>
      </c>
      <c r="M2533">
        <v>30</v>
      </c>
      <c r="N2533" t="s">
        <v>33</v>
      </c>
      <c r="O2533" t="s">
        <v>4554</v>
      </c>
      <c r="P2533" t="s">
        <v>416</v>
      </c>
      <c r="T2533">
        <v>6</v>
      </c>
      <c r="U2533" t="s">
        <v>40</v>
      </c>
      <c r="V2533" t="s">
        <v>41</v>
      </c>
    </row>
    <row r="2534" spans="1:22" x14ac:dyDescent="0.3">
      <c r="A2534" s="49">
        <v>45273</v>
      </c>
      <c r="E2534" t="s">
        <v>2309</v>
      </c>
      <c r="G2534" t="s">
        <v>5025</v>
      </c>
      <c r="H2534" t="s">
        <v>28</v>
      </c>
      <c r="I2534" t="s">
        <v>5636</v>
      </c>
      <c r="J2534" t="s">
        <v>30</v>
      </c>
      <c r="K2534" t="s">
        <v>1546</v>
      </c>
      <c r="M2534">
        <v>100</v>
      </c>
      <c r="N2534" t="s">
        <v>49</v>
      </c>
      <c r="O2534" t="s">
        <v>4553</v>
      </c>
      <c r="P2534" t="s">
        <v>791</v>
      </c>
      <c r="T2534">
        <v>6</v>
      </c>
      <c r="U2534" t="s">
        <v>40</v>
      </c>
      <c r="V2534" t="s">
        <v>41</v>
      </c>
    </row>
    <row r="2535" spans="1:22" x14ac:dyDescent="0.3">
      <c r="A2535" s="49">
        <v>45273</v>
      </c>
      <c r="E2535" t="s">
        <v>3117</v>
      </c>
      <c r="G2535" t="s">
        <v>5360</v>
      </c>
      <c r="H2535" t="s">
        <v>28</v>
      </c>
      <c r="I2535" t="s">
        <v>5974</v>
      </c>
      <c r="J2535" t="s">
        <v>30</v>
      </c>
      <c r="K2535" t="s">
        <v>264</v>
      </c>
      <c r="M2535">
        <v>100</v>
      </c>
      <c r="N2535" t="s">
        <v>49</v>
      </c>
      <c r="O2535" t="s">
        <v>4555</v>
      </c>
      <c r="P2535" t="s">
        <v>344</v>
      </c>
      <c r="T2535">
        <v>4</v>
      </c>
      <c r="U2535" t="s">
        <v>56</v>
      </c>
      <c r="V2535" t="s">
        <v>56</v>
      </c>
    </row>
    <row r="2536" spans="1:22" x14ac:dyDescent="0.3">
      <c r="A2536" s="49">
        <v>45273</v>
      </c>
      <c r="E2536" t="s">
        <v>3117</v>
      </c>
      <c r="G2536" t="s">
        <v>5360</v>
      </c>
      <c r="H2536" t="s">
        <v>28</v>
      </c>
      <c r="I2536" t="s">
        <v>5974</v>
      </c>
      <c r="J2536" t="s">
        <v>30</v>
      </c>
      <c r="K2536" t="s">
        <v>264</v>
      </c>
      <c r="M2536">
        <v>100</v>
      </c>
      <c r="N2536" t="s">
        <v>49</v>
      </c>
      <c r="O2536" t="s">
        <v>4555</v>
      </c>
      <c r="P2536" t="s">
        <v>344</v>
      </c>
      <c r="T2536">
        <v>4</v>
      </c>
      <c r="U2536" t="s">
        <v>56</v>
      </c>
      <c r="V2536" t="s">
        <v>56</v>
      </c>
    </row>
    <row r="2537" spans="1:22" x14ac:dyDescent="0.3">
      <c r="A2537" s="49">
        <v>45273</v>
      </c>
      <c r="E2537" t="s">
        <v>3117</v>
      </c>
      <c r="G2537" t="s">
        <v>5361</v>
      </c>
      <c r="H2537" t="s">
        <v>28</v>
      </c>
      <c r="I2537" t="s">
        <v>5975</v>
      </c>
      <c r="J2537" t="s">
        <v>30</v>
      </c>
      <c r="K2537" t="s">
        <v>1546</v>
      </c>
      <c r="M2537">
        <v>100</v>
      </c>
      <c r="N2537" t="s">
        <v>49</v>
      </c>
      <c r="O2537" t="s">
        <v>4556</v>
      </c>
      <c r="P2537" t="s">
        <v>66</v>
      </c>
      <c r="T2537">
        <v>4</v>
      </c>
      <c r="U2537" t="s">
        <v>56</v>
      </c>
      <c r="V2537" t="s">
        <v>56</v>
      </c>
    </row>
    <row r="2538" spans="1:22" x14ac:dyDescent="0.3">
      <c r="A2538" s="49">
        <v>45273</v>
      </c>
      <c r="E2538" t="s">
        <v>3178</v>
      </c>
      <c r="G2538" t="s">
        <v>796</v>
      </c>
      <c r="H2538" t="s">
        <v>3245</v>
      </c>
      <c r="I2538" t="s">
        <v>797</v>
      </c>
      <c r="J2538" t="s">
        <v>30</v>
      </c>
      <c r="K2538" t="s">
        <v>264</v>
      </c>
      <c r="M2538">
        <v>30</v>
      </c>
      <c r="N2538" t="s">
        <v>49</v>
      </c>
      <c r="O2538" t="s">
        <v>4557</v>
      </c>
      <c r="P2538" t="s">
        <v>373</v>
      </c>
      <c r="T2538">
        <v>4</v>
      </c>
      <c r="U2538" t="s">
        <v>56</v>
      </c>
      <c r="V2538" t="s">
        <v>56</v>
      </c>
    </row>
    <row r="2539" spans="1:22" x14ac:dyDescent="0.3">
      <c r="A2539" s="49">
        <v>45273</v>
      </c>
      <c r="E2539" t="s">
        <v>3178</v>
      </c>
      <c r="G2539" t="s">
        <v>5159</v>
      </c>
      <c r="H2539" t="s">
        <v>28</v>
      </c>
      <c r="I2539" t="s">
        <v>5638</v>
      </c>
      <c r="J2539" t="s">
        <v>30</v>
      </c>
      <c r="K2539" t="s">
        <v>1546</v>
      </c>
      <c r="M2539">
        <v>100</v>
      </c>
      <c r="N2539" t="s">
        <v>49</v>
      </c>
      <c r="O2539" t="s">
        <v>4558</v>
      </c>
      <c r="P2539" t="s">
        <v>1230</v>
      </c>
      <c r="T2539">
        <v>4</v>
      </c>
      <c r="U2539" t="s">
        <v>56</v>
      </c>
      <c r="V2539" t="s">
        <v>56</v>
      </c>
    </row>
    <row r="2540" spans="1:22" x14ac:dyDescent="0.3">
      <c r="A2540" s="49">
        <v>45273</v>
      </c>
      <c r="E2540" t="s">
        <v>3209</v>
      </c>
      <c r="G2540" t="s">
        <v>5160</v>
      </c>
      <c r="H2540" t="s">
        <v>28</v>
      </c>
      <c r="I2540" t="s">
        <v>5976</v>
      </c>
      <c r="J2540" t="s">
        <v>30</v>
      </c>
      <c r="K2540" t="s">
        <v>1546</v>
      </c>
      <c r="M2540">
        <v>30</v>
      </c>
      <c r="N2540" t="s">
        <v>49</v>
      </c>
      <c r="O2540" t="s">
        <v>4559</v>
      </c>
      <c r="P2540" t="s">
        <v>651</v>
      </c>
      <c r="T2540">
        <v>4</v>
      </c>
      <c r="U2540" t="s">
        <v>56</v>
      </c>
      <c r="V2540" t="s">
        <v>56</v>
      </c>
    </row>
    <row r="2541" spans="1:22" x14ac:dyDescent="0.3">
      <c r="A2541" s="49">
        <v>45273</v>
      </c>
      <c r="E2541" t="s">
        <v>3180</v>
      </c>
      <c r="G2541" t="s">
        <v>5068</v>
      </c>
      <c r="H2541" t="s">
        <v>28</v>
      </c>
      <c r="I2541" t="s">
        <v>5977</v>
      </c>
      <c r="J2541" t="s">
        <v>30</v>
      </c>
      <c r="K2541" t="s">
        <v>1546</v>
      </c>
      <c r="M2541">
        <v>30</v>
      </c>
      <c r="N2541" t="s">
        <v>33</v>
      </c>
      <c r="O2541" t="s">
        <v>4560</v>
      </c>
      <c r="P2541" t="s">
        <v>1094</v>
      </c>
      <c r="T2541">
        <v>4</v>
      </c>
      <c r="U2541" t="s">
        <v>56</v>
      </c>
      <c r="V2541" t="s">
        <v>56</v>
      </c>
    </row>
    <row r="2542" spans="1:22" x14ac:dyDescent="0.3">
      <c r="A2542" s="49">
        <v>45273</v>
      </c>
      <c r="E2542" t="s">
        <v>3228</v>
      </c>
      <c r="G2542" t="s">
        <v>5362</v>
      </c>
      <c r="H2542" t="s">
        <v>28</v>
      </c>
      <c r="I2542" t="s">
        <v>5978</v>
      </c>
      <c r="J2542" t="s">
        <v>63</v>
      </c>
      <c r="K2542" t="s">
        <v>197</v>
      </c>
      <c r="M2542">
        <v>60</v>
      </c>
      <c r="N2542" t="s">
        <v>49</v>
      </c>
      <c r="O2542" t="s">
        <v>4561</v>
      </c>
      <c r="P2542" t="s">
        <v>1159</v>
      </c>
      <c r="T2542">
        <v>4</v>
      </c>
      <c r="U2542" t="s">
        <v>56</v>
      </c>
      <c r="V2542" t="s">
        <v>56</v>
      </c>
    </row>
    <row r="2543" spans="1:22" x14ac:dyDescent="0.3">
      <c r="A2543" s="49">
        <v>45273</v>
      </c>
      <c r="E2543" t="s">
        <v>1064</v>
      </c>
      <c r="G2543" t="s">
        <v>5363</v>
      </c>
      <c r="H2543" t="s">
        <v>89</v>
      </c>
      <c r="J2543" t="s">
        <v>63</v>
      </c>
      <c r="K2543" t="s">
        <v>211</v>
      </c>
      <c r="M2543">
        <v>64</v>
      </c>
      <c r="N2543" t="s">
        <v>49</v>
      </c>
      <c r="O2543" t="s">
        <v>4562</v>
      </c>
      <c r="P2543" t="s">
        <v>344</v>
      </c>
      <c r="T2543">
        <v>4</v>
      </c>
      <c r="U2543" t="s">
        <v>56</v>
      </c>
      <c r="V2543" t="s">
        <v>56</v>
      </c>
    </row>
    <row r="2544" spans="1:22" x14ac:dyDescent="0.3">
      <c r="A2544" s="49">
        <v>45273</v>
      </c>
      <c r="E2544" t="s">
        <v>1064</v>
      </c>
      <c r="G2544" t="s">
        <v>5364</v>
      </c>
      <c r="H2544" t="s">
        <v>28</v>
      </c>
      <c r="I2544" t="s">
        <v>5979</v>
      </c>
      <c r="J2544" t="s">
        <v>1712</v>
      </c>
      <c r="K2544" t="s">
        <v>422</v>
      </c>
      <c r="M2544">
        <v>100</v>
      </c>
      <c r="N2544" t="s">
        <v>49</v>
      </c>
      <c r="O2544" t="s">
        <v>4563</v>
      </c>
      <c r="P2544" t="s">
        <v>4897</v>
      </c>
      <c r="T2544">
        <v>4</v>
      </c>
      <c r="U2544" t="s">
        <v>56</v>
      </c>
      <c r="V2544" t="s">
        <v>56</v>
      </c>
    </row>
    <row r="2545" spans="1:22" x14ac:dyDescent="0.3">
      <c r="A2545" s="49">
        <v>45273</v>
      </c>
      <c r="E2545" t="s">
        <v>1064</v>
      </c>
      <c r="G2545" t="s">
        <v>5364</v>
      </c>
      <c r="H2545" t="s">
        <v>28</v>
      </c>
      <c r="I2545" t="s">
        <v>5979</v>
      </c>
      <c r="J2545" t="s">
        <v>1712</v>
      </c>
      <c r="K2545" t="s">
        <v>422</v>
      </c>
      <c r="M2545">
        <v>100</v>
      </c>
      <c r="N2545" t="s">
        <v>49</v>
      </c>
      <c r="O2545" t="s">
        <v>4563</v>
      </c>
      <c r="P2545" t="s">
        <v>4897</v>
      </c>
      <c r="T2545">
        <v>4</v>
      </c>
      <c r="U2545" t="s">
        <v>56</v>
      </c>
      <c r="V2545" t="s">
        <v>56</v>
      </c>
    </row>
    <row r="2546" spans="1:22" x14ac:dyDescent="0.3">
      <c r="A2546" s="49">
        <v>45273</v>
      </c>
      <c r="E2546" t="s">
        <v>1064</v>
      </c>
      <c r="G2546" t="s">
        <v>5364</v>
      </c>
      <c r="H2546" t="s">
        <v>28</v>
      </c>
      <c r="I2546" t="s">
        <v>5979</v>
      </c>
      <c r="J2546" t="s">
        <v>1712</v>
      </c>
      <c r="K2546" t="s">
        <v>422</v>
      </c>
      <c r="M2546">
        <v>100</v>
      </c>
      <c r="N2546" t="s">
        <v>49</v>
      </c>
      <c r="O2546" t="s">
        <v>4563</v>
      </c>
      <c r="P2546" t="s">
        <v>4897</v>
      </c>
      <c r="T2546">
        <v>4</v>
      </c>
      <c r="U2546" t="s">
        <v>56</v>
      </c>
      <c r="V2546" t="s">
        <v>56</v>
      </c>
    </row>
    <row r="2547" spans="1:22" x14ac:dyDescent="0.3">
      <c r="A2547" s="49">
        <v>45273</v>
      </c>
      <c r="E2547" t="s">
        <v>3230</v>
      </c>
      <c r="G2547" t="s">
        <v>5280</v>
      </c>
      <c r="H2547" t="s">
        <v>28</v>
      </c>
      <c r="I2547" t="s">
        <v>5832</v>
      </c>
      <c r="J2547" t="s">
        <v>63</v>
      </c>
      <c r="K2547" t="s">
        <v>64</v>
      </c>
      <c r="M2547">
        <v>100</v>
      </c>
      <c r="N2547" t="s">
        <v>49</v>
      </c>
      <c r="O2547" t="s">
        <v>4153</v>
      </c>
      <c r="P2547" t="s">
        <v>4887</v>
      </c>
      <c r="S2547" t="s">
        <v>6328</v>
      </c>
      <c r="T2547">
        <v>4</v>
      </c>
      <c r="U2547" t="s">
        <v>56</v>
      </c>
      <c r="V2547" t="s">
        <v>56</v>
      </c>
    </row>
    <row r="2548" spans="1:22" x14ac:dyDescent="0.3">
      <c r="A2548" s="49">
        <v>45273</v>
      </c>
      <c r="E2548" t="s">
        <v>3188</v>
      </c>
      <c r="G2548" t="s">
        <v>5281</v>
      </c>
      <c r="H2548" t="s">
        <v>28</v>
      </c>
      <c r="I2548" t="s">
        <v>1719</v>
      </c>
      <c r="J2548" t="s">
        <v>63</v>
      </c>
      <c r="K2548" t="s">
        <v>64</v>
      </c>
      <c r="M2548">
        <v>50</v>
      </c>
      <c r="N2548" t="s">
        <v>33</v>
      </c>
      <c r="O2548" t="s">
        <v>4564</v>
      </c>
      <c r="P2548" t="s">
        <v>170</v>
      </c>
      <c r="T2548">
        <v>4</v>
      </c>
      <c r="U2548" t="s">
        <v>56</v>
      </c>
      <c r="V2548" t="s">
        <v>56</v>
      </c>
    </row>
    <row r="2549" spans="1:22" x14ac:dyDescent="0.3">
      <c r="A2549" s="49">
        <v>45273</v>
      </c>
      <c r="E2549" t="s">
        <v>3188</v>
      </c>
      <c r="G2549" t="s">
        <v>5094</v>
      </c>
      <c r="H2549" t="s">
        <v>89</v>
      </c>
      <c r="J2549" t="s">
        <v>63</v>
      </c>
      <c r="K2549" t="s">
        <v>64</v>
      </c>
      <c r="M2549">
        <v>100</v>
      </c>
      <c r="N2549" t="s">
        <v>33</v>
      </c>
      <c r="O2549" t="s">
        <v>4565</v>
      </c>
      <c r="P2549" t="s">
        <v>1054</v>
      </c>
      <c r="T2549">
        <v>4</v>
      </c>
      <c r="U2549" t="s">
        <v>56</v>
      </c>
      <c r="V2549" t="s">
        <v>56</v>
      </c>
    </row>
    <row r="2550" spans="1:22" x14ac:dyDescent="0.3">
      <c r="A2550" s="49">
        <v>45273</v>
      </c>
      <c r="E2550" t="s">
        <v>3151</v>
      </c>
      <c r="G2550" t="s">
        <v>5029</v>
      </c>
      <c r="H2550" t="s">
        <v>28</v>
      </c>
      <c r="I2550" t="s">
        <v>5452</v>
      </c>
      <c r="J2550" t="s">
        <v>63</v>
      </c>
      <c r="K2550" t="s">
        <v>4945</v>
      </c>
      <c r="M2550">
        <v>50</v>
      </c>
      <c r="N2550" t="s">
        <v>49</v>
      </c>
      <c r="O2550" t="s">
        <v>3361</v>
      </c>
      <c r="P2550" t="s">
        <v>344</v>
      </c>
      <c r="T2550">
        <v>4</v>
      </c>
      <c r="U2550" t="s">
        <v>56</v>
      </c>
      <c r="V2550" t="s">
        <v>56</v>
      </c>
    </row>
    <row r="2551" spans="1:22" x14ac:dyDescent="0.3">
      <c r="A2551" s="49">
        <v>45273</v>
      </c>
      <c r="E2551" t="s">
        <v>3151</v>
      </c>
      <c r="G2551" t="s">
        <v>5365</v>
      </c>
      <c r="H2551" t="s">
        <v>28</v>
      </c>
      <c r="I2551" t="s">
        <v>5980</v>
      </c>
      <c r="J2551" t="s">
        <v>63</v>
      </c>
      <c r="K2551" t="s">
        <v>197</v>
      </c>
      <c r="M2551">
        <v>33</v>
      </c>
      <c r="N2551" t="s">
        <v>49</v>
      </c>
      <c r="O2551" t="s">
        <v>4566</v>
      </c>
      <c r="P2551" t="s">
        <v>4837</v>
      </c>
      <c r="T2551">
        <v>4</v>
      </c>
      <c r="U2551" t="s">
        <v>56</v>
      </c>
      <c r="V2551" t="s">
        <v>56</v>
      </c>
    </row>
    <row r="2552" spans="1:22" x14ac:dyDescent="0.3">
      <c r="A2552" s="49">
        <v>45273</v>
      </c>
      <c r="E2552" t="s">
        <v>3153</v>
      </c>
      <c r="G2552" t="s">
        <v>5169</v>
      </c>
      <c r="H2552" t="s">
        <v>89</v>
      </c>
      <c r="J2552" t="s">
        <v>46</v>
      </c>
      <c r="K2552" t="s">
        <v>481</v>
      </c>
      <c r="M2552">
        <v>100</v>
      </c>
      <c r="N2552" t="s">
        <v>49</v>
      </c>
      <c r="O2552" t="s">
        <v>4567</v>
      </c>
      <c r="P2552" t="s">
        <v>791</v>
      </c>
      <c r="T2552">
        <v>4</v>
      </c>
      <c r="U2552" t="s">
        <v>56</v>
      </c>
      <c r="V2552" t="s">
        <v>56</v>
      </c>
    </row>
    <row r="2553" spans="1:22" x14ac:dyDescent="0.3">
      <c r="A2553" s="49">
        <v>45273</v>
      </c>
      <c r="E2553" t="s">
        <v>3153</v>
      </c>
      <c r="G2553" t="s">
        <v>5013</v>
      </c>
      <c r="H2553" t="s">
        <v>89</v>
      </c>
      <c r="J2553" t="s">
        <v>63</v>
      </c>
      <c r="K2553" t="s">
        <v>64</v>
      </c>
      <c r="M2553">
        <v>100</v>
      </c>
      <c r="N2553" t="s">
        <v>49</v>
      </c>
      <c r="O2553" t="s">
        <v>4568</v>
      </c>
      <c r="P2553" t="s">
        <v>1122</v>
      </c>
      <c r="T2553">
        <v>4</v>
      </c>
      <c r="U2553" t="s">
        <v>56</v>
      </c>
      <c r="V2553" t="s">
        <v>56</v>
      </c>
    </row>
    <row r="2554" spans="1:22" x14ac:dyDescent="0.3">
      <c r="A2554" s="49">
        <v>45273</v>
      </c>
      <c r="E2554" t="s">
        <v>3153</v>
      </c>
      <c r="G2554" t="s">
        <v>5013</v>
      </c>
      <c r="H2554" t="s">
        <v>28</v>
      </c>
      <c r="I2554" t="s">
        <v>5981</v>
      </c>
      <c r="J2554" t="s">
        <v>63</v>
      </c>
      <c r="K2554" t="s">
        <v>64</v>
      </c>
      <c r="M2554">
        <v>60</v>
      </c>
      <c r="N2554" t="s">
        <v>49</v>
      </c>
      <c r="O2554" t="s">
        <v>4569</v>
      </c>
      <c r="P2554" t="s">
        <v>668</v>
      </c>
      <c r="T2554">
        <v>4</v>
      </c>
      <c r="U2554" t="s">
        <v>56</v>
      </c>
      <c r="V2554" t="s">
        <v>56</v>
      </c>
    </row>
    <row r="2555" spans="1:22" x14ac:dyDescent="0.3">
      <c r="A2555" s="49">
        <v>45273</v>
      </c>
      <c r="E2555" t="s">
        <v>3153</v>
      </c>
      <c r="G2555" t="s">
        <v>5170</v>
      </c>
      <c r="H2555" t="s">
        <v>89</v>
      </c>
      <c r="J2555" t="s">
        <v>63</v>
      </c>
      <c r="K2555" t="s">
        <v>64</v>
      </c>
      <c r="M2555">
        <v>100</v>
      </c>
      <c r="N2555" t="s">
        <v>49</v>
      </c>
      <c r="O2555" t="s">
        <v>4570</v>
      </c>
      <c r="P2555" t="s">
        <v>483</v>
      </c>
      <c r="T2555">
        <v>4</v>
      </c>
      <c r="U2555" t="s">
        <v>56</v>
      </c>
      <c r="V2555" t="s">
        <v>56</v>
      </c>
    </row>
    <row r="2556" spans="1:22" x14ac:dyDescent="0.3">
      <c r="A2556" s="49">
        <v>45273</v>
      </c>
      <c r="E2556" t="s">
        <v>3153</v>
      </c>
      <c r="G2556" t="s">
        <v>5170</v>
      </c>
      <c r="H2556" t="s">
        <v>89</v>
      </c>
      <c r="J2556" t="s">
        <v>63</v>
      </c>
      <c r="K2556" t="s">
        <v>64</v>
      </c>
      <c r="M2556">
        <v>100</v>
      </c>
      <c r="N2556" t="s">
        <v>49</v>
      </c>
      <c r="O2556" t="s">
        <v>4571</v>
      </c>
      <c r="P2556" t="s">
        <v>1230</v>
      </c>
      <c r="T2556">
        <v>4</v>
      </c>
      <c r="U2556" t="s">
        <v>56</v>
      </c>
      <c r="V2556" t="s">
        <v>56</v>
      </c>
    </row>
    <row r="2557" spans="1:22" x14ac:dyDescent="0.3">
      <c r="A2557" s="49">
        <v>45273</v>
      </c>
      <c r="E2557" t="s">
        <v>3153</v>
      </c>
      <c r="G2557" t="s">
        <v>2605</v>
      </c>
      <c r="H2557" t="s">
        <v>28</v>
      </c>
      <c r="I2557" t="s">
        <v>5982</v>
      </c>
      <c r="J2557" t="s">
        <v>1712</v>
      </c>
      <c r="K2557" t="s">
        <v>481</v>
      </c>
      <c r="M2557">
        <v>100</v>
      </c>
      <c r="N2557" t="s">
        <v>49</v>
      </c>
      <c r="O2557" t="s">
        <v>4572</v>
      </c>
      <c r="P2557" t="s">
        <v>1727</v>
      </c>
      <c r="T2557">
        <v>4</v>
      </c>
      <c r="U2557" t="s">
        <v>56</v>
      </c>
      <c r="V2557" t="s">
        <v>56</v>
      </c>
    </row>
    <row r="2558" spans="1:22" x14ac:dyDescent="0.3">
      <c r="A2558" s="49">
        <v>45273</v>
      </c>
      <c r="E2558" t="s">
        <v>3212</v>
      </c>
      <c r="G2558" t="s">
        <v>5171</v>
      </c>
      <c r="H2558" t="s">
        <v>28</v>
      </c>
      <c r="I2558" t="s">
        <v>5647</v>
      </c>
      <c r="J2558" t="s">
        <v>63</v>
      </c>
      <c r="K2558" t="s">
        <v>211</v>
      </c>
      <c r="M2558">
        <v>100</v>
      </c>
      <c r="N2558" t="s">
        <v>49</v>
      </c>
      <c r="O2558" t="s">
        <v>4573</v>
      </c>
      <c r="P2558" t="s">
        <v>170</v>
      </c>
      <c r="T2558">
        <v>4</v>
      </c>
      <c r="U2558" t="s">
        <v>56</v>
      </c>
      <c r="V2558" t="s">
        <v>56</v>
      </c>
    </row>
    <row r="2559" spans="1:22" x14ac:dyDescent="0.3">
      <c r="A2559" s="49">
        <v>45273</v>
      </c>
      <c r="E2559" t="s">
        <v>3212</v>
      </c>
      <c r="G2559" t="s">
        <v>5171</v>
      </c>
      <c r="H2559" t="s">
        <v>28</v>
      </c>
      <c r="I2559" t="s">
        <v>5647</v>
      </c>
      <c r="J2559" t="s">
        <v>63</v>
      </c>
      <c r="K2559" t="s">
        <v>211</v>
      </c>
      <c r="M2559">
        <v>100</v>
      </c>
      <c r="N2559" t="s">
        <v>49</v>
      </c>
      <c r="O2559" t="s">
        <v>4573</v>
      </c>
      <c r="P2559" t="s">
        <v>170</v>
      </c>
      <c r="T2559">
        <v>4</v>
      </c>
      <c r="U2559" t="s">
        <v>56</v>
      </c>
      <c r="V2559" t="s">
        <v>56</v>
      </c>
    </row>
    <row r="2560" spans="1:22" x14ac:dyDescent="0.3">
      <c r="A2560" s="49">
        <v>45273</v>
      </c>
      <c r="E2560" t="s">
        <v>3212</v>
      </c>
      <c r="G2560" t="s">
        <v>5171</v>
      </c>
      <c r="H2560" t="s">
        <v>28</v>
      </c>
      <c r="I2560" t="s">
        <v>5647</v>
      </c>
      <c r="J2560" t="s">
        <v>63</v>
      </c>
      <c r="K2560" t="s">
        <v>211</v>
      </c>
      <c r="M2560">
        <v>100</v>
      </c>
      <c r="N2560" t="s">
        <v>49</v>
      </c>
      <c r="O2560" t="s">
        <v>4573</v>
      </c>
      <c r="P2560" t="s">
        <v>170</v>
      </c>
      <c r="T2560">
        <v>4</v>
      </c>
      <c r="U2560" t="s">
        <v>56</v>
      </c>
      <c r="V2560" t="s">
        <v>56</v>
      </c>
    </row>
    <row r="2561" spans="1:22" x14ac:dyDescent="0.3">
      <c r="A2561" s="49">
        <v>45273</v>
      </c>
      <c r="E2561" t="s">
        <v>3212</v>
      </c>
      <c r="G2561" t="s">
        <v>5171</v>
      </c>
      <c r="H2561" t="s">
        <v>28</v>
      </c>
      <c r="I2561" t="s">
        <v>5647</v>
      </c>
      <c r="J2561" t="s">
        <v>63</v>
      </c>
      <c r="K2561" t="s">
        <v>211</v>
      </c>
      <c r="M2561">
        <v>100</v>
      </c>
      <c r="N2561" t="s">
        <v>49</v>
      </c>
      <c r="O2561" t="s">
        <v>4573</v>
      </c>
      <c r="P2561" t="s">
        <v>170</v>
      </c>
      <c r="T2561">
        <v>4</v>
      </c>
      <c r="U2561" t="s">
        <v>56</v>
      </c>
      <c r="V2561" t="s">
        <v>56</v>
      </c>
    </row>
    <row r="2562" spans="1:22" x14ac:dyDescent="0.3">
      <c r="A2562" s="49">
        <v>45273</v>
      </c>
      <c r="E2562" t="s">
        <v>3212</v>
      </c>
      <c r="G2562" t="s">
        <v>5171</v>
      </c>
      <c r="H2562" t="s">
        <v>28</v>
      </c>
      <c r="I2562" t="s">
        <v>5647</v>
      </c>
      <c r="J2562" t="s">
        <v>63</v>
      </c>
      <c r="K2562" t="s">
        <v>211</v>
      </c>
      <c r="M2562">
        <v>100</v>
      </c>
      <c r="N2562" t="s">
        <v>49</v>
      </c>
      <c r="O2562" t="s">
        <v>4573</v>
      </c>
      <c r="P2562" t="s">
        <v>170</v>
      </c>
      <c r="T2562">
        <v>4</v>
      </c>
      <c r="U2562" t="s">
        <v>56</v>
      </c>
      <c r="V2562" t="s">
        <v>56</v>
      </c>
    </row>
    <row r="2563" spans="1:22" x14ac:dyDescent="0.3">
      <c r="A2563" s="49">
        <v>45273</v>
      </c>
      <c r="E2563" t="s">
        <v>3212</v>
      </c>
      <c r="G2563" t="s">
        <v>5171</v>
      </c>
      <c r="H2563" t="s">
        <v>89</v>
      </c>
      <c r="J2563" t="s">
        <v>63</v>
      </c>
      <c r="K2563" t="s">
        <v>64</v>
      </c>
      <c r="M2563">
        <v>100</v>
      </c>
      <c r="N2563" t="s">
        <v>49</v>
      </c>
      <c r="O2563" t="s">
        <v>4574</v>
      </c>
      <c r="P2563" t="s">
        <v>306</v>
      </c>
      <c r="T2563">
        <v>4</v>
      </c>
      <c r="U2563" t="s">
        <v>56</v>
      </c>
      <c r="V2563" t="s">
        <v>56</v>
      </c>
    </row>
    <row r="2564" spans="1:22" x14ac:dyDescent="0.3">
      <c r="A2564" s="49">
        <v>45273</v>
      </c>
      <c r="E2564" t="s">
        <v>3231</v>
      </c>
      <c r="G2564" t="s">
        <v>5366</v>
      </c>
      <c r="H2564" t="s">
        <v>28</v>
      </c>
      <c r="I2564" t="s">
        <v>5983</v>
      </c>
      <c r="J2564" t="s">
        <v>63</v>
      </c>
      <c r="K2564" t="s">
        <v>197</v>
      </c>
      <c r="M2564">
        <v>90</v>
      </c>
      <c r="N2564" t="s">
        <v>49</v>
      </c>
      <c r="O2564" t="s">
        <v>4575</v>
      </c>
      <c r="P2564" t="s">
        <v>878</v>
      </c>
      <c r="T2564">
        <v>4</v>
      </c>
      <c r="U2564" t="s">
        <v>56</v>
      </c>
      <c r="V2564" t="s">
        <v>56</v>
      </c>
    </row>
    <row r="2565" spans="1:22" x14ac:dyDescent="0.3">
      <c r="A2565" s="49">
        <v>45273</v>
      </c>
      <c r="E2565" t="s">
        <v>3231</v>
      </c>
      <c r="G2565" t="s">
        <v>5283</v>
      </c>
      <c r="H2565" t="s">
        <v>89</v>
      </c>
      <c r="J2565" t="s">
        <v>63</v>
      </c>
      <c r="K2565" t="s">
        <v>64</v>
      </c>
      <c r="M2565">
        <v>100</v>
      </c>
      <c r="N2565" t="s">
        <v>49</v>
      </c>
      <c r="O2565" t="s">
        <v>4166</v>
      </c>
      <c r="P2565" t="s">
        <v>381</v>
      </c>
      <c r="T2565">
        <v>4</v>
      </c>
      <c r="U2565" t="s">
        <v>56</v>
      </c>
      <c r="V2565" t="s">
        <v>56</v>
      </c>
    </row>
    <row r="2566" spans="1:22" x14ac:dyDescent="0.3">
      <c r="A2566" s="49">
        <v>45273</v>
      </c>
      <c r="E2566" t="s">
        <v>3154</v>
      </c>
      <c r="G2566" t="s">
        <v>5367</v>
      </c>
      <c r="H2566" t="s">
        <v>28</v>
      </c>
      <c r="I2566" t="s">
        <v>5726</v>
      </c>
      <c r="J2566" t="s">
        <v>1712</v>
      </c>
      <c r="K2566" t="s">
        <v>481</v>
      </c>
      <c r="M2566">
        <v>100</v>
      </c>
      <c r="N2566" t="s">
        <v>49</v>
      </c>
      <c r="O2566" t="s">
        <v>4576</v>
      </c>
      <c r="P2566" t="s">
        <v>4827</v>
      </c>
      <c r="T2566">
        <v>4</v>
      </c>
      <c r="U2566" t="s">
        <v>56</v>
      </c>
      <c r="V2566" t="s">
        <v>56</v>
      </c>
    </row>
    <row r="2567" spans="1:22" x14ac:dyDescent="0.3">
      <c r="A2567" s="49">
        <v>45273</v>
      </c>
      <c r="E2567" t="s">
        <v>3118</v>
      </c>
      <c r="G2567" t="s">
        <v>5032</v>
      </c>
      <c r="H2567" t="s">
        <v>28</v>
      </c>
      <c r="I2567" t="s">
        <v>5648</v>
      </c>
      <c r="J2567" t="s">
        <v>63</v>
      </c>
      <c r="K2567" t="s">
        <v>197</v>
      </c>
      <c r="M2567">
        <v>100</v>
      </c>
      <c r="N2567" t="s">
        <v>49</v>
      </c>
      <c r="O2567" t="s">
        <v>1579</v>
      </c>
      <c r="P2567" t="s">
        <v>170</v>
      </c>
      <c r="T2567">
        <v>4</v>
      </c>
      <c r="U2567" t="s">
        <v>56</v>
      </c>
      <c r="V2567" t="s">
        <v>56</v>
      </c>
    </row>
    <row r="2568" spans="1:22" x14ac:dyDescent="0.3">
      <c r="A2568" s="49">
        <v>45273</v>
      </c>
      <c r="E2568" t="s">
        <v>3118</v>
      </c>
      <c r="G2568" t="s">
        <v>4979</v>
      </c>
      <c r="H2568" t="s">
        <v>28</v>
      </c>
      <c r="I2568" t="s">
        <v>2056</v>
      </c>
      <c r="J2568" t="s">
        <v>63</v>
      </c>
      <c r="K2568" t="s">
        <v>197</v>
      </c>
      <c r="M2568">
        <v>48</v>
      </c>
      <c r="N2568" t="s">
        <v>33</v>
      </c>
      <c r="O2568" t="s">
        <v>3474</v>
      </c>
      <c r="P2568" t="s">
        <v>1786</v>
      </c>
      <c r="T2568">
        <v>4</v>
      </c>
      <c r="U2568" t="s">
        <v>56</v>
      </c>
      <c r="V2568" t="s">
        <v>56</v>
      </c>
    </row>
    <row r="2569" spans="1:22" x14ac:dyDescent="0.3">
      <c r="A2569" s="49">
        <v>45273</v>
      </c>
      <c r="E2569" t="s">
        <v>3118</v>
      </c>
      <c r="G2569" t="s">
        <v>5032</v>
      </c>
      <c r="H2569" t="s">
        <v>89</v>
      </c>
      <c r="J2569" t="s">
        <v>63</v>
      </c>
      <c r="K2569" t="s">
        <v>197</v>
      </c>
      <c r="M2569">
        <v>10</v>
      </c>
      <c r="N2569" t="s">
        <v>49</v>
      </c>
      <c r="O2569" t="s">
        <v>4577</v>
      </c>
      <c r="P2569" t="s">
        <v>1727</v>
      </c>
      <c r="T2569">
        <v>4</v>
      </c>
      <c r="U2569" t="s">
        <v>56</v>
      </c>
      <c r="V2569" t="s">
        <v>56</v>
      </c>
    </row>
    <row r="2570" spans="1:22" x14ac:dyDescent="0.3">
      <c r="A2570" s="49">
        <v>45273</v>
      </c>
      <c r="E2570" t="s">
        <v>3118</v>
      </c>
      <c r="G2570" t="s">
        <v>4980</v>
      </c>
      <c r="H2570" t="s">
        <v>28</v>
      </c>
      <c r="I2570" t="s">
        <v>5839</v>
      </c>
      <c r="J2570" t="s">
        <v>63</v>
      </c>
      <c r="K2570" t="s">
        <v>64</v>
      </c>
      <c r="M2570">
        <v>0</v>
      </c>
      <c r="N2570" t="s">
        <v>33</v>
      </c>
      <c r="O2570" t="s">
        <v>4578</v>
      </c>
      <c r="P2570" t="s">
        <v>2029</v>
      </c>
      <c r="T2570">
        <v>4</v>
      </c>
      <c r="U2570" t="s">
        <v>56</v>
      </c>
      <c r="V2570" t="s">
        <v>56</v>
      </c>
    </row>
    <row r="2571" spans="1:22" x14ac:dyDescent="0.3">
      <c r="A2571" s="49">
        <v>45273</v>
      </c>
      <c r="E2571" t="s">
        <v>3118</v>
      </c>
      <c r="G2571" t="s">
        <v>5032</v>
      </c>
      <c r="H2571" t="s">
        <v>28</v>
      </c>
      <c r="I2571" t="s">
        <v>5648</v>
      </c>
      <c r="J2571" t="s">
        <v>63</v>
      </c>
      <c r="K2571" t="s">
        <v>197</v>
      </c>
      <c r="M2571">
        <v>0</v>
      </c>
      <c r="N2571" t="s">
        <v>74</v>
      </c>
      <c r="O2571" t="s">
        <v>4579</v>
      </c>
      <c r="P2571" t="s">
        <v>1597</v>
      </c>
      <c r="T2571">
        <v>4</v>
      </c>
      <c r="U2571" t="s">
        <v>56</v>
      </c>
      <c r="V2571" t="s">
        <v>56</v>
      </c>
    </row>
    <row r="2572" spans="1:22" x14ac:dyDescent="0.3">
      <c r="A2572" s="49">
        <v>45273</v>
      </c>
      <c r="E2572" t="s">
        <v>3118</v>
      </c>
      <c r="G2572" t="s">
        <v>5032</v>
      </c>
      <c r="H2572" t="s">
        <v>28</v>
      </c>
      <c r="I2572" t="s">
        <v>5648</v>
      </c>
      <c r="J2572" t="s">
        <v>63</v>
      </c>
      <c r="K2572" t="s">
        <v>422</v>
      </c>
      <c r="M2572">
        <v>100</v>
      </c>
      <c r="N2572" t="s">
        <v>33</v>
      </c>
      <c r="O2572" t="s">
        <v>4580</v>
      </c>
      <c r="P2572" t="s">
        <v>1230</v>
      </c>
      <c r="T2572">
        <v>4</v>
      </c>
      <c r="U2572" t="s">
        <v>56</v>
      </c>
      <c r="V2572" t="s">
        <v>56</v>
      </c>
    </row>
    <row r="2573" spans="1:22" x14ac:dyDescent="0.3">
      <c r="A2573" s="49">
        <v>45273</v>
      </c>
      <c r="E2573" t="s">
        <v>3118</v>
      </c>
      <c r="G2573" t="s">
        <v>5032</v>
      </c>
      <c r="H2573" t="s">
        <v>28</v>
      </c>
      <c r="I2573" t="s">
        <v>5648</v>
      </c>
      <c r="J2573" t="s">
        <v>63</v>
      </c>
      <c r="K2573" t="s">
        <v>422</v>
      </c>
      <c r="M2573">
        <v>100</v>
      </c>
      <c r="N2573" t="s">
        <v>33</v>
      </c>
      <c r="O2573" t="s">
        <v>4580</v>
      </c>
      <c r="P2573" t="s">
        <v>1230</v>
      </c>
      <c r="T2573">
        <v>4</v>
      </c>
      <c r="U2573" t="s">
        <v>56</v>
      </c>
      <c r="V2573" t="s">
        <v>56</v>
      </c>
    </row>
    <row r="2574" spans="1:22" x14ac:dyDescent="0.3">
      <c r="A2574" s="49">
        <v>45273</v>
      </c>
      <c r="E2574" t="s">
        <v>3118</v>
      </c>
      <c r="G2574" t="s">
        <v>5032</v>
      </c>
      <c r="H2574" t="s">
        <v>28</v>
      </c>
      <c r="I2574" t="s">
        <v>5648</v>
      </c>
      <c r="J2574" t="s">
        <v>63</v>
      </c>
      <c r="K2574" t="s">
        <v>422</v>
      </c>
      <c r="M2574">
        <v>100</v>
      </c>
      <c r="N2574" t="s">
        <v>33</v>
      </c>
      <c r="O2574" t="s">
        <v>4580</v>
      </c>
      <c r="P2574" t="s">
        <v>1230</v>
      </c>
      <c r="T2574">
        <v>4</v>
      </c>
      <c r="U2574" t="s">
        <v>56</v>
      </c>
      <c r="V2574" t="s">
        <v>56</v>
      </c>
    </row>
    <row r="2575" spans="1:22" x14ac:dyDescent="0.3">
      <c r="A2575" s="49">
        <v>45273</v>
      </c>
      <c r="E2575" t="s">
        <v>3118</v>
      </c>
      <c r="G2575" t="s">
        <v>5032</v>
      </c>
      <c r="H2575" t="s">
        <v>28</v>
      </c>
      <c r="I2575" t="s">
        <v>5648</v>
      </c>
      <c r="J2575" t="s">
        <v>63</v>
      </c>
      <c r="K2575" t="s">
        <v>422</v>
      </c>
      <c r="M2575">
        <v>100</v>
      </c>
      <c r="N2575" t="s">
        <v>33</v>
      </c>
      <c r="O2575" t="s">
        <v>4580</v>
      </c>
      <c r="P2575" t="s">
        <v>1230</v>
      </c>
      <c r="T2575">
        <v>4</v>
      </c>
      <c r="U2575" t="s">
        <v>56</v>
      </c>
      <c r="V2575" t="s">
        <v>56</v>
      </c>
    </row>
    <row r="2576" spans="1:22" x14ac:dyDescent="0.3">
      <c r="A2576" s="49">
        <v>45273</v>
      </c>
      <c r="E2576" t="s">
        <v>3118</v>
      </c>
      <c r="G2576" t="s">
        <v>5032</v>
      </c>
      <c r="H2576" t="s">
        <v>28</v>
      </c>
      <c r="I2576" t="s">
        <v>5648</v>
      </c>
      <c r="J2576" t="s">
        <v>63</v>
      </c>
      <c r="K2576" t="s">
        <v>422</v>
      </c>
      <c r="M2576">
        <v>100</v>
      </c>
      <c r="N2576" t="s">
        <v>33</v>
      </c>
      <c r="O2576" t="s">
        <v>4580</v>
      </c>
      <c r="P2576" t="s">
        <v>1230</v>
      </c>
      <c r="T2576">
        <v>4</v>
      </c>
      <c r="U2576" t="s">
        <v>56</v>
      </c>
      <c r="V2576" t="s">
        <v>56</v>
      </c>
    </row>
    <row r="2577" spans="1:22" x14ac:dyDescent="0.3">
      <c r="A2577" s="49">
        <v>45273</v>
      </c>
      <c r="E2577" t="s">
        <v>3118</v>
      </c>
      <c r="G2577" t="s">
        <v>5032</v>
      </c>
      <c r="H2577" t="s">
        <v>28</v>
      </c>
      <c r="I2577" t="s">
        <v>5648</v>
      </c>
      <c r="J2577" t="s">
        <v>63</v>
      </c>
      <c r="K2577" t="s">
        <v>422</v>
      </c>
      <c r="M2577">
        <v>100</v>
      </c>
      <c r="N2577" t="s">
        <v>33</v>
      </c>
      <c r="O2577" t="s">
        <v>4580</v>
      </c>
      <c r="P2577" t="s">
        <v>1230</v>
      </c>
      <c r="T2577">
        <v>4</v>
      </c>
      <c r="U2577" t="s">
        <v>56</v>
      </c>
      <c r="V2577" t="s">
        <v>56</v>
      </c>
    </row>
    <row r="2578" spans="1:22" x14ac:dyDescent="0.3">
      <c r="A2578" s="49">
        <v>45273</v>
      </c>
      <c r="E2578" t="s">
        <v>3118</v>
      </c>
      <c r="G2578" t="s">
        <v>5032</v>
      </c>
      <c r="H2578" t="s">
        <v>28</v>
      </c>
      <c r="I2578" t="s">
        <v>5648</v>
      </c>
      <c r="J2578" t="s">
        <v>63</v>
      </c>
      <c r="K2578" t="s">
        <v>422</v>
      </c>
      <c r="M2578">
        <v>100</v>
      </c>
      <c r="N2578" t="s">
        <v>33</v>
      </c>
      <c r="O2578" t="s">
        <v>4580</v>
      </c>
      <c r="P2578" t="s">
        <v>1230</v>
      </c>
      <c r="T2578">
        <v>4</v>
      </c>
      <c r="U2578" t="s">
        <v>56</v>
      </c>
      <c r="V2578" t="s">
        <v>56</v>
      </c>
    </row>
    <row r="2579" spans="1:22" x14ac:dyDescent="0.3">
      <c r="A2579" s="49">
        <v>45273</v>
      </c>
      <c r="E2579" t="s">
        <v>3118</v>
      </c>
      <c r="G2579" t="s">
        <v>5032</v>
      </c>
      <c r="H2579" t="s">
        <v>28</v>
      </c>
      <c r="I2579" t="s">
        <v>5648</v>
      </c>
      <c r="J2579" t="s">
        <v>63</v>
      </c>
      <c r="K2579" t="s">
        <v>422</v>
      </c>
      <c r="M2579">
        <v>100</v>
      </c>
      <c r="N2579" t="s">
        <v>33</v>
      </c>
      <c r="O2579" t="s">
        <v>4580</v>
      </c>
      <c r="P2579" t="s">
        <v>1230</v>
      </c>
      <c r="T2579">
        <v>4</v>
      </c>
      <c r="U2579" t="s">
        <v>56</v>
      </c>
      <c r="V2579" t="s">
        <v>56</v>
      </c>
    </row>
    <row r="2580" spans="1:22" x14ac:dyDescent="0.3">
      <c r="A2580" s="49">
        <v>45273</v>
      </c>
      <c r="E2580" t="s">
        <v>3118</v>
      </c>
      <c r="G2580" t="s">
        <v>5032</v>
      </c>
      <c r="H2580" t="s">
        <v>28</v>
      </c>
      <c r="I2580" t="s">
        <v>5648</v>
      </c>
      <c r="J2580" t="s">
        <v>63</v>
      </c>
      <c r="K2580" t="s">
        <v>422</v>
      </c>
      <c r="M2580">
        <v>100</v>
      </c>
      <c r="N2580" t="s">
        <v>33</v>
      </c>
      <c r="O2580" t="s">
        <v>4580</v>
      </c>
      <c r="P2580" t="s">
        <v>1230</v>
      </c>
      <c r="T2580">
        <v>4</v>
      </c>
      <c r="U2580" t="s">
        <v>56</v>
      </c>
      <c r="V2580" t="s">
        <v>56</v>
      </c>
    </row>
    <row r="2581" spans="1:22" x14ac:dyDescent="0.3">
      <c r="A2581" s="49">
        <v>45273</v>
      </c>
      <c r="E2581" t="s">
        <v>3118</v>
      </c>
      <c r="G2581" t="s">
        <v>5032</v>
      </c>
      <c r="H2581" t="s">
        <v>28</v>
      </c>
      <c r="I2581" t="s">
        <v>5648</v>
      </c>
      <c r="J2581" t="s">
        <v>63</v>
      </c>
      <c r="K2581" t="s">
        <v>422</v>
      </c>
      <c r="M2581">
        <v>100</v>
      </c>
      <c r="N2581" t="s">
        <v>33</v>
      </c>
      <c r="O2581" t="s">
        <v>4580</v>
      </c>
      <c r="P2581" t="s">
        <v>1230</v>
      </c>
      <c r="T2581">
        <v>4</v>
      </c>
      <c r="U2581" t="s">
        <v>56</v>
      </c>
      <c r="V2581" t="s">
        <v>56</v>
      </c>
    </row>
    <row r="2582" spans="1:22" x14ac:dyDescent="0.3">
      <c r="A2582" s="49">
        <v>45273</v>
      </c>
      <c r="E2582" t="s">
        <v>3155</v>
      </c>
      <c r="G2582" t="s">
        <v>5368</v>
      </c>
      <c r="H2582" t="s">
        <v>28</v>
      </c>
      <c r="I2582" t="s">
        <v>5984</v>
      </c>
      <c r="J2582" t="s">
        <v>1712</v>
      </c>
      <c r="K2582" t="s">
        <v>422</v>
      </c>
      <c r="M2582">
        <v>100</v>
      </c>
      <c r="N2582" t="s">
        <v>33</v>
      </c>
      <c r="O2582" t="s">
        <v>4581</v>
      </c>
      <c r="P2582" t="s">
        <v>2029</v>
      </c>
      <c r="T2582">
        <v>4</v>
      </c>
      <c r="U2582" t="s">
        <v>56</v>
      </c>
      <c r="V2582" t="s">
        <v>56</v>
      </c>
    </row>
    <row r="2583" spans="1:22" x14ac:dyDescent="0.3">
      <c r="A2583" s="49">
        <v>45273</v>
      </c>
      <c r="E2583" t="s">
        <v>3155</v>
      </c>
      <c r="G2583" t="s">
        <v>5172</v>
      </c>
      <c r="H2583" t="s">
        <v>89</v>
      </c>
      <c r="J2583" t="s">
        <v>1712</v>
      </c>
      <c r="K2583" t="s">
        <v>422</v>
      </c>
      <c r="M2583">
        <v>100</v>
      </c>
      <c r="N2583" t="s">
        <v>49</v>
      </c>
      <c r="O2583" t="s">
        <v>4582</v>
      </c>
      <c r="P2583" t="s">
        <v>170</v>
      </c>
      <c r="T2583">
        <v>4</v>
      </c>
      <c r="U2583" t="s">
        <v>56</v>
      </c>
      <c r="V2583" t="s">
        <v>56</v>
      </c>
    </row>
    <row r="2584" spans="1:22" x14ac:dyDescent="0.3">
      <c r="A2584" s="49">
        <v>45273</v>
      </c>
      <c r="E2584" t="s">
        <v>3155</v>
      </c>
      <c r="G2584" t="s">
        <v>5172</v>
      </c>
      <c r="H2584" t="s">
        <v>28</v>
      </c>
      <c r="I2584" t="s">
        <v>5652</v>
      </c>
      <c r="J2584" t="s">
        <v>63</v>
      </c>
      <c r="K2584" t="s">
        <v>197</v>
      </c>
      <c r="M2584">
        <v>50</v>
      </c>
      <c r="N2584" t="s">
        <v>49</v>
      </c>
      <c r="O2584" t="s">
        <v>4583</v>
      </c>
      <c r="P2584" t="s">
        <v>668</v>
      </c>
      <c r="T2584">
        <v>4</v>
      </c>
      <c r="U2584" t="s">
        <v>56</v>
      </c>
      <c r="V2584" t="s">
        <v>56</v>
      </c>
    </row>
    <row r="2585" spans="1:22" x14ac:dyDescent="0.3">
      <c r="A2585" s="49">
        <v>45273</v>
      </c>
      <c r="E2585" t="s">
        <v>3155</v>
      </c>
      <c r="G2585" t="s">
        <v>5097</v>
      </c>
      <c r="H2585" t="s">
        <v>28</v>
      </c>
      <c r="I2585" t="s">
        <v>5985</v>
      </c>
      <c r="J2585" t="s">
        <v>63</v>
      </c>
      <c r="K2585" t="s">
        <v>64</v>
      </c>
      <c r="M2585">
        <v>100</v>
      </c>
      <c r="N2585" t="s">
        <v>49</v>
      </c>
      <c r="O2585" t="s">
        <v>4584</v>
      </c>
      <c r="P2585" t="s">
        <v>35</v>
      </c>
      <c r="T2585">
        <v>4</v>
      </c>
      <c r="U2585" t="s">
        <v>56</v>
      </c>
      <c r="V2585" t="s">
        <v>56</v>
      </c>
    </row>
    <row r="2586" spans="1:22" x14ac:dyDescent="0.3">
      <c r="A2586" s="49">
        <v>45273</v>
      </c>
      <c r="E2586" t="s">
        <v>3155</v>
      </c>
      <c r="G2586" t="s">
        <v>5033</v>
      </c>
      <c r="H2586" t="s">
        <v>89</v>
      </c>
      <c r="J2586" t="s">
        <v>46</v>
      </c>
      <c r="K2586" t="s">
        <v>4944</v>
      </c>
      <c r="M2586">
        <v>100</v>
      </c>
      <c r="N2586" t="s">
        <v>49</v>
      </c>
      <c r="O2586" t="s">
        <v>4585</v>
      </c>
      <c r="P2586" t="s">
        <v>4918</v>
      </c>
      <c r="T2586">
        <v>4</v>
      </c>
      <c r="U2586" t="s">
        <v>56</v>
      </c>
      <c r="V2586" t="s">
        <v>56</v>
      </c>
    </row>
    <row r="2587" spans="1:22" x14ac:dyDescent="0.3">
      <c r="A2587" s="49">
        <v>45273</v>
      </c>
      <c r="E2587" t="s">
        <v>3155</v>
      </c>
      <c r="G2587" t="s">
        <v>5097</v>
      </c>
      <c r="H2587" t="s">
        <v>89</v>
      </c>
      <c r="J2587" t="s">
        <v>63</v>
      </c>
      <c r="K2587" t="s">
        <v>197</v>
      </c>
      <c r="M2587">
        <v>0</v>
      </c>
      <c r="N2587" t="s">
        <v>74</v>
      </c>
      <c r="O2587" t="s">
        <v>4586</v>
      </c>
      <c r="P2587" t="s">
        <v>344</v>
      </c>
      <c r="T2587">
        <v>4</v>
      </c>
      <c r="U2587" t="s">
        <v>56</v>
      </c>
      <c r="V2587" t="s">
        <v>56</v>
      </c>
    </row>
    <row r="2588" spans="1:22" x14ac:dyDescent="0.3">
      <c r="A2588" s="49">
        <v>45273</v>
      </c>
      <c r="E2588" t="s">
        <v>3155</v>
      </c>
      <c r="G2588" t="s">
        <v>5097</v>
      </c>
      <c r="H2588" t="s">
        <v>89</v>
      </c>
      <c r="J2588" t="s">
        <v>63</v>
      </c>
      <c r="K2588" t="s">
        <v>197</v>
      </c>
      <c r="M2588">
        <v>60</v>
      </c>
      <c r="N2588" t="s">
        <v>33</v>
      </c>
      <c r="O2588" t="s">
        <v>4586</v>
      </c>
      <c r="P2588" t="s">
        <v>344</v>
      </c>
      <c r="T2588">
        <v>4</v>
      </c>
      <c r="U2588" t="s">
        <v>56</v>
      </c>
      <c r="V2588" t="s">
        <v>56</v>
      </c>
    </row>
    <row r="2589" spans="1:22" x14ac:dyDescent="0.3">
      <c r="A2589" s="49">
        <v>45273</v>
      </c>
      <c r="E2589" t="s">
        <v>3155</v>
      </c>
      <c r="G2589" t="s">
        <v>5033</v>
      </c>
      <c r="H2589" t="s">
        <v>28</v>
      </c>
      <c r="I2589" t="s">
        <v>5986</v>
      </c>
      <c r="J2589" t="s">
        <v>1712</v>
      </c>
      <c r="K2589" t="s">
        <v>4944</v>
      </c>
      <c r="M2589">
        <v>100</v>
      </c>
      <c r="N2589" t="s">
        <v>49</v>
      </c>
      <c r="O2589" t="s">
        <v>4587</v>
      </c>
      <c r="P2589" t="s">
        <v>4834</v>
      </c>
      <c r="T2589">
        <v>4</v>
      </c>
      <c r="U2589" t="s">
        <v>56</v>
      </c>
      <c r="V2589" t="s">
        <v>56</v>
      </c>
    </row>
    <row r="2590" spans="1:22" x14ac:dyDescent="0.3">
      <c r="A2590" s="49">
        <v>45273</v>
      </c>
      <c r="E2590" t="s">
        <v>2777</v>
      </c>
      <c r="G2590" t="s">
        <v>5031</v>
      </c>
      <c r="H2590" t="s">
        <v>28</v>
      </c>
      <c r="I2590" t="s">
        <v>5658</v>
      </c>
      <c r="J2590" t="s">
        <v>63</v>
      </c>
      <c r="K2590" t="s">
        <v>64</v>
      </c>
      <c r="M2590">
        <v>100</v>
      </c>
      <c r="N2590" t="s">
        <v>33</v>
      </c>
      <c r="O2590" t="s">
        <v>4588</v>
      </c>
      <c r="P2590" t="s">
        <v>306</v>
      </c>
      <c r="T2590">
        <v>4</v>
      </c>
      <c r="U2590" t="s">
        <v>56</v>
      </c>
      <c r="V2590" t="s">
        <v>56</v>
      </c>
    </row>
    <row r="2591" spans="1:22" x14ac:dyDescent="0.3">
      <c r="A2591" s="49">
        <v>45273</v>
      </c>
      <c r="E2591" t="s">
        <v>2777</v>
      </c>
      <c r="G2591" t="s">
        <v>5031</v>
      </c>
      <c r="H2591" t="s">
        <v>89</v>
      </c>
      <c r="J2591" t="s">
        <v>63</v>
      </c>
      <c r="K2591" t="s">
        <v>64</v>
      </c>
      <c r="M2591">
        <v>40</v>
      </c>
      <c r="N2591" t="s">
        <v>49</v>
      </c>
      <c r="O2591" t="s">
        <v>4589</v>
      </c>
      <c r="P2591" t="s">
        <v>4830</v>
      </c>
      <c r="T2591">
        <v>4</v>
      </c>
      <c r="U2591" t="s">
        <v>56</v>
      </c>
      <c r="V2591" t="s">
        <v>56</v>
      </c>
    </row>
    <row r="2592" spans="1:22" x14ac:dyDescent="0.3">
      <c r="A2592" s="49">
        <v>45273</v>
      </c>
      <c r="E2592" t="s">
        <v>2777</v>
      </c>
      <c r="G2592" t="s">
        <v>5031</v>
      </c>
      <c r="H2592" t="s">
        <v>3245</v>
      </c>
      <c r="I2592" t="s">
        <v>5458</v>
      </c>
      <c r="J2592" t="s">
        <v>63</v>
      </c>
      <c r="K2592" t="s">
        <v>64</v>
      </c>
      <c r="M2592">
        <v>7</v>
      </c>
      <c r="N2592" t="s">
        <v>49</v>
      </c>
      <c r="O2592" t="s">
        <v>4590</v>
      </c>
      <c r="P2592" t="s">
        <v>416</v>
      </c>
      <c r="T2592">
        <v>4</v>
      </c>
      <c r="U2592" t="s">
        <v>56</v>
      </c>
      <c r="V2592" t="s">
        <v>56</v>
      </c>
    </row>
    <row r="2593" spans="1:22" x14ac:dyDescent="0.3">
      <c r="A2593" s="49">
        <v>45273</v>
      </c>
      <c r="E2593" t="s">
        <v>3181</v>
      </c>
      <c r="G2593" t="s">
        <v>5070</v>
      </c>
      <c r="H2593" t="s">
        <v>28</v>
      </c>
      <c r="I2593" t="s">
        <v>5663</v>
      </c>
      <c r="J2593" t="s">
        <v>63</v>
      </c>
      <c r="K2593" t="s">
        <v>64</v>
      </c>
      <c r="M2593">
        <v>66</v>
      </c>
      <c r="N2593" t="s">
        <v>49</v>
      </c>
      <c r="O2593" t="s">
        <v>4591</v>
      </c>
      <c r="P2593" t="s">
        <v>878</v>
      </c>
      <c r="T2593">
        <v>4</v>
      </c>
      <c r="U2593" t="s">
        <v>56</v>
      </c>
      <c r="V2593" t="s">
        <v>56</v>
      </c>
    </row>
    <row r="2594" spans="1:22" x14ac:dyDescent="0.3">
      <c r="A2594" s="49">
        <v>45273</v>
      </c>
      <c r="E2594" t="s">
        <v>3181</v>
      </c>
      <c r="G2594" t="s">
        <v>5175</v>
      </c>
      <c r="H2594" t="s">
        <v>89</v>
      </c>
      <c r="J2594" t="s">
        <v>63</v>
      </c>
      <c r="K2594" t="s">
        <v>64</v>
      </c>
      <c r="M2594">
        <v>60</v>
      </c>
      <c r="N2594" t="s">
        <v>49</v>
      </c>
      <c r="O2594" t="s">
        <v>4592</v>
      </c>
      <c r="P2594" t="s">
        <v>1116</v>
      </c>
      <c r="T2594">
        <v>4</v>
      </c>
      <c r="U2594" t="s">
        <v>56</v>
      </c>
      <c r="V2594" t="s">
        <v>56</v>
      </c>
    </row>
    <row r="2595" spans="1:22" x14ac:dyDescent="0.3">
      <c r="A2595" s="49">
        <v>45273</v>
      </c>
      <c r="E2595" t="s">
        <v>3181</v>
      </c>
      <c r="G2595" t="s">
        <v>5070</v>
      </c>
      <c r="H2595" t="s">
        <v>28</v>
      </c>
      <c r="I2595" t="s">
        <v>2636</v>
      </c>
      <c r="J2595" t="s">
        <v>63</v>
      </c>
      <c r="K2595" t="s">
        <v>64</v>
      </c>
      <c r="M2595">
        <v>20</v>
      </c>
      <c r="N2595" t="s">
        <v>49</v>
      </c>
      <c r="O2595" t="s">
        <v>4593</v>
      </c>
      <c r="P2595" t="s">
        <v>1159</v>
      </c>
      <c r="T2595">
        <v>4</v>
      </c>
      <c r="U2595" t="s">
        <v>56</v>
      </c>
      <c r="V2595" t="s">
        <v>56</v>
      </c>
    </row>
    <row r="2596" spans="1:22" x14ac:dyDescent="0.3">
      <c r="A2596" s="49">
        <v>45273</v>
      </c>
      <c r="E2596" t="s">
        <v>3181</v>
      </c>
      <c r="G2596" t="s">
        <v>5369</v>
      </c>
      <c r="H2596" t="s">
        <v>28</v>
      </c>
      <c r="I2596" t="s">
        <v>5987</v>
      </c>
      <c r="J2596" t="s">
        <v>63</v>
      </c>
      <c r="K2596" t="s">
        <v>197</v>
      </c>
      <c r="M2596">
        <v>85</v>
      </c>
      <c r="N2596" t="s">
        <v>49</v>
      </c>
      <c r="O2596" t="s">
        <v>4594</v>
      </c>
      <c r="P2596" t="s">
        <v>85</v>
      </c>
      <c r="T2596">
        <v>4</v>
      </c>
      <c r="U2596" t="s">
        <v>56</v>
      </c>
      <c r="V2596" t="s">
        <v>56</v>
      </c>
    </row>
    <row r="2597" spans="1:22" x14ac:dyDescent="0.3">
      <c r="A2597" s="49">
        <v>45273</v>
      </c>
      <c r="E2597" t="s">
        <v>3181</v>
      </c>
      <c r="G2597" t="s">
        <v>5175</v>
      </c>
      <c r="H2597" t="s">
        <v>28</v>
      </c>
      <c r="I2597" t="s">
        <v>5662</v>
      </c>
      <c r="J2597" t="s">
        <v>63</v>
      </c>
      <c r="K2597" t="s">
        <v>64</v>
      </c>
      <c r="M2597">
        <v>100</v>
      </c>
      <c r="N2597" t="s">
        <v>49</v>
      </c>
      <c r="O2597" t="s">
        <v>3729</v>
      </c>
      <c r="P2597" t="s">
        <v>344</v>
      </c>
      <c r="T2597">
        <v>4</v>
      </c>
      <c r="U2597" t="s">
        <v>56</v>
      </c>
      <c r="V2597" t="s">
        <v>56</v>
      </c>
    </row>
    <row r="2598" spans="1:22" x14ac:dyDescent="0.3">
      <c r="A2598" s="49">
        <v>45273</v>
      </c>
      <c r="E2598" t="s">
        <v>3181</v>
      </c>
      <c r="G2598" t="s">
        <v>5175</v>
      </c>
      <c r="H2598" t="s">
        <v>28</v>
      </c>
      <c r="I2598" t="s">
        <v>5662</v>
      </c>
      <c r="J2598" t="s">
        <v>63</v>
      </c>
      <c r="K2598" t="s">
        <v>64</v>
      </c>
      <c r="M2598">
        <v>100</v>
      </c>
      <c r="N2598" t="s">
        <v>49</v>
      </c>
      <c r="O2598" t="s">
        <v>3729</v>
      </c>
      <c r="P2598" t="s">
        <v>344</v>
      </c>
      <c r="T2598">
        <v>4</v>
      </c>
      <c r="U2598" t="s">
        <v>56</v>
      </c>
      <c r="V2598" t="s">
        <v>56</v>
      </c>
    </row>
    <row r="2599" spans="1:22" x14ac:dyDescent="0.3">
      <c r="A2599" s="49">
        <v>45273</v>
      </c>
      <c r="E2599" t="s">
        <v>3181</v>
      </c>
      <c r="G2599" t="s">
        <v>5175</v>
      </c>
      <c r="H2599" t="s">
        <v>28</v>
      </c>
      <c r="I2599" t="s">
        <v>5662</v>
      </c>
      <c r="J2599" t="s">
        <v>63</v>
      </c>
      <c r="K2599" t="s">
        <v>64</v>
      </c>
      <c r="M2599">
        <v>100</v>
      </c>
      <c r="N2599" t="s">
        <v>49</v>
      </c>
      <c r="O2599" t="s">
        <v>3729</v>
      </c>
      <c r="P2599" t="s">
        <v>344</v>
      </c>
      <c r="T2599">
        <v>4</v>
      </c>
      <c r="U2599" t="s">
        <v>56</v>
      </c>
      <c r="V2599" t="s">
        <v>56</v>
      </c>
    </row>
    <row r="2600" spans="1:22" x14ac:dyDescent="0.3">
      <c r="A2600" s="49">
        <v>45273</v>
      </c>
      <c r="E2600" t="s">
        <v>3181</v>
      </c>
      <c r="G2600" t="s">
        <v>5175</v>
      </c>
      <c r="H2600" t="s">
        <v>28</v>
      </c>
      <c r="I2600" t="s">
        <v>5662</v>
      </c>
      <c r="J2600" t="s">
        <v>63</v>
      </c>
      <c r="K2600" t="s">
        <v>64</v>
      </c>
      <c r="M2600">
        <v>100</v>
      </c>
      <c r="N2600" t="s">
        <v>49</v>
      </c>
      <c r="O2600" t="s">
        <v>3729</v>
      </c>
      <c r="P2600" t="s">
        <v>344</v>
      </c>
      <c r="T2600">
        <v>4</v>
      </c>
      <c r="U2600" t="s">
        <v>56</v>
      </c>
      <c r="V2600" t="s">
        <v>56</v>
      </c>
    </row>
    <row r="2601" spans="1:22" x14ac:dyDescent="0.3">
      <c r="A2601" s="49">
        <v>45273</v>
      </c>
      <c r="E2601" t="s">
        <v>3181</v>
      </c>
      <c r="G2601" t="s">
        <v>5175</v>
      </c>
      <c r="H2601" t="s">
        <v>28</v>
      </c>
      <c r="I2601" t="s">
        <v>5662</v>
      </c>
      <c r="J2601" t="s">
        <v>63</v>
      </c>
      <c r="K2601" t="s">
        <v>64</v>
      </c>
      <c r="M2601">
        <v>100</v>
      </c>
      <c r="N2601" t="s">
        <v>49</v>
      </c>
      <c r="O2601" t="s">
        <v>3729</v>
      </c>
      <c r="P2601" t="s">
        <v>344</v>
      </c>
      <c r="T2601">
        <v>4</v>
      </c>
      <c r="U2601" t="s">
        <v>56</v>
      </c>
      <c r="V2601" t="s">
        <v>56</v>
      </c>
    </row>
    <row r="2602" spans="1:22" x14ac:dyDescent="0.3">
      <c r="A2602" s="49">
        <v>45273</v>
      </c>
      <c r="E2602" t="s">
        <v>3181</v>
      </c>
      <c r="G2602" t="s">
        <v>5175</v>
      </c>
      <c r="H2602" t="s">
        <v>28</v>
      </c>
      <c r="I2602" t="s">
        <v>5662</v>
      </c>
      <c r="J2602" t="s">
        <v>63</v>
      </c>
      <c r="K2602" t="s">
        <v>64</v>
      </c>
      <c r="M2602">
        <v>100</v>
      </c>
      <c r="N2602" t="s">
        <v>49</v>
      </c>
      <c r="O2602" t="s">
        <v>3729</v>
      </c>
      <c r="P2602" t="s">
        <v>344</v>
      </c>
      <c r="T2602">
        <v>4</v>
      </c>
      <c r="U2602" t="s">
        <v>56</v>
      </c>
      <c r="V2602" t="s">
        <v>56</v>
      </c>
    </row>
    <row r="2603" spans="1:22" x14ac:dyDescent="0.3">
      <c r="A2603" s="49">
        <v>45273</v>
      </c>
      <c r="E2603" t="s">
        <v>3213</v>
      </c>
      <c r="G2603" t="s">
        <v>5370</v>
      </c>
      <c r="H2603" t="s">
        <v>89</v>
      </c>
      <c r="J2603" t="s">
        <v>1712</v>
      </c>
      <c r="K2603" t="s">
        <v>4944</v>
      </c>
      <c r="M2603">
        <v>100</v>
      </c>
      <c r="N2603" t="s">
        <v>49</v>
      </c>
      <c r="O2603" t="s">
        <v>4595</v>
      </c>
      <c r="P2603" t="s">
        <v>170</v>
      </c>
      <c r="T2603">
        <v>4</v>
      </c>
      <c r="U2603" t="s">
        <v>56</v>
      </c>
      <c r="V2603" t="s">
        <v>56</v>
      </c>
    </row>
    <row r="2604" spans="1:22" x14ac:dyDescent="0.3">
      <c r="A2604" s="49">
        <v>45273</v>
      </c>
      <c r="E2604" t="s">
        <v>3156</v>
      </c>
      <c r="G2604" t="s">
        <v>5034</v>
      </c>
      <c r="H2604" t="s">
        <v>28</v>
      </c>
      <c r="I2604" t="s">
        <v>5545</v>
      </c>
      <c r="J2604" t="s">
        <v>63</v>
      </c>
      <c r="K2604" t="s">
        <v>64</v>
      </c>
      <c r="M2604">
        <v>100</v>
      </c>
      <c r="N2604" t="s">
        <v>49</v>
      </c>
      <c r="O2604" t="s">
        <v>3738</v>
      </c>
      <c r="P2604" t="s">
        <v>66</v>
      </c>
      <c r="T2604">
        <v>4</v>
      </c>
      <c r="U2604" t="s">
        <v>56</v>
      </c>
      <c r="V2604" t="s">
        <v>56</v>
      </c>
    </row>
    <row r="2605" spans="1:22" x14ac:dyDescent="0.3">
      <c r="A2605" s="49">
        <v>45273</v>
      </c>
      <c r="E2605" t="s">
        <v>3156</v>
      </c>
      <c r="G2605" t="s">
        <v>5034</v>
      </c>
      <c r="H2605" t="s">
        <v>28</v>
      </c>
      <c r="I2605" t="s">
        <v>5988</v>
      </c>
      <c r="J2605" t="s">
        <v>63</v>
      </c>
      <c r="K2605" t="s">
        <v>64</v>
      </c>
      <c r="M2605">
        <v>0</v>
      </c>
      <c r="N2605" t="s">
        <v>74</v>
      </c>
      <c r="O2605" t="s">
        <v>4596</v>
      </c>
      <c r="P2605" t="s">
        <v>1597</v>
      </c>
      <c r="T2605">
        <v>4</v>
      </c>
      <c r="U2605" t="s">
        <v>56</v>
      </c>
      <c r="V2605" t="s">
        <v>56</v>
      </c>
    </row>
    <row r="2606" spans="1:22" x14ac:dyDescent="0.3">
      <c r="A2606" s="49">
        <v>45273</v>
      </c>
      <c r="E2606" t="s">
        <v>3156</v>
      </c>
      <c r="G2606" t="s">
        <v>5177</v>
      </c>
      <c r="H2606" t="s">
        <v>28</v>
      </c>
      <c r="I2606" t="s">
        <v>5667</v>
      </c>
      <c r="J2606" t="s">
        <v>46</v>
      </c>
      <c r="K2606" t="s">
        <v>481</v>
      </c>
      <c r="M2606">
        <v>25</v>
      </c>
      <c r="N2606" t="s">
        <v>33</v>
      </c>
      <c r="O2606" t="s">
        <v>3742</v>
      </c>
      <c r="P2606" t="s">
        <v>1159</v>
      </c>
      <c r="T2606">
        <v>4</v>
      </c>
      <c r="U2606" t="s">
        <v>56</v>
      </c>
      <c r="V2606" t="s">
        <v>56</v>
      </c>
    </row>
    <row r="2607" spans="1:22" x14ac:dyDescent="0.3">
      <c r="A2607" s="49">
        <v>45273</v>
      </c>
      <c r="E2607" t="s">
        <v>3156</v>
      </c>
      <c r="G2607" t="s">
        <v>5034</v>
      </c>
      <c r="H2607" t="s">
        <v>28</v>
      </c>
      <c r="I2607" t="s">
        <v>5545</v>
      </c>
      <c r="J2607" t="s">
        <v>63</v>
      </c>
      <c r="K2607" t="s">
        <v>64</v>
      </c>
      <c r="M2607">
        <v>100</v>
      </c>
      <c r="N2607" t="s">
        <v>49</v>
      </c>
      <c r="O2607" t="s">
        <v>4216</v>
      </c>
      <c r="P2607" t="s">
        <v>344</v>
      </c>
      <c r="T2607">
        <v>4</v>
      </c>
      <c r="U2607" t="s">
        <v>56</v>
      </c>
      <c r="V2607" t="s">
        <v>56</v>
      </c>
    </row>
    <row r="2608" spans="1:22" x14ac:dyDescent="0.3">
      <c r="A2608" s="49">
        <v>45273</v>
      </c>
      <c r="E2608" t="s">
        <v>3156</v>
      </c>
      <c r="G2608" t="s">
        <v>5034</v>
      </c>
      <c r="H2608" t="s">
        <v>28</v>
      </c>
      <c r="I2608" t="s">
        <v>5989</v>
      </c>
      <c r="J2608" t="s">
        <v>63</v>
      </c>
      <c r="K2608" t="s">
        <v>64</v>
      </c>
      <c r="M2608">
        <v>33</v>
      </c>
      <c r="N2608" t="s">
        <v>33</v>
      </c>
      <c r="O2608" t="s">
        <v>4597</v>
      </c>
      <c r="P2608" t="s">
        <v>878</v>
      </c>
      <c r="T2608">
        <v>4</v>
      </c>
      <c r="U2608" t="s">
        <v>56</v>
      </c>
      <c r="V2608" t="s">
        <v>56</v>
      </c>
    </row>
    <row r="2609" spans="1:22" x14ac:dyDescent="0.3">
      <c r="A2609" s="49">
        <v>45273</v>
      </c>
      <c r="E2609" t="s">
        <v>3156</v>
      </c>
      <c r="G2609" t="s">
        <v>809</v>
      </c>
      <c r="H2609" t="s">
        <v>28</v>
      </c>
      <c r="I2609" t="s">
        <v>5665</v>
      </c>
      <c r="J2609" t="s">
        <v>63</v>
      </c>
      <c r="K2609" t="s">
        <v>64</v>
      </c>
      <c r="M2609">
        <v>100</v>
      </c>
      <c r="N2609" t="s">
        <v>49</v>
      </c>
      <c r="O2609" t="s">
        <v>3736</v>
      </c>
      <c r="P2609" t="s">
        <v>287</v>
      </c>
      <c r="T2609">
        <v>4</v>
      </c>
      <c r="U2609" t="s">
        <v>56</v>
      </c>
      <c r="V2609" t="s">
        <v>56</v>
      </c>
    </row>
    <row r="2610" spans="1:22" x14ac:dyDescent="0.3">
      <c r="A2610" s="49">
        <v>45273</v>
      </c>
      <c r="E2610" t="s">
        <v>3156</v>
      </c>
      <c r="G2610" t="s">
        <v>809</v>
      </c>
      <c r="H2610" t="s">
        <v>28</v>
      </c>
      <c r="I2610" t="s">
        <v>5665</v>
      </c>
      <c r="J2610" t="s">
        <v>63</v>
      </c>
      <c r="K2610" t="s">
        <v>64</v>
      </c>
      <c r="M2610">
        <v>100</v>
      </c>
      <c r="N2610" t="s">
        <v>49</v>
      </c>
      <c r="O2610" t="s">
        <v>3736</v>
      </c>
      <c r="P2610" t="s">
        <v>287</v>
      </c>
      <c r="T2610">
        <v>4</v>
      </c>
      <c r="U2610" t="s">
        <v>56</v>
      </c>
      <c r="V2610" t="s">
        <v>56</v>
      </c>
    </row>
    <row r="2611" spans="1:22" x14ac:dyDescent="0.3">
      <c r="A2611" s="49">
        <v>45273</v>
      </c>
      <c r="E2611" t="s">
        <v>3156</v>
      </c>
      <c r="G2611" t="s">
        <v>809</v>
      </c>
      <c r="H2611" t="s">
        <v>28</v>
      </c>
      <c r="I2611" t="s">
        <v>5665</v>
      </c>
      <c r="J2611" t="s">
        <v>63</v>
      </c>
      <c r="K2611" t="s">
        <v>64</v>
      </c>
      <c r="M2611">
        <v>100</v>
      </c>
      <c r="N2611" t="s">
        <v>49</v>
      </c>
      <c r="O2611" t="s">
        <v>3736</v>
      </c>
      <c r="P2611" t="s">
        <v>287</v>
      </c>
      <c r="T2611">
        <v>4</v>
      </c>
      <c r="U2611" t="s">
        <v>56</v>
      </c>
      <c r="V2611" t="s">
        <v>56</v>
      </c>
    </row>
    <row r="2612" spans="1:22" x14ac:dyDescent="0.3">
      <c r="A2612" s="49">
        <v>45273</v>
      </c>
      <c r="E2612" t="s">
        <v>3156</v>
      </c>
      <c r="G2612" t="s">
        <v>809</v>
      </c>
      <c r="H2612" t="s">
        <v>28</v>
      </c>
      <c r="I2612" t="s">
        <v>5665</v>
      </c>
      <c r="J2612" t="s">
        <v>63</v>
      </c>
      <c r="K2612" t="s">
        <v>64</v>
      </c>
      <c r="M2612">
        <v>100</v>
      </c>
      <c r="N2612" t="s">
        <v>49</v>
      </c>
      <c r="O2612" t="s">
        <v>3736</v>
      </c>
      <c r="P2612" t="s">
        <v>287</v>
      </c>
      <c r="T2612">
        <v>4</v>
      </c>
      <c r="U2612" t="s">
        <v>56</v>
      </c>
      <c r="V2612" t="s">
        <v>56</v>
      </c>
    </row>
    <row r="2613" spans="1:22" x14ac:dyDescent="0.3">
      <c r="A2613" s="49">
        <v>45273</v>
      </c>
      <c r="E2613" t="s">
        <v>3156</v>
      </c>
      <c r="G2613" t="s">
        <v>809</v>
      </c>
      <c r="H2613" t="s">
        <v>28</v>
      </c>
      <c r="I2613" t="s">
        <v>5665</v>
      </c>
      <c r="J2613" t="s">
        <v>63</v>
      </c>
      <c r="K2613" t="s">
        <v>64</v>
      </c>
      <c r="M2613">
        <v>100</v>
      </c>
      <c r="N2613" t="s">
        <v>33</v>
      </c>
      <c r="O2613" t="s">
        <v>3736</v>
      </c>
      <c r="P2613" t="s">
        <v>287</v>
      </c>
      <c r="T2613">
        <v>4</v>
      </c>
      <c r="U2613" t="s">
        <v>56</v>
      </c>
      <c r="V2613" t="s">
        <v>56</v>
      </c>
    </row>
    <row r="2614" spans="1:22" x14ac:dyDescent="0.3">
      <c r="A2614" s="49">
        <v>45273</v>
      </c>
      <c r="E2614" t="s">
        <v>3156</v>
      </c>
      <c r="G2614" t="s">
        <v>809</v>
      </c>
      <c r="H2614" t="s">
        <v>28</v>
      </c>
      <c r="I2614" t="s">
        <v>5665</v>
      </c>
      <c r="J2614" t="s">
        <v>63</v>
      </c>
      <c r="K2614" t="s">
        <v>64</v>
      </c>
      <c r="M2614">
        <v>100</v>
      </c>
      <c r="N2614" t="s">
        <v>33</v>
      </c>
      <c r="O2614" t="s">
        <v>3736</v>
      </c>
      <c r="P2614" t="s">
        <v>287</v>
      </c>
      <c r="T2614">
        <v>4</v>
      </c>
      <c r="U2614" t="s">
        <v>56</v>
      </c>
      <c r="V2614" t="s">
        <v>56</v>
      </c>
    </row>
    <row r="2615" spans="1:22" x14ac:dyDescent="0.3">
      <c r="A2615" s="49">
        <v>45273</v>
      </c>
      <c r="E2615" t="s">
        <v>3156</v>
      </c>
      <c r="G2615" t="s">
        <v>809</v>
      </c>
      <c r="H2615" t="s">
        <v>28</v>
      </c>
      <c r="I2615" t="s">
        <v>5665</v>
      </c>
      <c r="J2615" t="s">
        <v>63</v>
      </c>
      <c r="K2615" t="s">
        <v>64</v>
      </c>
      <c r="M2615">
        <v>100</v>
      </c>
      <c r="N2615" t="s">
        <v>33</v>
      </c>
      <c r="O2615" t="s">
        <v>3736</v>
      </c>
      <c r="P2615" t="s">
        <v>287</v>
      </c>
      <c r="T2615">
        <v>4</v>
      </c>
      <c r="U2615" t="s">
        <v>56</v>
      </c>
      <c r="V2615" t="s">
        <v>56</v>
      </c>
    </row>
    <row r="2616" spans="1:22" x14ac:dyDescent="0.3">
      <c r="A2616" s="49">
        <v>45273</v>
      </c>
      <c r="E2616" t="s">
        <v>3156</v>
      </c>
      <c r="G2616" t="s">
        <v>809</v>
      </c>
      <c r="H2616" t="s">
        <v>28</v>
      </c>
      <c r="I2616" t="s">
        <v>5665</v>
      </c>
      <c r="J2616" t="s">
        <v>63</v>
      </c>
      <c r="K2616" t="s">
        <v>64</v>
      </c>
      <c r="M2616">
        <v>100</v>
      </c>
      <c r="N2616" t="s">
        <v>33</v>
      </c>
      <c r="O2616" t="s">
        <v>3736</v>
      </c>
      <c r="P2616" t="s">
        <v>287</v>
      </c>
      <c r="T2616">
        <v>4</v>
      </c>
      <c r="U2616" t="s">
        <v>56</v>
      </c>
      <c r="V2616" t="s">
        <v>56</v>
      </c>
    </row>
    <row r="2617" spans="1:22" x14ac:dyDescent="0.3">
      <c r="A2617" s="49">
        <v>45273</v>
      </c>
      <c r="E2617" t="s">
        <v>3189</v>
      </c>
      <c r="G2617" t="s">
        <v>5178</v>
      </c>
      <c r="H2617" t="s">
        <v>28</v>
      </c>
      <c r="I2617" t="s">
        <v>5855</v>
      </c>
      <c r="J2617" t="s">
        <v>63</v>
      </c>
      <c r="K2617" t="s">
        <v>197</v>
      </c>
      <c r="M2617">
        <v>60</v>
      </c>
      <c r="N2617" t="s">
        <v>33</v>
      </c>
      <c r="O2617" t="s">
        <v>4598</v>
      </c>
      <c r="P2617" t="s">
        <v>791</v>
      </c>
      <c r="T2617">
        <v>4</v>
      </c>
      <c r="U2617" t="s">
        <v>56</v>
      </c>
      <c r="V2617" t="s">
        <v>56</v>
      </c>
    </row>
    <row r="2618" spans="1:22" x14ac:dyDescent="0.3">
      <c r="A2618" s="49">
        <v>45273</v>
      </c>
      <c r="E2618" t="s">
        <v>3189</v>
      </c>
      <c r="G2618" t="s">
        <v>5098</v>
      </c>
      <c r="H2618" t="s">
        <v>89</v>
      </c>
      <c r="J2618" t="s">
        <v>63</v>
      </c>
      <c r="K2618" t="s">
        <v>64</v>
      </c>
      <c r="M2618">
        <v>100</v>
      </c>
      <c r="N2618" t="s">
        <v>33</v>
      </c>
      <c r="O2618" t="s">
        <v>4599</v>
      </c>
      <c r="P2618" t="s">
        <v>743</v>
      </c>
      <c r="T2618">
        <v>4</v>
      </c>
      <c r="U2618" t="s">
        <v>56</v>
      </c>
      <c r="V2618" t="s">
        <v>56</v>
      </c>
    </row>
    <row r="2619" spans="1:22" x14ac:dyDescent="0.3">
      <c r="A2619" s="49">
        <v>45273</v>
      </c>
      <c r="E2619" t="s">
        <v>3189</v>
      </c>
      <c r="G2619" t="s">
        <v>5106</v>
      </c>
      <c r="H2619" t="s">
        <v>28</v>
      </c>
      <c r="I2619" t="s">
        <v>5990</v>
      </c>
      <c r="J2619" t="s">
        <v>63</v>
      </c>
      <c r="K2619" t="s">
        <v>197</v>
      </c>
      <c r="M2619">
        <v>30</v>
      </c>
      <c r="N2619" t="s">
        <v>33</v>
      </c>
      <c r="O2619" t="s">
        <v>4600</v>
      </c>
      <c r="P2619" t="s">
        <v>66</v>
      </c>
      <c r="T2619">
        <v>4</v>
      </c>
      <c r="U2619" t="s">
        <v>56</v>
      </c>
      <c r="V2619" t="s">
        <v>56</v>
      </c>
    </row>
    <row r="2620" spans="1:22" x14ac:dyDescent="0.3">
      <c r="A2620" s="49">
        <v>45273</v>
      </c>
      <c r="E2620" t="s">
        <v>3119</v>
      </c>
      <c r="G2620" t="s">
        <v>5067</v>
      </c>
      <c r="H2620" t="s">
        <v>28</v>
      </c>
      <c r="I2620" t="s">
        <v>5972</v>
      </c>
      <c r="J2620" t="s">
        <v>63</v>
      </c>
      <c r="K2620" t="s">
        <v>64</v>
      </c>
      <c r="M2620">
        <v>100</v>
      </c>
      <c r="N2620" t="s">
        <v>49</v>
      </c>
      <c r="O2620" t="s">
        <v>4552</v>
      </c>
      <c r="P2620" t="s">
        <v>2178</v>
      </c>
      <c r="T2620">
        <v>4</v>
      </c>
      <c r="U2620" t="s">
        <v>56</v>
      </c>
      <c r="V2620" t="s">
        <v>56</v>
      </c>
    </row>
    <row r="2621" spans="1:22" x14ac:dyDescent="0.3">
      <c r="A2621" s="49">
        <v>45273</v>
      </c>
      <c r="E2621" t="s">
        <v>3119</v>
      </c>
      <c r="G2621" t="s">
        <v>5179</v>
      </c>
      <c r="H2621" t="s">
        <v>28</v>
      </c>
      <c r="I2621" t="s">
        <v>5991</v>
      </c>
      <c r="J2621" t="s">
        <v>63</v>
      </c>
      <c r="K2621" t="s">
        <v>197</v>
      </c>
      <c r="M2621">
        <v>100</v>
      </c>
      <c r="N2621" t="s">
        <v>33</v>
      </c>
      <c r="O2621" t="s">
        <v>3474</v>
      </c>
      <c r="P2621" t="s">
        <v>1786</v>
      </c>
      <c r="T2621">
        <v>4</v>
      </c>
      <c r="U2621" t="s">
        <v>56</v>
      </c>
      <c r="V2621" t="s">
        <v>56</v>
      </c>
    </row>
    <row r="2622" spans="1:22" x14ac:dyDescent="0.3">
      <c r="A2622" s="49">
        <v>45273</v>
      </c>
      <c r="E2622" t="s">
        <v>3119</v>
      </c>
      <c r="G2622" t="s">
        <v>5067</v>
      </c>
      <c r="H2622" t="s">
        <v>28</v>
      </c>
      <c r="I2622" t="s">
        <v>5972</v>
      </c>
      <c r="J2622" t="s">
        <v>63</v>
      </c>
      <c r="K2622" t="s">
        <v>64</v>
      </c>
      <c r="M2622">
        <v>50</v>
      </c>
      <c r="N2622" t="s">
        <v>33</v>
      </c>
      <c r="O2622" t="s">
        <v>4601</v>
      </c>
      <c r="P2622" t="s">
        <v>1727</v>
      </c>
      <c r="T2622">
        <v>4</v>
      </c>
      <c r="U2622" t="s">
        <v>56</v>
      </c>
      <c r="V2622" t="s">
        <v>56</v>
      </c>
    </row>
    <row r="2623" spans="1:22" x14ac:dyDescent="0.3">
      <c r="A2623" s="49">
        <v>45273</v>
      </c>
      <c r="E2623" t="s">
        <v>3119</v>
      </c>
      <c r="G2623" t="s">
        <v>5179</v>
      </c>
      <c r="H2623" t="s">
        <v>28</v>
      </c>
      <c r="I2623" t="s">
        <v>1602</v>
      </c>
      <c r="J2623" t="s">
        <v>63</v>
      </c>
      <c r="K2623" t="s">
        <v>197</v>
      </c>
      <c r="M2623">
        <v>100</v>
      </c>
      <c r="N2623" t="s">
        <v>49</v>
      </c>
      <c r="O2623" t="s">
        <v>4602</v>
      </c>
      <c r="P2623" t="s">
        <v>267</v>
      </c>
      <c r="T2623">
        <v>4</v>
      </c>
      <c r="U2623" t="s">
        <v>56</v>
      </c>
      <c r="V2623" t="s">
        <v>56</v>
      </c>
    </row>
    <row r="2624" spans="1:22" x14ac:dyDescent="0.3">
      <c r="A2624" s="49">
        <v>45273</v>
      </c>
      <c r="E2624" t="s">
        <v>3119</v>
      </c>
      <c r="G2624" t="s">
        <v>5067</v>
      </c>
      <c r="H2624" t="s">
        <v>28</v>
      </c>
      <c r="I2624" t="s">
        <v>5859</v>
      </c>
      <c r="J2624" t="s">
        <v>63</v>
      </c>
      <c r="K2624" t="s">
        <v>64</v>
      </c>
      <c r="M2624">
        <v>100</v>
      </c>
      <c r="N2624" t="s">
        <v>49</v>
      </c>
      <c r="O2624" t="s">
        <v>4235</v>
      </c>
      <c r="P2624" t="s">
        <v>416</v>
      </c>
      <c r="T2624">
        <v>4</v>
      </c>
      <c r="U2624" t="s">
        <v>56</v>
      </c>
      <c r="V2624" t="s">
        <v>56</v>
      </c>
    </row>
    <row r="2625" spans="1:22" x14ac:dyDescent="0.3">
      <c r="A2625" s="49">
        <v>45273</v>
      </c>
      <c r="E2625" t="s">
        <v>3119</v>
      </c>
      <c r="G2625" t="s">
        <v>5067</v>
      </c>
      <c r="H2625" t="s">
        <v>28</v>
      </c>
      <c r="I2625" t="s">
        <v>5859</v>
      </c>
      <c r="J2625" t="s">
        <v>63</v>
      </c>
      <c r="K2625" t="s">
        <v>64</v>
      </c>
      <c r="M2625">
        <v>100</v>
      </c>
      <c r="N2625" t="s">
        <v>49</v>
      </c>
      <c r="O2625" t="s">
        <v>4235</v>
      </c>
      <c r="P2625" t="s">
        <v>416</v>
      </c>
      <c r="T2625">
        <v>4</v>
      </c>
      <c r="U2625" t="s">
        <v>56</v>
      </c>
      <c r="V2625" t="s">
        <v>56</v>
      </c>
    </row>
    <row r="2626" spans="1:22" x14ac:dyDescent="0.3">
      <c r="A2626" s="49">
        <v>45273</v>
      </c>
      <c r="E2626" t="s">
        <v>3119</v>
      </c>
      <c r="G2626" t="s">
        <v>5067</v>
      </c>
      <c r="H2626" t="s">
        <v>28</v>
      </c>
      <c r="I2626" t="s">
        <v>5859</v>
      </c>
      <c r="J2626" t="s">
        <v>63</v>
      </c>
      <c r="K2626" t="s">
        <v>64</v>
      </c>
      <c r="M2626">
        <v>100</v>
      </c>
      <c r="N2626" t="s">
        <v>49</v>
      </c>
      <c r="O2626" t="s">
        <v>4235</v>
      </c>
      <c r="P2626" t="s">
        <v>416</v>
      </c>
      <c r="T2626">
        <v>4</v>
      </c>
      <c r="U2626" t="s">
        <v>56</v>
      </c>
      <c r="V2626" t="s">
        <v>56</v>
      </c>
    </row>
    <row r="2627" spans="1:22" x14ac:dyDescent="0.3">
      <c r="A2627" s="49">
        <v>45273</v>
      </c>
      <c r="E2627" t="s">
        <v>3119</v>
      </c>
      <c r="G2627" t="s">
        <v>5067</v>
      </c>
      <c r="H2627" t="s">
        <v>28</v>
      </c>
      <c r="I2627" t="s">
        <v>5859</v>
      </c>
      <c r="J2627" t="s">
        <v>63</v>
      </c>
      <c r="K2627" t="s">
        <v>64</v>
      </c>
      <c r="M2627">
        <v>100</v>
      </c>
      <c r="N2627" t="s">
        <v>49</v>
      </c>
      <c r="O2627" t="s">
        <v>4235</v>
      </c>
      <c r="P2627" t="s">
        <v>416</v>
      </c>
      <c r="T2627">
        <v>4</v>
      </c>
      <c r="U2627" t="s">
        <v>56</v>
      </c>
      <c r="V2627" t="s">
        <v>56</v>
      </c>
    </row>
    <row r="2628" spans="1:22" x14ac:dyDescent="0.3">
      <c r="A2628" s="49">
        <v>45273</v>
      </c>
      <c r="E2628" t="s">
        <v>3119</v>
      </c>
      <c r="G2628" t="s">
        <v>5067</v>
      </c>
      <c r="H2628" t="s">
        <v>28</v>
      </c>
      <c r="I2628" t="s">
        <v>5859</v>
      </c>
      <c r="J2628" t="s">
        <v>63</v>
      </c>
      <c r="K2628" t="s">
        <v>64</v>
      </c>
      <c r="M2628">
        <v>100</v>
      </c>
      <c r="N2628" t="s">
        <v>49</v>
      </c>
      <c r="O2628" t="s">
        <v>4235</v>
      </c>
      <c r="P2628" t="s">
        <v>416</v>
      </c>
      <c r="T2628">
        <v>4</v>
      </c>
      <c r="U2628" t="s">
        <v>56</v>
      </c>
      <c r="V2628" t="s">
        <v>56</v>
      </c>
    </row>
    <row r="2629" spans="1:22" x14ac:dyDescent="0.3">
      <c r="A2629" s="49">
        <v>45273</v>
      </c>
      <c r="E2629" t="s">
        <v>3119</v>
      </c>
      <c r="G2629" t="s">
        <v>4982</v>
      </c>
      <c r="H2629" t="s">
        <v>28</v>
      </c>
      <c r="I2629" t="s">
        <v>5992</v>
      </c>
      <c r="J2629" t="s">
        <v>63</v>
      </c>
      <c r="K2629" t="s">
        <v>64</v>
      </c>
      <c r="M2629">
        <v>100</v>
      </c>
      <c r="N2629" t="s">
        <v>49</v>
      </c>
      <c r="O2629" t="s">
        <v>4603</v>
      </c>
      <c r="P2629" t="s">
        <v>1230</v>
      </c>
      <c r="T2629">
        <v>4</v>
      </c>
      <c r="U2629" t="s">
        <v>56</v>
      </c>
      <c r="V2629" t="s">
        <v>56</v>
      </c>
    </row>
    <row r="2630" spans="1:22" x14ac:dyDescent="0.3">
      <c r="A2630" s="49">
        <v>45273</v>
      </c>
      <c r="E2630" t="s">
        <v>3119</v>
      </c>
      <c r="G2630" t="s">
        <v>5179</v>
      </c>
      <c r="H2630" t="s">
        <v>28</v>
      </c>
      <c r="I2630" t="s">
        <v>5993</v>
      </c>
      <c r="J2630" t="s">
        <v>63</v>
      </c>
      <c r="K2630" t="s">
        <v>197</v>
      </c>
      <c r="M2630">
        <v>100</v>
      </c>
      <c r="N2630" t="s">
        <v>49</v>
      </c>
      <c r="O2630" t="s">
        <v>4604</v>
      </c>
      <c r="P2630" t="s">
        <v>170</v>
      </c>
      <c r="T2630">
        <v>4</v>
      </c>
      <c r="U2630" t="s">
        <v>56</v>
      </c>
      <c r="V2630" t="s">
        <v>56</v>
      </c>
    </row>
    <row r="2631" spans="1:22" x14ac:dyDescent="0.3">
      <c r="A2631" s="49">
        <v>45273</v>
      </c>
      <c r="E2631" t="s">
        <v>3120</v>
      </c>
      <c r="G2631" t="s">
        <v>5290</v>
      </c>
      <c r="H2631" t="s">
        <v>28</v>
      </c>
      <c r="I2631" t="s">
        <v>5860</v>
      </c>
      <c r="J2631" t="s">
        <v>63</v>
      </c>
      <c r="K2631" t="s">
        <v>64</v>
      </c>
      <c r="M2631">
        <v>100</v>
      </c>
      <c r="N2631" t="s">
        <v>49</v>
      </c>
      <c r="O2631" t="s">
        <v>4238</v>
      </c>
      <c r="P2631" t="s">
        <v>4884</v>
      </c>
      <c r="T2631">
        <v>4</v>
      </c>
      <c r="U2631" t="s">
        <v>56</v>
      </c>
      <c r="V2631" t="s">
        <v>56</v>
      </c>
    </row>
    <row r="2632" spans="1:22" x14ac:dyDescent="0.3">
      <c r="A2632" s="49">
        <v>45273</v>
      </c>
      <c r="E2632" t="s">
        <v>3120</v>
      </c>
      <c r="G2632" t="s">
        <v>5290</v>
      </c>
      <c r="H2632" t="s">
        <v>28</v>
      </c>
      <c r="I2632" t="s">
        <v>5860</v>
      </c>
      <c r="J2632" t="s">
        <v>63</v>
      </c>
      <c r="K2632" t="s">
        <v>64</v>
      </c>
      <c r="M2632">
        <v>100</v>
      </c>
      <c r="N2632" t="s">
        <v>49</v>
      </c>
      <c r="O2632" t="s">
        <v>4238</v>
      </c>
      <c r="P2632" t="s">
        <v>4884</v>
      </c>
      <c r="T2632">
        <v>4</v>
      </c>
      <c r="U2632" t="s">
        <v>56</v>
      </c>
      <c r="V2632" t="s">
        <v>56</v>
      </c>
    </row>
    <row r="2633" spans="1:22" x14ac:dyDescent="0.3">
      <c r="A2633" s="49">
        <v>45273</v>
      </c>
      <c r="E2633" t="s">
        <v>3120</v>
      </c>
      <c r="G2633" t="s">
        <v>5290</v>
      </c>
      <c r="H2633" t="s">
        <v>28</v>
      </c>
      <c r="I2633" t="s">
        <v>5860</v>
      </c>
      <c r="J2633" t="s">
        <v>63</v>
      </c>
      <c r="K2633" t="s">
        <v>64</v>
      </c>
      <c r="M2633">
        <v>100</v>
      </c>
      <c r="N2633" t="s">
        <v>49</v>
      </c>
      <c r="O2633" t="s">
        <v>4238</v>
      </c>
      <c r="P2633" t="s">
        <v>4884</v>
      </c>
      <c r="T2633">
        <v>4</v>
      </c>
      <c r="U2633" t="s">
        <v>56</v>
      </c>
      <c r="V2633" t="s">
        <v>56</v>
      </c>
    </row>
    <row r="2634" spans="1:22" x14ac:dyDescent="0.3">
      <c r="A2634" s="49">
        <v>45273</v>
      </c>
      <c r="E2634" t="s">
        <v>3120</v>
      </c>
      <c r="G2634" t="s">
        <v>2648</v>
      </c>
      <c r="H2634" t="s">
        <v>28</v>
      </c>
      <c r="I2634" t="s">
        <v>5506</v>
      </c>
      <c r="J2634" t="s">
        <v>63</v>
      </c>
      <c r="K2634" t="s">
        <v>64</v>
      </c>
      <c r="M2634">
        <v>22</v>
      </c>
      <c r="N2634" t="s">
        <v>49</v>
      </c>
      <c r="O2634" t="s">
        <v>4605</v>
      </c>
      <c r="P2634" t="s">
        <v>878</v>
      </c>
      <c r="S2634" t="s">
        <v>6224</v>
      </c>
      <c r="T2634">
        <v>4</v>
      </c>
      <c r="U2634" t="s">
        <v>56</v>
      </c>
      <c r="V2634" t="s">
        <v>56</v>
      </c>
    </row>
    <row r="2635" spans="1:22" x14ac:dyDescent="0.3">
      <c r="A2635" s="49">
        <v>45273</v>
      </c>
      <c r="E2635" t="s">
        <v>3120</v>
      </c>
      <c r="G2635" t="s">
        <v>2648</v>
      </c>
      <c r="H2635" t="s">
        <v>28</v>
      </c>
      <c r="I2635" t="s">
        <v>5673</v>
      </c>
      <c r="J2635" t="s">
        <v>63</v>
      </c>
      <c r="K2635" t="s">
        <v>64</v>
      </c>
      <c r="M2635">
        <v>100</v>
      </c>
      <c r="N2635" t="s">
        <v>49</v>
      </c>
      <c r="O2635" t="s">
        <v>3751</v>
      </c>
      <c r="P2635" t="s">
        <v>287</v>
      </c>
      <c r="S2635" t="s">
        <v>6321</v>
      </c>
      <c r="T2635">
        <v>4</v>
      </c>
      <c r="U2635" t="s">
        <v>56</v>
      </c>
      <c r="V2635" t="s">
        <v>56</v>
      </c>
    </row>
    <row r="2636" spans="1:22" x14ac:dyDescent="0.3">
      <c r="A2636" s="49">
        <v>45273</v>
      </c>
      <c r="E2636" t="s">
        <v>3120</v>
      </c>
      <c r="G2636" t="s">
        <v>2648</v>
      </c>
      <c r="H2636" t="s">
        <v>28</v>
      </c>
      <c r="I2636" t="s">
        <v>5994</v>
      </c>
      <c r="J2636" t="s">
        <v>46</v>
      </c>
      <c r="K2636" t="s">
        <v>422</v>
      </c>
      <c r="M2636">
        <v>80</v>
      </c>
      <c r="N2636" t="s">
        <v>49</v>
      </c>
      <c r="O2636" t="s">
        <v>4606</v>
      </c>
      <c r="P2636" t="s">
        <v>4870</v>
      </c>
      <c r="S2636" t="s">
        <v>6333</v>
      </c>
      <c r="T2636">
        <v>4</v>
      </c>
      <c r="U2636" t="s">
        <v>56</v>
      </c>
      <c r="V2636" t="s">
        <v>56</v>
      </c>
    </row>
    <row r="2637" spans="1:22" x14ac:dyDescent="0.3">
      <c r="A2637" s="49">
        <v>45273</v>
      </c>
      <c r="E2637" t="s">
        <v>3157</v>
      </c>
      <c r="G2637" t="s">
        <v>5371</v>
      </c>
      <c r="H2637" t="s">
        <v>89</v>
      </c>
      <c r="J2637" t="s">
        <v>1712</v>
      </c>
      <c r="K2637" t="s">
        <v>481</v>
      </c>
      <c r="M2637">
        <v>100</v>
      </c>
      <c r="N2637" t="s">
        <v>49</v>
      </c>
      <c r="O2637" t="s">
        <v>4607</v>
      </c>
      <c r="P2637" t="s">
        <v>1159</v>
      </c>
      <c r="T2637">
        <v>4</v>
      </c>
      <c r="U2637" t="s">
        <v>56</v>
      </c>
      <c r="V2637" t="s">
        <v>56</v>
      </c>
    </row>
    <row r="2638" spans="1:22" x14ac:dyDescent="0.3">
      <c r="A2638" s="49">
        <v>45273</v>
      </c>
      <c r="E2638" t="s">
        <v>3121</v>
      </c>
      <c r="G2638" t="s">
        <v>5074</v>
      </c>
      <c r="H2638" t="s">
        <v>28</v>
      </c>
      <c r="I2638" t="s">
        <v>5995</v>
      </c>
      <c r="J2638" t="s">
        <v>1712</v>
      </c>
      <c r="K2638" t="s">
        <v>481</v>
      </c>
      <c r="M2638">
        <v>100</v>
      </c>
      <c r="N2638" t="s">
        <v>33</v>
      </c>
      <c r="O2638" t="s">
        <v>4608</v>
      </c>
      <c r="P2638" t="s">
        <v>1701</v>
      </c>
      <c r="T2638">
        <v>4</v>
      </c>
      <c r="U2638" t="s">
        <v>56</v>
      </c>
      <c r="V2638" t="s">
        <v>56</v>
      </c>
    </row>
    <row r="2639" spans="1:22" x14ac:dyDescent="0.3">
      <c r="A2639" s="49">
        <v>45273</v>
      </c>
      <c r="E2639" t="s">
        <v>3121</v>
      </c>
      <c r="G2639" t="s">
        <v>5072</v>
      </c>
      <c r="H2639" t="s">
        <v>28</v>
      </c>
      <c r="I2639" t="s">
        <v>5513</v>
      </c>
      <c r="J2639" t="s">
        <v>63</v>
      </c>
      <c r="K2639" t="s">
        <v>64</v>
      </c>
      <c r="M2639">
        <v>100</v>
      </c>
      <c r="N2639" t="s">
        <v>49</v>
      </c>
      <c r="O2639" t="s">
        <v>4609</v>
      </c>
      <c r="P2639" t="s">
        <v>483</v>
      </c>
      <c r="T2639">
        <v>4</v>
      </c>
      <c r="U2639" t="s">
        <v>56</v>
      </c>
      <c r="V2639" t="s">
        <v>56</v>
      </c>
    </row>
    <row r="2640" spans="1:22" x14ac:dyDescent="0.3">
      <c r="A2640" s="49">
        <v>45273</v>
      </c>
      <c r="E2640" t="s">
        <v>3121</v>
      </c>
      <c r="G2640" t="s">
        <v>5072</v>
      </c>
      <c r="H2640" t="s">
        <v>28</v>
      </c>
      <c r="I2640" t="s">
        <v>5513</v>
      </c>
      <c r="J2640" t="s">
        <v>63</v>
      </c>
      <c r="K2640" t="s">
        <v>64</v>
      </c>
      <c r="M2640">
        <v>100</v>
      </c>
      <c r="N2640" t="s">
        <v>49</v>
      </c>
      <c r="O2640" t="s">
        <v>4610</v>
      </c>
      <c r="P2640" t="s">
        <v>691</v>
      </c>
      <c r="T2640">
        <v>4</v>
      </c>
      <c r="U2640" t="s">
        <v>56</v>
      </c>
      <c r="V2640" t="s">
        <v>56</v>
      </c>
    </row>
    <row r="2641" spans="1:22" x14ac:dyDescent="0.3">
      <c r="A2641" s="49">
        <v>45273</v>
      </c>
      <c r="E2641" t="s">
        <v>3121</v>
      </c>
      <c r="G2641" t="s">
        <v>5183</v>
      </c>
      <c r="H2641" t="s">
        <v>89</v>
      </c>
      <c r="J2641" t="s">
        <v>63</v>
      </c>
      <c r="K2641" t="s">
        <v>64</v>
      </c>
      <c r="M2641">
        <v>80</v>
      </c>
      <c r="N2641" t="s">
        <v>49</v>
      </c>
      <c r="O2641" t="s">
        <v>4611</v>
      </c>
      <c r="P2641" t="s">
        <v>1356</v>
      </c>
      <c r="T2641">
        <v>4</v>
      </c>
      <c r="U2641" t="s">
        <v>56</v>
      </c>
      <c r="V2641" t="s">
        <v>56</v>
      </c>
    </row>
    <row r="2642" spans="1:22" x14ac:dyDescent="0.3">
      <c r="A2642" s="49">
        <v>45273</v>
      </c>
      <c r="E2642" t="s">
        <v>3121</v>
      </c>
      <c r="G2642" t="s">
        <v>5296</v>
      </c>
      <c r="H2642" t="s">
        <v>28</v>
      </c>
      <c r="I2642" t="s">
        <v>5871</v>
      </c>
      <c r="J2642" t="s">
        <v>46</v>
      </c>
      <c r="K2642" t="s">
        <v>481</v>
      </c>
      <c r="M2642">
        <v>60</v>
      </c>
      <c r="N2642" t="s">
        <v>49</v>
      </c>
      <c r="O2642" t="s">
        <v>4612</v>
      </c>
      <c r="P2642" t="s">
        <v>416</v>
      </c>
      <c r="T2642">
        <v>4</v>
      </c>
      <c r="U2642" t="s">
        <v>56</v>
      </c>
      <c r="V2642" t="s">
        <v>56</v>
      </c>
    </row>
    <row r="2643" spans="1:22" x14ac:dyDescent="0.3">
      <c r="A2643" s="49">
        <v>45273</v>
      </c>
      <c r="E2643" t="s">
        <v>3121</v>
      </c>
      <c r="G2643" t="s">
        <v>4985</v>
      </c>
      <c r="H2643" t="s">
        <v>28</v>
      </c>
      <c r="I2643" t="s">
        <v>5996</v>
      </c>
      <c r="J2643" t="s">
        <v>63</v>
      </c>
      <c r="K2643" t="s">
        <v>64</v>
      </c>
      <c r="M2643">
        <v>100</v>
      </c>
      <c r="N2643" t="s">
        <v>49</v>
      </c>
      <c r="O2643" t="s">
        <v>4613</v>
      </c>
      <c r="P2643" t="s">
        <v>344</v>
      </c>
      <c r="T2643">
        <v>4</v>
      </c>
      <c r="U2643" t="s">
        <v>56</v>
      </c>
      <c r="V2643" t="s">
        <v>56</v>
      </c>
    </row>
    <row r="2644" spans="1:22" x14ac:dyDescent="0.3">
      <c r="A2644" s="49">
        <v>45273</v>
      </c>
      <c r="E2644" t="s">
        <v>3121</v>
      </c>
      <c r="G2644" t="s">
        <v>5074</v>
      </c>
      <c r="H2644" t="s">
        <v>28</v>
      </c>
      <c r="I2644" t="s">
        <v>5997</v>
      </c>
      <c r="J2644" t="s">
        <v>1712</v>
      </c>
      <c r="K2644" t="s">
        <v>4944</v>
      </c>
      <c r="M2644">
        <v>25</v>
      </c>
      <c r="N2644" t="s">
        <v>49</v>
      </c>
      <c r="O2644" t="s">
        <v>4614</v>
      </c>
      <c r="P2644" t="s">
        <v>1159</v>
      </c>
      <c r="T2644">
        <v>4</v>
      </c>
      <c r="U2644" t="s">
        <v>56</v>
      </c>
      <c r="V2644" t="s">
        <v>56</v>
      </c>
    </row>
    <row r="2645" spans="1:22" x14ac:dyDescent="0.3">
      <c r="A2645" s="49">
        <v>45273</v>
      </c>
      <c r="E2645" t="s">
        <v>3121</v>
      </c>
      <c r="G2645" t="s">
        <v>5372</v>
      </c>
      <c r="H2645" t="s">
        <v>28</v>
      </c>
      <c r="I2645" t="s">
        <v>5998</v>
      </c>
      <c r="J2645" t="s">
        <v>63</v>
      </c>
      <c r="K2645" t="s">
        <v>197</v>
      </c>
      <c r="M2645">
        <v>100</v>
      </c>
      <c r="N2645" t="s">
        <v>49</v>
      </c>
      <c r="O2645" t="s">
        <v>4615</v>
      </c>
      <c r="P2645" t="s">
        <v>668</v>
      </c>
      <c r="T2645">
        <v>4</v>
      </c>
      <c r="U2645" t="s">
        <v>56</v>
      </c>
      <c r="V2645" t="s">
        <v>56</v>
      </c>
    </row>
    <row r="2646" spans="1:22" x14ac:dyDescent="0.3">
      <c r="A2646" s="49">
        <v>45273</v>
      </c>
      <c r="E2646" t="s">
        <v>3121</v>
      </c>
      <c r="G2646" t="s">
        <v>1108</v>
      </c>
      <c r="H2646" t="s">
        <v>28</v>
      </c>
      <c r="I2646" t="s">
        <v>1997</v>
      </c>
      <c r="J2646" t="s">
        <v>63</v>
      </c>
      <c r="K2646" t="s">
        <v>197</v>
      </c>
      <c r="M2646">
        <v>33</v>
      </c>
      <c r="N2646" t="s">
        <v>49</v>
      </c>
      <c r="O2646" t="s">
        <v>4616</v>
      </c>
      <c r="P2646" t="s">
        <v>306</v>
      </c>
      <c r="T2646">
        <v>4</v>
      </c>
      <c r="U2646" t="s">
        <v>56</v>
      </c>
      <c r="V2646" t="s">
        <v>56</v>
      </c>
    </row>
    <row r="2647" spans="1:22" x14ac:dyDescent="0.3">
      <c r="A2647" s="49">
        <v>45273</v>
      </c>
      <c r="E2647" t="s">
        <v>3121</v>
      </c>
      <c r="G2647" t="s">
        <v>5071</v>
      </c>
      <c r="H2647" t="s">
        <v>89</v>
      </c>
      <c r="J2647" t="s">
        <v>63</v>
      </c>
      <c r="K2647" t="s">
        <v>64</v>
      </c>
      <c r="M2647">
        <v>100</v>
      </c>
      <c r="N2647" t="s">
        <v>49</v>
      </c>
      <c r="O2647" t="s">
        <v>4279</v>
      </c>
      <c r="P2647" t="s">
        <v>66</v>
      </c>
      <c r="T2647">
        <v>4</v>
      </c>
      <c r="U2647" t="s">
        <v>56</v>
      </c>
      <c r="V2647" t="s">
        <v>56</v>
      </c>
    </row>
    <row r="2648" spans="1:22" x14ac:dyDescent="0.3">
      <c r="A2648" s="49">
        <v>45273</v>
      </c>
      <c r="E2648" t="s">
        <v>3121</v>
      </c>
      <c r="G2648" t="s">
        <v>5181</v>
      </c>
      <c r="H2648" t="s">
        <v>28</v>
      </c>
      <c r="I2648" t="s">
        <v>5999</v>
      </c>
      <c r="J2648" t="s">
        <v>63</v>
      </c>
      <c r="K2648" t="s">
        <v>64</v>
      </c>
      <c r="M2648">
        <v>100</v>
      </c>
      <c r="N2648" t="s">
        <v>49</v>
      </c>
      <c r="O2648" t="s">
        <v>4617</v>
      </c>
      <c r="P2648" t="s">
        <v>4877</v>
      </c>
      <c r="T2648">
        <v>4</v>
      </c>
      <c r="U2648" t="s">
        <v>56</v>
      </c>
      <c r="V2648" t="s">
        <v>56</v>
      </c>
    </row>
    <row r="2649" spans="1:22" x14ac:dyDescent="0.3">
      <c r="A2649" s="49">
        <v>45273</v>
      </c>
      <c r="E2649" t="s">
        <v>3121</v>
      </c>
      <c r="G2649" t="s">
        <v>5071</v>
      </c>
      <c r="H2649" t="s">
        <v>89</v>
      </c>
      <c r="J2649" t="s">
        <v>63</v>
      </c>
      <c r="K2649" t="s">
        <v>4943</v>
      </c>
      <c r="M2649">
        <v>0</v>
      </c>
      <c r="N2649" t="s">
        <v>33</v>
      </c>
      <c r="O2649" t="s">
        <v>4618</v>
      </c>
      <c r="P2649" t="s">
        <v>651</v>
      </c>
      <c r="T2649">
        <v>4</v>
      </c>
      <c r="U2649" t="s">
        <v>56</v>
      </c>
      <c r="V2649" t="s">
        <v>56</v>
      </c>
    </row>
    <row r="2650" spans="1:22" x14ac:dyDescent="0.3">
      <c r="A2650" s="49">
        <v>45273</v>
      </c>
      <c r="E2650" t="s">
        <v>3121</v>
      </c>
      <c r="G2650" t="s">
        <v>5183</v>
      </c>
      <c r="H2650" t="s">
        <v>28</v>
      </c>
      <c r="I2650" t="s">
        <v>5869</v>
      </c>
      <c r="J2650" t="s">
        <v>63</v>
      </c>
      <c r="K2650" t="s">
        <v>64</v>
      </c>
      <c r="M2650">
        <v>60</v>
      </c>
      <c r="N2650" t="s">
        <v>33</v>
      </c>
      <c r="O2650" t="s">
        <v>4619</v>
      </c>
      <c r="P2650" t="s">
        <v>668</v>
      </c>
      <c r="T2650">
        <v>4</v>
      </c>
      <c r="U2650" t="s">
        <v>56</v>
      </c>
      <c r="V2650" t="s">
        <v>56</v>
      </c>
    </row>
    <row r="2651" spans="1:22" x14ac:dyDescent="0.3">
      <c r="A2651" s="49">
        <v>45273</v>
      </c>
      <c r="E2651" t="s">
        <v>3121</v>
      </c>
      <c r="G2651" t="s">
        <v>5074</v>
      </c>
      <c r="H2651" t="s">
        <v>89</v>
      </c>
      <c r="J2651" t="s">
        <v>63</v>
      </c>
      <c r="K2651" t="s">
        <v>4952</v>
      </c>
      <c r="M2651">
        <v>25</v>
      </c>
      <c r="N2651" t="s">
        <v>49</v>
      </c>
      <c r="O2651" t="s">
        <v>4620</v>
      </c>
      <c r="P2651" t="s">
        <v>651</v>
      </c>
      <c r="T2651">
        <v>4</v>
      </c>
      <c r="U2651" t="s">
        <v>56</v>
      </c>
      <c r="V2651" t="s">
        <v>56</v>
      </c>
    </row>
    <row r="2652" spans="1:22" x14ac:dyDescent="0.3">
      <c r="A2652" s="49">
        <v>45273</v>
      </c>
      <c r="E2652" t="s">
        <v>3121</v>
      </c>
      <c r="G2652" t="s">
        <v>1108</v>
      </c>
      <c r="H2652" t="s">
        <v>28</v>
      </c>
      <c r="I2652" t="s">
        <v>1997</v>
      </c>
      <c r="J2652" t="s">
        <v>63</v>
      </c>
      <c r="K2652" t="s">
        <v>197</v>
      </c>
      <c r="M2652">
        <v>100</v>
      </c>
      <c r="N2652" t="s">
        <v>49</v>
      </c>
      <c r="O2652" t="s">
        <v>4621</v>
      </c>
      <c r="P2652" t="s">
        <v>66</v>
      </c>
      <c r="T2652">
        <v>4</v>
      </c>
      <c r="U2652" t="s">
        <v>56</v>
      </c>
      <c r="V2652" t="s">
        <v>56</v>
      </c>
    </row>
    <row r="2653" spans="1:22" x14ac:dyDescent="0.3">
      <c r="A2653" s="49">
        <v>45273</v>
      </c>
      <c r="E2653" t="s">
        <v>3121</v>
      </c>
      <c r="G2653" t="s">
        <v>5372</v>
      </c>
      <c r="H2653" t="s">
        <v>89</v>
      </c>
      <c r="J2653" t="s">
        <v>63</v>
      </c>
      <c r="K2653" t="s">
        <v>197</v>
      </c>
      <c r="M2653">
        <v>26</v>
      </c>
      <c r="N2653" t="s">
        <v>49</v>
      </c>
      <c r="O2653" t="s">
        <v>4622</v>
      </c>
      <c r="P2653" t="s">
        <v>1597</v>
      </c>
      <c r="T2653">
        <v>4</v>
      </c>
      <c r="U2653" t="s">
        <v>56</v>
      </c>
      <c r="V2653" t="s">
        <v>56</v>
      </c>
    </row>
    <row r="2654" spans="1:22" x14ac:dyDescent="0.3">
      <c r="A2654" s="49">
        <v>45273</v>
      </c>
      <c r="E2654" t="s">
        <v>3121</v>
      </c>
      <c r="G2654" t="s">
        <v>364</v>
      </c>
      <c r="H2654" t="s">
        <v>28</v>
      </c>
      <c r="I2654" t="s">
        <v>2784</v>
      </c>
      <c r="J2654" t="s">
        <v>46</v>
      </c>
      <c r="K2654" t="s">
        <v>422</v>
      </c>
      <c r="M2654">
        <v>25</v>
      </c>
      <c r="N2654" t="s">
        <v>33</v>
      </c>
      <c r="O2654" t="s">
        <v>4623</v>
      </c>
      <c r="P2654" t="s">
        <v>306</v>
      </c>
      <c r="T2654">
        <v>6</v>
      </c>
      <c r="U2654" t="s">
        <v>40</v>
      </c>
      <c r="V2654" t="s">
        <v>41</v>
      </c>
    </row>
    <row r="2655" spans="1:22" x14ac:dyDescent="0.3">
      <c r="A2655" s="49">
        <v>45273</v>
      </c>
      <c r="E2655" t="s">
        <v>3121</v>
      </c>
      <c r="G2655" t="s">
        <v>5182</v>
      </c>
      <c r="H2655" t="s">
        <v>28</v>
      </c>
      <c r="I2655" t="s">
        <v>5864</v>
      </c>
      <c r="J2655" t="s">
        <v>46</v>
      </c>
      <c r="K2655" t="s">
        <v>422</v>
      </c>
      <c r="M2655">
        <v>75</v>
      </c>
      <c r="N2655" t="s">
        <v>33</v>
      </c>
      <c r="O2655" t="s">
        <v>4250</v>
      </c>
      <c r="P2655" t="s">
        <v>344</v>
      </c>
      <c r="T2655">
        <v>4</v>
      </c>
      <c r="U2655" t="s">
        <v>56</v>
      </c>
      <c r="V2655" t="s">
        <v>56</v>
      </c>
    </row>
    <row r="2656" spans="1:22" x14ac:dyDescent="0.3">
      <c r="A2656" s="49">
        <v>45273</v>
      </c>
      <c r="E2656" t="s">
        <v>3121</v>
      </c>
      <c r="G2656" t="s">
        <v>5181</v>
      </c>
      <c r="H2656" t="s">
        <v>28</v>
      </c>
      <c r="I2656" t="s">
        <v>6000</v>
      </c>
      <c r="J2656" t="s">
        <v>63</v>
      </c>
      <c r="K2656" t="s">
        <v>64</v>
      </c>
      <c r="M2656">
        <v>90</v>
      </c>
      <c r="N2656" t="s">
        <v>33</v>
      </c>
      <c r="O2656" t="s">
        <v>4624</v>
      </c>
      <c r="P2656" t="s">
        <v>4864</v>
      </c>
      <c r="T2656">
        <v>4</v>
      </c>
      <c r="U2656" t="s">
        <v>56</v>
      </c>
      <c r="V2656" t="s">
        <v>56</v>
      </c>
    </row>
    <row r="2657" spans="1:22" x14ac:dyDescent="0.3">
      <c r="A2657" s="49">
        <v>45273</v>
      </c>
      <c r="E2657" t="s">
        <v>3121</v>
      </c>
      <c r="G2657" t="s">
        <v>364</v>
      </c>
      <c r="H2657" t="s">
        <v>28</v>
      </c>
      <c r="I2657" t="s">
        <v>5548</v>
      </c>
      <c r="J2657" t="s">
        <v>63</v>
      </c>
      <c r="K2657" t="s">
        <v>64</v>
      </c>
      <c r="M2657">
        <v>15</v>
      </c>
      <c r="N2657" t="s">
        <v>49</v>
      </c>
      <c r="O2657" t="s">
        <v>4625</v>
      </c>
      <c r="P2657" t="s">
        <v>791</v>
      </c>
      <c r="T2657">
        <v>4</v>
      </c>
      <c r="U2657" t="s">
        <v>56</v>
      </c>
      <c r="V2657" t="s">
        <v>56</v>
      </c>
    </row>
    <row r="2658" spans="1:22" x14ac:dyDescent="0.3">
      <c r="A2658" s="49">
        <v>45273</v>
      </c>
      <c r="E2658" t="s">
        <v>3121</v>
      </c>
      <c r="G2658" t="s">
        <v>5071</v>
      </c>
      <c r="H2658" t="s">
        <v>28</v>
      </c>
      <c r="I2658" t="s">
        <v>6001</v>
      </c>
      <c r="J2658" t="s">
        <v>63</v>
      </c>
      <c r="K2658" t="s">
        <v>64</v>
      </c>
      <c r="M2658">
        <v>80</v>
      </c>
      <c r="N2658" t="s">
        <v>49</v>
      </c>
      <c r="O2658" t="s">
        <v>4626</v>
      </c>
      <c r="P2658" t="s">
        <v>668</v>
      </c>
      <c r="T2658">
        <v>4</v>
      </c>
      <c r="U2658" t="s">
        <v>56</v>
      </c>
      <c r="V2658" t="s">
        <v>56</v>
      </c>
    </row>
    <row r="2659" spans="1:22" x14ac:dyDescent="0.3">
      <c r="A2659" s="49">
        <v>45273</v>
      </c>
      <c r="E2659" t="s">
        <v>3121</v>
      </c>
      <c r="G2659" t="s">
        <v>5071</v>
      </c>
      <c r="H2659" t="s">
        <v>89</v>
      </c>
      <c r="J2659" t="s">
        <v>63</v>
      </c>
      <c r="K2659" t="s">
        <v>64</v>
      </c>
      <c r="M2659">
        <v>100</v>
      </c>
      <c r="N2659" t="s">
        <v>49</v>
      </c>
      <c r="O2659" t="s">
        <v>4627</v>
      </c>
      <c r="P2659" t="s">
        <v>373</v>
      </c>
      <c r="T2659">
        <v>4</v>
      </c>
      <c r="U2659" t="s">
        <v>56</v>
      </c>
      <c r="V2659" t="s">
        <v>56</v>
      </c>
    </row>
    <row r="2660" spans="1:22" x14ac:dyDescent="0.3">
      <c r="A2660" s="49">
        <v>45273</v>
      </c>
      <c r="E2660" t="s">
        <v>3121</v>
      </c>
      <c r="G2660" t="s">
        <v>5074</v>
      </c>
      <c r="H2660" t="s">
        <v>89</v>
      </c>
      <c r="J2660" t="s">
        <v>63</v>
      </c>
      <c r="K2660" t="s">
        <v>4952</v>
      </c>
      <c r="M2660">
        <v>45</v>
      </c>
      <c r="N2660" t="s">
        <v>49</v>
      </c>
      <c r="O2660" t="s">
        <v>4628</v>
      </c>
      <c r="P2660" t="s">
        <v>416</v>
      </c>
      <c r="T2660">
        <v>4</v>
      </c>
      <c r="U2660" t="s">
        <v>56</v>
      </c>
      <c r="V2660" t="s">
        <v>56</v>
      </c>
    </row>
    <row r="2661" spans="1:22" x14ac:dyDescent="0.3">
      <c r="A2661" s="49">
        <v>45273</v>
      </c>
      <c r="E2661" t="s">
        <v>3121</v>
      </c>
      <c r="G2661" t="s">
        <v>4984</v>
      </c>
      <c r="H2661" t="s">
        <v>28</v>
      </c>
      <c r="I2661" t="s">
        <v>2670</v>
      </c>
      <c r="J2661" t="s">
        <v>63</v>
      </c>
      <c r="K2661" t="s">
        <v>64</v>
      </c>
      <c r="M2661">
        <v>0</v>
      </c>
      <c r="N2661" t="s">
        <v>74</v>
      </c>
      <c r="O2661" t="s">
        <v>4629</v>
      </c>
      <c r="P2661" t="s">
        <v>1159</v>
      </c>
      <c r="T2661">
        <v>4</v>
      </c>
      <c r="U2661" t="s">
        <v>56</v>
      </c>
      <c r="V2661" t="s">
        <v>56</v>
      </c>
    </row>
    <row r="2662" spans="1:22" x14ac:dyDescent="0.3">
      <c r="A2662" s="49">
        <v>45273</v>
      </c>
      <c r="E2662" t="s">
        <v>3121</v>
      </c>
      <c r="G2662" t="s">
        <v>1108</v>
      </c>
      <c r="H2662" t="s">
        <v>28</v>
      </c>
      <c r="I2662" t="s">
        <v>5698</v>
      </c>
      <c r="J2662" t="s">
        <v>63</v>
      </c>
      <c r="K2662" t="s">
        <v>197</v>
      </c>
      <c r="M2662">
        <v>100</v>
      </c>
      <c r="N2662" t="s">
        <v>33</v>
      </c>
      <c r="O2662" t="s">
        <v>4630</v>
      </c>
      <c r="P2662" t="s">
        <v>1159</v>
      </c>
      <c r="T2662">
        <v>4</v>
      </c>
      <c r="U2662" t="s">
        <v>56</v>
      </c>
      <c r="V2662" t="s">
        <v>56</v>
      </c>
    </row>
    <row r="2663" spans="1:22" x14ac:dyDescent="0.3">
      <c r="A2663" s="49">
        <v>45273</v>
      </c>
      <c r="E2663" t="s">
        <v>3121</v>
      </c>
      <c r="G2663" t="s">
        <v>1108</v>
      </c>
      <c r="H2663" t="s">
        <v>89</v>
      </c>
      <c r="J2663" t="s">
        <v>63</v>
      </c>
      <c r="K2663" t="s">
        <v>197</v>
      </c>
      <c r="M2663">
        <v>90</v>
      </c>
      <c r="N2663" t="s">
        <v>33</v>
      </c>
      <c r="O2663" t="s">
        <v>4631</v>
      </c>
      <c r="P2663" t="s">
        <v>1878</v>
      </c>
      <c r="T2663">
        <v>4</v>
      </c>
      <c r="U2663" t="s">
        <v>56</v>
      </c>
      <c r="V2663" t="s">
        <v>56</v>
      </c>
    </row>
    <row r="2664" spans="1:22" x14ac:dyDescent="0.3">
      <c r="A2664" s="49">
        <v>45273</v>
      </c>
      <c r="E2664" t="s">
        <v>3121</v>
      </c>
      <c r="G2664" t="s">
        <v>5181</v>
      </c>
      <c r="H2664" t="s">
        <v>28</v>
      </c>
      <c r="I2664" t="s">
        <v>5686</v>
      </c>
      <c r="J2664" t="s">
        <v>63</v>
      </c>
      <c r="K2664" t="s">
        <v>64</v>
      </c>
      <c r="M2664">
        <v>80</v>
      </c>
      <c r="N2664" t="s">
        <v>49</v>
      </c>
      <c r="O2664" t="s">
        <v>4632</v>
      </c>
      <c r="P2664" t="s">
        <v>4834</v>
      </c>
      <c r="T2664">
        <v>4</v>
      </c>
      <c r="U2664" t="s">
        <v>56</v>
      </c>
      <c r="V2664" t="s">
        <v>56</v>
      </c>
    </row>
    <row r="2665" spans="1:22" x14ac:dyDescent="0.3">
      <c r="A2665" s="49">
        <v>45273</v>
      </c>
      <c r="E2665" t="s">
        <v>3121</v>
      </c>
      <c r="G2665" t="s">
        <v>5035</v>
      </c>
      <c r="H2665" t="s">
        <v>28</v>
      </c>
      <c r="I2665" t="s">
        <v>6002</v>
      </c>
      <c r="J2665" t="s">
        <v>63</v>
      </c>
      <c r="K2665" t="s">
        <v>197</v>
      </c>
      <c r="M2665">
        <v>50</v>
      </c>
      <c r="N2665" t="s">
        <v>33</v>
      </c>
      <c r="O2665" t="s">
        <v>4633</v>
      </c>
      <c r="P2665" t="s">
        <v>668</v>
      </c>
      <c r="T2665">
        <v>4</v>
      </c>
      <c r="U2665" t="s">
        <v>56</v>
      </c>
      <c r="V2665" t="s">
        <v>56</v>
      </c>
    </row>
    <row r="2666" spans="1:22" x14ac:dyDescent="0.3">
      <c r="A2666" s="49">
        <v>45273</v>
      </c>
      <c r="E2666" t="s">
        <v>3121</v>
      </c>
      <c r="G2666" t="s">
        <v>364</v>
      </c>
      <c r="H2666" t="s">
        <v>89</v>
      </c>
      <c r="J2666" t="s">
        <v>63</v>
      </c>
      <c r="K2666" t="s">
        <v>64</v>
      </c>
      <c r="M2666">
        <v>100</v>
      </c>
      <c r="N2666" t="s">
        <v>33</v>
      </c>
      <c r="O2666" t="s">
        <v>4634</v>
      </c>
      <c r="P2666" t="s">
        <v>483</v>
      </c>
      <c r="T2666">
        <v>4</v>
      </c>
      <c r="U2666" t="s">
        <v>56</v>
      </c>
      <c r="V2666" t="s">
        <v>56</v>
      </c>
    </row>
    <row r="2667" spans="1:22" x14ac:dyDescent="0.3">
      <c r="A2667" s="49">
        <v>45273</v>
      </c>
      <c r="E2667" t="s">
        <v>3121</v>
      </c>
      <c r="G2667" t="s">
        <v>364</v>
      </c>
      <c r="H2667" t="s">
        <v>89</v>
      </c>
      <c r="J2667" t="s">
        <v>63</v>
      </c>
      <c r="K2667" t="s">
        <v>64</v>
      </c>
      <c r="M2667">
        <v>100</v>
      </c>
      <c r="N2667" t="s">
        <v>33</v>
      </c>
      <c r="O2667" t="s">
        <v>4635</v>
      </c>
      <c r="P2667" t="s">
        <v>170</v>
      </c>
      <c r="T2667">
        <v>6</v>
      </c>
      <c r="U2667" t="s">
        <v>40</v>
      </c>
      <c r="V2667" t="s">
        <v>41</v>
      </c>
    </row>
    <row r="2668" spans="1:22" x14ac:dyDescent="0.3">
      <c r="A2668" s="49">
        <v>45273</v>
      </c>
      <c r="E2668" t="s">
        <v>3121</v>
      </c>
      <c r="G2668" t="s">
        <v>5073</v>
      </c>
      <c r="H2668" t="s">
        <v>28</v>
      </c>
      <c r="I2668" t="s">
        <v>5688</v>
      </c>
      <c r="J2668" t="s">
        <v>63</v>
      </c>
      <c r="K2668" t="s">
        <v>422</v>
      </c>
      <c r="M2668">
        <v>100</v>
      </c>
      <c r="N2668" t="s">
        <v>49</v>
      </c>
      <c r="O2668" t="s">
        <v>4636</v>
      </c>
      <c r="P2668" t="s">
        <v>1122</v>
      </c>
      <c r="T2668">
        <v>6</v>
      </c>
      <c r="U2668" t="s">
        <v>40</v>
      </c>
      <c r="V2668" t="s">
        <v>41</v>
      </c>
    </row>
    <row r="2669" spans="1:22" x14ac:dyDescent="0.3">
      <c r="A2669" s="49">
        <v>45273</v>
      </c>
      <c r="E2669" t="s">
        <v>3121</v>
      </c>
      <c r="G2669" t="s">
        <v>5073</v>
      </c>
      <c r="H2669" t="s">
        <v>28</v>
      </c>
      <c r="I2669" t="s">
        <v>5688</v>
      </c>
      <c r="J2669" t="s">
        <v>63</v>
      </c>
      <c r="K2669" t="s">
        <v>422</v>
      </c>
      <c r="M2669">
        <v>100</v>
      </c>
      <c r="N2669" t="s">
        <v>49</v>
      </c>
      <c r="O2669" t="s">
        <v>4636</v>
      </c>
      <c r="P2669" t="s">
        <v>1122</v>
      </c>
      <c r="T2669">
        <v>6</v>
      </c>
      <c r="U2669" t="s">
        <v>40</v>
      </c>
      <c r="V2669" t="s">
        <v>41</v>
      </c>
    </row>
    <row r="2670" spans="1:22" x14ac:dyDescent="0.3">
      <c r="A2670" s="49">
        <v>45273</v>
      </c>
      <c r="E2670" t="s">
        <v>3121</v>
      </c>
      <c r="G2670" t="s">
        <v>5073</v>
      </c>
      <c r="H2670" t="s">
        <v>28</v>
      </c>
      <c r="I2670" t="s">
        <v>5688</v>
      </c>
      <c r="J2670" t="s">
        <v>63</v>
      </c>
      <c r="K2670" t="s">
        <v>422</v>
      </c>
      <c r="M2670">
        <v>100</v>
      </c>
      <c r="N2670" t="s">
        <v>49</v>
      </c>
      <c r="O2670" t="s">
        <v>4636</v>
      </c>
      <c r="P2670" t="s">
        <v>1122</v>
      </c>
      <c r="T2670">
        <v>6</v>
      </c>
      <c r="U2670" t="s">
        <v>40</v>
      </c>
      <c r="V2670" t="s">
        <v>41</v>
      </c>
    </row>
    <row r="2671" spans="1:22" x14ac:dyDescent="0.3">
      <c r="A2671" s="49">
        <v>45273</v>
      </c>
      <c r="E2671" t="s">
        <v>3121</v>
      </c>
      <c r="G2671" t="s">
        <v>5035</v>
      </c>
      <c r="H2671" t="s">
        <v>89</v>
      </c>
      <c r="J2671" t="s">
        <v>63</v>
      </c>
      <c r="K2671" t="s">
        <v>197</v>
      </c>
      <c r="M2671">
        <v>100</v>
      </c>
      <c r="N2671" t="s">
        <v>49</v>
      </c>
      <c r="O2671" t="s">
        <v>4637</v>
      </c>
      <c r="P2671" t="s">
        <v>306</v>
      </c>
      <c r="T2671">
        <v>4</v>
      </c>
      <c r="U2671" t="s">
        <v>56</v>
      </c>
      <c r="V2671" t="s">
        <v>56</v>
      </c>
    </row>
    <row r="2672" spans="1:22" x14ac:dyDescent="0.3">
      <c r="A2672" s="49">
        <v>45273</v>
      </c>
      <c r="E2672" t="s">
        <v>3121</v>
      </c>
      <c r="G2672" t="s">
        <v>5035</v>
      </c>
      <c r="H2672" t="s">
        <v>89</v>
      </c>
      <c r="J2672" t="s">
        <v>63</v>
      </c>
      <c r="K2672" t="s">
        <v>197</v>
      </c>
      <c r="M2672">
        <v>100</v>
      </c>
      <c r="N2672" t="s">
        <v>49</v>
      </c>
      <c r="O2672" t="s">
        <v>4638</v>
      </c>
      <c r="P2672" t="s">
        <v>344</v>
      </c>
      <c r="T2672">
        <v>4</v>
      </c>
      <c r="U2672" t="s">
        <v>56</v>
      </c>
      <c r="V2672" t="s">
        <v>56</v>
      </c>
    </row>
    <row r="2673" spans="1:22" x14ac:dyDescent="0.3">
      <c r="A2673" s="49">
        <v>45273</v>
      </c>
      <c r="E2673" t="s">
        <v>3121</v>
      </c>
      <c r="G2673" t="s">
        <v>5035</v>
      </c>
      <c r="H2673" t="s">
        <v>89</v>
      </c>
      <c r="J2673" t="s">
        <v>63</v>
      </c>
      <c r="K2673" t="s">
        <v>197</v>
      </c>
      <c r="M2673">
        <v>100</v>
      </c>
      <c r="N2673" t="s">
        <v>49</v>
      </c>
      <c r="O2673" t="s">
        <v>4637</v>
      </c>
      <c r="P2673" t="s">
        <v>306</v>
      </c>
      <c r="T2673">
        <v>4</v>
      </c>
      <c r="U2673" t="s">
        <v>56</v>
      </c>
      <c r="V2673" t="s">
        <v>56</v>
      </c>
    </row>
    <row r="2674" spans="1:22" x14ac:dyDescent="0.3">
      <c r="A2674" s="49">
        <v>45273</v>
      </c>
      <c r="E2674" t="s">
        <v>3121</v>
      </c>
      <c r="G2674" t="s">
        <v>5373</v>
      </c>
      <c r="H2674" t="s">
        <v>28</v>
      </c>
      <c r="I2674" t="s">
        <v>6003</v>
      </c>
      <c r="J2674" t="s">
        <v>63</v>
      </c>
      <c r="K2674" t="s">
        <v>197</v>
      </c>
      <c r="M2674">
        <v>100</v>
      </c>
      <c r="N2674" t="s">
        <v>49</v>
      </c>
      <c r="O2674" t="s">
        <v>4639</v>
      </c>
      <c r="P2674" t="s">
        <v>2645</v>
      </c>
      <c r="T2674">
        <v>4</v>
      </c>
      <c r="U2674" t="s">
        <v>56</v>
      </c>
      <c r="V2674" t="s">
        <v>56</v>
      </c>
    </row>
    <row r="2675" spans="1:22" x14ac:dyDescent="0.3">
      <c r="A2675" s="49">
        <v>45273</v>
      </c>
      <c r="E2675" t="s">
        <v>3121</v>
      </c>
      <c r="G2675" t="s">
        <v>5036</v>
      </c>
      <c r="H2675" t="s">
        <v>89</v>
      </c>
      <c r="J2675" t="s">
        <v>63</v>
      </c>
      <c r="K2675" t="s">
        <v>64</v>
      </c>
      <c r="M2675">
        <v>100</v>
      </c>
      <c r="N2675" t="s">
        <v>49</v>
      </c>
      <c r="O2675" t="s">
        <v>4640</v>
      </c>
      <c r="P2675" t="s">
        <v>2178</v>
      </c>
      <c r="T2675">
        <v>4</v>
      </c>
      <c r="U2675" t="s">
        <v>56</v>
      </c>
      <c r="V2675" t="s">
        <v>56</v>
      </c>
    </row>
    <row r="2676" spans="1:22" x14ac:dyDescent="0.3">
      <c r="A2676" s="49">
        <v>45273</v>
      </c>
      <c r="E2676" t="s">
        <v>3121</v>
      </c>
      <c r="G2676" t="s">
        <v>5036</v>
      </c>
      <c r="H2676" t="s">
        <v>89</v>
      </c>
      <c r="J2676" t="s">
        <v>63</v>
      </c>
      <c r="K2676" t="s">
        <v>64</v>
      </c>
      <c r="M2676">
        <v>100</v>
      </c>
      <c r="N2676" t="s">
        <v>49</v>
      </c>
      <c r="O2676" t="s">
        <v>4641</v>
      </c>
      <c r="P2676" t="s">
        <v>35</v>
      </c>
      <c r="T2676">
        <v>4</v>
      </c>
      <c r="U2676" t="s">
        <v>56</v>
      </c>
      <c r="V2676" t="s">
        <v>56</v>
      </c>
    </row>
    <row r="2677" spans="1:22" x14ac:dyDescent="0.3">
      <c r="A2677" s="49">
        <v>45273</v>
      </c>
      <c r="E2677" t="s">
        <v>3121</v>
      </c>
      <c r="G2677" t="s">
        <v>5036</v>
      </c>
      <c r="H2677" t="s">
        <v>28</v>
      </c>
      <c r="I2677" t="s">
        <v>6004</v>
      </c>
      <c r="J2677" t="s">
        <v>30</v>
      </c>
      <c r="K2677" t="s">
        <v>31</v>
      </c>
      <c r="M2677">
        <v>10</v>
      </c>
      <c r="N2677" t="s">
        <v>33</v>
      </c>
      <c r="O2677" t="s">
        <v>4642</v>
      </c>
      <c r="P2677" t="s">
        <v>4871</v>
      </c>
      <c r="T2677">
        <v>6</v>
      </c>
      <c r="U2677" t="s">
        <v>40</v>
      </c>
      <c r="V2677" t="s">
        <v>41</v>
      </c>
    </row>
    <row r="2678" spans="1:22" x14ac:dyDescent="0.3">
      <c r="A2678" s="49">
        <v>45273</v>
      </c>
      <c r="E2678" t="s">
        <v>3215</v>
      </c>
      <c r="G2678" t="s">
        <v>5074</v>
      </c>
      <c r="H2678" t="s">
        <v>28</v>
      </c>
      <c r="I2678" t="s">
        <v>6005</v>
      </c>
      <c r="J2678" t="s">
        <v>30</v>
      </c>
      <c r="K2678" t="s">
        <v>31</v>
      </c>
      <c r="M2678">
        <v>5</v>
      </c>
      <c r="N2678" t="s">
        <v>33</v>
      </c>
      <c r="O2678" t="s">
        <v>4643</v>
      </c>
      <c r="P2678" t="s">
        <v>1701</v>
      </c>
      <c r="T2678">
        <v>4</v>
      </c>
      <c r="U2678" t="s">
        <v>56</v>
      </c>
      <c r="V2678" t="s">
        <v>56</v>
      </c>
    </row>
    <row r="2679" spans="1:22" x14ac:dyDescent="0.3">
      <c r="A2679" s="49">
        <v>45273</v>
      </c>
      <c r="E2679" t="s">
        <v>3191</v>
      </c>
      <c r="G2679" t="s">
        <v>5192</v>
      </c>
      <c r="H2679" t="s">
        <v>28</v>
      </c>
      <c r="I2679" t="s">
        <v>5701</v>
      </c>
      <c r="J2679" t="s">
        <v>63</v>
      </c>
      <c r="K2679" t="s">
        <v>211</v>
      </c>
      <c r="M2679">
        <v>100</v>
      </c>
      <c r="N2679" t="s">
        <v>49</v>
      </c>
      <c r="O2679" t="s">
        <v>3807</v>
      </c>
      <c r="P2679" t="s">
        <v>4887</v>
      </c>
      <c r="T2679">
        <v>4</v>
      </c>
      <c r="U2679" t="s">
        <v>56</v>
      </c>
      <c r="V2679" t="s">
        <v>56</v>
      </c>
    </row>
    <row r="2680" spans="1:22" x14ac:dyDescent="0.3">
      <c r="A2680" s="49">
        <v>45273</v>
      </c>
      <c r="E2680" t="s">
        <v>3191</v>
      </c>
      <c r="G2680" t="s">
        <v>5192</v>
      </c>
      <c r="H2680" t="s">
        <v>28</v>
      </c>
      <c r="I2680" t="s">
        <v>5701</v>
      </c>
      <c r="J2680" t="s">
        <v>63</v>
      </c>
      <c r="K2680" t="s">
        <v>211</v>
      </c>
      <c r="M2680">
        <v>100</v>
      </c>
      <c r="N2680" t="s">
        <v>49</v>
      </c>
      <c r="O2680" t="s">
        <v>4299</v>
      </c>
      <c r="P2680" t="s">
        <v>4887</v>
      </c>
      <c r="T2680">
        <v>4</v>
      </c>
      <c r="U2680" t="s">
        <v>56</v>
      </c>
      <c r="V2680" t="s">
        <v>56</v>
      </c>
    </row>
    <row r="2681" spans="1:22" x14ac:dyDescent="0.3">
      <c r="A2681" s="49">
        <v>45273</v>
      </c>
      <c r="E2681" t="s">
        <v>3191</v>
      </c>
      <c r="G2681" t="s">
        <v>5192</v>
      </c>
      <c r="H2681" t="s">
        <v>28</v>
      </c>
      <c r="I2681" t="s">
        <v>5701</v>
      </c>
      <c r="J2681" t="s">
        <v>63</v>
      </c>
      <c r="K2681" t="s">
        <v>211</v>
      </c>
      <c r="M2681">
        <v>100</v>
      </c>
      <c r="N2681" t="s">
        <v>49</v>
      </c>
      <c r="O2681" t="s">
        <v>4299</v>
      </c>
      <c r="P2681" t="s">
        <v>4887</v>
      </c>
      <c r="T2681">
        <v>4</v>
      </c>
      <c r="U2681" t="s">
        <v>56</v>
      </c>
      <c r="V2681" t="s">
        <v>56</v>
      </c>
    </row>
    <row r="2682" spans="1:22" x14ac:dyDescent="0.3">
      <c r="A2682" s="49">
        <v>45273</v>
      </c>
      <c r="E2682" t="s">
        <v>3191</v>
      </c>
      <c r="G2682" t="s">
        <v>5192</v>
      </c>
      <c r="H2682" t="s">
        <v>28</v>
      </c>
      <c r="I2682" t="s">
        <v>5701</v>
      </c>
      <c r="J2682" t="s">
        <v>63</v>
      </c>
      <c r="K2682" t="s">
        <v>211</v>
      </c>
      <c r="M2682">
        <v>100</v>
      </c>
      <c r="N2682" t="s">
        <v>49</v>
      </c>
      <c r="O2682" t="s">
        <v>4299</v>
      </c>
      <c r="P2682" t="s">
        <v>4887</v>
      </c>
      <c r="T2682">
        <v>4</v>
      </c>
      <c r="U2682" t="s">
        <v>56</v>
      </c>
      <c r="V2682" t="s">
        <v>56</v>
      </c>
    </row>
    <row r="2683" spans="1:22" x14ac:dyDescent="0.3">
      <c r="A2683" s="49">
        <v>45273</v>
      </c>
      <c r="E2683" t="s">
        <v>3191</v>
      </c>
      <c r="G2683" t="s">
        <v>5192</v>
      </c>
      <c r="H2683" t="s">
        <v>28</v>
      </c>
      <c r="I2683" t="s">
        <v>5701</v>
      </c>
      <c r="J2683" t="s">
        <v>63</v>
      </c>
      <c r="K2683" t="s">
        <v>211</v>
      </c>
      <c r="M2683">
        <v>100</v>
      </c>
      <c r="N2683" t="s">
        <v>49</v>
      </c>
      <c r="O2683" t="s">
        <v>4299</v>
      </c>
      <c r="P2683" t="s">
        <v>4887</v>
      </c>
      <c r="T2683">
        <v>4</v>
      </c>
      <c r="U2683" t="s">
        <v>56</v>
      </c>
      <c r="V2683" t="s">
        <v>56</v>
      </c>
    </row>
    <row r="2684" spans="1:22" x14ac:dyDescent="0.3">
      <c r="A2684" s="49">
        <v>45273</v>
      </c>
      <c r="E2684" t="s">
        <v>3191</v>
      </c>
      <c r="G2684" t="s">
        <v>5192</v>
      </c>
      <c r="H2684" t="s">
        <v>28</v>
      </c>
      <c r="I2684" t="s">
        <v>5701</v>
      </c>
      <c r="J2684" t="s">
        <v>63</v>
      </c>
      <c r="K2684" t="s">
        <v>211</v>
      </c>
      <c r="M2684">
        <v>100</v>
      </c>
      <c r="N2684" t="s">
        <v>49</v>
      </c>
      <c r="O2684" t="s">
        <v>4299</v>
      </c>
      <c r="P2684" t="s">
        <v>4887</v>
      </c>
      <c r="T2684">
        <v>4</v>
      </c>
      <c r="U2684" t="s">
        <v>56</v>
      </c>
      <c r="V2684" t="s">
        <v>56</v>
      </c>
    </row>
    <row r="2685" spans="1:22" x14ac:dyDescent="0.3">
      <c r="A2685" s="49">
        <v>45273</v>
      </c>
      <c r="E2685" t="s">
        <v>3191</v>
      </c>
      <c r="G2685" t="s">
        <v>5192</v>
      </c>
      <c r="H2685" t="s">
        <v>28</v>
      </c>
      <c r="I2685" t="s">
        <v>5701</v>
      </c>
      <c r="J2685" t="s">
        <v>63</v>
      </c>
      <c r="K2685" t="s">
        <v>211</v>
      </c>
      <c r="M2685">
        <v>100</v>
      </c>
      <c r="N2685" t="s">
        <v>49</v>
      </c>
      <c r="O2685" t="s">
        <v>3807</v>
      </c>
      <c r="P2685" t="s">
        <v>4887</v>
      </c>
      <c r="T2685">
        <v>4</v>
      </c>
      <c r="U2685" t="s">
        <v>56</v>
      </c>
      <c r="V2685" t="s">
        <v>56</v>
      </c>
    </row>
    <row r="2686" spans="1:22" x14ac:dyDescent="0.3">
      <c r="A2686" s="49">
        <v>45273</v>
      </c>
      <c r="E2686" t="s">
        <v>3191</v>
      </c>
      <c r="G2686" t="s">
        <v>5192</v>
      </c>
      <c r="H2686" t="s">
        <v>28</v>
      </c>
      <c r="I2686" t="s">
        <v>5701</v>
      </c>
      <c r="J2686" t="s">
        <v>63</v>
      </c>
      <c r="K2686" t="s">
        <v>211</v>
      </c>
      <c r="M2686">
        <v>100</v>
      </c>
      <c r="N2686" t="s">
        <v>49</v>
      </c>
      <c r="O2686" t="s">
        <v>3807</v>
      </c>
      <c r="P2686" t="s">
        <v>4887</v>
      </c>
      <c r="T2686">
        <v>4</v>
      </c>
      <c r="U2686" t="s">
        <v>56</v>
      </c>
      <c r="V2686" t="s">
        <v>56</v>
      </c>
    </row>
    <row r="2687" spans="1:22" x14ac:dyDescent="0.3">
      <c r="A2687" s="49">
        <v>45273</v>
      </c>
      <c r="E2687" t="s">
        <v>3191</v>
      </c>
      <c r="G2687" t="s">
        <v>5192</v>
      </c>
      <c r="H2687" t="s">
        <v>28</v>
      </c>
      <c r="I2687" t="s">
        <v>5701</v>
      </c>
      <c r="J2687" t="s">
        <v>63</v>
      </c>
      <c r="K2687" t="s">
        <v>211</v>
      </c>
      <c r="M2687">
        <v>100</v>
      </c>
      <c r="N2687" t="s">
        <v>49</v>
      </c>
      <c r="O2687" t="s">
        <v>3807</v>
      </c>
      <c r="P2687" t="s">
        <v>4887</v>
      </c>
      <c r="T2687">
        <v>4</v>
      </c>
      <c r="U2687" t="s">
        <v>56</v>
      </c>
      <c r="V2687" t="s">
        <v>56</v>
      </c>
    </row>
    <row r="2688" spans="1:22" x14ac:dyDescent="0.3">
      <c r="A2688" s="49">
        <v>45273</v>
      </c>
      <c r="E2688" t="s">
        <v>3191</v>
      </c>
      <c r="G2688" t="s">
        <v>5192</v>
      </c>
      <c r="H2688" t="s">
        <v>28</v>
      </c>
      <c r="I2688" t="s">
        <v>5701</v>
      </c>
      <c r="J2688" t="s">
        <v>63</v>
      </c>
      <c r="K2688" t="s">
        <v>211</v>
      </c>
      <c r="M2688">
        <v>100</v>
      </c>
      <c r="N2688" t="s">
        <v>49</v>
      </c>
      <c r="O2688" t="s">
        <v>3807</v>
      </c>
      <c r="P2688" t="s">
        <v>4887</v>
      </c>
      <c r="T2688">
        <v>4</v>
      </c>
      <c r="U2688" t="s">
        <v>56</v>
      </c>
      <c r="V2688" t="s">
        <v>56</v>
      </c>
    </row>
    <row r="2689" spans="1:22" x14ac:dyDescent="0.3">
      <c r="A2689" s="49">
        <v>45273</v>
      </c>
      <c r="E2689" t="s">
        <v>3191</v>
      </c>
      <c r="G2689" t="s">
        <v>5192</v>
      </c>
      <c r="H2689" t="s">
        <v>28</v>
      </c>
      <c r="I2689" t="s">
        <v>5701</v>
      </c>
      <c r="J2689" t="s">
        <v>63</v>
      </c>
      <c r="K2689" t="s">
        <v>211</v>
      </c>
      <c r="M2689">
        <v>100</v>
      </c>
      <c r="N2689" t="s">
        <v>49</v>
      </c>
      <c r="O2689" t="s">
        <v>3807</v>
      </c>
      <c r="P2689" t="s">
        <v>4887</v>
      </c>
      <c r="T2689">
        <v>4</v>
      </c>
      <c r="U2689" t="s">
        <v>56</v>
      </c>
      <c r="V2689" t="s">
        <v>56</v>
      </c>
    </row>
    <row r="2690" spans="1:22" x14ac:dyDescent="0.3">
      <c r="A2690" s="49">
        <v>45273</v>
      </c>
      <c r="E2690" t="s">
        <v>3191</v>
      </c>
      <c r="G2690" t="s">
        <v>5192</v>
      </c>
      <c r="H2690" t="s">
        <v>28</v>
      </c>
      <c r="I2690" t="s">
        <v>5701</v>
      </c>
      <c r="J2690" t="s">
        <v>63</v>
      </c>
      <c r="K2690" t="s">
        <v>211</v>
      </c>
      <c r="M2690">
        <v>100</v>
      </c>
      <c r="N2690" t="s">
        <v>49</v>
      </c>
      <c r="O2690" t="s">
        <v>4299</v>
      </c>
      <c r="P2690" t="s">
        <v>4887</v>
      </c>
      <c r="T2690">
        <v>4</v>
      </c>
      <c r="U2690" t="s">
        <v>56</v>
      </c>
      <c r="V2690" t="s">
        <v>56</v>
      </c>
    </row>
    <row r="2691" spans="1:22" x14ac:dyDescent="0.3">
      <c r="A2691" s="49">
        <v>45273</v>
      </c>
      <c r="E2691" t="s">
        <v>3191</v>
      </c>
      <c r="G2691" t="s">
        <v>5192</v>
      </c>
      <c r="H2691" t="s">
        <v>28</v>
      </c>
      <c r="I2691" t="s">
        <v>6006</v>
      </c>
      <c r="J2691" t="s">
        <v>63</v>
      </c>
      <c r="K2691" t="s">
        <v>211</v>
      </c>
      <c r="M2691">
        <v>0</v>
      </c>
      <c r="N2691" t="s">
        <v>49</v>
      </c>
      <c r="O2691" t="s">
        <v>4644</v>
      </c>
      <c r="P2691" t="s">
        <v>58</v>
      </c>
      <c r="T2691">
        <v>4</v>
      </c>
      <c r="U2691" t="s">
        <v>56</v>
      </c>
      <c r="V2691" t="s">
        <v>56</v>
      </c>
    </row>
    <row r="2692" spans="1:22" x14ac:dyDescent="0.3">
      <c r="A2692" s="49">
        <v>45273</v>
      </c>
      <c r="E2692" t="s">
        <v>3124</v>
      </c>
      <c r="G2692" t="s">
        <v>864</v>
      </c>
      <c r="H2692" t="s">
        <v>89</v>
      </c>
      <c r="J2692" t="s">
        <v>63</v>
      </c>
      <c r="K2692" t="s">
        <v>64</v>
      </c>
      <c r="M2692">
        <v>50</v>
      </c>
      <c r="N2692" t="s">
        <v>49</v>
      </c>
      <c r="O2692" t="s">
        <v>4645</v>
      </c>
      <c r="P2692" t="s">
        <v>4830</v>
      </c>
      <c r="T2692">
        <v>6</v>
      </c>
      <c r="U2692" t="s">
        <v>40</v>
      </c>
      <c r="V2692" t="s">
        <v>41</v>
      </c>
    </row>
    <row r="2693" spans="1:22" x14ac:dyDescent="0.3">
      <c r="A2693" s="49">
        <v>45273</v>
      </c>
      <c r="E2693" t="s">
        <v>3124</v>
      </c>
      <c r="G2693" t="s">
        <v>864</v>
      </c>
      <c r="H2693" t="s">
        <v>89</v>
      </c>
      <c r="J2693" t="s">
        <v>63</v>
      </c>
      <c r="K2693" t="s">
        <v>4924</v>
      </c>
      <c r="M2693">
        <v>100</v>
      </c>
      <c r="N2693" t="s">
        <v>49</v>
      </c>
      <c r="O2693" t="s">
        <v>4646</v>
      </c>
      <c r="P2693" t="s">
        <v>2627</v>
      </c>
      <c r="T2693">
        <v>6</v>
      </c>
      <c r="U2693" t="s">
        <v>40</v>
      </c>
      <c r="V2693" t="s">
        <v>41</v>
      </c>
    </row>
    <row r="2694" spans="1:22" x14ac:dyDescent="0.3">
      <c r="A2694" s="49">
        <v>45273</v>
      </c>
      <c r="E2694" t="s">
        <v>3124</v>
      </c>
      <c r="G2694" t="s">
        <v>864</v>
      </c>
      <c r="H2694" t="s">
        <v>89</v>
      </c>
      <c r="J2694" t="s">
        <v>63</v>
      </c>
      <c r="K2694" t="s">
        <v>4924</v>
      </c>
      <c r="M2694">
        <v>100</v>
      </c>
      <c r="N2694" t="s">
        <v>49</v>
      </c>
      <c r="O2694" t="s">
        <v>4647</v>
      </c>
      <c r="P2694" t="s">
        <v>743</v>
      </c>
      <c r="T2694">
        <v>6</v>
      </c>
      <c r="U2694" t="s">
        <v>40</v>
      </c>
      <c r="V2694" t="s">
        <v>41</v>
      </c>
    </row>
    <row r="2695" spans="1:22" x14ac:dyDescent="0.3">
      <c r="A2695" s="49">
        <v>45273</v>
      </c>
      <c r="E2695" t="s">
        <v>3124</v>
      </c>
      <c r="G2695" t="s">
        <v>864</v>
      </c>
      <c r="H2695" t="s">
        <v>28</v>
      </c>
      <c r="I2695" t="s">
        <v>865</v>
      </c>
      <c r="J2695" t="s">
        <v>63</v>
      </c>
      <c r="K2695" t="s">
        <v>64</v>
      </c>
      <c r="M2695">
        <v>50</v>
      </c>
      <c r="N2695" t="s">
        <v>74</v>
      </c>
      <c r="O2695" t="s">
        <v>4648</v>
      </c>
      <c r="P2695" t="s">
        <v>35</v>
      </c>
      <c r="S2695" t="s">
        <v>6094</v>
      </c>
      <c r="T2695">
        <v>6</v>
      </c>
      <c r="U2695" t="s">
        <v>40</v>
      </c>
      <c r="V2695" t="s">
        <v>41</v>
      </c>
    </row>
    <row r="2696" spans="1:22" x14ac:dyDescent="0.3">
      <c r="A2696" s="49">
        <v>45273</v>
      </c>
      <c r="E2696" t="s">
        <v>3124</v>
      </c>
      <c r="G2696" t="s">
        <v>5101</v>
      </c>
      <c r="H2696" t="s">
        <v>28</v>
      </c>
      <c r="I2696" t="s">
        <v>5704</v>
      </c>
      <c r="J2696" t="s">
        <v>63</v>
      </c>
      <c r="K2696" t="s">
        <v>64</v>
      </c>
      <c r="M2696">
        <v>20</v>
      </c>
      <c r="N2696" t="s">
        <v>33</v>
      </c>
      <c r="O2696" t="s">
        <v>4649</v>
      </c>
      <c r="P2696" t="s">
        <v>163</v>
      </c>
      <c r="S2696" t="s">
        <v>6323</v>
      </c>
      <c r="T2696">
        <v>6</v>
      </c>
      <c r="U2696" t="s">
        <v>40</v>
      </c>
      <c r="V2696" t="s">
        <v>41</v>
      </c>
    </row>
    <row r="2697" spans="1:22" x14ac:dyDescent="0.3">
      <c r="A2697" s="49">
        <v>45273</v>
      </c>
      <c r="E2697" t="s">
        <v>3124</v>
      </c>
      <c r="G2697" t="s">
        <v>5304</v>
      </c>
      <c r="H2697" t="s">
        <v>89</v>
      </c>
      <c r="J2697" t="s">
        <v>1712</v>
      </c>
      <c r="K2697" t="s">
        <v>481</v>
      </c>
      <c r="M2697">
        <v>100</v>
      </c>
      <c r="N2697" t="s">
        <v>33</v>
      </c>
      <c r="O2697" t="s">
        <v>4650</v>
      </c>
      <c r="P2697" t="s">
        <v>1701</v>
      </c>
      <c r="T2697">
        <v>4</v>
      </c>
      <c r="U2697" t="s">
        <v>56</v>
      </c>
      <c r="V2697" t="s">
        <v>56</v>
      </c>
    </row>
    <row r="2698" spans="1:22" x14ac:dyDescent="0.3">
      <c r="A2698" s="49">
        <v>45273</v>
      </c>
      <c r="E2698" t="s">
        <v>3124</v>
      </c>
      <c r="G2698" t="s">
        <v>5304</v>
      </c>
      <c r="H2698" t="s">
        <v>28</v>
      </c>
      <c r="I2698" t="s">
        <v>6007</v>
      </c>
      <c r="J2698" t="s">
        <v>63</v>
      </c>
      <c r="K2698" t="s">
        <v>64</v>
      </c>
      <c r="M2698">
        <v>80</v>
      </c>
      <c r="N2698" t="s">
        <v>49</v>
      </c>
      <c r="O2698" t="s">
        <v>4651</v>
      </c>
      <c r="P2698" t="s">
        <v>686</v>
      </c>
      <c r="T2698">
        <v>4</v>
      </c>
      <c r="U2698" t="s">
        <v>56</v>
      </c>
      <c r="V2698" t="s">
        <v>56</v>
      </c>
    </row>
    <row r="2699" spans="1:22" x14ac:dyDescent="0.3">
      <c r="A2699" s="49">
        <v>45273</v>
      </c>
      <c r="E2699" t="s">
        <v>3124</v>
      </c>
      <c r="G2699" t="s">
        <v>379</v>
      </c>
      <c r="H2699" t="s">
        <v>89</v>
      </c>
      <c r="J2699" t="s">
        <v>63</v>
      </c>
      <c r="K2699" t="s">
        <v>64</v>
      </c>
      <c r="M2699">
        <v>100</v>
      </c>
      <c r="N2699" t="s">
        <v>49</v>
      </c>
      <c r="O2699" t="s">
        <v>4330</v>
      </c>
      <c r="P2699" t="s">
        <v>66</v>
      </c>
      <c r="T2699">
        <v>6</v>
      </c>
      <c r="U2699" t="s">
        <v>40</v>
      </c>
      <c r="V2699" t="s">
        <v>41</v>
      </c>
    </row>
    <row r="2700" spans="1:22" x14ac:dyDescent="0.3">
      <c r="A2700" s="49">
        <v>45273</v>
      </c>
      <c r="E2700" t="s">
        <v>3124</v>
      </c>
      <c r="G2700" t="s">
        <v>379</v>
      </c>
      <c r="H2700" t="s">
        <v>89</v>
      </c>
      <c r="J2700" t="s">
        <v>63</v>
      </c>
      <c r="K2700" t="s">
        <v>64</v>
      </c>
      <c r="M2700">
        <v>0</v>
      </c>
      <c r="N2700" t="s">
        <v>49</v>
      </c>
      <c r="O2700" t="s">
        <v>4330</v>
      </c>
      <c r="P2700" t="s">
        <v>66</v>
      </c>
      <c r="T2700">
        <v>6</v>
      </c>
      <c r="U2700" t="s">
        <v>40</v>
      </c>
      <c r="V2700" t="s">
        <v>41</v>
      </c>
    </row>
    <row r="2701" spans="1:22" x14ac:dyDescent="0.3">
      <c r="A2701" s="49">
        <v>45273</v>
      </c>
      <c r="E2701" t="s">
        <v>3124</v>
      </c>
      <c r="G2701" t="s">
        <v>379</v>
      </c>
      <c r="H2701" t="s">
        <v>89</v>
      </c>
      <c r="J2701" t="s">
        <v>63</v>
      </c>
      <c r="K2701" t="s">
        <v>64</v>
      </c>
      <c r="M2701">
        <v>60</v>
      </c>
      <c r="N2701" t="s">
        <v>49</v>
      </c>
      <c r="O2701" t="s">
        <v>4652</v>
      </c>
      <c r="P2701" t="s">
        <v>4830</v>
      </c>
      <c r="T2701">
        <v>6</v>
      </c>
      <c r="U2701" t="s">
        <v>40</v>
      </c>
      <c r="V2701" t="s">
        <v>41</v>
      </c>
    </row>
    <row r="2702" spans="1:22" x14ac:dyDescent="0.3">
      <c r="A2702" s="49">
        <v>45273</v>
      </c>
      <c r="E2702" t="s">
        <v>3124</v>
      </c>
      <c r="G2702" t="s">
        <v>5304</v>
      </c>
      <c r="H2702" t="s">
        <v>28</v>
      </c>
      <c r="I2702" t="s">
        <v>2237</v>
      </c>
      <c r="J2702" t="s">
        <v>63</v>
      </c>
      <c r="K2702" t="s">
        <v>64</v>
      </c>
      <c r="M2702">
        <v>80</v>
      </c>
      <c r="N2702" t="s">
        <v>49</v>
      </c>
      <c r="O2702" t="s">
        <v>4653</v>
      </c>
      <c r="P2702" t="s">
        <v>791</v>
      </c>
      <c r="T2702">
        <v>4</v>
      </c>
      <c r="U2702" t="s">
        <v>56</v>
      </c>
      <c r="V2702" t="s">
        <v>56</v>
      </c>
    </row>
    <row r="2703" spans="1:22" x14ac:dyDescent="0.3">
      <c r="A2703" s="49">
        <v>45273</v>
      </c>
      <c r="E2703" t="s">
        <v>3124</v>
      </c>
      <c r="G2703" t="s">
        <v>5197</v>
      </c>
      <c r="H2703" t="s">
        <v>89</v>
      </c>
      <c r="J2703" t="s">
        <v>63</v>
      </c>
      <c r="K2703" t="s">
        <v>197</v>
      </c>
      <c r="M2703">
        <v>100</v>
      </c>
      <c r="N2703" t="s">
        <v>49</v>
      </c>
      <c r="O2703" t="s">
        <v>4654</v>
      </c>
      <c r="P2703" t="s">
        <v>1701</v>
      </c>
      <c r="T2703">
        <v>4</v>
      </c>
      <c r="U2703" t="s">
        <v>56</v>
      </c>
      <c r="V2703" t="s">
        <v>56</v>
      </c>
    </row>
    <row r="2704" spans="1:22" x14ac:dyDescent="0.3">
      <c r="A2704" s="49">
        <v>45273</v>
      </c>
      <c r="E2704" t="s">
        <v>3124</v>
      </c>
      <c r="G2704" t="s">
        <v>5195</v>
      </c>
      <c r="H2704" t="s">
        <v>89</v>
      </c>
      <c r="J2704" t="s">
        <v>46</v>
      </c>
      <c r="K2704" t="s">
        <v>481</v>
      </c>
      <c r="M2704">
        <v>100</v>
      </c>
      <c r="N2704" t="s">
        <v>49</v>
      </c>
      <c r="O2704" t="s">
        <v>3827</v>
      </c>
      <c r="P2704" t="s">
        <v>416</v>
      </c>
      <c r="T2704">
        <v>4</v>
      </c>
      <c r="U2704" t="s">
        <v>56</v>
      </c>
      <c r="V2704" t="s">
        <v>56</v>
      </c>
    </row>
    <row r="2705" spans="1:22" x14ac:dyDescent="0.3">
      <c r="A2705" s="49">
        <v>45273</v>
      </c>
      <c r="E2705" t="s">
        <v>3124</v>
      </c>
      <c r="G2705" t="s">
        <v>5195</v>
      </c>
      <c r="H2705" t="s">
        <v>89</v>
      </c>
      <c r="J2705" t="s">
        <v>46</v>
      </c>
      <c r="K2705" t="s">
        <v>880</v>
      </c>
      <c r="M2705">
        <v>45</v>
      </c>
      <c r="N2705" t="s">
        <v>33</v>
      </c>
      <c r="O2705" t="s">
        <v>4655</v>
      </c>
      <c r="P2705" t="s">
        <v>170</v>
      </c>
      <c r="T2705">
        <v>4</v>
      </c>
      <c r="U2705" t="s">
        <v>56</v>
      </c>
      <c r="V2705" t="s">
        <v>56</v>
      </c>
    </row>
    <row r="2706" spans="1:22" x14ac:dyDescent="0.3">
      <c r="A2706" s="49">
        <v>45273</v>
      </c>
      <c r="E2706" t="s">
        <v>3124</v>
      </c>
      <c r="G2706" t="s">
        <v>5195</v>
      </c>
      <c r="H2706" t="s">
        <v>28</v>
      </c>
      <c r="I2706" t="s">
        <v>6008</v>
      </c>
      <c r="J2706" t="s">
        <v>63</v>
      </c>
      <c r="K2706" t="s">
        <v>64</v>
      </c>
      <c r="M2706">
        <v>100</v>
      </c>
      <c r="N2706" t="s">
        <v>49</v>
      </c>
      <c r="O2706" t="s">
        <v>4656</v>
      </c>
      <c r="P2706" t="s">
        <v>4883</v>
      </c>
      <c r="T2706">
        <v>4</v>
      </c>
      <c r="U2706" t="s">
        <v>56</v>
      </c>
      <c r="V2706" t="s">
        <v>56</v>
      </c>
    </row>
    <row r="2707" spans="1:22" x14ac:dyDescent="0.3">
      <c r="A2707" s="49">
        <v>45273</v>
      </c>
      <c r="E2707" t="s">
        <v>3124</v>
      </c>
      <c r="G2707" t="s">
        <v>5195</v>
      </c>
      <c r="H2707" t="s">
        <v>28</v>
      </c>
      <c r="I2707" t="s">
        <v>5883</v>
      </c>
      <c r="J2707" t="s">
        <v>63</v>
      </c>
      <c r="K2707" t="s">
        <v>64</v>
      </c>
      <c r="M2707">
        <v>90</v>
      </c>
      <c r="N2707" t="s">
        <v>49</v>
      </c>
      <c r="O2707" t="s">
        <v>4657</v>
      </c>
      <c r="P2707" t="s">
        <v>306</v>
      </c>
      <c r="T2707">
        <v>4</v>
      </c>
      <c r="U2707" t="s">
        <v>56</v>
      </c>
      <c r="V2707" t="s">
        <v>56</v>
      </c>
    </row>
    <row r="2708" spans="1:22" x14ac:dyDescent="0.3">
      <c r="A2708" s="49">
        <v>45273</v>
      </c>
      <c r="E2708" t="s">
        <v>3124</v>
      </c>
      <c r="G2708" t="s">
        <v>5195</v>
      </c>
      <c r="H2708" t="s">
        <v>28</v>
      </c>
      <c r="I2708" t="s">
        <v>5883</v>
      </c>
      <c r="J2708" t="s">
        <v>63</v>
      </c>
      <c r="K2708" t="s">
        <v>64</v>
      </c>
      <c r="M2708">
        <v>90</v>
      </c>
      <c r="N2708" t="s">
        <v>49</v>
      </c>
      <c r="O2708" t="s">
        <v>4658</v>
      </c>
      <c r="P2708" t="s">
        <v>416</v>
      </c>
      <c r="T2708">
        <v>4</v>
      </c>
      <c r="U2708" t="s">
        <v>56</v>
      </c>
      <c r="V2708" t="s">
        <v>56</v>
      </c>
    </row>
    <row r="2709" spans="1:22" x14ac:dyDescent="0.3">
      <c r="A2709" s="49">
        <v>45273</v>
      </c>
      <c r="E2709" t="s">
        <v>3124</v>
      </c>
      <c r="G2709" t="s">
        <v>5303</v>
      </c>
      <c r="H2709" t="s">
        <v>28</v>
      </c>
      <c r="I2709" t="s">
        <v>1618</v>
      </c>
      <c r="J2709" t="s">
        <v>63</v>
      </c>
      <c r="K2709" t="s">
        <v>64</v>
      </c>
      <c r="M2709">
        <v>45</v>
      </c>
      <c r="N2709" t="s">
        <v>49</v>
      </c>
      <c r="O2709" t="s">
        <v>4659</v>
      </c>
      <c r="P2709" t="s">
        <v>1727</v>
      </c>
      <c r="T2709">
        <v>4</v>
      </c>
      <c r="U2709" t="s">
        <v>56</v>
      </c>
      <c r="V2709" t="s">
        <v>56</v>
      </c>
    </row>
    <row r="2710" spans="1:22" x14ac:dyDescent="0.3">
      <c r="A2710" s="49">
        <v>45273</v>
      </c>
      <c r="E2710" t="s">
        <v>3124</v>
      </c>
      <c r="G2710" t="s">
        <v>379</v>
      </c>
      <c r="H2710" t="s">
        <v>28</v>
      </c>
      <c r="I2710" t="s">
        <v>2068</v>
      </c>
      <c r="J2710" t="s">
        <v>63</v>
      </c>
      <c r="K2710" t="s">
        <v>64</v>
      </c>
      <c r="M2710">
        <v>75</v>
      </c>
      <c r="N2710" t="s">
        <v>33</v>
      </c>
      <c r="O2710" t="s">
        <v>4660</v>
      </c>
      <c r="P2710" t="s">
        <v>344</v>
      </c>
      <c r="T2710">
        <v>6</v>
      </c>
      <c r="U2710" t="s">
        <v>40</v>
      </c>
      <c r="V2710" t="s">
        <v>41</v>
      </c>
    </row>
    <row r="2711" spans="1:22" x14ac:dyDescent="0.3">
      <c r="A2711" s="49">
        <v>45273</v>
      </c>
      <c r="E2711" t="s">
        <v>3124</v>
      </c>
      <c r="G2711" t="s">
        <v>5195</v>
      </c>
      <c r="H2711" t="s">
        <v>28</v>
      </c>
      <c r="I2711" t="s">
        <v>5883</v>
      </c>
      <c r="J2711" t="s">
        <v>63</v>
      </c>
      <c r="K2711" t="s">
        <v>64</v>
      </c>
      <c r="M2711">
        <v>100</v>
      </c>
      <c r="N2711" t="s">
        <v>33</v>
      </c>
      <c r="O2711" t="s">
        <v>4661</v>
      </c>
      <c r="P2711" t="s">
        <v>743</v>
      </c>
      <c r="T2711">
        <v>4</v>
      </c>
      <c r="U2711" t="s">
        <v>56</v>
      </c>
      <c r="V2711" t="s">
        <v>56</v>
      </c>
    </row>
    <row r="2712" spans="1:22" x14ac:dyDescent="0.3">
      <c r="A2712" s="49">
        <v>45273</v>
      </c>
      <c r="E2712" t="s">
        <v>3124</v>
      </c>
      <c r="G2712" t="s">
        <v>379</v>
      </c>
      <c r="H2712" t="s">
        <v>89</v>
      </c>
      <c r="J2712" t="s">
        <v>63</v>
      </c>
      <c r="K2712" t="s">
        <v>64</v>
      </c>
      <c r="M2712">
        <v>80</v>
      </c>
      <c r="N2712" t="s">
        <v>33</v>
      </c>
      <c r="O2712" t="s">
        <v>3823</v>
      </c>
      <c r="P2712" t="s">
        <v>344</v>
      </c>
      <c r="T2712">
        <v>6</v>
      </c>
      <c r="U2712" t="s">
        <v>40</v>
      </c>
      <c r="V2712" t="s">
        <v>41</v>
      </c>
    </row>
    <row r="2713" spans="1:22" x14ac:dyDescent="0.3">
      <c r="A2713" s="49">
        <v>45273</v>
      </c>
      <c r="E2713" t="s">
        <v>3124</v>
      </c>
      <c r="G2713" t="s">
        <v>5303</v>
      </c>
      <c r="H2713" t="s">
        <v>28</v>
      </c>
      <c r="I2713" t="s">
        <v>1618</v>
      </c>
      <c r="J2713" t="s">
        <v>63</v>
      </c>
      <c r="K2713" t="s">
        <v>64</v>
      </c>
      <c r="M2713">
        <v>20</v>
      </c>
      <c r="N2713" t="s">
        <v>49</v>
      </c>
      <c r="O2713" t="s">
        <v>4662</v>
      </c>
      <c r="P2713" t="s">
        <v>1727</v>
      </c>
      <c r="T2713">
        <v>6</v>
      </c>
      <c r="U2713" t="s">
        <v>40</v>
      </c>
      <c r="V2713" t="s">
        <v>41</v>
      </c>
    </row>
    <row r="2714" spans="1:22" x14ac:dyDescent="0.3">
      <c r="A2714" s="49">
        <v>45273</v>
      </c>
      <c r="E2714" t="s">
        <v>3124</v>
      </c>
      <c r="G2714" t="s">
        <v>379</v>
      </c>
      <c r="H2714" t="s">
        <v>89</v>
      </c>
      <c r="J2714" t="s">
        <v>63</v>
      </c>
      <c r="K2714" t="s">
        <v>64</v>
      </c>
      <c r="M2714">
        <v>54</v>
      </c>
      <c r="N2714" t="s">
        <v>49</v>
      </c>
      <c r="O2714" t="s">
        <v>4663</v>
      </c>
      <c r="P2714" t="s">
        <v>4834</v>
      </c>
      <c r="T2714">
        <v>6</v>
      </c>
      <c r="U2714" t="s">
        <v>40</v>
      </c>
      <c r="V2714" t="s">
        <v>41</v>
      </c>
    </row>
    <row r="2715" spans="1:22" x14ac:dyDescent="0.3">
      <c r="A2715" s="49">
        <v>45273</v>
      </c>
      <c r="E2715" t="s">
        <v>3124</v>
      </c>
      <c r="G2715" t="s">
        <v>379</v>
      </c>
      <c r="H2715" t="s">
        <v>28</v>
      </c>
      <c r="I2715" t="s">
        <v>6009</v>
      </c>
      <c r="J2715" t="s">
        <v>63</v>
      </c>
      <c r="K2715" t="s">
        <v>64</v>
      </c>
      <c r="M2715">
        <v>50</v>
      </c>
      <c r="N2715" t="s">
        <v>49</v>
      </c>
      <c r="O2715" t="s">
        <v>4664</v>
      </c>
      <c r="P2715" t="s">
        <v>170</v>
      </c>
      <c r="T2715">
        <v>6</v>
      </c>
      <c r="U2715" t="s">
        <v>40</v>
      </c>
      <c r="V2715" t="s">
        <v>41</v>
      </c>
    </row>
    <row r="2716" spans="1:22" x14ac:dyDescent="0.3">
      <c r="A2716" s="49">
        <v>45273</v>
      </c>
      <c r="E2716" t="s">
        <v>3124</v>
      </c>
      <c r="G2716" t="s">
        <v>5195</v>
      </c>
      <c r="H2716" t="s">
        <v>28</v>
      </c>
      <c r="I2716" t="s">
        <v>5465</v>
      </c>
      <c r="J2716" t="s">
        <v>63</v>
      </c>
      <c r="K2716" t="s">
        <v>64</v>
      </c>
      <c r="M2716">
        <v>40</v>
      </c>
      <c r="N2716" t="s">
        <v>49</v>
      </c>
      <c r="O2716" t="s">
        <v>4338</v>
      </c>
      <c r="P2716" t="s">
        <v>791</v>
      </c>
      <c r="T2716">
        <v>4</v>
      </c>
      <c r="U2716" t="s">
        <v>56</v>
      </c>
      <c r="V2716" t="s">
        <v>56</v>
      </c>
    </row>
    <row r="2717" spans="1:22" x14ac:dyDescent="0.3">
      <c r="A2717" s="49">
        <v>45273</v>
      </c>
      <c r="E2717" t="s">
        <v>3124</v>
      </c>
      <c r="G2717" t="s">
        <v>5195</v>
      </c>
      <c r="H2717" t="s">
        <v>28</v>
      </c>
      <c r="I2717" t="s">
        <v>5883</v>
      </c>
      <c r="J2717" t="s">
        <v>63</v>
      </c>
      <c r="K2717" t="s">
        <v>64</v>
      </c>
      <c r="M2717">
        <v>100</v>
      </c>
      <c r="N2717" t="s">
        <v>49</v>
      </c>
      <c r="O2717" t="s">
        <v>4665</v>
      </c>
      <c r="P2717" t="s">
        <v>483</v>
      </c>
      <c r="T2717">
        <v>4</v>
      </c>
      <c r="U2717" t="s">
        <v>56</v>
      </c>
      <c r="V2717" t="s">
        <v>56</v>
      </c>
    </row>
    <row r="2718" spans="1:22" x14ac:dyDescent="0.3">
      <c r="A2718" s="49">
        <v>45273</v>
      </c>
      <c r="E2718" t="s">
        <v>3124</v>
      </c>
      <c r="G2718" t="s">
        <v>5305</v>
      </c>
      <c r="H2718" t="s">
        <v>28</v>
      </c>
      <c r="I2718" t="s">
        <v>6010</v>
      </c>
      <c r="J2718" t="s">
        <v>63</v>
      </c>
      <c r="K2718" t="s">
        <v>211</v>
      </c>
      <c r="M2718">
        <v>90</v>
      </c>
      <c r="N2718" t="s">
        <v>33</v>
      </c>
      <c r="O2718" t="s">
        <v>4666</v>
      </c>
      <c r="P2718" t="s">
        <v>1597</v>
      </c>
      <c r="T2718">
        <v>6</v>
      </c>
      <c r="U2718" t="s">
        <v>40</v>
      </c>
      <c r="V2718" t="s">
        <v>41</v>
      </c>
    </row>
    <row r="2719" spans="1:22" x14ac:dyDescent="0.3">
      <c r="A2719" s="49">
        <v>45273</v>
      </c>
      <c r="E2719" t="s">
        <v>3124</v>
      </c>
      <c r="G2719" t="s">
        <v>5197</v>
      </c>
      <c r="H2719" t="s">
        <v>28</v>
      </c>
      <c r="I2719" t="s">
        <v>6011</v>
      </c>
      <c r="J2719" t="s">
        <v>63</v>
      </c>
      <c r="K2719" t="s">
        <v>197</v>
      </c>
      <c r="M2719">
        <v>20</v>
      </c>
      <c r="N2719" t="s">
        <v>49</v>
      </c>
      <c r="O2719" t="s">
        <v>4667</v>
      </c>
      <c r="P2719" t="s">
        <v>1356</v>
      </c>
      <c r="T2719">
        <v>4</v>
      </c>
      <c r="U2719" t="s">
        <v>56</v>
      </c>
      <c r="V2719" t="s">
        <v>56</v>
      </c>
    </row>
    <row r="2720" spans="1:22" x14ac:dyDescent="0.3">
      <c r="A2720" s="49">
        <v>45273</v>
      </c>
      <c r="E2720" t="s">
        <v>3124</v>
      </c>
      <c r="G2720" t="s">
        <v>5197</v>
      </c>
      <c r="H2720" t="s">
        <v>28</v>
      </c>
      <c r="I2720" t="s">
        <v>6012</v>
      </c>
      <c r="J2720" t="s">
        <v>63</v>
      </c>
      <c r="K2720" t="s">
        <v>197</v>
      </c>
      <c r="M2720">
        <v>100</v>
      </c>
      <c r="N2720" t="s">
        <v>49</v>
      </c>
      <c r="O2720" t="s">
        <v>4668</v>
      </c>
      <c r="P2720" t="s">
        <v>1878</v>
      </c>
      <c r="T2720">
        <v>4</v>
      </c>
      <c r="U2720" t="s">
        <v>56</v>
      </c>
      <c r="V2720" t="s">
        <v>56</v>
      </c>
    </row>
    <row r="2721" spans="1:22" x14ac:dyDescent="0.3">
      <c r="A2721" s="49">
        <v>45273</v>
      </c>
      <c r="E2721" t="s">
        <v>3124</v>
      </c>
      <c r="G2721" t="s">
        <v>5196</v>
      </c>
      <c r="H2721" t="s">
        <v>28</v>
      </c>
      <c r="I2721" t="s">
        <v>6013</v>
      </c>
      <c r="J2721" t="s">
        <v>63</v>
      </c>
      <c r="K2721" t="s">
        <v>197</v>
      </c>
      <c r="M2721">
        <v>100</v>
      </c>
      <c r="N2721" t="s">
        <v>49</v>
      </c>
      <c r="O2721" t="s">
        <v>4669</v>
      </c>
      <c r="P2721" t="s">
        <v>956</v>
      </c>
      <c r="T2721">
        <v>4</v>
      </c>
      <c r="U2721" t="s">
        <v>56</v>
      </c>
      <c r="V2721" t="s">
        <v>56</v>
      </c>
    </row>
    <row r="2722" spans="1:22" x14ac:dyDescent="0.3">
      <c r="A2722" s="49">
        <v>45273</v>
      </c>
      <c r="E2722" t="s">
        <v>3124</v>
      </c>
      <c r="G2722" t="s">
        <v>5304</v>
      </c>
      <c r="H2722" t="s">
        <v>28</v>
      </c>
      <c r="I2722" t="s">
        <v>2237</v>
      </c>
      <c r="J2722" t="s">
        <v>63</v>
      </c>
      <c r="K2722" t="s">
        <v>64</v>
      </c>
      <c r="M2722">
        <v>50</v>
      </c>
      <c r="N2722" t="s">
        <v>49</v>
      </c>
      <c r="O2722" t="s">
        <v>4670</v>
      </c>
      <c r="P2722" t="s">
        <v>170</v>
      </c>
      <c r="T2722">
        <v>4</v>
      </c>
      <c r="U2722" t="s">
        <v>56</v>
      </c>
      <c r="V2722" t="s">
        <v>56</v>
      </c>
    </row>
    <row r="2723" spans="1:22" x14ac:dyDescent="0.3">
      <c r="A2723" s="49">
        <v>45273</v>
      </c>
      <c r="E2723" t="s">
        <v>3125</v>
      </c>
      <c r="G2723" t="s">
        <v>5102</v>
      </c>
      <c r="H2723" t="s">
        <v>28</v>
      </c>
      <c r="I2723" t="s">
        <v>5710</v>
      </c>
      <c r="J2723" t="s">
        <v>63</v>
      </c>
      <c r="K2723" t="s">
        <v>64</v>
      </c>
      <c r="M2723">
        <v>100</v>
      </c>
      <c r="N2723" t="s">
        <v>49</v>
      </c>
      <c r="O2723" t="s">
        <v>3838</v>
      </c>
      <c r="P2723" t="s">
        <v>344</v>
      </c>
      <c r="T2723">
        <v>4</v>
      </c>
      <c r="U2723" t="s">
        <v>56</v>
      </c>
      <c r="V2723" t="s">
        <v>56</v>
      </c>
    </row>
    <row r="2724" spans="1:22" x14ac:dyDescent="0.3">
      <c r="A2724" s="49">
        <v>45273</v>
      </c>
      <c r="E2724" t="s">
        <v>3125</v>
      </c>
      <c r="G2724" t="s">
        <v>5102</v>
      </c>
      <c r="H2724" t="s">
        <v>28</v>
      </c>
      <c r="I2724" t="s">
        <v>5710</v>
      </c>
      <c r="J2724" t="s">
        <v>63</v>
      </c>
      <c r="K2724" t="s">
        <v>64</v>
      </c>
      <c r="M2724">
        <v>100</v>
      </c>
      <c r="N2724" t="s">
        <v>33</v>
      </c>
      <c r="O2724" t="s">
        <v>3838</v>
      </c>
      <c r="P2724" t="s">
        <v>344</v>
      </c>
      <c r="T2724">
        <v>4</v>
      </c>
      <c r="U2724" t="s">
        <v>56</v>
      </c>
      <c r="V2724" t="s">
        <v>56</v>
      </c>
    </row>
    <row r="2725" spans="1:22" x14ac:dyDescent="0.3">
      <c r="A2725" s="49">
        <v>45273</v>
      </c>
      <c r="E2725" t="s">
        <v>3125</v>
      </c>
      <c r="G2725" t="s">
        <v>5102</v>
      </c>
      <c r="H2725" t="s">
        <v>28</v>
      </c>
      <c r="I2725" t="s">
        <v>5710</v>
      </c>
      <c r="J2725" t="s">
        <v>63</v>
      </c>
      <c r="K2725" t="s">
        <v>64</v>
      </c>
      <c r="M2725">
        <v>100</v>
      </c>
      <c r="N2725" t="s">
        <v>33</v>
      </c>
      <c r="O2725" t="s">
        <v>3838</v>
      </c>
      <c r="P2725" t="s">
        <v>344</v>
      </c>
      <c r="T2725">
        <v>4</v>
      </c>
      <c r="U2725" t="s">
        <v>56</v>
      </c>
      <c r="V2725" t="s">
        <v>56</v>
      </c>
    </row>
    <row r="2726" spans="1:22" x14ac:dyDescent="0.3">
      <c r="A2726" s="49">
        <v>45273</v>
      </c>
      <c r="E2726" t="s">
        <v>3159</v>
      </c>
      <c r="G2726" t="s">
        <v>5311</v>
      </c>
      <c r="H2726" t="s">
        <v>28</v>
      </c>
      <c r="I2726" t="s">
        <v>6014</v>
      </c>
      <c r="J2726" t="s">
        <v>63</v>
      </c>
      <c r="K2726" t="s">
        <v>64</v>
      </c>
      <c r="M2726">
        <v>100</v>
      </c>
      <c r="N2726" t="s">
        <v>49</v>
      </c>
      <c r="O2726" t="s">
        <v>4671</v>
      </c>
      <c r="P2726" t="s">
        <v>66</v>
      </c>
      <c r="T2726">
        <v>4</v>
      </c>
      <c r="U2726" t="s">
        <v>56</v>
      </c>
      <c r="V2726" t="s">
        <v>56</v>
      </c>
    </row>
    <row r="2727" spans="1:22" x14ac:dyDescent="0.3">
      <c r="A2727" s="49">
        <v>45273</v>
      </c>
      <c r="E2727" t="s">
        <v>3160</v>
      </c>
      <c r="G2727" t="s">
        <v>5313</v>
      </c>
      <c r="H2727" t="s">
        <v>28</v>
      </c>
      <c r="I2727" t="s">
        <v>5898</v>
      </c>
      <c r="J2727" t="s">
        <v>1712</v>
      </c>
      <c r="K2727" t="s">
        <v>481</v>
      </c>
      <c r="M2727">
        <v>100</v>
      </c>
      <c r="N2727" t="s">
        <v>49</v>
      </c>
      <c r="O2727" t="s">
        <v>4361</v>
      </c>
      <c r="P2727" t="s">
        <v>4904</v>
      </c>
      <c r="T2727">
        <v>4</v>
      </c>
      <c r="U2727" t="s">
        <v>56</v>
      </c>
      <c r="V2727" t="s">
        <v>56</v>
      </c>
    </row>
    <row r="2728" spans="1:22" x14ac:dyDescent="0.3">
      <c r="A2728" s="49">
        <v>45273</v>
      </c>
      <c r="E2728" t="s">
        <v>3160</v>
      </c>
      <c r="G2728" t="s">
        <v>5313</v>
      </c>
      <c r="H2728" t="s">
        <v>28</v>
      </c>
      <c r="I2728" t="s">
        <v>5898</v>
      </c>
      <c r="J2728" t="s">
        <v>1712</v>
      </c>
      <c r="K2728" t="s">
        <v>481</v>
      </c>
      <c r="M2728">
        <v>100</v>
      </c>
      <c r="N2728" t="s">
        <v>49</v>
      </c>
      <c r="O2728" t="s">
        <v>4361</v>
      </c>
      <c r="P2728" t="s">
        <v>4904</v>
      </c>
      <c r="T2728">
        <v>4</v>
      </c>
      <c r="U2728" t="s">
        <v>56</v>
      </c>
      <c r="V2728" t="s">
        <v>56</v>
      </c>
    </row>
    <row r="2729" spans="1:22" x14ac:dyDescent="0.3">
      <c r="A2729" s="49">
        <v>45273</v>
      </c>
      <c r="E2729" t="s">
        <v>3192</v>
      </c>
      <c r="G2729" t="s">
        <v>887</v>
      </c>
      <c r="H2729" t="s">
        <v>89</v>
      </c>
      <c r="J2729" t="s">
        <v>63</v>
      </c>
      <c r="K2729" t="s">
        <v>64</v>
      </c>
      <c r="M2729">
        <v>5</v>
      </c>
      <c r="N2729" t="s">
        <v>33</v>
      </c>
      <c r="O2729" t="s">
        <v>4672</v>
      </c>
      <c r="P2729" t="s">
        <v>104</v>
      </c>
      <c r="T2729">
        <v>4</v>
      </c>
      <c r="U2729" t="s">
        <v>56</v>
      </c>
      <c r="V2729" t="s">
        <v>56</v>
      </c>
    </row>
    <row r="2730" spans="1:22" x14ac:dyDescent="0.3">
      <c r="A2730" s="49">
        <v>45273</v>
      </c>
      <c r="E2730" t="s">
        <v>3161</v>
      </c>
      <c r="G2730" t="s">
        <v>5040</v>
      </c>
      <c r="H2730" t="s">
        <v>89</v>
      </c>
      <c r="J2730" t="s">
        <v>63</v>
      </c>
      <c r="K2730" t="s">
        <v>64</v>
      </c>
      <c r="M2730">
        <v>100</v>
      </c>
      <c r="N2730" t="s">
        <v>49</v>
      </c>
      <c r="O2730" t="s">
        <v>4673</v>
      </c>
      <c r="P2730" t="s">
        <v>878</v>
      </c>
      <c r="T2730">
        <v>3</v>
      </c>
      <c r="U2730" t="s">
        <v>1763</v>
      </c>
      <c r="V2730" t="s">
        <v>56</v>
      </c>
    </row>
    <row r="2731" spans="1:22" x14ac:dyDescent="0.3">
      <c r="A2731" s="49">
        <v>45273</v>
      </c>
      <c r="E2731" t="s">
        <v>3161</v>
      </c>
      <c r="G2731" t="s">
        <v>5199</v>
      </c>
      <c r="H2731" t="s">
        <v>28</v>
      </c>
      <c r="I2731" t="s">
        <v>5714</v>
      </c>
      <c r="J2731" t="s">
        <v>63</v>
      </c>
      <c r="K2731" t="s">
        <v>197</v>
      </c>
      <c r="M2731">
        <v>100</v>
      </c>
      <c r="N2731" t="s">
        <v>49</v>
      </c>
      <c r="O2731" t="s">
        <v>3844</v>
      </c>
      <c r="P2731" t="s">
        <v>170</v>
      </c>
      <c r="T2731">
        <v>4</v>
      </c>
      <c r="U2731" t="s">
        <v>56</v>
      </c>
      <c r="V2731" t="s">
        <v>56</v>
      </c>
    </row>
    <row r="2732" spans="1:22" x14ac:dyDescent="0.3">
      <c r="A2732" s="49">
        <v>45273</v>
      </c>
      <c r="E2732" t="s">
        <v>3161</v>
      </c>
      <c r="G2732" t="s">
        <v>5199</v>
      </c>
      <c r="H2732" t="s">
        <v>28</v>
      </c>
      <c r="I2732" t="s">
        <v>5714</v>
      </c>
      <c r="J2732" t="s">
        <v>63</v>
      </c>
      <c r="K2732" t="s">
        <v>197</v>
      </c>
      <c r="M2732">
        <v>100</v>
      </c>
      <c r="N2732" t="s">
        <v>49</v>
      </c>
      <c r="O2732" t="s">
        <v>4674</v>
      </c>
      <c r="P2732" t="s">
        <v>344</v>
      </c>
      <c r="T2732">
        <v>4</v>
      </c>
      <c r="U2732" t="s">
        <v>56</v>
      </c>
      <c r="V2732" t="s">
        <v>56</v>
      </c>
    </row>
    <row r="2733" spans="1:22" x14ac:dyDescent="0.3">
      <c r="A2733" s="49">
        <v>45273</v>
      </c>
      <c r="E2733" t="s">
        <v>3161</v>
      </c>
      <c r="G2733" t="s">
        <v>5315</v>
      </c>
      <c r="H2733" t="s">
        <v>28</v>
      </c>
      <c r="I2733" t="s">
        <v>6015</v>
      </c>
      <c r="J2733" t="s">
        <v>63</v>
      </c>
      <c r="K2733" t="s">
        <v>64</v>
      </c>
      <c r="M2733">
        <v>100</v>
      </c>
      <c r="N2733" t="s">
        <v>49</v>
      </c>
      <c r="O2733" t="s">
        <v>4675</v>
      </c>
      <c r="P2733" t="s">
        <v>668</v>
      </c>
      <c r="T2733">
        <v>4</v>
      </c>
      <c r="U2733" t="s">
        <v>56</v>
      </c>
      <c r="V2733" t="s">
        <v>56</v>
      </c>
    </row>
    <row r="2734" spans="1:22" x14ac:dyDescent="0.3">
      <c r="A2734" s="49">
        <v>45273</v>
      </c>
      <c r="E2734" t="s">
        <v>3161</v>
      </c>
      <c r="G2734" t="s">
        <v>5199</v>
      </c>
      <c r="H2734" t="s">
        <v>28</v>
      </c>
      <c r="I2734" t="s">
        <v>5712</v>
      </c>
      <c r="J2734" t="s">
        <v>63</v>
      </c>
      <c r="K2734" t="s">
        <v>4945</v>
      </c>
      <c r="M2734">
        <v>100</v>
      </c>
      <c r="N2734" t="s">
        <v>49</v>
      </c>
      <c r="O2734" t="s">
        <v>4676</v>
      </c>
      <c r="P2734" t="s">
        <v>1701</v>
      </c>
      <c r="T2734">
        <v>4</v>
      </c>
      <c r="U2734" t="s">
        <v>56</v>
      </c>
      <c r="V2734" t="s">
        <v>56</v>
      </c>
    </row>
    <row r="2735" spans="1:22" x14ac:dyDescent="0.3">
      <c r="A2735" s="49">
        <v>45273</v>
      </c>
      <c r="E2735" t="s">
        <v>3161</v>
      </c>
      <c r="G2735" t="s">
        <v>5199</v>
      </c>
      <c r="H2735" t="s">
        <v>28</v>
      </c>
      <c r="I2735" t="s">
        <v>5714</v>
      </c>
      <c r="J2735" t="s">
        <v>63</v>
      </c>
      <c r="K2735" t="s">
        <v>197</v>
      </c>
      <c r="M2735">
        <v>100</v>
      </c>
      <c r="N2735" t="s">
        <v>49</v>
      </c>
      <c r="O2735" t="s">
        <v>3844</v>
      </c>
      <c r="P2735" t="s">
        <v>170</v>
      </c>
      <c r="T2735">
        <v>4</v>
      </c>
      <c r="U2735" t="s">
        <v>56</v>
      </c>
      <c r="V2735" t="s">
        <v>56</v>
      </c>
    </row>
    <row r="2736" spans="1:22" x14ac:dyDescent="0.3">
      <c r="A2736" s="49">
        <v>45273</v>
      </c>
      <c r="E2736" t="s">
        <v>3235</v>
      </c>
      <c r="G2736" t="s">
        <v>5317</v>
      </c>
      <c r="H2736" t="s">
        <v>28</v>
      </c>
      <c r="I2736" t="s">
        <v>5903</v>
      </c>
      <c r="J2736" t="s">
        <v>63</v>
      </c>
      <c r="K2736" t="s">
        <v>64</v>
      </c>
      <c r="M2736">
        <v>53</v>
      </c>
      <c r="N2736" t="s">
        <v>49</v>
      </c>
      <c r="O2736" t="s">
        <v>4677</v>
      </c>
      <c r="P2736" t="s">
        <v>35</v>
      </c>
      <c r="T2736">
        <v>2</v>
      </c>
      <c r="U2736" t="s">
        <v>1763</v>
      </c>
      <c r="V2736" t="s">
        <v>56</v>
      </c>
    </row>
    <row r="2737" spans="1:22" x14ac:dyDescent="0.3">
      <c r="A2737" s="49">
        <v>45273</v>
      </c>
      <c r="E2737" t="s">
        <v>3163</v>
      </c>
      <c r="G2737" t="s">
        <v>5318</v>
      </c>
      <c r="H2737" t="s">
        <v>28</v>
      </c>
      <c r="I2737" t="s">
        <v>5904</v>
      </c>
      <c r="J2737" t="s">
        <v>63</v>
      </c>
      <c r="K2737" t="s">
        <v>4945</v>
      </c>
      <c r="M2737">
        <v>100</v>
      </c>
      <c r="N2737" t="s">
        <v>49</v>
      </c>
      <c r="O2737" t="s">
        <v>4372</v>
      </c>
      <c r="P2737" t="s">
        <v>4913</v>
      </c>
      <c r="T2737">
        <v>4</v>
      </c>
      <c r="U2737" t="s">
        <v>56</v>
      </c>
      <c r="V2737" t="s">
        <v>56</v>
      </c>
    </row>
    <row r="2738" spans="1:22" x14ac:dyDescent="0.3">
      <c r="A2738" s="49">
        <v>45273</v>
      </c>
      <c r="E2738" t="s">
        <v>3217</v>
      </c>
      <c r="G2738" t="s">
        <v>5201</v>
      </c>
      <c r="H2738" t="s">
        <v>89</v>
      </c>
      <c r="J2738" t="s">
        <v>63</v>
      </c>
      <c r="K2738" t="s">
        <v>64</v>
      </c>
      <c r="M2738">
        <v>50</v>
      </c>
      <c r="N2738" t="s">
        <v>49</v>
      </c>
      <c r="O2738" t="s">
        <v>4678</v>
      </c>
      <c r="P2738" t="s">
        <v>483</v>
      </c>
      <c r="T2738">
        <v>4</v>
      </c>
      <c r="U2738" t="s">
        <v>56</v>
      </c>
      <c r="V2738" t="s">
        <v>56</v>
      </c>
    </row>
    <row r="2739" spans="1:22" x14ac:dyDescent="0.3">
      <c r="A2739" s="49">
        <v>45273</v>
      </c>
      <c r="E2739" t="s">
        <v>2909</v>
      </c>
      <c r="G2739" t="s">
        <v>5374</v>
      </c>
      <c r="H2739" t="s">
        <v>28</v>
      </c>
      <c r="I2739" t="s">
        <v>6016</v>
      </c>
      <c r="J2739" t="s">
        <v>63</v>
      </c>
      <c r="K2739" t="s">
        <v>4961</v>
      </c>
      <c r="M2739">
        <v>100</v>
      </c>
      <c r="N2739" t="s">
        <v>33</v>
      </c>
      <c r="O2739" t="s">
        <v>4679</v>
      </c>
      <c r="P2739" t="s">
        <v>85</v>
      </c>
      <c r="T2739">
        <v>4</v>
      </c>
      <c r="U2739" t="s">
        <v>56</v>
      </c>
      <c r="V2739" t="s">
        <v>56</v>
      </c>
    </row>
    <row r="2740" spans="1:22" x14ac:dyDescent="0.3">
      <c r="A2740" s="49">
        <v>45273</v>
      </c>
      <c r="E2740" t="s">
        <v>2909</v>
      </c>
      <c r="G2740" t="s">
        <v>5044</v>
      </c>
      <c r="H2740" t="s">
        <v>28</v>
      </c>
      <c r="I2740" t="s">
        <v>2911</v>
      </c>
      <c r="J2740" t="s">
        <v>46</v>
      </c>
      <c r="K2740" t="s">
        <v>422</v>
      </c>
      <c r="M2740">
        <v>100</v>
      </c>
      <c r="N2740" t="s">
        <v>49</v>
      </c>
      <c r="O2740" t="s">
        <v>4375</v>
      </c>
      <c r="P2740" t="s">
        <v>1701</v>
      </c>
      <c r="T2740">
        <v>4</v>
      </c>
      <c r="U2740" t="s">
        <v>56</v>
      </c>
      <c r="V2740" t="s">
        <v>56</v>
      </c>
    </row>
    <row r="2741" spans="1:22" x14ac:dyDescent="0.3">
      <c r="A2741" s="49">
        <v>45273</v>
      </c>
      <c r="E2741" t="s">
        <v>2909</v>
      </c>
      <c r="G2741" t="s">
        <v>5044</v>
      </c>
      <c r="H2741" t="s">
        <v>28</v>
      </c>
      <c r="I2741" t="s">
        <v>2911</v>
      </c>
      <c r="J2741" t="s">
        <v>46</v>
      </c>
      <c r="K2741" t="s">
        <v>422</v>
      </c>
      <c r="M2741">
        <v>100</v>
      </c>
      <c r="N2741" t="s">
        <v>49</v>
      </c>
      <c r="O2741" t="s">
        <v>4375</v>
      </c>
      <c r="P2741" t="s">
        <v>1701</v>
      </c>
      <c r="T2741">
        <v>4</v>
      </c>
      <c r="U2741" t="s">
        <v>56</v>
      </c>
      <c r="V2741" t="s">
        <v>56</v>
      </c>
    </row>
    <row r="2742" spans="1:22" x14ac:dyDescent="0.3">
      <c r="A2742" s="49">
        <v>45273</v>
      </c>
      <c r="E2742" t="s">
        <v>2909</v>
      </c>
      <c r="G2742" t="s">
        <v>5044</v>
      </c>
      <c r="H2742" t="s">
        <v>28</v>
      </c>
      <c r="I2742" t="s">
        <v>2911</v>
      </c>
      <c r="J2742" t="s">
        <v>46</v>
      </c>
      <c r="K2742" t="s">
        <v>422</v>
      </c>
      <c r="M2742">
        <v>100</v>
      </c>
      <c r="N2742" t="s">
        <v>49</v>
      </c>
      <c r="O2742" t="s">
        <v>4375</v>
      </c>
      <c r="P2742" t="s">
        <v>1701</v>
      </c>
      <c r="T2742">
        <v>4</v>
      </c>
      <c r="U2742" t="s">
        <v>56</v>
      </c>
      <c r="V2742" t="s">
        <v>56</v>
      </c>
    </row>
    <row r="2743" spans="1:22" x14ac:dyDescent="0.3">
      <c r="A2743" s="49">
        <v>45273</v>
      </c>
      <c r="E2743" t="s">
        <v>2909</v>
      </c>
      <c r="G2743" t="s">
        <v>5044</v>
      </c>
      <c r="H2743" t="s">
        <v>28</v>
      </c>
      <c r="I2743" t="s">
        <v>2911</v>
      </c>
      <c r="J2743" t="s">
        <v>46</v>
      </c>
      <c r="K2743" t="s">
        <v>422</v>
      </c>
      <c r="M2743">
        <v>100</v>
      </c>
      <c r="N2743" t="s">
        <v>49</v>
      </c>
      <c r="O2743" t="s">
        <v>4375</v>
      </c>
      <c r="P2743" t="s">
        <v>1701</v>
      </c>
      <c r="T2743">
        <v>4</v>
      </c>
      <c r="U2743" t="s">
        <v>56</v>
      </c>
      <c r="V2743" t="s">
        <v>56</v>
      </c>
    </row>
    <row r="2744" spans="1:22" x14ac:dyDescent="0.3">
      <c r="A2744" s="49">
        <v>45273</v>
      </c>
      <c r="E2744" t="s">
        <v>2909</v>
      </c>
      <c r="G2744" t="s">
        <v>5044</v>
      </c>
      <c r="H2744" t="s">
        <v>28</v>
      </c>
      <c r="I2744" t="s">
        <v>2911</v>
      </c>
      <c r="J2744" t="s">
        <v>46</v>
      </c>
      <c r="K2744" t="s">
        <v>422</v>
      </c>
      <c r="M2744">
        <v>100</v>
      </c>
      <c r="N2744" t="s">
        <v>49</v>
      </c>
      <c r="O2744" t="s">
        <v>4375</v>
      </c>
      <c r="P2744" t="s">
        <v>1701</v>
      </c>
      <c r="T2744">
        <v>4</v>
      </c>
      <c r="U2744" t="s">
        <v>56</v>
      </c>
      <c r="V2744" t="s">
        <v>56</v>
      </c>
    </row>
    <row r="2745" spans="1:22" x14ac:dyDescent="0.3">
      <c r="A2745" s="49">
        <v>45273</v>
      </c>
      <c r="E2745" t="s">
        <v>2909</v>
      </c>
      <c r="G2745" t="s">
        <v>5044</v>
      </c>
      <c r="H2745" t="s">
        <v>28</v>
      </c>
      <c r="I2745" t="s">
        <v>2911</v>
      </c>
      <c r="J2745" t="s">
        <v>46</v>
      </c>
      <c r="K2745" t="s">
        <v>422</v>
      </c>
      <c r="M2745">
        <v>100</v>
      </c>
      <c r="N2745" t="s">
        <v>49</v>
      </c>
      <c r="O2745" t="s">
        <v>4375</v>
      </c>
      <c r="P2745" t="s">
        <v>1701</v>
      </c>
      <c r="T2745">
        <v>4</v>
      </c>
      <c r="U2745" t="s">
        <v>56</v>
      </c>
      <c r="V2745" t="s">
        <v>56</v>
      </c>
    </row>
    <row r="2746" spans="1:22" x14ac:dyDescent="0.3">
      <c r="A2746" s="49">
        <v>45273</v>
      </c>
      <c r="E2746" t="s">
        <v>3128</v>
      </c>
      <c r="G2746" t="s">
        <v>5203</v>
      </c>
      <c r="H2746" t="s">
        <v>28</v>
      </c>
      <c r="I2746" t="s">
        <v>6017</v>
      </c>
      <c r="J2746" t="s">
        <v>46</v>
      </c>
      <c r="K2746" t="s">
        <v>422</v>
      </c>
      <c r="M2746">
        <v>100</v>
      </c>
      <c r="N2746" t="s">
        <v>33</v>
      </c>
      <c r="O2746" t="s">
        <v>4680</v>
      </c>
      <c r="P2746" t="s">
        <v>1697</v>
      </c>
      <c r="T2746">
        <v>4</v>
      </c>
      <c r="U2746" t="s">
        <v>56</v>
      </c>
      <c r="V2746" t="s">
        <v>56</v>
      </c>
    </row>
    <row r="2747" spans="1:22" x14ac:dyDescent="0.3">
      <c r="A2747" s="49">
        <v>45273</v>
      </c>
      <c r="E2747" t="s">
        <v>3128</v>
      </c>
      <c r="G2747" t="s">
        <v>5203</v>
      </c>
      <c r="H2747" t="s">
        <v>89</v>
      </c>
      <c r="J2747" t="s">
        <v>63</v>
      </c>
      <c r="K2747" t="s">
        <v>64</v>
      </c>
      <c r="M2747">
        <v>100</v>
      </c>
      <c r="N2747" t="s">
        <v>49</v>
      </c>
      <c r="O2747" t="s">
        <v>4681</v>
      </c>
      <c r="P2747" t="s">
        <v>306</v>
      </c>
      <c r="T2747">
        <v>4</v>
      </c>
      <c r="U2747" t="s">
        <v>56</v>
      </c>
      <c r="V2747" t="s">
        <v>56</v>
      </c>
    </row>
    <row r="2748" spans="1:22" x14ac:dyDescent="0.3">
      <c r="A2748" s="49">
        <v>45273</v>
      </c>
      <c r="E2748" t="s">
        <v>3128</v>
      </c>
      <c r="G2748" t="s">
        <v>5203</v>
      </c>
      <c r="H2748" t="s">
        <v>89</v>
      </c>
      <c r="J2748" t="s">
        <v>63</v>
      </c>
      <c r="K2748" t="s">
        <v>64</v>
      </c>
      <c r="M2748">
        <v>100</v>
      </c>
      <c r="N2748" t="s">
        <v>33</v>
      </c>
      <c r="O2748" t="s">
        <v>4681</v>
      </c>
      <c r="P2748" t="s">
        <v>306</v>
      </c>
      <c r="T2748">
        <v>4</v>
      </c>
      <c r="U2748" t="s">
        <v>56</v>
      </c>
      <c r="V2748" t="s">
        <v>56</v>
      </c>
    </row>
    <row r="2749" spans="1:22" x14ac:dyDescent="0.3">
      <c r="A2749" s="49">
        <v>45273</v>
      </c>
      <c r="E2749" t="s">
        <v>3128</v>
      </c>
      <c r="G2749" t="s">
        <v>5203</v>
      </c>
      <c r="H2749" t="s">
        <v>89</v>
      </c>
      <c r="J2749" t="s">
        <v>63</v>
      </c>
      <c r="K2749" t="s">
        <v>64</v>
      </c>
      <c r="M2749">
        <v>100</v>
      </c>
      <c r="N2749" t="s">
        <v>33</v>
      </c>
      <c r="O2749" t="s">
        <v>4681</v>
      </c>
      <c r="P2749" t="s">
        <v>306</v>
      </c>
      <c r="T2749">
        <v>4</v>
      </c>
      <c r="U2749" t="s">
        <v>56</v>
      </c>
      <c r="V2749" t="s">
        <v>56</v>
      </c>
    </row>
    <row r="2750" spans="1:22" x14ac:dyDescent="0.3">
      <c r="A2750" s="49">
        <v>45273</v>
      </c>
      <c r="E2750" t="s">
        <v>3128</v>
      </c>
      <c r="G2750" t="s">
        <v>5203</v>
      </c>
      <c r="H2750" t="s">
        <v>89</v>
      </c>
      <c r="J2750" t="s">
        <v>63</v>
      </c>
      <c r="K2750" t="s">
        <v>64</v>
      </c>
      <c r="M2750">
        <v>100</v>
      </c>
      <c r="N2750" t="s">
        <v>49</v>
      </c>
      <c r="O2750" t="s">
        <v>4681</v>
      </c>
      <c r="P2750" t="s">
        <v>306</v>
      </c>
      <c r="T2750">
        <v>4</v>
      </c>
      <c r="U2750" t="s">
        <v>56</v>
      </c>
      <c r="V2750" t="s">
        <v>56</v>
      </c>
    </row>
    <row r="2751" spans="1:22" x14ac:dyDescent="0.3">
      <c r="A2751" s="49">
        <v>45273</v>
      </c>
      <c r="E2751" t="s">
        <v>3128</v>
      </c>
      <c r="G2751" t="s">
        <v>5203</v>
      </c>
      <c r="H2751" t="s">
        <v>28</v>
      </c>
      <c r="I2751" t="s">
        <v>6017</v>
      </c>
      <c r="J2751" t="s">
        <v>46</v>
      </c>
      <c r="K2751" t="s">
        <v>422</v>
      </c>
      <c r="M2751">
        <v>100</v>
      </c>
      <c r="N2751" t="s">
        <v>33</v>
      </c>
      <c r="O2751" t="s">
        <v>4680</v>
      </c>
      <c r="P2751" t="s">
        <v>1697</v>
      </c>
      <c r="T2751">
        <v>4</v>
      </c>
      <c r="U2751" t="s">
        <v>56</v>
      </c>
      <c r="V2751" t="s">
        <v>56</v>
      </c>
    </row>
    <row r="2752" spans="1:22" x14ac:dyDescent="0.3">
      <c r="A2752" s="49">
        <v>45273</v>
      </c>
      <c r="E2752" t="s">
        <v>3128</v>
      </c>
      <c r="G2752" t="s">
        <v>5203</v>
      </c>
      <c r="H2752" t="s">
        <v>28</v>
      </c>
      <c r="I2752" t="s">
        <v>6017</v>
      </c>
      <c r="J2752" t="s">
        <v>46</v>
      </c>
      <c r="K2752" t="s">
        <v>422</v>
      </c>
      <c r="M2752">
        <v>100</v>
      </c>
      <c r="N2752" t="s">
        <v>33</v>
      </c>
      <c r="O2752" t="s">
        <v>4680</v>
      </c>
      <c r="P2752" t="s">
        <v>1697</v>
      </c>
      <c r="T2752">
        <v>4</v>
      </c>
      <c r="U2752" t="s">
        <v>56</v>
      </c>
      <c r="V2752" t="s">
        <v>56</v>
      </c>
    </row>
    <row r="2753" spans="1:22" x14ac:dyDescent="0.3">
      <c r="A2753" s="49">
        <v>45273</v>
      </c>
      <c r="E2753" t="s">
        <v>3128</v>
      </c>
      <c r="G2753" t="s">
        <v>5203</v>
      </c>
      <c r="H2753" t="s">
        <v>28</v>
      </c>
      <c r="I2753" t="s">
        <v>6017</v>
      </c>
      <c r="J2753" t="s">
        <v>46</v>
      </c>
      <c r="K2753" t="s">
        <v>422</v>
      </c>
      <c r="M2753">
        <v>100</v>
      </c>
      <c r="N2753" t="s">
        <v>33</v>
      </c>
      <c r="O2753" t="s">
        <v>4680</v>
      </c>
      <c r="P2753" t="s">
        <v>1697</v>
      </c>
      <c r="T2753">
        <v>4</v>
      </c>
      <c r="U2753" t="s">
        <v>56</v>
      </c>
      <c r="V2753" t="s">
        <v>56</v>
      </c>
    </row>
    <row r="2754" spans="1:22" x14ac:dyDescent="0.3">
      <c r="A2754" s="49">
        <v>45273</v>
      </c>
      <c r="E2754" t="s">
        <v>3129</v>
      </c>
      <c r="G2754" t="s">
        <v>5321</v>
      </c>
      <c r="H2754" t="s">
        <v>28</v>
      </c>
      <c r="I2754" t="s">
        <v>5911</v>
      </c>
      <c r="J2754" t="s">
        <v>63</v>
      </c>
      <c r="K2754" t="s">
        <v>4924</v>
      </c>
      <c r="M2754">
        <v>20</v>
      </c>
      <c r="N2754" t="s">
        <v>33</v>
      </c>
      <c r="O2754" t="s">
        <v>4682</v>
      </c>
      <c r="P2754" t="s">
        <v>4828</v>
      </c>
      <c r="T2754">
        <v>6</v>
      </c>
      <c r="U2754" t="s">
        <v>40</v>
      </c>
      <c r="V2754" t="s">
        <v>41</v>
      </c>
    </row>
    <row r="2755" spans="1:22" x14ac:dyDescent="0.3">
      <c r="A2755" s="49">
        <v>45273</v>
      </c>
      <c r="E2755" t="s">
        <v>3129</v>
      </c>
      <c r="G2755" t="s">
        <v>5321</v>
      </c>
      <c r="H2755" t="s">
        <v>28</v>
      </c>
      <c r="I2755" t="s">
        <v>5911</v>
      </c>
      <c r="J2755" t="s">
        <v>63</v>
      </c>
      <c r="K2755" t="s">
        <v>4924</v>
      </c>
      <c r="M2755">
        <v>20</v>
      </c>
      <c r="N2755" t="s">
        <v>33</v>
      </c>
      <c r="O2755" t="s">
        <v>4683</v>
      </c>
      <c r="P2755" t="s">
        <v>344</v>
      </c>
      <c r="T2755">
        <v>6</v>
      </c>
      <c r="U2755" t="s">
        <v>40</v>
      </c>
      <c r="V2755" t="s">
        <v>41</v>
      </c>
    </row>
    <row r="2756" spans="1:22" x14ac:dyDescent="0.3">
      <c r="A2756" s="49">
        <v>45273</v>
      </c>
      <c r="E2756" t="s">
        <v>3129</v>
      </c>
      <c r="G2756" t="s">
        <v>4997</v>
      </c>
      <c r="H2756" t="s">
        <v>28</v>
      </c>
      <c r="I2756" t="s">
        <v>5420</v>
      </c>
      <c r="J2756" t="s">
        <v>63</v>
      </c>
      <c r="K2756" t="s">
        <v>64</v>
      </c>
      <c r="M2756">
        <v>33</v>
      </c>
      <c r="N2756" t="s">
        <v>33</v>
      </c>
      <c r="O2756" t="s">
        <v>4684</v>
      </c>
      <c r="P2756" t="s">
        <v>35</v>
      </c>
      <c r="T2756">
        <v>6</v>
      </c>
      <c r="U2756" t="s">
        <v>40</v>
      </c>
      <c r="V2756" t="s">
        <v>41</v>
      </c>
    </row>
    <row r="2757" spans="1:22" x14ac:dyDescent="0.3">
      <c r="A2757" s="49">
        <v>45273</v>
      </c>
      <c r="E2757" t="s">
        <v>3219</v>
      </c>
      <c r="G2757" t="s">
        <v>5209</v>
      </c>
      <c r="H2757" t="s">
        <v>28</v>
      </c>
      <c r="I2757" t="s">
        <v>5723</v>
      </c>
      <c r="J2757" t="s">
        <v>63</v>
      </c>
      <c r="K2757" t="s">
        <v>4948</v>
      </c>
      <c r="M2757">
        <v>100</v>
      </c>
      <c r="N2757" t="s">
        <v>49</v>
      </c>
      <c r="O2757" t="s">
        <v>3860</v>
      </c>
      <c r="P2757" t="s">
        <v>35</v>
      </c>
      <c r="T2757">
        <v>4</v>
      </c>
      <c r="U2757" t="s">
        <v>56</v>
      </c>
      <c r="V2757" t="s">
        <v>56</v>
      </c>
    </row>
    <row r="2758" spans="1:22" x14ac:dyDescent="0.3">
      <c r="A2758" s="49">
        <v>45273</v>
      </c>
      <c r="E2758" t="s">
        <v>3219</v>
      </c>
      <c r="G2758" t="s">
        <v>5323</v>
      </c>
      <c r="H2758" t="s">
        <v>28</v>
      </c>
      <c r="I2758" t="s">
        <v>6018</v>
      </c>
      <c r="J2758" t="s">
        <v>46</v>
      </c>
      <c r="K2758" t="s">
        <v>481</v>
      </c>
      <c r="M2758">
        <v>90</v>
      </c>
      <c r="N2758" t="s">
        <v>33</v>
      </c>
      <c r="O2758" t="s">
        <v>4685</v>
      </c>
      <c r="P2758" t="s">
        <v>2029</v>
      </c>
      <c r="T2758">
        <v>4</v>
      </c>
      <c r="U2758" t="s">
        <v>56</v>
      </c>
      <c r="V2758" t="s">
        <v>56</v>
      </c>
    </row>
    <row r="2759" spans="1:22" x14ac:dyDescent="0.3">
      <c r="A2759" s="49">
        <v>45273</v>
      </c>
      <c r="E2759" t="s">
        <v>3219</v>
      </c>
      <c r="G2759" t="s">
        <v>1677</v>
      </c>
      <c r="H2759" t="s">
        <v>28</v>
      </c>
      <c r="I2759" t="s">
        <v>421</v>
      </c>
      <c r="J2759" t="s">
        <v>46</v>
      </c>
      <c r="K2759" t="s">
        <v>422</v>
      </c>
      <c r="M2759">
        <v>0</v>
      </c>
      <c r="N2759" t="s">
        <v>33</v>
      </c>
      <c r="O2759" t="s">
        <v>4686</v>
      </c>
      <c r="P2759" t="s">
        <v>1508</v>
      </c>
      <c r="T2759">
        <v>4</v>
      </c>
      <c r="U2759" t="s">
        <v>56</v>
      </c>
      <c r="V2759" t="s">
        <v>56</v>
      </c>
    </row>
    <row r="2760" spans="1:22" x14ac:dyDescent="0.3">
      <c r="A2760" s="49">
        <v>45273</v>
      </c>
      <c r="E2760" t="s">
        <v>3219</v>
      </c>
      <c r="G2760" t="s">
        <v>5323</v>
      </c>
      <c r="H2760" t="s">
        <v>28</v>
      </c>
      <c r="I2760" t="s">
        <v>5914</v>
      </c>
      <c r="J2760" t="s">
        <v>46</v>
      </c>
      <c r="K2760" t="s">
        <v>481</v>
      </c>
      <c r="M2760">
        <v>100</v>
      </c>
      <c r="N2760" t="s">
        <v>33</v>
      </c>
      <c r="O2760" t="s">
        <v>4687</v>
      </c>
      <c r="P2760" t="s">
        <v>66</v>
      </c>
      <c r="T2760">
        <v>4</v>
      </c>
      <c r="U2760" t="s">
        <v>56</v>
      </c>
      <c r="V2760" t="s">
        <v>56</v>
      </c>
    </row>
    <row r="2761" spans="1:22" x14ac:dyDescent="0.3">
      <c r="A2761" s="49">
        <v>45273</v>
      </c>
      <c r="E2761" t="s">
        <v>3219</v>
      </c>
      <c r="G2761" t="s">
        <v>5323</v>
      </c>
      <c r="H2761" t="s">
        <v>28</v>
      </c>
      <c r="I2761" t="s">
        <v>5914</v>
      </c>
      <c r="J2761" t="s">
        <v>46</v>
      </c>
      <c r="K2761" t="s">
        <v>481</v>
      </c>
      <c r="M2761">
        <v>100</v>
      </c>
      <c r="N2761" t="s">
        <v>49</v>
      </c>
      <c r="O2761" t="s">
        <v>4688</v>
      </c>
      <c r="P2761" t="s">
        <v>1878</v>
      </c>
      <c r="T2761">
        <v>4</v>
      </c>
      <c r="U2761" t="s">
        <v>56</v>
      </c>
      <c r="V2761" t="s">
        <v>56</v>
      </c>
    </row>
    <row r="2762" spans="1:22" x14ac:dyDescent="0.3">
      <c r="A2762" s="49">
        <v>45273</v>
      </c>
      <c r="E2762" t="s">
        <v>3219</v>
      </c>
      <c r="G2762" t="s">
        <v>909</v>
      </c>
      <c r="H2762" t="s">
        <v>28</v>
      </c>
      <c r="I2762" t="s">
        <v>6019</v>
      </c>
      <c r="J2762" t="s">
        <v>46</v>
      </c>
      <c r="K2762" t="s">
        <v>911</v>
      </c>
      <c r="M2762">
        <v>100</v>
      </c>
      <c r="N2762" t="s">
        <v>33</v>
      </c>
      <c r="O2762" t="s">
        <v>4689</v>
      </c>
      <c r="P2762" t="s">
        <v>4830</v>
      </c>
      <c r="T2762">
        <v>4</v>
      </c>
      <c r="U2762" t="s">
        <v>56</v>
      </c>
      <c r="V2762" t="s">
        <v>56</v>
      </c>
    </row>
    <row r="2763" spans="1:22" x14ac:dyDescent="0.3">
      <c r="A2763" s="49">
        <v>45273</v>
      </c>
      <c r="E2763" t="s">
        <v>3219</v>
      </c>
      <c r="G2763" t="s">
        <v>5324</v>
      </c>
      <c r="H2763" t="s">
        <v>28</v>
      </c>
      <c r="I2763" t="s">
        <v>5915</v>
      </c>
      <c r="J2763" t="s">
        <v>46</v>
      </c>
      <c r="K2763" t="s">
        <v>911</v>
      </c>
      <c r="M2763">
        <v>80</v>
      </c>
      <c r="N2763" t="s">
        <v>33</v>
      </c>
      <c r="O2763" t="s">
        <v>4690</v>
      </c>
      <c r="P2763" t="s">
        <v>4832</v>
      </c>
      <c r="T2763">
        <v>4</v>
      </c>
      <c r="U2763" t="s">
        <v>56</v>
      </c>
      <c r="V2763" t="s">
        <v>56</v>
      </c>
    </row>
    <row r="2764" spans="1:22" x14ac:dyDescent="0.3">
      <c r="A2764" s="49">
        <v>45273</v>
      </c>
      <c r="E2764" t="s">
        <v>3220</v>
      </c>
      <c r="G2764" t="s">
        <v>5107</v>
      </c>
      <c r="H2764" t="s">
        <v>28</v>
      </c>
      <c r="I2764" t="s">
        <v>6020</v>
      </c>
      <c r="J2764" t="s">
        <v>46</v>
      </c>
      <c r="K2764" t="s">
        <v>422</v>
      </c>
      <c r="M2764">
        <v>50</v>
      </c>
      <c r="N2764" t="s">
        <v>33</v>
      </c>
      <c r="O2764" t="s">
        <v>4691</v>
      </c>
      <c r="P2764" t="s">
        <v>416</v>
      </c>
      <c r="T2764">
        <v>4</v>
      </c>
      <c r="U2764" t="s">
        <v>56</v>
      </c>
      <c r="V2764" t="s">
        <v>56</v>
      </c>
    </row>
    <row r="2765" spans="1:22" x14ac:dyDescent="0.3">
      <c r="A2765" s="49">
        <v>45273</v>
      </c>
      <c r="E2765" t="s">
        <v>3130</v>
      </c>
      <c r="G2765" t="s">
        <v>5375</v>
      </c>
      <c r="H2765" t="s">
        <v>28</v>
      </c>
      <c r="I2765" t="s">
        <v>6021</v>
      </c>
      <c r="J2765" t="s">
        <v>63</v>
      </c>
      <c r="K2765" t="s">
        <v>64</v>
      </c>
      <c r="M2765">
        <v>95</v>
      </c>
      <c r="N2765" t="s">
        <v>49</v>
      </c>
      <c r="O2765" t="s">
        <v>4692</v>
      </c>
      <c r="P2765" t="s">
        <v>170</v>
      </c>
      <c r="T2765">
        <v>4</v>
      </c>
      <c r="U2765" t="s">
        <v>56</v>
      </c>
      <c r="V2765" t="s">
        <v>56</v>
      </c>
    </row>
    <row r="2766" spans="1:22" x14ac:dyDescent="0.3">
      <c r="A2766" s="49">
        <v>45273</v>
      </c>
      <c r="E2766" t="s">
        <v>3130</v>
      </c>
      <c r="G2766" t="s">
        <v>4998</v>
      </c>
      <c r="H2766" t="s">
        <v>28</v>
      </c>
      <c r="I2766" t="s">
        <v>6022</v>
      </c>
      <c r="J2766" t="s">
        <v>63</v>
      </c>
      <c r="K2766" t="s">
        <v>64</v>
      </c>
      <c r="M2766">
        <v>60</v>
      </c>
      <c r="N2766" t="s">
        <v>33</v>
      </c>
      <c r="O2766" t="s">
        <v>4693</v>
      </c>
      <c r="P2766" t="s">
        <v>358</v>
      </c>
      <c r="T2766">
        <v>4</v>
      </c>
      <c r="U2766" t="s">
        <v>56</v>
      </c>
      <c r="V2766" t="s">
        <v>56</v>
      </c>
    </row>
    <row r="2767" spans="1:22" x14ac:dyDescent="0.3">
      <c r="A2767" s="49">
        <v>45273</v>
      </c>
      <c r="E2767" t="s">
        <v>3130</v>
      </c>
      <c r="G2767" t="s">
        <v>5376</v>
      </c>
      <c r="H2767" t="s">
        <v>28</v>
      </c>
      <c r="I2767" t="s">
        <v>6023</v>
      </c>
      <c r="J2767" t="s">
        <v>63</v>
      </c>
      <c r="K2767" t="s">
        <v>64</v>
      </c>
      <c r="M2767">
        <v>100</v>
      </c>
      <c r="N2767" t="s">
        <v>49</v>
      </c>
      <c r="O2767" t="s">
        <v>4694</v>
      </c>
      <c r="P2767" t="s">
        <v>287</v>
      </c>
      <c r="T2767">
        <v>4</v>
      </c>
      <c r="U2767" t="s">
        <v>56</v>
      </c>
      <c r="V2767" t="s">
        <v>56</v>
      </c>
    </row>
    <row r="2768" spans="1:22" x14ac:dyDescent="0.3">
      <c r="A2768" s="49">
        <v>45273</v>
      </c>
      <c r="E2768" t="s">
        <v>3130</v>
      </c>
      <c r="G2768" t="s">
        <v>5376</v>
      </c>
      <c r="H2768" t="s">
        <v>28</v>
      </c>
      <c r="I2768" t="s">
        <v>6023</v>
      </c>
      <c r="J2768" t="s">
        <v>63</v>
      </c>
      <c r="K2768" t="s">
        <v>64</v>
      </c>
      <c r="M2768">
        <v>100</v>
      </c>
      <c r="N2768" t="s">
        <v>49</v>
      </c>
      <c r="O2768" t="s">
        <v>4694</v>
      </c>
      <c r="P2768" t="s">
        <v>287</v>
      </c>
      <c r="T2768">
        <v>4</v>
      </c>
      <c r="U2768" t="s">
        <v>56</v>
      </c>
      <c r="V2768" t="s">
        <v>56</v>
      </c>
    </row>
    <row r="2769" spans="1:22" x14ac:dyDescent="0.3">
      <c r="A2769" s="49">
        <v>45273</v>
      </c>
      <c r="E2769" t="s">
        <v>3130</v>
      </c>
      <c r="G2769" t="s">
        <v>5376</v>
      </c>
      <c r="H2769" t="s">
        <v>28</v>
      </c>
      <c r="I2769" t="s">
        <v>6023</v>
      </c>
      <c r="J2769" t="s">
        <v>63</v>
      </c>
      <c r="K2769" t="s">
        <v>64</v>
      </c>
      <c r="M2769">
        <v>100</v>
      </c>
      <c r="N2769" t="s">
        <v>49</v>
      </c>
      <c r="O2769" t="s">
        <v>4694</v>
      </c>
      <c r="P2769" t="s">
        <v>287</v>
      </c>
      <c r="T2769">
        <v>4</v>
      </c>
      <c r="U2769" t="s">
        <v>56</v>
      </c>
      <c r="V2769" t="s">
        <v>56</v>
      </c>
    </row>
    <row r="2770" spans="1:22" x14ac:dyDescent="0.3">
      <c r="A2770" s="49">
        <v>45273</v>
      </c>
      <c r="E2770" t="s">
        <v>3131</v>
      </c>
      <c r="G2770" t="s">
        <v>4999</v>
      </c>
      <c r="H2770" t="s">
        <v>28</v>
      </c>
      <c r="I2770" t="s">
        <v>437</v>
      </c>
      <c r="J2770" t="s">
        <v>63</v>
      </c>
      <c r="K2770" t="s">
        <v>211</v>
      </c>
      <c r="M2770">
        <v>100</v>
      </c>
      <c r="N2770" t="s">
        <v>49</v>
      </c>
      <c r="O2770" t="s">
        <v>4695</v>
      </c>
      <c r="P2770" t="s">
        <v>1701</v>
      </c>
      <c r="T2770">
        <v>4</v>
      </c>
      <c r="U2770" t="s">
        <v>56</v>
      </c>
      <c r="V2770" t="s">
        <v>56</v>
      </c>
    </row>
    <row r="2771" spans="1:22" x14ac:dyDescent="0.3">
      <c r="A2771" s="49">
        <v>45273</v>
      </c>
      <c r="E2771" t="s">
        <v>3131</v>
      </c>
      <c r="G2771" t="s">
        <v>5328</v>
      </c>
      <c r="H2771" t="s">
        <v>28</v>
      </c>
      <c r="I2771" t="s">
        <v>5920</v>
      </c>
      <c r="J2771" t="s">
        <v>63</v>
      </c>
      <c r="K2771" t="s">
        <v>211</v>
      </c>
      <c r="M2771">
        <v>98</v>
      </c>
      <c r="N2771" t="s">
        <v>33</v>
      </c>
      <c r="O2771" t="s">
        <v>4696</v>
      </c>
      <c r="P2771" t="s">
        <v>2703</v>
      </c>
      <c r="T2771">
        <v>4</v>
      </c>
      <c r="U2771" t="s">
        <v>56</v>
      </c>
      <c r="V2771" t="s">
        <v>56</v>
      </c>
    </row>
    <row r="2772" spans="1:22" x14ac:dyDescent="0.3">
      <c r="A2772" s="49">
        <v>45273</v>
      </c>
      <c r="E2772" t="s">
        <v>3131</v>
      </c>
      <c r="G2772" t="s">
        <v>5377</v>
      </c>
      <c r="H2772" t="s">
        <v>28</v>
      </c>
      <c r="I2772" t="s">
        <v>6024</v>
      </c>
      <c r="J2772" t="s">
        <v>46</v>
      </c>
      <c r="K2772" t="s">
        <v>880</v>
      </c>
      <c r="M2772">
        <v>20</v>
      </c>
      <c r="N2772" t="s">
        <v>33</v>
      </c>
      <c r="O2772" t="s">
        <v>4697</v>
      </c>
      <c r="P2772" t="s">
        <v>791</v>
      </c>
      <c r="T2772">
        <v>6</v>
      </c>
      <c r="U2772" t="s">
        <v>40</v>
      </c>
      <c r="V2772" t="s">
        <v>41</v>
      </c>
    </row>
    <row r="2773" spans="1:22" x14ac:dyDescent="0.3">
      <c r="A2773" s="49">
        <v>45273</v>
      </c>
      <c r="E2773" t="s">
        <v>3182</v>
      </c>
      <c r="G2773" t="s">
        <v>5378</v>
      </c>
      <c r="H2773" t="s">
        <v>28</v>
      </c>
      <c r="I2773" t="s">
        <v>6025</v>
      </c>
      <c r="J2773" t="s">
        <v>63</v>
      </c>
      <c r="K2773" t="s">
        <v>64</v>
      </c>
      <c r="M2773">
        <v>30</v>
      </c>
      <c r="N2773" t="s">
        <v>49</v>
      </c>
      <c r="O2773" t="s">
        <v>4698</v>
      </c>
      <c r="P2773" t="s">
        <v>1878</v>
      </c>
      <c r="T2773">
        <v>6</v>
      </c>
      <c r="U2773" t="s">
        <v>40</v>
      </c>
      <c r="V2773" t="s">
        <v>41</v>
      </c>
    </row>
    <row r="2774" spans="1:22" x14ac:dyDescent="0.3">
      <c r="A2774" s="49">
        <v>45273</v>
      </c>
      <c r="E2774" t="s">
        <v>3164</v>
      </c>
      <c r="G2774" t="s">
        <v>5215</v>
      </c>
      <c r="H2774" t="s">
        <v>28</v>
      </c>
      <c r="I2774" t="s">
        <v>5734</v>
      </c>
      <c r="J2774" t="s">
        <v>46</v>
      </c>
      <c r="K2774" t="s">
        <v>880</v>
      </c>
      <c r="M2774">
        <v>10</v>
      </c>
      <c r="N2774" t="s">
        <v>49</v>
      </c>
      <c r="O2774" t="s">
        <v>4699</v>
      </c>
      <c r="P2774" t="s">
        <v>4830</v>
      </c>
      <c r="T2774">
        <v>6</v>
      </c>
      <c r="U2774" t="s">
        <v>40</v>
      </c>
      <c r="V2774" t="s">
        <v>41</v>
      </c>
    </row>
    <row r="2775" spans="1:22" x14ac:dyDescent="0.3">
      <c r="A2775" s="49">
        <v>45273</v>
      </c>
      <c r="E2775" t="s">
        <v>3132</v>
      </c>
      <c r="G2775" t="s">
        <v>5038</v>
      </c>
      <c r="H2775" t="s">
        <v>28</v>
      </c>
      <c r="I2775" t="s">
        <v>5933</v>
      </c>
      <c r="J2775" t="s">
        <v>63</v>
      </c>
      <c r="K2775" t="s">
        <v>197</v>
      </c>
      <c r="M2775">
        <v>0</v>
      </c>
      <c r="N2775" t="s">
        <v>74</v>
      </c>
      <c r="O2775" t="s">
        <v>4700</v>
      </c>
      <c r="P2775" t="s">
        <v>829</v>
      </c>
      <c r="T2775">
        <v>5</v>
      </c>
      <c r="U2775" t="s">
        <v>40</v>
      </c>
      <c r="V2775" t="s">
        <v>41</v>
      </c>
    </row>
    <row r="2776" spans="1:22" x14ac:dyDescent="0.3">
      <c r="A2776" s="49">
        <v>45273</v>
      </c>
      <c r="E2776" t="s">
        <v>3132</v>
      </c>
      <c r="G2776" t="s">
        <v>5046</v>
      </c>
      <c r="H2776" t="s">
        <v>28</v>
      </c>
      <c r="I2776" t="s">
        <v>6026</v>
      </c>
      <c r="J2776" t="s">
        <v>63</v>
      </c>
      <c r="K2776" t="s">
        <v>197</v>
      </c>
      <c r="M2776">
        <v>75</v>
      </c>
      <c r="N2776" t="s">
        <v>49</v>
      </c>
      <c r="O2776" t="s">
        <v>4701</v>
      </c>
      <c r="P2776" t="s">
        <v>100</v>
      </c>
      <c r="T2776">
        <v>6</v>
      </c>
      <c r="U2776" t="s">
        <v>40</v>
      </c>
      <c r="V2776" t="s">
        <v>41</v>
      </c>
    </row>
    <row r="2777" spans="1:22" x14ac:dyDescent="0.3">
      <c r="A2777" s="49">
        <v>45273</v>
      </c>
      <c r="E2777" t="s">
        <v>3132</v>
      </c>
      <c r="G2777" t="s">
        <v>5221</v>
      </c>
      <c r="H2777" t="s">
        <v>28</v>
      </c>
      <c r="I2777" t="s">
        <v>5742</v>
      </c>
      <c r="J2777" t="s">
        <v>63</v>
      </c>
      <c r="K2777" t="s">
        <v>64</v>
      </c>
      <c r="M2777">
        <v>100</v>
      </c>
      <c r="N2777" t="s">
        <v>49</v>
      </c>
      <c r="O2777" t="s">
        <v>3038</v>
      </c>
      <c r="P2777" t="s">
        <v>416</v>
      </c>
      <c r="T2777">
        <v>4</v>
      </c>
      <c r="U2777" t="s">
        <v>56</v>
      </c>
      <c r="V2777" t="s">
        <v>56</v>
      </c>
    </row>
    <row r="2778" spans="1:22" x14ac:dyDescent="0.3">
      <c r="A2778" s="49">
        <v>45273</v>
      </c>
      <c r="E2778" t="s">
        <v>3132</v>
      </c>
      <c r="G2778" t="s">
        <v>5221</v>
      </c>
      <c r="H2778" t="s">
        <v>28</v>
      </c>
      <c r="I2778" t="s">
        <v>5742</v>
      </c>
      <c r="J2778" t="s">
        <v>63</v>
      </c>
      <c r="K2778" t="s">
        <v>64</v>
      </c>
      <c r="M2778">
        <v>100</v>
      </c>
      <c r="N2778" t="s">
        <v>49</v>
      </c>
      <c r="O2778" t="s">
        <v>3894</v>
      </c>
      <c r="P2778" t="s">
        <v>35</v>
      </c>
      <c r="T2778">
        <v>4</v>
      </c>
      <c r="U2778" t="s">
        <v>56</v>
      </c>
      <c r="V2778" t="s">
        <v>56</v>
      </c>
    </row>
    <row r="2779" spans="1:22" x14ac:dyDescent="0.3">
      <c r="A2779" s="49">
        <v>45273</v>
      </c>
      <c r="E2779" t="s">
        <v>3132</v>
      </c>
      <c r="G2779" t="s">
        <v>5221</v>
      </c>
      <c r="H2779" t="s">
        <v>28</v>
      </c>
      <c r="I2779" t="s">
        <v>5742</v>
      </c>
      <c r="J2779" t="s">
        <v>63</v>
      </c>
      <c r="K2779" t="s">
        <v>64</v>
      </c>
      <c r="M2779">
        <v>100</v>
      </c>
      <c r="N2779" t="s">
        <v>49</v>
      </c>
      <c r="O2779" t="s">
        <v>3894</v>
      </c>
      <c r="P2779" t="s">
        <v>35</v>
      </c>
      <c r="T2779">
        <v>4</v>
      </c>
      <c r="U2779" t="s">
        <v>56</v>
      </c>
      <c r="V2779" t="s">
        <v>56</v>
      </c>
    </row>
    <row r="2780" spans="1:22" x14ac:dyDescent="0.3">
      <c r="A2780" s="49">
        <v>45273</v>
      </c>
      <c r="E2780" t="s">
        <v>3132</v>
      </c>
      <c r="G2780" t="s">
        <v>5221</v>
      </c>
      <c r="H2780" t="s">
        <v>28</v>
      </c>
      <c r="I2780" t="s">
        <v>5742</v>
      </c>
      <c r="J2780" t="s">
        <v>63</v>
      </c>
      <c r="K2780" t="s">
        <v>64</v>
      </c>
      <c r="M2780">
        <v>100</v>
      </c>
      <c r="N2780" t="s">
        <v>49</v>
      </c>
      <c r="O2780" t="s">
        <v>3894</v>
      </c>
      <c r="P2780" t="s">
        <v>35</v>
      </c>
      <c r="T2780">
        <v>4</v>
      </c>
      <c r="U2780" t="s">
        <v>56</v>
      </c>
      <c r="V2780" t="s">
        <v>56</v>
      </c>
    </row>
    <row r="2781" spans="1:22" x14ac:dyDescent="0.3">
      <c r="A2781" s="49">
        <v>45273</v>
      </c>
      <c r="E2781" t="s">
        <v>3132</v>
      </c>
      <c r="G2781" t="s">
        <v>5221</v>
      </c>
      <c r="H2781" t="s">
        <v>28</v>
      </c>
      <c r="I2781" t="s">
        <v>5742</v>
      </c>
      <c r="J2781" t="s">
        <v>63</v>
      </c>
      <c r="K2781" t="s">
        <v>64</v>
      </c>
      <c r="M2781">
        <v>100</v>
      </c>
      <c r="N2781" t="s">
        <v>49</v>
      </c>
      <c r="O2781" t="s">
        <v>3894</v>
      </c>
      <c r="P2781" t="s">
        <v>35</v>
      </c>
      <c r="T2781">
        <v>4</v>
      </c>
      <c r="U2781" t="s">
        <v>56</v>
      </c>
      <c r="V2781" t="s">
        <v>56</v>
      </c>
    </row>
    <row r="2782" spans="1:22" x14ac:dyDescent="0.3">
      <c r="A2782" s="49">
        <v>45273</v>
      </c>
      <c r="E2782" t="s">
        <v>3132</v>
      </c>
      <c r="G2782" t="s">
        <v>5221</v>
      </c>
      <c r="H2782" t="s">
        <v>28</v>
      </c>
      <c r="I2782" t="s">
        <v>5742</v>
      </c>
      <c r="J2782" t="s">
        <v>63</v>
      </c>
      <c r="K2782" t="s">
        <v>64</v>
      </c>
      <c r="M2782">
        <v>100</v>
      </c>
      <c r="N2782" t="s">
        <v>49</v>
      </c>
      <c r="O2782" t="s">
        <v>4702</v>
      </c>
      <c r="P2782" t="s">
        <v>66</v>
      </c>
      <c r="T2782">
        <v>4</v>
      </c>
      <c r="U2782" t="s">
        <v>56</v>
      </c>
      <c r="V2782" t="s">
        <v>56</v>
      </c>
    </row>
    <row r="2783" spans="1:22" x14ac:dyDescent="0.3">
      <c r="A2783" s="49">
        <v>45273</v>
      </c>
      <c r="E2783" t="s">
        <v>3132</v>
      </c>
      <c r="G2783" t="s">
        <v>5221</v>
      </c>
      <c r="H2783" t="s">
        <v>28</v>
      </c>
      <c r="I2783" t="s">
        <v>5742</v>
      </c>
      <c r="J2783" t="s">
        <v>63</v>
      </c>
      <c r="K2783" t="s">
        <v>64</v>
      </c>
      <c r="M2783">
        <v>100</v>
      </c>
      <c r="N2783" t="s">
        <v>49</v>
      </c>
      <c r="O2783" t="s">
        <v>4702</v>
      </c>
      <c r="P2783" t="s">
        <v>66</v>
      </c>
      <c r="T2783">
        <v>4</v>
      </c>
      <c r="U2783" t="s">
        <v>56</v>
      </c>
      <c r="V2783" t="s">
        <v>56</v>
      </c>
    </row>
    <row r="2784" spans="1:22" x14ac:dyDescent="0.3">
      <c r="A2784" s="49">
        <v>45273</v>
      </c>
      <c r="E2784" t="s">
        <v>3132</v>
      </c>
      <c r="G2784" t="s">
        <v>5221</v>
      </c>
      <c r="H2784" t="s">
        <v>28</v>
      </c>
      <c r="I2784" t="s">
        <v>5742</v>
      </c>
      <c r="J2784" t="s">
        <v>63</v>
      </c>
      <c r="K2784" t="s">
        <v>64</v>
      </c>
      <c r="M2784">
        <v>100</v>
      </c>
      <c r="N2784" t="s">
        <v>49</v>
      </c>
      <c r="O2784" t="s">
        <v>4702</v>
      </c>
      <c r="P2784" t="s">
        <v>66</v>
      </c>
      <c r="T2784">
        <v>4</v>
      </c>
      <c r="U2784" t="s">
        <v>56</v>
      </c>
      <c r="V2784" t="s">
        <v>56</v>
      </c>
    </row>
    <row r="2785" spans="1:22" x14ac:dyDescent="0.3">
      <c r="A2785" s="49">
        <v>45273</v>
      </c>
      <c r="E2785" t="s">
        <v>3132</v>
      </c>
      <c r="G2785" t="s">
        <v>5221</v>
      </c>
      <c r="H2785" t="s">
        <v>28</v>
      </c>
      <c r="I2785" t="s">
        <v>5742</v>
      </c>
      <c r="J2785" t="s">
        <v>63</v>
      </c>
      <c r="K2785" t="s">
        <v>64</v>
      </c>
      <c r="M2785">
        <v>0</v>
      </c>
      <c r="N2785" t="s">
        <v>74</v>
      </c>
      <c r="O2785" t="s">
        <v>4703</v>
      </c>
      <c r="P2785" t="s">
        <v>358</v>
      </c>
      <c r="T2785">
        <v>4</v>
      </c>
      <c r="U2785" t="s">
        <v>56</v>
      </c>
      <c r="V2785" t="s">
        <v>56</v>
      </c>
    </row>
    <row r="2786" spans="1:22" x14ac:dyDescent="0.3">
      <c r="A2786" s="49">
        <v>45273</v>
      </c>
      <c r="E2786" t="s">
        <v>3132</v>
      </c>
      <c r="G2786" t="s">
        <v>5225</v>
      </c>
      <c r="H2786" t="s">
        <v>28</v>
      </c>
      <c r="I2786" t="s">
        <v>619</v>
      </c>
      <c r="J2786" t="s">
        <v>63</v>
      </c>
      <c r="K2786" t="s">
        <v>64</v>
      </c>
      <c r="M2786">
        <v>100</v>
      </c>
      <c r="N2786" t="s">
        <v>49</v>
      </c>
      <c r="O2786" t="s">
        <v>4704</v>
      </c>
      <c r="P2786" t="s">
        <v>4828</v>
      </c>
      <c r="T2786">
        <v>4</v>
      </c>
      <c r="U2786" t="s">
        <v>56</v>
      </c>
      <c r="V2786" t="s">
        <v>56</v>
      </c>
    </row>
    <row r="2787" spans="1:22" x14ac:dyDescent="0.3">
      <c r="A2787" s="49">
        <v>45273</v>
      </c>
      <c r="E2787" t="s">
        <v>3132</v>
      </c>
      <c r="G2787" t="s">
        <v>5001</v>
      </c>
      <c r="H2787" t="s">
        <v>89</v>
      </c>
      <c r="J2787" t="s">
        <v>63</v>
      </c>
      <c r="K2787" t="s">
        <v>64</v>
      </c>
      <c r="M2787">
        <v>40</v>
      </c>
      <c r="N2787" t="s">
        <v>49</v>
      </c>
      <c r="O2787" t="s">
        <v>4705</v>
      </c>
      <c r="P2787" t="s">
        <v>483</v>
      </c>
      <c r="T2787">
        <v>4</v>
      </c>
      <c r="U2787" t="s">
        <v>56</v>
      </c>
      <c r="V2787" t="s">
        <v>56</v>
      </c>
    </row>
    <row r="2788" spans="1:22" x14ac:dyDescent="0.3">
      <c r="A2788" s="49">
        <v>45273</v>
      </c>
      <c r="E2788" t="s">
        <v>3132</v>
      </c>
      <c r="G2788" t="s">
        <v>5004</v>
      </c>
      <c r="H2788" t="s">
        <v>28</v>
      </c>
      <c r="I2788" t="s">
        <v>6027</v>
      </c>
      <c r="J2788" t="s">
        <v>63</v>
      </c>
      <c r="K2788" t="s">
        <v>64</v>
      </c>
      <c r="M2788">
        <v>90</v>
      </c>
      <c r="N2788" t="s">
        <v>49</v>
      </c>
      <c r="O2788" t="s">
        <v>4706</v>
      </c>
      <c r="P2788" t="s">
        <v>878</v>
      </c>
      <c r="T2788">
        <v>4</v>
      </c>
      <c r="U2788" t="s">
        <v>56</v>
      </c>
      <c r="V2788" t="s">
        <v>56</v>
      </c>
    </row>
    <row r="2789" spans="1:22" x14ac:dyDescent="0.3">
      <c r="A2789" s="49">
        <v>45273</v>
      </c>
      <c r="E2789" t="s">
        <v>3132</v>
      </c>
      <c r="G2789" t="s">
        <v>5004</v>
      </c>
      <c r="H2789" t="s">
        <v>28</v>
      </c>
      <c r="I2789" t="s">
        <v>5004</v>
      </c>
      <c r="J2789" t="s">
        <v>63</v>
      </c>
      <c r="K2789" t="s">
        <v>211</v>
      </c>
      <c r="M2789">
        <v>80</v>
      </c>
      <c r="N2789" t="s">
        <v>49</v>
      </c>
      <c r="O2789" t="s">
        <v>4707</v>
      </c>
      <c r="P2789" t="s">
        <v>1230</v>
      </c>
      <c r="T2789">
        <v>6</v>
      </c>
      <c r="U2789" t="s">
        <v>40</v>
      </c>
      <c r="V2789" t="s">
        <v>41</v>
      </c>
    </row>
    <row r="2790" spans="1:22" x14ac:dyDescent="0.3">
      <c r="A2790" s="49">
        <v>45273</v>
      </c>
      <c r="E2790" t="s">
        <v>3132</v>
      </c>
      <c r="G2790" t="s">
        <v>5038</v>
      </c>
      <c r="H2790" t="s">
        <v>28</v>
      </c>
      <c r="I2790" t="s">
        <v>5745</v>
      </c>
      <c r="J2790" t="s">
        <v>63</v>
      </c>
      <c r="K2790" t="s">
        <v>197</v>
      </c>
      <c r="M2790">
        <v>50</v>
      </c>
      <c r="N2790" t="s">
        <v>33</v>
      </c>
      <c r="O2790" t="s">
        <v>4708</v>
      </c>
      <c r="P2790" t="s">
        <v>878</v>
      </c>
      <c r="T2790">
        <v>5</v>
      </c>
      <c r="U2790" t="s">
        <v>40</v>
      </c>
      <c r="V2790" t="s">
        <v>41</v>
      </c>
    </row>
    <row r="2791" spans="1:22" x14ac:dyDescent="0.3">
      <c r="A2791" s="49">
        <v>45273</v>
      </c>
      <c r="E2791" t="s">
        <v>3132</v>
      </c>
      <c r="G2791" t="s">
        <v>5222</v>
      </c>
      <c r="H2791" t="s">
        <v>28</v>
      </c>
      <c r="I2791" t="s">
        <v>6028</v>
      </c>
      <c r="J2791" t="s">
        <v>63</v>
      </c>
      <c r="K2791" t="s">
        <v>64</v>
      </c>
      <c r="M2791">
        <v>75</v>
      </c>
      <c r="N2791" t="s">
        <v>49</v>
      </c>
      <c r="O2791" t="s">
        <v>4709</v>
      </c>
      <c r="P2791" t="s">
        <v>829</v>
      </c>
      <c r="T2791">
        <v>6</v>
      </c>
      <c r="U2791" t="s">
        <v>40</v>
      </c>
      <c r="V2791" t="s">
        <v>41</v>
      </c>
    </row>
    <row r="2792" spans="1:22" x14ac:dyDescent="0.3">
      <c r="A2792" s="49">
        <v>45273</v>
      </c>
      <c r="E2792" t="s">
        <v>3132</v>
      </c>
      <c r="G2792" t="s">
        <v>5226</v>
      </c>
      <c r="H2792" t="s">
        <v>28</v>
      </c>
      <c r="I2792" t="s">
        <v>5751</v>
      </c>
      <c r="J2792" t="s">
        <v>46</v>
      </c>
      <c r="K2792" t="s">
        <v>481</v>
      </c>
      <c r="M2792">
        <v>100</v>
      </c>
      <c r="N2792" t="s">
        <v>49</v>
      </c>
      <c r="O2792" t="s">
        <v>4710</v>
      </c>
      <c r="P2792" t="s">
        <v>4834</v>
      </c>
      <c r="T2792">
        <v>6</v>
      </c>
      <c r="U2792" t="s">
        <v>40</v>
      </c>
      <c r="V2792" t="s">
        <v>41</v>
      </c>
    </row>
    <row r="2793" spans="1:22" x14ac:dyDescent="0.3">
      <c r="A2793" s="49">
        <v>45273</v>
      </c>
      <c r="E2793" t="s">
        <v>3132</v>
      </c>
      <c r="G2793" t="s">
        <v>5001</v>
      </c>
      <c r="H2793" t="s">
        <v>28</v>
      </c>
      <c r="I2793" t="s">
        <v>947</v>
      </c>
      <c r="J2793" t="s">
        <v>63</v>
      </c>
      <c r="K2793" t="s">
        <v>64</v>
      </c>
      <c r="M2793">
        <v>100</v>
      </c>
      <c r="N2793" t="s">
        <v>49</v>
      </c>
      <c r="O2793" t="s">
        <v>4711</v>
      </c>
      <c r="P2793" t="s">
        <v>287</v>
      </c>
      <c r="T2793">
        <v>4</v>
      </c>
      <c r="U2793" t="s">
        <v>56</v>
      </c>
      <c r="V2793" t="s">
        <v>56</v>
      </c>
    </row>
    <row r="2794" spans="1:22" x14ac:dyDescent="0.3">
      <c r="A2794" s="49">
        <v>45273</v>
      </c>
      <c r="E2794" t="s">
        <v>3132</v>
      </c>
      <c r="G2794" t="s">
        <v>5001</v>
      </c>
      <c r="H2794" t="s">
        <v>28</v>
      </c>
      <c r="I2794" t="s">
        <v>947</v>
      </c>
      <c r="J2794" t="s">
        <v>63</v>
      </c>
      <c r="K2794" t="s">
        <v>64</v>
      </c>
      <c r="M2794">
        <v>100</v>
      </c>
      <c r="N2794" t="s">
        <v>49</v>
      </c>
      <c r="O2794" t="s">
        <v>4711</v>
      </c>
      <c r="P2794" t="s">
        <v>287</v>
      </c>
      <c r="T2794">
        <v>4</v>
      </c>
      <c r="U2794" t="s">
        <v>56</v>
      </c>
      <c r="V2794" t="s">
        <v>56</v>
      </c>
    </row>
    <row r="2795" spans="1:22" x14ac:dyDescent="0.3">
      <c r="A2795" s="49">
        <v>45273</v>
      </c>
      <c r="E2795" t="s">
        <v>3132</v>
      </c>
      <c r="G2795" t="s">
        <v>5001</v>
      </c>
      <c r="H2795" t="s">
        <v>28</v>
      </c>
      <c r="I2795" t="s">
        <v>947</v>
      </c>
      <c r="J2795" t="s">
        <v>63</v>
      </c>
      <c r="K2795" t="s">
        <v>64</v>
      </c>
      <c r="M2795">
        <v>100</v>
      </c>
      <c r="N2795" t="s">
        <v>49</v>
      </c>
      <c r="O2795" t="s">
        <v>4711</v>
      </c>
      <c r="P2795" t="s">
        <v>287</v>
      </c>
      <c r="T2795">
        <v>4</v>
      </c>
      <c r="U2795" t="s">
        <v>56</v>
      </c>
      <c r="V2795" t="s">
        <v>56</v>
      </c>
    </row>
    <row r="2796" spans="1:22" x14ac:dyDescent="0.3">
      <c r="A2796" s="49">
        <v>45273</v>
      </c>
      <c r="E2796" t="s">
        <v>3132</v>
      </c>
      <c r="G2796" t="s">
        <v>5001</v>
      </c>
      <c r="H2796" t="s">
        <v>28</v>
      </c>
      <c r="I2796" t="s">
        <v>947</v>
      </c>
      <c r="J2796" t="s">
        <v>63</v>
      </c>
      <c r="K2796" t="s">
        <v>64</v>
      </c>
      <c r="M2796">
        <v>100</v>
      </c>
      <c r="N2796" t="s">
        <v>49</v>
      </c>
      <c r="O2796" t="s">
        <v>4711</v>
      </c>
      <c r="P2796" t="s">
        <v>287</v>
      </c>
      <c r="T2796">
        <v>4</v>
      </c>
      <c r="U2796" t="s">
        <v>56</v>
      </c>
      <c r="V2796" t="s">
        <v>56</v>
      </c>
    </row>
    <row r="2797" spans="1:22" x14ac:dyDescent="0.3">
      <c r="A2797" s="49">
        <v>45273</v>
      </c>
      <c r="E2797" t="s">
        <v>3132</v>
      </c>
      <c r="G2797" t="s">
        <v>1798</v>
      </c>
      <c r="H2797" t="s">
        <v>89</v>
      </c>
      <c r="J2797" t="s">
        <v>63</v>
      </c>
      <c r="K2797" t="s">
        <v>64</v>
      </c>
      <c r="M2797">
        <v>80</v>
      </c>
      <c r="N2797" t="s">
        <v>33</v>
      </c>
      <c r="O2797" t="s">
        <v>4712</v>
      </c>
      <c r="P2797" t="s">
        <v>267</v>
      </c>
      <c r="T2797">
        <v>4</v>
      </c>
      <c r="U2797" t="s">
        <v>56</v>
      </c>
      <c r="V2797" t="s">
        <v>56</v>
      </c>
    </row>
    <row r="2798" spans="1:22" x14ac:dyDescent="0.3">
      <c r="A2798" s="49">
        <v>45273</v>
      </c>
      <c r="E2798" t="s">
        <v>3132</v>
      </c>
      <c r="G2798" t="s">
        <v>5004</v>
      </c>
      <c r="H2798" t="s">
        <v>28</v>
      </c>
      <c r="I2798" t="s">
        <v>1234</v>
      </c>
      <c r="J2798" t="s">
        <v>63</v>
      </c>
      <c r="K2798" t="s">
        <v>64</v>
      </c>
      <c r="M2798">
        <v>100</v>
      </c>
      <c r="N2798" t="s">
        <v>49</v>
      </c>
      <c r="O2798" t="s">
        <v>4713</v>
      </c>
      <c r="P2798" t="s">
        <v>4833</v>
      </c>
      <c r="T2798">
        <v>6</v>
      </c>
      <c r="U2798" t="s">
        <v>40</v>
      </c>
      <c r="V2798" t="s">
        <v>41</v>
      </c>
    </row>
    <row r="2799" spans="1:22" x14ac:dyDescent="0.3">
      <c r="A2799" s="49">
        <v>45273</v>
      </c>
      <c r="E2799" t="s">
        <v>3132</v>
      </c>
      <c r="G2799" t="s">
        <v>5004</v>
      </c>
      <c r="H2799" t="s">
        <v>28</v>
      </c>
      <c r="I2799" t="s">
        <v>1234</v>
      </c>
      <c r="J2799" t="s">
        <v>63</v>
      </c>
      <c r="K2799" t="s">
        <v>64</v>
      </c>
      <c r="M2799">
        <v>100</v>
      </c>
      <c r="N2799" t="s">
        <v>49</v>
      </c>
      <c r="O2799" t="s">
        <v>4713</v>
      </c>
      <c r="P2799" t="s">
        <v>4833</v>
      </c>
      <c r="T2799">
        <v>6</v>
      </c>
      <c r="U2799" t="s">
        <v>40</v>
      </c>
      <c r="V2799" t="s">
        <v>41</v>
      </c>
    </row>
    <row r="2800" spans="1:22" x14ac:dyDescent="0.3">
      <c r="A2800" s="49">
        <v>45273</v>
      </c>
      <c r="E2800" t="s">
        <v>3132</v>
      </c>
      <c r="G2800" t="s">
        <v>5004</v>
      </c>
      <c r="H2800" t="s">
        <v>28</v>
      </c>
      <c r="I2800" t="s">
        <v>1234</v>
      </c>
      <c r="J2800" t="s">
        <v>63</v>
      </c>
      <c r="K2800" t="s">
        <v>64</v>
      </c>
      <c r="M2800">
        <v>100</v>
      </c>
      <c r="N2800" t="s">
        <v>49</v>
      </c>
      <c r="O2800" t="s">
        <v>4713</v>
      </c>
      <c r="P2800" t="s">
        <v>4833</v>
      </c>
      <c r="T2800">
        <v>6</v>
      </c>
      <c r="U2800" t="s">
        <v>40</v>
      </c>
      <c r="V2800" t="s">
        <v>41</v>
      </c>
    </row>
    <row r="2801" spans="1:22" x14ac:dyDescent="0.3">
      <c r="A2801" s="49">
        <v>45273</v>
      </c>
      <c r="E2801" t="s">
        <v>3237</v>
      </c>
      <c r="G2801" t="s">
        <v>5379</v>
      </c>
      <c r="H2801" t="s">
        <v>28</v>
      </c>
      <c r="I2801" t="s">
        <v>6029</v>
      </c>
      <c r="J2801" t="s">
        <v>30</v>
      </c>
      <c r="K2801" t="s">
        <v>264</v>
      </c>
      <c r="M2801">
        <v>100</v>
      </c>
      <c r="N2801" t="s">
        <v>49</v>
      </c>
      <c r="O2801" t="s">
        <v>4714</v>
      </c>
      <c r="P2801" t="s">
        <v>1701</v>
      </c>
      <c r="T2801">
        <v>4</v>
      </c>
      <c r="U2801" t="s">
        <v>56</v>
      </c>
      <c r="V2801" t="s">
        <v>56</v>
      </c>
    </row>
    <row r="2802" spans="1:22" x14ac:dyDescent="0.3">
      <c r="A2802" s="49">
        <v>45273</v>
      </c>
      <c r="E2802" t="s">
        <v>3237</v>
      </c>
      <c r="G2802" t="s">
        <v>5367</v>
      </c>
      <c r="H2802" t="s">
        <v>28</v>
      </c>
      <c r="I2802" t="s">
        <v>6030</v>
      </c>
      <c r="J2802" t="s">
        <v>46</v>
      </c>
      <c r="K2802" t="s">
        <v>481</v>
      </c>
      <c r="M2802">
        <v>60</v>
      </c>
      <c r="N2802" t="s">
        <v>33</v>
      </c>
      <c r="O2802" t="s">
        <v>4715</v>
      </c>
      <c r="P2802" t="s">
        <v>4877</v>
      </c>
      <c r="T2802">
        <v>4</v>
      </c>
      <c r="U2802" t="s">
        <v>56</v>
      </c>
      <c r="V2802" t="s">
        <v>56</v>
      </c>
    </row>
    <row r="2803" spans="1:22" x14ac:dyDescent="0.3">
      <c r="A2803" s="49">
        <v>45273</v>
      </c>
      <c r="E2803" t="s">
        <v>3237</v>
      </c>
      <c r="G2803" t="s">
        <v>5367</v>
      </c>
      <c r="H2803" t="s">
        <v>89</v>
      </c>
      <c r="J2803" t="s">
        <v>46</v>
      </c>
      <c r="K2803" t="s">
        <v>481</v>
      </c>
      <c r="M2803">
        <v>35</v>
      </c>
      <c r="N2803" t="s">
        <v>33</v>
      </c>
      <c r="O2803" t="s">
        <v>4716</v>
      </c>
      <c r="P2803" t="s">
        <v>66</v>
      </c>
      <c r="T2803">
        <v>4</v>
      </c>
      <c r="U2803" t="s">
        <v>56</v>
      </c>
      <c r="V2803" t="s">
        <v>56</v>
      </c>
    </row>
    <row r="2804" spans="1:22" x14ac:dyDescent="0.3">
      <c r="A2804" s="49">
        <v>45273</v>
      </c>
      <c r="E2804" t="s">
        <v>3237</v>
      </c>
      <c r="G2804" t="s">
        <v>5380</v>
      </c>
      <c r="H2804" t="s">
        <v>89</v>
      </c>
      <c r="J2804" t="s">
        <v>46</v>
      </c>
      <c r="K2804" t="s">
        <v>481</v>
      </c>
      <c r="M2804">
        <v>100</v>
      </c>
      <c r="N2804" t="s">
        <v>49</v>
      </c>
      <c r="O2804" t="s">
        <v>4717</v>
      </c>
      <c r="P2804" t="s">
        <v>66</v>
      </c>
      <c r="T2804">
        <v>4</v>
      </c>
      <c r="U2804" t="s">
        <v>56</v>
      </c>
      <c r="V2804" t="s">
        <v>56</v>
      </c>
    </row>
    <row r="2805" spans="1:22" x14ac:dyDescent="0.3">
      <c r="A2805" s="49">
        <v>45273</v>
      </c>
      <c r="E2805" t="s">
        <v>3165</v>
      </c>
      <c r="G2805" t="s">
        <v>5049</v>
      </c>
      <c r="H2805" t="s">
        <v>28</v>
      </c>
      <c r="I2805" t="s">
        <v>6031</v>
      </c>
      <c r="J2805" t="s">
        <v>46</v>
      </c>
      <c r="K2805" t="s">
        <v>4928</v>
      </c>
      <c r="M2805">
        <v>15</v>
      </c>
      <c r="N2805" t="s">
        <v>49</v>
      </c>
      <c r="O2805" t="s">
        <v>4718</v>
      </c>
      <c r="P2805" t="s">
        <v>66</v>
      </c>
      <c r="T2805">
        <v>4</v>
      </c>
      <c r="U2805" t="s">
        <v>56</v>
      </c>
      <c r="V2805" t="s">
        <v>56</v>
      </c>
    </row>
    <row r="2806" spans="1:22" x14ac:dyDescent="0.3">
      <c r="A2806" s="49">
        <v>45273</v>
      </c>
      <c r="E2806" t="s">
        <v>3165</v>
      </c>
      <c r="G2806" t="s">
        <v>5049</v>
      </c>
      <c r="H2806" t="s">
        <v>28</v>
      </c>
      <c r="I2806" t="s">
        <v>6031</v>
      </c>
      <c r="J2806" t="s">
        <v>46</v>
      </c>
      <c r="K2806" t="s">
        <v>481</v>
      </c>
      <c r="M2806">
        <v>100</v>
      </c>
      <c r="N2806" t="s">
        <v>49</v>
      </c>
      <c r="O2806" t="s">
        <v>4718</v>
      </c>
      <c r="P2806" t="s">
        <v>66</v>
      </c>
      <c r="T2806">
        <v>4</v>
      </c>
      <c r="U2806" t="s">
        <v>56</v>
      </c>
      <c r="V2806" t="s">
        <v>56</v>
      </c>
    </row>
    <row r="2807" spans="1:22" x14ac:dyDescent="0.3">
      <c r="A2807" s="49">
        <v>45272</v>
      </c>
      <c r="E2807" t="s">
        <v>3104</v>
      </c>
      <c r="G2807" t="s">
        <v>5114</v>
      </c>
      <c r="H2807" t="s">
        <v>28</v>
      </c>
      <c r="I2807" t="s">
        <v>5567</v>
      </c>
      <c r="J2807" t="s">
        <v>63</v>
      </c>
      <c r="K2807" t="s">
        <v>64</v>
      </c>
      <c r="M2807">
        <v>80</v>
      </c>
      <c r="N2807" t="s">
        <v>49</v>
      </c>
      <c r="O2807" t="s">
        <v>4719</v>
      </c>
      <c r="P2807" t="s">
        <v>1230</v>
      </c>
      <c r="T2807">
        <v>4</v>
      </c>
      <c r="U2807" t="s">
        <v>56</v>
      </c>
      <c r="V2807" t="s">
        <v>56</v>
      </c>
    </row>
    <row r="2808" spans="1:22" x14ac:dyDescent="0.3">
      <c r="A2808" s="49">
        <v>45272</v>
      </c>
      <c r="E2808" t="s">
        <v>3104</v>
      </c>
      <c r="G2808" t="s">
        <v>5114</v>
      </c>
      <c r="H2808" t="s">
        <v>3245</v>
      </c>
      <c r="I2808" t="s">
        <v>5567</v>
      </c>
      <c r="J2808" t="s">
        <v>63</v>
      </c>
      <c r="K2808" t="s">
        <v>64</v>
      </c>
      <c r="M2808">
        <v>90</v>
      </c>
      <c r="N2808" t="s">
        <v>33</v>
      </c>
      <c r="O2808" t="s">
        <v>4452</v>
      </c>
      <c r="P2808" t="s">
        <v>1508</v>
      </c>
      <c r="T2808">
        <v>4</v>
      </c>
      <c r="U2808" t="s">
        <v>56</v>
      </c>
      <c r="V2808" t="s">
        <v>56</v>
      </c>
    </row>
    <row r="2809" spans="1:22" x14ac:dyDescent="0.3">
      <c r="A2809" s="49">
        <v>45272</v>
      </c>
      <c r="E2809" t="s">
        <v>3105</v>
      </c>
      <c r="G2809" t="s">
        <v>5118</v>
      </c>
      <c r="H2809" t="s">
        <v>28</v>
      </c>
      <c r="I2809" t="s">
        <v>5757</v>
      </c>
      <c r="J2809" t="s">
        <v>63</v>
      </c>
      <c r="K2809" t="s">
        <v>64</v>
      </c>
      <c r="M2809">
        <v>100</v>
      </c>
      <c r="N2809" t="s">
        <v>33</v>
      </c>
      <c r="O2809" t="s">
        <v>3931</v>
      </c>
      <c r="P2809" t="s">
        <v>287</v>
      </c>
      <c r="T2809">
        <v>4</v>
      </c>
      <c r="U2809" t="s">
        <v>56</v>
      </c>
      <c r="V2809" t="s">
        <v>56</v>
      </c>
    </row>
    <row r="2810" spans="1:22" x14ac:dyDescent="0.3">
      <c r="A2810" s="49">
        <v>45272</v>
      </c>
      <c r="E2810" t="s">
        <v>3105</v>
      </c>
      <c r="G2810" t="s">
        <v>5052</v>
      </c>
      <c r="H2810" t="s">
        <v>89</v>
      </c>
      <c r="J2810" t="s">
        <v>63</v>
      </c>
      <c r="K2810" t="s">
        <v>64</v>
      </c>
      <c r="M2810">
        <v>36</v>
      </c>
      <c r="N2810" t="s">
        <v>49</v>
      </c>
      <c r="O2810" t="s">
        <v>4720</v>
      </c>
      <c r="P2810" t="s">
        <v>416</v>
      </c>
      <c r="T2810">
        <v>4</v>
      </c>
      <c r="U2810" t="s">
        <v>56</v>
      </c>
      <c r="V2810" t="s">
        <v>56</v>
      </c>
    </row>
    <row r="2811" spans="1:22" x14ac:dyDescent="0.3">
      <c r="A2811" s="49">
        <v>45272</v>
      </c>
      <c r="E2811" t="s">
        <v>3105</v>
      </c>
      <c r="G2811" t="s">
        <v>5052</v>
      </c>
      <c r="H2811" t="s">
        <v>28</v>
      </c>
      <c r="I2811" t="s">
        <v>5942</v>
      </c>
      <c r="J2811" t="s">
        <v>63</v>
      </c>
      <c r="K2811" t="s">
        <v>64</v>
      </c>
      <c r="M2811">
        <v>100</v>
      </c>
      <c r="N2811" t="s">
        <v>49</v>
      </c>
      <c r="O2811" t="s">
        <v>4721</v>
      </c>
      <c r="P2811" t="s">
        <v>287</v>
      </c>
      <c r="T2811">
        <v>4</v>
      </c>
      <c r="U2811" t="s">
        <v>56</v>
      </c>
      <c r="V2811" t="s">
        <v>56</v>
      </c>
    </row>
    <row r="2812" spans="1:22" x14ac:dyDescent="0.3">
      <c r="A2812" s="49">
        <v>45272</v>
      </c>
      <c r="E2812" t="s">
        <v>3105</v>
      </c>
      <c r="G2812" t="s">
        <v>5052</v>
      </c>
      <c r="H2812" t="s">
        <v>28</v>
      </c>
      <c r="I2812" t="s">
        <v>5942</v>
      </c>
      <c r="J2812" t="s">
        <v>63</v>
      </c>
      <c r="K2812" t="s">
        <v>64</v>
      </c>
      <c r="M2812">
        <v>100</v>
      </c>
      <c r="N2812" t="s">
        <v>49</v>
      </c>
      <c r="O2812" t="s">
        <v>4721</v>
      </c>
      <c r="P2812" t="s">
        <v>287</v>
      </c>
      <c r="T2812">
        <v>4</v>
      </c>
      <c r="U2812" t="s">
        <v>56</v>
      </c>
      <c r="V2812" t="s">
        <v>56</v>
      </c>
    </row>
    <row r="2813" spans="1:22" x14ac:dyDescent="0.3">
      <c r="A2813" s="49">
        <v>45272</v>
      </c>
      <c r="E2813" t="s">
        <v>3105</v>
      </c>
      <c r="G2813" t="s">
        <v>5052</v>
      </c>
      <c r="H2813" t="s">
        <v>28</v>
      </c>
      <c r="I2813" t="s">
        <v>5942</v>
      </c>
      <c r="J2813" t="s">
        <v>63</v>
      </c>
      <c r="K2813" t="s">
        <v>64</v>
      </c>
      <c r="M2813">
        <v>100</v>
      </c>
      <c r="N2813" t="s">
        <v>49</v>
      </c>
      <c r="O2813" t="s">
        <v>4721</v>
      </c>
      <c r="P2813" t="s">
        <v>287</v>
      </c>
      <c r="T2813">
        <v>4</v>
      </c>
      <c r="U2813" t="s">
        <v>56</v>
      </c>
      <c r="V2813" t="s">
        <v>56</v>
      </c>
    </row>
    <row r="2814" spans="1:22" x14ac:dyDescent="0.3">
      <c r="A2814" s="49">
        <v>45272</v>
      </c>
      <c r="E2814" t="s">
        <v>3105</v>
      </c>
      <c r="G2814" t="s">
        <v>5052</v>
      </c>
      <c r="H2814" t="s">
        <v>28</v>
      </c>
      <c r="I2814" t="s">
        <v>5942</v>
      </c>
      <c r="J2814" t="s">
        <v>63</v>
      </c>
      <c r="K2814" t="s">
        <v>64</v>
      </c>
      <c r="M2814">
        <v>100</v>
      </c>
      <c r="N2814" t="s">
        <v>49</v>
      </c>
      <c r="O2814" t="s">
        <v>4721</v>
      </c>
      <c r="P2814" t="s">
        <v>287</v>
      </c>
      <c r="T2814">
        <v>4</v>
      </c>
      <c r="U2814" t="s">
        <v>56</v>
      </c>
      <c r="V2814" t="s">
        <v>56</v>
      </c>
    </row>
    <row r="2815" spans="1:22" x14ac:dyDescent="0.3">
      <c r="A2815" s="49">
        <v>45272</v>
      </c>
      <c r="E2815" t="s">
        <v>3105</v>
      </c>
      <c r="G2815" t="s">
        <v>5052</v>
      </c>
      <c r="H2815" t="s">
        <v>28</v>
      </c>
      <c r="I2815" t="s">
        <v>5942</v>
      </c>
      <c r="J2815" t="s">
        <v>63</v>
      </c>
      <c r="K2815" t="s">
        <v>64</v>
      </c>
      <c r="M2815">
        <v>100</v>
      </c>
      <c r="N2815" t="s">
        <v>49</v>
      </c>
      <c r="O2815" t="s">
        <v>4721</v>
      </c>
      <c r="P2815" t="s">
        <v>287</v>
      </c>
      <c r="T2815">
        <v>4</v>
      </c>
      <c r="U2815" t="s">
        <v>56</v>
      </c>
      <c r="V2815" t="s">
        <v>56</v>
      </c>
    </row>
    <row r="2816" spans="1:22" x14ac:dyDescent="0.3">
      <c r="A2816" s="49">
        <v>45272</v>
      </c>
      <c r="E2816" t="s">
        <v>3105</v>
      </c>
      <c r="G2816" t="s">
        <v>5052</v>
      </c>
      <c r="H2816" t="s">
        <v>28</v>
      </c>
      <c r="I2816" t="s">
        <v>5942</v>
      </c>
      <c r="J2816" t="s">
        <v>63</v>
      </c>
      <c r="K2816" t="s">
        <v>64</v>
      </c>
      <c r="M2816">
        <v>100</v>
      </c>
      <c r="N2816" t="s">
        <v>49</v>
      </c>
      <c r="O2816" t="s">
        <v>4721</v>
      </c>
      <c r="P2816" t="s">
        <v>287</v>
      </c>
      <c r="T2816">
        <v>4</v>
      </c>
      <c r="U2816" t="s">
        <v>56</v>
      </c>
      <c r="V2816" t="s">
        <v>56</v>
      </c>
    </row>
    <row r="2817" spans="1:22" x14ac:dyDescent="0.3">
      <c r="A2817" s="49">
        <v>45272</v>
      </c>
      <c r="E2817" t="s">
        <v>3105</v>
      </c>
      <c r="G2817" t="s">
        <v>5052</v>
      </c>
      <c r="H2817" t="s">
        <v>28</v>
      </c>
      <c r="I2817" t="s">
        <v>5942</v>
      </c>
      <c r="J2817" t="s">
        <v>63</v>
      </c>
      <c r="K2817" t="s">
        <v>64</v>
      </c>
      <c r="M2817">
        <v>43</v>
      </c>
      <c r="N2817" t="s">
        <v>33</v>
      </c>
      <c r="O2817" t="s">
        <v>4722</v>
      </c>
      <c r="P2817" t="s">
        <v>358</v>
      </c>
      <c r="T2817">
        <v>4</v>
      </c>
      <c r="U2817" t="s">
        <v>56</v>
      </c>
      <c r="V2817" t="s">
        <v>56</v>
      </c>
    </row>
    <row r="2818" spans="1:22" x14ac:dyDescent="0.3">
      <c r="A2818" s="49">
        <v>45272</v>
      </c>
      <c r="E2818" t="s">
        <v>3105</v>
      </c>
      <c r="G2818" t="s">
        <v>5052</v>
      </c>
      <c r="H2818" t="s">
        <v>89</v>
      </c>
      <c r="J2818" t="s">
        <v>63</v>
      </c>
      <c r="K2818" t="s">
        <v>4940</v>
      </c>
      <c r="M2818">
        <v>71</v>
      </c>
      <c r="N2818" t="s">
        <v>33</v>
      </c>
      <c r="O2818" t="s">
        <v>4723</v>
      </c>
      <c r="P2818" t="s">
        <v>416</v>
      </c>
      <c r="T2818">
        <v>4</v>
      </c>
      <c r="U2818" t="s">
        <v>56</v>
      </c>
      <c r="V2818" t="s">
        <v>56</v>
      </c>
    </row>
    <row r="2819" spans="1:22" x14ac:dyDescent="0.3">
      <c r="A2819" s="49">
        <v>45272</v>
      </c>
      <c r="E2819" t="s">
        <v>3105</v>
      </c>
      <c r="G2819" t="s">
        <v>5052</v>
      </c>
      <c r="H2819" t="s">
        <v>28</v>
      </c>
      <c r="I2819" t="s">
        <v>5942</v>
      </c>
      <c r="J2819" t="s">
        <v>63</v>
      </c>
      <c r="K2819" t="s">
        <v>64</v>
      </c>
      <c r="M2819">
        <v>0</v>
      </c>
      <c r="N2819" t="s">
        <v>74</v>
      </c>
      <c r="O2819" t="s">
        <v>4722</v>
      </c>
      <c r="P2819" t="s">
        <v>358</v>
      </c>
      <c r="T2819">
        <v>4</v>
      </c>
      <c r="U2819" t="s">
        <v>56</v>
      </c>
      <c r="V2819" t="s">
        <v>56</v>
      </c>
    </row>
    <row r="2820" spans="1:22" x14ac:dyDescent="0.3">
      <c r="A2820" s="49">
        <v>45272</v>
      </c>
      <c r="E2820" t="s">
        <v>2799</v>
      </c>
      <c r="G2820" t="s">
        <v>5340</v>
      </c>
      <c r="H2820" t="s">
        <v>89</v>
      </c>
      <c r="J2820" t="s">
        <v>63</v>
      </c>
      <c r="K2820" t="s">
        <v>197</v>
      </c>
      <c r="M2820">
        <v>40</v>
      </c>
      <c r="N2820" t="s">
        <v>49</v>
      </c>
      <c r="O2820" t="s">
        <v>4724</v>
      </c>
      <c r="P2820" t="s">
        <v>4891</v>
      </c>
      <c r="T2820">
        <v>6</v>
      </c>
      <c r="U2820" t="s">
        <v>40</v>
      </c>
      <c r="V2820" t="s">
        <v>41</v>
      </c>
    </row>
    <row r="2821" spans="1:22" x14ac:dyDescent="0.3">
      <c r="A2821" s="49">
        <v>45272</v>
      </c>
      <c r="E2821" t="s">
        <v>2799</v>
      </c>
      <c r="G2821" t="s">
        <v>1254</v>
      </c>
      <c r="H2821" t="s">
        <v>89</v>
      </c>
      <c r="J2821" t="s">
        <v>63</v>
      </c>
      <c r="K2821" t="s">
        <v>64</v>
      </c>
      <c r="M2821">
        <v>93</v>
      </c>
      <c r="N2821" t="s">
        <v>49</v>
      </c>
      <c r="O2821" t="s">
        <v>4725</v>
      </c>
      <c r="P2821" t="s">
        <v>35</v>
      </c>
      <c r="T2821">
        <v>4</v>
      </c>
      <c r="U2821" t="s">
        <v>56</v>
      </c>
      <c r="V2821" t="s">
        <v>56</v>
      </c>
    </row>
    <row r="2822" spans="1:22" x14ac:dyDescent="0.3">
      <c r="A2822" s="49">
        <v>45272</v>
      </c>
      <c r="E2822" t="s">
        <v>3183</v>
      </c>
      <c r="G2822" t="s">
        <v>663</v>
      </c>
      <c r="H2822" t="s">
        <v>89</v>
      </c>
      <c r="J2822" t="s">
        <v>1712</v>
      </c>
      <c r="K2822" t="s">
        <v>481</v>
      </c>
      <c r="M2822">
        <v>67</v>
      </c>
      <c r="N2822" t="s">
        <v>49</v>
      </c>
      <c r="O2822" t="s">
        <v>4726</v>
      </c>
      <c r="P2822" t="s">
        <v>483</v>
      </c>
      <c r="T2822">
        <v>4</v>
      </c>
      <c r="U2822" t="s">
        <v>56</v>
      </c>
      <c r="V2822" t="s">
        <v>56</v>
      </c>
    </row>
    <row r="2823" spans="1:22" x14ac:dyDescent="0.3">
      <c r="A2823" s="49">
        <v>45272</v>
      </c>
      <c r="E2823" t="s">
        <v>3169</v>
      </c>
      <c r="G2823" t="s">
        <v>488</v>
      </c>
      <c r="H2823" t="s">
        <v>28</v>
      </c>
      <c r="I2823" t="s">
        <v>1944</v>
      </c>
      <c r="J2823" t="s">
        <v>63</v>
      </c>
      <c r="K2823" t="s">
        <v>64</v>
      </c>
      <c r="M2823">
        <v>70</v>
      </c>
      <c r="N2823" t="s">
        <v>49</v>
      </c>
      <c r="O2823" t="s">
        <v>4727</v>
      </c>
      <c r="P2823" t="s">
        <v>35</v>
      </c>
      <c r="T2823">
        <v>4</v>
      </c>
      <c r="U2823" t="s">
        <v>56</v>
      </c>
      <c r="V2823" t="s">
        <v>56</v>
      </c>
    </row>
    <row r="2824" spans="1:22" x14ac:dyDescent="0.3">
      <c r="A2824" s="49">
        <v>45272</v>
      </c>
      <c r="E2824" t="s">
        <v>3169</v>
      </c>
      <c r="G2824" t="s">
        <v>488</v>
      </c>
      <c r="H2824" t="s">
        <v>28</v>
      </c>
      <c r="I2824" t="s">
        <v>1944</v>
      </c>
      <c r="J2824" t="s">
        <v>63</v>
      </c>
      <c r="K2824" t="s">
        <v>64</v>
      </c>
      <c r="M2824">
        <v>55</v>
      </c>
      <c r="N2824" t="s">
        <v>33</v>
      </c>
      <c r="O2824" t="s">
        <v>4728</v>
      </c>
      <c r="P2824" t="s">
        <v>4866</v>
      </c>
      <c r="T2824">
        <v>4</v>
      </c>
      <c r="U2824" t="s">
        <v>56</v>
      </c>
      <c r="V2824" t="s">
        <v>56</v>
      </c>
    </row>
    <row r="2825" spans="1:22" x14ac:dyDescent="0.3">
      <c r="A2825" s="49">
        <v>45272</v>
      </c>
      <c r="E2825" t="s">
        <v>3169</v>
      </c>
      <c r="G2825" t="s">
        <v>488</v>
      </c>
      <c r="H2825" t="s">
        <v>28</v>
      </c>
      <c r="I2825" t="s">
        <v>6032</v>
      </c>
      <c r="J2825" t="s">
        <v>63</v>
      </c>
      <c r="K2825" t="s">
        <v>64</v>
      </c>
      <c r="M2825">
        <v>100</v>
      </c>
      <c r="N2825" t="s">
        <v>33</v>
      </c>
      <c r="O2825" t="s">
        <v>4729</v>
      </c>
      <c r="P2825" t="s">
        <v>737</v>
      </c>
      <c r="T2825">
        <v>4</v>
      </c>
      <c r="U2825" t="s">
        <v>56</v>
      </c>
      <c r="V2825" t="s">
        <v>56</v>
      </c>
    </row>
    <row r="2826" spans="1:22" x14ac:dyDescent="0.3">
      <c r="A2826" s="49">
        <v>45272</v>
      </c>
      <c r="E2826" t="s">
        <v>3169</v>
      </c>
      <c r="G2826" t="s">
        <v>488</v>
      </c>
      <c r="H2826" t="s">
        <v>28</v>
      </c>
      <c r="I2826" t="s">
        <v>5484</v>
      </c>
      <c r="J2826" t="s">
        <v>63</v>
      </c>
      <c r="K2826" t="s">
        <v>64</v>
      </c>
      <c r="M2826">
        <v>65</v>
      </c>
      <c r="N2826" t="s">
        <v>49</v>
      </c>
      <c r="O2826" t="s">
        <v>3978</v>
      </c>
      <c r="P2826" t="s">
        <v>878</v>
      </c>
      <c r="T2826">
        <v>4</v>
      </c>
      <c r="U2826" t="s">
        <v>56</v>
      </c>
      <c r="V2826" t="s">
        <v>56</v>
      </c>
    </row>
    <row r="2827" spans="1:22" x14ac:dyDescent="0.3">
      <c r="A2827" s="49">
        <v>45272</v>
      </c>
      <c r="E2827" t="s">
        <v>3169</v>
      </c>
      <c r="G2827" t="s">
        <v>5087</v>
      </c>
      <c r="H2827" t="s">
        <v>89</v>
      </c>
      <c r="J2827" t="s">
        <v>63</v>
      </c>
      <c r="K2827" t="s">
        <v>211</v>
      </c>
      <c r="M2827">
        <v>44</v>
      </c>
      <c r="N2827" t="s">
        <v>49</v>
      </c>
      <c r="O2827" t="s">
        <v>4730</v>
      </c>
      <c r="P2827" t="s">
        <v>4828</v>
      </c>
      <c r="T2827">
        <v>4</v>
      </c>
      <c r="U2827" t="s">
        <v>56</v>
      </c>
      <c r="V2827" t="s">
        <v>56</v>
      </c>
    </row>
    <row r="2828" spans="1:22" x14ac:dyDescent="0.3">
      <c r="A2828" s="49">
        <v>45272</v>
      </c>
      <c r="E2828" t="s">
        <v>3169</v>
      </c>
      <c r="G2828" t="s">
        <v>495</v>
      </c>
      <c r="H2828" t="s">
        <v>28</v>
      </c>
      <c r="I2828" t="s">
        <v>5588</v>
      </c>
      <c r="J2828" t="s">
        <v>46</v>
      </c>
      <c r="K2828" t="s">
        <v>4927</v>
      </c>
      <c r="M2828">
        <v>40</v>
      </c>
      <c r="N2828" t="s">
        <v>49</v>
      </c>
      <c r="O2828" t="s">
        <v>4731</v>
      </c>
      <c r="P2828" t="s">
        <v>1310</v>
      </c>
      <c r="T2828">
        <v>4</v>
      </c>
      <c r="U2828" t="s">
        <v>56</v>
      </c>
      <c r="V2828" t="s">
        <v>56</v>
      </c>
    </row>
    <row r="2829" spans="1:22" x14ac:dyDescent="0.3">
      <c r="A2829" s="49">
        <v>45272</v>
      </c>
      <c r="E2829" t="s">
        <v>3169</v>
      </c>
      <c r="G2829" t="s">
        <v>488</v>
      </c>
      <c r="H2829" t="s">
        <v>28</v>
      </c>
      <c r="I2829" t="s">
        <v>5586</v>
      </c>
      <c r="J2829" t="s">
        <v>63</v>
      </c>
      <c r="K2829" t="s">
        <v>64</v>
      </c>
      <c r="M2829">
        <v>60</v>
      </c>
      <c r="N2829" t="s">
        <v>33</v>
      </c>
      <c r="O2829" t="s">
        <v>4732</v>
      </c>
      <c r="P2829" t="s">
        <v>1786</v>
      </c>
      <c r="T2829">
        <v>4</v>
      </c>
      <c r="U2829" t="s">
        <v>56</v>
      </c>
      <c r="V2829" t="s">
        <v>56</v>
      </c>
    </row>
    <row r="2830" spans="1:22" x14ac:dyDescent="0.3">
      <c r="A2830" s="49">
        <v>45272</v>
      </c>
      <c r="E2830" t="s">
        <v>3136</v>
      </c>
      <c r="G2830" t="s">
        <v>5010</v>
      </c>
      <c r="H2830" t="s">
        <v>28</v>
      </c>
      <c r="I2830" t="s">
        <v>6033</v>
      </c>
      <c r="J2830" t="s">
        <v>1712</v>
      </c>
      <c r="K2830" t="s">
        <v>481</v>
      </c>
      <c r="M2830">
        <v>100</v>
      </c>
      <c r="N2830" t="s">
        <v>49</v>
      </c>
      <c r="O2830" t="s">
        <v>4733</v>
      </c>
      <c r="P2830" t="s">
        <v>4909</v>
      </c>
      <c r="T2830">
        <v>4</v>
      </c>
      <c r="U2830" t="s">
        <v>56</v>
      </c>
      <c r="V2830" t="s">
        <v>56</v>
      </c>
    </row>
    <row r="2831" spans="1:22" x14ac:dyDescent="0.3">
      <c r="A2831" s="49">
        <v>45272</v>
      </c>
      <c r="E2831" t="s">
        <v>3136</v>
      </c>
      <c r="G2831" t="s">
        <v>5010</v>
      </c>
      <c r="H2831" t="s">
        <v>28</v>
      </c>
      <c r="I2831" t="s">
        <v>5590</v>
      </c>
      <c r="J2831" t="s">
        <v>63</v>
      </c>
      <c r="K2831" t="s">
        <v>64</v>
      </c>
      <c r="M2831">
        <v>100</v>
      </c>
      <c r="N2831" t="s">
        <v>49</v>
      </c>
      <c r="O2831" t="s">
        <v>4734</v>
      </c>
      <c r="P2831" t="s">
        <v>4834</v>
      </c>
      <c r="T2831">
        <v>4</v>
      </c>
      <c r="U2831" t="s">
        <v>56</v>
      </c>
      <c r="V2831" t="s">
        <v>56</v>
      </c>
    </row>
    <row r="2832" spans="1:22" x14ac:dyDescent="0.3">
      <c r="A2832" s="49">
        <v>45272</v>
      </c>
      <c r="E2832" t="s">
        <v>3107</v>
      </c>
      <c r="G2832" t="s">
        <v>4971</v>
      </c>
      <c r="H2832" t="s">
        <v>89</v>
      </c>
      <c r="J2832" t="s">
        <v>63</v>
      </c>
      <c r="K2832" t="s">
        <v>64</v>
      </c>
      <c r="M2832">
        <v>100</v>
      </c>
      <c r="N2832" t="s">
        <v>49</v>
      </c>
      <c r="O2832" t="s">
        <v>4735</v>
      </c>
      <c r="P2832" t="s">
        <v>1697</v>
      </c>
      <c r="T2832">
        <v>6</v>
      </c>
      <c r="U2832" t="s">
        <v>40</v>
      </c>
      <c r="V2832" t="s">
        <v>41</v>
      </c>
    </row>
    <row r="2833" spans="1:22" x14ac:dyDescent="0.3">
      <c r="A2833" s="49">
        <v>45272</v>
      </c>
      <c r="E2833" t="s">
        <v>3107</v>
      </c>
      <c r="G2833" t="s">
        <v>4971</v>
      </c>
      <c r="H2833" t="s">
        <v>89</v>
      </c>
      <c r="J2833" t="s">
        <v>63</v>
      </c>
      <c r="K2833" t="s">
        <v>64</v>
      </c>
      <c r="M2833">
        <v>50</v>
      </c>
      <c r="N2833" t="s">
        <v>49</v>
      </c>
      <c r="O2833" t="s">
        <v>4735</v>
      </c>
      <c r="P2833" t="s">
        <v>1697</v>
      </c>
      <c r="T2833">
        <v>6</v>
      </c>
      <c r="U2833" t="s">
        <v>40</v>
      </c>
      <c r="V2833" t="s">
        <v>41</v>
      </c>
    </row>
    <row r="2834" spans="1:22" x14ac:dyDescent="0.3">
      <c r="A2834" s="49">
        <v>45272</v>
      </c>
      <c r="E2834" t="s">
        <v>3107</v>
      </c>
      <c r="G2834" t="s">
        <v>4971</v>
      </c>
      <c r="H2834" t="s">
        <v>89</v>
      </c>
      <c r="J2834" t="s">
        <v>63</v>
      </c>
      <c r="K2834" t="s">
        <v>64</v>
      </c>
      <c r="M2834">
        <v>70</v>
      </c>
      <c r="N2834" t="s">
        <v>33</v>
      </c>
      <c r="O2834" t="s">
        <v>4736</v>
      </c>
      <c r="P2834" t="s">
        <v>1054</v>
      </c>
      <c r="T2834">
        <v>6</v>
      </c>
      <c r="U2834" t="s">
        <v>40</v>
      </c>
      <c r="V2834" t="s">
        <v>41</v>
      </c>
    </row>
    <row r="2835" spans="1:22" x14ac:dyDescent="0.3">
      <c r="A2835" s="49">
        <v>45272</v>
      </c>
      <c r="E2835" t="s">
        <v>3108</v>
      </c>
      <c r="G2835" t="s">
        <v>984</v>
      </c>
      <c r="H2835" t="s">
        <v>3245</v>
      </c>
      <c r="I2835" t="s">
        <v>5775</v>
      </c>
      <c r="J2835" t="s">
        <v>46</v>
      </c>
      <c r="K2835" t="s">
        <v>422</v>
      </c>
      <c r="M2835">
        <v>15</v>
      </c>
      <c r="N2835" t="s">
        <v>74</v>
      </c>
      <c r="O2835" t="s">
        <v>4737</v>
      </c>
      <c r="P2835" t="s">
        <v>4876</v>
      </c>
      <c r="T2835">
        <v>6</v>
      </c>
      <c r="U2835" t="s">
        <v>40</v>
      </c>
      <c r="V2835" t="s">
        <v>41</v>
      </c>
    </row>
    <row r="2836" spans="1:22" x14ac:dyDescent="0.3">
      <c r="A2836" s="49">
        <v>45272</v>
      </c>
      <c r="E2836" t="s">
        <v>3108</v>
      </c>
      <c r="G2836" t="s">
        <v>4969</v>
      </c>
      <c r="H2836" t="s">
        <v>3245</v>
      </c>
      <c r="I2836" t="s">
        <v>6034</v>
      </c>
      <c r="J2836" t="s">
        <v>63</v>
      </c>
      <c r="K2836" t="s">
        <v>64</v>
      </c>
      <c r="M2836">
        <v>80</v>
      </c>
      <c r="N2836" t="s">
        <v>49</v>
      </c>
      <c r="O2836" t="s">
        <v>4738</v>
      </c>
      <c r="P2836" t="s">
        <v>1116</v>
      </c>
      <c r="T2836">
        <v>6</v>
      </c>
      <c r="U2836" t="s">
        <v>40</v>
      </c>
      <c r="V2836" t="s">
        <v>41</v>
      </c>
    </row>
    <row r="2837" spans="1:22" x14ac:dyDescent="0.3">
      <c r="A2837" s="49">
        <v>45272</v>
      </c>
      <c r="E2837" t="s">
        <v>3198</v>
      </c>
      <c r="G2837" t="s">
        <v>5128</v>
      </c>
      <c r="H2837" t="s">
        <v>28</v>
      </c>
      <c r="I2837" t="s">
        <v>5593</v>
      </c>
      <c r="J2837" t="s">
        <v>63</v>
      </c>
      <c r="K2837" t="s">
        <v>4936</v>
      </c>
      <c r="M2837">
        <v>100</v>
      </c>
      <c r="N2837" t="s">
        <v>49</v>
      </c>
      <c r="O2837" t="s">
        <v>3610</v>
      </c>
      <c r="P2837" t="s">
        <v>66</v>
      </c>
      <c r="T2837">
        <v>6</v>
      </c>
      <c r="U2837" t="s">
        <v>40</v>
      </c>
      <c r="V2837" t="s">
        <v>41</v>
      </c>
    </row>
    <row r="2838" spans="1:22" x14ac:dyDescent="0.3">
      <c r="A2838" s="49">
        <v>45272</v>
      </c>
      <c r="E2838" t="s">
        <v>3198</v>
      </c>
      <c r="G2838" t="s">
        <v>5128</v>
      </c>
      <c r="H2838" t="s">
        <v>28</v>
      </c>
      <c r="I2838" t="s">
        <v>5592</v>
      </c>
      <c r="J2838" t="s">
        <v>63</v>
      </c>
      <c r="K2838" t="s">
        <v>64</v>
      </c>
      <c r="M2838">
        <v>100</v>
      </c>
      <c r="N2838" t="s">
        <v>49</v>
      </c>
      <c r="O2838" t="s">
        <v>3608</v>
      </c>
      <c r="P2838" t="s">
        <v>170</v>
      </c>
      <c r="T2838">
        <v>6</v>
      </c>
      <c r="U2838" t="s">
        <v>40</v>
      </c>
      <c r="V2838" t="s">
        <v>41</v>
      </c>
    </row>
    <row r="2839" spans="1:22" x14ac:dyDescent="0.3">
      <c r="A2839" s="49">
        <v>45272</v>
      </c>
      <c r="E2839" t="s">
        <v>3198</v>
      </c>
      <c r="G2839" t="s">
        <v>5128</v>
      </c>
      <c r="H2839" t="s">
        <v>28</v>
      </c>
      <c r="I2839" t="s">
        <v>5592</v>
      </c>
      <c r="J2839" t="s">
        <v>63</v>
      </c>
      <c r="K2839" t="s">
        <v>64</v>
      </c>
      <c r="M2839">
        <v>100</v>
      </c>
      <c r="N2839" t="s">
        <v>49</v>
      </c>
      <c r="O2839" t="s">
        <v>3608</v>
      </c>
      <c r="P2839" t="s">
        <v>170</v>
      </c>
      <c r="T2839">
        <v>6</v>
      </c>
      <c r="U2839" t="s">
        <v>40</v>
      </c>
      <c r="V2839" t="s">
        <v>41</v>
      </c>
    </row>
    <row r="2840" spans="1:22" x14ac:dyDescent="0.3">
      <c r="A2840" s="49">
        <v>45272</v>
      </c>
      <c r="E2840" t="s">
        <v>3198</v>
      </c>
      <c r="G2840" t="s">
        <v>5128</v>
      </c>
      <c r="H2840" t="s">
        <v>28</v>
      </c>
      <c r="I2840" t="s">
        <v>5592</v>
      </c>
      <c r="J2840" t="s">
        <v>63</v>
      </c>
      <c r="K2840" t="s">
        <v>64</v>
      </c>
      <c r="M2840">
        <v>100</v>
      </c>
      <c r="N2840" t="s">
        <v>49</v>
      </c>
      <c r="O2840" t="s">
        <v>3608</v>
      </c>
      <c r="P2840" t="s">
        <v>170</v>
      </c>
      <c r="T2840">
        <v>6</v>
      </c>
      <c r="U2840" t="s">
        <v>40</v>
      </c>
      <c r="V2840" t="s">
        <v>41</v>
      </c>
    </row>
    <row r="2841" spans="1:22" x14ac:dyDescent="0.3">
      <c r="A2841" s="49">
        <v>45272</v>
      </c>
      <c r="E2841" t="s">
        <v>3198</v>
      </c>
      <c r="G2841" t="s">
        <v>5128</v>
      </c>
      <c r="H2841" t="s">
        <v>28</v>
      </c>
      <c r="I2841" t="s">
        <v>5592</v>
      </c>
      <c r="J2841" t="s">
        <v>63</v>
      </c>
      <c r="K2841" t="s">
        <v>64</v>
      </c>
      <c r="M2841">
        <v>100</v>
      </c>
      <c r="N2841" t="s">
        <v>49</v>
      </c>
      <c r="O2841" t="s">
        <v>3608</v>
      </c>
      <c r="P2841" t="s">
        <v>170</v>
      </c>
      <c r="T2841">
        <v>6</v>
      </c>
      <c r="U2841" t="s">
        <v>40</v>
      </c>
      <c r="V2841" t="s">
        <v>41</v>
      </c>
    </row>
    <row r="2842" spans="1:22" x14ac:dyDescent="0.3">
      <c r="A2842" s="49">
        <v>45272</v>
      </c>
      <c r="E2842" t="s">
        <v>3198</v>
      </c>
      <c r="G2842" t="s">
        <v>5128</v>
      </c>
      <c r="H2842" t="s">
        <v>28</v>
      </c>
      <c r="I2842" t="s">
        <v>5592</v>
      </c>
      <c r="J2842" t="s">
        <v>63</v>
      </c>
      <c r="K2842" t="s">
        <v>64</v>
      </c>
      <c r="M2842">
        <v>100</v>
      </c>
      <c r="N2842" t="s">
        <v>49</v>
      </c>
      <c r="O2842" t="s">
        <v>3608</v>
      </c>
      <c r="P2842" t="s">
        <v>170</v>
      </c>
      <c r="T2842">
        <v>6</v>
      </c>
      <c r="U2842" t="s">
        <v>40</v>
      </c>
      <c r="V2842" t="s">
        <v>41</v>
      </c>
    </row>
    <row r="2843" spans="1:22" x14ac:dyDescent="0.3">
      <c r="A2843" s="49">
        <v>45272</v>
      </c>
      <c r="E2843" t="s">
        <v>3198</v>
      </c>
      <c r="G2843" t="s">
        <v>5128</v>
      </c>
      <c r="H2843" t="s">
        <v>28</v>
      </c>
      <c r="I2843" t="s">
        <v>5592</v>
      </c>
      <c r="J2843" t="s">
        <v>63</v>
      </c>
      <c r="K2843" t="s">
        <v>64</v>
      </c>
      <c r="M2843">
        <v>100</v>
      </c>
      <c r="N2843" t="s">
        <v>49</v>
      </c>
      <c r="O2843" t="s">
        <v>3608</v>
      </c>
      <c r="P2843" t="s">
        <v>170</v>
      </c>
      <c r="T2843">
        <v>6</v>
      </c>
      <c r="U2843" t="s">
        <v>40</v>
      </c>
      <c r="V2843" t="s">
        <v>41</v>
      </c>
    </row>
    <row r="2844" spans="1:22" x14ac:dyDescent="0.3">
      <c r="A2844" s="49">
        <v>45272</v>
      </c>
      <c r="E2844" t="s">
        <v>3198</v>
      </c>
      <c r="G2844" t="s">
        <v>5128</v>
      </c>
      <c r="H2844" t="s">
        <v>28</v>
      </c>
      <c r="I2844" t="s">
        <v>5592</v>
      </c>
      <c r="J2844" t="s">
        <v>63</v>
      </c>
      <c r="K2844" t="s">
        <v>64</v>
      </c>
      <c r="M2844">
        <v>100</v>
      </c>
      <c r="N2844" t="s">
        <v>49</v>
      </c>
      <c r="O2844" t="s">
        <v>3608</v>
      </c>
      <c r="P2844" t="s">
        <v>170</v>
      </c>
      <c r="T2844">
        <v>6</v>
      </c>
      <c r="U2844" t="s">
        <v>40</v>
      </c>
      <c r="V2844" t="s">
        <v>41</v>
      </c>
    </row>
    <row r="2845" spans="1:22" x14ac:dyDescent="0.3">
      <c r="A2845" s="49">
        <v>45272</v>
      </c>
      <c r="E2845" t="s">
        <v>3198</v>
      </c>
      <c r="G2845" t="s">
        <v>5128</v>
      </c>
      <c r="H2845" t="s">
        <v>28</v>
      </c>
      <c r="I2845" t="s">
        <v>5592</v>
      </c>
      <c r="J2845" t="s">
        <v>63</v>
      </c>
      <c r="K2845" t="s">
        <v>64</v>
      </c>
      <c r="M2845">
        <v>100</v>
      </c>
      <c r="N2845" t="s">
        <v>49</v>
      </c>
      <c r="O2845" t="s">
        <v>3608</v>
      </c>
      <c r="P2845" t="s">
        <v>170</v>
      </c>
      <c r="T2845">
        <v>6</v>
      </c>
      <c r="U2845" t="s">
        <v>40</v>
      </c>
      <c r="V2845" t="s">
        <v>41</v>
      </c>
    </row>
    <row r="2846" spans="1:22" x14ac:dyDescent="0.3">
      <c r="A2846" s="49">
        <v>45272</v>
      </c>
      <c r="E2846" t="s">
        <v>3198</v>
      </c>
      <c r="G2846" t="s">
        <v>5128</v>
      </c>
      <c r="H2846" t="s">
        <v>28</v>
      </c>
      <c r="I2846" t="s">
        <v>5592</v>
      </c>
      <c r="J2846" t="s">
        <v>63</v>
      </c>
      <c r="K2846" t="s">
        <v>64</v>
      </c>
      <c r="M2846">
        <v>100</v>
      </c>
      <c r="N2846" t="s">
        <v>49</v>
      </c>
      <c r="O2846" t="s">
        <v>3608</v>
      </c>
      <c r="P2846" t="s">
        <v>170</v>
      </c>
      <c r="T2846">
        <v>6</v>
      </c>
      <c r="U2846" t="s">
        <v>40</v>
      </c>
      <c r="V2846" t="s">
        <v>41</v>
      </c>
    </row>
    <row r="2847" spans="1:22" x14ac:dyDescent="0.3">
      <c r="A2847" s="49">
        <v>45272</v>
      </c>
      <c r="E2847" t="s">
        <v>3198</v>
      </c>
      <c r="G2847" t="s">
        <v>5128</v>
      </c>
      <c r="H2847" t="s">
        <v>28</v>
      </c>
      <c r="I2847" t="s">
        <v>5592</v>
      </c>
      <c r="J2847" t="s">
        <v>63</v>
      </c>
      <c r="K2847" t="s">
        <v>64</v>
      </c>
      <c r="M2847">
        <v>100</v>
      </c>
      <c r="N2847" t="s">
        <v>49</v>
      </c>
      <c r="O2847" t="s">
        <v>3608</v>
      </c>
      <c r="P2847" t="s">
        <v>170</v>
      </c>
      <c r="T2847">
        <v>6</v>
      </c>
      <c r="U2847" t="s">
        <v>40</v>
      </c>
      <c r="V2847" t="s">
        <v>41</v>
      </c>
    </row>
    <row r="2848" spans="1:22" x14ac:dyDescent="0.3">
      <c r="A2848" s="49">
        <v>45272</v>
      </c>
      <c r="E2848" t="s">
        <v>3198</v>
      </c>
      <c r="G2848" t="s">
        <v>5128</v>
      </c>
      <c r="H2848" t="s">
        <v>28</v>
      </c>
      <c r="I2848" t="s">
        <v>5592</v>
      </c>
      <c r="J2848" t="s">
        <v>63</v>
      </c>
      <c r="K2848" t="s">
        <v>64</v>
      </c>
      <c r="M2848">
        <v>100</v>
      </c>
      <c r="N2848" t="s">
        <v>49</v>
      </c>
      <c r="O2848" t="s">
        <v>3608</v>
      </c>
      <c r="P2848" t="s">
        <v>170</v>
      </c>
      <c r="T2848">
        <v>6</v>
      </c>
      <c r="U2848" t="s">
        <v>40</v>
      </c>
      <c r="V2848" t="s">
        <v>41</v>
      </c>
    </row>
    <row r="2849" spans="1:22" x14ac:dyDescent="0.3">
      <c r="A2849" s="49">
        <v>45272</v>
      </c>
      <c r="E2849" t="s">
        <v>3198</v>
      </c>
      <c r="G2849" t="s">
        <v>5128</v>
      </c>
      <c r="H2849" t="s">
        <v>28</v>
      </c>
      <c r="I2849" t="s">
        <v>5592</v>
      </c>
      <c r="J2849" t="s">
        <v>63</v>
      </c>
      <c r="K2849" t="s">
        <v>64</v>
      </c>
      <c r="M2849">
        <v>100</v>
      </c>
      <c r="N2849" t="s">
        <v>49</v>
      </c>
      <c r="O2849" t="s">
        <v>3608</v>
      </c>
      <c r="P2849" t="s">
        <v>170</v>
      </c>
      <c r="T2849">
        <v>6</v>
      </c>
      <c r="U2849" t="s">
        <v>40</v>
      </c>
      <c r="V2849" t="s">
        <v>41</v>
      </c>
    </row>
    <row r="2850" spans="1:22" x14ac:dyDescent="0.3">
      <c r="A2850" s="49">
        <v>45272</v>
      </c>
      <c r="E2850" t="s">
        <v>3198</v>
      </c>
      <c r="G2850" t="s">
        <v>5128</v>
      </c>
      <c r="H2850" t="s">
        <v>28</v>
      </c>
      <c r="I2850" t="s">
        <v>5592</v>
      </c>
      <c r="J2850" t="s">
        <v>63</v>
      </c>
      <c r="K2850" t="s">
        <v>64</v>
      </c>
      <c r="M2850">
        <v>100</v>
      </c>
      <c r="N2850" t="s">
        <v>49</v>
      </c>
      <c r="O2850" t="s">
        <v>3608</v>
      </c>
      <c r="P2850" t="s">
        <v>170</v>
      </c>
      <c r="T2850">
        <v>6</v>
      </c>
      <c r="U2850" t="s">
        <v>40</v>
      </c>
      <c r="V2850" t="s">
        <v>41</v>
      </c>
    </row>
    <row r="2851" spans="1:22" x14ac:dyDescent="0.3">
      <c r="A2851" s="49">
        <v>45272</v>
      </c>
      <c r="E2851" t="s">
        <v>3198</v>
      </c>
      <c r="G2851" t="s">
        <v>5128</v>
      </c>
      <c r="H2851" t="s">
        <v>28</v>
      </c>
      <c r="I2851" t="s">
        <v>5592</v>
      </c>
      <c r="J2851" t="s">
        <v>63</v>
      </c>
      <c r="K2851" t="s">
        <v>64</v>
      </c>
      <c r="M2851">
        <v>100</v>
      </c>
      <c r="N2851" t="s">
        <v>49</v>
      </c>
      <c r="O2851" t="s">
        <v>3608</v>
      </c>
      <c r="P2851" t="s">
        <v>170</v>
      </c>
      <c r="T2851">
        <v>6</v>
      </c>
      <c r="U2851" t="s">
        <v>40</v>
      </c>
      <c r="V2851" t="s">
        <v>41</v>
      </c>
    </row>
    <row r="2852" spans="1:22" x14ac:dyDescent="0.3">
      <c r="A2852" s="49">
        <v>45272</v>
      </c>
      <c r="E2852" t="s">
        <v>3198</v>
      </c>
      <c r="G2852" t="s">
        <v>5128</v>
      </c>
      <c r="H2852" t="s">
        <v>28</v>
      </c>
      <c r="I2852" t="s">
        <v>5592</v>
      </c>
      <c r="J2852" t="s">
        <v>63</v>
      </c>
      <c r="K2852" t="s">
        <v>64</v>
      </c>
      <c r="M2852">
        <v>100</v>
      </c>
      <c r="N2852" t="s">
        <v>49</v>
      </c>
      <c r="O2852" t="s">
        <v>3608</v>
      </c>
      <c r="P2852" t="s">
        <v>170</v>
      </c>
      <c r="T2852">
        <v>6</v>
      </c>
      <c r="U2852" t="s">
        <v>40</v>
      </c>
      <c r="V2852" t="s">
        <v>41</v>
      </c>
    </row>
    <row r="2853" spans="1:22" x14ac:dyDescent="0.3">
      <c r="A2853" s="49">
        <v>45272</v>
      </c>
      <c r="E2853" t="s">
        <v>3198</v>
      </c>
      <c r="G2853" t="s">
        <v>5128</v>
      </c>
      <c r="H2853" t="s">
        <v>28</v>
      </c>
      <c r="I2853" t="s">
        <v>5592</v>
      </c>
      <c r="J2853" t="s">
        <v>63</v>
      </c>
      <c r="K2853" t="s">
        <v>64</v>
      </c>
      <c r="M2853">
        <v>100</v>
      </c>
      <c r="N2853" t="s">
        <v>49</v>
      </c>
      <c r="O2853" t="s">
        <v>3608</v>
      </c>
      <c r="P2853" t="s">
        <v>170</v>
      </c>
      <c r="T2853">
        <v>6</v>
      </c>
      <c r="U2853" t="s">
        <v>40</v>
      </c>
      <c r="V2853" t="s">
        <v>41</v>
      </c>
    </row>
    <row r="2854" spans="1:22" x14ac:dyDescent="0.3">
      <c r="A2854" s="49">
        <v>45272</v>
      </c>
      <c r="E2854" t="s">
        <v>3198</v>
      </c>
      <c r="G2854" t="s">
        <v>5128</v>
      </c>
      <c r="H2854" t="s">
        <v>28</v>
      </c>
      <c r="I2854" t="s">
        <v>5592</v>
      </c>
      <c r="J2854" t="s">
        <v>63</v>
      </c>
      <c r="K2854" t="s">
        <v>64</v>
      </c>
      <c r="M2854">
        <v>100</v>
      </c>
      <c r="N2854" t="s">
        <v>49</v>
      </c>
      <c r="O2854" t="s">
        <v>3608</v>
      </c>
      <c r="P2854" t="s">
        <v>170</v>
      </c>
      <c r="T2854">
        <v>6</v>
      </c>
      <c r="U2854" t="s">
        <v>40</v>
      </c>
      <c r="V2854" t="s">
        <v>41</v>
      </c>
    </row>
    <row r="2855" spans="1:22" x14ac:dyDescent="0.3">
      <c r="A2855" s="49">
        <v>45272</v>
      </c>
      <c r="E2855" t="s">
        <v>3198</v>
      </c>
      <c r="G2855" t="s">
        <v>5128</v>
      </c>
      <c r="H2855" t="s">
        <v>28</v>
      </c>
      <c r="I2855" t="s">
        <v>5592</v>
      </c>
      <c r="J2855" t="s">
        <v>63</v>
      </c>
      <c r="K2855" t="s">
        <v>64</v>
      </c>
      <c r="M2855">
        <v>100</v>
      </c>
      <c r="N2855" t="s">
        <v>49</v>
      </c>
      <c r="O2855" t="s">
        <v>3608</v>
      </c>
      <c r="P2855" t="s">
        <v>170</v>
      </c>
      <c r="T2855">
        <v>6</v>
      </c>
      <c r="U2855" t="s">
        <v>40</v>
      </c>
      <c r="V2855" t="s">
        <v>41</v>
      </c>
    </row>
    <row r="2856" spans="1:22" x14ac:dyDescent="0.3">
      <c r="A2856" s="49">
        <v>45272</v>
      </c>
      <c r="E2856" t="s">
        <v>3198</v>
      </c>
      <c r="G2856" t="s">
        <v>5128</v>
      </c>
      <c r="H2856" t="s">
        <v>28</v>
      </c>
      <c r="I2856" t="s">
        <v>5593</v>
      </c>
      <c r="J2856" t="s">
        <v>63</v>
      </c>
      <c r="K2856" t="s">
        <v>4936</v>
      </c>
      <c r="M2856">
        <v>100</v>
      </c>
      <c r="N2856" t="s">
        <v>49</v>
      </c>
      <c r="O2856" t="s">
        <v>3610</v>
      </c>
      <c r="P2856" t="s">
        <v>66</v>
      </c>
      <c r="T2856">
        <v>6</v>
      </c>
      <c r="U2856" t="s">
        <v>40</v>
      </c>
      <c r="V2856" t="s">
        <v>41</v>
      </c>
    </row>
    <row r="2857" spans="1:22" x14ac:dyDescent="0.3">
      <c r="A2857" s="49">
        <v>45272</v>
      </c>
      <c r="E2857" t="s">
        <v>3137</v>
      </c>
      <c r="G2857" t="s">
        <v>5012</v>
      </c>
      <c r="H2857" t="s">
        <v>28</v>
      </c>
      <c r="I2857" t="s">
        <v>5594</v>
      </c>
      <c r="J2857" t="s">
        <v>63</v>
      </c>
      <c r="K2857" t="s">
        <v>64</v>
      </c>
      <c r="M2857">
        <v>92</v>
      </c>
      <c r="N2857" t="s">
        <v>33</v>
      </c>
      <c r="O2857" t="s">
        <v>4739</v>
      </c>
      <c r="P2857" t="s">
        <v>267</v>
      </c>
      <c r="T2857">
        <v>6</v>
      </c>
      <c r="U2857" t="s">
        <v>40</v>
      </c>
      <c r="V2857" t="s">
        <v>41</v>
      </c>
    </row>
    <row r="2858" spans="1:22" x14ac:dyDescent="0.3">
      <c r="A2858" s="49">
        <v>45272</v>
      </c>
      <c r="E2858" t="s">
        <v>3139</v>
      </c>
      <c r="G2858" t="s">
        <v>5249</v>
      </c>
      <c r="H2858" t="s">
        <v>28</v>
      </c>
      <c r="I2858" t="s">
        <v>5789</v>
      </c>
      <c r="J2858" t="s">
        <v>63</v>
      </c>
      <c r="K2858" t="s">
        <v>64</v>
      </c>
      <c r="M2858">
        <v>100</v>
      </c>
      <c r="N2858" t="s">
        <v>49</v>
      </c>
      <c r="O2858" t="s">
        <v>4496</v>
      </c>
      <c r="P2858" t="s">
        <v>66</v>
      </c>
      <c r="T2858">
        <v>4</v>
      </c>
      <c r="U2858" t="s">
        <v>56</v>
      </c>
      <c r="V2858" t="s">
        <v>56</v>
      </c>
    </row>
    <row r="2859" spans="1:22" x14ac:dyDescent="0.3">
      <c r="A2859" s="49">
        <v>45272</v>
      </c>
      <c r="E2859" t="s">
        <v>3139</v>
      </c>
      <c r="G2859" t="s">
        <v>5133</v>
      </c>
      <c r="H2859" t="s">
        <v>89</v>
      </c>
      <c r="J2859" t="s">
        <v>63</v>
      </c>
      <c r="K2859" t="s">
        <v>64</v>
      </c>
      <c r="M2859">
        <v>100</v>
      </c>
      <c r="N2859" t="s">
        <v>49</v>
      </c>
      <c r="O2859" t="s">
        <v>3624</v>
      </c>
      <c r="P2859" t="s">
        <v>1697</v>
      </c>
      <c r="T2859">
        <v>4</v>
      </c>
      <c r="U2859" t="s">
        <v>56</v>
      </c>
      <c r="V2859" t="s">
        <v>56</v>
      </c>
    </row>
    <row r="2860" spans="1:22" x14ac:dyDescent="0.3">
      <c r="A2860" s="49">
        <v>45272</v>
      </c>
      <c r="E2860" t="s">
        <v>3139</v>
      </c>
      <c r="G2860" t="s">
        <v>5133</v>
      </c>
      <c r="H2860" t="s">
        <v>89</v>
      </c>
      <c r="J2860" t="s">
        <v>63</v>
      </c>
      <c r="K2860" t="s">
        <v>64</v>
      </c>
      <c r="M2860">
        <v>100</v>
      </c>
      <c r="N2860" t="s">
        <v>49</v>
      </c>
      <c r="O2860" t="s">
        <v>3624</v>
      </c>
      <c r="P2860" t="s">
        <v>1697</v>
      </c>
      <c r="T2860">
        <v>4</v>
      </c>
      <c r="U2860" t="s">
        <v>56</v>
      </c>
      <c r="V2860" t="s">
        <v>56</v>
      </c>
    </row>
    <row r="2861" spans="1:22" x14ac:dyDescent="0.3">
      <c r="A2861" s="49">
        <v>45272</v>
      </c>
      <c r="E2861" t="s">
        <v>3139</v>
      </c>
      <c r="G2861" t="s">
        <v>90</v>
      </c>
      <c r="H2861" t="s">
        <v>89</v>
      </c>
      <c r="J2861" t="s">
        <v>63</v>
      </c>
      <c r="K2861" t="s">
        <v>64</v>
      </c>
      <c r="M2861">
        <v>100</v>
      </c>
      <c r="N2861" t="s">
        <v>49</v>
      </c>
      <c r="O2861" t="s">
        <v>4740</v>
      </c>
      <c r="P2861" t="s">
        <v>1697</v>
      </c>
      <c r="T2861">
        <v>4</v>
      </c>
      <c r="U2861" t="s">
        <v>56</v>
      </c>
      <c r="V2861" t="s">
        <v>56</v>
      </c>
    </row>
    <row r="2862" spans="1:22" x14ac:dyDescent="0.3">
      <c r="A2862" s="49">
        <v>45272</v>
      </c>
      <c r="E2862" t="s">
        <v>3139</v>
      </c>
      <c r="G2862" t="s">
        <v>90</v>
      </c>
      <c r="H2862" t="s">
        <v>89</v>
      </c>
      <c r="J2862" t="s">
        <v>63</v>
      </c>
      <c r="K2862" t="s">
        <v>64</v>
      </c>
      <c r="M2862">
        <v>100</v>
      </c>
      <c r="N2862" t="s">
        <v>49</v>
      </c>
      <c r="O2862" t="s">
        <v>4741</v>
      </c>
      <c r="P2862" t="s">
        <v>1243</v>
      </c>
      <c r="T2862">
        <v>4</v>
      </c>
      <c r="U2862" t="s">
        <v>56</v>
      </c>
      <c r="V2862" t="s">
        <v>56</v>
      </c>
    </row>
    <row r="2863" spans="1:22" x14ac:dyDescent="0.3">
      <c r="A2863" s="49">
        <v>45272</v>
      </c>
      <c r="E2863" t="s">
        <v>3199</v>
      </c>
      <c r="G2863" t="s">
        <v>5381</v>
      </c>
      <c r="H2863" t="s">
        <v>28</v>
      </c>
      <c r="I2863" t="s">
        <v>6035</v>
      </c>
      <c r="J2863" t="s">
        <v>46</v>
      </c>
      <c r="K2863" t="s">
        <v>481</v>
      </c>
      <c r="M2863">
        <v>33</v>
      </c>
      <c r="N2863" t="s">
        <v>49</v>
      </c>
      <c r="O2863" t="s">
        <v>4742</v>
      </c>
      <c r="P2863" t="s">
        <v>1243</v>
      </c>
      <c r="T2863">
        <v>6</v>
      </c>
      <c r="U2863" t="s">
        <v>40</v>
      </c>
      <c r="V2863" t="s">
        <v>41</v>
      </c>
    </row>
    <row r="2864" spans="1:22" x14ac:dyDescent="0.3">
      <c r="A2864" s="49">
        <v>45272</v>
      </c>
      <c r="E2864" t="s">
        <v>3171</v>
      </c>
      <c r="G2864" t="s">
        <v>5057</v>
      </c>
      <c r="H2864" t="s">
        <v>28</v>
      </c>
      <c r="I2864" t="s">
        <v>720</v>
      </c>
      <c r="J2864" t="s">
        <v>63</v>
      </c>
      <c r="K2864" t="s">
        <v>64</v>
      </c>
      <c r="M2864">
        <v>73</v>
      </c>
      <c r="N2864" t="s">
        <v>33</v>
      </c>
      <c r="O2864" t="s">
        <v>4743</v>
      </c>
      <c r="P2864" t="s">
        <v>1697</v>
      </c>
      <c r="T2864">
        <v>4</v>
      </c>
      <c r="U2864" t="s">
        <v>56</v>
      </c>
      <c r="V2864" t="s">
        <v>56</v>
      </c>
    </row>
    <row r="2865" spans="1:22" x14ac:dyDescent="0.3">
      <c r="A2865" s="49">
        <v>45272</v>
      </c>
      <c r="E2865" t="s">
        <v>3171</v>
      </c>
      <c r="G2865" t="s">
        <v>5057</v>
      </c>
      <c r="H2865" t="s">
        <v>28</v>
      </c>
      <c r="I2865" t="s">
        <v>1847</v>
      </c>
      <c r="J2865" t="s">
        <v>63</v>
      </c>
      <c r="K2865" t="s">
        <v>64</v>
      </c>
      <c r="M2865">
        <v>80</v>
      </c>
      <c r="N2865" t="s">
        <v>33</v>
      </c>
      <c r="O2865" t="s">
        <v>4031</v>
      </c>
      <c r="P2865" t="s">
        <v>791</v>
      </c>
      <c r="T2865">
        <v>4</v>
      </c>
      <c r="U2865" t="s">
        <v>56</v>
      </c>
      <c r="V2865" t="s">
        <v>56</v>
      </c>
    </row>
    <row r="2866" spans="1:22" x14ac:dyDescent="0.3">
      <c r="A2866" s="49">
        <v>45272</v>
      </c>
      <c r="E2866" t="s">
        <v>3171</v>
      </c>
      <c r="G2866" t="s">
        <v>5057</v>
      </c>
      <c r="H2866" t="s">
        <v>89</v>
      </c>
      <c r="J2866" t="s">
        <v>63</v>
      </c>
      <c r="K2866" t="s">
        <v>64</v>
      </c>
      <c r="M2866">
        <v>100</v>
      </c>
      <c r="N2866" t="s">
        <v>49</v>
      </c>
      <c r="O2866" t="s">
        <v>4744</v>
      </c>
      <c r="P2866" t="s">
        <v>1697</v>
      </c>
      <c r="T2866">
        <v>4</v>
      </c>
      <c r="U2866" t="s">
        <v>56</v>
      </c>
      <c r="V2866" t="s">
        <v>56</v>
      </c>
    </row>
    <row r="2867" spans="1:22" x14ac:dyDescent="0.3">
      <c r="A2867" s="49">
        <v>45272</v>
      </c>
      <c r="E2867" t="s">
        <v>3171</v>
      </c>
      <c r="G2867" t="s">
        <v>5382</v>
      </c>
      <c r="H2867" t="s">
        <v>89</v>
      </c>
      <c r="J2867" t="s">
        <v>1712</v>
      </c>
      <c r="K2867" t="s">
        <v>481</v>
      </c>
      <c r="M2867">
        <v>33</v>
      </c>
      <c r="N2867" t="s">
        <v>49</v>
      </c>
      <c r="O2867" t="s">
        <v>4745</v>
      </c>
      <c r="P2867" t="s">
        <v>287</v>
      </c>
      <c r="T2867">
        <v>4</v>
      </c>
      <c r="U2867" t="s">
        <v>56</v>
      </c>
      <c r="V2867" t="s">
        <v>56</v>
      </c>
    </row>
    <row r="2868" spans="1:22" x14ac:dyDescent="0.3">
      <c r="A2868" s="49">
        <v>45272</v>
      </c>
      <c r="E2868" t="s">
        <v>3172</v>
      </c>
      <c r="G2868" t="s">
        <v>728</v>
      </c>
      <c r="H2868" t="s">
        <v>28</v>
      </c>
      <c r="I2868" t="s">
        <v>6036</v>
      </c>
      <c r="J2868" t="s">
        <v>63</v>
      </c>
      <c r="K2868" t="s">
        <v>4924</v>
      </c>
      <c r="M2868">
        <v>50</v>
      </c>
      <c r="N2868" t="s">
        <v>49</v>
      </c>
      <c r="O2868" t="s">
        <v>4746</v>
      </c>
      <c r="P2868" t="s">
        <v>416</v>
      </c>
      <c r="T2868">
        <v>6</v>
      </c>
      <c r="U2868" t="s">
        <v>40</v>
      </c>
      <c r="V2868" t="s">
        <v>41</v>
      </c>
    </row>
    <row r="2869" spans="1:22" x14ac:dyDescent="0.3">
      <c r="A2869" s="49">
        <v>45272</v>
      </c>
      <c r="E2869" t="s">
        <v>3202</v>
      </c>
      <c r="G2869" t="s">
        <v>5257</v>
      </c>
      <c r="H2869" t="s">
        <v>28</v>
      </c>
      <c r="I2869" t="s">
        <v>5800</v>
      </c>
      <c r="J2869" t="s">
        <v>63</v>
      </c>
      <c r="K2869" t="s">
        <v>64</v>
      </c>
      <c r="M2869">
        <v>100</v>
      </c>
      <c r="N2869" t="s">
        <v>49</v>
      </c>
      <c r="O2869" t="s">
        <v>4747</v>
      </c>
      <c r="P2869" t="s">
        <v>381</v>
      </c>
      <c r="T2869">
        <v>4</v>
      </c>
      <c r="U2869" t="s">
        <v>56</v>
      </c>
      <c r="V2869" t="s">
        <v>56</v>
      </c>
    </row>
    <row r="2870" spans="1:22" x14ac:dyDescent="0.3">
      <c r="A2870" s="49">
        <v>45272</v>
      </c>
      <c r="E2870" t="s">
        <v>3112</v>
      </c>
      <c r="G2870" t="s">
        <v>4973</v>
      </c>
      <c r="H2870" t="s">
        <v>89</v>
      </c>
      <c r="J2870" t="s">
        <v>63</v>
      </c>
      <c r="K2870" t="s">
        <v>64</v>
      </c>
      <c r="M2870">
        <v>100</v>
      </c>
      <c r="N2870" t="s">
        <v>33</v>
      </c>
      <c r="O2870" t="s">
        <v>4052</v>
      </c>
      <c r="P2870" t="s">
        <v>4834</v>
      </c>
      <c r="T2870">
        <v>6</v>
      </c>
      <c r="U2870" t="s">
        <v>40</v>
      </c>
      <c r="V2870" t="s">
        <v>41</v>
      </c>
    </row>
    <row r="2871" spans="1:22" x14ac:dyDescent="0.3">
      <c r="A2871" s="49">
        <v>45272</v>
      </c>
      <c r="E2871" t="s">
        <v>3112</v>
      </c>
      <c r="G2871" t="s">
        <v>4973</v>
      </c>
      <c r="H2871" t="s">
        <v>28</v>
      </c>
      <c r="I2871" t="s">
        <v>2050</v>
      </c>
      <c r="J2871" t="s">
        <v>63</v>
      </c>
      <c r="K2871" t="s">
        <v>64</v>
      </c>
      <c r="M2871">
        <v>85</v>
      </c>
      <c r="N2871" t="s">
        <v>33</v>
      </c>
      <c r="O2871" t="s">
        <v>4748</v>
      </c>
      <c r="P2871" t="s">
        <v>878</v>
      </c>
      <c r="T2871">
        <v>4</v>
      </c>
      <c r="U2871" t="s">
        <v>56</v>
      </c>
      <c r="V2871" t="s">
        <v>56</v>
      </c>
    </row>
    <row r="2872" spans="1:22" x14ac:dyDescent="0.3">
      <c r="A2872" s="49">
        <v>45272</v>
      </c>
      <c r="E2872" t="s">
        <v>3185</v>
      </c>
      <c r="G2872" t="s">
        <v>5092</v>
      </c>
      <c r="H2872" t="s">
        <v>89</v>
      </c>
      <c r="J2872" t="s">
        <v>63</v>
      </c>
      <c r="K2872" t="s">
        <v>64</v>
      </c>
      <c r="M2872">
        <v>95</v>
      </c>
      <c r="N2872" t="s">
        <v>49</v>
      </c>
      <c r="O2872" t="s">
        <v>4749</v>
      </c>
      <c r="P2872" t="s">
        <v>85</v>
      </c>
      <c r="T2872">
        <v>4</v>
      </c>
      <c r="U2872" t="s">
        <v>56</v>
      </c>
      <c r="V2872" t="s">
        <v>56</v>
      </c>
    </row>
    <row r="2873" spans="1:22" x14ac:dyDescent="0.3">
      <c r="A2873" s="49">
        <v>45272</v>
      </c>
      <c r="E2873" t="s">
        <v>3114</v>
      </c>
      <c r="G2873" t="s">
        <v>748</v>
      </c>
      <c r="H2873" t="s">
        <v>89</v>
      </c>
      <c r="J2873" t="s">
        <v>63</v>
      </c>
      <c r="K2873" t="s">
        <v>64</v>
      </c>
      <c r="M2873">
        <v>100</v>
      </c>
      <c r="N2873" t="s">
        <v>33</v>
      </c>
      <c r="O2873" t="s">
        <v>4750</v>
      </c>
      <c r="P2873" t="s">
        <v>381</v>
      </c>
      <c r="T2873">
        <v>4</v>
      </c>
      <c r="U2873" t="s">
        <v>56</v>
      </c>
      <c r="V2873" t="s">
        <v>56</v>
      </c>
    </row>
    <row r="2874" spans="1:22" x14ac:dyDescent="0.3">
      <c r="A2874" s="49">
        <v>45272</v>
      </c>
      <c r="E2874" t="s">
        <v>3176</v>
      </c>
      <c r="G2874" t="s">
        <v>5383</v>
      </c>
      <c r="H2874" t="s">
        <v>28</v>
      </c>
      <c r="I2874" t="s">
        <v>6037</v>
      </c>
      <c r="J2874" t="s">
        <v>63</v>
      </c>
      <c r="K2874" t="s">
        <v>64</v>
      </c>
      <c r="M2874">
        <v>10</v>
      </c>
      <c r="N2874" t="s">
        <v>33</v>
      </c>
      <c r="O2874" t="s">
        <v>4751</v>
      </c>
      <c r="P2874" t="s">
        <v>108</v>
      </c>
      <c r="T2874">
        <v>4</v>
      </c>
      <c r="U2874" t="s">
        <v>56</v>
      </c>
      <c r="V2874" t="s">
        <v>56</v>
      </c>
    </row>
    <row r="2875" spans="1:22" x14ac:dyDescent="0.3">
      <c r="A2875" s="49">
        <v>45272</v>
      </c>
      <c r="E2875" t="s">
        <v>3143</v>
      </c>
      <c r="G2875" t="s">
        <v>5020</v>
      </c>
      <c r="H2875" t="s">
        <v>89</v>
      </c>
      <c r="J2875" t="s">
        <v>63</v>
      </c>
      <c r="K2875" t="s">
        <v>64</v>
      </c>
      <c r="M2875">
        <v>70</v>
      </c>
      <c r="N2875" t="s">
        <v>33</v>
      </c>
      <c r="O2875" t="s">
        <v>3351</v>
      </c>
      <c r="P2875" t="s">
        <v>306</v>
      </c>
      <c r="T2875">
        <v>4</v>
      </c>
      <c r="U2875" t="s">
        <v>56</v>
      </c>
      <c r="V2875" t="s">
        <v>56</v>
      </c>
    </row>
    <row r="2876" spans="1:22" x14ac:dyDescent="0.3">
      <c r="A2876" s="49">
        <v>45272</v>
      </c>
      <c r="E2876" t="s">
        <v>3143</v>
      </c>
      <c r="G2876" t="s">
        <v>5020</v>
      </c>
      <c r="H2876" t="s">
        <v>89</v>
      </c>
      <c r="J2876" t="s">
        <v>63</v>
      </c>
      <c r="K2876" t="s">
        <v>64</v>
      </c>
      <c r="M2876">
        <v>45</v>
      </c>
      <c r="N2876" t="s">
        <v>49</v>
      </c>
      <c r="O2876" t="s">
        <v>4752</v>
      </c>
      <c r="P2876" t="s">
        <v>1586</v>
      </c>
      <c r="T2876">
        <v>4</v>
      </c>
      <c r="U2876" t="s">
        <v>56</v>
      </c>
      <c r="V2876" t="s">
        <v>56</v>
      </c>
    </row>
    <row r="2877" spans="1:22" x14ac:dyDescent="0.3">
      <c r="A2877" s="49">
        <v>45272</v>
      </c>
      <c r="E2877" t="s">
        <v>3143</v>
      </c>
      <c r="G2877" t="s">
        <v>5020</v>
      </c>
      <c r="H2877" t="s">
        <v>89</v>
      </c>
      <c r="J2877" t="s">
        <v>63</v>
      </c>
      <c r="K2877" t="s">
        <v>64</v>
      </c>
      <c r="M2877">
        <v>0</v>
      </c>
      <c r="N2877" t="s">
        <v>49</v>
      </c>
      <c r="O2877" t="s">
        <v>4753</v>
      </c>
      <c r="P2877" t="s">
        <v>1586</v>
      </c>
      <c r="T2877">
        <v>4</v>
      </c>
      <c r="U2877" t="s">
        <v>56</v>
      </c>
      <c r="V2877" t="s">
        <v>56</v>
      </c>
    </row>
    <row r="2878" spans="1:22" x14ac:dyDescent="0.3">
      <c r="A2878" s="49">
        <v>45272</v>
      </c>
      <c r="E2878" t="s">
        <v>3143</v>
      </c>
      <c r="G2878" t="s">
        <v>5020</v>
      </c>
      <c r="H2878" t="s">
        <v>28</v>
      </c>
      <c r="I2878" t="s">
        <v>6038</v>
      </c>
      <c r="J2878" t="s">
        <v>63</v>
      </c>
      <c r="K2878" t="s">
        <v>64</v>
      </c>
      <c r="M2878">
        <v>100</v>
      </c>
      <c r="N2878" t="s">
        <v>49</v>
      </c>
      <c r="O2878" t="s">
        <v>4754</v>
      </c>
      <c r="P2878" t="s">
        <v>4830</v>
      </c>
      <c r="T2878">
        <v>4</v>
      </c>
      <c r="U2878" t="s">
        <v>56</v>
      </c>
      <c r="V2878" t="s">
        <v>56</v>
      </c>
    </row>
    <row r="2879" spans="1:22" x14ac:dyDescent="0.3">
      <c r="A2879" s="49">
        <v>45272</v>
      </c>
      <c r="E2879" t="s">
        <v>3187</v>
      </c>
      <c r="G2879" t="s">
        <v>761</v>
      </c>
      <c r="H2879" t="s">
        <v>28</v>
      </c>
      <c r="I2879" t="s">
        <v>6039</v>
      </c>
      <c r="J2879" t="s">
        <v>63</v>
      </c>
      <c r="K2879" t="s">
        <v>64</v>
      </c>
      <c r="M2879">
        <v>95</v>
      </c>
      <c r="N2879" t="s">
        <v>49</v>
      </c>
      <c r="O2879" t="s">
        <v>4755</v>
      </c>
      <c r="P2879" t="s">
        <v>829</v>
      </c>
      <c r="T2879">
        <v>4</v>
      </c>
      <c r="U2879" t="s">
        <v>56</v>
      </c>
      <c r="V2879" t="s">
        <v>56</v>
      </c>
    </row>
    <row r="2880" spans="1:22" x14ac:dyDescent="0.3">
      <c r="A2880" s="49">
        <v>45272</v>
      </c>
      <c r="E2880" t="s">
        <v>2823</v>
      </c>
      <c r="G2880" t="s">
        <v>5384</v>
      </c>
      <c r="H2880" t="s">
        <v>89</v>
      </c>
      <c r="J2880" t="s">
        <v>63</v>
      </c>
      <c r="K2880" t="s">
        <v>64</v>
      </c>
      <c r="M2880">
        <v>46</v>
      </c>
      <c r="N2880" t="s">
        <v>49</v>
      </c>
      <c r="O2880" t="s">
        <v>4756</v>
      </c>
      <c r="P2880" t="s">
        <v>791</v>
      </c>
      <c r="T2880">
        <v>4</v>
      </c>
      <c r="U2880" t="s">
        <v>56</v>
      </c>
      <c r="V2880" t="s">
        <v>56</v>
      </c>
    </row>
    <row r="2881" spans="1:22" x14ac:dyDescent="0.3">
      <c r="A2881" s="49">
        <v>45272</v>
      </c>
      <c r="E2881" t="s">
        <v>3115</v>
      </c>
      <c r="G2881" t="s">
        <v>1524</v>
      </c>
      <c r="H2881" t="s">
        <v>89</v>
      </c>
      <c r="J2881" t="s">
        <v>63</v>
      </c>
      <c r="K2881" t="s">
        <v>211</v>
      </c>
      <c r="M2881">
        <v>0</v>
      </c>
      <c r="N2881" t="s">
        <v>49</v>
      </c>
      <c r="O2881" t="s">
        <v>4757</v>
      </c>
      <c r="P2881" t="s">
        <v>416</v>
      </c>
      <c r="T2881">
        <v>4</v>
      </c>
      <c r="U2881" t="s">
        <v>56</v>
      </c>
      <c r="V2881" t="s">
        <v>56</v>
      </c>
    </row>
    <row r="2882" spans="1:22" x14ac:dyDescent="0.3">
      <c r="A2882" s="49">
        <v>45272</v>
      </c>
      <c r="E2882" t="s">
        <v>3115</v>
      </c>
      <c r="G2882" t="s">
        <v>5154</v>
      </c>
      <c r="H2882" t="s">
        <v>28</v>
      </c>
      <c r="I2882" t="s">
        <v>5628</v>
      </c>
      <c r="J2882" t="s">
        <v>63</v>
      </c>
      <c r="K2882" t="s">
        <v>211</v>
      </c>
      <c r="M2882">
        <v>100</v>
      </c>
      <c r="N2882" t="s">
        <v>49</v>
      </c>
      <c r="O2882" t="s">
        <v>3670</v>
      </c>
      <c r="P2882" t="s">
        <v>4881</v>
      </c>
      <c r="T2882">
        <v>4</v>
      </c>
      <c r="U2882" t="s">
        <v>56</v>
      </c>
      <c r="V2882" t="s">
        <v>56</v>
      </c>
    </row>
    <row r="2883" spans="1:22" x14ac:dyDescent="0.3">
      <c r="A2883" s="49">
        <v>45272</v>
      </c>
      <c r="E2883" t="s">
        <v>3115</v>
      </c>
      <c r="G2883" t="s">
        <v>4976</v>
      </c>
      <c r="H2883" t="s">
        <v>89</v>
      </c>
      <c r="J2883" t="s">
        <v>63</v>
      </c>
      <c r="K2883" t="s">
        <v>64</v>
      </c>
      <c r="M2883">
        <v>46</v>
      </c>
      <c r="N2883" t="s">
        <v>49</v>
      </c>
      <c r="O2883" t="s">
        <v>4758</v>
      </c>
      <c r="P2883" t="s">
        <v>4830</v>
      </c>
      <c r="T2883">
        <v>4</v>
      </c>
      <c r="U2883" t="s">
        <v>56</v>
      </c>
      <c r="V2883" t="s">
        <v>56</v>
      </c>
    </row>
    <row r="2884" spans="1:22" x14ac:dyDescent="0.3">
      <c r="A2884" s="49">
        <v>45272</v>
      </c>
      <c r="E2884" t="s">
        <v>3146</v>
      </c>
      <c r="G2884" t="s">
        <v>5385</v>
      </c>
      <c r="H2884" t="s">
        <v>3245</v>
      </c>
      <c r="I2884" t="s">
        <v>6040</v>
      </c>
      <c r="J2884" t="s">
        <v>63</v>
      </c>
      <c r="K2884" t="s">
        <v>64</v>
      </c>
      <c r="M2884">
        <v>46</v>
      </c>
      <c r="N2884" t="s">
        <v>33</v>
      </c>
      <c r="O2884" t="s">
        <v>4759</v>
      </c>
      <c r="P2884" t="s">
        <v>66</v>
      </c>
      <c r="T2884">
        <v>4</v>
      </c>
      <c r="U2884" t="s">
        <v>56</v>
      </c>
      <c r="V2884" t="s">
        <v>56</v>
      </c>
    </row>
    <row r="2885" spans="1:22" x14ac:dyDescent="0.3">
      <c r="A2885" s="49">
        <v>45272</v>
      </c>
      <c r="E2885" t="s">
        <v>3116</v>
      </c>
      <c r="G2885" t="s">
        <v>768</v>
      </c>
      <c r="H2885" t="s">
        <v>28</v>
      </c>
      <c r="I2885" t="s">
        <v>6041</v>
      </c>
      <c r="J2885" t="s">
        <v>63</v>
      </c>
      <c r="K2885" t="s">
        <v>64</v>
      </c>
      <c r="M2885">
        <v>0</v>
      </c>
      <c r="N2885" t="s">
        <v>74</v>
      </c>
      <c r="O2885" t="s">
        <v>4760</v>
      </c>
      <c r="P2885" t="s">
        <v>1230</v>
      </c>
      <c r="T2885">
        <v>4</v>
      </c>
      <c r="U2885" t="s">
        <v>56</v>
      </c>
      <c r="V2885" t="s">
        <v>56</v>
      </c>
    </row>
    <row r="2886" spans="1:22" x14ac:dyDescent="0.3">
      <c r="A2886" s="49">
        <v>45272</v>
      </c>
      <c r="E2886" t="s">
        <v>3116</v>
      </c>
      <c r="G2886" t="s">
        <v>5158</v>
      </c>
      <c r="H2886" t="s">
        <v>28</v>
      </c>
      <c r="I2886" t="s">
        <v>6042</v>
      </c>
      <c r="J2886" t="s">
        <v>63</v>
      </c>
      <c r="K2886" t="s">
        <v>64</v>
      </c>
      <c r="M2886">
        <v>50</v>
      </c>
      <c r="N2886" t="s">
        <v>49</v>
      </c>
      <c r="O2886" t="s">
        <v>4761</v>
      </c>
      <c r="P2886" t="s">
        <v>66</v>
      </c>
      <c r="T2886">
        <v>4</v>
      </c>
      <c r="U2886" t="s">
        <v>56</v>
      </c>
      <c r="V2886" t="s">
        <v>56</v>
      </c>
    </row>
    <row r="2887" spans="1:22" x14ac:dyDescent="0.3">
      <c r="A2887" s="49">
        <v>45272</v>
      </c>
      <c r="E2887" t="s">
        <v>3116</v>
      </c>
      <c r="G2887" t="s">
        <v>768</v>
      </c>
      <c r="H2887" t="s">
        <v>28</v>
      </c>
      <c r="I2887" t="s">
        <v>769</v>
      </c>
      <c r="J2887" t="s">
        <v>63</v>
      </c>
      <c r="K2887" t="s">
        <v>64</v>
      </c>
      <c r="M2887">
        <v>100</v>
      </c>
      <c r="N2887" t="s">
        <v>49</v>
      </c>
      <c r="O2887" t="s">
        <v>4762</v>
      </c>
      <c r="P2887" t="s">
        <v>66</v>
      </c>
      <c r="T2887">
        <v>4</v>
      </c>
      <c r="U2887" t="s">
        <v>56</v>
      </c>
      <c r="V2887" t="s">
        <v>56</v>
      </c>
    </row>
    <row r="2888" spans="1:22" x14ac:dyDescent="0.3">
      <c r="A2888" s="49">
        <v>45272</v>
      </c>
      <c r="E2888" t="s">
        <v>3116</v>
      </c>
      <c r="G2888" t="s">
        <v>5066</v>
      </c>
      <c r="H2888" t="s">
        <v>28</v>
      </c>
      <c r="I2888" t="s">
        <v>5503</v>
      </c>
      <c r="J2888" t="s">
        <v>63</v>
      </c>
      <c r="K2888" t="s">
        <v>64</v>
      </c>
      <c r="M2888">
        <v>100</v>
      </c>
      <c r="N2888" t="s">
        <v>49</v>
      </c>
      <c r="O2888" t="s">
        <v>4763</v>
      </c>
      <c r="P2888" t="s">
        <v>1701</v>
      </c>
      <c r="T2888">
        <v>4</v>
      </c>
      <c r="U2888" t="s">
        <v>56</v>
      </c>
      <c r="V2888" t="s">
        <v>56</v>
      </c>
    </row>
    <row r="2889" spans="1:22" x14ac:dyDescent="0.3">
      <c r="A2889" s="49">
        <v>45272</v>
      </c>
      <c r="E2889" t="s">
        <v>3178</v>
      </c>
      <c r="G2889" t="s">
        <v>5159</v>
      </c>
      <c r="H2889" t="s">
        <v>28</v>
      </c>
      <c r="I2889" t="s">
        <v>6043</v>
      </c>
      <c r="J2889" t="s">
        <v>30</v>
      </c>
      <c r="K2889" t="s">
        <v>1546</v>
      </c>
      <c r="M2889">
        <v>20</v>
      </c>
      <c r="N2889" t="s">
        <v>33</v>
      </c>
      <c r="O2889" t="s">
        <v>4764</v>
      </c>
      <c r="P2889" t="s">
        <v>416</v>
      </c>
      <c r="T2889">
        <v>4</v>
      </c>
      <c r="U2889" t="s">
        <v>56</v>
      </c>
      <c r="V2889" t="s">
        <v>56</v>
      </c>
    </row>
    <row r="2890" spans="1:22" x14ac:dyDescent="0.3">
      <c r="A2890" s="49">
        <v>45272</v>
      </c>
      <c r="E2890" t="s">
        <v>3178</v>
      </c>
      <c r="G2890" t="s">
        <v>5159</v>
      </c>
      <c r="H2890" t="s">
        <v>28</v>
      </c>
      <c r="I2890" t="s">
        <v>6043</v>
      </c>
      <c r="J2890" t="s">
        <v>30</v>
      </c>
      <c r="K2890" t="s">
        <v>1546</v>
      </c>
      <c r="M2890">
        <v>0</v>
      </c>
      <c r="N2890" t="s">
        <v>74</v>
      </c>
      <c r="O2890" t="s">
        <v>4765</v>
      </c>
      <c r="P2890" t="s">
        <v>416</v>
      </c>
      <c r="T2890">
        <v>4</v>
      </c>
      <c r="U2890" t="s">
        <v>56</v>
      </c>
      <c r="V2890" t="s">
        <v>56</v>
      </c>
    </row>
    <row r="2891" spans="1:22" x14ac:dyDescent="0.3">
      <c r="A2891" s="49">
        <v>45272</v>
      </c>
      <c r="E2891" t="s">
        <v>3227</v>
      </c>
      <c r="G2891" t="s">
        <v>5386</v>
      </c>
      <c r="H2891" t="s">
        <v>28</v>
      </c>
      <c r="I2891" t="s">
        <v>6044</v>
      </c>
      <c r="J2891" t="s">
        <v>30</v>
      </c>
      <c r="K2891" t="s">
        <v>1546</v>
      </c>
      <c r="M2891">
        <v>60</v>
      </c>
      <c r="N2891" t="s">
        <v>33</v>
      </c>
      <c r="O2891" t="s">
        <v>4766</v>
      </c>
      <c r="P2891" t="s">
        <v>4919</v>
      </c>
      <c r="S2891" t="s">
        <v>6334</v>
      </c>
      <c r="T2891">
        <v>4</v>
      </c>
      <c r="U2891" t="s">
        <v>56</v>
      </c>
      <c r="V2891" t="s">
        <v>56</v>
      </c>
    </row>
    <row r="2892" spans="1:22" x14ac:dyDescent="0.3">
      <c r="A2892" s="49">
        <v>45272</v>
      </c>
      <c r="E2892" t="s">
        <v>3180</v>
      </c>
      <c r="G2892" t="s">
        <v>5163</v>
      </c>
      <c r="H2892" t="s">
        <v>28</v>
      </c>
      <c r="I2892" t="s">
        <v>5641</v>
      </c>
      <c r="J2892" t="s">
        <v>46</v>
      </c>
      <c r="K2892" t="s">
        <v>4941</v>
      </c>
      <c r="M2892">
        <v>50</v>
      </c>
      <c r="N2892" t="s">
        <v>33</v>
      </c>
      <c r="O2892" t="s">
        <v>4767</v>
      </c>
      <c r="P2892" t="s">
        <v>381</v>
      </c>
      <c r="T2892">
        <v>6</v>
      </c>
      <c r="U2892" t="s">
        <v>40</v>
      </c>
      <c r="V2892" t="s">
        <v>41</v>
      </c>
    </row>
    <row r="2893" spans="1:22" x14ac:dyDescent="0.3">
      <c r="A2893" s="49">
        <v>45272</v>
      </c>
      <c r="E2893" t="s">
        <v>3188</v>
      </c>
      <c r="G2893" t="s">
        <v>5094</v>
      </c>
      <c r="H2893" t="s">
        <v>89</v>
      </c>
      <c r="J2893" t="s">
        <v>63</v>
      </c>
      <c r="K2893" t="s">
        <v>64</v>
      </c>
      <c r="M2893">
        <v>60</v>
      </c>
      <c r="N2893" t="s">
        <v>49</v>
      </c>
      <c r="O2893" t="s">
        <v>4768</v>
      </c>
      <c r="P2893" t="s">
        <v>829</v>
      </c>
      <c r="T2893">
        <v>4</v>
      </c>
      <c r="U2893" t="s">
        <v>56</v>
      </c>
      <c r="V2893" t="s">
        <v>56</v>
      </c>
    </row>
    <row r="2894" spans="1:22" x14ac:dyDescent="0.3">
      <c r="A2894" s="49">
        <v>45272</v>
      </c>
      <c r="E2894" t="s">
        <v>3153</v>
      </c>
      <c r="G2894" t="s">
        <v>5013</v>
      </c>
      <c r="H2894" t="s">
        <v>89</v>
      </c>
      <c r="J2894" t="s">
        <v>63</v>
      </c>
      <c r="K2894" t="s">
        <v>64</v>
      </c>
      <c r="M2894">
        <v>20</v>
      </c>
      <c r="N2894" t="s">
        <v>49</v>
      </c>
      <c r="O2894" t="s">
        <v>4769</v>
      </c>
      <c r="P2894" t="s">
        <v>1878</v>
      </c>
      <c r="T2894">
        <v>4</v>
      </c>
      <c r="U2894" t="s">
        <v>56</v>
      </c>
      <c r="V2894" t="s">
        <v>56</v>
      </c>
    </row>
    <row r="2895" spans="1:22" x14ac:dyDescent="0.3">
      <c r="A2895" s="49">
        <v>45272</v>
      </c>
      <c r="E2895" t="s">
        <v>3153</v>
      </c>
      <c r="G2895" t="s">
        <v>2605</v>
      </c>
      <c r="H2895" t="s">
        <v>89</v>
      </c>
      <c r="J2895" t="s">
        <v>1712</v>
      </c>
      <c r="K2895" t="s">
        <v>481</v>
      </c>
      <c r="M2895">
        <v>25</v>
      </c>
      <c r="N2895" t="s">
        <v>49</v>
      </c>
      <c r="O2895" t="s">
        <v>4770</v>
      </c>
      <c r="P2895" t="s">
        <v>4889</v>
      </c>
      <c r="T2895">
        <v>4</v>
      </c>
      <c r="U2895" t="s">
        <v>56</v>
      </c>
      <c r="V2895" t="s">
        <v>56</v>
      </c>
    </row>
    <row r="2896" spans="1:22" x14ac:dyDescent="0.3">
      <c r="A2896" s="49">
        <v>45272</v>
      </c>
      <c r="E2896" t="s">
        <v>3153</v>
      </c>
      <c r="G2896" t="s">
        <v>2605</v>
      </c>
      <c r="H2896" t="s">
        <v>28</v>
      </c>
      <c r="I2896" t="s">
        <v>5982</v>
      </c>
      <c r="J2896" t="s">
        <v>46</v>
      </c>
      <c r="K2896" t="s">
        <v>4944</v>
      </c>
      <c r="M2896">
        <v>100</v>
      </c>
      <c r="N2896" t="s">
        <v>49</v>
      </c>
      <c r="O2896" t="s">
        <v>4771</v>
      </c>
      <c r="P2896" t="s">
        <v>1159</v>
      </c>
      <c r="T2896">
        <v>4</v>
      </c>
      <c r="U2896" t="s">
        <v>56</v>
      </c>
      <c r="V2896" t="s">
        <v>56</v>
      </c>
    </row>
    <row r="2897" spans="1:22" x14ac:dyDescent="0.3">
      <c r="A2897" s="49">
        <v>45272</v>
      </c>
      <c r="E2897" t="s">
        <v>3153</v>
      </c>
      <c r="G2897" t="s">
        <v>5169</v>
      </c>
      <c r="H2897" t="s">
        <v>89</v>
      </c>
      <c r="J2897" t="s">
        <v>1712</v>
      </c>
      <c r="K2897" t="s">
        <v>481</v>
      </c>
      <c r="M2897">
        <v>100</v>
      </c>
      <c r="N2897" t="s">
        <v>49</v>
      </c>
      <c r="O2897" t="s">
        <v>4772</v>
      </c>
      <c r="P2897" t="s">
        <v>668</v>
      </c>
      <c r="T2897">
        <v>4</v>
      </c>
      <c r="U2897" t="s">
        <v>56</v>
      </c>
      <c r="V2897" t="s">
        <v>56</v>
      </c>
    </row>
    <row r="2898" spans="1:22" x14ac:dyDescent="0.3">
      <c r="A2898" s="49">
        <v>45272</v>
      </c>
      <c r="E2898" t="s">
        <v>3231</v>
      </c>
      <c r="G2898" t="s">
        <v>5283</v>
      </c>
      <c r="H2898" t="s">
        <v>28</v>
      </c>
      <c r="I2898" t="s">
        <v>3068</v>
      </c>
      <c r="J2898" t="s">
        <v>63</v>
      </c>
      <c r="K2898" t="s">
        <v>64</v>
      </c>
      <c r="M2898">
        <v>91</v>
      </c>
      <c r="N2898" t="s">
        <v>49</v>
      </c>
      <c r="O2898" t="s">
        <v>4773</v>
      </c>
      <c r="P2898" t="s">
        <v>416</v>
      </c>
      <c r="T2898">
        <v>4</v>
      </c>
      <c r="U2898" t="s">
        <v>56</v>
      </c>
      <c r="V2898" t="s">
        <v>56</v>
      </c>
    </row>
    <row r="2899" spans="1:22" x14ac:dyDescent="0.3">
      <c r="A2899" s="49">
        <v>45272</v>
      </c>
      <c r="E2899" t="s">
        <v>3118</v>
      </c>
      <c r="G2899" t="s">
        <v>4980</v>
      </c>
      <c r="H2899" t="s">
        <v>28</v>
      </c>
      <c r="I2899" t="s">
        <v>5838</v>
      </c>
      <c r="J2899" t="s">
        <v>63</v>
      </c>
      <c r="K2899" t="s">
        <v>64</v>
      </c>
      <c r="M2899">
        <v>80</v>
      </c>
      <c r="N2899" t="s">
        <v>49</v>
      </c>
      <c r="O2899" t="s">
        <v>4774</v>
      </c>
      <c r="P2899" t="s">
        <v>4833</v>
      </c>
      <c r="T2899">
        <v>4</v>
      </c>
      <c r="U2899" t="s">
        <v>56</v>
      </c>
      <c r="V2899" t="s">
        <v>56</v>
      </c>
    </row>
    <row r="2900" spans="1:22" x14ac:dyDescent="0.3">
      <c r="A2900" s="49">
        <v>45272</v>
      </c>
      <c r="E2900" t="s">
        <v>3118</v>
      </c>
      <c r="G2900" t="s">
        <v>4980</v>
      </c>
      <c r="H2900" t="s">
        <v>28</v>
      </c>
      <c r="I2900" t="s">
        <v>5406</v>
      </c>
      <c r="J2900" t="s">
        <v>46</v>
      </c>
      <c r="K2900" t="s">
        <v>422</v>
      </c>
      <c r="M2900">
        <v>45</v>
      </c>
      <c r="N2900" t="s">
        <v>33</v>
      </c>
      <c r="O2900" t="s">
        <v>4177</v>
      </c>
      <c r="P2900" t="s">
        <v>1597</v>
      </c>
      <c r="T2900">
        <v>4</v>
      </c>
      <c r="U2900" t="s">
        <v>56</v>
      </c>
      <c r="V2900" t="s">
        <v>56</v>
      </c>
    </row>
    <row r="2901" spans="1:22" x14ac:dyDescent="0.3">
      <c r="A2901" s="49">
        <v>45272</v>
      </c>
      <c r="E2901" t="s">
        <v>3118</v>
      </c>
      <c r="G2901" t="s">
        <v>5032</v>
      </c>
      <c r="H2901" t="s">
        <v>89</v>
      </c>
      <c r="J2901" t="s">
        <v>63</v>
      </c>
      <c r="K2901" t="s">
        <v>197</v>
      </c>
      <c r="M2901">
        <v>80</v>
      </c>
      <c r="N2901" t="s">
        <v>49</v>
      </c>
      <c r="O2901" t="s">
        <v>4577</v>
      </c>
      <c r="P2901" t="s">
        <v>1727</v>
      </c>
      <c r="T2901">
        <v>4</v>
      </c>
      <c r="U2901" t="s">
        <v>56</v>
      </c>
      <c r="V2901" t="s">
        <v>56</v>
      </c>
    </row>
    <row r="2902" spans="1:22" x14ac:dyDescent="0.3">
      <c r="A2902" s="49">
        <v>45272</v>
      </c>
      <c r="E2902" t="s">
        <v>3118</v>
      </c>
      <c r="G2902" t="s">
        <v>4979</v>
      </c>
      <c r="H2902" t="s">
        <v>28</v>
      </c>
      <c r="I2902" t="s">
        <v>6045</v>
      </c>
      <c r="J2902" t="s">
        <v>63</v>
      </c>
      <c r="K2902" t="s">
        <v>197</v>
      </c>
      <c r="M2902">
        <v>100</v>
      </c>
      <c r="N2902" t="s">
        <v>49</v>
      </c>
      <c r="O2902" t="s">
        <v>4169</v>
      </c>
      <c r="P2902" t="s">
        <v>306</v>
      </c>
      <c r="T2902">
        <v>4</v>
      </c>
      <c r="U2902" t="s">
        <v>56</v>
      </c>
      <c r="V2902" t="s">
        <v>56</v>
      </c>
    </row>
    <row r="2903" spans="1:22" x14ac:dyDescent="0.3">
      <c r="A2903" s="49">
        <v>45272</v>
      </c>
      <c r="E2903" t="s">
        <v>3118</v>
      </c>
      <c r="G2903" t="s">
        <v>4979</v>
      </c>
      <c r="H2903" t="s">
        <v>28</v>
      </c>
      <c r="I2903" t="s">
        <v>6046</v>
      </c>
      <c r="J2903" t="s">
        <v>63</v>
      </c>
      <c r="K2903" t="s">
        <v>64</v>
      </c>
      <c r="M2903">
        <v>50</v>
      </c>
      <c r="N2903" t="s">
        <v>33</v>
      </c>
      <c r="O2903" t="s">
        <v>4775</v>
      </c>
      <c r="P2903" t="s">
        <v>1697</v>
      </c>
      <c r="T2903">
        <v>4</v>
      </c>
      <c r="U2903" t="s">
        <v>56</v>
      </c>
      <c r="V2903" t="s">
        <v>56</v>
      </c>
    </row>
    <row r="2904" spans="1:22" x14ac:dyDescent="0.3">
      <c r="A2904" s="49">
        <v>45272</v>
      </c>
      <c r="E2904" t="s">
        <v>3155</v>
      </c>
      <c r="G2904" t="s">
        <v>5097</v>
      </c>
      <c r="H2904" t="s">
        <v>89</v>
      </c>
      <c r="J2904" t="s">
        <v>63</v>
      </c>
      <c r="K2904" t="s">
        <v>64</v>
      </c>
      <c r="M2904">
        <v>40</v>
      </c>
      <c r="N2904" t="s">
        <v>49</v>
      </c>
      <c r="O2904" t="s">
        <v>4776</v>
      </c>
      <c r="P2904" t="s">
        <v>1697</v>
      </c>
      <c r="T2904">
        <v>4</v>
      </c>
      <c r="U2904" t="s">
        <v>56</v>
      </c>
      <c r="V2904" t="s">
        <v>56</v>
      </c>
    </row>
    <row r="2905" spans="1:22" x14ac:dyDescent="0.3">
      <c r="A2905" s="49">
        <v>45272</v>
      </c>
      <c r="E2905" t="s">
        <v>2777</v>
      </c>
      <c r="G2905" t="s">
        <v>5031</v>
      </c>
      <c r="H2905" t="s">
        <v>28</v>
      </c>
      <c r="I2905" t="s">
        <v>6047</v>
      </c>
      <c r="J2905" t="s">
        <v>63</v>
      </c>
      <c r="K2905" t="s">
        <v>64</v>
      </c>
      <c r="M2905">
        <v>100</v>
      </c>
      <c r="N2905" t="s">
        <v>49</v>
      </c>
      <c r="O2905" t="s">
        <v>4777</v>
      </c>
      <c r="P2905" t="s">
        <v>170</v>
      </c>
      <c r="T2905">
        <v>4</v>
      </c>
      <c r="U2905" t="s">
        <v>56</v>
      </c>
      <c r="V2905" t="s">
        <v>56</v>
      </c>
    </row>
    <row r="2906" spans="1:22" x14ac:dyDescent="0.3">
      <c r="A2906" s="49">
        <v>45272</v>
      </c>
      <c r="E2906" t="s">
        <v>2777</v>
      </c>
      <c r="G2906" t="s">
        <v>5031</v>
      </c>
      <c r="H2906" t="s">
        <v>28</v>
      </c>
      <c r="I2906" t="s">
        <v>6047</v>
      </c>
      <c r="J2906" t="s">
        <v>63</v>
      </c>
      <c r="K2906" t="s">
        <v>64</v>
      </c>
      <c r="M2906">
        <v>100</v>
      </c>
      <c r="N2906" t="s">
        <v>49</v>
      </c>
      <c r="O2906" t="s">
        <v>4777</v>
      </c>
      <c r="P2906" t="s">
        <v>170</v>
      </c>
      <c r="T2906">
        <v>4</v>
      </c>
      <c r="U2906" t="s">
        <v>56</v>
      </c>
      <c r="V2906" t="s">
        <v>56</v>
      </c>
    </row>
    <row r="2907" spans="1:22" x14ac:dyDescent="0.3">
      <c r="A2907" s="49">
        <v>45272</v>
      </c>
      <c r="E2907" t="s">
        <v>2777</v>
      </c>
      <c r="G2907" t="s">
        <v>5031</v>
      </c>
      <c r="H2907" t="s">
        <v>89</v>
      </c>
      <c r="J2907" t="s">
        <v>63</v>
      </c>
      <c r="K2907" t="s">
        <v>64</v>
      </c>
      <c r="M2907">
        <v>57</v>
      </c>
      <c r="N2907" t="s">
        <v>33</v>
      </c>
      <c r="O2907" t="s">
        <v>4778</v>
      </c>
      <c r="P2907" t="s">
        <v>1701</v>
      </c>
      <c r="T2907">
        <v>4</v>
      </c>
      <c r="U2907" t="s">
        <v>56</v>
      </c>
      <c r="V2907" t="s">
        <v>56</v>
      </c>
    </row>
    <row r="2908" spans="1:22" x14ac:dyDescent="0.3">
      <c r="A2908" s="49">
        <v>45272</v>
      </c>
      <c r="E2908" t="s">
        <v>2777</v>
      </c>
      <c r="G2908" t="s">
        <v>5031</v>
      </c>
      <c r="H2908" t="s">
        <v>89</v>
      </c>
      <c r="J2908" t="s">
        <v>46</v>
      </c>
      <c r="K2908" t="s">
        <v>422</v>
      </c>
      <c r="M2908">
        <v>90</v>
      </c>
      <c r="N2908" t="s">
        <v>33</v>
      </c>
      <c r="O2908" t="s">
        <v>4779</v>
      </c>
      <c r="P2908" t="s">
        <v>66</v>
      </c>
      <c r="T2908">
        <v>4</v>
      </c>
      <c r="U2908" t="s">
        <v>56</v>
      </c>
      <c r="V2908" t="s">
        <v>56</v>
      </c>
    </row>
    <row r="2909" spans="1:22" x14ac:dyDescent="0.3">
      <c r="A2909" s="49">
        <v>45272</v>
      </c>
      <c r="E2909" t="s">
        <v>3181</v>
      </c>
      <c r="G2909" t="s">
        <v>5070</v>
      </c>
      <c r="H2909" t="s">
        <v>28</v>
      </c>
      <c r="I2909" t="s">
        <v>6048</v>
      </c>
      <c r="J2909" t="s">
        <v>63</v>
      </c>
      <c r="K2909" t="s">
        <v>64</v>
      </c>
      <c r="M2909">
        <v>33</v>
      </c>
      <c r="N2909" t="s">
        <v>49</v>
      </c>
      <c r="O2909" t="s">
        <v>4780</v>
      </c>
      <c r="P2909" t="s">
        <v>381</v>
      </c>
      <c r="T2909">
        <v>4</v>
      </c>
      <c r="U2909" t="s">
        <v>56</v>
      </c>
      <c r="V2909" t="s">
        <v>56</v>
      </c>
    </row>
    <row r="2910" spans="1:22" x14ac:dyDescent="0.3">
      <c r="A2910" s="49">
        <v>45272</v>
      </c>
      <c r="E2910" t="s">
        <v>3213</v>
      </c>
      <c r="G2910" t="s">
        <v>5370</v>
      </c>
      <c r="H2910" t="s">
        <v>28</v>
      </c>
      <c r="I2910" t="s">
        <v>6049</v>
      </c>
      <c r="J2910" t="s">
        <v>46</v>
      </c>
      <c r="K2910" t="s">
        <v>4944</v>
      </c>
      <c r="M2910">
        <v>100</v>
      </c>
      <c r="N2910" t="s">
        <v>49</v>
      </c>
      <c r="O2910" t="s">
        <v>4781</v>
      </c>
      <c r="P2910" t="s">
        <v>287</v>
      </c>
      <c r="T2910">
        <v>4</v>
      </c>
      <c r="U2910" t="s">
        <v>56</v>
      </c>
      <c r="V2910" t="s">
        <v>56</v>
      </c>
    </row>
    <row r="2911" spans="1:22" x14ac:dyDescent="0.3">
      <c r="A2911" s="49">
        <v>45272</v>
      </c>
      <c r="E2911" t="s">
        <v>3189</v>
      </c>
      <c r="G2911" t="s">
        <v>5098</v>
      </c>
      <c r="H2911" t="s">
        <v>28</v>
      </c>
      <c r="I2911" t="s">
        <v>5852</v>
      </c>
      <c r="J2911" t="s">
        <v>63</v>
      </c>
      <c r="K2911" t="s">
        <v>64</v>
      </c>
      <c r="M2911">
        <v>100</v>
      </c>
      <c r="N2911" t="s">
        <v>33</v>
      </c>
      <c r="O2911" t="s">
        <v>4220</v>
      </c>
      <c r="P2911" t="s">
        <v>1697</v>
      </c>
      <c r="T2911">
        <v>4</v>
      </c>
      <c r="U2911" t="s">
        <v>56</v>
      </c>
      <c r="V2911" t="s">
        <v>56</v>
      </c>
    </row>
    <row r="2912" spans="1:22" x14ac:dyDescent="0.3">
      <c r="A2912" s="49">
        <v>45272</v>
      </c>
      <c r="E2912" t="s">
        <v>3189</v>
      </c>
      <c r="G2912" t="s">
        <v>5098</v>
      </c>
      <c r="H2912" t="s">
        <v>28</v>
      </c>
      <c r="I2912" t="s">
        <v>5852</v>
      </c>
      <c r="J2912" t="s">
        <v>46</v>
      </c>
      <c r="K2912" t="s">
        <v>422</v>
      </c>
      <c r="M2912">
        <v>25</v>
      </c>
      <c r="N2912" t="s">
        <v>33</v>
      </c>
      <c r="O2912" t="s">
        <v>4782</v>
      </c>
      <c r="P2912" t="s">
        <v>306</v>
      </c>
      <c r="T2912">
        <v>4</v>
      </c>
      <c r="U2912" t="s">
        <v>56</v>
      </c>
      <c r="V2912" t="s">
        <v>56</v>
      </c>
    </row>
    <row r="2913" spans="1:22" x14ac:dyDescent="0.3">
      <c r="A2913" s="49">
        <v>45272</v>
      </c>
      <c r="E2913" t="s">
        <v>3189</v>
      </c>
      <c r="G2913" t="s">
        <v>5098</v>
      </c>
      <c r="H2913" t="s">
        <v>3245</v>
      </c>
      <c r="I2913" t="s">
        <v>6050</v>
      </c>
      <c r="J2913" t="s">
        <v>63</v>
      </c>
      <c r="K2913" t="s">
        <v>64</v>
      </c>
      <c r="M2913">
        <v>100</v>
      </c>
      <c r="N2913" t="s">
        <v>49</v>
      </c>
      <c r="O2913" t="s">
        <v>4783</v>
      </c>
      <c r="P2913" t="s">
        <v>4874</v>
      </c>
      <c r="T2913">
        <v>4</v>
      </c>
      <c r="U2913" t="s">
        <v>56</v>
      </c>
      <c r="V2913" t="s">
        <v>56</v>
      </c>
    </row>
    <row r="2914" spans="1:22" x14ac:dyDescent="0.3">
      <c r="A2914" s="49">
        <v>45272</v>
      </c>
      <c r="E2914" t="s">
        <v>3119</v>
      </c>
      <c r="G2914" t="s">
        <v>5067</v>
      </c>
      <c r="H2914" t="s">
        <v>28</v>
      </c>
      <c r="I2914" t="s">
        <v>5859</v>
      </c>
      <c r="J2914" t="s">
        <v>63</v>
      </c>
      <c r="K2914" t="s">
        <v>64</v>
      </c>
      <c r="M2914">
        <v>100</v>
      </c>
      <c r="N2914" t="s">
        <v>49</v>
      </c>
      <c r="O2914" t="s">
        <v>4235</v>
      </c>
      <c r="P2914" t="s">
        <v>416</v>
      </c>
      <c r="T2914">
        <v>4</v>
      </c>
      <c r="U2914" t="s">
        <v>56</v>
      </c>
      <c r="V2914" t="s">
        <v>56</v>
      </c>
    </row>
    <row r="2915" spans="1:22" x14ac:dyDescent="0.3">
      <c r="A2915" s="49">
        <v>45272</v>
      </c>
      <c r="E2915" t="s">
        <v>3119</v>
      </c>
      <c r="G2915" t="s">
        <v>5067</v>
      </c>
      <c r="H2915" t="s">
        <v>28</v>
      </c>
      <c r="I2915" t="s">
        <v>5859</v>
      </c>
      <c r="J2915" t="s">
        <v>63</v>
      </c>
      <c r="K2915" t="s">
        <v>64</v>
      </c>
      <c r="M2915">
        <v>100</v>
      </c>
      <c r="N2915" t="s">
        <v>49</v>
      </c>
      <c r="O2915" t="s">
        <v>4235</v>
      </c>
      <c r="P2915" t="s">
        <v>416</v>
      </c>
      <c r="T2915">
        <v>4</v>
      </c>
      <c r="U2915" t="s">
        <v>56</v>
      </c>
      <c r="V2915" t="s">
        <v>56</v>
      </c>
    </row>
    <row r="2916" spans="1:22" x14ac:dyDescent="0.3">
      <c r="A2916" s="49">
        <v>45272</v>
      </c>
      <c r="E2916" t="s">
        <v>3119</v>
      </c>
      <c r="G2916" t="s">
        <v>5067</v>
      </c>
      <c r="H2916" t="s">
        <v>28</v>
      </c>
      <c r="I2916" t="s">
        <v>5859</v>
      </c>
      <c r="J2916" t="s">
        <v>63</v>
      </c>
      <c r="K2916" t="s">
        <v>64</v>
      </c>
      <c r="M2916">
        <v>100</v>
      </c>
      <c r="N2916" t="s">
        <v>49</v>
      </c>
      <c r="O2916" t="s">
        <v>4235</v>
      </c>
      <c r="P2916" t="s">
        <v>416</v>
      </c>
      <c r="T2916">
        <v>4</v>
      </c>
      <c r="U2916" t="s">
        <v>56</v>
      </c>
      <c r="V2916" t="s">
        <v>56</v>
      </c>
    </row>
    <row r="2917" spans="1:22" x14ac:dyDescent="0.3">
      <c r="A2917" s="49">
        <v>45272</v>
      </c>
      <c r="E2917" t="s">
        <v>3119</v>
      </c>
      <c r="G2917" t="s">
        <v>5067</v>
      </c>
      <c r="H2917" t="s">
        <v>28</v>
      </c>
      <c r="I2917" t="s">
        <v>5859</v>
      </c>
      <c r="J2917" t="s">
        <v>63</v>
      </c>
      <c r="K2917" t="s">
        <v>64</v>
      </c>
      <c r="M2917">
        <v>100</v>
      </c>
      <c r="N2917" t="s">
        <v>49</v>
      </c>
      <c r="O2917" t="s">
        <v>4235</v>
      </c>
      <c r="P2917" t="s">
        <v>416</v>
      </c>
      <c r="T2917">
        <v>4</v>
      </c>
      <c r="U2917" t="s">
        <v>56</v>
      </c>
      <c r="V2917" t="s">
        <v>56</v>
      </c>
    </row>
    <row r="2918" spans="1:22" x14ac:dyDescent="0.3">
      <c r="A2918" s="49">
        <v>45272</v>
      </c>
      <c r="E2918" t="s">
        <v>3119</v>
      </c>
      <c r="G2918" t="s">
        <v>5067</v>
      </c>
      <c r="H2918" t="s">
        <v>28</v>
      </c>
      <c r="I2918" t="s">
        <v>5859</v>
      </c>
      <c r="J2918" t="s">
        <v>63</v>
      </c>
      <c r="K2918" t="s">
        <v>64</v>
      </c>
      <c r="M2918">
        <v>100</v>
      </c>
      <c r="N2918" t="s">
        <v>49</v>
      </c>
      <c r="O2918" t="s">
        <v>4235</v>
      </c>
      <c r="P2918" t="s">
        <v>416</v>
      </c>
      <c r="T2918">
        <v>4</v>
      </c>
      <c r="U2918" t="s">
        <v>56</v>
      </c>
      <c r="V2918" t="s">
        <v>56</v>
      </c>
    </row>
    <row r="2919" spans="1:22" x14ac:dyDescent="0.3">
      <c r="A2919" s="49">
        <v>45272</v>
      </c>
      <c r="E2919" t="s">
        <v>3119</v>
      </c>
      <c r="G2919" t="s">
        <v>5067</v>
      </c>
      <c r="H2919" t="s">
        <v>28</v>
      </c>
      <c r="I2919" t="s">
        <v>5859</v>
      </c>
      <c r="J2919" t="s">
        <v>63</v>
      </c>
      <c r="K2919" t="s">
        <v>64</v>
      </c>
      <c r="M2919">
        <v>100</v>
      </c>
      <c r="N2919" t="s">
        <v>49</v>
      </c>
      <c r="O2919" t="s">
        <v>4235</v>
      </c>
      <c r="P2919" t="s">
        <v>416</v>
      </c>
      <c r="T2919">
        <v>4</v>
      </c>
      <c r="U2919" t="s">
        <v>56</v>
      </c>
      <c r="V2919" t="s">
        <v>56</v>
      </c>
    </row>
    <row r="2920" spans="1:22" x14ac:dyDescent="0.3">
      <c r="A2920" s="49">
        <v>45272</v>
      </c>
      <c r="E2920" t="s">
        <v>3119</v>
      </c>
      <c r="G2920" t="s">
        <v>4982</v>
      </c>
      <c r="H2920" t="s">
        <v>89</v>
      </c>
      <c r="J2920" t="s">
        <v>63</v>
      </c>
      <c r="K2920" t="s">
        <v>64</v>
      </c>
      <c r="M2920">
        <v>100</v>
      </c>
      <c r="N2920" t="s">
        <v>49</v>
      </c>
      <c r="O2920" t="s">
        <v>4784</v>
      </c>
      <c r="P2920" t="s">
        <v>1230</v>
      </c>
      <c r="T2920">
        <v>4</v>
      </c>
      <c r="U2920" t="s">
        <v>56</v>
      </c>
      <c r="V2920" t="s">
        <v>56</v>
      </c>
    </row>
    <row r="2921" spans="1:22" x14ac:dyDescent="0.3">
      <c r="A2921" s="49">
        <v>45272</v>
      </c>
      <c r="E2921" t="s">
        <v>3119</v>
      </c>
      <c r="G2921" t="s">
        <v>4982</v>
      </c>
      <c r="H2921" t="s">
        <v>89</v>
      </c>
      <c r="J2921" t="s">
        <v>63</v>
      </c>
      <c r="K2921" t="s">
        <v>64</v>
      </c>
      <c r="M2921">
        <v>0</v>
      </c>
      <c r="N2921" t="s">
        <v>49</v>
      </c>
      <c r="O2921" t="s">
        <v>4785</v>
      </c>
      <c r="P2921" t="s">
        <v>1230</v>
      </c>
      <c r="T2921">
        <v>4</v>
      </c>
      <c r="U2921" t="s">
        <v>56</v>
      </c>
      <c r="V2921" t="s">
        <v>56</v>
      </c>
    </row>
    <row r="2922" spans="1:22" x14ac:dyDescent="0.3">
      <c r="A2922" s="49">
        <v>45272</v>
      </c>
      <c r="E2922" t="s">
        <v>3120</v>
      </c>
      <c r="G2922" t="s">
        <v>5290</v>
      </c>
      <c r="H2922" t="s">
        <v>28</v>
      </c>
      <c r="I2922" t="s">
        <v>5860</v>
      </c>
      <c r="J2922" t="s">
        <v>63</v>
      </c>
      <c r="K2922" t="s">
        <v>64</v>
      </c>
      <c r="M2922">
        <v>100</v>
      </c>
      <c r="N2922" t="s">
        <v>49</v>
      </c>
      <c r="O2922" t="s">
        <v>4238</v>
      </c>
      <c r="P2922" t="s">
        <v>4884</v>
      </c>
      <c r="T2922">
        <v>4</v>
      </c>
      <c r="U2922" t="s">
        <v>56</v>
      </c>
      <c r="V2922" t="s">
        <v>56</v>
      </c>
    </row>
    <row r="2923" spans="1:22" x14ac:dyDescent="0.3">
      <c r="A2923" s="49">
        <v>45272</v>
      </c>
      <c r="E2923" t="s">
        <v>3120</v>
      </c>
      <c r="G2923" t="s">
        <v>5290</v>
      </c>
      <c r="H2923" t="s">
        <v>28</v>
      </c>
      <c r="I2923" t="s">
        <v>5860</v>
      </c>
      <c r="J2923" t="s">
        <v>63</v>
      </c>
      <c r="K2923" t="s">
        <v>64</v>
      </c>
      <c r="M2923">
        <v>100</v>
      </c>
      <c r="N2923" t="s">
        <v>49</v>
      </c>
      <c r="O2923" t="s">
        <v>4238</v>
      </c>
      <c r="P2923" t="s">
        <v>4884</v>
      </c>
      <c r="T2923">
        <v>4</v>
      </c>
      <c r="U2923" t="s">
        <v>56</v>
      </c>
      <c r="V2923" t="s">
        <v>56</v>
      </c>
    </row>
    <row r="2924" spans="1:22" x14ac:dyDescent="0.3">
      <c r="A2924" s="49">
        <v>45272</v>
      </c>
      <c r="E2924" t="s">
        <v>3120</v>
      </c>
      <c r="G2924" t="s">
        <v>2648</v>
      </c>
      <c r="H2924" t="s">
        <v>89</v>
      </c>
      <c r="J2924" t="s">
        <v>63</v>
      </c>
      <c r="K2924" t="s">
        <v>64</v>
      </c>
      <c r="M2924">
        <v>100</v>
      </c>
      <c r="N2924" t="s">
        <v>33</v>
      </c>
      <c r="O2924" t="s">
        <v>4786</v>
      </c>
      <c r="P2924" t="s">
        <v>878</v>
      </c>
      <c r="T2924">
        <v>4</v>
      </c>
      <c r="U2924" t="s">
        <v>56</v>
      </c>
      <c r="V2924" t="s">
        <v>56</v>
      </c>
    </row>
    <row r="2925" spans="1:22" x14ac:dyDescent="0.3">
      <c r="A2925" s="49">
        <v>45272</v>
      </c>
      <c r="E2925" t="s">
        <v>3121</v>
      </c>
      <c r="G2925" t="s">
        <v>5073</v>
      </c>
      <c r="H2925" t="s">
        <v>28</v>
      </c>
      <c r="I2925" t="s">
        <v>5687</v>
      </c>
      <c r="J2925" t="s">
        <v>63</v>
      </c>
      <c r="K2925" t="s">
        <v>64</v>
      </c>
      <c r="M2925">
        <v>67</v>
      </c>
      <c r="N2925" t="s">
        <v>33</v>
      </c>
      <c r="O2925" t="s">
        <v>4787</v>
      </c>
      <c r="P2925" t="s">
        <v>651</v>
      </c>
      <c r="T2925">
        <v>5</v>
      </c>
      <c r="U2925" t="s">
        <v>40</v>
      </c>
      <c r="V2925" t="s">
        <v>41</v>
      </c>
    </row>
    <row r="2926" spans="1:22" x14ac:dyDescent="0.3">
      <c r="A2926" s="49">
        <v>45272</v>
      </c>
      <c r="E2926" t="s">
        <v>3121</v>
      </c>
      <c r="G2926" t="s">
        <v>5074</v>
      </c>
      <c r="H2926" t="s">
        <v>89</v>
      </c>
      <c r="J2926" t="s">
        <v>63</v>
      </c>
      <c r="K2926" t="s">
        <v>64</v>
      </c>
      <c r="M2926">
        <v>60</v>
      </c>
      <c r="N2926" t="s">
        <v>33</v>
      </c>
      <c r="O2926" t="s">
        <v>4788</v>
      </c>
      <c r="P2926" t="s">
        <v>1878</v>
      </c>
      <c r="T2926">
        <v>4</v>
      </c>
      <c r="U2926" t="s">
        <v>56</v>
      </c>
      <c r="V2926" t="s">
        <v>56</v>
      </c>
    </row>
    <row r="2927" spans="1:22" x14ac:dyDescent="0.3">
      <c r="A2927" s="49">
        <v>45272</v>
      </c>
      <c r="E2927" t="s">
        <v>3121</v>
      </c>
      <c r="G2927" t="s">
        <v>5074</v>
      </c>
      <c r="H2927" t="s">
        <v>28</v>
      </c>
      <c r="I2927" t="s">
        <v>2000</v>
      </c>
      <c r="J2927" t="s">
        <v>63</v>
      </c>
      <c r="K2927" t="s">
        <v>64</v>
      </c>
      <c r="M2927">
        <v>0</v>
      </c>
      <c r="N2927" t="s">
        <v>74</v>
      </c>
      <c r="O2927" t="s">
        <v>4789</v>
      </c>
      <c r="P2927" t="s">
        <v>163</v>
      </c>
      <c r="T2927">
        <v>4</v>
      </c>
      <c r="U2927" t="s">
        <v>56</v>
      </c>
      <c r="V2927" t="s">
        <v>56</v>
      </c>
    </row>
    <row r="2928" spans="1:22" x14ac:dyDescent="0.3">
      <c r="A2928" s="49">
        <v>45272</v>
      </c>
      <c r="E2928" t="s">
        <v>3121</v>
      </c>
      <c r="G2928" t="s">
        <v>5182</v>
      </c>
      <c r="H2928" t="s">
        <v>28</v>
      </c>
      <c r="I2928" t="s">
        <v>6051</v>
      </c>
      <c r="J2928" t="s">
        <v>63</v>
      </c>
      <c r="K2928" t="s">
        <v>64</v>
      </c>
      <c r="M2928">
        <v>0</v>
      </c>
      <c r="N2928" t="s">
        <v>74</v>
      </c>
      <c r="O2928" t="s">
        <v>4790</v>
      </c>
      <c r="P2928" t="s">
        <v>691</v>
      </c>
      <c r="T2928">
        <v>4</v>
      </c>
      <c r="U2928" t="s">
        <v>56</v>
      </c>
      <c r="V2928" t="s">
        <v>56</v>
      </c>
    </row>
    <row r="2929" spans="1:22" x14ac:dyDescent="0.3">
      <c r="A2929" s="49">
        <v>45272</v>
      </c>
      <c r="E2929" t="s">
        <v>3121</v>
      </c>
      <c r="G2929" t="s">
        <v>5074</v>
      </c>
      <c r="H2929" t="s">
        <v>28</v>
      </c>
      <c r="I2929" t="s">
        <v>2000</v>
      </c>
      <c r="J2929" t="s">
        <v>63</v>
      </c>
      <c r="K2929" t="s">
        <v>64</v>
      </c>
      <c r="M2929">
        <v>46</v>
      </c>
      <c r="N2929" t="s">
        <v>33</v>
      </c>
      <c r="O2929" t="s">
        <v>4791</v>
      </c>
      <c r="P2929" t="s">
        <v>1786</v>
      </c>
      <c r="T2929">
        <v>4</v>
      </c>
      <c r="U2929" t="s">
        <v>56</v>
      </c>
      <c r="V2929" t="s">
        <v>56</v>
      </c>
    </row>
    <row r="2930" spans="1:22" x14ac:dyDescent="0.3">
      <c r="A2930" s="49">
        <v>45272</v>
      </c>
      <c r="E2930" t="s">
        <v>3121</v>
      </c>
      <c r="G2930" t="s">
        <v>5182</v>
      </c>
      <c r="H2930" t="s">
        <v>89</v>
      </c>
      <c r="J2930" t="s">
        <v>63</v>
      </c>
      <c r="K2930" t="s">
        <v>64</v>
      </c>
      <c r="M2930">
        <v>100</v>
      </c>
      <c r="N2930" t="s">
        <v>33</v>
      </c>
      <c r="O2930" t="s">
        <v>4792</v>
      </c>
      <c r="P2930" t="s">
        <v>4833</v>
      </c>
      <c r="T2930">
        <v>4</v>
      </c>
      <c r="U2930" t="s">
        <v>56</v>
      </c>
      <c r="V2930" t="s">
        <v>56</v>
      </c>
    </row>
    <row r="2931" spans="1:22" x14ac:dyDescent="0.3">
      <c r="A2931" s="49">
        <v>45272</v>
      </c>
      <c r="E2931" t="s">
        <v>3121</v>
      </c>
      <c r="G2931" t="s">
        <v>5182</v>
      </c>
      <c r="H2931" t="s">
        <v>89</v>
      </c>
      <c r="J2931" t="s">
        <v>63</v>
      </c>
      <c r="K2931" t="s">
        <v>64</v>
      </c>
      <c r="M2931">
        <v>100</v>
      </c>
      <c r="N2931" t="s">
        <v>33</v>
      </c>
      <c r="O2931" t="s">
        <v>4793</v>
      </c>
      <c r="P2931" t="s">
        <v>344</v>
      </c>
      <c r="T2931">
        <v>4</v>
      </c>
      <c r="U2931" t="s">
        <v>56</v>
      </c>
      <c r="V2931" t="s">
        <v>56</v>
      </c>
    </row>
    <row r="2932" spans="1:22" x14ac:dyDescent="0.3">
      <c r="A2932" s="49">
        <v>45272</v>
      </c>
      <c r="E2932" t="s">
        <v>3121</v>
      </c>
      <c r="G2932" t="s">
        <v>4985</v>
      </c>
      <c r="H2932" t="s">
        <v>89</v>
      </c>
      <c r="J2932" t="s">
        <v>63</v>
      </c>
      <c r="K2932" t="s">
        <v>64</v>
      </c>
      <c r="M2932">
        <v>100</v>
      </c>
      <c r="N2932" t="s">
        <v>49</v>
      </c>
      <c r="O2932" t="s">
        <v>4794</v>
      </c>
      <c r="P2932" t="s">
        <v>344</v>
      </c>
      <c r="T2932">
        <v>4</v>
      </c>
      <c r="U2932" t="s">
        <v>56</v>
      </c>
      <c r="V2932" t="s">
        <v>56</v>
      </c>
    </row>
    <row r="2933" spans="1:22" x14ac:dyDescent="0.3">
      <c r="A2933" s="49">
        <v>45272</v>
      </c>
      <c r="E2933" t="s">
        <v>3121</v>
      </c>
      <c r="G2933" t="s">
        <v>5295</v>
      </c>
      <c r="H2933" t="s">
        <v>28</v>
      </c>
      <c r="I2933" t="s">
        <v>5872</v>
      </c>
      <c r="J2933" t="s">
        <v>63</v>
      </c>
      <c r="K2933" t="s">
        <v>64</v>
      </c>
      <c r="M2933">
        <v>50</v>
      </c>
      <c r="N2933" t="s">
        <v>49</v>
      </c>
      <c r="O2933" t="s">
        <v>4795</v>
      </c>
      <c r="P2933" t="s">
        <v>1878</v>
      </c>
      <c r="T2933">
        <v>5</v>
      </c>
      <c r="U2933" t="s">
        <v>40</v>
      </c>
      <c r="V2933" t="s">
        <v>41</v>
      </c>
    </row>
    <row r="2934" spans="1:22" x14ac:dyDescent="0.3">
      <c r="A2934" s="49">
        <v>45272</v>
      </c>
      <c r="E2934" t="s">
        <v>3121</v>
      </c>
      <c r="G2934" t="s">
        <v>5071</v>
      </c>
      <c r="H2934" t="s">
        <v>89</v>
      </c>
      <c r="J2934" t="s">
        <v>46</v>
      </c>
      <c r="K2934" t="s">
        <v>4944</v>
      </c>
      <c r="M2934">
        <v>100</v>
      </c>
      <c r="N2934" t="s">
        <v>49</v>
      </c>
      <c r="O2934" t="s">
        <v>4796</v>
      </c>
      <c r="P2934" t="s">
        <v>1122</v>
      </c>
      <c r="T2934">
        <v>4</v>
      </c>
      <c r="U2934" t="s">
        <v>56</v>
      </c>
      <c r="V2934" t="s">
        <v>56</v>
      </c>
    </row>
    <row r="2935" spans="1:22" x14ac:dyDescent="0.3">
      <c r="A2935" s="49">
        <v>45272</v>
      </c>
      <c r="E2935" t="s">
        <v>3121</v>
      </c>
      <c r="G2935" t="s">
        <v>5074</v>
      </c>
      <c r="H2935" t="s">
        <v>89</v>
      </c>
      <c r="J2935" t="s">
        <v>63</v>
      </c>
      <c r="K2935" t="s">
        <v>64</v>
      </c>
      <c r="M2935">
        <v>85</v>
      </c>
      <c r="N2935" t="s">
        <v>49</v>
      </c>
      <c r="O2935" t="s">
        <v>4797</v>
      </c>
      <c r="P2935" t="s">
        <v>483</v>
      </c>
      <c r="T2935">
        <v>4</v>
      </c>
      <c r="U2935" t="s">
        <v>56</v>
      </c>
      <c r="V2935" t="s">
        <v>56</v>
      </c>
    </row>
    <row r="2936" spans="1:22" x14ac:dyDescent="0.3">
      <c r="A2936" s="49">
        <v>45272</v>
      </c>
      <c r="E2936" t="s">
        <v>3121</v>
      </c>
      <c r="G2936" t="s">
        <v>5181</v>
      </c>
      <c r="H2936" t="s">
        <v>3245</v>
      </c>
      <c r="I2936" t="s">
        <v>6052</v>
      </c>
      <c r="J2936" t="s">
        <v>63</v>
      </c>
      <c r="K2936" t="s">
        <v>4936</v>
      </c>
      <c r="M2936">
        <v>10</v>
      </c>
      <c r="N2936" t="s">
        <v>49</v>
      </c>
      <c r="O2936" t="s">
        <v>4798</v>
      </c>
      <c r="P2936" t="s">
        <v>4920</v>
      </c>
      <c r="T2936">
        <v>4</v>
      </c>
      <c r="U2936" t="s">
        <v>56</v>
      </c>
      <c r="V2936" t="s">
        <v>56</v>
      </c>
    </row>
    <row r="2937" spans="1:22" x14ac:dyDescent="0.3">
      <c r="A2937" s="49">
        <v>45272</v>
      </c>
      <c r="E2937" t="s">
        <v>3121</v>
      </c>
      <c r="G2937" t="s">
        <v>5182</v>
      </c>
      <c r="H2937" t="s">
        <v>89</v>
      </c>
      <c r="J2937" t="s">
        <v>63</v>
      </c>
      <c r="K2937" t="s">
        <v>64</v>
      </c>
      <c r="M2937">
        <v>50</v>
      </c>
      <c r="N2937" t="s">
        <v>33</v>
      </c>
      <c r="O2937" t="s">
        <v>4732</v>
      </c>
      <c r="P2937" t="s">
        <v>1786</v>
      </c>
      <c r="T2937">
        <v>4</v>
      </c>
      <c r="U2937" t="s">
        <v>56</v>
      </c>
      <c r="V2937" t="s">
        <v>56</v>
      </c>
    </row>
    <row r="2938" spans="1:22" x14ac:dyDescent="0.3">
      <c r="A2938" s="49">
        <v>45272</v>
      </c>
      <c r="E2938" t="s">
        <v>3121</v>
      </c>
      <c r="G2938" t="s">
        <v>5036</v>
      </c>
      <c r="H2938" t="s">
        <v>89</v>
      </c>
      <c r="J2938" t="s">
        <v>63</v>
      </c>
      <c r="K2938" t="s">
        <v>64</v>
      </c>
      <c r="M2938">
        <v>100</v>
      </c>
      <c r="N2938" t="s">
        <v>49</v>
      </c>
      <c r="O2938" t="s">
        <v>4799</v>
      </c>
      <c r="P2938" t="s">
        <v>170</v>
      </c>
      <c r="T2938">
        <v>4</v>
      </c>
      <c r="U2938" t="s">
        <v>56</v>
      </c>
      <c r="V2938" t="s">
        <v>56</v>
      </c>
    </row>
    <row r="2939" spans="1:22" x14ac:dyDescent="0.3">
      <c r="A2939" s="49">
        <v>45272</v>
      </c>
      <c r="E2939" t="s">
        <v>3121</v>
      </c>
      <c r="G2939" t="s">
        <v>5036</v>
      </c>
      <c r="H2939" t="s">
        <v>28</v>
      </c>
      <c r="I2939" t="s">
        <v>2007</v>
      </c>
      <c r="J2939" t="s">
        <v>63</v>
      </c>
      <c r="K2939" t="s">
        <v>64</v>
      </c>
      <c r="M2939">
        <v>60</v>
      </c>
      <c r="N2939" t="s">
        <v>33</v>
      </c>
      <c r="O2939" t="s">
        <v>4800</v>
      </c>
      <c r="P2939" t="s">
        <v>743</v>
      </c>
      <c r="T2939">
        <v>4</v>
      </c>
      <c r="U2939" t="s">
        <v>56</v>
      </c>
      <c r="V2939" t="s">
        <v>56</v>
      </c>
    </row>
    <row r="2940" spans="1:22" x14ac:dyDescent="0.3">
      <c r="A2940" s="49">
        <v>45272</v>
      </c>
      <c r="E2940" t="s">
        <v>3124</v>
      </c>
      <c r="G2940" t="s">
        <v>5196</v>
      </c>
      <c r="H2940" t="s">
        <v>28</v>
      </c>
      <c r="I2940" t="s">
        <v>6053</v>
      </c>
      <c r="J2940" t="s">
        <v>63</v>
      </c>
      <c r="K2940" t="s">
        <v>64</v>
      </c>
      <c r="M2940">
        <v>100</v>
      </c>
      <c r="N2940" t="s">
        <v>49</v>
      </c>
      <c r="O2940" t="s">
        <v>4801</v>
      </c>
      <c r="P2940" t="s">
        <v>358</v>
      </c>
      <c r="T2940">
        <v>4</v>
      </c>
      <c r="U2940" t="s">
        <v>56</v>
      </c>
      <c r="V2940" t="s">
        <v>56</v>
      </c>
    </row>
    <row r="2941" spans="1:22" x14ac:dyDescent="0.3">
      <c r="A2941" s="49">
        <v>45272</v>
      </c>
      <c r="E2941" t="s">
        <v>3124</v>
      </c>
      <c r="G2941" t="s">
        <v>864</v>
      </c>
      <c r="H2941" t="s">
        <v>28</v>
      </c>
      <c r="I2941" t="s">
        <v>5958</v>
      </c>
      <c r="J2941" t="s">
        <v>63</v>
      </c>
      <c r="K2941" t="s">
        <v>64</v>
      </c>
      <c r="M2941">
        <v>50</v>
      </c>
      <c r="N2941" t="s">
        <v>49</v>
      </c>
      <c r="O2941" t="s">
        <v>4802</v>
      </c>
      <c r="P2941" t="s">
        <v>1701</v>
      </c>
      <c r="S2941" t="s">
        <v>6332</v>
      </c>
      <c r="T2941">
        <v>4</v>
      </c>
      <c r="U2941" t="s">
        <v>56</v>
      </c>
      <c r="V2941" t="s">
        <v>56</v>
      </c>
    </row>
    <row r="2942" spans="1:22" x14ac:dyDescent="0.3">
      <c r="A2942" s="49">
        <v>45272</v>
      </c>
      <c r="E2942" t="s">
        <v>3124</v>
      </c>
      <c r="G2942" t="s">
        <v>5196</v>
      </c>
      <c r="H2942" t="s">
        <v>89</v>
      </c>
      <c r="J2942" t="s">
        <v>63</v>
      </c>
      <c r="K2942" t="s">
        <v>197</v>
      </c>
      <c r="M2942">
        <v>100</v>
      </c>
      <c r="N2942" t="s">
        <v>33</v>
      </c>
      <c r="O2942" t="s">
        <v>4803</v>
      </c>
      <c r="P2942" t="s">
        <v>287</v>
      </c>
      <c r="T2942">
        <v>4</v>
      </c>
      <c r="U2942" t="s">
        <v>56</v>
      </c>
      <c r="V2942" t="s">
        <v>56</v>
      </c>
    </row>
    <row r="2943" spans="1:22" x14ac:dyDescent="0.3">
      <c r="A2943" s="49">
        <v>45272</v>
      </c>
      <c r="E2943" t="s">
        <v>3124</v>
      </c>
      <c r="G2943" t="s">
        <v>5101</v>
      </c>
      <c r="H2943" t="s">
        <v>28</v>
      </c>
      <c r="I2943" t="s">
        <v>5704</v>
      </c>
      <c r="J2943" t="s">
        <v>63</v>
      </c>
      <c r="K2943" t="s">
        <v>64</v>
      </c>
      <c r="M2943">
        <v>70</v>
      </c>
      <c r="N2943" t="s">
        <v>49</v>
      </c>
      <c r="O2943" t="s">
        <v>4804</v>
      </c>
      <c r="P2943" t="s">
        <v>170</v>
      </c>
      <c r="S2943" t="s">
        <v>6323</v>
      </c>
      <c r="T2943">
        <v>6</v>
      </c>
      <c r="U2943" t="s">
        <v>40</v>
      </c>
      <c r="V2943" t="s">
        <v>41</v>
      </c>
    </row>
    <row r="2944" spans="1:22" x14ac:dyDescent="0.3">
      <c r="A2944" s="49">
        <v>45272</v>
      </c>
      <c r="E2944" t="s">
        <v>3124</v>
      </c>
      <c r="G2944" t="s">
        <v>379</v>
      </c>
      <c r="H2944" t="s">
        <v>28</v>
      </c>
      <c r="I2944" t="s">
        <v>582</v>
      </c>
      <c r="J2944" t="s">
        <v>63</v>
      </c>
      <c r="K2944" t="s">
        <v>64</v>
      </c>
      <c r="M2944">
        <v>40</v>
      </c>
      <c r="N2944" t="s">
        <v>33</v>
      </c>
      <c r="O2944" t="s">
        <v>4805</v>
      </c>
      <c r="P2944" t="s">
        <v>751</v>
      </c>
      <c r="T2944">
        <v>6</v>
      </c>
      <c r="U2944" t="s">
        <v>40</v>
      </c>
      <c r="V2944" t="s">
        <v>41</v>
      </c>
    </row>
    <row r="2945" spans="1:22" x14ac:dyDescent="0.3">
      <c r="A2945" s="49">
        <v>45272</v>
      </c>
      <c r="E2945" t="s">
        <v>3124</v>
      </c>
      <c r="G2945" t="s">
        <v>379</v>
      </c>
      <c r="H2945" t="s">
        <v>89</v>
      </c>
      <c r="J2945" t="s">
        <v>63</v>
      </c>
      <c r="K2945" t="s">
        <v>64</v>
      </c>
      <c r="M2945">
        <v>80</v>
      </c>
      <c r="N2945" t="s">
        <v>33</v>
      </c>
      <c r="O2945" t="s">
        <v>4806</v>
      </c>
      <c r="P2945" t="s">
        <v>66</v>
      </c>
      <c r="T2945">
        <v>6</v>
      </c>
      <c r="U2945" t="s">
        <v>40</v>
      </c>
      <c r="V2945" t="s">
        <v>41</v>
      </c>
    </row>
    <row r="2946" spans="1:22" x14ac:dyDescent="0.3">
      <c r="A2946" s="49">
        <v>45272</v>
      </c>
      <c r="E2946" t="s">
        <v>3242</v>
      </c>
      <c r="G2946" t="s">
        <v>5387</v>
      </c>
      <c r="H2946" t="s">
        <v>28</v>
      </c>
      <c r="I2946" t="s">
        <v>6054</v>
      </c>
      <c r="J2946" t="s">
        <v>63</v>
      </c>
      <c r="K2946" t="s">
        <v>4943</v>
      </c>
      <c r="M2946">
        <v>100</v>
      </c>
      <c r="N2946" t="s">
        <v>49</v>
      </c>
      <c r="O2946" t="s">
        <v>4807</v>
      </c>
      <c r="P2946" t="s">
        <v>1230</v>
      </c>
      <c r="T2946">
        <v>4</v>
      </c>
      <c r="U2946" t="s">
        <v>56</v>
      </c>
      <c r="V2946" t="s">
        <v>56</v>
      </c>
    </row>
    <row r="2947" spans="1:22" x14ac:dyDescent="0.3">
      <c r="A2947" s="49">
        <v>45272</v>
      </c>
      <c r="E2947" t="s">
        <v>3242</v>
      </c>
      <c r="G2947" t="s">
        <v>5387</v>
      </c>
      <c r="H2947" t="s">
        <v>28</v>
      </c>
      <c r="I2947" t="s">
        <v>6054</v>
      </c>
      <c r="J2947" t="s">
        <v>63</v>
      </c>
      <c r="K2947" t="s">
        <v>4943</v>
      </c>
      <c r="M2947">
        <v>100</v>
      </c>
      <c r="N2947" t="s">
        <v>33</v>
      </c>
      <c r="O2947" t="s">
        <v>4807</v>
      </c>
      <c r="P2947" t="s">
        <v>1230</v>
      </c>
      <c r="T2947">
        <v>4</v>
      </c>
      <c r="U2947" t="s">
        <v>56</v>
      </c>
      <c r="V2947" t="s">
        <v>56</v>
      </c>
    </row>
    <row r="2948" spans="1:22" x14ac:dyDescent="0.3">
      <c r="A2948" s="49">
        <v>45272</v>
      </c>
      <c r="E2948" t="s">
        <v>3242</v>
      </c>
      <c r="G2948" t="s">
        <v>5387</v>
      </c>
      <c r="H2948" t="s">
        <v>28</v>
      </c>
      <c r="I2948" t="s">
        <v>6054</v>
      </c>
      <c r="J2948" t="s">
        <v>63</v>
      </c>
      <c r="K2948" t="s">
        <v>4943</v>
      </c>
      <c r="M2948">
        <v>100</v>
      </c>
      <c r="N2948" t="s">
        <v>33</v>
      </c>
      <c r="O2948" t="s">
        <v>4807</v>
      </c>
      <c r="P2948" t="s">
        <v>1230</v>
      </c>
      <c r="T2948">
        <v>4</v>
      </c>
      <c r="U2948" t="s">
        <v>56</v>
      </c>
      <c r="V2948" t="s">
        <v>56</v>
      </c>
    </row>
    <row r="2949" spans="1:22" x14ac:dyDescent="0.3">
      <c r="A2949" s="49">
        <v>45272</v>
      </c>
      <c r="E2949" t="s">
        <v>3242</v>
      </c>
      <c r="G2949" t="s">
        <v>5387</v>
      </c>
      <c r="H2949" t="s">
        <v>28</v>
      </c>
      <c r="I2949" t="s">
        <v>6054</v>
      </c>
      <c r="J2949" t="s">
        <v>63</v>
      </c>
      <c r="K2949" t="s">
        <v>4943</v>
      </c>
      <c r="M2949">
        <v>100</v>
      </c>
      <c r="N2949" t="s">
        <v>33</v>
      </c>
      <c r="O2949" t="s">
        <v>4807</v>
      </c>
      <c r="P2949" t="s">
        <v>1230</v>
      </c>
      <c r="T2949">
        <v>4</v>
      </c>
      <c r="U2949" t="s">
        <v>56</v>
      </c>
      <c r="V2949" t="s">
        <v>56</v>
      </c>
    </row>
    <row r="2950" spans="1:22" x14ac:dyDescent="0.3">
      <c r="A2950" s="49">
        <v>45272</v>
      </c>
      <c r="E2950" t="s">
        <v>3242</v>
      </c>
      <c r="G2950" t="s">
        <v>5387</v>
      </c>
      <c r="H2950" t="s">
        <v>28</v>
      </c>
      <c r="I2950" t="s">
        <v>6054</v>
      </c>
      <c r="J2950" t="s">
        <v>63</v>
      </c>
      <c r="K2950" t="s">
        <v>4943</v>
      </c>
      <c r="M2950">
        <v>100</v>
      </c>
      <c r="N2950" t="s">
        <v>33</v>
      </c>
      <c r="O2950" t="s">
        <v>4807</v>
      </c>
      <c r="P2950" t="s">
        <v>1230</v>
      </c>
      <c r="T2950">
        <v>4</v>
      </c>
      <c r="U2950" t="s">
        <v>56</v>
      </c>
      <c r="V2950" t="s">
        <v>56</v>
      </c>
    </row>
    <row r="2951" spans="1:22" x14ac:dyDescent="0.3">
      <c r="A2951" s="49">
        <v>45272</v>
      </c>
      <c r="E2951" t="s">
        <v>3242</v>
      </c>
      <c r="G2951" t="s">
        <v>5387</v>
      </c>
      <c r="H2951" t="s">
        <v>28</v>
      </c>
      <c r="I2951" t="s">
        <v>6054</v>
      </c>
      <c r="J2951" t="s">
        <v>63</v>
      </c>
      <c r="K2951" t="s">
        <v>64</v>
      </c>
      <c r="M2951">
        <v>100</v>
      </c>
      <c r="N2951" t="s">
        <v>49</v>
      </c>
      <c r="O2951" t="s">
        <v>4807</v>
      </c>
      <c r="P2951" t="s">
        <v>1230</v>
      </c>
      <c r="T2951">
        <v>4</v>
      </c>
      <c r="U2951" t="s">
        <v>56</v>
      </c>
      <c r="V2951" t="s">
        <v>56</v>
      </c>
    </row>
    <row r="2952" spans="1:22" x14ac:dyDescent="0.3">
      <c r="A2952" s="49">
        <v>45272</v>
      </c>
      <c r="E2952" t="s">
        <v>3242</v>
      </c>
      <c r="G2952" t="s">
        <v>5387</v>
      </c>
      <c r="H2952" t="s">
        <v>28</v>
      </c>
      <c r="I2952" t="s">
        <v>6054</v>
      </c>
      <c r="J2952" t="s">
        <v>63</v>
      </c>
      <c r="K2952" t="s">
        <v>64</v>
      </c>
      <c r="M2952">
        <v>100</v>
      </c>
      <c r="N2952" t="s">
        <v>33</v>
      </c>
      <c r="O2952" t="s">
        <v>4807</v>
      </c>
      <c r="P2952" t="s">
        <v>1230</v>
      </c>
      <c r="T2952">
        <v>4</v>
      </c>
      <c r="U2952" t="s">
        <v>56</v>
      </c>
      <c r="V2952" t="s">
        <v>56</v>
      </c>
    </row>
    <row r="2953" spans="1:22" x14ac:dyDescent="0.3">
      <c r="A2953" s="49">
        <v>45272</v>
      </c>
      <c r="E2953" t="s">
        <v>3242</v>
      </c>
      <c r="G2953" t="s">
        <v>5387</v>
      </c>
      <c r="H2953" t="s">
        <v>28</v>
      </c>
      <c r="I2953" t="s">
        <v>6054</v>
      </c>
      <c r="J2953" t="s">
        <v>63</v>
      </c>
      <c r="K2953" t="s">
        <v>64</v>
      </c>
      <c r="M2953">
        <v>100</v>
      </c>
      <c r="N2953" t="s">
        <v>33</v>
      </c>
      <c r="O2953" t="s">
        <v>4807</v>
      </c>
      <c r="P2953" t="s">
        <v>1230</v>
      </c>
      <c r="T2953">
        <v>4</v>
      </c>
      <c r="U2953" t="s">
        <v>56</v>
      </c>
      <c r="V2953" t="s">
        <v>56</v>
      </c>
    </row>
    <row r="2954" spans="1:22" x14ac:dyDescent="0.3">
      <c r="A2954" s="49">
        <v>45272</v>
      </c>
      <c r="E2954" t="s">
        <v>3242</v>
      </c>
      <c r="G2954" t="s">
        <v>5387</v>
      </c>
      <c r="H2954" t="s">
        <v>28</v>
      </c>
      <c r="I2954" t="s">
        <v>6054</v>
      </c>
      <c r="J2954" t="s">
        <v>63</v>
      </c>
      <c r="K2954" t="s">
        <v>64</v>
      </c>
      <c r="M2954">
        <v>100</v>
      </c>
      <c r="N2954" t="s">
        <v>33</v>
      </c>
      <c r="O2954" t="s">
        <v>4807</v>
      </c>
      <c r="P2954" t="s">
        <v>1230</v>
      </c>
      <c r="T2954">
        <v>4</v>
      </c>
      <c r="U2954" t="s">
        <v>56</v>
      </c>
      <c r="V2954" t="s">
        <v>56</v>
      </c>
    </row>
    <row r="2955" spans="1:22" x14ac:dyDescent="0.3">
      <c r="A2955" s="49">
        <v>45272</v>
      </c>
      <c r="E2955" t="s">
        <v>3242</v>
      </c>
      <c r="G2955" t="s">
        <v>5387</v>
      </c>
      <c r="H2955" t="s">
        <v>28</v>
      </c>
      <c r="I2955" t="s">
        <v>6054</v>
      </c>
      <c r="J2955" t="s">
        <v>63</v>
      </c>
      <c r="K2955" t="s">
        <v>64</v>
      </c>
      <c r="M2955">
        <v>100</v>
      </c>
      <c r="N2955" t="s">
        <v>33</v>
      </c>
      <c r="O2955" t="s">
        <v>4807</v>
      </c>
      <c r="P2955" t="s">
        <v>1230</v>
      </c>
      <c r="T2955">
        <v>4</v>
      </c>
      <c r="U2955" t="s">
        <v>56</v>
      </c>
      <c r="V2955" t="s">
        <v>56</v>
      </c>
    </row>
    <row r="2956" spans="1:22" x14ac:dyDescent="0.3">
      <c r="A2956" s="49">
        <v>45272</v>
      </c>
      <c r="E2956" t="s">
        <v>3242</v>
      </c>
      <c r="G2956" t="s">
        <v>5387</v>
      </c>
      <c r="H2956" t="s">
        <v>28</v>
      </c>
      <c r="I2956" t="s">
        <v>6054</v>
      </c>
      <c r="J2956" t="s">
        <v>63</v>
      </c>
      <c r="K2956" t="s">
        <v>64</v>
      </c>
      <c r="M2956">
        <v>100</v>
      </c>
      <c r="N2956" t="s">
        <v>33</v>
      </c>
      <c r="O2956" t="s">
        <v>4807</v>
      </c>
      <c r="P2956" t="s">
        <v>1230</v>
      </c>
      <c r="T2956">
        <v>4</v>
      </c>
      <c r="U2956" t="s">
        <v>56</v>
      </c>
      <c r="V2956" t="s">
        <v>56</v>
      </c>
    </row>
    <row r="2957" spans="1:22" x14ac:dyDescent="0.3">
      <c r="A2957" s="49">
        <v>45272</v>
      </c>
      <c r="E2957" t="s">
        <v>3125</v>
      </c>
      <c r="G2957" t="s">
        <v>5102</v>
      </c>
      <c r="H2957" t="s">
        <v>28</v>
      </c>
      <c r="I2957" t="s">
        <v>5710</v>
      </c>
      <c r="J2957" t="s">
        <v>46</v>
      </c>
      <c r="K2957" t="s">
        <v>481</v>
      </c>
      <c r="M2957">
        <v>15</v>
      </c>
      <c r="N2957" t="s">
        <v>49</v>
      </c>
      <c r="O2957" t="s">
        <v>4808</v>
      </c>
      <c r="P2957" t="s">
        <v>1243</v>
      </c>
      <c r="T2957">
        <v>6</v>
      </c>
      <c r="U2957" t="s">
        <v>40</v>
      </c>
      <c r="V2957" t="s">
        <v>41</v>
      </c>
    </row>
    <row r="2958" spans="1:22" x14ac:dyDescent="0.3">
      <c r="A2958" s="49">
        <v>45272</v>
      </c>
      <c r="E2958" t="s">
        <v>3125</v>
      </c>
      <c r="G2958" t="s">
        <v>5388</v>
      </c>
      <c r="H2958" t="s">
        <v>89</v>
      </c>
      <c r="J2958" t="s">
        <v>63</v>
      </c>
      <c r="K2958" t="s">
        <v>64</v>
      </c>
      <c r="M2958">
        <v>100</v>
      </c>
      <c r="N2958" t="s">
        <v>49</v>
      </c>
      <c r="O2958" t="s">
        <v>4809</v>
      </c>
      <c r="P2958" t="s">
        <v>344</v>
      </c>
      <c r="T2958">
        <v>4</v>
      </c>
      <c r="U2958" t="s">
        <v>56</v>
      </c>
      <c r="V2958" t="s">
        <v>56</v>
      </c>
    </row>
    <row r="2959" spans="1:22" x14ac:dyDescent="0.3">
      <c r="A2959" s="49">
        <v>45272</v>
      </c>
      <c r="E2959" t="s">
        <v>3125</v>
      </c>
      <c r="G2959" t="s">
        <v>5388</v>
      </c>
      <c r="H2959" t="s">
        <v>89</v>
      </c>
      <c r="J2959" t="s">
        <v>63</v>
      </c>
      <c r="K2959" t="s">
        <v>64</v>
      </c>
      <c r="M2959">
        <v>100</v>
      </c>
      <c r="N2959" t="s">
        <v>49</v>
      </c>
      <c r="O2959" t="s">
        <v>4809</v>
      </c>
      <c r="P2959" t="s">
        <v>344</v>
      </c>
      <c r="T2959">
        <v>4</v>
      </c>
      <c r="U2959" t="s">
        <v>56</v>
      </c>
      <c r="V2959" t="s">
        <v>56</v>
      </c>
    </row>
    <row r="2960" spans="1:22" x14ac:dyDescent="0.3">
      <c r="A2960" s="49">
        <v>45272</v>
      </c>
      <c r="E2960" t="s">
        <v>3125</v>
      </c>
      <c r="G2960" t="s">
        <v>5388</v>
      </c>
      <c r="H2960" t="s">
        <v>89</v>
      </c>
      <c r="J2960" t="s">
        <v>63</v>
      </c>
      <c r="K2960" t="s">
        <v>64</v>
      </c>
      <c r="M2960">
        <v>100</v>
      </c>
      <c r="N2960" t="s">
        <v>49</v>
      </c>
      <c r="O2960" t="s">
        <v>4809</v>
      </c>
      <c r="P2960" t="s">
        <v>344</v>
      </c>
      <c r="T2960">
        <v>4</v>
      </c>
      <c r="U2960" t="s">
        <v>56</v>
      </c>
      <c r="V2960" t="s">
        <v>56</v>
      </c>
    </row>
    <row r="2961" spans="1:22" x14ac:dyDescent="0.3">
      <c r="A2961" s="49">
        <v>45272</v>
      </c>
      <c r="E2961" t="s">
        <v>3125</v>
      </c>
      <c r="G2961" t="s">
        <v>5076</v>
      </c>
      <c r="H2961" t="s">
        <v>89</v>
      </c>
      <c r="J2961" t="s">
        <v>63</v>
      </c>
      <c r="K2961" t="s">
        <v>64</v>
      </c>
      <c r="M2961">
        <v>25</v>
      </c>
      <c r="N2961" t="s">
        <v>33</v>
      </c>
      <c r="O2961" t="s">
        <v>4810</v>
      </c>
      <c r="P2961" t="s">
        <v>344</v>
      </c>
      <c r="T2961">
        <v>4</v>
      </c>
      <c r="U2961" t="s">
        <v>56</v>
      </c>
      <c r="V2961" t="s">
        <v>56</v>
      </c>
    </row>
    <row r="2962" spans="1:22" x14ac:dyDescent="0.3">
      <c r="A2962" s="49">
        <v>45272</v>
      </c>
      <c r="E2962" t="s">
        <v>3125</v>
      </c>
      <c r="G2962" t="s">
        <v>5102</v>
      </c>
      <c r="H2962" t="s">
        <v>28</v>
      </c>
      <c r="I2962" t="s">
        <v>5710</v>
      </c>
      <c r="J2962" t="s">
        <v>46</v>
      </c>
      <c r="K2962" t="s">
        <v>481</v>
      </c>
      <c r="M2962">
        <v>30</v>
      </c>
      <c r="N2962" t="s">
        <v>49</v>
      </c>
      <c r="O2962" t="s">
        <v>3853</v>
      </c>
      <c r="P2962" t="s">
        <v>1243</v>
      </c>
      <c r="T2962">
        <v>6</v>
      </c>
      <c r="U2962" t="s">
        <v>40</v>
      </c>
      <c r="V2962" t="s">
        <v>41</v>
      </c>
    </row>
    <row r="2963" spans="1:22" x14ac:dyDescent="0.3">
      <c r="A2963" s="49">
        <v>45272</v>
      </c>
      <c r="E2963" t="s">
        <v>3126</v>
      </c>
      <c r="G2963" t="s">
        <v>5314</v>
      </c>
      <c r="H2963" t="s">
        <v>28</v>
      </c>
      <c r="I2963" t="s">
        <v>6055</v>
      </c>
      <c r="J2963" t="s">
        <v>63</v>
      </c>
      <c r="K2963" t="s">
        <v>64</v>
      </c>
      <c r="M2963">
        <v>86</v>
      </c>
      <c r="N2963" t="s">
        <v>49</v>
      </c>
      <c r="O2963" t="s">
        <v>4811</v>
      </c>
      <c r="P2963" t="s">
        <v>1018</v>
      </c>
      <c r="T2963">
        <v>2</v>
      </c>
      <c r="U2963" t="s">
        <v>1763</v>
      </c>
      <c r="V2963" t="s">
        <v>56</v>
      </c>
    </row>
    <row r="2964" spans="1:22" x14ac:dyDescent="0.3">
      <c r="A2964" s="49">
        <v>45272</v>
      </c>
      <c r="E2964" t="s">
        <v>3217</v>
      </c>
      <c r="G2964" t="s">
        <v>895</v>
      </c>
      <c r="H2964" t="s">
        <v>89</v>
      </c>
      <c r="J2964" t="s">
        <v>63</v>
      </c>
      <c r="K2964" t="s">
        <v>64</v>
      </c>
      <c r="M2964">
        <v>26</v>
      </c>
      <c r="N2964" t="s">
        <v>33</v>
      </c>
      <c r="O2964" t="s">
        <v>4812</v>
      </c>
      <c r="P2964" t="s">
        <v>163</v>
      </c>
      <c r="T2964">
        <v>4</v>
      </c>
      <c r="U2964" t="s">
        <v>56</v>
      </c>
      <c r="V2964" t="s">
        <v>56</v>
      </c>
    </row>
    <row r="2965" spans="1:22" x14ac:dyDescent="0.3">
      <c r="A2965" s="49">
        <v>45272</v>
      </c>
      <c r="E2965" t="s">
        <v>3128</v>
      </c>
      <c r="G2965" t="s">
        <v>5203</v>
      </c>
      <c r="H2965" t="s">
        <v>89</v>
      </c>
      <c r="J2965" t="s">
        <v>63</v>
      </c>
      <c r="K2965" t="s">
        <v>64</v>
      </c>
      <c r="M2965">
        <v>100</v>
      </c>
      <c r="N2965" t="s">
        <v>49</v>
      </c>
      <c r="O2965" t="s">
        <v>4813</v>
      </c>
      <c r="P2965" t="s">
        <v>1508</v>
      </c>
      <c r="T2965">
        <v>4</v>
      </c>
      <c r="U2965" t="s">
        <v>56</v>
      </c>
      <c r="V2965" t="s">
        <v>56</v>
      </c>
    </row>
    <row r="2966" spans="1:22" x14ac:dyDescent="0.3">
      <c r="A2966" s="49">
        <v>45272</v>
      </c>
      <c r="E2966" t="s">
        <v>3218</v>
      </c>
      <c r="G2966" t="s">
        <v>5389</v>
      </c>
      <c r="H2966" t="s">
        <v>28</v>
      </c>
      <c r="I2966" t="s">
        <v>6056</v>
      </c>
      <c r="J2966" t="s">
        <v>30</v>
      </c>
      <c r="K2966" t="s">
        <v>1546</v>
      </c>
      <c r="M2966">
        <v>90</v>
      </c>
      <c r="N2966" t="s">
        <v>33</v>
      </c>
      <c r="O2966" t="s">
        <v>4814</v>
      </c>
      <c r="P2966" t="s">
        <v>668</v>
      </c>
      <c r="T2966">
        <v>6</v>
      </c>
      <c r="U2966" t="s">
        <v>40</v>
      </c>
      <c r="V2966" t="s">
        <v>41</v>
      </c>
    </row>
    <row r="2967" spans="1:22" x14ac:dyDescent="0.3">
      <c r="A2967" s="49">
        <v>45272</v>
      </c>
      <c r="E2967" t="s">
        <v>3193</v>
      </c>
      <c r="G2967" t="s">
        <v>5206</v>
      </c>
      <c r="H2967" t="s">
        <v>28</v>
      </c>
      <c r="I2967" t="s">
        <v>5719</v>
      </c>
      <c r="J2967" t="s">
        <v>46</v>
      </c>
      <c r="K2967" t="s">
        <v>481</v>
      </c>
      <c r="M2967">
        <v>20</v>
      </c>
      <c r="N2967" t="s">
        <v>33</v>
      </c>
      <c r="O2967" t="s">
        <v>4815</v>
      </c>
      <c r="P2967" t="s">
        <v>4921</v>
      </c>
      <c r="T2967">
        <v>6</v>
      </c>
      <c r="U2967" t="s">
        <v>40</v>
      </c>
      <c r="V2967" t="s">
        <v>41</v>
      </c>
    </row>
    <row r="2968" spans="1:22" x14ac:dyDescent="0.3">
      <c r="A2968" s="49">
        <v>45272</v>
      </c>
      <c r="E2968" t="s">
        <v>3129</v>
      </c>
      <c r="G2968" t="s">
        <v>5390</v>
      </c>
      <c r="H2968" t="s">
        <v>28</v>
      </c>
      <c r="I2968" t="s">
        <v>5746</v>
      </c>
      <c r="J2968" t="s">
        <v>63</v>
      </c>
      <c r="K2968" t="s">
        <v>64</v>
      </c>
      <c r="M2968">
        <v>100</v>
      </c>
      <c r="N2968" t="s">
        <v>49</v>
      </c>
      <c r="O2968" t="s">
        <v>4816</v>
      </c>
      <c r="P2968" t="s">
        <v>66</v>
      </c>
      <c r="T2968">
        <v>6</v>
      </c>
      <c r="U2968" t="s">
        <v>40</v>
      </c>
      <c r="V2968" t="s">
        <v>41</v>
      </c>
    </row>
    <row r="2969" spans="1:22" x14ac:dyDescent="0.3">
      <c r="A2969" s="49">
        <v>45272</v>
      </c>
      <c r="E2969" t="s">
        <v>3129</v>
      </c>
      <c r="G2969" t="s">
        <v>5390</v>
      </c>
      <c r="H2969" t="s">
        <v>28</v>
      </c>
      <c r="I2969" t="s">
        <v>5746</v>
      </c>
      <c r="J2969" t="s">
        <v>63</v>
      </c>
      <c r="K2969" t="s">
        <v>64</v>
      </c>
      <c r="M2969">
        <v>100</v>
      </c>
      <c r="N2969" t="s">
        <v>49</v>
      </c>
      <c r="O2969" t="s">
        <v>4816</v>
      </c>
      <c r="P2969" t="s">
        <v>66</v>
      </c>
      <c r="T2969">
        <v>6</v>
      </c>
      <c r="U2969" t="s">
        <v>40</v>
      </c>
      <c r="V2969" t="s">
        <v>41</v>
      </c>
    </row>
    <row r="2970" spans="1:22" x14ac:dyDescent="0.3">
      <c r="A2970" s="49">
        <v>45272</v>
      </c>
      <c r="E2970" t="s">
        <v>3129</v>
      </c>
      <c r="G2970" t="s">
        <v>5390</v>
      </c>
      <c r="H2970" t="s">
        <v>28</v>
      </c>
      <c r="I2970" t="s">
        <v>5746</v>
      </c>
      <c r="J2970" t="s">
        <v>63</v>
      </c>
      <c r="K2970" t="s">
        <v>64</v>
      </c>
      <c r="M2970">
        <v>100</v>
      </c>
      <c r="N2970" t="s">
        <v>49</v>
      </c>
      <c r="O2970" t="s">
        <v>4816</v>
      </c>
      <c r="P2970" t="s">
        <v>66</v>
      </c>
      <c r="T2970">
        <v>6</v>
      </c>
      <c r="U2970" t="s">
        <v>40</v>
      </c>
      <c r="V2970" t="s">
        <v>41</v>
      </c>
    </row>
    <row r="2971" spans="1:22" x14ac:dyDescent="0.3">
      <c r="A2971" s="49">
        <v>45272</v>
      </c>
      <c r="E2971" t="s">
        <v>3219</v>
      </c>
      <c r="G2971" t="s">
        <v>5324</v>
      </c>
      <c r="H2971" t="s">
        <v>28</v>
      </c>
      <c r="I2971" t="s">
        <v>6057</v>
      </c>
      <c r="J2971" t="s">
        <v>46</v>
      </c>
      <c r="K2971" t="s">
        <v>911</v>
      </c>
      <c r="M2971">
        <v>100</v>
      </c>
      <c r="N2971" t="s">
        <v>49</v>
      </c>
      <c r="O2971" t="s">
        <v>4392</v>
      </c>
      <c r="P2971" t="s">
        <v>344</v>
      </c>
      <c r="T2971">
        <v>4</v>
      </c>
      <c r="U2971" t="s">
        <v>56</v>
      </c>
      <c r="V2971" t="s">
        <v>56</v>
      </c>
    </row>
    <row r="2972" spans="1:22" x14ac:dyDescent="0.3">
      <c r="A2972" s="49">
        <v>45272</v>
      </c>
      <c r="E2972" t="s">
        <v>3219</v>
      </c>
      <c r="G2972" t="s">
        <v>5324</v>
      </c>
      <c r="H2972" t="s">
        <v>89</v>
      </c>
      <c r="J2972" t="s">
        <v>46</v>
      </c>
      <c r="K2972" t="s">
        <v>911</v>
      </c>
      <c r="M2972">
        <v>30</v>
      </c>
      <c r="N2972" t="s">
        <v>49</v>
      </c>
      <c r="O2972" t="s">
        <v>4817</v>
      </c>
      <c r="P2972" t="s">
        <v>287</v>
      </c>
      <c r="T2972">
        <v>4</v>
      </c>
      <c r="U2972" t="s">
        <v>56</v>
      </c>
      <c r="V2972" t="s">
        <v>56</v>
      </c>
    </row>
    <row r="2973" spans="1:22" x14ac:dyDescent="0.3">
      <c r="A2973" s="49">
        <v>45272</v>
      </c>
      <c r="E2973" t="s">
        <v>3130</v>
      </c>
      <c r="G2973" t="s">
        <v>4998</v>
      </c>
      <c r="H2973" t="s">
        <v>28</v>
      </c>
      <c r="I2973" t="s">
        <v>5917</v>
      </c>
      <c r="J2973" t="s">
        <v>63</v>
      </c>
      <c r="K2973" t="s">
        <v>64</v>
      </c>
      <c r="M2973">
        <v>70</v>
      </c>
      <c r="N2973" t="s">
        <v>33</v>
      </c>
      <c r="O2973" t="s">
        <v>4818</v>
      </c>
      <c r="P2973" t="s">
        <v>743</v>
      </c>
      <c r="T2973">
        <v>4</v>
      </c>
      <c r="U2973" t="s">
        <v>56</v>
      </c>
      <c r="V2973" t="s">
        <v>56</v>
      </c>
    </row>
    <row r="2974" spans="1:22" x14ac:dyDescent="0.3">
      <c r="A2974" s="49">
        <v>45272</v>
      </c>
      <c r="E2974" t="s">
        <v>3130</v>
      </c>
      <c r="G2974" t="s">
        <v>4998</v>
      </c>
      <c r="H2974" t="s">
        <v>89</v>
      </c>
      <c r="J2974" t="s">
        <v>63</v>
      </c>
      <c r="K2974" t="s">
        <v>4936</v>
      </c>
      <c r="M2974">
        <v>45</v>
      </c>
      <c r="N2974" t="s">
        <v>49</v>
      </c>
      <c r="O2974" t="s">
        <v>4819</v>
      </c>
      <c r="P2974" t="s">
        <v>1597</v>
      </c>
      <c r="T2974">
        <v>4</v>
      </c>
      <c r="U2974" t="s">
        <v>56</v>
      </c>
      <c r="V2974" t="s">
        <v>56</v>
      </c>
    </row>
    <row r="2975" spans="1:22" x14ac:dyDescent="0.3">
      <c r="A2975" s="49">
        <v>45272</v>
      </c>
      <c r="E2975" t="s">
        <v>3131</v>
      </c>
      <c r="G2975" t="s">
        <v>5108</v>
      </c>
      <c r="H2975" t="s">
        <v>89</v>
      </c>
      <c r="J2975" t="s">
        <v>63</v>
      </c>
      <c r="K2975" t="s">
        <v>4924</v>
      </c>
      <c r="M2975">
        <v>30</v>
      </c>
      <c r="N2975" t="s">
        <v>49</v>
      </c>
      <c r="O2975" t="s">
        <v>4820</v>
      </c>
      <c r="P2975" t="s">
        <v>751</v>
      </c>
      <c r="T2975">
        <v>6</v>
      </c>
      <c r="U2975" t="s">
        <v>40</v>
      </c>
      <c r="V2975" t="s">
        <v>41</v>
      </c>
    </row>
    <row r="2976" spans="1:22" x14ac:dyDescent="0.3">
      <c r="A2976" s="49">
        <v>45272</v>
      </c>
      <c r="E2976" t="s">
        <v>3132</v>
      </c>
      <c r="G2976" t="s">
        <v>5001</v>
      </c>
      <c r="H2976" t="s">
        <v>28</v>
      </c>
      <c r="I2976" t="s">
        <v>947</v>
      </c>
      <c r="J2976" t="s">
        <v>63</v>
      </c>
      <c r="K2976" t="s">
        <v>64</v>
      </c>
      <c r="M2976">
        <v>40</v>
      </c>
      <c r="N2976" t="s">
        <v>33</v>
      </c>
      <c r="O2976" t="s">
        <v>4821</v>
      </c>
      <c r="P2976" t="s">
        <v>58</v>
      </c>
      <c r="T2976">
        <v>4</v>
      </c>
      <c r="U2976" t="s">
        <v>56</v>
      </c>
      <c r="V2976" t="s">
        <v>56</v>
      </c>
    </row>
    <row r="2977" spans="1:22" x14ac:dyDescent="0.3">
      <c r="A2977" s="49">
        <v>45272</v>
      </c>
      <c r="E2977" t="s">
        <v>3132</v>
      </c>
      <c r="G2977" t="s">
        <v>5333</v>
      </c>
      <c r="H2977" t="s">
        <v>89</v>
      </c>
      <c r="J2977" t="s">
        <v>63</v>
      </c>
      <c r="K2977" t="s">
        <v>64</v>
      </c>
      <c r="M2977">
        <v>0</v>
      </c>
      <c r="N2977" t="s">
        <v>74</v>
      </c>
      <c r="O2977" t="s">
        <v>4822</v>
      </c>
      <c r="P2977" t="s">
        <v>416</v>
      </c>
      <c r="T2977">
        <v>4</v>
      </c>
      <c r="U2977" t="s">
        <v>56</v>
      </c>
      <c r="V2977" t="s">
        <v>56</v>
      </c>
    </row>
    <row r="2978" spans="1:22" x14ac:dyDescent="0.3">
      <c r="A2978" s="49">
        <v>45272</v>
      </c>
      <c r="E2978" t="s">
        <v>3132</v>
      </c>
      <c r="G2978" t="s">
        <v>5333</v>
      </c>
      <c r="H2978" t="s">
        <v>89</v>
      </c>
      <c r="J2978" t="s">
        <v>63</v>
      </c>
      <c r="K2978" t="s">
        <v>64</v>
      </c>
      <c r="M2978">
        <v>80</v>
      </c>
      <c r="N2978" t="s">
        <v>74</v>
      </c>
      <c r="O2978" t="s">
        <v>4822</v>
      </c>
      <c r="P2978" t="s">
        <v>416</v>
      </c>
      <c r="T2978">
        <v>4</v>
      </c>
      <c r="U2978" t="s">
        <v>56</v>
      </c>
      <c r="V2978" t="s">
        <v>56</v>
      </c>
    </row>
    <row r="2979" spans="1:22" x14ac:dyDescent="0.3">
      <c r="A2979" s="49">
        <v>45272</v>
      </c>
      <c r="E2979" t="s">
        <v>3132</v>
      </c>
      <c r="G2979" t="s">
        <v>1798</v>
      </c>
      <c r="H2979" t="s">
        <v>28</v>
      </c>
      <c r="I2979" t="s">
        <v>6058</v>
      </c>
      <c r="J2979" t="s">
        <v>63</v>
      </c>
      <c r="K2979" t="s">
        <v>64</v>
      </c>
      <c r="M2979">
        <v>65</v>
      </c>
      <c r="N2979" t="s">
        <v>33</v>
      </c>
      <c r="O2979" t="s">
        <v>4823</v>
      </c>
      <c r="P2979" t="s">
        <v>651</v>
      </c>
      <c r="T2979">
        <v>4</v>
      </c>
      <c r="U2979" t="s">
        <v>56</v>
      </c>
      <c r="V2979" t="s">
        <v>56</v>
      </c>
    </row>
    <row r="2980" spans="1:22" x14ac:dyDescent="0.3">
      <c r="A2980" s="49">
        <v>45272</v>
      </c>
      <c r="E2980" t="s">
        <v>3132</v>
      </c>
      <c r="G2980" t="s">
        <v>5003</v>
      </c>
      <c r="H2980" t="s">
        <v>28</v>
      </c>
      <c r="I2980" t="s">
        <v>5934</v>
      </c>
      <c r="J2980" t="s">
        <v>63</v>
      </c>
      <c r="K2980" t="s">
        <v>64</v>
      </c>
      <c r="M2980">
        <v>52</v>
      </c>
      <c r="N2980" t="s">
        <v>49</v>
      </c>
      <c r="O2980" t="s">
        <v>4824</v>
      </c>
      <c r="P2980" t="s">
        <v>66</v>
      </c>
      <c r="T2980">
        <v>6</v>
      </c>
      <c r="U2980" t="s">
        <v>40</v>
      </c>
      <c r="V2980" t="s">
        <v>41</v>
      </c>
    </row>
    <row r="2981" spans="1:22" x14ac:dyDescent="0.3">
      <c r="A2981" s="49">
        <v>45272</v>
      </c>
      <c r="E2981" t="s">
        <v>3132</v>
      </c>
      <c r="G2981" t="s">
        <v>5046</v>
      </c>
      <c r="H2981" t="s">
        <v>28</v>
      </c>
      <c r="I2981" t="s">
        <v>5476</v>
      </c>
      <c r="J2981" t="s">
        <v>63</v>
      </c>
      <c r="K2981" t="s">
        <v>64</v>
      </c>
      <c r="M2981">
        <v>100</v>
      </c>
      <c r="N2981" t="s">
        <v>49</v>
      </c>
      <c r="O2981" t="s">
        <v>4825</v>
      </c>
      <c r="P2981" t="s">
        <v>287</v>
      </c>
      <c r="T2981">
        <v>6</v>
      </c>
      <c r="U2981" t="s">
        <v>40</v>
      </c>
      <c r="V2981" t="s">
        <v>41</v>
      </c>
    </row>
    <row r="2982" spans="1:22" x14ac:dyDescent="0.3">
      <c r="A2982" s="49">
        <v>45272</v>
      </c>
      <c r="E2982" t="s">
        <v>3237</v>
      </c>
      <c r="G2982" t="s">
        <v>5379</v>
      </c>
      <c r="H2982" t="s">
        <v>28</v>
      </c>
      <c r="I2982" t="s">
        <v>6029</v>
      </c>
      <c r="J2982" t="s">
        <v>30</v>
      </c>
      <c r="K2982" t="s">
        <v>264</v>
      </c>
      <c r="M2982">
        <v>95</v>
      </c>
      <c r="N2982" t="s">
        <v>49</v>
      </c>
      <c r="O2982" t="s">
        <v>4826</v>
      </c>
      <c r="P2982" t="s">
        <v>4874</v>
      </c>
      <c r="T2982">
        <v>4</v>
      </c>
      <c r="U2982" t="s">
        <v>56</v>
      </c>
      <c r="V2982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0652-907F-45E3-A0AD-19DBDCC7B394}">
  <dimension ref="A1:E2981"/>
  <sheetViews>
    <sheetView workbookViewId="0">
      <selection activeCell="D1" sqref="D1:D11"/>
    </sheetView>
  </sheetViews>
  <sheetFormatPr baseColWidth="10" defaultRowHeight="14.4" x14ac:dyDescent="0.3"/>
  <sheetData>
    <row r="1" spans="1:5" x14ac:dyDescent="0.3">
      <c r="A1" s="1">
        <v>100</v>
      </c>
      <c r="C1" t="s">
        <v>7400</v>
      </c>
      <c r="D1">
        <f>COUNTIFS(A$1:A$2981,"&gt;90",A$1:A$2981,"&lt;=100")</f>
        <v>1787</v>
      </c>
      <c r="E1">
        <f>D1</f>
        <v>1787</v>
      </c>
    </row>
    <row r="2" spans="1:5" x14ac:dyDescent="0.3">
      <c r="A2" s="2">
        <v>100</v>
      </c>
      <c r="C2" t="s">
        <v>7401</v>
      </c>
      <c r="D2">
        <f>COUNTIFS(A$1:A$2981,"&gt;80",A$1:A$2981,"&lt;=90")</f>
        <v>128</v>
      </c>
      <c r="E2">
        <f>D2+E1</f>
        <v>1915</v>
      </c>
    </row>
    <row r="3" spans="1:5" x14ac:dyDescent="0.3">
      <c r="A3" s="1">
        <v>100</v>
      </c>
      <c r="C3" t="s">
        <v>7402</v>
      </c>
      <c r="D3">
        <f>COUNTIFS(A$1:A$2981,"&gt;70",A$1:A$2981,"&lt;=80")</f>
        <v>143</v>
      </c>
      <c r="E3">
        <f t="shared" ref="E3:E10" si="0">D3+E2</f>
        <v>2058</v>
      </c>
    </row>
    <row r="4" spans="1:5" x14ac:dyDescent="0.3">
      <c r="A4" s="2">
        <v>100</v>
      </c>
      <c r="C4" t="s">
        <v>7403</v>
      </c>
      <c r="D4">
        <f>COUNTIFS(A$1:A$2981,"&gt;60",A$1:A$2981,"&lt;=70")</f>
        <v>75</v>
      </c>
      <c r="E4">
        <f t="shared" si="0"/>
        <v>2133</v>
      </c>
    </row>
    <row r="5" spans="1:5" x14ac:dyDescent="0.3">
      <c r="A5" s="1">
        <v>100</v>
      </c>
      <c r="C5" t="s">
        <v>7404</v>
      </c>
      <c r="D5">
        <f>COUNTIFS(A$1:A$2981,"&gt;50",A$1:A$2981,"&lt;=60")</f>
        <v>84</v>
      </c>
      <c r="E5">
        <f t="shared" si="0"/>
        <v>2217</v>
      </c>
    </row>
    <row r="6" spans="1:5" x14ac:dyDescent="0.3">
      <c r="A6" s="2">
        <v>100</v>
      </c>
      <c r="C6" t="s">
        <v>7405</v>
      </c>
      <c r="D6">
        <f>COUNTIFS(A$1:A$2981,"&gt;40",A$1:A$2981,"&lt;=50")</f>
        <v>167</v>
      </c>
      <c r="E6">
        <f t="shared" si="0"/>
        <v>2384</v>
      </c>
    </row>
    <row r="7" spans="1:5" x14ac:dyDescent="0.3">
      <c r="A7" s="1">
        <v>100</v>
      </c>
      <c r="C7" t="s">
        <v>7406</v>
      </c>
      <c r="D7">
        <f>COUNTIFS(A$1:A$2981,"&gt;30",A$1:A$2981,"&lt;=40")</f>
        <v>86</v>
      </c>
      <c r="E7">
        <f t="shared" si="0"/>
        <v>2470</v>
      </c>
    </row>
    <row r="8" spans="1:5" x14ac:dyDescent="0.3">
      <c r="A8" s="2">
        <v>100</v>
      </c>
      <c r="C8" t="s">
        <v>7407</v>
      </c>
      <c r="D8">
        <f>COUNTIFS(A$1:A$2981,"&gt;20",A$1:A$2981,"&lt;=30")</f>
        <v>101</v>
      </c>
      <c r="E8">
        <f t="shared" si="0"/>
        <v>2571</v>
      </c>
    </row>
    <row r="9" spans="1:5" x14ac:dyDescent="0.3">
      <c r="A9" s="1">
        <v>100</v>
      </c>
      <c r="C9" t="s">
        <v>7408</v>
      </c>
      <c r="D9">
        <f>COUNTIFS(A$1:A$2981,"&gt;10",A$1:A$2981,"&lt;=20")</f>
        <v>88</v>
      </c>
      <c r="E9">
        <f t="shared" si="0"/>
        <v>2659</v>
      </c>
    </row>
    <row r="10" spans="1:5" x14ac:dyDescent="0.3">
      <c r="A10" s="2">
        <v>100</v>
      </c>
      <c r="C10" t="s">
        <v>7409</v>
      </c>
      <c r="D10">
        <f>COUNTIF(A$1:A$2981,"&lt;11")</f>
        <v>322</v>
      </c>
      <c r="E10">
        <f t="shared" si="0"/>
        <v>2981</v>
      </c>
    </row>
    <row r="11" spans="1:5" x14ac:dyDescent="0.3">
      <c r="A11" s="1">
        <v>100</v>
      </c>
      <c r="D11">
        <f>SUM(D1:D10)</f>
        <v>2981</v>
      </c>
    </row>
    <row r="12" spans="1:5" x14ac:dyDescent="0.3">
      <c r="A12" s="2">
        <v>100</v>
      </c>
    </row>
    <row r="13" spans="1:5" x14ac:dyDescent="0.3">
      <c r="A13" s="1">
        <v>100</v>
      </c>
    </row>
    <row r="14" spans="1:5" x14ac:dyDescent="0.3">
      <c r="A14" s="2">
        <v>100</v>
      </c>
    </row>
    <row r="15" spans="1:5" x14ac:dyDescent="0.3">
      <c r="A15" s="1">
        <v>100</v>
      </c>
    </row>
    <row r="16" spans="1:5" x14ac:dyDescent="0.3">
      <c r="A16" s="2">
        <v>100</v>
      </c>
    </row>
    <row r="17" spans="1:1" x14ac:dyDescent="0.3">
      <c r="A17" s="1">
        <v>100</v>
      </c>
    </row>
    <row r="18" spans="1:1" x14ac:dyDescent="0.3">
      <c r="A18" s="2">
        <v>100</v>
      </c>
    </row>
    <row r="19" spans="1:1" x14ac:dyDescent="0.3">
      <c r="A19" s="1">
        <v>100</v>
      </c>
    </row>
    <row r="20" spans="1:1" x14ac:dyDescent="0.3">
      <c r="A20" s="2">
        <v>100</v>
      </c>
    </row>
    <row r="21" spans="1:1" x14ac:dyDescent="0.3">
      <c r="A21" s="1">
        <v>100</v>
      </c>
    </row>
    <row r="22" spans="1:1" x14ac:dyDescent="0.3">
      <c r="A22" s="2">
        <v>100</v>
      </c>
    </row>
    <row r="23" spans="1:1" x14ac:dyDescent="0.3">
      <c r="A23" s="1">
        <v>100</v>
      </c>
    </row>
    <row r="24" spans="1:1" x14ac:dyDescent="0.3">
      <c r="A24" s="2">
        <v>100</v>
      </c>
    </row>
    <row r="25" spans="1:1" x14ac:dyDescent="0.3">
      <c r="A25" s="1">
        <v>100</v>
      </c>
    </row>
    <row r="26" spans="1:1" x14ac:dyDescent="0.3">
      <c r="A26" s="2">
        <v>100</v>
      </c>
    </row>
    <row r="27" spans="1:1" x14ac:dyDescent="0.3">
      <c r="A27" s="1">
        <v>100</v>
      </c>
    </row>
    <row r="28" spans="1:1" x14ac:dyDescent="0.3">
      <c r="A28" s="2">
        <v>100</v>
      </c>
    </row>
    <row r="29" spans="1:1" x14ac:dyDescent="0.3">
      <c r="A29" s="1">
        <v>100</v>
      </c>
    </row>
    <row r="30" spans="1:1" x14ac:dyDescent="0.3">
      <c r="A30" s="2">
        <v>100</v>
      </c>
    </row>
    <row r="31" spans="1:1" x14ac:dyDescent="0.3">
      <c r="A31" s="1">
        <v>100</v>
      </c>
    </row>
    <row r="32" spans="1:1" x14ac:dyDescent="0.3">
      <c r="A32" s="2">
        <v>100</v>
      </c>
    </row>
    <row r="33" spans="1:1" x14ac:dyDescent="0.3">
      <c r="A33" s="1">
        <v>100</v>
      </c>
    </row>
    <row r="34" spans="1:1" x14ac:dyDescent="0.3">
      <c r="A34" s="2">
        <v>100</v>
      </c>
    </row>
    <row r="35" spans="1:1" x14ac:dyDescent="0.3">
      <c r="A35" s="1">
        <v>100</v>
      </c>
    </row>
    <row r="36" spans="1:1" x14ac:dyDescent="0.3">
      <c r="A36" s="2">
        <v>100</v>
      </c>
    </row>
    <row r="37" spans="1:1" x14ac:dyDescent="0.3">
      <c r="A37" s="1">
        <v>100</v>
      </c>
    </row>
    <row r="38" spans="1:1" x14ac:dyDescent="0.3">
      <c r="A38" s="2">
        <v>100</v>
      </c>
    </row>
    <row r="39" spans="1:1" x14ac:dyDescent="0.3">
      <c r="A39" s="1">
        <v>100</v>
      </c>
    </row>
    <row r="40" spans="1:1" x14ac:dyDescent="0.3">
      <c r="A40" s="2">
        <v>100</v>
      </c>
    </row>
    <row r="41" spans="1:1" x14ac:dyDescent="0.3">
      <c r="A41" s="1">
        <v>100</v>
      </c>
    </row>
    <row r="42" spans="1:1" x14ac:dyDescent="0.3">
      <c r="A42" s="2">
        <v>100</v>
      </c>
    </row>
    <row r="43" spans="1:1" x14ac:dyDescent="0.3">
      <c r="A43" s="1">
        <v>100</v>
      </c>
    </row>
    <row r="44" spans="1:1" x14ac:dyDescent="0.3">
      <c r="A44" s="2">
        <v>100</v>
      </c>
    </row>
    <row r="45" spans="1:1" x14ac:dyDescent="0.3">
      <c r="A45" s="1">
        <v>100</v>
      </c>
    </row>
    <row r="46" spans="1:1" x14ac:dyDescent="0.3">
      <c r="A46" s="2">
        <v>100</v>
      </c>
    </row>
    <row r="47" spans="1:1" x14ac:dyDescent="0.3">
      <c r="A47" s="1">
        <v>100</v>
      </c>
    </row>
    <row r="48" spans="1:1" x14ac:dyDescent="0.3">
      <c r="A48" s="2">
        <v>100</v>
      </c>
    </row>
    <row r="49" spans="1:1" x14ac:dyDescent="0.3">
      <c r="A49" s="1">
        <v>100</v>
      </c>
    </row>
    <row r="50" spans="1:1" x14ac:dyDescent="0.3">
      <c r="A50" s="2">
        <v>100</v>
      </c>
    </row>
    <row r="51" spans="1:1" x14ac:dyDescent="0.3">
      <c r="A51" s="1">
        <v>100</v>
      </c>
    </row>
    <row r="52" spans="1:1" x14ac:dyDescent="0.3">
      <c r="A52" s="2">
        <v>100</v>
      </c>
    </row>
    <row r="53" spans="1:1" x14ac:dyDescent="0.3">
      <c r="A53" s="1">
        <v>100</v>
      </c>
    </row>
    <row r="54" spans="1:1" x14ac:dyDescent="0.3">
      <c r="A54" s="2">
        <v>100</v>
      </c>
    </row>
    <row r="55" spans="1:1" x14ac:dyDescent="0.3">
      <c r="A55" s="1">
        <v>100</v>
      </c>
    </row>
    <row r="56" spans="1:1" x14ac:dyDescent="0.3">
      <c r="A56" s="2">
        <v>100</v>
      </c>
    </row>
    <row r="57" spans="1:1" x14ac:dyDescent="0.3">
      <c r="A57" s="1">
        <v>100</v>
      </c>
    </row>
    <row r="58" spans="1:1" x14ac:dyDescent="0.3">
      <c r="A58" s="2">
        <v>100</v>
      </c>
    </row>
    <row r="59" spans="1:1" x14ac:dyDescent="0.3">
      <c r="A59" s="1">
        <v>100</v>
      </c>
    </row>
    <row r="60" spans="1:1" x14ac:dyDescent="0.3">
      <c r="A60" s="2">
        <v>100</v>
      </c>
    </row>
    <row r="61" spans="1:1" x14ac:dyDescent="0.3">
      <c r="A61" s="1">
        <v>100</v>
      </c>
    </row>
    <row r="62" spans="1:1" x14ac:dyDescent="0.3">
      <c r="A62" s="2">
        <v>100</v>
      </c>
    </row>
    <row r="63" spans="1:1" x14ac:dyDescent="0.3">
      <c r="A63" s="1">
        <v>100</v>
      </c>
    </row>
    <row r="64" spans="1:1" x14ac:dyDescent="0.3">
      <c r="A64" s="1">
        <v>100</v>
      </c>
    </row>
    <row r="65" spans="1:1" x14ac:dyDescent="0.3">
      <c r="A65" s="2">
        <v>100</v>
      </c>
    </row>
    <row r="66" spans="1:1" x14ac:dyDescent="0.3">
      <c r="A66" s="1">
        <v>100</v>
      </c>
    </row>
    <row r="67" spans="1:1" x14ac:dyDescent="0.3">
      <c r="A67" s="2">
        <v>100</v>
      </c>
    </row>
    <row r="68" spans="1:1" x14ac:dyDescent="0.3">
      <c r="A68" s="1">
        <v>100</v>
      </c>
    </row>
    <row r="69" spans="1:1" x14ac:dyDescent="0.3">
      <c r="A69" s="2">
        <v>100</v>
      </c>
    </row>
    <row r="70" spans="1:1" x14ac:dyDescent="0.3">
      <c r="A70" s="1">
        <v>100</v>
      </c>
    </row>
    <row r="71" spans="1:1" x14ac:dyDescent="0.3">
      <c r="A71" s="2">
        <v>100</v>
      </c>
    </row>
    <row r="72" spans="1:1" x14ac:dyDescent="0.3">
      <c r="A72" s="1">
        <v>100</v>
      </c>
    </row>
    <row r="73" spans="1:1" x14ac:dyDescent="0.3">
      <c r="A73" s="2">
        <v>100</v>
      </c>
    </row>
    <row r="74" spans="1:1" x14ac:dyDescent="0.3">
      <c r="A74" s="1">
        <v>100</v>
      </c>
    </row>
    <row r="75" spans="1:1" x14ac:dyDescent="0.3">
      <c r="A75" s="2">
        <v>100</v>
      </c>
    </row>
    <row r="76" spans="1:1" x14ac:dyDescent="0.3">
      <c r="A76" s="1">
        <v>100</v>
      </c>
    </row>
    <row r="77" spans="1:1" x14ac:dyDescent="0.3">
      <c r="A77" s="1">
        <v>100</v>
      </c>
    </row>
    <row r="78" spans="1:1" x14ac:dyDescent="0.3">
      <c r="A78" s="2">
        <v>100</v>
      </c>
    </row>
    <row r="79" spans="1:1" x14ac:dyDescent="0.3">
      <c r="A79" s="1">
        <v>100</v>
      </c>
    </row>
    <row r="80" spans="1:1" x14ac:dyDescent="0.3">
      <c r="A80" s="2">
        <v>100</v>
      </c>
    </row>
    <row r="81" spans="1:1" x14ac:dyDescent="0.3">
      <c r="A81" s="1">
        <v>100</v>
      </c>
    </row>
    <row r="82" spans="1:1" x14ac:dyDescent="0.3">
      <c r="A82" s="2">
        <v>100</v>
      </c>
    </row>
    <row r="83" spans="1:1" x14ac:dyDescent="0.3">
      <c r="A83" s="1">
        <v>100</v>
      </c>
    </row>
    <row r="84" spans="1:1" x14ac:dyDescent="0.3">
      <c r="A84" s="2">
        <v>100</v>
      </c>
    </row>
    <row r="85" spans="1:1" x14ac:dyDescent="0.3">
      <c r="A85" s="1">
        <v>100</v>
      </c>
    </row>
    <row r="86" spans="1:1" x14ac:dyDescent="0.3">
      <c r="A86" s="2">
        <v>100</v>
      </c>
    </row>
    <row r="87" spans="1:1" x14ac:dyDescent="0.3">
      <c r="A87" s="1">
        <v>100</v>
      </c>
    </row>
    <row r="88" spans="1:1" x14ac:dyDescent="0.3">
      <c r="A88" s="2">
        <v>100</v>
      </c>
    </row>
    <row r="89" spans="1:1" x14ac:dyDescent="0.3">
      <c r="A89" s="1">
        <v>100</v>
      </c>
    </row>
    <row r="90" spans="1:1" x14ac:dyDescent="0.3">
      <c r="A90" s="2">
        <v>100</v>
      </c>
    </row>
    <row r="91" spans="1:1" x14ac:dyDescent="0.3">
      <c r="A91" s="1">
        <v>100</v>
      </c>
    </row>
    <row r="92" spans="1:1" x14ac:dyDescent="0.3">
      <c r="A92" s="2">
        <v>100</v>
      </c>
    </row>
    <row r="93" spans="1:1" x14ac:dyDescent="0.3">
      <c r="A93" s="1">
        <v>100</v>
      </c>
    </row>
    <row r="94" spans="1:1" x14ac:dyDescent="0.3">
      <c r="A94" s="2">
        <v>100</v>
      </c>
    </row>
    <row r="95" spans="1:1" x14ac:dyDescent="0.3">
      <c r="A95" s="1">
        <v>100</v>
      </c>
    </row>
    <row r="96" spans="1:1" x14ac:dyDescent="0.3">
      <c r="A96" s="2">
        <v>100</v>
      </c>
    </row>
    <row r="97" spans="1:1" x14ac:dyDescent="0.3">
      <c r="A97" s="1">
        <v>100</v>
      </c>
    </row>
    <row r="98" spans="1:1" x14ac:dyDescent="0.3">
      <c r="A98" s="2">
        <v>100</v>
      </c>
    </row>
    <row r="99" spans="1:1" x14ac:dyDescent="0.3">
      <c r="A99" s="1">
        <v>100</v>
      </c>
    </row>
    <row r="100" spans="1:1" x14ac:dyDescent="0.3">
      <c r="A100" s="2">
        <v>100</v>
      </c>
    </row>
    <row r="101" spans="1:1" x14ac:dyDescent="0.3">
      <c r="A101" s="1">
        <v>100</v>
      </c>
    </row>
    <row r="102" spans="1:1" x14ac:dyDescent="0.3">
      <c r="A102" s="2">
        <v>100</v>
      </c>
    </row>
    <row r="103" spans="1:1" x14ac:dyDescent="0.3">
      <c r="A103" s="1">
        <v>100</v>
      </c>
    </row>
    <row r="104" spans="1:1" x14ac:dyDescent="0.3">
      <c r="A104" s="2">
        <v>100</v>
      </c>
    </row>
    <row r="105" spans="1:1" x14ac:dyDescent="0.3">
      <c r="A105" s="1">
        <v>100</v>
      </c>
    </row>
    <row r="106" spans="1:1" x14ac:dyDescent="0.3">
      <c r="A106" s="2">
        <v>100</v>
      </c>
    </row>
    <row r="107" spans="1:1" x14ac:dyDescent="0.3">
      <c r="A107" s="1">
        <v>100</v>
      </c>
    </row>
    <row r="108" spans="1:1" x14ac:dyDescent="0.3">
      <c r="A108" s="2">
        <v>100</v>
      </c>
    </row>
    <row r="109" spans="1:1" x14ac:dyDescent="0.3">
      <c r="A109" s="1">
        <v>100</v>
      </c>
    </row>
    <row r="110" spans="1:1" x14ac:dyDescent="0.3">
      <c r="A110" s="2">
        <v>100</v>
      </c>
    </row>
    <row r="111" spans="1:1" x14ac:dyDescent="0.3">
      <c r="A111" s="1">
        <v>100</v>
      </c>
    </row>
    <row r="112" spans="1:1" x14ac:dyDescent="0.3">
      <c r="A112" s="2">
        <v>100</v>
      </c>
    </row>
    <row r="113" spans="1:1" x14ac:dyDescent="0.3">
      <c r="A113" s="1">
        <v>100</v>
      </c>
    </row>
    <row r="114" spans="1:1" x14ac:dyDescent="0.3">
      <c r="A114" s="2">
        <v>100</v>
      </c>
    </row>
    <row r="115" spans="1:1" x14ac:dyDescent="0.3">
      <c r="A115" s="1">
        <v>100</v>
      </c>
    </row>
    <row r="116" spans="1:1" x14ac:dyDescent="0.3">
      <c r="A116" s="2">
        <v>100</v>
      </c>
    </row>
    <row r="117" spans="1:1" x14ac:dyDescent="0.3">
      <c r="A117" s="1">
        <v>100</v>
      </c>
    </row>
    <row r="118" spans="1:1" x14ac:dyDescent="0.3">
      <c r="A118" s="2">
        <v>100</v>
      </c>
    </row>
    <row r="119" spans="1:1" x14ac:dyDescent="0.3">
      <c r="A119" s="1">
        <v>100</v>
      </c>
    </row>
    <row r="120" spans="1:1" x14ac:dyDescent="0.3">
      <c r="A120" s="2">
        <v>100</v>
      </c>
    </row>
    <row r="121" spans="1:1" x14ac:dyDescent="0.3">
      <c r="A121" s="1">
        <v>100</v>
      </c>
    </row>
    <row r="122" spans="1:1" x14ac:dyDescent="0.3">
      <c r="A122" s="1">
        <v>100</v>
      </c>
    </row>
    <row r="123" spans="1:1" x14ac:dyDescent="0.3">
      <c r="A123" s="2">
        <v>100</v>
      </c>
    </row>
    <row r="124" spans="1:1" x14ac:dyDescent="0.3">
      <c r="A124" s="1">
        <v>100</v>
      </c>
    </row>
    <row r="125" spans="1:1" x14ac:dyDescent="0.3">
      <c r="A125" s="2">
        <v>100</v>
      </c>
    </row>
    <row r="126" spans="1:1" x14ac:dyDescent="0.3">
      <c r="A126" s="1">
        <v>100</v>
      </c>
    </row>
    <row r="127" spans="1:1" x14ac:dyDescent="0.3">
      <c r="A127" s="2">
        <v>100</v>
      </c>
    </row>
    <row r="128" spans="1:1" x14ac:dyDescent="0.3">
      <c r="A128" s="2">
        <v>100</v>
      </c>
    </row>
    <row r="129" spans="1:1" x14ac:dyDescent="0.3">
      <c r="A129" s="1">
        <v>100</v>
      </c>
    </row>
    <row r="130" spans="1:1" x14ac:dyDescent="0.3">
      <c r="A130" s="2">
        <v>100</v>
      </c>
    </row>
    <row r="131" spans="1:1" x14ac:dyDescent="0.3">
      <c r="A131" s="1">
        <v>100</v>
      </c>
    </row>
    <row r="132" spans="1:1" x14ac:dyDescent="0.3">
      <c r="A132" s="2">
        <v>100</v>
      </c>
    </row>
    <row r="133" spans="1:1" x14ac:dyDescent="0.3">
      <c r="A133" s="1">
        <v>100</v>
      </c>
    </row>
    <row r="134" spans="1:1" x14ac:dyDescent="0.3">
      <c r="A134" s="2">
        <v>100</v>
      </c>
    </row>
    <row r="135" spans="1:1" x14ac:dyDescent="0.3">
      <c r="A135" s="1">
        <v>100</v>
      </c>
    </row>
    <row r="136" spans="1:1" x14ac:dyDescent="0.3">
      <c r="A136" s="1">
        <v>100</v>
      </c>
    </row>
    <row r="137" spans="1:1" x14ac:dyDescent="0.3">
      <c r="A137" s="2">
        <v>100</v>
      </c>
    </row>
    <row r="138" spans="1:1" x14ac:dyDescent="0.3">
      <c r="A138" s="2">
        <v>100</v>
      </c>
    </row>
    <row r="139" spans="1:1" x14ac:dyDescent="0.3">
      <c r="A139" s="1">
        <v>100</v>
      </c>
    </row>
    <row r="140" spans="1:1" x14ac:dyDescent="0.3">
      <c r="A140" s="2">
        <v>100</v>
      </c>
    </row>
    <row r="141" spans="1:1" x14ac:dyDescent="0.3">
      <c r="A141" s="1">
        <v>100</v>
      </c>
    </row>
    <row r="142" spans="1:1" x14ac:dyDescent="0.3">
      <c r="A142" s="2">
        <v>100</v>
      </c>
    </row>
    <row r="143" spans="1:1" x14ac:dyDescent="0.3">
      <c r="A143" s="1">
        <v>100</v>
      </c>
    </row>
    <row r="144" spans="1:1" x14ac:dyDescent="0.3">
      <c r="A144" s="2">
        <v>100</v>
      </c>
    </row>
    <row r="145" spans="1:1" x14ac:dyDescent="0.3">
      <c r="A145" s="1">
        <v>100</v>
      </c>
    </row>
    <row r="146" spans="1:1" x14ac:dyDescent="0.3">
      <c r="A146" s="2">
        <v>100</v>
      </c>
    </row>
    <row r="147" spans="1:1" x14ac:dyDescent="0.3">
      <c r="A147" s="1">
        <v>100</v>
      </c>
    </row>
    <row r="148" spans="1:1" x14ac:dyDescent="0.3">
      <c r="A148" s="2">
        <v>100</v>
      </c>
    </row>
    <row r="149" spans="1:1" x14ac:dyDescent="0.3">
      <c r="A149" s="2">
        <v>100</v>
      </c>
    </row>
    <row r="150" spans="1:1" x14ac:dyDescent="0.3">
      <c r="A150" s="1">
        <v>100</v>
      </c>
    </row>
    <row r="151" spans="1:1" x14ac:dyDescent="0.3">
      <c r="A151" s="2">
        <v>100</v>
      </c>
    </row>
    <row r="152" spans="1:1" x14ac:dyDescent="0.3">
      <c r="A152" s="2">
        <v>100</v>
      </c>
    </row>
    <row r="153" spans="1:1" x14ac:dyDescent="0.3">
      <c r="A153" s="1">
        <v>100</v>
      </c>
    </row>
    <row r="154" spans="1:1" x14ac:dyDescent="0.3">
      <c r="A154" s="2">
        <v>100</v>
      </c>
    </row>
    <row r="155" spans="1:1" x14ac:dyDescent="0.3">
      <c r="A155" s="1">
        <v>100</v>
      </c>
    </row>
    <row r="156" spans="1:1" x14ac:dyDescent="0.3">
      <c r="A156" s="1">
        <v>100</v>
      </c>
    </row>
    <row r="157" spans="1:1" x14ac:dyDescent="0.3">
      <c r="A157" s="2">
        <v>100</v>
      </c>
    </row>
    <row r="158" spans="1:1" x14ac:dyDescent="0.3">
      <c r="A158" s="1">
        <v>100</v>
      </c>
    </row>
    <row r="159" spans="1:1" x14ac:dyDescent="0.3">
      <c r="A159" s="2">
        <v>100</v>
      </c>
    </row>
    <row r="160" spans="1:1" x14ac:dyDescent="0.3">
      <c r="A160" s="1">
        <v>100</v>
      </c>
    </row>
    <row r="161" spans="1:1" x14ac:dyDescent="0.3">
      <c r="A161" s="2">
        <v>100</v>
      </c>
    </row>
    <row r="162" spans="1:1" x14ac:dyDescent="0.3">
      <c r="A162" s="1">
        <v>100</v>
      </c>
    </row>
    <row r="163" spans="1:1" x14ac:dyDescent="0.3">
      <c r="A163" s="2">
        <v>100</v>
      </c>
    </row>
    <row r="164" spans="1:1" x14ac:dyDescent="0.3">
      <c r="A164" s="1">
        <v>100</v>
      </c>
    </row>
    <row r="165" spans="1:1" x14ac:dyDescent="0.3">
      <c r="A165" s="1">
        <v>100</v>
      </c>
    </row>
    <row r="166" spans="1:1" x14ac:dyDescent="0.3">
      <c r="A166" s="2">
        <v>100</v>
      </c>
    </row>
    <row r="167" spans="1:1" x14ac:dyDescent="0.3">
      <c r="A167" s="2">
        <v>100</v>
      </c>
    </row>
    <row r="168" spans="1:1" x14ac:dyDescent="0.3">
      <c r="A168" s="1">
        <v>100</v>
      </c>
    </row>
    <row r="169" spans="1:1" x14ac:dyDescent="0.3">
      <c r="A169" s="1">
        <v>100</v>
      </c>
    </row>
    <row r="170" spans="1:1" x14ac:dyDescent="0.3">
      <c r="A170" s="2">
        <v>100</v>
      </c>
    </row>
    <row r="171" spans="1:1" x14ac:dyDescent="0.3">
      <c r="A171" s="1">
        <v>100</v>
      </c>
    </row>
    <row r="172" spans="1:1" x14ac:dyDescent="0.3">
      <c r="A172" s="2">
        <v>100</v>
      </c>
    </row>
    <row r="173" spans="1:1" x14ac:dyDescent="0.3">
      <c r="A173" s="1">
        <v>100</v>
      </c>
    </row>
    <row r="174" spans="1:1" x14ac:dyDescent="0.3">
      <c r="A174" s="2">
        <v>100</v>
      </c>
    </row>
    <row r="175" spans="1:1" x14ac:dyDescent="0.3">
      <c r="A175" s="1">
        <v>100</v>
      </c>
    </row>
    <row r="176" spans="1:1" x14ac:dyDescent="0.3">
      <c r="A176" s="2">
        <v>100</v>
      </c>
    </row>
    <row r="177" spans="1:1" x14ac:dyDescent="0.3">
      <c r="A177" s="1">
        <v>100</v>
      </c>
    </row>
    <row r="178" spans="1:1" x14ac:dyDescent="0.3">
      <c r="A178" s="2">
        <v>100</v>
      </c>
    </row>
    <row r="179" spans="1:1" x14ac:dyDescent="0.3">
      <c r="A179" s="1">
        <v>100</v>
      </c>
    </row>
    <row r="180" spans="1:1" x14ac:dyDescent="0.3">
      <c r="A180" s="2">
        <v>100</v>
      </c>
    </row>
    <row r="181" spans="1:1" x14ac:dyDescent="0.3">
      <c r="A181" s="1">
        <v>100</v>
      </c>
    </row>
    <row r="182" spans="1:1" x14ac:dyDescent="0.3">
      <c r="A182" s="2">
        <v>100</v>
      </c>
    </row>
    <row r="183" spans="1:1" x14ac:dyDescent="0.3">
      <c r="A183" s="2">
        <v>100</v>
      </c>
    </row>
    <row r="184" spans="1:1" x14ac:dyDescent="0.3">
      <c r="A184" s="1">
        <v>100</v>
      </c>
    </row>
    <row r="185" spans="1:1" x14ac:dyDescent="0.3">
      <c r="A185" s="2">
        <v>100</v>
      </c>
    </row>
    <row r="186" spans="1:1" x14ac:dyDescent="0.3">
      <c r="A186" s="1">
        <v>100</v>
      </c>
    </row>
    <row r="187" spans="1:1" x14ac:dyDescent="0.3">
      <c r="A187" s="2">
        <v>100</v>
      </c>
    </row>
    <row r="188" spans="1:1" x14ac:dyDescent="0.3">
      <c r="A188" s="1">
        <v>100</v>
      </c>
    </row>
    <row r="189" spans="1:1" x14ac:dyDescent="0.3">
      <c r="A189" s="2">
        <v>100</v>
      </c>
    </row>
    <row r="190" spans="1:1" x14ac:dyDescent="0.3">
      <c r="A190" s="1">
        <v>100</v>
      </c>
    </row>
    <row r="191" spans="1:1" x14ac:dyDescent="0.3">
      <c r="A191" s="2">
        <v>100</v>
      </c>
    </row>
    <row r="192" spans="1:1" x14ac:dyDescent="0.3">
      <c r="A192" s="1">
        <v>100</v>
      </c>
    </row>
    <row r="193" spans="1:1" x14ac:dyDescent="0.3">
      <c r="A193" s="2">
        <v>100</v>
      </c>
    </row>
    <row r="194" spans="1:1" x14ac:dyDescent="0.3">
      <c r="A194" s="1">
        <v>100</v>
      </c>
    </row>
    <row r="195" spans="1:1" x14ac:dyDescent="0.3">
      <c r="A195" s="2">
        <v>100</v>
      </c>
    </row>
    <row r="196" spans="1:1" x14ac:dyDescent="0.3">
      <c r="A196" s="1">
        <v>100</v>
      </c>
    </row>
    <row r="197" spans="1:1" x14ac:dyDescent="0.3">
      <c r="A197" s="2">
        <v>100</v>
      </c>
    </row>
    <row r="198" spans="1:1" x14ac:dyDescent="0.3">
      <c r="A198" s="1">
        <v>100</v>
      </c>
    </row>
    <row r="199" spans="1:1" x14ac:dyDescent="0.3">
      <c r="A199" s="2">
        <v>100</v>
      </c>
    </row>
    <row r="200" spans="1:1" x14ac:dyDescent="0.3">
      <c r="A200" s="1">
        <v>100</v>
      </c>
    </row>
    <row r="201" spans="1:1" x14ac:dyDescent="0.3">
      <c r="A201" s="2">
        <v>100</v>
      </c>
    </row>
    <row r="202" spans="1:1" x14ac:dyDescent="0.3">
      <c r="A202" s="1">
        <v>100</v>
      </c>
    </row>
    <row r="203" spans="1:1" x14ac:dyDescent="0.3">
      <c r="A203" s="2">
        <v>100</v>
      </c>
    </row>
    <row r="204" spans="1:1" x14ac:dyDescent="0.3">
      <c r="A204" s="1">
        <v>100</v>
      </c>
    </row>
    <row r="205" spans="1:1" x14ac:dyDescent="0.3">
      <c r="A205" s="2">
        <v>100</v>
      </c>
    </row>
    <row r="206" spans="1:1" x14ac:dyDescent="0.3">
      <c r="A206" s="1">
        <v>100</v>
      </c>
    </row>
    <row r="207" spans="1:1" x14ac:dyDescent="0.3">
      <c r="A207" s="2">
        <v>100</v>
      </c>
    </row>
    <row r="208" spans="1:1" x14ac:dyDescent="0.3">
      <c r="A208" s="1">
        <v>100</v>
      </c>
    </row>
    <row r="209" spans="1:1" x14ac:dyDescent="0.3">
      <c r="A209" s="2">
        <v>100</v>
      </c>
    </row>
    <row r="210" spans="1:1" x14ac:dyDescent="0.3">
      <c r="A210" s="1">
        <v>100</v>
      </c>
    </row>
    <row r="211" spans="1:1" x14ac:dyDescent="0.3">
      <c r="A211" s="2">
        <v>100</v>
      </c>
    </row>
    <row r="212" spans="1:1" x14ac:dyDescent="0.3">
      <c r="A212" s="1">
        <v>100</v>
      </c>
    </row>
    <row r="213" spans="1:1" x14ac:dyDescent="0.3">
      <c r="A213" s="2">
        <v>100</v>
      </c>
    </row>
    <row r="214" spans="1:1" x14ac:dyDescent="0.3">
      <c r="A214" s="1">
        <v>100</v>
      </c>
    </row>
    <row r="215" spans="1:1" x14ac:dyDescent="0.3">
      <c r="A215" s="2">
        <v>100</v>
      </c>
    </row>
    <row r="216" spans="1:1" x14ac:dyDescent="0.3">
      <c r="A216" s="1">
        <v>100</v>
      </c>
    </row>
    <row r="217" spans="1:1" x14ac:dyDescent="0.3">
      <c r="A217" s="2">
        <v>100</v>
      </c>
    </row>
    <row r="218" spans="1:1" x14ac:dyDescent="0.3">
      <c r="A218" s="1">
        <v>100</v>
      </c>
    </row>
    <row r="219" spans="1:1" x14ac:dyDescent="0.3">
      <c r="A219" s="2">
        <v>100</v>
      </c>
    </row>
    <row r="220" spans="1:1" x14ac:dyDescent="0.3">
      <c r="A220" s="1">
        <v>100</v>
      </c>
    </row>
    <row r="221" spans="1:1" x14ac:dyDescent="0.3">
      <c r="A221" s="2">
        <v>100</v>
      </c>
    </row>
    <row r="222" spans="1:1" x14ac:dyDescent="0.3">
      <c r="A222" s="1">
        <v>100</v>
      </c>
    </row>
    <row r="223" spans="1:1" x14ac:dyDescent="0.3">
      <c r="A223" s="2">
        <v>100</v>
      </c>
    </row>
    <row r="224" spans="1:1" x14ac:dyDescent="0.3">
      <c r="A224" s="1">
        <v>100</v>
      </c>
    </row>
    <row r="225" spans="1:1" x14ac:dyDescent="0.3">
      <c r="A225" s="1">
        <v>100</v>
      </c>
    </row>
    <row r="226" spans="1:1" x14ac:dyDescent="0.3">
      <c r="A226" s="2">
        <v>100</v>
      </c>
    </row>
    <row r="227" spans="1:1" x14ac:dyDescent="0.3">
      <c r="A227" s="1">
        <v>100</v>
      </c>
    </row>
    <row r="228" spans="1:1" x14ac:dyDescent="0.3">
      <c r="A228" s="2">
        <v>100</v>
      </c>
    </row>
    <row r="229" spans="1:1" x14ac:dyDescent="0.3">
      <c r="A229" s="1">
        <v>100</v>
      </c>
    </row>
    <row r="230" spans="1:1" x14ac:dyDescent="0.3">
      <c r="A230" s="2">
        <v>100</v>
      </c>
    </row>
    <row r="231" spans="1:1" x14ac:dyDescent="0.3">
      <c r="A231" s="1">
        <v>100</v>
      </c>
    </row>
    <row r="232" spans="1:1" x14ac:dyDescent="0.3">
      <c r="A232" s="2">
        <v>100</v>
      </c>
    </row>
    <row r="233" spans="1:1" x14ac:dyDescent="0.3">
      <c r="A233" s="1">
        <v>100</v>
      </c>
    </row>
    <row r="234" spans="1:1" x14ac:dyDescent="0.3">
      <c r="A234" s="2">
        <v>100</v>
      </c>
    </row>
    <row r="235" spans="1:1" x14ac:dyDescent="0.3">
      <c r="A235" s="1">
        <v>100</v>
      </c>
    </row>
    <row r="236" spans="1:1" x14ac:dyDescent="0.3">
      <c r="A236" s="2">
        <v>100</v>
      </c>
    </row>
    <row r="237" spans="1:1" x14ac:dyDescent="0.3">
      <c r="A237" s="1">
        <v>100</v>
      </c>
    </row>
    <row r="238" spans="1:1" x14ac:dyDescent="0.3">
      <c r="A238" s="2">
        <v>100</v>
      </c>
    </row>
    <row r="239" spans="1:1" x14ac:dyDescent="0.3">
      <c r="A239" s="1">
        <v>100</v>
      </c>
    </row>
    <row r="240" spans="1:1" x14ac:dyDescent="0.3">
      <c r="A240" s="2">
        <v>100</v>
      </c>
    </row>
    <row r="241" spans="1:1" x14ac:dyDescent="0.3">
      <c r="A241" s="1">
        <v>100</v>
      </c>
    </row>
    <row r="242" spans="1:1" x14ac:dyDescent="0.3">
      <c r="A242" s="2">
        <v>100</v>
      </c>
    </row>
    <row r="243" spans="1:1" x14ac:dyDescent="0.3">
      <c r="A243" s="1">
        <v>100</v>
      </c>
    </row>
    <row r="244" spans="1:1" x14ac:dyDescent="0.3">
      <c r="A244" s="2">
        <v>100</v>
      </c>
    </row>
    <row r="245" spans="1:1" x14ac:dyDescent="0.3">
      <c r="A245" s="2">
        <v>100</v>
      </c>
    </row>
    <row r="246" spans="1:1" x14ac:dyDescent="0.3">
      <c r="A246" s="2">
        <v>100</v>
      </c>
    </row>
    <row r="247" spans="1:1" x14ac:dyDescent="0.3">
      <c r="A247" s="1">
        <v>100</v>
      </c>
    </row>
    <row r="248" spans="1:1" x14ac:dyDescent="0.3">
      <c r="A248" s="2">
        <v>100</v>
      </c>
    </row>
    <row r="249" spans="1:1" x14ac:dyDescent="0.3">
      <c r="A249" s="2">
        <v>100</v>
      </c>
    </row>
    <row r="250" spans="1:1" x14ac:dyDescent="0.3">
      <c r="A250" s="1">
        <v>100</v>
      </c>
    </row>
    <row r="251" spans="1:1" x14ac:dyDescent="0.3">
      <c r="A251" s="2">
        <v>100</v>
      </c>
    </row>
    <row r="252" spans="1:1" x14ac:dyDescent="0.3">
      <c r="A252" s="2">
        <v>100</v>
      </c>
    </row>
    <row r="253" spans="1:1" x14ac:dyDescent="0.3">
      <c r="A253" s="1">
        <v>100</v>
      </c>
    </row>
    <row r="254" spans="1:1" x14ac:dyDescent="0.3">
      <c r="A254" s="2">
        <v>100</v>
      </c>
    </row>
    <row r="255" spans="1:1" x14ac:dyDescent="0.3">
      <c r="A255" s="1">
        <v>100</v>
      </c>
    </row>
    <row r="256" spans="1:1" x14ac:dyDescent="0.3">
      <c r="A256" s="2">
        <v>100</v>
      </c>
    </row>
    <row r="257" spans="1:1" x14ac:dyDescent="0.3">
      <c r="A257" s="2">
        <v>100</v>
      </c>
    </row>
    <row r="258" spans="1:1" x14ac:dyDescent="0.3">
      <c r="A258" s="1">
        <v>100</v>
      </c>
    </row>
    <row r="259" spans="1:1" x14ac:dyDescent="0.3">
      <c r="A259" s="2">
        <v>100</v>
      </c>
    </row>
    <row r="260" spans="1:1" x14ac:dyDescent="0.3">
      <c r="A260" s="1">
        <v>100</v>
      </c>
    </row>
    <row r="261" spans="1:1" x14ac:dyDescent="0.3">
      <c r="A261" s="2">
        <v>100</v>
      </c>
    </row>
    <row r="262" spans="1:1" x14ac:dyDescent="0.3">
      <c r="A262" s="1">
        <v>100</v>
      </c>
    </row>
    <row r="263" spans="1:1" x14ac:dyDescent="0.3">
      <c r="A263" s="2">
        <v>100</v>
      </c>
    </row>
    <row r="264" spans="1:1" x14ac:dyDescent="0.3">
      <c r="A264" s="1">
        <v>100</v>
      </c>
    </row>
    <row r="265" spans="1:1" x14ac:dyDescent="0.3">
      <c r="A265" s="2">
        <v>100</v>
      </c>
    </row>
    <row r="266" spans="1:1" x14ac:dyDescent="0.3">
      <c r="A266" s="1">
        <v>100</v>
      </c>
    </row>
    <row r="267" spans="1:1" x14ac:dyDescent="0.3">
      <c r="A267" s="2">
        <v>100</v>
      </c>
    </row>
    <row r="268" spans="1:1" x14ac:dyDescent="0.3">
      <c r="A268" s="1">
        <v>100</v>
      </c>
    </row>
    <row r="269" spans="1:1" x14ac:dyDescent="0.3">
      <c r="A269" s="2">
        <v>100</v>
      </c>
    </row>
    <row r="270" spans="1:1" x14ac:dyDescent="0.3">
      <c r="A270" s="1">
        <v>100</v>
      </c>
    </row>
    <row r="271" spans="1:1" x14ac:dyDescent="0.3">
      <c r="A271" s="2">
        <v>100</v>
      </c>
    </row>
    <row r="272" spans="1:1" x14ac:dyDescent="0.3">
      <c r="A272" s="1">
        <v>100</v>
      </c>
    </row>
    <row r="273" spans="1:1" x14ac:dyDescent="0.3">
      <c r="A273" s="2">
        <v>100</v>
      </c>
    </row>
    <row r="274" spans="1:1" x14ac:dyDescent="0.3">
      <c r="A274" s="1">
        <v>100</v>
      </c>
    </row>
    <row r="275" spans="1:1" x14ac:dyDescent="0.3">
      <c r="A275" s="2">
        <v>100</v>
      </c>
    </row>
    <row r="276" spans="1:1" x14ac:dyDescent="0.3">
      <c r="A276" s="1">
        <v>100</v>
      </c>
    </row>
    <row r="277" spans="1:1" x14ac:dyDescent="0.3">
      <c r="A277" s="2">
        <v>100</v>
      </c>
    </row>
    <row r="278" spans="1:1" x14ac:dyDescent="0.3">
      <c r="A278" s="2">
        <v>100</v>
      </c>
    </row>
    <row r="279" spans="1:1" x14ac:dyDescent="0.3">
      <c r="A279" s="1">
        <v>100</v>
      </c>
    </row>
    <row r="280" spans="1:1" x14ac:dyDescent="0.3">
      <c r="A280" s="2">
        <v>100</v>
      </c>
    </row>
    <row r="281" spans="1:1" x14ac:dyDescent="0.3">
      <c r="A281" s="1">
        <v>100</v>
      </c>
    </row>
    <row r="282" spans="1:1" x14ac:dyDescent="0.3">
      <c r="A282" s="2">
        <v>100</v>
      </c>
    </row>
    <row r="283" spans="1:1" x14ac:dyDescent="0.3">
      <c r="A283" s="1">
        <v>100</v>
      </c>
    </row>
    <row r="284" spans="1:1" x14ac:dyDescent="0.3">
      <c r="A284" s="2">
        <v>100</v>
      </c>
    </row>
    <row r="285" spans="1:1" x14ac:dyDescent="0.3">
      <c r="A285" s="2">
        <v>100</v>
      </c>
    </row>
    <row r="286" spans="1:1" x14ac:dyDescent="0.3">
      <c r="A286" s="2">
        <v>100</v>
      </c>
    </row>
    <row r="287" spans="1:1" x14ac:dyDescent="0.3">
      <c r="A287" s="1">
        <v>100</v>
      </c>
    </row>
    <row r="288" spans="1:1" x14ac:dyDescent="0.3">
      <c r="A288" s="1">
        <v>100</v>
      </c>
    </row>
    <row r="289" spans="1:1" x14ac:dyDescent="0.3">
      <c r="A289" s="1">
        <v>100</v>
      </c>
    </row>
    <row r="290" spans="1:1" x14ac:dyDescent="0.3">
      <c r="A290" s="1">
        <v>100</v>
      </c>
    </row>
    <row r="291" spans="1:1" x14ac:dyDescent="0.3">
      <c r="A291" s="1">
        <v>100</v>
      </c>
    </row>
    <row r="292" spans="1:1" x14ac:dyDescent="0.3">
      <c r="A292" s="1">
        <v>100</v>
      </c>
    </row>
    <row r="293" spans="1:1" x14ac:dyDescent="0.3">
      <c r="A293" s="2">
        <v>100</v>
      </c>
    </row>
    <row r="294" spans="1:1" x14ac:dyDescent="0.3">
      <c r="A294" s="1">
        <v>100</v>
      </c>
    </row>
    <row r="295" spans="1:1" x14ac:dyDescent="0.3">
      <c r="A295" s="2">
        <v>100</v>
      </c>
    </row>
    <row r="296" spans="1:1" x14ac:dyDescent="0.3">
      <c r="A296" s="2">
        <v>100</v>
      </c>
    </row>
    <row r="297" spans="1:1" x14ac:dyDescent="0.3">
      <c r="A297" s="1">
        <v>100</v>
      </c>
    </row>
    <row r="298" spans="1:1" x14ac:dyDescent="0.3">
      <c r="A298" s="1">
        <v>100</v>
      </c>
    </row>
    <row r="299" spans="1:1" x14ac:dyDescent="0.3">
      <c r="A299" s="2">
        <v>100</v>
      </c>
    </row>
    <row r="300" spans="1:1" x14ac:dyDescent="0.3">
      <c r="A300" s="2">
        <v>100</v>
      </c>
    </row>
    <row r="301" spans="1:1" x14ac:dyDescent="0.3">
      <c r="A301" s="1">
        <v>100</v>
      </c>
    </row>
    <row r="302" spans="1:1" x14ac:dyDescent="0.3">
      <c r="A302" s="2">
        <v>100</v>
      </c>
    </row>
    <row r="303" spans="1:1" x14ac:dyDescent="0.3">
      <c r="A303" s="2">
        <v>100</v>
      </c>
    </row>
    <row r="304" spans="1:1" x14ac:dyDescent="0.3">
      <c r="A304" s="1">
        <v>100</v>
      </c>
    </row>
    <row r="305" spans="1:1" x14ac:dyDescent="0.3">
      <c r="A305" s="2">
        <v>100</v>
      </c>
    </row>
    <row r="306" spans="1:1" x14ac:dyDescent="0.3">
      <c r="A306" s="2">
        <v>100</v>
      </c>
    </row>
    <row r="307" spans="1:1" x14ac:dyDescent="0.3">
      <c r="A307" s="1">
        <v>100</v>
      </c>
    </row>
    <row r="308" spans="1:1" x14ac:dyDescent="0.3">
      <c r="A308" s="2">
        <v>100</v>
      </c>
    </row>
    <row r="309" spans="1:1" x14ac:dyDescent="0.3">
      <c r="A309" s="1">
        <v>100</v>
      </c>
    </row>
    <row r="310" spans="1:1" x14ac:dyDescent="0.3">
      <c r="A310" s="2">
        <v>100</v>
      </c>
    </row>
    <row r="311" spans="1:1" x14ac:dyDescent="0.3">
      <c r="A311" s="1">
        <v>100</v>
      </c>
    </row>
    <row r="312" spans="1:1" x14ac:dyDescent="0.3">
      <c r="A312" s="1">
        <v>100</v>
      </c>
    </row>
    <row r="313" spans="1:1" x14ac:dyDescent="0.3">
      <c r="A313" s="2">
        <v>100</v>
      </c>
    </row>
    <row r="314" spans="1:1" x14ac:dyDescent="0.3">
      <c r="A314" s="1">
        <v>100</v>
      </c>
    </row>
    <row r="315" spans="1:1" x14ac:dyDescent="0.3">
      <c r="A315" s="1">
        <v>100</v>
      </c>
    </row>
    <row r="316" spans="1:1" x14ac:dyDescent="0.3">
      <c r="A316" s="1">
        <v>100</v>
      </c>
    </row>
    <row r="317" spans="1:1" x14ac:dyDescent="0.3">
      <c r="A317" s="2">
        <v>100</v>
      </c>
    </row>
    <row r="318" spans="1:1" x14ac:dyDescent="0.3">
      <c r="A318" s="2">
        <v>100</v>
      </c>
    </row>
    <row r="319" spans="1:1" x14ac:dyDescent="0.3">
      <c r="A319" s="1">
        <v>100</v>
      </c>
    </row>
    <row r="320" spans="1:1" x14ac:dyDescent="0.3">
      <c r="A320" s="1">
        <v>100</v>
      </c>
    </row>
    <row r="321" spans="1:1" x14ac:dyDescent="0.3">
      <c r="A321" s="2">
        <v>100</v>
      </c>
    </row>
    <row r="322" spans="1:1" x14ac:dyDescent="0.3">
      <c r="A322" s="2">
        <v>100</v>
      </c>
    </row>
    <row r="323" spans="1:1" x14ac:dyDescent="0.3">
      <c r="A323" s="1">
        <v>100</v>
      </c>
    </row>
    <row r="324" spans="1:1" x14ac:dyDescent="0.3">
      <c r="A324" s="2">
        <v>100</v>
      </c>
    </row>
    <row r="325" spans="1:1" x14ac:dyDescent="0.3">
      <c r="A325" s="1">
        <v>100</v>
      </c>
    </row>
    <row r="326" spans="1:1" x14ac:dyDescent="0.3">
      <c r="A326" s="2">
        <v>100</v>
      </c>
    </row>
    <row r="327" spans="1:1" x14ac:dyDescent="0.3">
      <c r="A327" s="2">
        <v>100</v>
      </c>
    </row>
    <row r="328" spans="1:1" x14ac:dyDescent="0.3">
      <c r="A328" s="1">
        <v>100</v>
      </c>
    </row>
    <row r="329" spans="1:1" x14ac:dyDescent="0.3">
      <c r="A329" s="2">
        <v>100</v>
      </c>
    </row>
    <row r="330" spans="1:1" x14ac:dyDescent="0.3">
      <c r="A330" s="2">
        <v>100</v>
      </c>
    </row>
    <row r="331" spans="1:1" x14ac:dyDescent="0.3">
      <c r="A331" s="1">
        <v>100</v>
      </c>
    </row>
    <row r="332" spans="1:1" x14ac:dyDescent="0.3">
      <c r="A332" s="2">
        <v>100</v>
      </c>
    </row>
    <row r="333" spans="1:1" x14ac:dyDescent="0.3">
      <c r="A333" s="1">
        <v>100</v>
      </c>
    </row>
    <row r="334" spans="1:1" x14ac:dyDescent="0.3">
      <c r="A334" s="2">
        <v>100</v>
      </c>
    </row>
    <row r="335" spans="1:1" x14ac:dyDescent="0.3">
      <c r="A335" s="1">
        <v>100</v>
      </c>
    </row>
    <row r="336" spans="1:1" x14ac:dyDescent="0.3">
      <c r="A336" s="2">
        <v>100</v>
      </c>
    </row>
    <row r="337" spans="1:1" x14ac:dyDescent="0.3">
      <c r="A337" s="1">
        <v>100</v>
      </c>
    </row>
    <row r="338" spans="1:1" x14ac:dyDescent="0.3">
      <c r="A338" s="2">
        <v>100</v>
      </c>
    </row>
    <row r="339" spans="1:1" x14ac:dyDescent="0.3">
      <c r="A339" s="1">
        <v>100</v>
      </c>
    </row>
    <row r="340" spans="1:1" x14ac:dyDescent="0.3">
      <c r="A340" s="2">
        <v>100</v>
      </c>
    </row>
    <row r="341" spans="1:1" x14ac:dyDescent="0.3">
      <c r="A341" s="2">
        <v>100</v>
      </c>
    </row>
    <row r="342" spans="1:1" x14ac:dyDescent="0.3">
      <c r="A342" s="1">
        <v>100</v>
      </c>
    </row>
    <row r="343" spans="1:1" x14ac:dyDescent="0.3">
      <c r="A343" s="2">
        <v>100</v>
      </c>
    </row>
    <row r="344" spans="1:1" x14ac:dyDescent="0.3">
      <c r="A344" s="1">
        <v>100</v>
      </c>
    </row>
    <row r="345" spans="1:1" x14ac:dyDescent="0.3">
      <c r="A345" s="2">
        <v>100</v>
      </c>
    </row>
    <row r="346" spans="1:1" x14ac:dyDescent="0.3">
      <c r="A346" s="1">
        <v>100</v>
      </c>
    </row>
    <row r="347" spans="1:1" x14ac:dyDescent="0.3">
      <c r="A347" s="2">
        <v>100</v>
      </c>
    </row>
    <row r="348" spans="1:1" x14ac:dyDescent="0.3">
      <c r="A348" s="1">
        <v>100</v>
      </c>
    </row>
    <row r="349" spans="1:1" x14ac:dyDescent="0.3">
      <c r="A349" s="2">
        <v>100</v>
      </c>
    </row>
    <row r="350" spans="1:1" x14ac:dyDescent="0.3">
      <c r="A350" s="1">
        <v>100</v>
      </c>
    </row>
    <row r="351" spans="1:1" x14ac:dyDescent="0.3">
      <c r="A351" s="2">
        <v>100</v>
      </c>
    </row>
    <row r="352" spans="1:1" x14ac:dyDescent="0.3">
      <c r="A352" s="1">
        <v>100</v>
      </c>
    </row>
    <row r="353" spans="1:1" x14ac:dyDescent="0.3">
      <c r="A353" s="2">
        <v>100</v>
      </c>
    </row>
    <row r="354" spans="1:1" x14ac:dyDescent="0.3">
      <c r="A354" s="1">
        <v>100</v>
      </c>
    </row>
    <row r="355" spans="1:1" x14ac:dyDescent="0.3">
      <c r="A355" s="2">
        <v>100</v>
      </c>
    </row>
    <row r="356" spans="1:1" x14ac:dyDescent="0.3">
      <c r="A356" s="1">
        <v>100</v>
      </c>
    </row>
    <row r="357" spans="1:1" x14ac:dyDescent="0.3">
      <c r="A357" s="2">
        <v>100</v>
      </c>
    </row>
    <row r="358" spans="1:1" x14ac:dyDescent="0.3">
      <c r="A358" s="1">
        <v>100</v>
      </c>
    </row>
    <row r="359" spans="1:1" x14ac:dyDescent="0.3">
      <c r="A359" s="2">
        <v>100</v>
      </c>
    </row>
    <row r="360" spans="1:1" x14ac:dyDescent="0.3">
      <c r="A360" s="1">
        <v>100</v>
      </c>
    </row>
    <row r="361" spans="1:1" x14ac:dyDescent="0.3">
      <c r="A361" s="2">
        <v>100</v>
      </c>
    </row>
    <row r="362" spans="1:1" x14ac:dyDescent="0.3">
      <c r="A362" s="1">
        <v>100</v>
      </c>
    </row>
    <row r="363" spans="1:1" x14ac:dyDescent="0.3">
      <c r="A363" s="2">
        <v>100</v>
      </c>
    </row>
    <row r="364" spans="1:1" x14ac:dyDescent="0.3">
      <c r="A364" s="2">
        <v>100</v>
      </c>
    </row>
    <row r="365" spans="1:1" x14ac:dyDescent="0.3">
      <c r="A365" s="1">
        <v>100</v>
      </c>
    </row>
    <row r="366" spans="1:1" x14ac:dyDescent="0.3">
      <c r="A366" s="2">
        <v>100</v>
      </c>
    </row>
    <row r="367" spans="1:1" x14ac:dyDescent="0.3">
      <c r="A367" s="1">
        <v>100</v>
      </c>
    </row>
    <row r="368" spans="1:1" x14ac:dyDescent="0.3">
      <c r="A368" s="2">
        <v>100</v>
      </c>
    </row>
    <row r="369" spans="1:1" x14ac:dyDescent="0.3">
      <c r="A369" s="1">
        <v>100</v>
      </c>
    </row>
    <row r="370" spans="1:1" x14ac:dyDescent="0.3">
      <c r="A370" s="2">
        <v>100</v>
      </c>
    </row>
    <row r="371" spans="1:1" x14ac:dyDescent="0.3">
      <c r="A371" s="1">
        <v>100</v>
      </c>
    </row>
    <row r="372" spans="1:1" x14ac:dyDescent="0.3">
      <c r="A372" s="2">
        <v>100</v>
      </c>
    </row>
    <row r="373" spans="1:1" x14ac:dyDescent="0.3">
      <c r="A373" s="1">
        <v>100</v>
      </c>
    </row>
    <row r="374" spans="1:1" x14ac:dyDescent="0.3">
      <c r="A374" s="2">
        <v>100</v>
      </c>
    </row>
    <row r="375" spans="1:1" x14ac:dyDescent="0.3">
      <c r="A375" s="1">
        <v>100</v>
      </c>
    </row>
    <row r="376" spans="1:1" x14ac:dyDescent="0.3">
      <c r="A376" s="2">
        <v>100</v>
      </c>
    </row>
    <row r="377" spans="1:1" x14ac:dyDescent="0.3">
      <c r="A377" s="1">
        <v>100</v>
      </c>
    </row>
    <row r="378" spans="1:1" x14ac:dyDescent="0.3">
      <c r="A378" s="1">
        <v>100</v>
      </c>
    </row>
    <row r="379" spans="1:1" x14ac:dyDescent="0.3">
      <c r="A379" s="1">
        <v>100</v>
      </c>
    </row>
    <row r="380" spans="1:1" x14ac:dyDescent="0.3">
      <c r="A380" s="1">
        <v>100</v>
      </c>
    </row>
    <row r="381" spans="1:1" x14ac:dyDescent="0.3">
      <c r="A381" s="2">
        <v>100</v>
      </c>
    </row>
    <row r="382" spans="1:1" x14ac:dyDescent="0.3">
      <c r="A382" s="2">
        <v>100</v>
      </c>
    </row>
    <row r="383" spans="1:1" x14ac:dyDescent="0.3">
      <c r="A383" s="1">
        <v>100</v>
      </c>
    </row>
    <row r="384" spans="1:1" x14ac:dyDescent="0.3">
      <c r="A384" s="1">
        <v>100</v>
      </c>
    </row>
    <row r="385" spans="1:1" x14ac:dyDescent="0.3">
      <c r="A385" s="2">
        <v>100</v>
      </c>
    </row>
    <row r="386" spans="1:1" x14ac:dyDescent="0.3">
      <c r="A386" s="1">
        <v>100</v>
      </c>
    </row>
    <row r="387" spans="1:1" x14ac:dyDescent="0.3">
      <c r="A387" s="2">
        <v>100</v>
      </c>
    </row>
    <row r="388" spans="1:1" x14ac:dyDescent="0.3">
      <c r="A388" s="1">
        <v>100</v>
      </c>
    </row>
    <row r="389" spans="1:1" x14ac:dyDescent="0.3">
      <c r="A389" s="2">
        <v>100</v>
      </c>
    </row>
    <row r="390" spans="1:1" x14ac:dyDescent="0.3">
      <c r="A390" s="1">
        <v>100</v>
      </c>
    </row>
    <row r="391" spans="1:1" x14ac:dyDescent="0.3">
      <c r="A391" s="2">
        <v>100</v>
      </c>
    </row>
    <row r="392" spans="1:1" x14ac:dyDescent="0.3">
      <c r="A392" s="2">
        <v>100</v>
      </c>
    </row>
    <row r="393" spans="1:1" x14ac:dyDescent="0.3">
      <c r="A393" s="1">
        <v>100</v>
      </c>
    </row>
    <row r="394" spans="1:1" x14ac:dyDescent="0.3">
      <c r="A394" s="2">
        <v>100</v>
      </c>
    </row>
    <row r="395" spans="1:1" x14ac:dyDescent="0.3">
      <c r="A395" s="1">
        <v>100</v>
      </c>
    </row>
    <row r="396" spans="1:1" x14ac:dyDescent="0.3">
      <c r="A396" s="2">
        <v>100</v>
      </c>
    </row>
    <row r="397" spans="1:1" x14ac:dyDescent="0.3">
      <c r="A397" s="1">
        <v>100</v>
      </c>
    </row>
    <row r="398" spans="1:1" x14ac:dyDescent="0.3">
      <c r="A398" s="1">
        <v>100</v>
      </c>
    </row>
    <row r="399" spans="1:1" x14ac:dyDescent="0.3">
      <c r="A399" s="2">
        <v>100</v>
      </c>
    </row>
    <row r="400" spans="1:1" x14ac:dyDescent="0.3">
      <c r="A400" s="1">
        <v>100</v>
      </c>
    </row>
    <row r="401" spans="1:1" x14ac:dyDescent="0.3">
      <c r="A401" s="1">
        <v>100</v>
      </c>
    </row>
    <row r="402" spans="1:1" x14ac:dyDescent="0.3">
      <c r="A402" s="1">
        <v>100</v>
      </c>
    </row>
    <row r="403" spans="1:1" x14ac:dyDescent="0.3">
      <c r="A403" s="2">
        <v>100</v>
      </c>
    </row>
    <row r="404" spans="1:1" x14ac:dyDescent="0.3">
      <c r="A404" s="2">
        <v>100</v>
      </c>
    </row>
    <row r="405" spans="1:1" x14ac:dyDescent="0.3">
      <c r="A405" s="1">
        <v>100</v>
      </c>
    </row>
    <row r="406" spans="1:1" x14ac:dyDescent="0.3">
      <c r="A406" s="2">
        <v>100</v>
      </c>
    </row>
    <row r="407" spans="1:1" x14ac:dyDescent="0.3">
      <c r="A407" s="1">
        <v>100</v>
      </c>
    </row>
    <row r="408" spans="1:1" x14ac:dyDescent="0.3">
      <c r="A408" s="2">
        <v>100</v>
      </c>
    </row>
    <row r="409" spans="1:1" x14ac:dyDescent="0.3">
      <c r="A409" s="1">
        <v>100</v>
      </c>
    </row>
    <row r="410" spans="1:1" x14ac:dyDescent="0.3">
      <c r="A410" s="2">
        <v>100</v>
      </c>
    </row>
    <row r="411" spans="1:1" x14ac:dyDescent="0.3">
      <c r="A411" s="2">
        <v>100</v>
      </c>
    </row>
    <row r="412" spans="1:1" x14ac:dyDescent="0.3">
      <c r="A412" s="1">
        <v>100</v>
      </c>
    </row>
    <row r="413" spans="1:1" x14ac:dyDescent="0.3">
      <c r="A413" s="2">
        <v>100</v>
      </c>
    </row>
    <row r="414" spans="1:1" x14ac:dyDescent="0.3">
      <c r="A414" s="1">
        <v>100</v>
      </c>
    </row>
    <row r="415" spans="1:1" x14ac:dyDescent="0.3">
      <c r="A415" s="2">
        <v>100</v>
      </c>
    </row>
    <row r="416" spans="1:1" x14ac:dyDescent="0.3">
      <c r="A416" s="1">
        <v>100</v>
      </c>
    </row>
    <row r="417" spans="1:1" x14ac:dyDescent="0.3">
      <c r="A417" s="2">
        <v>100</v>
      </c>
    </row>
    <row r="418" spans="1:1" x14ac:dyDescent="0.3">
      <c r="A418" s="2">
        <v>100</v>
      </c>
    </row>
    <row r="419" spans="1:1" x14ac:dyDescent="0.3">
      <c r="A419" s="1">
        <v>100</v>
      </c>
    </row>
    <row r="420" spans="1:1" x14ac:dyDescent="0.3">
      <c r="A420" s="1">
        <v>100</v>
      </c>
    </row>
    <row r="421" spans="1:1" x14ac:dyDescent="0.3">
      <c r="A421" s="1">
        <v>100</v>
      </c>
    </row>
    <row r="422" spans="1:1" x14ac:dyDescent="0.3">
      <c r="A422" s="2">
        <v>100</v>
      </c>
    </row>
    <row r="423" spans="1:1" x14ac:dyDescent="0.3">
      <c r="A423" s="1">
        <v>100</v>
      </c>
    </row>
    <row r="424" spans="1:1" x14ac:dyDescent="0.3">
      <c r="A424" s="1">
        <v>100</v>
      </c>
    </row>
    <row r="425" spans="1:1" x14ac:dyDescent="0.3">
      <c r="A425" s="2">
        <v>100</v>
      </c>
    </row>
    <row r="426" spans="1:1" x14ac:dyDescent="0.3">
      <c r="A426" s="1">
        <v>100</v>
      </c>
    </row>
    <row r="427" spans="1:1" x14ac:dyDescent="0.3">
      <c r="A427" s="2">
        <v>100</v>
      </c>
    </row>
    <row r="428" spans="1:1" x14ac:dyDescent="0.3">
      <c r="A428" s="1">
        <v>100</v>
      </c>
    </row>
    <row r="429" spans="1:1" x14ac:dyDescent="0.3">
      <c r="A429" s="2">
        <v>100</v>
      </c>
    </row>
    <row r="430" spans="1:1" x14ac:dyDescent="0.3">
      <c r="A430" s="1">
        <v>100</v>
      </c>
    </row>
    <row r="431" spans="1:1" x14ac:dyDescent="0.3">
      <c r="A431" s="1">
        <v>100</v>
      </c>
    </row>
    <row r="432" spans="1:1" x14ac:dyDescent="0.3">
      <c r="A432" s="2">
        <v>100</v>
      </c>
    </row>
    <row r="433" spans="1:1" x14ac:dyDescent="0.3">
      <c r="A433" s="1">
        <v>100</v>
      </c>
    </row>
    <row r="434" spans="1:1" x14ac:dyDescent="0.3">
      <c r="A434" s="2">
        <v>100</v>
      </c>
    </row>
    <row r="435" spans="1:1" x14ac:dyDescent="0.3">
      <c r="A435" s="1">
        <v>100</v>
      </c>
    </row>
    <row r="436" spans="1:1" x14ac:dyDescent="0.3">
      <c r="A436" s="1">
        <v>100</v>
      </c>
    </row>
    <row r="437" spans="1:1" x14ac:dyDescent="0.3">
      <c r="A437" s="2">
        <v>100</v>
      </c>
    </row>
    <row r="438" spans="1:1" x14ac:dyDescent="0.3">
      <c r="A438" s="1">
        <v>100</v>
      </c>
    </row>
    <row r="439" spans="1:1" x14ac:dyDescent="0.3">
      <c r="A439" s="2">
        <v>100</v>
      </c>
    </row>
    <row r="440" spans="1:1" x14ac:dyDescent="0.3">
      <c r="A440" s="2">
        <v>100</v>
      </c>
    </row>
    <row r="441" spans="1:1" x14ac:dyDescent="0.3">
      <c r="A441" s="1">
        <v>100</v>
      </c>
    </row>
    <row r="442" spans="1:1" x14ac:dyDescent="0.3">
      <c r="A442" s="1">
        <v>100</v>
      </c>
    </row>
    <row r="443" spans="1:1" x14ac:dyDescent="0.3">
      <c r="A443" s="2">
        <v>100</v>
      </c>
    </row>
    <row r="444" spans="1:1" x14ac:dyDescent="0.3">
      <c r="A444" s="2">
        <v>100</v>
      </c>
    </row>
    <row r="445" spans="1:1" x14ac:dyDescent="0.3">
      <c r="A445" s="1">
        <v>100</v>
      </c>
    </row>
    <row r="446" spans="1:1" x14ac:dyDescent="0.3">
      <c r="A446" s="2">
        <v>100</v>
      </c>
    </row>
    <row r="447" spans="1:1" x14ac:dyDescent="0.3">
      <c r="A447" s="1">
        <v>100</v>
      </c>
    </row>
    <row r="448" spans="1:1" x14ac:dyDescent="0.3">
      <c r="A448" s="2">
        <v>100</v>
      </c>
    </row>
    <row r="449" spans="1:1" x14ac:dyDescent="0.3">
      <c r="A449" s="1">
        <v>100</v>
      </c>
    </row>
    <row r="450" spans="1:1" x14ac:dyDescent="0.3">
      <c r="A450" s="2">
        <v>100</v>
      </c>
    </row>
    <row r="451" spans="1:1" x14ac:dyDescent="0.3">
      <c r="A451" s="1">
        <v>100</v>
      </c>
    </row>
    <row r="452" spans="1:1" x14ac:dyDescent="0.3">
      <c r="A452" s="1">
        <v>100</v>
      </c>
    </row>
    <row r="453" spans="1:1" x14ac:dyDescent="0.3">
      <c r="A453" s="2">
        <v>100</v>
      </c>
    </row>
    <row r="454" spans="1:1" x14ac:dyDescent="0.3">
      <c r="A454" s="1">
        <v>100</v>
      </c>
    </row>
    <row r="455" spans="1:1" x14ac:dyDescent="0.3">
      <c r="A455" s="2">
        <v>100</v>
      </c>
    </row>
    <row r="456" spans="1:1" x14ac:dyDescent="0.3">
      <c r="A456" s="2">
        <v>100</v>
      </c>
    </row>
    <row r="457" spans="1:1" x14ac:dyDescent="0.3">
      <c r="A457" s="2">
        <v>100</v>
      </c>
    </row>
    <row r="458" spans="1:1" x14ac:dyDescent="0.3">
      <c r="A458" s="1">
        <v>100</v>
      </c>
    </row>
    <row r="459" spans="1:1" x14ac:dyDescent="0.3">
      <c r="A459" s="2">
        <v>100</v>
      </c>
    </row>
    <row r="460" spans="1:1" x14ac:dyDescent="0.3">
      <c r="A460" s="1">
        <v>100</v>
      </c>
    </row>
    <row r="461" spans="1:1" x14ac:dyDescent="0.3">
      <c r="A461" s="2">
        <v>100</v>
      </c>
    </row>
    <row r="462" spans="1:1" x14ac:dyDescent="0.3">
      <c r="A462" s="1">
        <v>100</v>
      </c>
    </row>
    <row r="463" spans="1:1" x14ac:dyDescent="0.3">
      <c r="A463" s="2">
        <v>100</v>
      </c>
    </row>
    <row r="464" spans="1:1" x14ac:dyDescent="0.3">
      <c r="A464" s="1">
        <v>100</v>
      </c>
    </row>
    <row r="465" spans="1:1" x14ac:dyDescent="0.3">
      <c r="A465" s="2">
        <v>100</v>
      </c>
    </row>
    <row r="466" spans="1:1" x14ac:dyDescent="0.3">
      <c r="A466" s="1">
        <v>100</v>
      </c>
    </row>
    <row r="467" spans="1:1" x14ac:dyDescent="0.3">
      <c r="A467" s="2">
        <v>100</v>
      </c>
    </row>
    <row r="468" spans="1:1" x14ac:dyDescent="0.3">
      <c r="A468" s="1">
        <v>100</v>
      </c>
    </row>
    <row r="469" spans="1:1" x14ac:dyDescent="0.3">
      <c r="A469" s="2">
        <v>100</v>
      </c>
    </row>
    <row r="470" spans="1:1" x14ac:dyDescent="0.3">
      <c r="A470" s="1">
        <v>100</v>
      </c>
    </row>
    <row r="471" spans="1:1" x14ac:dyDescent="0.3">
      <c r="A471" s="1">
        <v>100</v>
      </c>
    </row>
    <row r="472" spans="1:1" x14ac:dyDescent="0.3">
      <c r="A472" s="1">
        <v>100</v>
      </c>
    </row>
    <row r="473" spans="1:1" x14ac:dyDescent="0.3">
      <c r="A473" s="1">
        <v>100</v>
      </c>
    </row>
    <row r="474" spans="1:1" x14ac:dyDescent="0.3">
      <c r="A474" s="1">
        <v>100</v>
      </c>
    </row>
    <row r="475" spans="1:1" x14ac:dyDescent="0.3">
      <c r="A475" s="2">
        <v>100</v>
      </c>
    </row>
    <row r="476" spans="1:1" x14ac:dyDescent="0.3">
      <c r="A476" s="1">
        <v>100</v>
      </c>
    </row>
    <row r="477" spans="1:1" x14ac:dyDescent="0.3">
      <c r="A477" s="2">
        <v>100</v>
      </c>
    </row>
    <row r="478" spans="1:1" x14ac:dyDescent="0.3">
      <c r="A478" s="1">
        <v>100</v>
      </c>
    </row>
    <row r="479" spans="1:1" x14ac:dyDescent="0.3">
      <c r="A479" s="1">
        <v>100</v>
      </c>
    </row>
    <row r="480" spans="1:1" x14ac:dyDescent="0.3">
      <c r="A480" s="1">
        <v>100</v>
      </c>
    </row>
    <row r="481" spans="1:1" x14ac:dyDescent="0.3">
      <c r="A481" s="2">
        <v>100</v>
      </c>
    </row>
    <row r="482" spans="1:1" x14ac:dyDescent="0.3">
      <c r="A482" s="1">
        <v>100</v>
      </c>
    </row>
    <row r="483" spans="1:1" x14ac:dyDescent="0.3">
      <c r="A483" s="2">
        <v>100</v>
      </c>
    </row>
    <row r="484" spans="1:1" x14ac:dyDescent="0.3">
      <c r="A484" s="2">
        <v>100</v>
      </c>
    </row>
    <row r="485" spans="1:1" x14ac:dyDescent="0.3">
      <c r="A485" s="1">
        <v>100</v>
      </c>
    </row>
    <row r="486" spans="1:1" x14ac:dyDescent="0.3">
      <c r="A486" s="1">
        <v>100</v>
      </c>
    </row>
    <row r="487" spans="1:1" x14ac:dyDescent="0.3">
      <c r="A487" s="1">
        <v>100</v>
      </c>
    </row>
    <row r="488" spans="1:1" x14ac:dyDescent="0.3">
      <c r="A488" s="1">
        <v>100</v>
      </c>
    </row>
    <row r="489" spans="1:1" x14ac:dyDescent="0.3">
      <c r="A489" s="2">
        <v>100</v>
      </c>
    </row>
    <row r="490" spans="1:1" x14ac:dyDescent="0.3">
      <c r="A490" s="1">
        <v>100</v>
      </c>
    </row>
    <row r="491" spans="1:1" x14ac:dyDescent="0.3">
      <c r="A491" s="2">
        <v>100</v>
      </c>
    </row>
    <row r="492" spans="1:1" x14ac:dyDescent="0.3">
      <c r="A492" s="1">
        <v>100</v>
      </c>
    </row>
    <row r="493" spans="1:1" x14ac:dyDescent="0.3">
      <c r="A493" s="2">
        <v>100</v>
      </c>
    </row>
    <row r="494" spans="1:1" x14ac:dyDescent="0.3">
      <c r="A494" s="1">
        <v>100</v>
      </c>
    </row>
    <row r="495" spans="1:1" x14ac:dyDescent="0.3">
      <c r="A495" s="2">
        <v>100</v>
      </c>
    </row>
    <row r="496" spans="1:1" x14ac:dyDescent="0.3">
      <c r="A496" s="1">
        <v>100</v>
      </c>
    </row>
    <row r="497" spans="1:1" x14ac:dyDescent="0.3">
      <c r="A497" s="2">
        <v>100</v>
      </c>
    </row>
    <row r="498" spans="1:1" x14ac:dyDescent="0.3">
      <c r="A498" s="1">
        <v>100</v>
      </c>
    </row>
    <row r="499" spans="1:1" x14ac:dyDescent="0.3">
      <c r="A499" s="1">
        <v>100</v>
      </c>
    </row>
    <row r="500" spans="1:1" x14ac:dyDescent="0.3">
      <c r="A500" s="2">
        <v>100</v>
      </c>
    </row>
    <row r="501" spans="1:1" x14ac:dyDescent="0.3">
      <c r="A501" s="1">
        <v>100</v>
      </c>
    </row>
    <row r="502" spans="1:1" x14ac:dyDescent="0.3">
      <c r="A502" s="2">
        <v>100</v>
      </c>
    </row>
    <row r="503" spans="1:1" x14ac:dyDescent="0.3">
      <c r="A503" s="1">
        <v>100</v>
      </c>
    </row>
    <row r="504" spans="1:1" x14ac:dyDescent="0.3">
      <c r="A504" s="2">
        <v>100</v>
      </c>
    </row>
    <row r="505" spans="1:1" x14ac:dyDescent="0.3">
      <c r="A505" s="1">
        <v>100</v>
      </c>
    </row>
    <row r="506" spans="1:1" x14ac:dyDescent="0.3">
      <c r="A506" s="2">
        <v>100</v>
      </c>
    </row>
    <row r="507" spans="1:1" x14ac:dyDescent="0.3">
      <c r="A507" s="1">
        <v>100</v>
      </c>
    </row>
    <row r="508" spans="1:1" x14ac:dyDescent="0.3">
      <c r="A508" s="2">
        <v>100</v>
      </c>
    </row>
    <row r="509" spans="1:1" x14ac:dyDescent="0.3">
      <c r="A509" s="1">
        <v>100</v>
      </c>
    </row>
    <row r="510" spans="1:1" x14ac:dyDescent="0.3">
      <c r="A510" s="2">
        <v>100</v>
      </c>
    </row>
    <row r="511" spans="1:1" x14ac:dyDescent="0.3">
      <c r="A511" s="1">
        <v>100</v>
      </c>
    </row>
    <row r="512" spans="1:1" x14ac:dyDescent="0.3">
      <c r="A512" s="2">
        <v>100</v>
      </c>
    </row>
    <row r="513" spans="1:1" x14ac:dyDescent="0.3">
      <c r="A513" s="1">
        <v>100</v>
      </c>
    </row>
    <row r="514" spans="1:1" x14ac:dyDescent="0.3">
      <c r="A514" s="2">
        <v>100</v>
      </c>
    </row>
    <row r="515" spans="1:1" x14ac:dyDescent="0.3">
      <c r="A515" s="2">
        <v>100</v>
      </c>
    </row>
    <row r="516" spans="1:1" x14ac:dyDescent="0.3">
      <c r="A516" s="2">
        <v>100</v>
      </c>
    </row>
    <row r="517" spans="1:1" x14ac:dyDescent="0.3">
      <c r="A517" s="1">
        <v>100</v>
      </c>
    </row>
    <row r="518" spans="1:1" x14ac:dyDescent="0.3">
      <c r="A518" s="1">
        <v>100</v>
      </c>
    </row>
    <row r="519" spans="1:1" x14ac:dyDescent="0.3">
      <c r="A519" s="2">
        <v>100</v>
      </c>
    </row>
    <row r="520" spans="1:1" x14ac:dyDescent="0.3">
      <c r="A520" s="1">
        <v>100</v>
      </c>
    </row>
    <row r="521" spans="1:1" x14ac:dyDescent="0.3">
      <c r="A521" s="2">
        <v>100</v>
      </c>
    </row>
    <row r="522" spans="1:1" x14ac:dyDescent="0.3">
      <c r="A522" s="1">
        <v>100</v>
      </c>
    </row>
    <row r="523" spans="1:1" x14ac:dyDescent="0.3">
      <c r="A523" s="2">
        <v>100</v>
      </c>
    </row>
    <row r="524" spans="1:1" x14ac:dyDescent="0.3">
      <c r="A524" s="1">
        <v>100</v>
      </c>
    </row>
    <row r="525" spans="1:1" x14ac:dyDescent="0.3">
      <c r="A525" s="2">
        <v>100</v>
      </c>
    </row>
    <row r="526" spans="1:1" x14ac:dyDescent="0.3">
      <c r="A526" s="1">
        <v>100</v>
      </c>
    </row>
    <row r="527" spans="1:1" x14ac:dyDescent="0.3">
      <c r="A527" s="1">
        <v>100</v>
      </c>
    </row>
    <row r="528" spans="1:1" x14ac:dyDescent="0.3">
      <c r="A528" s="2">
        <v>100</v>
      </c>
    </row>
    <row r="529" spans="1:1" x14ac:dyDescent="0.3">
      <c r="A529" s="1">
        <v>100</v>
      </c>
    </row>
    <row r="530" spans="1:1" x14ac:dyDescent="0.3">
      <c r="A530" s="2">
        <v>100</v>
      </c>
    </row>
    <row r="531" spans="1:1" x14ac:dyDescent="0.3">
      <c r="A531" s="1">
        <v>100</v>
      </c>
    </row>
    <row r="532" spans="1:1" x14ac:dyDescent="0.3">
      <c r="A532" s="2">
        <v>100</v>
      </c>
    </row>
    <row r="533" spans="1:1" x14ac:dyDescent="0.3">
      <c r="A533" s="1">
        <v>100</v>
      </c>
    </row>
    <row r="534" spans="1:1" x14ac:dyDescent="0.3">
      <c r="A534" s="2">
        <v>100</v>
      </c>
    </row>
    <row r="535" spans="1:1" x14ac:dyDescent="0.3">
      <c r="A535" s="2">
        <v>100</v>
      </c>
    </row>
    <row r="536" spans="1:1" x14ac:dyDescent="0.3">
      <c r="A536" s="1">
        <v>100</v>
      </c>
    </row>
    <row r="537" spans="1:1" x14ac:dyDescent="0.3">
      <c r="A537" s="2">
        <v>100</v>
      </c>
    </row>
    <row r="538" spans="1:1" x14ac:dyDescent="0.3">
      <c r="A538" s="1">
        <v>100</v>
      </c>
    </row>
    <row r="539" spans="1:1" x14ac:dyDescent="0.3">
      <c r="A539" s="2">
        <v>100</v>
      </c>
    </row>
    <row r="540" spans="1:1" x14ac:dyDescent="0.3">
      <c r="A540" s="2">
        <v>100</v>
      </c>
    </row>
    <row r="541" spans="1:1" x14ac:dyDescent="0.3">
      <c r="A541" s="1">
        <v>100</v>
      </c>
    </row>
    <row r="542" spans="1:1" x14ac:dyDescent="0.3">
      <c r="A542" s="2">
        <v>100</v>
      </c>
    </row>
    <row r="543" spans="1:1" x14ac:dyDescent="0.3">
      <c r="A543" s="1">
        <v>100</v>
      </c>
    </row>
    <row r="544" spans="1:1" x14ac:dyDescent="0.3">
      <c r="A544" s="2">
        <v>100</v>
      </c>
    </row>
    <row r="545" spans="1:1" x14ac:dyDescent="0.3">
      <c r="A545" s="1">
        <v>100</v>
      </c>
    </row>
    <row r="546" spans="1:1" x14ac:dyDescent="0.3">
      <c r="A546" s="2">
        <v>100</v>
      </c>
    </row>
    <row r="547" spans="1:1" x14ac:dyDescent="0.3">
      <c r="A547" s="2">
        <v>100</v>
      </c>
    </row>
    <row r="548" spans="1:1" x14ac:dyDescent="0.3">
      <c r="A548" s="1">
        <v>100</v>
      </c>
    </row>
    <row r="549" spans="1:1" x14ac:dyDescent="0.3">
      <c r="A549" s="2">
        <v>100</v>
      </c>
    </row>
    <row r="550" spans="1:1" x14ac:dyDescent="0.3">
      <c r="A550" s="1">
        <v>100</v>
      </c>
    </row>
    <row r="551" spans="1:1" x14ac:dyDescent="0.3">
      <c r="A551" s="2">
        <v>100</v>
      </c>
    </row>
    <row r="552" spans="1:1" x14ac:dyDescent="0.3">
      <c r="A552" s="1">
        <v>100</v>
      </c>
    </row>
    <row r="553" spans="1:1" x14ac:dyDescent="0.3">
      <c r="A553" s="2">
        <v>100</v>
      </c>
    </row>
    <row r="554" spans="1:1" x14ac:dyDescent="0.3">
      <c r="A554" s="1">
        <v>100</v>
      </c>
    </row>
    <row r="555" spans="1:1" x14ac:dyDescent="0.3">
      <c r="A555" s="2">
        <v>100</v>
      </c>
    </row>
    <row r="556" spans="1:1" x14ac:dyDescent="0.3">
      <c r="A556" s="1">
        <v>100</v>
      </c>
    </row>
    <row r="557" spans="1:1" x14ac:dyDescent="0.3">
      <c r="A557" s="2">
        <v>100</v>
      </c>
    </row>
    <row r="558" spans="1:1" x14ac:dyDescent="0.3">
      <c r="A558" s="1">
        <v>100</v>
      </c>
    </row>
    <row r="559" spans="1:1" x14ac:dyDescent="0.3">
      <c r="A559" s="2">
        <v>100</v>
      </c>
    </row>
    <row r="560" spans="1:1" x14ac:dyDescent="0.3">
      <c r="A560" s="1">
        <v>100</v>
      </c>
    </row>
    <row r="561" spans="1:1" x14ac:dyDescent="0.3">
      <c r="A561" s="2">
        <v>100</v>
      </c>
    </row>
    <row r="562" spans="1:1" x14ac:dyDescent="0.3">
      <c r="A562" s="1">
        <v>100</v>
      </c>
    </row>
    <row r="563" spans="1:1" x14ac:dyDescent="0.3">
      <c r="A563" s="2">
        <v>100</v>
      </c>
    </row>
    <row r="564" spans="1:1" x14ac:dyDescent="0.3">
      <c r="A564" s="1">
        <v>100</v>
      </c>
    </row>
    <row r="565" spans="1:1" x14ac:dyDescent="0.3">
      <c r="A565" s="2">
        <v>100</v>
      </c>
    </row>
    <row r="566" spans="1:1" x14ac:dyDescent="0.3">
      <c r="A566" s="1">
        <v>100</v>
      </c>
    </row>
    <row r="567" spans="1:1" x14ac:dyDescent="0.3">
      <c r="A567" s="2">
        <v>100</v>
      </c>
    </row>
    <row r="568" spans="1:1" x14ac:dyDescent="0.3">
      <c r="A568" s="1">
        <v>100</v>
      </c>
    </row>
    <row r="569" spans="1:1" x14ac:dyDescent="0.3">
      <c r="A569" s="2">
        <v>100</v>
      </c>
    </row>
    <row r="570" spans="1:1" x14ac:dyDescent="0.3">
      <c r="A570" s="1">
        <v>100</v>
      </c>
    </row>
    <row r="571" spans="1:1" x14ac:dyDescent="0.3">
      <c r="A571" s="2">
        <v>100</v>
      </c>
    </row>
    <row r="572" spans="1:1" x14ac:dyDescent="0.3">
      <c r="A572" s="1">
        <v>100</v>
      </c>
    </row>
    <row r="573" spans="1:1" x14ac:dyDescent="0.3">
      <c r="A573" s="2">
        <v>100</v>
      </c>
    </row>
    <row r="574" spans="1:1" x14ac:dyDescent="0.3">
      <c r="A574" s="1">
        <v>100</v>
      </c>
    </row>
    <row r="575" spans="1:1" x14ac:dyDescent="0.3">
      <c r="A575" s="2">
        <v>100</v>
      </c>
    </row>
    <row r="576" spans="1:1" x14ac:dyDescent="0.3">
      <c r="A576" s="1">
        <v>100</v>
      </c>
    </row>
    <row r="577" spans="1:1" x14ac:dyDescent="0.3">
      <c r="A577" s="2">
        <v>100</v>
      </c>
    </row>
    <row r="578" spans="1:1" x14ac:dyDescent="0.3">
      <c r="A578" s="2">
        <v>100</v>
      </c>
    </row>
    <row r="579" spans="1:1" x14ac:dyDescent="0.3">
      <c r="A579" s="1">
        <v>100</v>
      </c>
    </row>
    <row r="580" spans="1:1" x14ac:dyDescent="0.3">
      <c r="A580" s="2">
        <v>100</v>
      </c>
    </row>
    <row r="581" spans="1:1" x14ac:dyDescent="0.3">
      <c r="A581" s="1">
        <v>100</v>
      </c>
    </row>
    <row r="582" spans="1:1" x14ac:dyDescent="0.3">
      <c r="A582" s="2">
        <v>100</v>
      </c>
    </row>
    <row r="583" spans="1:1" x14ac:dyDescent="0.3">
      <c r="A583" s="2">
        <v>100</v>
      </c>
    </row>
    <row r="584" spans="1:1" x14ac:dyDescent="0.3">
      <c r="A584" s="1">
        <v>100</v>
      </c>
    </row>
    <row r="585" spans="1:1" x14ac:dyDescent="0.3">
      <c r="A585" s="2">
        <v>100</v>
      </c>
    </row>
    <row r="586" spans="1:1" x14ac:dyDescent="0.3">
      <c r="A586" s="1">
        <v>100</v>
      </c>
    </row>
    <row r="587" spans="1:1" x14ac:dyDescent="0.3">
      <c r="A587" s="2">
        <v>100</v>
      </c>
    </row>
    <row r="588" spans="1:1" x14ac:dyDescent="0.3">
      <c r="A588" s="1">
        <v>100</v>
      </c>
    </row>
    <row r="589" spans="1:1" x14ac:dyDescent="0.3">
      <c r="A589" s="2">
        <v>100</v>
      </c>
    </row>
    <row r="590" spans="1:1" x14ac:dyDescent="0.3">
      <c r="A590" s="2">
        <v>100</v>
      </c>
    </row>
    <row r="591" spans="1:1" x14ac:dyDescent="0.3">
      <c r="A591" s="1">
        <v>100</v>
      </c>
    </row>
    <row r="592" spans="1:1" x14ac:dyDescent="0.3">
      <c r="A592" s="2">
        <v>100</v>
      </c>
    </row>
    <row r="593" spans="1:1" x14ac:dyDescent="0.3">
      <c r="A593" s="1">
        <v>100</v>
      </c>
    </row>
    <row r="594" spans="1:1" x14ac:dyDescent="0.3">
      <c r="A594" s="1">
        <v>100</v>
      </c>
    </row>
    <row r="595" spans="1:1" x14ac:dyDescent="0.3">
      <c r="A595" s="2">
        <v>100</v>
      </c>
    </row>
    <row r="596" spans="1:1" x14ac:dyDescent="0.3">
      <c r="A596" s="1">
        <v>100</v>
      </c>
    </row>
    <row r="597" spans="1:1" x14ac:dyDescent="0.3">
      <c r="A597" s="1">
        <v>100</v>
      </c>
    </row>
    <row r="598" spans="1:1" x14ac:dyDescent="0.3">
      <c r="A598" s="2">
        <v>100</v>
      </c>
    </row>
    <row r="599" spans="1:1" x14ac:dyDescent="0.3">
      <c r="A599" s="1">
        <v>100</v>
      </c>
    </row>
    <row r="600" spans="1:1" x14ac:dyDescent="0.3">
      <c r="A600" s="2">
        <v>100</v>
      </c>
    </row>
    <row r="601" spans="1:1" x14ac:dyDescent="0.3">
      <c r="A601" s="2">
        <v>100</v>
      </c>
    </row>
    <row r="602" spans="1:1" x14ac:dyDescent="0.3">
      <c r="A602" s="1">
        <v>100</v>
      </c>
    </row>
    <row r="603" spans="1:1" x14ac:dyDescent="0.3">
      <c r="A603" s="1">
        <v>100</v>
      </c>
    </row>
    <row r="604" spans="1:1" x14ac:dyDescent="0.3">
      <c r="A604" s="2">
        <v>100</v>
      </c>
    </row>
    <row r="605" spans="1:1" x14ac:dyDescent="0.3">
      <c r="A605" s="1">
        <v>100</v>
      </c>
    </row>
    <row r="606" spans="1:1" x14ac:dyDescent="0.3">
      <c r="A606" s="1">
        <v>100</v>
      </c>
    </row>
    <row r="607" spans="1:1" x14ac:dyDescent="0.3">
      <c r="A607" s="2">
        <v>100</v>
      </c>
    </row>
    <row r="608" spans="1:1" x14ac:dyDescent="0.3">
      <c r="A608" s="2">
        <v>100</v>
      </c>
    </row>
    <row r="609" spans="1:1" x14ac:dyDescent="0.3">
      <c r="A609" s="2">
        <v>100</v>
      </c>
    </row>
    <row r="610" spans="1:1" x14ac:dyDescent="0.3">
      <c r="A610" s="1">
        <v>100</v>
      </c>
    </row>
    <row r="611" spans="1:1" x14ac:dyDescent="0.3">
      <c r="A611" s="2">
        <v>100</v>
      </c>
    </row>
    <row r="612" spans="1:1" x14ac:dyDescent="0.3">
      <c r="A612" s="1">
        <v>100</v>
      </c>
    </row>
    <row r="613" spans="1:1" x14ac:dyDescent="0.3">
      <c r="A613" s="2">
        <v>100</v>
      </c>
    </row>
    <row r="614" spans="1:1" x14ac:dyDescent="0.3">
      <c r="A614" s="1">
        <v>100</v>
      </c>
    </row>
    <row r="615" spans="1:1" x14ac:dyDescent="0.3">
      <c r="A615" s="2">
        <v>100</v>
      </c>
    </row>
    <row r="616" spans="1:1" x14ac:dyDescent="0.3">
      <c r="A616" s="1">
        <v>100</v>
      </c>
    </row>
    <row r="617" spans="1:1" x14ac:dyDescent="0.3">
      <c r="A617" s="1">
        <v>100</v>
      </c>
    </row>
    <row r="618" spans="1:1" x14ac:dyDescent="0.3">
      <c r="A618" s="2">
        <v>100</v>
      </c>
    </row>
    <row r="619" spans="1:1" x14ac:dyDescent="0.3">
      <c r="A619" s="1">
        <v>100</v>
      </c>
    </row>
    <row r="620" spans="1:1" x14ac:dyDescent="0.3">
      <c r="A620" s="2">
        <v>100</v>
      </c>
    </row>
    <row r="621" spans="1:1" x14ac:dyDescent="0.3">
      <c r="A621" s="2">
        <v>100</v>
      </c>
    </row>
    <row r="622" spans="1:1" x14ac:dyDescent="0.3">
      <c r="A622" s="1">
        <v>100</v>
      </c>
    </row>
    <row r="623" spans="1:1" x14ac:dyDescent="0.3">
      <c r="A623" s="2">
        <v>100</v>
      </c>
    </row>
    <row r="624" spans="1:1" x14ac:dyDescent="0.3">
      <c r="A624" s="1">
        <v>100</v>
      </c>
    </row>
    <row r="625" spans="1:1" x14ac:dyDescent="0.3">
      <c r="A625" s="2">
        <v>100</v>
      </c>
    </row>
    <row r="626" spans="1:1" x14ac:dyDescent="0.3">
      <c r="A626" s="1">
        <v>100</v>
      </c>
    </row>
    <row r="627" spans="1:1" x14ac:dyDescent="0.3">
      <c r="A627" s="2">
        <v>100</v>
      </c>
    </row>
    <row r="628" spans="1:1" x14ac:dyDescent="0.3">
      <c r="A628" s="1">
        <v>100</v>
      </c>
    </row>
    <row r="629" spans="1:1" x14ac:dyDescent="0.3">
      <c r="A629" s="1">
        <v>100</v>
      </c>
    </row>
    <row r="630" spans="1:1" x14ac:dyDescent="0.3">
      <c r="A630" s="1">
        <v>100</v>
      </c>
    </row>
    <row r="631" spans="1:1" x14ac:dyDescent="0.3">
      <c r="A631" s="1">
        <v>100</v>
      </c>
    </row>
    <row r="632" spans="1:1" x14ac:dyDescent="0.3">
      <c r="A632" s="2">
        <v>100</v>
      </c>
    </row>
    <row r="633" spans="1:1" x14ac:dyDescent="0.3">
      <c r="A633" s="1">
        <v>100</v>
      </c>
    </row>
    <row r="634" spans="1:1" x14ac:dyDescent="0.3">
      <c r="A634" s="2">
        <v>100</v>
      </c>
    </row>
    <row r="635" spans="1:1" x14ac:dyDescent="0.3">
      <c r="A635" s="1">
        <v>100</v>
      </c>
    </row>
    <row r="636" spans="1:1" x14ac:dyDescent="0.3">
      <c r="A636" s="2">
        <v>100</v>
      </c>
    </row>
    <row r="637" spans="1:1" x14ac:dyDescent="0.3">
      <c r="A637" s="1">
        <v>100</v>
      </c>
    </row>
    <row r="638" spans="1:1" x14ac:dyDescent="0.3">
      <c r="A638" s="2">
        <v>100</v>
      </c>
    </row>
    <row r="639" spans="1:1" x14ac:dyDescent="0.3">
      <c r="A639" s="1">
        <v>100</v>
      </c>
    </row>
    <row r="640" spans="1:1" x14ac:dyDescent="0.3">
      <c r="A640" s="2">
        <v>100</v>
      </c>
    </row>
    <row r="641" spans="1:1" x14ac:dyDescent="0.3">
      <c r="A641" s="1">
        <v>100</v>
      </c>
    </row>
    <row r="642" spans="1:1" x14ac:dyDescent="0.3">
      <c r="A642" s="2">
        <v>100</v>
      </c>
    </row>
    <row r="643" spans="1:1" x14ac:dyDescent="0.3">
      <c r="A643" s="2">
        <v>100</v>
      </c>
    </row>
    <row r="644" spans="1:1" x14ac:dyDescent="0.3">
      <c r="A644" s="1">
        <v>100</v>
      </c>
    </row>
    <row r="645" spans="1:1" x14ac:dyDescent="0.3">
      <c r="A645" s="2">
        <v>100</v>
      </c>
    </row>
    <row r="646" spans="1:1" x14ac:dyDescent="0.3">
      <c r="A646" s="2">
        <v>100</v>
      </c>
    </row>
    <row r="647" spans="1:1" x14ac:dyDescent="0.3">
      <c r="A647" s="2">
        <v>100</v>
      </c>
    </row>
    <row r="648" spans="1:1" x14ac:dyDescent="0.3">
      <c r="A648" s="1">
        <v>100</v>
      </c>
    </row>
    <row r="649" spans="1:1" x14ac:dyDescent="0.3">
      <c r="A649" s="2">
        <v>100</v>
      </c>
    </row>
    <row r="650" spans="1:1" x14ac:dyDescent="0.3">
      <c r="A650" s="1">
        <v>100</v>
      </c>
    </row>
    <row r="651" spans="1:1" x14ac:dyDescent="0.3">
      <c r="A651" s="2">
        <v>100</v>
      </c>
    </row>
    <row r="652" spans="1:1" x14ac:dyDescent="0.3">
      <c r="A652" s="1">
        <v>100</v>
      </c>
    </row>
    <row r="653" spans="1:1" x14ac:dyDescent="0.3">
      <c r="A653" s="2">
        <v>100</v>
      </c>
    </row>
    <row r="654" spans="1:1" x14ac:dyDescent="0.3">
      <c r="A654" s="1">
        <v>100</v>
      </c>
    </row>
    <row r="655" spans="1:1" x14ac:dyDescent="0.3">
      <c r="A655" s="2">
        <v>100</v>
      </c>
    </row>
    <row r="656" spans="1:1" x14ac:dyDescent="0.3">
      <c r="A656" s="1">
        <v>100</v>
      </c>
    </row>
    <row r="657" spans="1:1" x14ac:dyDescent="0.3">
      <c r="A657" s="2">
        <v>100</v>
      </c>
    </row>
    <row r="658" spans="1:1" x14ac:dyDescent="0.3">
      <c r="A658" s="1">
        <v>100</v>
      </c>
    </row>
    <row r="659" spans="1:1" x14ac:dyDescent="0.3">
      <c r="A659" s="2">
        <v>100</v>
      </c>
    </row>
    <row r="660" spans="1:1" x14ac:dyDescent="0.3">
      <c r="A660" s="1">
        <v>100</v>
      </c>
    </row>
    <row r="661" spans="1:1" x14ac:dyDescent="0.3">
      <c r="A661" s="2">
        <v>100</v>
      </c>
    </row>
    <row r="662" spans="1:1" x14ac:dyDescent="0.3">
      <c r="A662" s="1">
        <v>100</v>
      </c>
    </row>
    <row r="663" spans="1:1" x14ac:dyDescent="0.3">
      <c r="A663" s="2">
        <v>100</v>
      </c>
    </row>
    <row r="664" spans="1:1" x14ac:dyDescent="0.3">
      <c r="A664" s="1">
        <v>100</v>
      </c>
    </row>
    <row r="665" spans="1:1" x14ac:dyDescent="0.3">
      <c r="A665" s="2">
        <v>100</v>
      </c>
    </row>
    <row r="666" spans="1:1" x14ac:dyDescent="0.3">
      <c r="A666" s="1">
        <v>100</v>
      </c>
    </row>
    <row r="667" spans="1:1" x14ac:dyDescent="0.3">
      <c r="A667" s="2">
        <v>100</v>
      </c>
    </row>
    <row r="668" spans="1:1" x14ac:dyDescent="0.3">
      <c r="A668" s="1">
        <v>100</v>
      </c>
    </row>
    <row r="669" spans="1:1" x14ac:dyDescent="0.3">
      <c r="A669" s="2">
        <v>100</v>
      </c>
    </row>
    <row r="670" spans="1:1" x14ac:dyDescent="0.3">
      <c r="A670" s="2">
        <v>100</v>
      </c>
    </row>
    <row r="671" spans="1:1" x14ac:dyDescent="0.3">
      <c r="A671" s="1">
        <v>100</v>
      </c>
    </row>
    <row r="672" spans="1:1" x14ac:dyDescent="0.3">
      <c r="A672" s="2">
        <v>100</v>
      </c>
    </row>
    <row r="673" spans="1:1" x14ac:dyDescent="0.3">
      <c r="A673" s="2">
        <v>100</v>
      </c>
    </row>
    <row r="674" spans="1:1" x14ac:dyDescent="0.3">
      <c r="A674" s="2">
        <v>100</v>
      </c>
    </row>
    <row r="675" spans="1:1" x14ac:dyDescent="0.3">
      <c r="A675" s="2">
        <v>100</v>
      </c>
    </row>
    <row r="676" spans="1:1" x14ac:dyDescent="0.3">
      <c r="A676" s="1">
        <v>100</v>
      </c>
    </row>
    <row r="677" spans="1:1" x14ac:dyDescent="0.3">
      <c r="A677" s="1">
        <v>100</v>
      </c>
    </row>
    <row r="678" spans="1:1" x14ac:dyDescent="0.3">
      <c r="A678" s="2">
        <v>100</v>
      </c>
    </row>
    <row r="679" spans="1:1" x14ac:dyDescent="0.3">
      <c r="A679" s="2">
        <v>100</v>
      </c>
    </row>
    <row r="680" spans="1:1" x14ac:dyDescent="0.3">
      <c r="A680" s="1">
        <v>100</v>
      </c>
    </row>
    <row r="681" spans="1:1" x14ac:dyDescent="0.3">
      <c r="A681" s="2">
        <v>100</v>
      </c>
    </row>
    <row r="682" spans="1:1" x14ac:dyDescent="0.3">
      <c r="A682" s="1">
        <v>100</v>
      </c>
    </row>
    <row r="683" spans="1:1" x14ac:dyDescent="0.3">
      <c r="A683" s="2">
        <v>100</v>
      </c>
    </row>
    <row r="684" spans="1:1" x14ac:dyDescent="0.3">
      <c r="A684" s="2">
        <v>100</v>
      </c>
    </row>
    <row r="685" spans="1:1" x14ac:dyDescent="0.3">
      <c r="A685" s="1">
        <v>100</v>
      </c>
    </row>
    <row r="686" spans="1:1" x14ac:dyDescent="0.3">
      <c r="A686" s="2">
        <v>100</v>
      </c>
    </row>
    <row r="687" spans="1:1" x14ac:dyDescent="0.3">
      <c r="A687" s="1">
        <v>100</v>
      </c>
    </row>
    <row r="688" spans="1:1" x14ac:dyDescent="0.3">
      <c r="A688" s="2">
        <v>100</v>
      </c>
    </row>
    <row r="689" spans="1:1" x14ac:dyDescent="0.3">
      <c r="A689" s="1">
        <v>100</v>
      </c>
    </row>
    <row r="690" spans="1:1" x14ac:dyDescent="0.3">
      <c r="A690" s="2">
        <v>100</v>
      </c>
    </row>
    <row r="691" spans="1:1" x14ac:dyDescent="0.3">
      <c r="A691" s="1">
        <v>100</v>
      </c>
    </row>
    <row r="692" spans="1:1" x14ac:dyDescent="0.3">
      <c r="A692" s="2">
        <v>100</v>
      </c>
    </row>
    <row r="693" spans="1:1" x14ac:dyDescent="0.3">
      <c r="A693" s="2">
        <v>100</v>
      </c>
    </row>
    <row r="694" spans="1:1" x14ac:dyDescent="0.3">
      <c r="A694" s="2">
        <v>100</v>
      </c>
    </row>
    <row r="695" spans="1:1" x14ac:dyDescent="0.3">
      <c r="A695" s="1">
        <v>100</v>
      </c>
    </row>
    <row r="696" spans="1:1" x14ac:dyDescent="0.3">
      <c r="A696" s="2">
        <v>100</v>
      </c>
    </row>
    <row r="697" spans="1:1" x14ac:dyDescent="0.3">
      <c r="A697" s="2">
        <v>100</v>
      </c>
    </row>
    <row r="698" spans="1:1" x14ac:dyDescent="0.3">
      <c r="A698" s="1">
        <v>100</v>
      </c>
    </row>
    <row r="699" spans="1:1" x14ac:dyDescent="0.3">
      <c r="A699" s="1">
        <v>100</v>
      </c>
    </row>
    <row r="700" spans="1:1" x14ac:dyDescent="0.3">
      <c r="A700" s="2">
        <v>100</v>
      </c>
    </row>
    <row r="701" spans="1:1" x14ac:dyDescent="0.3">
      <c r="A701" s="1">
        <v>100</v>
      </c>
    </row>
    <row r="702" spans="1:1" x14ac:dyDescent="0.3">
      <c r="A702" s="2">
        <v>100</v>
      </c>
    </row>
    <row r="703" spans="1:1" x14ac:dyDescent="0.3">
      <c r="A703" s="1">
        <v>100</v>
      </c>
    </row>
    <row r="704" spans="1:1" x14ac:dyDescent="0.3">
      <c r="A704" s="1">
        <v>100</v>
      </c>
    </row>
    <row r="705" spans="1:1" x14ac:dyDescent="0.3">
      <c r="A705" s="2">
        <v>100</v>
      </c>
    </row>
    <row r="706" spans="1:1" x14ac:dyDescent="0.3">
      <c r="A706" s="1">
        <v>100</v>
      </c>
    </row>
    <row r="707" spans="1:1" x14ac:dyDescent="0.3">
      <c r="A707" s="2">
        <v>100</v>
      </c>
    </row>
    <row r="708" spans="1:1" x14ac:dyDescent="0.3">
      <c r="A708" s="1">
        <v>100</v>
      </c>
    </row>
    <row r="709" spans="1:1" x14ac:dyDescent="0.3">
      <c r="A709" s="2">
        <v>100</v>
      </c>
    </row>
    <row r="710" spans="1:1" x14ac:dyDescent="0.3">
      <c r="A710" s="1">
        <v>100</v>
      </c>
    </row>
    <row r="711" spans="1:1" x14ac:dyDescent="0.3">
      <c r="A711" s="2">
        <v>100</v>
      </c>
    </row>
    <row r="712" spans="1:1" x14ac:dyDescent="0.3">
      <c r="A712" s="2">
        <v>100</v>
      </c>
    </row>
    <row r="713" spans="1:1" x14ac:dyDescent="0.3">
      <c r="A713" s="1">
        <v>100</v>
      </c>
    </row>
    <row r="714" spans="1:1" x14ac:dyDescent="0.3">
      <c r="A714" s="2">
        <v>100</v>
      </c>
    </row>
    <row r="715" spans="1:1" x14ac:dyDescent="0.3">
      <c r="A715" s="2">
        <v>100</v>
      </c>
    </row>
    <row r="716" spans="1:1" x14ac:dyDescent="0.3">
      <c r="A716" s="1">
        <v>100</v>
      </c>
    </row>
    <row r="717" spans="1:1" x14ac:dyDescent="0.3">
      <c r="A717" s="2">
        <v>100</v>
      </c>
    </row>
    <row r="718" spans="1:1" x14ac:dyDescent="0.3">
      <c r="A718" s="1">
        <v>100</v>
      </c>
    </row>
    <row r="719" spans="1:1" x14ac:dyDescent="0.3">
      <c r="A719" s="2">
        <v>100</v>
      </c>
    </row>
    <row r="720" spans="1:1" x14ac:dyDescent="0.3">
      <c r="A720" s="1">
        <v>100</v>
      </c>
    </row>
    <row r="721" spans="1:1" x14ac:dyDescent="0.3">
      <c r="A721" s="2">
        <v>100</v>
      </c>
    </row>
    <row r="722" spans="1:1" x14ac:dyDescent="0.3">
      <c r="A722" s="1">
        <v>100</v>
      </c>
    </row>
    <row r="723" spans="1:1" x14ac:dyDescent="0.3">
      <c r="A723" s="2">
        <v>100</v>
      </c>
    </row>
    <row r="724" spans="1:1" x14ac:dyDescent="0.3">
      <c r="A724" s="2">
        <v>100</v>
      </c>
    </row>
    <row r="725" spans="1:1" x14ac:dyDescent="0.3">
      <c r="A725" s="1">
        <v>100</v>
      </c>
    </row>
    <row r="726" spans="1:1" x14ac:dyDescent="0.3">
      <c r="A726" s="1">
        <v>100</v>
      </c>
    </row>
    <row r="727" spans="1:1" x14ac:dyDescent="0.3">
      <c r="A727" s="2">
        <v>100</v>
      </c>
    </row>
    <row r="728" spans="1:1" x14ac:dyDescent="0.3">
      <c r="A728" s="1">
        <v>100</v>
      </c>
    </row>
    <row r="729" spans="1:1" x14ac:dyDescent="0.3">
      <c r="A729" s="2">
        <v>100</v>
      </c>
    </row>
    <row r="730" spans="1:1" x14ac:dyDescent="0.3">
      <c r="A730" s="2">
        <v>100</v>
      </c>
    </row>
    <row r="731" spans="1:1" x14ac:dyDescent="0.3">
      <c r="A731" s="1">
        <v>100</v>
      </c>
    </row>
    <row r="732" spans="1:1" x14ac:dyDescent="0.3">
      <c r="A732" s="2">
        <v>100</v>
      </c>
    </row>
    <row r="733" spans="1:1" x14ac:dyDescent="0.3">
      <c r="A733" s="2">
        <v>100</v>
      </c>
    </row>
    <row r="734" spans="1:1" x14ac:dyDescent="0.3">
      <c r="A734" s="2">
        <v>100</v>
      </c>
    </row>
    <row r="735" spans="1:1" x14ac:dyDescent="0.3">
      <c r="A735" s="2">
        <v>100</v>
      </c>
    </row>
    <row r="736" spans="1:1" x14ac:dyDescent="0.3">
      <c r="A736" s="1">
        <v>100</v>
      </c>
    </row>
    <row r="737" spans="1:1" x14ac:dyDescent="0.3">
      <c r="A737" s="2">
        <v>100</v>
      </c>
    </row>
    <row r="738" spans="1:1" x14ac:dyDescent="0.3">
      <c r="A738" s="1">
        <v>100</v>
      </c>
    </row>
    <row r="739" spans="1:1" x14ac:dyDescent="0.3">
      <c r="A739" s="2">
        <v>100</v>
      </c>
    </row>
    <row r="740" spans="1:1" x14ac:dyDescent="0.3">
      <c r="A740" s="1">
        <v>100</v>
      </c>
    </row>
    <row r="741" spans="1:1" x14ac:dyDescent="0.3">
      <c r="A741" s="2">
        <v>100</v>
      </c>
    </row>
    <row r="742" spans="1:1" x14ac:dyDescent="0.3">
      <c r="A742" s="2">
        <v>100</v>
      </c>
    </row>
    <row r="743" spans="1:1" x14ac:dyDescent="0.3">
      <c r="A743" s="1">
        <v>100</v>
      </c>
    </row>
    <row r="744" spans="1:1" x14ac:dyDescent="0.3">
      <c r="A744" s="2">
        <v>100</v>
      </c>
    </row>
    <row r="745" spans="1:1" x14ac:dyDescent="0.3">
      <c r="A745" s="1">
        <v>100</v>
      </c>
    </row>
    <row r="746" spans="1:1" x14ac:dyDescent="0.3">
      <c r="A746" s="1">
        <v>100</v>
      </c>
    </row>
    <row r="747" spans="1:1" x14ac:dyDescent="0.3">
      <c r="A747" s="1">
        <v>100</v>
      </c>
    </row>
    <row r="748" spans="1:1" x14ac:dyDescent="0.3">
      <c r="A748" s="1">
        <v>100</v>
      </c>
    </row>
    <row r="749" spans="1:1" x14ac:dyDescent="0.3">
      <c r="A749" s="2">
        <v>100</v>
      </c>
    </row>
    <row r="750" spans="1:1" x14ac:dyDescent="0.3">
      <c r="A750" s="2">
        <v>100</v>
      </c>
    </row>
    <row r="751" spans="1:1" x14ac:dyDescent="0.3">
      <c r="A751" s="2">
        <v>100</v>
      </c>
    </row>
    <row r="752" spans="1:1" x14ac:dyDescent="0.3">
      <c r="A752" s="2">
        <v>100</v>
      </c>
    </row>
    <row r="753" spans="1:1" x14ac:dyDescent="0.3">
      <c r="A753" s="2">
        <v>100</v>
      </c>
    </row>
    <row r="754" spans="1:1" x14ac:dyDescent="0.3">
      <c r="A754" s="2">
        <v>100</v>
      </c>
    </row>
    <row r="755" spans="1:1" x14ac:dyDescent="0.3">
      <c r="A755" s="1">
        <v>100</v>
      </c>
    </row>
    <row r="756" spans="1:1" x14ac:dyDescent="0.3">
      <c r="A756" s="1">
        <v>100</v>
      </c>
    </row>
    <row r="757" spans="1:1" x14ac:dyDescent="0.3">
      <c r="A757" s="1">
        <v>100</v>
      </c>
    </row>
    <row r="758" spans="1:1" x14ac:dyDescent="0.3">
      <c r="A758" s="1">
        <v>100</v>
      </c>
    </row>
    <row r="759" spans="1:1" x14ac:dyDescent="0.3">
      <c r="A759" s="2">
        <v>100</v>
      </c>
    </row>
    <row r="760" spans="1:1" x14ac:dyDescent="0.3">
      <c r="A760" s="1">
        <v>100</v>
      </c>
    </row>
    <row r="761" spans="1:1" x14ac:dyDescent="0.3">
      <c r="A761" s="1">
        <v>100</v>
      </c>
    </row>
    <row r="762" spans="1:1" x14ac:dyDescent="0.3">
      <c r="A762" s="1">
        <v>100</v>
      </c>
    </row>
    <row r="763" spans="1:1" x14ac:dyDescent="0.3">
      <c r="A763" s="2">
        <v>100</v>
      </c>
    </row>
    <row r="764" spans="1:1" x14ac:dyDescent="0.3">
      <c r="A764" s="1">
        <v>100</v>
      </c>
    </row>
    <row r="765" spans="1:1" x14ac:dyDescent="0.3">
      <c r="A765" s="2">
        <v>100</v>
      </c>
    </row>
    <row r="766" spans="1:1" x14ac:dyDescent="0.3">
      <c r="A766" s="1">
        <v>100</v>
      </c>
    </row>
    <row r="767" spans="1:1" x14ac:dyDescent="0.3">
      <c r="A767" s="1">
        <v>100</v>
      </c>
    </row>
    <row r="768" spans="1:1" x14ac:dyDescent="0.3">
      <c r="A768" s="2">
        <v>100</v>
      </c>
    </row>
    <row r="769" spans="1:1" x14ac:dyDescent="0.3">
      <c r="A769" s="1">
        <v>100</v>
      </c>
    </row>
    <row r="770" spans="1:1" x14ac:dyDescent="0.3">
      <c r="A770" s="2">
        <v>100</v>
      </c>
    </row>
    <row r="771" spans="1:1" x14ac:dyDescent="0.3">
      <c r="A771" s="1">
        <v>100</v>
      </c>
    </row>
    <row r="772" spans="1:1" x14ac:dyDescent="0.3">
      <c r="A772" s="2">
        <v>100</v>
      </c>
    </row>
    <row r="773" spans="1:1" x14ac:dyDescent="0.3">
      <c r="A773" s="1">
        <v>100</v>
      </c>
    </row>
    <row r="774" spans="1:1" x14ac:dyDescent="0.3">
      <c r="A774" s="2">
        <v>100</v>
      </c>
    </row>
    <row r="775" spans="1:1" x14ac:dyDescent="0.3">
      <c r="A775" s="1">
        <v>100</v>
      </c>
    </row>
    <row r="776" spans="1:1" x14ac:dyDescent="0.3">
      <c r="A776" s="2">
        <v>100</v>
      </c>
    </row>
    <row r="777" spans="1:1" x14ac:dyDescent="0.3">
      <c r="A777" s="2">
        <v>100</v>
      </c>
    </row>
    <row r="778" spans="1:1" x14ac:dyDescent="0.3">
      <c r="A778" s="1">
        <v>100</v>
      </c>
    </row>
    <row r="779" spans="1:1" x14ac:dyDescent="0.3">
      <c r="A779" s="2">
        <v>100</v>
      </c>
    </row>
    <row r="780" spans="1:1" x14ac:dyDescent="0.3">
      <c r="A780" s="2">
        <v>100</v>
      </c>
    </row>
    <row r="781" spans="1:1" x14ac:dyDescent="0.3">
      <c r="A781" s="1">
        <v>100</v>
      </c>
    </row>
    <row r="782" spans="1:1" x14ac:dyDescent="0.3">
      <c r="A782" s="2">
        <v>100</v>
      </c>
    </row>
    <row r="783" spans="1:1" x14ac:dyDescent="0.3">
      <c r="A783" s="1">
        <v>100</v>
      </c>
    </row>
    <row r="784" spans="1:1" x14ac:dyDescent="0.3">
      <c r="A784" s="2">
        <v>100</v>
      </c>
    </row>
    <row r="785" spans="1:1" x14ac:dyDescent="0.3">
      <c r="A785" s="2">
        <v>100</v>
      </c>
    </row>
    <row r="786" spans="1:1" x14ac:dyDescent="0.3">
      <c r="A786" s="1">
        <v>100</v>
      </c>
    </row>
    <row r="787" spans="1:1" x14ac:dyDescent="0.3">
      <c r="A787" s="2">
        <v>100</v>
      </c>
    </row>
    <row r="788" spans="1:1" x14ac:dyDescent="0.3">
      <c r="A788" s="2">
        <v>100</v>
      </c>
    </row>
    <row r="789" spans="1:1" x14ac:dyDescent="0.3">
      <c r="A789" s="1">
        <v>100</v>
      </c>
    </row>
    <row r="790" spans="1:1" x14ac:dyDescent="0.3">
      <c r="A790" s="2">
        <v>100</v>
      </c>
    </row>
    <row r="791" spans="1:1" x14ac:dyDescent="0.3">
      <c r="A791" s="1">
        <v>100</v>
      </c>
    </row>
    <row r="792" spans="1:1" x14ac:dyDescent="0.3">
      <c r="A792" s="2">
        <v>100</v>
      </c>
    </row>
    <row r="793" spans="1:1" x14ac:dyDescent="0.3">
      <c r="A793" s="1">
        <v>100</v>
      </c>
    </row>
    <row r="794" spans="1:1" x14ac:dyDescent="0.3">
      <c r="A794" s="2">
        <v>100</v>
      </c>
    </row>
    <row r="795" spans="1:1" x14ac:dyDescent="0.3">
      <c r="A795" s="1">
        <v>100</v>
      </c>
    </row>
    <row r="796" spans="1:1" x14ac:dyDescent="0.3">
      <c r="A796" s="1">
        <v>100</v>
      </c>
    </row>
    <row r="797" spans="1:1" x14ac:dyDescent="0.3">
      <c r="A797" s="2">
        <v>100</v>
      </c>
    </row>
    <row r="798" spans="1:1" x14ac:dyDescent="0.3">
      <c r="A798" s="2">
        <v>100</v>
      </c>
    </row>
    <row r="799" spans="1:1" x14ac:dyDescent="0.3">
      <c r="A799" s="1">
        <v>100</v>
      </c>
    </row>
    <row r="800" spans="1:1" x14ac:dyDescent="0.3">
      <c r="A800" s="2">
        <v>100</v>
      </c>
    </row>
    <row r="801" spans="1:1" x14ac:dyDescent="0.3">
      <c r="A801" s="1">
        <v>100</v>
      </c>
    </row>
    <row r="802" spans="1:1" x14ac:dyDescent="0.3">
      <c r="A802" s="2">
        <v>100</v>
      </c>
    </row>
    <row r="803" spans="1:1" x14ac:dyDescent="0.3">
      <c r="A803" s="1">
        <v>100</v>
      </c>
    </row>
    <row r="804" spans="1:1" x14ac:dyDescent="0.3">
      <c r="A804" s="2">
        <v>100</v>
      </c>
    </row>
    <row r="805" spans="1:1" x14ac:dyDescent="0.3">
      <c r="A805" s="1">
        <v>100</v>
      </c>
    </row>
    <row r="806" spans="1:1" x14ac:dyDescent="0.3">
      <c r="A806" s="1">
        <v>100</v>
      </c>
    </row>
    <row r="807" spans="1:1" x14ac:dyDescent="0.3">
      <c r="A807" s="2">
        <v>100</v>
      </c>
    </row>
    <row r="808" spans="1:1" x14ac:dyDescent="0.3">
      <c r="A808" s="1">
        <v>100</v>
      </c>
    </row>
    <row r="809" spans="1:1" x14ac:dyDescent="0.3">
      <c r="A809" s="2">
        <v>100</v>
      </c>
    </row>
    <row r="810" spans="1:1" x14ac:dyDescent="0.3">
      <c r="A810" s="1">
        <v>100</v>
      </c>
    </row>
    <row r="811" spans="1:1" x14ac:dyDescent="0.3">
      <c r="A811" s="2">
        <v>100</v>
      </c>
    </row>
    <row r="812" spans="1:1" x14ac:dyDescent="0.3">
      <c r="A812" s="1">
        <v>100</v>
      </c>
    </row>
    <row r="813" spans="1:1" x14ac:dyDescent="0.3">
      <c r="A813" s="2">
        <v>100</v>
      </c>
    </row>
    <row r="814" spans="1:1" x14ac:dyDescent="0.3">
      <c r="A814" s="2">
        <v>100</v>
      </c>
    </row>
    <row r="815" spans="1:1" x14ac:dyDescent="0.3">
      <c r="A815" s="2">
        <v>100</v>
      </c>
    </row>
    <row r="816" spans="1:1" x14ac:dyDescent="0.3">
      <c r="A816" s="1">
        <v>100</v>
      </c>
    </row>
    <row r="817" spans="1:1" x14ac:dyDescent="0.3">
      <c r="A817" s="2">
        <v>100</v>
      </c>
    </row>
    <row r="818" spans="1:1" x14ac:dyDescent="0.3">
      <c r="A818" s="1">
        <v>100</v>
      </c>
    </row>
    <row r="819" spans="1:1" x14ac:dyDescent="0.3">
      <c r="A819" s="2">
        <v>100</v>
      </c>
    </row>
    <row r="820" spans="1:1" x14ac:dyDescent="0.3">
      <c r="A820" s="1">
        <v>100</v>
      </c>
    </row>
    <row r="821" spans="1:1" x14ac:dyDescent="0.3">
      <c r="A821" s="1">
        <v>100</v>
      </c>
    </row>
    <row r="822" spans="1:1" x14ac:dyDescent="0.3">
      <c r="A822" s="1">
        <v>100</v>
      </c>
    </row>
    <row r="823" spans="1:1" x14ac:dyDescent="0.3">
      <c r="A823" s="2">
        <v>100</v>
      </c>
    </row>
    <row r="824" spans="1:1" x14ac:dyDescent="0.3">
      <c r="A824" s="2">
        <v>100</v>
      </c>
    </row>
    <row r="825" spans="1:1" x14ac:dyDescent="0.3">
      <c r="A825" s="2">
        <v>100</v>
      </c>
    </row>
    <row r="826" spans="1:1" x14ac:dyDescent="0.3">
      <c r="A826" s="2">
        <v>100</v>
      </c>
    </row>
    <row r="827" spans="1:1" x14ac:dyDescent="0.3">
      <c r="A827" s="1">
        <v>100</v>
      </c>
    </row>
    <row r="828" spans="1:1" x14ac:dyDescent="0.3">
      <c r="A828" s="2">
        <v>100</v>
      </c>
    </row>
    <row r="829" spans="1:1" x14ac:dyDescent="0.3">
      <c r="A829" s="2">
        <v>100</v>
      </c>
    </row>
    <row r="830" spans="1:1" x14ac:dyDescent="0.3">
      <c r="A830" s="2">
        <v>100</v>
      </c>
    </row>
    <row r="831" spans="1:1" x14ac:dyDescent="0.3">
      <c r="A831" s="2">
        <v>100</v>
      </c>
    </row>
    <row r="832" spans="1:1" x14ac:dyDescent="0.3">
      <c r="A832" s="2">
        <v>100</v>
      </c>
    </row>
    <row r="833" spans="1:1" x14ac:dyDescent="0.3">
      <c r="A833" s="1">
        <v>100</v>
      </c>
    </row>
    <row r="834" spans="1:1" x14ac:dyDescent="0.3">
      <c r="A834" s="1">
        <v>100</v>
      </c>
    </row>
    <row r="835" spans="1:1" x14ac:dyDescent="0.3">
      <c r="A835" s="2">
        <v>100</v>
      </c>
    </row>
    <row r="836" spans="1:1" x14ac:dyDescent="0.3">
      <c r="A836" s="1">
        <v>100</v>
      </c>
    </row>
    <row r="837" spans="1:1" x14ac:dyDescent="0.3">
      <c r="A837" s="1">
        <v>100</v>
      </c>
    </row>
    <row r="838" spans="1:1" x14ac:dyDescent="0.3">
      <c r="A838" s="2">
        <v>100</v>
      </c>
    </row>
    <row r="839" spans="1:1" x14ac:dyDescent="0.3">
      <c r="A839" s="2">
        <v>100</v>
      </c>
    </row>
    <row r="840" spans="1:1" x14ac:dyDescent="0.3">
      <c r="A840" s="1">
        <v>100</v>
      </c>
    </row>
    <row r="841" spans="1:1" x14ac:dyDescent="0.3">
      <c r="A841" s="2">
        <v>100</v>
      </c>
    </row>
    <row r="842" spans="1:1" x14ac:dyDescent="0.3">
      <c r="A842" s="2">
        <v>100</v>
      </c>
    </row>
    <row r="843" spans="1:1" x14ac:dyDescent="0.3">
      <c r="A843" s="1">
        <v>100</v>
      </c>
    </row>
    <row r="844" spans="1:1" x14ac:dyDescent="0.3">
      <c r="A844" s="1">
        <v>100</v>
      </c>
    </row>
    <row r="845" spans="1:1" x14ac:dyDescent="0.3">
      <c r="A845" s="1">
        <v>100</v>
      </c>
    </row>
    <row r="846" spans="1:1" x14ac:dyDescent="0.3">
      <c r="A846" s="1">
        <v>100</v>
      </c>
    </row>
    <row r="847" spans="1:1" x14ac:dyDescent="0.3">
      <c r="A847" s="2">
        <v>100</v>
      </c>
    </row>
    <row r="848" spans="1:1" x14ac:dyDescent="0.3">
      <c r="A848" s="2">
        <v>100</v>
      </c>
    </row>
    <row r="849" spans="1:1" x14ac:dyDescent="0.3">
      <c r="A849" s="1">
        <v>100</v>
      </c>
    </row>
    <row r="850" spans="1:1" x14ac:dyDescent="0.3">
      <c r="A850" s="1">
        <v>100</v>
      </c>
    </row>
    <row r="851" spans="1:1" x14ac:dyDescent="0.3">
      <c r="A851" s="2">
        <v>100</v>
      </c>
    </row>
    <row r="852" spans="1:1" x14ac:dyDescent="0.3">
      <c r="A852" s="1">
        <v>100</v>
      </c>
    </row>
    <row r="853" spans="1:1" x14ac:dyDescent="0.3">
      <c r="A853" s="1">
        <v>100</v>
      </c>
    </row>
    <row r="854" spans="1:1" x14ac:dyDescent="0.3">
      <c r="A854" s="1">
        <v>100</v>
      </c>
    </row>
    <row r="855" spans="1:1" x14ac:dyDescent="0.3">
      <c r="A855" s="2">
        <v>100</v>
      </c>
    </row>
    <row r="856" spans="1:1" x14ac:dyDescent="0.3">
      <c r="A856" s="1">
        <v>100</v>
      </c>
    </row>
    <row r="857" spans="1:1" x14ac:dyDescent="0.3">
      <c r="A857" s="2">
        <v>100</v>
      </c>
    </row>
    <row r="858" spans="1:1" x14ac:dyDescent="0.3">
      <c r="A858" s="2">
        <v>100</v>
      </c>
    </row>
    <row r="859" spans="1:1" x14ac:dyDescent="0.3">
      <c r="A859" s="2">
        <v>100</v>
      </c>
    </row>
    <row r="860" spans="1:1" x14ac:dyDescent="0.3">
      <c r="A860" s="1">
        <v>100</v>
      </c>
    </row>
    <row r="861" spans="1:1" x14ac:dyDescent="0.3">
      <c r="A861" s="1">
        <v>100</v>
      </c>
    </row>
    <row r="862" spans="1:1" x14ac:dyDescent="0.3">
      <c r="A862" s="2">
        <v>100</v>
      </c>
    </row>
    <row r="863" spans="1:1" x14ac:dyDescent="0.3">
      <c r="A863" s="2">
        <v>100</v>
      </c>
    </row>
    <row r="864" spans="1:1" x14ac:dyDescent="0.3">
      <c r="A864" s="1">
        <v>100</v>
      </c>
    </row>
    <row r="865" spans="1:1" x14ac:dyDescent="0.3">
      <c r="A865" s="1">
        <v>100</v>
      </c>
    </row>
    <row r="866" spans="1:1" x14ac:dyDescent="0.3">
      <c r="A866" s="2">
        <v>100</v>
      </c>
    </row>
    <row r="867" spans="1:1" x14ac:dyDescent="0.3">
      <c r="A867" s="1">
        <v>100</v>
      </c>
    </row>
    <row r="868" spans="1:1" x14ac:dyDescent="0.3">
      <c r="A868" s="2">
        <v>100</v>
      </c>
    </row>
    <row r="869" spans="1:1" x14ac:dyDescent="0.3">
      <c r="A869" s="2">
        <v>100</v>
      </c>
    </row>
    <row r="870" spans="1:1" x14ac:dyDescent="0.3">
      <c r="A870" s="1">
        <v>100</v>
      </c>
    </row>
    <row r="871" spans="1:1" x14ac:dyDescent="0.3">
      <c r="A871" s="1">
        <v>100</v>
      </c>
    </row>
    <row r="872" spans="1:1" x14ac:dyDescent="0.3">
      <c r="A872" s="2">
        <v>100</v>
      </c>
    </row>
    <row r="873" spans="1:1" x14ac:dyDescent="0.3">
      <c r="A873" s="2">
        <v>100</v>
      </c>
    </row>
    <row r="874" spans="1:1" x14ac:dyDescent="0.3">
      <c r="A874" s="1">
        <v>100</v>
      </c>
    </row>
    <row r="875" spans="1:1" x14ac:dyDescent="0.3">
      <c r="A875" s="2">
        <v>100</v>
      </c>
    </row>
    <row r="876" spans="1:1" x14ac:dyDescent="0.3">
      <c r="A876" s="1">
        <v>100</v>
      </c>
    </row>
    <row r="877" spans="1:1" x14ac:dyDescent="0.3">
      <c r="A877" s="2">
        <v>100</v>
      </c>
    </row>
    <row r="878" spans="1:1" x14ac:dyDescent="0.3">
      <c r="A878" s="1">
        <v>100</v>
      </c>
    </row>
    <row r="879" spans="1:1" x14ac:dyDescent="0.3">
      <c r="A879" s="2">
        <v>100</v>
      </c>
    </row>
    <row r="880" spans="1:1" x14ac:dyDescent="0.3">
      <c r="A880" s="2">
        <v>100</v>
      </c>
    </row>
    <row r="881" spans="1:1" x14ac:dyDescent="0.3">
      <c r="A881" s="2">
        <v>100</v>
      </c>
    </row>
    <row r="882" spans="1:1" x14ac:dyDescent="0.3">
      <c r="A882" s="2">
        <v>100</v>
      </c>
    </row>
    <row r="883" spans="1:1" x14ac:dyDescent="0.3">
      <c r="A883" s="1">
        <v>100</v>
      </c>
    </row>
    <row r="884" spans="1:1" x14ac:dyDescent="0.3">
      <c r="A884" s="2">
        <v>100</v>
      </c>
    </row>
    <row r="885" spans="1:1" x14ac:dyDescent="0.3">
      <c r="A885" s="1">
        <v>100</v>
      </c>
    </row>
    <row r="886" spans="1:1" x14ac:dyDescent="0.3">
      <c r="A886" s="2">
        <v>100</v>
      </c>
    </row>
    <row r="887" spans="1:1" x14ac:dyDescent="0.3">
      <c r="A887" s="1">
        <v>100</v>
      </c>
    </row>
    <row r="888" spans="1:1" x14ac:dyDescent="0.3">
      <c r="A888" s="2">
        <v>100</v>
      </c>
    </row>
    <row r="889" spans="1:1" x14ac:dyDescent="0.3">
      <c r="A889" s="2">
        <v>100</v>
      </c>
    </row>
    <row r="890" spans="1:1" x14ac:dyDescent="0.3">
      <c r="A890" s="1">
        <v>100</v>
      </c>
    </row>
    <row r="891" spans="1:1" x14ac:dyDescent="0.3">
      <c r="A891" s="2">
        <v>100</v>
      </c>
    </row>
    <row r="892" spans="1:1" x14ac:dyDescent="0.3">
      <c r="A892" s="1">
        <v>100</v>
      </c>
    </row>
    <row r="893" spans="1:1" x14ac:dyDescent="0.3">
      <c r="A893" s="2">
        <v>100</v>
      </c>
    </row>
    <row r="894" spans="1:1" x14ac:dyDescent="0.3">
      <c r="A894" s="1">
        <v>100</v>
      </c>
    </row>
    <row r="895" spans="1:1" x14ac:dyDescent="0.3">
      <c r="A895" s="1">
        <v>100</v>
      </c>
    </row>
    <row r="896" spans="1:1" x14ac:dyDescent="0.3">
      <c r="A896" s="2">
        <v>100</v>
      </c>
    </row>
    <row r="897" spans="1:1" x14ac:dyDescent="0.3">
      <c r="A897" s="1">
        <v>100</v>
      </c>
    </row>
    <row r="898" spans="1:1" x14ac:dyDescent="0.3">
      <c r="A898" s="2">
        <v>100</v>
      </c>
    </row>
    <row r="899" spans="1:1" x14ac:dyDescent="0.3">
      <c r="A899" s="2">
        <v>100</v>
      </c>
    </row>
    <row r="900" spans="1:1" x14ac:dyDescent="0.3">
      <c r="A900" s="1">
        <v>100</v>
      </c>
    </row>
    <row r="901" spans="1:1" x14ac:dyDescent="0.3">
      <c r="A901" s="2">
        <v>100</v>
      </c>
    </row>
    <row r="902" spans="1:1" x14ac:dyDescent="0.3">
      <c r="A902" s="1">
        <v>100</v>
      </c>
    </row>
    <row r="903" spans="1:1" x14ac:dyDescent="0.3">
      <c r="A903" s="1">
        <v>100</v>
      </c>
    </row>
    <row r="904" spans="1:1" x14ac:dyDescent="0.3">
      <c r="A904" s="2">
        <v>100</v>
      </c>
    </row>
    <row r="905" spans="1:1" x14ac:dyDescent="0.3">
      <c r="A905" s="1">
        <v>100</v>
      </c>
    </row>
    <row r="906" spans="1:1" x14ac:dyDescent="0.3">
      <c r="A906" s="2">
        <v>100</v>
      </c>
    </row>
    <row r="907" spans="1:1" x14ac:dyDescent="0.3">
      <c r="A907" s="1">
        <v>100</v>
      </c>
    </row>
    <row r="908" spans="1:1" x14ac:dyDescent="0.3">
      <c r="A908" s="2">
        <v>100</v>
      </c>
    </row>
    <row r="909" spans="1:1" x14ac:dyDescent="0.3">
      <c r="A909" s="1">
        <v>100</v>
      </c>
    </row>
    <row r="910" spans="1:1" x14ac:dyDescent="0.3">
      <c r="A910" s="2">
        <v>100</v>
      </c>
    </row>
    <row r="911" spans="1:1" x14ac:dyDescent="0.3">
      <c r="A911" s="1">
        <v>100</v>
      </c>
    </row>
    <row r="912" spans="1:1" x14ac:dyDescent="0.3">
      <c r="A912" s="1">
        <v>100</v>
      </c>
    </row>
    <row r="913" spans="1:1" x14ac:dyDescent="0.3">
      <c r="A913" s="2">
        <v>100</v>
      </c>
    </row>
    <row r="914" spans="1:1" x14ac:dyDescent="0.3">
      <c r="A914" s="1">
        <v>100</v>
      </c>
    </row>
    <row r="915" spans="1:1" x14ac:dyDescent="0.3">
      <c r="A915" s="2">
        <v>100</v>
      </c>
    </row>
    <row r="916" spans="1:1" x14ac:dyDescent="0.3">
      <c r="A916" s="1">
        <v>100</v>
      </c>
    </row>
    <row r="917" spans="1:1" x14ac:dyDescent="0.3">
      <c r="A917" s="2">
        <v>100</v>
      </c>
    </row>
    <row r="918" spans="1:1" x14ac:dyDescent="0.3">
      <c r="A918" s="2">
        <v>100</v>
      </c>
    </row>
    <row r="919" spans="1:1" x14ac:dyDescent="0.3">
      <c r="A919" s="1">
        <v>100</v>
      </c>
    </row>
    <row r="920" spans="1:1" x14ac:dyDescent="0.3">
      <c r="A920" s="2">
        <v>100</v>
      </c>
    </row>
    <row r="921" spans="1:1" x14ac:dyDescent="0.3">
      <c r="A921" s="1">
        <v>100</v>
      </c>
    </row>
    <row r="922" spans="1:1" x14ac:dyDescent="0.3">
      <c r="A922" s="2">
        <v>100</v>
      </c>
    </row>
    <row r="923" spans="1:1" x14ac:dyDescent="0.3">
      <c r="A923" s="1">
        <v>100</v>
      </c>
    </row>
    <row r="924" spans="1:1" x14ac:dyDescent="0.3">
      <c r="A924" s="2">
        <v>100</v>
      </c>
    </row>
    <row r="925" spans="1:1" x14ac:dyDescent="0.3">
      <c r="A925" s="1">
        <v>100</v>
      </c>
    </row>
    <row r="926" spans="1:1" x14ac:dyDescent="0.3">
      <c r="A926" s="2">
        <v>100</v>
      </c>
    </row>
    <row r="927" spans="1:1" x14ac:dyDescent="0.3">
      <c r="A927" s="2">
        <v>100</v>
      </c>
    </row>
    <row r="928" spans="1:1" x14ac:dyDescent="0.3">
      <c r="A928" s="1">
        <v>100</v>
      </c>
    </row>
    <row r="929" spans="1:1" x14ac:dyDescent="0.3">
      <c r="A929" s="2">
        <v>100</v>
      </c>
    </row>
    <row r="930" spans="1:1" x14ac:dyDescent="0.3">
      <c r="A930" s="2">
        <v>100</v>
      </c>
    </row>
    <row r="931" spans="1:1" x14ac:dyDescent="0.3">
      <c r="A931" s="2">
        <v>100</v>
      </c>
    </row>
    <row r="932" spans="1:1" x14ac:dyDescent="0.3">
      <c r="A932" s="1">
        <v>100</v>
      </c>
    </row>
    <row r="933" spans="1:1" x14ac:dyDescent="0.3">
      <c r="A933" s="1">
        <v>100</v>
      </c>
    </row>
    <row r="934" spans="1:1" x14ac:dyDescent="0.3">
      <c r="A934" s="2">
        <v>100</v>
      </c>
    </row>
    <row r="935" spans="1:1" x14ac:dyDescent="0.3">
      <c r="A935" s="2">
        <v>100</v>
      </c>
    </row>
    <row r="936" spans="1:1" x14ac:dyDescent="0.3">
      <c r="A936" s="2">
        <v>100</v>
      </c>
    </row>
    <row r="937" spans="1:1" x14ac:dyDescent="0.3">
      <c r="A937" s="2">
        <v>100</v>
      </c>
    </row>
    <row r="938" spans="1:1" x14ac:dyDescent="0.3">
      <c r="A938" s="1">
        <v>100</v>
      </c>
    </row>
    <row r="939" spans="1:1" x14ac:dyDescent="0.3">
      <c r="A939" s="2">
        <v>100</v>
      </c>
    </row>
    <row r="940" spans="1:1" x14ac:dyDescent="0.3">
      <c r="A940" s="1">
        <v>100</v>
      </c>
    </row>
    <row r="941" spans="1:1" x14ac:dyDescent="0.3">
      <c r="A941" s="2">
        <v>100</v>
      </c>
    </row>
    <row r="942" spans="1:1" x14ac:dyDescent="0.3">
      <c r="A942" s="2">
        <v>100</v>
      </c>
    </row>
    <row r="943" spans="1:1" x14ac:dyDescent="0.3">
      <c r="A943" s="2">
        <v>100</v>
      </c>
    </row>
    <row r="944" spans="1:1" x14ac:dyDescent="0.3">
      <c r="A944" s="1">
        <v>100</v>
      </c>
    </row>
    <row r="945" spans="1:1" x14ac:dyDescent="0.3">
      <c r="A945" s="1">
        <v>100</v>
      </c>
    </row>
    <row r="946" spans="1:1" x14ac:dyDescent="0.3">
      <c r="A946" s="1">
        <v>100</v>
      </c>
    </row>
    <row r="947" spans="1:1" x14ac:dyDescent="0.3">
      <c r="A947" s="2">
        <v>100</v>
      </c>
    </row>
    <row r="948" spans="1:1" x14ac:dyDescent="0.3">
      <c r="A948" s="1">
        <v>100</v>
      </c>
    </row>
    <row r="949" spans="1:1" x14ac:dyDescent="0.3">
      <c r="A949" s="2">
        <v>100</v>
      </c>
    </row>
    <row r="950" spans="1:1" x14ac:dyDescent="0.3">
      <c r="A950" s="1">
        <v>100</v>
      </c>
    </row>
    <row r="951" spans="1:1" x14ac:dyDescent="0.3">
      <c r="A951" s="1">
        <v>100</v>
      </c>
    </row>
    <row r="952" spans="1:1" x14ac:dyDescent="0.3">
      <c r="A952" s="1">
        <v>100</v>
      </c>
    </row>
    <row r="953" spans="1:1" x14ac:dyDescent="0.3">
      <c r="A953" s="1">
        <v>100</v>
      </c>
    </row>
    <row r="954" spans="1:1" x14ac:dyDescent="0.3">
      <c r="A954" s="2">
        <v>100</v>
      </c>
    </row>
    <row r="955" spans="1:1" x14ac:dyDescent="0.3">
      <c r="A955" s="1">
        <v>100</v>
      </c>
    </row>
    <row r="956" spans="1:1" x14ac:dyDescent="0.3">
      <c r="A956" s="2">
        <v>100</v>
      </c>
    </row>
    <row r="957" spans="1:1" x14ac:dyDescent="0.3">
      <c r="A957" s="1">
        <v>100</v>
      </c>
    </row>
    <row r="958" spans="1:1" x14ac:dyDescent="0.3">
      <c r="A958" s="1">
        <v>100</v>
      </c>
    </row>
    <row r="959" spans="1:1" x14ac:dyDescent="0.3">
      <c r="A959" s="2">
        <v>100</v>
      </c>
    </row>
    <row r="960" spans="1:1" x14ac:dyDescent="0.3">
      <c r="A960" s="1">
        <v>100</v>
      </c>
    </row>
    <row r="961" spans="1:1" x14ac:dyDescent="0.3">
      <c r="A961" s="2">
        <v>100</v>
      </c>
    </row>
    <row r="962" spans="1:1" x14ac:dyDescent="0.3">
      <c r="A962" s="2">
        <v>100</v>
      </c>
    </row>
    <row r="963" spans="1:1" x14ac:dyDescent="0.3">
      <c r="A963" s="1">
        <v>100</v>
      </c>
    </row>
    <row r="964" spans="1:1" x14ac:dyDescent="0.3">
      <c r="A964" s="2">
        <v>100</v>
      </c>
    </row>
    <row r="965" spans="1:1" x14ac:dyDescent="0.3">
      <c r="A965" s="1">
        <v>100</v>
      </c>
    </row>
    <row r="966" spans="1:1" x14ac:dyDescent="0.3">
      <c r="A966" s="2">
        <v>100</v>
      </c>
    </row>
    <row r="967" spans="1:1" x14ac:dyDescent="0.3">
      <c r="A967" s="1">
        <v>100</v>
      </c>
    </row>
    <row r="968" spans="1:1" x14ac:dyDescent="0.3">
      <c r="A968" s="2">
        <v>100</v>
      </c>
    </row>
    <row r="969" spans="1:1" x14ac:dyDescent="0.3">
      <c r="A969" s="1">
        <v>100</v>
      </c>
    </row>
    <row r="970" spans="1:1" x14ac:dyDescent="0.3">
      <c r="A970" s="2">
        <v>100</v>
      </c>
    </row>
    <row r="971" spans="1:1" x14ac:dyDescent="0.3">
      <c r="A971" s="1">
        <v>100</v>
      </c>
    </row>
    <row r="972" spans="1:1" x14ac:dyDescent="0.3">
      <c r="A972" s="2">
        <v>100</v>
      </c>
    </row>
    <row r="973" spans="1:1" x14ac:dyDescent="0.3">
      <c r="A973" s="2">
        <v>100</v>
      </c>
    </row>
    <row r="974" spans="1:1" x14ac:dyDescent="0.3">
      <c r="A974" s="1">
        <v>100</v>
      </c>
    </row>
    <row r="975" spans="1:1" x14ac:dyDescent="0.3">
      <c r="A975" s="2">
        <v>100</v>
      </c>
    </row>
    <row r="976" spans="1:1" x14ac:dyDescent="0.3">
      <c r="A976" s="2">
        <v>100</v>
      </c>
    </row>
    <row r="977" spans="1:1" x14ac:dyDescent="0.3">
      <c r="A977" s="1">
        <v>100</v>
      </c>
    </row>
    <row r="978" spans="1:1" x14ac:dyDescent="0.3">
      <c r="A978" s="2">
        <v>100</v>
      </c>
    </row>
    <row r="979" spans="1:1" x14ac:dyDescent="0.3">
      <c r="A979" s="1">
        <v>100</v>
      </c>
    </row>
    <row r="980" spans="1:1" x14ac:dyDescent="0.3">
      <c r="A980" s="2">
        <v>100</v>
      </c>
    </row>
    <row r="981" spans="1:1" x14ac:dyDescent="0.3">
      <c r="A981" s="1">
        <v>100</v>
      </c>
    </row>
    <row r="982" spans="1:1" x14ac:dyDescent="0.3">
      <c r="A982" s="2">
        <v>100</v>
      </c>
    </row>
    <row r="983" spans="1:1" x14ac:dyDescent="0.3">
      <c r="A983" s="1">
        <v>100</v>
      </c>
    </row>
    <row r="984" spans="1:1" x14ac:dyDescent="0.3">
      <c r="A984" s="2">
        <v>100</v>
      </c>
    </row>
    <row r="985" spans="1:1" x14ac:dyDescent="0.3">
      <c r="A985" s="1">
        <v>100</v>
      </c>
    </row>
    <row r="986" spans="1:1" x14ac:dyDescent="0.3">
      <c r="A986" s="2">
        <v>100</v>
      </c>
    </row>
    <row r="987" spans="1:1" x14ac:dyDescent="0.3">
      <c r="A987" s="1">
        <v>100</v>
      </c>
    </row>
    <row r="988" spans="1:1" x14ac:dyDescent="0.3">
      <c r="A988" s="2">
        <v>100</v>
      </c>
    </row>
    <row r="989" spans="1:1" x14ac:dyDescent="0.3">
      <c r="A989" s="1">
        <v>100</v>
      </c>
    </row>
    <row r="990" spans="1:1" x14ac:dyDescent="0.3">
      <c r="A990" s="2">
        <v>100</v>
      </c>
    </row>
    <row r="991" spans="1:1" x14ac:dyDescent="0.3">
      <c r="A991" s="2">
        <v>100</v>
      </c>
    </row>
    <row r="992" spans="1:1" x14ac:dyDescent="0.3">
      <c r="A992" s="1">
        <v>100</v>
      </c>
    </row>
    <row r="993" spans="1:1" x14ac:dyDescent="0.3">
      <c r="A993" s="2">
        <v>100</v>
      </c>
    </row>
    <row r="994" spans="1:1" x14ac:dyDescent="0.3">
      <c r="A994" s="1">
        <v>100</v>
      </c>
    </row>
    <row r="995" spans="1:1" x14ac:dyDescent="0.3">
      <c r="A995" s="2">
        <v>100</v>
      </c>
    </row>
    <row r="996" spans="1:1" x14ac:dyDescent="0.3">
      <c r="A996" s="2">
        <v>100</v>
      </c>
    </row>
    <row r="997" spans="1:1" x14ac:dyDescent="0.3">
      <c r="A997" s="1">
        <v>100</v>
      </c>
    </row>
    <row r="998" spans="1:1" x14ac:dyDescent="0.3">
      <c r="A998" s="2">
        <v>100</v>
      </c>
    </row>
    <row r="999" spans="1:1" x14ac:dyDescent="0.3">
      <c r="A999" s="2">
        <v>100</v>
      </c>
    </row>
    <row r="1000" spans="1:1" x14ac:dyDescent="0.3">
      <c r="A1000" s="1">
        <v>100</v>
      </c>
    </row>
    <row r="1001" spans="1:1" x14ac:dyDescent="0.3">
      <c r="A1001" s="2">
        <v>100</v>
      </c>
    </row>
    <row r="1002" spans="1:1" x14ac:dyDescent="0.3">
      <c r="A1002" s="2">
        <v>100</v>
      </c>
    </row>
    <row r="1003" spans="1:1" x14ac:dyDescent="0.3">
      <c r="A1003" s="2">
        <v>100</v>
      </c>
    </row>
    <row r="1004" spans="1:1" x14ac:dyDescent="0.3">
      <c r="A1004" s="1">
        <v>100</v>
      </c>
    </row>
    <row r="1005" spans="1:1" x14ac:dyDescent="0.3">
      <c r="A1005" s="2">
        <v>100</v>
      </c>
    </row>
    <row r="1006" spans="1:1" x14ac:dyDescent="0.3">
      <c r="A1006" s="1">
        <v>100</v>
      </c>
    </row>
    <row r="1007" spans="1:1" x14ac:dyDescent="0.3">
      <c r="A1007" s="2">
        <v>100</v>
      </c>
    </row>
    <row r="1008" spans="1:1" x14ac:dyDescent="0.3">
      <c r="A1008" s="1">
        <v>100</v>
      </c>
    </row>
    <row r="1009" spans="1:1" x14ac:dyDescent="0.3">
      <c r="A1009" s="2">
        <v>100</v>
      </c>
    </row>
    <row r="1010" spans="1:1" x14ac:dyDescent="0.3">
      <c r="A1010" s="1">
        <v>100</v>
      </c>
    </row>
    <row r="1011" spans="1:1" x14ac:dyDescent="0.3">
      <c r="A1011" s="2">
        <v>100</v>
      </c>
    </row>
    <row r="1012" spans="1:1" x14ac:dyDescent="0.3">
      <c r="A1012" s="1">
        <v>100</v>
      </c>
    </row>
    <row r="1013" spans="1:1" x14ac:dyDescent="0.3">
      <c r="A1013" s="2">
        <v>100</v>
      </c>
    </row>
    <row r="1014" spans="1:1" x14ac:dyDescent="0.3">
      <c r="A1014" s="1">
        <v>100</v>
      </c>
    </row>
    <row r="1015" spans="1:1" x14ac:dyDescent="0.3">
      <c r="A1015" s="1">
        <v>100</v>
      </c>
    </row>
    <row r="1016" spans="1:1" x14ac:dyDescent="0.3">
      <c r="A1016" s="2">
        <v>100</v>
      </c>
    </row>
    <row r="1017" spans="1:1" x14ac:dyDescent="0.3">
      <c r="A1017" s="1">
        <v>100</v>
      </c>
    </row>
    <row r="1018" spans="1:1" x14ac:dyDescent="0.3">
      <c r="A1018" s="1">
        <v>100</v>
      </c>
    </row>
    <row r="1019" spans="1:1" x14ac:dyDescent="0.3">
      <c r="A1019" s="2">
        <v>100</v>
      </c>
    </row>
    <row r="1020" spans="1:1" x14ac:dyDescent="0.3">
      <c r="A1020" s="1">
        <v>100</v>
      </c>
    </row>
    <row r="1021" spans="1:1" x14ac:dyDescent="0.3">
      <c r="A1021" s="2">
        <v>100</v>
      </c>
    </row>
    <row r="1022" spans="1:1" x14ac:dyDescent="0.3">
      <c r="A1022" s="1">
        <v>100</v>
      </c>
    </row>
    <row r="1023" spans="1:1" x14ac:dyDescent="0.3">
      <c r="A1023" s="2">
        <v>100</v>
      </c>
    </row>
    <row r="1024" spans="1:1" x14ac:dyDescent="0.3">
      <c r="A1024" s="1">
        <v>100</v>
      </c>
    </row>
    <row r="1025" spans="1:1" x14ac:dyDescent="0.3">
      <c r="A1025" s="1">
        <v>100</v>
      </c>
    </row>
    <row r="1026" spans="1:1" x14ac:dyDescent="0.3">
      <c r="A1026" s="2">
        <v>100</v>
      </c>
    </row>
    <row r="1027" spans="1:1" x14ac:dyDescent="0.3">
      <c r="A1027" s="1">
        <v>100</v>
      </c>
    </row>
    <row r="1028" spans="1:1" x14ac:dyDescent="0.3">
      <c r="A1028" s="2">
        <v>100</v>
      </c>
    </row>
    <row r="1029" spans="1:1" x14ac:dyDescent="0.3">
      <c r="A1029" s="1">
        <v>100</v>
      </c>
    </row>
    <row r="1030" spans="1:1" x14ac:dyDescent="0.3">
      <c r="A1030" s="2">
        <v>100</v>
      </c>
    </row>
    <row r="1031" spans="1:1" x14ac:dyDescent="0.3">
      <c r="A1031" s="1">
        <v>100</v>
      </c>
    </row>
    <row r="1032" spans="1:1" x14ac:dyDescent="0.3">
      <c r="A1032" s="2">
        <v>100</v>
      </c>
    </row>
    <row r="1033" spans="1:1" x14ac:dyDescent="0.3">
      <c r="A1033" s="1">
        <v>100</v>
      </c>
    </row>
    <row r="1034" spans="1:1" x14ac:dyDescent="0.3">
      <c r="A1034" s="1">
        <v>100</v>
      </c>
    </row>
    <row r="1035" spans="1:1" x14ac:dyDescent="0.3">
      <c r="A1035" s="2">
        <v>100</v>
      </c>
    </row>
    <row r="1036" spans="1:1" x14ac:dyDescent="0.3">
      <c r="A1036" s="2">
        <v>100</v>
      </c>
    </row>
    <row r="1037" spans="1:1" x14ac:dyDescent="0.3">
      <c r="A1037" s="1">
        <v>100</v>
      </c>
    </row>
    <row r="1038" spans="1:1" x14ac:dyDescent="0.3">
      <c r="A1038" s="2">
        <v>100</v>
      </c>
    </row>
    <row r="1039" spans="1:1" x14ac:dyDescent="0.3">
      <c r="A1039" s="1">
        <v>100</v>
      </c>
    </row>
    <row r="1040" spans="1:1" x14ac:dyDescent="0.3">
      <c r="A1040" s="2">
        <v>100</v>
      </c>
    </row>
    <row r="1041" spans="1:1" x14ac:dyDescent="0.3">
      <c r="A1041" s="1">
        <v>100</v>
      </c>
    </row>
    <row r="1042" spans="1:1" x14ac:dyDescent="0.3">
      <c r="A1042" s="2">
        <v>100</v>
      </c>
    </row>
    <row r="1043" spans="1:1" x14ac:dyDescent="0.3">
      <c r="A1043" s="1">
        <v>100</v>
      </c>
    </row>
    <row r="1044" spans="1:1" x14ac:dyDescent="0.3">
      <c r="A1044" s="2">
        <v>100</v>
      </c>
    </row>
    <row r="1045" spans="1:1" x14ac:dyDescent="0.3">
      <c r="A1045" s="1">
        <v>100</v>
      </c>
    </row>
    <row r="1046" spans="1:1" x14ac:dyDescent="0.3">
      <c r="A1046" s="2">
        <v>100</v>
      </c>
    </row>
    <row r="1047" spans="1:1" x14ac:dyDescent="0.3">
      <c r="A1047" s="1">
        <v>100</v>
      </c>
    </row>
    <row r="1048" spans="1:1" x14ac:dyDescent="0.3">
      <c r="A1048" s="2">
        <v>100</v>
      </c>
    </row>
    <row r="1049" spans="1:1" x14ac:dyDescent="0.3">
      <c r="A1049" s="1">
        <v>100</v>
      </c>
    </row>
    <row r="1050" spans="1:1" x14ac:dyDescent="0.3">
      <c r="A1050" s="2">
        <v>100</v>
      </c>
    </row>
    <row r="1051" spans="1:1" x14ac:dyDescent="0.3">
      <c r="A1051" s="2">
        <v>100</v>
      </c>
    </row>
    <row r="1052" spans="1:1" x14ac:dyDescent="0.3">
      <c r="A1052" s="1">
        <v>100</v>
      </c>
    </row>
    <row r="1053" spans="1:1" x14ac:dyDescent="0.3">
      <c r="A1053" s="2">
        <v>100</v>
      </c>
    </row>
    <row r="1054" spans="1:1" x14ac:dyDescent="0.3">
      <c r="A1054" s="2">
        <v>100</v>
      </c>
    </row>
    <row r="1055" spans="1:1" x14ac:dyDescent="0.3">
      <c r="A1055" s="1">
        <v>100</v>
      </c>
    </row>
    <row r="1056" spans="1:1" x14ac:dyDescent="0.3">
      <c r="A1056" s="2">
        <v>100</v>
      </c>
    </row>
    <row r="1057" spans="1:1" x14ac:dyDescent="0.3">
      <c r="A1057" s="1">
        <v>100</v>
      </c>
    </row>
    <row r="1058" spans="1:1" x14ac:dyDescent="0.3">
      <c r="A1058" s="2">
        <v>100</v>
      </c>
    </row>
    <row r="1059" spans="1:1" x14ac:dyDescent="0.3">
      <c r="A1059" s="1">
        <v>100</v>
      </c>
    </row>
    <row r="1060" spans="1:1" x14ac:dyDescent="0.3">
      <c r="A1060" s="2">
        <v>100</v>
      </c>
    </row>
    <row r="1061" spans="1:1" x14ac:dyDescent="0.3">
      <c r="A1061" s="1">
        <v>100</v>
      </c>
    </row>
    <row r="1062" spans="1:1" x14ac:dyDescent="0.3">
      <c r="A1062" s="2">
        <v>100</v>
      </c>
    </row>
    <row r="1063" spans="1:1" x14ac:dyDescent="0.3">
      <c r="A1063" s="1">
        <v>100</v>
      </c>
    </row>
    <row r="1064" spans="1:1" x14ac:dyDescent="0.3">
      <c r="A1064" s="2">
        <v>100</v>
      </c>
    </row>
    <row r="1065" spans="1:1" x14ac:dyDescent="0.3">
      <c r="A1065" s="1">
        <v>100</v>
      </c>
    </row>
    <row r="1066" spans="1:1" x14ac:dyDescent="0.3">
      <c r="A1066" s="1">
        <v>100</v>
      </c>
    </row>
    <row r="1067" spans="1:1" x14ac:dyDescent="0.3">
      <c r="A1067" s="2">
        <v>100</v>
      </c>
    </row>
    <row r="1068" spans="1:1" x14ac:dyDescent="0.3">
      <c r="A1068" s="2">
        <v>100</v>
      </c>
    </row>
    <row r="1069" spans="1:1" x14ac:dyDescent="0.3">
      <c r="A1069" s="1">
        <v>100</v>
      </c>
    </row>
    <row r="1070" spans="1:1" x14ac:dyDescent="0.3">
      <c r="A1070" s="2">
        <v>100</v>
      </c>
    </row>
    <row r="1071" spans="1:1" x14ac:dyDescent="0.3">
      <c r="A1071" s="1">
        <v>100</v>
      </c>
    </row>
    <row r="1072" spans="1:1" x14ac:dyDescent="0.3">
      <c r="A1072" s="2">
        <v>100</v>
      </c>
    </row>
    <row r="1073" spans="1:1" x14ac:dyDescent="0.3">
      <c r="A1073" s="1">
        <v>100</v>
      </c>
    </row>
    <row r="1074" spans="1:1" x14ac:dyDescent="0.3">
      <c r="A1074" s="2">
        <v>100</v>
      </c>
    </row>
    <row r="1075" spans="1:1" x14ac:dyDescent="0.3">
      <c r="A1075" s="2">
        <v>100</v>
      </c>
    </row>
    <row r="1076" spans="1:1" x14ac:dyDescent="0.3">
      <c r="A1076" s="1">
        <v>100</v>
      </c>
    </row>
    <row r="1077" spans="1:1" x14ac:dyDescent="0.3">
      <c r="A1077" s="1">
        <v>100</v>
      </c>
    </row>
    <row r="1078" spans="1:1" x14ac:dyDescent="0.3">
      <c r="A1078" s="1">
        <v>100</v>
      </c>
    </row>
    <row r="1079" spans="1:1" x14ac:dyDescent="0.3">
      <c r="A1079" s="2">
        <v>100</v>
      </c>
    </row>
    <row r="1080" spans="1:1" x14ac:dyDescent="0.3">
      <c r="A1080" s="1">
        <v>100</v>
      </c>
    </row>
    <row r="1081" spans="1:1" x14ac:dyDescent="0.3">
      <c r="A1081" s="2">
        <v>100</v>
      </c>
    </row>
    <row r="1082" spans="1:1" x14ac:dyDescent="0.3">
      <c r="A1082" s="1">
        <v>100</v>
      </c>
    </row>
    <row r="1083" spans="1:1" x14ac:dyDescent="0.3">
      <c r="A1083" s="2">
        <v>100</v>
      </c>
    </row>
    <row r="1084" spans="1:1" x14ac:dyDescent="0.3">
      <c r="A1084" s="1">
        <v>100</v>
      </c>
    </row>
    <row r="1085" spans="1:1" x14ac:dyDescent="0.3">
      <c r="A1085" s="2">
        <v>100</v>
      </c>
    </row>
    <row r="1086" spans="1:1" x14ac:dyDescent="0.3">
      <c r="A1086" s="1">
        <v>100</v>
      </c>
    </row>
    <row r="1087" spans="1:1" x14ac:dyDescent="0.3">
      <c r="A1087" s="2">
        <v>100</v>
      </c>
    </row>
    <row r="1088" spans="1:1" x14ac:dyDescent="0.3">
      <c r="A1088" s="1">
        <v>100</v>
      </c>
    </row>
    <row r="1089" spans="1:1" x14ac:dyDescent="0.3">
      <c r="A1089" s="2">
        <v>100</v>
      </c>
    </row>
    <row r="1090" spans="1:1" x14ac:dyDescent="0.3">
      <c r="A1090" s="1">
        <v>100</v>
      </c>
    </row>
    <row r="1091" spans="1:1" x14ac:dyDescent="0.3">
      <c r="A1091" s="2">
        <v>100</v>
      </c>
    </row>
    <row r="1092" spans="1:1" x14ac:dyDescent="0.3">
      <c r="A1092" s="1">
        <v>100</v>
      </c>
    </row>
    <row r="1093" spans="1:1" x14ac:dyDescent="0.3">
      <c r="A1093" s="2">
        <v>100</v>
      </c>
    </row>
    <row r="1094" spans="1:1" x14ac:dyDescent="0.3">
      <c r="A1094" s="2">
        <v>100</v>
      </c>
    </row>
    <row r="1095" spans="1:1" x14ac:dyDescent="0.3">
      <c r="A1095" s="1">
        <v>100</v>
      </c>
    </row>
    <row r="1096" spans="1:1" x14ac:dyDescent="0.3">
      <c r="A1096" s="1">
        <v>100</v>
      </c>
    </row>
    <row r="1097" spans="1:1" x14ac:dyDescent="0.3">
      <c r="A1097" s="2">
        <v>100</v>
      </c>
    </row>
    <row r="1098" spans="1:1" x14ac:dyDescent="0.3">
      <c r="A1098" s="1">
        <v>100</v>
      </c>
    </row>
    <row r="1099" spans="1:1" x14ac:dyDescent="0.3">
      <c r="A1099" s="1">
        <v>100</v>
      </c>
    </row>
    <row r="1100" spans="1:1" x14ac:dyDescent="0.3">
      <c r="A1100" s="1">
        <v>100</v>
      </c>
    </row>
    <row r="1101" spans="1:1" x14ac:dyDescent="0.3">
      <c r="A1101" s="1">
        <v>100</v>
      </c>
    </row>
    <row r="1102" spans="1:1" x14ac:dyDescent="0.3">
      <c r="A1102" s="1">
        <v>100</v>
      </c>
    </row>
    <row r="1103" spans="1:1" x14ac:dyDescent="0.3">
      <c r="A1103" s="1">
        <v>100</v>
      </c>
    </row>
    <row r="1104" spans="1:1" x14ac:dyDescent="0.3">
      <c r="A1104" s="2">
        <v>100</v>
      </c>
    </row>
    <row r="1105" spans="1:1" x14ac:dyDescent="0.3">
      <c r="A1105" s="1">
        <v>100</v>
      </c>
    </row>
    <row r="1106" spans="1:1" x14ac:dyDescent="0.3">
      <c r="A1106" s="1">
        <v>100</v>
      </c>
    </row>
    <row r="1107" spans="1:1" x14ac:dyDescent="0.3">
      <c r="A1107" s="1">
        <v>100</v>
      </c>
    </row>
    <row r="1108" spans="1:1" x14ac:dyDescent="0.3">
      <c r="A1108" s="2">
        <v>100</v>
      </c>
    </row>
    <row r="1109" spans="1:1" x14ac:dyDescent="0.3">
      <c r="A1109" s="1">
        <v>100</v>
      </c>
    </row>
    <row r="1110" spans="1:1" x14ac:dyDescent="0.3">
      <c r="A1110" s="2">
        <v>100</v>
      </c>
    </row>
    <row r="1111" spans="1:1" x14ac:dyDescent="0.3">
      <c r="A1111" s="1">
        <v>100</v>
      </c>
    </row>
    <row r="1112" spans="1:1" x14ac:dyDescent="0.3">
      <c r="A1112" s="2">
        <v>100</v>
      </c>
    </row>
    <row r="1113" spans="1:1" x14ac:dyDescent="0.3">
      <c r="A1113" s="1">
        <v>100</v>
      </c>
    </row>
    <row r="1114" spans="1:1" x14ac:dyDescent="0.3">
      <c r="A1114" s="2">
        <v>100</v>
      </c>
    </row>
    <row r="1115" spans="1:1" x14ac:dyDescent="0.3">
      <c r="A1115" s="1">
        <v>100</v>
      </c>
    </row>
    <row r="1116" spans="1:1" x14ac:dyDescent="0.3">
      <c r="A1116" s="2">
        <v>100</v>
      </c>
    </row>
    <row r="1117" spans="1:1" x14ac:dyDescent="0.3">
      <c r="A1117" s="1">
        <v>100</v>
      </c>
    </row>
    <row r="1118" spans="1:1" x14ac:dyDescent="0.3">
      <c r="A1118" s="2">
        <v>100</v>
      </c>
    </row>
    <row r="1119" spans="1:1" x14ac:dyDescent="0.3">
      <c r="A1119" s="1">
        <v>100</v>
      </c>
    </row>
    <row r="1120" spans="1:1" x14ac:dyDescent="0.3">
      <c r="A1120" s="2">
        <v>100</v>
      </c>
    </row>
    <row r="1121" spans="1:1" x14ac:dyDescent="0.3">
      <c r="A1121" s="2">
        <v>100</v>
      </c>
    </row>
    <row r="1122" spans="1:1" x14ac:dyDescent="0.3">
      <c r="A1122" s="1">
        <v>100</v>
      </c>
    </row>
    <row r="1123" spans="1:1" x14ac:dyDescent="0.3">
      <c r="A1123" s="2">
        <v>100</v>
      </c>
    </row>
    <row r="1124" spans="1:1" x14ac:dyDescent="0.3">
      <c r="A1124" s="1">
        <v>100</v>
      </c>
    </row>
    <row r="1125" spans="1:1" x14ac:dyDescent="0.3">
      <c r="A1125" s="2">
        <v>100</v>
      </c>
    </row>
    <row r="1126" spans="1:1" x14ac:dyDescent="0.3">
      <c r="A1126" s="1">
        <v>100</v>
      </c>
    </row>
    <row r="1127" spans="1:1" x14ac:dyDescent="0.3">
      <c r="A1127" s="1">
        <v>100</v>
      </c>
    </row>
    <row r="1128" spans="1:1" x14ac:dyDescent="0.3">
      <c r="A1128" s="2">
        <v>100</v>
      </c>
    </row>
    <row r="1129" spans="1:1" x14ac:dyDescent="0.3">
      <c r="A1129" s="1">
        <v>100</v>
      </c>
    </row>
    <row r="1130" spans="1:1" x14ac:dyDescent="0.3">
      <c r="A1130" s="1">
        <v>100</v>
      </c>
    </row>
    <row r="1131" spans="1:1" x14ac:dyDescent="0.3">
      <c r="A1131" s="2">
        <v>100</v>
      </c>
    </row>
    <row r="1132" spans="1:1" x14ac:dyDescent="0.3">
      <c r="A1132" s="1">
        <v>100</v>
      </c>
    </row>
    <row r="1133" spans="1:1" x14ac:dyDescent="0.3">
      <c r="A1133" s="2">
        <v>100</v>
      </c>
    </row>
    <row r="1134" spans="1:1" x14ac:dyDescent="0.3">
      <c r="A1134" s="1">
        <v>100</v>
      </c>
    </row>
    <row r="1135" spans="1:1" x14ac:dyDescent="0.3">
      <c r="A1135" s="2">
        <v>100</v>
      </c>
    </row>
    <row r="1136" spans="1:1" x14ac:dyDescent="0.3">
      <c r="A1136" s="1">
        <v>100</v>
      </c>
    </row>
    <row r="1137" spans="1:1" x14ac:dyDescent="0.3">
      <c r="A1137" s="2">
        <v>100</v>
      </c>
    </row>
    <row r="1138" spans="1:1" x14ac:dyDescent="0.3">
      <c r="A1138" s="1">
        <v>100</v>
      </c>
    </row>
    <row r="1139" spans="1:1" x14ac:dyDescent="0.3">
      <c r="A1139" s="2">
        <v>100</v>
      </c>
    </row>
    <row r="1140" spans="1:1" x14ac:dyDescent="0.3">
      <c r="A1140" s="1">
        <v>100</v>
      </c>
    </row>
    <row r="1141" spans="1:1" x14ac:dyDescent="0.3">
      <c r="A1141" s="2">
        <v>100</v>
      </c>
    </row>
    <row r="1142" spans="1:1" x14ac:dyDescent="0.3">
      <c r="A1142" s="1">
        <v>100</v>
      </c>
    </row>
    <row r="1143" spans="1:1" x14ac:dyDescent="0.3">
      <c r="A1143" s="2">
        <v>100</v>
      </c>
    </row>
    <row r="1144" spans="1:1" x14ac:dyDescent="0.3">
      <c r="A1144" s="1">
        <v>100</v>
      </c>
    </row>
    <row r="1145" spans="1:1" x14ac:dyDescent="0.3">
      <c r="A1145" s="2">
        <v>100</v>
      </c>
    </row>
    <row r="1146" spans="1:1" x14ac:dyDescent="0.3">
      <c r="A1146" s="1">
        <v>100</v>
      </c>
    </row>
    <row r="1147" spans="1:1" x14ac:dyDescent="0.3">
      <c r="A1147" s="2">
        <v>100</v>
      </c>
    </row>
    <row r="1148" spans="1:1" x14ac:dyDescent="0.3">
      <c r="A1148" s="1">
        <v>100</v>
      </c>
    </row>
    <row r="1149" spans="1:1" x14ac:dyDescent="0.3">
      <c r="A1149" s="2">
        <v>100</v>
      </c>
    </row>
    <row r="1150" spans="1:1" x14ac:dyDescent="0.3">
      <c r="A1150" s="1">
        <v>100</v>
      </c>
    </row>
    <row r="1151" spans="1:1" x14ac:dyDescent="0.3">
      <c r="A1151" s="2">
        <v>100</v>
      </c>
    </row>
    <row r="1152" spans="1:1" x14ac:dyDescent="0.3">
      <c r="A1152" s="1">
        <v>100</v>
      </c>
    </row>
    <row r="1153" spans="1:1" x14ac:dyDescent="0.3">
      <c r="A1153" s="2">
        <v>100</v>
      </c>
    </row>
    <row r="1154" spans="1:1" x14ac:dyDescent="0.3">
      <c r="A1154" s="2">
        <v>100</v>
      </c>
    </row>
    <row r="1155" spans="1:1" x14ac:dyDescent="0.3">
      <c r="A1155" s="2">
        <v>100</v>
      </c>
    </row>
    <row r="1156" spans="1:1" x14ac:dyDescent="0.3">
      <c r="A1156" s="1">
        <v>100</v>
      </c>
    </row>
    <row r="1157" spans="1:1" x14ac:dyDescent="0.3">
      <c r="A1157" s="2">
        <v>100</v>
      </c>
    </row>
    <row r="1158" spans="1:1" x14ac:dyDescent="0.3">
      <c r="A1158" s="1">
        <v>100</v>
      </c>
    </row>
    <row r="1159" spans="1:1" x14ac:dyDescent="0.3">
      <c r="A1159" s="2">
        <v>100</v>
      </c>
    </row>
    <row r="1160" spans="1:1" x14ac:dyDescent="0.3">
      <c r="A1160" s="1">
        <v>100</v>
      </c>
    </row>
    <row r="1161" spans="1:1" x14ac:dyDescent="0.3">
      <c r="A1161" s="2">
        <v>100</v>
      </c>
    </row>
    <row r="1162" spans="1:1" x14ac:dyDescent="0.3">
      <c r="A1162" s="2">
        <v>100</v>
      </c>
    </row>
    <row r="1163" spans="1:1" x14ac:dyDescent="0.3">
      <c r="A1163" s="2">
        <v>100</v>
      </c>
    </row>
    <row r="1164" spans="1:1" x14ac:dyDescent="0.3">
      <c r="A1164" s="1">
        <v>100</v>
      </c>
    </row>
    <row r="1165" spans="1:1" x14ac:dyDescent="0.3">
      <c r="A1165" s="2">
        <v>100</v>
      </c>
    </row>
    <row r="1166" spans="1:1" x14ac:dyDescent="0.3">
      <c r="A1166" s="1">
        <v>100</v>
      </c>
    </row>
    <row r="1167" spans="1:1" x14ac:dyDescent="0.3">
      <c r="A1167" s="1">
        <v>100</v>
      </c>
    </row>
    <row r="1168" spans="1:1" x14ac:dyDescent="0.3">
      <c r="A1168" s="1">
        <v>100</v>
      </c>
    </row>
    <row r="1169" spans="1:1" x14ac:dyDescent="0.3">
      <c r="A1169" s="2">
        <v>100</v>
      </c>
    </row>
    <row r="1170" spans="1:1" x14ac:dyDescent="0.3">
      <c r="A1170" s="1">
        <v>100</v>
      </c>
    </row>
    <row r="1171" spans="1:1" x14ac:dyDescent="0.3">
      <c r="A1171" s="2">
        <v>100</v>
      </c>
    </row>
    <row r="1172" spans="1:1" x14ac:dyDescent="0.3">
      <c r="A1172" s="2">
        <v>100</v>
      </c>
    </row>
    <row r="1173" spans="1:1" x14ac:dyDescent="0.3">
      <c r="A1173" s="1">
        <v>100</v>
      </c>
    </row>
    <row r="1174" spans="1:1" x14ac:dyDescent="0.3">
      <c r="A1174" s="2">
        <v>100</v>
      </c>
    </row>
    <row r="1175" spans="1:1" x14ac:dyDescent="0.3">
      <c r="A1175" s="2">
        <v>100</v>
      </c>
    </row>
    <row r="1176" spans="1:1" x14ac:dyDescent="0.3">
      <c r="A1176" s="1">
        <v>100</v>
      </c>
    </row>
    <row r="1177" spans="1:1" x14ac:dyDescent="0.3">
      <c r="A1177" s="2">
        <v>100</v>
      </c>
    </row>
    <row r="1178" spans="1:1" x14ac:dyDescent="0.3">
      <c r="A1178" s="1">
        <v>100</v>
      </c>
    </row>
    <row r="1179" spans="1:1" x14ac:dyDescent="0.3">
      <c r="A1179" s="2">
        <v>100</v>
      </c>
    </row>
    <row r="1180" spans="1:1" x14ac:dyDescent="0.3">
      <c r="A1180" s="1">
        <v>100</v>
      </c>
    </row>
    <row r="1181" spans="1:1" x14ac:dyDescent="0.3">
      <c r="A1181" s="2">
        <v>100</v>
      </c>
    </row>
    <row r="1182" spans="1:1" x14ac:dyDescent="0.3">
      <c r="A1182" s="1">
        <v>100</v>
      </c>
    </row>
    <row r="1183" spans="1:1" x14ac:dyDescent="0.3">
      <c r="A1183" s="2">
        <v>100</v>
      </c>
    </row>
    <row r="1184" spans="1:1" x14ac:dyDescent="0.3">
      <c r="A1184" s="1">
        <v>100</v>
      </c>
    </row>
    <row r="1185" spans="1:1" x14ac:dyDescent="0.3">
      <c r="A1185" s="2">
        <v>100</v>
      </c>
    </row>
    <row r="1186" spans="1:1" x14ac:dyDescent="0.3">
      <c r="A1186" s="1">
        <v>100</v>
      </c>
    </row>
    <row r="1187" spans="1:1" x14ac:dyDescent="0.3">
      <c r="A1187" s="2">
        <v>100</v>
      </c>
    </row>
    <row r="1188" spans="1:1" x14ac:dyDescent="0.3">
      <c r="A1188" s="1">
        <v>100</v>
      </c>
    </row>
    <row r="1189" spans="1:1" x14ac:dyDescent="0.3">
      <c r="A1189" s="1">
        <v>100</v>
      </c>
    </row>
    <row r="1190" spans="1:1" x14ac:dyDescent="0.3">
      <c r="A1190" s="1">
        <v>100</v>
      </c>
    </row>
    <row r="1191" spans="1:1" x14ac:dyDescent="0.3">
      <c r="A1191" s="2">
        <v>100</v>
      </c>
    </row>
    <row r="1192" spans="1:1" x14ac:dyDescent="0.3">
      <c r="A1192" s="1">
        <v>100</v>
      </c>
    </row>
    <row r="1193" spans="1:1" x14ac:dyDescent="0.3">
      <c r="A1193" s="1">
        <v>100</v>
      </c>
    </row>
    <row r="1194" spans="1:1" x14ac:dyDescent="0.3">
      <c r="A1194" s="2">
        <v>100</v>
      </c>
    </row>
    <row r="1195" spans="1:1" x14ac:dyDescent="0.3">
      <c r="A1195" s="2">
        <v>100</v>
      </c>
    </row>
    <row r="1196" spans="1:1" x14ac:dyDescent="0.3">
      <c r="A1196" s="1">
        <v>100</v>
      </c>
    </row>
    <row r="1197" spans="1:1" x14ac:dyDescent="0.3">
      <c r="A1197" s="2">
        <v>100</v>
      </c>
    </row>
    <row r="1198" spans="1:1" x14ac:dyDescent="0.3">
      <c r="A1198" s="1">
        <v>100</v>
      </c>
    </row>
    <row r="1199" spans="1:1" x14ac:dyDescent="0.3">
      <c r="A1199" s="1">
        <v>100</v>
      </c>
    </row>
    <row r="1200" spans="1:1" x14ac:dyDescent="0.3">
      <c r="A1200" s="2">
        <v>100</v>
      </c>
    </row>
    <row r="1201" spans="1:1" x14ac:dyDescent="0.3">
      <c r="A1201" s="1">
        <v>100</v>
      </c>
    </row>
    <row r="1202" spans="1:1" x14ac:dyDescent="0.3">
      <c r="A1202" s="2">
        <v>100</v>
      </c>
    </row>
    <row r="1203" spans="1:1" x14ac:dyDescent="0.3">
      <c r="A1203" s="1">
        <v>100</v>
      </c>
    </row>
    <row r="1204" spans="1:1" x14ac:dyDescent="0.3">
      <c r="A1204" s="2">
        <v>100</v>
      </c>
    </row>
    <row r="1205" spans="1:1" x14ac:dyDescent="0.3">
      <c r="A1205" s="1">
        <v>100</v>
      </c>
    </row>
    <row r="1206" spans="1:1" x14ac:dyDescent="0.3">
      <c r="A1206" s="2">
        <v>100</v>
      </c>
    </row>
    <row r="1207" spans="1:1" x14ac:dyDescent="0.3">
      <c r="A1207" s="1">
        <v>100</v>
      </c>
    </row>
    <row r="1208" spans="1:1" x14ac:dyDescent="0.3">
      <c r="A1208" s="1">
        <v>100</v>
      </c>
    </row>
    <row r="1209" spans="1:1" x14ac:dyDescent="0.3">
      <c r="A1209" s="2">
        <v>100</v>
      </c>
    </row>
    <row r="1210" spans="1:1" x14ac:dyDescent="0.3">
      <c r="A1210" s="2">
        <v>100</v>
      </c>
    </row>
    <row r="1211" spans="1:1" x14ac:dyDescent="0.3">
      <c r="A1211" s="1">
        <v>100</v>
      </c>
    </row>
    <row r="1212" spans="1:1" x14ac:dyDescent="0.3">
      <c r="A1212" s="2">
        <v>100</v>
      </c>
    </row>
    <row r="1213" spans="1:1" x14ac:dyDescent="0.3">
      <c r="A1213" s="2">
        <v>100</v>
      </c>
    </row>
    <row r="1214" spans="1:1" x14ac:dyDescent="0.3">
      <c r="A1214" s="1">
        <v>100</v>
      </c>
    </row>
    <row r="1215" spans="1:1" x14ac:dyDescent="0.3">
      <c r="A1215" s="2">
        <v>100</v>
      </c>
    </row>
    <row r="1216" spans="1:1" x14ac:dyDescent="0.3">
      <c r="A1216" s="2">
        <v>100</v>
      </c>
    </row>
    <row r="1217" spans="1:1" x14ac:dyDescent="0.3">
      <c r="A1217" s="1">
        <v>100</v>
      </c>
    </row>
    <row r="1218" spans="1:1" x14ac:dyDescent="0.3">
      <c r="A1218" s="2">
        <v>100</v>
      </c>
    </row>
    <row r="1219" spans="1:1" x14ac:dyDescent="0.3">
      <c r="A1219" s="1">
        <v>100</v>
      </c>
    </row>
    <row r="1220" spans="1:1" x14ac:dyDescent="0.3">
      <c r="A1220" s="2">
        <v>100</v>
      </c>
    </row>
    <row r="1221" spans="1:1" x14ac:dyDescent="0.3">
      <c r="A1221" s="1">
        <v>100</v>
      </c>
    </row>
    <row r="1222" spans="1:1" x14ac:dyDescent="0.3">
      <c r="A1222" s="2">
        <v>100</v>
      </c>
    </row>
    <row r="1223" spans="1:1" x14ac:dyDescent="0.3">
      <c r="A1223" s="1">
        <v>100</v>
      </c>
    </row>
    <row r="1224" spans="1:1" x14ac:dyDescent="0.3">
      <c r="A1224" s="2">
        <v>100</v>
      </c>
    </row>
    <row r="1225" spans="1:1" x14ac:dyDescent="0.3">
      <c r="A1225" s="1">
        <v>100</v>
      </c>
    </row>
    <row r="1226" spans="1:1" x14ac:dyDescent="0.3">
      <c r="A1226" s="2">
        <v>100</v>
      </c>
    </row>
    <row r="1227" spans="1:1" x14ac:dyDescent="0.3">
      <c r="A1227" s="2">
        <v>100</v>
      </c>
    </row>
    <row r="1228" spans="1:1" x14ac:dyDescent="0.3">
      <c r="A1228" s="2">
        <v>100</v>
      </c>
    </row>
    <row r="1229" spans="1:1" x14ac:dyDescent="0.3">
      <c r="A1229" s="2">
        <v>100</v>
      </c>
    </row>
    <row r="1230" spans="1:1" x14ac:dyDescent="0.3">
      <c r="A1230" s="1">
        <v>100</v>
      </c>
    </row>
    <row r="1231" spans="1:1" x14ac:dyDescent="0.3">
      <c r="A1231" s="2">
        <v>100</v>
      </c>
    </row>
    <row r="1232" spans="1:1" x14ac:dyDescent="0.3">
      <c r="A1232" s="1">
        <v>100</v>
      </c>
    </row>
    <row r="1233" spans="1:1" x14ac:dyDescent="0.3">
      <c r="A1233" s="1">
        <v>100</v>
      </c>
    </row>
    <row r="1234" spans="1:1" x14ac:dyDescent="0.3">
      <c r="A1234" s="2">
        <v>100</v>
      </c>
    </row>
    <row r="1235" spans="1:1" x14ac:dyDescent="0.3">
      <c r="A1235" s="1">
        <v>100</v>
      </c>
    </row>
    <row r="1236" spans="1:1" x14ac:dyDescent="0.3">
      <c r="A1236" s="2">
        <v>100</v>
      </c>
    </row>
    <row r="1237" spans="1:1" x14ac:dyDescent="0.3">
      <c r="A1237" s="1">
        <v>100</v>
      </c>
    </row>
    <row r="1238" spans="1:1" x14ac:dyDescent="0.3">
      <c r="A1238" s="2">
        <v>100</v>
      </c>
    </row>
    <row r="1239" spans="1:1" x14ac:dyDescent="0.3">
      <c r="A1239" s="1">
        <v>100</v>
      </c>
    </row>
    <row r="1240" spans="1:1" x14ac:dyDescent="0.3">
      <c r="A1240" s="1">
        <v>100</v>
      </c>
    </row>
    <row r="1241" spans="1:1" x14ac:dyDescent="0.3">
      <c r="A1241" s="1">
        <v>100</v>
      </c>
    </row>
    <row r="1242" spans="1:1" x14ac:dyDescent="0.3">
      <c r="A1242" s="2">
        <v>100</v>
      </c>
    </row>
    <row r="1243" spans="1:1" x14ac:dyDescent="0.3">
      <c r="A1243" s="2">
        <v>100</v>
      </c>
    </row>
    <row r="1244" spans="1:1" x14ac:dyDescent="0.3">
      <c r="A1244" s="1">
        <v>100</v>
      </c>
    </row>
    <row r="1245" spans="1:1" x14ac:dyDescent="0.3">
      <c r="A1245" s="2">
        <v>100</v>
      </c>
    </row>
    <row r="1246" spans="1:1" x14ac:dyDescent="0.3">
      <c r="A1246" s="1">
        <v>100</v>
      </c>
    </row>
    <row r="1247" spans="1:1" x14ac:dyDescent="0.3">
      <c r="A1247" s="2">
        <v>100</v>
      </c>
    </row>
    <row r="1248" spans="1:1" x14ac:dyDescent="0.3">
      <c r="A1248" s="1">
        <v>100</v>
      </c>
    </row>
    <row r="1249" spans="1:1" x14ac:dyDescent="0.3">
      <c r="A1249" s="2">
        <v>100</v>
      </c>
    </row>
    <row r="1250" spans="1:1" x14ac:dyDescent="0.3">
      <c r="A1250" s="1">
        <v>100</v>
      </c>
    </row>
    <row r="1251" spans="1:1" x14ac:dyDescent="0.3">
      <c r="A1251" s="2">
        <v>100</v>
      </c>
    </row>
    <row r="1252" spans="1:1" x14ac:dyDescent="0.3">
      <c r="A1252" s="1">
        <v>100</v>
      </c>
    </row>
    <row r="1253" spans="1:1" x14ac:dyDescent="0.3">
      <c r="A1253" s="1">
        <v>100</v>
      </c>
    </row>
    <row r="1254" spans="1:1" x14ac:dyDescent="0.3">
      <c r="A1254" s="2">
        <v>100</v>
      </c>
    </row>
    <row r="1255" spans="1:1" x14ac:dyDescent="0.3">
      <c r="A1255" s="1">
        <v>100</v>
      </c>
    </row>
    <row r="1256" spans="1:1" x14ac:dyDescent="0.3">
      <c r="A1256" s="2">
        <v>100</v>
      </c>
    </row>
    <row r="1257" spans="1:1" x14ac:dyDescent="0.3">
      <c r="A1257" s="1">
        <v>100</v>
      </c>
    </row>
    <row r="1258" spans="1:1" x14ac:dyDescent="0.3">
      <c r="A1258" s="1">
        <v>100</v>
      </c>
    </row>
    <row r="1259" spans="1:1" x14ac:dyDescent="0.3">
      <c r="A1259" s="1">
        <v>100</v>
      </c>
    </row>
    <row r="1260" spans="1:1" x14ac:dyDescent="0.3">
      <c r="A1260" s="2">
        <v>100</v>
      </c>
    </row>
    <row r="1261" spans="1:1" x14ac:dyDescent="0.3">
      <c r="A1261" s="1">
        <v>100</v>
      </c>
    </row>
    <row r="1262" spans="1:1" x14ac:dyDescent="0.3">
      <c r="A1262" s="2">
        <v>100</v>
      </c>
    </row>
    <row r="1263" spans="1:1" x14ac:dyDescent="0.3">
      <c r="A1263" s="1">
        <v>100</v>
      </c>
    </row>
    <row r="1264" spans="1:1" x14ac:dyDescent="0.3">
      <c r="A1264" s="2">
        <v>100</v>
      </c>
    </row>
    <row r="1265" spans="1:1" x14ac:dyDescent="0.3">
      <c r="A1265" s="1">
        <v>100</v>
      </c>
    </row>
    <row r="1266" spans="1:1" x14ac:dyDescent="0.3">
      <c r="A1266" s="2">
        <v>100</v>
      </c>
    </row>
    <row r="1267" spans="1:1" x14ac:dyDescent="0.3">
      <c r="A1267" s="1">
        <v>100</v>
      </c>
    </row>
    <row r="1268" spans="1:1" x14ac:dyDescent="0.3">
      <c r="A1268" s="2">
        <v>100</v>
      </c>
    </row>
    <row r="1269" spans="1:1" x14ac:dyDescent="0.3">
      <c r="A1269" s="1">
        <v>100</v>
      </c>
    </row>
    <row r="1270" spans="1:1" x14ac:dyDescent="0.3">
      <c r="A1270" s="2">
        <v>100</v>
      </c>
    </row>
    <row r="1271" spans="1:1" x14ac:dyDescent="0.3">
      <c r="A1271" s="1">
        <v>100</v>
      </c>
    </row>
    <row r="1272" spans="1:1" x14ac:dyDescent="0.3">
      <c r="A1272" s="2">
        <v>100</v>
      </c>
    </row>
    <row r="1273" spans="1:1" x14ac:dyDescent="0.3">
      <c r="A1273" s="1">
        <v>100</v>
      </c>
    </row>
    <row r="1274" spans="1:1" x14ac:dyDescent="0.3">
      <c r="A1274" s="2">
        <v>100</v>
      </c>
    </row>
    <row r="1275" spans="1:1" x14ac:dyDescent="0.3">
      <c r="A1275" s="1">
        <v>100</v>
      </c>
    </row>
    <row r="1276" spans="1:1" x14ac:dyDescent="0.3">
      <c r="A1276" s="2">
        <v>100</v>
      </c>
    </row>
    <row r="1277" spans="1:1" x14ac:dyDescent="0.3">
      <c r="A1277" s="1">
        <v>100</v>
      </c>
    </row>
    <row r="1278" spans="1:1" x14ac:dyDescent="0.3">
      <c r="A1278" s="2">
        <v>100</v>
      </c>
    </row>
    <row r="1279" spans="1:1" x14ac:dyDescent="0.3">
      <c r="A1279" s="2">
        <v>100</v>
      </c>
    </row>
    <row r="1280" spans="1:1" x14ac:dyDescent="0.3">
      <c r="A1280" s="1">
        <v>100</v>
      </c>
    </row>
    <row r="1281" spans="1:1" x14ac:dyDescent="0.3">
      <c r="A1281" s="2">
        <v>100</v>
      </c>
    </row>
    <row r="1282" spans="1:1" x14ac:dyDescent="0.3">
      <c r="A1282" s="1">
        <v>100</v>
      </c>
    </row>
    <row r="1283" spans="1:1" x14ac:dyDescent="0.3">
      <c r="A1283" s="2">
        <v>100</v>
      </c>
    </row>
    <row r="1284" spans="1:1" x14ac:dyDescent="0.3">
      <c r="A1284" s="1">
        <v>100</v>
      </c>
    </row>
    <row r="1285" spans="1:1" x14ac:dyDescent="0.3">
      <c r="A1285" s="2">
        <v>100</v>
      </c>
    </row>
    <row r="1286" spans="1:1" x14ac:dyDescent="0.3">
      <c r="A1286" s="1">
        <v>100</v>
      </c>
    </row>
    <row r="1287" spans="1:1" x14ac:dyDescent="0.3">
      <c r="A1287" s="2">
        <v>100</v>
      </c>
    </row>
    <row r="1288" spans="1:1" x14ac:dyDescent="0.3">
      <c r="A1288" s="1">
        <v>100</v>
      </c>
    </row>
    <row r="1289" spans="1:1" x14ac:dyDescent="0.3">
      <c r="A1289" s="2">
        <v>100</v>
      </c>
    </row>
    <row r="1290" spans="1:1" x14ac:dyDescent="0.3">
      <c r="A1290" s="1">
        <v>100</v>
      </c>
    </row>
    <row r="1291" spans="1:1" x14ac:dyDescent="0.3">
      <c r="A1291" s="2">
        <v>100</v>
      </c>
    </row>
    <row r="1292" spans="1:1" x14ac:dyDescent="0.3">
      <c r="A1292" s="2">
        <v>100</v>
      </c>
    </row>
    <row r="1293" spans="1:1" x14ac:dyDescent="0.3">
      <c r="A1293" s="1">
        <v>100</v>
      </c>
    </row>
    <row r="1294" spans="1:1" x14ac:dyDescent="0.3">
      <c r="A1294" s="2">
        <v>100</v>
      </c>
    </row>
    <row r="1295" spans="1:1" x14ac:dyDescent="0.3">
      <c r="A1295" s="1">
        <v>100</v>
      </c>
    </row>
    <row r="1296" spans="1:1" x14ac:dyDescent="0.3">
      <c r="A1296" s="2">
        <v>100</v>
      </c>
    </row>
    <row r="1297" spans="1:1" x14ac:dyDescent="0.3">
      <c r="A1297" s="1">
        <v>100</v>
      </c>
    </row>
    <row r="1298" spans="1:1" x14ac:dyDescent="0.3">
      <c r="A1298" s="2">
        <v>100</v>
      </c>
    </row>
    <row r="1299" spans="1:1" x14ac:dyDescent="0.3">
      <c r="A1299" s="1">
        <v>100</v>
      </c>
    </row>
    <row r="1300" spans="1:1" x14ac:dyDescent="0.3">
      <c r="A1300" s="2">
        <v>100</v>
      </c>
    </row>
    <row r="1301" spans="1:1" x14ac:dyDescent="0.3">
      <c r="A1301" s="1">
        <v>100</v>
      </c>
    </row>
    <row r="1302" spans="1:1" x14ac:dyDescent="0.3">
      <c r="A1302" s="2">
        <v>100</v>
      </c>
    </row>
    <row r="1303" spans="1:1" x14ac:dyDescent="0.3">
      <c r="A1303" s="1">
        <v>100</v>
      </c>
    </row>
    <row r="1304" spans="1:1" x14ac:dyDescent="0.3">
      <c r="A1304" s="2">
        <v>100</v>
      </c>
    </row>
    <row r="1305" spans="1:1" x14ac:dyDescent="0.3">
      <c r="A1305" s="1">
        <v>100</v>
      </c>
    </row>
    <row r="1306" spans="1:1" x14ac:dyDescent="0.3">
      <c r="A1306" s="2">
        <v>100</v>
      </c>
    </row>
    <row r="1307" spans="1:1" x14ac:dyDescent="0.3">
      <c r="A1307" s="1">
        <v>100</v>
      </c>
    </row>
    <row r="1308" spans="1:1" x14ac:dyDescent="0.3">
      <c r="A1308" s="2">
        <v>100</v>
      </c>
    </row>
    <row r="1309" spans="1:1" x14ac:dyDescent="0.3">
      <c r="A1309" s="1">
        <v>100</v>
      </c>
    </row>
    <row r="1310" spans="1:1" x14ac:dyDescent="0.3">
      <c r="A1310" s="2">
        <v>100</v>
      </c>
    </row>
    <row r="1311" spans="1:1" x14ac:dyDescent="0.3">
      <c r="A1311" s="1">
        <v>100</v>
      </c>
    </row>
    <row r="1312" spans="1:1" x14ac:dyDescent="0.3">
      <c r="A1312" s="2">
        <v>100</v>
      </c>
    </row>
    <row r="1313" spans="1:1" x14ac:dyDescent="0.3">
      <c r="A1313" s="1">
        <v>100</v>
      </c>
    </row>
    <row r="1314" spans="1:1" x14ac:dyDescent="0.3">
      <c r="A1314" s="2">
        <v>100</v>
      </c>
    </row>
    <row r="1315" spans="1:1" x14ac:dyDescent="0.3">
      <c r="A1315" s="2">
        <v>100</v>
      </c>
    </row>
    <row r="1316" spans="1:1" x14ac:dyDescent="0.3">
      <c r="A1316" s="1">
        <v>100</v>
      </c>
    </row>
    <row r="1317" spans="1:1" x14ac:dyDescent="0.3">
      <c r="A1317" s="2">
        <v>100</v>
      </c>
    </row>
    <row r="1318" spans="1:1" x14ac:dyDescent="0.3">
      <c r="A1318" s="1">
        <v>100</v>
      </c>
    </row>
    <row r="1319" spans="1:1" x14ac:dyDescent="0.3">
      <c r="A1319" s="1">
        <v>100</v>
      </c>
    </row>
    <row r="1320" spans="1:1" x14ac:dyDescent="0.3">
      <c r="A1320" s="2">
        <v>100</v>
      </c>
    </row>
    <row r="1321" spans="1:1" x14ac:dyDescent="0.3">
      <c r="A1321" s="1">
        <v>100</v>
      </c>
    </row>
    <row r="1322" spans="1:1" x14ac:dyDescent="0.3">
      <c r="A1322" s="2">
        <v>100</v>
      </c>
    </row>
    <row r="1323" spans="1:1" x14ac:dyDescent="0.3">
      <c r="A1323" s="1">
        <v>100</v>
      </c>
    </row>
    <row r="1324" spans="1:1" x14ac:dyDescent="0.3">
      <c r="A1324" s="2">
        <v>100</v>
      </c>
    </row>
    <row r="1325" spans="1:1" x14ac:dyDescent="0.3">
      <c r="A1325" s="1">
        <v>100</v>
      </c>
    </row>
    <row r="1326" spans="1:1" x14ac:dyDescent="0.3">
      <c r="A1326" s="2">
        <v>100</v>
      </c>
    </row>
    <row r="1327" spans="1:1" x14ac:dyDescent="0.3">
      <c r="A1327" s="1">
        <v>100</v>
      </c>
    </row>
    <row r="1328" spans="1:1" x14ac:dyDescent="0.3">
      <c r="A1328" s="2">
        <v>100</v>
      </c>
    </row>
    <row r="1329" spans="1:1" x14ac:dyDescent="0.3">
      <c r="A1329" s="1">
        <v>100</v>
      </c>
    </row>
    <row r="1330" spans="1:1" x14ac:dyDescent="0.3">
      <c r="A1330" s="2">
        <v>100</v>
      </c>
    </row>
    <row r="1331" spans="1:1" x14ac:dyDescent="0.3">
      <c r="A1331" s="1">
        <v>100</v>
      </c>
    </row>
    <row r="1332" spans="1:1" x14ac:dyDescent="0.3">
      <c r="A1332" s="2">
        <v>100</v>
      </c>
    </row>
    <row r="1333" spans="1:1" x14ac:dyDescent="0.3">
      <c r="A1333" s="1">
        <v>100</v>
      </c>
    </row>
    <row r="1334" spans="1:1" x14ac:dyDescent="0.3">
      <c r="A1334" s="1">
        <v>100</v>
      </c>
    </row>
    <row r="1335" spans="1:1" x14ac:dyDescent="0.3">
      <c r="A1335" s="2">
        <v>100</v>
      </c>
    </row>
    <row r="1336" spans="1:1" x14ac:dyDescent="0.3">
      <c r="A1336" s="1">
        <v>100</v>
      </c>
    </row>
    <row r="1337" spans="1:1" x14ac:dyDescent="0.3">
      <c r="A1337" s="2">
        <v>100</v>
      </c>
    </row>
    <row r="1338" spans="1:1" x14ac:dyDescent="0.3">
      <c r="A1338" s="1">
        <v>100</v>
      </c>
    </row>
    <row r="1339" spans="1:1" x14ac:dyDescent="0.3">
      <c r="A1339" s="2">
        <v>100</v>
      </c>
    </row>
    <row r="1340" spans="1:1" x14ac:dyDescent="0.3">
      <c r="A1340" s="1">
        <v>100</v>
      </c>
    </row>
    <row r="1341" spans="1:1" x14ac:dyDescent="0.3">
      <c r="A1341" s="2">
        <v>100</v>
      </c>
    </row>
    <row r="1342" spans="1:1" x14ac:dyDescent="0.3">
      <c r="A1342" s="1">
        <v>100</v>
      </c>
    </row>
    <row r="1343" spans="1:1" x14ac:dyDescent="0.3">
      <c r="A1343" s="2">
        <v>100</v>
      </c>
    </row>
    <row r="1344" spans="1:1" x14ac:dyDescent="0.3">
      <c r="A1344" s="1">
        <v>100</v>
      </c>
    </row>
    <row r="1345" spans="1:1" x14ac:dyDescent="0.3">
      <c r="A1345" s="2">
        <v>100</v>
      </c>
    </row>
    <row r="1346" spans="1:1" x14ac:dyDescent="0.3">
      <c r="A1346" s="1">
        <v>100</v>
      </c>
    </row>
    <row r="1347" spans="1:1" x14ac:dyDescent="0.3">
      <c r="A1347" s="1">
        <v>100</v>
      </c>
    </row>
    <row r="1348" spans="1:1" x14ac:dyDescent="0.3">
      <c r="A1348" s="2">
        <v>100</v>
      </c>
    </row>
    <row r="1349" spans="1:1" x14ac:dyDescent="0.3">
      <c r="A1349" s="1">
        <v>100</v>
      </c>
    </row>
    <row r="1350" spans="1:1" x14ac:dyDescent="0.3">
      <c r="A1350" s="2">
        <v>100</v>
      </c>
    </row>
    <row r="1351" spans="1:1" x14ac:dyDescent="0.3">
      <c r="A1351" s="1">
        <v>100</v>
      </c>
    </row>
    <row r="1352" spans="1:1" x14ac:dyDescent="0.3">
      <c r="A1352" s="1">
        <v>100</v>
      </c>
    </row>
    <row r="1353" spans="1:1" x14ac:dyDescent="0.3">
      <c r="A1353" s="1">
        <v>100</v>
      </c>
    </row>
    <row r="1354" spans="1:1" x14ac:dyDescent="0.3">
      <c r="A1354" s="2">
        <v>100</v>
      </c>
    </row>
    <row r="1355" spans="1:1" x14ac:dyDescent="0.3">
      <c r="A1355" s="1">
        <v>100</v>
      </c>
    </row>
    <row r="1356" spans="1:1" x14ac:dyDescent="0.3">
      <c r="A1356" s="2">
        <v>100</v>
      </c>
    </row>
    <row r="1357" spans="1:1" x14ac:dyDescent="0.3">
      <c r="A1357" s="2">
        <v>100</v>
      </c>
    </row>
    <row r="1358" spans="1:1" x14ac:dyDescent="0.3">
      <c r="A1358" s="1">
        <v>100</v>
      </c>
    </row>
    <row r="1359" spans="1:1" x14ac:dyDescent="0.3">
      <c r="A1359" s="1">
        <v>100</v>
      </c>
    </row>
    <row r="1360" spans="1:1" x14ac:dyDescent="0.3">
      <c r="A1360" s="1">
        <v>100</v>
      </c>
    </row>
    <row r="1361" spans="1:1" x14ac:dyDescent="0.3">
      <c r="A1361" s="2">
        <v>100</v>
      </c>
    </row>
    <row r="1362" spans="1:1" x14ac:dyDescent="0.3">
      <c r="A1362" s="1">
        <v>100</v>
      </c>
    </row>
    <row r="1363" spans="1:1" x14ac:dyDescent="0.3">
      <c r="A1363" s="1">
        <v>100</v>
      </c>
    </row>
    <row r="1364" spans="1:1" x14ac:dyDescent="0.3">
      <c r="A1364" s="2">
        <v>100</v>
      </c>
    </row>
    <row r="1365" spans="1:1" x14ac:dyDescent="0.3">
      <c r="A1365" s="1">
        <v>100</v>
      </c>
    </row>
    <row r="1366" spans="1:1" x14ac:dyDescent="0.3">
      <c r="A1366" s="2">
        <v>100</v>
      </c>
    </row>
    <row r="1367" spans="1:1" x14ac:dyDescent="0.3">
      <c r="A1367" s="1">
        <v>100</v>
      </c>
    </row>
    <row r="1368" spans="1:1" x14ac:dyDescent="0.3">
      <c r="A1368" s="1">
        <v>100</v>
      </c>
    </row>
    <row r="1369" spans="1:1" x14ac:dyDescent="0.3">
      <c r="A1369" s="2">
        <v>100</v>
      </c>
    </row>
    <row r="1370" spans="1:1" x14ac:dyDescent="0.3">
      <c r="A1370" s="1">
        <v>100</v>
      </c>
    </row>
    <row r="1371" spans="1:1" x14ac:dyDescent="0.3">
      <c r="A1371" s="2">
        <v>100</v>
      </c>
    </row>
    <row r="1372" spans="1:1" x14ac:dyDescent="0.3">
      <c r="A1372" s="1">
        <v>100</v>
      </c>
    </row>
    <row r="1373" spans="1:1" x14ac:dyDescent="0.3">
      <c r="A1373" s="2">
        <v>100</v>
      </c>
    </row>
    <row r="1374" spans="1:1" x14ac:dyDescent="0.3">
      <c r="A1374" s="1">
        <v>100</v>
      </c>
    </row>
    <row r="1375" spans="1:1" x14ac:dyDescent="0.3">
      <c r="A1375" s="2">
        <v>100</v>
      </c>
    </row>
    <row r="1376" spans="1:1" x14ac:dyDescent="0.3">
      <c r="A1376" s="2">
        <v>100</v>
      </c>
    </row>
    <row r="1377" spans="1:1" x14ac:dyDescent="0.3">
      <c r="A1377" s="1">
        <v>100</v>
      </c>
    </row>
    <row r="1378" spans="1:1" x14ac:dyDescent="0.3">
      <c r="A1378" s="1">
        <v>100</v>
      </c>
    </row>
    <row r="1379" spans="1:1" x14ac:dyDescent="0.3">
      <c r="A1379" s="1">
        <v>100</v>
      </c>
    </row>
    <row r="1380" spans="1:1" x14ac:dyDescent="0.3">
      <c r="A1380" s="1">
        <v>100</v>
      </c>
    </row>
    <row r="1381" spans="1:1" x14ac:dyDescent="0.3">
      <c r="A1381" s="2">
        <v>100</v>
      </c>
    </row>
    <row r="1382" spans="1:1" x14ac:dyDescent="0.3">
      <c r="A1382" s="1">
        <v>100</v>
      </c>
    </row>
    <row r="1383" spans="1:1" x14ac:dyDescent="0.3">
      <c r="A1383" s="2">
        <v>100</v>
      </c>
    </row>
    <row r="1384" spans="1:1" x14ac:dyDescent="0.3">
      <c r="A1384" s="1">
        <v>100</v>
      </c>
    </row>
    <row r="1385" spans="1:1" x14ac:dyDescent="0.3">
      <c r="A1385" s="2">
        <v>100</v>
      </c>
    </row>
    <row r="1386" spans="1:1" x14ac:dyDescent="0.3">
      <c r="A1386" s="1">
        <v>100</v>
      </c>
    </row>
    <row r="1387" spans="1:1" x14ac:dyDescent="0.3">
      <c r="A1387" s="2">
        <v>100</v>
      </c>
    </row>
    <row r="1388" spans="1:1" x14ac:dyDescent="0.3">
      <c r="A1388" s="1">
        <v>100</v>
      </c>
    </row>
    <row r="1389" spans="1:1" x14ac:dyDescent="0.3">
      <c r="A1389" s="2">
        <v>100</v>
      </c>
    </row>
    <row r="1390" spans="1:1" x14ac:dyDescent="0.3">
      <c r="A1390" s="2">
        <v>100</v>
      </c>
    </row>
    <row r="1391" spans="1:1" x14ac:dyDescent="0.3">
      <c r="A1391" s="1">
        <v>100</v>
      </c>
    </row>
    <row r="1392" spans="1:1" x14ac:dyDescent="0.3">
      <c r="A1392" s="1">
        <v>100</v>
      </c>
    </row>
    <row r="1393" spans="1:1" x14ac:dyDescent="0.3">
      <c r="A1393" s="2">
        <v>100</v>
      </c>
    </row>
    <row r="1394" spans="1:1" x14ac:dyDescent="0.3">
      <c r="A1394" s="1">
        <v>100</v>
      </c>
    </row>
    <row r="1395" spans="1:1" x14ac:dyDescent="0.3">
      <c r="A1395" s="2">
        <v>100</v>
      </c>
    </row>
    <row r="1396" spans="1:1" x14ac:dyDescent="0.3">
      <c r="A1396" s="2">
        <v>100</v>
      </c>
    </row>
    <row r="1397" spans="1:1" x14ac:dyDescent="0.3">
      <c r="A1397" s="2">
        <v>100</v>
      </c>
    </row>
    <row r="1398" spans="1:1" x14ac:dyDescent="0.3">
      <c r="A1398" s="1">
        <v>100</v>
      </c>
    </row>
    <row r="1399" spans="1:1" x14ac:dyDescent="0.3">
      <c r="A1399" s="1">
        <v>100</v>
      </c>
    </row>
    <row r="1400" spans="1:1" x14ac:dyDescent="0.3">
      <c r="A1400" s="2">
        <v>100</v>
      </c>
    </row>
    <row r="1401" spans="1:1" x14ac:dyDescent="0.3">
      <c r="A1401" s="1">
        <v>100</v>
      </c>
    </row>
    <row r="1402" spans="1:1" x14ac:dyDescent="0.3">
      <c r="A1402" s="1">
        <v>100</v>
      </c>
    </row>
    <row r="1403" spans="1:1" x14ac:dyDescent="0.3">
      <c r="A1403" s="2">
        <v>100</v>
      </c>
    </row>
    <row r="1404" spans="1:1" x14ac:dyDescent="0.3">
      <c r="A1404" s="2">
        <v>100</v>
      </c>
    </row>
    <row r="1405" spans="1:1" x14ac:dyDescent="0.3">
      <c r="A1405" s="1">
        <v>100</v>
      </c>
    </row>
    <row r="1406" spans="1:1" x14ac:dyDescent="0.3">
      <c r="A1406" s="2">
        <v>100</v>
      </c>
    </row>
    <row r="1407" spans="1:1" x14ac:dyDescent="0.3">
      <c r="A1407" s="1">
        <v>100</v>
      </c>
    </row>
    <row r="1408" spans="1:1" x14ac:dyDescent="0.3">
      <c r="A1408" s="2">
        <v>100</v>
      </c>
    </row>
    <row r="1409" spans="1:1" x14ac:dyDescent="0.3">
      <c r="A1409" s="1">
        <v>100</v>
      </c>
    </row>
    <row r="1410" spans="1:1" x14ac:dyDescent="0.3">
      <c r="A1410" s="2">
        <v>100</v>
      </c>
    </row>
    <row r="1411" spans="1:1" x14ac:dyDescent="0.3">
      <c r="A1411" s="1">
        <v>100</v>
      </c>
    </row>
    <row r="1412" spans="1:1" x14ac:dyDescent="0.3">
      <c r="A1412" s="2">
        <v>100</v>
      </c>
    </row>
    <row r="1413" spans="1:1" x14ac:dyDescent="0.3">
      <c r="A1413" s="1">
        <v>100</v>
      </c>
    </row>
    <row r="1414" spans="1:1" x14ac:dyDescent="0.3">
      <c r="A1414" s="2">
        <v>100</v>
      </c>
    </row>
    <row r="1415" spans="1:1" x14ac:dyDescent="0.3">
      <c r="A1415" s="1">
        <v>100</v>
      </c>
    </row>
    <row r="1416" spans="1:1" x14ac:dyDescent="0.3">
      <c r="A1416" s="2">
        <v>100</v>
      </c>
    </row>
    <row r="1417" spans="1:1" x14ac:dyDescent="0.3">
      <c r="A1417" s="1">
        <v>100</v>
      </c>
    </row>
    <row r="1418" spans="1:1" x14ac:dyDescent="0.3">
      <c r="A1418" s="2">
        <v>100</v>
      </c>
    </row>
    <row r="1419" spans="1:1" x14ac:dyDescent="0.3">
      <c r="A1419" s="1">
        <v>100</v>
      </c>
    </row>
    <row r="1420" spans="1:1" x14ac:dyDescent="0.3">
      <c r="A1420" s="2">
        <v>100</v>
      </c>
    </row>
    <row r="1421" spans="1:1" x14ac:dyDescent="0.3">
      <c r="A1421" s="1">
        <v>100</v>
      </c>
    </row>
    <row r="1422" spans="1:1" x14ac:dyDescent="0.3">
      <c r="A1422" s="1">
        <v>100</v>
      </c>
    </row>
    <row r="1423" spans="1:1" x14ac:dyDescent="0.3">
      <c r="A1423" s="2">
        <v>100</v>
      </c>
    </row>
    <row r="1424" spans="1:1" x14ac:dyDescent="0.3">
      <c r="A1424" s="1">
        <v>100</v>
      </c>
    </row>
    <row r="1425" spans="1:1" x14ac:dyDescent="0.3">
      <c r="A1425" s="2">
        <v>100</v>
      </c>
    </row>
    <row r="1426" spans="1:1" x14ac:dyDescent="0.3">
      <c r="A1426" s="1">
        <v>100</v>
      </c>
    </row>
    <row r="1427" spans="1:1" x14ac:dyDescent="0.3">
      <c r="A1427" s="2">
        <v>100</v>
      </c>
    </row>
    <row r="1428" spans="1:1" x14ac:dyDescent="0.3">
      <c r="A1428" s="1">
        <v>100</v>
      </c>
    </row>
    <row r="1429" spans="1:1" x14ac:dyDescent="0.3">
      <c r="A1429" s="2">
        <v>100</v>
      </c>
    </row>
    <row r="1430" spans="1:1" x14ac:dyDescent="0.3">
      <c r="A1430" s="1">
        <v>100</v>
      </c>
    </row>
    <row r="1431" spans="1:1" x14ac:dyDescent="0.3">
      <c r="A1431" s="2">
        <v>100</v>
      </c>
    </row>
    <row r="1432" spans="1:1" x14ac:dyDescent="0.3">
      <c r="A1432" s="1">
        <v>100</v>
      </c>
    </row>
    <row r="1433" spans="1:1" x14ac:dyDescent="0.3">
      <c r="A1433" s="2">
        <v>100</v>
      </c>
    </row>
    <row r="1434" spans="1:1" x14ac:dyDescent="0.3">
      <c r="A1434" s="1">
        <v>100</v>
      </c>
    </row>
    <row r="1435" spans="1:1" x14ac:dyDescent="0.3">
      <c r="A1435" s="2">
        <v>100</v>
      </c>
    </row>
    <row r="1436" spans="1:1" x14ac:dyDescent="0.3">
      <c r="A1436" s="1">
        <v>100</v>
      </c>
    </row>
    <row r="1437" spans="1:1" x14ac:dyDescent="0.3">
      <c r="A1437" s="2">
        <v>100</v>
      </c>
    </row>
    <row r="1438" spans="1:1" x14ac:dyDescent="0.3">
      <c r="A1438" s="1">
        <v>100</v>
      </c>
    </row>
    <row r="1439" spans="1:1" x14ac:dyDescent="0.3">
      <c r="A1439" s="1">
        <v>100</v>
      </c>
    </row>
    <row r="1440" spans="1:1" x14ac:dyDescent="0.3">
      <c r="A1440" s="2">
        <v>100</v>
      </c>
    </row>
    <row r="1441" spans="1:1" x14ac:dyDescent="0.3">
      <c r="A1441" s="2">
        <v>100</v>
      </c>
    </row>
    <row r="1442" spans="1:1" x14ac:dyDescent="0.3">
      <c r="A1442" s="2">
        <v>100</v>
      </c>
    </row>
    <row r="1443" spans="1:1" x14ac:dyDescent="0.3">
      <c r="A1443" s="2">
        <v>100</v>
      </c>
    </row>
    <row r="1444" spans="1:1" x14ac:dyDescent="0.3">
      <c r="A1444" s="1">
        <v>100</v>
      </c>
    </row>
    <row r="1445" spans="1:1" x14ac:dyDescent="0.3">
      <c r="A1445" s="2">
        <v>100</v>
      </c>
    </row>
    <row r="1446" spans="1:1" x14ac:dyDescent="0.3">
      <c r="A1446" s="1">
        <v>100</v>
      </c>
    </row>
    <row r="1447" spans="1:1" x14ac:dyDescent="0.3">
      <c r="A1447" s="2">
        <v>100</v>
      </c>
    </row>
    <row r="1448" spans="1:1" x14ac:dyDescent="0.3">
      <c r="A1448" s="1">
        <v>100</v>
      </c>
    </row>
    <row r="1449" spans="1:1" x14ac:dyDescent="0.3">
      <c r="A1449" s="2">
        <v>100</v>
      </c>
    </row>
    <row r="1450" spans="1:1" x14ac:dyDescent="0.3">
      <c r="A1450" s="1">
        <v>100</v>
      </c>
    </row>
    <row r="1451" spans="1:1" x14ac:dyDescent="0.3">
      <c r="A1451" s="2">
        <v>100</v>
      </c>
    </row>
    <row r="1452" spans="1:1" x14ac:dyDescent="0.3">
      <c r="A1452" s="1">
        <v>100</v>
      </c>
    </row>
    <row r="1453" spans="1:1" x14ac:dyDescent="0.3">
      <c r="A1453" s="2">
        <v>100</v>
      </c>
    </row>
    <row r="1454" spans="1:1" x14ac:dyDescent="0.3">
      <c r="A1454" s="1">
        <v>100</v>
      </c>
    </row>
    <row r="1455" spans="1:1" x14ac:dyDescent="0.3">
      <c r="A1455" s="2">
        <v>100</v>
      </c>
    </row>
    <row r="1456" spans="1:1" x14ac:dyDescent="0.3">
      <c r="A1456" s="1">
        <v>100</v>
      </c>
    </row>
    <row r="1457" spans="1:1" x14ac:dyDescent="0.3">
      <c r="A1457" s="2">
        <v>100</v>
      </c>
    </row>
    <row r="1458" spans="1:1" x14ac:dyDescent="0.3">
      <c r="A1458" s="1">
        <v>100</v>
      </c>
    </row>
    <row r="1459" spans="1:1" x14ac:dyDescent="0.3">
      <c r="A1459" s="2">
        <v>100</v>
      </c>
    </row>
    <row r="1460" spans="1:1" x14ac:dyDescent="0.3">
      <c r="A1460" s="1">
        <v>100</v>
      </c>
    </row>
    <row r="1461" spans="1:1" x14ac:dyDescent="0.3">
      <c r="A1461" s="2">
        <v>100</v>
      </c>
    </row>
    <row r="1462" spans="1:1" x14ac:dyDescent="0.3">
      <c r="A1462" s="1">
        <v>100</v>
      </c>
    </row>
    <row r="1463" spans="1:1" x14ac:dyDescent="0.3">
      <c r="A1463" s="2">
        <v>100</v>
      </c>
    </row>
    <row r="1464" spans="1:1" x14ac:dyDescent="0.3">
      <c r="A1464" s="1">
        <v>100</v>
      </c>
    </row>
    <row r="1465" spans="1:1" x14ac:dyDescent="0.3">
      <c r="A1465" s="2">
        <v>100</v>
      </c>
    </row>
    <row r="1466" spans="1:1" x14ac:dyDescent="0.3">
      <c r="A1466" s="1">
        <v>100</v>
      </c>
    </row>
    <row r="1467" spans="1:1" x14ac:dyDescent="0.3">
      <c r="A1467" s="2">
        <v>100</v>
      </c>
    </row>
    <row r="1468" spans="1:1" x14ac:dyDescent="0.3">
      <c r="A1468" s="2">
        <v>100</v>
      </c>
    </row>
    <row r="1469" spans="1:1" x14ac:dyDescent="0.3">
      <c r="A1469" s="1">
        <v>100</v>
      </c>
    </row>
    <row r="1470" spans="1:1" x14ac:dyDescent="0.3">
      <c r="A1470" s="2">
        <v>100</v>
      </c>
    </row>
    <row r="1471" spans="1:1" x14ac:dyDescent="0.3">
      <c r="A1471" s="1">
        <v>100</v>
      </c>
    </row>
    <row r="1472" spans="1:1" x14ac:dyDescent="0.3">
      <c r="A1472" s="1">
        <v>100</v>
      </c>
    </row>
    <row r="1473" spans="1:1" x14ac:dyDescent="0.3">
      <c r="A1473" s="2">
        <v>100</v>
      </c>
    </row>
    <row r="1474" spans="1:1" x14ac:dyDescent="0.3">
      <c r="A1474" s="1">
        <v>100</v>
      </c>
    </row>
    <row r="1475" spans="1:1" x14ac:dyDescent="0.3">
      <c r="A1475" s="2">
        <v>100</v>
      </c>
    </row>
    <row r="1476" spans="1:1" x14ac:dyDescent="0.3">
      <c r="A1476" s="2">
        <v>100</v>
      </c>
    </row>
    <row r="1477" spans="1:1" x14ac:dyDescent="0.3">
      <c r="A1477" s="1">
        <v>100</v>
      </c>
    </row>
    <row r="1478" spans="1:1" x14ac:dyDescent="0.3">
      <c r="A1478" s="2">
        <v>100</v>
      </c>
    </row>
    <row r="1479" spans="1:1" x14ac:dyDescent="0.3">
      <c r="A1479" s="1">
        <v>100</v>
      </c>
    </row>
    <row r="1480" spans="1:1" x14ac:dyDescent="0.3">
      <c r="A1480" s="2">
        <v>100</v>
      </c>
    </row>
    <row r="1481" spans="1:1" x14ac:dyDescent="0.3">
      <c r="A1481" s="2">
        <v>100</v>
      </c>
    </row>
    <row r="1482" spans="1:1" x14ac:dyDescent="0.3">
      <c r="A1482" s="1">
        <v>100</v>
      </c>
    </row>
    <row r="1483" spans="1:1" x14ac:dyDescent="0.3">
      <c r="A1483" s="2">
        <v>100</v>
      </c>
    </row>
    <row r="1484" spans="1:1" x14ac:dyDescent="0.3">
      <c r="A1484" s="2">
        <v>100</v>
      </c>
    </row>
    <row r="1485" spans="1:1" x14ac:dyDescent="0.3">
      <c r="A1485" s="1">
        <v>100</v>
      </c>
    </row>
    <row r="1486" spans="1:1" x14ac:dyDescent="0.3">
      <c r="A1486" s="2">
        <v>100</v>
      </c>
    </row>
    <row r="1487" spans="1:1" x14ac:dyDescent="0.3">
      <c r="A1487" s="1">
        <v>100</v>
      </c>
    </row>
    <row r="1488" spans="1:1" x14ac:dyDescent="0.3">
      <c r="A1488" s="2">
        <v>100</v>
      </c>
    </row>
    <row r="1489" spans="1:1" x14ac:dyDescent="0.3">
      <c r="A1489" s="1">
        <v>100</v>
      </c>
    </row>
    <row r="1490" spans="1:1" x14ac:dyDescent="0.3">
      <c r="A1490" s="2">
        <v>100</v>
      </c>
    </row>
    <row r="1491" spans="1:1" x14ac:dyDescent="0.3">
      <c r="A1491" s="1">
        <v>100</v>
      </c>
    </row>
    <row r="1492" spans="1:1" x14ac:dyDescent="0.3">
      <c r="A1492" s="2">
        <v>100</v>
      </c>
    </row>
    <row r="1493" spans="1:1" x14ac:dyDescent="0.3">
      <c r="A1493" s="2">
        <v>100</v>
      </c>
    </row>
    <row r="1494" spans="1:1" x14ac:dyDescent="0.3">
      <c r="A1494" s="1">
        <v>100</v>
      </c>
    </row>
    <row r="1495" spans="1:1" x14ac:dyDescent="0.3">
      <c r="A1495" s="2">
        <v>100</v>
      </c>
    </row>
    <row r="1496" spans="1:1" x14ac:dyDescent="0.3">
      <c r="A1496" s="1">
        <v>100</v>
      </c>
    </row>
    <row r="1497" spans="1:1" x14ac:dyDescent="0.3">
      <c r="A1497" s="2">
        <v>100</v>
      </c>
    </row>
    <row r="1498" spans="1:1" x14ac:dyDescent="0.3">
      <c r="A1498" s="1">
        <v>100</v>
      </c>
    </row>
    <row r="1499" spans="1:1" x14ac:dyDescent="0.3">
      <c r="A1499" s="2">
        <v>100</v>
      </c>
    </row>
    <row r="1500" spans="1:1" x14ac:dyDescent="0.3">
      <c r="A1500" s="1">
        <v>100</v>
      </c>
    </row>
    <row r="1501" spans="1:1" x14ac:dyDescent="0.3">
      <c r="A1501" s="2">
        <v>100</v>
      </c>
    </row>
    <row r="1502" spans="1:1" x14ac:dyDescent="0.3">
      <c r="A1502" s="1">
        <v>100</v>
      </c>
    </row>
    <row r="1503" spans="1:1" x14ac:dyDescent="0.3">
      <c r="A1503" s="2">
        <v>100</v>
      </c>
    </row>
    <row r="1504" spans="1:1" x14ac:dyDescent="0.3">
      <c r="A1504" s="1">
        <v>100</v>
      </c>
    </row>
    <row r="1505" spans="1:1" x14ac:dyDescent="0.3">
      <c r="A1505" s="2">
        <v>100</v>
      </c>
    </row>
    <row r="1506" spans="1:1" x14ac:dyDescent="0.3">
      <c r="A1506" s="1">
        <v>100</v>
      </c>
    </row>
    <row r="1507" spans="1:1" x14ac:dyDescent="0.3">
      <c r="A1507" s="2">
        <v>100</v>
      </c>
    </row>
    <row r="1508" spans="1:1" x14ac:dyDescent="0.3">
      <c r="A1508" s="2">
        <v>100</v>
      </c>
    </row>
    <row r="1509" spans="1:1" x14ac:dyDescent="0.3">
      <c r="A1509" s="1">
        <v>100</v>
      </c>
    </row>
    <row r="1510" spans="1:1" x14ac:dyDescent="0.3">
      <c r="A1510" s="2">
        <v>100</v>
      </c>
    </row>
    <row r="1511" spans="1:1" x14ac:dyDescent="0.3">
      <c r="A1511" s="1">
        <v>100</v>
      </c>
    </row>
    <row r="1512" spans="1:1" x14ac:dyDescent="0.3">
      <c r="A1512" s="2">
        <v>100</v>
      </c>
    </row>
    <row r="1513" spans="1:1" x14ac:dyDescent="0.3">
      <c r="A1513" s="1">
        <v>100</v>
      </c>
    </row>
    <row r="1514" spans="1:1" x14ac:dyDescent="0.3">
      <c r="A1514" s="2">
        <v>100</v>
      </c>
    </row>
    <row r="1515" spans="1:1" x14ac:dyDescent="0.3">
      <c r="A1515" s="1">
        <v>100</v>
      </c>
    </row>
    <row r="1516" spans="1:1" x14ac:dyDescent="0.3">
      <c r="A1516" s="2">
        <v>100</v>
      </c>
    </row>
    <row r="1517" spans="1:1" x14ac:dyDescent="0.3">
      <c r="A1517" s="1">
        <v>100</v>
      </c>
    </row>
    <row r="1518" spans="1:1" x14ac:dyDescent="0.3">
      <c r="A1518" s="2">
        <v>100</v>
      </c>
    </row>
    <row r="1519" spans="1:1" x14ac:dyDescent="0.3">
      <c r="A1519" s="1">
        <v>100</v>
      </c>
    </row>
    <row r="1520" spans="1:1" x14ac:dyDescent="0.3">
      <c r="A1520" s="2">
        <v>100</v>
      </c>
    </row>
    <row r="1521" spans="1:1" x14ac:dyDescent="0.3">
      <c r="A1521" s="2">
        <v>100</v>
      </c>
    </row>
    <row r="1522" spans="1:1" x14ac:dyDescent="0.3">
      <c r="A1522" s="1">
        <v>100</v>
      </c>
    </row>
    <row r="1523" spans="1:1" x14ac:dyDescent="0.3">
      <c r="A1523" s="2">
        <v>100</v>
      </c>
    </row>
    <row r="1524" spans="1:1" x14ac:dyDescent="0.3">
      <c r="A1524" s="1">
        <v>100</v>
      </c>
    </row>
    <row r="1525" spans="1:1" x14ac:dyDescent="0.3">
      <c r="A1525" s="2">
        <v>100</v>
      </c>
    </row>
    <row r="1526" spans="1:1" x14ac:dyDescent="0.3">
      <c r="A1526" s="1">
        <v>100</v>
      </c>
    </row>
    <row r="1527" spans="1:1" x14ac:dyDescent="0.3">
      <c r="A1527" s="2">
        <v>100</v>
      </c>
    </row>
    <row r="1528" spans="1:1" x14ac:dyDescent="0.3">
      <c r="A1528" s="1">
        <v>100</v>
      </c>
    </row>
    <row r="1529" spans="1:1" x14ac:dyDescent="0.3">
      <c r="A1529" s="1">
        <v>100</v>
      </c>
    </row>
    <row r="1530" spans="1:1" x14ac:dyDescent="0.3">
      <c r="A1530" s="1">
        <v>100</v>
      </c>
    </row>
    <row r="1531" spans="1:1" x14ac:dyDescent="0.3">
      <c r="A1531" s="2">
        <v>100</v>
      </c>
    </row>
    <row r="1532" spans="1:1" x14ac:dyDescent="0.3">
      <c r="A1532" s="2">
        <v>100</v>
      </c>
    </row>
    <row r="1533" spans="1:1" x14ac:dyDescent="0.3">
      <c r="A1533" s="1">
        <v>100</v>
      </c>
    </row>
    <row r="1534" spans="1:1" x14ac:dyDescent="0.3">
      <c r="A1534" s="2">
        <v>100</v>
      </c>
    </row>
    <row r="1535" spans="1:1" x14ac:dyDescent="0.3">
      <c r="A1535" s="1">
        <v>100</v>
      </c>
    </row>
    <row r="1536" spans="1:1" x14ac:dyDescent="0.3">
      <c r="A1536" s="2">
        <v>100</v>
      </c>
    </row>
    <row r="1537" spans="1:1" x14ac:dyDescent="0.3">
      <c r="A1537" s="1">
        <v>100</v>
      </c>
    </row>
    <row r="1538" spans="1:1" x14ac:dyDescent="0.3">
      <c r="A1538" s="2">
        <v>100</v>
      </c>
    </row>
    <row r="1539" spans="1:1" x14ac:dyDescent="0.3">
      <c r="A1539" s="1">
        <v>100</v>
      </c>
    </row>
    <row r="1540" spans="1:1" x14ac:dyDescent="0.3">
      <c r="A1540" s="2">
        <v>100</v>
      </c>
    </row>
    <row r="1541" spans="1:1" x14ac:dyDescent="0.3">
      <c r="A1541" s="1">
        <v>100</v>
      </c>
    </row>
    <row r="1542" spans="1:1" x14ac:dyDescent="0.3">
      <c r="A1542" s="2">
        <v>100</v>
      </c>
    </row>
    <row r="1543" spans="1:1" x14ac:dyDescent="0.3">
      <c r="A1543" s="2">
        <v>100</v>
      </c>
    </row>
    <row r="1544" spans="1:1" x14ac:dyDescent="0.3">
      <c r="A1544" s="2">
        <v>100</v>
      </c>
    </row>
    <row r="1545" spans="1:1" x14ac:dyDescent="0.3">
      <c r="A1545" s="1">
        <v>100</v>
      </c>
    </row>
    <row r="1546" spans="1:1" x14ac:dyDescent="0.3">
      <c r="A1546" s="2">
        <v>100</v>
      </c>
    </row>
    <row r="1547" spans="1:1" x14ac:dyDescent="0.3">
      <c r="A1547" s="1">
        <v>100</v>
      </c>
    </row>
    <row r="1548" spans="1:1" x14ac:dyDescent="0.3">
      <c r="A1548" s="2">
        <v>100</v>
      </c>
    </row>
    <row r="1549" spans="1:1" x14ac:dyDescent="0.3">
      <c r="A1549" s="2">
        <v>100</v>
      </c>
    </row>
    <row r="1550" spans="1:1" x14ac:dyDescent="0.3">
      <c r="A1550" s="2">
        <v>100</v>
      </c>
    </row>
    <row r="1551" spans="1:1" x14ac:dyDescent="0.3">
      <c r="A1551" s="1">
        <v>100</v>
      </c>
    </row>
    <row r="1552" spans="1:1" x14ac:dyDescent="0.3">
      <c r="A1552" s="1">
        <v>100</v>
      </c>
    </row>
    <row r="1553" spans="1:1" x14ac:dyDescent="0.3">
      <c r="A1553" s="2">
        <v>100</v>
      </c>
    </row>
    <row r="1554" spans="1:1" x14ac:dyDescent="0.3">
      <c r="A1554" s="1">
        <v>100</v>
      </c>
    </row>
    <row r="1555" spans="1:1" x14ac:dyDescent="0.3">
      <c r="A1555" s="1">
        <v>100</v>
      </c>
    </row>
    <row r="1556" spans="1:1" x14ac:dyDescent="0.3">
      <c r="A1556" s="2">
        <v>100</v>
      </c>
    </row>
    <row r="1557" spans="1:1" x14ac:dyDescent="0.3">
      <c r="A1557" s="1">
        <v>100</v>
      </c>
    </row>
    <row r="1558" spans="1:1" x14ac:dyDescent="0.3">
      <c r="A1558" s="2">
        <v>100</v>
      </c>
    </row>
    <row r="1559" spans="1:1" x14ac:dyDescent="0.3">
      <c r="A1559" s="1">
        <v>100</v>
      </c>
    </row>
    <row r="1560" spans="1:1" x14ac:dyDescent="0.3">
      <c r="A1560" s="2">
        <v>100</v>
      </c>
    </row>
    <row r="1561" spans="1:1" x14ac:dyDescent="0.3">
      <c r="A1561" s="1">
        <v>100</v>
      </c>
    </row>
    <row r="1562" spans="1:1" x14ac:dyDescent="0.3">
      <c r="A1562" s="2">
        <v>100</v>
      </c>
    </row>
    <row r="1563" spans="1:1" x14ac:dyDescent="0.3">
      <c r="A1563" s="1">
        <v>100</v>
      </c>
    </row>
    <row r="1564" spans="1:1" x14ac:dyDescent="0.3">
      <c r="A1564" s="2">
        <v>100</v>
      </c>
    </row>
    <row r="1565" spans="1:1" x14ac:dyDescent="0.3">
      <c r="A1565" s="1">
        <v>100</v>
      </c>
    </row>
    <row r="1566" spans="1:1" x14ac:dyDescent="0.3">
      <c r="A1566" s="2">
        <v>100</v>
      </c>
    </row>
    <row r="1567" spans="1:1" x14ac:dyDescent="0.3">
      <c r="A1567" s="1">
        <v>100</v>
      </c>
    </row>
    <row r="1568" spans="1:1" x14ac:dyDescent="0.3">
      <c r="A1568" s="2">
        <v>100</v>
      </c>
    </row>
    <row r="1569" spans="1:1" x14ac:dyDescent="0.3">
      <c r="A1569" s="1">
        <v>100</v>
      </c>
    </row>
    <row r="1570" spans="1:1" x14ac:dyDescent="0.3">
      <c r="A1570" s="2">
        <v>100</v>
      </c>
    </row>
    <row r="1571" spans="1:1" x14ac:dyDescent="0.3">
      <c r="A1571" s="1">
        <v>100</v>
      </c>
    </row>
    <row r="1572" spans="1:1" x14ac:dyDescent="0.3">
      <c r="A1572" s="2">
        <v>100</v>
      </c>
    </row>
    <row r="1573" spans="1:1" x14ac:dyDescent="0.3">
      <c r="A1573" s="1">
        <v>100</v>
      </c>
    </row>
    <row r="1574" spans="1:1" x14ac:dyDescent="0.3">
      <c r="A1574" s="2">
        <v>100</v>
      </c>
    </row>
    <row r="1575" spans="1:1" x14ac:dyDescent="0.3">
      <c r="A1575" s="1">
        <v>100</v>
      </c>
    </row>
    <row r="1576" spans="1:1" x14ac:dyDescent="0.3">
      <c r="A1576" s="2">
        <v>100</v>
      </c>
    </row>
    <row r="1577" spans="1:1" x14ac:dyDescent="0.3">
      <c r="A1577" s="1">
        <v>100</v>
      </c>
    </row>
    <row r="1578" spans="1:1" x14ac:dyDescent="0.3">
      <c r="A1578" s="2">
        <v>100</v>
      </c>
    </row>
    <row r="1579" spans="1:1" x14ac:dyDescent="0.3">
      <c r="A1579" s="1">
        <v>100</v>
      </c>
    </row>
    <row r="1580" spans="1:1" x14ac:dyDescent="0.3">
      <c r="A1580" s="2">
        <v>100</v>
      </c>
    </row>
    <row r="1581" spans="1:1" x14ac:dyDescent="0.3">
      <c r="A1581" s="2">
        <v>100</v>
      </c>
    </row>
    <row r="1582" spans="1:1" x14ac:dyDescent="0.3">
      <c r="A1582" s="2">
        <v>100</v>
      </c>
    </row>
    <row r="1583" spans="1:1" x14ac:dyDescent="0.3">
      <c r="A1583" s="1">
        <v>100</v>
      </c>
    </row>
    <row r="1584" spans="1:1" x14ac:dyDescent="0.3">
      <c r="A1584" s="1">
        <v>100</v>
      </c>
    </row>
    <row r="1585" spans="1:1" x14ac:dyDescent="0.3">
      <c r="A1585" s="2">
        <v>100</v>
      </c>
    </row>
    <row r="1586" spans="1:1" x14ac:dyDescent="0.3">
      <c r="A1586" s="2">
        <v>100</v>
      </c>
    </row>
    <row r="1587" spans="1:1" x14ac:dyDescent="0.3">
      <c r="A1587" s="1">
        <v>100</v>
      </c>
    </row>
    <row r="1588" spans="1:1" x14ac:dyDescent="0.3">
      <c r="A1588" s="2">
        <v>100</v>
      </c>
    </row>
    <row r="1589" spans="1:1" x14ac:dyDescent="0.3">
      <c r="A1589" s="2">
        <v>100</v>
      </c>
    </row>
    <row r="1590" spans="1:1" x14ac:dyDescent="0.3">
      <c r="A1590" s="1">
        <v>100</v>
      </c>
    </row>
    <row r="1591" spans="1:1" x14ac:dyDescent="0.3">
      <c r="A1591" s="2">
        <v>100</v>
      </c>
    </row>
    <row r="1592" spans="1:1" x14ac:dyDescent="0.3">
      <c r="A1592" s="1">
        <v>100</v>
      </c>
    </row>
    <row r="1593" spans="1:1" x14ac:dyDescent="0.3">
      <c r="A1593" s="2">
        <v>100</v>
      </c>
    </row>
    <row r="1594" spans="1:1" x14ac:dyDescent="0.3">
      <c r="A1594" s="1">
        <v>100</v>
      </c>
    </row>
    <row r="1595" spans="1:1" x14ac:dyDescent="0.3">
      <c r="A1595" s="1">
        <v>100</v>
      </c>
    </row>
    <row r="1596" spans="1:1" x14ac:dyDescent="0.3">
      <c r="A1596" s="2">
        <v>100</v>
      </c>
    </row>
    <row r="1597" spans="1:1" x14ac:dyDescent="0.3">
      <c r="A1597" s="1">
        <v>100</v>
      </c>
    </row>
    <row r="1598" spans="1:1" x14ac:dyDescent="0.3">
      <c r="A1598" s="2">
        <v>100</v>
      </c>
    </row>
    <row r="1599" spans="1:1" x14ac:dyDescent="0.3">
      <c r="A1599" s="1">
        <v>100</v>
      </c>
    </row>
    <row r="1600" spans="1:1" x14ac:dyDescent="0.3">
      <c r="A1600" s="2">
        <v>100</v>
      </c>
    </row>
    <row r="1601" spans="1:1" x14ac:dyDescent="0.3">
      <c r="A1601" s="2">
        <v>100</v>
      </c>
    </row>
    <row r="1602" spans="1:1" x14ac:dyDescent="0.3">
      <c r="A1602" s="2">
        <v>100</v>
      </c>
    </row>
    <row r="1603" spans="1:1" x14ac:dyDescent="0.3">
      <c r="A1603" s="1">
        <v>100</v>
      </c>
    </row>
    <row r="1604" spans="1:1" x14ac:dyDescent="0.3">
      <c r="A1604" s="2">
        <v>100</v>
      </c>
    </row>
    <row r="1605" spans="1:1" x14ac:dyDescent="0.3">
      <c r="A1605" s="1">
        <v>100</v>
      </c>
    </row>
    <row r="1606" spans="1:1" x14ac:dyDescent="0.3">
      <c r="A1606" s="2">
        <v>100</v>
      </c>
    </row>
    <row r="1607" spans="1:1" x14ac:dyDescent="0.3">
      <c r="A1607" s="1">
        <v>100</v>
      </c>
    </row>
    <row r="1608" spans="1:1" x14ac:dyDescent="0.3">
      <c r="A1608" s="2">
        <v>100</v>
      </c>
    </row>
    <row r="1609" spans="1:1" x14ac:dyDescent="0.3">
      <c r="A1609" s="1">
        <v>100</v>
      </c>
    </row>
    <row r="1610" spans="1:1" x14ac:dyDescent="0.3">
      <c r="A1610" s="2">
        <v>100</v>
      </c>
    </row>
    <row r="1611" spans="1:1" x14ac:dyDescent="0.3">
      <c r="A1611" s="1">
        <v>100</v>
      </c>
    </row>
    <row r="1612" spans="1:1" x14ac:dyDescent="0.3">
      <c r="A1612" s="2">
        <v>100</v>
      </c>
    </row>
    <row r="1613" spans="1:1" x14ac:dyDescent="0.3">
      <c r="A1613" s="1">
        <v>100</v>
      </c>
    </row>
    <row r="1614" spans="1:1" x14ac:dyDescent="0.3">
      <c r="A1614" s="2">
        <v>100</v>
      </c>
    </row>
    <row r="1615" spans="1:1" x14ac:dyDescent="0.3">
      <c r="A1615" s="1">
        <v>100</v>
      </c>
    </row>
    <row r="1616" spans="1:1" x14ac:dyDescent="0.3">
      <c r="A1616" s="2">
        <v>100</v>
      </c>
    </row>
    <row r="1617" spans="1:1" x14ac:dyDescent="0.3">
      <c r="A1617" s="2">
        <v>100</v>
      </c>
    </row>
    <row r="1618" spans="1:1" x14ac:dyDescent="0.3">
      <c r="A1618" s="1">
        <v>100</v>
      </c>
    </row>
    <row r="1619" spans="1:1" x14ac:dyDescent="0.3">
      <c r="A1619" s="2">
        <v>100</v>
      </c>
    </row>
    <row r="1620" spans="1:1" x14ac:dyDescent="0.3">
      <c r="A1620" s="1">
        <v>100</v>
      </c>
    </row>
    <row r="1621" spans="1:1" x14ac:dyDescent="0.3">
      <c r="A1621" s="2">
        <v>100</v>
      </c>
    </row>
    <row r="1622" spans="1:1" x14ac:dyDescent="0.3">
      <c r="A1622" s="1">
        <v>100</v>
      </c>
    </row>
    <row r="1623" spans="1:1" x14ac:dyDescent="0.3">
      <c r="A1623" s="2">
        <v>100</v>
      </c>
    </row>
    <row r="1624" spans="1:1" x14ac:dyDescent="0.3">
      <c r="A1624" s="1">
        <v>100</v>
      </c>
    </row>
    <row r="1625" spans="1:1" x14ac:dyDescent="0.3">
      <c r="A1625" s="2">
        <v>100</v>
      </c>
    </row>
    <row r="1626" spans="1:1" x14ac:dyDescent="0.3">
      <c r="A1626" s="1">
        <v>100</v>
      </c>
    </row>
    <row r="1627" spans="1:1" x14ac:dyDescent="0.3">
      <c r="A1627" s="2">
        <v>100</v>
      </c>
    </row>
    <row r="1628" spans="1:1" x14ac:dyDescent="0.3">
      <c r="A1628" s="1">
        <v>100</v>
      </c>
    </row>
    <row r="1629" spans="1:1" x14ac:dyDescent="0.3">
      <c r="A1629" s="2">
        <v>100</v>
      </c>
    </row>
    <row r="1630" spans="1:1" x14ac:dyDescent="0.3">
      <c r="A1630" s="1">
        <v>100</v>
      </c>
    </row>
    <row r="1631" spans="1:1" x14ac:dyDescent="0.3">
      <c r="A1631" s="2">
        <v>100</v>
      </c>
    </row>
    <row r="1632" spans="1:1" x14ac:dyDescent="0.3">
      <c r="A1632" s="1">
        <v>100</v>
      </c>
    </row>
    <row r="1633" spans="1:1" x14ac:dyDescent="0.3">
      <c r="A1633" s="1">
        <v>100</v>
      </c>
    </row>
    <row r="1634" spans="1:1" x14ac:dyDescent="0.3">
      <c r="A1634" s="1">
        <v>100</v>
      </c>
    </row>
    <row r="1635" spans="1:1" x14ac:dyDescent="0.3">
      <c r="A1635" s="2">
        <v>100</v>
      </c>
    </row>
    <row r="1636" spans="1:1" x14ac:dyDescent="0.3">
      <c r="A1636" s="1">
        <v>100</v>
      </c>
    </row>
    <row r="1637" spans="1:1" x14ac:dyDescent="0.3">
      <c r="A1637" s="2">
        <v>100</v>
      </c>
    </row>
    <row r="1638" spans="1:1" x14ac:dyDescent="0.3">
      <c r="A1638" s="1">
        <v>100</v>
      </c>
    </row>
    <row r="1639" spans="1:1" x14ac:dyDescent="0.3">
      <c r="A1639" s="1">
        <v>100</v>
      </c>
    </row>
    <row r="1640" spans="1:1" x14ac:dyDescent="0.3">
      <c r="A1640" s="2">
        <v>100</v>
      </c>
    </row>
    <row r="1641" spans="1:1" x14ac:dyDescent="0.3">
      <c r="A1641" s="1">
        <v>100</v>
      </c>
    </row>
    <row r="1642" spans="1:1" x14ac:dyDescent="0.3">
      <c r="A1642" s="2">
        <v>100</v>
      </c>
    </row>
    <row r="1643" spans="1:1" x14ac:dyDescent="0.3">
      <c r="A1643" s="1">
        <v>100</v>
      </c>
    </row>
    <row r="1644" spans="1:1" x14ac:dyDescent="0.3">
      <c r="A1644" s="1">
        <v>100</v>
      </c>
    </row>
    <row r="1645" spans="1:1" x14ac:dyDescent="0.3">
      <c r="A1645" s="2">
        <v>100</v>
      </c>
    </row>
    <row r="1646" spans="1:1" x14ac:dyDescent="0.3">
      <c r="A1646" s="2">
        <v>100</v>
      </c>
    </row>
    <row r="1647" spans="1:1" x14ac:dyDescent="0.3">
      <c r="A1647" s="1">
        <v>100</v>
      </c>
    </row>
    <row r="1648" spans="1:1" x14ac:dyDescent="0.3">
      <c r="A1648" s="2">
        <v>100</v>
      </c>
    </row>
    <row r="1649" spans="1:1" x14ac:dyDescent="0.3">
      <c r="A1649" s="1">
        <v>100</v>
      </c>
    </row>
    <row r="1650" spans="1:1" x14ac:dyDescent="0.3">
      <c r="A1650" s="2">
        <v>100</v>
      </c>
    </row>
    <row r="1651" spans="1:1" x14ac:dyDescent="0.3">
      <c r="A1651" s="1">
        <v>100</v>
      </c>
    </row>
    <row r="1652" spans="1:1" x14ac:dyDescent="0.3">
      <c r="A1652" s="2">
        <v>100</v>
      </c>
    </row>
    <row r="1653" spans="1:1" x14ac:dyDescent="0.3">
      <c r="A1653" s="1">
        <v>100</v>
      </c>
    </row>
    <row r="1654" spans="1:1" x14ac:dyDescent="0.3">
      <c r="A1654" s="2">
        <v>100</v>
      </c>
    </row>
    <row r="1655" spans="1:1" x14ac:dyDescent="0.3">
      <c r="A1655" s="1">
        <v>100</v>
      </c>
    </row>
    <row r="1656" spans="1:1" x14ac:dyDescent="0.3">
      <c r="A1656" s="2">
        <v>100</v>
      </c>
    </row>
    <row r="1657" spans="1:1" x14ac:dyDescent="0.3">
      <c r="A1657" s="1">
        <v>100</v>
      </c>
    </row>
    <row r="1658" spans="1:1" x14ac:dyDescent="0.3">
      <c r="A1658" s="2">
        <v>100</v>
      </c>
    </row>
    <row r="1659" spans="1:1" x14ac:dyDescent="0.3">
      <c r="A1659" s="1">
        <v>100</v>
      </c>
    </row>
    <row r="1660" spans="1:1" x14ac:dyDescent="0.3">
      <c r="A1660" s="2">
        <v>100</v>
      </c>
    </row>
    <row r="1661" spans="1:1" x14ac:dyDescent="0.3">
      <c r="A1661" s="1">
        <v>100</v>
      </c>
    </row>
    <row r="1662" spans="1:1" x14ac:dyDescent="0.3">
      <c r="A1662" s="2">
        <v>100</v>
      </c>
    </row>
    <row r="1663" spans="1:1" x14ac:dyDescent="0.3">
      <c r="A1663" s="1">
        <v>100</v>
      </c>
    </row>
    <row r="1664" spans="1:1" x14ac:dyDescent="0.3">
      <c r="A1664" s="2">
        <v>100</v>
      </c>
    </row>
    <row r="1665" spans="1:1" x14ac:dyDescent="0.3">
      <c r="A1665" s="1">
        <v>100</v>
      </c>
    </row>
    <row r="1666" spans="1:1" x14ac:dyDescent="0.3">
      <c r="A1666" s="2">
        <v>100</v>
      </c>
    </row>
    <row r="1667" spans="1:1" x14ac:dyDescent="0.3">
      <c r="A1667" s="1">
        <v>100</v>
      </c>
    </row>
    <row r="1668" spans="1:1" x14ac:dyDescent="0.3">
      <c r="A1668" s="2">
        <v>100</v>
      </c>
    </row>
    <row r="1669" spans="1:1" x14ac:dyDescent="0.3">
      <c r="A1669" s="1">
        <v>100</v>
      </c>
    </row>
    <row r="1670" spans="1:1" x14ac:dyDescent="0.3">
      <c r="A1670" s="2">
        <v>100</v>
      </c>
    </row>
    <row r="1671" spans="1:1" x14ac:dyDescent="0.3">
      <c r="A1671" s="1">
        <v>100</v>
      </c>
    </row>
    <row r="1672" spans="1:1" x14ac:dyDescent="0.3">
      <c r="A1672" s="2">
        <v>100</v>
      </c>
    </row>
    <row r="1673" spans="1:1" x14ac:dyDescent="0.3">
      <c r="A1673" s="1">
        <v>100</v>
      </c>
    </row>
    <row r="1674" spans="1:1" x14ac:dyDescent="0.3">
      <c r="A1674" s="2">
        <v>100</v>
      </c>
    </row>
    <row r="1675" spans="1:1" x14ac:dyDescent="0.3">
      <c r="A1675" s="1">
        <v>100</v>
      </c>
    </row>
    <row r="1676" spans="1:1" x14ac:dyDescent="0.3">
      <c r="A1676" s="1">
        <v>100</v>
      </c>
    </row>
    <row r="1677" spans="1:1" x14ac:dyDescent="0.3">
      <c r="A1677" s="2">
        <v>100</v>
      </c>
    </row>
    <row r="1678" spans="1:1" x14ac:dyDescent="0.3">
      <c r="A1678" s="1">
        <v>100</v>
      </c>
    </row>
    <row r="1679" spans="1:1" x14ac:dyDescent="0.3">
      <c r="A1679" s="2">
        <v>100</v>
      </c>
    </row>
    <row r="1680" spans="1:1" x14ac:dyDescent="0.3">
      <c r="A1680" s="1">
        <v>100</v>
      </c>
    </row>
    <row r="1681" spans="1:1" x14ac:dyDescent="0.3">
      <c r="A1681" s="1">
        <v>100</v>
      </c>
    </row>
    <row r="1682" spans="1:1" x14ac:dyDescent="0.3">
      <c r="A1682" s="2">
        <v>100</v>
      </c>
    </row>
    <row r="1683" spans="1:1" x14ac:dyDescent="0.3">
      <c r="A1683" s="1">
        <v>100</v>
      </c>
    </row>
    <row r="1684" spans="1:1" x14ac:dyDescent="0.3">
      <c r="A1684" s="2">
        <v>100</v>
      </c>
    </row>
    <row r="1685" spans="1:1" x14ac:dyDescent="0.3">
      <c r="A1685" s="1">
        <v>100</v>
      </c>
    </row>
    <row r="1686" spans="1:1" x14ac:dyDescent="0.3">
      <c r="A1686" s="1">
        <v>100</v>
      </c>
    </row>
    <row r="1687" spans="1:1" x14ac:dyDescent="0.3">
      <c r="A1687" s="2">
        <v>100</v>
      </c>
    </row>
    <row r="1688" spans="1:1" x14ac:dyDescent="0.3">
      <c r="A1688" s="1">
        <v>100</v>
      </c>
    </row>
    <row r="1689" spans="1:1" x14ac:dyDescent="0.3">
      <c r="A1689" s="1">
        <v>100</v>
      </c>
    </row>
    <row r="1690" spans="1:1" x14ac:dyDescent="0.3">
      <c r="A1690" s="2">
        <v>100</v>
      </c>
    </row>
    <row r="1691" spans="1:1" x14ac:dyDescent="0.3">
      <c r="A1691" s="1">
        <v>100</v>
      </c>
    </row>
    <row r="1692" spans="1:1" x14ac:dyDescent="0.3">
      <c r="A1692" s="2">
        <v>100</v>
      </c>
    </row>
    <row r="1693" spans="1:1" x14ac:dyDescent="0.3">
      <c r="A1693" s="1">
        <v>100</v>
      </c>
    </row>
    <row r="1694" spans="1:1" x14ac:dyDescent="0.3">
      <c r="A1694" s="1">
        <v>100</v>
      </c>
    </row>
    <row r="1695" spans="1:1" x14ac:dyDescent="0.3">
      <c r="A1695" s="2">
        <v>100</v>
      </c>
    </row>
    <row r="1696" spans="1:1" x14ac:dyDescent="0.3">
      <c r="A1696" s="2">
        <v>100</v>
      </c>
    </row>
    <row r="1697" spans="1:1" x14ac:dyDescent="0.3">
      <c r="A1697" s="1">
        <v>100</v>
      </c>
    </row>
    <row r="1698" spans="1:1" x14ac:dyDescent="0.3">
      <c r="A1698" s="2">
        <v>100</v>
      </c>
    </row>
    <row r="1699" spans="1:1" x14ac:dyDescent="0.3">
      <c r="A1699" s="1">
        <v>100</v>
      </c>
    </row>
    <row r="1700" spans="1:1" x14ac:dyDescent="0.3">
      <c r="A1700" s="2">
        <v>100</v>
      </c>
    </row>
    <row r="1701" spans="1:1" x14ac:dyDescent="0.3">
      <c r="A1701" s="1">
        <v>100</v>
      </c>
    </row>
    <row r="1702" spans="1:1" x14ac:dyDescent="0.3">
      <c r="A1702" s="2">
        <v>100</v>
      </c>
    </row>
    <row r="1703" spans="1:1" x14ac:dyDescent="0.3">
      <c r="A1703" s="1">
        <v>100</v>
      </c>
    </row>
    <row r="1704" spans="1:1" x14ac:dyDescent="0.3">
      <c r="A1704" s="1">
        <v>100</v>
      </c>
    </row>
    <row r="1705" spans="1:1" x14ac:dyDescent="0.3">
      <c r="A1705" s="2">
        <v>100</v>
      </c>
    </row>
    <row r="1706" spans="1:1" x14ac:dyDescent="0.3">
      <c r="A1706" s="1">
        <v>100</v>
      </c>
    </row>
    <row r="1707" spans="1:1" x14ac:dyDescent="0.3">
      <c r="A1707" s="1">
        <v>100</v>
      </c>
    </row>
    <row r="1708" spans="1:1" x14ac:dyDescent="0.3">
      <c r="A1708" s="2">
        <v>100</v>
      </c>
    </row>
    <row r="1709" spans="1:1" x14ac:dyDescent="0.3">
      <c r="A1709" s="1">
        <v>100</v>
      </c>
    </row>
    <row r="1710" spans="1:1" x14ac:dyDescent="0.3">
      <c r="A1710" s="1">
        <v>100</v>
      </c>
    </row>
    <row r="1711" spans="1:1" x14ac:dyDescent="0.3">
      <c r="A1711" s="1">
        <v>100</v>
      </c>
    </row>
    <row r="1712" spans="1:1" x14ac:dyDescent="0.3">
      <c r="A1712" s="1">
        <v>100</v>
      </c>
    </row>
    <row r="1713" spans="1:1" x14ac:dyDescent="0.3">
      <c r="A1713" s="1">
        <v>100</v>
      </c>
    </row>
    <row r="1714" spans="1:1" x14ac:dyDescent="0.3">
      <c r="A1714" s="1">
        <v>100</v>
      </c>
    </row>
    <row r="1715" spans="1:1" x14ac:dyDescent="0.3">
      <c r="A1715" s="2">
        <v>100</v>
      </c>
    </row>
    <row r="1716" spans="1:1" x14ac:dyDescent="0.3">
      <c r="A1716" s="1">
        <v>100</v>
      </c>
    </row>
    <row r="1717" spans="1:1" x14ac:dyDescent="0.3">
      <c r="A1717" s="2">
        <v>100</v>
      </c>
    </row>
    <row r="1718" spans="1:1" x14ac:dyDescent="0.3">
      <c r="A1718" s="1">
        <v>100</v>
      </c>
    </row>
    <row r="1719" spans="1:1" x14ac:dyDescent="0.3">
      <c r="A1719" s="2">
        <v>100</v>
      </c>
    </row>
    <row r="1720" spans="1:1" x14ac:dyDescent="0.3">
      <c r="A1720" s="1">
        <v>100</v>
      </c>
    </row>
    <row r="1721" spans="1:1" x14ac:dyDescent="0.3">
      <c r="A1721" s="2">
        <v>100</v>
      </c>
    </row>
    <row r="1722" spans="1:1" x14ac:dyDescent="0.3">
      <c r="A1722" s="1">
        <v>100</v>
      </c>
    </row>
    <row r="1723" spans="1:1" x14ac:dyDescent="0.3">
      <c r="A1723" s="2">
        <v>100</v>
      </c>
    </row>
    <row r="1724" spans="1:1" x14ac:dyDescent="0.3">
      <c r="A1724" s="1">
        <v>100</v>
      </c>
    </row>
    <row r="1725" spans="1:1" x14ac:dyDescent="0.3">
      <c r="A1725" s="1">
        <v>100</v>
      </c>
    </row>
    <row r="1726" spans="1:1" x14ac:dyDescent="0.3">
      <c r="A1726" s="2">
        <v>100</v>
      </c>
    </row>
    <row r="1727" spans="1:1" x14ac:dyDescent="0.3">
      <c r="A1727" s="1">
        <v>100</v>
      </c>
    </row>
    <row r="1728" spans="1:1" x14ac:dyDescent="0.3">
      <c r="A1728" s="2">
        <v>100</v>
      </c>
    </row>
    <row r="1729" spans="1:1" x14ac:dyDescent="0.3">
      <c r="A1729" s="1">
        <v>100</v>
      </c>
    </row>
    <row r="1730" spans="1:1" x14ac:dyDescent="0.3">
      <c r="A1730" s="2">
        <v>100</v>
      </c>
    </row>
    <row r="1731" spans="1:1" x14ac:dyDescent="0.3">
      <c r="A1731" s="1">
        <v>100</v>
      </c>
    </row>
    <row r="1732" spans="1:1" x14ac:dyDescent="0.3">
      <c r="A1732" s="2">
        <v>100</v>
      </c>
    </row>
    <row r="1733" spans="1:1" x14ac:dyDescent="0.3">
      <c r="A1733" s="2">
        <v>100</v>
      </c>
    </row>
    <row r="1734" spans="1:1" x14ac:dyDescent="0.3">
      <c r="A1734" s="1">
        <v>98</v>
      </c>
    </row>
    <row r="1735" spans="1:1" x14ac:dyDescent="0.3">
      <c r="A1735" s="1">
        <v>98</v>
      </c>
    </row>
    <row r="1736" spans="1:1" x14ac:dyDescent="0.3">
      <c r="A1736" s="2">
        <v>98</v>
      </c>
    </row>
    <row r="1737" spans="1:1" x14ac:dyDescent="0.3">
      <c r="A1737" s="2">
        <v>98</v>
      </c>
    </row>
    <row r="1738" spans="1:1" x14ac:dyDescent="0.3">
      <c r="A1738" s="1">
        <v>98</v>
      </c>
    </row>
    <row r="1739" spans="1:1" x14ac:dyDescent="0.3">
      <c r="A1739" s="1">
        <v>97</v>
      </c>
    </row>
    <row r="1740" spans="1:1" x14ac:dyDescent="0.3">
      <c r="A1740" s="1">
        <v>96</v>
      </c>
    </row>
    <row r="1741" spans="1:1" x14ac:dyDescent="0.3">
      <c r="A1741" s="1">
        <v>96</v>
      </c>
    </row>
    <row r="1742" spans="1:1" x14ac:dyDescent="0.3">
      <c r="A1742" s="2">
        <v>96</v>
      </c>
    </row>
    <row r="1743" spans="1:1" x14ac:dyDescent="0.3">
      <c r="A1743" s="1">
        <v>96</v>
      </c>
    </row>
    <row r="1744" spans="1:1" x14ac:dyDescent="0.3">
      <c r="A1744" s="1">
        <v>95</v>
      </c>
    </row>
    <row r="1745" spans="1:1" x14ac:dyDescent="0.3">
      <c r="A1745" s="2">
        <v>95</v>
      </c>
    </row>
    <row r="1746" spans="1:1" x14ac:dyDescent="0.3">
      <c r="A1746" s="1">
        <v>95</v>
      </c>
    </row>
    <row r="1747" spans="1:1" x14ac:dyDescent="0.3">
      <c r="A1747" s="1">
        <v>95</v>
      </c>
    </row>
    <row r="1748" spans="1:1" x14ac:dyDescent="0.3">
      <c r="A1748" s="1">
        <v>95</v>
      </c>
    </row>
    <row r="1749" spans="1:1" x14ac:dyDescent="0.3">
      <c r="A1749" s="2">
        <v>95</v>
      </c>
    </row>
    <row r="1750" spans="1:1" x14ac:dyDescent="0.3">
      <c r="A1750" s="1">
        <v>95</v>
      </c>
    </row>
    <row r="1751" spans="1:1" x14ac:dyDescent="0.3">
      <c r="A1751" s="1">
        <v>95</v>
      </c>
    </row>
    <row r="1752" spans="1:1" x14ac:dyDescent="0.3">
      <c r="A1752" s="2">
        <v>95</v>
      </c>
    </row>
    <row r="1753" spans="1:1" x14ac:dyDescent="0.3">
      <c r="A1753" s="1">
        <v>95</v>
      </c>
    </row>
    <row r="1754" spans="1:1" x14ac:dyDescent="0.3">
      <c r="A1754" s="2">
        <v>95</v>
      </c>
    </row>
    <row r="1755" spans="1:1" x14ac:dyDescent="0.3">
      <c r="A1755" s="2">
        <v>95</v>
      </c>
    </row>
    <row r="1756" spans="1:1" x14ac:dyDescent="0.3">
      <c r="A1756" s="1">
        <v>95</v>
      </c>
    </row>
    <row r="1757" spans="1:1" x14ac:dyDescent="0.3">
      <c r="A1757" s="2">
        <v>95</v>
      </c>
    </row>
    <row r="1758" spans="1:1" x14ac:dyDescent="0.3">
      <c r="A1758" s="2">
        <v>95</v>
      </c>
    </row>
    <row r="1759" spans="1:1" x14ac:dyDescent="0.3">
      <c r="A1759" s="2">
        <v>95</v>
      </c>
    </row>
    <row r="1760" spans="1:1" x14ac:dyDescent="0.3">
      <c r="A1760" s="1">
        <v>95</v>
      </c>
    </row>
    <row r="1761" spans="1:1" x14ac:dyDescent="0.3">
      <c r="A1761" s="2">
        <v>95</v>
      </c>
    </row>
    <row r="1762" spans="1:1" x14ac:dyDescent="0.3">
      <c r="A1762" s="1">
        <v>95</v>
      </c>
    </row>
    <row r="1763" spans="1:1" x14ac:dyDescent="0.3">
      <c r="A1763" s="2">
        <v>95</v>
      </c>
    </row>
    <row r="1764" spans="1:1" x14ac:dyDescent="0.3">
      <c r="A1764" s="1">
        <v>95</v>
      </c>
    </row>
    <row r="1765" spans="1:1" x14ac:dyDescent="0.3">
      <c r="A1765" s="1">
        <v>95</v>
      </c>
    </row>
    <row r="1766" spans="1:1" x14ac:dyDescent="0.3">
      <c r="A1766" s="2">
        <v>95</v>
      </c>
    </row>
    <row r="1767" spans="1:1" x14ac:dyDescent="0.3">
      <c r="A1767" s="2">
        <v>95</v>
      </c>
    </row>
    <row r="1768" spans="1:1" x14ac:dyDescent="0.3">
      <c r="A1768" s="1">
        <v>95</v>
      </c>
    </row>
    <row r="1769" spans="1:1" x14ac:dyDescent="0.3">
      <c r="A1769" s="2">
        <v>95</v>
      </c>
    </row>
    <row r="1770" spans="1:1" x14ac:dyDescent="0.3">
      <c r="A1770" s="2">
        <v>95</v>
      </c>
    </row>
    <row r="1771" spans="1:1" x14ac:dyDescent="0.3">
      <c r="A1771" s="2">
        <v>95</v>
      </c>
    </row>
    <row r="1772" spans="1:1" x14ac:dyDescent="0.3">
      <c r="A1772" s="1">
        <v>95</v>
      </c>
    </row>
    <row r="1773" spans="1:1" x14ac:dyDescent="0.3">
      <c r="A1773" s="2">
        <v>95</v>
      </c>
    </row>
    <row r="1774" spans="1:1" x14ac:dyDescent="0.3">
      <c r="A1774" s="1">
        <v>95</v>
      </c>
    </row>
    <row r="1775" spans="1:1" x14ac:dyDescent="0.3">
      <c r="A1775" s="1">
        <v>94</v>
      </c>
    </row>
    <row r="1776" spans="1:1" x14ac:dyDescent="0.3">
      <c r="A1776" s="2">
        <v>94</v>
      </c>
    </row>
    <row r="1777" spans="1:1" x14ac:dyDescent="0.3">
      <c r="A1777" s="1">
        <v>94</v>
      </c>
    </row>
    <row r="1778" spans="1:1" x14ac:dyDescent="0.3">
      <c r="A1778" s="2">
        <v>93</v>
      </c>
    </row>
    <row r="1779" spans="1:1" x14ac:dyDescent="0.3">
      <c r="A1779" s="2">
        <v>93</v>
      </c>
    </row>
    <row r="1780" spans="1:1" x14ac:dyDescent="0.3">
      <c r="A1780" s="2">
        <v>93</v>
      </c>
    </row>
    <row r="1781" spans="1:1" x14ac:dyDescent="0.3">
      <c r="A1781" s="1">
        <v>93</v>
      </c>
    </row>
    <row r="1782" spans="1:1" x14ac:dyDescent="0.3">
      <c r="A1782" s="1">
        <v>92</v>
      </c>
    </row>
    <row r="1783" spans="1:1" x14ac:dyDescent="0.3">
      <c r="A1783" s="2">
        <v>92</v>
      </c>
    </row>
    <row r="1784" spans="1:1" x14ac:dyDescent="0.3">
      <c r="A1784" s="1">
        <v>92</v>
      </c>
    </row>
    <row r="1785" spans="1:1" x14ac:dyDescent="0.3">
      <c r="A1785" s="2">
        <v>92</v>
      </c>
    </row>
    <row r="1786" spans="1:1" x14ac:dyDescent="0.3">
      <c r="A1786" s="2">
        <v>91</v>
      </c>
    </row>
    <row r="1787" spans="1:1" x14ac:dyDescent="0.3">
      <c r="A1787" s="1">
        <v>91</v>
      </c>
    </row>
    <row r="1788" spans="1:1" x14ac:dyDescent="0.3">
      <c r="A1788" s="2">
        <v>90</v>
      </c>
    </row>
    <row r="1789" spans="1:1" x14ac:dyDescent="0.3">
      <c r="A1789" s="2">
        <v>90</v>
      </c>
    </row>
    <row r="1790" spans="1:1" x14ac:dyDescent="0.3">
      <c r="A1790" s="1">
        <v>90</v>
      </c>
    </row>
    <row r="1791" spans="1:1" x14ac:dyDescent="0.3">
      <c r="A1791" s="2">
        <v>90</v>
      </c>
    </row>
    <row r="1792" spans="1:1" x14ac:dyDescent="0.3">
      <c r="A1792" s="1">
        <v>90</v>
      </c>
    </row>
    <row r="1793" spans="1:1" x14ac:dyDescent="0.3">
      <c r="A1793" s="2">
        <v>90</v>
      </c>
    </row>
    <row r="1794" spans="1:1" x14ac:dyDescent="0.3">
      <c r="A1794" s="1">
        <v>90</v>
      </c>
    </row>
    <row r="1795" spans="1:1" x14ac:dyDescent="0.3">
      <c r="A1795" s="2">
        <v>90</v>
      </c>
    </row>
    <row r="1796" spans="1:1" x14ac:dyDescent="0.3">
      <c r="A1796" s="2">
        <v>90</v>
      </c>
    </row>
    <row r="1797" spans="1:1" x14ac:dyDescent="0.3">
      <c r="A1797" s="2">
        <v>90</v>
      </c>
    </row>
    <row r="1798" spans="1:1" x14ac:dyDescent="0.3">
      <c r="A1798" s="2">
        <v>90</v>
      </c>
    </row>
    <row r="1799" spans="1:1" x14ac:dyDescent="0.3">
      <c r="A1799" s="2">
        <v>90</v>
      </c>
    </row>
    <row r="1800" spans="1:1" x14ac:dyDescent="0.3">
      <c r="A1800" s="1">
        <v>90</v>
      </c>
    </row>
    <row r="1801" spans="1:1" x14ac:dyDescent="0.3">
      <c r="A1801" s="1">
        <v>90</v>
      </c>
    </row>
    <row r="1802" spans="1:1" x14ac:dyDescent="0.3">
      <c r="A1802" s="2">
        <v>90</v>
      </c>
    </row>
    <row r="1803" spans="1:1" x14ac:dyDescent="0.3">
      <c r="A1803" s="2">
        <v>90</v>
      </c>
    </row>
    <row r="1804" spans="1:1" x14ac:dyDescent="0.3">
      <c r="A1804" s="1">
        <v>90</v>
      </c>
    </row>
    <row r="1805" spans="1:1" x14ac:dyDescent="0.3">
      <c r="A1805" s="2">
        <v>90</v>
      </c>
    </row>
    <row r="1806" spans="1:1" x14ac:dyDescent="0.3">
      <c r="A1806" s="1">
        <v>90</v>
      </c>
    </row>
    <row r="1807" spans="1:1" x14ac:dyDescent="0.3">
      <c r="A1807" s="2">
        <v>90</v>
      </c>
    </row>
    <row r="1808" spans="1:1" x14ac:dyDescent="0.3">
      <c r="A1808" s="1">
        <v>90</v>
      </c>
    </row>
    <row r="1809" spans="1:1" x14ac:dyDescent="0.3">
      <c r="A1809" s="2">
        <v>90</v>
      </c>
    </row>
    <row r="1810" spans="1:1" x14ac:dyDescent="0.3">
      <c r="A1810" s="1">
        <v>90</v>
      </c>
    </row>
    <row r="1811" spans="1:1" x14ac:dyDescent="0.3">
      <c r="A1811" s="2">
        <v>90</v>
      </c>
    </row>
    <row r="1812" spans="1:1" x14ac:dyDescent="0.3">
      <c r="A1812" s="1">
        <v>90</v>
      </c>
    </row>
    <row r="1813" spans="1:1" x14ac:dyDescent="0.3">
      <c r="A1813" s="1">
        <v>90</v>
      </c>
    </row>
    <row r="1814" spans="1:1" x14ac:dyDescent="0.3">
      <c r="A1814" s="2">
        <v>90</v>
      </c>
    </row>
    <row r="1815" spans="1:1" x14ac:dyDescent="0.3">
      <c r="A1815" s="2">
        <v>90</v>
      </c>
    </row>
    <row r="1816" spans="1:1" x14ac:dyDescent="0.3">
      <c r="A1816" s="1">
        <v>90</v>
      </c>
    </row>
    <row r="1817" spans="1:1" x14ac:dyDescent="0.3">
      <c r="A1817" s="2">
        <v>90</v>
      </c>
    </row>
    <row r="1818" spans="1:1" x14ac:dyDescent="0.3">
      <c r="A1818" s="2">
        <v>90</v>
      </c>
    </row>
    <row r="1819" spans="1:1" x14ac:dyDescent="0.3">
      <c r="A1819" s="1">
        <v>90</v>
      </c>
    </row>
    <row r="1820" spans="1:1" x14ac:dyDescent="0.3">
      <c r="A1820" s="1">
        <v>90</v>
      </c>
    </row>
    <row r="1821" spans="1:1" x14ac:dyDescent="0.3">
      <c r="A1821" s="2">
        <v>90</v>
      </c>
    </row>
    <row r="1822" spans="1:1" x14ac:dyDescent="0.3">
      <c r="A1822" s="1">
        <v>90</v>
      </c>
    </row>
    <row r="1823" spans="1:1" x14ac:dyDescent="0.3">
      <c r="A1823" s="2">
        <v>90</v>
      </c>
    </row>
    <row r="1824" spans="1:1" x14ac:dyDescent="0.3">
      <c r="A1824" s="2">
        <v>90</v>
      </c>
    </row>
    <row r="1825" spans="1:1" x14ac:dyDescent="0.3">
      <c r="A1825" s="2">
        <v>90</v>
      </c>
    </row>
    <row r="1826" spans="1:1" x14ac:dyDescent="0.3">
      <c r="A1826" s="2">
        <v>90</v>
      </c>
    </row>
    <row r="1827" spans="1:1" x14ac:dyDescent="0.3">
      <c r="A1827" s="1">
        <v>90</v>
      </c>
    </row>
    <row r="1828" spans="1:1" x14ac:dyDescent="0.3">
      <c r="A1828" s="2">
        <v>90</v>
      </c>
    </row>
    <row r="1829" spans="1:1" x14ac:dyDescent="0.3">
      <c r="A1829" s="1">
        <v>90</v>
      </c>
    </row>
    <row r="1830" spans="1:1" x14ac:dyDescent="0.3">
      <c r="A1830" s="1">
        <v>90</v>
      </c>
    </row>
    <row r="1831" spans="1:1" x14ac:dyDescent="0.3">
      <c r="A1831" s="2">
        <v>90</v>
      </c>
    </row>
    <row r="1832" spans="1:1" x14ac:dyDescent="0.3">
      <c r="A1832" s="1">
        <v>90</v>
      </c>
    </row>
    <row r="1833" spans="1:1" x14ac:dyDescent="0.3">
      <c r="A1833" s="1">
        <v>90</v>
      </c>
    </row>
    <row r="1834" spans="1:1" x14ac:dyDescent="0.3">
      <c r="A1834" s="1">
        <v>90</v>
      </c>
    </row>
    <row r="1835" spans="1:1" x14ac:dyDescent="0.3">
      <c r="A1835" s="2">
        <v>90</v>
      </c>
    </row>
    <row r="1836" spans="1:1" x14ac:dyDescent="0.3">
      <c r="A1836" s="1">
        <v>90</v>
      </c>
    </row>
    <row r="1837" spans="1:1" x14ac:dyDescent="0.3">
      <c r="A1837" s="2">
        <v>90</v>
      </c>
    </row>
    <row r="1838" spans="1:1" x14ac:dyDescent="0.3">
      <c r="A1838" s="1">
        <v>90</v>
      </c>
    </row>
    <row r="1839" spans="1:1" x14ac:dyDescent="0.3">
      <c r="A1839" s="2">
        <v>90</v>
      </c>
    </row>
    <row r="1840" spans="1:1" x14ac:dyDescent="0.3">
      <c r="A1840" s="1">
        <v>90</v>
      </c>
    </row>
    <row r="1841" spans="1:1" x14ac:dyDescent="0.3">
      <c r="A1841" s="1">
        <v>90</v>
      </c>
    </row>
    <row r="1842" spans="1:1" x14ac:dyDescent="0.3">
      <c r="A1842" s="2">
        <v>90</v>
      </c>
    </row>
    <row r="1843" spans="1:1" x14ac:dyDescent="0.3">
      <c r="A1843" s="1">
        <v>90</v>
      </c>
    </row>
    <row r="1844" spans="1:1" x14ac:dyDescent="0.3">
      <c r="A1844" s="2">
        <v>90</v>
      </c>
    </row>
    <row r="1845" spans="1:1" x14ac:dyDescent="0.3">
      <c r="A1845" s="2">
        <v>90</v>
      </c>
    </row>
    <row r="1846" spans="1:1" x14ac:dyDescent="0.3">
      <c r="A1846" s="2">
        <v>90</v>
      </c>
    </row>
    <row r="1847" spans="1:1" x14ac:dyDescent="0.3">
      <c r="A1847" s="2">
        <v>90</v>
      </c>
    </row>
    <row r="1848" spans="1:1" x14ac:dyDescent="0.3">
      <c r="A1848" s="2">
        <v>90</v>
      </c>
    </row>
    <row r="1849" spans="1:1" x14ac:dyDescent="0.3">
      <c r="A1849" s="1">
        <v>90</v>
      </c>
    </row>
    <row r="1850" spans="1:1" x14ac:dyDescent="0.3">
      <c r="A1850" s="1">
        <v>90</v>
      </c>
    </row>
    <row r="1851" spans="1:1" x14ac:dyDescent="0.3">
      <c r="A1851" s="2">
        <v>90</v>
      </c>
    </row>
    <row r="1852" spans="1:1" x14ac:dyDescent="0.3">
      <c r="A1852" s="1">
        <v>90</v>
      </c>
    </row>
    <row r="1853" spans="1:1" x14ac:dyDescent="0.3">
      <c r="A1853" s="1">
        <v>90</v>
      </c>
    </row>
    <row r="1854" spans="1:1" x14ac:dyDescent="0.3">
      <c r="A1854" s="2">
        <v>90</v>
      </c>
    </row>
    <row r="1855" spans="1:1" x14ac:dyDescent="0.3">
      <c r="A1855" s="2">
        <v>90</v>
      </c>
    </row>
    <row r="1856" spans="1:1" x14ac:dyDescent="0.3">
      <c r="A1856" s="2">
        <v>90</v>
      </c>
    </row>
    <row r="1857" spans="1:1" x14ac:dyDescent="0.3">
      <c r="A1857" s="2">
        <v>90</v>
      </c>
    </row>
    <row r="1858" spans="1:1" x14ac:dyDescent="0.3">
      <c r="A1858" s="2">
        <v>90</v>
      </c>
    </row>
    <row r="1859" spans="1:1" x14ac:dyDescent="0.3">
      <c r="A1859" s="2">
        <v>90</v>
      </c>
    </row>
    <row r="1860" spans="1:1" x14ac:dyDescent="0.3">
      <c r="A1860" s="1">
        <v>90</v>
      </c>
    </row>
    <row r="1861" spans="1:1" x14ac:dyDescent="0.3">
      <c r="A1861" s="1">
        <v>90</v>
      </c>
    </row>
    <row r="1862" spans="1:1" x14ac:dyDescent="0.3">
      <c r="A1862" s="1">
        <v>90</v>
      </c>
    </row>
    <row r="1863" spans="1:1" x14ac:dyDescent="0.3">
      <c r="A1863" s="1">
        <v>90</v>
      </c>
    </row>
    <row r="1864" spans="1:1" x14ac:dyDescent="0.3">
      <c r="A1864" s="1">
        <v>90</v>
      </c>
    </row>
    <row r="1865" spans="1:1" x14ac:dyDescent="0.3">
      <c r="A1865" s="2">
        <v>90</v>
      </c>
    </row>
    <row r="1866" spans="1:1" x14ac:dyDescent="0.3">
      <c r="A1866" s="2">
        <v>90</v>
      </c>
    </row>
    <row r="1867" spans="1:1" x14ac:dyDescent="0.3">
      <c r="A1867" s="1">
        <v>90</v>
      </c>
    </row>
    <row r="1868" spans="1:1" x14ac:dyDescent="0.3">
      <c r="A1868" s="1">
        <v>90</v>
      </c>
    </row>
    <row r="1869" spans="1:1" x14ac:dyDescent="0.3">
      <c r="A1869" s="1">
        <v>90</v>
      </c>
    </row>
    <row r="1870" spans="1:1" x14ac:dyDescent="0.3">
      <c r="A1870" s="1">
        <v>90</v>
      </c>
    </row>
    <row r="1871" spans="1:1" x14ac:dyDescent="0.3">
      <c r="A1871" s="1">
        <v>90</v>
      </c>
    </row>
    <row r="1872" spans="1:1" x14ac:dyDescent="0.3">
      <c r="A1872" s="1">
        <v>90</v>
      </c>
    </row>
    <row r="1873" spans="1:1" x14ac:dyDescent="0.3">
      <c r="A1873" s="1">
        <v>90</v>
      </c>
    </row>
    <row r="1874" spans="1:1" x14ac:dyDescent="0.3">
      <c r="A1874" s="2">
        <v>89</v>
      </c>
    </row>
    <row r="1875" spans="1:1" x14ac:dyDescent="0.3">
      <c r="A1875" s="2">
        <v>88</v>
      </c>
    </row>
    <row r="1876" spans="1:1" x14ac:dyDescent="0.3">
      <c r="A1876" s="2">
        <v>87</v>
      </c>
    </row>
    <row r="1877" spans="1:1" x14ac:dyDescent="0.3">
      <c r="A1877" s="1">
        <v>87</v>
      </c>
    </row>
    <row r="1878" spans="1:1" x14ac:dyDescent="0.3">
      <c r="A1878" s="2">
        <v>86</v>
      </c>
    </row>
    <row r="1879" spans="1:1" x14ac:dyDescent="0.3">
      <c r="A1879" s="2">
        <v>86</v>
      </c>
    </row>
    <row r="1880" spans="1:1" x14ac:dyDescent="0.3">
      <c r="A1880" s="1">
        <v>86</v>
      </c>
    </row>
    <row r="1881" spans="1:1" x14ac:dyDescent="0.3">
      <c r="A1881" s="1">
        <v>86</v>
      </c>
    </row>
    <row r="1882" spans="1:1" x14ac:dyDescent="0.3">
      <c r="A1882" s="2">
        <v>86</v>
      </c>
    </row>
    <row r="1883" spans="1:1" x14ac:dyDescent="0.3">
      <c r="A1883" s="1">
        <v>86</v>
      </c>
    </row>
    <row r="1884" spans="1:1" x14ac:dyDescent="0.3">
      <c r="A1884" s="1">
        <v>86</v>
      </c>
    </row>
    <row r="1885" spans="1:1" x14ac:dyDescent="0.3">
      <c r="A1885" s="1">
        <v>86</v>
      </c>
    </row>
    <row r="1886" spans="1:1" x14ac:dyDescent="0.3">
      <c r="A1886" s="1">
        <v>86</v>
      </c>
    </row>
    <row r="1887" spans="1:1" x14ac:dyDescent="0.3">
      <c r="A1887" s="1">
        <v>86</v>
      </c>
    </row>
    <row r="1888" spans="1:1" x14ac:dyDescent="0.3">
      <c r="A1888" s="2">
        <v>86</v>
      </c>
    </row>
    <row r="1889" spans="1:1" x14ac:dyDescent="0.3">
      <c r="A1889" s="1">
        <v>85</v>
      </c>
    </row>
    <row r="1890" spans="1:1" x14ac:dyDescent="0.3">
      <c r="A1890" s="2">
        <v>85</v>
      </c>
    </row>
    <row r="1891" spans="1:1" x14ac:dyDescent="0.3">
      <c r="A1891" s="1">
        <v>85</v>
      </c>
    </row>
    <row r="1892" spans="1:1" x14ac:dyDescent="0.3">
      <c r="A1892" s="2">
        <v>85</v>
      </c>
    </row>
    <row r="1893" spans="1:1" x14ac:dyDescent="0.3">
      <c r="A1893" s="2">
        <v>85</v>
      </c>
    </row>
    <row r="1894" spans="1:1" x14ac:dyDescent="0.3">
      <c r="A1894" s="2">
        <v>85</v>
      </c>
    </row>
    <row r="1895" spans="1:1" x14ac:dyDescent="0.3">
      <c r="A1895" s="1">
        <v>85</v>
      </c>
    </row>
    <row r="1896" spans="1:1" x14ac:dyDescent="0.3">
      <c r="A1896" s="1">
        <v>85</v>
      </c>
    </row>
    <row r="1897" spans="1:1" x14ac:dyDescent="0.3">
      <c r="A1897" s="1">
        <v>85</v>
      </c>
    </row>
    <row r="1898" spans="1:1" x14ac:dyDescent="0.3">
      <c r="A1898" s="1">
        <v>85</v>
      </c>
    </row>
    <row r="1899" spans="1:1" x14ac:dyDescent="0.3">
      <c r="A1899" s="1">
        <v>85</v>
      </c>
    </row>
    <row r="1900" spans="1:1" x14ac:dyDescent="0.3">
      <c r="A1900" s="1">
        <v>85</v>
      </c>
    </row>
    <row r="1901" spans="1:1" x14ac:dyDescent="0.3">
      <c r="A1901" s="1">
        <v>85</v>
      </c>
    </row>
    <row r="1902" spans="1:1" x14ac:dyDescent="0.3">
      <c r="A1902" s="2">
        <v>85</v>
      </c>
    </row>
    <row r="1903" spans="1:1" x14ac:dyDescent="0.3">
      <c r="A1903" s="2">
        <v>85</v>
      </c>
    </row>
    <row r="1904" spans="1:1" x14ac:dyDescent="0.3">
      <c r="A1904" s="2">
        <v>85</v>
      </c>
    </row>
    <row r="1905" spans="1:1" x14ac:dyDescent="0.3">
      <c r="A1905" s="2">
        <v>85</v>
      </c>
    </row>
    <row r="1906" spans="1:1" x14ac:dyDescent="0.3">
      <c r="A1906" s="2">
        <v>85</v>
      </c>
    </row>
    <row r="1907" spans="1:1" x14ac:dyDescent="0.3">
      <c r="A1907" s="2">
        <v>85</v>
      </c>
    </row>
    <row r="1908" spans="1:1" x14ac:dyDescent="0.3">
      <c r="A1908" s="2">
        <v>85</v>
      </c>
    </row>
    <row r="1909" spans="1:1" x14ac:dyDescent="0.3">
      <c r="A1909" s="1">
        <v>85</v>
      </c>
    </row>
    <row r="1910" spans="1:1" x14ac:dyDescent="0.3">
      <c r="A1910" s="2">
        <v>85</v>
      </c>
    </row>
    <row r="1911" spans="1:1" x14ac:dyDescent="0.3">
      <c r="A1911" s="2">
        <v>85</v>
      </c>
    </row>
    <row r="1912" spans="1:1" x14ac:dyDescent="0.3">
      <c r="A1912" s="1">
        <v>85</v>
      </c>
    </row>
    <row r="1913" spans="1:1" x14ac:dyDescent="0.3">
      <c r="A1913" s="2">
        <v>83</v>
      </c>
    </row>
    <row r="1914" spans="1:1" x14ac:dyDescent="0.3">
      <c r="A1914" s="2">
        <v>83</v>
      </c>
    </row>
    <row r="1915" spans="1:1" x14ac:dyDescent="0.3">
      <c r="A1915" s="1">
        <v>81</v>
      </c>
    </row>
    <row r="1916" spans="1:1" x14ac:dyDescent="0.3">
      <c r="A1916" s="1">
        <v>80</v>
      </c>
    </row>
    <row r="1917" spans="1:1" x14ac:dyDescent="0.3">
      <c r="A1917" s="1">
        <v>80</v>
      </c>
    </row>
    <row r="1918" spans="1:1" x14ac:dyDescent="0.3">
      <c r="A1918" s="1">
        <v>80</v>
      </c>
    </row>
    <row r="1919" spans="1:1" x14ac:dyDescent="0.3">
      <c r="A1919" s="1">
        <v>80</v>
      </c>
    </row>
    <row r="1920" spans="1:1" x14ac:dyDescent="0.3">
      <c r="A1920" s="2">
        <v>80</v>
      </c>
    </row>
    <row r="1921" spans="1:1" x14ac:dyDescent="0.3">
      <c r="A1921" s="2">
        <v>80</v>
      </c>
    </row>
    <row r="1922" spans="1:1" x14ac:dyDescent="0.3">
      <c r="A1922" s="2">
        <v>80</v>
      </c>
    </row>
    <row r="1923" spans="1:1" x14ac:dyDescent="0.3">
      <c r="A1923" s="2">
        <v>80</v>
      </c>
    </row>
    <row r="1924" spans="1:1" x14ac:dyDescent="0.3">
      <c r="A1924" s="1">
        <v>80</v>
      </c>
    </row>
    <row r="1925" spans="1:1" x14ac:dyDescent="0.3">
      <c r="A1925" s="1">
        <v>80</v>
      </c>
    </row>
    <row r="1926" spans="1:1" x14ac:dyDescent="0.3">
      <c r="A1926" s="2">
        <v>80</v>
      </c>
    </row>
    <row r="1927" spans="1:1" x14ac:dyDescent="0.3">
      <c r="A1927" s="1">
        <v>80</v>
      </c>
    </row>
    <row r="1928" spans="1:1" x14ac:dyDescent="0.3">
      <c r="A1928" s="2">
        <v>80</v>
      </c>
    </row>
    <row r="1929" spans="1:1" x14ac:dyDescent="0.3">
      <c r="A1929" s="2">
        <v>80</v>
      </c>
    </row>
    <row r="1930" spans="1:1" x14ac:dyDescent="0.3">
      <c r="A1930" s="2">
        <v>80</v>
      </c>
    </row>
    <row r="1931" spans="1:1" x14ac:dyDescent="0.3">
      <c r="A1931" s="1">
        <v>80</v>
      </c>
    </row>
    <row r="1932" spans="1:1" x14ac:dyDescent="0.3">
      <c r="A1932" s="1">
        <v>80</v>
      </c>
    </row>
    <row r="1933" spans="1:1" x14ac:dyDescent="0.3">
      <c r="A1933" s="1">
        <v>80</v>
      </c>
    </row>
    <row r="1934" spans="1:1" x14ac:dyDescent="0.3">
      <c r="A1934" s="2">
        <v>80</v>
      </c>
    </row>
    <row r="1935" spans="1:1" x14ac:dyDescent="0.3">
      <c r="A1935" s="2">
        <v>80</v>
      </c>
    </row>
    <row r="1936" spans="1:1" x14ac:dyDescent="0.3">
      <c r="A1936" s="1">
        <v>80</v>
      </c>
    </row>
    <row r="1937" spans="1:1" x14ac:dyDescent="0.3">
      <c r="A1937" s="2">
        <v>80</v>
      </c>
    </row>
    <row r="1938" spans="1:1" x14ac:dyDescent="0.3">
      <c r="A1938" s="2">
        <v>80</v>
      </c>
    </row>
    <row r="1939" spans="1:1" x14ac:dyDescent="0.3">
      <c r="A1939" s="2">
        <v>80</v>
      </c>
    </row>
    <row r="1940" spans="1:1" x14ac:dyDescent="0.3">
      <c r="A1940" s="1">
        <v>80</v>
      </c>
    </row>
    <row r="1941" spans="1:1" x14ac:dyDescent="0.3">
      <c r="A1941" s="2">
        <v>80</v>
      </c>
    </row>
    <row r="1942" spans="1:1" x14ac:dyDescent="0.3">
      <c r="A1942" s="2">
        <v>80</v>
      </c>
    </row>
    <row r="1943" spans="1:1" x14ac:dyDescent="0.3">
      <c r="A1943" s="2">
        <v>80</v>
      </c>
    </row>
    <row r="1944" spans="1:1" x14ac:dyDescent="0.3">
      <c r="A1944" s="1">
        <v>80</v>
      </c>
    </row>
    <row r="1945" spans="1:1" x14ac:dyDescent="0.3">
      <c r="A1945" s="2">
        <v>80</v>
      </c>
    </row>
    <row r="1946" spans="1:1" x14ac:dyDescent="0.3">
      <c r="A1946" s="1">
        <v>80</v>
      </c>
    </row>
    <row r="1947" spans="1:1" x14ac:dyDescent="0.3">
      <c r="A1947" s="2">
        <v>80</v>
      </c>
    </row>
    <row r="1948" spans="1:1" x14ac:dyDescent="0.3">
      <c r="A1948" s="2">
        <v>80</v>
      </c>
    </row>
    <row r="1949" spans="1:1" x14ac:dyDescent="0.3">
      <c r="A1949" s="1">
        <v>80</v>
      </c>
    </row>
    <row r="1950" spans="1:1" x14ac:dyDescent="0.3">
      <c r="A1950" s="2">
        <v>80</v>
      </c>
    </row>
    <row r="1951" spans="1:1" x14ac:dyDescent="0.3">
      <c r="A1951" s="2">
        <v>80</v>
      </c>
    </row>
    <row r="1952" spans="1:1" x14ac:dyDescent="0.3">
      <c r="A1952" s="1">
        <v>80</v>
      </c>
    </row>
    <row r="1953" spans="1:1" x14ac:dyDescent="0.3">
      <c r="A1953" s="1">
        <v>80</v>
      </c>
    </row>
    <row r="1954" spans="1:1" x14ac:dyDescent="0.3">
      <c r="A1954" s="1">
        <v>80</v>
      </c>
    </row>
    <row r="1955" spans="1:1" x14ac:dyDescent="0.3">
      <c r="A1955" s="2">
        <v>80</v>
      </c>
    </row>
    <row r="1956" spans="1:1" x14ac:dyDescent="0.3">
      <c r="A1956" s="1">
        <v>80</v>
      </c>
    </row>
    <row r="1957" spans="1:1" x14ac:dyDescent="0.3">
      <c r="A1957" s="1">
        <v>80</v>
      </c>
    </row>
    <row r="1958" spans="1:1" x14ac:dyDescent="0.3">
      <c r="A1958" s="1">
        <v>80</v>
      </c>
    </row>
    <row r="1959" spans="1:1" x14ac:dyDescent="0.3">
      <c r="A1959" s="1">
        <v>80</v>
      </c>
    </row>
    <row r="1960" spans="1:1" x14ac:dyDescent="0.3">
      <c r="A1960" s="1">
        <v>80</v>
      </c>
    </row>
    <row r="1961" spans="1:1" x14ac:dyDescent="0.3">
      <c r="A1961" s="2">
        <v>80</v>
      </c>
    </row>
    <row r="1962" spans="1:1" x14ac:dyDescent="0.3">
      <c r="A1962" s="2">
        <v>80</v>
      </c>
    </row>
    <row r="1963" spans="1:1" x14ac:dyDescent="0.3">
      <c r="A1963" s="1">
        <v>80</v>
      </c>
    </row>
    <row r="1964" spans="1:1" x14ac:dyDescent="0.3">
      <c r="A1964" s="1">
        <v>80</v>
      </c>
    </row>
    <row r="1965" spans="1:1" x14ac:dyDescent="0.3">
      <c r="A1965" s="1">
        <v>80</v>
      </c>
    </row>
    <row r="1966" spans="1:1" x14ac:dyDescent="0.3">
      <c r="A1966" s="2">
        <v>80</v>
      </c>
    </row>
    <row r="1967" spans="1:1" x14ac:dyDescent="0.3">
      <c r="A1967" s="2">
        <v>80</v>
      </c>
    </row>
    <row r="1968" spans="1:1" x14ac:dyDescent="0.3">
      <c r="A1968" s="2">
        <v>80</v>
      </c>
    </row>
    <row r="1969" spans="1:1" x14ac:dyDescent="0.3">
      <c r="A1969" s="1">
        <v>80</v>
      </c>
    </row>
    <row r="1970" spans="1:1" x14ac:dyDescent="0.3">
      <c r="A1970" s="2">
        <v>80</v>
      </c>
    </row>
    <row r="1971" spans="1:1" x14ac:dyDescent="0.3">
      <c r="A1971" s="2">
        <v>80</v>
      </c>
    </row>
    <row r="1972" spans="1:1" x14ac:dyDescent="0.3">
      <c r="A1972" s="1">
        <v>80</v>
      </c>
    </row>
    <row r="1973" spans="1:1" x14ac:dyDescent="0.3">
      <c r="A1973" s="1">
        <v>80</v>
      </c>
    </row>
    <row r="1974" spans="1:1" x14ac:dyDescent="0.3">
      <c r="A1974" s="2">
        <v>80</v>
      </c>
    </row>
    <row r="1975" spans="1:1" x14ac:dyDescent="0.3">
      <c r="A1975" s="1">
        <v>80</v>
      </c>
    </row>
    <row r="1976" spans="1:1" x14ac:dyDescent="0.3">
      <c r="A1976" s="1">
        <v>80</v>
      </c>
    </row>
    <row r="1977" spans="1:1" x14ac:dyDescent="0.3">
      <c r="A1977" s="2">
        <v>80</v>
      </c>
    </row>
    <row r="1978" spans="1:1" x14ac:dyDescent="0.3">
      <c r="A1978" s="1">
        <v>80</v>
      </c>
    </row>
    <row r="1979" spans="1:1" x14ac:dyDescent="0.3">
      <c r="A1979" s="2">
        <v>80</v>
      </c>
    </row>
    <row r="1980" spans="1:1" x14ac:dyDescent="0.3">
      <c r="A1980" s="2">
        <v>80</v>
      </c>
    </row>
    <row r="1981" spans="1:1" x14ac:dyDescent="0.3">
      <c r="A1981" s="1">
        <v>80</v>
      </c>
    </row>
    <row r="1982" spans="1:1" x14ac:dyDescent="0.3">
      <c r="A1982" s="1">
        <v>80</v>
      </c>
    </row>
    <row r="1983" spans="1:1" x14ac:dyDescent="0.3">
      <c r="A1983" s="1">
        <v>80</v>
      </c>
    </row>
    <row r="1984" spans="1:1" x14ac:dyDescent="0.3">
      <c r="A1984" s="1">
        <v>80</v>
      </c>
    </row>
    <row r="1985" spans="1:1" x14ac:dyDescent="0.3">
      <c r="A1985" s="2">
        <v>80</v>
      </c>
    </row>
    <row r="1986" spans="1:1" x14ac:dyDescent="0.3">
      <c r="A1986" s="1">
        <v>80</v>
      </c>
    </row>
    <row r="1987" spans="1:1" x14ac:dyDescent="0.3">
      <c r="A1987" s="1">
        <v>80</v>
      </c>
    </row>
    <row r="1988" spans="1:1" x14ac:dyDescent="0.3">
      <c r="A1988" s="1">
        <v>80</v>
      </c>
    </row>
    <row r="1989" spans="1:1" x14ac:dyDescent="0.3">
      <c r="A1989" s="1">
        <v>80</v>
      </c>
    </row>
    <row r="1990" spans="1:1" x14ac:dyDescent="0.3">
      <c r="A1990" s="1">
        <v>80</v>
      </c>
    </row>
    <row r="1991" spans="1:1" x14ac:dyDescent="0.3">
      <c r="A1991" s="2">
        <v>80</v>
      </c>
    </row>
    <row r="1992" spans="1:1" x14ac:dyDescent="0.3">
      <c r="A1992" s="2">
        <v>80</v>
      </c>
    </row>
    <row r="1993" spans="1:1" x14ac:dyDescent="0.3">
      <c r="A1993" s="2">
        <v>80</v>
      </c>
    </row>
    <row r="1994" spans="1:1" x14ac:dyDescent="0.3">
      <c r="A1994" s="2">
        <v>80</v>
      </c>
    </row>
    <row r="1995" spans="1:1" x14ac:dyDescent="0.3">
      <c r="A1995" s="1">
        <v>80</v>
      </c>
    </row>
    <row r="1996" spans="1:1" x14ac:dyDescent="0.3">
      <c r="A1996" s="2">
        <v>80</v>
      </c>
    </row>
    <row r="1997" spans="1:1" x14ac:dyDescent="0.3">
      <c r="A1997" s="2">
        <v>80</v>
      </c>
    </row>
    <row r="1998" spans="1:1" x14ac:dyDescent="0.3">
      <c r="A1998" s="2">
        <v>80</v>
      </c>
    </row>
    <row r="1999" spans="1:1" x14ac:dyDescent="0.3">
      <c r="A1999" s="2">
        <v>80</v>
      </c>
    </row>
    <row r="2000" spans="1:1" x14ac:dyDescent="0.3">
      <c r="A2000" s="1">
        <v>80</v>
      </c>
    </row>
    <row r="2001" spans="1:1" x14ac:dyDescent="0.3">
      <c r="A2001" s="1">
        <v>80</v>
      </c>
    </row>
    <row r="2002" spans="1:1" x14ac:dyDescent="0.3">
      <c r="A2002" s="1">
        <v>80</v>
      </c>
    </row>
    <row r="2003" spans="1:1" x14ac:dyDescent="0.3">
      <c r="A2003" s="1">
        <v>78</v>
      </c>
    </row>
    <row r="2004" spans="1:1" x14ac:dyDescent="0.3">
      <c r="A2004" s="1">
        <v>78</v>
      </c>
    </row>
    <row r="2005" spans="1:1" x14ac:dyDescent="0.3">
      <c r="A2005" s="1">
        <v>77</v>
      </c>
    </row>
    <row r="2006" spans="1:1" x14ac:dyDescent="0.3">
      <c r="A2006" s="1">
        <v>77</v>
      </c>
    </row>
    <row r="2007" spans="1:1" x14ac:dyDescent="0.3">
      <c r="A2007" s="2">
        <v>77</v>
      </c>
    </row>
    <row r="2008" spans="1:1" x14ac:dyDescent="0.3">
      <c r="A2008" s="2">
        <v>76</v>
      </c>
    </row>
    <row r="2009" spans="1:1" x14ac:dyDescent="0.3">
      <c r="A2009" s="2">
        <v>75</v>
      </c>
    </row>
    <row r="2010" spans="1:1" x14ac:dyDescent="0.3">
      <c r="A2010" s="2">
        <v>75</v>
      </c>
    </row>
    <row r="2011" spans="1:1" x14ac:dyDescent="0.3">
      <c r="A2011" s="2">
        <v>75</v>
      </c>
    </row>
    <row r="2012" spans="1:1" x14ac:dyDescent="0.3">
      <c r="A2012" s="1">
        <v>75</v>
      </c>
    </row>
    <row r="2013" spans="1:1" x14ac:dyDescent="0.3">
      <c r="A2013" s="1">
        <v>75</v>
      </c>
    </row>
    <row r="2014" spans="1:1" x14ac:dyDescent="0.3">
      <c r="A2014" s="2">
        <v>75</v>
      </c>
    </row>
    <row r="2015" spans="1:1" x14ac:dyDescent="0.3">
      <c r="A2015" s="1">
        <v>75</v>
      </c>
    </row>
    <row r="2016" spans="1:1" x14ac:dyDescent="0.3">
      <c r="A2016" s="2">
        <v>75</v>
      </c>
    </row>
    <row r="2017" spans="1:1" x14ac:dyDescent="0.3">
      <c r="A2017" s="1">
        <v>75</v>
      </c>
    </row>
    <row r="2018" spans="1:1" x14ac:dyDescent="0.3">
      <c r="A2018" s="2">
        <v>75</v>
      </c>
    </row>
    <row r="2019" spans="1:1" x14ac:dyDescent="0.3">
      <c r="A2019" s="2">
        <v>75</v>
      </c>
    </row>
    <row r="2020" spans="1:1" x14ac:dyDescent="0.3">
      <c r="A2020" s="2">
        <v>75</v>
      </c>
    </row>
    <row r="2021" spans="1:1" x14ac:dyDescent="0.3">
      <c r="A2021" s="1">
        <v>75</v>
      </c>
    </row>
    <row r="2022" spans="1:1" x14ac:dyDescent="0.3">
      <c r="A2022" s="2">
        <v>75</v>
      </c>
    </row>
    <row r="2023" spans="1:1" x14ac:dyDescent="0.3">
      <c r="A2023" s="2">
        <v>75</v>
      </c>
    </row>
    <row r="2024" spans="1:1" x14ac:dyDescent="0.3">
      <c r="A2024" s="2">
        <v>75</v>
      </c>
    </row>
    <row r="2025" spans="1:1" x14ac:dyDescent="0.3">
      <c r="A2025" s="2">
        <v>75</v>
      </c>
    </row>
    <row r="2026" spans="1:1" x14ac:dyDescent="0.3">
      <c r="A2026" s="1">
        <v>75</v>
      </c>
    </row>
    <row r="2027" spans="1:1" x14ac:dyDescent="0.3">
      <c r="A2027" s="2">
        <v>75</v>
      </c>
    </row>
    <row r="2028" spans="1:1" x14ac:dyDescent="0.3">
      <c r="A2028" s="2">
        <v>75</v>
      </c>
    </row>
    <row r="2029" spans="1:1" x14ac:dyDescent="0.3">
      <c r="A2029" s="2">
        <v>75</v>
      </c>
    </row>
    <row r="2030" spans="1:1" x14ac:dyDescent="0.3">
      <c r="A2030" s="1">
        <v>75</v>
      </c>
    </row>
    <row r="2031" spans="1:1" x14ac:dyDescent="0.3">
      <c r="A2031" s="2">
        <v>75</v>
      </c>
    </row>
    <row r="2032" spans="1:1" x14ac:dyDescent="0.3">
      <c r="A2032" s="2">
        <v>75</v>
      </c>
    </row>
    <row r="2033" spans="1:1" x14ac:dyDescent="0.3">
      <c r="A2033" s="1">
        <v>75</v>
      </c>
    </row>
    <row r="2034" spans="1:1" x14ac:dyDescent="0.3">
      <c r="A2034" s="1">
        <v>75</v>
      </c>
    </row>
    <row r="2035" spans="1:1" x14ac:dyDescent="0.3">
      <c r="A2035" s="1">
        <v>75</v>
      </c>
    </row>
    <row r="2036" spans="1:1" x14ac:dyDescent="0.3">
      <c r="A2036" s="1">
        <v>75</v>
      </c>
    </row>
    <row r="2037" spans="1:1" x14ac:dyDescent="0.3">
      <c r="A2037" s="2">
        <v>75</v>
      </c>
    </row>
    <row r="2038" spans="1:1" x14ac:dyDescent="0.3">
      <c r="A2038" s="2">
        <v>75</v>
      </c>
    </row>
    <row r="2039" spans="1:1" x14ac:dyDescent="0.3">
      <c r="A2039" s="1">
        <v>75</v>
      </c>
    </row>
    <row r="2040" spans="1:1" x14ac:dyDescent="0.3">
      <c r="A2040" s="1">
        <v>75</v>
      </c>
    </row>
    <row r="2041" spans="1:1" x14ac:dyDescent="0.3">
      <c r="A2041" s="2">
        <v>75</v>
      </c>
    </row>
    <row r="2042" spans="1:1" x14ac:dyDescent="0.3">
      <c r="A2042" s="1">
        <v>75</v>
      </c>
    </row>
    <row r="2043" spans="1:1" x14ac:dyDescent="0.3">
      <c r="A2043" s="1">
        <v>75</v>
      </c>
    </row>
    <row r="2044" spans="1:1" x14ac:dyDescent="0.3">
      <c r="A2044" s="2">
        <v>75</v>
      </c>
    </row>
    <row r="2045" spans="1:1" x14ac:dyDescent="0.3">
      <c r="A2045" s="1">
        <v>73</v>
      </c>
    </row>
    <row r="2046" spans="1:1" x14ac:dyDescent="0.3">
      <c r="A2046" s="1">
        <v>73</v>
      </c>
    </row>
    <row r="2047" spans="1:1" x14ac:dyDescent="0.3">
      <c r="A2047" s="1">
        <v>73</v>
      </c>
    </row>
    <row r="2048" spans="1:1" x14ac:dyDescent="0.3">
      <c r="A2048" s="1">
        <v>73</v>
      </c>
    </row>
    <row r="2049" spans="1:1" x14ac:dyDescent="0.3">
      <c r="A2049" s="2">
        <v>73</v>
      </c>
    </row>
    <row r="2050" spans="1:1" x14ac:dyDescent="0.3">
      <c r="A2050" s="1">
        <v>73</v>
      </c>
    </row>
    <row r="2051" spans="1:1" x14ac:dyDescent="0.3">
      <c r="A2051" s="2">
        <v>72</v>
      </c>
    </row>
    <row r="2052" spans="1:1" x14ac:dyDescent="0.3">
      <c r="A2052" s="1">
        <v>71</v>
      </c>
    </row>
    <row r="2053" spans="1:1" x14ac:dyDescent="0.3">
      <c r="A2053" s="1">
        <v>71</v>
      </c>
    </row>
    <row r="2054" spans="1:1" x14ac:dyDescent="0.3">
      <c r="A2054" s="1">
        <v>71</v>
      </c>
    </row>
    <row r="2055" spans="1:1" x14ac:dyDescent="0.3">
      <c r="A2055" s="1">
        <v>71</v>
      </c>
    </row>
    <row r="2056" spans="1:1" x14ac:dyDescent="0.3">
      <c r="A2056" s="1">
        <v>71</v>
      </c>
    </row>
    <row r="2057" spans="1:1" x14ac:dyDescent="0.3">
      <c r="A2057" s="1">
        <v>71</v>
      </c>
    </row>
    <row r="2058" spans="1:1" x14ac:dyDescent="0.3">
      <c r="A2058" s="1">
        <v>71</v>
      </c>
    </row>
    <row r="2059" spans="1:1" x14ac:dyDescent="0.3">
      <c r="A2059" s="2">
        <v>70</v>
      </c>
    </row>
    <row r="2060" spans="1:1" x14ac:dyDescent="0.3">
      <c r="A2060" s="2">
        <v>70</v>
      </c>
    </row>
    <row r="2061" spans="1:1" x14ac:dyDescent="0.3">
      <c r="A2061" s="2">
        <v>70</v>
      </c>
    </row>
    <row r="2062" spans="1:1" x14ac:dyDescent="0.3">
      <c r="A2062" s="1">
        <v>70</v>
      </c>
    </row>
    <row r="2063" spans="1:1" x14ac:dyDescent="0.3">
      <c r="A2063" s="2">
        <v>70</v>
      </c>
    </row>
    <row r="2064" spans="1:1" x14ac:dyDescent="0.3">
      <c r="A2064" s="2">
        <v>70</v>
      </c>
    </row>
    <row r="2065" spans="1:1" x14ac:dyDescent="0.3">
      <c r="A2065" s="1">
        <v>70</v>
      </c>
    </row>
    <row r="2066" spans="1:1" x14ac:dyDescent="0.3">
      <c r="A2066" s="1">
        <v>70</v>
      </c>
    </row>
    <row r="2067" spans="1:1" x14ac:dyDescent="0.3">
      <c r="A2067" s="2">
        <v>70</v>
      </c>
    </row>
    <row r="2068" spans="1:1" x14ac:dyDescent="0.3">
      <c r="A2068" s="2">
        <v>70</v>
      </c>
    </row>
    <row r="2069" spans="1:1" x14ac:dyDescent="0.3">
      <c r="A2069" s="2">
        <v>70</v>
      </c>
    </row>
    <row r="2070" spans="1:1" x14ac:dyDescent="0.3">
      <c r="A2070" s="2">
        <v>70</v>
      </c>
    </row>
    <row r="2071" spans="1:1" x14ac:dyDescent="0.3">
      <c r="A2071" s="1">
        <v>70</v>
      </c>
    </row>
    <row r="2072" spans="1:1" x14ac:dyDescent="0.3">
      <c r="A2072" s="1">
        <v>70</v>
      </c>
    </row>
    <row r="2073" spans="1:1" x14ac:dyDescent="0.3">
      <c r="A2073" s="2">
        <v>70</v>
      </c>
    </row>
    <row r="2074" spans="1:1" x14ac:dyDescent="0.3">
      <c r="A2074" s="1">
        <v>70</v>
      </c>
    </row>
    <row r="2075" spans="1:1" x14ac:dyDescent="0.3">
      <c r="A2075" s="2">
        <v>70</v>
      </c>
    </row>
    <row r="2076" spans="1:1" x14ac:dyDescent="0.3">
      <c r="A2076" s="2">
        <v>70</v>
      </c>
    </row>
    <row r="2077" spans="1:1" x14ac:dyDescent="0.3">
      <c r="A2077" s="1">
        <v>70</v>
      </c>
    </row>
    <row r="2078" spans="1:1" x14ac:dyDescent="0.3">
      <c r="A2078" s="1">
        <v>70</v>
      </c>
    </row>
    <row r="2079" spans="1:1" x14ac:dyDescent="0.3">
      <c r="A2079" s="1">
        <v>70</v>
      </c>
    </row>
    <row r="2080" spans="1:1" x14ac:dyDescent="0.3">
      <c r="A2080" s="1">
        <v>70</v>
      </c>
    </row>
    <row r="2081" spans="1:1" x14ac:dyDescent="0.3">
      <c r="A2081" s="2">
        <v>70</v>
      </c>
    </row>
    <row r="2082" spans="1:1" x14ac:dyDescent="0.3">
      <c r="A2082" s="2">
        <v>70</v>
      </c>
    </row>
    <row r="2083" spans="1:1" x14ac:dyDescent="0.3">
      <c r="A2083" s="2">
        <v>70</v>
      </c>
    </row>
    <row r="2084" spans="1:1" x14ac:dyDescent="0.3">
      <c r="A2084" s="1">
        <v>70</v>
      </c>
    </row>
    <row r="2085" spans="1:1" x14ac:dyDescent="0.3">
      <c r="A2085" s="1">
        <v>70</v>
      </c>
    </row>
    <row r="2086" spans="1:1" x14ac:dyDescent="0.3">
      <c r="A2086" s="1">
        <v>70</v>
      </c>
    </row>
    <row r="2087" spans="1:1" x14ac:dyDescent="0.3">
      <c r="A2087" s="1">
        <v>70</v>
      </c>
    </row>
    <row r="2088" spans="1:1" x14ac:dyDescent="0.3">
      <c r="A2088" s="1">
        <v>70</v>
      </c>
    </row>
    <row r="2089" spans="1:1" x14ac:dyDescent="0.3">
      <c r="A2089" s="1">
        <v>70</v>
      </c>
    </row>
    <row r="2090" spans="1:1" x14ac:dyDescent="0.3">
      <c r="A2090" s="2">
        <v>70</v>
      </c>
    </row>
    <row r="2091" spans="1:1" x14ac:dyDescent="0.3">
      <c r="A2091" s="1">
        <v>70</v>
      </c>
    </row>
    <row r="2092" spans="1:1" x14ac:dyDescent="0.3">
      <c r="A2092" s="1">
        <v>70</v>
      </c>
    </row>
    <row r="2093" spans="1:1" x14ac:dyDescent="0.3">
      <c r="A2093" s="1">
        <v>70</v>
      </c>
    </row>
    <row r="2094" spans="1:1" x14ac:dyDescent="0.3">
      <c r="A2094" s="1">
        <v>70</v>
      </c>
    </row>
    <row r="2095" spans="1:1" x14ac:dyDescent="0.3">
      <c r="A2095" s="1">
        <v>70</v>
      </c>
    </row>
    <row r="2096" spans="1:1" x14ac:dyDescent="0.3">
      <c r="A2096" s="2">
        <v>70</v>
      </c>
    </row>
    <row r="2097" spans="1:1" x14ac:dyDescent="0.3">
      <c r="A2097" s="2">
        <v>70</v>
      </c>
    </row>
    <row r="2098" spans="1:1" x14ac:dyDescent="0.3">
      <c r="A2098" s="1">
        <v>70</v>
      </c>
    </row>
    <row r="2099" spans="1:1" x14ac:dyDescent="0.3">
      <c r="A2099" s="2">
        <v>70</v>
      </c>
    </row>
    <row r="2100" spans="1:1" x14ac:dyDescent="0.3">
      <c r="A2100" s="2">
        <v>70</v>
      </c>
    </row>
    <row r="2101" spans="1:1" x14ac:dyDescent="0.3">
      <c r="A2101" s="2">
        <v>70</v>
      </c>
    </row>
    <row r="2102" spans="1:1" x14ac:dyDescent="0.3">
      <c r="A2102" s="2">
        <v>69</v>
      </c>
    </row>
    <row r="2103" spans="1:1" x14ac:dyDescent="0.3">
      <c r="A2103" s="1">
        <v>68</v>
      </c>
    </row>
    <row r="2104" spans="1:1" x14ac:dyDescent="0.3">
      <c r="A2104" s="1">
        <v>67</v>
      </c>
    </row>
    <row r="2105" spans="1:1" x14ac:dyDescent="0.3">
      <c r="A2105" s="1">
        <v>67</v>
      </c>
    </row>
    <row r="2106" spans="1:1" x14ac:dyDescent="0.3">
      <c r="A2106" s="1">
        <v>67</v>
      </c>
    </row>
    <row r="2107" spans="1:1" x14ac:dyDescent="0.3">
      <c r="A2107" s="1">
        <v>67</v>
      </c>
    </row>
    <row r="2108" spans="1:1" x14ac:dyDescent="0.3">
      <c r="A2108" s="1">
        <v>67</v>
      </c>
    </row>
    <row r="2109" spans="1:1" x14ac:dyDescent="0.3">
      <c r="A2109" s="2">
        <v>67</v>
      </c>
    </row>
    <row r="2110" spans="1:1" x14ac:dyDescent="0.3">
      <c r="A2110" s="2">
        <v>66</v>
      </c>
    </row>
    <row r="2111" spans="1:1" x14ac:dyDescent="0.3">
      <c r="A2111" s="2">
        <v>66</v>
      </c>
    </row>
    <row r="2112" spans="1:1" x14ac:dyDescent="0.3">
      <c r="A2112" s="1">
        <v>66</v>
      </c>
    </row>
    <row r="2113" spans="1:1" x14ac:dyDescent="0.3">
      <c r="A2113" s="1">
        <v>66</v>
      </c>
    </row>
    <row r="2114" spans="1:1" x14ac:dyDescent="0.3">
      <c r="A2114" s="2">
        <v>66</v>
      </c>
    </row>
    <row r="2115" spans="1:1" x14ac:dyDescent="0.3">
      <c r="A2115" s="2">
        <v>66</v>
      </c>
    </row>
    <row r="2116" spans="1:1" x14ac:dyDescent="0.3">
      <c r="A2116" s="2">
        <v>66</v>
      </c>
    </row>
    <row r="2117" spans="1:1" x14ac:dyDescent="0.3">
      <c r="A2117" s="1">
        <v>66</v>
      </c>
    </row>
    <row r="2118" spans="1:1" x14ac:dyDescent="0.3">
      <c r="A2118" s="1">
        <v>65</v>
      </c>
    </row>
    <row r="2119" spans="1:1" x14ac:dyDescent="0.3">
      <c r="A2119" s="2">
        <v>65</v>
      </c>
    </row>
    <row r="2120" spans="1:1" x14ac:dyDescent="0.3">
      <c r="A2120" s="1">
        <v>65</v>
      </c>
    </row>
    <row r="2121" spans="1:1" x14ac:dyDescent="0.3">
      <c r="A2121" s="2">
        <v>65</v>
      </c>
    </row>
    <row r="2122" spans="1:1" x14ac:dyDescent="0.3">
      <c r="A2122" s="2">
        <v>65</v>
      </c>
    </row>
    <row r="2123" spans="1:1" x14ac:dyDescent="0.3">
      <c r="A2123" s="1">
        <v>65</v>
      </c>
    </row>
    <row r="2124" spans="1:1" x14ac:dyDescent="0.3">
      <c r="A2124" s="1">
        <v>65</v>
      </c>
    </row>
    <row r="2125" spans="1:1" x14ac:dyDescent="0.3">
      <c r="A2125" s="2">
        <v>65</v>
      </c>
    </row>
    <row r="2126" spans="1:1" x14ac:dyDescent="0.3">
      <c r="A2126" s="1">
        <v>65</v>
      </c>
    </row>
    <row r="2127" spans="1:1" x14ac:dyDescent="0.3">
      <c r="A2127" s="1">
        <v>65</v>
      </c>
    </row>
    <row r="2128" spans="1:1" x14ac:dyDescent="0.3">
      <c r="A2128" s="2">
        <v>65</v>
      </c>
    </row>
    <row r="2129" spans="1:1" x14ac:dyDescent="0.3">
      <c r="A2129" s="2">
        <v>64</v>
      </c>
    </row>
    <row r="2130" spans="1:1" x14ac:dyDescent="0.3">
      <c r="A2130" s="2">
        <v>64</v>
      </c>
    </row>
    <row r="2131" spans="1:1" x14ac:dyDescent="0.3">
      <c r="A2131" s="2">
        <v>64</v>
      </c>
    </row>
    <row r="2132" spans="1:1" x14ac:dyDescent="0.3">
      <c r="A2132" s="2">
        <v>63</v>
      </c>
    </row>
    <row r="2133" spans="1:1" x14ac:dyDescent="0.3">
      <c r="A2133" s="1">
        <v>61</v>
      </c>
    </row>
    <row r="2134" spans="1:1" x14ac:dyDescent="0.3">
      <c r="A2134" s="2">
        <v>60</v>
      </c>
    </row>
    <row r="2135" spans="1:1" x14ac:dyDescent="0.3">
      <c r="A2135" s="1">
        <v>60</v>
      </c>
    </row>
    <row r="2136" spans="1:1" x14ac:dyDescent="0.3">
      <c r="A2136" s="1">
        <v>60</v>
      </c>
    </row>
    <row r="2137" spans="1:1" x14ac:dyDescent="0.3">
      <c r="A2137" s="1">
        <v>60</v>
      </c>
    </row>
    <row r="2138" spans="1:1" x14ac:dyDescent="0.3">
      <c r="A2138" s="2">
        <v>60</v>
      </c>
    </row>
    <row r="2139" spans="1:1" x14ac:dyDescent="0.3">
      <c r="A2139" s="2">
        <v>60</v>
      </c>
    </row>
    <row r="2140" spans="1:1" x14ac:dyDescent="0.3">
      <c r="A2140" s="1">
        <v>60</v>
      </c>
    </row>
    <row r="2141" spans="1:1" x14ac:dyDescent="0.3">
      <c r="A2141" s="1">
        <v>60</v>
      </c>
    </row>
    <row r="2142" spans="1:1" x14ac:dyDescent="0.3">
      <c r="A2142" s="1">
        <v>60</v>
      </c>
    </row>
    <row r="2143" spans="1:1" x14ac:dyDescent="0.3">
      <c r="A2143" s="1">
        <v>60</v>
      </c>
    </row>
    <row r="2144" spans="1:1" x14ac:dyDescent="0.3">
      <c r="A2144" s="1">
        <v>60</v>
      </c>
    </row>
    <row r="2145" spans="1:1" x14ac:dyDescent="0.3">
      <c r="A2145" s="2">
        <v>60</v>
      </c>
    </row>
    <row r="2146" spans="1:1" x14ac:dyDescent="0.3">
      <c r="A2146" s="2">
        <v>60</v>
      </c>
    </row>
    <row r="2147" spans="1:1" x14ac:dyDescent="0.3">
      <c r="A2147" s="1">
        <v>60</v>
      </c>
    </row>
    <row r="2148" spans="1:1" x14ac:dyDescent="0.3">
      <c r="A2148" s="2">
        <v>60</v>
      </c>
    </row>
    <row r="2149" spans="1:1" x14ac:dyDescent="0.3">
      <c r="A2149" s="1">
        <v>60</v>
      </c>
    </row>
    <row r="2150" spans="1:1" x14ac:dyDescent="0.3">
      <c r="A2150" s="1">
        <v>60</v>
      </c>
    </row>
    <row r="2151" spans="1:1" x14ac:dyDescent="0.3">
      <c r="A2151" s="1">
        <v>60</v>
      </c>
    </row>
    <row r="2152" spans="1:1" x14ac:dyDescent="0.3">
      <c r="A2152" s="1">
        <v>60</v>
      </c>
    </row>
    <row r="2153" spans="1:1" x14ac:dyDescent="0.3">
      <c r="A2153" s="2">
        <v>60</v>
      </c>
    </row>
    <row r="2154" spans="1:1" x14ac:dyDescent="0.3">
      <c r="A2154" s="2">
        <v>60</v>
      </c>
    </row>
    <row r="2155" spans="1:1" x14ac:dyDescent="0.3">
      <c r="A2155" s="1">
        <v>60</v>
      </c>
    </row>
    <row r="2156" spans="1:1" x14ac:dyDescent="0.3">
      <c r="A2156" s="1">
        <v>60</v>
      </c>
    </row>
    <row r="2157" spans="1:1" x14ac:dyDescent="0.3">
      <c r="A2157" s="2">
        <v>60</v>
      </c>
    </row>
    <row r="2158" spans="1:1" x14ac:dyDescent="0.3">
      <c r="A2158" s="1">
        <v>60</v>
      </c>
    </row>
    <row r="2159" spans="1:1" x14ac:dyDescent="0.3">
      <c r="A2159" s="1">
        <v>60</v>
      </c>
    </row>
    <row r="2160" spans="1:1" x14ac:dyDescent="0.3">
      <c r="A2160" s="1">
        <v>60</v>
      </c>
    </row>
    <row r="2161" spans="1:1" x14ac:dyDescent="0.3">
      <c r="A2161" s="2">
        <v>60</v>
      </c>
    </row>
    <row r="2162" spans="1:1" x14ac:dyDescent="0.3">
      <c r="A2162" s="1">
        <v>60</v>
      </c>
    </row>
    <row r="2163" spans="1:1" x14ac:dyDescent="0.3">
      <c r="A2163" s="1">
        <v>60</v>
      </c>
    </row>
    <row r="2164" spans="1:1" x14ac:dyDescent="0.3">
      <c r="A2164" s="2">
        <v>60</v>
      </c>
    </row>
    <row r="2165" spans="1:1" x14ac:dyDescent="0.3">
      <c r="A2165" s="1">
        <v>60</v>
      </c>
    </row>
    <row r="2166" spans="1:1" x14ac:dyDescent="0.3">
      <c r="A2166" s="1">
        <v>60</v>
      </c>
    </row>
    <row r="2167" spans="1:1" x14ac:dyDescent="0.3">
      <c r="A2167" s="2">
        <v>60</v>
      </c>
    </row>
    <row r="2168" spans="1:1" x14ac:dyDescent="0.3">
      <c r="A2168" s="1">
        <v>60</v>
      </c>
    </row>
    <row r="2169" spans="1:1" x14ac:dyDescent="0.3">
      <c r="A2169" s="1">
        <v>60</v>
      </c>
    </row>
    <row r="2170" spans="1:1" x14ac:dyDescent="0.3">
      <c r="A2170" s="1">
        <v>60</v>
      </c>
    </row>
    <row r="2171" spans="1:1" x14ac:dyDescent="0.3">
      <c r="A2171" s="1">
        <v>60</v>
      </c>
    </row>
    <row r="2172" spans="1:1" x14ac:dyDescent="0.3">
      <c r="A2172" s="1">
        <v>60</v>
      </c>
    </row>
    <row r="2173" spans="1:1" x14ac:dyDescent="0.3">
      <c r="A2173" s="2">
        <v>60</v>
      </c>
    </row>
    <row r="2174" spans="1:1" x14ac:dyDescent="0.3">
      <c r="A2174" s="2">
        <v>60</v>
      </c>
    </row>
    <row r="2175" spans="1:1" x14ac:dyDescent="0.3">
      <c r="A2175" s="2">
        <v>60</v>
      </c>
    </row>
    <row r="2176" spans="1:1" x14ac:dyDescent="0.3">
      <c r="A2176" s="1">
        <v>60</v>
      </c>
    </row>
    <row r="2177" spans="1:1" x14ac:dyDescent="0.3">
      <c r="A2177" s="2">
        <v>60</v>
      </c>
    </row>
    <row r="2178" spans="1:1" x14ac:dyDescent="0.3">
      <c r="A2178" s="1">
        <v>60</v>
      </c>
    </row>
    <row r="2179" spans="1:1" x14ac:dyDescent="0.3">
      <c r="A2179" s="1">
        <v>60</v>
      </c>
    </row>
    <row r="2180" spans="1:1" x14ac:dyDescent="0.3">
      <c r="A2180" s="1">
        <v>60</v>
      </c>
    </row>
    <row r="2181" spans="1:1" x14ac:dyDescent="0.3">
      <c r="A2181" s="1">
        <v>60</v>
      </c>
    </row>
    <row r="2182" spans="1:1" x14ac:dyDescent="0.3">
      <c r="A2182" s="2">
        <v>60</v>
      </c>
    </row>
    <row r="2183" spans="1:1" x14ac:dyDescent="0.3">
      <c r="A2183" s="1">
        <v>60</v>
      </c>
    </row>
    <row r="2184" spans="1:1" x14ac:dyDescent="0.3">
      <c r="A2184" s="1">
        <v>60</v>
      </c>
    </row>
    <row r="2185" spans="1:1" x14ac:dyDescent="0.3">
      <c r="A2185" s="2">
        <v>60</v>
      </c>
    </row>
    <row r="2186" spans="1:1" x14ac:dyDescent="0.3">
      <c r="A2186" s="1">
        <v>60</v>
      </c>
    </row>
    <row r="2187" spans="1:1" x14ac:dyDescent="0.3">
      <c r="A2187" s="1">
        <v>60</v>
      </c>
    </row>
    <row r="2188" spans="1:1" x14ac:dyDescent="0.3">
      <c r="A2188" s="2">
        <v>60</v>
      </c>
    </row>
    <row r="2189" spans="1:1" x14ac:dyDescent="0.3">
      <c r="A2189" s="2">
        <v>60</v>
      </c>
    </row>
    <row r="2190" spans="1:1" x14ac:dyDescent="0.3">
      <c r="A2190" s="2">
        <v>60</v>
      </c>
    </row>
    <row r="2191" spans="1:1" x14ac:dyDescent="0.3">
      <c r="A2191" s="1">
        <v>60</v>
      </c>
    </row>
    <row r="2192" spans="1:1" x14ac:dyDescent="0.3">
      <c r="A2192" s="2">
        <v>60</v>
      </c>
    </row>
    <row r="2193" spans="1:1" x14ac:dyDescent="0.3">
      <c r="A2193" s="2">
        <v>58</v>
      </c>
    </row>
    <row r="2194" spans="1:1" x14ac:dyDescent="0.3">
      <c r="A2194" s="2">
        <v>57</v>
      </c>
    </row>
    <row r="2195" spans="1:1" x14ac:dyDescent="0.3">
      <c r="A2195" s="1">
        <v>57</v>
      </c>
    </row>
    <row r="2196" spans="1:1" x14ac:dyDescent="0.3">
      <c r="A2196" s="1">
        <v>57</v>
      </c>
    </row>
    <row r="2197" spans="1:1" x14ac:dyDescent="0.3">
      <c r="A2197" s="2">
        <v>57</v>
      </c>
    </row>
    <row r="2198" spans="1:1" x14ac:dyDescent="0.3">
      <c r="A2198" s="1">
        <v>57</v>
      </c>
    </row>
    <row r="2199" spans="1:1" x14ac:dyDescent="0.3">
      <c r="A2199" s="2">
        <v>57</v>
      </c>
    </row>
    <row r="2200" spans="1:1" x14ac:dyDescent="0.3">
      <c r="A2200" s="2">
        <v>56</v>
      </c>
    </row>
    <row r="2201" spans="1:1" x14ac:dyDescent="0.3">
      <c r="A2201" s="2">
        <v>55</v>
      </c>
    </row>
    <row r="2202" spans="1:1" x14ac:dyDescent="0.3">
      <c r="A2202" s="2">
        <v>55</v>
      </c>
    </row>
    <row r="2203" spans="1:1" x14ac:dyDescent="0.3">
      <c r="A2203" s="2">
        <v>55</v>
      </c>
    </row>
    <row r="2204" spans="1:1" x14ac:dyDescent="0.3">
      <c r="A2204" s="2">
        <v>55</v>
      </c>
    </row>
    <row r="2205" spans="1:1" x14ac:dyDescent="0.3">
      <c r="A2205" s="1">
        <v>55</v>
      </c>
    </row>
    <row r="2206" spans="1:1" x14ac:dyDescent="0.3">
      <c r="A2206" s="1">
        <v>55</v>
      </c>
    </row>
    <row r="2207" spans="1:1" x14ac:dyDescent="0.3">
      <c r="A2207" s="1">
        <v>55</v>
      </c>
    </row>
    <row r="2208" spans="1:1" x14ac:dyDescent="0.3">
      <c r="A2208" s="1">
        <v>55</v>
      </c>
    </row>
    <row r="2209" spans="1:1" x14ac:dyDescent="0.3">
      <c r="A2209" s="1">
        <v>55</v>
      </c>
    </row>
    <row r="2210" spans="1:1" x14ac:dyDescent="0.3">
      <c r="A2210" s="1">
        <v>55</v>
      </c>
    </row>
    <row r="2211" spans="1:1" x14ac:dyDescent="0.3">
      <c r="A2211" s="1">
        <v>55</v>
      </c>
    </row>
    <row r="2212" spans="1:1" x14ac:dyDescent="0.3">
      <c r="A2212" s="1">
        <v>55</v>
      </c>
    </row>
    <row r="2213" spans="1:1" x14ac:dyDescent="0.3">
      <c r="A2213" s="1">
        <v>54</v>
      </c>
    </row>
    <row r="2214" spans="1:1" x14ac:dyDescent="0.3">
      <c r="A2214" s="2">
        <v>53</v>
      </c>
    </row>
    <row r="2215" spans="1:1" x14ac:dyDescent="0.3">
      <c r="A2215" s="1">
        <v>53</v>
      </c>
    </row>
    <row r="2216" spans="1:1" x14ac:dyDescent="0.3">
      <c r="A2216" s="1">
        <v>52</v>
      </c>
    </row>
    <row r="2217" spans="1:1" x14ac:dyDescent="0.3">
      <c r="A2217" s="2">
        <v>51</v>
      </c>
    </row>
    <row r="2218" spans="1:1" x14ac:dyDescent="0.3">
      <c r="A2218" s="2">
        <v>50</v>
      </c>
    </row>
    <row r="2219" spans="1:1" x14ac:dyDescent="0.3">
      <c r="A2219" s="1">
        <v>50</v>
      </c>
    </row>
    <row r="2220" spans="1:1" x14ac:dyDescent="0.3">
      <c r="A2220" s="1">
        <v>50</v>
      </c>
    </row>
    <row r="2221" spans="1:1" x14ac:dyDescent="0.3">
      <c r="A2221" s="1">
        <v>50</v>
      </c>
    </row>
    <row r="2222" spans="1:1" x14ac:dyDescent="0.3">
      <c r="A2222" s="1">
        <v>50</v>
      </c>
    </row>
    <row r="2223" spans="1:1" x14ac:dyDescent="0.3">
      <c r="A2223" s="2">
        <v>50</v>
      </c>
    </row>
    <row r="2224" spans="1:1" x14ac:dyDescent="0.3">
      <c r="A2224" s="1">
        <v>50</v>
      </c>
    </row>
    <row r="2225" spans="1:1" x14ac:dyDescent="0.3">
      <c r="A2225" s="1">
        <v>50</v>
      </c>
    </row>
    <row r="2226" spans="1:1" x14ac:dyDescent="0.3">
      <c r="A2226" s="1">
        <v>50</v>
      </c>
    </row>
    <row r="2227" spans="1:1" x14ac:dyDescent="0.3">
      <c r="A2227" s="2">
        <v>50</v>
      </c>
    </row>
    <row r="2228" spans="1:1" x14ac:dyDescent="0.3">
      <c r="A2228" s="1">
        <v>50</v>
      </c>
    </row>
    <row r="2229" spans="1:1" x14ac:dyDescent="0.3">
      <c r="A2229" s="2">
        <v>50</v>
      </c>
    </row>
    <row r="2230" spans="1:1" x14ac:dyDescent="0.3">
      <c r="A2230" s="2">
        <v>50</v>
      </c>
    </row>
    <row r="2231" spans="1:1" x14ac:dyDescent="0.3">
      <c r="A2231" s="1">
        <v>50</v>
      </c>
    </row>
    <row r="2232" spans="1:1" x14ac:dyDescent="0.3">
      <c r="A2232" s="2">
        <v>50</v>
      </c>
    </row>
    <row r="2233" spans="1:1" x14ac:dyDescent="0.3">
      <c r="A2233" s="2">
        <v>50</v>
      </c>
    </row>
    <row r="2234" spans="1:1" x14ac:dyDescent="0.3">
      <c r="A2234" s="2">
        <v>50</v>
      </c>
    </row>
    <row r="2235" spans="1:1" x14ac:dyDescent="0.3">
      <c r="A2235" s="1">
        <v>50</v>
      </c>
    </row>
    <row r="2236" spans="1:1" x14ac:dyDescent="0.3">
      <c r="A2236" s="2">
        <v>50</v>
      </c>
    </row>
    <row r="2237" spans="1:1" x14ac:dyDescent="0.3">
      <c r="A2237" s="2">
        <v>50</v>
      </c>
    </row>
    <row r="2238" spans="1:1" x14ac:dyDescent="0.3">
      <c r="A2238" s="1">
        <v>50</v>
      </c>
    </row>
    <row r="2239" spans="1:1" x14ac:dyDescent="0.3">
      <c r="A2239" s="1">
        <v>50</v>
      </c>
    </row>
    <row r="2240" spans="1:1" x14ac:dyDescent="0.3">
      <c r="A2240" s="1">
        <v>50</v>
      </c>
    </row>
    <row r="2241" spans="1:1" x14ac:dyDescent="0.3">
      <c r="A2241" s="2">
        <v>50</v>
      </c>
    </row>
    <row r="2242" spans="1:1" x14ac:dyDescent="0.3">
      <c r="A2242" s="1">
        <v>50</v>
      </c>
    </row>
    <row r="2243" spans="1:1" x14ac:dyDescent="0.3">
      <c r="A2243" s="1">
        <v>50</v>
      </c>
    </row>
    <row r="2244" spans="1:1" x14ac:dyDescent="0.3">
      <c r="A2244" s="1">
        <v>50</v>
      </c>
    </row>
    <row r="2245" spans="1:1" x14ac:dyDescent="0.3">
      <c r="A2245" s="2">
        <v>50</v>
      </c>
    </row>
    <row r="2246" spans="1:1" x14ac:dyDescent="0.3">
      <c r="A2246" s="2">
        <v>50</v>
      </c>
    </row>
    <row r="2247" spans="1:1" x14ac:dyDescent="0.3">
      <c r="A2247" s="2">
        <v>50</v>
      </c>
    </row>
    <row r="2248" spans="1:1" x14ac:dyDescent="0.3">
      <c r="A2248" s="1">
        <v>50</v>
      </c>
    </row>
    <row r="2249" spans="1:1" x14ac:dyDescent="0.3">
      <c r="A2249" s="1">
        <v>50</v>
      </c>
    </row>
    <row r="2250" spans="1:1" x14ac:dyDescent="0.3">
      <c r="A2250" s="2">
        <v>50</v>
      </c>
    </row>
    <row r="2251" spans="1:1" x14ac:dyDescent="0.3">
      <c r="A2251" s="1">
        <v>50</v>
      </c>
    </row>
    <row r="2252" spans="1:1" x14ac:dyDescent="0.3">
      <c r="A2252" s="2">
        <v>50</v>
      </c>
    </row>
    <row r="2253" spans="1:1" x14ac:dyDescent="0.3">
      <c r="A2253" s="1">
        <v>50</v>
      </c>
    </row>
    <row r="2254" spans="1:1" x14ac:dyDescent="0.3">
      <c r="A2254" s="1">
        <v>50</v>
      </c>
    </row>
    <row r="2255" spans="1:1" x14ac:dyDescent="0.3">
      <c r="A2255" s="2">
        <v>50</v>
      </c>
    </row>
    <row r="2256" spans="1:1" x14ac:dyDescent="0.3">
      <c r="A2256" s="2">
        <v>50</v>
      </c>
    </row>
    <row r="2257" spans="1:1" x14ac:dyDescent="0.3">
      <c r="A2257" s="2">
        <v>50</v>
      </c>
    </row>
    <row r="2258" spans="1:1" x14ac:dyDescent="0.3">
      <c r="A2258" s="1">
        <v>50</v>
      </c>
    </row>
    <row r="2259" spans="1:1" x14ac:dyDescent="0.3">
      <c r="A2259" s="2">
        <v>50</v>
      </c>
    </row>
    <row r="2260" spans="1:1" x14ac:dyDescent="0.3">
      <c r="A2260" s="1">
        <v>50</v>
      </c>
    </row>
    <row r="2261" spans="1:1" x14ac:dyDescent="0.3">
      <c r="A2261" s="1">
        <v>50</v>
      </c>
    </row>
    <row r="2262" spans="1:1" x14ac:dyDescent="0.3">
      <c r="A2262" s="2">
        <v>50</v>
      </c>
    </row>
    <row r="2263" spans="1:1" x14ac:dyDescent="0.3">
      <c r="A2263" s="1">
        <v>50</v>
      </c>
    </row>
    <row r="2264" spans="1:1" x14ac:dyDescent="0.3">
      <c r="A2264" s="1">
        <v>50</v>
      </c>
    </row>
    <row r="2265" spans="1:1" x14ac:dyDescent="0.3">
      <c r="A2265" s="1">
        <v>50</v>
      </c>
    </row>
    <row r="2266" spans="1:1" x14ac:dyDescent="0.3">
      <c r="A2266" s="2">
        <v>50</v>
      </c>
    </row>
    <row r="2267" spans="1:1" x14ac:dyDescent="0.3">
      <c r="A2267" s="1">
        <v>50</v>
      </c>
    </row>
    <row r="2268" spans="1:1" x14ac:dyDescent="0.3">
      <c r="A2268" s="2">
        <v>50</v>
      </c>
    </row>
    <row r="2269" spans="1:1" x14ac:dyDescent="0.3">
      <c r="A2269" s="1">
        <v>50</v>
      </c>
    </row>
    <row r="2270" spans="1:1" x14ac:dyDescent="0.3">
      <c r="A2270" s="1">
        <v>50</v>
      </c>
    </row>
    <row r="2271" spans="1:1" x14ac:dyDescent="0.3">
      <c r="A2271" s="2">
        <v>50</v>
      </c>
    </row>
    <row r="2272" spans="1:1" x14ac:dyDescent="0.3">
      <c r="A2272" s="2">
        <v>50</v>
      </c>
    </row>
    <row r="2273" spans="1:1" x14ac:dyDescent="0.3">
      <c r="A2273" s="2">
        <v>50</v>
      </c>
    </row>
    <row r="2274" spans="1:1" x14ac:dyDescent="0.3">
      <c r="A2274" s="1">
        <v>50</v>
      </c>
    </row>
    <row r="2275" spans="1:1" x14ac:dyDescent="0.3">
      <c r="A2275" s="1">
        <v>50</v>
      </c>
    </row>
    <row r="2276" spans="1:1" x14ac:dyDescent="0.3">
      <c r="A2276" s="1">
        <v>50</v>
      </c>
    </row>
    <row r="2277" spans="1:1" x14ac:dyDescent="0.3">
      <c r="A2277" s="2">
        <v>50</v>
      </c>
    </row>
    <row r="2278" spans="1:1" x14ac:dyDescent="0.3">
      <c r="A2278" s="1">
        <v>50</v>
      </c>
    </row>
    <row r="2279" spans="1:1" x14ac:dyDescent="0.3">
      <c r="A2279" s="2">
        <v>50</v>
      </c>
    </row>
    <row r="2280" spans="1:1" x14ac:dyDescent="0.3">
      <c r="A2280" s="2">
        <v>50</v>
      </c>
    </row>
    <row r="2281" spans="1:1" x14ac:dyDescent="0.3">
      <c r="A2281" s="2">
        <v>50</v>
      </c>
    </row>
    <row r="2282" spans="1:1" x14ac:dyDescent="0.3">
      <c r="A2282" s="2">
        <v>50</v>
      </c>
    </row>
    <row r="2283" spans="1:1" x14ac:dyDescent="0.3">
      <c r="A2283" s="2">
        <v>50</v>
      </c>
    </row>
    <row r="2284" spans="1:1" x14ac:dyDescent="0.3">
      <c r="A2284" s="2">
        <v>50</v>
      </c>
    </row>
    <row r="2285" spans="1:1" x14ac:dyDescent="0.3">
      <c r="A2285" s="1">
        <v>50</v>
      </c>
    </row>
    <row r="2286" spans="1:1" x14ac:dyDescent="0.3">
      <c r="A2286" s="2">
        <v>50</v>
      </c>
    </row>
    <row r="2287" spans="1:1" x14ac:dyDescent="0.3">
      <c r="A2287" s="1">
        <v>50</v>
      </c>
    </row>
    <row r="2288" spans="1:1" x14ac:dyDescent="0.3">
      <c r="A2288" s="2">
        <v>50</v>
      </c>
    </row>
    <row r="2289" spans="1:1" x14ac:dyDescent="0.3">
      <c r="A2289" s="1">
        <v>50</v>
      </c>
    </row>
    <row r="2290" spans="1:1" x14ac:dyDescent="0.3">
      <c r="A2290" s="1">
        <v>50</v>
      </c>
    </row>
    <row r="2291" spans="1:1" x14ac:dyDescent="0.3">
      <c r="A2291" s="2">
        <v>50</v>
      </c>
    </row>
    <row r="2292" spans="1:1" x14ac:dyDescent="0.3">
      <c r="A2292" s="2">
        <v>50</v>
      </c>
    </row>
    <row r="2293" spans="1:1" x14ac:dyDescent="0.3">
      <c r="A2293" s="2">
        <v>50</v>
      </c>
    </row>
    <row r="2294" spans="1:1" x14ac:dyDescent="0.3">
      <c r="A2294" s="1">
        <v>50</v>
      </c>
    </row>
    <row r="2295" spans="1:1" x14ac:dyDescent="0.3">
      <c r="A2295" s="2">
        <v>50</v>
      </c>
    </row>
    <row r="2296" spans="1:1" x14ac:dyDescent="0.3">
      <c r="A2296" s="2">
        <v>50</v>
      </c>
    </row>
    <row r="2297" spans="1:1" x14ac:dyDescent="0.3">
      <c r="A2297" s="2">
        <v>50</v>
      </c>
    </row>
    <row r="2298" spans="1:1" x14ac:dyDescent="0.3">
      <c r="A2298" s="1">
        <v>50</v>
      </c>
    </row>
    <row r="2299" spans="1:1" x14ac:dyDescent="0.3">
      <c r="A2299" s="2">
        <v>50</v>
      </c>
    </row>
    <row r="2300" spans="1:1" x14ac:dyDescent="0.3">
      <c r="A2300" s="2">
        <v>50</v>
      </c>
    </row>
    <row r="2301" spans="1:1" x14ac:dyDescent="0.3">
      <c r="A2301" s="1">
        <v>50</v>
      </c>
    </row>
    <row r="2302" spans="1:1" x14ac:dyDescent="0.3">
      <c r="A2302" s="1">
        <v>50</v>
      </c>
    </row>
    <row r="2303" spans="1:1" x14ac:dyDescent="0.3">
      <c r="A2303" s="1">
        <v>50</v>
      </c>
    </row>
    <row r="2304" spans="1:1" x14ac:dyDescent="0.3">
      <c r="A2304" s="2">
        <v>50</v>
      </c>
    </row>
    <row r="2305" spans="1:1" x14ac:dyDescent="0.3">
      <c r="A2305" s="1">
        <v>50</v>
      </c>
    </row>
    <row r="2306" spans="1:1" x14ac:dyDescent="0.3">
      <c r="A2306" s="1">
        <v>50</v>
      </c>
    </row>
    <row r="2307" spans="1:1" x14ac:dyDescent="0.3">
      <c r="A2307" s="2">
        <v>50</v>
      </c>
    </row>
    <row r="2308" spans="1:1" x14ac:dyDescent="0.3">
      <c r="A2308" s="1">
        <v>50</v>
      </c>
    </row>
    <row r="2309" spans="1:1" x14ac:dyDescent="0.3">
      <c r="A2309" s="1">
        <v>50</v>
      </c>
    </row>
    <row r="2310" spans="1:1" x14ac:dyDescent="0.3">
      <c r="A2310" s="1">
        <v>50</v>
      </c>
    </row>
    <row r="2311" spans="1:1" x14ac:dyDescent="0.3">
      <c r="A2311" s="2">
        <v>50</v>
      </c>
    </row>
    <row r="2312" spans="1:1" x14ac:dyDescent="0.3">
      <c r="A2312" s="2">
        <v>50</v>
      </c>
    </row>
    <row r="2313" spans="1:1" x14ac:dyDescent="0.3">
      <c r="A2313" s="1">
        <v>50</v>
      </c>
    </row>
    <row r="2314" spans="1:1" x14ac:dyDescent="0.3">
      <c r="A2314" s="2">
        <v>50</v>
      </c>
    </row>
    <row r="2315" spans="1:1" x14ac:dyDescent="0.3">
      <c r="A2315" s="1">
        <v>50</v>
      </c>
    </row>
    <row r="2316" spans="1:1" x14ac:dyDescent="0.3">
      <c r="A2316" s="1">
        <v>50</v>
      </c>
    </row>
    <row r="2317" spans="1:1" x14ac:dyDescent="0.3">
      <c r="A2317" s="2">
        <v>50</v>
      </c>
    </row>
    <row r="2318" spans="1:1" x14ac:dyDescent="0.3">
      <c r="A2318" s="2">
        <v>50</v>
      </c>
    </row>
    <row r="2319" spans="1:1" x14ac:dyDescent="0.3">
      <c r="A2319" s="1">
        <v>50</v>
      </c>
    </row>
    <row r="2320" spans="1:1" x14ac:dyDescent="0.3">
      <c r="A2320" s="1">
        <v>50</v>
      </c>
    </row>
    <row r="2321" spans="1:1" x14ac:dyDescent="0.3">
      <c r="A2321" s="2">
        <v>50</v>
      </c>
    </row>
    <row r="2322" spans="1:1" x14ac:dyDescent="0.3">
      <c r="A2322" s="1">
        <v>50</v>
      </c>
    </row>
    <row r="2323" spans="1:1" x14ac:dyDescent="0.3">
      <c r="A2323" s="1">
        <v>50</v>
      </c>
    </row>
    <row r="2324" spans="1:1" x14ac:dyDescent="0.3">
      <c r="A2324" s="1">
        <v>50</v>
      </c>
    </row>
    <row r="2325" spans="1:1" x14ac:dyDescent="0.3">
      <c r="A2325" s="1">
        <v>50</v>
      </c>
    </row>
    <row r="2326" spans="1:1" x14ac:dyDescent="0.3">
      <c r="A2326" s="1">
        <v>50</v>
      </c>
    </row>
    <row r="2327" spans="1:1" x14ac:dyDescent="0.3">
      <c r="A2327" s="2">
        <v>50</v>
      </c>
    </row>
    <row r="2328" spans="1:1" x14ac:dyDescent="0.3">
      <c r="A2328" s="1">
        <v>50</v>
      </c>
    </row>
    <row r="2329" spans="1:1" x14ac:dyDescent="0.3">
      <c r="A2329" s="2">
        <v>50</v>
      </c>
    </row>
    <row r="2330" spans="1:1" x14ac:dyDescent="0.3">
      <c r="A2330" s="2">
        <v>50</v>
      </c>
    </row>
    <row r="2331" spans="1:1" x14ac:dyDescent="0.3">
      <c r="A2331" s="1">
        <v>50</v>
      </c>
    </row>
    <row r="2332" spans="1:1" x14ac:dyDescent="0.3">
      <c r="A2332" s="1">
        <v>50</v>
      </c>
    </row>
    <row r="2333" spans="1:1" x14ac:dyDescent="0.3">
      <c r="A2333" s="1">
        <v>50</v>
      </c>
    </row>
    <row r="2334" spans="1:1" x14ac:dyDescent="0.3">
      <c r="A2334" s="1">
        <v>50</v>
      </c>
    </row>
    <row r="2335" spans="1:1" x14ac:dyDescent="0.3">
      <c r="A2335" s="2">
        <v>50</v>
      </c>
    </row>
    <row r="2336" spans="1:1" x14ac:dyDescent="0.3">
      <c r="A2336" s="1">
        <v>50</v>
      </c>
    </row>
    <row r="2337" spans="1:1" x14ac:dyDescent="0.3">
      <c r="A2337" s="1">
        <v>50</v>
      </c>
    </row>
    <row r="2338" spans="1:1" x14ac:dyDescent="0.3">
      <c r="A2338" s="1">
        <v>50</v>
      </c>
    </row>
    <row r="2339" spans="1:1" x14ac:dyDescent="0.3">
      <c r="A2339" s="2">
        <v>50</v>
      </c>
    </row>
    <row r="2340" spans="1:1" x14ac:dyDescent="0.3">
      <c r="A2340" s="2">
        <v>50</v>
      </c>
    </row>
    <row r="2341" spans="1:1" x14ac:dyDescent="0.3">
      <c r="A2341" s="2">
        <v>50</v>
      </c>
    </row>
    <row r="2342" spans="1:1" x14ac:dyDescent="0.3">
      <c r="A2342" s="2">
        <v>50</v>
      </c>
    </row>
    <row r="2343" spans="1:1" x14ac:dyDescent="0.3">
      <c r="A2343" s="2">
        <v>50</v>
      </c>
    </row>
    <row r="2344" spans="1:1" x14ac:dyDescent="0.3">
      <c r="A2344" s="1">
        <v>48</v>
      </c>
    </row>
    <row r="2345" spans="1:1" x14ac:dyDescent="0.3">
      <c r="A2345" s="2">
        <v>47</v>
      </c>
    </row>
    <row r="2346" spans="1:1" x14ac:dyDescent="0.3">
      <c r="A2346" s="2">
        <v>46.599998474121101</v>
      </c>
    </row>
    <row r="2347" spans="1:1" x14ac:dyDescent="0.3">
      <c r="A2347" s="1">
        <v>46</v>
      </c>
    </row>
    <row r="2348" spans="1:1" x14ac:dyDescent="0.3">
      <c r="A2348" s="1">
        <v>46</v>
      </c>
    </row>
    <row r="2349" spans="1:1" x14ac:dyDescent="0.3">
      <c r="A2349" s="2">
        <v>46</v>
      </c>
    </row>
    <row r="2350" spans="1:1" x14ac:dyDescent="0.3">
      <c r="A2350" s="1">
        <v>46</v>
      </c>
    </row>
    <row r="2351" spans="1:1" x14ac:dyDescent="0.3">
      <c r="A2351" s="2">
        <v>46</v>
      </c>
    </row>
    <row r="2352" spans="1:1" x14ac:dyDescent="0.3">
      <c r="A2352" s="1">
        <v>45</v>
      </c>
    </row>
    <row r="2353" spans="1:1" x14ac:dyDescent="0.3">
      <c r="A2353" s="1">
        <v>45</v>
      </c>
    </row>
    <row r="2354" spans="1:1" x14ac:dyDescent="0.3">
      <c r="A2354" s="2">
        <v>45</v>
      </c>
    </row>
    <row r="2355" spans="1:1" x14ac:dyDescent="0.3">
      <c r="A2355" s="1">
        <v>45</v>
      </c>
    </row>
    <row r="2356" spans="1:1" x14ac:dyDescent="0.3">
      <c r="A2356" s="1">
        <v>45</v>
      </c>
    </row>
    <row r="2357" spans="1:1" x14ac:dyDescent="0.3">
      <c r="A2357" s="1">
        <v>45</v>
      </c>
    </row>
    <row r="2358" spans="1:1" x14ac:dyDescent="0.3">
      <c r="A2358" s="2">
        <v>45</v>
      </c>
    </row>
    <row r="2359" spans="1:1" x14ac:dyDescent="0.3">
      <c r="A2359" s="1">
        <v>45</v>
      </c>
    </row>
    <row r="2360" spans="1:1" x14ac:dyDescent="0.3">
      <c r="A2360" s="2">
        <v>45</v>
      </c>
    </row>
    <row r="2361" spans="1:1" x14ac:dyDescent="0.3">
      <c r="A2361" s="1">
        <v>45</v>
      </c>
    </row>
    <row r="2362" spans="1:1" x14ac:dyDescent="0.3">
      <c r="A2362" s="2">
        <v>45</v>
      </c>
    </row>
    <row r="2363" spans="1:1" x14ac:dyDescent="0.3">
      <c r="A2363" s="2">
        <v>45</v>
      </c>
    </row>
    <row r="2364" spans="1:1" x14ac:dyDescent="0.3">
      <c r="A2364" s="2">
        <v>45</v>
      </c>
    </row>
    <row r="2365" spans="1:1" x14ac:dyDescent="0.3">
      <c r="A2365" s="2">
        <v>45</v>
      </c>
    </row>
    <row r="2366" spans="1:1" x14ac:dyDescent="0.3">
      <c r="A2366" s="1">
        <v>45</v>
      </c>
    </row>
    <row r="2367" spans="1:1" x14ac:dyDescent="0.3">
      <c r="A2367" s="1">
        <v>45</v>
      </c>
    </row>
    <row r="2368" spans="1:1" x14ac:dyDescent="0.3">
      <c r="A2368" s="1">
        <v>45</v>
      </c>
    </row>
    <row r="2369" spans="1:1" x14ac:dyDescent="0.3">
      <c r="A2369" s="2">
        <v>45</v>
      </c>
    </row>
    <row r="2370" spans="1:1" x14ac:dyDescent="0.3">
      <c r="A2370" s="1">
        <v>45</v>
      </c>
    </row>
    <row r="2371" spans="1:1" x14ac:dyDescent="0.3">
      <c r="A2371" s="2">
        <v>45</v>
      </c>
    </row>
    <row r="2372" spans="1:1" x14ac:dyDescent="0.3">
      <c r="A2372" s="2">
        <v>45</v>
      </c>
    </row>
    <row r="2373" spans="1:1" x14ac:dyDescent="0.3">
      <c r="A2373" s="1">
        <v>45</v>
      </c>
    </row>
    <row r="2374" spans="1:1" x14ac:dyDescent="0.3">
      <c r="A2374" s="1">
        <v>45</v>
      </c>
    </row>
    <row r="2375" spans="1:1" x14ac:dyDescent="0.3">
      <c r="A2375" s="1">
        <v>45</v>
      </c>
    </row>
    <row r="2376" spans="1:1" x14ac:dyDescent="0.3">
      <c r="A2376" s="2">
        <v>44</v>
      </c>
    </row>
    <row r="2377" spans="1:1" x14ac:dyDescent="0.3">
      <c r="A2377" s="1">
        <v>43</v>
      </c>
    </row>
    <row r="2378" spans="1:1" x14ac:dyDescent="0.3">
      <c r="A2378" s="1">
        <v>43</v>
      </c>
    </row>
    <row r="2379" spans="1:1" x14ac:dyDescent="0.3">
      <c r="A2379" s="2">
        <v>43</v>
      </c>
    </row>
    <row r="2380" spans="1:1" x14ac:dyDescent="0.3">
      <c r="A2380" s="2">
        <v>43</v>
      </c>
    </row>
    <row r="2381" spans="1:1" x14ac:dyDescent="0.3">
      <c r="A2381" s="2">
        <v>42</v>
      </c>
    </row>
    <row r="2382" spans="1:1" x14ac:dyDescent="0.3">
      <c r="A2382" s="1">
        <v>42</v>
      </c>
    </row>
    <row r="2383" spans="1:1" x14ac:dyDescent="0.3">
      <c r="A2383" s="2">
        <v>42</v>
      </c>
    </row>
    <row r="2384" spans="1:1" x14ac:dyDescent="0.3">
      <c r="A2384" s="1">
        <v>41</v>
      </c>
    </row>
    <row r="2385" spans="1:1" x14ac:dyDescent="0.3">
      <c r="A2385" s="1">
        <v>40</v>
      </c>
    </row>
    <row r="2386" spans="1:1" x14ac:dyDescent="0.3">
      <c r="A2386" s="2">
        <v>40</v>
      </c>
    </row>
    <row r="2387" spans="1:1" x14ac:dyDescent="0.3">
      <c r="A2387" s="2">
        <v>40</v>
      </c>
    </row>
    <row r="2388" spans="1:1" x14ac:dyDescent="0.3">
      <c r="A2388" s="1">
        <v>40</v>
      </c>
    </row>
    <row r="2389" spans="1:1" x14ac:dyDescent="0.3">
      <c r="A2389" s="1">
        <v>40</v>
      </c>
    </row>
    <row r="2390" spans="1:1" x14ac:dyDescent="0.3">
      <c r="A2390" s="1">
        <v>40</v>
      </c>
    </row>
    <row r="2391" spans="1:1" x14ac:dyDescent="0.3">
      <c r="A2391" s="1">
        <v>40</v>
      </c>
    </row>
    <row r="2392" spans="1:1" x14ac:dyDescent="0.3">
      <c r="A2392" s="2">
        <v>40</v>
      </c>
    </row>
    <row r="2393" spans="1:1" x14ac:dyDescent="0.3">
      <c r="A2393" s="2">
        <v>40</v>
      </c>
    </row>
    <row r="2394" spans="1:1" x14ac:dyDescent="0.3">
      <c r="A2394" s="1">
        <v>40</v>
      </c>
    </row>
    <row r="2395" spans="1:1" x14ac:dyDescent="0.3">
      <c r="A2395" s="1">
        <v>40</v>
      </c>
    </row>
    <row r="2396" spans="1:1" x14ac:dyDescent="0.3">
      <c r="A2396" s="1">
        <v>40</v>
      </c>
    </row>
    <row r="2397" spans="1:1" x14ac:dyDescent="0.3">
      <c r="A2397" s="1">
        <v>40</v>
      </c>
    </row>
    <row r="2398" spans="1:1" x14ac:dyDescent="0.3">
      <c r="A2398" s="1">
        <v>40</v>
      </c>
    </row>
    <row r="2399" spans="1:1" x14ac:dyDescent="0.3">
      <c r="A2399" s="2">
        <v>40</v>
      </c>
    </row>
    <row r="2400" spans="1:1" x14ac:dyDescent="0.3">
      <c r="A2400" s="1">
        <v>40</v>
      </c>
    </row>
    <row r="2401" spans="1:1" x14ac:dyDescent="0.3">
      <c r="A2401" s="2">
        <v>40</v>
      </c>
    </row>
    <row r="2402" spans="1:1" x14ac:dyDescent="0.3">
      <c r="A2402" s="2">
        <v>40</v>
      </c>
    </row>
    <row r="2403" spans="1:1" x14ac:dyDescent="0.3">
      <c r="A2403" s="2">
        <v>40</v>
      </c>
    </row>
    <row r="2404" spans="1:1" x14ac:dyDescent="0.3">
      <c r="A2404" s="2">
        <v>40</v>
      </c>
    </row>
    <row r="2405" spans="1:1" x14ac:dyDescent="0.3">
      <c r="A2405" s="1">
        <v>40</v>
      </c>
    </row>
    <row r="2406" spans="1:1" x14ac:dyDescent="0.3">
      <c r="A2406" s="2">
        <v>40</v>
      </c>
    </row>
    <row r="2407" spans="1:1" x14ac:dyDescent="0.3">
      <c r="A2407" s="1">
        <v>40</v>
      </c>
    </row>
    <row r="2408" spans="1:1" x14ac:dyDescent="0.3">
      <c r="A2408" s="2">
        <v>40</v>
      </c>
    </row>
    <row r="2409" spans="1:1" x14ac:dyDescent="0.3">
      <c r="A2409" s="2">
        <v>40</v>
      </c>
    </row>
    <row r="2410" spans="1:1" x14ac:dyDescent="0.3">
      <c r="A2410" s="1">
        <v>40</v>
      </c>
    </row>
    <row r="2411" spans="1:1" x14ac:dyDescent="0.3">
      <c r="A2411" s="2">
        <v>40</v>
      </c>
    </row>
    <row r="2412" spans="1:1" x14ac:dyDescent="0.3">
      <c r="A2412" s="2">
        <v>40</v>
      </c>
    </row>
    <row r="2413" spans="1:1" x14ac:dyDescent="0.3">
      <c r="A2413" s="2">
        <v>40</v>
      </c>
    </row>
    <row r="2414" spans="1:1" x14ac:dyDescent="0.3">
      <c r="A2414" s="2">
        <v>40</v>
      </c>
    </row>
    <row r="2415" spans="1:1" x14ac:dyDescent="0.3">
      <c r="A2415" s="2">
        <v>40</v>
      </c>
    </row>
    <row r="2416" spans="1:1" x14ac:dyDescent="0.3">
      <c r="A2416" s="2">
        <v>40</v>
      </c>
    </row>
    <row r="2417" spans="1:1" x14ac:dyDescent="0.3">
      <c r="A2417" s="1">
        <v>40</v>
      </c>
    </row>
    <row r="2418" spans="1:1" x14ac:dyDescent="0.3">
      <c r="A2418" s="2">
        <v>40</v>
      </c>
    </row>
    <row r="2419" spans="1:1" x14ac:dyDescent="0.3">
      <c r="A2419" s="1">
        <v>40</v>
      </c>
    </row>
    <row r="2420" spans="1:1" x14ac:dyDescent="0.3">
      <c r="A2420" s="2">
        <v>40</v>
      </c>
    </row>
    <row r="2421" spans="1:1" x14ac:dyDescent="0.3">
      <c r="A2421" s="2">
        <v>40</v>
      </c>
    </row>
    <row r="2422" spans="1:1" x14ac:dyDescent="0.3">
      <c r="A2422" s="1">
        <v>40</v>
      </c>
    </row>
    <row r="2423" spans="1:1" x14ac:dyDescent="0.3">
      <c r="A2423" s="2">
        <v>40</v>
      </c>
    </row>
    <row r="2424" spans="1:1" x14ac:dyDescent="0.3">
      <c r="A2424" s="1">
        <v>40</v>
      </c>
    </row>
    <row r="2425" spans="1:1" x14ac:dyDescent="0.3">
      <c r="A2425" s="1">
        <v>40</v>
      </c>
    </row>
    <row r="2426" spans="1:1" x14ac:dyDescent="0.3">
      <c r="A2426" s="2">
        <v>40</v>
      </c>
    </row>
    <row r="2427" spans="1:1" x14ac:dyDescent="0.3">
      <c r="A2427" s="1">
        <v>40</v>
      </c>
    </row>
    <row r="2428" spans="1:1" x14ac:dyDescent="0.3">
      <c r="A2428" s="2">
        <v>40</v>
      </c>
    </row>
    <row r="2429" spans="1:1" x14ac:dyDescent="0.3">
      <c r="A2429" s="1">
        <v>40</v>
      </c>
    </row>
    <row r="2430" spans="1:1" x14ac:dyDescent="0.3">
      <c r="A2430" s="1">
        <v>40</v>
      </c>
    </row>
    <row r="2431" spans="1:1" x14ac:dyDescent="0.3">
      <c r="A2431" s="1">
        <v>40</v>
      </c>
    </row>
    <row r="2432" spans="1:1" x14ac:dyDescent="0.3">
      <c r="A2432" s="1">
        <v>40</v>
      </c>
    </row>
    <row r="2433" spans="1:1" x14ac:dyDescent="0.3">
      <c r="A2433" s="1">
        <v>40</v>
      </c>
    </row>
    <row r="2434" spans="1:1" x14ac:dyDescent="0.3">
      <c r="A2434" s="2">
        <v>39</v>
      </c>
    </row>
    <row r="2435" spans="1:1" x14ac:dyDescent="0.3">
      <c r="A2435" s="2">
        <v>37</v>
      </c>
    </row>
    <row r="2436" spans="1:1" x14ac:dyDescent="0.3">
      <c r="A2436" s="2">
        <v>37</v>
      </c>
    </row>
    <row r="2437" spans="1:1" x14ac:dyDescent="0.3">
      <c r="A2437" s="1">
        <v>36</v>
      </c>
    </row>
    <row r="2438" spans="1:1" x14ac:dyDescent="0.3">
      <c r="A2438" s="1">
        <v>36</v>
      </c>
    </row>
    <row r="2439" spans="1:1" x14ac:dyDescent="0.3">
      <c r="A2439" s="2">
        <v>35</v>
      </c>
    </row>
    <row r="2440" spans="1:1" x14ac:dyDescent="0.3">
      <c r="A2440" s="1">
        <v>35</v>
      </c>
    </row>
    <row r="2441" spans="1:1" x14ac:dyDescent="0.3">
      <c r="A2441" s="1">
        <v>35</v>
      </c>
    </row>
    <row r="2442" spans="1:1" x14ac:dyDescent="0.3">
      <c r="A2442" s="1">
        <v>35</v>
      </c>
    </row>
    <row r="2443" spans="1:1" x14ac:dyDescent="0.3">
      <c r="A2443" s="1">
        <v>35</v>
      </c>
    </row>
    <row r="2444" spans="1:1" x14ac:dyDescent="0.3">
      <c r="A2444" s="1">
        <v>35</v>
      </c>
    </row>
    <row r="2445" spans="1:1" x14ac:dyDescent="0.3">
      <c r="A2445" s="2">
        <v>35</v>
      </c>
    </row>
    <row r="2446" spans="1:1" x14ac:dyDescent="0.3">
      <c r="A2446" s="1">
        <v>33</v>
      </c>
    </row>
    <row r="2447" spans="1:1" x14ac:dyDescent="0.3">
      <c r="A2447" s="1">
        <v>33</v>
      </c>
    </row>
    <row r="2448" spans="1:1" x14ac:dyDescent="0.3">
      <c r="A2448" s="2">
        <v>33</v>
      </c>
    </row>
    <row r="2449" spans="1:1" x14ac:dyDescent="0.3">
      <c r="A2449" s="1">
        <v>33</v>
      </c>
    </row>
    <row r="2450" spans="1:1" x14ac:dyDescent="0.3">
      <c r="A2450" s="1">
        <v>33</v>
      </c>
    </row>
    <row r="2451" spans="1:1" x14ac:dyDescent="0.3">
      <c r="A2451" s="2">
        <v>33</v>
      </c>
    </row>
    <row r="2452" spans="1:1" x14ac:dyDescent="0.3">
      <c r="A2452" s="1">
        <v>33</v>
      </c>
    </row>
    <row r="2453" spans="1:1" x14ac:dyDescent="0.3">
      <c r="A2453" s="2">
        <v>33</v>
      </c>
    </row>
    <row r="2454" spans="1:1" x14ac:dyDescent="0.3">
      <c r="A2454" s="1">
        <v>33</v>
      </c>
    </row>
    <row r="2455" spans="1:1" x14ac:dyDescent="0.3">
      <c r="A2455" s="2">
        <v>33</v>
      </c>
    </row>
    <row r="2456" spans="1:1" x14ac:dyDescent="0.3">
      <c r="A2456" s="1">
        <v>33</v>
      </c>
    </row>
    <row r="2457" spans="1:1" x14ac:dyDescent="0.3">
      <c r="A2457" s="2">
        <v>33</v>
      </c>
    </row>
    <row r="2458" spans="1:1" x14ac:dyDescent="0.3">
      <c r="A2458" s="2">
        <v>33</v>
      </c>
    </row>
    <row r="2459" spans="1:1" x14ac:dyDescent="0.3">
      <c r="A2459" s="2">
        <v>33</v>
      </c>
    </row>
    <row r="2460" spans="1:1" x14ac:dyDescent="0.3">
      <c r="A2460" s="1">
        <v>33</v>
      </c>
    </row>
    <row r="2461" spans="1:1" x14ac:dyDescent="0.3">
      <c r="A2461" s="1">
        <v>33</v>
      </c>
    </row>
    <row r="2462" spans="1:1" x14ac:dyDescent="0.3">
      <c r="A2462" s="2">
        <v>33</v>
      </c>
    </row>
    <row r="2463" spans="1:1" x14ac:dyDescent="0.3">
      <c r="A2463" s="1">
        <v>33</v>
      </c>
    </row>
    <row r="2464" spans="1:1" x14ac:dyDescent="0.3">
      <c r="A2464" s="1">
        <v>33</v>
      </c>
    </row>
    <row r="2465" spans="1:1" x14ac:dyDescent="0.3">
      <c r="A2465" s="1">
        <v>33</v>
      </c>
    </row>
    <row r="2466" spans="1:1" x14ac:dyDescent="0.3">
      <c r="A2466" s="2">
        <v>33</v>
      </c>
    </row>
    <row r="2467" spans="1:1" x14ac:dyDescent="0.3">
      <c r="A2467" s="2">
        <v>33</v>
      </c>
    </row>
    <row r="2468" spans="1:1" x14ac:dyDescent="0.3">
      <c r="A2468" s="2">
        <v>33</v>
      </c>
    </row>
    <row r="2469" spans="1:1" x14ac:dyDescent="0.3">
      <c r="A2469" s="2">
        <v>32</v>
      </c>
    </row>
    <row r="2470" spans="1:1" x14ac:dyDescent="0.3">
      <c r="A2470" s="1">
        <v>31</v>
      </c>
    </row>
    <row r="2471" spans="1:1" x14ac:dyDescent="0.3">
      <c r="A2471" s="1">
        <v>30</v>
      </c>
    </row>
    <row r="2472" spans="1:1" x14ac:dyDescent="0.3">
      <c r="A2472" s="2">
        <v>30</v>
      </c>
    </row>
    <row r="2473" spans="1:1" x14ac:dyDescent="0.3">
      <c r="A2473" s="2">
        <v>30</v>
      </c>
    </row>
    <row r="2474" spans="1:1" x14ac:dyDescent="0.3">
      <c r="A2474" s="2">
        <v>30</v>
      </c>
    </row>
    <row r="2475" spans="1:1" x14ac:dyDescent="0.3">
      <c r="A2475" s="1">
        <v>30</v>
      </c>
    </row>
    <row r="2476" spans="1:1" x14ac:dyDescent="0.3">
      <c r="A2476" s="1">
        <v>30</v>
      </c>
    </row>
    <row r="2477" spans="1:1" x14ac:dyDescent="0.3">
      <c r="A2477" s="2">
        <v>30</v>
      </c>
    </row>
    <row r="2478" spans="1:1" x14ac:dyDescent="0.3">
      <c r="A2478" s="2">
        <v>30</v>
      </c>
    </row>
    <row r="2479" spans="1:1" x14ac:dyDescent="0.3">
      <c r="A2479" s="1">
        <v>30</v>
      </c>
    </row>
    <row r="2480" spans="1:1" x14ac:dyDescent="0.3">
      <c r="A2480" s="1">
        <v>30</v>
      </c>
    </row>
    <row r="2481" spans="1:1" x14ac:dyDescent="0.3">
      <c r="A2481" s="1">
        <v>30</v>
      </c>
    </row>
    <row r="2482" spans="1:1" x14ac:dyDescent="0.3">
      <c r="A2482" s="2">
        <v>30</v>
      </c>
    </row>
    <row r="2483" spans="1:1" x14ac:dyDescent="0.3">
      <c r="A2483" s="2">
        <v>30</v>
      </c>
    </row>
    <row r="2484" spans="1:1" x14ac:dyDescent="0.3">
      <c r="A2484" s="1">
        <v>30</v>
      </c>
    </row>
    <row r="2485" spans="1:1" x14ac:dyDescent="0.3">
      <c r="A2485" s="1">
        <v>30</v>
      </c>
    </row>
    <row r="2486" spans="1:1" x14ac:dyDescent="0.3">
      <c r="A2486" s="1">
        <v>30</v>
      </c>
    </row>
    <row r="2487" spans="1:1" x14ac:dyDescent="0.3">
      <c r="A2487" s="1">
        <v>30</v>
      </c>
    </row>
    <row r="2488" spans="1:1" x14ac:dyDescent="0.3">
      <c r="A2488" s="1">
        <v>30</v>
      </c>
    </row>
    <row r="2489" spans="1:1" x14ac:dyDescent="0.3">
      <c r="A2489" s="1">
        <v>30</v>
      </c>
    </row>
    <row r="2490" spans="1:1" x14ac:dyDescent="0.3">
      <c r="A2490" s="2">
        <v>30</v>
      </c>
    </row>
    <row r="2491" spans="1:1" x14ac:dyDescent="0.3">
      <c r="A2491" s="1">
        <v>30</v>
      </c>
    </row>
    <row r="2492" spans="1:1" x14ac:dyDescent="0.3">
      <c r="A2492" s="2">
        <v>30</v>
      </c>
    </row>
    <row r="2493" spans="1:1" x14ac:dyDescent="0.3">
      <c r="A2493" s="1">
        <v>30</v>
      </c>
    </row>
    <row r="2494" spans="1:1" x14ac:dyDescent="0.3">
      <c r="A2494" s="2">
        <v>30</v>
      </c>
    </row>
    <row r="2495" spans="1:1" x14ac:dyDescent="0.3">
      <c r="A2495" s="1">
        <v>30</v>
      </c>
    </row>
    <row r="2496" spans="1:1" x14ac:dyDescent="0.3">
      <c r="A2496" s="2">
        <v>30</v>
      </c>
    </row>
    <row r="2497" spans="1:1" x14ac:dyDescent="0.3">
      <c r="A2497" s="2">
        <v>30</v>
      </c>
    </row>
    <row r="2498" spans="1:1" x14ac:dyDescent="0.3">
      <c r="A2498" s="1">
        <v>30</v>
      </c>
    </row>
    <row r="2499" spans="1:1" x14ac:dyDescent="0.3">
      <c r="A2499" s="2">
        <v>30</v>
      </c>
    </row>
    <row r="2500" spans="1:1" x14ac:dyDescent="0.3">
      <c r="A2500" s="1">
        <v>30</v>
      </c>
    </row>
    <row r="2501" spans="1:1" x14ac:dyDescent="0.3">
      <c r="A2501" s="2">
        <v>30</v>
      </c>
    </row>
    <row r="2502" spans="1:1" x14ac:dyDescent="0.3">
      <c r="A2502" s="1">
        <v>30</v>
      </c>
    </row>
    <row r="2503" spans="1:1" x14ac:dyDescent="0.3">
      <c r="A2503" s="1">
        <v>30</v>
      </c>
    </row>
    <row r="2504" spans="1:1" x14ac:dyDescent="0.3">
      <c r="A2504" s="1">
        <v>30</v>
      </c>
    </row>
    <row r="2505" spans="1:1" x14ac:dyDescent="0.3">
      <c r="A2505" s="2">
        <v>30</v>
      </c>
    </row>
    <row r="2506" spans="1:1" x14ac:dyDescent="0.3">
      <c r="A2506" s="2">
        <v>30</v>
      </c>
    </row>
    <row r="2507" spans="1:1" x14ac:dyDescent="0.3">
      <c r="A2507" s="2">
        <v>30</v>
      </c>
    </row>
    <row r="2508" spans="1:1" x14ac:dyDescent="0.3">
      <c r="A2508" s="1">
        <v>30</v>
      </c>
    </row>
    <row r="2509" spans="1:1" x14ac:dyDescent="0.3">
      <c r="A2509" s="1">
        <v>30</v>
      </c>
    </row>
    <row r="2510" spans="1:1" x14ac:dyDescent="0.3">
      <c r="A2510" s="2">
        <v>30</v>
      </c>
    </row>
    <row r="2511" spans="1:1" x14ac:dyDescent="0.3">
      <c r="A2511" s="2">
        <v>30</v>
      </c>
    </row>
    <row r="2512" spans="1:1" x14ac:dyDescent="0.3">
      <c r="A2512" s="1">
        <v>30</v>
      </c>
    </row>
    <row r="2513" spans="1:1" x14ac:dyDescent="0.3">
      <c r="A2513" s="1">
        <v>30</v>
      </c>
    </row>
    <row r="2514" spans="1:1" x14ac:dyDescent="0.3">
      <c r="A2514" s="2">
        <v>30</v>
      </c>
    </row>
    <row r="2515" spans="1:1" x14ac:dyDescent="0.3">
      <c r="A2515" s="2">
        <v>30</v>
      </c>
    </row>
    <row r="2516" spans="1:1" x14ac:dyDescent="0.3">
      <c r="A2516" s="2">
        <v>30</v>
      </c>
    </row>
    <row r="2517" spans="1:1" x14ac:dyDescent="0.3">
      <c r="A2517" s="1">
        <v>30</v>
      </c>
    </row>
    <row r="2518" spans="1:1" x14ac:dyDescent="0.3">
      <c r="A2518" s="1">
        <v>30</v>
      </c>
    </row>
    <row r="2519" spans="1:1" x14ac:dyDescent="0.3">
      <c r="A2519" s="2">
        <v>30</v>
      </c>
    </row>
    <row r="2520" spans="1:1" x14ac:dyDescent="0.3">
      <c r="A2520" s="1">
        <v>30</v>
      </c>
    </row>
    <row r="2521" spans="1:1" x14ac:dyDescent="0.3">
      <c r="A2521" s="1">
        <v>28</v>
      </c>
    </row>
    <row r="2522" spans="1:1" x14ac:dyDescent="0.3">
      <c r="A2522" s="1">
        <v>28</v>
      </c>
    </row>
    <row r="2523" spans="1:1" x14ac:dyDescent="0.3">
      <c r="A2523" s="2">
        <v>27</v>
      </c>
    </row>
    <row r="2524" spans="1:1" x14ac:dyDescent="0.3">
      <c r="A2524" s="2">
        <v>27</v>
      </c>
    </row>
    <row r="2525" spans="1:1" x14ac:dyDescent="0.3">
      <c r="A2525" s="1">
        <v>27</v>
      </c>
    </row>
    <row r="2526" spans="1:1" x14ac:dyDescent="0.3">
      <c r="A2526" s="1">
        <v>27</v>
      </c>
    </row>
    <row r="2527" spans="1:1" x14ac:dyDescent="0.3">
      <c r="A2527" s="2">
        <v>27</v>
      </c>
    </row>
    <row r="2528" spans="1:1" x14ac:dyDescent="0.3">
      <c r="A2528" s="1">
        <v>26</v>
      </c>
    </row>
    <row r="2529" spans="1:1" x14ac:dyDescent="0.3">
      <c r="A2529" s="2">
        <v>26</v>
      </c>
    </row>
    <row r="2530" spans="1:1" x14ac:dyDescent="0.3">
      <c r="A2530" s="1">
        <v>26</v>
      </c>
    </row>
    <row r="2531" spans="1:1" x14ac:dyDescent="0.3">
      <c r="A2531" s="2">
        <v>25</v>
      </c>
    </row>
    <row r="2532" spans="1:1" x14ac:dyDescent="0.3">
      <c r="A2532" s="1">
        <v>25</v>
      </c>
    </row>
    <row r="2533" spans="1:1" x14ac:dyDescent="0.3">
      <c r="A2533" s="2">
        <v>25</v>
      </c>
    </row>
    <row r="2534" spans="1:1" x14ac:dyDescent="0.3">
      <c r="A2534" s="1">
        <v>25</v>
      </c>
    </row>
    <row r="2535" spans="1:1" x14ac:dyDescent="0.3">
      <c r="A2535" s="1">
        <v>25</v>
      </c>
    </row>
    <row r="2536" spans="1:1" x14ac:dyDescent="0.3">
      <c r="A2536" s="1">
        <v>25</v>
      </c>
    </row>
    <row r="2537" spans="1:1" x14ac:dyDescent="0.3">
      <c r="A2537" s="2">
        <v>25</v>
      </c>
    </row>
    <row r="2538" spans="1:1" x14ac:dyDescent="0.3">
      <c r="A2538" s="2">
        <v>25</v>
      </c>
    </row>
    <row r="2539" spans="1:1" x14ac:dyDescent="0.3">
      <c r="A2539" s="1">
        <v>25</v>
      </c>
    </row>
    <row r="2540" spans="1:1" x14ac:dyDescent="0.3">
      <c r="A2540" s="1">
        <v>25</v>
      </c>
    </row>
    <row r="2541" spans="1:1" x14ac:dyDescent="0.3">
      <c r="A2541" s="1">
        <v>25</v>
      </c>
    </row>
    <row r="2542" spans="1:1" x14ac:dyDescent="0.3">
      <c r="A2542" s="2">
        <v>25</v>
      </c>
    </row>
    <row r="2543" spans="1:1" x14ac:dyDescent="0.3">
      <c r="A2543" s="2">
        <v>25</v>
      </c>
    </row>
    <row r="2544" spans="1:1" x14ac:dyDescent="0.3">
      <c r="A2544" s="1">
        <v>25</v>
      </c>
    </row>
    <row r="2545" spans="1:1" x14ac:dyDescent="0.3">
      <c r="A2545" s="2">
        <v>25</v>
      </c>
    </row>
    <row r="2546" spans="1:1" x14ac:dyDescent="0.3">
      <c r="A2546" s="1">
        <v>25</v>
      </c>
    </row>
    <row r="2547" spans="1:1" x14ac:dyDescent="0.3">
      <c r="A2547" s="1">
        <v>25</v>
      </c>
    </row>
    <row r="2548" spans="1:1" x14ac:dyDescent="0.3">
      <c r="A2548" s="1">
        <v>25</v>
      </c>
    </row>
    <row r="2549" spans="1:1" x14ac:dyDescent="0.3">
      <c r="A2549" s="2">
        <v>25</v>
      </c>
    </row>
    <row r="2550" spans="1:1" x14ac:dyDescent="0.3">
      <c r="A2550" s="1">
        <v>25</v>
      </c>
    </row>
    <row r="2551" spans="1:1" x14ac:dyDescent="0.3">
      <c r="A2551" s="2">
        <v>25</v>
      </c>
    </row>
    <row r="2552" spans="1:1" x14ac:dyDescent="0.3">
      <c r="A2552" s="2">
        <v>25</v>
      </c>
    </row>
    <row r="2553" spans="1:1" x14ac:dyDescent="0.3">
      <c r="A2553" s="2">
        <v>25</v>
      </c>
    </row>
    <row r="2554" spans="1:1" x14ac:dyDescent="0.3">
      <c r="A2554" s="1">
        <v>25</v>
      </c>
    </row>
    <row r="2555" spans="1:1" x14ac:dyDescent="0.3">
      <c r="A2555" s="2">
        <v>25</v>
      </c>
    </row>
    <row r="2556" spans="1:1" x14ac:dyDescent="0.3">
      <c r="A2556" s="2">
        <v>25</v>
      </c>
    </row>
    <row r="2557" spans="1:1" x14ac:dyDescent="0.3">
      <c r="A2557" s="1">
        <v>25</v>
      </c>
    </row>
    <row r="2558" spans="1:1" x14ac:dyDescent="0.3">
      <c r="A2558" s="1">
        <v>25</v>
      </c>
    </row>
    <row r="2559" spans="1:1" x14ac:dyDescent="0.3">
      <c r="A2559" s="2">
        <v>25</v>
      </c>
    </row>
    <row r="2560" spans="1:1" x14ac:dyDescent="0.3">
      <c r="A2560" s="1">
        <v>25</v>
      </c>
    </row>
    <row r="2561" spans="1:1" x14ac:dyDescent="0.3">
      <c r="A2561" s="2">
        <v>25</v>
      </c>
    </row>
    <row r="2562" spans="1:1" x14ac:dyDescent="0.3">
      <c r="A2562" s="1">
        <v>25</v>
      </c>
    </row>
    <row r="2563" spans="1:1" x14ac:dyDescent="0.3">
      <c r="A2563" s="2">
        <v>25</v>
      </c>
    </row>
    <row r="2564" spans="1:1" x14ac:dyDescent="0.3">
      <c r="A2564" s="2">
        <v>23</v>
      </c>
    </row>
    <row r="2565" spans="1:1" x14ac:dyDescent="0.3">
      <c r="A2565" s="2">
        <v>23</v>
      </c>
    </row>
    <row r="2566" spans="1:1" x14ac:dyDescent="0.3">
      <c r="A2566" s="1">
        <v>23</v>
      </c>
    </row>
    <row r="2567" spans="1:1" x14ac:dyDescent="0.3">
      <c r="A2567" s="1">
        <v>23</v>
      </c>
    </row>
    <row r="2568" spans="1:1" x14ac:dyDescent="0.3">
      <c r="A2568" s="1">
        <v>23</v>
      </c>
    </row>
    <row r="2569" spans="1:1" x14ac:dyDescent="0.3">
      <c r="A2569" s="1">
        <v>22</v>
      </c>
    </row>
    <row r="2570" spans="1:1" x14ac:dyDescent="0.3">
      <c r="A2570" s="1">
        <v>21</v>
      </c>
    </row>
    <row r="2571" spans="1:1" x14ac:dyDescent="0.3">
      <c r="A2571" s="2">
        <v>21</v>
      </c>
    </row>
    <row r="2572" spans="1:1" x14ac:dyDescent="0.3">
      <c r="A2572" s="2">
        <v>20</v>
      </c>
    </row>
    <row r="2573" spans="1:1" x14ac:dyDescent="0.3">
      <c r="A2573" s="2">
        <v>20</v>
      </c>
    </row>
    <row r="2574" spans="1:1" x14ac:dyDescent="0.3">
      <c r="A2574" s="2">
        <v>20</v>
      </c>
    </row>
    <row r="2575" spans="1:1" x14ac:dyDescent="0.3">
      <c r="A2575" s="1">
        <v>20</v>
      </c>
    </row>
    <row r="2576" spans="1:1" x14ac:dyDescent="0.3">
      <c r="A2576" s="2">
        <v>20</v>
      </c>
    </row>
    <row r="2577" spans="1:1" x14ac:dyDescent="0.3">
      <c r="A2577" s="1">
        <v>20</v>
      </c>
    </row>
    <row r="2578" spans="1:1" x14ac:dyDescent="0.3">
      <c r="A2578" s="1">
        <v>20</v>
      </c>
    </row>
    <row r="2579" spans="1:1" x14ac:dyDescent="0.3">
      <c r="A2579" s="2">
        <v>20</v>
      </c>
    </row>
    <row r="2580" spans="1:1" x14ac:dyDescent="0.3">
      <c r="A2580" s="1">
        <v>20</v>
      </c>
    </row>
    <row r="2581" spans="1:1" x14ac:dyDescent="0.3">
      <c r="A2581" s="2">
        <v>20</v>
      </c>
    </row>
    <row r="2582" spans="1:1" x14ac:dyDescent="0.3">
      <c r="A2582" s="2">
        <v>20</v>
      </c>
    </row>
    <row r="2583" spans="1:1" x14ac:dyDescent="0.3">
      <c r="A2583" s="2">
        <v>20</v>
      </c>
    </row>
    <row r="2584" spans="1:1" x14ac:dyDescent="0.3">
      <c r="A2584" s="1">
        <v>20</v>
      </c>
    </row>
    <row r="2585" spans="1:1" x14ac:dyDescent="0.3">
      <c r="A2585" s="2">
        <v>20</v>
      </c>
    </row>
    <row r="2586" spans="1:1" x14ac:dyDescent="0.3">
      <c r="A2586" s="1">
        <v>20</v>
      </c>
    </row>
    <row r="2587" spans="1:1" x14ac:dyDescent="0.3">
      <c r="A2587" s="2">
        <v>20</v>
      </c>
    </row>
    <row r="2588" spans="1:1" x14ac:dyDescent="0.3">
      <c r="A2588" s="1">
        <v>20</v>
      </c>
    </row>
    <row r="2589" spans="1:1" x14ac:dyDescent="0.3">
      <c r="A2589" s="1">
        <v>20</v>
      </c>
    </row>
    <row r="2590" spans="1:1" x14ac:dyDescent="0.3">
      <c r="A2590" s="1">
        <v>20</v>
      </c>
    </row>
    <row r="2591" spans="1:1" x14ac:dyDescent="0.3">
      <c r="A2591" s="2">
        <v>20</v>
      </c>
    </row>
    <row r="2592" spans="1:1" x14ac:dyDescent="0.3">
      <c r="A2592" s="1">
        <v>20</v>
      </c>
    </row>
    <row r="2593" spans="1:1" x14ac:dyDescent="0.3">
      <c r="A2593" s="1">
        <v>20</v>
      </c>
    </row>
    <row r="2594" spans="1:1" x14ac:dyDescent="0.3">
      <c r="A2594" s="2">
        <v>20</v>
      </c>
    </row>
    <row r="2595" spans="1:1" x14ac:dyDescent="0.3">
      <c r="A2595" s="1">
        <v>20</v>
      </c>
    </row>
    <row r="2596" spans="1:1" x14ac:dyDescent="0.3">
      <c r="A2596" s="1">
        <v>20</v>
      </c>
    </row>
    <row r="2597" spans="1:1" x14ac:dyDescent="0.3">
      <c r="A2597" s="1">
        <v>20</v>
      </c>
    </row>
    <row r="2598" spans="1:1" x14ac:dyDescent="0.3">
      <c r="A2598" s="1">
        <v>20</v>
      </c>
    </row>
    <row r="2599" spans="1:1" x14ac:dyDescent="0.3">
      <c r="A2599" s="1">
        <v>20</v>
      </c>
    </row>
    <row r="2600" spans="1:1" x14ac:dyDescent="0.3">
      <c r="A2600" s="1">
        <v>20</v>
      </c>
    </row>
    <row r="2601" spans="1:1" x14ac:dyDescent="0.3">
      <c r="A2601" s="1">
        <v>20</v>
      </c>
    </row>
    <row r="2602" spans="1:1" x14ac:dyDescent="0.3">
      <c r="A2602" s="1">
        <v>20</v>
      </c>
    </row>
    <row r="2603" spans="1:1" x14ac:dyDescent="0.3">
      <c r="A2603" s="2">
        <v>20</v>
      </c>
    </row>
    <row r="2604" spans="1:1" x14ac:dyDescent="0.3">
      <c r="A2604" s="2">
        <v>20</v>
      </c>
    </row>
    <row r="2605" spans="1:1" x14ac:dyDescent="0.3">
      <c r="A2605" s="2">
        <v>20</v>
      </c>
    </row>
    <row r="2606" spans="1:1" x14ac:dyDescent="0.3">
      <c r="A2606" s="2">
        <v>20</v>
      </c>
    </row>
    <row r="2607" spans="1:1" x14ac:dyDescent="0.3">
      <c r="A2607" s="2">
        <v>20</v>
      </c>
    </row>
    <row r="2608" spans="1:1" x14ac:dyDescent="0.3">
      <c r="A2608" s="1">
        <v>20</v>
      </c>
    </row>
    <row r="2609" spans="1:1" x14ac:dyDescent="0.3">
      <c r="A2609" s="2">
        <v>20</v>
      </c>
    </row>
    <row r="2610" spans="1:1" x14ac:dyDescent="0.3">
      <c r="A2610" s="2">
        <v>20</v>
      </c>
    </row>
    <row r="2611" spans="1:1" x14ac:dyDescent="0.3">
      <c r="A2611" s="1">
        <v>20</v>
      </c>
    </row>
    <row r="2612" spans="1:1" x14ac:dyDescent="0.3">
      <c r="A2612" s="2">
        <v>20</v>
      </c>
    </row>
    <row r="2613" spans="1:1" x14ac:dyDescent="0.3">
      <c r="A2613" s="2">
        <v>20</v>
      </c>
    </row>
    <row r="2614" spans="1:1" x14ac:dyDescent="0.3">
      <c r="A2614" s="2">
        <v>20</v>
      </c>
    </row>
    <row r="2615" spans="1:1" x14ac:dyDescent="0.3">
      <c r="A2615" s="2">
        <v>20</v>
      </c>
    </row>
    <row r="2616" spans="1:1" x14ac:dyDescent="0.3">
      <c r="A2616" s="1">
        <v>20</v>
      </c>
    </row>
    <row r="2617" spans="1:1" x14ac:dyDescent="0.3">
      <c r="A2617" s="2">
        <v>20</v>
      </c>
    </row>
    <row r="2618" spans="1:1" x14ac:dyDescent="0.3">
      <c r="A2618" s="2">
        <v>20</v>
      </c>
    </row>
    <row r="2619" spans="1:1" x14ac:dyDescent="0.3">
      <c r="A2619" s="1">
        <v>20</v>
      </c>
    </row>
    <row r="2620" spans="1:1" x14ac:dyDescent="0.3">
      <c r="A2620" s="2">
        <v>20</v>
      </c>
    </row>
    <row r="2621" spans="1:1" x14ac:dyDescent="0.3">
      <c r="A2621" s="1">
        <v>20</v>
      </c>
    </row>
    <row r="2622" spans="1:1" x14ac:dyDescent="0.3">
      <c r="A2622" s="2">
        <v>20</v>
      </c>
    </row>
    <row r="2623" spans="1:1" x14ac:dyDescent="0.3">
      <c r="A2623" s="1">
        <v>20</v>
      </c>
    </row>
    <row r="2624" spans="1:1" x14ac:dyDescent="0.3">
      <c r="A2624" s="2">
        <v>20</v>
      </c>
    </row>
    <row r="2625" spans="1:1" x14ac:dyDescent="0.3">
      <c r="A2625" s="1">
        <v>19</v>
      </c>
    </row>
    <row r="2626" spans="1:1" x14ac:dyDescent="0.3">
      <c r="A2626" s="2">
        <v>17</v>
      </c>
    </row>
    <row r="2627" spans="1:1" x14ac:dyDescent="0.3">
      <c r="A2627" s="1">
        <v>17</v>
      </c>
    </row>
    <row r="2628" spans="1:1" x14ac:dyDescent="0.3">
      <c r="A2628" s="2">
        <v>17</v>
      </c>
    </row>
    <row r="2629" spans="1:1" x14ac:dyDescent="0.3">
      <c r="A2629" s="1">
        <v>17</v>
      </c>
    </row>
    <row r="2630" spans="1:1" x14ac:dyDescent="0.3">
      <c r="A2630" s="1">
        <v>17</v>
      </c>
    </row>
    <row r="2631" spans="1:1" x14ac:dyDescent="0.3">
      <c r="A2631" s="1">
        <v>17</v>
      </c>
    </row>
    <row r="2632" spans="1:1" x14ac:dyDescent="0.3">
      <c r="A2632" s="2">
        <v>17</v>
      </c>
    </row>
    <row r="2633" spans="1:1" x14ac:dyDescent="0.3">
      <c r="A2633" s="2">
        <v>16</v>
      </c>
    </row>
    <row r="2634" spans="1:1" x14ac:dyDescent="0.3">
      <c r="A2634" s="2">
        <v>16</v>
      </c>
    </row>
    <row r="2635" spans="1:1" x14ac:dyDescent="0.3">
      <c r="A2635" s="2">
        <v>16</v>
      </c>
    </row>
    <row r="2636" spans="1:1" x14ac:dyDescent="0.3">
      <c r="A2636" s="2">
        <v>15</v>
      </c>
    </row>
    <row r="2637" spans="1:1" x14ac:dyDescent="0.3">
      <c r="A2637" s="2">
        <v>15</v>
      </c>
    </row>
    <row r="2638" spans="1:1" x14ac:dyDescent="0.3">
      <c r="A2638" s="2">
        <v>15</v>
      </c>
    </row>
    <row r="2639" spans="1:1" x14ac:dyDescent="0.3">
      <c r="A2639" s="2">
        <v>15</v>
      </c>
    </row>
    <row r="2640" spans="1:1" x14ac:dyDescent="0.3">
      <c r="A2640" s="1">
        <v>15</v>
      </c>
    </row>
    <row r="2641" spans="1:1" x14ac:dyDescent="0.3">
      <c r="A2641" s="1">
        <v>15</v>
      </c>
    </row>
    <row r="2642" spans="1:1" x14ac:dyDescent="0.3">
      <c r="A2642" s="2">
        <v>15</v>
      </c>
    </row>
    <row r="2643" spans="1:1" x14ac:dyDescent="0.3">
      <c r="A2643" s="2">
        <v>15</v>
      </c>
    </row>
    <row r="2644" spans="1:1" x14ac:dyDescent="0.3">
      <c r="A2644" s="2">
        <v>15</v>
      </c>
    </row>
    <row r="2645" spans="1:1" x14ac:dyDescent="0.3">
      <c r="A2645" s="2">
        <v>15</v>
      </c>
    </row>
    <row r="2646" spans="1:1" x14ac:dyDescent="0.3">
      <c r="A2646" s="2">
        <v>15</v>
      </c>
    </row>
    <row r="2647" spans="1:1" x14ac:dyDescent="0.3">
      <c r="A2647" s="1">
        <v>15</v>
      </c>
    </row>
    <row r="2648" spans="1:1" x14ac:dyDescent="0.3">
      <c r="A2648" s="2">
        <v>15</v>
      </c>
    </row>
    <row r="2649" spans="1:1" x14ac:dyDescent="0.3">
      <c r="A2649" s="2">
        <v>15</v>
      </c>
    </row>
    <row r="2650" spans="1:1" x14ac:dyDescent="0.3">
      <c r="A2650" s="2">
        <v>15</v>
      </c>
    </row>
    <row r="2651" spans="1:1" x14ac:dyDescent="0.3">
      <c r="A2651" s="2">
        <v>15</v>
      </c>
    </row>
    <row r="2652" spans="1:1" x14ac:dyDescent="0.3">
      <c r="A2652" s="1">
        <v>13.300000190734901</v>
      </c>
    </row>
    <row r="2653" spans="1:1" x14ac:dyDescent="0.3">
      <c r="A2653" s="1">
        <v>13</v>
      </c>
    </row>
    <row r="2654" spans="1:1" x14ac:dyDescent="0.3">
      <c r="A2654" s="2">
        <v>12.5</v>
      </c>
    </row>
    <row r="2655" spans="1:1" x14ac:dyDescent="0.3">
      <c r="A2655" s="2">
        <v>12</v>
      </c>
    </row>
    <row r="2656" spans="1:1" x14ac:dyDescent="0.3">
      <c r="A2656" s="1">
        <v>12</v>
      </c>
    </row>
    <row r="2657" spans="1:1" x14ac:dyDescent="0.3">
      <c r="A2657" s="2">
        <v>12</v>
      </c>
    </row>
    <row r="2658" spans="1:1" x14ac:dyDescent="0.3">
      <c r="A2658" s="1">
        <v>11</v>
      </c>
    </row>
    <row r="2659" spans="1:1" x14ac:dyDescent="0.3">
      <c r="A2659" s="2">
        <v>11</v>
      </c>
    </row>
    <row r="2660" spans="1:1" x14ac:dyDescent="0.3">
      <c r="A2660" s="1">
        <v>10</v>
      </c>
    </row>
    <row r="2661" spans="1:1" x14ac:dyDescent="0.3">
      <c r="A2661" s="1">
        <v>10</v>
      </c>
    </row>
    <row r="2662" spans="1:1" x14ac:dyDescent="0.3">
      <c r="A2662" s="2">
        <v>10</v>
      </c>
    </row>
    <row r="2663" spans="1:1" x14ac:dyDescent="0.3">
      <c r="A2663" s="2">
        <v>10</v>
      </c>
    </row>
    <row r="2664" spans="1:1" x14ac:dyDescent="0.3">
      <c r="A2664" s="1">
        <v>10</v>
      </c>
    </row>
    <row r="2665" spans="1:1" x14ac:dyDescent="0.3">
      <c r="A2665" s="2">
        <v>10</v>
      </c>
    </row>
    <row r="2666" spans="1:1" x14ac:dyDescent="0.3">
      <c r="A2666" s="2">
        <v>10</v>
      </c>
    </row>
    <row r="2667" spans="1:1" x14ac:dyDescent="0.3">
      <c r="A2667" s="2">
        <v>10</v>
      </c>
    </row>
    <row r="2668" spans="1:1" x14ac:dyDescent="0.3">
      <c r="A2668" s="1">
        <v>10</v>
      </c>
    </row>
    <row r="2669" spans="1:1" x14ac:dyDescent="0.3">
      <c r="A2669" s="2">
        <v>10</v>
      </c>
    </row>
    <row r="2670" spans="1:1" x14ac:dyDescent="0.3">
      <c r="A2670" s="2">
        <v>10</v>
      </c>
    </row>
    <row r="2671" spans="1:1" x14ac:dyDescent="0.3">
      <c r="A2671" s="1">
        <v>10</v>
      </c>
    </row>
    <row r="2672" spans="1:1" x14ac:dyDescent="0.3">
      <c r="A2672" s="1">
        <v>10</v>
      </c>
    </row>
    <row r="2673" spans="1:1" x14ac:dyDescent="0.3">
      <c r="A2673" s="2">
        <v>10</v>
      </c>
    </row>
    <row r="2674" spans="1:1" x14ac:dyDescent="0.3">
      <c r="A2674" s="2">
        <v>10</v>
      </c>
    </row>
    <row r="2675" spans="1:1" x14ac:dyDescent="0.3">
      <c r="A2675" s="2">
        <v>10</v>
      </c>
    </row>
    <row r="2676" spans="1:1" x14ac:dyDescent="0.3">
      <c r="A2676" s="2">
        <v>10</v>
      </c>
    </row>
    <row r="2677" spans="1:1" x14ac:dyDescent="0.3">
      <c r="A2677" s="1">
        <v>10</v>
      </c>
    </row>
    <row r="2678" spans="1:1" x14ac:dyDescent="0.3">
      <c r="A2678" s="1">
        <v>10</v>
      </c>
    </row>
    <row r="2679" spans="1:1" x14ac:dyDescent="0.3">
      <c r="A2679" s="2">
        <v>10</v>
      </c>
    </row>
    <row r="2680" spans="1:1" x14ac:dyDescent="0.3">
      <c r="A2680" s="1">
        <v>10</v>
      </c>
    </row>
    <row r="2681" spans="1:1" x14ac:dyDescent="0.3">
      <c r="A2681" s="1">
        <v>10</v>
      </c>
    </row>
    <row r="2682" spans="1:1" x14ac:dyDescent="0.3">
      <c r="A2682" s="2">
        <v>10</v>
      </c>
    </row>
    <row r="2683" spans="1:1" x14ac:dyDescent="0.3">
      <c r="A2683" s="2">
        <v>10</v>
      </c>
    </row>
    <row r="2684" spans="1:1" x14ac:dyDescent="0.3">
      <c r="A2684" s="2">
        <v>10</v>
      </c>
    </row>
    <row r="2685" spans="1:1" x14ac:dyDescent="0.3">
      <c r="A2685" s="2">
        <v>10</v>
      </c>
    </row>
    <row r="2686" spans="1:1" x14ac:dyDescent="0.3">
      <c r="A2686" s="2">
        <v>10</v>
      </c>
    </row>
    <row r="2687" spans="1:1" x14ac:dyDescent="0.3">
      <c r="A2687" s="2">
        <v>10</v>
      </c>
    </row>
    <row r="2688" spans="1:1" x14ac:dyDescent="0.3">
      <c r="A2688" s="1">
        <v>10</v>
      </c>
    </row>
    <row r="2689" spans="1:1" x14ac:dyDescent="0.3">
      <c r="A2689" s="2">
        <v>10</v>
      </c>
    </row>
    <row r="2690" spans="1:1" x14ac:dyDescent="0.3">
      <c r="A2690" s="2">
        <v>10</v>
      </c>
    </row>
    <row r="2691" spans="1:1" x14ac:dyDescent="0.3">
      <c r="A2691" s="2">
        <v>10</v>
      </c>
    </row>
    <row r="2692" spans="1:1" x14ac:dyDescent="0.3">
      <c r="A2692" s="1">
        <v>10</v>
      </c>
    </row>
    <row r="2693" spans="1:1" x14ac:dyDescent="0.3">
      <c r="A2693" s="1">
        <v>10</v>
      </c>
    </row>
    <row r="2694" spans="1:1" x14ac:dyDescent="0.3">
      <c r="A2694" s="1">
        <v>10</v>
      </c>
    </row>
    <row r="2695" spans="1:1" x14ac:dyDescent="0.3">
      <c r="A2695" s="2">
        <v>10</v>
      </c>
    </row>
    <row r="2696" spans="1:1" x14ac:dyDescent="0.3">
      <c r="A2696" s="2">
        <v>10</v>
      </c>
    </row>
    <row r="2697" spans="1:1" x14ac:dyDescent="0.3">
      <c r="A2697" s="1">
        <v>8</v>
      </c>
    </row>
    <row r="2698" spans="1:1" x14ac:dyDescent="0.3">
      <c r="A2698" s="2">
        <v>8</v>
      </c>
    </row>
    <row r="2699" spans="1:1" x14ac:dyDescent="0.3">
      <c r="A2699" s="1">
        <v>7</v>
      </c>
    </row>
    <row r="2700" spans="1:1" x14ac:dyDescent="0.3">
      <c r="A2700" s="2">
        <v>7</v>
      </c>
    </row>
    <row r="2701" spans="1:1" x14ac:dyDescent="0.3">
      <c r="A2701" s="2">
        <v>7</v>
      </c>
    </row>
    <row r="2702" spans="1:1" x14ac:dyDescent="0.3">
      <c r="A2702" s="1">
        <v>7</v>
      </c>
    </row>
    <row r="2703" spans="1:1" x14ac:dyDescent="0.3">
      <c r="A2703" s="2">
        <v>6</v>
      </c>
    </row>
    <row r="2704" spans="1:1" x14ac:dyDescent="0.3">
      <c r="A2704" s="1">
        <v>6</v>
      </c>
    </row>
    <row r="2705" spans="1:1" x14ac:dyDescent="0.3">
      <c r="A2705" s="1">
        <v>5</v>
      </c>
    </row>
    <row r="2706" spans="1:1" x14ac:dyDescent="0.3">
      <c r="A2706" s="2">
        <v>5</v>
      </c>
    </row>
    <row r="2707" spans="1:1" x14ac:dyDescent="0.3">
      <c r="A2707" s="1">
        <v>5</v>
      </c>
    </row>
    <row r="2708" spans="1:1" x14ac:dyDescent="0.3">
      <c r="A2708" s="2">
        <v>5</v>
      </c>
    </row>
    <row r="2709" spans="1:1" x14ac:dyDescent="0.3">
      <c r="A2709" s="2">
        <v>5</v>
      </c>
    </row>
    <row r="2710" spans="1:1" x14ac:dyDescent="0.3">
      <c r="A2710" s="1">
        <v>5</v>
      </c>
    </row>
    <row r="2711" spans="1:1" x14ac:dyDescent="0.3">
      <c r="A2711" s="2">
        <v>5</v>
      </c>
    </row>
    <row r="2712" spans="1:1" x14ac:dyDescent="0.3">
      <c r="A2712" s="2">
        <v>4</v>
      </c>
    </row>
    <row r="2713" spans="1:1" x14ac:dyDescent="0.3">
      <c r="A2713" s="2">
        <v>3</v>
      </c>
    </row>
    <row r="2714" spans="1:1" x14ac:dyDescent="0.3">
      <c r="A2714" s="1">
        <v>3</v>
      </c>
    </row>
    <row r="2715" spans="1:1" x14ac:dyDescent="0.3">
      <c r="A2715" s="1">
        <v>2.5</v>
      </c>
    </row>
    <row r="2716" spans="1:1" x14ac:dyDescent="0.3">
      <c r="A2716" s="2">
        <v>1</v>
      </c>
    </row>
    <row r="2717" spans="1:1" x14ac:dyDescent="0.3">
      <c r="A2717" s="2">
        <v>1</v>
      </c>
    </row>
    <row r="2718" spans="1:1" x14ac:dyDescent="0.3">
      <c r="A2718" s="1">
        <v>1</v>
      </c>
    </row>
    <row r="2719" spans="1:1" x14ac:dyDescent="0.3">
      <c r="A2719" s="1">
        <v>1</v>
      </c>
    </row>
    <row r="2720" spans="1:1" x14ac:dyDescent="0.3">
      <c r="A2720" s="2">
        <v>1</v>
      </c>
    </row>
    <row r="2721" spans="1:1" x14ac:dyDescent="0.3">
      <c r="A2721" s="2">
        <v>1</v>
      </c>
    </row>
    <row r="2722" spans="1:1" x14ac:dyDescent="0.3">
      <c r="A2722" s="2">
        <v>1</v>
      </c>
    </row>
    <row r="2723" spans="1:1" x14ac:dyDescent="0.3">
      <c r="A2723" s="2">
        <v>1</v>
      </c>
    </row>
    <row r="2724" spans="1:1" x14ac:dyDescent="0.3">
      <c r="A2724" s="2">
        <v>1</v>
      </c>
    </row>
    <row r="2725" spans="1:1" x14ac:dyDescent="0.3">
      <c r="A2725" s="1">
        <v>1</v>
      </c>
    </row>
    <row r="2726" spans="1:1" x14ac:dyDescent="0.3">
      <c r="A2726" s="1">
        <v>1</v>
      </c>
    </row>
    <row r="2727" spans="1:1" x14ac:dyDescent="0.3">
      <c r="A2727" s="2">
        <v>1</v>
      </c>
    </row>
    <row r="2728" spans="1:1" x14ac:dyDescent="0.3">
      <c r="A2728" s="2">
        <v>1</v>
      </c>
    </row>
    <row r="2729" spans="1:1" x14ac:dyDescent="0.3">
      <c r="A2729" s="1">
        <v>1</v>
      </c>
    </row>
    <row r="2730" spans="1:1" x14ac:dyDescent="0.3">
      <c r="A2730" s="1">
        <v>1</v>
      </c>
    </row>
    <row r="2731" spans="1:1" x14ac:dyDescent="0.3">
      <c r="A2731" s="2">
        <v>1</v>
      </c>
    </row>
    <row r="2732" spans="1:1" x14ac:dyDescent="0.3">
      <c r="A2732" s="1">
        <v>1</v>
      </c>
    </row>
    <row r="2733" spans="1:1" x14ac:dyDescent="0.3">
      <c r="A2733" s="2">
        <v>0</v>
      </c>
    </row>
    <row r="2734" spans="1:1" x14ac:dyDescent="0.3">
      <c r="A2734" s="1">
        <v>0</v>
      </c>
    </row>
    <row r="2735" spans="1:1" x14ac:dyDescent="0.3">
      <c r="A2735" s="2">
        <v>0</v>
      </c>
    </row>
    <row r="2736" spans="1:1" x14ac:dyDescent="0.3">
      <c r="A2736" s="1">
        <v>0</v>
      </c>
    </row>
    <row r="2737" spans="1:1" x14ac:dyDescent="0.3">
      <c r="A2737" s="2">
        <v>0</v>
      </c>
    </row>
    <row r="2738" spans="1:1" x14ac:dyDescent="0.3">
      <c r="A2738" s="1">
        <v>0</v>
      </c>
    </row>
    <row r="2739" spans="1:1" x14ac:dyDescent="0.3">
      <c r="A2739" s="2">
        <v>0</v>
      </c>
    </row>
    <row r="2740" spans="1:1" x14ac:dyDescent="0.3">
      <c r="A2740" s="1">
        <v>0</v>
      </c>
    </row>
    <row r="2741" spans="1:1" x14ac:dyDescent="0.3">
      <c r="A2741" s="2">
        <v>0</v>
      </c>
    </row>
    <row r="2742" spans="1:1" x14ac:dyDescent="0.3">
      <c r="A2742" s="1">
        <v>0</v>
      </c>
    </row>
    <row r="2743" spans="1:1" x14ac:dyDescent="0.3">
      <c r="A2743" s="2">
        <v>0</v>
      </c>
    </row>
    <row r="2744" spans="1:1" x14ac:dyDescent="0.3">
      <c r="A2744" s="1">
        <v>0</v>
      </c>
    </row>
    <row r="2745" spans="1:1" x14ac:dyDescent="0.3">
      <c r="A2745" s="2">
        <v>0</v>
      </c>
    </row>
    <row r="2746" spans="1:1" x14ac:dyDescent="0.3">
      <c r="A2746" s="1">
        <v>0</v>
      </c>
    </row>
    <row r="2747" spans="1:1" x14ac:dyDescent="0.3">
      <c r="A2747" s="2">
        <v>0</v>
      </c>
    </row>
    <row r="2748" spans="1:1" x14ac:dyDescent="0.3">
      <c r="A2748" s="1">
        <v>0</v>
      </c>
    </row>
    <row r="2749" spans="1:1" x14ac:dyDescent="0.3">
      <c r="A2749" s="2">
        <v>0</v>
      </c>
    </row>
    <row r="2750" spans="1:1" x14ac:dyDescent="0.3">
      <c r="A2750" s="1">
        <v>0</v>
      </c>
    </row>
    <row r="2751" spans="1:1" x14ac:dyDescent="0.3">
      <c r="A2751" s="2">
        <v>0</v>
      </c>
    </row>
    <row r="2752" spans="1:1" x14ac:dyDescent="0.3">
      <c r="A2752" s="1">
        <v>0</v>
      </c>
    </row>
    <row r="2753" spans="1:1" x14ac:dyDescent="0.3">
      <c r="A2753" s="2">
        <v>0</v>
      </c>
    </row>
    <row r="2754" spans="1:1" x14ac:dyDescent="0.3">
      <c r="A2754" s="1">
        <v>0</v>
      </c>
    </row>
    <row r="2755" spans="1:1" x14ac:dyDescent="0.3">
      <c r="A2755" s="1">
        <v>0</v>
      </c>
    </row>
    <row r="2756" spans="1:1" x14ac:dyDescent="0.3">
      <c r="A2756" s="2">
        <v>0</v>
      </c>
    </row>
    <row r="2757" spans="1:1" x14ac:dyDescent="0.3">
      <c r="A2757" s="1">
        <v>0</v>
      </c>
    </row>
    <row r="2758" spans="1:1" x14ac:dyDescent="0.3">
      <c r="A2758" s="2">
        <v>0</v>
      </c>
    </row>
    <row r="2759" spans="1:1" x14ac:dyDescent="0.3">
      <c r="A2759" s="1">
        <v>0</v>
      </c>
    </row>
    <row r="2760" spans="1:1" x14ac:dyDescent="0.3">
      <c r="A2760" s="1">
        <v>0</v>
      </c>
    </row>
    <row r="2761" spans="1:1" x14ac:dyDescent="0.3">
      <c r="A2761" s="2">
        <v>0</v>
      </c>
    </row>
    <row r="2762" spans="1:1" x14ac:dyDescent="0.3">
      <c r="A2762" s="1">
        <v>0</v>
      </c>
    </row>
    <row r="2763" spans="1:1" x14ac:dyDescent="0.3">
      <c r="A2763" s="2">
        <v>0</v>
      </c>
    </row>
    <row r="2764" spans="1:1" x14ac:dyDescent="0.3">
      <c r="A2764" s="1">
        <v>0</v>
      </c>
    </row>
    <row r="2765" spans="1:1" x14ac:dyDescent="0.3">
      <c r="A2765" s="1">
        <v>0</v>
      </c>
    </row>
    <row r="2766" spans="1:1" x14ac:dyDescent="0.3">
      <c r="A2766" s="2">
        <v>0</v>
      </c>
    </row>
    <row r="2767" spans="1:1" x14ac:dyDescent="0.3">
      <c r="A2767" s="1">
        <v>0</v>
      </c>
    </row>
    <row r="2768" spans="1:1" x14ac:dyDescent="0.3">
      <c r="A2768" s="1">
        <v>0</v>
      </c>
    </row>
    <row r="2769" spans="1:1" x14ac:dyDescent="0.3">
      <c r="A2769" s="1">
        <v>0</v>
      </c>
    </row>
    <row r="2770" spans="1:1" x14ac:dyDescent="0.3">
      <c r="A2770" s="2">
        <v>0</v>
      </c>
    </row>
    <row r="2771" spans="1:1" x14ac:dyDescent="0.3">
      <c r="A2771" s="1">
        <v>0</v>
      </c>
    </row>
    <row r="2772" spans="1:1" x14ac:dyDescent="0.3">
      <c r="A2772" s="2">
        <v>0</v>
      </c>
    </row>
    <row r="2773" spans="1:1" x14ac:dyDescent="0.3">
      <c r="A2773" s="1">
        <v>0</v>
      </c>
    </row>
    <row r="2774" spans="1:1" x14ac:dyDescent="0.3">
      <c r="A2774" s="2">
        <v>0</v>
      </c>
    </row>
    <row r="2775" spans="1:1" x14ac:dyDescent="0.3">
      <c r="A2775" s="2">
        <v>0</v>
      </c>
    </row>
    <row r="2776" spans="1:1" x14ac:dyDescent="0.3">
      <c r="A2776" s="1">
        <v>0</v>
      </c>
    </row>
    <row r="2777" spans="1:1" x14ac:dyDescent="0.3">
      <c r="A2777" s="1">
        <v>0</v>
      </c>
    </row>
    <row r="2778" spans="1:1" x14ac:dyDescent="0.3">
      <c r="A2778" s="1">
        <v>0</v>
      </c>
    </row>
    <row r="2779" spans="1:1" x14ac:dyDescent="0.3">
      <c r="A2779" s="1">
        <v>0</v>
      </c>
    </row>
    <row r="2780" spans="1:1" x14ac:dyDescent="0.3">
      <c r="A2780" s="2">
        <v>0</v>
      </c>
    </row>
    <row r="2781" spans="1:1" x14ac:dyDescent="0.3">
      <c r="A2781" s="2">
        <v>0</v>
      </c>
    </row>
    <row r="2782" spans="1:1" x14ac:dyDescent="0.3">
      <c r="A2782" s="1">
        <v>0</v>
      </c>
    </row>
    <row r="2783" spans="1:1" x14ac:dyDescent="0.3">
      <c r="A2783" s="2">
        <v>0</v>
      </c>
    </row>
    <row r="2784" spans="1:1" x14ac:dyDescent="0.3">
      <c r="A2784" s="2">
        <v>0</v>
      </c>
    </row>
    <row r="2785" spans="1:1" x14ac:dyDescent="0.3">
      <c r="A2785" s="1">
        <v>0</v>
      </c>
    </row>
    <row r="2786" spans="1:1" x14ac:dyDescent="0.3">
      <c r="A2786" s="1">
        <v>0</v>
      </c>
    </row>
    <row r="2787" spans="1:1" x14ac:dyDescent="0.3">
      <c r="A2787" s="1">
        <v>0</v>
      </c>
    </row>
    <row r="2788" spans="1:1" x14ac:dyDescent="0.3">
      <c r="A2788" s="2">
        <v>0</v>
      </c>
    </row>
    <row r="2789" spans="1:1" x14ac:dyDescent="0.3">
      <c r="A2789" s="1">
        <v>0</v>
      </c>
    </row>
    <row r="2790" spans="1:1" x14ac:dyDescent="0.3">
      <c r="A2790" s="2">
        <v>0</v>
      </c>
    </row>
    <row r="2791" spans="1:1" x14ac:dyDescent="0.3">
      <c r="A2791" s="2">
        <v>0</v>
      </c>
    </row>
    <row r="2792" spans="1:1" x14ac:dyDescent="0.3">
      <c r="A2792" s="2">
        <v>0</v>
      </c>
    </row>
    <row r="2793" spans="1:1" x14ac:dyDescent="0.3">
      <c r="A2793" s="1">
        <v>0</v>
      </c>
    </row>
    <row r="2794" spans="1:1" x14ac:dyDescent="0.3">
      <c r="A2794" s="2">
        <v>0</v>
      </c>
    </row>
    <row r="2795" spans="1:1" x14ac:dyDescent="0.3">
      <c r="A2795" s="1">
        <v>0</v>
      </c>
    </row>
    <row r="2796" spans="1:1" x14ac:dyDescent="0.3">
      <c r="A2796" s="2">
        <v>0</v>
      </c>
    </row>
    <row r="2797" spans="1:1" x14ac:dyDescent="0.3">
      <c r="A2797" s="2">
        <v>0</v>
      </c>
    </row>
    <row r="2798" spans="1:1" x14ac:dyDescent="0.3">
      <c r="A2798" s="1">
        <v>0</v>
      </c>
    </row>
    <row r="2799" spans="1:1" x14ac:dyDescent="0.3">
      <c r="A2799" s="2">
        <v>0</v>
      </c>
    </row>
    <row r="2800" spans="1:1" x14ac:dyDescent="0.3">
      <c r="A2800" s="2">
        <v>0</v>
      </c>
    </row>
    <row r="2801" spans="1:1" x14ac:dyDescent="0.3">
      <c r="A2801" s="1">
        <v>0</v>
      </c>
    </row>
    <row r="2802" spans="1:1" x14ac:dyDescent="0.3">
      <c r="A2802" s="1">
        <v>0</v>
      </c>
    </row>
    <row r="2803" spans="1:1" x14ac:dyDescent="0.3">
      <c r="A2803" s="1">
        <v>0</v>
      </c>
    </row>
    <row r="2804" spans="1:1" x14ac:dyDescent="0.3">
      <c r="A2804" s="2">
        <v>0</v>
      </c>
    </row>
    <row r="2805" spans="1:1" x14ac:dyDescent="0.3">
      <c r="A2805" s="1">
        <v>0</v>
      </c>
    </row>
    <row r="2806" spans="1:1" x14ac:dyDescent="0.3">
      <c r="A2806" s="1">
        <v>0</v>
      </c>
    </row>
    <row r="2807" spans="1:1" x14ac:dyDescent="0.3">
      <c r="A2807" s="2">
        <v>0</v>
      </c>
    </row>
    <row r="2808" spans="1:1" x14ac:dyDescent="0.3">
      <c r="A2808" s="1">
        <v>0</v>
      </c>
    </row>
    <row r="2809" spans="1:1" x14ac:dyDescent="0.3">
      <c r="A2809" s="2">
        <v>0</v>
      </c>
    </row>
    <row r="2810" spans="1:1" x14ac:dyDescent="0.3">
      <c r="A2810" s="1">
        <v>0</v>
      </c>
    </row>
    <row r="2811" spans="1:1" x14ac:dyDescent="0.3">
      <c r="A2811" s="2">
        <v>0</v>
      </c>
    </row>
    <row r="2812" spans="1:1" x14ac:dyDescent="0.3">
      <c r="A2812" s="1">
        <v>0</v>
      </c>
    </row>
    <row r="2813" spans="1:1" x14ac:dyDescent="0.3">
      <c r="A2813" s="2">
        <v>0</v>
      </c>
    </row>
    <row r="2814" spans="1:1" x14ac:dyDescent="0.3">
      <c r="A2814" s="1">
        <v>0</v>
      </c>
    </row>
    <row r="2815" spans="1:1" x14ac:dyDescent="0.3">
      <c r="A2815" s="2">
        <v>0</v>
      </c>
    </row>
    <row r="2816" spans="1:1" x14ac:dyDescent="0.3">
      <c r="A2816" s="1">
        <v>0</v>
      </c>
    </row>
    <row r="2817" spans="1:1" x14ac:dyDescent="0.3">
      <c r="A2817" s="2">
        <v>0</v>
      </c>
    </row>
    <row r="2818" spans="1:1" x14ac:dyDescent="0.3">
      <c r="A2818" s="1">
        <v>0</v>
      </c>
    </row>
    <row r="2819" spans="1:1" x14ac:dyDescent="0.3">
      <c r="A2819" s="2">
        <v>0</v>
      </c>
    </row>
    <row r="2820" spans="1:1" x14ac:dyDescent="0.3">
      <c r="A2820" s="1">
        <v>0</v>
      </c>
    </row>
    <row r="2821" spans="1:1" x14ac:dyDescent="0.3">
      <c r="A2821" s="1">
        <v>0</v>
      </c>
    </row>
    <row r="2822" spans="1:1" x14ac:dyDescent="0.3">
      <c r="A2822" s="2">
        <v>0</v>
      </c>
    </row>
    <row r="2823" spans="1:1" x14ac:dyDescent="0.3">
      <c r="A2823" s="1">
        <v>0</v>
      </c>
    </row>
    <row r="2824" spans="1:1" x14ac:dyDescent="0.3">
      <c r="A2824" s="2">
        <v>0</v>
      </c>
    </row>
    <row r="2825" spans="1:1" x14ac:dyDescent="0.3">
      <c r="A2825" s="2">
        <v>0</v>
      </c>
    </row>
    <row r="2826" spans="1:1" x14ac:dyDescent="0.3">
      <c r="A2826" s="1">
        <v>0</v>
      </c>
    </row>
    <row r="2827" spans="1:1" x14ac:dyDescent="0.3">
      <c r="A2827" s="1">
        <v>0</v>
      </c>
    </row>
    <row r="2828" spans="1:1" x14ac:dyDescent="0.3">
      <c r="A2828" s="1">
        <v>0</v>
      </c>
    </row>
    <row r="2829" spans="1:1" x14ac:dyDescent="0.3">
      <c r="A2829" s="2">
        <v>0</v>
      </c>
    </row>
    <row r="2830" spans="1:1" x14ac:dyDescent="0.3">
      <c r="A2830" s="1">
        <v>0</v>
      </c>
    </row>
    <row r="2831" spans="1:1" x14ac:dyDescent="0.3">
      <c r="A2831" s="1">
        <v>0</v>
      </c>
    </row>
    <row r="2832" spans="1:1" x14ac:dyDescent="0.3">
      <c r="A2832" s="2">
        <v>0</v>
      </c>
    </row>
    <row r="2833" spans="1:1" x14ac:dyDescent="0.3">
      <c r="A2833" s="2">
        <v>0</v>
      </c>
    </row>
    <row r="2834" spans="1:1" x14ac:dyDescent="0.3">
      <c r="A2834" s="1">
        <v>0</v>
      </c>
    </row>
    <row r="2835" spans="1:1" x14ac:dyDescent="0.3">
      <c r="A2835" s="1">
        <v>0</v>
      </c>
    </row>
    <row r="2836" spans="1:1" x14ac:dyDescent="0.3">
      <c r="A2836" s="2">
        <v>0</v>
      </c>
    </row>
    <row r="2837" spans="1:1" x14ac:dyDescent="0.3">
      <c r="A2837" s="1">
        <v>0</v>
      </c>
    </row>
    <row r="2838" spans="1:1" x14ac:dyDescent="0.3">
      <c r="A2838" s="2">
        <v>0</v>
      </c>
    </row>
    <row r="2839" spans="1:1" x14ac:dyDescent="0.3">
      <c r="A2839" s="1">
        <v>0</v>
      </c>
    </row>
    <row r="2840" spans="1:1" x14ac:dyDescent="0.3">
      <c r="A2840" s="2">
        <v>0</v>
      </c>
    </row>
    <row r="2841" spans="1:1" x14ac:dyDescent="0.3">
      <c r="A2841" s="2">
        <v>0</v>
      </c>
    </row>
    <row r="2842" spans="1:1" x14ac:dyDescent="0.3">
      <c r="A2842" s="2">
        <v>0</v>
      </c>
    </row>
    <row r="2843" spans="1:1" x14ac:dyDescent="0.3">
      <c r="A2843" s="1">
        <v>0</v>
      </c>
    </row>
    <row r="2844" spans="1:1" x14ac:dyDescent="0.3">
      <c r="A2844" s="1">
        <v>0</v>
      </c>
    </row>
    <row r="2845" spans="1:1" x14ac:dyDescent="0.3">
      <c r="A2845" s="1">
        <v>0</v>
      </c>
    </row>
    <row r="2846" spans="1:1" x14ac:dyDescent="0.3">
      <c r="A2846" s="1">
        <v>0</v>
      </c>
    </row>
    <row r="2847" spans="1:1" x14ac:dyDescent="0.3">
      <c r="A2847" s="1">
        <v>0</v>
      </c>
    </row>
    <row r="2848" spans="1:1" x14ac:dyDescent="0.3">
      <c r="A2848" s="1">
        <v>0</v>
      </c>
    </row>
    <row r="2849" spans="1:1" x14ac:dyDescent="0.3">
      <c r="A2849" s="1">
        <v>0</v>
      </c>
    </row>
    <row r="2850" spans="1:1" x14ac:dyDescent="0.3">
      <c r="A2850" s="2">
        <v>0</v>
      </c>
    </row>
    <row r="2851" spans="1:1" x14ac:dyDescent="0.3">
      <c r="A2851" s="1">
        <v>0</v>
      </c>
    </row>
    <row r="2852" spans="1:1" x14ac:dyDescent="0.3">
      <c r="A2852" s="1">
        <v>0</v>
      </c>
    </row>
    <row r="2853" spans="1:1" x14ac:dyDescent="0.3">
      <c r="A2853" s="2">
        <v>0</v>
      </c>
    </row>
    <row r="2854" spans="1:1" x14ac:dyDescent="0.3">
      <c r="A2854" s="2">
        <v>0</v>
      </c>
    </row>
    <row r="2855" spans="1:1" x14ac:dyDescent="0.3">
      <c r="A2855" s="2">
        <v>0</v>
      </c>
    </row>
    <row r="2856" spans="1:1" x14ac:dyDescent="0.3">
      <c r="A2856" s="2">
        <v>0</v>
      </c>
    </row>
    <row r="2857" spans="1:1" x14ac:dyDescent="0.3">
      <c r="A2857" s="1">
        <v>0</v>
      </c>
    </row>
    <row r="2858" spans="1:1" x14ac:dyDescent="0.3">
      <c r="A2858" s="2">
        <v>0</v>
      </c>
    </row>
    <row r="2859" spans="1:1" x14ac:dyDescent="0.3">
      <c r="A2859" s="2">
        <v>0</v>
      </c>
    </row>
    <row r="2860" spans="1:1" x14ac:dyDescent="0.3">
      <c r="A2860" s="1">
        <v>0</v>
      </c>
    </row>
    <row r="2861" spans="1:1" x14ac:dyDescent="0.3">
      <c r="A2861" s="2">
        <v>0</v>
      </c>
    </row>
    <row r="2862" spans="1:1" x14ac:dyDescent="0.3">
      <c r="A2862" s="1">
        <v>0</v>
      </c>
    </row>
    <row r="2863" spans="1:1" x14ac:dyDescent="0.3">
      <c r="A2863" s="1">
        <v>0</v>
      </c>
    </row>
    <row r="2864" spans="1:1" x14ac:dyDescent="0.3">
      <c r="A2864" s="2">
        <v>0</v>
      </c>
    </row>
    <row r="2865" spans="1:1" x14ac:dyDescent="0.3">
      <c r="A2865" s="1">
        <v>0</v>
      </c>
    </row>
    <row r="2866" spans="1:1" x14ac:dyDescent="0.3">
      <c r="A2866" s="2">
        <v>0</v>
      </c>
    </row>
    <row r="2867" spans="1:1" x14ac:dyDescent="0.3">
      <c r="A2867" s="1">
        <v>0</v>
      </c>
    </row>
    <row r="2868" spans="1:1" x14ac:dyDescent="0.3">
      <c r="A2868" s="2">
        <v>0</v>
      </c>
    </row>
    <row r="2869" spans="1:1" x14ac:dyDescent="0.3">
      <c r="A2869" s="1">
        <v>0</v>
      </c>
    </row>
    <row r="2870" spans="1:1" x14ac:dyDescent="0.3">
      <c r="A2870" s="2">
        <v>0</v>
      </c>
    </row>
    <row r="2871" spans="1:1" x14ac:dyDescent="0.3">
      <c r="A2871" s="1">
        <v>0</v>
      </c>
    </row>
    <row r="2872" spans="1:1" x14ac:dyDescent="0.3">
      <c r="A2872" s="2">
        <v>0</v>
      </c>
    </row>
    <row r="2873" spans="1:1" x14ac:dyDescent="0.3">
      <c r="A2873" s="2">
        <v>0</v>
      </c>
    </row>
    <row r="2874" spans="1:1" x14ac:dyDescent="0.3">
      <c r="A2874" s="1">
        <v>0</v>
      </c>
    </row>
    <row r="2875" spans="1:1" x14ac:dyDescent="0.3">
      <c r="A2875" s="1">
        <v>0</v>
      </c>
    </row>
    <row r="2876" spans="1:1" x14ac:dyDescent="0.3">
      <c r="A2876" s="2">
        <v>0</v>
      </c>
    </row>
    <row r="2877" spans="1:1" x14ac:dyDescent="0.3">
      <c r="A2877" s="1">
        <v>0</v>
      </c>
    </row>
    <row r="2878" spans="1:1" x14ac:dyDescent="0.3">
      <c r="A2878" s="2">
        <v>0</v>
      </c>
    </row>
    <row r="2879" spans="1:1" x14ac:dyDescent="0.3">
      <c r="A2879" s="2">
        <v>0</v>
      </c>
    </row>
    <row r="2880" spans="1:1" x14ac:dyDescent="0.3">
      <c r="A2880" s="2">
        <v>0</v>
      </c>
    </row>
    <row r="2881" spans="1:1" x14ac:dyDescent="0.3">
      <c r="A2881" s="2">
        <v>0</v>
      </c>
    </row>
    <row r="2882" spans="1:1" x14ac:dyDescent="0.3">
      <c r="A2882" s="1">
        <v>0</v>
      </c>
    </row>
    <row r="2883" spans="1:1" x14ac:dyDescent="0.3">
      <c r="A2883" s="1">
        <v>0</v>
      </c>
    </row>
    <row r="2884" spans="1:1" x14ac:dyDescent="0.3">
      <c r="A2884" s="2">
        <v>0</v>
      </c>
    </row>
    <row r="2885" spans="1:1" x14ac:dyDescent="0.3">
      <c r="A2885" s="1">
        <v>0</v>
      </c>
    </row>
    <row r="2886" spans="1:1" x14ac:dyDescent="0.3">
      <c r="A2886" s="1">
        <v>0</v>
      </c>
    </row>
    <row r="2887" spans="1:1" x14ac:dyDescent="0.3">
      <c r="A2887" s="1">
        <v>0</v>
      </c>
    </row>
    <row r="2888" spans="1:1" x14ac:dyDescent="0.3">
      <c r="A2888" s="2">
        <v>0</v>
      </c>
    </row>
    <row r="2889" spans="1:1" x14ac:dyDescent="0.3">
      <c r="A2889" s="2">
        <v>0</v>
      </c>
    </row>
    <row r="2890" spans="1:1" x14ac:dyDescent="0.3">
      <c r="A2890" s="2">
        <v>0</v>
      </c>
    </row>
    <row r="2891" spans="1:1" x14ac:dyDescent="0.3">
      <c r="A2891" s="1">
        <v>0</v>
      </c>
    </row>
    <row r="2892" spans="1:1" x14ac:dyDescent="0.3">
      <c r="A2892" s="2">
        <v>0</v>
      </c>
    </row>
    <row r="2893" spans="1:1" x14ac:dyDescent="0.3">
      <c r="A2893" s="2">
        <v>0</v>
      </c>
    </row>
    <row r="2894" spans="1:1" x14ac:dyDescent="0.3">
      <c r="A2894" s="1">
        <v>0</v>
      </c>
    </row>
    <row r="2895" spans="1:1" x14ac:dyDescent="0.3">
      <c r="A2895" s="2">
        <v>0</v>
      </c>
    </row>
    <row r="2896" spans="1:1" x14ac:dyDescent="0.3">
      <c r="A2896" s="1">
        <v>0</v>
      </c>
    </row>
    <row r="2897" spans="1:1" x14ac:dyDescent="0.3">
      <c r="A2897" s="2">
        <v>0</v>
      </c>
    </row>
    <row r="2898" spans="1:1" x14ac:dyDescent="0.3">
      <c r="A2898" s="1">
        <v>0</v>
      </c>
    </row>
    <row r="2899" spans="1:1" x14ac:dyDescent="0.3">
      <c r="A2899" s="2">
        <v>0</v>
      </c>
    </row>
    <row r="2900" spans="1:1" x14ac:dyDescent="0.3">
      <c r="A2900" s="1">
        <v>0</v>
      </c>
    </row>
    <row r="2901" spans="1:1" x14ac:dyDescent="0.3">
      <c r="A2901" s="1">
        <v>0</v>
      </c>
    </row>
    <row r="2902" spans="1:1" x14ac:dyDescent="0.3">
      <c r="A2902" s="2">
        <v>0</v>
      </c>
    </row>
    <row r="2903" spans="1:1" x14ac:dyDescent="0.3">
      <c r="A2903" s="2">
        <v>0</v>
      </c>
    </row>
    <row r="2904" spans="1:1" x14ac:dyDescent="0.3">
      <c r="A2904" s="2">
        <v>0</v>
      </c>
    </row>
    <row r="2905" spans="1:1" x14ac:dyDescent="0.3">
      <c r="A2905" s="1">
        <v>0</v>
      </c>
    </row>
    <row r="2906" spans="1:1" x14ac:dyDescent="0.3">
      <c r="A2906" s="2">
        <v>0</v>
      </c>
    </row>
    <row r="2907" spans="1:1" x14ac:dyDescent="0.3">
      <c r="A2907" s="1">
        <v>0</v>
      </c>
    </row>
    <row r="2908" spans="1:1" x14ac:dyDescent="0.3">
      <c r="A2908" s="1">
        <v>0</v>
      </c>
    </row>
    <row r="2909" spans="1:1" x14ac:dyDescent="0.3">
      <c r="A2909" s="1">
        <v>0</v>
      </c>
    </row>
    <row r="2910" spans="1:1" x14ac:dyDescent="0.3">
      <c r="A2910" s="2">
        <v>0</v>
      </c>
    </row>
    <row r="2911" spans="1:1" x14ac:dyDescent="0.3">
      <c r="A2911" s="2">
        <v>0</v>
      </c>
    </row>
    <row r="2912" spans="1:1" x14ac:dyDescent="0.3">
      <c r="A2912" s="1">
        <v>0</v>
      </c>
    </row>
    <row r="2913" spans="1:1" x14ac:dyDescent="0.3">
      <c r="A2913" s="2">
        <v>0</v>
      </c>
    </row>
    <row r="2914" spans="1:1" x14ac:dyDescent="0.3">
      <c r="A2914" s="2">
        <v>0</v>
      </c>
    </row>
    <row r="2915" spans="1:1" x14ac:dyDescent="0.3">
      <c r="A2915" s="1">
        <v>0</v>
      </c>
    </row>
    <row r="2916" spans="1:1" x14ac:dyDescent="0.3">
      <c r="A2916" s="2">
        <v>0</v>
      </c>
    </row>
    <row r="2917" spans="1:1" x14ac:dyDescent="0.3">
      <c r="A2917" s="1">
        <v>0</v>
      </c>
    </row>
    <row r="2918" spans="1:1" x14ac:dyDescent="0.3">
      <c r="A2918" s="1">
        <v>0</v>
      </c>
    </row>
    <row r="2919" spans="1:1" x14ac:dyDescent="0.3">
      <c r="A2919" s="1">
        <v>0</v>
      </c>
    </row>
    <row r="2920" spans="1:1" x14ac:dyDescent="0.3">
      <c r="A2920" s="2">
        <v>0</v>
      </c>
    </row>
    <row r="2921" spans="1:1" x14ac:dyDescent="0.3">
      <c r="A2921" s="2">
        <v>0</v>
      </c>
    </row>
    <row r="2922" spans="1:1" x14ac:dyDescent="0.3">
      <c r="A2922" s="2">
        <v>0</v>
      </c>
    </row>
    <row r="2923" spans="1:1" x14ac:dyDescent="0.3">
      <c r="A2923" s="2">
        <v>0</v>
      </c>
    </row>
    <row r="2924" spans="1:1" x14ac:dyDescent="0.3">
      <c r="A2924" s="1">
        <v>0</v>
      </c>
    </row>
    <row r="2925" spans="1:1" x14ac:dyDescent="0.3">
      <c r="A2925" s="2">
        <v>0</v>
      </c>
    </row>
    <row r="2926" spans="1:1" x14ac:dyDescent="0.3">
      <c r="A2926" s="1">
        <v>0</v>
      </c>
    </row>
    <row r="2927" spans="1:1" x14ac:dyDescent="0.3">
      <c r="A2927" s="1">
        <v>0</v>
      </c>
    </row>
    <row r="2928" spans="1:1" x14ac:dyDescent="0.3">
      <c r="A2928" s="2">
        <v>0</v>
      </c>
    </row>
    <row r="2929" spans="1:1" x14ac:dyDescent="0.3">
      <c r="A2929" s="1">
        <v>0</v>
      </c>
    </row>
    <row r="2930" spans="1:1" x14ac:dyDescent="0.3">
      <c r="A2930" s="2">
        <v>0</v>
      </c>
    </row>
    <row r="2931" spans="1:1" x14ac:dyDescent="0.3">
      <c r="A2931" s="1">
        <v>0</v>
      </c>
    </row>
    <row r="2932" spans="1:1" x14ac:dyDescent="0.3">
      <c r="A2932" s="2">
        <v>0</v>
      </c>
    </row>
    <row r="2933" spans="1:1" x14ac:dyDescent="0.3">
      <c r="A2933" s="2">
        <v>0</v>
      </c>
    </row>
    <row r="2934" spans="1:1" x14ac:dyDescent="0.3">
      <c r="A2934" s="1">
        <v>0</v>
      </c>
    </row>
    <row r="2935" spans="1:1" x14ac:dyDescent="0.3">
      <c r="A2935" s="2">
        <v>0</v>
      </c>
    </row>
    <row r="2936" spans="1:1" x14ac:dyDescent="0.3">
      <c r="A2936" s="2">
        <v>0</v>
      </c>
    </row>
    <row r="2937" spans="1:1" x14ac:dyDescent="0.3">
      <c r="A2937" s="2">
        <v>0</v>
      </c>
    </row>
    <row r="2938" spans="1:1" x14ac:dyDescent="0.3">
      <c r="A2938" s="2">
        <v>0</v>
      </c>
    </row>
    <row r="2939" spans="1:1" x14ac:dyDescent="0.3">
      <c r="A2939" s="1">
        <v>0</v>
      </c>
    </row>
    <row r="2940" spans="1:1" x14ac:dyDescent="0.3">
      <c r="A2940" s="1">
        <v>0</v>
      </c>
    </row>
    <row r="2941" spans="1:1" x14ac:dyDescent="0.3">
      <c r="A2941" s="1">
        <v>0</v>
      </c>
    </row>
    <row r="2942" spans="1:1" x14ac:dyDescent="0.3">
      <c r="A2942" s="2">
        <v>0</v>
      </c>
    </row>
    <row r="2943" spans="1:1" x14ac:dyDescent="0.3">
      <c r="A2943" s="2">
        <v>0</v>
      </c>
    </row>
    <row r="2944" spans="1:1" x14ac:dyDescent="0.3">
      <c r="A2944" s="2">
        <v>0</v>
      </c>
    </row>
    <row r="2945" spans="1:1" x14ac:dyDescent="0.3">
      <c r="A2945" s="1">
        <v>0</v>
      </c>
    </row>
    <row r="2946" spans="1:1" x14ac:dyDescent="0.3">
      <c r="A2946" s="1">
        <v>0</v>
      </c>
    </row>
    <row r="2947" spans="1:1" x14ac:dyDescent="0.3">
      <c r="A2947" s="1">
        <v>0</v>
      </c>
    </row>
    <row r="2948" spans="1:1" x14ac:dyDescent="0.3">
      <c r="A2948" s="2">
        <v>0</v>
      </c>
    </row>
    <row r="2949" spans="1:1" x14ac:dyDescent="0.3">
      <c r="A2949" s="2">
        <v>0</v>
      </c>
    </row>
    <row r="2950" spans="1:1" x14ac:dyDescent="0.3">
      <c r="A2950" s="2">
        <v>0</v>
      </c>
    </row>
    <row r="2951" spans="1:1" x14ac:dyDescent="0.3">
      <c r="A2951" s="2">
        <v>0</v>
      </c>
    </row>
    <row r="2952" spans="1:1" x14ac:dyDescent="0.3">
      <c r="A2952" s="1">
        <v>0</v>
      </c>
    </row>
    <row r="2953" spans="1:1" x14ac:dyDescent="0.3">
      <c r="A2953" s="2">
        <v>0</v>
      </c>
    </row>
    <row r="2954" spans="1:1" x14ac:dyDescent="0.3">
      <c r="A2954" s="2">
        <v>0</v>
      </c>
    </row>
    <row r="2955" spans="1:1" x14ac:dyDescent="0.3">
      <c r="A2955" s="2">
        <v>0</v>
      </c>
    </row>
    <row r="2956" spans="1:1" x14ac:dyDescent="0.3">
      <c r="A2956" s="1">
        <v>0</v>
      </c>
    </row>
    <row r="2957" spans="1:1" x14ac:dyDescent="0.3">
      <c r="A2957" s="1">
        <v>0</v>
      </c>
    </row>
    <row r="2958" spans="1:1" x14ac:dyDescent="0.3">
      <c r="A2958" s="1">
        <v>0</v>
      </c>
    </row>
    <row r="2959" spans="1:1" x14ac:dyDescent="0.3">
      <c r="A2959" s="2">
        <v>0</v>
      </c>
    </row>
    <row r="2960" spans="1:1" x14ac:dyDescent="0.3">
      <c r="A2960" s="1">
        <v>0</v>
      </c>
    </row>
    <row r="2961" spans="1:1" x14ac:dyDescent="0.3">
      <c r="A2961" s="2">
        <v>0</v>
      </c>
    </row>
    <row r="2962" spans="1:1" x14ac:dyDescent="0.3">
      <c r="A2962" s="1">
        <v>0</v>
      </c>
    </row>
    <row r="2963" spans="1:1" x14ac:dyDescent="0.3">
      <c r="A2963" s="2">
        <v>0</v>
      </c>
    </row>
    <row r="2964" spans="1:1" x14ac:dyDescent="0.3">
      <c r="A2964" s="2">
        <v>0</v>
      </c>
    </row>
    <row r="2965" spans="1:1" x14ac:dyDescent="0.3">
      <c r="A2965" s="2">
        <v>0</v>
      </c>
    </row>
    <row r="2966" spans="1:1" x14ac:dyDescent="0.3">
      <c r="A2966" s="2">
        <v>0</v>
      </c>
    </row>
    <row r="2967" spans="1:1" x14ac:dyDescent="0.3">
      <c r="A2967" s="2">
        <v>0</v>
      </c>
    </row>
    <row r="2968" spans="1:1" x14ac:dyDescent="0.3">
      <c r="A2968" s="2">
        <v>0</v>
      </c>
    </row>
    <row r="2969" spans="1:1" x14ac:dyDescent="0.3">
      <c r="A2969" s="1">
        <v>0</v>
      </c>
    </row>
    <row r="2970" spans="1:1" x14ac:dyDescent="0.3">
      <c r="A2970" s="2">
        <v>0</v>
      </c>
    </row>
    <row r="2971" spans="1:1" x14ac:dyDescent="0.3">
      <c r="A2971" s="2">
        <v>0</v>
      </c>
    </row>
    <row r="2972" spans="1:1" x14ac:dyDescent="0.3">
      <c r="A2972" s="2">
        <v>0</v>
      </c>
    </row>
    <row r="2973" spans="1:1" x14ac:dyDescent="0.3">
      <c r="A2973" s="2">
        <v>0</v>
      </c>
    </row>
    <row r="2974" spans="1:1" x14ac:dyDescent="0.3">
      <c r="A2974" s="2">
        <v>0</v>
      </c>
    </row>
    <row r="2975" spans="1:1" x14ac:dyDescent="0.3">
      <c r="A2975" s="2">
        <v>0</v>
      </c>
    </row>
    <row r="2976" spans="1:1" x14ac:dyDescent="0.3">
      <c r="A2976" s="2">
        <v>0</v>
      </c>
    </row>
    <row r="2977" spans="1:1" x14ac:dyDescent="0.3">
      <c r="A2977" s="1">
        <v>0</v>
      </c>
    </row>
    <row r="2978" spans="1:1" x14ac:dyDescent="0.3">
      <c r="A2978" s="2">
        <v>0</v>
      </c>
    </row>
    <row r="2979" spans="1:1" x14ac:dyDescent="0.3">
      <c r="A2979" s="2">
        <v>0</v>
      </c>
    </row>
    <row r="2980" spans="1:1" x14ac:dyDescent="0.3">
      <c r="A2980" s="1">
        <v>0</v>
      </c>
    </row>
    <row r="2981" spans="1:1" x14ac:dyDescent="0.3">
      <c r="A2981" s="50">
        <v>0</v>
      </c>
    </row>
  </sheetData>
  <sortState xmlns:xlrd2="http://schemas.microsoft.com/office/spreadsheetml/2017/richdata2" ref="A2:A2982">
    <sortCondition descending="1" ref="A1:A2982"/>
  </sortState>
  <pageMargins left="0.7" right="0.7" top="0.75" bottom="0.75" header="0.3" footer="0.3"/>
  <ignoredErrors>
    <ignoredError sqref="D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BD50-393A-460E-B4F1-7964CD8C6BD9}">
  <dimension ref="A1:R2979"/>
  <sheetViews>
    <sheetView topLeftCell="A91" workbookViewId="0">
      <selection activeCell="Q14" sqref="Q14"/>
    </sheetView>
  </sheetViews>
  <sheetFormatPr baseColWidth="10" defaultRowHeight="14.4" x14ac:dyDescent="0.3"/>
  <cols>
    <col min="1" max="1" width="11.5546875" style="49"/>
    <col min="4" max="9" width="11.5546875" hidden="1" customWidth="1"/>
    <col min="11" max="11" width="11.5546875" style="49"/>
    <col min="16" max="16" width="20.5546875" bestFit="1" customWidth="1"/>
  </cols>
  <sheetData>
    <row r="1" spans="1:18" x14ac:dyDescent="0.3">
      <c r="A1" s="49">
        <v>45658</v>
      </c>
      <c r="D1" t="s">
        <v>7355</v>
      </c>
      <c r="E1">
        <v>1</v>
      </c>
      <c r="F1" t="str">
        <f>LOWER(D1)</f>
        <v>sep</v>
      </c>
      <c r="G1">
        <v>20</v>
      </c>
      <c r="H1">
        <v>24</v>
      </c>
      <c r="I1" t="str">
        <f t="shared" ref="I1:I64" si="0">_xlfn.CONCAT(E1,"-",F1,"-",G1,H1)</f>
        <v>1-sep-2024</v>
      </c>
      <c r="K1" s="49">
        <f>DATEVALUE(I1)</f>
        <v>45536</v>
      </c>
      <c r="M1" t="b">
        <f>K1&lt;A1</f>
        <v>1</v>
      </c>
      <c r="O1" t="b" cm="1">
        <f t="array" ref="O1:O3">_xlfn.UNIQUE(M1:M2979)</f>
        <v>1</v>
      </c>
      <c r="P1" t="s">
        <v>7399</v>
      </c>
      <c r="Q1">
        <f>COUNTIF(M$1:M$2979,O1)</f>
        <v>2629</v>
      </c>
      <c r="R1" s="48">
        <f>Q1/Q$3*100</f>
        <v>88.847583643122675</v>
      </c>
    </row>
    <row r="2" spans="1:18" x14ac:dyDescent="0.3">
      <c r="A2" s="49">
        <v>45658</v>
      </c>
      <c r="D2" t="s">
        <v>7356</v>
      </c>
      <c r="E2">
        <v>1</v>
      </c>
      <c r="F2" t="str">
        <f t="shared" ref="F2:F65" si="1">LOWER(D2)</f>
        <v>ene</v>
      </c>
      <c r="G2">
        <v>20</v>
      </c>
      <c r="H2">
        <v>23</v>
      </c>
      <c r="I2" t="str">
        <f t="shared" si="0"/>
        <v>1-ene-2023</v>
      </c>
      <c r="K2" s="49">
        <f t="shared" ref="K2:K65" si="2">DATEVALUE(I2)</f>
        <v>44927</v>
      </c>
      <c r="M2" t="b">
        <f>K2&lt;A2</f>
        <v>1</v>
      </c>
      <c r="O2" t="b">
        <v>0</v>
      </c>
      <c r="P2" t="s">
        <v>7398</v>
      </c>
      <c r="Q2">
        <f>COUNTIF(M$1:M$2979,O2)</f>
        <v>330</v>
      </c>
      <c r="R2" s="48">
        <f>Q2/Q$3*100</f>
        <v>11.152416356877323</v>
      </c>
    </row>
    <row r="3" spans="1:18" x14ac:dyDescent="0.3">
      <c r="A3" s="49">
        <v>45658</v>
      </c>
      <c r="D3" t="s">
        <v>7357</v>
      </c>
      <c r="E3">
        <v>1</v>
      </c>
      <c r="F3" t="str">
        <f t="shared" si="1"/>
        <v>oct</v>
      </c>
      <c r="G3">
        <v>20</v>
      </c>
      <c r="H3">
        <v>24</v>
      </c>
      <c r="I3" t="str">
        <f t="shared" si="0"/>
        <v>1-oct-2024</v>
      </c>
      <c r="K3" s="49">
        <f t="shared" si="2"/>
        <v>45566</v>
      </c>
      <c r="M3" t="b">
        <f t="shared" ref="M3:M66" si="3">K3&lt;A3</f>
        <v>1</v>
      </c>
      <c r="O3" t="e">
        <v>#VALUE!</v>
      </c>
      <c r="Q3">
        <f>SUM(Q1:Q2)</f>
        <v>2959</v>
      </c>
      <c r="R3">
        <f>SUM(R1:R2)</f>
        <v>100</v>
      </c>
    </row>
    <row r="4" spans="1:18" x14ac:dyDescent="0.3">
      <c r="A4" s="49">
        <v>45658</v>
      </c>
      <c r="D4" t="s">
        <v>7358</v>
      </c>
      <c r="E4">
        <v>1</v>
      </c>
      <c r="F4" t="str">
        <f t="shared" si="1"/>
        <v>sep</v>
      </c>
      <c r="G4">
        <v>20</v>
      </c>
      <c r="H4">
        <v>24</v>
      </c>
      <c r="I4" t="str">
        <f t="shared" si="0"/>
        <v>1-sep-2024</v>
      </c>
      <c r="K4" s="49">
        <f t="shared" si="2"/>
        <v>45536</v>
      </c>
      <c r="M4" t="b">
        <f t="shared" si="3"/>
        <v>1</v>
      </c>
    </row>
    <row r="5" spans="1:18" x14ac:dyDescent="0.3">
      <c r="A5" s="49">
        <v>45658</v>
      </c>
      <c r="D5" t="s">
        <v>7358</v>
      </c>
      <c r="E5">
        <v>1</v>
      </c>
      <c r="F5" t="str">
        <f t="shared" si="1"/>
        <v>sep</v>
      </c>
      <c r="G5">
        <v>20</v>
      </c>
      <c r="H5">
        <v>24</v>
      </c>
      <c r="I5" t="str">
        <f t="shared" si="0"/>
        <v>1-sep-2024</v>
      </c>
      <c r="K5" s="49">
        <f t="shared" si="2"/>
        <v>45536</v>
      </c>
      <c r="M5" t="b">
        <f t="shared" si="3"/>
        <v>1</v>
      </c>
    </row>
    <row r="6" spans="1:18" x14ac:dyDescent="0.3">
      <c r="A6" s="49">
        <v>45658</v>
      </c>
      <c r="D6" t="s">
        <v>7355</v>
      </c>
      <c r="E6">
        <v>1</v>
      </c>
      <c r="F6" t="str">
        <f t="shared" si="1"/>
        <v>sep</v>
      </c>
      <c r="G6">
        <v>20</v>
      </c>
      <c r="H6">
        <v>24</v>
      </c>
      <c r="I6" t="str">
        <f t="shared" si="0"/>
        <v>1-sep-2024</v>
      </c>
      <c r="K6" s="49">
        <f t="shared" si="2"/>
        <v>45536</v>
      </c>
      <c r="M6" t="b">
        <f t="shared" si="3"/>
        <v>1</v>
      </c>
    </row>
    <row r="7" spans="1:18" x14ac:dyDescent="0.3">
      <c r="A7" s="49">
        <v>45658</v>
      </c>
      <c r="D7" t="s">
        <v>7357</v>
      </c>
      <c r="E7">
        <v>1</v>
      </c>
      <c r="F7" t="str">
        <f t="shared" si="1"/>
        <v>oct</v>
      </c>
      <c r="G7">
        <v>20</v>
      </c>
      <c r="H7">
        <v>24</v>
      </c>
      <c r="I7" t="str">
        <f t="shared" si="0"/>
        <v>1-oct-2024</v>
      </c>
      <c r="K7" s="49">
        <f t="shared" si="2"/>
        <v>45566</v>
      </c>
      <c r="M7" t="b">
        <f t="shared" si="3"/>
        <v>1</v>
      </c>
    </row>
    <row r="8" spans="1:18" x14ac:dyDescent="0.3">
      <c r="A8" s="49">
        <v>45658</v>
      </c>
      <c r="D8" t="s">
        <v>7359</v>
      </c>
      <c r="E8">
        <v>1</v>
      </c>
      <c r="F8" t="str">
        <f t="shared" si="1"/>
        <v>jul</v>
      </c>
      <c r="G8">
        <v>20</v>
      </c>
      <c r="H8">
        <v>24</v>
      </c>
      <c r="I8" t="str">
        <f t="shared" si="0"/>
        <v>1-jul-2024</v>
      </c>
      <c r="K8" s="49">
        <f t="shared" si="2"/>
        <v>45474</v>
      </c>
      <c r="M8" t="b">
        <f t="shared" si="3"/>
        <v>1</v>
      </c>
    </row>
    <row r="9" spans="1:18" x14ac:dyDescent="0.3">
      <c r="A9" s="49">
        <v>45658</v>
      </c>
      <c r="D9" t="s">
        <v>7357</v>
      </c>
      <c r="E9">
        <v>1</v>
      </c>
      <c r="F9" t="str">
        <f t="shared" si="1"/>
        <v>oct</v>
      </c>
      <c r="G9">
        <v>20</v>
      </c>
      <c r="H9">
        <v>24</v>
      </c>
      <c r="I9" t="str">
        <f t="shared" si="0"/>
        <v>1-oct-2024</v>
      </c>
      <c r="K9" s="49">
        <f t="shared" si="2"/>
        <v>45566</v>
      </c>
      <c r="M9" t="b">
        <f t="shared" si="3"/>
        <v>1</v>
      </c>
    </row>
    <row r="10" spans="1:18" x14ac:dyDescent="0.3">
      <c r="A10" s="49">
        <v>45658</v>
      </c>
      <c r="D10" t="s">
        <v>7357</v>
      </c>
      <c r="E10">
        <v>1</v>
      </c>
      <c r="F10" t="str">
        <f t="shared" si="1"/>
        <v>oct</v>
      </c>
      <c r="G10">
        <v>20</v>
      </c>
      <c r="H10">
        <v>24</v>
      </c>
      <c r="I10" t="str">
        <f t="shared" si="0"/>
        <v>1-oct-2024</v>
      </c>
      <c r="K10" s="49">
        <f t="shared" si="2"/>
        <v>45566</v>
      </c>
      <c r="M10" t="b">
        <f t="shared" si="3"/>
        <v>1</v>
      </c>
    </row>
    <row r="11" spans="1:18" x14ac:dyDescent="0.3">
      <c r="A11" s="49">
        <v>45658</v>
      </c>
      <c r="D11" t="s">
        <v>7355</v>
      </c>
      <c r="E11">
        <v>1</v>
      </c>
      <c r="F11" t="str">
        <f t="shared" si="1"/>
        <v>sep</v>
      </c>
      <c r="G11">
        <v>20</v>
      </c>
      <c r="H11">
        <v>24</v>
      </c>
      <c r="I11" t="str">
        <f t="shared" si="0"/>
        <v>1-sep-2024</v>
      </c>
      <c r="K11" s="49">
        <f t="shared" si="2"/>
        <v>45536</v>
      </c>
      <c r="M11" t="b">
        <f t="shared" si="3"/>
        <v>1</v>
      </c>
    </row>
    <row r="12" spans="1:18" x14ac:dyDescent="0.3">
      <c r="A12" s="49">
        <v>45658</v>
      </c>
      <c r="D12" t="s">
        <v>7357</v>
      </c>
      <c r="E12">
        <v>1</v>
      </c>
      <c r="F12" t="str">
        <f t="shared" si="1"/>
        <v>oct</v>
      </c>
      <c r="G12">
        <v>20</v>
      </c>
      <c r="H12">
        <v>24</v>
      </c>
      <c r="I12" t="str">
        <f t="shared" si="0"/>
        <v>1-oct-2024</v>
      </c>
      <c r="K12" s="49">
        <f t="shared" si="2"/>
        <v>45566</v>
      </c>
      <c r="M12" t="b">
        <f t="shared" si="3"/>
        <v>1</v>
      </c>
    </row>
    <row r="13" spans="1:18" x14ac:dyDescent="0.3">
      <c r="A13" s="49">
        <v>45658</v>
      </c>
      <c r="D13" t="s">
        <v>7357</v>
      </c>
      <c r="E13">
        <v>1</v>
      </c>
      <c r="F13" t="str">
        <f t="shared" si="1"/>
        <v>oct</v>
      </c>
      <c r="G13">
        <v>20</v>
      </c>
      <c r="H13">
        <v>24</v>
      </c>
      <c r="I13" t="str">
        <f t="shared" si="0"/>
        <v>1-oct-2024</v>
      </c>
      <c r="K13" s="49">
        <f t="shared" si="2"/>
        <v>45566</v>
      </c>
      <c r="M13" t="b">
        <f t="shared" si="3"/>
        <v>1</v>
      </c>
    </row>
    <row r="14" spans="1:18" x14ac:dyDescent="0.3">
      <c r="A14" s="49">
        <v>45658</v>
      </c>
      <c r="D14" t="s">
        <v>7357</v>
      </c>
      <c r="E14">
        <v>1</v>
      </c>
      <c r="F14" t="str">
        <f t="shared" si="1"/>
        <v>oct</v>
      </c>
      <c r="G14">
        <v>20</v>
      </c>
      <c r="H14">
        <v>24</v>
      </c>
      <c r="I14" t="str">
        <f t="shared" si="0"/>
        <v>1-oct-2024</v>
      </c>
      <c r="K14" s="49">
        <f t="shared" si="2"/>
        <v>45566</v>
      </c>
      <c r="M14" t="b">
        <f t="shared" si="3"/>
        <v>1</v>
      </c>
    </row>
    <row r="15" spans="1:18" x14ac:dyDescent="0.3">
      <c r="A15" s="49">
        <v>45658</v>
      </c>
      <c r="D15" t="s">
        <v>7355</v>
      </c>
      <c r="E15">
        <v>1</v>
      </c>
      <c r="F15" t="str">
        <f t="shared" si="1"/>
        <v>sep</v>
      </c>
      <c r="G15">
        <v>20</v>
      </c>
      <c r="H15">
        <v>24</v>
      </c>
      <c r="I15" t="str">
        <f t="shared" si="0"/>
        <v>1-sep-2024</v>
      </c>
      <c r="K15" s="49">
        <f t="shared" si="2"/>
        <v>45536</v>
      </c>
      <c r="M15" t="b">
        <f t="shared" si="3"/>
        <v>1</v>
      </c>
    </row>
    <row r="16" spans="1:18" x14ac:dyDescent="0.3">
      <c r="A16" s="49">
        <v>45658</v>
      </c>
      <c r="D16" t="s">
        <v>7355</v>
      </c>
      <c r="E16">
        <v>1</v>
      </c>
      <c r="F16" t="str">
        <f t="shared" si="1"/>
        <v>sep</v>
      </c>
      <c r="G16">
        <v>20</v>
      </c>
      <c r="H16">
        <v>24</v>
      </c>
      <c r="I16" t="str">
        <f t="shared" si="0"/>
        <v>1-sep-2024</v>
      </c>
      <c r="K16" s="49">
        <f t="shared" si="2"/>
        <v>45536</v>
      </c>
      <c r="M16" t="b">
        <f t="shared" si="3"/>
        <v>1</v>
      </c>
    </row>
    <row r="17" spans="1:13" x14ac:dyDescent="0.3">
      <c r="A17" s="49">
        <v>45658</v>
      </c>
      <c r="D17" t="s">
        <v>7355</v>
      </c>
      <c r="E17">
        <v>1</v>
      </c>
      <c r="F17" t="str">
        <f t="shared" si="1"/>
        <v>sep</v>
      </c>
      <c r="G17">
        <v>20</v>
      </c>
      <c r="H17">
        <v>24</v>
      </c>
      <c r="I17" t="str">
        <f t="shared" si="0"/>
        <v>1-sep-2024</v>
      </c>
      <c r="K17" s="49">
        <f t="shared" si="2"/>
        <v>45536</v>
      </c>
      <c r="M17" t="b">
        <f t="shared" si="3"/>
        <v>1</v>
      </c>
    </row>
    <row r="18" spans="1:13" x14ac:dyDescent="0.3">
      <c r="A18" s="49">
        <v>45658</v>
      </c>
      <c r="D18" t="s">
        <v>7355</v>
      </c>
      <c r="E18">
        <v>1</v>
      </c>
      <c r="F18" t="str">
        <f t="shared" si="1"/>
        <v>sep</v>
      </c>
      <c r="G18">
        <v>20</v>
      </c>
      <c r="H18">
        <v>24</v>
      </c>
      <c r="I18" t="str">
        <f t="shared" si="0"/>
        <v>1-sep-2024</v>
      </c>
      <c r="K18" s="49">
        <f t="shared" si="2"/>
        <v>45536</v>
      </c>
      <c r="M18" t="b">
        <f t="shared" si="3"/>
        <v>1</v>
      </c>
    </row>
    <row r="19" spans="1:13" x14ac:dyDescent="0.3">
      <c r="A19" s="49">
        <v>45658</v>
      </c>
      <c r="D19" t="s">
        <v>7355</v>
      </c>
      <c r="E19">
        <v>1</v>
      </c>
      <c r="F19" t="str">
        <f t="shared" si="1"/>
        <v>sep</v>
      </c>
      <c r="G19">
        <v>20</v>
      </c>
      <c r="H19">
        <v>24</v>
      </c>
      <c r="I19" t="str">
        <f t="shared" si="0"/>
        <v>1-sep-2024</v>
      </c>
      <c r="K19" s="49">
        <f t="shared" si="2"/>
        <v>45536</v>
      </c>
      <c r="M19" t="b">
        <f t="shared" si="3"/>
        <v>1</v>
      </c>
    </row>
    <row r="20" spans="1:13" x14ac:dyDescent="0.3">
      <c r="A20" s="49">
        <v>45658</v>
      </c>
      <c r="D20" t="s">
        <v>7355</v>
      </c>
      <c r="E20">
        <v>1</v>
      </c>
      <c r="F20" t="str">
        <f t="shared" si="1"/>
        <v>sep</v>
      </c>
      <c r="G20">
        <v>20</v>
      </c>
      <c r="H20">
        <v>24</v>
      </c>
      <c r="I20" t="str">
        <f t="shared" si="0"/>
        <v>1-sep-2024</v>
      </c>
      <c r="K20" s="49">
        <f t="shared" si="2"/>
        <v>45536</v>
      </c>
      <c r="M20" t="b">
        <f t="shared" si="3"/>
        <v>1</v>
      </c>
    </row>
    <row r="21" spans="1:13" x14ac:dyDescent="0.3">
      <c r="A21" s="49">
        <v>45658</v>
      </c>
      <c r="D21" t="s">
        <v>7355</v>
      </c>
      <c r="E21">
        <v>1</v>
      </c>
      <c r="F21" t="str">
        <f t="shared" si="1"/>
        <v>sep</v>
      </c>
      <c r="G21">
        <v>20</v>
      </c>
      <c r="H21">
        <v>24</v>
      </c>
      <c r="I21" t="str">
        <f t="shared" si="0"/>
        <v>1-sep-2024</v>
      </c>
      <c r="K21" s="49">
        <f t="shared" si="2"/>
        <v>45536</v>
      </c>
      <c r="M21" t="b">
        <f t="shared" si="3"/>
        <v>1</v>
      </c>
    </row>
    <row r="22" spans="1:13" x14ac:dyDescent="0.3">
      <c r="A22" s="49">
        <v>45658</v>
      </c>
      <c r="D22" t="s">
        <v>7355</v>
      </c>
      <c r="E22">
        <v>1</v>
      </c>
      <c r="F22" t="str">
        <f t="shared" si="1"/>
        <v>sep</v>
      </c>
      <c r="G22">
        <v>20</v>
      </c>
      <c r="H22">
        <v>24</v>
      </c>
      <c r="I22" t="str">
        <f t="shared" si="0"/>
        <v>1-sep-2024</v>
      </c>
      <c r="K22" s="49">
        <f t="shared" si="2"/>
        <v>45536</v>
      </c>
      <c r="M22" t="b">
        <f t="shared" si="3"/>
        <v>1</v>
      </c>
    </row>
    <row r="23" spans="1:13" x14ac:dyDescent="0.3">
      <c r="A23" s="49">
        <v>45658</v>
      </c>
      <c r="D23" t="s">
        <v>7355</v>
      </c>
      <c r="E23">
        <v>1</v>
      </c>
      <c r="F23" t="str">
        <f t="shared" si="1"/>
        <v>sep</v>
      </c>
      <c r="G23">
        <v>20</v>
      </c>
      <c r="H23">
        <v>24</v>
      </c>
      <c r="I23" t="str">
        <f t="shared" si="0"/>
        <v>1-sep-2024</v>
      </c>
      <c r="K23" s="49">
        <f t="shared" si="2"/>
        <v>45536</v>
      </c>
      <c r="M23" t="b">
        <f t="shared" si="3"/>
        <v>1</v>
      </c>
    </row>
    <row r="24" spans="1:13" x14ac:dyDescent="0.3">
      <c r="A24" s="49">
        <v>45658</v>
      </c>
      <c r="D24" t="s">
        <v>7355</v>
      </c>
      <c r="E24">
        <v>1</v>
      </c>
      <c r="F24" t="str">
        <f t="shared" si="1"/>
        <v>sep</v>
      </c>
      <c r="G24">
        <v>20</v>
      </c>
      <c r="H24">
        <v>24</v>
      </c>
      <c r="I24" t="str">
        <f t="shared" si="0"/>
        <v>1-sep-2024</v>
      </c>
      <c r="K24" s="49">
        <f t="shared" si="2"/>
        <v>45536</v>
      </c>
      <c r="M24" t="b">
        <f t="shared" si="3"/>
        <v>1</v>
      </c>
    </row>
    <row r="25" spans="1:13" x14ac:dyDescent="0.3">
      <c r="A25" s="49">
        <v>45658</v>
      </c>
      <c r="D25" t="s">
        <v>7355</v>
      </c>
      <c r="E25">
        <v>1</v>
      </c>
      <c r="F25" t="str">
        <f t="shared" si="1"/>
        <v>sep</v>
      </c>
      <c r="G25">
        <v>20</v>
      </c>
      <c r="H25">
        <v>24</v>
      </c>
      <c r="I25" t="str">
        <f t="shared" si="0"/>
        <v>1-sep-2024</v>
      </c>
      <c r="K25" s="49">
        <f t="shared" si="2"/>
        <v>45536</v>
      </c>
      <c r="M25" t="b">
        <f t="shared" si="3"/>
        <v>1</v>
      </c>
    </row>
    <row r="26" spans="1:13" x14ac:dyDescent="0.3">
      <c r="A26" s="49">
        <v>45658</v>
      </c>
      <c r="D26" t="s">
        <v>7355</v>
      </c>
      <c r="E26">
        <v>1</v>
      </c>
      <c r="F26" t="str">
        <f t="shared" si="1"/>
        <v>sep</v>
      </c>
      <c r="G26">
        <v>20</v>
      </c>
      <c r="H26">
        <v>24</v>
      </c>
      <c r="I26" t="str">
        <f t="shared" si="0"/>
        <v>1-sep-2024</v>
      </c>
      <c r="K26" s="49">
        <f t="shared" si="2"/>
        <v>45536</v>
      </c>
      <c r="M26" t="b">
        <f t="shared" si="3"/>
        <v>1</v>
      </c>
    </row>
    <row r="27" spans="1:13" x14ac:dyDescent="0.3">
      <c r="A27" s="49">
        <v>45658</v>
      </c>
      <c r="D27" t="s">
        <v>7355</v>
      </c>
      <c r="E27">
        <v>1</v>
      </c>
      <c r="F27" t="str">
        <f t="shared" si="1"/>
        <v>sep</v>
      </c>
      <c r="G27">
        <v>20</v>
      </c>
      <c r="H27">
        <v>24</v>
      </c>
      <c r="I27" t="str">
        <f t="shared" si="0"/>
        <v>1-sep-2024</v>
      </c>
      <c r="K27" s="49">
        <f t="shared" si="2"/>
        <v>45536</v>
      </c>
      <c r="M27" t="b">
        <f t="shared" si="3"/>
        <v>1</v>
      </c>
    </row>
    <row r="28" spans="1:13" x14ac:dyDescent="0.3">
      <c r="A28" s="49">
        <v>45658</v>
      </c>
      <c r="D28" t="s">
        <v>7355</v>
      </c>
      <c r="E28">
        <v>1</v>
      </c>
      <c r="F28" t="str">
        <f t="shared" si="1"/>
        <v>sep</v>
      </c>
      <c r="G28">
        <v>20</v>
      </c>
      <c r="H28">
        <v>24</v>
      </c>
      <c r="I28" t="str">
        <f t="shared" si="0"/>
        <v>1-sep-2024</v>
      </c>
      <c r="K28" s="49">
        <f t="shared" si="2"/>
        <v>45536</v>
      </c>
      <c r="M28" t="b">
        <f t="shared" si="3"/>
        <v>1</v>
      </c>
    </row>
    <row r="29" spans="1:13" x14ac:dyDescent="0.3">
      <c r="A29" s="49">
        <v>45658</v>
      </c>
      <c r="D29" t="s">
        <v>7360</v>
      </c>
      <c r="E29">
        <v>1</v>
      </c>
      <c r="F29" t="str">
        <f t="shared" si="1"/>
        <v>nov</v>
      </c>
      <c r="G29">
        <v>20</v>
      </c>
      <c r="H29">
        <v>24</v>
      </c>
      <c r="I29" t="str">
        <f t="shared" si="0"/>
        <v>1-nov-2024</v>
      </c>
      <c r="K29" s="49">
        <f t="shared" si="2"/>
        <v>45597</v>
      </c>
      <c r="M29" t="b">
        <f t="shared" si="3"/>
        <v>1</v>
      </c>
    </row>
    <row r="30" spans="1:13" x14ac:dyDescent="0.3">
      <c r="A30" s="49">
        <v>45658</v>
      </c>
      <c r="D30" t="s">
        <v>7360</v>
      </c>
      <c r="E30">
        <v>1</v>
      </c>
      <c r="F30" t="str">
        <f t="shared" si="1"/>
        <v>nov</v>
      </c>
      <c r="G30">
        <v>20</v>
      </c>
      <c r="H30">
        <v>24</v>
      </c>
      <c r="I30" t="str">
        <f t="shared" si="0"/>
        <v>1-nov-2024</v>
      </c>
      <c r="K30" s="49">
        <f t="shared" si="2"/>
        <v>45597</v>
      </c>
      <c r="M30" t="b">
        <f t="shared" si="3"/>
        <v>1</v>
      </c>
    </row>
    <row r="31" spans="1:13" x14ac:dyDescent="0.3">
      <c r="A31" s="49">
        <v>45658</v>
      </c>
      <c r="D31" t="s">
        <v>7357</v>
      </c>
      <c r="E31">
        <v>1</v>
      </c>
      <c r="F31" t="str">
        <f t="shared" si="1"/>
        <v>oct</v>
      </c>
      <c r="G31">
        <v>20</v>
      </c>
      <c r="H31">
        <v>24</v>
      </c>
      <c r="I31" t="str">
        <f t="shared" si="0"/>
        <v>1-oct-2024</v>
      </c>
      <c r="K31" s="49">
        <f t="shared" si="2"/>
        <v>45566</v>
      </c>
      <c r="M31" t="b">
        <f t="shared" si="3"/>
        <v>1</v>
      </c>
    </row>
    <row r="32" spans="1:13" x14ac:dyDescent="0.3">
      <c r="A32" s="49">
        <v>45658</v>
      </c>
      <c r="D32" t="s">
        <v>7357</v>
      </c>
      <c r="E32">
        <v>1</v>
      </c>
      <c r="F32" t="str">
        <f t="shared" si="1"/>
        <v>oct</v>
      </c>
      <c r="G32">
        <v>20</v>
      </c>
      <c r="H32">
        <v>24</v>
      </c>
      <c r="I32" t="str">
        <f t="shared" si="0"/>
        <v>1-oct-2024</v>
      </c>
      <c r="K32" s="49">
        <f t="shared" si="2"/>
        <v>45566</v>
      </c>
      <c r="M32" t="b">
        <f t="shared" si="3"/>
        <v>1</v>
      </c>
    </row>
    <row r="33" spans="1:13" x14ac:dyDescent="0.3">
      <c r="A33" s="49">
        <v>45658</v>
      </c>
      <c r="D33" t="s">
        <v>7355</v>
      </c>
      <c r="E33">
        <v>1</v>
      </c>
      <c r="F33" t="str">
        <f t="shared" si="1"/>
        <v>sep</v>
      </c>
      <c r="G33">
        <v>20</v>
      </c>
      <c r="H33">
        <v>24</v>
      </c>
      <c r="I33" t="str">
        <f t="shared" si="0"/>
        <v>1-sep-2024</v>
      </c>
      <c r="K33" s="49">
        <f t="shared" si="2"/>
        <v>45536</v>
      </c>
      <c r="M33" t="b">
        <f t="shared" si="3"/>
        <v>1</v>
      </c>
    </row>
    <row r="34" spans="1:13" x14ac:dyDescent="0.3">
      <c r="A34" s="49">
        <v>45658</v>
      </c>
      <c r="D34" t="s">
        <v>7355</v>
      </c>
      <c r="E34">
        <v>1</v>
      </c>
      <c r="F34" t="str">
        <f t="shared" si="1"/>
        <v>sep</v>
      </c>
      <c r="G34">
        <v>20</v>
      </c>
      <c r="H34">
        <v>24</v>
      </c>
      <c r="I34" t="str">
        <f t="shared" si="0"/>
        <v>1-sep-2024</v>
      </c>
      <c r="K34" s="49">
        <f t="shared" si="2"/>
        <v>45536</v>
      </c>
      <c r="M34" t="b">
        <f t="shared" si="3"/>
        <v>1</v>
      </c>
    </row>
    <row r="35" spans="1:13" x14ac:dyDescent="0.3">
      <c r="A35" s="49">
        <v>45658</v>
      </c>
      <c r="D35" t="s">
        <v>7355</v>
      </c>
      <c r="E35">
        <v>1</v>
      </c>
      <c r="F35" t="str">
        <f t="shared" si="1"/>
        <v>sep</v>
      </c>
      <c r="G35">
        <v>20</v>
      </c>
      <c r="H35">
        <v>24</v>
      </c>
      <c r="I35" t="str">
        <f t="shared" si="0"/>
        <v>1-sep-2024</v>
      </c>
      <c r="K35" s="49">
        <f t="shared" si="2"/>
        <v>45536</v>
      </c>
      <c r="M35" t="b">
        <f t="shared" si="3"/>
        <v>1</v>
      </c>
    </row>
    <row r="36" spans="1:13" x14ac:dyDescent="0.3">
      <c r="A36" s="49">
        <v>45658</v>
      </c>
      <c r="D36" t="s">
        <v>7357</v>
      </c>
      <c r="E36">
        <v>1</v>
      </c>
      <c r="F36" t="str">
        <f t="shared" si="1"/>
        <v>oct</v>
      </c>
      <c r="G36">
        <v>20</v>
      </c>
      <c r="H36">
        <v>24</v>
      </c>
      <c r="I36" t="str">
        <f t="shared" si="0"/>
        <v>1-oct-2024</v>
      </c>
      <c r="K36" s="49">
        <f t="shared" si="2"/>
        <v>45566</v>
      </c>
      <c r="M36" t="b">
        <f t="shared" si="3"/>
        <v>1</v>
      </c>
    </row>
    <row r="37" spans="1:13" x14ac:dyDescent="0.3">
      <c r="A37" s="49">
        <v>45658</v>
      </c>
      <c r="D37" t="s">
        <v>7355</v>
      </c>
      <c r="E37">
        <v>1</v>
      </c>
      <c r="F37" t="str">
        <f t="shared" si="1"/>
        <v>sep</v>
      </c>
      <c r="G37">
        <v>20</v>
      </c>
      <c r="H37">
        <v>24</v>
      </c>
      <c r="I37" t="str">
        <f t="shared" si="0"/>
        <v>1-sep-2024</v>
      </c>
      <c r="K37" s="49">
        <f t="shared" si="2"/>
        <v>45536</v>
      </c>
      <c r="M37" t="b">
        <f t="shared" si="3"/>
        <v>1</v>
      </c>
    </row>
    <row r="38" spans="1:13" x14ac:dyDescent="0.3">
      <c r="A38" s="49">
        <v>45658</v>
      </c>
      <c r="D38" t="s">
        <v>7361</v>
      </c>
      <c r="E38">
        <v>1</v>
      </c>
      <c r="F38" t="str">
        <f t="shared" si="1"/>
        <v>oct</v>
      </c>
      <c r="G38">
        <v>20</v>
      </c>
      <c r="H38">
        <v>24</v>
      </c>
      <c r="I38" t="str">
        <f t="shared" si="0"/>
        <v>1-oct-2024</v>
      </c>
      <c r="K38" s="49">
        <f t="shared" si="2"/>
        <v>45566</v>
      </c>
      <c r="M38" t="b">
        <f t="shared" si="3"/>
        <v>1</v>
      </c>
    </row>
    <row r="39" spans="1:13" x14ac:dyDescent="0.3">
      <c r="A39" s="49">
        <v>45658</v>
      </c>
      <c r="D39" t="s">
        <v>7357</v>
      </c>
      <c r="E39">
        <v>1</v>
      </c>
      <c r="F39" t="str">
        <f t="shared" si="1"/>
        <v>oct</v>
      </c>
      <c r="G39">
        <v>20</v>
      </c>
      <c r="H39">
        <v>24</v>
      </c>
      <c r="I39" t="str">
        <f t="shared" si="0"/>
        <v>1-oct-2024</v>
      </c>
      <c r="K39" s="49">
        <f t="shared" si="2"/>
        <v>45566</v>
      </c>
      <c r="M39" t="b">
        <f t="shared" si="3"/>
        <v>1</v>
      </c>
    </row>
    <row r="40" spans="1:13" x14ac:dyDescent="0.3">
      <c r="A40" s="49">
        <v>45658</v>
      </c>
      <c r="D40" t="s">
        <v>7362</v>
      </c>
      <c r="E40">
        <v>1</v>
      </c>
      <c r="F40" t="str">
        <f t="shared" si="1"/>
        <v>ago</v>
      </c>
      <c r="G40">
        <v>20</v>
      </c>
      <c r="H40">
        <v>24</v>
      </c>
      <c r="I40" t="str">
        <f t="shared" si="0"/>
        <v>1-ago-2024</v>
      </c>
      <c r="K40" s="49">
        <f t="shared" si="2"/>
        <v>45505</v>
      </c>
      <c r="M40" t="b">
        <f t="shared" si="3"/>
        <v>1</v>
      </c>
    </row>
    <row r="41" spans="1:13" x14ac:dyDescent="0.3">
      <c r="A41" s="49">
        <v>45658</v>
      </c>
      <c r="D41" t="s">
        <v>7362</v>
      </c>
      <c r="E41">
        <v>1</v>
      </c>
      <c r="F41" t="str">
        <f t="shared" si="1"/>
        <v>ago</v>
      </c>
      <c r="G41">
        <v>20</v>
      </c>
      <c r="H41">
        <v>24</v>
      </c>
      <c r="I41" t="str">
        <f t="shared" si="0"/>
        <v>1-ago-2024</v>
      </c>
      <c r="K41" s="49">
        <f t="shared" si="2"/>
        <v>45505</v>
      </c>
      <c r="M41" t="b">
        <f t="shared" si="3"/>
        <v>1</v>
      </c>
    </row>
    <row r="42" spans="1:13" x14ac:dyDescent="0.3">
      <c r="A42" s="49">
        <v>45658</v>
      </c>
      <c r="D42" t="s">
        <v>7362</v>
      </c>
      <c r="E42">
        <v>1</v>
      </c>
      <c r="F42" t="str">
        <f t="shared" si="1"/>
        <v>ago</v>
      </c>
      <c r="G42">
        <v>20</v>
      </c>
      <c r="H42">
        <v>24</v>
      </c>
      <c r="I42" t="str">
        <f t="shared" si="0"/>
        <v>1-ago-2024</v>
      </c>
      <c r="K42" s="49">
        <f t="shared" si="2"/>
        <v>45505</v>
      </c>
      <c r="M42" t="b">
        <f t="shared" si="3"/>
        <v>1</v>
      </c>
    </row>
    <row r="43" spans="1:13" x14ac:dyDescent="0.3">
      <c r="A43" s="49">
        <v>45658</v>
      </c>
      <c r="D43" t="s">
        <v>7355</v>
      </c>
      <c r="E43">
        <v>1</v>
      </c>
      <c r="F43" t="str">
        <f t="shared" si="1"/>
        <v>sep</v>
      </c>
      <c r="G43">
        <v>20</v>
      </c>
      <c r="H43">
        <v>24</v>
      </c>
      <c r="I43" t="str">
        <f t="shared" si="0"/>
        <v>1-sep-2024</v>
      </c>
      <c r="K43" s="49">
        <f t="shared" si="2"/>
        <v>45536</v>
      </c>
      <c r="M43" t="b">
        <f t="shared" si="3"/>
        <v>1</v>
      </c>
    </row>
    <row r="44" spans="1:13" x14ac:dyDescent="0.3">
      <c r="A44" s="49">
        <v>45658</v>
      </c>
      <c r="D44" t="s">
        <v>7355</v>
      </c>
      <c r="E44">
        <v>1</v>
      </c>
      <c r="F44" t="str">
        <f t="shared" si="1"/>
        <v>sep</v>
      </c>
      <c r="G44">
        <v>20</v>
      </c>
      <c r="H44">
        <v>24</v>
      </c>
      <c r="I44" t="str">
        <f t="shared" si="0"/>
        <v>1-sep-2024</v>
      </c>
      <c r="K44" s="49">
        <f t="shared" si="2"/>
        <v>45536</v>
      </c>
      <c r="M44" t="b">
        <f t="shared" si="3"/>
        <v>1</v>
      </c>
    </row>
    <row r="45" spans="1:13" x14ac:dyDescent="0.3">
      <c r="A45" s="49">
        <v>45658</v>
      </c>
      <c r="D45" t="s">
        <v>7357</v>
      </c>
      <c r="E45">
        <v>1</v>
      </c>
      <c r="F45" t="str">
        <f t="shared" si="1"/>
        <v>oct</v>
      </c>
      <c r="G45">
        <v>20</v>
      </c>
      <c r="H45">
        <v>24</v>
      </c>
      <c r="I45" t="str">
        <f t="shared" si="0"/>
        <v>1-oct-2024</v>
      </c>
      <c r="K45" s="49">
        <f t="shared" si="2"/>
        <v>45566</v>
      </c>
      <c r="M45" t="b">
        <f t="shared" si="3"/>
        <v>1</v>
      </c>
    </row>
    <row r="46" spans="1:13" x14ac:dyDescent="0.3">
      <c r="A46" s="49">
        <v>45658</v>
      </c>
      <c r="D46" t="s">
        <v>7357</v>
      </c>
      <c r="E46">
        <v>1</v>
      </c>
      <c r="F46" t="str">
        <f t="shared" si="1"/>
        <v>oct</v>
      </c>
      <c r="G46">
        <v>20</v>
      </c>
      <c r="H46">
        <v>24</v>
      </c>
      <c r="I46" t="str">
        <f t="shared" si="0"/>
        <v>1-oct-2024</v>
      </c>
      <c r="K46" s="49">
        <f t="shared" si="2"/>
        <v>45566</v>
      </c>
      <c r="M46" t="b">
        <f t="shared" si="3"/>
        <v>1</v>
      </c>
    </row>
    <row r="47" spans="1:13" x14ac:dyDescent="0.3">
      <c r="A47" s="49">
        <v>45658</v>
      </c>
      <c r="D47" t="s">
        <v>7357</v>
      </c>
      <c r="E47">
        <v>1</v>
      </c>
      <c r="F47" t="str">
        <f t="shared" si="1"/>
        <v>oct</v>
      </c>
      <c r="G47">
        <v>20</v>
      </c>
      <c r="H47">
        <v>24</v>
      </c>
      <c r="I47" t="str">
        <f t="shared" si="0"/>
        <v>1-oct-2024</v>
      </c>
      <c r="K47" s="49">
        <f t="shared" si="2"/>
        <v>45566</v>
      </c>
      <c r="M47" t="b">
        <f t="shared" si="3"/>
        <v>1</v>
      </c>
    </row>
    <row r="48" spans="1:13" x14ac:dyDescent="0.3">
      <c r="A48" s="49">
        <v>45658</v>
      </c>
      <c r="D48" t="s">
        <v>7360</v>
      </c>
      <c r="E48">
        <v>1</v>
      </c>
      <c r="F48" t="str">
        <f t="shared" si="1"/>
        <v>nov</v>
      </c>
      <c r="G48">
        <v>20</v>
      </c>
      <c r="H48">
        <v>24</v>
      </c>
      <c r="I48" t="str">
        <f t="shared" si="0"/>
        <v>1-nov-2024</v>
      </c>
      <c r="K48" s="49">
        <f t="shared" si="2"/>
        <v>45597</v>
      </c>
      <c r="M48" t="b">
        <f t="shared" si="3"/>
        <v>1</v>
      </c>
    </row>
    <row r="49" spans="1:13" x14ac:dyDescent="0.3">
      <c r="A49" s="49">
        <v>45658</v>
      </c>
      <c r="D49" t="s">
        <v>7355</v>
      </c>
      <c r="E49">
        <v>1</v>
      </c>
      <c r="F49" t="str">
        <f t="shared" si="1"/>
        <v>sep</v>
      </c>
      <c r="G49">
        <v>20</v>
      </c>
      <c r="H49">
        <v>24</v>
      </c>
      <c r="I49" t="str">
        <f t="shared" si="0"/>
        <v>1-sep-2024</v>
      </c>
      <c r="K49" s="49">
        <f t="shared" si="2"/>
        <v>45536</v>
      </c>
      <c r="M49" t="b">
        <f t="shared" si="3"/>
        <v>1</v>
      </c>
    </row>
    <row r="50" spans="1:13" x14ac:dyDescent="0.3">
      <c r="A50" s="49">
        <v>45658</v>
      </c>
      <c r="D50" t="s">
        <v>7358</v>
      </c>
      <c r="E50">
        <v>1</v>
      </c>
      <c r="F50" t="str">
        <f t="shared" si="1"/>
        <v>sep</v>
      </c>
      <c r="G50">
        <v>20</v>
      </c>
      <c r="H50">
        <v>24</v>
      </c>
      <c r="I50" t="str">
        <f t="shared" si="0"/>
        <v>1-sep-2024</v>
      </c>
      <c r="K50" s="49">
        <f t="shared" si="2"/>
        <v>45536</v>
      </c>
      <c r="M50" t="b">
        <f t="shared" si="3"/>
        <v>1</v>
      </c>
    </row>
    <row r="51" spans="1:13" x14ac:dyDescent="0.3">
      <c r="A51" s="49">
        <v>45658</v>
      </c>
      <c r="D51" t="s">
        <v>7355</v>
      </c>
      <c r="E51">
        <v>1</v>
      </c>
      <c r="F51" t="str">
        <f t="shared" si="1"/>
        <v>sep</v>
      </c>
      <c r="G51">
        <v>20</v>
      </c>
      <c r="H51">
        <v>24</v>
      </c>
      <c r="I51" t="str">
        <f t="shared" si="0"/>
        <v>1-sep-2024</v>
      </c>
      <c r="K51" s="49">
        <f t="shared" si="2"/>
        <v>45536</v>
      </c>
      <c r="M51" t="b">
        <f t="shared" si="3"/>
        <v>1</v>
      </c>
    </row>
    <row r="52" spans="1:13" x14ac:dyDescent="0.3">
      <c r="A52" s="49">
        <v>45658</v>
      </c>
      <c r="D52" t="s">
        <v>7355</v>
      </c>
      <c r="E52">
        <v>1</v>
      </c>
      <c r="F52" t="str">
        <f t="shared" si="1"/>
        <v>sep</v>
      </c>
      <c r="G52">
        <v>20</v>
      </c>
      <c r="H52">
        <v>24</v>
      </c>
      <c r="I52" t="str">
        <f t="shared" si="0"/>
        <v>1-sep-2024</v>
      </c>
      <c r="K52" s="49">
        <f t="shared" si="2"/>
        <v>45536</v>
      </c>
      <c r="M52" t="b">
        <f t="shared" si="3"/>
        <v>1</v>
      </c>
    </row>
    <row r="53" spans="1:13" x14ac:dyDescent="0.3">
      <c r="A53" s="49">
        <v>45658</v>
      </c>
      <c r="D53" t="s">
        <v>7355</v>
      </c>
      <c r="E53">
        <v>1</v>
      </c>
      <c r="F53" t="str">
        <f t="shared" si="1"/>
        <v>sep</v>
      </c>
      <c r="G53">
        <v>20</v>
      </c>
      <c r="H53">
        <v>24</v>
      </c>
      <c r="I53" t="str">
        <f t="shared" si="0"/>
        <v>1-sep-2024</v>
      </c>
      <c r="K53" s="49">
        <f t="shared" si="2"/>
        <v>45536</v>
      </c>
      <c r="M53" t="b">
        <f t="shared" si="3"/>
        <v>1</v>
      </c>
    </row>
    <row r="54" spans="1:13" x14ac:dyDescent="0.3">
      <c r="A54" s="49">
        <v>45658</v>
      </c>
      <c r="D54" t="s">
        <v>7355</v>
      </c>
      <c r="E54">
        <v>1</v>
      </c>
      <c r="F54" t="str">
        <f t="shared" si="1"/>
        <v>sep</v>
      </c>
      <c r="G54">
        <v>20</v>
      </c>
      <c r="H54">
        <v>24</v>
      </c>
      <c r="I54" t="str">
        <f t="shared" si="0"/>
        <v>1-sep-2024</v>
      </c>
      <c r="K54" s="49">
        <f t="shared" si="2"/>
        <v>45536</v>
      </c>
      <c r="M54" t="b">
        <f t="shared" si="3"/>
        <v>1</v>
      </c>
    </row>
    <row r="55" spans="1:13" x14ac:dyDescent="0.3">
      <c r="A55" s="49">
        <v>45658</v>
      </c>
      <c r="D55" t="s">
        <v>7363</v>
      </c>
      <c r="E55">
        <v>1</v>
      </c>
      <c r="F55" t="str">
        <f t="shared" si="1"/>
        <v>feb</v>
      </c>
      <c r="G55">
        <v>20</v>
      </c>
      <c r="H55">
        <v>26</v>
      </c>
      <c r="I55" t="str">
        <f t="shared" si="0"/>
        <v>1-feb-2026</v>
      </c>
      <c r="K55" s="49">
        <f t="shared" si="2"/>
        <v>46054</v>
      </c>
      <c r="M55" t="b">
        <f t="shared" si="3"/>
        <v>0</v>
      </c>
    </row>
    <row r="56" spans="1:13" x14ac:dyDescent="0.3">
      <c r="A56" s="49">
        <v>45627</v>
      </c>
      <c r="D56" t="s">
        <v>7363</v>
      </c>
      <c r="E56">
        <v>1</v>
      </c>
      <c r="F56" t="str">
        <f t="shared" si="1"/>
        <v>feb</v>
      </c>
      <c r="G56">
        <v>20</v>
      </c>
      <c r="H56">
        <v>24</v>
      </c>
      <c r="I56" t="str">
        <f t="shared" si="0"/>
        <v>1-feb-2024</v>
      </c>
      <c r="K56" s="49">
        <f t="shared" si="2"/>
        <v>45323</v>
      </c>
      <c r="M56" t="b">
        <f t="shared" si="3"/>
        <v>1</v>
      </c>
    </row>
    <row r="57" spans="1:13" x14ac:dyDescent="0.3">
      <c r="A57" s="49">
        <v>45627</v>
      </c>
      <c r="D57" t="s">
        <v>7364</v>
      </c>
      <c r="E57">
        <v>1</v>
      </c>
      <c r="F57" t="str">
        <f t="shared" si="1"/>
        <v>feb</v>
      </c>
      <c r="G57">
        <v>20</v>
      </c>
      <c r="H57">
        <v>24</v>
      </c>
      <c r="I57" t="str">
        <f t="shared" si="0"/>
        <v>1-feb-2024</v>
      </c>
      <c r="K57" s="49">
        <f t="shared" si="2"/>
        <v>45323</v>
      </c>
      <c r="M57" t="b">
        <f t="shared" si="3"/>
        <v>1</v>
      </c>
    </row>
    <row r="58" spans="1:13" x14ac:dyDescent="0.3">
      <c r="A58" s="49">
        <v>45627</v>
      </c>
      <c r="D58" t="s">
        <v>7357</v>
      </c>
      <c r="E58">
        <v>1</v>
      </c>
      <c r="F58" t="str">
        <f t="shared" si="1"/>
        <v>oct</v>
      </c>
      <c r="G58">
        <v>20</v>
      </c>
      <c r="H58">
        <v>24</v>
      </c>
      <c r="I58" t="str">
        <f t="shared" si="0"/>
        <v>1-oct-2024</v>
      </c>
      <c r="K58" s="49">
        <f t="shared" si="2"/>
        <v>45566</v>
      </c>
      <c r="M58" t="b">
        <f t="shared" si="3"/>
        <v>1</v>
      </c>
    </row>
    <row r="59" spans="1:13" x14ac:dyDescent="0.3">
      <c r="A59" s="49">
        <v>45627</v>
      </c>
      <c r="D59" t="s">
        <v>7360</v>
      </c>
      <c r="E59">
        <v>1</v>
      </c>
      <c r="F59" t="str">
        <f t="shared" si="1"/>
        <v>nov</v>
      </c>
      <c r="G59">
        <v>20</v>
      </c>
      <c r="H59">
        <v>24</v>
      </c>
      <c r="I59" t="str">
        <f t="shared" si="0"/>
        <v>1-nov-2024</v>
      </c>
      <c r="K59" s="49">
        <f t="shared" si="2"/>
        <v>45597</v>
      </c>
      <c r="M59" t="b">
        <f t="shared" si="3"/>
        <v>1</v>
      </c>
    </row>
    <row r="60" spans="1:13" x14ac:dyDescent="0.3">
      <c r="A60" s="49">
        <v>45627</v>
      </c>
      <c r="D60" t="s">
        <v>7360</v>
      </c>
      <c r="E60">
        <v>1</v>
      </c>
      <c r="F60" t="str">
        <f t="shared" si="1"/>
        <v>nov</v>
      </c>
      <c r="G60">
        <v>20</v>
      </c>
      <c r="H60">
        <v>24</v>
      </c>
      <c r="I60" t="str">
        <f t="shared" si="0"/>
        <v>1-nov-2024</v>
      </c>
      <c r="K60" s="49">
        <f t="shared" si="2"/>
        <v>45597</v>
      </c>
      <c r="M60" t="b">
        <f t="shared" si="3"/>
        <v>1</v>
      </c>
    </row>
    <row r="61" spans="1:13" x14ac:dyDescent="0.3">
      <c r="A61" s="49">
        <v>45627</v>
      </c>
      <c r="D61" t="s">
        <v>7360</v>
      </c>
      <c r="E61">
        <v>1</v>
      </c>
      <c r="F61" t="str">
        <f t="shared" si="1"/>
        <v>nov</v>
      </c>
      <c r="G61">
        <v>20</v>
      </c>
      <c r="H61">
        <v>24</v>
      </c>
      <c r="I61" t="str">
        <f t="shared" si="0"/>
        <v>1-nov-2024</v>
      </c>
      <c r="K61" s="49">
        <f t="shared" si="2"/>
        <v>45597</v>
      </c>
      <c r="M61" t="b">
        <f t="shared" si="3"/>
        <v>1</v>
      </c>
    </row>
    <row r="62" spans="1:13" x14ac:dyDescent="0.3">
      <c r="A62" s="49">
        <v>45627</v>
      </c>
      <c r="D62" t="s">
        <v>7360</v>
      </c>
      <c r="E62">
        <v>1</v>
      </c>
      <c r="F62" t="str">
        <f t="shared" si="1"/>
        <v>nov</v>
      </c>
      <c r="G62">
        <v>20</v>
      </c>
      <c r="H62">
        <v>24</v>
      </c>
      <c r="I62" t="str">
        <f t="shared" si="0"/>
        <v>1-nov-2024</v>
      </c>
      <c r="K62" s="49">
        <f t="shared" si="2"/>
        <v>45597</v>
      </c>
      <c r="M62" t="b">
        <f t="shared" si="3"/>
        <v>1</v>
      </c>
    </row>
    <row r="63" spans="1:13" x14ac:dyDescent="0.3">
      <c r="A63" s="49">
        <v>45627</v>
      </c>
      <c r="D63" t="s">
        <v>7360</v>
      </c>
      <c r="E63">
        <v>1</v>
      </c>
      <c r="F63" t="str">
        <f t="shared" si="1"/>
        <v>nov</v>
      </c>
      <c r="G63">
        <v>20</v>
      </c>
      <c r="H63">
        <v>24</v>
      </c>
      <c r="I63" t="str">
        <f t="shared" si="0"/>
        <v>1-nov-2024</v>
      </c>
      <c r="K63" s="49">
        <f t="shared" si="2"/>
        <v>45597</v>
      </c>
      <c r="M63" t="b">
        <f t="shared" si="3"/>
        <v>1</v>
      </c>
    </row>
    <row r="64" spans="1:13" x14ac:dyDescent="0.3">
      <c r="A64" s="49">
        <v>45627</v>
      </c>
      <c r="D64" t="s">
        <v>7360</v>
      </c>
      <c r="E64">
        <v>1</v>
      </c>
      <c r="F64" t="str">
        <f t="shared" si="1"/>
        <v>nov</v>
      </c>
      <c r="G64">
        <v>20</v>
      </c>
      <c r="H64">
        <v>24</v>
      </c>
      <c r="I64" t="str">
        <f t="shared" si="0"/>
        <v>1-nov-2024</v>
      </c>
      <c r="K64" s="49">
        <f t="shared" si="2"/>
        <v>45597</v>
      </c>
      <c r="M64" t="b">
        <f t="shared" si="3"/>
        <v>1</v>
      </c>
    </row>
    <row r="65" spans="1:13" x14ac:dyDescent="0.3">
      <c r="A65" s="49">
        <v>45627</v>
      </c>
      <c r="D65" t="s">
        <v>7360</v>
      </c>
      <c r="E65">
        <v>1</v>
      </c>
      <c r="F65" t="str">
        <f t="shared" si="1"/>
        <v>nov</v>
      </c>
      <c r="G65">
        <v>20</v>
      </c>
      <c r="H65">
        <v>24</v>
      </c>
      <c r="I65" t="str">
        <f t="shared" ref="I65:I128" si="4">_xlfn.CONCAT(E65,"-",F65,"-",G65,H65)</f>
        <v>1-nov-2024</v>
      </c>
      <c r="K65" s="49">
        <f t="shared" si="2"/>
        <v>45597</v>
      </c>
      <c r="M65" t="b">
        <f t="shared" si="3"/>
        <v>1</v>
      </c>
    </row>
    <row r="66" spans="1:13" x14ac:dyDescent="0.3">
      <c r="A66" s="49">
        <v>45627</v>
      </c>
      <c r="D66" t="s">
        <v>7360</v>
      </c>
      <c r="E66">
        <v>1</v>
      </c>
      <c r="F66" t="str">
        <f t="shared" ref="F66:F129" si="5">LOWER(D66)</f>
        <v>nov</v>
      </c>
      <c r="G66">
        <v>20</v>
      </c>
      <c r="H66">
        <v>24</v>
      </c>
      <c r="I66" t="str">
        <f t="shared" si="4"/>
        <v>1-nov-2024</v>
      </c>
      <c r="K66" s="49">
        <f t="shared" ref="K66:K129" si="6">DATEVALUE(I66)</f>
        <v>45597</v>
      </c>
      <c r="M66" t="b">
        <f t="shared" si="3"/>
        <v>1</v>
      </c>
    </row>
    <row r="67" spans="1:13" x14ac:dyDescent="0.3">
      <c r="A67" s="49">
        <v>45627</v>
      </c>
      <c r="D67" t="s">
        <v>7360</v>
      </c>
      <c r="E67">
        <v>1</v>
      </c>
      <c r="F67" t="str">
        <f t="shared" si="5"/>
        <v>nov</v>
      </c>
      <c r="G67">
        <v>20</v>
      </c>
      <c r="H67">
        <v>24</v>
      </c>
      <c r="I67" t="str">
        <f t="shared" si="4"/>
        <v>1-nov-2024</v>
      </c>
      <c r="K67" s="49">
        <f t="shared" si="6"/>
        <v>45597</v>
      </c>
      <c r="M67" t="b">
        <f t="shared" ref="M67:M130" si="7">K67&lt;A67</f>
        <v>1</v>
      </c>
    </row>
    <row r="68" spans="1:13" x14ac:dyDescent="0.3">
      <c r="A68" s="49">
        <v>45627</v>
      </c>
      <c r="D68" t="s">
        <v>7360</v>
      </c>
      <c r="E68">
        <v>1</v>
      </c>
      <c r="F68" t="str">
        <f t="shared" si="5"/>
        <v>nov</v>
      </c>
      <c r="G68">
        <v>20</v>
      </c>
      <c r="H68">
        <v>24</v>
      </c>
      <c r="I68" t="str">
        <f t="shared" si="4"/>
        <v>1-nov-2024</v>
      </c>
      <c r="K68" s="49">
        <f t="shared" si="6"/>
        <v>45597</v>
      </c>
      <c r="M68" t="b">
        <f t="shared" si="7"/>
        <v>1</v>
      </c>
    </row>
    <row r="69" spans="1:13" x14ac:dyDescent="0.3">
      <c r="A69" s="49">
        <v>45627</v>
      </c>
      <c r="D69" t="s">
        <v>7360</v>
      </c>
      <c r="E69">
        <v>1</v>
      </c>
      <c r="F69" t="str">
        <f t="shared" si="5"/>
        <v>nov</v>
      </c>
      <c r="G69">
        <v>20</v>
      </c>
      <c r="H69">
        <v>24</v>
      </c>
      <c r="I69" t="str">
        <f t="shared" si="4"/>
        <v>1-nov-2024</v>
      </c>
      <c r="K69" s="49">
        <f t="shared" si="6"/>
        <v>45597</v>
      </c>
      <c r="M69" t="b">
        <f t="shared" si="7"/>
        <v>1</v>
      </c>
    </row>
    <row r="70" spans="1:13" x14ac:dyDescent="0.3">
      <c r="A70" s="49">
        <v>45627</v>
      </c>
      <c r="D70" t="s">
        <v>7360</v>
      </c>
      <c r="E70">
        <v>1</v>
      </c>
      <c r="F70" t="str">
        <f t="shared" si="5"/>
        <v>nov</v>
      </c>
      <c r="G70">
        <v>20</v>
      </c>
      <c r="H70">
        <v>24</v>
      </c>
      <c r="I70" t="str">
        <f t="shared" si="4"/>
        <v>1-nov-2024</v>
      </c>
      <c r="K70" s="49">
        <f t="shared" si="6"/>
        <v>45597</v>
      </c>
      <c r="M70" t="b">
        <f t="shared" si="7"/>
        <v>1</v>
      </c>
    </row>
    <row r="71" spans="1:13" x14ac:dyDescent="0.3">
      <c r="A71" s="49">
        <v>45627</v>
      </c>
      <c r="D71" t="s">
        <v>7360</v>
      </c>
      <c r="E71">
        <v>1</v>
      </c>
      <c r="F71" t="str">
        <f t="shared" si="5"/>
        <v>nov</v>
      </c>
      <c r="G71">
        <v>20</v>
      </c>
      <c r="H71">
        <v>24</v>
      </c>
      <c r="I71" t="str">
        <f t="shared" si="4"/>
        <v>1-nov-2024</v>
      </c>
      <c r="K71" s="49">
        <f t="shared" si="6"/>
        <v>45597</v>
      </c>
      <c r="M71" t="b">
        <f t="shared" si="7"/>
        <v>1</v>
      </c>
    </row>
    <row r="72" spans="1:13" x14ac:dyDescent="0.3">
      <c r="A72" s="49">
        <v>45627</v>
      </c>
      <c r="D72" t="s">
        <v>7360</v>
      </c>
      <c r="E72">
        <v>1</v>
      </c>
      <c r="F72" t="str">
        <f t="shared" si="5"/>
        <v>nov</v>
      </c>
      <c r="G72">
        <v>20</v>
      </c>
      <c r="H72">
        <v>24</v>
      </c>
      <c r="I72" t="str">
        <f t="shared" si="4"/>
        <v>1-nov-2024</v>
      </c>
      <c r="K72" s="49">
        <f t="shared" si="6"/>
        <v>45597</v>
      </c>
      <c r="M72" t="b">
        <f t="shared" si="7"/>
        <v>1</v>
      </c>
    </row>
    <row r="73" spans="1:13" x14ac:dyDescent="0.3">
      <c r="A73" s="49">
        <v>45627</v>
      </c>
      <c r="D73" t="s">
        <v>7360</v>
      </c>
      <c r="E73">
        <v>1</v>
      </c>
      <c r="F73" t="str">
        <f t="shared" si="5"/>
        <v>nov</v>
      </c>
      <c r="G73">
        <v>20</v>
      </c>
      <c r="H73">
        <v>24</v>
      </c>
      <c r="I73" t="str">
        <f t="shared" si="4"/>
        <v>1-nov-2024</v>
      </c>
      <c r="K73" s="49">
        <f t="shared" si="6"/>
        <v>45597</v>
      </c>
      <c r="M73" t="b">
        <f t="shared" si="7"/>
        <v>1</v>
      </c>
    </row>
    <row r="74" spans="1:13" x14ac:dyDescent="0.3">
      <c r="A74" s="49">
        <v>45627</v>
      </c>
      <c r="D74" t="s">
        <v>7360</v>
      </c>
      <c r="E74">
        <v>1</v>
      </c>
      <c r="F74" t="str">
        <f t="shared" si="5"/>
        <v>nov</v>
      </c>
      <c r="G74">
        <v>20</v>
      </c>
      <c r="H74">
        <v>24</v>
      </c>
      <c r="I74" t="str">
        <f t="shared" si="4"/>
        <v>1-nov-2024</v>
      </c>
      <c r="K74" s="49">
        <f t="shared" si="6"/>
        <v>45597</v>
      </c>
      <c r="M74" t="b">
        <f t="shared" si="7"/>
        <v>1</v>
      </c>
    </row>
    <row r="75" spans="1:13" x14ac:dyDescent="0.3">
      <c r="A75" s="49">
        <v>45627</v>
      </c>
      <c r="D75" t="s">
        <v>7360</v>
      </c>
      <c r="E75">
        <v>1</v>
      </c>
      <c r="F75" t="str">
        <f t="shared" si="5"/>
        <v>nov</v>
      </c>
      <c r="G75">
        <v>20</v>
      </c>
      <c r="H75">
        <v>24</v>
      </c>
      <c r="I75" t="str">
        <f t="shared" si="4"/>
        <v>1-nov-2024</v>
      </c>
      <c r="K75" s="49">
        <f t="shared" si="6"/>
        <v>45597</v>
      </c>
      <c r="M75" t="b">
        <f t="shared" si="7"/>
        <v>1</v>
      </c>
    </row>
    <row r="76" spans="1:13" x14ac:dyDescent="0.3">
      <c r="A76" s="49">
        <v>45627</v>
      </c>
      <c r="D76" t="s">
        <v>7360</v>
      </c>
      <c r="E76">
        <v>1</v>
      </c>
      <c r="F76" t="str">
        <f t="shared" si="5"/>
        <v>nov</v>
      </c>
      <c r="G76">
        <v>20</v>
      </c>
      <c r="H76">
        <v>24</v>
      </c>
      <c r="I76" t="str">
        <f t="shared" si="4"/>
        <v>1-nov-2024</v>
      </c>
      <c r="K76" s="49">
        <f t="shared" si="6"/>
        <v>45597</v>
      </c>
      <c r="M76" t="b">
        <f t="shared" si="7"/>
        <v>1</v>
      </c>
    </row>
    <row r="77" spans="1:13" x14ac:dyDescent="0.3">
      <c r="A77" s="49">
        <v>45627</v>
      </c>
      <c r="D77" t="s">
        <v>7360</v>
      </c>
      <c r="E77">
        <v>1</v>
      </c>
      <c r="F77" t="str">
        <f t="shared" si="5"/>
        <v>nov</v>
      </c>
      <c r="G77">
        <v>20</v>
      </c>
      <c r="H77">
        <v>24</v>
      </c>
      <c r="I77" t="str">
        <f t="shared" si="4"/>
        <v>1-nov-2024</v>
      </c>
      <c r="K77" s="49">
        <f t="shared" si="6"/>
        <v>45597</v>
      </c>
      <c r="M77" t="b">
        <f t="shared" si="7"/>
        <v>1</v>
      </c>
    </row>
    <row r="78" spans="1:13" x14ac:dyDescent="0.3">
      <c r="A78" s="49">
        <v>45627</v>
      </c>
      <c r="D78" t="s">
        <v>7360</v>
      </c>
      <c r="E78">
        <v>1</v>
      </c>
      <c r="F78" t="str">
        <f t="shared" si="5"/>
        <v>nov</v>
      </c>
      <c r="G78">
        <v>20</v>
      </c>
      <c r="H78">
        <v>24</v>
      </c>
      <c r="I78" t="str">
        <f t="shared" si="4"/>
        <v>1-nov-2024</v>
      </c>
      <c r="K78" s="49">
        <f t="shared" si="6"/>
        <v>45597</v>
      </c>
      <c r="M78" t="b">
        <f t="shared" si="7"/>
        <v>1</v>
      </c>
    </row>
    <row r="79" spans="1:13" x14ac:dyDescent="0.3">
      <c r="A79" s="49">
        <v>45627</v>
      </c>
      <c r="D79" t="s">
        <v>7360</v>
      </c>
      <c r="E79">
        <v>1</v>
      </c>
      <c r="F79" t="str">
        <f t="shared" si="5"/>
        <v>nov</v>
      </c>
      <c r="G79">
        <v>20</v>
      </c>
      <c r="H79">
        <v>24</v>
      </c>
      <c r="I79" t="str">
        <f t="shared" si="4"/>
        <v>1-nov-2024</v>
      </c>
      <c r="K79" s="49">
        <f t="shared" si="6"/>
        <v>45597</v>
      </c>
      <c r="M79" t="b">
        <f t="shared" si="7"/>
        <v>1</v>
      </c>
    </row>
    <row r="80" spans="1:13" x14ac:dyDescent="0.3">
      <c r="A80" s="49">
        <v>45627</v>
      </c>
      <c r="D80" t="s">
        <v>7360</v>
      </c>
      <c r="E80">
        <v>1</v>
      </c>
      <c r="F80" t="str">
        <f t="shared" si="5"/>
        <v>nov</v>
      </c>
      <c r="G80">
        <v>20</v>
      </c>
      <c r="H80">
        <v>24</v>
      </c>
      <c r="I80" t="str">
        <f t="shared" si="4"/>
        <v>1-nov-2024</v>
      </c>
      <c r="K80" s="49">
        <f t="shared" si="6"/>
        <v>45597</v>
      </c>
      <c r="M80" t="b">
        <f t="shared" si="7"/>
        <v>1</v>
      </c>
    </row>
    <row r="81" spans="1:13" x14ac:dyDescent="0.3">
      <c r="A81" s="49">
        <v>45627</v>
      </c>
      <c r="D81" t="s">
        <v>7360</v>
      </c>
      <c r="E81">
        <v>1</v>
      </c>
      <c r="F81" t="str">
        <f t="shared" si="5"/>
        <v>nov</v>
      </c>
      <c r="G81">
        <v>20</v>
      </c>
      <c r="H81">
        <v>24</v>
      </c>
      <c r="I81" t="str">
        <f t="shared" si="4"/>
        <v>1-nov-2024</v>
      </c>
      <c r="K81" s="49">
        <f t="shared" si="6"/>
        <v>45597</v>
      </c>
      <c r="M81" t="b">
        <f t="shared" si="7"/>
        <v>1</v>
      </c>
    </row>
    <row r="82" spans="1:13" x14ac:dyDescent="0.3">
      <c r="A82" s="49">
        <v>45627</v>
      </c>
      <c r="D82" t="s">
        <v>7360</v>
      </c>
      <c r="E82">
        <v>1</v>
      </c>
      <c r="F82" t="str">
        <f t="shared" si="5"/>
        <v>nov</v>
      </c>
      <c r="G82">
        <v>20</v>
      </c>
      <c r="H82">
        <v>24</v>
      </c>
      <c r="I82" t="str">
        <f t="shared" si="4"/>
        <v>1-nov-2024</v>
      </c>
      <c r="K82" s="49">
        <f t="shared" si="6"/>
        <v>45597</v>
      </c>
      <c r="M82" t="b">
        <f t="shared" si="7"/>
        <v>1</v>
      </c>
    </row>
    <row r="83" spans="1:13" x14ac:dyDescent="0.3">
      <c r="A83" s="49">
        <v>45627</v>
      </c>
      <c r="D83" t="s">
        <v>7360</v>
      </c>
      <c r="E83">
        <v>1</v>
      </c>
      <c r="F83" t="str">
        <f t="shared" si="5"/>
        <v>nov</v>
      </c>
      <c r="G83">
        <v>20</v>
      </c>
      <c r="H83">
        <v>24</v>
      </c>
      <c r="I83" t="str">
        <f t="shared" si="4"/>
        <v>1-nov-2024</v>
      </c>
      <c r="K83" s="49">
        <f t="shared" si="6"/>
        <v>45597</v>
      </c>
      <c r="M83" t="b">
        <f t="shared" si="7"/>
        <v>1</v>
      </c>
    </row>
    <row r="84" spans="1:13" x14ac:dyDescent="0.3">
      <c r="A84" s="49">
        <v>45627</v>
      </c>
      <c r="D84" t="s">
        <v>7360</v>
      </c>
      <c r="E84">
        <v>1</v>
      </c>
      <c r="F84" t="str">
        <f t="shared" si="5"/>
        <v>nov</v>
      </c>
      <c r="G84">
        <v>20</v>
      </c>
      <c r="H84">
        <v>24</v>
      </c>
      <c r="I84" t="str">
        <f t="shared" si="4"/>
        <v>1-nov-2024</v>
      </c>
      <c r="K84" s="49">
        <f t="shared" si="6"/>
        <v>45597</v>
      </c>
      <c r="M84" t="b">
        <f t="shared" si="7"/>
        <v>1</v>
      </c>
    </row>
    <row r="85" spans="1:13" x14ac:dyDescent="0.3">
      <c r="A85" s="49">
        <v>45627</v>
      </c>
      <c r="D85" t="s">
        <v>7362</v>
      </c>
      <c r="E85">
        <v>1</v>
      </c>
      <c r="F85" t="str">
        <f t="shared" si="5"/>
        <v>ago</v>
      </c>
      <c r="G85">
        <v>20</v>
      </c>
      <c r="H85">
        <v>24</v>
      </c>
      <c r="I85" t="str">
        <f t="shared" si="4"/>
        <v>1-ago-2024</v>
      </c>
      <c r="K85" s="49">
        <f t="shared" si="6"/>
        <v>45505</v>
      </c>
      <c r="M85" t="b">
        <f t="shared" si="7"/>
        <v>1</v>
      </c>
    </row>
    <row r="86" spans="1:13" x14ac:dyDescent="0.3">
      <c r="A86" s="49">
        <v>45627</v>
      </c>
      <c r="D86" t="s">
        <v>7362</v>
      </c>
      <c r="E86">
        <v>1</v>
      </c>
      <c r="F86" t="str">
        <f t="shared" si="5"/>
        <v>ago</v>
      </c>
      <c r="G86">
        <v>20</v>
      </c>
      <c r="H86">
        <v>24</v>
      </c>
      <c r="I86" t="str">
        <f t="shared" si="4"/>
        <v>1-ago-2024</v>
      </c>
      <c r="K86" s="49">
        <f t="shared" si="6"/>
        <v>45505</v>
      </c>
      <c r="M86" t="b">
        <f t="shared" si="7"/>
        <v>1</v>
      </c>
    </row>
    <row r="87" spans="1:13" x14ac:dyDescent="0.3">
      <c r="A87" s="49">
        <v>45627</v>
      </c>
      <c r="D87" t="s">
        <v>7362</v>
      </c>
      <c r="E87">
        <v>1</v>
      </c>
      <c r="F87" t="str">
        <f t="shared" si="5"/>
        <v>ago</v>
      </c>
      <c r="G87">
        <v>20</v>
      </c>
      <c r="H87">
        <v>24</v>
      </c>
      <c r="I87" t="str">
        <f t="shared" si="4"/>
        <v>1-ago-2024</v>
      </c>
      <c r="K87" s="49">
        <f t="shared" si="6"/>
        <v>45505</v>
      </c>
      <c r="M87" t="b">
        <f t="shared" si="7"/>
        <v>1</v>
      </c>
    </row>
    <row r="88" spans="1:13" x14ac:dyDescent="0.3">
      <c r="A88" s="49">
        <v>45627</v>
      </c>
      <c r="D88" t="s">
        <v>7362</v>
      </c>
      <c r="E88">
        <v>1</v>
      </c>
      <c r="F88" t="str">
        <f t="shared" si="5"/>
        <v>ago</v>
      </c>
      <c r="G88">
        <v>20</v>
      </c>
      <c r="H88">
        <v>24</v>
      </c>
      <c r="I88" t="str">
        <f t="shared" si="4"/>
        <v>1-ago-2024</v>
      </c>
      <c r="K88" s="49">
        <f t="shared" si="6"/>
        <v>45505</v>
      </c>
      <c r="M88" t="b">
        <f t="shared" si="7"/>
        <v>1</v>
      </c>
    </row>
    <row r="89" spans="1:13" x14ac:dyDescent="0.3">
      <c r="A89" s="49">
        <v>45627</v>
      </c>
      <c r="D89" t="s">
        <v>7357</v>
      </c>
      <c r="E89">
        <v>1</v>
      </c>
      <c r="F89" t="str">
        <f t="shared" si="5"/>
        <v>oct</v>
      </c>
      <c r="G89">
        <v>20</v>
      </c>
      <c r="H89">
        <v>24</v>
      </c>
      <c r="I89" t="str">
        <f t="shared" si="4"/>
        <v>1-oct-2024</v>
      </c>
      <c r="K89" s="49">
        <f t="shared" si="6"/>
        <v>45566</v>
      </c>
      <c r="M89" t="b">
        <f t="shared" si="7"/>
        <v>1</v>
      </c>
    </row>
    <row r="90" spans="1:13" x14ac:dyDescent="0.3">
      <c r="A90" s="49">
        <v>45627</v>
      </c>
      <c r="D90" t="s">
        <v>7357</v>
      </c>
      <c r="E90">
        <v>1</v>
      </c>
      <c r="F90" t="str">
        <f t="shared" si="5"/>
        <v>oct</v>
      </c>
      <c r="G90">
        <v>20</v>
      </c>
      <c r="H90">
        <v>24</v>
      </c>
      <c r="I90" t="str">
        <f t="shared" si="4"/>
        <v>1-oct-2024</v>
      </c>
      <c r="K90" s="49">
        <f t="shared" si="6"/>
        <v>45566</v>
      </c>
      <c r="M90" t="b">
        <f t="shared" si="7"/>
        <v>1</v>
      </c>
    </row>
    <row r="91" spans="1:13" x14ac:dyDescent="0.3">
      <c r="A91" s="49">
        <v>45627</v>
      </c>
      <c r="D91" t="s">
        <v>7357</v>
      </c>
      <c r="E91">
        <v>1</v>
      </c>
      <c r="F91" t="str">
        <f t="shared" si="5"/>
        <v>oct</v>
      </c>
      <c r="G91">
        <v>20</v>
      </c>
      <c r="H91">
        <v>24</v>
      </c>
      <c r="I91" t="str">
        <f t="shared" si="4"/>
        <v>1-oct-2024</v>
      </c>
      <c r="K91" s="49">
        <f t="shared" si="6"/>
        <v>45566</v>
      </c>
      <c r="M91" t="b">
        <f t="shared" si="7"/>
        <v>1</v>
      </c>
    </row>
    <row r="92" spans="1:13" x14ac:dyDescent="0.3">
      <c r="A92" s="49">
        <v>45627</v>
      </c>
      <c r="D92" t="s">
        <v>7357</v>
      </c>
      <c r="E92">
        <v>1</v>
      </c>
      <c r="F92" t="str">
        <f t="shared" si="5"/>
        <v>oct</v>
      </c>
      <c r="G92">
        <v>20</v>
      </c>
      <c r="H92">
        <v>24</v>
      </c>
      <c r="I92" t="str">
        <f t="shared" si="4"/>
        <v>1-oct-2024</v>
      </c>
      <c r="K92" s="49">
        <f t="shared" si="6"/>
        <v>45566</v>
      </c>
      <c r="M92" t="b">
        <f t="shared" si="7"/>
        <v>1</v>
      </c>
    </row>
    <row r="93" spans="1:13" x14ac:dyDescent="0.3">
      <c r="A93" s="49">
        <v>45627</v>
      </c>
      <c r="D93" t="s">
        <v>7357</v>
      </c>
      <c r="E93">
        <v>1</v>
      </c>
      <c r="F93" t="str">
        <f t="shared" si="5"/>
        <v>oct</v>
      </c>
      <c r="G93">
        <v>20</v>
      </c>
      <c r="H93">
        <v>24</v>
      </c>
      <c r="I93" t="str">
        <f t="shared" si="4"/>
        <v>1-oct-2024</v>
      </c>
      <c r="K93" s="49">
        <f t="shared" si="6"/>
        <v>45566</v>
      </c>
      <c r="M93" t="b">
        <f t="shared" si="7"/>
        <v>1</v>
      </c>
    </row>
    <row r="94" spans="1:13" x14ac:dyDescent="0.3">
      <c r="A94" s="49">
        <v>45627</v>
      </c>
      <c r="D94" t="s">
        <v>7357</v>
      </c>
      <c r="E94">
        <v>1</v>
      </c>
      <c r="F94" t="str">
        <f t="shared" si="5"/>
        <v>oct</v>
      </c>
      <c r="G94">
        <v>20</v>
      </c>
      <c r="H94">
        <v>24</v>
      </c>
      <c r="I94" t="str">
        <f t="shared" si="4"/>
        <v>1-oct-2024</v>
      </c>
      <c r="K94" s="49">
        <f t="shared" si="6"/>
        <v>45566</v>
      </c>
      <c r="M94" t="b">
        <f t="shared" si="7"/>
        <v>1</v>
      </c>
    </row>
    <row r="95" spans="1:13" x14ac:dyDescent="0.3">
      <c r="A95" s="49">
        <v>45627</v>
      </c>
      <c r="D95" t="s">
        <v>7357</v>
      </c>
      <c r="E95">
        <v>1</v>
      </c>
      <c r="F95" t="str">
        <f t="shared" si="5"/>
        <v>oct</v>
      </c>
      <c r="G95">
        <v>20</v>
      </c>
      <c r="H95">
        <v>24</v>
      </c>
      <c r="I95" t="str">
        <f t="shared" si="4"/>
        <v>1-oct-2024</v>
      </c>
      <c r="K95" s="49">
        <f t="shared" si="6"/>
        <v>45566</v>
      </c>
      <c r="M95" t="b">
        <f t="shared" si="7"/>
        <v>1</v>
      </c>
    </row>
    <row r="96" spans="1:13" x14ac:dyDescent="0.3">
      <c r="A96" s="49">
        <v>45627</v>
      </c>
      <c r="D96" t="s">
        <v>7359</v>
      </c>
      <c r="E96">
        <v>1</v>
      </c>
      <c r="F96" t="str">
        <f t="shared" si="5"/>
        <v>jul</v>
      </c>
      <c r="G96">
        <v>20</v>
      </c>
      <c r="H96">
        <v>25</v>
      </c>
      <c r="I96" t="str">
        <f t="shared" si="4"/>
        <v>1-jul-2025</v>
      </c>
      <c r="K96" s="49">
        <f t="shared" si="6"/>
        <v>45839</v>
      </c>
      <c r="M96" t="b">
        <f t="shared" si="7"/>
        <v>0</v>
      </c>
    </row>
    <row r="97" spans="1:13" x14ac:dyDescent="0.3">
      <c r="A97" s="49">
        <v>45627</v>
      </c>
      <c r="D97" t="s">
        <v>7359</v>
      </c>
      <c r="E97">
        <v>1</v>
      </c>
      <c r="F97" t="str">
        <f t="shared" si="5"/>
        <v>jul</v>
      </c>
      <c r="G97">
        <v>20</v>
      </c>
      <c r="H97">
        <v>25</v>
      </c>
      <c r="I97" t="str">
        <f t="shared" si="4"/>
        <v>1-jul-2025</v>
      </c>
      <c r="K97" s="49">
        <f t="shared" si="6"/>
        <v>45839</v>
      </c>
      <c r="M97" t="b">
        <f t="shared" si="7"/>
        <v>0</v>
      </c>
    </row>
    <row r="98" spans="1:13" x14ac:dyDescent="0.3">
      <c r="A98" s="49">
        <v>45627</v>
      </c>
      <c r="D98" t="s">
        <v>7355</v>
      </c>
      <c r="E98">
        <v>1</v>
      </c>
      <c r="F98" t="str">
        <f t="shared" si="5"/>
        <v>sep</v>
      </c>
      <c r="G98">
        <v>20</v>
      </c>
      <c r="H98">
        <v>24</v>
      </c>
      <c r="I98" t="str">
        <f t="shared" si="4"/>
        <v>1-sep-2024</v>
      </c>
      <c r="K98" s="49">
        <f t="shared" si="6"/>
        <v>45536</v>
      </c>
      <c r="M98" t="b">
        <f t="shared" si="7"/>
        <v>1</v>
      </c>
    </row>
    <row r="99" spans="1:13" x14ac:dyDescent="0.3">
      <c r="A99" s="49">
        <v>45627</v>
      </c>
      <c r="D99" t="s">
        <v>7359</v>
      </c>
      <c r="E99">
        <v>1</v>
      </c>
      <c r="F99" t="str">
        <f t="shared" si="5"/>
        <v>jul</v>
      </c>
      <c r="G99">
        <v>20</v>
      </c>
      <c r="H99">
        <v>24</v>
      </c>
      <c r="I99" t="str">
        <f t="shared" si="4"/>
        <v>1-jul-2024</v>
      </c>
      <c r="K99" s="49">
        <f t="shared" si="6"/>
        <v>45474</v>
      </c>
      <c r="M99" t="b">
        <f t="shared" si="7"/>
        <v>1</v>
      </c>
    </row>
    <row r="100" spans="1:13" x14ac:dyDescent="0.3">
      <c r="A100" s="49">
        <v>45627</v>
      </c>
      <c r="D100" t="s">
        <v>7365</v>
      </c>
      <c r="E100">
        <v>1</v>
      </c>
      <c r="F100" t="str">
        <f t="shared" si="5"/>
        <v>may</v>
      </c>
      <c r="G100">
        <v>20</v>
      </c>
      <c r="H100">
        <v>26</v>
      </c>
      <c r="I100" t="str">
        <f t="shared" si="4"/>
        <v>1-may-2026</v>
      </c>
      <c r="K100" s="49">
        <f t="shared" si="6"/>
        <v>46143</v>
      </c>
      <c r="M100" t="b">
        <f t="shared" si="7"/>
        <v>0</v>
      </c>
    </row>
    <row r="101" spans="1:13" x14ac:dyDescent="0.3">
      <c r="A101" s="49">
        <v>45627</v>
      </c>
      <c r="D101" t="s">
        <v>7357</v>
      </c>
      <c r="E101">
        <v>1</v>
      </c>
      <c r="F101" t="str">
        <f t="shared" si="5"/>
        <v>oct</v>
      </c>
      <c r="G101">
        <v>20</v>
      </c>
      <c r="H101">
        <v>24</v>
      </c>
      <c r="I101" t="str">
        <f t="shared" si="4"/>
        <v>1-oct-2024</v>
      </c>
      <c r="K101" s="49">
        <f t="shared" si="6"/>
        <v>45566</v>
      </c>
      <c r="M101" t="b">
        <f t="shared" si="7"/>
        <v>1</v>
      </c>
    </row>
    <row r="102" spans="1:13" x14ac:dyDescent="0.3">
      <c r="A102" s="49">
        <v>45627</v>
      </c>
      <c r="D102" t="s">
        <v>7362</v>
      </c>
      <c r="E102">
        <v>1</v>
      </c>
      <c r="F102" t="str">
        <f t="shared" si="5"/>
        <v>ago</v>
      </c>
      <c r="G102">
        <v>20</v>
      </c>
      <c r="H102">
        <v>24</v>
      </c>
      <c r="I102" t="str">
        <f t="shared" si="4"/>
        <v>1-ago-2024</v>
      </c>
      <c r="K102" s="49">
        <f t="shared" si="6"/>
        <v>45505</v>
      </c>
      <c r="M102" t="b">
        <f t="shared" si="7"/>
        <v>1</v>
      </c>
    </row>
    <row r="103" spans="1:13" x14ac:dyDescent="0.3">
      <c r="A103" s="49">
        <v>45627</v>
      </c>
      <c r="D103" t="s">
        <v>7359</v>
      </c>
      <c r="E103">
        <v>1</v>
      </c>
      <c r="F103" t="str">
        <f t="shared" si="5"/>
        <v>jul</v>
      </c>
      <c r="G103">
        <v>20</v>
      </c>
      <c r="H103">
        <v>24</v>
      </c>
      <c r="I103" t="str">
        <f t="shared" si="4"/>
        <v>1-jul-2024</v>
      </c>
      <c r="K103" s="49">
        <f t="shared" si="6"/>
        <v>45474</v>
      </c>
      <c r="M103" t="b">
        <f t="shared" si="7"/>
        <v>1</v>
      </c>
    </row>
    <row r="104" spans="1:13" x14ac:dyDescent="0.3">
      <c r="A104" s="49">
        <v>45627</v>
      </c>
      <c r="D104" t="s">
        <v>7359</v>
      </c>
      <c r="E104">
        <v>1</v>
      </c>
      <c r="F104" t="str">
        <f t="shared" si="5"/>
        <v>jul</v>
      </c>
      <c r="G104">
        <v>20</v>
      </c>
      <c r="H104">
        <v>24</v>
      </c>
      <c r="I104" t="str">
        <f t="shared" si="4"/>
        <v>1-jul-2024</v>
      </c>
      <c r="K104" s="49">
        <f t="shared" si="6"/>
        <v>45474</v>
      </c>
      <c r="M104" t="b">
        <f t="shared" si="7"/>
        <v>1</v>
      </c>
    </row>
    <row r="105" spans="1:13" x14ac:dyDescent="0.3">
      <c r="A105" s="49">
        <v>45627</v>
      </c>
      <c r="D105" t="s">
        <v>7355</v>
      </c>
      <c r="E105">
        <v>1</v>
      </c>
      <c r="F105" t="str">
        <f t="shared" si="5"/>
        <v>sep</v>
      </c>
      <c r="G105">
        <v>20</v>
      </c>
      <c r="H105">
        <v>24</v>
      </c>
      <c r="I105" t="str">
        <f t="shared" si="4"/>
        <v>1-sep-2024</v>
      </c>
      <c r="K105" s="49">
        <f t="shared" si="6"/>
        <v>45536</v>
      </c>
      <c r="M105" t="b">
        <f t="shared" si="7"/>
        <v>1</v>
      </c>
    </row>
    <row r="106" spans="1:13" x14ac:dyDescent="0.3">
      <c r="A106" s="49">
        <v>45627</v>
      </c>
      <c r="D106" t="s">
        <v>7357</v>
      </c>
      <c r="E106">
        <v>1</v>
      </c>
      <c r="F106" t="str">
        <f t="shared" si="5"/>
        <v>oct</v>
      </c>
      <c r="G106">
        <v>20</v>
      </c>
      <c r="H106">
        <v>24</v>
      </c>
      <c r="I106" t="str">
        <f t="shared" si="4"/>
        <v>1-oct-2024</v>
      </c>
      <c r="K106" s="49">
        <f t="shared" si="6"/>
        <v>45566</v>
      </c>
      <c r="M106" t="b">
        <f t="shared" si="7"/>
        <v>1</v>
      </c>
    </row>
    <row r="107" spans="1:13" x14ac:dyDescent="0.3">
      <c r="A107" s="49">
        <v>45627</v>
      </c>
      <c r="D107" t="s">
        <v>7357</v>
      </c>
      <c r="E107">
        <v>1</v>
      </c>
      <c r="F107" t="str">
        <f t="shared" si="5"/>
        <v>oct</v>
      </c>
      <c r="G107">
        <v>20</v>
      </c>
      <c r="H107">
        <v>24</v>
      </c>
      <c r="I107" t="str">
        <f t="shared" si="4"/>
        <v>1-oct-2024</v>
      </c>
      <c r="K107" s="49">
        <f t="shared" si="6"/>
        <v>45566</v>
      </c>
      <c r="M107" t="b">
        <f t="shared" si="7"/>
        <v>1</v>
      </c>
    </row>
    <row r="108" spans="1:13" x14ac:dyDescent="0.3">
      <c r="A108" s="49">
        <v>45627</v>
      </c>
      <c r="D108" t="s">
        <v>7355</v>
      </c>
      <c r="E108">
        <v>1</v>
      </c>
      <c r="F108" t="str">
        <f t="shared" si="5"/>
        <v>sep</v>
      </c>
      <c r="G108">
        <v>20</v>
      </c>
      <c r="H108">
        <v>24</v>
      </c>
      <c r="I108" t="str">
        <f t="shared" si="4"/>
        <v>1-sep-2024</v>
      </c>
      <c r="K108" s="49">
        <f t="shared" si="6"/>
        <v>45536</v>
      </c>
      <c r="M108" t="b">
        <f t="shared" si="7"/>
        <v>1</v>
      </c>
    </row>
    <row r="109" spans="1:13" x14ac:dyDescent="0.3">
      <c r="A109" s="49">
        <v>45627</v>
      </c>
      <c r="D109" t="s">
        <v>7355</v>
      </c>
      <c r="E109">
        <v>1</v>
      </c>
      <c r="F109" t="str">
        <f t="shared" si="5"/>
        <v>sep</v>
      </c>
      <c r="G109">
        <v>20</v>
      </c>
      <c r="H109">
        <v>24</v>
      </c>
      <c r="I109" t="str">
        <f t="shared" si="4"/>
        <v>1-sep-2024</v>
      </c>
      <c r="K109" s="49">
        <f t="shared" si="6"/>
        <v>45536</v>
      </c>
      <c r="M109" t="b">
        <f t="shared" si="7"/>
        <v>1</v>
      </c>
    </row>
    <row r="110" spans="1:13" x14ac:dyDescent="0.3">
      <c r="A110" s="49">
        <v>45627</v>
      </c>
      <c r="D110" t="s">
        <v>7355</v>
      </c>
      <c r="E110">
        <v>1</v>
      </c>
      <c r="F110" t="str">
        <f t="shared" si="5"/>
        <v>sep</v>
      </c>
      <c r="G110">
        <v>20</v>
      </c>
      <c r="H110">
        <v>24</v>
      </c>
      <c r="I110" t="str">
        <f t="shared" si="4"/>
        <v>1-sep-2024</v>
      </c>
      <c r="K110" s="49">
        <f t="shared" si="6"/>
        <v>45536</v>
      </c>
      <c r="M110" t="b">
        <f t="shared" si="7"/>
        <v>1</v>
      </c>
    </row>
    <row r="111" spans="1:13" x14ac:dyDescent="0.3">
      <c r="A111" s="49">
        <v>45627</v>
      </c>
      <c r="D111" t="s">
        <v>7355</v>
      </c>
      <c r="E111">
        <v>1</v>
      </c>
      <c r="F111" t="str">
        <f t="shared" si="5"/>
        <v>sep</v>
      </c>
      <c r="G111">
        <v>20</v>
      </c>
      <c r="H111">
        <v>24</v>
      </c>
      <c r="I111" t="str">
        <f t="shared" si="4"/>
        <v>1-sep-2024</v>
      </c>
      <c r="K111" s="49">
        <f t="shared" si="6"/>
        <v>45536</v>
      </c>
      <c r="M111" t="b">
        <f t="shared" si="7"/>
        <v>1</v>
      </c>
    </row>
    <row r="112" spans="1:13" x14ac:dyDescent="0.3">
      <c r="A112" s="49">
        <v>45627</v>
      </c>
      <c r="D112" t="s">
        <v>7355</v>
      </c>
      <c r="E112">
        <v>1</v>
      </c>
      <c r="F112" t="str">
        <f t="shared" si="5"/>
        <v>sep</v>
      </c>
      <c r="G112">
        <v>20</v>
      </c>
      <c r="H112">
        <v>24</v>
      </c>
      <c r="I112" t="str">
        <f t="shared" si="4"/>
        <v>1-sep-2024</v>
      </c>
      <c r="K112" s="49">
        <f t="shared" si="6"/>
        <v>45536</v>
      </c>
      <c r="M112" t="b">
        <f t="shared" si="7"/>
        <v>1</v>
      </c>
    </row>
    <row r="113" spans="1:13" x14ac:dyDescent="0.3">
      <c r="A113" s="49">
        <v>45627</v>
      </c>
      <c r="D113" t="s">
        <v>7355</v>
      </c>
      <c r="E113">
        <v>1</v>
      </c>
      <c r="F113" t="str">
        <f t="shared" si="5"/>
        <v>sep</v>
      </c>
      <c r="G113">
        <v>20</v>
      </c>
      <c r="H113">
        <v>24</v>
      </c>
      <c r="I113" t="str">
        <f t="shared" si="4"/>
        <v>1-sep-2024</v>
      </c>
      <c r="K113" s="49">
        <f t="shared" si="6"/>
        <v>45536</v>
      </c>
      <c r="M113" t="b">
        <f t="shared" si="7"/>
        <v>1</v>
      </c>
    </row>
    <row r="114" spans="1:13" x14ac:dyDescent="0.3">
      <c r="A114" s="49">
        <v>45627</v>
      </c>
      <c r="D114" t="s">
        <v>7359</v>
      </c>
      <c r="E114">
        <v>1</v>
      </c>
      <c r="F114" t="str">
        <f t="shared" si="5"/>
        <v>jul</v>
      </c>
      <c r="G114">
        <v>20</v>
      </c>
      <c r="H114">
        <v>24</v>
      </c>
      <c r="I114" t="str">
        <f t="shared" si="4"/>
        <v>1-jul-2024</v>
      </c>
      <c r="K114" s="49">
        <f t="shared" si="6"/>
        <v>45474</v>
      </c>
      <c r="M114" t="b">
        <f t="shared" si="7"/>
        <v>1</v>
      </c>
    </row>
    <row r="115" spans="1:13" x14ac:dyDescent="0.3">
      <c r="A115" s="49">
        <v>45627</v>
      </c>
      <c r="D115" t="s">
        <v>7366</v>
      </c>
      <c r="E115">
        <v>1</v>
      </c>
      <c r="F115" t="str">
        <f t="shared" si="5"/>
        <v>dic</v>
      </c>
      <c r="G115">
        <v>20</v>
      </c>
      <c r="H115">
        <v>24</v>
      </c>
      <c r="I115" t="str">
        <f t="shared" si="4"/>
        <v>1-dic-2024</v>
      </c>
      <c r="K115" s="49">
        <f t="shared" si="6"/>
        <v>45627</v>
      </c>
      <c r="M115" t="b">
        <f t="shared" si="7"/>
        <v>0</v>
      </c>
    </row>
    <row r="116" spans="1:13" x14ac:dyDescent="0.3">
      <c r="A116" s="49">
        <v>45627</v>
      </c>
      <c r="D116" t="s">
        <v>7366</v>
      </c>
      <c r="E116">
        <v>1</v>
      </c>
      <c r="F116" t="str">
        <f t="shared" si="5"/>
        <v>dic</v>
      </c>
      <c r="G116">
        <v>20</v>
      </c>
      <c r="H116">
        <v>24</v>
      </c>
      <c r="I116" t="str">
        <f t="shared" si="4"/>
        <v>1-dic-2024</v>
      </c>
      <c r="K116" s="49">
        <f t="shared" si="6"/>
        <v>45627</v>
      </c>
      <c r="M116" t="b">
        <f t="shared" si="7"/>
        <v>0</v>
      </c>
    </row>
    <row r="117" spans="1:13" x14ac:dyDescent="0.3">
      <c r="A117" s="49">
        <v>45627</v>
      </c>
      <c r="D117" t="s">
        <v>7367</v>
      </c>
      <c r="E117">
        <v>1</v>
      </c>
      <c r="F117" t="str">
        <f t="shared" si="5"/>
        <v>jun</v>
      </c>
      <c r="G117">
        <v>20</v>
      </c>
      <c r="H117">
        <v>24</v>
      </c>
      <c r="I117" t="str">
        <f t="shared" si="4"/>
        <v>1-jun-2024</v>
      </c>
      <c r="K117" s="49">
        <f t="shared" si="6"/>
        <v>45444</v>
      </c>
      <c r="M117" t="b">
        <f t="shared" si="7"/>
        <v>1</v>
      </c>
    </row>
    <row r="118" spans="1:13" x14ac:dyDescent="0.3">
      <c r="A118" s="49">
        <v>45627</v>
      </c>
      <c r="D118" t="s">
        <v>7367</v>
      </c>
      <c r="E118">
        <v>1</v>
      </c>
      <c r="F118" t="str">
        <f t="shared" si="5"/>
        <v>jun</v>
      </c>
      <c r="G118">
        <v>20</v>
      </c>
      <c r="H118">
        <v>24</v>
      </c>
      <c r="I118" t="str">
        <f t="shared" si="4"/>
        <v>1-jun-2024</v>
      </c>
      <c r="K118" s="49">
        <f t="shared" si="6"/>
        <v>45444</v>
      </c>
      <c r="M118" t="b">
        <f t="shared" si="7"/>
        <v>1</v>
      </c>
    </row>
    <row r="119" spans="1:13" x14ac:dyDescent="0.3">
      <c r="A119" s="49">
        <v>45627</v>
      </c>
      <c r="D119" t="s">
        <v>7367</v>
      </c>
      <c r="E119">
        <v>1</v>
      </c>
      <c r="F119" t="str">
        <f t="shared" si="5"/>
        <v>jun</v>
      </c>
      <c r="G119">
        <v>20</v>
      </c>
      <c r="H119">
        <v>24</v>
      </c>
      <c r="I119" t="str">
        <f t="shared" si="4"/>
        <v>1-jun-2024</v>
      </c>
      <c r="K119" s="49">
        <f t="shared" si="6"/>
        <v>45444</v>
      </c>
      <c r="M119" t="b">
        <f t="shared" si="7"/>
        <v>1</v>
      </c>
    </row>
    <row r="120" spans="1:13" x14ac:dyDescent="0.3">
      <c r="A120" s="49">
        <v>45627</v>
      </c>
      <c r="D120" t="s">
        <v>7367</v>
      </c>
      <c r="E120">
        <v>1</v>
      </c>
      <c r="F120" t="str">
        <f t="shared" si="5"/>
        <v>jun</v>
      </c>
      <c r="G120">
        <v>20</v>
      </c>
      <c r="H120">
        <v>24</v>
      </c>
      <c r="I120" t="str">
        <f t="shared" si="4"/>
        <v>1-jun-2024</v>
      </c>
      <c r="K120" s="49">
        <f t="shared" si="6"/>
        <v>45444</v>
      </c>
      <c r="M120" t="b">
        <f t="shared" si="7"/>
        <v>1</v>
      </c>
    </row>
    <row r="121" spans="1:13" x14ac:dyDescent="0.3">
      <c r="A121" s="49">
        <v>45627</v>
      </c>
      <c r="D121" t="s">
        <v>7367</v>
      </c>
      <c r="E121">
        <v>1</v>
      </c>
      <c r="F121" t="str">
        <f t="shared" si="5"/>
        <v>jun</v>
      </c>
      <c r="G121">
        <v>20</v>
      </c>
      <c r="H121">
        <v>24</v>
      </c>
      <c r="I121" t="str">
        <f t="shared" si="4"/>
        <v>1-jun-2024</v>
      </c>
      <c r="K121" s="49">
        <f t="shared" si="6"/>
        <v>45444</v>
      </c>
      <c r="M121" t="b">
        <f t="shared" si="7"/>
        <v>1</v>
      </c>
    </row>
    <row r="122" spans="1:13" x14ac:dyDescent="0.3">
      <c r="A122" s="49">
        <v>45627</v>
      </c>
      <c r="D122" t="s">
        <v>7367</v>
      </c>
      <c r="E122">
        <v>1</v>
      </c>
      <c r="F122" t="str">
        <f t="shared" si="5"/>
        <v>jun</v>
      </c>
      <c r="G122">
        <v>20</v>
      </c>
      <c r="H122">
        <v>24</v>
      </c>
      <c r="I122" t="str">
        <f t="shared" si="4"/>
        <v>1-jun-2024</v>
      </c>
      <c r="K122" s="49">
        <f t="shared" si="6"/>
        <v>45444</v>
      </c>
      <c r="M122" t="b">
        <f t="shared" si="7"/>
        <v>1</v>
      </c>
    </row>
    <row r="123" spans="1:13" x14ac:dyDescent="0.3">
      <c r="A123" s="49">
        <v>45627</v>
      </c>
      <c r="D123" t="s">
        <v>7367</v>
      </c>
      <c r="E123">
        <v>1</v>
      </c>
      <c r="F123" t="str">
        <f t="shared" si="5"/>
        <v>jun</v>
      </c>
      <c r="G123">
        <v>20</v>
      </c>
      <c r="H123">
        <v>24</v>
      </c>
      <c r="I123" t="str">
        <f t="shared" si="4"/>
        <v>1-jun-2024</v>
      </c>
      <c r="K123" s="49">
        <f t="shared" si="6"/>
        <v>45444</v>
      </c>
      <c r="M123" t="b">
        <f t="shared" si="7"/>
        <v>1</v>
      </c>
    </row>
    <row r="124" spans="1:13" x14ac:dyDescent="0.3">
      <c r="A124" s="49">
        <v>45627</v>
      </c>
      <c r="D124" t="s">
        <v>7357</v>
      </c>
      <c r="E124">
        <v>1</v>
      </c>
      <c r="F124" t="str">
        <f t="shared" si="5"/>
        <v>oct</v>
      </c>
      <c r="G124">
        <v>20</v>
      </c>
      <c r="H124">
        <v>24</v>
      </c>
      <c r="I124" t="str">
        <f t="shared" si="4"/>
        <v>1-oct-2024</v>
      </c>
      <c r="K124" s="49">
        <f t="shared" si="6"/>
        <v>45566</v>
      </c>
      <c r="M124" t="b">
        <f t="shared" si="7"/>
        <v>1</v>
      </c>
    </row>
    <row r="125" spans="1:13" x14ac:dyDescent="0.3">
      <c r="A125" s="49">
        <v>45627</v>
      </c>
      <c r="D125" t="s">
        <v>7357</v>
      </c>
      <c r="E125">
        <v>1</v>
      </c>
      <c r="F125" t="str">
        <f t="shared" si="5"/>
        <v>oct</v>
      </c>
      <c r="G125">
        <v>20</v>
      </c>
      <c r="H125">
        <v>24</v>
      </c>
      <c r="I125" t="str">
        <f t="shared" si="4"/>
        <v>1-oct-2024</v>
      </c>
      <c r="K125" s="49">
        <f t="shared" si="6"/>
        <v>45566</v>
      </c>
      <c r="M125" t="b">
        <f t="shared" si="7"/>
        <v>1</v>
      </c>
    </row>
    <row r="126" spans="1:13" x14ac:dyDescent="0.3">
      <c r="A126" s="49">
        <v>45627</v>
      </c>
      <c r="D126" t="s">
        <v>7357</v>
      </c>
      <c r="E126">
        <v>1</v>
      </c>
      <c r="F126" t="str">
        <f t="shared" si="5"/>
        <v>oct</v>
      </c>
      <c r="G126">
        <v>20</v>
      </c>
      <c r="H126">
        <v>24</v>
      </c>
      <c r="I126" t="str">
        <f t="shared" si="4"/>
        <v>1-oct-2024</v>
      </c>
      <c r="K126" s="49">
        <f t="shared" si="6"/>
        <v>45566</v>
      </c>
      <c r="M126" t="b">
        <f t="shared" si="7"/>
        <v>1</v>
      </c>
    </row>
    <row r="127" spans="1:13" x14ac:dyDescent="0.3">
      <c r="A127" s="49">
        <v>45627</v>
      </c>
      <c r="D127" t="s">
        <v>7357</v>
      </c>
      <c r="E127">
        <v>1</v>
      </c>
      <c r="F127" t="str">
        <f t="shared" si="5"/>
        <v>oct</v>
      </c>
      <c r="G127">
        <v>20</v>
      </c>
      <c r="H127">
        <v>24</v>
      </c>
      <c r="I127" t="str">
        <f t="shared" si="4"/>
        <v>1-oct-2024</v>
      </c>
      <c r="K127" s="49">
        <f t="shared" si="6"/>
        <v>45566</v>
      </c>
      <c r="M127" t="b">
        <f t="shared" si="7"/>
        <v>1</v>
      </c>
    </row>
    <row r="128" spans="1:13" x14ac:dyDescent="0.3">
      <c r="A128" s="49">
        <v>45627</v>
      </c>
      <c r="D128" t="s">
        <v>7357</v>
      </c>
      <c r="E128">
        <v>1</v>
      </c>
      <c r="F128" t="str">
        <f t="shared" si="5"/>
        <v>oct</v>
      </c>
      <c r="G128">
        <v>20</v>
      </c>
      <c r="H128">
        <v>24</v>
      </c>
      <c r="I128" t="str">
        <f t="shared" si="4"/>
        <v>1-oct-2024</v>
      </c>
      <c r="K128" s="49">
        <f t="shared" si="6"/>
        <v>45566</v>
      </c>
      <c r="M128" t="b">
        <f t="shared" si="7"/>
        <v>1</v>
      </c>
    </row>
    <row r="129" spans="1:13" x14ac:dyDescent="0.3">
      <c r="A129" s="49">
        <v>45627</v>
      </c>
      <c r="D129" t="s">
        <v>7357</v>
      </c>
      <c r="E129">
        <v>1</v>
      </c>
      <c r="F129" t="str">
        <f t="shared" si="5"/>
        <v>oct</v>
      </c>
      <c r="G129">
        <v>20</v>
      </c>
      <c r="H129">
        <v>24</v>
      </c>
      <c r="I129" t="str">
        <f t="shared" ref="I129:I192" si="8">_xlfn.CONCAT(E129,"-",F129,"-",G129,H129)</f>
        <v>1-oct-2024</v>
      </c>
      <c r="K129" s="49">
        <f t="shared" si="6"/>
        <v>45566</v>
      </c>
      <c r="M129" t="b">
        <f t="shared" si="7"/>
        <v>1</v>
      </c>
    </row>
    <row r="130" spans="1:13" x14ac:dyDescent="0.3">
      <c r="A130" s="49">
        <v>45627</v>
      </c>
      <c r="D130" t="s">
        <v>7357</v>
      </c>
      <c r="E130">
        <v>1</v>
      </c>
      <c r="F130" t="str">
        <f t="shared" ref="F130:F193" si="9">LOWER(D130)</f>
        <v>oct</v>
      </c>
      <c r="G130">
        <v>20</v>
      </c>
      <c r="H130">
        <v>24</v>
      </c>
      <c r="I130" t="str">
        <f t="shared" si="8"/>
        <v>1-oct-2024</v>
      </c>
      <c r="K130" s="49">
        <f t="shared" ref="K130:K193" si="10">DATEVALUE(I130)</f>
        <v>45566</v>
      </c>
      <c r="M130" t="b">
        <f t="shared" si="7"/>
        <v>1</v>
      </c>
    </row>
    <row r="131" spans="1:13" x14ac:dyDescent="0.3">
      <c r="A131" s="49">
        <v>45627</v>
      </c>
      <c r="D131" t="s">
        <v>7356</v>
      </c>
      <c r="E131">
        <v>1</v>
      </c>
      <c r="F131" t="str">
        <f t="shared" si="9"/>
        <v>ene</v>
      </c>
      <c r="G131">
        <v>20</v>
      </c>
      <c r="H131">
        <v>24</v>
      </c>
      <c r="I131" t="str">
        <f t="shared" si="8"/>
        <v>1-ene-2024</v>
      </c>
      <c r="K131" s="49">
        <f t="shared" si="10"/>
        <v>45292</v>
      </c>
      <c r="M131" t="b">
        <f t="shared" ref="M131:M194" si="11">K131&lt;A131</f>
        <v>1</v>
      </c>
    </row>
    <row r="132" spans="1:13" x14ac:dyDescent="0.3">
      <c r="A132" s="49">
        <v>45627</v>
      </c>
      <c r="D132" t="s">
        <v>7356</v>
      </c>
      <c r="E132">
        <v>1</v>
      </c>
      <c r="F132" t="str">
        <f t="shared" si="9"/>
        <v>ene</v>
      </c>
      <c r="G132">
        <v>20</v>
      </c>
      <c r="H132">
        <v>24</v>
      </c>
      <c r="I132" t="str">
        <f t="shared" si="8"/>
        <v>1-ene-2024</v>
      </c>
      <c r="K132" s="49">
        <f t="shared" si="10"/>
        <v>45292</v>
      </c>
      <c r="M132" t="b">
        <f t="shared" si="11"/>
        <v>1</v>
      </c>
    </row>
    <row r="133" spans="1:13" x14ac:dyDescent="0.3">
      <c r="A133" s="49">
        <v>45627</v>
      </c>
      <c r="D133" t="s">
        <v>7356</v>
      </c>
      <c r="E133">
        <v>1</v>
      </c>
      <c r="F133" t="str">
        <f t="shared" si="9"/>
        <v>ene</v>
      </c>
      <c r="G133">
        <v>20</v>
      </c>
      <c r="H133">
        <v>24</v>
      </c>
      <c r="I133" t="str">
        <f t="shared" si="8"/>
        <v>1-ene-2024</v>
      </c>
      <c r="K133" s="49">
        <f t="shared" si="10"/>
        <v>45292</v>
      </c>
      <c r="M133" t="b">
        <f t="shared" si="11"/>
        <v>1</v>
      </c>
    </row>
    <row r="134" spans="1:13" x14ac:dyDescent="0.3">
      <c r="A134" s="49">
        <v>45627</v>
      </c>
      <c r="D134" t="s">
        <v>7356</v>
      </c>
      <c r="E134">
        <v>1</v>
      </c>
      <c r="F134" t="str">
        <f t="shared" si="9"/>
        <v>ene</v>
      </c>
      <c r="G134">
        <v>20</v>
      </c>
      <c r="H134">
        <v>24</v>
      </c>
      <c r="I134" t="str">
        <f t="shared" si="8"/>
        <v>1-ene-2024</v>
      </c>
      <c r="K134" s="49">
        <f t="shared" si="10"/>
        <v>45292</v>
      </c>
      <c r="M134" t="b">
        <f t="shared" si="11"/>
        <v>1</v>
      </c>
    </row>
    <row r="135" spans="1:13" x14ac:dyDescent="0.3">
      <c r="A135" s="49">
        <v>45627</v>
      </c>
      <c r="D135" t="s">
        <v>7356</v>
      </c>
      <c r="E135">
        <v>1</v>
      </c>
      <c r="F135" t="str">
        <f t="shared" si="9"/>
        <v>ene</v>
      </c>
      <c r="G135">
        <v>20</v>
      </c>
      <c r="H135">
        <v>24</v>
      </c>
      <c r="I135" t="str">
        <f t="shared" si="8"/>
        <v>1-ene-2024</v>
      </c>
      <c r="K135" s="49">
        <f t="shared" si="10"/>
        <v>45292</v>
      </c>
      <c r="M135" t="b">
        <f t="shared" si="11"/>
        <v>1</v>
      </c>
    </row>
    <row r="136" spans="1:13" x14ac:dyDescent="0.3">
      <c r="A136" s="49">
        <v>45627</v>
      </c>
      <c r="D136" t="s">
        <v>7356</v>
      </c>
      <c r="E136">
        <v>1</v>
      </c>
      <c r="F136" t="str">
        <f t="shared" si="9"/>
        <v>ene</v>
      </c>
      <c r="G136">
        <v>20</v>
      </c>
      <c r="H136">
        <v>24</v>
      </c>
      <c r="I136" t="str">
        <f t="shared" si="8"/>
        <v>1-ene-2024</v>
      </c>
      <c r="K136" s="49">
        <f t="shared" si="10"/>
        <v>45292</v>
      </c>
      <c r="M136" t="b">
        <f t="shared" si="11"/>
        <v>1</v>
      </c>
    </row>
    <row r="137" spans="1:13" x14ac:dyDescent="0.3">
      <c r="A137" s="49">
        <v>45627</v>
      </c>
      <c r="D137" t="s">
        <v>7356</v>
      </c>
      <c r="E137">
        <v>1</v>
      </c>
      <c r="F137" t="str">
        <f t="shared" si="9"/>
        <v>ene</v>
      </c>
      <c r="G137">
        <v>20</v>
      </c>
      <c r="H137">
        <v>24</v>
      </c>
      <c r="I137" t="str">
        <f t="shared" si="8"/>
        <v>1-ene-2024</v>
      </c>
      <c r="K137" s="49">
        <f t="shared" si="10"/>
        <v>45292</v>
      </c>
      <c r="M137" t="b">
        <f t="shared" si="11"/>
        <v>1</v>
      </c>
    </row>
    <row r="138" spans="1:13" x14ac:dyDescent="0.3">
      <c r="A138" s="49">
        <v>45627</v>
      </c>
      <c r="D138" t="s">
        <v>7356</v>
      </c>
      <c r="E138">
        <v>1</v>
      </c>
      <c r="F138" t="str">
        <f t="shared" si="9"/>
        <v>ene</v>
      </c>
      <c r="G138">
        <v>20</v>
      </c>
      <c r="H138">
        <v>24</v>
      </c>
      <c r="I138" t="str">
        <f t="shared" si="8"/>
        <v>1-ene-2024</v>
      </c>
      <c r="K138" s="49">
        <f t="shared" si="10"/>
        <v>45292</v>
      </c>
      <c r="M138" t="b">
        <f t="shared" si="11"/>
        <v>1</v>
      </c>
    </row>
    <row r="139" spans="1:13" x14ac:dyDescent="0.3">
      <c r="A139" s="49">
        <v>45627</v>
      </c>
      <c r="D139" t="s">
        <v>7356</v>
      </c>
      <c r="E139">
        <v>1</v>
      </c>
      <c r="F139" t="str">
        <f t="shared" si="9"/>
        <v>ene</v>
      </c>
      <c r="G139">
        <v>20</v>
      </c>
      <c r="H139">
        <v>24</v>
      </c>
      <c r="I139" t="str">
        <f t="shared" si="8"/>
        <v>1-ene-2024</v>
      </c>
      <c r="K139" s="49">
        <f t="shared" si="10"/>
        <v>45292</v>
      </c>
      <c r="M139" t="b">
        <f t="shared" si="11"/>
        <v>1</v>
      </c>
    </row>
    <row r="140" spans="1:13" x14ac:dyDescent="0.3">
      <c r="A140" s="49">
        <v>45627</v>
      </c>
      <c r="D140" t="s">
        <v>7359</v>
      </c>
      <c r="E140">
        <v>1</v>
      </c>
      <c r="F140" t="str">
        <f t="shared" si="9"/>
        <v>jul</v>
      </c>
      <c r="G140">
        <v>20</v>
      </c>
      <c r="H140">
        <v>25</v>
      </c>
      <c r="I140" t="str">
        <f t="shared" si="8"/>
        <v>1-jul-2025</v>
      </c>
      <c r="K140" s="49">
        <f t="shared" si="10"/>
        <v>45839</v>
      </c>
      <c r="M140" t="b">
        <f t="shared" si="11"/>
        <v>0</v>
      </c>
    </row>
    <row r="141" spans="1:13" x14ac:dyDescent="0.3">
      <c r="A141" s="49">
        <v>45627</v>
      </c>
      <c r="D141" t="s">
        <v>7360</v>
      </c>
      <c r="E141">
        <v>1</v>
      </c>
      <c r="F141" t="str">
        <f t="shared" si="9"/>
        <v>nov</v>
      </c>
      <c r="G141">
        <v>20</v>
      </c>
      <c r="H141">
        <v>24</v>
      </c>
      <c r="I141" t="str">
        <f t="shared" si="8"/>
        <v>1-nov-2024</v>
      </c>
      <c r="K141" s="49">
        <f t="shared" si="10"/>
        <v>45597</v>
      </c>
      <c r="M141" t="b">
        <f t="shared" si="11"/>
        <v>1</v>
      </c>
    </row>
    <row r="142" spans="1:13" x14ac:dyDescent="0.3">
      <c r="A142" s="49">
        <v>45627</v>
      </c>
      <c r="D142" t="s">
        <v>7360</v>
      </c>
      <c r="E142">
        <v>1</v>
      </c>
      <c r="F142" t="str">
        <f t="shared" si="9"/>
        <v>nov</v>
      </c>
      <c r="G142">
        <v>20</v>
      </c>
      <c r="H142">
        <v>24</v>
      </c>
      <c r="I142" t="str">
        <f t="shared" si="8"/>
        <v>1-nov-2024</v>
      </c>
      <c r="K142" s="49">
        <f t="shared" si="10"/>
        <v>45597</v>
      </c>
      <c r="M142" t="b">
        <f t="shared" si="11"/>
        <v>1</v>
      </c>
    </row>
    <row r="143" spans="1:13" x14ac:dyDescent="0.3">
      <c r="A143" s="49">
        <v>45627</v>
      </c>
      <c r="D143" t="s">
        <v>7360</v>
      </c>
      <c r="E143">
        <v>1</v>
      </c>
      <c r="F143" t="str">
        <f t="shared" si="9"/>
        <v>nov</v>
      </c>
      <c r="G143">
        <v>20</v>
      </c>
      <c r="H143">
        <v>24</v>
      </c>
      <c r="I143" t="str">
        <f t="shared" si="8"/>
        <v>1-nov-2024</v>
      </c>
      <c r="K143" s="49">
        <f t="shared" si="10"/>
        <v>45597</v>
      </c>
      <c r="M143" t="b">
        <f t="shared" si="11"/>
        <v>1</v>
      </c>
    </row>
    <row r="144" spans="1:13" x14ac:dyDescent="0.3">
      <c r="A144" s="49">
        <v>45627</v>
      </c>
      <c r="D144" t="s">
        <v>7360</v>
      </c>
      <c r="E144">
        <v>1</v>
      </c>
      <c r="F144" t="str">
        <f t="shared" si="9"/>
        <v>nov</v>
      </c>
      <c r="G144">
        <v>20</v>
      </c>
      <c r="H144">
        <v>24</v>
      </c>
      <c r="I144" t="str">
        <f t="shared" si="8"/>
        <v>1-nov-2024</v>
      </c>
      <c r="K144" s="49">
        <f t="shared" si="10"/>
        <v>45597</v>
      </c>
      <c r="M144" t="b">
        <f t="shared" si="11"/>
        <v>1</v>
      </c>
    </row>
    <row r="145" spans="1:13" x14ac:dyDescent="0.3">
      <c r="A145" s="49">
        <v>45627</v>
      </c>
      <c r="D145" t="s">
        <v>7368</v>
      </c>
      <c r="E145">
        <v>1</v>
      </c>
      <c r="F145" t="str">
        <f t="shared" si="9"/>
        <v>mar</v>
      </c>
      <c r="G145">
        <v>20</v>
      </c>
      <c r="H145">
        <v>25</v>
      </c>
      <c r="I145" t="str">
        <f t="shared" si="8"/>
        <v>1-mar-2025</v>
      </c>
      <c r="K145" s="49">
        <f t="shared" si="10"/>
        <v>45717</v>
      </c>
      <c r="M145" t="b">
        <f t="shared" si="11"/>
        <v>0</v>
      </c>
    </row>
    <row r="146" spans="1:13" x14ac:dyDescent="0.3">
      <c r="A146" s="49">
        <v>45627</v>
      </c>
      <c r="D146" t="s">
        <v>7359</v>
      </c>
      <c r="E146">
        <v>1</v>
      </c>
      <c r="F146" t="str">
        <f t="shared" si="9"/>
        <v>jul</v>
      </c>
      <c r="G146">
        <v>20</v>
      </c>
      <c r="H146">
        <v>24</v>
      </c>
      <c r="I146" t="str">
        <f t="shared" si="8"/>
        <v>1-jul-2024</v>
      </c>
      <c r="K146" s="49">
        <f t="shared" si="10"/>
        <v>45474</v>
      </c>
      <c r="M146" t="b">
        <f t="shared" si="11"/>
        <v>1</v>
      </c>
    </row>
    <row r="147" spans="1:13" x14ac:dyDescent="0.3">
      <c r="A147" s="49">
        <v>45627</v>
      </c>
      <c r="D147" t="s">
        <v>7362</v>
      </c>
      <c r="E147">
        <v>1</v>
      </c>
      <c r="F147" t="str">
        <f t="shared" si="9"/>
        <v>ago</v>
      </c>
      <c r="G147">
        <v>20</v>
      </c>
      <c r="H147">
        <v>24</v>
      </c>
      <c r="I147" t="str">
        <f t="shared" si="8"/>
        <v>1-ago-2024</v>
      </c>
      <c r="K147" s="49">
        <f t="shared" si="10"/>
        <v>45505</v>
      </c>
      <c r="M147" t="b">
        <f t="shared" si="11"/>
        <v>1</v>
      </c>
    </row>
    <row r="148" spans="1:13" x14ac:dyDescent="0.3">
      <c r="A148" s="49">
        <v>45627</v>
      </c>
      <c r="D148" t="s">
        <v>7369</v>
      </c>
      <c r="E148">
        <v>1</v>
      </c>
      <c r="F148" t="str">
        <f t="shared" si="9"/>
        <v>abr</v>
      </c>
      <c r="G148">
        <v>20</v>
      </c>
      <c r="H148">
        <v>25</v>
      </c>
      <c r="I148" t="str">
        <f t="shared" si="8"/>
        <v>1-abr-2025</v>
      </c>
      <c r="K148" s="49">
        <f t="shared" si="10"/>
        <v>45748</v>
      </c>
      <c r="M148" t="b">
        <f t="shared" si="11"/>
        <v>0</v>
      </c>
    </row>
    <row r="149" spans="1:13" x14ac:dyDescent="0.3">
      <c r="A149" s="49">
        <v>45627</v>
      </c>
      <c r="D149" t="s">
        <v>7360</v>
      </c>
      <c r="E149">
        <v>1</v>
      </c>
      <c r="F149" t="str">
        <f t="shared" si="9"/>
        <v>nov</v>
      </c>
      <c r="G149">
        <v>20</v>
      </c>
      <c r="H149">
        <v>23</v>
      </c>
      <c r="I149" t="str">
        <f t="shared" si="8"/>
        <v>1-nov-2023</v>
      </c>
      <c r="K149" s="49">
        <f t="shared" si="10"/>
        <v>45231</v>
      </c>
      <c r="M149" t="b">
        <f t="shared" si="11"/>
        <v>1</v>
      </c>
    </row>
    <row r="150" spans="1:13" x14ac:dyDescent="0.3">
      <c r="A150" s="49">
        <v>45627</v>
      </c>
      <c r="D150" t="s">
        <v>7367</v>
      </c>
      <c r="E150">
        <v>1</v>
      </c>
      <c r="F150" t="str">
        <f t="shared" si="9"/>
        <v>jun</v>
      </c>
      <c r="G150">
        <v>20</v>
      </c>
      <c r="H150">
        <v>25</v>
      </c>
      <c r="I150" t="str">
        <f t="shared" si="8"/>
        <v>1-jun-2025</v>
      </c>
      <c r="K150" s="49">
        <f t="shared" si="10"/>
        <v>45809</v>
      </c>
      <c r="M150" t="b">
        <f t="shared" si="11"/>
        <v>0</v>
      </c>
    </row>
    <row r="151" spans="1:13" x14ac:dyDescent="0.3">
      <c r="A151" s="49">
        <v>45627</v>
      </c>
      <c r="D151" t="s">
        <v>7359</v>
      </c>
      <c r="E151">
        <v>1</v>
      </c>
      <c r="F151" t="str">
        <f t="shared" si="9"/>
        <v>jul</v>
      </c>
      <c r="G151">
        <v>20</v>
      </c>
      <c r="H151">
        <v>24</v>
      </c>
      <c r="I151" t="str">
        <f t="shared" si="8"/>
        <v>1-jul-2024</v>
      </c>
      <c r="K151" s="49">
        <f t="shared" si="10"/>
        <v>45474</v>
      </c>
      <c r="M151" t="b">
        <f t="shared" si="11"/>
        <v>1</v>
      </c>
    </row>
    <row r="152" spans="1:13" x14ac:dyDescent="0.3">
      <c r="A152" s="49">
        <v>45627</v>
      </c>
      <c r="D152" t="s">
        <v>7355</v>
      </c>
      <c r="E152">
        <v>1</v>
      </c>
      <c r="F152" t="str">
        <f t="shared" si="9"/>
        <v>sep</v>
      </c>
      <c r="G152">
        <v>20</v>
      </c>
      <c r="H152">
        <v>24</v>
      </c>
      <c r="I152" t="str">
        <f t="shared" si="8"/>
        <v>1-sep-2024</v>
      </c>
      <c r="K152" s="49">
        <f t="shared" si="10"/>
        <v>45536</v>
      </c>
      <c r="M152" t="b">
        <f t="shared" si="11"/>
        <v>1</v>
      </c>
    </row>
    <row r="153" spans="1:13" x14ac:dyDescent="0.3">
      <c r="A153" s="49">
        <v>45627</v>
      </c>
      <c r="D153" t="s">
        <v>7367</v>
      </c>
      <c r="E153">
        <v>1</v>
      </c>
      <c r="F153" t="str">
        <f t="shared" si="9"/>
        <v>jun</v>
      </c>
      <c r="G153">
        <v>20</v>
      </c>
      <c r="H153">
        <v>24</v>
      </c>
      <c r="I153" t="str">
        <f t="shared" si="8"/>
        <v>1-jun-2024</v>
      </c>
      <c r="K153" s="49">
        <f t="shared" si="10"/>
        <v>45444</v>
      </c>
      <c r="M153" t="b">
        <f t="shared" si="11"/>
        <v>1</v>
      </c>
    </row>
    <row r="154" spans="1:13" x14ac:dyDescent="0.3">
      <c r="A154" s="49">
        <v>45627</v>
      </c>
      <c r="D154" t="s">
        <v>7362</v>
      </c>
      <c r="E154">
        <v>1</v>
      </c>
      <c r="F154" t="str">
        <f t="shared" si="9"/>
        <v>ago</v>
      </c>
      <c r="G154">
        <v>20</v>
      </c>
      <c r="H154">
        <v>23</v>
      </c>
      <c r="I154" t="str">
        <f t="shared" si="8"/>
        <v>1-ago-2023</v>
      </c>
      <c r="K154" s="49">
        <f t="shared" si="10"/>
        <v>45139</v>
      </c>
      <c r="M154" t="b">
        <f t="shared" si="11"/>
        <v>1</v>
      </c>
    </row>
    <row r="155" spans="1:13" x14ac:dyDescent="0.3">
      <c r="A155" s="49">
        <v>45627</v>
      </c>
      <c r="D155" t="s">
        <v>7363</v>
      </c>
      <c r="E155">
        <v>1</v>
      </c>
      <c r="F155" t="str">
        <f t="shared" si="9"/>
        <v>feb</v>
      </c>
      <c r="G155">
        <v>20</v>
      </c>
      <c r="H155">
        <v>25</v>
      </c>
      <c r="I155" t="str">
        <f t="shared" si="8"/>
        <v>1-feb-2025</v>
      </c>
      <c r="K155" s="49">
        <f t="shared" si="10"/>
        <v>45689</v>
      </c>
      <c r="M155" t="b">
        <f t="shared" si="11"/>
        <v>0</v>
      </c>
    </row>
    <row r="156" spans="1:13" x14ac:dyDescent="0.3">
      <c r="A156" s="49">
        <v>45597</v>
      </c>
      <c r="D156" t="s">
        <v>7362</v>
      </c>
      <c r="E156">
        <v>1</v>
      </c>
      <c r="F156" t="str">
        <f t="shared" si="9"/>
        <v>ago</v>
      </c>
      <c r="G156">
        <v>20</v>
      </c>
      <c r="H156">
        <v>22</v>
      </c>
      <c r="I156" t="str">
        <f t="shared" si="8"/>
        <v>1-ago-2022</v>
      </c>
      <c r="K156" s="49">
        <f t="shared" si="10"/>
        <v>44774</v>
      </c>
      <c r="M156" t="b">
        <f t="shared" si="11"/>
        <v>1</v>
      </c>
    </row>
    <row r="157" spans="1:13" x14ac:dyDescent="0.3">
      <c r="A157" s="49">
        <v>45597</v>
      </c>
      <c r="D157" t="s">
        <v>7363</v>
      </c>
      <c r="E157">
        <v>1</v>
      </c>
      <c r="F157" t="str">
        <f t="shared" si="9"/>
        <v>feb</v>
      </c>
      <c r="G157">
        <v>20</v>
      </c>
      <c r="H157">
        <v>24</v>
      </c>
      <c r="I157" t="str">
        <f t="shared" si="8"/>
        <v>1-feb-2024</v>
      </c>
      <c r="K157" s="49">
        <f t="shared" si="10"/>
        <v>45323</v>
      </c>
      <c r="M157" t="b">
        <f t="shared" si="11"/>
        <v>1</v>
      </c>
    </row>
    <row r="158" spans="1:13" x14ac:dyDescent="0.3">
      <c r="A158" s="49">
        <v>45597</v>
      </c>
      <c r="D158" t="s">
        <v>7355</v>
      </c>
      <c r="E158">
        <v>1</v>
      </c>
      <c r="F158" t="str">
        <f t="shared" si="9"/>
        <v>sep</v>
      </c>
      <c r="G158">
        <v>20</v>
      </c>
      <c r="H158">
        <v>24</v>
      </c>
      <c r="I158" t="str">
        <f t="shared" si="8"/>
        <v>1-sep-2024</v>
      </c>
      <c r="K158" s="49">
        <f t="shared" si="10"/>
        <v>45536</v>
      </c>
      <c r="M158" t="b">
        <f t="shared" si="11"/>
        <v>1</v>
      </c>
    </row>
    <row r="159" spans="1:13" x14ac:dyDescent="0.3">
      <c r="A159" s="49">
        <v>45597</v>
      </c>
      <c r="D159" t="s">
        <v>7367</v>
      </c>
      <c r="E159">
        <v>1</v>
      </c>
      <c r="F159" t="str">
        <f t="shared" si="9"/>
        <v>jun</v>
      </c>
      <c r="G159">
        <v>20</v>
      </c>
      <c r="H159">
        <v>21</v>
      </c>
      <c r="I159" t="str">
        <f t="shared" si="8"/>
        <v>1-jun-2021</v>
      </c>
      <c r="K159" s="49">
        <f t="shared" si="10"/>
        <v>44348</v>
      </c>
      <c r="M159" t="b">
        <f t="shared" si="11"/>
        <v>1</v>
      </c>
    </row>
    <row r="160" spans="1:13" x14ac:dyDescent="0.3">
      <c r="A160" s="49">
        <v>45597</v>
      </c>
      <c r="D160" t="s">
        <v>7367</v>
      </c>
      <c r="E160">
        <v>1</v>
      </c>
      <c r="F160" t="str">
        <f t="shared" si="9"/>
        <v>jun</v>
      </c>
      <c r="G160">
        <v>20</v>
      </c>
      <c r="H160">
        <v>21</v>
      </c>
      <c r="I160" t="str">
        <f t="shared" si="8"/>
        <v>1-jun-2021</v>
      </c>
      <c r="K160" s="49">
        <f t="shared" si="10"/>
        <v>44348</v>
      </c>
      <c r="M160" t="b">
        <f t="shared" si="11"/>
        <v>1</v>
      </c>
    </row>
    <row r="161" spans="1:13" x14ac:dyDescent="0.3">
      <c r="A161" s="49">
        <v>45597</v>
      </c>
      <c r="D161" t="s">
        <v>7357</v>
      </c>
      <c r="E161">
        <v>1</v>
      </c>
      <c r="F161" t="str">
        <f t="shared" si="9"/>
        <v>oct</v>
      </c>
      <c r="G161">
        <v>20</v>
      </c>
      <c r="H161">
        <v>24</v>
      </c>
      <c r="I161" t="str">
        <f t="shared" si="8"/>
        <v>1-oct-2024</v>
      </c>
      <c r="K161" s="49">
        <f t="shared" si="10"/>
        <v>45566</v>
      </c>
      <c r="M161" t="b">
        <f t="shared" si="11"/>
        <v>1</v>
      </c>
    </row>
    <row r="162" spans="1:13" x14ac:dyDescent="0.3">
      <c r="A162" s="49">
        <v>45597</v>
      </c>
      <c r="D162" t="s">
        <v>7355</v>
      </c>
      <c r="E162">
        <v>1</v>
      </c>
      <c r="F162" t="str">
        <f t="shared" si="9"/>
        <v>sep</v>
      </c>
      <c r="G162">
        <v>20</v>
      </c>
      <c r="H162">
        <v>24</v>
      </c>
      <c r="I162" t="str">
        <f t="shared" si="8"/>
        <v>1-sep-2024</v>
      </c>
      <c r="K162" s="49">
        <f t="shared" si="10"/>
        <v>45536</v>
      </c>
      <c r="M162" t="b">
        <f t="shared" si="11"/>
        <v>1</v>
      </c>
    </row>
    <row r="163" spans="1:13" x14ac:dyDescent="0.3">
      <c r="A163" s="49">
        <v>45597</v>
      </c>
      <c r="D163" t="s">
        <v>7359</v>
      </c>
      <c r="E163">
        <v>1</v>
      </c>
      <c r="F163" t="str">
        <f t="shared" si="9"/>
        <v>jul</v>
      </c>
      <c r="G163">
        <v>20</v>
      </c>
      <c r="H163">
        <v>24</v>
      </c>
      <c r="I163" t="str">
        <f t="shared" si="8"/>
        <v>1-jul-2024</v>
      </c>
      <c r="K163" s="49">
        <f t="shared" si="10"/>
        <v>45474</v>
      </c>
      <c r="M163" t="b">
        <f t="shared" si="11"/>
        <v>1</v>
      </c>
    </row>
    <row r="164" spans="1:13" x14ac:dyDescent="0.3">
      <c r="A164" s="49">
        <v>45597</v>
      </c>
      <c r="D164" t="s">
        <v>7359</v>
      </c>
      <c r="E164">
        <v>1</v>
      </c>
      <c r="F164" t="str">
        <f t="shared" si="9"/>
        <v>jul</v>
      </c>
      <c r="G164">
        <v>20</v>
      </c>
      <c r="H164">
        <v>24</v>
      </c>
      <c r="I164" t="str">
        <f t="shared" si="8"/>
        <v>1-jul-2024</v>
      </c>
      <c r="K164" s="49">
        <f t="shared" si="10"/>
        <v>45474</v>
      </c>
      <c r="M164" t="b">
        <f t="shared" si="11"/>
        <v>1</v>
      </c>
    </row>
    <row r="165" spans="1:13" x14ac:dyDescent="0.3">
      <c r="A165" s="49">
        <v>45597</v>
      </c>
      <c r="D165" t="s">
        <v>7359</v>
      </c>
      <c r="E165">
        <v>1</v>
      </c>
      <c r="F165" t="str">
        <f t="shared" si="9"/>
        <v>jul</v>
      </c>
      <c r="G165">
        <v>20</v>
      </c>
      <c r="H165">
        <v>24</v>
      </c>
      <c r="I165" t="str">
        <f t="shared" si="8"/>
        <v>1-jul-2024</v>
      </c>
      <c r="K165" s="49">
        <f t="shared" si="10"/>
        <v>45474</v>
      </c>
      <c r="M165" t="b">
        <f t="shared" si="11"/>
        <v>1</v>
      </c>
    </row>
    <row r="166" spans="1:13" x14ac:dyDescent="0.3">
      <c r="A166" s="49">
        <v>45597</v>
      </c>
      <c r="D166" t="s">
        <v>7357</v>
      </c>
      <c r="E166">
        <v>1</v>
      </c>
      <c r="F166" t="str">
        <f t="shared" si="9"/>
        <v>oct</v>
      </c>
      <c r="G166">
        <v>20</v>
      </c>
      <c r="H166">
        <v>24</v>
      </c>
      <c r="I166" t="str">
        <f t="shared" si="8"/>
        <v>1-oct-2024</v>
      </c>
      <c r="K166" s="49">
        <f t="shared" si="10"/>
        <v>45566</v>
      </c>
      <c r="M166" t="b">
        <f t="shared" si="11"/>
        <v>1</v>
      </c>
    </row>
    <row r="167" spans="1:13" x14ac:dyDescent="0.3">
      <c r="A167" s="49">
        <v>45597</v>
      </c>
      <c r="D167" t="s">
        <v>7355</v>
      </c>
      <c r="E167">
        <v>1</v>
      </c>
      <c r="F167" t="str">
        <f t="shared" si="9"/>
        <v>sep</v>
      </c>
      <c r="G167">
        <v>20</v>
      </c>
      <c r="H167">
        <v>24</v>
      </c>
      <c r="I167" t="str">
        <f t="shared" si="8"/>
        <v>1-sep-2024</v>
      </c>
      <c r="K167" s="49">
        <f t="shared" si="10"/>
        <v>45536</v>
      </c>
      <c r="M167" t="b">
        <f t="shared" si="11"/>
        <v>1</v>
      </c>
    </row>
    <row r="168" spans="1:13" x14ac:dyDescent="0.3">
      <c r="A168" s="49">
        <v>45597</v>
      </c>
      <c r="D168" t="s">
        <v>7357</v>
      </c>
      <c r="E168">
        <v>1</v>
      </c>
      <c r="F168" t="str">
        <f t="shared" si="9"/>
        <v>oct</v>
      </c>
      <c r="G168">
        <v>20</v>
      </c>
      <c r="H168">
        <v>24</v>
      </c>
      <c r="I168" t="str">
        <f t="shared" si="8"/>
        <v>1-oct-2024</v>
      </c>
      <c r="K168" s="49">
        <f t="shared" si="10"/>
        <v>45566</v>
      </c>
      <c r="M168" t="b">
        <f t="shared" si="11"/>
        <v>1</v>
      </c>
    </row>
    <row r="169" spans="1:13" x14ac:dyDescent="0.3">
      <c r="A169" s="49">
        <v>45597</v>
      </c>
      <c r="D169" t="s">
        <v>7359</v>
      </c>
      <c r="E169">
        <v>1</v>
      </c>
      <c r="F169" t="str">
        <f t="shared" si="9"/>
        <v>jul</v>
      </c>
      <c r="G169">
        <v>20</v>
      </c>
      <c r="H169">
        <v>23</v>
      </c>
      <c r="I169" t="str">
        <f t="shared" si="8"/>
        <v>1-jul-2023</v>
      </c>
      <c r="K169" s="49">
        <f t="shared" si="10"/>
        <v>45108</v>
      </c>
      <c r="M169" t="b">
        <f t="shared" si="11"/>
        <v>1</v>
      </c>
    </row>
    <row r="170" spans="1:13" x14ac:dyDescent="0.3">
      <c r="A170" s="49">
        <v>45597</v>
      </c>
      <c r="D170" t="s">
        <v>7369</v>
      </c>
      <c r="E170">
        <v>1</v>
      </c>
      <c r="F170" t="str">
        <f t="shared" si="9"/>
        <v>abr</v>
      </c>
      <c r="G170">
        <v>20</v>
      </c>
      <c r="H170">
        <v>24</v>
      </c>
      <c r="I170" t="str">
        <f t="shared" si="8"/>
        <v>1-abr-2024</v>
      </c>
      <c r="K170" s="49">
        <f t="shared" si="10"/>
        <v>45383</v>
      </c>
      <c r="M170" t="b">
        <f t="shared" si="11"/>
        <v>1</v>
      </c>
    </row>
    <row r="171" spans="1:13" x14ac:dyDescent="0.3">
      <c r="A171" s="49">
        <v>45597</v>
      </c>
      <c r="D171" t="s">
        <v>7362</v>
      </c>
      <c r="E171">
        <v>1</v>
      </c>
      <c r="F171" t="str">
        <f t="shared" si="9"/>
        <v>ago</v>
      </c>
      <c r="G171">
        <v>20</v>
      </c>
      <c r="H171">
        <v>24</v>
      </c>
      <c r="I171" t="str">
        <f t="shared" si="8"/>
        <v>1-ago-2024</v>
      </c>
      <c r="K171" s="49">
        <f t="shared" si="10"/>
        <v>45505</v>
      </c>
      <c r="M171" t="b">
        <f t="shared" si="11"/>
        <v>1</v>
      </c>
    </row>
    <row r="172" spans="1:13" x14ac:dyDescent="0.3">
      <c r="A172" s="49">
        <v>45597</v>
      </c>
      <c r="D172" t="s">
        <v>7362</v>
      </c>
      <c r="E172">
        <v>1</v>
      </c>
      <c r="F172" t="str">
        <f t="shared" si="9"/>
        <v>ago</v>
      </c>
      <c r="G172">
        <v>20</v>
      </c>
      <c r="H172">
        <v>24</v>
      </c>
      <c r="I172" t="str">
        <f t="shared" si="8"/>
        <v>1-ago-2024</v>
      </c>
      <c r="K172" s="49">
        <f t="shared" si="10"/>
        <v>45505</v>
      </c>
      <c r="M172" t="b">
        <f t="shared" si="11"/>
        <v>1</v>
      </c>
    </row>
    <row r="173" spans="1:13" x14ac:dyDescent="0.3">
      <c r="A173" s="49">
        <v>45597</v>
      </c>
      <c r="D173" t="s">
        <v>7366</v>
      </c>
      <c r="E173">
        <v>1</v>
      </c>
      <c r="F173" t="str">
        <f t="shared" si="9"/>
        <v>dic</v>
      </c>
      <c r="G173">
        <v>20</v>
      </c>
      <c r="H173">
        <v>23</v>
      </c>
      <c r="I173" t="str">
        <f t="shared" si="8"/>
        <v>1-dic-2023</v>
      </c>
      <c r="K173" s="49">
        <f t="shared" si="10"/>
        <v>45261</v>
      </c>
      <c r="M173" t="b">
        <f t="shared" si="11"/>
        <v>1</v>
      </c>
    </row>
    <row r="174" spans="1:13" x14ac:dyDescent="0.3">
      <c r="A174" s="49">
        <v>45597</v>
      </c>
      <c r="D174" t="s">
        <v>7368</v>
      </c>
      <c r="E174">
        <v>1</v>
      </c>
      <c r="F174" t="str">
        <f t="shared" si="9"/>
        <v>mar</v>
      </c>
      <c r="G174">
        <v>20</v>
      </c>
      <c r="H174">
        <v>24</v>
      </c>
      <c r="I174" t="str">
        <f t="shared" si="8"/>
        <v>1-mar-2024</v>
      </c>
      <c r="K174" s="49">
        <f t="shared" si="10"/>
        <v>45352</v>
      </c>
      <c r="M174" t="b">
        <f t="shared" si="11"/>
        <v>1</v>
      </c>
    </row>
    <row r="175" spans="1:13" x14ac:dyDescent="0.3">
      <c r="A175" s="49">
        <v>45597</v>
      </c>
      <c r="D175" t="s">
        <v>7357</v>
      </c>
      <c r="E175">
        <v>1</v>
      </c>
      <c r="F175" t="str">
        <f t="shared" si="9"/>
        <v>oct</v>
      </c>
      <c r="G175">
        <v>20</v>
      </c>
      <c r="H175">
        <v>23</v>
      </c>
      <c r="I175" t="str">
        <f t="shared" si="8"/>
        <v>1-oct-2023</v>
      </c>
      <c r="K175" s="49">
        <f t="shared" si="10"/>
        <v>45200</v>
      </c>
      <c r="M175" t="b">
        <f t="shared" si="11"/>
        <v>1</v>
      </c>
    </row>
    <row r="176" spans="1:13" x14ac:dyDescent="0.3">
      <c r="A176" s="49">
        <v>45597</v>
      </c>
      <c r="D176" t="s">
        <v>7357</v>
      </c>
      <c r="E176">
        <v>1</v>
      </c>
      <c r="F176" t="str">
        <f t="shared" si="9"/>
        <v>oct</v>
      </c>
      <c r="G176">
        <v>20</v>
      </c>
      <c r="H176">
        <v>23</v>
      </c>
      <c r="I176" t="str">
        <f t="shared" si="8"/>
        <v>1-oct-2023</v>
      </c>
      <c r="K176" s="49">
        <f t="shared" si="10"/>
        <v>45200</v>
      </c>
      <c r="M176" t="b">
        <f t="shared" si="11"/>
        <v>1</v>
      </c>
    </row>
    <row r="177" spans="1:13" x14ac:dyDescent="0.3">
      <c r="A177" s="49">
        <v>45597</v>
      </c>
      <c r="D177" t="s">
        <v>7357</v>
      </c>
      <c r="E177">
        <v>1</v>
      </c>
      <c r="F177" t="str">
        <f t="shared" si="9"/>
        <v>oct</v>
      </c>
      <c r="G177">
        <v>20</v>
      </c>
      <c r="H177">
        <v>23</v>
      </c>
      <c r="I177" t="str">
        <f t="shared" si="8"/>
        <v>1-oct-2023</v>
      </c>
      <c r="K177" s="49">
        <f t="shared" si="10"/>
        <v>45200</v>
      </c>
      <c r="M177" t="b">
        <f t="shared" si="11"/>
        <v>1</v>
      </c>
    </row>
    <row r="178" spans="1:13" x14ac:dyDescent="0.3">
      <c r="A178" s="49">
        <v>45597</v>
      </c>
      <c r="D178" t="s">
        <v>7357</v>
      </c>
      <c r="E178">
        <v>1</v>
      </c>
      <c r="F178" t="str">
        <f t="shared" si="9"/>
        <v>oct</v>
      </c>
      <c r="G178">
        <v>20</v>
      </c>
      <c r="H178">
        <v>23</v>
      </c>
      <c r="I178" t="str">
        <f t="shared" si="8"/>
        <v>1-oct-2023</v>
      </c>
      <c r="K178" s="49">
        <f t="shared" si="10"/>
        <v>45200</v>
      </c>
      <c r="M178" t="b">
        <f t="shared" si="11"/>
        <v>1</v>
      </c>
    </row>
    <row r="179" spans="1:13" x14ac:dyDescent="0.3">
      <c r="A179" s="49">
        <v>45597</v>
      </c>
      <c r="D179" t="s">
        <v>7357</v>
      </c>
      <c r="E179">
        <v>1</v>
      </c>
      <c r="F179" t="str">
        <f t="shared" si="9"/>
        <v>oct</v>
      </c>
      <c r="G179">
        <v>20</v>
      </c>
      <c r="H179">
        <v>23</v>
      </c>
      <c r="I179" t="str">
        <f t="shared" si="8"/>
        <v>1-oct-2023</v>
      </c>
      <c r="K179" s="49">
        <f t="shared" si="10"/>
        <v>45200</v>
      </c>
      <c r="M179" t="b">
        <f t="shared" si="11"/>
        <v>1</v>
      </c>
    </row>
    <row r="180" spans="1:13" x14ac:dyDescent="0.3">
      <c r="A180" s="49">
        <v>45597</v>
      </c>
      <c r="D180" t="s">
        <v>7357</v>
      </c>
      <c r="E180">
        <v>1</v>
      </c>
      <c r="F180" t="str">
        <f t="shared" si="9"/>
        <v>oct</v>
      </c>
      <c r="G180">
        <v>20</v>
      </c>
      <c r="H180">
        <v>23</v>
      </c>
      <c r="I180" t="str">
        <f t="shared" si="8"/>
        <v>1-oct-2023</v>
      </c>
      <c r="K180" s="49">
        <f t="shared" si="10"/>
        <v>45200</v>
      </c>
      <c r="M180" t="b">
        <f t="shared" si="11"/>
        <v>1</v>
      </c>
    </row>
    <row r="181" spans="1:13" x14ac:dyDescent="0.3">
      <c r="A181" s="49">
        <v>45597</v>
      </c>
      <c r="D181" t="s">
        <v>7357</v>
      </c>
      <c r="E181">
        <v>1</v>
      </c>
      <c r="F181" t="str">
        <f t="shared" si="9"/>
        <v>oct</v>
      </c>
      <c r="G181">
        <v>20</v>
      </c>
      <c r="H181">
        <v>23</v>
      </c>
      <c r="I181" t="str">
        <f t="shared" si="8"/>
        <v>1-oct-2023</v>
      </c>
      <c r="K181" s="49">
        <f t="shared" si="10"/>
        <v>45200</v>
      </c>
      <c r="M181" t="b">
        <f t="shared" si="11"/>
        <v>1</v>
      </c>
    </row>
    <row r="182" spans="1:13" x14ac:dyDescent="0.3">
      <c r="A182" s="49">
        <v>45597</v>
      </c>
      <c r="D182" t="s">
        <v>7357</v>
      </c>
      <c r="E182">
        <v>1</v>
      </c>
      <c r="F182" t="str">
        <f t="shared" si="9"/>
        <v>oct</v>
      </c>
      <c r="G182">
        <v>20</v>
      </c>
      <c r="H182">
        <v>23</v>
      </c>
      <c r="I182" t="str">
        <f t="shared" si="8"/>
        <v>1-oct-2023</v>
      </c>
      <c r="K182" s="49">
        <f t="shared" si="10"/>
        <v>45200</v>
      </c>
      <c r="M182" t="b">
        <f t="shared" si="11"/>
        <v>1</v>
      </c>
    </row>
    <row r="183" spans="1:13" x14ac:dyDescent="0.3">
      <c r="A183" s="49">
        <v>45597</v>
      </c>
      <c r="D183" t="s">
        <v>7357</v>
      </c>
      <c r="E183">
        <v>1</v>
      </c>
      <c r="F183" t="str">
        <f t="shared" si="9"/>
        <v>oct</v>
      </c>
      <c r="G183">
        <v>20</v>
      </c>
      <c r="H183">
        <v>23</v>
      </c>
      <c r="I183" t="str">
        <f t="shared" si="8"/>
        <v>1-oct-2023</v>
      </c>
      <c r="K183" s="49">
        <f t="shared" si="10"/>
        <v>45200</v>
      </c>
      <c r="M183" t="b">
        <f t="shared" si="11"/>
        <v>1</v>
      </c>
    </row>
    <row r="184" spans="1:13" x14ac:dyDescent="0.3">
      <c r="A184" s="49">
        <v>45597</v>
      </c>
      <c r="D184" t="s">
        <v>7357</v>
      </c>
      <c r="E184">
        <v>1</v>
      </c>
      <c r="F184" t="str">
        <f t="shared" si="9"/>
        <v>oct</v>
      </c>
      <c r="G184">
        <v>20</v>
      </c>
      <c r="H184">
        <v>23</v>
      </c>
      <c r="I184" t="str">
        <f t="shared" si="8"/>
        <v>1-oct-2023</v>
      </c>
      <c r="K184" s="49">
        <f t="shared" si="10"/>
        <v>45200</v>
      </c>
      <c r="M184" t="b">
        <f t="shared" si="11"/>
        <v>1</v>
      </c>
    </row>
    <row r="185" spans="1:13" x14ac:dyDescent="0.3">
      <c r="A185" s="49">
        <v>45597</v>
      </c>
      <c r="D185" t="s">
        <v>7360</v>
      </c>
      <c r="E185">
        <v>1</v>
      </c>
      <c r="F185" t="str">
        <f t="shared" si="9"/>
        <v>nov</v>
      </c>
      <c r="G185">
        <v>20</v>
      </c>
      <c r="H185">
        <v>21</v>
      </c>
      <c r="I185" t="str">
        <f t="shared" si="8"/>
        <v>1-nov-2021</v>
      </c>
      <c r="K185" s="49">
        <f t="shared" si="10"/>
        <v>44501</v>
      </c>
      <c r="M185" t="b">
        <f t="shared" si="11"/>
        <v>1</v>
      </c>
    </row>
    <row r="186" spans="1:13" x14ac:dyDescent="0.3">
      <c r="A186" s="49">
        <v>45597</v>
      </c>
      <c r="D186" t="s">
        <v>7362</v>
      </c>
      <c r="E186">
        <v>1</v>
      </c>
      <c r="F186" t="str">
        <f t="shared" si="9"/>
        <v>ago</v>
      </c>
      <c r="G186">
        <v>20</v>
      </c>
      <c r="H186">
        <v>23</v>
      </c>
      <c r="I186" t="str">
        <f t="shared" si="8"/>
        <v>1-ago-2023</v>
      </c>
      <c r="K186" s="49">
        <f t="shared" si="10"/>
        <v>45139</v>
      </c>
      <c r="M186" t="b">
        <f t="shared" si="11"/>
        <v>1</v>
      </c>
    </row>
    <row r="187" spans="1:13" x14ac:dyDescent="0.3">
      <c r="A187" s="49">
        <v>45597</v>
      </c>
      <c r="D187" t="s">
        <v>7363</v>
      </c>
      <c r="E187">
        <v>1</v>
      </c>
      <c r="F187" t="str">
        <f t="shared" si="9"/>
        <v>feb</v>
      </c>
      <c r="G187">
        <v>20</v>
      </c>
      <c r="H187">
        <v>24</v>
      </c>
      <c r="I187" t="str">
        <f t="shared" si="8"/>
        <v>1-feb-2024</v>
      </c>
      <c r="K187" s="49">
        <f t="shared" si="10"/>
        <v>45323</v>
      </c>
      <c r="M187" t="b">
        <f t="shared" si="11"/>
        <v>1</v>
      </c>
    </row>
    <row r="188" spans="1:13" x14ac:dyDescent="0.3">
      <c r="A188" s="49">
        <v>45597</v>
      </c>
      <c r="D188" t="s">
        <v>7367</v>
      </c>
      <c r="E188">
        <v>1</v>
      </c>
      <c r="F188" t="str">
        <f t="shared" si="9"/>
        <v>jun</v>
      </c>
      <c r="G188">
        <v>20</v>
      </c>
      <c r="H188">
        <v>24</v>
      </c>
      <c r="I188" t="str">
        <f t="shared" si="8"/>
        <v>1-jun-2024</v>
      </c>
      <c r="K188" s="49">
        <f t="shared" si="10"/>
        <v>45444</v>
      </c>
      <c r="M188" t="b">
        <f t="shared" si="11"/>
        <v>1</v>
      </c>
    </row>
    <row r="189" spans="1:13" x14ac:dyDescent="0.3">
      <c r="A189" s="49">
        <v>45597</v>
      </c>
      <c r="D189" t="s">
        <v>7367</v>
      </c>
      <c r="E189">
        <v>1</v>
      </c>
      <c r="F189" t="str">
        <f t="shared" si="9"/>
        <v>jun</v>
      </c>
      <c r="G189">
        <v>20</v>
      </c>
      <c r="H189">
        <v>23</v>
      </c>
      <c r="I189" t="str">
        <f t="shared" si="8"/>
        <v>1-jun-2023</v>
      </c>
      <c r="K189" s="49">
        <f t="shared" si="10"/>
        <v>45078</v>
      </c>
      <c r="M189" t="b">
        <f t="shared" si="11"/>
        <v>1</v>
      </c>
    </row>
    <row r="190" spans="1:13" x14ac:dyDescent="0.3">
      <c r="A190" s="49">
        <v>45597</v>
      </c>
      <c r="D190" t="s">
        <v>7369</v>
      </c>
      <c r="E190">
        <v>1</v>
      </c>
      <c r="F190" t="str">
        <f t="shared" si="9"/>
        <v>abr</v>
      </c>
      <c r="G190">
        <v>20</v>
      </c>
      <c r="H190">
        <v>22</v>
      </c>
      <c r="I190" t="str">
        <f t="shared" si="8"/>
        <v>1-abr-2022</v>
      </c>
      <c r="K190" s="49">
        <f t="shared" si="10"/>
        <v>44652</v>
      </c>
      <c r="M190" t="b">
        <f t="shared" si="11"/>
        <v>1</v>
      </c>
    </row>
    <row r="191" spans="1:13" x14ac:dyDescent="0.3">
      <c r="A191" s="49">
        <v>45597</v>
      </c>
      <c r="D191" t="s">
        <v>7369</v>
      </c>
      <c r="E191">
        <v>1</v>
      </c>
      <c r="F191" t="str">
        <f t="shared" si="9"/>
        <v>abr</v>
      </c>
      <c r="G191">
        <v>20</v>
      </c>
      <c r="H191">
        <v>24</v>
      </c>
      <c r="I191" t="str">
        <f t="shared" si="8"/>
        <v>1-abr-2024</v>
      </c>
      <c r="K191" s="49">
        <f t="shared" si="10"/>
        <v>45383</v>
      </c>
      <c r="M191" t="b">
        <f t="shared" si="11"/>
        <v>1</v>
      </c>
    </row>
    <row r="192" spans="1:13" x14ac:dyDescent="0.3">
      <c r="A192" s="49">
        <v>45597</v>
      </c>
      <c r="D192" t="s">
        <v>7356</v>
      </c>
      <c r="E192">
        <v>1</v>
      </c>
      <c r="F192" t="str">
        <f t="shared" si="9"/>
        <v>ene</v>
      </c>
      <c r="G192">
        <v>20</v>
      </c>
      <c r="H192">
        <v>22</v>
      </c>
      <c r="I192" t="str">
        <f t="shared" si="8"/>
        <v>1-ene-2022</v>
      </c>
      <c r="K192" s="49">
        <f t="shared" si="10"/>
        <v>44562</v>
      </c>
      <c r="M192" t="b">
        <f t="shared" si="11"/>
        <v>1</v>
      </c>
    </row>
    <row r="193" spans="1:13" x14ac:dyDescent="0.3">
      <c r="A193" s="49">
        <v>45597</v>
      </c>
      <c r="D193" t="s">
        <v>7363</v>
      </c>
      <c r="E193">
        <v>1</v>
      </c>
      <c r="F193" t="str">
        <f t="shared" si="9"/>
        <v>feb</v>
      </c>
      <c r="G193">
        <v>20</v>
      </c>
      <c r="H193">
        <v>24</v>
      </c>
      <c r="I193" t="str">
        <f t="shared" ref="I193:I256" si="12">_xlfn.CONCAT(E193,"-",F193,"-",G193,H193)</f>
        <v>1-feb-2024</v>
      </c>
      <c r="K193" s="49">
        <f t="shared" si="10"/>
        <v>45323</v>
      </c>
      <c r="M193" t="b">
        <f t="shared" si="11"/>
        <v>1</v>
      </c>
    </row>
    <row r="194" spans="1:13" x14ac:dyDescent="0.3">
      <c r="A194" s="49">
        <v>45597</v>
      </c>
      <c r="D194" t="s">
        <v>7367</v>
      </c>
      <c r="E194">
        <v>1</v>
      </c>
      <c r="F194" t="str">
        <f t="shared" ref="F194:F257" si="13">LOWER(D194)</f>
        <v>jun</v>
      </c>
      <c r="G194">
        <v>20</v>
      </c>
      <c r="H194">
        <v>22</v>
      </c>
      <c r="I194" t="str">
        <f t="shared" si="12"/>
        <v>1-jun-2022</v>
      </c>
      <c r="K194" s="49">
        <f t="shared" ref="K194:K257" si="14">DATEVALUE(I194)</f>
        <v>44713</v>
      </c>
      <c r="M194" t="b">
        <f t="shared" si="11"/>
        <v>1</v>
      </c>
    </row>
    <row r="195" spans="1:13" x14ac:dyDescent="0.3">
      <c r="A195" s="49">
        <v>45597</v>
      </c>
      <c r="D195" t="s">
        <v>7355</v>
      </c>
      <c r="E195">
        <v>1</v>
      </c>
      <c r="F195" t="str">
        <f t="shared" si="13"/>
        <v>sep</v>
      </c>
      <c r="G195">
        <v>20</v>
      </c>
      <c r="H195">
        <v>20</v>
      </c>
      <c r="I195" t="str">
        <f t="shared" si="12"/>
        <v>1-sep-2020</v>
      </c>
      <c r="K195" s="49">
        <f t="shared" si="14"/>
        <v>44075</v>
      </c>
      <c r="M195" t="b">
        <f t="shared" ref="M195:M258" si="15">K195&lt;A195</f>
        <v>1</v>
      </c>
    </row>
    <row r="196" spans="1:13" x14ac:dyDescent="0.3">
      <c r="A196" s="49">
        <v>45597</v>
      </c>
      <c r="D196" t="s">
        <v>7357</v>
      </c>
      <c r="E196">
        <v>1</v>
      </c>
      <c r="F196" t="str">
        <f t="shared" si="13"/>
        <v>oct</v>
      </c>
      <c r="G196">
        <v>20</v>
      </c>
      <c r="H196">
        <v>24</v>
      </c>
      <c r="I196" t="str">
        <f t="shared" si="12"/>
        <v>1-oct-2024</v>
      </c>
      <c r="K196" s="49">
        <f t="shared" si="14"/>
        <v>45566</v>
      </c>
      <c r="M196" t="b">
        <f t="shared" si="15"/>
        <v>1</v>
      </c>
    </row>
    <row r="197" spans="1:13" x14ac:dyDescent="0.3">
      <c r="A197" s="49">
        <v>45597</v>
      </c>
      <c r="D197" t="s">
        <v>7362</v>
      </c>
      <c r="E197">
        <v>1</v>
      </c>
      <c r="F197" t="str">
        <f t="shared" si="13"/>
        <v>ago</v>
      </c>
      <c r="G197">
        <v>20</v>
      </c>
      <c r="H197">
        <v>20</v>
      </c>
      <c r="I197" t="str">
        <f t="shared" si="12"/>
        <v>1-ago-2020</v>
      </c>
      <c r="K197" s="49">
        <f t="shared" si="14"/>
        <v>44044</v>
      </c>
      <c r="M197" t="b">
        <f t="shared" si="15"/>
        <v>1</v>
      </c>
    </row>
    <row r="198" spans="1:13" x14ac:dyDescent="0.3">
      <c r="A198" s="49">
        <v>45597</v>
      </c>
      <c r="D198" t="s">
        <v>7370</v>
      </c>
      <c r="E198">
        <v>1</v>
      </c>
      <c r="F198" t="str">
        <f t="shared" si="13"/>
        <v>may</v>
      </c>
      <c r="G198">
        <v>20</v>
      </c>
      <c r="H198">
        <v>22</v>
      </c>
      <c r="I198" t="str">
        <f t="shared" si="12"/>
        <v>1-may-2022</v>
      </c>
      <c r="K198" s="49">
        <f t="shared" si="14"/>
        <v>44682</v>
      </c>
      <c r="M198" t="b">
        <f t="shared" si="15"/>
        <v>1</v>
      </c>
    </row>
    <row r="199" spans="1:13" x14ac:dyDescent="0.3">
      <c r="A199" s="49">
        <v>45597</v>
      </c>
      <c r="D199" t="s">
        <v>7369</v>
      </c>
      <c r="E199">
        <v>1</v>
      </c>
      <c r="F199" t="str">
        <f t="shared" si="13"/>
        <v>abr</v>
      </c>
      <c r="G199">
        <v>20</v>
      </c>
      <c r="H199">
        <v>23</v>
      </c>
      <c r="I199" t="str">
        <f t="shared" si="12"/>
        <v>1-abr-2023</v>
      </c>
      <c r="K199" s="49">
        <f t="shared" si="14"/>
        <v>45017</v>
      </c>
      <c r="M199" t="b">
        <f t="shared" si="15"/>
        <v>1</v>
      </c>
    </row>
    <row r="200" spans="1:13" x14ac:dyDescent="0.3">
      <c r="A200" s="49">
        <v>45597</v>
      </c>
      <c r="D200" t="s">
        <v>7355</v>
      </c>
      <c r="E200">
        <v>1</v>
      </c>
      <c r="F200" t="str">
        <f t="shared" si="13"/>
        <v>sep</v>
      </c>
      <c r="G200">
        <v>20</v>
      </c>
      <c r="H200">
        <v>24</v>
      </c>
      <c r="I200" t="str">
        <f t="shared" si="12"/>
        <v>1-sep-2024</v>
      </c>
      <c r="K200" s="49">
        <f t="shared" si="14"/>
        <v>45536</v>
      </c>
      <c r="M200" t="b">
        <f t="shared" si="15"/>
        <v>1</v>
      </c>
    </row>
    <row r="201" spans="1:13" x14ac:dyDescent="0.3">
      <c r="A201" s="49">
        <v>45597</v>
      </c>
      <c r="D201" t="s">
        <v>7359</v>
      </c>
      <c r="E201">
        <v>1</v>
      </c>
      <c r="F201" t="str">
        <f t="shared" si="13"/>
        <v>jul</v>
      </c>
      <c r="G201">
        <v>20</v>
      </c>
      <c r="H201">
        <v>24</v>
      </c>
      <c r="I201" t="str">
        <f t="shared" si="12"/>
        <v>1-jul-2024</v>
      </c>
      <c r="K201" s="49">
        <f t="shared" si="14"/>
        <v>45474</v>
      </c>
      <c r="M201" t="b">
        <f t="shared" si="15"/>
        <v>1</v>
      </c>
    </row>
    <row r="202" spans="1:13" x14ac:dyDescent="0.3">
      <c r="A202" s="49">
        <v>45597</v>
      </c>
      <c r="D202" t="s">
        <v>7370</v>
      </c>
      <c r="E202">
        <v>1</v>
      </c>
      <c r="F202" t="str">
        <f t="shared" si="13"/>
        <v>may</v>
      </c>
      <c r="G202">
        <v>20</v>
      </c>
      <c r="H202">
        <v>24</v>
      </c>
      <c r="I202" t="str">
        <f t="shared" si="12"/>
        <v>1-may-2024</v>
      </c>
      <c r="K202" s="49">
        <f t="shared" si="14"/>
        <v>45413</v>
      </c>
      <c r="M202" t="b">
        <f t="shared" si="15"/>
        <v>1</v>
      </c>
    </row>
    <row r="203" spans="1:13" x14ac:dyDescent="0.3">
      <c r="A203" s="49">
        <v>45597</v>
      </c>
      <c r="D203" t="s">
        <v>7356</v>
      </c>
      <c r="E203">
        <v>1</v>
      </c>
      <c r="F203" t="str">
        <f t="shared" si="13"/>
        <v>ene</v>
      </c>
      <c r="G203">
        <v>20</v>
      </c>
      <c r="H203">
        <v>24</v>
      </c>
      <c r="I203" t="str">
        <f t="shared" si="12"/>
        <v>1-ene-2024</v>
      </c>
      <c r="K203" s="49">
        <f t="shared" si="14"/>
        <v>45292</v>
      </c>
      <c r="M203" t="b">
        <f t="shared" si="15"/>
        <v>1</v>
      </c>
    </row>
    <row r="204" spans="1:13" x14ac:dyDescent="0.3">
      <c r="A204" s="49">
        <v>45597</v>
      </c>
      <c r="D204" t="s">
        <v>7360</v>
      </c>
      <c r="E204">
        <v>1</v>
      </c>
      <c r="F204" t="str">
        <f t="shared" si="13"/>
        <v>nov</v>
      </c>
      <c r="G204">
        <v>20</v>
      </c>
      <c r="H204">
        <v>23</v>
      </c>
      <c r="I204" t="str">
        <f t="shared" si="12"/>
        <v>1-nov-2023</v>
      </c>
      <c r="K204" s="49">
        <f t="shared" si="14"/>
        <v>45231</v>
      </c>
      <c r="M204" t="b">
        <f t="shared" si="15"/>
        <v>1</v>
      </c>
    </row>
    <row r="205" spans="1:13" x14ac:dyDescent="0.3">
      <c r="A205" s="49">
        <v>45597</v>
      </c>
      <c r="D205" t="s">
        <v>7356</v>
      </c>
      <c r="E205">
        <v>1</v>
      </c>
      <c r="F205" t="str">
        <f t="shared" si="13"/>
        <v>ene</v>
      </c>
      <c r="G205">
        <v>20</v>
      </c>
      <c r="H205">
        <v>24</v>
      </c>
      <c r="I205" t="str">
        <f t="shared" si="12"/>
        <v>1-ene-2024</v>
      </c>
      <c r="K205" s="49">
        <f t="shared" si="14"/>
        <v>45292</v>
      </c>
      <c r="M205" t="b">
        <f t="shared" si="15"/>
        <v>1</v>
      </c>
    </row>
    <row r="206" spans="1:13" x14ac:dyDescent="0.3">
      <c r="A206" s="49">
        <v>45597</v>
      </c>
      <c r="D206" t="s">
        <v>7367</v>
      </c>
      <c r="E206">
        <v>1</v>
      </c>
      <c r="F206" t="str">
        <f t="shared" si="13"/>
        <v>jun</v>
      </c>
      <c r="G206">
        <v>20</v>
      </c>
      <c r="H206">
        <v>24</v>
      </c>
      <c r="I206" t="str">
        <f t="shared" si="12"/>
        <v>1-jun-2024</v>
      </c>
      <c r="K206" s="49">
        <f t="shared" si="14"/>
        <v>45444</v>
      </c>
      <c r="M206" t="b">
        <f t="shared" si="15"/>
        <v>1</v>
      </c>
    </row>
    <row r="207" spans="1:13" x14ac:dyDescent="0.3">
      <c r="A207" s="49">
        <v>45597</v>
      </c>
      <c r="D207" t="s">
        <v>7359</v>
      </c>
      <c r="E207">
        <v>1</v>
      </c>
      <c r="F207" t="str">
        <f t="shared" si="13"/>
        <v>jul</v>
      </c>
      <c r="G207">
        <v>20</v>
      </c>
      <c r="H207">
        <v>24</v>
      </c>
      <c r="I207" t="str">
        <f t="shared" si="12"/>
        <v>1-jul-2024</v>
      </c>
      <c r="K207" s="49">
        <f t="shared" si="14"/>
        <v>45474</v>
      </c>
      <c r="M207" t="b">
        <f t="shared" si="15"/>
        <v>1</v>
      </c>
    </row>
    <row r="208" spans="1:13" x14ac:dyDescent="0.3">
      <c r="A208" s="49">
        <v>45597</v>
      </c>
      <c r="D208" t="s">
        <v>7362</v>
      </c>
      <c r="E208">
        <v>1</v>
      </c>
      <c r="F208" t="str">
        <f t="shared" si="13"/>
        <v>ago</v>
      </c>
      <c r="G208">
        <v>20</v>
      </c>
      <c r="H208">
        <v>24</v>
      </c>
      <c r="I208" t="str">
        <f t="shared" si="12"/>
        <v>1-ago-2024</v>
      </c>
      <c r="K208" s="49">
        <f t="shared" si="14"/>
        <v>45505</v>
      </c>
      <c r="M208" t="b">
        <f t="shared" si="15"/>
        <v>1</v>
      </c>
    </row>
    <row r="209" spans="1:13" x14ac:dyDescent="0.3">
      <c r="A209" s="49">
        <v>45597</v>
      </c>
      <c r="D209" t="s">
        <v>7366</v>
      </c>
      <c r="E209">
        <v>1</v>
      </c>
      <c r="F209" t="str">
        <f t="shared" si="13"/>
        <v>dic</v>
      </c>
      <c r="G209">
        <v>20</v>
      </c>
      <c r="H209">
        <v>24</v>
      </c>
      <c r="I209" t="str">
        <f t="shared" si="12"/>
        <v>1-dic-2024</v>
      </c>
      <c r="K209" s="49">
        <f t="shared" si="14"/>
        <v>45627</v>
      </c>
      <c r="M209" t="b">
        <f t="shared" si="15"/>
        <v>0</v>
      </c>
    </row>
    <row r="210" spans="1:13" x14ac:dyDescent="0.3">
      <c r="A210" s="49">
        <v>45597</v>
      </c>
      <c r="D210" t="s">
        <v>7362</v>
      </c>
      <c r="E210">
        <v>1</v>
      </c>
      <c r="F210" t="str">
        <f t="shared" si="13"/>
        <v>ago</v>
      </c>
      <c r="G210">
        <v>20</v>
      </c>
      <c r="H210">
        <v>24</v>
      </c>
      <c r="I210" t="str">
        <f t="shared" si="12"/>
        <v>1-ago-2024</v>
      </c>
      <c r="K210" s="49">
        <f t="shared" si="14"/>
        <v>45505</v>
      </c>
      <c r="M210" t="b">
        <f t="shared" si="15"/>
        <v>1</v>
      </c>
    </row>
    <row r="211" spans="1:13" x14ac:dyDescent="0.3">
      <c r="A211" s="49">
        <v>45597</v>
      </c>
      <c r="D211" t="s">
        <v>7362</v>
      </c>
      <c r="E211">
        <v>1</v>
      </c>
      <c r="F211" t="str">
        <f t="shared" si="13"/>
        <v>ago</v>
      </c>
      <c r="G211">
        <v>20</v>
      </c>
      <c r="H211">
        <v>24</v>
      </c>
      <c r="I211" t="str">
        <f t="shared" si="12"/>
        <v>1-ago-2024</v>
      </c>
      <c r="K211" s="49">
        <f t="shared" si="14"/>
        <v>45505</v>
      </c>
      <c r="M211" t="b">
        <f t="shared" si="15"/>
        <v>1</v>
      </c>
    </row>
    <row r="212" spans="1:13" x14ac:dyDescent="0.3">
      <c r="A212" s="49">
        <v>45597</v>
      </c>
      <c r="D212" t="s">
        <v>7360</v>
      </c>
      <c r="E212">
        <v>1</v>
      </c>
      <c r="F212" t="str">
        <f t="shared" si="13"/>
        <v>nov</v>
      </c>
      <c r="G212">
        <v>20</v>
      </c>
      <c r="H212">
        <v>23</v>
      </c>
      <c r="I212" t="str">
        <f t="shared" si="12"/>
        <v>1-nov-2023</v>
      </c>
      <c r="K212" s="49">
        <f t="shared" si="14"/>
        <v>45231</v>
      </c>
      <c r="M212" t="b">
        <f t="shared" si="15"/>
        <v>1</v>
      </c>
    </row>
    <row r="213" spans="1:13" x14ac:dyDescent="0.3">
      <c r="A213" s="49">
        <v>45597</v>
      </c>
      <c r="D213" t="s">
        <v>7355</v>
      </c>
      <c r="E213">
        <v>1</v>
      </c>
      <c r="F213" t="str">
        <f t="shared" si="13"/>
        <v>sep</v>
      </c>
      <c r="G213">
        <v>20</v>
      </c>
      <c r="H213">
        <v>24</v>
      </c>
      <c r="I213" t="str">
        <f t="shared" si="12"/>
        <v>1-sep-2024</v>
      </c>
      <c r="K213" s="49">
        <f t="shared" si="14"/>
        <v>45536</v>
      </c>
      <c r="M213" t="b">
        <f t="shared" si="15"/>
        <v>1</v>
      </c>
    </row>
    <row r="214" spans="1:13" x14ac:dyDescent="0.3">
      <c r="A214" s="49">
        <v>45597</v>
      </c>
      <c r="D214" t="s">
        <v>7360</v>
      </c>
      <c r="E214">
        <v>1</v>
      </c>
      <c r="F214" t="str">
        <f t="shared" si="13"/>
        <v>nov</v>
      </c>
      <c r="G214">
        <v>20</v>
      </c>
      <c r="H214">
        <v>20</v>
      </c>
      <c r="I214" t="str">
        <f t="shared" si="12"/>
        <v>1-nov-2020</v>
      </c>
      <c r="K214" s="49">
        <f t="shared" si="14"/>
        <v>44136</v>
      </c>
      <c r="M214" t="b">
        <f t="shared" si="15"/>
        <v>1</v>
      </c>
    </row>
    <row r="215" spans="1:13" x14ac:dyDescent="0.3">
      <c r="A215" s="49">
        <v>45597</v>
      </c>
      <c r="D215" t="s">
        <v>7367</v>
      </c>
      <c r="E215">
        <v>1</v>
      </c>
      <c r="F215" t="str">
        <f t="shared" si="13"/>
        <v>jun</v>
      </c>
      <c r="G215">
        <v>20</v>
      </c>
      <c r="H215">
        <v>23</v>
      </c>
      <c r="I215" t="str">
        <f t="shared" si="12"/>
        <v>1-jun-2023</v>
      </c>
      <c r="K215" s="49">
        <f t="shared" si="14"/>
        <v>45078</v>
      </c>
      <c r="M215" t="b">
        <f t="shared" si="15"/>
        <v>1</v>
      </c>
    </row>
    <row r="216" spans="1:13" x14ac:dyDescent="0.3">
      <c r="A216" s="49">
        <v>45597</v>
      </c>
      <c r="D216" t="s">
        <v>7367</v>
      </c>
      <c r="E216">
        <v>1</v>
      </c>
      <c r="F216" t="str">
        <f t="shared" si="13"/>
        <v>jun</v>
      </c>
      <c r="G216">
        <v>20</v>
      </c>
      <c r="H216">
        <v>23</v>
      </c>
      <c r="I216" t="str">
        <f t="shared" si="12"/>
        <v>1-jun-2023</v>
      </c>
      <c r="K216" s="49">
        <f t="shared" si="14"/>
        <v>45078</v>
      </c>
      <c r="M216" t="b">
        <f t="shared" si="15"/>
        <v>1</v>
      </c>
    </row>
    <row r="217" spans="1:13" x14ac:dyDescent="0.3">
      <c r="A217" s="49">
        <v>45597</v>
      </c>
      <c r="D217" t="s">
        <v>7369</v>
      </c>
      <c r="E217">
        <v>1</v>
      </c>
      <c r="F217" t="str">
        <f t="shared" si="13"/>
        <v>abr</v>
      </c>
      <c r="G217">
        <v>20</v>
      </c>
      <c r="H217">
        <v>24</v>
      </c>
      <c r="I217" t="str">
        <f t="shared" si="12"/>
        <v>1-abr-2024</v>
      </c>
      <c r="K217" s="49">
        <f t="shared" si="14"/>
        <v>45383</v>
      </c>
      <c r="M217" t="b">
        <f t="shared" si="15"/>
        <v>1</v>
      </c>
    </row>
    <row r="218" spans="1:13" x14ac:dyDescent="0.3">
      <c r="A218" s="49">
        <v>45597</v>
      </c>
      <c r="D218" t="s">
        <v>7363</v>
      </c>
      <c r="E218">
        <v>1</v>
      </c>
      <c r="F218" t="str">
        <f t="shared" si="13"/>
        <v>feb</v>
      </c>
      <c r="G218">
        <v>20</v>
      </c>
      <c r="H218">
        <v>24</v>
      </c>
      <c r="I218" t="str">
        <f t="shared" si="12"/>
        <v>1-feb-2024</v>
      </c>
      <c r="K218" s="49">
        <f t="shared" si="14"/>
        <v>45323</v>
      </c>
      <c r="M218" t="b">
        <f t="shared" si="15"/>
        <v>1</v>
      </c>
    </row>
    <row r="219" spans="1:13" x14ac:dyDescent="0.3">
      <c r="A219" s="49">
        <v>45597</v>
      </c>
      <c r="D219" t="s">
        <v>7367</v>
      </c>
      <c r="E219">
        <v>1</v>
      </c>
      <c r="F219" t="str">
        <f t="shared" si="13"/>
        <v>jun</v>
      </c>
      <c r="G219">
        <v>20</v>
      </c>
      <c r="H219">
        <v>24</v>
      </c>
      <c r="I219" t="str">
        <f t="shared" si="12"/>
        <v>1-jun-2024</v>
      </c>
      <c r="K219" s="49">
        <f t="shared" si="14"/>
        <v>45444</v>
      </c>
      <c r="M219" t="b">
        <f t="shared" si="15"/>
        <v>1</v>
      </c>
    </row>
    <row r="220" spans="1:13" x14ac:dyDescent="0.3">
      <c r="A220" s="49">
        <v>45597</v>
      </c>
      <c r="D220" t="s">
        <v>7366</v>
      </c>
      <c r="E220">
        <v>1</v>
      </c>
      <c r="F220" t="str">
        <f t="shared" si="13"/>
        <v>dic</v>
      </c>
      <c r="G220">
        <v>20</v>
      </c>
      <c r="H220">
        <v>23</v>
      </c>
      <c r="I220" t="str">
        <f t="shared" si="12"/>
        <v>1-dic-2023</v>
      </c>
      <c r="K220" s="49">
        <f t="shared" si="14"/>
        <v>45261</v>
      </c>
      <c r="M220" t="b">
        <f t="shared" si="15"/>
        <v>1</v>
      </c>
    </row>
    <row r="221" spans="1:13" x14ac:dyDescent="0.3">
      <c r="A221" s="49">
        <v>45597</v>
      </c>
      <c r="D221" t="s">
        <v>7356</v>
      </c>
      <c r="E221">
        <v>1</v>
      </c>
      <c r="F221" t="str">
        <f t="shared" si="13"/>
        <v>ene</v>
      </c>
      <c r="G221">
        <v>20</v>
      </c>
      <c r="H221">
        <v>24</v>
      </c>
      <c r="I221" t="str">
        <f t="shared" si="12"/>
        <v>1-ene-2024</v>
      </c>
      <c r="K221" s="49">
        <f t="shared" si="14"/>
        <v>45292</v>
      </c>
      <c r="M221" t="b">
        <f t="shared" si="15"/>
        <v>1</v>
      </c>
    </row>
    <row r="222" spans="1:13" x14ac:dyDescent="0.3">
      <c r="A222" s="49">
        <v>45597</v>
      </c>
      <c r="D222" t="s">
        <v>7370</v>
      </c>
      <c r="E222">
        <v>1</v>
      </c>
      <c r="F222" t="str">
        <f t="shared" si="13"/>
        <v>may</v>
      </c>
      <c r="G222">
        <v>20</v>
      </c>
      <c r="H222">
        <v>24</v>
      </c>
      <c r="I222" t="str">
        <f t="shared" si="12"/>
        <v>1-may-2024</v>
      </c>
      <c r="K222" s="49">
        <f t="shared" si="14"/>
        <v>45413</v>
      </c>
      <c r="M222" t="b">
        <f t="shared" si="15"/>
        <v>1</v>
      </c>
    </row>
    <row r="223" spans="1:13" x14ac:dyDescent="0.3">
      <c r="A223" s="49">
        <v>45597</v>
      </c>
      <c r="D223" t="s">
        <v>7370</v>
      </c>
      <c r="E223">
        <v>1</v>
      </c>
      <c r="F223" t="str">
        <f t="shared" si="13"/>
        <v>may</v>
      </c>
      <c r="G223">
        <v>20</v>
      </c>
      <c r="H223">
        <v>24</v>
      </c>
      <c r="I223" t="str">
        <f t="shared" si="12"/>
        <v>1-may-2024</v>
      </c>
      <c r="K223" s="49">
        <f t="shared" si="14"/>
        <v>45413</v>
      </c>
      <c r="M223" t="b">
        <f t="shared" si="15"/>
        <v>1</v>
      </c>
    </row>
    <row r="224" spans="1:13" x14ac:dyDescent="0.3">
      <c r="A224" s="49">
        <v>45597</v>
      </c>
      <c r="D224" t="s">
        <v>7370</v>
      </c>
      <c r="E224">
        <v>1</v>
      </c>
      <c r="F224" t="str">
        <f t="shared" si="13"/>
        <v>may</v>
      </c>
      <c r="G224">
        <v>20</v>
      </c>
      <c r="H224">
        <v>24</v>
      </c>
      <c r="I224" t="str">
        <f t="shared" si="12"/>
        <v>1-may-2024</v>
      </c>
      <c r="K224" s="49">
        <f t="shared" si="14"/>
        <v>45413</v>
      </c>
      <c r="M224" t="b">
        <f t="shared" si="15"/>
        <v>1</v>
      </c>
    </row>
    <row r="225" spans="1:13" x14ac:dyDescent="0.3">
      <c r="A225" s="49">
        <v>45597</v>
      </c>
      <c r="D225" t="s">
        <v>7355</v>
      </c>
      <c r="E225">
        <v>1</v>
      </c>
      <c r="F225" t="str">
        <f t="shared" si="13"/>
        <v>sep</v>
      </c>
      <c r="G225">
        <v>20</v>
      </c>
      <c r="H225">
        <v>24</v>
      </c>
      <c r="I225" t="str">
        <f t="shared" si="12"/>
        <v>1-sep-2024</v>
      </c>
      <c r="K225" s="49">
        <f t="shared" si="14"/>
        <v>45536</v>
      </c>
      <c r="M225" t="b">
        <f t="shared" si="15"/>
        <v>1</v>
      </c>
    </row>
    <row r="226" spans="1:13" x14ac:dyDescent="0.3">
      <c r="A226" s="49">
        <v>45597</v>
      </c>
      <c r="D226" t="s">
        <v>7357</v>
      </c>
      <c r="E226">
        <v>1</v>
      </c>
      <c r="F226" t="str">
        <f t="shared" si="13"/>
        <v>oct</v>
      </c>
      <c r="G226">
        <v>20</v>
      </c>
      <c r="H226">
        <v>23</v>
      </c>
      <c r="I226" t="str">
        <f t="shared" si="12"/>
        <v>1-oct-2023</v>
      </c>
      <c r="K226" s="49">
        <f t="shared" si="14"/>
        <v>45200</v>
      </c>
      <c r="M226" t="b">
        <f t="shared" si="15"/>
        <v>1</v>
      </c>
    </row>
    <row r="227" spans="1:13" x14ac:dyDescent="0.3">
      <c r="A227" s="49">
        <v>45597</v>
      </c>
      <c r="D227" t="s">
        <v>7367</v>
      </c>
      <c r="E227">
        <v>1</v>
      </c>
      <c r="F227" t="str">
        <f t="shared" si="13"/>
        <v>jun</v>
      </c>
      <c r="G227">
        <v>20</v>
      </c>
      <c r="H227">
        <v>24</v>
      </c>
      <c r="I227" t="str">
        <f t="shared" si="12"/>
        <v>1-jun-2024</v>
      </c>
      <c r="K227" s="49">
        <f t="shared" si="14"/>
        <v>45444</v>
      </c>
      <c r="M227" t="b">
        <f t="shared" si="15"/>
        <v>1</v>
      </c>
    </row>
    <row r="228" spans="1:13" x14ac:dyDescent="0.3">
      <c r="A228" s="49">
        <v>45597</v>
      </c>
      <c r="D228" t="s">
        <v>7367</v>
      </c>
      <c r="E228">
        <v>1</v>
      </c>
      <c r="F228" t="str">
        <f t="shared" si="13"/>
        <v>jun</v>
      </c>
      <c r="G228">
        <v>20</v>
      </c>
      <c r="H228">
        <v>24</v>
      </c>
      <c r="I228" t="str">
        <f t="shared" si="12"/>
        <v>1-jun-2024</v>
      </c>
      <c r="K228" s="49">
        <f t="shared" si="14"/>
        <v>45444</v>
      </c>
      <c r="M228" t="b">
        <f t="shared" si="15"/>
        <v>1</v>
      </c>
    </row>
    <row r="229" spans="1:13" x14ac:dyDescent="0.3">
      <c r="A229" s="49">
        <v>45597</v>
      </c>
      <c r="D229" t="s">
        <v>7367</v>
      </c>
      <c r="E229">
        <v>1</v>
      </c>
      <c r="F229" t="str">
        <f t="shared" si="13"/>
        <v>jun</v>
      </c>
      <c r="G229">
        <v>20</v>
      </c>
      <c r="H229">
        <v>24</v>
      </c>
      <c r="I229" t="str">
        <f t="shared" si="12"/>
        <v>1-jun-2024</v>
      </c>
      <c r="K229" s="49">
        <f t="shared" si="14"/>
        <v>45444</v>
      </c>
      <c r="M229" t="b">
        <f t="shared" si="15"/>
        <v>1</v>
      </c>
    </row>
    <row r="230" spans="1:13" x14ac:dyDescent="0.3">
      <c r="A230" s="49">
        <v>45597</v>
      </c>
      <c r="D230" t="s">
        <v>7357</v>
      </c>
      <c r="E230">
        <v>1</v>
      </c>
      <c r="F230" t="str">
        <f t="shared" si="13"/>
        <v>oct</v>
      </c>
      <c r="G230">
        <v>20</v>
      </c>
      <c r="H230">
        <v>24</v>
      </c>
      <c r="I230" t="str">
        <f t="shared" si="12"/>
        <v>1-oct-2024</v>
      </c>
      <c r="K230" s="49">
        <f t="shared" si="14"/>
        <v>45566</v>
      </c>
      <c r="M230" t="b">
        <f t="shared" si="15"/>
        <v>1</v>
      </c>
    </row>
    <row r="231" spans="1:13" x14ac:dyDescent="0.3">
      <c r="A231" s="49">
        <v>45597</v>
      </c>
      <c r="D231" t="s">
        <v>7363</v>
      </c>
      <c r="E231">
        <v>1</v>
      </c>
      <c r="F231" t="str">
        <f t="shared" si="13"/>
        <v>feb</v>
      </c>
      <c r="G231">
        <v>20</v>
      </c>
      <c r="H231">
        <v>24</v>
      </c>
      <c r="I231" t="str">
        <f t="shared" si="12"/>
        <v>1-feb-2024</v>
      </c>
      <c r="K231" s="49">
        <f t="shared" si="14"/>
        <v>45323</v>
      </c>
      <c r="M231" t="b">
        <f t="shared" si="15"/>
        <v>1</v>
      </c>
    </row>
    <row r="232" spans="1:13" x14ac:dyDescent="0.3">
      <c r="A232" s="49">
        <v>45597</v>
      </c>
      <c r="D232" t="s">
        <v>7363</v>
      </c>
      <c r="E232">
        <v>1</v>
      </c>
      <c r="F232" t="str">
        <f t="shared" si="13"/>
        <v>feb</v>
      </c>
      <c r="G232">
        <v>20</v>
      </c>
      <c r="H232">
        <v>24</v>
      </c>
      <c r="I232" t="str">
        <f t="shared" si="12"/>
        <v>1-feb-2024</v>
      </c>
      <c r="K232" s="49">
        <f t="shared" si="14"/>
        <v>45323</v>
      </c>
      <c r="M232" t="b">
        <f t="shared" si="15"/>
        <v>1</v>
      </c>
    </row>
    <row r="233" spans="1:13" x14ac:dyDescent="0.3">
      <c r="A233" s="49">
        <v>45597</v>
      </c>
      <c r="D233" t="s">
        <v>7363</v>
      </c>
      <c r="E233">
        <v>1</v>
      </c>
      <c r="F233" t="str">
        <f t="shared" si="13"/>
        <v>feb</v>
      </c>
      <c r="G233">
        <v>20</v>
      </c>
      <c r="H233">
        <v>24</v>
      </c>
      <c r="I233" t="str">
        <f t="shared" si="12"/>
        <v>1-feb-2024</v>
      </c>
      <c r="K233" s="49">
        <f t="shared" si="14"/>
        <v>45323</v>
      </c>
      <c r="M233" t="b">
        <f t="shared" si="15"/>
        <v>1</v>
      </c>
    </row>
    <row r="234" spans="1:13" x14ac:dyDescent="0.3">
      <c r="A234" s="49">
        <v>45597</v>
      </c>
      <c r="D234" t="s">
        <v>7363</v>
      </c>
      <c r="E234">
        <v>1</v>
      </c>
      <c r="F234" t="str">
        <f t="shared" si="13"/>
        <v>feb</v>
      </c>
      <c r="G234">
        <v>20</v>
      </c>
      <c r="H234">
        <v>24</v>
      </c>
      <c r="I234" t="str">
        <f t="shared" si="12"/>
        <v>1-feb-2024</v>
      </c>
      <c r="K234" s="49">
        <f t="shared" si="14"/>
        <v>45323</v>
      </c>
      <c r="M234" t="b">
        <f t="shared" si="15"/>
        <v>1</v>
      </c>
    </row>
    <row r="235" spans="1:13" x14ac:dyDescent="0.3">
      <c r="A235" s="49">
        <v>45597</v>
      </c>
      <c r="D235" t="s">
        <v>7357</v>
      </c>
      <c r="E235">
        <v>1</v>
      </c>
      <c r="F235" t="str">
        <f t="shared" si="13"/>
        <v>oct</v>
      </c>
      <c r="G235">
        <v>20</v>
      </c>
      <c r="H235">
        <v>24</v>
      </c>
      <c r="I235" t="str">
        <f t="shared" si="12"/>
        <v>1-oct-2024</v>
      </c>
      <c r="K235" s="49">
        <f t="shared" si="14"/>
        <v>45566</v>
      </c>
      <c r="M235" t="b">
        <f t="shared" si="15"/>
        <v>1</v>
      </c>
    </row>
    <row r="236" spans="1:13" x14ac:dyDescent="0.3">
      <c r="A236" s="49">
        <v>45597</v>
      </c>
      <c r="D236" t="s">
        <v>7357</v>
      </c>
      <c r="E236">
        <v>1</v>
      </c>
      <c r="F236" t="str">
        <f t="shared" si="13"/>
        <v>oct</v>
      </c>
      <c r="G236">
        <v>20</v>
      </c>
      <c r="H236">
        <v>24</v>
      </c>
      <c r="I236" t="str">
        <f t="shared" si="12"/>
        <v>1-oct-2024</v>
      </c>
      <c r="K236" s="49">
        <f t="shared" si="14"/>
        <v>45566</v>
      </c>
      <c r="M236" t="b">
        <f t="shared" si="15"/>
        <v>1</v>
      </c>
    </row>
    <row r="237" spans="1:13" x14ac:dyDescent="0.3">
      <c r="A237" s="49">
        <v>45597</v>
      </c>
      <c r="D237" t="s">
        <v>7357</v>
      </c>
      <c r="E237">
        <v>1</v>
      </c>
      <c r="F237" t="str">
        <f t="shared" si="13"/>
        <v>oct</v>
      </c>
      <c r="G237">
        <v>20</v>
      </c>
      <c r="H237">
        <v>24</v>
      </c>
      <c r="I237" t="str">
        <f t="shared" si="12"/>
        <v>1-oct-2024</v>
      </c>
      <c r="K237" s="49">
        <f t="shared" si="14"/>
        <v>45566</v>
      </c>
      <c r="M237" t="b">
        <f t="shared" si="15"/>
        <v>1</v>
      </c>
    </row>
    <row r="238" spans="1:13" x14ac:dyDescent="0.3">
      <c r="A238" s="49">
        <v>45597</v>
      </c>
      <c r="D238" t="s">
        <v>7357</v>
      </c>
      <c r="E238">
        <v>1</v>
      </c>
      <c r="F238" t="str">
        <f t="shared" si="13"/>
        <v>oct</v>
      </c>
      <c r="G238">
        <v>20</v>
      </c>
      <c r="H238">
        <v>24</v>
      </c>
      <c r="I238" t="str">
        <f t="shared" si="12"/>
        <v>1-oct-2024</v>
      </c>
      <c r="K238" s="49">
        <f t="shared" si="14"/>
        <v>45566</v>
      </c>
      <c r="M238" t="b">
        <f t="shared" si="15"/>
        <v>1</v>
      </c>
    </row>
    <row r="239" spans="1:13" x14ac:dyDescent="0.3">
      <c r="A239" s="49">
        <v>45597</v>
      </c>
      <c r="D239" t="s">
        <v>7357</v>
      </c>
      <c r="E239">
        <v>1</v>
      </c>
      <c r="F239" t="str">
        <f t="shared" si="13"/>
        <v>oct</v>
      </c>
      <c r="G239">
        <v>20</v>
      </c>
      <c r="H239">
        <v>24</v>
      </c>
      <c r="I239" t="str">
        <f t="shared" si="12"/>
        <v>1-oct-2024</v>
      </c>
      <c r="K239" s="49">
        <f t="shared" si="14"/>
        <v>45566</v>
      </c>
      <c r="M239" t="b">
        <f t="shared" si="15"/>
        <v>1</v>
      </c>
    </row>
    <row r="240" spans="1:13" x14ac:dyDescent="0.3">
      <c r="A240" s="49">
        <v>45597</v>
      </c>
      <c r="D240" t="s">
        <v>7370</v>
      </c>
      <c r="E240">
        <v>1</v>
      </c>
      <c r="F240" t="str">
        <f t="shared" si="13"/>
        <v>may</v>
      </c>
      <c r="G240">
        <v>20</v>
      </c>
      <c r="H240">
        <v>24</v>
      </c>
      <c r="I240" t="str">
        <f t="shared" si="12"/>
        <v>1-may-2024</v>
      </c>
      <c r="K240" s="49">
        <f t="shared" si="14"/>
        <v>45413</v>
      </c>
      <c r="M240" t="b">
        <f t="shared" si="15"/>
        <v>1</v>
      </c>
    </row>
    <row r="241" spans="1:13" x14ac:dyDescent="0.3">
      <c r="A241" s="49">
        <v>45597</v>
      </c>
      <c r="D241" t="s">
        <v>7355</v>
      </c>
      <c r="E241">
        <v>1</v>
      </c>
      <c r="F241" t="str">
        <f t="shared" si="13"/>
        <v>sep</v>
      </c>
      <c r="G241">
        <v>20</v>
      </c>
      <c r="H241">
        <v>24</v>
      </c>
      <c r="I241" t="str">
        <f t="shared" si="12"/>
        <v>1-sep-2024</v>
      </c>
      <c r="K241" s="49">
        <f t="shared" si="14"/>
        <v>45536</v>
      </c>
      <c r="M241" t="b">
        <f t="shared" si="15"/>
        <v>1</v>
      </c>
    </row>
    <row r="242" spans="1:13" x14ac:dyDescent="0.3">
      <c r="A242" s="49">
        <v>45597</v>
      </c>
      <c r="D242" t="s">
        <v>7362</v>
      </c>
      <c r="E242">
        <v>1</v>
      </c>
      <c r="F242" t="str">
        <f t="shared" si="13"/>
        <v>ago</v>
      </c>
      <c r="G242">
        <v>20</v>
      </c>
      <c r="H242">
        <v>23</v>
      </c>
      <c r="I242" t="str">
        <f t="shared" si="12"/>
        <v>1-ago-2023</v>
      </c>
      <c r="K242" s="49">
        <f t="shared" si="14"/>
        <v>45139</v>
      </c>
      <c r="M242" t="b">
        <f t="shared" si="15"/>
        <v>1</v>
      </c>
    </row>
    <row r="243" spans="1:13" x14ac:dyDescent="0.3">
      <c r="A243" s="49">
        <v>45597</v>
      </c>
      <c r="D243" t="s">
        <v>7362</v>
      </c>
      <c r="E243">
        <v>1</v>
      </c>
      <c r="F243" t="str">
        <f t="shared" si="13"/>
        <v>ago</v>
      </c>
      <c r="G243">
        <v>20</v>
      </c>
      <c r="H243">
        <v>24</v>
      </c>
      <c r="I243" t="str">
        <f t="shared" si="12"/>
        <v>1-ago-2024</v>
      </c>
      <c r="K243" s="49">
        <f t="shared" si="14"/>
        <v>45505</v>
      </c>
      <c r="M243" t="b">
        <f t="shared" si="15"/>
        <v>1</v>
      </c>
    </row>
    <row r="244" spans="1:13" x14ac:dyDescent="0.3">
      <c r="A244" s="49">
        <v>45597</v>
      </c>
      <c r="D244" t="s">
        <v>7366</v>
      </c>
      <c r="E244">
        <v>1</v>
      </c>
      <c r="F244" t="str">
        <f t="shared" si="13"/>
        <v>dic</v>
      </c>
      <c r="G244">
        <v>20</v>
      </c>
      <c r="H244">
        <v>24</v>
      </c>
      <c r="I244" t="str">
        <f t="shared" si="12"/>
        <v>1-dic-2024</v>
      </c>
      <c r="K244" s="49">
        <f t="shared" si="14"/>
        <v>45627</v>
      </c>
      <c r="M244" t="b">
        <f t="shared" si="15"/>
        <v>0</v>
      </c>
    </row>
    <row r="245" spans="1:13" x14ac:dyDescent="0.3">
      <c r="A245" s="49">
        <v>45597</v>
      </c>
      <c r="D245" t="s">
        <v>7367</v>
      </c>
      <c r="E245">
        <v>1</v>
      </c>
      <c r="F245" t="str">
        <f t="shared" si="13"/>
        <v>jun</v>
      </c>
      <c r="G245">
        <v>20</v>
      </c>
      <c r="H245">
        <v>24</v>
      </c>
      <c r="I245" t="str">
        <f t="shared" si="12"/>
        <v>1-jun-2024</v>
      </c>
      <c r="K245" s="49">
        <f t="shared" si="14"/>
        <v>45444</v>
      </c>
      <c r="M245" t="b">
        <f t="shared" si="15"/>
        <v>1</v>
      </c>
    </row>
    <row r="246" spans="1:13" x14ac:dyDescent="0.3">
      <c r="A246" s="49">
        <v>45597</v>
      </c>
      <c r="D246" t="s">
        <v>7360</v>
      </c>
      <c r="E246">
        <v>1</v>
      </c>
      <c r="F246" t="str">
        <f t="shared" si="13"/>
        <v>nov</v>
      </c>
      <c r="G246">
        <v>20</v>
      </c>
      <c r="H246">
        <v>24</v>
      </c>
      <c r="I246" t="str">
        <f t="shared" si="12"/>
        <v>1-nov-2024</v>
      </c>
      <c r="K246" s="49">
        <f t="shared" si="14"/>
        <v>45597</v>
      </c>
      <c r="M246" t="b">
        <f t="shared" si="15"/>
        <v>0</v>
      </c>
    </row>
    <row r="247" spans="1:13" x14ac:dyDescent="0.3">
      <c r="A247" s="49">
        <v>45597</v>
      </c>
      <c r="D247" t="s">
        <v>7360</v>
      </c>
      <c r="E247">
        <v>1</v>
      </c>
      <c r="F247" t="str">
        <f t="shared" si="13"/>
        <v>nov</v>
      </c>
      <c r="G247">
        <v>20</v>
      </c>
      <c r="H247">
        <v>24</v>
      </c>
      <c r="I247" t="str">
        <f t="shared" si="12"/>
        <v>1-nov-2024</v>
      </c>
      <c r="K247" s="49">
        <f t="shared" si="14"/>
        <v>45597</v>
      </c>
      <c r="M247" t="b">
        <f t="shared" si="15"/>
        <v>0</v>
      </c>
    </row>
    <row r="248" spans="1:13" x14ac:dyDescent="0.3">
      <c r="A248" s="49">
        <v>45597</v>
      </c>
      <c r="D248" t="s">
        <v>7355</v>
      </c>
      <c r="E248">
        <v>1</v>
      </c>
      <c r="F248" t="str">
        <f t="shared" si="13"/>
        <v>sep</v>
      </c>
      <c r="G248">
        <v>20</v>
      </c>
      <c r="H248">
        <v>24</v>
      </c>
      <c r="I248" t="str">
        <f t="shared" si="12"/>
        <v>1-sep-2024</v>
      </c>
      <c r="K248" s="49">
        <f t="shared" si="14"/>
        <v>45536</v>
      </c>
      <c r="M248" t="b">
        <f t="shared" si="15"/>
        <v>1</v>
      </c>
    </row>
    <row r="249" spans="1:13" x14ac:dyDescent="0.3">
      <c r="A249" s="49">
        <v>45597</v>
      </c>
      <c r="D249" t="s">
        <v>7355</v>
      </c>
      <c r="E249">
        <v>1</v>
      </c>
      <c r="F249" t="str">
        <f t="shared" si="13"/>
        <v>sep</v>
      </c>
      <c r="G249">
        <v>20</v>
      </c>
      <c r="H249">
        <v>24</v>
      </c>
      <c r="I249" t="str">
        <f t="shared" si="12"/>
        <v>1-sep-2024</v>
      </c>
      <c r="K249" s="49">
        <f t="shared" si="14"/>
        <v>45536</v>
      </c>
      <c r="M249" t="b">
        <f t="shared" si="15"/>
        <v>1</v>
      </c>
    </row>
    <row r="250" spans="1:13" x14ac:dyDescent="0.3">
      <c r="A250" s="49">
        <v>45597</v>
      </c>
      <c r="D250" t="s">
        <v>7367</v>
      </c>
      <c r="E250">
        <v>1</v>
      </c>
      <c r="F250" t="str">
        <f t="shared" si="13"/>
        <v>jun</v>
      </c>
      <c r="G250">
        <v>20</v>
      </c>
      <c r="H250">
        <v>24</v>
      </c>
      <c r="I250" t="str">
        <f t="shared" si="12"/>
        <v>1-jun-2024</v>
      </c>
      <c r="K250" s="49">
        <f t="shared" si="14"/>
        <v>45444</v>
      </c>
      <c r="M250" t="b">
        <f t="shared" si="15"/>
        <v>1</v>
      </c>
    </row>
    <row r="251" spans="1:13" x14ac:dyDescent="0.3">
      <c r="A251" s="49">
        <v>45597</v>
      </c>
      <c r="D251" t="s">
        <v>7359</v>
      </c>
      <c r="E251">
        <v>1</v>
      </c>
      <c r="F251" t="str">
        <f t="shared" si="13"/>
        <v>jul</v>
      </c>
      <c r="G251">
        <v>20</v>
      </c>
      <c r="H251">
        <v>23</v>
      </c>
      <c r="I251" t="str">
        <f t="shared" si="12"/>
        <v>1-jul-2023</v>
      </c>
      <c r="K251" s="49">
        <f t="shared" si="14"/>
        <v>45108</v>
      </c>
      <c r="M251" t="b">
        <f t="shared" si="15"/>
        <v>1</v>
      </c>
    </row>
    <row r="252" spans="1:13" x14ac:dyDescent="0.3">
      <c r="A252" s="49">
        <v>45597</v>
      </c>
      <c r="D252" t="s">
        <v>7359</v>
      </c>
      <c r="E252">
        <v>1</v>
      </c>
      <c r="F252" t="str">
        <f t="shared" si="13"/>
        <v>jul</v>
      </c>
      <c r="G252">
        <v>20</v>
      </c>
      <c r="H252">
        <v>23</v>
      </c>
      <c r="I252" t="str">
        <f t="shared" si="12"/>
        <v>1-jul-2023</v>
      </c>
      <c r="K252" s="49">
        <f t="shared" si="14"/>
        <v>45108</v>
      </c>
      <c r="M252" t="b">
        <f t="shared" si="15"/>
        <v>1</v>
      </c>
    </row>
    <row r="253" spans="1:13" x14ac:dyDescent="0.3">
      <c r="A253" s="49">
        <v>45597</v>
      </c>
      <c r="D253" t="s">
        <v>7357</v>
      </c>
      <c r="E253">
        <v>1</v>
      </c>
      <c r="F253" t="str">
        <f t="shared" si="13"/>
        <v>oct</v>
      </c>
      <c r="G253">
        <v>20</v>
      </c>
      <c r="H253">
        <v>24</v>
      </c>
      <c r="I253" t="str">
        <f t="shared" si="12"/>
        <v>1-oct-2024</v>
      </c>
      <c r="K253" s="49">
        <f t="shared" si="14"/>
        <v>45566</v>
      </c>
      <c r="M253" t="b">
        <f t="shared" si="15"/>
        <v>1</v>
      </c>
    </row>
    <row r="254" spans="1:13" x14ac:dyDescent="0.3">
      <c r="A254" s="49">
        <v>45597</v>
      </c>
      <c r="D254" t="s">
        <v>7357</v>
      </c>
      <c r="E254">
        <v>1</v>
      </c>
      <c r="F254" t="str">
        <f t="shared" si="13"/>
        <v>oct</v>
      </c>
      <c r="G254">
        <v>20</v>
      </c>
      <c r="H254">
        <v>24</v>
      </c>
      <c r="I254" t="str">
        <f t="shared" si="12"/>
        <v>1-oct-2024</v>
      </c>
      <c r="K254" s="49">
        <f t="shared" si="14"/>
        <v>45566</v>
      </c>
      <c r="M254" t="b">
        <f t="shared" si="15"/>
        <v>1</v>
      </c>
    </row>
    <row r="255" spans="1:13" x14ac:dyDescent="0.3">
      <c r="A255" s="49">
        <v>45597</v>
      </c>
      <c r="D255" t="s">
        <v>7357</v>
      </c>
      <c r="E255">
        <v>1</v>
      </c>
      <c r="F255" t="str">
        <f t="shared" si="13"/>
        <v>oct</v>
      </c>
      <c r="G255">
        <v>20</v>
      </c>
      <c r="H255">
        <v>24</v>
      </c>
      <c r="I255" t="str">
        <f t="shared" si="12"/>
        <v>1-oct-2024</v>
      </c>
      <c r="K255" s="49">
        <f t="shared" si="14"/>
        <v>45566</v>
      </c>
      <c r="M255" t="b">
        <f t="shared" si="15"/>
        <v>1</v>
      </c>
    </row>
    <row r="256" spans="1:13" x14ac:dyDescent="0.3">
      <c r="A256" s="49">
        <v>45597</v>
      </c>
      <c r="D256" t="s">
        <v>7367</v>
      </c>
      <c r="E256">
        <v>1</v>
      </c>
      <c r="F256" t="str">
        <f t="shared" si="13"/>
        <v>jun</v>
      </c>
      <c r="G256">
        <v>20</v>
      </c>
      <c r="H256">
        <v>24</v>
      </c>
      <c r="I256" t="str">
        <f t="shared" si="12"/>
        <v>1-jun-2024</v>
      </c>
      <c r="K256" s="49">
        <f t="shared" si="14"/>
        <v>45444</v>
      </c>
      <c r="M256" t="b">
        <f t="shared" si="15"/>
        <v>1</v>
      </c>
    </row>
    <row r="257" spans="1:13" x14ac:dyDescent="0.3">
      <c r="A257" s="49">
        <v>45597</v>
      </c>
      <c r="D257" t="s">
        <v>7367</v>
      </c>
      <c r="E257">
        <v>1</v>
      </c>
      <c r="F257" t="str">
        <f t="shared" si="13"/>
        <v>jun</v>
      </c>
      <c r="G257">
        <v>20</v>
      </c>
      <c r="H257">
        <v>24</v>
      </c>
      <c r="I257" t="str">
        <f t="shared" ref="I257:I320" si="16">_xlfn.CONCAT(E257,"-",F257,"-",G257,H257)</f>
        <v>1-jun-2024</v>
      </c>
      <c r="K257" s="49">
        <f t="shared" si="14"/>
        <v>45444</v>
      </c>
      <c r="M257" t="b">
        <f t="shared" si="15"/>
        <v>1</v>
      </c>
    </row>
    <row r="258" spans="1:13" x14ac:dyDescent="0.3">
      <c r="A258" s="49">
        <v>45597</v>
      </c>
      <c r="D258" t="s">
        <v>7368</v>
      </c>
      <c r="E258">
        <v>1</v>
      </c>
      <c r="F258" t="str">
        <f t="shared" ref="F258:F321" si="17">LOWER(D258)</f>
        <v>mar</v>
      </c>
      <c r="G258">
        <v>20</v>
      </c>
      <c r="H258">
        <v>24</v>
      </c>
      <c r="I258" t="str">
        <f t="shared" si="16"/>
        <v>1-mar-2024</v>
      </c>
      <c r="K258" s="49">
        <f t="shared" ref="K258:K321" si="18">DATEVALUE(I258)</f>
        <v>45352</v>
      </c>
      <c r="M258" t="b">
        <f t="shared" si="15"/>
        <v>1</v>
      </c>
    </row>
    <row r="259" spans="1:13" x14ac:dyDescent="0.3">
      <c r="A259" s="49">
        <v>45597</v>
      </c>
      <c r="D259" t="s">
        <v>7368</v>
      </c>
      <c r="E259">
        <v>1</v>
      </c>
      <c r="F259" t="str">
        <f t="shared" si="17"/>
        <v>mar</v>
      </c>
      <c r="G259">
        <v>20</v>
      </c>
      <c r="H259">
        <v>24</v>
      </c>
      <c r="I259" t="str">
        <f t="shared" si="16"/>
        <v>1-mar-2024</v>
      </c>
      <c r="K259" s="49">
        <f t="shared" si="18"/>
        <v>45352</v>
      </c>
      <c r="M259" t="b">
        <f t="shared" ref="M259:M322" si="19">K259&lt;A259</f>
        <v>1</v>
      </c>
    </row>
    <row r="260" spans="1:13" x14ac:dyDescent="0.3">
      <c r="A260" s="49">
        <v>45597</v>
      </c>
      <c r="D260" t="s">
        <v>7368</v>
      </c>
      <c r="E260">
        <v>1</v>
      </c>
      <c r="F260" t="str">
        <f t="shared" si="17"/>
        <v>mar</v>
      </c>
      <c r="G260">
        <v>20</v>
      </c>
      <c r="H260">
        <v>24</v>
      </c>
      <c r="I260" t="str">
        <f t="shared" si="16"/>
        <v>1-mar-2024</v>
      </c>
      <c r="K260" s="49">
        <f t="shared" si="18"/>
        <v>45352</v>
      </c>
      <c r="M260" t="b">
        <f t="shared" si="19"/>
        <v>1</v>
      </c>
    </row>
    <row r="261" spans="1:13" x14ac:dyDescent="0.3">
      <c r="A261" s="49">
        <v>45597</v>
      </c>
      <c r="D261" t="s">
        <v>7355</v>
      </c>
      <c r="E261">
        <v>1</v>
      </c>
      <c r="F261" t="str">
        <f t="shared" si="17"/>
        <v>sep</v>
      </c>
      <c r="G261">
        <v>20</v>
      </c>
      <c r="H261">
        <v>24</v>
      </c>
      <c r="I261" t="str">
        <f t="shared" si="16"/>
        <v>1-sep-2024</v>
      </c>
      <c r="K261" s="49">
        <f t="shared" si="18"/>
        <v>45536</v>
      </c>
      <c r="M261" t="b">
        <f t="shared" si="19"/>
        <v>1</v>
      </c>
    </row>
    <row r="262" spans="1:13" x14ac:dyDescent="0.3">
      <c r="A262" s="49">
        <v>45597</v>
      </c>
      <c r="D262" t="s">
        <v>7355</v>
      </c>
      <c r="E262">
        <v>1</v>
      </c>
      <c r="F262" t="str">
        <f t="shared" si="17"/>
        <v>sep</v>
      </c>
      <c r="G262">
        <v>20</v>
      </c>
      <c r="H262">
        <v>24</v>
      </c>
      <c r="I262" t="str">
        <f t="shared" si="16"/>
        <v>1-sep-2024</v>
      </c>
      <c r="K262" s="49">
        <f t="shared" si="18"/>
        <v>45536</v>
      </c>
      <c r="M262" t="b">
        <f t="shared" si="19"/>
        <v>1</v>
      </c>
    </row>
    <row r="263" spans="1:13" x14ac:dyDescent="0.3">
      <c r="A263" s="49">
        <v>45597</v>
      </c>
      <c r="D263" t="s">
        <v>7367</v>
      </c>
      <c r="E263">
        <v>1</v>
      </c>
      <c r="F263" t="str">
        <f t="shared" si="17"/>
        <v>jun</v>
      </c>
      <c r="G263">
        <v>20</v>
      </c>
      <c r="H263">
        <v>24</v>
      </c>
      <c r="I263" t="str">
        <f t="shared" si="16"/>
        <v>1-jun-2024</v>
      </c>
      <c r="K263" s="49">
        <f t="shared" si="18"/>
        <v>45444</v>
      </c>
      <c r="M263" t="b">
        <f t="shared" si="19"/>
        <v>1</v>
      </c>
    </row>
    <row r="264" spans="1:13" x14ac:dyDescent="0.3">
      <c r="A264" s="49">
        <v>45597</v>
      </c>
      <c r="D264" t="s">
        <v>7367</v>
      </c>
      <c r="E264">
        <v>1</v>
      </c>
      <c r="F264" t="str">
        <f t="shared" si="17"/>
        <v>jun</v>
      </c>
      <c r="G264">
        <v>20</v>
      </c>
      <c r="H264">
        <v>24</v>
      </c>
      <c r="I264" t="str">
        <f t="shared" si="16"/>
        <v>1-jun-2024</v>
      </c>
      <c r="K264" s="49">
        <f t="shared" si="18"/>
        <v>45444</v>
      </c>
      <c r="M264" t="b">
        <f t="shared" si="19"/>
        <v>1</v>
      </c>
    </row>
    <row r="265" spans="1:13" x14ac:dyDescent="0.3">
      <c r="A265" s="49">
        <v>45597</v>
      </c>
      <c r="D265" t="s">
        <v>7355</v>
      </c>
      <c r="E265">
        <v>1</v>
      </c>
      <c r="F265" t="str">
        <f t="shared" si="17"/>
        <v>sep</v>
      </c>
      <c r="G265">
        <v>20</v>
      </c>
      <c r="H265">
        <v>24</v>
      </c>
      <c r="I265" t="str">
        <f t="shared" si="16"/>
        <v>1-sep-2024</v>
      </c>
      <c r="K265" s="49">
        <f t="shared" si="18"/>
        <v>45536</v>
      </c>
      <c r="M265" t="b">
        <f t="shared" si="19"/>
        <v>1</v>
      </c>
    </row>
    <row r="266" spans="1:13" x14ac:dyDescent="0.3">
      <c r="A266" s="49">
        <v>45597</v>
      </c>
      <c r="D266" t="s">
        <v>7355</v>
      </c>
      <c r="E266">
        <v>1</v>
      </c>
      <c r="F266" t="str">
        <f t="shared" si="17"/>
        <v>sep</v>
      </c>
      <c r="G266">
        <v>20</v>
      </c>
      <c r="H266">
        <v>24</v>
      </c>
      <c r="I266" t="str">
        <f t="shared" si="16"/>
        <v>1-sep-2024</v>
      </c>
      <c r="K266" s="49">
        <f t="shared" si="18"/>
        <v>45536</v>
      </c>
      <c r="M266" t="b">
        <f t="shared" si="19"/>
        <v>1</v>
      </c>
    </row>
    <row r="267" spans="1:13" x14ac:dyDescent="0.3">
      <c r="A267" s="49">
        <v>45597</v>
      </c>
      <c r="D267" t="s">
        <v>7363</v>
      </c>
      <c r="E267">
        <v>1</v>
      </c>
      <c r="F267" t="str">
        <f t="shared" si="17"/>
        <v>feb</v>
      </c>
      <c r="G267">
        <v>20</v>
      </c>
      <c r="H267">
        <v>24</v>
      </c>
      <c r="I267" t="str">
        <f t="shared" si="16"/>
        <v>1-feb-2024</v>
      </c>
      <c r="K267" s="49">
        <f t="shared" si="18"/>
        <v>45323</v>
      </c>
      <c r="M267" t="b">
        <f t="shared" si="19"/>
        <v>1</v>
      </c>
    </row>
    <row r="268" spans="1:13" x14ac:dyDescent="0.3">
      <c r="A268" s="49">
        <v>45597</v>
      </c>
      <c r="D268" t="s">
        <v>7363</v>
      </c>
      <c r="E268">
        <v>1</v>
      </c>
      <c r="F268" t="str">
        <f t="shared" si="17"/>
        <v>feb</v>
      </c>
      <c r="G268">
        <v>20</v>
      </c>
      <c r="H268">
        <v>24</v>
      </c>
      <c r="I268" t="str">
        <f t="shared" si="16"/>
        <v>1-feb-2024</v>
      </c>
      <c r="K268" s="49">
        <f t="shared" si="18"/>
        <v>45323</v>
      </c>
      <c r="M268" t="b">
        <f t="shared" si="19"/>
        <v>1</v>
      </c>
    </row>
    <row r="269" spans="1:13" x14ac:dyDescent="0.3">
      <c r="A269" s="49">
        <v>45597</v>
      </c>
      <c r="D269" t="s">
        <v>7369</v>
      </c>
      <c r="E269">
        <v>1</v>
      </c>
      <c r="F269" t="str">
        <f t="shared" si="17"/>
        <v>abr</v>
      </c>
      <c r="G269">
        <v>20</v>
      </c>
      <c r="H269">
        <v>24</v>
      </c>
      <c r="I269" t="str">
        <f t="shared" si="16"/>
        <v>1-abr-2024</v>
      </c>
      <c r="K269" s="49">
        <f t="shared" si="18"/>
        <v>45383</v>
      </c>
      <c r="M269" t="b">
        <f t="shared" si="19"/>
        <v>1</v>
      </c>
    </row>
    <row r="270" spans="1:13" x14ac:dyDescent="0.3">
      <c r="A270" s="49">
        <v>45597</v>
      </c>
      <c r="D270" t="s">
        <v>7359</v>
      </c>
      <c r="E270">
        <v>1</v>
      </c>
      <c r="F270" t="str">
        <f t="shared" si="17"/>
        <v>jul</v>
      </c>
      <c r="G270">
        <v>20</v>
      </c>
      <c r="H270">
        <v>24</v>
      </c>
      <c r="I270" t="str">
        <f t="shared" si="16"/>
        <v>1-jul-2024</v>
      </c>
      <c r="K270" s="49">
        <f t="shared" si="18"/>
        <v>45474</v>
      </c>
      <c r="M270" t="b">
        <f t="shared" si="19"/>
        <v>1</v>
      </c>
    </row>
    <row r="271" spans="1:13" x14ac:dyDescent="0.3">
      <c r="A271" s="49">
        <v>45597</v>
      </c>
      <c r="D271" t="s">
        <v>7371</v>
      </c>
      <c r="E271">
        <v>1</v>
      </c>
      <c r="F271" t="str">
        <f t="shared" si="17"/>
        <v>jul</v>
      </c>
      <c r="G271">
        <v>20</v>
      </c>
      <c r="H271">
        <v>24</v>
      </c>
      <c r="I271" t="str">
        <f t="shared" si="16"/>
        <v>1-jul-2024</v>
      </c>
      <c r="K271" s="49">
        <f t="shared" si="18"/>
        <v>45474</v>
      </c>
      <c r="M271" t="b">
        <f t="shared" si="19"/>
        <v>1</v>
      </c>
    </row>
    <row r="272" spans="1:13" x14ac:dyDescent="0.3">
      <c r="A272" s="49">
        <v>45597</v>
      </c>
      <c r="D272" t="s">
        <v>7371</v>
      </c>
      <c r="E272">
        <v>1</v>
      </c>
      <c r="F272" t="str">
        <f t="shared" si="17"/>
        <v>jul</v>
      </c>
      <c r="G272">
        <v>20</v>
      </c>
      <c r="H272">
        <v>24</v>
      </c>
      <c r="I272" t="str">
        <f t="shared" si="16"/>
        <v>1-jul-2024</v>
      </c>
      <c r="K272" s="49">
        <f t="shared" si="18"/>
        <v>45474</v>
      </c>
      <c r="M272" t="b">
        <f t="shared" si="19"/>
        <v>1</v>
      </c>
    </row>
    <row r="273" spans="1:13" x14ac:dyDescent="0.3">
      <c r="A273" s="49">
        <v>45597</v>
      </c>
      <c r="D273" t="s">
        <v>7368</v>
      </c>
      <c r="E273">
        <v>1</v>
      </c>
      <c r="F273" t="str">
        <f t="shared" si="17"/>
        <v>mar</v>
      </c>
      <c r="G273">
        <v>20</v>
      </c>
      <c r="H273">
        <v>24</v>
      </c>
      <c r="I273" t="str">
        <f t="shared" si="16"/>
        <v>1-mar-2024</v>
      </c>
      <c r="K273" s="49">
        <f t="shared" si="18"/>
        <v>45352</v>
      </c>
      <c r="M273" t="b">
        <f t="shared" si="19"/>
        <v>1</v>
      </c>
    </row>
    <row r="274" spans="1:13" x14ac:dyDescent="0.3">
      <c r="A274" s="49">
        <v>45597</v>
      </c>
      <c r="D274" t="s">
        <v>7362</v>
      </c>
      <c r="E274">
        <v>1</v>
      </c>
      <c r="F274" t="str">
        <f t="shared" si="17"/>
        <v>ago</v>
      </c>
      <c r="G274">
        <v>20</v>
      </c>
      <c r="H274">
        <v>24</v>
      </c>
      <c r="I274" t="str">
        <f t="shared" si="16"/>
        <v>1-ago-2024</v>
      </c>
      <c r="K274" s="49">
        <f t="shared" si="18"/>
        <v>45505</v>
      </c>
      <c r="M274" t="b">
        <f t="shared" si="19"/>
        <v>1</v>
      </c>
    </row>
    <row r="275" spans="1:13" x14ac:dyDescent="0.3">
      <c r="A275" s="49">
        <v>45597</v>
      </c>
      <c r="D275" t="s">
        <v>7362</v>
      </c>
      <c r="E275">
        <v>1</v>
      </c>
      <c r="F275" t="str">
        <f t="shared" si="17"/>
        <v>ago</v>
      </c>
      <c r="G275">
        <v>20</v>
      </c>
      <c r="H275">
        <v>24</v>
      </c>
      <c r="I275" t="str">
        <f t="shared" si="16"/>
        <v>1-ago-2024</v>
      </c>
      <c r="K275" s="49">
        <f t="shared" si="18"/>
        <v>45505</v>
      </c>
      <c r="M275" t="b">
        <f t="shared" si="19"/>
        <v>1</v>
      </c>
    </row>
    <row r="276" spans="1:13" x14ac:dyDescent="0.3">
      <c r="A276" s="49">
        <v>45597</v>
      </c>
      <c r="D276" t="s">
        <v>7362</v>
      </c>
      <c r="E276">
        <v>1</v>
      </c>
      <c r="F276" t="str">
        <f t="shared" si="17"/>
        <v>ago</v>
      </c>
      <c r="G276">
        <v>20</v>
      </c>
      <c r="H276">
        <v>24</v>
      </c>
      <c r="I276" t="str">
        <f t="shared" si="16"/>
        <v>1-ago-2024</v>
      </c>
      <c r="K276" s="49">
        <f t="shared" si="18"/>
        <v>45505</v>
      </c>
      <c r="M276" t="b">
        <f t="shared" si="19"/>
        <v>1</v>
      </c>
    </row>
    <row r="277" spans="1:13" x14ac:dyDescent="0.3">
      <c r="A277" s="49">
        <v>45597</v>
      </c>
      <c r="D277" t="s">
        <v>7362</v>
      </c>
      <c r="E277">
        <v>1</v>
      </c>
      <c r="F277" t="str">
        <f t="shared" si="17"/>
        <v>ago</v>
      </c>
      <c r="G277">
        <v>20</v>
      </c>
      <c r="H277">
        <v>24</v>
      </c>
      <c r="I277" t="str">
        <f t="shared" si="16"/>
        <v>1-ago-2024</v>
      </c>
      <c r="K277" s="49">
        <f t="shared" si="18"/>
        <v>45505</v>
      </c>
      <c r="M277" t="b">
        <f t="shared" si="19"/>
        <v>1</v>
      </c>
    </row>
    <row r="278" spans="1:13" x14ac:dyDescent="0.3">
      <c r="A278" s="49">
        <v>45597</v>
      </c>
      <c r="D278" t="s">
        <v>7362</v>
      </c>
      <c r="E278">
        <v>1</v>
      </c>
      <c r="F278" t="str">
        <f t="shared" si="17"/>
        <v>ago</v>
      </c>
      <c r="G278">
        <v>20</v>
      </c>
      <c r="H278">
        <v>24</v>
      </c>
      <c r="I278" t="str">
        <f t="shared" si="16"/>
        <v>1-ago-2024</v>
      </c>
      <c r="K278" s="49">
        <f t="shared" si="18"/>
        <v>45505</v>
      </c>
      <c r="M278" t="b">
        <f t="shared" si="19"/>
        <v>1</v>
      </c>
    </row>
    <row r="279" spans="1:13" x14ac:dyDescent="0.3">
      <c r="A279" s="49">
        <v>45597</v>
      </c>
      <c r="D279" t="s">
        <v>7369</v>
      </c>
      <c r="E279">
        <v>1</v>
      </c>
      <c r="F279" t="str">
        <f t="shared" si="17"/>
        <v>abr</v>
      </c>
      <c r="G279">
        <v>20</v>
      </c>
      <c r="H279">
        <v>24</v>
      </c>
      <c r="I279" t="str">
        <f t="shared" si="16"/>
        <v>1-abr-2024</v>
      </c>
      <c r="K279" s="49">
        <f t="shared" si="18"/>
        <v>45383</v>
      </c>
      <c r="M279" t="b">
        <f t="shared" si="19"/>
        <v>1</v>
      </c>
    </row>
    <row r="280" spans="1:13" x14ac:dyDescent="0.3">
      <c r="A280" s="49">
        <v>45597</v>
      </c>
      <c r="D280" t="s">
        <v>7359</v>
      </c>
      <c r="E280">
        <v>1</v>
      </c>
      <c r="F280" t="str">
        <f t="shared" si="17"/>
        <v>jul</v>
      </c>
      <c r="G280">
        <v>20</v>
      </c>
      <c r="H280">
        <v>24</v>
      </c>
      <c r="I280" t="str">
        <f t="shared" si="16"/>
        <v>1-jul-2024</v>
      </c>
      <c r="K280" s="49">
        <f t="shared" si="18"/>
        <v>45474</v>
      </c>
      <c r="M280" t="b">
        <f t="shared" si="19"/>
        <v>1</v>
      </c>
    </row>
    <row r="281" spans="1:13" x14ac:dyDescent="0.3">
      <c r="A281" s="49">
        <v>45597</v>
      </c>
      <c r="D281" t="s">
        <v>7362</v>
      </c>
      <c r="E281">
        <v>1</v>
      </c>
      <c r="F281" t="str">
        <f t="shared" si="17"/>
        <v>ago</v>
      </c>
      <c r="G281">
        <v>20</v>
      </c>
      <c r="H281">
        <v>24</v>
      </c>
      <c r="I281" t="str">
        <f t="shared" si="16"/>
        <v>1-ago-2024</v>
      </c>
      <c r="K281" s="49">
        <f t="shared" si="18"/>
        <v>45505</v>
      </c>
      <c r="M281" t="b">
        <f t="shared" si="19"/>
        <v>1</v>
      </c>
    </row>
    <row r="282" spans="1:13" x14ac:dyDescent="0.3">
      <c r="A282" s="49">
        <v>45597</v>
      </c>
      <c r="D282" t="s">
        <v>7362</v>
      </c>
      <c r="E282">
        <v>1</v>
      </c>
      <c r="F282" t="str">
        <f t="shared" si="17"/>
        <v>ago</v>
      </c>
      <c r="G282">
        <v>20</v>
      </c>
      <c r="H282">
        <v>24</v>
      </c>
      <c r="I282" t="str">
        <f t="shared" si="16"/>
        <v>1-ago-2024</v>
      </c>
      <c r="K282" s="49">
        <f t="shared" si="18"/>
        <v>45505</v>
      </c>
      <c r="M282" t="b">
        <f t="shared" si="19"/>
        <v>1</v>
      </c>
    </row>
    <row r="283" spans="1:13" x14ac:dyDescent="0.3">
      <c r="A283" s="49">
        <v>45597</v>
      </c>
      <c r="D283" t="s">
        <v>7362</v>
      </c>
      <c r="E283">
        <v>1</v>
      </c>
      <c r="F283" t="str">
        <f t="shared" si="17"/>
        <v>ago</v>
      </c>
      <c r="G283">
        <v>20</v>
      </c>
      <c r="H283">
        <v>24</v>
      </c>
      <c r="I283" t="str">
        <f t="shared" si="16"/>
        <v>1-ago-2024</v>
      </c>
      <c r="K283" s="49">
        <f t="shared" si="18"/>
        <v>45505</v>
      </c>
      <c r="M283" t="b">
        <f t="shared" si="19"/>
        <v>1</v>
      </c>
    </row>
    <row r="284" spans="1:13" x14ac:dyDescent="0.3">
      <c r="A284" s="49">
        <v>45597</v>
      </c>
      <c r="D284" t="s">
        <v>7369</v>
      </c>
      <c r="E284">
        <v>1</v>
      </c>
      <c r="F284" t="str">
        <f t="shared" si="17"/>
        <v>abr</v>
      </c>
      <c r="G284">
        <v>20</v>
      </c>
      <c r="H284">
        <v>24</v>
      </c>
      <c r="I284" t="str">
        <f t="shared" si="16"/>
        <v>1-abr-2024</v>
      </c>
      <c r="K284" s="49">
        <f t="shared" si="18"/>
        <v>45383</v>
      </c>
      <c r="M284" t="b">
        <f t="shared" si="19"/>
        <v>1</v>
      </c>
    </row>
    <row r="285" spans="1:13" x14ac:dyDescent="0.3">
      <c r="A285" s="49">
        <v>45597</v>
      </c>
      <c r="D285" t="s">
        <v>7355</v>
      </c>
      <c r="E285">
        <v>1</v>
      </c>
      <c r="F285" t="str">
        <f t="shared" si="17"/>
        <v>sep</v>
      </c>
      <c r="G285">
        <v>20</v>
      </c>
      <c r="H285">
        <v>24</v>
      </c>
      <c r="I285" t="str">
        <f t="shared" si="16"/>
        <v>1-sep-2024</v>
      </c>
      <c r="K285" s="49">
        <f t="shared" si="18"/>
        <v>45536</v>
      </c>
      <c r="M285" t="b">
        <f t="shared" si="19"/>
        <v>1</v>
      </c>
    </row>
    <row r="286" spans="1:13" x14ac:dyDescent="0.3">
      <c r="A286" s="49">
        <v>45597</v>
      </c>
      <c r="D286" t="s">
        <v>7355</v>
      </c>
      <c r="E286">
        <v>1</v>
      </c>
      <c r="F286" t="str">
        <f t="shared" si="17"/>
        <v>sep</v>
      </c>
      <c r="G286">
        <v>20</v>
      </c>
      <c r="H286">
        <v>24</v>
      </c>
      <c r="I286" t="str">
        <f t="shared" si="16"/>
        <v>1-sep-2024</v>
      </c>
      <c r="K286" s="49">
        <f t="shared" si="18"/>
        <v>45536</v>
      </c>
      <c r="M286" t="b">
        <f t="shared" si="19"/>
        <v>1</v>
      </c>
    </row>
    <row r="287" spans="1:13" x14ac:dyDescent="0.3">
      <c r="A287" s="49">
        <v>45597</v>
      </c>
      <c r="D287" t="s">
        <v>7355</v>
      </c>
      <c r="E287">
        <v>1</v>
      </c>
      <c r="F287" t="str">
        <f t="shared" si="17"/>
        <v>sep</v>
      </c>
      <c r="G287">
        <v>20</v>
      </c>
      <c r="H287">
        <v>24</v>
      </c>
      <c r="I287" t="str">
        <f t="shared" si="16"/>
        <v>1-sep-2024</v>
      </c>
      <c r="K287" s="49">
        <f t="shared" si="18"/>
        <v>45536</v>
      </c>
      <c r="M287" t="b">
        <f t="shared" si="19"/>
        <v>1</v>
      </c>
    </row>
    <row r="288" spans="1:13" x14ac:dyDescent="0.3">
      <c r="A288" s="49">
        <v>45597</v>
      </c>
      <c r="D288" t="s">
        <v>7355</v>
      </c>
      <c r="E288">
        <v>1</v>
      </c>
      <c r="F288" t="str">
        <f t="shared" si="17"/>
        <v>sep</v>
      </c>
      <c r="G288">
        <v>20</v>
      </c>
      <c r="H288">
        <v>24</v>
      </c>
      <c r="I288" t="str">
        <f t="shared" si="16"/>
        <v>1-sep-2024</v>
      </c>
      <c r="K288" s="49">
        <f t="shared" si="18"/>
        <v>45536</v>
      </c>
      <c r="M288" t="b">
        <f t="shared" si="19"/>
        <v>1</v>
      </c>
    </row>
    <row r="289" spans="1:13" x14ac:dyDescent="0.3">
      <c r="A289" s="49">
        <v>45597</v>
      </c>
      <c r="D289" t="s">
        <v>7362</v>
      </c>
      <c r="E289">
        <v>1</v>
      </c>
      <c r="F289" t="str">
        <f t="shared" si="17"/>
        <v>ago</v>
      </c>
      <c r="G289">
        <v>20</v>
      </c>
      <c r="H289">
        <v>24</v>
      </c>
      <c r="I289" t="str">
        <f t="shared" si="16"/>
        <v>1-ago-2024</v>
      </c>
      <c r="K289" s="49">
        <f t="shared" si="18"/>
        <v>45505</v>
      </c>
      <c r="M289" t="b">
        <f t="shared" si="19"/>
        <v>1</v>
      </c>
    </row>
    <row r="290" spans="1:13" x14ac:dyDescent="0.3">
      <c r="A290" s="49">
        <v>45597</v>
      </c>
      <c r="D290" t="s">
        <v>7362</v>
      </c>
      <c r="E290">
        <v>1</v>
      </c>
      <c r="F290" t="str">
        <f t="shared" si="17"/>
        <v>ago</v>
      </c>
      <c r="G290">
        <v>20</v>
      </c>
      <c r="H290">
        <v>24</v>
      </c>
      <c r="I290" t="str">
        <f t="shared" si="16"/>
        <v>1-ago-2024</v>
      </c>
      <c r="K290" s="49">
        <f t="shared" si="18"/>
        <v>45505</v>
      </c>
      <c r="M290" t="b">
        <f t="shared" si="19"/>
        <v>1</v>
      </c>
    </row>
    <row r="291" spans="1:13" x14ac:dyDescent="0.3">
      <c r="A291" s="49">
        <v>45597</v>
      </c>
      <c r="D291" t="s">
        <v>7362</v>
      </c>
      <c r="E291">
        <v>1</v>
      </c>
      <c r="F291" t="str">
        <f t="shared" si="17"/>
        <v>ago</v>
      </c>
      <c r="G291">
        <v>20</v>
      </c>
      <c r="H291">
        <v>24</v>
      </c>
      <c r="I291" t="str">
        <f t="shared" si="16"/>
        <v>1-ago-2024</v>
      </c>
      <c r="K291" s="49">
        <f t="shared" si="18"/>
        <v>45505</v>
      </c>
      <c r="M291" t="b">
        <f t="shared" si="19"/>
        <v>1</v>
      </c>
    </row>
    <row r="292" spans="1:13" x14ac:dyDescent="0.3">
      <c r="A292" s="49">
        <v>45597</v>
      </c>
      <c r="D292" t="s">
        <v>7362</v>
      </c>
      <c r="E292">
        <v>1</v>
      </c>
      <c r="F292" t="str">
        <f t="shared" si="17"/>
        <v>ago</v>
      </c>
      <c r="G292">
        <v>20</v>
      </c>
      <c r="H292">
        <v>24</v>
      </c>
      <c r="I292" t="str">
        <f t="shared" si="16"/>
        <v>1-ago-2024</v>
      </c>
      <c r="K292" s="49">
        <f t="shared" si="18"/>
        <v>45505</v>
      </c>
      <c r="M292" t="b">
        <f t="shared" si="19"/>
        <v>1</v>
      </c>
    </row>
    <row r="293" spans="1:13" x14ac:dyDescent="0.3">
      <c r="A293" s="49">
        <v>45597</v>
      </c>
      <c r="D293" t="s">
        <v>7362</v>
      </c>
      <c r="E293">
        <v>1</v>
      </c>
      <c r="F293" t="str">
        <f t="shared" si="17"/>
        <v>ago</v>
      </c>
      <c r="G293">
        <v>20</v>
      </c>
      <c r="H293">
        <v>24</v>
      </c>
      <c r="I293" t="str">
        <f t="shared" si="16"/>
        <v>1-ago-2024</v>
      </c>
      <c r="K293" s="49">
        <f t="shared" si="18"/>
        <v>45505</v>
      </c>
      <c r="M293" t="b">
        <f t="shared" si="19"/>
        <v>1</v>
      </c>
    </row>
    <row r="294" spans="1:13" x14ac:dyDescent="0.3">
      <c r="A294" s="49">
        <v>45597</v>
      </c>
      <c r="D294" t="s">
        <v>7359</v>
      </c>
      <c r="E294">
        <v>1</v>
      </c>
      <c r="F294" t="str">
        <f t="shared" si="17"/>
        <v>jul</v>
      </c>
      <c r="G294">
        <v>20</v>
      </c>
      <c r="H294">
        <v>24</v>
      </c>
      <c r="I294" t="str">
        <f t="shared" si="16"/>
        <v>1-jul-2024</v>
      </c>
      <c r="K294" s="49">
        <f t="shared" si="18"/>
        <v>45474</v>
      </c>
      <c r="M294" t="b">
        <f t="shared" si="19"/>
        <v>1</v>
      </c>
    </row>
    <row r="295" spans="1:13" x14ac:dyDescent="0.3">
      <c r="A295" s="49">
        <v>45597</v>
      </c>
      <c r="D295" t="s">
        <v>7359</v>
      </c>
      <c r="E295">
        <v>1</v>
      </c>
      <c r="F295" t="str">
        <f t="shared" si="17"/>
        <v>jul</v>
      </c>
      <c r="G295">
        <v>20</v>
      </c>
      <c r="H295">
        <v>24</v>
      </c>
      <c r="I295" t="str">
        <f t="shared" si="16"/>
        <v>1-jul-2024</v>
      </c>
      <c r="K295" s="49">
        <f t="shared" si="18"/>
        <v>45474</v>
      </c>
      <c r="M295" t="b">
        <f t="shared" si="19"/>
        <v>1</v>
      </c>
    </row>
    <row r="296" spans="1:13" x14ac:dyDescent="0.3">
      <c r="A296" s="49">
        <v>45597</v>
      </c>
      <c r="D296" t="s">
        <v>7359</v>
      </c>
      <c r="E296">
        <v>1</v>
      </c>
      <c r="F296" t="str">
        <f t="shared" si="17"/>
        <v>jul</v>
      </c>
      <c r="G296">
        <v>20</v>
      </c>
      <c r="H296">
        <v>24</v>
      </c>
      <c r="I296" t="str">
        <f t="shared" si="16"/>
        <v>1-jul-2024</v>
      </c>
      <c r="K296" s="49">
        <f t="shared" si="18"/>
        <v>45474</v>
      </c>
      <c r="M296" t="b">
        <f t="shared" si="19"/>
        <v>1</v>
      </c>
    </row>
    <row r="297" spans="1:13" x14ac:dyDescent="0.3">
      <c r="A297" s="49">
        <v>45597</v>
      </c>
      <c r="D297" t="s">
        <v>7359</v>
      </c>
      <c r="E297">
        <v>1</v>
      </c>
      <c r="F297" t="str">
        <f t="shared" si="17"/>
        <v>jul</v>
      </c>
      <c r="G297">
        <v>20</v>
      </c>
      <c r="H297">
        <v>24</v>
      </c>
      <c r="I297" t="str">
        <f t="shared" si="16"/>
        <v>1-jul-2024</v>
      </c>
      <c r="K297" s="49">
        <f t="shared" si="18"/>
        <v>45474</v>
      </c>
      <c r="M297" t="b">
        <f t="shared" si="19"/>
        <v>1</v>
      </c>
    </row>
    <row r="298" spans="1:13" x14ac:dyDescent="0.3">
      <c r="A298" s="49">
        <v>45597</v>
      </c>
      <c r="D298" t="s">
        <v>7362</v>
      </c>
      <c r="E298">
        <v>1</v>
      </c>
      <c r="F298" t="str">
        <f t="shared" si="17"/>
        <v>ago</v>
      </c>
      <c r="G298">
        <v>20</v>
      </c>
      <c r="H298">
        <v>24</v>
      </c>
      <c r="I298" t="str">
        <f t="shared" si="16"/>
        <v>1-ago-2024</v>
      </c>
      <c r="K298" s="49">
        <f t="shared" si="18"/>
        <v>45505</v>
      </c>
      <c r="M298" t="b">
        <f t="shared" si="19"/>
        <v>1</v>
      </c>
    </row>
    <row r="299" spans="1:13" x14ac:dyDescent="0.3">
      <c r="A299" s="49">
        <v>45597</v>
      </c>
      <c r="D299" t="s">
        <v>7362</v>
      </c>
      <c r="E299">
        <v>1</v>
      </c>
      <c r="F299" t="str">
        <f t="shared" si="17"/>
        <v>ago</v>
      </c>
      <c r="G299">
        <v>20</v>
      </c>
      <c r="H299">
        <v>24</v>
      </c>
      <c r="I299" t="str">
        <f t="shared" si="16"/>
        <v>1-ago-2024</v>
      </c>
      <c r="K299" s="49">
        <f t="shared" si="18"/>
        <v>45505</v>
      </c>
      <c r="M299" t="b">
        <f t="shared" si="19"/>
        <v>1</v>
      </c>
    </row>
    <row r="300" spans="1:13" x14ac:dyDescent="0.3">
      <c r="A300" s="49">
        <v>45597</v>
      </c>
      <c r="D300" t="s">
        <v>7362</v>
      </c>
      <c r="E300">
        <v>1</v>
      </c>
      <c r="F300" t="str">
        <f t="shared" si="17"/>
        <v>ago</v>
      </c>
      <c r="G300">
        <v>20</v>
      </c>
      <c r="H300">
        <v>24</v>
      </c>
      <c r="I300" t="str">
        <f t="shared" si="16"/>
        <v>1-ago-2024</v>
      </c>
      <c r="K300" s="49">
        <f t="shared" si="18"/>
        <v>45505</v>
      </c>
      <c r="M300" t="b">
        <f t="shared" si="19"/>
        <v>1</v>
      </c>
    </row>
    <row r="301" spans="1:13" x14ac:dyDescent="0.3">
      <c r="A301" s="49">
        <v>45597</v>
      </c>
      <c r="D301" t="s">
        <v>7362</v>
      </c>
      <c r="E301">
        <v>1</v>
      </c>
      <c r="F301" t="str">
        <f t="shared" si="17"/>
        <v>ago</v>
      </c>
      <c r="G301">
        <v>20</v>
      </c>
      <c r="H301">
        <v>24</v>
      </c>
      <c r="I301" t="str">
        <f t="shared" si="16"/>
        <v>1-ago-2024</v>
      </c>
      <c r="K301" s="49">
        <f t="shared" si="18"/>
        <v>45505</v>
      </c>
      <c r="M301" t="b">
        <f t="shared" si="19"/>
        <v>1</v>
      </c>
    </row>
    <row r="302" spans="1:13" x14ac:dyDescent="0.3">
      <c r="A302" s="49">
        <v>45597</v>
      </c>
      <c r="D302" t="s">
        <v>7357</v>
      </c>
      <c r="E302">
        <v>1</v>
      </c>
      <c r="F302" t="str">
        <f t="shared" si="17"/>
        <v>oct</v>
      </c>
      <c r="G302">
        <v>20</v>
      </c>
      <c r="H302">
        <v>24</v>
      </c>
      <c r="I302" t="str">
        <f t="shared" si="16"/>
        <v>1-oct-2024</v>
      </c>
      <c r="K302" s="49">
        <f t="shared" si="18"/>
        <v>45566</v>
      </c>
      <c r="M302" t="b">
        <f t="shared" si="19"/>
        <v>1</v>
      </c>
    </row>
    <row r="303" spans="1:13" x14ac:dyDescent="0.3">
      <c r="A303" s="49">
        <v>45597</v>
      </c>
      <c r="D303" t="s">
        <v>7355</v>
      </c>
      <c r="E303">
        <v>1</v>
      </c>
      <c r="F303" t="str">
        <f t="shared" si="17"/>
        <v>sep</v>
      </c>
      <c r="G303">
        <v>20</v>
      </c>
      <c r="H303">
        <v>25</v>
      </c>
      <c r="I303" t="str">
        <f t="shared" si="16"/>
        <v>1-sep-2025</v>
      </c>
      <c r="K303" s="49">
        <f t="shared" si="18"/>
        <v>45901</v>
      </c>
      <c r="M303" t="b">
        <f t="shared" si="19"/>
        <v>0</v>
      </c>
    </row>
    <row r="304" spans="1:13" x14ac:dyDescent="0.3">
      <c r="A304" s="49">
        <v>45597</v>
      </c>
      <c r="D304" t="s">
        <v>7368</v>
      </c>
      <c r="E304">
        <v>1</v>
      </c>
      <c r="F304" t="str">
        <f t="shared" si="17"/>
        <v>mar</v>
      </c>
      <c r="G304">
        <v>20</v>
      </c>
      <c r="H304">
        <v>24</v>
      </c>
      <c r="I304" t="str">
        <f t="shared" si="16"/>
        <v>1-mar-2024</v>
      </c>
      <c r="K304" s="49">
        <f t="shared" si="18"/>
        <v>45352</v>
      </c>
      <c r="M304" t="b">
        <f t="shared" si="19"/>
        <v>1</v>
      </c>
    </row>
    <row r="305" spans="1:13" x14ac:dyDescent="0.3">
      <c r="A305" s="49">
        <v>45597</v>
      </c>
      <c r="D305" t="s">
        <v>7366</v>
      </c>
      <c r="E305">
        <v>1</v>
      </c>
      <c r="F305" t="str">
        <f t="shared" si="17"/>
        <v>dic</v>
      </c>
      <c r="G305">
        <v>20</v>
      </c>
      <c r="H305">
        <v>24</v>
      </c>
      <c r="I305" t="str">
        <f t="shared" si="16"/>
        <v>1-dic-2024</v>
      </c>
      <c r="K305" s="49">
        <f t="shared" si="18"/>
        <v>45627</v>
      </c>
      <c r="M305" t="b">
        <f t="shared" si="19"/>
        <v>0</v>
      </c>
    </row>
    <row r="306" spans="1:13" x14ac:dyDescent="0.3">
      <c r="A306" s="49">
        <v>45597</v>
      </c>
      <c r="D306" t="s">
        <v>7356</v>
      </c>
      <c r="E306">
        <v>1</v>
      </c>
      <c r="F306" t="str">
        <f t="shared" si="17"/>
        <v>ene</v>
      </c>
      <c r="G306">
        <v>20</v>
      </c>
      <c r="H306">
        <v>23</v>
      </c>
      <c r="I306" t="str">
        <f t="shared" si="16"/>
        <v>1-ene-2023</v>
      </c>
      <c r="K306" s="49">
        <f t="shared" si="18"/>
        <v>44927</v>
      </c>
      <c r="M306" t="b">
        <f t="shared" si="19"/>
        <v>1</v>
      </c>
    </row>
    <row r="307" spans="1:13" x14ac:dyDescent="0.3">
      <c r="A307" s="49">
        <v>45597</v>
      </c>
      <c r="D307" t="s">
        <v>7356</v>
      </c>
      <c r="E307">
        <v>1</v>
      </c>
      <c r="F307" t="str">
        <f t="shared" si="17"/>
        <v>ene</v>
      </c>
      <c r="G307">
        <v>20</v>
      </c>
      <c r="H307">
        <v>26</v>
      </c>
      <c r="I307" t="str">
        <f t="shared" si="16"/>
        <v>1-ene-2026</v>
      </c>
      <c r="K307" s="49">
        <f t="shared" si="18"/>
        <v>46023</v>
      </c>
      <c r="M307" t="b">
        <f t="shared" si="19"/>
        <v>0</v>
      </c>
    </row>
    <row r="308" spans="1:13" x14ac:dyDescent="0.3">
      <c r="A308" s="49">
        <v>45597</v>
      </c>
      <c r="D308" t="s">
        <v>7367</v>
      </c>
      <c r="E308">
        <v>1</v>
      </c>
      <c r="F308" t="str">
        <f t="shared" si="17"/>
        <v>jun</v>
      </c>
      <c r="G308">
        <v>20</v>
      </c>
      <c r="H308">
        <v>24</v>
      </c>
      <c r="I308" t="str">
        <f t="shared" si="16"/>
        <v>1-jun-2024</v>
      </c>
      <c r="K308" s="49">
        <f t="shared" si="18"/>
        <v>45444</v>
      </c>
      <c r="M308" t="b">
        <f t="shared" si="19"/>
        <v>1</v>
      </c>
    </row>
    <row r="309" spans="1:13" x14ac:dyDescent="0.3">
      <c r="A309" s="49">
        <v>45597</v>
      </c>
      <c r="D309" t="s">
        <v>7368</v>
      </c>
      <c r="E309">
        <v>1</v>
      </c>
      <c r="F309" t="str">
        <f t="shared" si="17"/>
        <v>mar</v>
      </c>
      <c r="G309">
        <v>20</v>
      </c>
      <c r="H309">
        <v>26</v>
      </c>
      <c r="I309" t="str">
        <f t="shared" si="16"/>
        <v>1-mar-2026</v>
      </c>
      <c r="K309" s="49">
        <f t="shared" si="18"/>
        <v>46082</v>
      </c>
      <c r="M309" t="b">
        <f t="shared" si="19"/>
        <v>0</v>
      </c>
    </row>
    <row r="310" spans="1:13" x14ac:dyDescent="0.3">
      <c r="A310" s="49">
        <v>45597</v>
      </c>
      <c r="D310" t="s">
        <v>7356</v>
      </c>
      <c r="E310">
        <v>1</v>
      </c>
      <c r="F310" t="str">
        <f t="shared" si="17"/>
        <v>ene</v>
      </c>
      <c r="G310">
        <v>20</v>
      </c>
      <c r="H310">
        <v>26</v>
      </c>
      <c r="I310" t="str">
        <f t="shared" si="16"/>
        <v>1-ene-2026</v>
      </c>
      <c r="K310" s="49">
        <f t="shared" si="18"/>
        <v>46023</v>
      </c>
      <c r="M310" t="b">
        <f t="shared" si="19"/>
        <v>0</v>
      </c>
    </row>
    <row r="311" spans="1:13" x14ac:dyDescent="0.3">
      <c r="A311" s="49">
        <v>45597</v>
      </c>
      <c r="D311" t="s">
        <v>7360</v>
      </c>
      <c r="E311">
        <v>1</v>
      </c>
      <c r="F311" t="str">
        <f t="shared" si="17"/>
        <v>nov</v>
      </c>
      <c r="G311">
        <v>20</v>
      </c>
      <c r="H311">
        <v>26</v>
      </c>
      <c r="I311" t="str">
        <f t="shared" si="16"/>
        <v>1-nov-2026</v>
      </c>
      <c r="K311" s="49">
        <f t="shared" si="18"/>
        <v>46327</v>
      </c>
      <c r="M311" t="b">
        <f t="shared" si="19"/>
        <v>0</v>
      </c>
    </row>
    <row r="312" spans="1:13" x14ac:dyDescent="0.3">
      <c r="A312" s="49">
        <v>45597</v>
      </c>
      <c r="D312" t="s">
        <v>7362</v>
      </c>
      <c r="E312">
        <v>1</v>
      </c>
      <c r="F312" t="str">
        <f t="shared" si="17"/>
        <v>ago</v>
      </c>
      <c r="G312">
        <v>20</v>
      </c>
      <c r="H312">
        <v>24</v>
      </c>
      <c r="I312" t="str">
        <f t="shared" si="16"/>
        <v>1-ago-2024</v>
      </c>
      <c r="K312" s="49">
        <f t="shared" si="18"/>
        <v>45505</v>
      </c>
      <c r="M312" t="b">
        <f t="shared" si="19"/>
        <v>1</v>
      </c>
    </row>
    <row r="313" spans="1:13" x14ac:dyDescent="0.3">
      <c r="A313" s="49">
        <v>45597</v>
      </c>
      <c r="D313" t="s">
        <v>7357</v>
      </c>
      <c r="E313">
        <v>1</v>
      </c>
      <c r="F313" t="str">
        <f t="shared" si="17"/>
        <v>oct</v>
      </c>
      <c r="G313">
        <v>20</v>
      </c>
      <c r="H313">
        <v>26</v>
      </c>
      <c r="I313" t="str">
        <f t="shared" si="16"/>
        <v>1-oct-2026</v>
      </c>
      <c r="K313" s="49">
        <f t="shared" si="18"/>
        <v>46296</v>
      </c>
      <c r="M313" t="b">
        <f t="shared" si="19"/>
        <v>0</v>
      </c>
    </row>
    <row r="314" spans="1:13" x14ac:dyDescent="0.3">
      <c r="A314" s="49">
        <v>45597</v>
      </c>
      <c r="D314" t="s">
        <v>7356</v>
      </c>
      <c r="E314">
        <v>1</v>
      </c>
      <c r="F314" t="str">
        <f t="shared" si="17"/>
        <v>ene</v>
      </c>
      <c r="G314">
        <v>20</v>
      </c>
      <c r="H314">
        <v>24</v>
      </c>
      <c r="I314" t="str">
        <f t="shared" si="16"/>
        <v>1-ene-2024</v>
      </c>
      <c r="K314" s="49">
        <f t="shared" si="18"/>
        <v>45292</v>
      </c>
      <c r="M314" t="b">
        <f t="shared" si="19"/>
        <v>1</v>
      </c>
    </row>
    <row r="315" spans="1:13" x14ac:dyDescent="0.3">
      <c r="A315" s="49">
        <v>45597</v>
      </c>
      <c r="D315" t="s">
        <v>7366</v>
      </c>
      <c r="E315">
        <v>1</v>
      </c>
      <c r="F315" t="str">
        <f t="shared" si="17"/>
        <v>dic</v>
      </c>
      <c r="G315">
        <v>20</v>
      </c>
      <c r="H315">
        <v>25</v>
      </c>
      <c r="I315" t="str">
        <f t="shared" si="16"/>
        <v>1-dic-2025</v>
      </c>
      <c r="K315" s="49">
        <f t="shared" si="18"/>
        <v>45992</v>
      </c>
      <c r="M315" t="b">
        <f t="shared" si="19"/>
        <v>0</v>
      </c>
    </row>
    <row r="316" spans="1:13" x14ac:dyDescent="0.3">
      <c r="A316" s="49">
        <v>45597</v>
      </c>
      <c r="D316" t="s">
        <v>7356</v>
      </c>
      <c r="E316">
        <v>1</v>
      </c>
      <c r="F316" t="str">
        <f t="shared" si="17"/>
        <v>ene</v>
      </c>
      <c r="G316">
        <v>20</v>
      </c>
      <c r="H316">
        <v>26</v>
      </c>
      <c r="I316" t="str">
        <f t="shared" si="16"/>
        <v>1-ene-2026</v>
      </c>
      <c r="K316" s="49">
        <f t="shared" si="18"/>
        <v>46023</v>
      </c>
      <c r="M316" t="b">
        <f t="shared" si="19"/>
        <v>0</v>
      </c>
    </row>
    <row r="317" spans="1:13" x14ac:dyDescent="0.3">
      <c r="A317" s="49">
        <v>45597</v>
      </c>
      <c r="D317" t="s">
        <v>7356</v>
      </c>
      <c r="E317">
        <v>1</v>
      </c>
      <c r="F317" t="str">
        <f t="shared" si="17"/>
        <v>ene</v>
      </c>
      <c r="G317">
        <v>20</v>
      </c>
      <c r="H317">
        <v>26</v>
      </c>
      <c r="I317" t="str">
        <f t="shared" si="16"/>
        <v>1-ene-2026</v>
      </c>
      <c r="K317" s="49">
        <f t="shared" si="18"/>
        <v>46023</v>
      </c>
      <c r="M317" t="b">
        <f t="shared" si="19"/>
        <v>0</v>
      </c>
    </row>
    <row r="318" spans="1:13" x14ac:dyDescent="0.3">
      <c r="A318" s="49">
        <v>45597</v>
      </c>
      <c r="D318" t="s">
        <v>7356</v>
      </c>
      <c r="E318">
        <v>1</v>
      </c>
      <c r="F318" t="str">
        <f t="shared" si="17"/>
        <v>ene</v>
      </c>
      <c r="G318">
        <v>20</v>
      </c>
      <c r="H318">
        <v>26</v>
      </c>
      <c r="I318" t="str">
        <f t="shared" si="16"/>
        <v>1-ene-2026</v>
      </c>
      <c r="K318" s="49">
        <f t="shared" si="18"/>
        <v>46023</v>
      </c>
      <c r="M318" t="b">
        <f t="shared" si="19"/>
        <v>0</v>
      </c>
    </row>
    <row r="319" spans="1:13" x14ac:dyDescent="0.3">
      <c r="A319" s="49">
        <v>45597</v>
      </c>
      <c r="D319" t="s">
        <v>7360</v>
      </c>
      <c r="E319">
        <v>1</v>
      </c>
      <c r="F319" t="str">
        <f t="shared" si="17"/>
        <v>nov</v>
      </c>
      <c r="G319">
        <v>20</v>
      </c>
      <c r="H319">
        <v>25</v>
      </c>
      <c r="I319" t="str">
        <f t="shared" si="16"/>
        <v>1-nov-2025</v>
      </c>
      <c r="K319" s="49">
        <f t="shared" si="18"/>
        <v>45962</v>
      </c>
      <c r="M319" t="b">
        <f t="shared" si="19"/>
        <v>0</v>
      </c>
    </row>
    <row r="320" spans="1:13" x14ac:dyDescent="0.3">
      <c r="A320" s="49">
        <v>45597</v>
      </c>
      <c r="D320" t="s">
        <v>7368</v>
      </c>
      <c r="E320">
        <v>1</v>
      </c>
      <c r="F320" t="str">
        <f t="shared" si="17"/>
        <v>mar</v>
      </c>
      <c r="G320">
        <v>20</v>
      </c>
      <c r="H320">
        <v>21</v>
      </c>
      <c r="I320" t="str">
        <f t="shared" si="16"/>
        <v>1-mar-2021</v>
      </c>
      <c r="K320" s="49">
        <f t="shared" si="18"/>
        <v>44256</v>
      </c>
      <c r="M320" t="b">
        <f t="shared" si="19"/>
        <v>1</v>
      </c>
    </row>
    <row r="321" spans="1:13" x14ac:dyDescent="0.3">
      <c r="A321" s="49">
        <v>45597</v>
      </c>
      <c r="D321" t="s">
        <v>7359</v>
      </c>
      <c r="E321">
        <v>1</v>
      </c>
      <c r="F321" t="str">
        <f t="shared" si="17"/>
        <v>jul</v>
      </c>
      <c r="G321">
        <v>20</v>
      </c>
      <c r="H321">
        <v>23</v>
      </c>
      <c r="I321" t="str">
        <f t="shared" ref="I321:I384" si="20">_xlfn.CONCAT(E321,"-",F321,"-",G321,H321)</f>
        <v>1-jul-2023</v>
      </c>
      <c r="K321" s="49">
        <f t="shared" si="18"/>
        <v>45108</v>
      </c>
      <c r="M321" t="b">
        <f t="shared" si="19"/>
        <v>1</v>
      </c>
    </row>
    <row r="322" spans="1:13" x14ac:dyDescent="0.3">
      <c r="A322" s="49">
        <v>45597</v>
      </c>
      <c r="D322" t="s">
        <v>7368</v>
      </c>
      <c r="E322">
        <v>1</v>
      </c>
      <c r="F322" t="str">
        <f t="shared" ref="F322:F385" si="21">LOWER(D322)</f>
        <v>mar</v>
      </c>
      <c r="G322">
        <v>20</v>
      </c>
      <c r="H322">
        <v>24</v>
      </c>
      <c r="I322" t="str">
        <f t="shared" si="20"/>
        <v>1-mar-2024</v>
      </c>
      <c r="K322" s="49">
        <f t="shared" ref="K322:K385" si="22">DATEVALUE(I322)</f>
        <v>45352</v>
      </c>
      <c r="M322" t="b">
        <f t="shared" si="19"/>
        <v>1</v>
      </c>
    </row>
    <row r="323" spans="1:13" x14ac:dyDescent="0.3">
      <c r="A323" s="49">
        <v>45597</v>
      </c>
      <c r="D323" t="s">
        <v>7357</v>
      </c>
      <c r="E323">
        <v>1</v>
      </c>
      <c r="F323" t="str">
        <f t="shared" si="21"/>
        <v>oct</v>
      </c>
      <c r="G323">
        <v>20</v>
      </c>
      <c r="H323">
        <v>20</v>
      </c>
      <c r="I323" t="str">
        <f t="shared" si="20"/>
        <v>1-oct-2020</v>
      </c>
      <c r="K323" s="49">
        <f t="shared" si="22"/>
        <v>44105</v>
      </c>
      <c r="M323" t="b">
        <f t="shared" ref="M323:M386" si="23">K323&lt;A323</f>
        <v>1</v>
      </c>
    </row>
    <row r="324" spans="1:13" x14ac:dyDescent="0.3">
      <c r="A324" s="49">
        <v>45597</v>
      </c>
      <c r="D324" t="s">
        <v>7363</v>
      </c>
      <c r="E324">
        <v>1</v>
      </c>
      <c r="F324" t="str">
        <f t="shared" si="21"/>
        <v>feb</v>
      </c>
      <c r="G324">
        <v>20</v>
      </c>
      <c r="H324">
        <v>20</v>
      </c>
      <c r="I324" t="str">
        <f t="shared" si="20"/>
        <v>1-feb-2020</v>
      </c>
      <c r="K324" s="49">
        <f t="shared" si="22"/>
        <v>43862</v>
      </c>
      <c r="M324" t="b">
        <f t="shared" si="23"/>
        <v>1</v>
      </c>
    </row>
    <row r="325" spans="1:13" x14ac:dyDescent="0.3">
      <c r="A325" s="49">
        <v>45597</v>
      </c>
      <c r="D325" t="s">
        <v>7370</v>
      </c>
      <c r="E325">
        <v>1</v>
      </c>
      <c r="F325" t="str">
        <f t="shared" si="21"/>
        <v>may</v>
      </c>
      <c r="G325">
        <v>20</v>
      </c>
      <c r="H325">
        <v>23</v>
      </c>
      <c r="I325" t="str">
        <f t="shared" si="20"/>
        <v>1-may-2023</v>
      </c>
      <c r="K325" s="49">
        <f t="shared" si="22"/>
        <v>45047</v>
      </c>
      <c r="M325" t="b">
        <f t="shared" si="23"/>
        <v>1</v>
      </c>
    </row>
    <row r="326" spans="1:13" x14ac:dyDescent="0.3">
      <c r="A326" s="49">
        <v>45597</v>
      </c>
      <c r="D326" t="s">
        <v>7362</v>
      </c>
      <c r="E326">
        <v>1</v>
      </c>
      <c r="F326" t="str">
        <f t="shared" si="21"/>
        <v>ago</v>
      </c>
      <c r="G326">
        <v>20</v>
      </c>
      <c r="H326">
        <v>24</v>
      </c>
      <c r="I326" t="str">
        <f t="shared" si="20"/>
        <v>1-ago-2024</v>
      </c>
      <c r="K326" s="49">
        <f t="shared" si="22"/>
        <v>45505</v>
      </c>
      <c r="M326" t="b">
        <f t="shared" si="23"/>
        <v>1</v>
      </c>
    </row>
    <row r="327" spans="1:13" x14ac:dyDescent="0.3">
      <c r="A327" s="49">
        <v>45597</v>
      </c>
      <c r="D327" t="s">
        <v>7357</v>
      </c>
      <c r="E327">
        <v>1</v>
      </c>
      <c r="F327" t="str">
        <f t="shared" si="21"/>
        <v>oct</v>
      </c>
      <c r="G327">
        <v>20</v>
      </c>
      <c r="H327">
        <v>20</v>
      </c>
      <c r="I327" t="str">
        <f t="shared" si="20"/>
        <v>1-oct-2020</v>
      </c>
      <c r="K327" s="49">
        <f t="shared" si="22"/>
        <v>44105</v>
      </c>
      <c r="M327" t="b">
        <f t="shared" si="23"/>
        <v>1</v>
      </c>
    </row>
    <row r="328" spans="1:13" x14ac:dyDescent="0.3">
      <c r="A328" s="49">
        <v>45597</v>
      </c>
      <c r="D328" t="s">
        <v>7368</v>
      </c>
      <c r="E328">
        <v>1</v>
      </c>
      <c r="F328" t="str">
        <f t="shared" si="21"/>
        <v>mar</v>
      </c>
      <c r="G328">
        <v>20</v>
      </c>
      <c r="H328">
        <v>24</v>
      </c>
      <c r="I328" t="str">
        <f t="shared" si="20"/>
        <v>1-mar-2024</v>
      </c>
      <c r="K328" s="49">
        <f t="shared" si="22"/>
        <v>45352</v>
      </c>
      <c r="M328" t="b">
        <f t="shared" si="23"/>
        <v>1</v>
      </c>
    </row>
    <row r="329" spans="1:13" x14ac:dyDescent="0.3">
      <c r="A329" s="49">
        <v>45597</v>
      </c>
      <c r="D329" t="s">
        <v>7359</v>
      </c>
      <c r="E329">
        <v>1</v>
      </c>
      <c r="F329" t="str">
        <f t="shared" si="21"/>
        <v>jul</v>
      </c>
      <c r="G329">
        <v>20</v>
      </c>
      <c r="H329">
        <v>22</v>
      </c>
      <c r="I329" t="str">
        <f t="shared" si="20"/>
        <v>1-jul-2022</v>
      </c>
      <c r="K329" s="49">
        <f t="shared" si="22"/>
        <v>44743</v>
      </c>
      <c r="M329" t="b">
        <f t="shared" si="23"/>
        <v>1</v>
      </c>
    </row>
    <row r="330" spans="1:13" x14ac:dyDescent="0.3">
      <c r="A330" s="49">
        <v>45597</v>
      </c>
      <c r="D330" t="s">
        <v>7360</v>
      </c>
      <c r="E330">
        <v>1</v>
      </c>
      <c r="F330" t="str">
        <f t="shared" si="21"/>
        <v>nov</v>
      </c>
      <c r="G330">
        <v>20</v>
      </c>
      <c r="H330">
        <v>23</v>
      </c>
      <c r="I330" t="str">
        <f t="shared" si="20"/>
        <v>1-nov-2023</v>
      </c>
      <c r="K330" s="49">
        <f t="shared" si="22"/>
        <v>45231</v>
      </c>
      <c r="M330" t="b">
        <f t="shared" si="23"/>
        <v>1</v>
      </c>
    </row>
    <row r="331" spans="1:13" x14ac:dyDescent="0.3">
      <c r="A331" s="49">
        <v>45597</v>
      </c>
      <c r="D331" t="s">
        <v>7360</v>
      </c>
      <c r="E331">
        <v>1</v>
      </c>
      <c r="F331" t="str">
        <f t="shared" si="21"/>
        <v>nov</v>
      </c>
      <c r="G331">
        <v>20</v>
      </c>
      <c r="H331">
        <v>24</v>
      </c>
      <c r="I331" t="str">
        <f t="shared" si="20"/>
        <v>1-nov-2024</v>
      </c>
      <c r="K331" s="49">
        <f t="shared" si="22"/>
        <v>45597</v>
      </c>
      <c r="M331" t="b">
        <f t="shared" si="23"/>
        <v>0</v>
      </c>
    </row>
    <row r="332" spans="1:13" x14ac:dyDescent="0.3">
      <c r="A332" s="49">
        <v>45597</v>
      </c>
      <c r="D332" t="s">
        <v>7357</v>
      </c>
      <c r="E332">
        <v>1</v>
      </c>
      <c r="F332" t="str">
        <f t="shared" si="21"/>
        <v>oct</v>
      </c>
      <c r="G332">
        <v>20</v>
      </c>
      <c r="H332">
        <v>23</v>
      </c>
      <c r="I332" t="str">
        <f t="shared" si="20"/>
        <v>1-oct-2023</v>
      </c>
      <c r="K332" s="49">
        <f t="shared" si="22"/>
        <v>45200</v>
      </c>
      <c r="M332" t="b">
        <f t="shared" si="23"/>
        <v>1</v>
      </c>
    </row>
    <row r="333" spans="1:13" x14ac:dyDescent="0.3">
      <c r="A333" s="49">
        <v>45597</v>
      </c>
      <c r="D333" t="s">
        <v>7368</v>
      </c>
      <c r="E333">
        <v>1</v>
      </c>
      <c r="F333" t="str">
        <f t="shared" si="21"/>
        <v>mar</v>
      </c>
      <c r="G333">
        <v>20</v>
      </c>
      <c r="H333">
        <v>24</v>
      </c>
      <c r="I333" t="str">
        <f t="shared" si="20"/>
        <v>1-mar-2024</v>
      </c>
      <c r="K333" s="49">
        <f t="shared" si="22"/>
        <v>45352</v>
      </c>
      <c r="M333" t="b">
        <f t="shared" si="23"/>
        <v>1</v>
      </c>
    </row>
    <row r="334" spans="1:13" x14ac:dyDescent="0.3">
      <c r="A334" s="49">
        <v>45597</v>
      </c>
      <c r="D334" t="s">
        <v>7368</v>
      </c>
      <c r="E334">
        <v>1</v>
      </c>
      <c r="F334" t="str">
        <f t="shared" si="21"/>
        <v>mar</v>
      </c>
      <c r="G334">
        <v>20</v>
      </c>
      <c r="H334">
        <v>24</v>
      </c>
      <c r="I334" t="str">
        <f t="shared" si="20"/>
        <v>1-mar-2024</v>
      </c>
      <c r="K334" s="49">
        <f t="shared" si="22"/>
        <v>45352</v>
      </c>
      <c r="M334" t="b">
        <f t="shared" si="23"/>
        <v>1</v>
      </c>
    </row>
    <row r="335" spans="1:13" x14ac:dyDescent="0.3">
      <c r="A335" s="49">
        <v>45597</v>
      </c>
      <c r="D335" t="s">
        <v>7362</v>
      </c>
      <c r="E335">
        <v>1</v>
      </c>
      <c r="F335" t="str">
        <f t="shared" si="21"/>
        <v>ago</v>
      </c>
      <c r="G335">
        <v>20</v>
      </c>
      <c r="H335">
        <v>23</v>
      </c>
      <c r="I335" t="str">
        <f t="shared" si="20"/>
        <v>1-ago-2023</v>
      </c>
      <c r="K335" s="49">
        <f t="shared" si="22"/>
        <v>45139</v>
      </c>
      <c r="M335" t="b">
        <f t="shared" si="23"/>
        <v>1</v>
      </c>
    </row>
    <row r="336" spans="1:13" x14ac:dyDescent="0.3">
      <c r="A336" s="49">
        <v>45597</v>
      </c>
      <c r="D336" t="s">
        <v>7370</v>
      </c>
      <c r="E336">
        <v>1</v>
      </c>
      <c r="F336" t="str">
        <f t="shared" si="21"/>
        <v>may</v>
      </c>
      <c r="G336">
        <v>20</v>
      </c>
      <c r="H336">
        <v>24</v>
      </c>
      <c r="I336" t="str">
        <f t="shared" si="20"/>
        <v>1-may-2024</v>
      </c>
      <c r="K336" s="49">
        <f t="shared" si="22"/>
        <v>45413</v>
      </c>
      <c r="M336" t="b">
        <f t="shared" si="23"/>
        <v>1</v>
      </c>
    </row>
    <row r="337" spans="1:13" x14ac:dyDescent="0.3">
      <c r="A337" s="49">
        <v>45597</v>
      </c>
      <c r="D337" t="s">
        <v>7363</v>
      </c>
      <c r="E337">
        <v>1</v>
      </c>
      <c r="F337" t="str">
        <f t="shared" si="21"/>
        <v>feb</v>
      </c>
      <c r="G337">
        <v>20</v>
      </c>
      <c r="H337">
        <v>24</v>
      </c>
      <c r="I337" t="str">
        <f t="shared" si="20"/>
        <v>1-feb-2024</v>
      </c>
      <c r="K337" s="49">
        <f t="shared" si="22"/>
        <v>45323</v>
      </c>
      <c r="M337" t="b">
        <f t="shared" si="23"/>
        <v>1</v>
      </c>
    </row>
    <row r="338" spans="1:13" x14ac:dyDescent="0.3">
      <c r="A338" s="49">
        <v>45597</v>
      </c>
      <c r="D338" t="s">
        <v>7369</v>
      </c>
      <c r="E338">
        <v>1</v>
      </c>
      <c r="F338" t="str">
        <f t="shared" si="21"/>
        <v>abr</v>
      </c>
      <c r="G338">
        <v>20</v>
      </c>
      <c r="H338">
        <v>21</v>
      </c>
      <c r="I338" t="str">
        <f t="shared" si="20"/>
        <v>1-abr-2021</v>
      </c>
      <c r="K338" s="49">
        <f t="shared" si="22"/>
        <v>44287</v>
      </c>
      <c r="M338" t="b">
        <f t="shared" si="23"/>
        <v>1</v>
      </c>
    </row>
    <row r="339" spans="1:13" x14ac:dyDescent="0.3">
      <c r="A339" s="49">
        <v>45597</v>
      </c>
      <c r="D339" t="s">
        <v>7367</v>
      </c>
      <c r="E339">
        <v>1</v>
      </c>
      <c r="F339" t="str">
        <f t="shared" si="21"/>
        <v>jun</v>
      </c>
      <c r="G339">
        <v>20</v>
      </c>
      <c r="H339">
        <v>24</v>
      </c>
      <c r="I339" t="str">
        <f t="shared" si="20"/>
        <v>1-jun-2024</v>
      </c>
      <c r="K339" s="49">
        <f t="shared" si="22"/>
        <v>45444</v>
      </c>
      <c r="M339" t="b">
        <f t="shared" si="23"/>
        <v>1</v>
      </c>
    </row>
    <row r="340" spans="1:13" x14ac:dyDescent="0.3">
      <c r="A340" s="49">
        <v>45566</v>
      </c>
      <c r="D340" t="s">
        <v>7362</v>
      </c>
      <c r="E340">
        <v>1</v>
      </c>
      <c r="F340" t="str">
        <f t="shared" si="21"/>
        <v>ago</v>
      </c>
      <c r="G340">
        <v>20</v>
      </c>
      <c r="H340">
        <v>24</v>
      </c>
      <c r="I340" t="str">
        <f t="shared" si="20"/>
        <v>1-ago-2024</v>
      </c>
      <c r="K340" s="49">
        <f t="shared" si="22"/>
        <v>45505</v>
      </c>
      <c r="M340" t="b">
        <f t="shared" si="23"/>
        <v>1</v>
      </c>
    </row>
    <row r="341" spans="1:13" x14ac:dyDescent="0.3">
      <c r="A341" s="49">
        <v>45566</v>
      </c>
      <c r="D341" t="s">
        <v>7367</v>
      </c>
      <c r="E341">
        <v>1</v>
      </c>
      <c r="F341" t="str">
        <f t="shared" si="21"/>
        <v>jun</v>
      </c>
      <c r="G341">
        <v>20</v>
      </c>
      <c r="H341">
        <v>24</v>
      </c>
      <c r="I341" t="str">
        <f t="shared" si="20"/>
        <v>1-jun-2024</v>
      </c>
      <c r="K341" s="49">
        <f t="shared" si="22"/>
        <v>45444</v>
      </c>
      <c r="M341" t="b">
        <f t="shared" si="23"/>
        <v>1</v>
      </c>
    </row>
    <row r="342" spans="1:13" x14ac:dyDescent="0.3">
      <c r="A342" s="49">
        <v>45566</v>
      </c>
      <c r="D342" t="s">
        <v>7367</v>
      </c>
      <c r="E342">
        <v>1</v>
      </c>
      <c r="F342" t="str">
        <f t="shared" si="21"/>
        <v>jun</v>
      </c>
      <c r="G342">
        <v>20</v>
      </c>
      <c r="H342">
        <v>24</v>
      </c>
      <c r="I342" t="str">
        <f t="shared" si="20"/>
        <v>1-jun-2024</v>
      </c>
      <c r="K342" s="49">
        <f t="shared" si="22"/>
        <v>45444</v>
      </c>
      <c r="M342" t="b">
        <f t="shared" si="23"/>
        <v>1</v>
      </c>
    </row>
    <row r="343" spans="1:13" x14ac:dyDescent="0.3">
      <c r="A343" s="49">
        <v>45566</v>
      </c>
      <c r="D343" t="s">
        <v>7362</v>
      </c>
      <c r="E343">
        <v>1</v>
      </c>
      <c r="F343" t="str">
        <f t="shared" si="21"/>
        <v>ago</v>
      </c>
      <c r="G343">
        <v>20</v>
      </c>
      <c r="H343">
        <v>24</v>
      </c>
      <c r="I343" t="str">
        <f t="shared" si="20"/>
        <v>1-ago-2024</v>
      </c>
      <c r="K343" s="49">
        <f t="shared" si="22"/>
        <v>45505</v>
      </c>
      <c r="M343" t="b">
        <f t="shared" si="23"/>
        <v>1</v>
      </c>
    </row>
    <row r="344" spans="1:13" x14ac:dyDescent="0.3">
      <c r="A344" s="49">
        <v>45566</v>
      </c>
      <c r="D344" t="s">
        <v>7362</v>
      </c>
      <c r="E344">
        <v>1</v>
      </c>
      <c r="F344" t="str">
        <f t="shared" si="21"/>
        <v>ago</v>
      </c>
      <c r="G344">
        <v>20</v>
      </c>
      <c r="H344">
        <v>24</v>
      </c>
      <c r="I344" t="str">
        <f t="shared" si="20"/>
        <v>1-ago-2024</v>
      </c>
      <c r="K344" s="49">
        <f t="shared" si="22"/>
        <v>45505</v>
      </c>
      <c r="M344" t="b">
        <f t="shared" si="23"/>
        <v>1</v>
      </c>
    </row>
    <row r="345" spans="1:13" x14ac:dyDescent="0.3">
      <c r="A345" s="49">
        <v>45566</v>
      </c>
      <c r="D345" t="s">
        <v>7362</v>
      </c>
      <c r="E345">
        <v>1</v>
      </c>
      <c r="F345" t="str">
        <f t="shared" si="21"/>
        <v>ago</v>
      </c>
      <c r="G345">
        <v>20</v>
      </c>
      <c r="H345">
        <v>24</v>
      </c>
      <c r="I345" t="str">
        <f t="shared" si="20"/>
        <v>1-ago-2024</v>
      </c>
      <c r="K345" s="49">
        <f t="shared" si="22"/>
        <v>45505</v>
      </c>
      <c r="M345" t="b">
        <f t="shared" si="23"/>
        <v>1</v>
      </c>
    </row>
    <row r="346" spans="1:13" x14ac:dyDescent="0.3">
      <c r="A346" s="49">
        <v>45566</v>
      </c>
      <c r="D346" t="s">
        <v>7363</v>
      </c>
      <c r="E346">
        <v>1</v>
      </c>
      <c r="F346" t="str">
        <f t="shared" si="21"/>
        <v>feb</v>
      </c>
      <c r="G346">
        <v>20</v>
      </c>
      <c r="H346">
        <v>24</v>
      </c>
      <c r="I346" t="str">
        <f t="shared" si="20"/>
        <v>1-feb-2024</v>
      </c>
      <c r="K346" s="49">
        <f t="shared" si="22"/>
        <v>45323</v>
      </c>
      <c r="M346" t="b">
        <f t="shared" si="23"/>
        <v>1</v>
      </c>
    </row>
    <row r="347" spans="1:13" x14ac:dyDescent="0.3">
      <c r="A347" s="49">
        <v>45566</v>
      </c>
      <c r="D347" t="s">
        <v>7355</v>
      </c>
      <c r="E347">
        <v>1</v>
      </c>
      <c r="F347" t="str">
        <f t="shared" si="21"/>
        <v>sep</v>
      </c>
      <c r="G347">
        <v>20</v>
      </c>
      <c r="H347">
        <v>23</v>
      </c>
      <c r="I347" t="str">
        <f t="shared" si="20"/>
        <v>1-sep-2023</v>
      </c>
      <c r="K347" s="49">
        <f t="shared" si="22"/>
        <v>45170</v>
      </c>
      <c r="M347" t="b">
        <f t="shared" si="23"/>
        <v>1</v>
      </c>
    </row>
    <row r="348" spans="1:13" x14ac:dyDescent="0.3">
      <c r="A348" s="49">
        <v>45566</v>
      </c>
      <c r="D348" t="s">
        <v>7359</v>
      </c>
      <c r="E348">
        <v>1</v>
      </c>
      <c r="F348" t="str">
        <f t="shared" si="21"/>
        <v>jul</v>
      </c>
      <c r="G348">
        <v>20</v>
      </c>
      <c r="H348">
        <v>24</v>
      </c>
      <c r="I348" t="str">
        <f t="shared" si="20"/>
        <v>1-jul-2024</v>
      </c>
      <c r="K348" s="49">
        <f t="shared" si="22"/>
        <v>45474</v>
      </c>
      <c r="M348" t="b">
        <f t="shared" si="23"/>
        <v>1</v>
      </c>
    </row>
    <row r="349" spans="1:13" x14ac:dyDescent="0.3">
      <c r="A349" s="49">
        <v>45566</v>
      </c>
      <c r="D349" t="s">
        <v>7362</v>
      </c>
      <c r="E349">
        <v>1</v>
      </c>
      <c r="F349" t="str">
        <f t="shared" si="21"/>
        <v>ago</v>
      </c>
      <c r="G349">
        <v>20</v>
      </c>
      <c r="H349">
        <v>24</v>
      </c>
      <c r="I349" t="str">
        <f t="shared" si="20"/>
        <v>1-ago-2024</v>
      </c>
      <c r="K349" s="49">
        <f t="shared" si="22"/>
        <v>45505</v>
      </c>
      <c r="M349" t="b">
        <f t="shared" si="23"/>
        <v>1</v>
      </c>
    </row>
    <row r="350" spans="1:13" x14ac:dyDescent="0.3">
      <c r="A350" s="49">
        <v>45566</v>
      </c>
      <c r="D350" t="s">
        <v>7359</v>
      </c>
      <c r="E350">
        <v>1</v>
      </c>
      <c r="F350" t="str">
        <f t="shared" si="21"/>
        <v>jul</v>
      </c>
      <c r="G350">
        <v>20</v>
      </c>
      <c r="H350">
        <v>24</v>
      </c>
      <c r="I350" t="str">
        <f t="shared" si="20"/>
        <v>1-jul-2024</v>
      </c>
      <c r="K350" s="49">
        <f t="shared" si="22"/>
        <v>45474</v>
      </c>
      <c r="M350" t="b">
        <f t="shared" si="23"/>
        <v>1</v>
      </c>
    </row>
    <row r="351" spans="1:13" x14ac:dyDescent="0.3">
      <c r="A351" s="49">
        <v>45566</v>
      </c>
      <c r="D351" t="s">
        <v>7355</v>
      </c>
      <c r="E351">
        <v>1</v>
      </c>
      <c r="F351" t="str">
        <f t="shared" si="21"/>
        <v>sep</v>
      </c>
      <c r="G351">
        <v>20</v>
      </c>
      <c r="H351">
        <v>24</v>
      </c>
      <c r="I351" t="str">
        <f t="shared" si="20"/>
        <v>1-sep-2024</v>
      </c>
      <c r="K351" s="49">
        <f t="shared" si="22"/>
        <v>45536</v>
      </c>
      <c r="M351" t="b">
        <f t="shared" si="23"/>
        <v>1</v>
      </c>
    </row>
    <row r="352" spans="1:13" x14ac:dyDescent="0.3">
      <c r="A352" s="49">
        <v>45566</v>
      </c>
      <c r="D352" t="s">
        <v>7355</v>
      </c>
      <c r="E352">
        <v>1</v>
      </c>
      <c r="F352" t="str">
        <f t="shared" si="21"/>
        <v>sep</v>
      </c>
      <c r="G352">
        <v>20</v>
      </c>
      <c r="H352">
        <v>24</v>
      </c>
      <c r="I352" t="str">
        <f t="shared" si="20"/>
        <v>1-sep-2024</v>
      </c>
      <c r="K352" s="49">
        <f t="shared" si="22"/>
        <v>45536</v>
      </c>
      <c r="M352" t="b">
        <f t="shared" si="23"/>
        <v>1</v>
      </c>
    </row>
    <row r="353" spans="1:13" x14ac:dyDescent="0.3">
      <c r="A353" s="49">
        <v>45566</v>
      </c>
      <c r="D353" t="s">
        <v>7362</v>
      </c>
      <c r="E353">
        <v>1</v>
      </c>
      <c r="F353" t="str">
        <f t="shared" si="21"/>
        <v>ago</v>
      </c>
      <c r="G353">
        <v>20</v>
      </c>
      <c r="H353">
        <v>24</v>
      </c>
      <c r="I353" t="str">
        <f t="shared" si="20"/>
        <v>1-ago-2024</v>
      </c>
      <c r="K353" s="49">
        <f t="shared" si="22"/>
        <v>45505</v>
      </c>
      <c r="M353" t="b">
        <f t="shared" si="23"/>
        <v>1</v>
      </c>
    </row>
    <row r="354" spans="1:13" x14ac:dyDescent="0.3">
      <c r="A354" s="49">
        <v>45566</v>
      </c>
      <c r="D354" t="s">
        <v>7362</v>
      </c>
      <c r="E354">
        <v>1</v>
      </c>
      <c r="F354" t="str">
        <f t="shared" si="21"/>
        <v>ago</v>
      </c>
      <c r="G354">
        <v>20</v>
      </c>
      <c r="H354">
        <v>24</v>
      </c>
      <c r="I354" t="str">
        <f t="shared" si="20"/>
        <v>1-ago-2024</v>
      </c>
      <c r="K354" s="49">
        <f t="shared" si="22"/>
        <v>45505</v>
      </c>
      <c r="M354" t="b">
        <f t="shared" si="23"/>
        <v>1</v>
      </c>
    </row>
    <row r="355" spans="1:13" x14ac:dyDescent="0.3">
      <c r="A355" s="49">
        <v>45566</v>
      </c>
      <c r="D355" t="s">
        <v>7357</v>
      </c>
      <c r="E355">
        <v>1</v>
      </c>
      <c r="F355" t="str">
        <f t="shared" si="21"/>
        <v>oct</v>
      </c>
      <c r="G355">
        <v>20</v>
      </c>
      <c r="H355">
        <v>24</v>
      </c>
      <c r="I355" t="str">
        <f t="shared" si="20"/>
        <v>1-oct-2024</v>
      </c>
      <c r="K355" s="49">
        <f t="shared" si="22"/>
        <v>45566</v>
      </c>
      <c r="M355" t="b">
        <f t="shared" si="23"/>
        <v>0</v>
      </c>
    </row>
    <row r="356" spans="1:13" x14ac:dyDescent="0.3">
      <c r="A356" s="49">
        <v>45566</v>
      </c>
      <c r="D356" t="s">
        <v>7357</v>
      </c>
      <c r="E356">
        <v>1</v>
      </c>
      <c r="F356" t="str">
        <f t="shared" si="21"/>
        <v>oct</v>
      </c>
      <c r="G356">
        <v>20</v>
      </c>
      <c r="H356">
        <v>24</v>
      </c>
      <c r="I356" t="str">
        <f t="shared" si="20"/>
        <v>1-oct-2024</v>
      </c>
      <c r="K356" s="49">
        <f t="shared" si="22"/>
        <v>45566</v>
      </c>
      <c r="M356" t="b">
        <f t="shared" si="23"/>
        <v>0</v>
      </c>
    </row>
    <row r="357" spans="1:13" x14ac:dyDescent="0.3">
      <c r="A357" s="49">
        <v>45566</v>
      </c>
      <c r="D357" t="s">
        <v>7357</v>
      </c>
      <c r="E357">
        <v>1</v>
      </c>
      <c r="F357" t="str">
        <f t="shared" si="21"/>
        <v>oct</v>
      </c>
      <c r="G357">
        <v>20</v>
      </c>
      <c r="H357">
        <v>24</v>
      </c>
      <c r="I357" t="str">
        <f t="shared" si="20"/>
        <v>1-oct-2024</v>
      </c>
      <c r="K357" s="49">
        <f t="shared" si="22"/>
        <v>45566</v>
      </c>
      <c r="M357" t="b">
        <f t="shared" si="23"/>
        <v>0</v>
      </c>
    </row>
    <row r="358" spans="1:13" x14ac:dyDescent="0.3">
      <c r="A358" s="49">
        <v>45566</v>
      </c>
      <c r="D358" t="s">
        <v>7357</v>
      </c>
      <c r="E358">
        <v>1</v>
      </c>
      <c r="F358" t="str">
        <f t="shared" si="21"/>
        <v>oct</v>
      </c>
      <c r="G358">
        <v>20</v>
      </c>
      <c r="H358">
        <v>24</v>
      </c>
      <c r="I358" t="str">
        <f t="shared" si="20"/>
        <v>1-oct-2024</v>
      </c>
      <c r="K358" s="49">
        <f t="shared" si="22"/>
        <v>45566</v>
      </c>
      <c r="M358" t="b">
        <f t="shared" si="23"/>
        <v>0</v>
      </c>
    </row>
    <row r="359" spans="1:13" x14ac:dyDescent="0.3">
      <c r="A359" s="49">
        <v>45566</v>
      </c>
      <c r="D359" t="s">
        <v>7357</v>
      </c>
      <c r="E359">
        <v>1</v>
      </c>
      <c r="F359" t="str">
        <f t="shared" si="21"/>
        <v>oct</v>
      </c>
      <c r="G359">
        <v>20</v>
      </c>
      <c r="H359">
        <v>24</v>
      </c>
      <c r="I359" t="str">
        <f t="shared" si="20"/>
        <v>1-oct-2024</v>
      </c>
      <c r="K359" s="49">
        <f t="shared" si="22"/>
        <v>45566</v>
      </c>
      <c r="M359" t="b">
        <f t="shared" si="23"/>
        <v>0</v>
      </c>
    </row>
    <row r="360" spans="1:13" x14ac:dyDescent="0.3">
      <c r="A360" s="49">
        <v>45566</v>
      </c>
      <c r="D360" t="s">
        <v>7362</v>
      </c>
      <c r="E360">
        <v>1</v>
      </c>
      <c r="F360" t="str">
        <f t="shared" si="21"/>
        <v>ago</v>
      </c>
      <c r="G360">
        <v>20</v>
      </c>
      <c r="H360">
        <v>24</v>
      </c>
      <c r="I360" t="str">
        <f t="shared" si="20"/>
        <v>1-ago-2024</v>
      </c>
      <c r="K360" s="49">
        <f t="shared" si="22"/>
        <v>45505</v>
      </c>
      <c r="M360" t="b">
        <f t="shared" si="23"/>
        <v>1</v>
      </c>
    </row>
    <row r="361" spans="1:13" x14ac:dyDescent="0.3">
      <c r="A361" s="49">
        <v>45536</v>
      </c>
      <c r="D361" t="s">
        <v>7368</v>
      </c>
      <c r="E361">
        <v>1</v>
      </c>
      <c r="F361" t="str">
        <f t="shared" si="21"/>
        <v>mar</v>
      </c>
      <c r="G361">
        <v>20</v>
      </c>
      <c r="H361">
        <v>24</v>
      </c>
      <c r="I361" t="str">
        <f t="shared" si="20"/>
        <v>1-mar-2024</v>
      </c>
      <c r="K361" s="49">
        <f t="shared" si="22"/>
        <v>45352</v>
      </c>
      <c r="M361" t="b">
        <f t="shared" si="23"/>
        <v>1</v>
      </c>
    </row>
    <row r="362" spans="1:13" x14ac:dyDescent="0.3">
      <c r="A362" s="49">
        <v>45536</v>
      </c>
      <c r="D362" t="s">
        <v>7362</v>
      </c>
      <c r="E362">
        <v>1</v>
      </c>
      <c r="F362" t="str">
        <f t="shared" si="21"/>
        <v>ago</v>
      </c>
      <c r="G362">
        <v>20</v>
      </c>
      <c r="H362">
        <v>20</v>
      </c>
      <c r="I362" t="str">
        <f t="shared" si="20"/>
        <v>1-ago-2020</v>
      </c>
      <c r="K362" s="49">
        <f t="shared" si="22"/>
        <v>44044</v>
      </c>
      <c r="M362" t="b">
        <f t="shared" si="23"/>
        <v>1</v>
      </c>
    </row>
    <row r="363" spans="1:13" x14ac:dyDescent="0.3">
      <c r="A363" s="49">
        <v>45536</v>
      </c>
      <c r="D363" t="s">
        <v>7363</v>
      </c>
      <c r="E363">
        <v>1</v>
      </c>
      <c r="F363" t="str">
        <f t="shared" si="21"/>
        <v>feb</v>
      </c>
      <c r="G363">
        <v>20</v>
      </c>
      <c r="H363">
        <v>20</v>
      </c>
      <c r="I363" t="str">
        <f t="shared" si="20"/>
        <v>1-feb-2020</v>
      </c>
      <c r="K363" s="49">
        <f t="shared" si="22"/>
        <v>43862</v>
      </c>
      <c r="M363" t="b">
        <f t="shared" si="23"/>
        <v>1</v>
      </c>
    </row>
    <row r="364" spans="1:13" x14ac:dyDescent="0.3">
      <c r="A364" s="49">
        <v>45536</v>
      </c>
      <c r="D364" t="s">
        <v>7362</v>
      </c>
      <c r="E364">
        <v>1</v>
      </c>
      <c r="F364" t="str">
        <f t="shared" si="21"/>
        <v>ago</v>
      </c>
      <c r="G364">
        <v>20</v>
      </c>
      <c r="H364">
        <v>24</v>
      </c>
      <c r="I364" t="str">
        <f t="shared" si="20"/>
        <v>1-ago-2024</v>
      </c>
      <c r="K364" s="49">
        <f t="shared" si="22"/>
        <v>45505</v>
      </c>
      <c r="M364" t="b">
        <f t="shared" si="23"/>
        <v>1</v>
      </c>
    </row>
    <row r="365" spans="1:13" x14ac:dyDescent="0.3">
      <c r="A365" s="49">
        <v>45536</v>
      </c>
      <c r="D365" t="s">
        <v>7359</v>
      </c>
      <c r="E365">
        <v>1</v>
      </c>
      <c r="F365" t="str">
        <f t="shared" si="21"/>
        <v>jul</v>
      </c>
      <c r="G365">
        <v>20</v>
      </c>
      <c r="H365">
        <v>24</v>
      </c>
      <c r="I365" t="str">
        <f t="shared" si="20"/>
        <v>1-jul-2024</v>
      </c>
      <c r="K365" s="49">
        <f t="shared" si="22"/>
        <v>45474</v>
      </c>
      <c r="M365" t="b">
        <f t="shared" si="23"/>
        <v>1</v>
      </c>
    </row>
    <row r="366" spans="1:13" x14ac:dyDescent="0.3">
      <c r="A366" s="49">
        <v>45536</v>
      </c>
      <c r="D366" t="s">
        <v>7367</v>
      </c>
      <c r="E366">
        <v>1</v>
      </c>
      <c r="F366" t="str">
        <f t="shared" si="21"/>
        <v>jun</v>
      </c>
      <c r="G366">
        <v>20</v>
      </c>
      <c r="H366">
        <v>23</v>
      </c>
      <c r="I366" t="str">
        <f t="shared" si="20"/>
        <v>1-jun-2023</v>
      </c>
      <c r="K366" s="49">
        <f t="shared" si="22"/>
        <v>45078</v>
      </c>
      <c r="M366" t="b">
        <f t="shared" si="23"/>
        <v>1</v>
      </c>
    </row>
    <row r="367" spans="1:13" x14ac:dyDescent="0.3">
      <c r="A367" s="49">
        <v>45536</v>
      </c>
      <c r="D367" t="s">
        <v>7355</v>
      </c>
      <c r="E367">
        <v>1</v>
      </c>
      <c r="F367" t="str">
        <f t="shared" si="21"/>
        <v>sep</v>
      </c>
      <c r="G367">
        <v>20</v>
      </c>
      <c r="H367">
        <v>24</v>
      </c>
      <c r="I367" t="str">
        <f t="shared" si="20"/>
        <v>1-sep-2024</v>
      </c>
      <c r="K367" s="49">
        <f t="shared" si="22"/>
        <v>45536</v>
      </c>
      <c r="M367" t="b">
        <f t="shared" si="23"/>
        <v>0</v>
      </c>
    </row>
    <row r="368" spans="1:13" x14ac:dyDescent="0.3">
      <c r="A368" s="49">
        <v>45536</v>
      </c>
      <c r="D368" t="s">
        <v>7368</v>
      </c>
      <c r="E368">
        <v>1</v>
      </c>
      <c r="F368" t="str">
        <f t="shared" si="21"/>
        <v>mar</v>
      </c>
      <c r="G368">
        <v>20</v>
      </c>
      <c r="H368">
        <v>24</v>
      </c>
      <c r="I368" t="str">
        <f t="shared" si="20"/>
        <v>1-mar-2024</v>
      </c>
      <c r="K368" s="49">
        <f t="shared" si="22"/>
        <v>45352</v>
      </c>
      <c r="M368" t="b">
        <f t="shared" si="23"/>
        <v>1</v>
      </c>
    </row>
    <row r="369" spans="1:13" x14ac:dyDescent="0.3">
      <c r="A369" s="49">
        <v>45536</v>
      </c>
      <c r="D369" t="s">
        <v>7359</v>
      </c>
      <c r="E369">
        <v>1</v>
      </c>
      <c r="F369" t="str">
        <f t="shared" si="21"/>
        <v>jul</v>
      </c>
      <c r="G369">
        <v>20</v>
      </c>
      <c r="H369">
        <v>23</v>
      </c>
      <c r="I369" t="str">
        <f t="shared" si="20"/>
        <v>1-jul-2023</v>
      </c>
      <c r="K369" s="49">
        <f t="shared" si="22"/>
        <v>45108</v>
      </c>
      <c r="M369" t="b">
        <f t="shared" si="23"/>
        <v>1</v>
      </c>
    </row>
    <row r="370" spans="1:13" x14ac:dyDescent="0.3">
      <c r="A370" s="49">
        <v>45536</v>
      </c>
      <c r="D370" t="s">
        <v>7362</v>
      </c>
      <c r="E370">
        <v>1</v>
      </c>
      <c r="F370" t="str">
        <f t="shared" si="21"/>
        <v>ago</v>
      </c>
      <c r="G370">
        <v>20</v>
      </c>
      <c r="H370">
        <v>22</v>
      </c>
      <c r="I370" t="str">
        <f t="shared" si="20"/>
        <v>1-ago-2022</v>
      </c>
      <c r="K370" s="49">
        <f t="shared" si="22"/>
        <v>44774</v>
      </c>
      <c r="M370" t="b">
        <f t="shared" si="23"/>
        <v>1</v>
      </c>
    </row>
    <row r="371" spans="1:13" x14ac:dyDescent="0.3">
      <c r="A371" s="49">
        <v>45536</v>
      </c>
      <c r="D371" t="s">
        <v>7359</v>
      </c>
      <c r="E371">
        <v>1</v>
      </c>
      <c r="F371" t="str">
        <f t="shared" si="21"/>
        <v>jul</v>
      </c>
      <c r="G371">
        <v>20</v>
      </c>
      <c r="H371">
        <v>24</v>
      </c>
      <c r="I371" t="str">
        <f t="shared" si="20"/>
        <v>1-jul-2024</v>
      </c>
      <c r="K371" s="49">
        <f t="shared" si="22"/>
        <v>45474</v>
      </c>
      <c r="M371" t="b">
        <f t="shared" si="23"/>
        <v>1</v>
      </c>
    </row>
    <row r="372" spans="1:13" x14ac:dyDescent="0.3">
      <c r="A372" s="49">
        <v>45536</v>
      </c>
      <c r="D372" t="s">
        <v>7362</v>
      </c>
      <c r="E372">
        <v>1</v>
      </c>
      <c r="F372" t="str">
        <f t="shared" si="21"/>
        <v>ago</v>
      </c>
      <c r="G372">
        <v>20</v>
      </c>
      <c r="H372">
        <v>24</v>
      </c>
      <c r="I372" t="str">
        <f t="shared" si="20"/>
        <v>1-ago-2024</v>
      </c>
      <c r="K372" s="49">
        <f t="shared" si="22"/>
        <v>45505</v>
      </c>
      <c r="M372" t="b">
        <f t="shared" si="23"/>
        <v>1</v>
      </c>
    </row>
    <row r="373" spans="1:13" x14ac:dyDescent="0.3">
      <c r="A373" s="49">
        <v>45536</v>
      </c>
      <c r="D373" t="s">
        <v>7368</v>
      </c>
      <c r="E373">
        <v>1</v>
      </c>
      <c r="F373" t="str">
        <f t="shared" si="21"/>
        <v>mar</v>
      </c>
      <c r="G373">
        <v>20</v>
      </c>
      <c r="H373">
        <v>24</v>
      </c>
      <c r="I373" t="str">
        <f t="shared" si="20"/>
        <v>1-mar-2024</v>
      </c>
      <c r="K373" s="49">
        <f t="shared" si="22"/>
        <v>45352</v>
      </c>
      <c r="M373" t="b">
        <f t="shared" si="23"/>
        <v>1</v>
      </c>
    </row>
    <row r="374" spans="1:13" x14ac:dyDescent="0.3">
      <c r="A374" s="49">
        <v>45536</v>
      </c>
      <c r="D374" t="s">
        <v>7368</v>
      </c>
      <c r="E374">
        <v>1</v>
      </c>
      <c r="F374" t="str">
        <f t="shared" si="21"/>
        <v>mar</v>
      </c>
      <c r="G374">
        <v>20</v>
      </c>
      <c r="H374">
        <v>24</v>
      </c>
      <c r="I374" t="str">
        <f t="shared" si="20"/>
        <v>1-mar-2024</v>
      </c>
      <c r="K374" s="49">
        <f t="shared" si="22"/>
        <v>45352</v>
      </c>
      <c r="M374" t="b">
        <f t="shared" si="23"/>
        <v>1</v>
      </c>
    </row>
    <row r="375" spans="1:13" x14ac:dyDescent="0.3">
      <c r="A375" s="49">
        <v>45536</v>
      </c>
      <c r="D375" t="s">
        <v>7355</v>
      </c>
      <c r="E375">
        <v>1</v>
      </c>
      <c r="F375" t="str">
        <f t="shared" si="21"/>
        <v>sep</v>
      </c>
      <c r="G375">
        <v>20</v>
      </c>
      <c r="H375">
        <v>23</v>
      </c>
      <c r="I375" t="str">
        <f t="shared" si="20"/>
        <v>1-sep-2023</v>
      </c>
      <c r="K375" s="49">
        <f t="shared" si="22"/>
        <v>45170</v>
      </c>
      <c r="M375" t="b">
        <f t="shared" si="23"/>
        <v>1</v>
      </c>
    </row>
    <row r="376" spans="1:13" x14ac:dyDescent="0.3">
      <c r="A376" s="49">
        <v>45536</v>
      </c>
      <c r="D376" t="s">
        <v>7363</v>
      </c>
      <c r="E376">
        <v>1</v>
      </c>
      <c r="F376" t="str">
        <f t="shared" si="21"/>
        <v>feb</v>
      </c>
      <c r="G376">
        <v>20</v>
      </c>
      <c r="H376">
        <v>24</v>
      </c>
      <c r="I376" t="str">
        <f t="shared" si="20"/>
        <v>1-feb-2024</v>
      </c>
      <c r="K376" s="49">
        <f t="shared" si="22"/>
        <v>45323</v>
      </c>
      <c r="M376" t="b">
        <f t="shared" si="23"/>
        <v>1</v>
      </c>
    </row>
    <row r="377" spans="1:13" x14ac:dyDescent="0.3">
      <c r="A377" s="49">
        <v>45536</v>
      </c>
      <c r="D377" t="s">
        <v>7370</v>
      </c>
      <c r="E377">
        <v>1</v>
      </c>
      <c r="F377" t="str">
        <f t="shared" si="21"/>
        <v>may</v>
      </c>
      <c r="G377">
        <v>20</v>
      </c>
      <c r="H377">
        <v>24</v>
      </c>
      <c r="I377" t="str">
        <f t="shared" si="20"/>
        <v>1-may-2024</v>
      </c>
      <c r="K377" s="49">
        <f t="shared" si="22"/>
        <v>45413</v>
      </c>
      <c r="M377" t="b">
        <f t="shared" si="23"/>
        <v>1</v>
      </c>
    </row>
    <row r="378" spans="1:13" x14ac:dyDescent="0.3">
      <c r="A378" s="49">
        <v>45536</v>
      </c>
      <c r="D378" t="s">
        <v>7363</v>
      </c>
      <c r="E378">
        <v>1</v>
      </c>
      <c r="F378" t="str">
        <f t="shared" si="21"/>
        <v>feb</v>
      </c>
      <c r="G378">
        <v>20</v>
      </c>
      <c r="H378">
        <v>24</v>
      </c>
      <c r="I378" t="str">
        <f t="shared" si="20"/>
        <v>1-feb-2024</v>
      </c>
      <c r="K378" s="49">
        <f t="shared" si="22"/>
        <v>45323</v>
      </c>
      <c r="M378" t="b">
        <f t="shared" si="23"/>
        <v>1</v>
      </c>
    </row>
    <row r="379" spans="1:13" x14ac:dyDescent="0.3">
      <c r="A379" s="49">
        <v>45536</v>
      </c>
      <c r="D379" t="s">
        <v>7360</v>
      </c>
      <c r="E379">
        <v>1</v>
      </c>
      <c r="F379" t="str">
        <f t="shared" si="21"/>
        <v>nov</v>
      </c>
      <c r="G379">
        <v>20</v>
      </c>
      <c r="H379">
        <v>23</v>
      </c>
      <c r="I379" t="str">
        <f t="shared" si="20"/>
        <v>1-nov-2023</v>
      </c>
      <c r="K379" s="49">
        <f t="shared" si="22"/>
        <v>45231</v>
      </c>
      <c r="M379" t="b">
        <f t="shared" si="23"/>
        <v>1</v>
      </c>
    </row>
    <row r="380" spans="1:13" x14ac:dyDescent="0.3">
      <c r="A380" s="49">
        <v>45536</v>
      </c>
      <c r="D380" t="s">
        <v>7360</v>
      </c>
      <c r="E380">
        <v>1</v>
      </c>
      <c r="F380" t="str">
        <f t="shared" si="21"/>
        <v>nov</v>
      </c>
      <c r="G380">
        <v>20</v>
      </c>
      <c r="H380">
        <v>23</v>
      </c>
      <c r="I380" t="str">
        <f t="shared" si="20"/>
        <v>1-nov-2023</v>
      </c>
      <c r="K380" s="49">
        <f t="shared" si="22"/>
        <v>45231</v>
      </c>
      <c r="M380" t="b">
        <f t="shared" si="23"/>
        <v>1</v>
      </c>
    </row>
    <row r="381" spans="1:13" x14ac:dyDescent="0.3">
      <c r="A381" s="49">
        <v>45536</v>
      </c>
      <c r="D381" t="s">
        <v>7356</v>
      </c>
      <c r="E381">
        <v>1</v>
      </c>
      <c r="F381" t="str">
        <f t="shared" si="21"/>
        <v>ene</v>
      </c>
      <c r="G381">
        <v>20</v>
      </c>
      <c r="H381">
        <v>24</v>
      </c>
      <c r="I381" t="str">
        <f t="shared" si="20"/>
        <v>1-ene-2024</v>
      </c>
      <c r="K381" s="49">
        <f t="shared" si="22"/>
        <v>45292</v>
      </c>
      <c r="M381" t="b">
        <f t="shared" si="23"/>
        <v>1</v>
      </c>
    </row>
    <row r="382" spans="1:13" x14ac:dyDescent="0.3">
      <c r="A382" s="49">
        <v>45536</v>
      </c>
      <c r="D382" t="s">
        <v>7362</v>
      </c>
      <c r="E382">
        <v>1</v>
      </c>
      <c r="F382" t="str">
        <f t="shared" si="21"/>
        <v>ago</v>
      </c>
      <c r="G382">
        <v>20</v>
      </c>
      <c r="H382">
        <v>24</v>
      </c>
      <c r="I382" t="str">
        <f t="shared" si="20"/>
        <v>1-ago-2024</v>
      </c>
      <c r="K382" s="49">
        <f t="shared" si="22"/>
        <v>45505</v>
      </c>
      <c r="M382" t="b">
        <f t="shared" si="23"/>
        <v>1</v>
      </c>
    </row>
    <row r="383" spans="1:13" x14ac:dyDescent="0.3">
      <c r="A383" s="49">
        <v>45536</v>
      </c>
      <c r="D383" t="s">
        <v>7357</v>
      </c>
      <c r="E383">
        <v>1</v>
      </c>
      <c r="F383" t="str">
        <f t="shared" si="21"/>
        <v>oct</v>
      </c>
      <c r="G383">
        <v>20</v>
      </c>
      <c r="H383">
        <v>25</v>
      </c>
      <c r="I383" t="str">
        <f t="shared" si="20"/>
        <v>1-oct-2025</v>
      </c>
      <c r="K383" s="49">
        <f t="shared" si="22"/>
        <v>45931</v>
      </c>
      <c r="M383" t="b">
        <f t="shared" si="23"/>
        <v>0</v>
      </c>
    </row>
    <row r="384" spans="1:13" x14ac:dyDescent="0.3">
      <c r="A384" s="49">
        <v>45536</v>
      </c>
      <c r="D384" t="s">
        <v>7356</v>
      </c>
      <c r="E384">
        <v>1</v>
      </c>
      <c r="F384" t="str">
        <f t="shared" si="21"/>
        <v>ene</v>
      </c>
      <c r="G384">
        <v>20</v>
      </c>
      <c r="H384">
        <v>26</v>
      </c>
      <c r="I384" t="str">
        <f t="shared" si="20"/>
        <v>1-ene-2026</v>
      </c>
      <c r="K384" s="49">
        <f t="shared" si="22"/>
        <v>46023</v>
      </c>
      <c r="M384" t="b">
        <f t="shared" si="23"/>
        <v>0</v>
      </c>
    </row>
    <row r="385" spans="1:13" x14ac:dyDescent="0.3">
      <c r="A385" s="49">
        <v>45536</v>
      </c>
      <c r="D385" t="s">
        <v>7366</v>
      </c>
      <c r="E385">
        <v>1</v>
      </c>
      <c r="F385" t="str">
        <f t="shared" si="21"/>
        <v>dic</v>
      </c>
      <c r="G385">
        <v>20</v>
      </c>
      <c r="H385">
        <v>22</v>
      </c>
      <c r="I385" t="str">
        <f t="shared" ref="I385:I448" si="24">_xlfn.CONCAT(E385,"-",F385,"-",G385,H385)</f>
        <v>1-dic-2022</v>
      </c>
      <c r="K385" s="49">
        <f t="shared" si="22"/>
        <v>44896</v>
      </c>
      <c r="M385" t="b">
        <f t="shared" si="23"/>
        <v>1</v>
      </c>
    </row>
    <row r="386" spans="1:13" x14ac:dyDescent="0.3">
      <c r="A386" s="49">
        <v>45536</v>
      </c>
      <c r="D386" t="s">
        <v>7372</v>
      </c>
      <c r="E386">
        <v>1</v>
      </c>
      <c r="F386" t="str">
        <f t="shared" ref="F386:F449" si="25">LOWER(D386)</f>
        <v>dic</v>
      </c>
      <c r="G386">
        <v>20</v>
      </c>
      <c r="H386">
        <v>25</v>
      </c>
      <c r="I386" t="str">
        <f t="shared" si="24"/>
        <v>1-dic-2025</v>
      </c>
      <c r="K386" s="49">
        <f t="shared" ref="K386:K449" si="26">DATEVALUE(I386)</f>
        <v>45992</v>
      </c>
      <c r="M386" t="b">
        <f t="shared" si="23"/>
        <v>0</v>
      </c>
    </row>
    <row r="387" spans="1:13" x14ac:dyDescent="0.3">
      <c r="A387" s="49">
        <v>45536</v>
      </c>
      <c r="D387" t="s">
        <v>7362</v>
      </c>
      <c r="E387">
        <v>1</v>
      </c>
      <c r="F387" t="str">
        <f t="shared" si="25"/>
        <v>ago</v>
      </c>
      <c r="G387">
        <v>20</v>
      </c>
      <c r="H387">
        <v>23</v>
      </c>
      <c r="I387" t="str">
        <f t="shared" si="24"/>
        <v>1-ago-2023</v>
      </c>
      <c r="K387" s="49">
        <f t="shared" si="26"/>
        <v>45139</v>
      </c>
      <c r="M387" t="b">
        <f t="shared" ref="M387:M450" si="27">K387&lt;A387</f>
        <v>1</v>
      </c>
    </row>
    <row r="388" spans="1:13" x14ac:dyDescent="0.3">
      <c r="A388" s="49">
        <v>45536</v>
      </c>
      <c r="D388" t="s">
        <v>7369</v>
      </c>
      <c r="E388">
        <v>1</v>
      </c>
      <c r="F388" t="str">
        <f t="shared" si="25"/>
        <v>abr</v>
      </c>
      <c r="G388">
        <v>20</v>
      </c>
      <c r="H388">
        <v>26</v>
      </c>
      <c r="I388" t="str">
        <f t="shared" si="24"/>
        <v>1-abr-2026</v>
      </c>
      <c r="K388" s="49">
        <f t="shared" si="26"/>
        <v>46113</v>
      </c>
      <c r="M388" t="b">
        <f t="shared" si="27"/>
        <v>0</v>
      </c>
    </row>
    <row r="389" spans="1:13" x14ac:dyDescent="0.3">
      <c r="A389" s="49">
        <v>45536</v>
      </c>
      <c r="D389" t="s">
        <v>7367</v>
      </c>
      <c r="E389">
        <v>1</v>
      </c>
      <c r="F389" t="str">
        <f t="shared" si="25"/>
        <v>jun</v>
      </c>
      <c r="G389">
        <v>20</v>
      </c>
      <c r="H389">
        <v>23</v>
      </c>
      <c r="I389" t="str">
        <f t="shared" si="24"/>
        <v>1-jun-2023</v>
      </c>
      <c r="K389" s="49">
        <f t="shared" si="26"/>
        <v>45078</v>
      </c>
      <c r="M389" t="b">
        <f t="shared" si="27"/>
        <v>1</v>
      </c>
    </row>
    <row r="390" spans="1:13" x14ac:dyDescent="0.3">
      <c r="A390" s="49">
        <v>45536</v>
      </c>
      <c r="D390" t="s">
        <v>7363</v>
      </c>
      <c r="E390">
        <v>1</v>
      </c>
      <c r="F390" t="str">
        <f t="shared" si="25"/>
        <v>feb</v>
      </c>
      <c r="G390">
        <v>20</v>
      </c>
      <c r="H390">
        <v>24</v>
      </c>
      <c r="I390" t="str">
        <f t="shared" si="24"/>
        <v>1-feb-2024</v>
      </c>
      <c r="K390" s="49">
        <f t="shared" si="26"/>
        <v>45323</v>
      </c>
      <c r="M390" t="b">
        <f t="shared" si="27"/>
        <v>1</v>
      </c>
    </row>
    <row r="391" spans="1:13" x14ac:dyDescent="0.3">
      <c r="A391" s="49">
        <v>45536</v>
      </c>
      <c r="D391" t="s">
        <v>7357</v>
      </c>
      <c r="E391">
        <v>1</v>
      </c>
      <c r="F391" t="str">
        <f t="shared" si="25"/>
        <v>oct</v>
      </c>
      <c r="G391">
        <v>20</v>
      </c>
      <c r="H391">
        <v>24</v>
      </c>
      <c r="I391" t="str">
        <f t="shared" si="24"/>
        <v>1-oct-2024</v>
      </c>
      <c r="K391" s="49">
        <f t="shared" si="26"/>
        <v>45566</v>
      </c>
      <c r="M391" t="b">
        <f t="shared" si="27"/>
        <v>0</v>
      </c>
    </row>
    <row r="392" spans="1:13" x14ac:dyDescent="0.3">
      <c r="A392" s="49">
        <v>45536</v>
      </c>
      <c r="D392" t="s">
        <v>7369</v>
      </c>
      <c r="E392">
        <v>1</v>
      </c>
      <c r="F392" t="str">
        <f t="shared" si="25"/>
        <v>abr</v>
      </c>
      <c r="G392">
        <v>20</v>
      </c>
      <c r="H392">
        <v>24</v>
      </c>
      <c r="I392" t="str">
        <f t="shared" si="24"/>
        <v>1-abr-2024</v>
      </c>
      <c r="K392" s="49">
        <f t="shared" si="26"/>
        <v>45383</v>
      </c>
      <c r="M392" t="b">
        <f t="shared" si="27"/>
        <v>1</v>
      </c>
    </row>
    <row r="393" spans="1:13" x14ac:dyDescent="0.3">
      <c r="A393" s="49">
        <v>45536</v>
      </c>
      <c r="D393" t="s">
        <v>7359</v>
      </c>
      <c r="E393">
        <v>1</v>
      </c>
      <c r="F393" t="str">
        <f t="shared" si="25"/>
        <v>jul</v>
      </c>
      <c r="G393">
        <v>20</v>
      </c>
      <c r="H393">
        <v>23</v>
      </c>
      <c r="I393" t="str">
        <f t="shared" si="24"/>
        <v>1-jul-2023</v>
      </c>
      <c r="K393" s="49">
        <f t="shared" si="26"/>
        <v>45108</v>
      </c>
      <c r="M393" t="b">
        <f t="shared" si="27"/>
        <v>1</v>
      </c>
    </row>
    <row r="394" spans="1:13" x14ac:dyDescent="0.3">
      <c r="A394" s="49">
        <v>45536</v>
      </c>
      <c r="D394" t="s">
        <v>7366</v>
      </c>
      <c r="E394">
        <v>1</v>
      </c>
      <c r="F394" t="str">
        <f t="shared" si="25"/>
        <v>dic</v>
      </c>
      <c r="G394">
        <v>20</v>
      </c>
      <c r="H394">
        <v>23</v>
      </c>
      <c r="I394" t="str">
        <f t="shared" si="24"/>
        <v>1-dic-2023</v>
      </c>
      <c r="K394" s="49">
        <f t="shared" si="26"/>
        <v>45261</v>
      </c>
      <c r="M394" t="b">
        <f t="shared" si="27"/>
        <v>1</v>
      </c>
    </row>
    <row r="395" spans="1:13" x14ac:dyDescent="0.3">
      <c r="A395" s="49">
        <v>45536</v>
      </c>
      <c r="D395" t="s">
        <v>7370</v>
      </c>
      <c r="E395">
        <v>1</v>
      </c>
      <c r="F395" t="str">
        <f t="shared" si="25"/>
        <v>may</v>
      </c>
      <c r="G395">
        <v>20</v>
      </c>
      <c r="H395">
        <v>23</v>
      </c>
      <c r="I395" t="str">
        <f t="shared" si="24"/>
        <v>1-may-2023</v>
      </c>
      <c r="K395" s="49">
        <f t="shared" si="26"/>
        <v>45047</v>
      </c>
      <c r="M395" t="b">
        <f t="shared" si="27"/>
        <v>1</v>
      </c>
    </row>
    <row r="396" spans="1:13" x14ac:dyDescent="0.3">
      <c r="A396" s="49">
        <v>45536</v>
      </c>
      <c r="D396" t="s">
        <v>7359</v>
      </c>
      <c r="E396">
        <v>1</v>
      </c>
      <c r="F396" t="str">
        <f t="shared" si="25"/>
        <v>jul</v>
      </c>
      <c r="G396">
        <v>20</v>
      </c>
      <c r="H396">
        <v>23</v>
      </c>
      <c r="I396" t="str">
        <f t="shared" si="24"/>
        <v>1-jul-2023</v>
      </c>
      <c r="K396" s="49">
        <f t="shared" si="26"/>
        <v>45108</v>
      </c>
      <c r="M396" t="b">
        <f t="shared" si="27"/>
        <v>1</v>
      </c>
    </row>
    <row r="397" spans="1:13" x14ac:dyDescent="0.3">
      <c r="A397" s="49">
        <v>45536</v>
      </c>
      <c r="D397" t="s">
        <v>7359</v>
      </c>
      <c r="E397">
        <v>1</v>
      </c>
      <c r="F397" t="str">
        <f t="shared" si="25"/>
        <v>jul</v>
      </c>
      <c r="G397">
        <v>20</v>
      </c>
      <c r="H397">
        <v>23</v>
      </c>
      <c r="I397" t="str">
        <f t="shared" si="24"/>
        <v>1-jul-2023</v>
      </c>
      <c r="K397" s="49">
        <f t="shared" si="26"/>
        <v>45108</v>
      </c>
      <c r="M397" t="b">
        <f t="shared" si="27"/>
        <v>1</v>
      </c>
    </row>
    <row r="398" spans="1:13" x14ac:dyDescent="0.3">
      <c r="A398" s="49">
        <v>45536</v>
      </c>
      <c r="D398" t="s">
        <v>7367</v>
      </c>
      <c r="E398">
        <v>1</v>
      </c>
      <c r="F398" t="str">
        <f t="shared" si="25"/>
        <v>jun</v>
      </c>
      <c r="G398">
        <v>20</v>
      </c>
      <c r="H398">
        <v>23</v>
      </c>
      <c r="I398" t="str">
        <f t="shared" si="24"/>
        <v>1-jun-2023</v>
      </c>
      <c r="K398" s="49">
        <f t="shared" si="26"/>
        <v>45078</v>
      </c>
      <c r="M398" t="b">
        <f t="shared" si="27"/>
        <v>1</v>
      </c>
    </row>
    <row r="399" spans="1:13" x14ac:dyDescent="0.3">
      <c r="A399" s="49">
        <v>45536</v>
      </c>
      <c r="D399" t="s">
        <v>7367</v>
      </c>
      <c r="E399">
        <v>1</v>
      </c>
      <c r="F399" t="str">
        <f t="shared" si="25"/>
        <v>jun</v>
      </c>
      <c r="G399">
        <v>20</v>
      </c>
      <c r="H399">
        <v>24</v>
      </c>
      <c r="I399" t="str">
        <f t="shared" si="24"/>
        <v>1-jun-2024</v>
      </c>
      <c r="K399" s="49">
        <f t="shared" si="26"/>
        <v>45444</v>
      </c>
      <c r="M399" t="b">
        <f t="shared" si="27"/>
        <v>1</v>
      </c>
    </row>
    <row r="400" spans="1:13" x14ac:dyDescent="0.3">
      <c r="A400" s="49">
        <v>45536</v>
      </c>
      <c r="D400" t="s">
        <v>7357</v>
      </c>
      <c r="E400">
        <v>1</v>
      </c>
      <c r="F400" t="str">
        <f t="shared" si="25"/>
        <v>oct</v>
      </c>
      <c r="G400">
        <v>20</v>
      </c>
      <c r="H400">
        <v>23</v>
      </c>
      <c r="I400" t="str">
        <f t="shared" si="24"/>
        <v>1-oct-2023</v>
      </c>
      <c r="K400" s="49">
        <f t="shared" si="26"/>
        <v>45200</v>
      </c>
      <c r="M400" t="b">
        <f t="shared" si="27"/>
        <v>1</v>
      </c>
    </row>
    <row r="401" spans="1:13" x14ac:dyDescent="0.3">
      <c r="A401" s="49">
        <v>45536</v>
      </c>
      <c r="D401" t="s">
        <v>7357</v>
      </c>
      <c r="E401">
        <v>1</v>
      </c>
      <c r="F401" t="str">
        <f t="shared" si="25"/>
        <v>oct</v>
      </c>
      <c r="G401">
        <v>20</v>
      </c>
      <c r="H401">
        <v>23</v>
      </c>
      <c r="I401" t="str">
        <f t="shared" si="24"/>
        <v>1-oct-2023</v>
      </c>
      <c r="K401" s="49">
        <f t="shared" si="26"/>
        <v>45200</v>
      </c>
      <c r="M401" t="b">
        <f t="shared" si="27"/>
        <v>1</v>
      </c>
    </row>
    <row r="402" spans="1:13" x14ac:dyDescent="0.3">
      <c r="A402" s="49">
        <v>45536</v>
      </c>
      <c r="D402" t="s">
        <v>7370</v>
      </c>
      <c r="E402">
        <v>1</v>
      </c>
      <c r="F402" t="str">
        <f t="shared" si="25"/>
        <v>may</v>
      </c>
      <c r="G402">
        <v>20</v>
      </c>
      <c r="H402">
        <v>24</v>
      </c>
      <c r="I402" t="str">
        <f t="shared" si="24"/>
        <v>1-may-2024</v>
      </c>
      <c r="K402" s="49">
        <f t="shared" si="26"/>
        <v>45413</v>
      </c>
      <c r="M402" t="b">
        <f t="shared" si="27"/>
        <v>1</v>
      </c>
    </row>
    <row r="403" spans="1:13" x14ac:dyDescent="0.3">
      <c r="A403" s="49">
        <v>45536</v>
      </c>
      <c r="D403" t="s">
        <v>7370</v>
      </c>
      <c r="E403">
        <v>1</v>
      </c>
      <c r="F403" t="str">
        <f t="shared" si="25"/>
        <v>may</v>
      </c>
      <c r="G403">
        <v>20</v>
      </c>
      <c r="H403">
        <v>24</v>
      </c>
      <c r="I403" t="str">
        <f t="shared" si="24"/>
        <v>1-may-2024</v>
      </c>
      <c r="K403" s="49">
        <f t="shared" si="26"/>
        <v>45413</v>
      </c>
      <c r="M403" t="b">
        <f t="shared" si="27"/>
        <v>1</v>
      </c>
    </row>
    <row r="404" spans="1:13" x14ac:dyDescent="0.3">
      <c r="A404" s="49">
        <v>45536</v>
      </c>
      <c r="D404" t="s">
        <v>7359</v>
      </c>
      <c r="E404">
        <v>1</v>
      </c>
      <c r="F404" t="str">
        <f t="shared" si="25"/>
        <v>jul</v>
      </c>
      <c r="G404">
        <v>20</v>
      </c>
      <c r="H404">
        <v>21</v>
      </c>
      <c r="I404" t="str">
        <f t="shared" si="24"/>
        <v>1-jul-2021</v>
      </c>
      <c r="K404" s="49">
        <f t="shared" si="26"/>
        <v>44378</v>
      </c>
      <c r="M404" t="b">
        <f t="shared" si="27"/>
        <v>1</v>
      </c>
    </row>
    <row r="405" spans="1:13" x14ac:dyDescent="0.3">
      <c r="A405" s="49">
        <v>45536</v>
      </c>
      <c r="D405" t="s">
        <v>7370</v>
      </c>
      <c r="E405">
        <v>1</v>
      </c>
      <c r="F405" t="str">
        <f t="shared" si="25"/>
        <v>may</v>
      </c>
      <c r="G405">
        <v>20</v>
      </c>
      <c r="H405">
        <v>24</v>
      </c>
      <c r="I405" t="str">
        <f t="shared" si="24"/>
        <v>1-may-2024</v>
      </c>
      <c r="K405" s="49">
        <f t="shared" si="26"/>
        <v>45413</v>
      </c>
      <c r="M405" t="b">
        <f t="shared" si="27"/>
        <v>1</v>
      </c>
    </row>
    <row r="406" spans="1:13" x14ac:dyDescent="0.3">
      <c r="A406" s="49">
        <v>45536</v>
      </c>
      <c r="D406" t="s">
        <v>7370</v>
      </c>
      <c r="E406">
        <v>1</v>
      </c>
      <c r="F406" t="str">
        <f t="shared" si="25"/>
        <v>may</v>
      </c>
      <c r="G406">
        <v>20</v>
      </c>
      <c r="H406">
        <v>23</v>
      </c>
      <c r="I406" t="str">
        <f t="shared" si="24"/>
        <v>1-may-2023</v>
      </c>
      <c r="K406" s="49">
        <f t="shared" si="26"/>
        <v>45047</v>
      </c>
      <c r="M406" t="b">
        <f t="shared" si="27"/>
        <v>1</v>
      </c>
    </row>
    <row r="407" spans="1:13" x14ac:dyDescent="0.3">
      <c r="A407" s="49">
        <v>45536</v>
      </c>
      <c r="D407" t="s">
        <v>7370</v>
      </c>
      <c r="E407">
        <v>1</v>
      </c>
      <c r="F407" t="str">
        <f t="shared" si="25"/>
        <v>may</v>
      </c>
      <c r="G407">
        <v>20</v>
      </c>
      <c r="H407">
        <v>23</v>
      </c>
      <c r="I407" t="str">
        <f t="shared" si="24"/>
        <v>1-may-2023</v>
      </c>
      <c r="K407" s="49">
        <f t="shared" si="26"/>
        <v>45047</v>
      </c>
      <c r="M407" t="b">
        <f t="shared" si="27"/>
        <v>1</v>
      </c>
    </row>
    <row r="408" spans="1:13" x14ac:dyDescent="0.3">
      <c r="A408" s="49">
        <v>45536</v>
      </c>
      <c r="D408" t="s">
        <v>7362</v>
      </c>
      <c r="E408">
        <v>1</v>
      </c>
      <c r="F408" t="str">
        <f t="shared" si="25"/>
        <v>ago</v>
      </c>
      <c r="G408">
        <v>20</v>
      </c>
      <c r="H408">
        <v>24</v>
      </c>
      <c r="I408" t="str">
        <f t="shared" si="24"/>
        <v>1-ago-2024</v>
      </c>
      <c r="K408" s="49">
        <f t="shared" si="26"/>
        <v>45505</v>
      </c>
      <c r="M408" t="b">
        <f t="shared" si="27"/>
        <v>1</v>
      </c>
    </row>
    <row r="409" spans="1:13" x14ac:dyDescent="0.3">
      <c r="A409" s="49">
        <v>45536</v>
      </c>
      <c r="D409" t="s">
        <v>7362</v>
      </c>
      <c r="E409">
        <v>1</v>
      </c>
      <c r="F409" t="str">
        <f t="shared" si="25"/>
        <v>ago</v>
      </c>
      <c r="G409">
        <v>20</v>
      </c>
      <c r="H409">
        <v>24</v>
      </c>
      <c r="I409" t="str">
        <f t="shared" si="24"/>
        <v>1-ago-2024</v>
      </c>
      <c r="K409" s="49">
        <f t="shared" si="26"/>
        <v>45505</v>
      </c>
      <c r="M409" t="b">
        <f t="shared" si="27"/>
        <v>1</v>
      </c>
    </row>
    <row r="410" spans="1:13" x14ac:dyDescent="0.3">
      <c r="A410" s="49">
        <v>45536</v>
      </c>
      <c r="D410" t="s">
        <v>7367</v>
      </c>
      <c r="E410">
        <v>1</v>
      </c>
      <c r="F410" t="str">
        <f t="shared" si="25"/>
        <v>jun</v>
      </c>
      <c r="G410">
        <v>20</v>
      </c>
      <c r="H410">
        <v>24</v>
      </c>
      <c r="I410" t="str">
        <f t="shared" si="24"/>
        <v>1-jun-2024</v>
      </c>
      <c r="K410" s="49">
        <f t="shared" si="26"/>
        <v>45444</v>
      </c>
      <c r="M410" t="b">
        <f t="shared" si="27"/>
        <v>1</v>
      </c>
    </row>
    <row r="411" spans="1:13" x14ac:dyDescent="0.3">
      <c r="A411" s="49">
        <v>45536</v>
      </c>
      <c r="D411" t="s">
        <v>7369</v>
      </c>
      <c r="E411">
        <v>1</v>
      </c>
      <c r="F411" t="str">
        <f t="shared" si="25"/>
        <v>abr</v>
      </c>
      <c r="G411">
        <v>20</v>
      </c>
      <c r="H411">
        <v>25</v>
      </c>
      <c r="I411" t="str">
        <f t="shared" si="24"/>
        <v>1-abr-2025</v>
      </c>
      <c r="K411" s="49">
        <f t="shared" si="26"/>
        <v>45748</v>
      </c>
      <c r="M411" t="b">
        <f t="shared" si="27"/>
        <v>0</v>
      </c>
    </row>
    <row r="412" spans="1:13" x14ac:dyDescent="0.3">
      <c r="A412" s="49">
        <v>45536</v>
      </c>
      <c r="D412" t="s">
        <v>7363</v>
      </c>
      <c r="E412">
        <v>1</v>
      </c>
      <c r="F412" t="str">
        <f t="shared" si="25"/>
        <v>feb</v>
      </c>
      <c r="G412">
        <v>20</v>
      </c>
      <c r="H412">
        <v>24</v>
      </c>
      <c r="I412" t="str">
        <f t="shared" si="24"/>
        <v>1-feb-2024</v>
      </c>
      <c r="K412" s="49">
        <f t="shared" si="26"/>
        <v>45323</v>
      </c>
      <c r="M412" t="b">
        <f t="shared" si="27"/>
        <v>1</v>
      </c>
    </row>
    <row r="413" spans="1:13" x14ac:dyDescent="0.3">
      <c r="A413" s="49">
        <v>45536</v>
      </c>
      <c r="D413" t="s">
        <v>7357</v>
      </c>
      <c r="E413">
        <v>1</v>
      </c>
      <c r="F413" t="str">
        <f t="shared" si="25"/>
        <v>oct</v>
      </c>
      <c r="G413">
        <v>20</v>
      </c>
      <c r="H413">
        <v>24</v>
      </c>
      <c r="I413" t="str">
        <f t="shared" si="24"/>
        <v>1-oct-2024</v>
      </c>
      <c r="K413" s="49">
        <f t="shared" si="26"/>
        <v>45566</v>
      </c>
      <c r="M413" t="b">
        <f t="shared" si="27"/>
        <v>0</v>
      </c>
    </row>
    <row r="414" spans="1:13" x14ac:dyDescent="0.3">
      <c r="A414" s="49">
        <v>45536</v>
      </c>
      <c r="D414" t="s">
        <v>7356</v>
      </c>
      <c r="E414">
        <v>1</v>
      </c>
      <c r="F414" t="str">
        <f t="shared" si="25"/>
        <v>ene</v>
      </c>
      <c r="G414">
        <v>20</v>
      </c>
      <c r="H414">
        <v>25</v>
      </c>
      <c r="I414" t="str">
        <f t="shared" si="24"/>
        <v>1-ene-2025</v>
      </c>
      <c r="K414" s="49">
        <f t="shared" si="26"/>
        <v>45658</v>
      </c>
      <c r="M414" t="b">
        <f t="shared" si="27"/>
        <v>0</v>
      </c>
    </row>
    <row r="415" spans="1:13" x14ac:dyDescent="0.3">
      <c r="A415" s="49">
        <v>45536</v>
      </c>
      <c r="D415" t="s">
        <v>7359</v>
      </c>
      <c r="E415">
        <v>1</v>
      </c>
      <c r="F415" t="str">
        <f t="shared" si="25"/>
        <v>jul</v>
      </c>
      <c r="G415">
        <v>20</v>
      </c>
      <c r="H415">
        <v>24</v>
      </c>
      <c r="I415" t="str">
        <f t="shared" si="24"/>
        <v>1-jul-2024</v>
      </c>
      <c r="K415" s="49">
        <f t="shared" si="26"/>
        <v>45474</v>
      </c>
      <c r="M415" t="b">
        <f t="shared" si="27"/>
        <v>1</v>
      </c>
    </row>
    <row r="416" spans="1:13" x14ac:dyDescent="0.3">
      <c r="A416" s="49">
        <v>45536</v>
      </c>
      <c r="D416" t="s">
        <v>7369</v>
      </c>
      <c r="E416">
        <v>1</v>
      </c>
      <c r="F416" t="str">
        <f t="shared" si="25"/>
        <v>abr</v>
      </c>
      <c r="G416">
        <v>20</v>
      </c>
      <c r="H416">
        <v>24</v>
      </c>
      <c r="I416" t="str">
        <f t="shared" si="24"/>
        <v>1-abr-2024</v>
      </c>
      <c r="K416" s="49">
        <f t="shared" si="26"/>
        <v>45383</v>
      </c>
      <c r="M416" t="b">
        <f t="shared" si="27"/>
        <v>1</v>
      </c>
    </row>
    <row r="417" spans="1:13" x14ac:dyDescent="0.3">
      <c r="A417" s="49">
        <v>45536</v>
      </c>
      <c r="D417" t="s">
        <v>7359</v>
      </c>
      <c r="E417">
        <v>1</v>
      </c>
      <c r="F417" t="str">
        <f t="shared" si="25"/>
        <v>jul</v>
      </c>
      <c r="G417">
        <v>20</v>
      </c>
      <c r="H417">
        <v>25</v>
      </c>
      <c r="I417" t="str">
        <f t="shared" si="24"/>
        <v>1-jul-2025</v>
      </c>
      <c r="K417" s="49">
        <f t="shared" si="26"/>
        <v>45839</v>
      </c>
      <c r="M417" t="b">
        <f t="shared" si="27"/>
        <v>0</v>
      </c>
    </row>
    <row r="418" spans="1:13" x14ac:dyDescent="0.3">
      <c r="A418" s="49">
        <v>45536</v>
      </c>
      <c r="D418" t="s">
        <v>7356</v>
      </c>
      <c r="E418">
        <v>1</v>
      </c>
      <c r="F418" t="str">
        <f t="shared" si="25"/>
        <v>ene</v>
      </c>
      <c r="G418">
        <v>20</v>
      </c>
      <c r="H418">
        <v>24</v>
      </c>
      <c r="I418" t="str">
        <f t="shared" si="24"/>
        <v>1-ene-2024</v>
      </c>
      <c r="K418" s="49">
        <f t="shared" si="26"/>
        <v>45292</v>
      </c>
      <c r="M418" t="b">
        <f t="shared" si="27"/>
        <v>1</v>
      </c>
    </row>
    <row r="419" spans="1:13" x14ac:dyDescent="0.3">
      <c r="A419" s="49">
        <v>45536</v>
      </c>
      <c r="D419" t="s">
        <v>7366</v>
      </c>
      <c r="E419">
        <v>1</v>
      </c>
      <c r="F419" t="str">
        <f t="shared" si="25"/>
        <v>dic</v>
      </c>
      <c r="G419">
        <v>20</v>
      </c>
      <c r="H419">
        <v>23</v>
      </c>
      <c r="I419" t="str">
        <f t="shared" si="24"/>
        <v>1-dic-2023</v>
      </c>
      <c r="K419" s="49">
        <f t="shared" si="26"/>
        <v>45261</v>
      </c>
      <c r="M419" t="b">
        <f t="shared" si="27"/>
        <v>1</v>
      </c>
    </row>
    <row r="420" spans="1:13" x14ac:dyDescent="0.3">
      <c r="A420" s="49">
        <v>45536</v>
      </c>
      <c r="D420" t="s">
        <v>7373</v>
      </c>
      <c r="E420">
        <v>1</v>
      </c>
      <c r="F420" t="str">
        <f t="shared" si="25"/>
        <v>abr</v>
      </c>
      <c r="G420">
        <v>20</v>
      </c>
      <c r="H420">
        <v>22</v>
      </c>
      <c r="I420" t="str">
        <f t="shared" si="24"/>
        <v>1-abr-2022</v>
      </c>
      <c r="K420" s="49">
        <f t="shared" si="26"/>
        <v>44652</v>
      </c>
      <c r="M420" t="b">
        <f t="shared" si="27"/>
        <v>1</v>
      </c>
    </row>
    <row r="421" spans="1:13" x14ac:dyDescent="0.3">
      <c r="A421" s="49">
        <v>45536</v>
      </c>
      <c r="D421" t="s">
        <v>7357</v>
      </c>
      <c r="E421">
        <v>1</v>
      </c>
      <c r="F421" t="str">
        <f t="shared" si="25"/>
        <v>oct</v>
      </c>
      <c r="G421">
        <v>20</v>
      </c>
      <c r="H421">
        <v>23</v>
      </c>
      <c r="I421" t="str">
        <f t="shared" si="24"/>
        <v>1-oct-2023</v>
      </c>
      <c r="K421" s="49">
        <f t="shared" si="26"/>
        <v>45200</v>
      </c>
      <c r="M421" t="b">
        <f t="shared" si="27"/>
        <v>1</v>
      </c>
    </row>
    <row r="422" spans="1:13" x14ac:dyDescent="0.3">
      <c r="A422" s="49">
        <v>45536</v>
      </c>
      <c r="D422" t="s">
        <v>7363</v>
      </c>
      <c r="E422">
        <v>1</v>
      </c>
      <c r="F422" t="str">
        <f t="shared" si="25"/>
        <v>feb</v>
      </c>
      <c r="G422">
        <v>20</v>
      </c>
      <c r="H422">
        <v>24</v>
      </c>
      <c r="I422" t="str">
        <f t="shared" si="24"/>
        <v>1-feb-2024</v>
      </c>
      <c r="K422" s="49">
        <f t="shared" si="26"/>
        <v>45323</v>
      </c>
      <c r="M422" t="b">
        <f t="shared" si="27"/>
        <v>1</v>
      </c>
    </row>
    <row r="423" spans="1:13" x14ac:dyDescent="0.3">
      <c r="A423" s="49">
        <v>45536</v>
      </c>
      <c r="D423" t="s">
        <v>7355</v>
      </c>
      <c r="E423">
        <v>1</v>
      </c>
      <c r="F423" t="str">
        <f t="shared" si="25"/>
        <v>sep</v>
      </c>
      <c r="G423">
        <v>20</v>
      </c>
      <c r="H423">
        <v>22</v>
      </c>
      <c r="I423" t="str">
        <f t="shared" si="24"/>
        <v>1-sep-2022</v>
      </c>
      <c r="K423" s="49">
        <f t="shared" si="26"/>
        <v>44805</v>
      </c>
      <c r="M423" t="b">
        <f t="shared" si="27"/>
        <v>1</v>
      </c>
    </row>
    <row r="424" spans="1:13" x14ac:dyDescent="0.3">
      <c r="A424" s="49">
        <v>45536</v>
      </c>
      <c r="D424" t="s">
        <v>7356</v>
      </c>
      <c r="E424">
        <v>1</v>
      </c>
      <c r="F424" t="str">
        <f t="shared" si="25"/>
        <v>ene</v>
      </c>
      <c r="G424">
        <v>20</v>
      </c>
      <c r="H424">
        <v>25</v>
      </c>
      <c r="I424" t="str">
        <f t="shared" si="24"/>
        <v>1-ene-2025</v>
      </c>
      <c r="K424" s="49">
        <f t="shared" si="26"/>
        <v>45658</v>
      </c>
      <c r="M424" t="b">
        <f t="shared" si="27"/>
        <v>0</v>
      </c>
    </row>
    <row r="425" spans="1:13" x14ac:dyDescent="0.3">
      <c r="A425" s="49">
        <v>45536</v>
      </c>
      <c r="D425" t="s">
        <v>7357</v>
      </c>
      <c r="E425">
        <v>1</v>
      </c>
      <c r="F425" t="str">
        <f t="shared" si="25"/>
        <v>oct</v>
      </c>
      <c r="G425">
        <v>20</v>
      </c>
      <c r="H425">
        <v>25</v>
      </c>
      <c r="I425" t="str">
        <f t="shared" si="24"/>
        <v>1-oct-2025</v>
      </c>
      <c r="K425" s="49">
        <f t="shared" si="26"/>
        <v>45931</v>
      </c>
      <c r="M425" t="b">
        <f t="shared" si="27"/>
        <v>0</v>
      </c>
    </row>
    <row r="426" spans="1:13" x14ac:dyDescent="0.3">
      <c r="A426" s="49">
        <v>45536</v>
      </c>
      <c r="D426" t="s">
        <v>7359</v>
      </c>
      <c r="E426">
        <v>1</v>
      </c>
      <c r="F426" t="str">
        <f t="shared" si="25"/>
        <v>jul</v>
      </c>
      <c r="G426">
        <v>20</v>
      </c>
      <c r="H426">
        <v>22</v>
      </c>
      <c r="I426" t="str">
        <f t="shared" si="24"/>
        <v>1-jul-2022</v>
      </c>
      <c r="K426" s="49">
        <f t="shared" si="26"/>
        <v>44743</v>
      </c>
      <c r="M426" t="b">
        <f t="shared" si="27"/>
        <v>1</v>
      </c>
    </row>
    <row r="427" spans="1:13" x14ac:dyDescent="0.3">
      <c r="A427" s="49">
        <v>45536</v>
      </c>
      <c r="D427" t="s">
        <v>7362</v>
      </c>
      <c r="E427">
        <v>1</v>
      </c>
      <c r="F427" t="str">
        <f t="shared" si="25"/>
        <v>ago</v>
      </c>
      <c r="G427">
        <v>20</v>
      </c>
      <c r="H427">
        <v>14</v>
      </c>
      <c r="I427" t="str">
        <f t="shared" si="24"/>
        <v>1-ago-2014</v>
      </c>
      <c r="K427" s="49">
        <f t="shared" si="26"/>
        <v>41852</v>
      </c>
      <c r="M427" t="b">
        <f t="shared" si="27"/>
        <v>1</v>
      </c>
    </row>
    <row r="428" spans="1:13" x14ac:dyDescent="0.3">
      <c r="A428" s="49">
        <v>45536</v>
      </c>
      <c r="D428" t="s">
        <v>7368</v>
      </c>
      <c r="E428">
        <v>1</v>
      </c>
      <c r="F428" t="str">
        <f t="shared" si="25"/>
        <v>mar</v>
      </c>
      <c r="G428">
        <v>20</v>
      </c>
      <c r="H428">
        <v>24</v>
      </c>
      <c r="I428" t="str">
        <f t="shared" si="24"/>
        <v>1-mar-2024</v>
      </c>
      <c r="K428" s="49">
        <f t="shared" si="26"/>
        <v>45352</v>
      </c>
      <c r="M428" t="b">
        <f t="shared" si="27"/>
        <v>1</v>
      </c>
    </row>
    <row r="429" spans="1:13" x14ac:dyDescent="0.3">
      <c r="A429" s="49">
        <v>45536</v>
      </c>
      <c r="D429" t="s">
        <v>7356</v>
      </c>
      <c r="E429">
        <v>1</v>
      </c>
      <c r="F429" t="str">
        <f t="shared" si="25"/>
        <v>ene</v>
      </c>
      <c r="G429">
        <v>20</v>
      </c>
      <c r="H429">
        <v>23</v>
      </c>
      <c r="I429" t="str">
        <f t="shared" si="24"/>
        <v>1-ene-2023</v>
      </c>
      <c r="K429" s="49">
        <f t="shared" si="26"/>
        <v>44927</v>
      </c>
      <c r="M429" t="b">
        <f t="shared" si="27"/>
        <v>1</v>
      </c>
    </row>
    <row r="430" spans="1:13" x14ac:dyDescent="0.3">
      <c r="A430" s="49">
        <v>45536</v>
      </c>
      <c r="D430" t="s">
        <v>7355</v>
      </c>
      <c r="E430">
        <v>1</v>
      </c>
      <c r="F430" t="str">
        <f t="shared" si="25"/>
        <v>sep</v>
      </c>
      <c r="G430">
        <v>20</v>
      </c>
      <c r="H430">
        <v>24</v>
      </c>
      <c r="I430" t="str">
        <f t="shared" si="24"/>
        <v>1-sep-2024</v>
      </c>
      <c r="K430" s="49">
        <f t="shared" si="26"/>
        <v>45536</v>
      </c>
      <c r="M430" t="b">
        <f t="shared" si="27"/>
        <v>0</v>
      </c>
    </row>
    <row r="431" spans="1:13" x14ac:dyDescent="0.3">
      <c r="A431" s="49">
        <v>45536</v>
      </c>
      <c r="D431" t="s">
        <v>7355</v>
      </c>
      <c r="E431">
        <v>1</v>
      </c>
      <c r="F431" t="str">
        <f t="shared" si="25"/>
        <v>sep</v>
      </c>
      <c r="G431">
        <v>20</v>
      </c>
      <c r="H431">
        <v>25</v>
      </c>
      <c r="I431" t="str">
        <f t="shared" si="24"/>
        <v>1-sep-2025</v>
      </c>
      <c r="K431" s="49">
        <f t="shared" si="26"/>
        <v>45901</v>
      </c>
      <c r="M431" t="b">
        <f t="shared" si="27"/>
        <v>0</v>
      </c>
    </row>
    <row r="432" spans="1:13" x14ac:dyDescent="0.3">
      <c r="A432" s="49">
        <v>45536</v>
      </c>
      <c r="D432" t="s">
        <v>7369</v>
      </c>
      <c r="E432">
        <v>1</v>
      </c>
      <c r="F432" t="str">
        <f t="shared" si="25"/>
        <v>abr</v>
      </c>
      <c r="G432">
        <v>20</v>
      </c>
      <c r="H432">
        <v>23</v>
      </c>
      <c r="I432" t="str">
        <f t="shared" si="24"/>
        <v>1-abr-2023</v>
      </c>
      <c r="K432" s="49">
        <f t="shared" si="26"/>
        <v>45017</v>
      </c>
      <c r="M432" t="b">
        <f t="shared" si="27"/>
        <v>1</v>
      </c>
    </row>
    <row r="433" spans="1:13" x14ac:dyDescent="0.3">
      <c r="A433" s="49">
        <v>45536</v>
      </c>
      <c r="D433" t="s">
        <v>7356</v>
      </c>
      <c r="E433">
        <v>1</v>
      </c>
      <c r="F433" t="str">
        <f t="shared" si="25"/>
        <v>ene</v>
      </c>
      <c r="G433">
        <v>20</v>
      </c>
      <c r="H433">
        <v>23</v>
      </c>
      <c r="I433" t="str">
        <f t="shared" si="24"/>
        <v>1-ene-2023</v>
      </c>
      <c r="K433" s="49">
        <f t="shared" si="26"/>
        <v>44927</v>
      </c>
      <c r="M433" t="b">
        <f t="shared" si="27"/>
        <v>1</v>
      </c>
    </row>
    <row r="434" spans="1:13" x14ac:dyDescent="0.3">
      <c r="A434" s="49">
        <v>45536</v>
      </c>
      <c r="D434" t="s">
        <v>7360</v>
      </c>
      <c r="E434">
        <v>1</v>
      </c>
      <c r="F434" t="str">
        <f t="shared" si="25"/>
        <v>nov</v>
      </c>
      <c r="G434">
        <v>20</v>
      </c>
      <c r="H434">
        <v>22</v>
      </c>
      <c r="I434" t="str">
        <f t="shared" si="24"/>
        <v>1-nov-2022</v>
      </c>
      <c r="K434" s="49">
        <f t="shared" si="26"/>
        <v>44866</v>
      </c>
      <c r="M434" t="b">
        <f t="shared" si="27"/>
        <v>1</v>
      </c>
    </row>
    <row r="435" spans="1:13" x14ac:dyDescent="0.3">
      <c r="A435" s="49">
        <v>45536</v>
      </c>
      <c r="D435" t="s">
        <v>7367</v>
      </c>
      <c r="E435">
        <v>1</v>
      </c>
      <c r="F435" t="str">
        <f t="shared" si="25"/>
        <v>jun</v>
      </c>
      <c r="G435">
        <v>20</v>
      </c>
      <c r="H435">
        <v>23</v>
      </c>
      <c r="I435" t="str">
        <f t="shared" si="24"/>
        <v>1-jun-2023</v>
      </c>
      <c r="K435" s="49">
        <f t="shared" si="26"/>
        <v>45078</v>
      </c>
      <c r="M435" t="b">
        <f t="shared" si="27"/>
        <v>1</v>
      </c>
    </row>
    <row r="436" spans="1:13" x14ac:dyDescent="0.3">
      <c r="A436" s="49">
        <v>45536</v>
      </c>
      <c r="D436" t="s">
        <v>7359</v>
      </c>
      <c r="E436">
        <v>1</v>
      </c>
      <c r="F436" t="str">
        <f t="shared" si="25"/>
        <v>jul</v>
      </c>
      <c r="G436">
        <v>20</v>
      </c>
      <c r="H436">
        <v>24</v>
      </c>
      <c r="I436" t="str">
        <f t="shared" si="24"/>
        <v>1-jul-2024</v>
      </c>
      <c r="K436" s="49">
        <f t="shared" si="26"/>
        <v>45474</v>
      </c>
      <c r="M436" t="b">
        <f t="shared" si="27"/>
        <v>1</v>
      </c>
    </row>
    <row r="437" spans="1:13" x14ac:dyDescent="0.3">
      <c r="A437" s="49">
        <v>45536</v>
      </c>
      <c r="D437" t="s">
        <v>7359</v>
      </c>
      <c r="E437">
        <v>1</v>
      </c>
      <c r="F437" t="str">
        <f t="shared" si="25"/>
        <v>jul</v>
      </c>
      <c r="G437">
        <v>20</v>
      </c>
      <c r="H437">
        <v>24</v>
      </c>
      <c r="I437" t="str">
        <f t="shared" si="24"/>
        <v>1-jul-2024</v>
      </c>
      <c r="K437" s="49">
        <f t="shared" si="26"/>
        <v>45474</v>
      </c>
      <c r="M437" t="b">
        <f t="shared" si="27"/>
        <v>1</v>
      </c>
    </row>
    <row r="438" spans="1:13" x14ac:dyDescent="0.3">
      <c r="A438" s="49">
        <v>45536</v>
      </c>
      <c r="D438" t="s">
        <v>7357</v>
      </c>
      <c r="E438">
        <v>1</v>
      </c>
      <c r="F438" t="str">
        <f t="shared" si="25"/>
        <v>oct</v>
      </c>
      <c r="G438">
        <v>20</v>
      </c>
      <c r="H438">
        <v>22</v>
      </c>
      <c r="I438" t="str">
        <f t="shared" si="24"/>
        <v>1-oct-2022</v>
      </c>
      <c r="K438" s="49">
        <f t="shared" si="26"/>
        <v>44835</v>
      </c>
      <c r="M438" t="b">
        <f t="shared" si="27"/>
        <v>1</v>
      </c>
    </row>
    <row r="439" spans="1:13" x14ac:dyDescent="0.3">
      <c r="A439" s="49">
        <v>45536</v>
      </c>
      <c r="D439" t="s">
        <v>7366</v>
      </c>
      <c r="E439">
        <v>1</v>
      </c>
      <c r="F439" t="str">
        <f t="shared" si="25"/>
        <v>dic</v>
      </c>
      <c r="G439">
        <v>20</v>
      </c>
      <c r="H439">
        <v>23</v>
      </c>
      <c r="I439" t="str">
        <f t="shared" si="24"/>
        <v>1-dic-2023</v>
      </c>
      <c r="K439" s="49">
        <f t="shared" si="26"/>
        <v>45261</v>
      </c>
      <c r="M439" t="b">
        <f t="shared" si="27"/>
        <v>1</v>
      </c>
    </row>
    <row r="440" spans="1:13" x14ac:dyDescent="0.3">
      <c r="A440" s="49">
        <v>45536</v>
      </c>
      <c r="D440" t="s">
        <v>7366</v>
      </c>
      <c r="E440">
        <v>1</v>
      </c>
      <c r="F440" t="str">
        <f t="shared" si="25"/>
        <v>dic</v>
      </c>
      <c r="G440">
        <v>20</v>
      </c>
      <c r="H440">
        <v>23</v>
      </c>
      <c r="I440" t="str">
        <f t="shared" si="24"/>
        <v>1-dic-2023</v>
      </c>
      <c r="K440" s="49">
        <f t="shared" si="26"/>
        <v>45261</v>
      </c>
      <c r="M440" t="b">
        <f t="shared" si="27"/>
        <v>1</v>
      </c>
    </row>
    <row r="441" spans="1:13" x14ac:dyDescent="0.3">
      <c r="A441" s="49">
        <v>45536</v>
      </c>
      <c r="D441" t="s">
        <v>7369</v>
      </c>
      <c r="E441">
        <v>1</v>
      </c>
      <c r="F441" t="str">
        <f t="shared" si="25"/>
        <v>abr</v>
      </c>
      <c r="G441">
        <v>20</v>
      </c>
      <c r="H441">
        <v>22</v>
      </c>
      <c r="I441" t="str">
        <f t="shared" si="24"/>
        <v>1-abr-2022</v>
      </c>
      <c r="K441" s="49">
        <f t="shared" si="26"/>
        <v>44652</v>
      </c>
      <c r="M441" t="b">
        <f t="shared" si="27"/>
        <v>1</v>
      </c>
    </row>
    <row r="442" spans="1:13" x14ac:dyDescent="0.3">
      <c r="A442" s="49">
        <v>45536</v>
      </c>
      <c r="D442" t="s">
        <v>7357</v>
      </c>
      <c r="E442">
        <v>1</v>
      </c>
      <c r="F442" t="str">
        <f t="shared" si="25"/>
        <v>oct</v>
      </c>
      <c r="G442">
        <v>20</v>
      </c>
      <c r="H442">
        <v>23</v>
      </c>
      <c r="I442" t="str">
        <f t="shared" si="24"/>
        <v>1-oct-2023</v>
      </c>
      <c r="K442" s="49">
        <f t="shared" si="26"/>
        <v>45200</v>
      </c>
      <c r="M442" t="b">
        <f t="shared" si="27"/>
        <v>1</v>
      </c>
    </row>
    <row r="443" spans="1:13" x14ac:dyDescent="0.3">
      <c r="A443" s="49">
        <v>45536</v>
      </c>
      <c r="D443" t="s">
        <v>7356</v>
      </c>
      <c r="E443">
        <v>1</v>
      </c>
      <c r="F443" t="str">
        <f t="shared" si="25"/>
        <v>ene</v>
      </c>
      <c r="G443">
        <v>20</v>
      </c>
      <c r="H443">
        <v>25</v>
      </c>
      <c r="I443" t="str">
        <f t="shared" si="24"/>
        <v>1-ene-2025</v>
      </c>
      <c r="K443" s="49">
        <f t="shared" si="26"/>
        <v>45658</v>
      </c>
      <c r="M443" t="b">
        <f t="shared" si="27"/>
        <v>0</v>
      </c>
    </row>
    <row r="444" spans="1:13" x14ac:dyDescent="0.3">
      <c r="A444" s="49">
        <v>45536</v>
      </c>
      <c r="D444" t="s">
        <v>7355</v>
      </c>
      <c r="E444">
        <v>1</v>
      </c>
      <c r="F444" t="str">
        <f t="shared" si="25"/>
        <v>sep</v>
      </c>
      <c r="G444">
        <v>20</v>
      </c>
      <c r="H444">
        <v>24</v>
      </c>
      <c r="I444" t="str">
        <f t="shared" si="24"/>
        <v>1-sep-2024</v>
      </c>
      <c r="K444" s="49">
        <f t="shared" si="26"/>
        <v>45536</v>
      </c>
      <c r="M444" t="b">
        <f t="shared" si="27"/>
        <v>0</v>
      </c>
    </row>
    <row r="445" spans="1:13" x14ac:dyDescent="0.3">
      <c r="A445" s="49">
        <v>45536</v>
      </c>
      <c r="D445" t="s">
        <v>7370</v>
      </c>
      <c r="E445">
        <v>1</v>
      </c>
      <c r="F445" t="str">
        <f t="shared" si="25"/>
        <v>may</v>
      </c>
      <c r="G445">
        <v>20</v>
      </c>
      <c r="H445">
        <v>24</v>
      </c>
      <c r="I445" t="str">
        <f t="shared" si="24"/>
        <v>1-may-2024</v>
      </c>
      <c r="K445" s="49">
        <f t="shared" si="26"/>
        <v>45413</v>
      </c>
      <c r="M445" t="b">
        <f t="shared" si="27"/>
        <v>1</v>
      </c>
    </row>
    <row r="446" spans="1:13" x14ac:dyDescent="0.3">
      <c r="A446" s="49">
        <v>45536</v>
      </c>
      <c r="D446" t="s">
        <v>7359</v>
      </c>
      <c r="E446">
        <v>1</v>
      </c>
      <c r="F446" t="str">
        <f t="shared" si="25"/>
        <v>jul</v>
      </c>
      <c r="G446">
        <v>20</v>
      </c>
      <c r="H446">
        <v>22</v>
      </c>
      <c r="I446" t="str">
        <f t="shared" si="24"/>
        <v>1-jul-2022</v>
      </c>
      <c r="K446" s="49">
        <f t="shared" si="26"/>
        <v>44743</v>
      </c>
      <c r="M446" t="b">
        <f t="shared" si="27"/>
        <v>1</v>
      </c>
    </row>
    <row r="447" spans="1:13" x14ac:dyDescent="0.3">
      <c r="A447" s="49">
        <v>45536</v>
      </c>
      <c r="D447" t="s">
        <v>7362</v>
      </c>
      <c r="E447">
        <v>1</v>
      </c>
      <c r="F447" t="str">
        <f t="shared" si="25"/>
        <v>ago</v>
      </c>
      <c r="G447">
        <v>20</v>
      </c>
      <c r="H447">
        <v>14</v>
      </c>
      <c r="I447" t="str">
        <f t="shared" si="24"/>
        <v>1-ago-2014</v>
      </c>
      <c r="K447" s="49">
        <f t="shared" si="26"/>
        <v>41852</v>
      </c>
      <c r="M447" t="b">
        <f t="shared" si="27"/>
        <v>1</v>
      </c>
    </row>
    <row r="448" spans="1:13" x14ac:dyDescent="0.3">
      <c r="A448" s="49">
        <v>45536</v>
      </c>
      <c r="D448" t="s">
        <v>7359</v>
      </c>
      <c r="E448">
        <v>1</v>
      </c>
      <c r="F448" t="str">
        <f t="shared" si="25"/>
        <v>jul</v>
      </c>
      <c r="G448">
        <v>20</v>
      </c>
      <c r="H448">
        <v>24</v>
      </c>
      <c r="I448" t="str">
        <f t="shared" si="24"/>
        <v>1-jul-2024</v>
      </c>
      <c r="K448" s="49">
        <f t="shared" si="26"/>
        <v>45474</v>
      </c>
      <c r="M448" t="b">
        <f t="shared" si="27"/>
        <v>1</v>
      </c>
    </row>
    <row r="449" spans="1:13" x14ac:dyDescent="0.3">
      <c r="A449" s="49">
        <v>45536</v>
      </c>
      <c r="D449" t="s">
        <v>7356</v>
      </c>
      <c r="E449">
        <v>1</v>
      </c>
      <c r="F449" t="str">
        <f t="shared" si="25"/>
        <v>ene</v>
      </c>
      <c r="G449">
        <v>20</v>
      </c>
      <c r="H449">
        <v>23</v>
      </c>
      <c r="I449" t="str">
        <f t="shared" ref="I449:I512" si="28">_xlfn.CONCAT(E449,"-",F449,"-",G449,H449)</f>
        <v>1-ene-2023</v>
      </c>
      <c r="K449" s="49">
        <f t="shared" si="26"/>
        <v>44927</v>
      </c>
      <c r="M449" t="b">
        <f t="shared" si="27"/>
        <v>1</v>
      </c>
    </row>
    <row r="450" spans="1:13" x14ac:dyDescent="0.3">
      <c r="A450" s="49">
        <v>45536</v>
      </c>
      <c r="D450" t="s">
        <v>7359</v>
      </c>
      <c r="E450">
        <v>1</v>
      </c>
      <c r="F450" t="str">
        <f t="shared" ref="F450:F513" si="29">LOWER(D450)</f>
        <v>jul</v>
      </c>
      <c r="G450">
        <v>20</v>
      </c>
      <c r="H450">
        <v>24</v>
      </c>
      <c r="I450" t="str">
        <f t="shared" si="28"/>
        <v>1-jul-2024</v>
      </c>
      <c r="K450" s="49">
        <f t="shared" ref="K450:K513" si="30">DATEVALUE(I450)</f>
        <v>45474</v>
      </c>
      <c r="M450" t="b">
        <f t="shared" si="27"/>
        <v>1</v>
      </c>
    </row>
    <row r="451" spans="1:13" x14ac:dyDescent="0.3">
      <c r="A451" s="49">
        <v>45536</v>
      </c>
      <c r="D451" t="s">
        <v>7368</v>
      </c>
      <c r="E451">
        <v>1</v>
      </c>
      <c r="F451" t="str">
        <f t="shared" si="29"/>
        <v>mar</v>
      </c>
      <c r="G451">
        <v>20</v>
      </c>
      <c r="H451">
        <v>24</v>
      </c>
      <c r="I451" t="str">
        <f t="shared" si="28"/>
        <v>1-mar-2024</v>
      </c>
      <c r="K451" s="49">
        <f t="shared" si="30"/>
        <v>45352</v>
      </c>
      <c r="M451" t="b">
        <f t="shared" ref="M451:M514" si="31">K451&lt;A451</f>
        <v>1</v>
      </c>
    </row>
    <row r="452" spans="1:13" x14ac:dyDescent="0.3">
      <c r="A452" s="49">
        <v>45536</v>
      </c>
      <c r="D452" t="s">
        <v>7368</v>
      </c>
      <c r="E452">
        <v>1</v>
      </c>
      <c r="F452" t="str">
        <f t="shared" si="29"/>
        <v>mar</v>
      </c>
      <c r="G452">
        <v>20</v>
      </c>
      <c r="H452">
        <v>24</v>
      </c>
      <c r="I452" t="str">
        <f t="shared" si="28"/>
        <v>1-mar-2024</v>
      </c>
      <c r="K452" s="49">
        <f t="shared" si="30"/>
        <v>45352</v>
      </c>
      <c r="M452" t="b">
        <f t="shared" si="31"/>
        <v>1</v>
      </c>
    </row>
    <row r="453" spans="1:13" x14ac:dyDescent="0.3">
      <c r="A453" s="49">
        <v>45536</v>
      </c>
      <c r="D453" t="s">
        <v>7370</v>
      </c>
      <c r="E453">
        <v>1</v>
      </c>
      <c r="F453" t="str">
        <f t="shared" si="29"/>
        <v>may</v>
      </c>
      <c r="G453">
        <v>20</v>
      </c>
      <c r="H453">
        <v>24</v>
      </c>
      <c r="I453" t="str">
        <f t="shared" si="28"/>
        <v>1-may-2024</v>
      </c>
      <c r="K453" s="49">
        <f t="shared" si="30"/>
        <v>45413</v>
      </c>
      <c r="M453" t="b">
        <f t="shared" si="31"/>
        <v>1</v>
      </c>
    </row>
    <row r="454" spans="1:13" x14ac:dyDescent="0.3">
      <c r="A454" s="49">
        <v>45536</v>
      </c>
      <c r="D454" t="s">
        <v>7369</v>
      </c>
      <c r="E454">
        <v>1</v>
      </c>
      <c r="F454" t="str">
        <f t="shared" si="29"/>
        <v>abr</v>
      </c>
      <c r="G454">
        <v>20</v>
      </c>
      <c r="H454">
        <v>23</v>
      </c>
      <c r="I454" t="str">
        <f t="shared" si="28"/>
        <v>1-abr-2023</v>
      </c>
      <c r="K454" s="49">
        <f t="shared" si="30"/>
        <v>45017</v>
      </c>
      <c r="M454" t="b">
        <f t="shared" si="31"/>
        <v>1</v>
      </c>
    </row>
    <row r="455" spans="1:13" x14ac:dyDescent="0.3">
      <c r="A455" s="49">
        <v>45536</v>
      </c>
      <c r="D455" t="s">
        <v>7356</v>
      </c>
      <c r="E455">
        <v>1</v>
      </c>
      <c r="F455" t="str">
        <f t="shared" si="29"/>
        <v>ene</v>
      </c>
      <c r="G455">
        <v>20</v>
      </c>
      <c r="H455">
        <v>24</v>
      </c>
      <c r="I455" t="str">
        <f t="shared" si="28"/>
        <v>1-ene-2024</v>
      </c>
      <c r="K455" s="49">
        <f t="shared" si="30"/>
        <v>45292</v>
      </c>
      <c r="M455" t="b">
        <f t="shared" si="31"/>
        <v>1</v>
      </c>
    </row>
    <row r="456" spans="1:13" x14ac:dyDescent="0.3">
      <c r="A456" s="49">
        <v>45536</v>
      </c>
      <c r="D456" t="s">
        <v>7356</v>
      </c>
      <c r="E456">
        <v>1</v>
      </c>
      <c r="F456" t="str">
        <f t="shared" si="29"/>
        <v>ene</v>
      </c>
      <c r="G456">
        <v>20</v>
      </c>
      <c r="H456">
        <v>23</v>
      </c>
      <c r="I456" t="str">
        <f t="shared" si="28"/>
        <v>1-ene-2023</v>
      </c>
      <c r="K456" s="49">
        <f t="shared" si="30"/>
        <v>44927</v>
      </c>
      <c r="M456" t="b">
        <f t="shared" si="31"/>
        <v>1</v>
      </c>
    </row>
    <row r="457" spans="1:13" x14ac:dyDescent="0.3">
      <c r="A457" s="49">
        <v>45536</v>
      </c>
      <c r="D457" t="s">
        <v>7360</v>
      </c>
      <c r="E457">
        <v>1</v>
      </c>
      <c r="F457" t="str">
        <f t="shared" si="29"/>
        <v>nov</v>
      </c>
      <c r="G457">
        <v>20</v>
      </c>
      <c r="H457">
        <v>22</v>
      </c>
      <c r="I457" t="str">
        <f t="shared" si="28"/>
        <v>1-nov-2022</v>
      </c>
      <c r="K457" s="49">
        <f t="shared" si="30"/>
        <v>44866</v>
      </c>
      <c r="M457" t="b">
        <f t="shared" si="31"/>
        <v>1</v>
      </c>
    </row>
    <row r="458" spans="1:13" x14ac:dyDescent="0.3">
      <c r="A458" s="49">
        <v>45536</v>
      </c>
      <c r="D458" t="s">
        <v>7367</v>
      </c>
      <c r="E458">
        <v>1</v>
      </c>
      <c r="F458" t="str">
        <f t="shared" si="29"/>
        <v>jun</v>
      </c>
      <c r="G458">
        <v>20</v>
      </c>
      <c r="H458">
        <v>23</v>
      </c>
      <c r="I458" t="str">
        <f t="shared" si="28"/>
        <v>1-jun-2023</v>
      </c>
      <c r="K458" s="49">
        <f t="shared" si="30"/>
        <v>45078</v>
      </c>
      <c r="M458" t="b">
        <f t="shared" si="31"/>
        <v>1</v>
      </c>
    </row>
    <row r="459" spans="1:13" x14ac:dyDescent="0.3">
      <c r="A459" s="49">
        <v>45536</v>
      </c>
      <c r="D459" t="s">
        <v>3586</v>
      </c>
      <c r="E459">
        <v>1</v>
      </c>
      <c r="F459" t="str">
        <f t="shared" si="29"/>
        <v>---</v>
      </c>
      <c r="G459">
        <v>20</v>
      </c>
      <c r="H459" t="s">
        <v>3911</v>
      </c>
      <c r="I459" t="str">
        <f t="shared" si="28"/>
        <v>1-----20--</v>
      </c>
      <c r="K459" s="49" t="e">
        <f t="shared" si="30"/>
        <v>#VALUE!</v>
      </c>
      <c r="M459" t="e">
        <f t="shared" si="31"/>
        <v>#VALUE!</v>
      </c>
    </row>
    <row r="460" spans="1:13" x14ac:dyDescent="0.3">
      <c r="A460" s="49">
        <v>45536</v>
      </c>
      <c r="D460" t="s">
        <v>7360</v>
      </c>
      <c r="E460">
        <v>1</v>
      </c>
      <c r="F460" t="str">
        <f t="shared" si="29"/>
        <v>nov</v>
      </c>
      <c r="G460">
        <v>20</v>
      </c>
      <c r="H460">
        <v>25</v>
      </c>
      <c r="I460" t="str">
        <f t="shared" si="28"/>
        <v>1-nov-2025</v>
      </c>
      <c r="K460" s="49">
        <f t="shared" si="30"/>
        <v>45962</v>
      </c>
      <c r="M460" t="b">
        <f t="shared" si="31"/>
        <v>0</v>
      </c>
    </row>
    <row r="461" spans="1:13" x14ac:dyDescent="0.3">
      <c r="A461" s="49">
        <v>45536</v>
      </c>
      <c r="D461" t="s">
        <v>7362</v>
      </c>
      <c r="E461">
        <v>1</v>
      </c>
      <c r="F461" t="str">
        <f t="shared" si="29"/>
        <v>ago</v>
      </c>
      <c r="G461">
        <v>20</v>
      </c>
      <c r="H461">
        <v>24</v>
      </c>
      <c r="I461" t="str">
        <f t="shared" si="28"/>
        <v>1-ago-2024</v>
      </c>
      <c r="K461" s="49">
        <f t="shared" si="30"/>
        <v>45505</v>
      </c>
      <c r="M461" t="b">
        <f t="shared" si="31"/>
        <v>1</v>
      </c>
    </row>
    <row r="462" spans="1:13" x14ac:dyDescent="0.3">
      <c r="A462" s="49">
        <v>45536</v>
      </c>
      <c r="D462" t="s">
        <v>7359</v>
      </c>
      <c r="E462">
        <v>1</v>
      </c>
      <c r="F462" t="str">
        <f t="shared" si="29"/>
        <v>jul</v>
      </c>
      <c r="G462">
        <v>20</v>
      </c>
      <c r="H462">
        <v>24</v>
      </c>
      <c r="I462" t="str">
        <f t="shared" si="28"/>
        <v>1-jul-2024</v>
      </c>
      <c r="K462" s="49">
        <f t="shared" si="30"/>
        <v>45474</v>
      </c>
      <c r="M462" t="b">
        <f t="shared" si="31"/>
        <v>1</v>
      </c>
    </row>
    <row r="463" spans="1:13" x14ac:dyDescent="0.3">
      <c r="A463" s="49">
        <v>45536</v>
      </c>
      <c r="D463" t="s">
        <v>7360</v>
      </c>
      <c r="E463">
        <v>1</v>
      </c>
      <c r="F463" t="str">
        <f t="shared" si="29"/>
        <v>nov</v>
      </c>
      <c r="G463">
        <v>20</v>
      </c>
      <c r="H463">
        <v>26</v>
      </c>
      <c r="I463" t="str">
        <f t="shared" si="28"/>
        <v>1-nov-2026</v>
      </c>
      <c r="K463" s="49">
        <f t="shared" si="30"/>
        <v>46327</v>
      </c>
      <c r="M463" t="b">
        <f t="shared" si="31"/>
        <v>0</v>
      </c>
    </row>
    <row r="464" spans="1:13" x14ac:dyDescent="0.3">
      <c r="A464" s="49">
        <v>45536</v>
      </c>
      <c r="D464" t="s">
        <v>7367</v>
      </c>
      <c r="E464">
        <v>1</v>
      </c>
      <c r="F464" t="str">
        <f t="shared" si="29"/>
        <v>jun</v>
      </c>
      <c r="G464">
        <v>20</v>
      </c>
      <c r="H464">
        <v>20</v>
      </c>
      <c r="I464" t="str">
        <f t="shared" si="28"/>
        <v>1-jun-2020</v>
      </c>
      <c r="K464" s="49">
        <f t="shared" si="30"/>
        <v>43983</v>
      </c>
      <c r="M464" t="b">
        <f t="shared" si="31"/>
        <v>1</v>
      </c>
    </row>
    <row r="465" spans="1:13" x14ac:dyDescent="0.3">
      <c r="A465" s="49">
        <v>45536</v>
      </c>
      <c r="D465" t="s">
        <v>7367</v>
      </c>
      <c r="E465">
        <v>1</v>
      </c>
      <c r="F465" t="str">
        <f t="shared" si="29"/>
        <v>jun</v>
      </c>
      <c r="G465">
        <v>20</v>
      </c>
      <c r="H465">
        <v>20</v>
      </c>
      <c r="I465" t="str">
        <f t="shared" si="28"/>
        <v>1-jun-2020</v>
      </c>
      <c r="K465" s="49">
        <f t="shared" si="30"/>
        <v>43983</v>
      </c>
      <c r="M465" t="b">
        <f t="shared" si="31"/>
        <v>1</v>
      </c>
    </row>
    <row r="466" spans="1:13" x14ac:dyDescent="0.3">
      <c r="A466" s="49">
        <v>45536</v>
      </c>
      <c r="D466" t="s">
        <v>7367</v>
      </c>
      <c r="E466">
        <v>1</v>
      </c>
      <c r="F466" t="str">
        <f t="shared" si="29"/>
        <v>jun</v>
      </c>
      <c r="G466">
        <v>20</v>
      </c>
      <c r="H466">
        <v>23</v>
      </c>
      <c r="I466" t="str">
        <f t="shared" si="28"/>
        <v>1-jun-2023</v>
      </c>
      <c r="K466" s="49">
        <f t="shared" si="30"/>
        <v>45078</v>
      </c>
      <c r="M466" t="b">
        <f t="shared" si="31"/>
        <v>1</v>
      </c>
    </row>
    <row r="467" spans="1:13" x14ac:dyDescent="0.3">
      <c r="A467" s="49">
        <v>45536</v>
      </c>
      <c r="D467" t="s">
        <v>7369</v>
      </c>
      <c r="E467">
        <v>1</v>
      </c>
      <c r="F467" t="str">
        <f t="shared" si="29"/>
        <v>abr</v>
      </c>
      <c r="G467">
        <v>20</v>
      </c>
      <c r="H467">
        <v>24</v>
      </c>
      <c r="I467" t="str">
        <f t="shared" si="28"/>
        <v>1-abr-2024</v>
      </c>
      <c r="K467" s="49">
        <f t="shared" si="30"/>
        <v>45383</v>
      </c>
      <c r="M467" t="b">
        <f t="shared" si="31"/>
        <v>1</v>
      </c>
    </row>
    <row r="468" spans="1:13" x14ac:dyDescent="0.3">
      <c r="A468" s="49">
        <v>45536</v>
      </c>
      <c r="D468" t="s">
        <v>7357</v>
      </c>
      <c r="E468">
        <v>1</v>
      </c>
      <c r="F468" t="str">
        <f t="shared" si="29"/>
        <v>oct</v>
      </c>
      <c r="G468">
        <v>20</v>
      </c>
      <c r="H468">
        <v>23</v>
      </c>
      <c r="I468" t="str">
        <f t="shared" si="28"/>
        <v>1-oct-2023</v>
      </c>
      <c r="K468" s="49">
        <f t="shared" si="30"/>
        <v>45200</v>
      </c>
      <c r="M468" t="b">
        <f t="shared" si="31"/>
        <v>1</v>
      </c>
    </row>
    <row r="469" spans="1:13" x14ac:dyDescent="0.3">
      <c r="A469" s="49">
        <v>45536</v>
      </c>
      <c r="D469" t="s">
        <v>7369</v>
      </c>
      <c r="E469">
        <v>1</v>
      </c>
      <c r="F469" t="str">
        <f t="shared" si="29"/>
        <v>abr</v>
      </c>
      <c r="G469">
        <v>20</v>
      </c>
      <c r="H469">
        <v>24</v>
      </c>
      <c r="I469" t="str">
        <f t="shared" si="28"/>
        <v>1-abr-2024</v>
      </c>
      <c r="K469" s="49">
        <f t="shared" si="30"/>
        <v>45383</v>
      </c>
      <c r="M469" t="b">
        <f t="shared" si="31"/>
        <v>1</v>
      </c>
    </row>
    <row r="470" spans="1:13" x14ac:dyDescent="0.3">
      <c r="A470" s="49">
        <v>45536</v>
      </c>
      <c r="D470" t="s">
        <v>7369</v>
      </c>
      <c r="E470">
        <v>1</v>
      </c>
      <c r="F470" t="str">
        <f t="shared" si="29"/>
        <v>abr</v>
      </c>
      <c r="G470">
        <v>20</v>
      </c>
      <c r="H470">
        <v>24</v>
      </c>
      <c r="I470" t="str">
        <f t="shared" si="28"/>
        <v>1-abr-2024</v>
      </c>
      <c r="K470" s="49">
        <f t="shared" si="30"/>
        <v>45383</v>
      </c>
      <c r="M470" t="b">
        <f t="shared" si="31"/>
        <v>1</v>
      </c>
    </row>
    <row r="471" spans="1:13" x14ac:dyDescent="0.3">
      <c r="A471" s="49">
        <v>45536</v>
      </c>
      <c r="D471" t="s">
        <v>7369</v>
      </c>
      <c r="E471">
        <v>1</v>
      </c>
      <c r="F471" t="str">
        <f t="shared" si="29"/>
        <v>abr</v>
      </c>
      <c r="G471">
        <v>20</v>
      </c>
      <c r="H471">
        <v>24</v>
      </c>
      <c r="I471" t="str">
        <f t="shared" si="28"/>
        <v>1-abr-2024</v>
      </c>
      <c r="K471" s="49">
        <f t="shared" si="30"/>
        <v>45383</v>
      </c>
      <c r="M471" t="b">
        <f t="shared" si="31"/>
        <v>1</v>
      </c>
    </row>
    <row r="472" spans="1:13" x14ac:dyDescent="0.3">
      <c r="A472" s="49">
        <v>45536</v>
      </c>
      <c r="D472" t="s">
        <v>7369</v>
      </c>
      <c r="E472">
        <v>1</v>
      </c>
      <c r="F472" t="str">
        <f t="shared" si="29"/>
        <v>abr</v>
      </c>
      <c r="G472">
        <v>20</v>
      </c>
      <c r="H472">
        <v>24</v>
      </c>
      <c r="I472" t="str">
        <f t="shared" si="28"/>
        <v>1-abr-2024</v>
      </c>
      <c r="K472" s="49">
        <f t="shared" si="30"/>
        <v>45383</v>
      </c>
      <c r="M472" t="b">
        <f t="shared" si="31"/>
        <v>1</v>
      </c>
    </row>
    <row r="473" spans="1:13" x14ac:dyDescent="0.3">
      <c r="A473" s="49">
        <v>45536</v>
      </c>
      <c r="D473" t="s">
        <v>7369</v>
      </c>
      <c r="E473">
        <v>1</v>
      </c>
      <c r="F473" t="str">
        <f t="shared" si="29"/>
        <v>abr</v>
      </c>
      <c r="G473">
        <v>20</v>
      </c>
      <c r="H473">
        <v>24</v>
      </c>
      <c r="I473" t="str">
        <f t="shared" si="28"/>
        <v>1-abr-2024</v>
      </c>
      <c r="K473" s="49">
        <f t="shared" si="30"/>
        <v>45383</v>
      </c>
      <c r="M473" t="b">
        <f t="shared" si="31"/>
        <v>1</v>
      </c>
    </row>
    <row r="474" spans="1:13" x14ac:dyDescent="0.3">
      <c r="A474" s="49">
        <v>45536</v>
      </c>
      <c r="D474" t="s">
        <v>7357</v>
      </c>
      <c r="E474">
        <v>1</v>
      </c>
      <c r="F474" t="str">
        <f t="shared" si="29"/>
        <v>oct</v>
      </c>
      <c r="G474">
        <v>20</v>
      </c>
      <c r="H474">
        <v>23</v>
      </c>
      <c r="I474" t="str">
        <f t="shared" si="28"/>
        <v>1-oct-2023</v>
      </c>
      <c r="K474" s="49">
        <f t="shared" si="30"/>
        <v>45200</v>
      </c>
      <c r="M474" t="b">
        <f t="shared" si="31"/>
        <v>1</v>
      </c>
    </row>
    <row r="475" spans="1:13" x14ac:dyDescent="0.3">
      <c r="A475" s="49">
        <v>45536</v>
      </c>
      <c r="D475" t="s">
        <v>7357</v>
      </c>
      <c r="E475">
        <v>1</v>
      </c>
      <c r="F475" t="str">
        <f t="shared" si="29"/>
        <v>oct</v>
      </c>
      <c r="G475">
        <v>20</v>
      </c>
      <c r="H475">
        <v>23</v>
      </c>
      <c r="I475" t="str">
        <f t="shared" si="28"/>
        <v>1-oct-2023</v>
      </c>
      <c r="K475" s="49">
        <f t="shared" si="30"/>
        <v>45200</v>
      </c>
      <c r="M475" t="b">
        <f t="shared" si="31"/>
        <v>1</v>
      </c>
    </row>
    <row r="476" spans="1:13" x14ac:dyDescent="0.3">
      <c r="A476" s="49">
        <v>45536</v>
      </c>
      <c r="D476" t="s">
        <v>7357</v>
      </c>
      <c r="E476">
        <v>1</v>
      </c>
      <c r="F476" t="str">
        <f t="shared" si="29"/>
        <v>oct</v>
      </c>
      <c r="G476">
        <v>20</v>
      </c>
      <c r="H476">
        <v>23</v>
      </c>
      <c r="I476" t="str">
        <f t="shared" si="28"/>
        <v>1-oct-2023</v>
      </c>
      <c r="K476" s="49">
        <f t="shared" si="30"/>
        <v>45200</v>
      </c>
      <c r="M476" t="b">
        <f t="shared" si="31"/>
        <v>1</v>
      </c>
    </row>
    <row r="477" spans="1:13" x14ac:dyDescent="0.3">
      <c r="A477" s="49">
        <v>45536</v>
      </c>
      <c r="D477" t="s">
        <v>7368</v>
      </c>
      <c r="E477">
        <v>1</v>
      </c>
      <c r="F477" t="str">
        <f t="shared" si="29"/>
        <v>mar</v>
      </c>
      <c r="G477">
        <v>20</v>
      </c>
      <c r="H477">
        <v>23</v>
      </c>
      <c r="I477" t="str">
        <f t="shared" si="28"/>
        <v>1-mar-2023</v>
      </c>
      <c r="K477" s="49">
        <f t="shared" si="30"/>
        <v>44986</v>
      </c>
      <c r="M477" t="b">
        <f t="shared" si="31"/>
        <v>1</v>
      </c>
    </row>
    <row r="478" spans="1:13" x14ac:dyDescent="0.3">
      <c r="A478" s="49">
        <v>45536</v>
      </c>
      <c r="D478" t="s">
        <v>7367</v>
      </c>
      <c r="E478">
        <v>1</v>
      </c>
      <c r="F478" t="str">
        <f t="shared" si="29"/>
        <v>jun</v>
      </c>
      <c r="G478">
        <v>20</v>
      </c>
      <c r="H478">
        <v>23</v>
      </c>
      <c r="I478" t="str">
        <f t="shared" si="28"/>
        <v>1-jun-2023</v>
      </c>
      <c r="K478" s="49">
        <f t="shared" si="30"/>
        <v>45078</v>
      </c>
      <c r="M478" t="b">
        <f t="shared" si="31"/>
        <v>1</v>
      </c>
    </row>
    <row r="479" spans="1:13" x14ac:dyDescent="0.3">
      <c r="A479" s="49">
        <v>45536</v>
      </c>
      <c r="D479" t="s">
        <v>7357</v>
      </c>
      <c r="E479">
        <v>1</v>
      </c>
      <c r="F479" t="str">
        <f t="shared" si="29"/>
        <v>oct</v>
      </c>
      <c r="G479">
        <v>20</v>
      </c>
      <c r="H479">
        <v>23</v>
      </c>
      <c r="I479" t="str">
        <f t="shared" si="28"/>
        <v>1-oct-2023</v>
      </c>
      <c r="K479" s="49">
        <f t="shared" si="30"/>
        <v>45200</v>
      </c>
      <c r="M479" t="b">
        <f t="shared" si="31"/>
        <v>1</v>
      </c>
    </row>
    <row r="480" spans="1:13" x14ac:dyDescent="0.3">
      <c r="A480" s="49">
        <v>45536</v>
      </c>
      <c r="D480" t="s">
        <v>7357</v>
      </c>
      <c r="E480">
        <v>1</v>
      </c>
      <c r="F480" t="str">
        <f t="shared" si="29"/>
        <v>oct</v>
      </c>
      <c r="G480">
        <v>20</v>
      </c>
      <c r="H480">
        <v>23</v>
      </c>
      <c r="I480" t="str">
        <f t="shared" si="28"/>
        <v>1-oct-2023</v>
      </c>
      <c r="K480" s="49">
        <f t="shared" si="30"/>
        <v>45200</v>
      </c>
      <c r="M480" t="b">
        <f t="shared" si="31"/>
        <v>1</v>
      </c>
    </row>
    <row r="481" spans="1:13" x14ac:dyDescent="0.3">
      <c r="A481" s="49">
        <v>45536</v>
      </c>
      <c r="D481" t="s">
        <v>7359</v>
      </c>
      <c r="E481">
        <v>1</v>
      </c>
      <c r="F481" t="str">
        <f t="shared" si="29"/>
        <v>jul</v>
      </c>
      <c r="G481">
        <v>20</v>
      </c>
      <c r="H481">
        <v>24</v>
      </c>
      <c r="I481" t="str">
        <f t="shared" si="28"/>
        <v>1-jul-2024</v>
      </c>
      <c r="K481" s="49">
        <f t="shared" si="30"/>
        <v>45474</v>
      </c>
      <c r="M481" t="b">
        <f t="shared" si="31"/>
        <v>1</v>
      </c>
    </row>
    <row r="482" spans="1:13" x14ac:dyDescent="0.3">
      <c r="A482" s="49">
        <v>45536</v>
      </c>
      <c r="D482" t="s">
        <v>7359</v>
      </c>
      <c r="E482">
        <v>1</v>
      </c>
      <c r="F482" t="str">
        <f t="shared" si="29"/>
        <v>jul</v>
      </c>
      <c r="G482">
        <v>20</v>
      </c>
      <c r="H482">
        <v>24</v>
      </c>
      <c r="I482" t="str">
        <f t="shared" si="28"/>
        <v>1-jul-2024</v>
      </c>
      <c r="K482" s="49">
        <f t="shared" si="30"/>
        <v>45474</v>
      </c>
      <c r="M482" t="b">
        <f t="shared" si="31"/>
        <v>1</v>
      </c>
    </row>
    <row r="483" spans="1:13" x14ac:dyDescent="0.3">
      <c r="A483" s="49">
        <v>45536</v>
      </c>
      <c r="D483" t="s">
        <v>7363</v>
      </c>
      <c r="E483">
        <v>1</v>
      </c>
      <c r="F483" t="str">
        <f t="shared" si="29"/>
        <v>feb</v>
      </c>
      <c r="G483">
        <v>20</v>
      </c>
      <c r="H483">
        <v>24</v>
      </c>
      <c r="I483" t="str">
        <f t="shared" si="28"/>
        <v>1-feb-2024</v>
      </c>
      <c r="K483" s="49">
        <f t="shared" si="30"/>
        <v>45323</v>
      </c>
      <c r="M483" t="b">
        <f t="shared" si="31"/>
        <v>1</v>
      </c>
    </row>
    <row r="484" spans="1:13" x14ac:dyDescent="0.3">
      <c r="A484" s="49">
        <v>45536</v>
      </c>
      <c r="D484" t="s">
        <v>7363</v>
      </c>
      <c r="E484">
        <v>1</v>
      </c>
      <c r="F484" t="str">
        <f t="shared" si="29"/>
        <v>feb</v>
      </c>
      <c r="G484">
        <v>20</v>
      </c>
      <c r="H484">
        <v>24</v>
      </c>
      <c r="I484" t="str">
        <f t="shared" si="28"/>
        <v>1-feb-2024</v>
      </c>
      <c r="K484" s="49">
        <f t="shared" si="30"/>
        <v>45323</v>
      </c>
      <c r="M484" t="b">
        <f t="shared" si="31"/>
        <v>1</v>
      </c>
    </row>
    <row r="485" spans="1:13" x14ac:dyDescent="0.3">
      <c r="A485" s="49">
        <v>45536</v>
      </c>
      <c r="D485" t="s">
        <v>7363</v>
      </c>
      <c r="E485">
        <v>1</v>
      </c>
      <c r="F485" t="str">
        <f t="shared" si="29"/>
        <v>feb</v>
      </c>
      <c r="G485">
        <v>20</v>
      </c>
      <c r="H485">
        <v>24</v>
      </c>
      <c r="I485" t="str">
        <f t="shared" si="28"/>
        <v>1-feb-2024</v>
      </c>
      <c r="K485" s="49">
        <f t="shared" si="30"/>
        <v>45323</v>
      </c>
      <c r="M485" t="b">
        <f t="shared" si="31"/>
        <v>1</v>
      </c>
    </row>
    <row r="486" spans="1:13" x14ac:dyDescent="0.3">
      <c r="A486" s="49">
        <v>45536</v>
      </c>
      <c r="D486" t="s">
        <v>7363</v>
      </c>
      <c r="E486">
        <v>1</v>
      </c>
      <c r="F486" t="str">
        <f t="shared" si="29"/>
        <v>feb</v>
      </c>
      <c r="G486">
        <v>20</v>
      </c>
      <c r="H486">
        <v>24</v>
      </c>
      <c r="I486" t="str">
        <f t="shared" si="28"/>
        <v>1-feb-2024</v>
      </c>
      <c r="K486" s="49">
        <f t="shared" si="30"/>
        <v>45323</v>
      </c>
      <c r="M486" t="b">
        <f t="shared" si="31"/>
        <v>1</v>
      </c>
    </row>
    <row r="487" spans="1:13" x14ac:dyDescent="0.3">
      <c r="A487" s="49">
        <v>45536</v>
      </c>
      <c r="D487" t="s">
        <v>7363</v>
      </c>
      <c r="E487">
        <v>1</v>
      </c>
      <c r="F487" t="str">
        <f t="shared" si="29"/>
        <v>feb</v>
      </c>
      <c r="G487">
        <v>20</v>
      </c>
      <c r="H487">
        <v>24</v>
      </c>
      <c r="I487" t="str">
        <f t="shared" si="28"/>
        <v>1-feb-2024</v>
      </c>
      <c r="K487" s="49">
        <f t="shared" si="30"/>
        <v>45323</v>
      </c>
      <c r="M487" t="b">
        <f t="shared" si="31"/>
        <v>1</v>
      </c>
    </row>
    <row r="488" spans="1:13" x14ac:dyDescent="0.3">
      <c r="A488" s="49">
        <v>45536</v>
      </c>
      <c r="D488" t="s">
        <v>7363</v>
      </c>
      <c r="E488">
        <v>1</v>
      </c>
      <c r="F488" t="str">
        <f t="shared" si="29"/>
        <v>feb</v>
      </c>
      <c r="G488">
        <v>20</v>
      </c>
      <c r="H488">
        <v>24</v>
      </c>
      <c r="I488" t="str">
        <f t="shared" si="28"/>
        <v>1-feb-2024</v>
      </c>
      <c r="K488" s="49">
        <f t="shared" si="30"/>
        <v>45323</v>
      </c>
      <c r="M488" t="b">
        <f t="shared" si="31"/>
        <v>1</v>
      </c>
    </row>
    <row r="489" spans="1:13" x14ac:dyDescent="0.3">
      <c r="A489" s="49">
        <v>45536</v>
      </c>
      <c r="D489" t="s">
        <v>7363</v>
      </c>
      <c r="E489">
        <v>1</v>
      </c>
      <c r="F489" t="str">
        <f t="shared" si="29"/>
        <v>feb</v>
      </c>
      <c r="G489">
        <v>20</v>
      </c>
      <c r="H489">
        <v>23</v>
      </c>
      <c r="I489" t="str">
        <f t="shared" si="28"/>
        <v>1-feb-2023</v>
      </c>
      <c r="K489" s="49">
        <f t="shared" si="30"/>
        <v>44958</v>
      </c>
      <c r="M489" t="b">
        <f t="shared" si="31"/>
        <v>1</v>
      </c>
    </row>
    <row r="490" spans="1:13" x14ac:dyDescent="0.3">
      <c r="A490" s="49">
        <v>45536</v>
      </c>
      <c r="D490" t="s">
        <v>7363</v>
      </c>
      <c r="E490">
        <v>1</v>
      </c>
      <c r="F490" t="str">
        <f t="shared" si="29"/>
        <v>feb</v>
      </c>
      <c r="G490">
        <v>20</v>
      </c>
      <c r="H490">
        <v>23</v>
      </c>
      <c r="I490" t="str">
        <f t="shared" si="28"/>
        <v>1-feb-2023</v>
      </c>
      <c r="K490" s="49">
        <f t="shared" si="30"/>
        <v>44958</v>
      </c>
      <c r="M490" t="b">
        <f t="shared" si="31"/>
        <v>1</v>
      </c>
    </row>
    <row r="491" spans="1:13" x14ac:dyDescent="0.3">
      <c r="A491" s="49">
        <v>45536</v>
      </c>
      <c r="D491" t="s">
        <v>7363</v>
      </c>
      <c r="E491">
        <v>1</v>
      </c>
      <c r="F491" t="str">
        <f t="shared" si="29"/>
        <v>feb</v>
      </c>
      <c r="G491">
        <v>20</v>
      </c>
      <c r="H491">
        <v>23</v>
      </c>
      <c r="I491" t="str">
        <f t="shared" si="28"/>
        <v>1-feb-2023</v>
      </c>
      <c r="K491" s="49">
        <f t="shared" si="30"/>
        <v>44958</v>
      </c>
      <c r="M491" t="b">
        <f t="shared" si="31"/>
        <v>1</v>
      </c>
    </row>
    <row r="492" spans="1:13" x14ac:dyDescent="0.3">
      <c r="A492" s="49">
        <v>45536</v>
      </c>
      <c r="D492" t="s">
        <v>7363</v>
      </c>
      <c r="E492">
        <v>1</v>
      </c>
      <c r="F492" t="str">
        <f t="shared" si="29"/>
        <v>feb</v>
      </c>
      <c r="G492">
        <v>20</v>
      </c>
      <c r="H492">
        <v>23</v>
      </c>
      <c r="I492" t="str">
        <f t="shared" si="28"/>
        <v>1-feb-2023</v>
      </c>
      <c r="K492" s="49">
        <f t="shared" si="30"/>
        <v>44958</v>
      </c>
      <c r="M492" t="b">
        <f t="shared" si="31"/>
        <v>1</v>
      </c>
    </row>
    <row r="493" spans="1:13" x14ac:dyDescent="0.3">
      <c r="A493" s="49">
        <v>45536</v>
      </c>
      <c r="D493" t="s">
        <v>7363</v>
      </c>
      <c r="E493">
        <v>1</v>
      </c>
      <c r="F493" t="str">
        <f t="shared" si="29"/>
        <v>feb</v>
      </c>
      <c r="G493">
        <v>20</v>
      </c>
      <c r="H493">
        <v>23</v>
      </c>
      <c r="I493" t="str">
        <f t="shared" si="28"/>
        <v>1-feb-2023</v>
      </c>
      <c r="K493" s="49">
        <f t="shared" si="30"/>
        <v>44958</v>
      </c>
      <c r="M493" t="b">
        <f t="shared" si="31"/>
        <v>1</v>
      </c>
    </row>
    <row r="494" spans="1:13" x14ac:dyDescent="0.3">
      <c r="A494" s="49">
        <v>45536</v>
      </c>
      <c r="D494" t="s">
        <v>7363</v>
      </c>
      <c r="E494">
        <v>1</v>
      </c>
      <c r="F494" t="str">
        <f t="shared" si="29"/>
        <v>feb</v>
      </c>
      <c r="G494">
        <v>20</v>
      </c>
      <c r="H494">
        <v>23</v>
      </c>
      <c r="I494" t="str">
        <f t="shared" si="28"/>
        <v>1-feb-2023</v>
      </c>
      <c r="K494" s="49">
        <f t="shared" si="30"/>
        <v>44958</v>
      </c>
      <c r="M494" t="b">
        <f t="shared" si="31"/>
        <v>1</v>
      </c>
    </row>
    <row r="495" spans="1:13" x14ac:dyDescent="0.3">
      <c r="A495" s="49">
        <v>45536</v>
      </c>
      <c r="D495" t="s">
        <v>7359</v>
      </c>
      <c r="E495">
        <v>1</v>
      </c>
      <c r="F495" t="str">
        <f t="shared" si="29"/>
        <v>jul</v>
      </c>
      <c r="G495">
        <v>20</v>
      </c>
      <c r="H495">
        <v>24</v>
      </c>
      <c r="I495" t="str">
        <f t="shared" si="28"/>
        <v>1-jul-2024</v>
      </c>
      <c r="K495" s="49">
        <f t="shared" si="30"/>
        <v>45474</v>
      </c>
      <c r="M495" t="b">
        <f t="shared" si="31"/>
        <v>1</v>
      </c>
    </row>
    <row r="496" spans="1:13" x14ac:dyDescent="0.3">
      <c r="A496" s="49">
        <v>45536</v>
      </c>
      <c r="D496" t="s">
        <v>7360</v>
      </c>
      <c r="E496">
        <v>1</v>
      </c>
      <c r="F496" t="str">
        <f t="shared" si="29"/>
        <v>nov</v>
      </c>
      <c r="G496">
        <v>20</v>
      </c>
      <c r="H496">
        <v>22</v>
      </c>
      <c r="I496" t="str">
        <f t="shared" si="28"/>
        <v>1-nov-2022</v>
      </c>
      <c r="K496" s="49">
        <f t="shared" si="30"/>
        <v>44866</v>
      </c>
      <c r="M496" t="b">
        <f t="shared" si="31"/>
        <v>1</v>
      </c>
    </row>
    <row r="497" spans="1:13" x14ac:dyDescent="0.3">
      <c r="A497" s="49">
        <v>45536</v>
      </c>
      <c r="D497" t="s">
        <v>7370</v>
      </c>
      <c r="E497">
        <v>1</v>
      </c>
      <c r="F497" t="str">
        <f t="shared" si="29"/>
        <v>may</v>
      </c>
      <c r="G497">
        <v>20</v>
      </c>
      <c r="H497">
        <v>22</v>
      </c>
      <c r="I497" t="str">
        <f t="shared" si="28"/>
        <v>1-may-2022</v>
      </c>
      <c r="K497" s="49">
        <f t="shared" si="30"/>
        <v>44682</v>
      </c>
      <c r="M497" t="b">
        <f t="shared" si="31"/>
        <v>1</v>
      </c>
    </row>
    <row r="498" spans="1:13" x14ac:dyDescent="0.3">
      <c r="A498" s="49">
        <v>45536</v>
      </c>
      <c r="D498" t="s">
        <v>7363</v>
      </c>
      <c r="E498">
        <v>1</v>
      </c>
      <c r="F498" t="str">
        <f t="shared" si="29"/>
        <v>feb</v>
      </c>
      <c r="G498">
        <v>20</v>
      </c>
      <c r="H498">
        <v>23</v>
      </c>
      <c r="I498" t="str">
        <f t="shared" si="28"/>
        <v>1-feb-2023</v>
      </c>
      <c r="K498" s="49">
        <f t="shared" si="30"/>
        <v>44958</v>
      </c>
      <c r="M498" t="b">
        <f t="shared" si="31"/>
        <v>1</v>
      </c>
    </row>
    <row r="499" spans="1:13" x14ac:dyDescent="0.3">
      <c r="A499" s="49">
        <v>45536</v>
      </c>
      <c r="D499" t="s">
        <v>7359</v>
      </c>
      <c r="E499">
        <v>1</v>
      </c>
      <c r="F499" t="str">
        <f t="shared" si="29"/>
        <v>jul</v>
      </c>
      <c r="G499">
        <v>20</v>
      </c>
      <c r="H499">
        <v>23</v>
      </c>
      <c r="I499" t="str">
        <f t="shared" si="28"/>
        <v>1-jul-2023</v>
      </c>
      <c r="K499" s="49">
        <f t="shared" si="30"/>
        <v>45108</v>
      </c>
      <c r="M499" t="b">
        <f t="shared" si="31"/>
        <v>1</v>
      </c>
    </row>
    <row r="500" spans="1:13" x14ac:dyDescent="0.3">
      <c r="A500" s="49">
        <v>45536</v>
      </c>
      <c r="D500" t="s">
        <v>7362</v>
      </c>
      <c r="E500">
        <v>1</v>
      </c>
      <c r="F500" t="str">
        <f t="shared" si="29"/>
        <v>ago</v>
      </c>
      <c r="G500">
        <v>20</v>
      </c>
      <c r="H500">
        <v>23</v>
      </c>
      <c r="I500" t="str">
        <f t="shared" si="28"/>
        <v>1-ago-2023</v>
      </c>
      <c r="K500" s="49">
        <f t="shared" si="30"/>
        <v>45139</v>
      </c>
      <c r="M500" t="b">
        <f t="shared" si="31"/>
        <v>1</v>
      </c>
    </row>
    <row r="501" spans="1:13" x14ac:dyDescent="0.3">
      <c r="A501" s="49">
        <v>45536</v>
      </c>
      <c r="D501" t="s">
        <v>7362</v>
      </c>
      <c r="E501">
        <v>1</v>
      </c>
      <c r="F501" t="str">
        <f t="shared" si="29"/>
        <v>ago</v>
      </c>
      <c r="G501">
        <v>20</v>
      </c>
      <c r="H501">
        <v>23</v>
      </c>
      <c r="I501" t="str">
        <f t="shared" si="28"/>
        <v>1-ago-2023</v>
      </c>
      <c r="K501" s="49">
        <f t="shared" si="30"/>
        <v>45139</v>
      </c>
      <c r="M501" t="b">
        <f t="shared" si="31"/>
        <v>1</v>
      </c>
    </row>
    <row r="502" spans="1:13" x14ac:dyDescent="0.3">
      <c r="A502" s="49">
        <v>45536</v>
      </c>
      <c r="D502" t="s">
        <v>7360</v>
      </c>
      <c r="E502">
        <v>1</v>
      </c>
      <c r="F502" t="str">
        <f t="shared" si="29"/>
        <v>nov</v>
      </c>
      <c r="G502">
        <v>20</v>
      </c>
      <c r="H502">
        <v>23</v>
      </c>
      <c r="I502" t="str">
        <f t="shared" si="28"/>
        <v>1-nov-2023</v>
      </c>
      <c r="K502" s="49">
        <f t="shared" si="30"/>
        <v>45231</v>
      </c>
      <c r="M502" t="b">
        <f t="shared" si="31"/>
        <v>1</v>
      </c>
    </row>
    <row r="503" spans="1:13" x14ac:dyDescent="0.3">
      <c r="A503" s="49">
        <v>45536</v>
      </c>
      <c r="D503" t="s">
        <v>7360</v>
      </c>
      <c r="E503">
        <v>1</v>
      </c>
      <c r="F503" t="str">
        <f t="shared" si="29"/>
        <v>nov</v>
      </c>
      <c r="G503">
        <v>20</v>
      </c>
      <c r="H503">
        <v>23</v>
      </c>
      <c r="I503" t="str">
        <f t="shared" si="28"/>
        <v>1-nov-2023</v>
      </c>
      <c r="K503" s="49">
        <f t="shared" si="30"/>
        <v>45231</v>
      </c>
      <c r="M503" t="b">
        <f t="shared" si="31"/>
        <v>1</v>
      </c>
    </row>
    <row r="504" spans="1:13" x14ac:dyDescent="0.3">
      <c r="A504" s="49">
        <v>45536</v>
      </c>
      <c r="D504" t="s">
        <v>7360</v>
      </c>
      <c r="E504">
        <v>1</v>
      </c>
      <c r="F504" t="str">
        <f t="shared" si="29"/>
        <v>nov</v>
      </c>
      <c r="G504">
        <v>20</v>
      </c>
      <c r="H504">
        <v>23</v>
      </c>
      <c r="I504" t="str">
        <f t="shared" si="28"/>
        <v>1-nov-2023</v>
      </c>
      <c r="K504" s="49">
        <f t="shared" si="30"/>
        <v>45231</v>
      </c>
      <c r="M504" t="b">
        <f t="shared" si="31"/>
        <v>1</v>
      </c>
    </row>
    <row r="505" spans="1:13" x14ac:dyDescent="0.3">
      <c r="A505" s="49">
        <v>45536</v>
      </c>
      <c r="D505" t="s">
        <v>7357</v>
      </c>
      <c r="E505">
        <v>1</v>
      </c>
      <c r="F505" t="str">
        <f t="shared" si="29"/>
        <v>oct</v>
      </c>
      <c r="G505">
        <v>20</v>
      </c>
      <c r="H505">
        <v>24</v>
      </c>
      <c r="I505" t="str">
        <f t="shared" si="28"/>
        <v>1-oct-2024</v>
      </c>
      <c r="K505" s="49">
        <f t="shared" si="30"/>
        <v>45566</v>
      </c>
      <c r="M505" t="b">
        <f t="shared" si="31"/>
        <v>0</v>
      </c>
    </row>
    <row r="506" spans="1:13" x14ac:dyDescent="0.3">
      <c r="A506" s="49">
        <v>45536</v>
      </c>
      <c r="D506" t="s">
        <v>7368</v>
      </c>
      <c r="E506">
        <v>1</v>
      </c>
      <c r="F506" t="str">
        <f t="shared" si="29"/>
        <v>mar</v>
      </c>
      <c r="G506">
        <v>20</v>
      </c>
      <c r="H506">
        <v>23</v>
      </c>
      <c r="I506" t="str">
        <f t="shared" si="28"/>
        <v>1-mar-2023</v>
      </c>
      <c r="K506" s="49">
        <f t="shared" si="30"/>
        <v>44986</v>
      </c>
      <c r="M506" t="b">
        <f t="shared" si="31"/>
        <v>1</v>
      </c>
    </row>
    <row r="507" spans="1:13" x14ac:dyDescent="0.3">
      <c r="A507" s="49">
        <v>45536</v>
      </c>
      <c r="D507" t="s">
        <v>7369</v>
      </c>
      <c r="E507">
        <v>1</v>
      </c>
      <c r="F507" t="str">
        <f t="shared" si="29"/>
        <v>abr</v>
      </c>
      <c r="G507">
        <v>20</v>
      </c>
      <c r="H507">
        <v>24</v>
      </c>
      <c r="I507" t="str">
        <f t="shared" si="28"/>
        <v>1-abr-2024</v>
      </c>
      <c r="K507" s="49">
        <f t="shared" si="30"/>
        <v>45383</v>
      </c>
      <c r="M507" t="b">
        <f t="shared" si="31"/>
        <v>1</v>
      </c>
    </row>
    <row r="508" spans="1:13" x14ac:dyDescent="0.3">
      <c r="A508" s="49">
        <v>45536</v>
      </c>
      <c r="D508" t="s">
        <v>7367</v>
      </c>
      <c r="E508">
        <v>1</v>
      </c>
      <c r="F508" t="str">
        <f t="shared" si="29"/>
        <v>jun</v>
      </c>
      <c r="G508">
        <v>20</v>
      </c>
      <c r="H508">
        <v>24</v>
      </c>
      <c r="I508" t="str">
        <f t="shared" si="28"/>
        <v>1-jun-2024</v>
      </c>
      <c r="K508" s="49">
        <f t="shared" si="30"/>
        <v>45444</v>
      </c>
      <c r="M508" t="b">
        <f t="shared" si="31"/>
        <v>1</v>
      </c>
    </row>
    <row r="509" spans="1:13" x14ac:dyDescent="0.3">
      <c r="A509" s="49">
        <v>45536</v>
      </c>
      <c r="D509" t="s">
        <v>7360</v>
      </c>
      <c r="E509">
        <v>1</v>
      </c>
      <c r="F509" t="str">
        <f t="shared" si="29"/>
        <v>nov</v>
      </c>
      <c r="G509">
        <v>20</v>
      </c>
      <c r="H509">
        <v>23</v>
      </c>
      <c r="I509" t="str">
        <f t="shared" si="28"/>
        <v>1-nov-2023</v>
      </c>
      <c r="K509" s="49">
        <f t="shared" si="30"/>
        <v>45231</v>
      </c>
      <c r="M509" t="b">
        <f t="shared" si="31"/>
        <v>1</v>
      </c>
    </row>
    <row r="510" spans="1:13" x14ac:dyDescent="0.3">
      <c r="A510" s="49">
        <v>45536</v>
      </c>
      <c r="D510" t="s">
        <v>7369</v>
      </c>
      <c r="E510">
        <v>1</v>
      </c>
      <c r="F510" t="str">
        <f t="shared" si="29"/>
        <v>abr</v>
      </c>
      <c r="G510">
        <v>20</v>
      </c>
      <c r="H510">
        <v>24</v>
      </c>
      <c r="I510" t="str">
        <f t="shared" si="28"/>
        <v>1-abr-2024</v>
      </c>
      <c r="K510" s="49">
        <f t="shared" si="30"/>
        <v>45383</v>
      </c>
      <c r="M510" t="b">
        <f t="shared" si="31"/>
        <v>1</v>
      </c>
    </row>
    <row r="511" spans="1:13" x14ac:dyDescent="0.3">
      <c r="A511" s="49">
        <v>45536</v>
      </c>
      <c r="D511" t="s">
        <v>7369</v>
      </c>
      <c r="E511">
        <v>1</v>
      </c>
      <c r="F511" t="str">
        <f t="shared" si="29"/>
        <v>abr</v>
      </c>
      <c r="G511">
        <v>20</v>
      </c>
      <c r="H511">
        <v>24</v>
      </c>
      <c r="I511" t="str">
        <f t="shared" si="28"/>
        <v>1-abr-2024</v>
      </c>
      <c r="K511" s="49">
        <f t="shared" si="30"/>
        <v>45383</v>
      </c>
      <c r="M511" t="b">
        <f t="shared" si="31"/>
        <v>1</v>
      </c>
    </row>
    <row r="512" spans="1:13" x14ac:dyDescent="0.3">
      <c r="A512" s="49">
        <v>45536</v>
      </c>
      <c r="D512" t="s">
        <v>7369</v>
      </c>
      <c r="E512">
        <v>1</v>
      </c>
      <c r="F512" t="str">
        <f t="shared" si="29"/>
        <v>abr</v>
      </c>
      <c r="G512">
        <v>20</v>
      </c>
      <c r="H512">
        <v>24</v>
      </c>
      <c r="I512" t="str">
        <f t="shared" si="28"/>
        <v>1-abr-2024</v>
      </c>
      <c r="K512" s="49">
        <f t="shared" si="30"/>
        <v>45383</v>
      </c>
      <c r="M512" t="b">
        <f t="shared" si="31"/>
        <v>1</v>
      </c>
    </row>
    <row r="513" spans="1:13" x14ac:dyDescent="0.3">
      <c r="A513" s="49">
        <v>45536</v>
      </c>
      <c r="D513" t="s">
        <v>7369</v>
      </c>
      <c r="E513">
        <v>1</v>
      </c>
      <c r="F513" t="str">
        <f t="shared" si="29"/>
        <v>abr</v>
      </c>
      <c r="G513">
        <v>20</v>
      </c>
      <c r="H513">
        <v>24</v>
      </c>
      <c r="I513" t="str">
        <f t="shared" ref="I513:I576" si="32">_xlfn.CONCAT(E513,"-",F513,"-",G513,H513)</f>
        <v>1-abr-2024</v>
      </c>
      <c r="K513" s="49">
        <f t="shared" si="30"/>
        <v>45383</v>
      </c>
      <c r="M513" t="b">
        <f t="shared" si="31"/>
        <v>1</v>
      </c>
    </row>
    <row r="514" spans="1:13" x14ac:dyDescent="0.3">
      <c r="A514" s="49">
        <v>45536</v>
      </c>
      <c r="D514" t="s">
        <v>7369</v>
      </c>
      <c r="E514">
        <v>1</v>
      </c>
      <c r="F514" t="str">
        <f t="shared" ref="F514:F577" si="33">LOWER(D514)</f>
        <v>abr</v>
      </c>
      <c r="G514">
        <v>20</v>
      </c>
      <c r="H514">
        <v>24</v>
      </c>
      <c r="I514" t="str">
        <f t="shared" si="32"/>
        <v>1-abr-2024</v>
      </c>
      <c r="K514" s="49">
        <f t="shared" ref="K514:K577" si="34">DATEVALUE(I514)</f>
        <v>45383</v>
      </c>
      <c r="M514" t="b">
        <f t="shared" si="31"/>
        <v>1</v>
      </c>
    </row>
    <row r="515" spans="1:13" x14ac:dyDescent="0.3">
      <c r="A515" s="49">
        <v>45536</v>
      </c>
      <c r="D515" t="s">
        <v>7369</v>
      </c>
      <c r="E515">
        <v>1</v>
      </c>
      <c r="F515" t="str">
        <f t="shared" si="33"/>
        <v>abr</v>
      </c>
      <c r="G515">
        <v>20</v>
      </c>
      <c r="H515">
        <v>24</v>
      </c>
      <c r="I515" t="str">
        <f t="shared" si="32"/>
        <v>1-abr-2024</v>
      </c>
      <c r="K515" s="49">
        <f t="shared" si="34"/>
        <v>45383</v>
      </c>
      <c r="M515" t="b">
        <f t="shared" ref="M515:M578" si="35">K515&lt;A515</f>
        <v>1</v>
      </c>
    </row>
    <row r="516" spans="1:13" x14ac:dyDescent="0.3">
      <c r="A516" s="49">
        <v>45536</v>
      </c>
      <c r="D516" t="s">
        <v>7369</v>
      </c>
      <c r="E516">
        <v>1</v>
      </c>
      <c r="F516" t="str">
        <f t="shared" si="33"/>
        <v>abr</v>
      </c>
      <c r="G516">
        <v>20</v>
      </c>
      <c r="H516">
        <v>24</v>
      </c>
      <c r="I516" t="str">
        <f t="shared" si="32"/>
        <v>1-abr-2024</v>
      </c>
      <c r="K516" s="49">
        <f t="shared" si="34"/>
        <v>45383</v>
      </c>
      <c r="M516" t="b">
        <f t="shared" si="35"/>
        <v>1</v>
      </c>
    </row>
    <row r="517" spans="1:13" x14ac:dyDescent="0.3">
      <c r="A517" s="49">
        <v>45536</v>
      </c>
      <c r="D517" t="s">
        <v>7369</v>
      </c>
      <c r="E517">
        <v>1</v>
      </c>
      <c r="F517" t="str">
        <f t="shared" si="33"/>
        <v>abr</v>
      </c>
      <c r="G517">
        <v>20</v>
      </c>
      <c r="H517">
        <v>24</v>
      </c>
      <c r="I517" t="str">
        <f t="shared" si="32"/>
        <v>1-abr-2024</v>
      </c>
      <c r="K517" s="49">
        <f t="shared" si="34"/>
        <v>45383</v>
      </c>
      <c r="M517" t="b">
        <f t="shared" si="35"/>
        <v>1</v>
      </c>
    </row>
    <row r="518" spans="1:13" x14ac:dyDescent="0.3">
      <c r="A518" s="49">
        <v>45536</v>
      </c>
      <c r="D518" t="s">
        <v>7369</v>
      </c>
      <c r="E518">
        <v>1</v>
      </c>
      <c r="F518" t="str">
        <f t="shared" si="33"/>
        <v>abr</v>
      </c>
      <c r="G518">
        <v>20</v>
      </c>
      <c r="H518">
        <v>24</v>
      </c>
      <c r="I518" t="str">
        <f t="shared" si="32"/>
        <v>1-abr-2024</v>
      </c>
      <c r="K518" s="49">
        <f t="shared" si="34"/>
        <v>45383</v>
      </c>
      <c r="M518" t="b">
        <f t="shared" si="35"/>
        <v>1</v>
      </c>
    </row>
    <row r="519" spans="1:13" x14ac:dyDescent="0.3">
      <c r="A519" s="49">
        <v>45536</v>
      </c>
      <c r="D519" t="s">
        <v>7369</v>
      </c>
      <c r="E519">
        <v>1</v>
      </c>
      <c r="F519" t="str">
        <f t="shared" si="33"/>
        <v>abr</v>
      </c>
      <c r="G519">
        <v>20</v>
      </c>
      <c r="H519">
        <v>24</v>
      </c>
      <c r="I519" t="str">
        <f t="shared" si="32"/>
        <v>1-abr-2024</v>
      </c>
      <c r="K519" s="49">
        <f t="shared" si="34"/>
        <v>45383</v>
      </c>
      <c r="M519" t="b">
        <f t="shared" si="35"/>
        <v>1</v>
      </c>
    </row>
    <row r="520" spans="1:13" x14ac:dyDescent="0.3">
      <c r="A520" s="49">
        <v>45536</v>
      </c>
      <c r="D520" t="s">
        <v>7374</v>
      </c>
      <c r="E520">
        <v>1</v>
      </c>
      <c r="F520" t="str">
        <f t="shared" si="33"/>
        <v>ago</v>
      </c>
      <c r="G520">
        <v>20</v>
      </c>
      <c r="H520">
        <v>23</v>
      </c>
      <c r="I520" t="str">
        <f t="shared" si="32"/>
        <v>1-ago-2023</v>
      </c>
      <c r="K520" s="49">
        <f t="shared" si="34"/>
        <v>45139</v>
      </c>
      <c r="M520" t="b">
        <f t="shared" si="35"/>
        <v>1</v>
      </c>
    </row>
    <row r="521" spans="1:13" x14ac:dyDescent="0.3">
      <c r="A521" s="49">
        <v>45536</v>
      </c>
      <c r="D521" t="s">
        <v>7360</v>
      </c>
      <c r="E521">
        <v>1</v>
      </c>
      <c r="F521" t="str">
        <f t="shared" si="33"/>
        <v>nov</v>
      </c>
      <c r="G521">
        <v>20</v>
      </c>
      <c r="H521">
        <v>24</v>
      </c>
      <c r="I521" t="str">
        <f t="shared" si="32"/>
        <v>1-nov-2024</v>
      </c>
      <c r="K521" s="49">
        <f t="shared" si="34"/>
        <v>45597</v>
      </c>
      <c r="M521" t="b">
        <f t="shared" si="35"/>
        <v>0</v>
      </c>
    </row>
    <row r="522" spans="1:13" x14ac:dyDescent="0.3">
      <c r="A522" s="49">
        <v>45536</v>
      </c>
      <c r="D522" t="s">
        <v>7362</v>
      </c>
      <c r="E522">
        <v>1</v>
      </c>
      <c r="F522" t="str">
        <f t="shared" si="33"/>
        <v>ago</v>
      </c>
      <c r="G522">
        <v>20</v>
      </c>
      <c r="H522">
        <v>21</v>
      </c>
      <c r="I522" t="str">
        <f t="shared" si="32"/>
        <v>1-ago-2021</v>
      </c>
      <c r="K522" s="49">
        <f t="shared" si="34"/>
        <v>44409</v>
      </c>
      <c r="M522" t="b">
        <f t="shared" si="35"/>
        <v>1</v>
      </c>
    </row>
    <row r="523" spans="1:13" x14ac:dyDescent="0.3">
      <c r="A523" s="49">
        <v>45536</v>
      </c>
      <c r="D523" t="s">
        <v>7356</v>
      </c>
      <c r="E523">
        <v>1</v>
      </c>
      <c r="F523" t="str">
        <f t="shared" si="33"/>
        <v>ene</v>
      </c>
      <c r="G523">
        <v>20</v>
      </c>
      <c r="H523">
        <v>25</v>
      </c>
      <c r="I523" t="str">
        <f t="shared" si="32"/>
        <v>1-ene-2025</v>
      </c>
      <c r="K523" s="49">
        <f t="shared" si="34"/>
        <v>45658</v>
      </c>
      <c r="M523" t="b">
        <f t="shared" si="35"/>
        <v>0</v>
      </c>
    </row>
    <row r="524" spans="1:13" x14ac:dyDescent="0.3">
      <c r="A524" s="49">
        <v>45536</v>
      </c>
      <c r="D524" t="s">
        <v>7356</v>
      </c>
      <c r="E524">
        <v>1</v>
      </c>
      <c r="F524" t="str">
        <f t="shared" si="33"/>
        <v>ene</v>
      </c>
      <c r="G524">
        <v>20</v>
      </c>
      <c r="H524">
        <v>25</v>
      </c>
      <c r="I524" t="str">
        <f t="shared" si="32"/>
        <v>1-ene-2025</v>
      </c>
      <c r="K524" s="49">
        <f t="shared" si="34"/>
        <v>45658</v>
      </c>
      <c r="M524" t="b">
        <f t="shared" si="35"/>
        <v>0</v>
      </c>
    </row>
    <row r="525" spans="1:13" x14ac:dyDescent="0.3">
      <c r="A525" s="49">
        <v>45536</v>
      </c>
      <c r="D525" t="s">
        <v>7369</v>
      </c>
      <c r="E525">
        <v>1</v>
      </c>
      <c r="F525" t="str">
        <f t="shared" si="33"/>
        <v>abr</v>
      </c>
      <c r="G525">
        <v>20</v>
      </c>
      <c r="H525">
        <v>23</v>
      </c>
      <c r="I525" t="str">
        <f t="shared" si="32"/>
        <v>1-abr-2023</v>
      </c>
      <c r="K525" s="49">
        <f t="shared" si="34"/>
        <v>45017</v>
      </c>
      <c r="M525" t="b">
        <f t="shared" si="35"/>
        <v>1</v>
      </c>
    </row>
    <row r="526" spans="1:13" x14ac:dyDescent="0.3">
      <c r="A526" s="49">
        <v>45536</v>
      </c>
      <c r="D526" t="s">
        <v>7362</v>
      </c>
      <c r="E526">
        <v>1</v>
      </c>
      <c r="F526" t="str">
        <f t="shared" si="33"/>
        <v>ago</v>
      </c>
      <c r="G526">
        <v>20</v>
      </c>
      <c r="H526">
        <v>24</v>
      </c>
      <c r="I526" t="str">
        <f t="shared" si="32"/>
        <v>1-ago-2024</v>
      </c>
      <c r="K526" s="49">
        <f t="shared" si="34"/>
        <v>45505</v>
      </c>
      <c r="M526" t="b">
        <f t="shared" si="35"/>
        <v>1</v>
      </c>
    </row>
    <row r="527" spans="1:13" x14ac:dyDescent="0.3">
      <c r="A527" s="49">
        <v>45536</v>
      </c>
      <c r="D527" t="s">
        <v>7370</v>
      </c>
      <c r="E527">
        <v>1</v>
      </c>
      <c r="F527" t="str">
        <f t="shared" si="33"/>
        <v>may</v>
      </c>
      <c r="G527">
        <v>20</v>
      </c>
      <c r="H527">
        <v>23</v>
      </c>
      <c r="I527" t="str">
        <f t="shared" si="32"/>
        <v>1-may-2023</v>
      </c>
      <c r="K527" s="49">
        <f t="shared" si="34"/>
        <v>45047</v>
      </c>
      <c r="M527" t="b">
        <f t="shared" si="35"/>
        <v>1</v>
      </c>
    </row>
    <row r="528" spans="1:13" x14ac:dyDescent="0.3">
      <c r="A528" s="49">
        <v>45536</v>
      </c>
      <c r="D528" t="s">
        <v>7360</v>
      </c>
      <c r="E528">
        <v>1</v>
      </c>
      <c r="F528" t="str">
        <f t="shared" si="33"/>
        <v>nov</v>
      </c>
      <c r="G528">
        <v>20</v>
      </c>
      <c r="H528">
        <v>25</v>
      </c>
      <c r="I528" t="str">
        <f t="shared" si="32"/>
        <v>1-nov-2025</v>
      </c>
      <c r="K528" s="49">
        <f t="shared" si="34"/>
        <v>45962</v>
      </c>
      <c r="M528" t="b">
        <f t="shared" si="35"/>
        <v>0</v>
      </c>
    </row>
    <row r="529" spans="1:13" x14ac:dyDescent="0.3">
      <c r="A529" s="49">
        <v>45536</v>
      </c>
      <c r="D529" t="s">
        <v>7359</v>
      </c>
      <c r="E529">
        <v>1</v>
      </c>
      <c r="F529" t="str">
        <f t="shared" si="33"/>
        <v>jul</v>
      </c>
      <c r="G529">
        <v>20</v>
      </c>
      <c r="H529">
        <v>24</v>
      </c>
      <c r="I529" t="str">
        <f t="shared" si="32"/>
        <v>1-jul-2024</v>
      </c>
      <c r="K529" s="49">
        <f t="shared" si="34"/>
        <v>45474</v>
      </c>
      <c r="M529" t="b">
        <f t="shared" si="35"/>
        <v>1</v>
      </c>
    </row>
    <row r="530" spans="1:13" x14ac:dyDescent="0.3">
      <c r="A530" s="49">
        <v>45536</v>
      </c>
      <c r="D530" t="s">
        <v>7368</v>
      </c>
      <c r="E530">
        <v>1</v>
      </c>
      <c r="F530" t="str">
        <f t="shared" si="33"/>
        <v>mar</v>
      </c>
      <c r="G530">
        <v>20</v>
      </c>
      <c r="H530">
        <v>24</v>
      </c>
      <c r="I530" t="str">
        <f t="shared" si="32"/>
        <v>1-mar-2024</v>
      </c>
      <c r="K530" s="49">
        <f t="shared" si="34"/>
        <v>45352</v>
      </c>
      <c r="M530" t="b">
        <f t="shared" si="35"/>
        <v>1</v>
      </c>
    </row>
    <row r="531" spans="1:13" x14ac:dyDescent="0.3">
      <c r="A531" s="49">
        <v>45536</v>
      </c>
      <c r="D531" t="s">
        <v>7370</v>
      </c>
      <c r="E531">
        <v>1</v>
      </c>
      <c r="F531" t="str">
        <f t="shared" si="33"/>
        <v>may</v>
      </c>
      <c r="G531">
        <v>20</v>
      </c>
      <c r="H531">
        <v>24</v>
      </c>
      <c r="I531" t="str">
        <f t="shared" si="32"/>
        <v>1-may-2024</v>
      </c>
      <c r="K531" s="49">
        <f t="shared" si="34"/>
        <v>45413</v>
      </c>
      <c r="M531" t="b">
        <f t="shared" si="35"/>
        <v>1</v>
      </c>
    </row>
    <row r="532" spans="1:13" x14ac:dyDescent="0.3">
      <c r="A532" s="49">
        <v>45536</v>
      </c>
      <c r="D532" t="s">
        <v>7370</v>
      </c>
      <c r="E532">
        <v>1</v>
      </c>
      <c r="F532" t="str">
        <f t="shared" si="33"/>
        <v>may</v>
      </c>
      <c r="G532">
        <v>20</v>
      </c>
      <c r="H532">
        <v>24</v>
      </c>
      <c r="I532" t="str">
        <f t="shared" si="32"/>
        <v>1-may-2024</v>
      </c>
      <c r="K532" s="49">
        <f t="shared" si="34"/>
        <v>45413</v>
      </c>
      <c r="M532" t="b">
        <f t="shared" si="35"/>
        <v>1</v>
      </c>
    </row>
    <row r="533" spans="1:13" x14ac:dyDescent="0.3">
      <c r="A533" s="49">
        <v>45536</v>
      </c>
      <c r="D533" t="s">
        <v>7356</v>
      </c>
      <c r="E533">
        <v>1</v>
      </c>
      <c r="F533" t="str">
        <f t="shared" si="33"/>
        <v>ene</v>
      </c>
      <c r="G533">
        <v>20</v>
      </c>
      <c r="H533">
        <v>26</v>
      </c>
      <c r="I533" t="str">
        <f t="shared" si="32"/>
        <v>1-ene-2026</v>
      </c>
      <c r="K533" s="49">
        <f t="shared" si="34"/>
        <v>46023</v>
      </c>
      <c r="M533" t="b">
        <f t="shared" si="35"/>
        <v>0</v>
      </c>
    </row>
    <row r="534" spans="1:13" x14ac:dyDescent="0.3">
      <c r="A534" s="49">
        <v>45536</v>
      </c>
      <c r="D534" t="s">
        <v>7355</v>
      </c>
      <c r="E534">
        <v>1</v>
      </c>
      <c r="F534" t="str">
        <f t="shared" si="33"/>
        <v>sep</v>
      </c>
      <c r="G534">
        <v>20</v>
      </c>
      <c r="H534">
        <v>22</v>
      </c>
      <c r="I534" t="str">
        <f t="shared" si="32"/>
        <v>1-sep-2022</v>
      </c>
      <c r="K534" s="49">
        <f t="shared" si="34"/>
        <v>44805</v>
      </c>
      <c r="M534" t="b">
        <f t="shared" si="35"/>
        <v>1</v>
      </c>
    </row>
    <row r="535" spans="1:13" x14ac:dyDescent="0.3">
      <c r="A535" s="49">
        <v>45536</v>
      </c>
      <c r="D535" t="s">
        <v>7360</v>
      </c>
      <c r="E535">
        <v>1</v>
      </c>
      <c r="F535" t="str">
        <f t="shared" si="33"/>
        <v>nov</v>
      </c>
      <c r="G535">
        <v>20</v>
      </c>
      <c r="H535">
        <v>25</v>
      </c>
      <c r="I535" t="str">
        <f t="shared" si="32"/>
        <v>1-nov-2025</v>
      </c>
      <c r="K535" s="49">
        <f t="shared" si="34"/>
        <v>45962</v>
      </c>
      <c r="M535" t="b">
        <f t="shared" si="35"/>
        <v>0</v>
      </c>
    </row>
    <row r="536" spans="1:13" x14ac:dyDescent="0.3">
      <c r="A536" s="49">
        <v>45536</v>
      </c>
      <c r="D536" t="s">
        <v>7356</v>
      </c>
      <c r="E536">
        <v>1</v>
      </c>
      <c r="F536" t="str">
        <f t="shared" si="33"/>
        <v>ene</v>
      </c>
      <c r="G536">
        <v>20</v>
      </c>
      <c r="H536">
        <v>25</v>
      </c>
      <c r="I536" t="str">
        <f t="shared" si="32"/>
        <v>1-ene-2025</v>
      </c>
      <c r="K536" s="49">
        <f t="shared" si="34"/>
        <v>45658</v>
      </c>
      <c r="M536" t="b">
        <f t="shared" si="35"/>
        <v>0</v>
      </c>
    </row>
    <row r="537" spans="1:13" x14ac:dyDescent="0.3">
      <c r="A537" s="49">
        <v>45536</v>
      </c>
      <c r="D537" t="s">
        <v>7370</v>
      </c>
      <c r="E537">
        <v>1</v>
      </c>
      <c r="F537" t="str">
        <f t="shared" si="33"/>
        <v>may</v>
      </c>
      <c r="G537">
        <v>20</v>
      </c>
      <c r="H537">
        <v>24</v>
      </c>
      <c r="I537" t="str">
        <f t="shared" si="32"/>
        <v>1-may-2024</v>
      </c>
      <c r="K537" s="49">
        <f t="shared" si="34"/>
        <v>45413</v>
      </c>
      <c r="M537" t="b">
        <f t="shared" si="35"/>
        <v>1</v>
      </c>
    </row>
    <row r="538" spans="1:13" x14ac:dyDescent="0.3">
      <c r="A538" s="49">
        <v>45536</v>
      </c>
      <c r="D538" t="s">
        <v>7370</v>
      </c>
      <c r="E538">
        <v>1</v>
      </c>
      <c r="F538" t="str">
        <f t="shared" si="33"/>
        <v>may</v>
      </c>
      <c r="G538">
        <v>20</v>
      </c>
      <c r="H538">
        <v>24</v>
      </c>
      <c r="I538" t="str">
        <f t="shared" si="32"/>
        <v>1-may-2024</v>
      </c>
      <c r="K538" s="49">
        <f t="shared" si="34"/>
        <v>45413</v>
      </c>
      <c r="M538" t="b">
        <f t="shared" si="35"/>
        <v>1</v>
      </c>
    </row>
    <row r="539" spans="1:13" x14ac:dyDescent="0.3">
      <c r="A539" s="49">
        <v>45536</v>
      </c>
      <c r="D539" t="s">
        <v>7362</v>
      </c>
      <c r="E539">
        <v>1</v>
      </c>
      <c r="F539" t="str">
        <f t="shared" si="33"/>
        <v>ago</v>
      </c>
      <c r="G539">
        <v>20</v>
      </c>
      <c r="H539">
        <v>23</v>
      </c>
      <c r="I539" t="str">
        <f t="shared" si="32"/>
        <v>1-ago-2023</v>
      </c>
      <c r="K539" s="49">
        <f t="shared" si="34"/>
        <v>45139</v>
      </c>
      <c r="M539" t="b">
        <f t="shared" si="35"/>
        <v>1</v>
      </c>
    </row>
    <row r="540" spans="1:13" x14ac:dyDescent="0.3">
      <c r="A540" s="49">
        <v>45536</v>
      </c>
      <c r="D540" t="s">
        <v>7367</v>
      </c>
      <c r="E540">
        <v>1</v>
      </c>
      <c r="F540" t="str">
        <f t="shared" si="33"/>
        <v>jun</v>
      </c>
      <c r="G540">
        <v>20</v>
      </c>
      <c r="H540">
        <v>24</v>
      </c>
      <c r="I540" t="str">
        <f t="shared" si="32"/>
        <v>1-jun-2024</v>
      </c>
      <c r="K540" s="49">
        <f t="shared" si="34"/>
        <v>45444</v>
      </c>
      <c r="M540" t="b">
        <f t="shared" si="35"/>
        <v>1</v>
      </c>
    </row>
    <row r="541" spans="1:13" x14ac:dyDescent="0.3">
      <c r="A541" s="49">
        <v>45536</v>
      </c>
      <c r="D541" t="s">
        <v>7359</v>
      </c>
      <c r="E541">
        <v>1</v>
      </c>
      <c r="F541" t="str">
        <f t="shared" si="33"/>
        <v>jul</v>
      </c>
      <c r="G541">
        <v>20</v>
      </c>
      <c r="H541">
        <v>24</v>
      </c>
      <c r="I541" t="str">
        <f t="shared" si="32"/>
        <v>1-jul-2024</v>
      </c>
      <c r="K541" s="49">
        <f t="shared" si="34"/>
        <v>45474</v>
      </c>
      <c r="M541" t="b">
        <f t="shared" si="35"/>
        <v>1</v>
      </c>
    </row>
    <row r="542" spans="1:13" x14ac:dyDescent="0.3">
      <c r="A542" s="49">
        <v>45536</v>
      </c>
      <c r="D542" t="s">
        <v>7359</v>
      </c>
      <c r="E542">
        <v>1</v>
      </c>
      <c r="F542" t="str">
        <f t="shared" si="33"/>
        <v>jul</v>
      </c>
      <c r="G542">
        <v>20</v>
      </c>
      <c r="H542">
        <v>24</v>
      </c>
      <c r="I542" t="str">
        <f t="shared" si="32"/>
        <v>1-jul-2024</v>
      </c>
      <c r="K542" s="49">
        <f t="shared" si="34"/>
        <v>45474</v>
      </c>
      <c r="M542" t="b">
        <f t="shared" si="35"/>
        <v>1</v>
      </c>
    </row>
    <row r="543" spans="1:13" x14ac:dyDescent="0.3">
      <c r="A543" s="49">
        <v>45536</v>
      </c>
      <c r="D543" t="s">
        <v>7359</v>
      </c>
      <c r="E543">
        <v>1</v>
      </c>
      <c r="F543" t="str">
        <f t="shared" si="33"/>
        <v>jul</v>
      </c>
      <c r="G543">
        <v>20</v>
      </c>
      <c r="H543">
        <v>24</v>
      </c>
      <c r="I543" t="str">
        <f t="shared" si="32"/>
        <v>1-jul-2024</v>
      </c>
      <c r="K543" s="49">
        <f t="shared" si="34"/>
        <v>45474</v>
      </c>
      <c r="M543" t="b">
        <f t="shared" si="35"/>
        <v>1</v>
      </c>
    </row>
    <row r="544" spans="1:13" x14ac:dyDescent="0.3">
      <c r="A544" s="49">
        <v>45536</v>
      </c>
      <c r="D544" t="s">
        <v>7359</v>
      </c>
      <c r="E544">
        <v>1</v>
      </c>
      <c r="F544" t="str">
        <f t="shared" si="33"/>
        <v>jul</v>
      </c>
      <c r="G544">
        <v>20</v>
      </c>
      <c r="H544">
        <v>24</v>
      </c>
      <c r="I544" t="str">
        <f t="shared" si="32"/>
        <v>1-jul-2024</v>
      </c>
      <c r="K544" s="49">
        <f t="shared" si="34"/>
        <v>45474</v>
      </c>
      <c r="M544" t="b">
        <f t="shared" si="35"/>
        <v>1</v>
      </c>
    </row>
    <row r="545" spans="1:13" x14ac:dyDescent="0.3">
      <c r="A545" s="49">
        <v>45536</v>
      </c>
      <c r="D545" t="s">
        <v>7359</v>
      </c>
      <c r="E545">
        <v>1</v>
      </c>
      <c r="F545" t="str">
        <f t="shared" si="33"/>
        <v>jul</v>
      </c>
      <c r="G545">
        <v>20</v>
      </c>
      <c r="H545">
        <v>24</v>
      </c>
      <c r="I545" t="str">
        <f t="shared" si="32"/>
        <v>1-jul-2024</v>
      </c>
      <c r="K545" s="49">
        <f t="shared" si="34"/>
        <v>45474</v>
      </c>
      <c r="M545" t="b">
        <f t="shared" si="35"/>
        <v>1</v>
      </c>
    </row>
    <row r="546" spans="1:13" x14ac:dyDescent="0.3">
      <c r="A546" s="49">
        <v>45536</v>
      </c>
      <c r="D546" t="s">
        <v>7359</v>
      </c>
      <c r="E546">
        <v>1</v>
      </c>
      <c r="F546" t="str">
        <f t="shared" si="33"/>
        <v>jul</v>
      </c>
      <c r="G546">
        <v>20</v>
      </c>
      <c r="H546">
        <v>24</v>
      </c>
      <c r="I546" t="str">
        <f t="shared" si="32"/>
        <v>1-jul-2024</v>
      </c>
      <c r="K546" s="49">
        <f t="shared" si="34"/>
        <v>45474</v>
      </c>
      <c r="M546" t="b">
        <f t="shared" si="35"/>
        <v>1</v>
      </c>
    </row>
    <row r="547" spans="1:13" x14ac:dyDescent="0.3">
      <c r="A547" s="49">
        <v>45536</v>
      </c>
      <c r="D547" t="s">
        <v>7359</v>
      </c>
      <c r="E547">
        <v>1</v>
      </c>
      <c r="F547" t="str">
        <f t="shared" si="33"/>
        <v>jul</v>
      </c>
      <c r="G547">
        <v>20</v>
      </c>
      <c r="H547">
        <v>24</v>
      </c>
      <c r="I547" t="str">
        <f t="shared" si="32"/>
        <v>1-jul-2024</v>
      </c>
      <c r="K547" s="49">
        <f t="shared" si="34"/>
        <v>45474</v>
      </c>
      <c r="M547" t="b">
        <f t="shared" si="35"/>
        <v>1</v>
      </c>
    </row>
    <row r="548" spans="1:13" x14ac:dyDescent="0.3">
      <c r="A548" s="49">
        <v>45536</v>
      </c>
      <c r="D548" t="s">
        <v>7359</v>
      </c>
      <c r="E548">
        <v>1</v>
      </c>
      <c r="F548" t="str">
        <f t="shared" si="33"/>
        <v>jul</v>
      </c>
      <c r="G548">
        <v>20</v>
      </c>
      <c r="H548">
        <v>24</v>
      </c>
      <c r="I548" t="str">
        <f t="shared" si="32"/>
        <v>1-jul-2024</v>
      </c>
      <c r="K548" s="49">
        <f t="shared" si="34"/>
        <v>45474</v>
      </c>
      <c r="M548" t="b">
        <f t="shared" si="35"/>
        <v>1</v>
      </c>
    </row>
    <row r="549" spans="1:13" x14ac:dyDescent="0.3">
      <c r="A549" s="49">
        <v>45536</v>
      </c>
      <c r="D549" t="s">
        <v>7360</v>
      </c>
      <c r="E549">
        <v>1</v>
      </c>
      <c r="F549" t="str">
        <f t="shared" si="33"/>
        <v>nov</v>
      </c>
      <c r="G549">
        <v>20</v>
      </c>
      <c r="H549">
        <v>25</v>
      </c>
      <c r="I549" t="str">
        <f t="shared" si="32"/>
        <v>1-nov-2025</v>
      </c>
      <c r="K549" s="49">
        <f t="shared" si="34"/>
        <v>45962</v>
      </c>
      <c r="M549" t="b">
        <f t="shared" si="35"/>
        <v>0</v>
      </c>
    </row>
    <row r="550" spans="1:13" x14ac:dyDescent="0.3">
      <c r="A550" s="49">
        <v>45536</v>
      </c>
      <c r="D550" t="s">
        <v>7362</v>
      </c>
      <c r="E550">
        <v>1</v>
      </c>
      <c r="F550" t="str">
        <f t="shared" si="33"/>
        <v>ago</v>
      </c>
      <c r="G550">
        <v>20</v>
      </c>
      <c r="H550">
        <v>24</v>
      </c>
      <c r="I550" t="str">
        <f t="shared" si="32"/>
        <v>1-ago-2024</v>
      </c>
      <c r="K550" s="49">
        <f t="shared" si="34"/>
        <v>45505</v>
      </c>
      <c r="M550" t="b">
        <f t="shared" si="35"/>
        <v>1</v>
      </c>
    </row>
    <row r="551" spans="1:13" x14ac:dyDescent="0.3">
      <c r="A551" s="49">
        <v>45536</v>
      </c>
      <c r="D551" t="s">
        <v>7359</v>
      </c>
      <c r="E551">
        <v>1</v>
      </c>
      <c r="F551" t="str">
        <f t="shared" si="33"/>
        <v>jul</v>
      </c>
      <c r="G551">
        <v>20</v>
      </c>
      <c r="H551">
        <v>24</v>
      </c>
      <c r="I551" t="str">
        <f t="shared" si="32"/>
        <v>1-jul-2024</v>
      </c>
      <c r="K551" s="49">
        <f t="shared" si="34"/>
        <v>45474</v>
      </c>
      <c r="M551" t="b">
        <f t="shared" si="35"/>
        <v>1</v>
      </c>
    </row>
    <row r="552" spans="1:13" x14ac:dyDescent="0.3">
      <c r="A552" s="49">
        <v>45536</v>
      </c>
      <c r="D552" t="s">
        <v>7355</v>
      </c>
      <c r="E552">
        <v>1</v>
      </c>
      <c r="F552" t="str">
        <f t="shared" si="33"/>
        <v>sep</v>
      </c>
      <c r="G552">
        <v>20</v>
      </c>
      <c r="H552">
        <v>23</v>
      </c>
      <c r="I552" t="str">
        <f t="shared" si="32"/>
        <v>1-sep-2023</v>
      </c>
      <c r="K552" s="49">
        <f t="shared" si="34"/>
        <v>45170</v>
      </c>
      <c r="M552" t="b">
        <f t="shared" si="35"/>
        <v>1</v>
      </c>
    </row>
    <row r="553" spans="1:13" x14ac:dyDescent="0.3">
      <c r="A553" s="49">
        <v>45536</v>
      </c>
      <c r="D553" t="s">
        <v>7355</v>
      </c>
      <c r="E553">
        <v>1</v>
      </c>
      <c r="F553" t="str">
        <f t="shared" si="33"/>
        <v>sep</v>
      </c>
      <c r="G553">
        <v>20</v>
      </c>
      <c r="H553">
        <v>23</v>
      </c>
      <c r="I553" t="str">
        <f t="shared" si="32"/>
        <v>1-sep-2023</v>
      </c>
      <c r="K553" s="49">
        <f t="shared" si="34"/>
        <v>45170</v>
      </c>
      <c r="M553" t="b">
        <f t="shared" si="35"/>
        <v>1</v>
      </c>
    </row>
    <row r="554" spans="1:13" x14ac:dyDescent="0.3">
      <c r="A554" s="49">
        <v>45536</v>
      </c>
      <c r="D554" t="s">
        <v>7359</v>
      </c>
      <c r="E554">
        <v>1</v>
      </c>
      <c r="F554" t="str">
        <f t="shared" si="33"/>
        <v>jul</v>
      </c>
      <c r="G554">
        <v>20</v>
      </c>
      <c r="H554">
        <v>24</v>
      </c>
      <c r="I554" t="str">
        <f t="shared" si="32"/>
        <v>1-jul-2024</v>
      </c>
      <c r="K554" s="49">
        <f t="shared" si="34"/>
        <v>45474</v>
      </c>
      <c r="M554" t="b">
        <f t="shared" si="35"/>
        <v>1</v>
      </c>
    </row>
    <row r="555" spans="1:13" x14ac:dyDescent="0.3">
      <c r="A555" s="49">
        <v>45536</v>
      </c>
      <c r="D555" t="s">
        <v>7369</v>
      </c>
      <c r="E555">
        <v>1</v>
      </c>
      <c r="F555" t="str">
        <f t="shared" si="33"/>
        <v>abr</v>
      </c>
      <c r="G555">
        <v>20</v>
      </c>
      <c r="H555">
        <v>24</v>
      </c>
      <c r="I555" t="str">
        <f t="shared" si="32"/>
        <v>1-abr-2024</v>
      </c>
      <c r="K555" s="49">
        <f t="shared" si="34"/>
        <v>45383</v>
      </c>
      <c r="M555" t="b">
        <f t="shared" si="35"/>
        <v>1</v>
      </c>
    </row>
    <row r="556" spans="1:13" x14ac:dyDescent="0.3">
      <c r="A556" s="49">
        <v>45536</v>
      </c>
      <c r="D556" t="s">
        <v>7357</v>
      </c>
      <c r="E556">
        <v>1</v>
      </c>
      <c r="F556" t="str">
        <f t="shared" si="33"/>
        <v>oct</v>
      </c>
      <c r="G556">
        <v>20</v>
      </c>
      <c r="H556">
        <v>23</v>
      </c>
      <c r="I556" t="str">
        <f t="shared" si="32"/>
        <v>1-oct-2023</v>
      </c>
      <c r="K556" s="49">
        <f t="shared" si="34"/>
        <v>45200</v>
      </c>
      <c r="M556" t="b">
        <f t="shared" si="35"/>
        <v>1</v>
      </c>
    </row>
    <row r="557" spans="1:13" x14ac:dyDescent="0.3">
      <c r="A557" s="49">
        <v>45536</v>
      </c>
      <c r="D557" t="s">
        <v>7367</v>
      </c>
      <c r="E557">
        <v>1</v>
      </c>
      <c r="F557" t="str">
        <f t="shared" si="33"/>
        <v>jun</v>
      </c>
      <c r="G557">
        <v>20</v>
      </c>
      <c r="H557">
        <v>24</v>
      </c>
      <c r="I557" t="str">
        <f t="shared" si="32"/>
        <v>1-jun-2024</v>
      </c>
      <c r="K557" s="49">
        <f t="shared" si="34"/>
        <v>45444</v>
      </c>
      <c r="M557" t="b">
        <f t="shared" si="35"/>
        <v>1</v>
      </c>
    </row>
    <row r="558" spans="1:13" x14ac:dyDescent="0.3">
      <c r="A558" s="49">
        <v>45536</v>
      </c>
      <c r="D558" t="s">
        <v>7371</v>
      </c>
      <c r="E558">
        <v>1</v>
      </c>
      <c r="F558" t="str">
        <f t="shared" si="33"/>
        <v>jul</v>
      </c>
      <c r="G558">
        <v>20</v>
      </c>
      <c r="H558">
        <v>24</v>
      </c>
      <c r="I558" t="str">
        <f t="shared" si="32"/>
        <v>1-jul-2024</v>
      </c>
      <c r="K558" s="49">
        <f t="shared" si="34"/>
        <v>45474</v>
      </c>
      <c r="M558" t="b">
        <f t="shared" si="35"/>
        <v>1</v>
      </c>
    </row>
    <row r="559" spans="1:13" x14ac:dyDescent="0.3">
      <c r="A559" s="49">
        <v>45536</v>
      </c>
      <c r="D559" t="s">
        <v>7363</v>
      </c>
      <c r="E559">
        <v>1</v>
      </c>
      <c r="F559" t="str">
        <f t="shared" si="33"/>
        <v>feb</v>
      </c>
      <c r="G559">
        <v>20</v>
      </c>
      <c r="H559">
        <v>24</v>
      </c>
      <c r="I559" t="str">
        <f t="shared" si="32"/>
        <v>1-feb-2024</v>
      </c>
      <c r="K559" s="49">
        <f t="shared" si="34"/>
        <v>45323</v>
      </c>
      <c r="M559" t="b">
        <f t="shared" si="35"/>
        <v>1</v>
      </c>
    </row>
    <row r="560" spans="1:13" x14ac:dyDescent="0.3">
      <c r="A560" s="49">
        <v>45536</v>
      </c>
      <c r="D560" t="s">
        <v>7370</v>
      </c>
      <c r="E560">
        <v>1</v>
      </c>
      <c r="F560" t="str">
        <f t="shared" si="33"/>
        <v>may</v>
      </c>
      <c r="G560">
        <v>20</v>
      </c>
      <c r="H560">
        <v>24</v>
      </c>
      <c r="I560" t="str">
        <f t="shared" si="32"/>
        <v>1-may-2024</v>
      </c>
      <c r="K560" s="49">
        <f t="shared" si="34"/>
        <v>45413</v>
      </c>
      <c r="M560" t="b">
        <f t="shared" si="35"/>
        <v>1</v>
      </c>
    </row>
    <row r="561" spans="1:13" x14ac:dyDescent="0.3">
      <c r="A561" s="49">
        <v>45536</v>
      </c>
      <c r="D561" t="s">
        <v>7375</v>
      </c>
      <c r="E561">
        <v>1</v>
      </c>
      <c r="F561" t="str">
        <f t="shared" si="33"/>
        <v>jun</v>
      </c>
      <c r="G561">
        <v>20</v>
      </c>
      <c r="H561">
        <v>24</v>
      </c>
      <c r="I561" t="str">
        <f t="shared" si="32"/>
        <v>1-jun-2024</v>
      </c>
      <c r="K561" s="49">
        <f t="shared" si="34"/>
        <v>45444</v>
      </c>
      <c r="M561" t="b">
        <f t="shared" si="35"/>
        <v>1</v>
      </c>
    </row>
    <row r="562" spans="1:13" x14ac:dyDescent="0.3">
      <c r="A562" s="49">
        <v>45536</v>
      </c>
      <c r="D562" t="s">
        <v>7376</v>
      </c>
      <c r="E562">
        <v>1</v>
      </c>
      <c r="F562" t="str">
        <f t="shared" si="33"/>
        <v>sep</v>
      </c>
      <c r="G562">
        <v>20</v>
      </c>
      <c r="H562">
        <v>23</v>
      </c>
      <c r="I562" t="str">
        <f t="shared" si="32"/>
        <v>1-sep-2023</v>
      </c>
      <c r="K562" s="49">
        <f t="shared" si="34"/>
        <v>45170</v>
      </c>
      <c r="M562" t="b">
        <f t="shared" si="35"/>
        <v>1</v>
      </c>
    </row>
    <row r="563" spans="1:13" x14ac:dyDescent="0.3">
      <c r="A563" s="49">
        <v>45536</v>
      </c>
      <c r="D563" t="s">
        <v>7362</v>
      </c>
      <c r="E563">
        <v>1</v>
      </c>
      <c r="F563" t="str">
        <f t="shared" si="33"/>
        <v>ago</v>
      </c>
      <c r="G563">
        <v>20</v>
      </c>
      <c r="H563">
        <v>24</v>
      </c>
      <c r="I563" t="str">
        <f t="shared" si="32"/>
        <v>1-ago-2024</v>
      </c>
      <c r="K563" s="49">
        <f t="shared" si="34"/>
        <v>45505</v>
      </c>
      <c r="M563" t="b">
        <f t="shared" si="35"/>
        <v>1</v>
      </c>
    </row>
    <row r="564" spans="1:13" x14ac:dyDescent="0.3">
      <c r="A564" s="49">
        <v>45536</v>
      </c>
      <c r="D564" t="s">
        <v>7355</v>
      </c>
      <c r="E564">
        <v>1</v>
      </c>
      <c r="F564" t="str">
        <f t="shared" si="33"/>
        <v>sep</v>
      </c>
      <c r="G564">
        <v>20</v>
      </c>
      <c r="H564">
        <v>25</v>
      </c>
      <c r="I564" t="str">
        <f t="shared" si="32"/>
        <v>1-sep-2025</v>
      </c>
      <c r="K564" s="49">
        <f t="shared" si="34"/>
        <v>45901</v>
      </c>
      <c r="M564" t="b">
        <f t="shared" si="35"/>
        <v>0</v>
      </c>
    </row>
    <row r="565" spans="1:13" x14ac:dyDescent="0.3">
      <c r="A565" s="49">
        <v>45536</v>
      </c>
      <c r="D565" t="s">
        <v>7377</v>
      </c>
      <c r="E565">
        <v>1</v>
      </c>
      <c r="F565" t="str">
        <f t="shared" si="33"/>
        <v>jul</v>
      </c>
      <c r="G565">
        <v>20</v>
      </c>
      <c r="H565">
        <v>24</v>
      </c>
      <c r="I565" t="str">
        <f t="shared" si="32"/>
        <v>1-jul-2024</v>
      </c>
      <c r="K565" s="49">
        <f t="shared" si="34"/>
        <v>45474</v>
      </c>
      <c r="M565" t="b">
        <f t="shared" si="35"/>
        <v>1</v>
      </c>
    </row>
    <row r="566" spans="1:13" x14ac:dyDescent="0.3">
      <c r="A566" s="49">
        <v>45536</v>
      </c>
      <c r="D566" t="s">
        <v>7378</v>
      </c>
      <c r="E566">
        <v>1</v>
      </c>
      <c r="F566" t="str">
        <f t="shared" si="33"/>
        <v>mar</v>
      </c>
      <c r="G566">
        <v>20</v>
      </c>
      <c r="H566">
        <v>24</v>
      </c>
      <c r="I566" t="str">
        <f t="shared" si="32"/>
        <v>1-mar-2024</v>
      </c>
      <c r="K566" s="49">
        <f t="shared" si="34"/>
        <v>45352</v>
      </c>
      <c r="M566" t="b">
        <f t="shared" si="35"/>
        <v>1</v>
      </c>
    </row>
    <row r="567" spans="1:13" x14ac:dyDescent="0.3">
      <c r="A567" s="49">
        <v>45536</v>
      </c>
      <c r="D567" t="s">
        <v>7355</v>
      </c>
      <c r="E567">
        <v>1</v>
      </c>
      <c r="F567" t="str">
        <f t="shared" si="33"/>
        <v>sep</v>
      </c>
      <c r="G567">
        <v>20</v>
      </c>
      <c r="H567">
        <v>25</v>
      </c>
      <c r="I567" t="str">
        <f t="shared" si="32"/>
        <v>1-sep-2025</v>
      </c>
      <c r="K567" s="49">
        <f t="shared" si="34"/>
        <v>45901</v>
      </c>
      <c r="M567" t="b">
        <f t="shared" si="35"/>
        <v>0</v>
      </c>
    </row>
    <row r="568" spans="1:13" x14ac:dyDescent="0.3">
      <c r="A568" s="49">
        <v>45536</v>
      </c>
      <c r="D568" t="s">
        <v>7369</v>
      </c>
      <c r="E568">
        <v>1</v>
      </c>
      <c r="F568" t="str">
        <f t="shared" si="33"/>
        <v>abr</v>
      </c>
      <c r="G568">
        <v>20</v>
      </c>
      <c r="H568">
        <v>26</v>
      </c>
      <c r="I568" t="str">
        <f t="shared" si="32"/>
        <v>1-abr-2026</v>
      </c>
      <c r="K568" s="49">
        <f t="shared" si="34"/>
        <v>46113</v>
      </c>
      <c r="M568" t="b">
        <f t="shared" si="35"/>
        <v>0</v>
      </c>
    </row>
    <row r="569" spans="1:13" x14ac:dyDescent="0.3">
      <c r="A569" s="49">
        <v>45536</v>
      </c>
      <c r="D569" t="s">
        <v>7356</v>
      </c>
      <c r="E569">
        <v>1</v>
      </c>
      <c r="F569" t="str">
        <f t="shared" si="33"/>
        <v>ene</v>
      </c>
      <c r="G569">
        <v>20</v>
      </c>
      <c r="H569">
        <v>21</v>
      </c>
      <c r="I569" t="str">
        <f t="shared" si="32"/>
        <v>1-ene-2021</v>
      </c>
      <c r="K569" s="49">
        <f t="shared" si="34"/>
        <v>44197</v>
      </c>
      <c r="M569" t="b">
        <f t="shared" si="35"/>
        <v>1</v>
      </c>
    </row>
    <row r="570" spans="1:13" x14ac:dyDescent="0.3">
      <c r="A570" s="49">
        <v>45536</v>
      </c>
      <c r="D570" t="s">
        <v>7379</v>
      </c>
      <c r="E570">
        <v>1</v>
      </c>
      <c r="F570" t="str">
        <f t="shared" si="33"/>
        <v>oct</v>
      </c>
      <c r="G570">
        <v>20</v>
      </c>
      <c r="H570">
        <v>24</v>
      </c>
      <c r="I570" t="str">
        <f t="shared" si="32"/>
        <v>1-oct-2024</v>
      </c>
      <c r="K570" s="49">
        <f t="shared" si="34"/>
        <v>45566</v>
      </c>
      <c r="M570" t="b">
        <f t="shared" si="35"/>
        <v>0</v>
      </c>
    </row>
    <row r="571" spans="1:13" x14ac:dyDescent="0.3">
      <c r="A571" s="49">
        <v>45536</v>
      </c>
      <c r="D571" t="s">
        <v>7378</v>
      </c>
      <c r="E571">
        <v>1</v>
      </c>
      <c r="F571" t="str">
        <f t="shared" si="33"/>
        <v>mar</v>
      </c>
      <c r="G571">
        <v>20</v>
      </c>
      <c r="H571">
        <v>24</v>
      </c>
      <c r="I571" t="str">
        <f t="shared" si="32"/>
        <v>1-mar-2024</v>
      </c>
      <c r="K571" s="49">
        <f t="shared" si="34"/>
        <v>45352</v>
      </c>
      <c r="M571" t="b">
        <f t="shared" si="35"/>
        <v>1</v>
      </c>
    </row>
    <row r="572" spans="1:13" x14ac:dyDescent="0.3">
      <c r="A572" s="49">
        <v>45536</v>
      </c>
      <c r="D572" t="s">
        <v>7370</v>
      </c>
      <c r="E572">
        <v>1</v>
      </c>
      <c r="F572" t="str">
        <f t="shared" si="33"/>
        <v>may</v>
      </c>
      <c r="G572">
        <v>20</v>
      </c>
      <c r="H572">
        <v>24</v>
      </c>
      <c r="I572" t="str">
        <f t="shared" si="32"/>
        <v>1-may-2024</v>
      </c>
      <c r="K572" s="49">
        <f t="shared" si="34"/>
        <v>45413</v>
      </c>
      <c r="M572" t="b">
        <f t="shared" si="35"/>
        <v>1</v>
      </c>
    </row>
    <row r="573" spans="1:13" x14ac:dyDescent="0.3">
      <c r="A573" s="49">
        <v>45536</v>
      </c>
      <c r="D573" t="s">
        <v>7368</v>
      </c>
      <c r="E573">
        <v>1</v>
      </c>
      <c r="F573" t="str">
        <f t="shared" si="33"/>
        <v>mar</v>
      </c>
      <c r="G573">
        <v>20</v>
      </c>
      <c r="H573">
        <v>24</v>
      </c>
      <c r="I573" t="str">
        <f t="shared" si="32"/>
        <v>1-mar-2024</v>
      </c>
      <c r="K573" s="49">
        <f t="shared" si="34"/>
        <v>45352</v>
      </c>
      <c r="M573" t="b">
        <f t="shared" si="35"/>
        <v>1</v>
      </c>
    </row>
    <row r="574" spans="1:13" x14ac:dyDescent="0.3">
      <c r="A574" s="49">
        <v>45536</v>
      </c>
      <c r="D574" t="s">
        <v>7367</v>
      </c>
      <c r="E574">
        <v>1</v>
      </c>
      <c r="F574" t="str">
        <f t="shared" si="33"/>
        <v>jun</v>
      </c>
      <c r="G574">
        <v>20</v>
      </c>
      <c r="H574">
        <v>24</v>
      </c>
      <c r="I574" t="str">
        <f t="shared" si="32"/>
        <v>1-jun-2024</v>
      </c>
      <c r="K574" s="49">
        <f t="shared" si="34"/>
        <v>45444</v>
      </c>
      <c r="M574" t="b">
        <f t="shared" si="35"/>
        <v>1</v>
      </c>
    </row>
    <row r="575" spans="1:13" x14ac:dyDescent="0.3">
      <c r="A575" s="49">
        <v>45536</v>
      </c>
      <c r="D575" t="s">
        <v>7367</v>
      </c>
      <c r="E575">
        <v>1</v>
      </c>
      <c r="F575" t="str">
        <f t="shared" si="33"/>
        <v>jun</v>
      </c>
      <c r="G575">
        <v>20</v>
      </c>
      <c r="H575">
        <v>23</v>
      </c>
      <c r="I575" t="str">
        <f t="shared" si="32"/>
        <v>1-jun-2023</v>
      </c>
      <c r="K575" s="49">
        <f t="shared" si="34"/>
        <v>45078</v>
      </c>
      <c r="M575" t="b">
        <f t="shared" si="35"/>
        <v>1</v>
      </c>
    </row>
    <row r="576" spans="1:13" x14ac:dyDescent="0.3">
      <c r="A576" s="49">
        <v>45536</v>
      </c>
      <c r="D576" t="s">
        <v>7369</v>
      </c>
      <c r="E576">
        <v>1</v>
      </c>
      <c r="F576" t="str">
        <f t="shared" si="33"/>
        <v>abr</v>
      </c>
      <c r="G576">
        <v>20</v>
      </c>
      <c r="H576">
        <v>23</v>
      </c>
      <c r="I576" t="str">
        <f t="shared" si="32"/>
        <v>1-abr-2023</v>
      </c>
      <c r="K576" s="49">
        <f t="shared" si="34"/>
        <v>45017</v>
      </c>
      <c r="M576" t="b">
        <f t="shared" si="35"/>
        <v>1</v>
      </c>
    </row>
    <row r="577" spans="1:13" x14ac:dyDescent="0.3">
      <c r="A577" s="49">
        <v>45536</v>
      </c>
      <c r="D577" t="s">
        <v>7364</v>
      </c>
      <c r="E577">
        <v>1</v>
      </c>
      <c r="F577" t="str">
        <f t="shared" si="33"/>
        <v>feb</v>
      </c>
      <c r="G577">
        <v>20</v>
      </c>
      <c r="H577">
        <v>24</v>
      </c>
      <c r="I577" t="str">
        <f t="shared" ref="I577:I640" si="36">_xlfn.CONCAT(E577,"-",F577,"-",G577,H577)</f>
        <v>1-feb-2024</v>
      </c>
      <c r="K577" s="49">
        <f t="shared" si="34"/>
        <v>45323</v>
      </c>
      <c r="M577" t="b">
        <f t="shared" si="35"/>
        <v>1</v>
      </c>
    </row>
    <row r="578" spans="1:13" x14ac:dyDescent="0.3">
      <c r="A578" s="49">
        <v>45536</v>
      </c>
      <c r="D578" t="s">
        <v>7380</v>
      </c>
      <c r="E578">
        <v>1</v>
      </c>
      <c r="F578" t="str">
        <f t="shared" ref="F578:F641" si="37">LOWER(D578)</f>
        <v>nov</v>
      </c>
      <c r="G578">
        <v>20</v>
      </c>
      <c r="H578">
        <v>24</v>
      </c>
      <c r="I578" t="str">
        <f t="shared" si="36"/>
        <v>1-nov-2024</v>
      </c>
      <c r="K578" s="49">
        <f t="shared" ref="K578:K641" si="38">DATEVALUE(I578)</f>
        <v>45597</v>
      </c>
      <c r="M578" t="b">
        <f t="shared" si="35"/>
        <v>0</v>
      </c>
    </row>
    <row r="579" spans="1:13" x14ac:dyDescent="0.3">
      <c r="A579" s="49">
        <v>45536</v>
      </c>
      <c r="D579" t="s">
        <v>7377</v>
      </c>
      <c r="E579">
        <v>1</v>
      </c>
      <c r="F579" t="str">
        <f t="shared" si="37"/>
        <v>jul</v>
      </c>
      <c r="G579">
        <v>20</v>
      </c>
      <c r="H579">
        <v>24</v>
      </c>
      <c r="I579" t="str">
        <f t="shared" si="36"/>
        <v>1-jul-2024</v>
      </c>
      <c r="K579" s="49">
        <f t="shared" si="38"/>
        <v>45474</v>
      </c>
      <c r="M579" t="b">
        <f t="shared" ref="M579:M642" si="39">K579&lt;A579</f>
        <v>1</v>
      </c>
    </row>
    <row r="580" spans="1:13" x14ac:dyDescent="0.3">
      <c r="A580" s="49">
        <v>45536</v>
      </c>
      <c r="D580" t="s">
        <v>7381</v>
      </c>
      <c r="E580">
        <v>1</v>
      </c>
      <c r="F580" t="str">
        <f t="shared" si="37"/>
        <v>nov</v>
      </c>
      <c r="G580">
        <v>20</v>
      </c>
      <c r="H580">
        <v>23</v>
      </c>
      <c r="I580" t="str">
        <f t="shared" si="36"/>
        <v>1-nov-2023</v>
      </c>
      <c r="K580" s="49">
        <f t="shared" si="38"/>
        <v>45231</v>
      </c>
      <c r="M580" t="b">
        <f t="shared" si="39"/>
        <v>1</v>
      </c>
    </row>
    <row r="581" spans="1:13" x14ac:dyDescent="0.3">
      <c r="A581" s="49">
        <v>45536</v>
      </c>
      <c r="D581" t="s">
        <v>7382</v>
      </c>
      <c r="E581">
        <v>1</v>
      </c>
      <c r="F581" t="str">
        <f t="shared" si="37"/>
        <v>dic</v>
      </c>
      <c r="G581">
        <v>20</v>
      </c>
      <c r="H581">
        <v>25</v>
      </c>
      <c r="I581" t="str">
        <f t="shared" si="36"/>
        <v>1-dic-2025</v>
      </c>
      <c r="K581" s="49">
        <f t="shared" si="38"/>
        <v>45992</v>
      </c>
      <c r="M581" t="b">
        <f t="shared" si="39"/>
        <v>0</v>
      </c>
    </row>
    <row r="582" spans="1:13" x14ac:dyDescent="0.3">
      <c r="A582" s="49">
        <v>45536</v>
      </c>
      <c r="D582" t="s">
        <v>7366</v>
      </c>
      <c r="E582">
        <v>1</v>
      </c>
      <c r="F582" t="str">
        <f t="shared" si="37"/>
        <v>dic</v>
      </c>
      <c r="G582">
        <v>20</v>
      </c>
      <c r="H582">
        <v>25</v>
      </c>
      <c r="I582" t="str">
        <f t="shared" si="36"/>
        <v>1-dic-2025</v>
      </c>
      <c r="K582" s="49">
        <f t="shared" si="38"/>
        <v>45992</v>
      </c>
      <c r="M582" t="b">
        <f t="shared" si="39"/>
        <v>0</v>
      </c>
    </row>
    <row r="583" spans="1:13" x14ac:dyDescent="0.3">
      <c r="A583" s="49">
        <v>45536</v>
      </c>
      <c r="D583" t="s">
        <v>7367</v>
      </c>
      <c r="E583">
        <v>1</v>
      </c>
      <c r="F583" t="str">
        <f t="shared" si="37"/>
        <v>jun</v>
      </c>
      <c r="G583">
        <v>20</v>
      </c>
      <c r="H583">
        <v>24</v>
      </c>
      <c r="I583" t="str">
        <f t="shared" si="36"/>
        <v>1-jun-2024</v>
      </c>
      <c r="K583" s="49">
        <f t="shared" si="38"/>
        <v>45444</v>
      </c>
      <c r="M583" t="b">
        <f t="shared" si="39"/>
        <v>1</v>
      </c>
    </row>
    <row r="584" spans="1:13" x14ac:dyDescent="0.3">
      <c r="A584" s="49">
        <v>45536</v>
      </c>
      <c r="D584" t="s">
        <v>7368</v>
      </c>
      <c r="E584">
        <v>1</v>
      </c>
      <c r="F584" t="str">
        <f t="shared" si="37"/>
        <v>mar</v>
      </c>
      <c r="G584">
        <v>20</v>
      </c>
      <c r="H584">
        <v>24</v>
      </c>
      <c r="I584" t="str">
        <f t="shared" si="36"/>
        <v>1-mar-2024</v>
      </c>
      <c r="K584" s="49">
        <f t="shared" si="38"/>
        <v>45352</v>
      </c>
      <c r="M584" t="b">
        <f t="shared" si="39"/>
        <v>1</v>
      </c>
    </row>
    <row r="585" spans="1:13" x14ac:dyDescent="0.3">
      <c r="A585" s="49">
        <v>45536</v>
      </c>
      <c r="D585" t="s">
        <v>7368</v>
      </c>
      <c r="E585">
        <v>1</v>
      </c>
      <c r="F585" t="str">
        <f t="shared" si="37"/>
        <v>mar</v>
      </c>
      <c r="G585">
        <v>20</v>
      </c>
      <c r="H585">
        <v>26</v>
      </c>
      <c r="I585" t="str">
        <f t="shared" si="36"/>
        <v>1-mar-2026</v>
      </c>
      <c r="K585" s="49">
        <f t="shared" si="38"/>
        <v>46082</v>
      </c>
      <c r="M585" t="b">
        <f t="shared" si="39"/>
        <v>0</v>
      </c>
    </row>
    <row r="586" spans="1:13" x14ac:dyDescent="0.3">
      <c r="A586" s="49">
        <v>45536</v>
      </c>
      <c r="D586" t="s">
        <v>7368</v>
      </c>
      <c r="E586">
        <v>1</v>
      </c>
      <c r="F586" t="str">
        <f t="shared" si="37"/>
        <v>mar</v>
      </c>
      <c r="G586">
        <v>20</v>
      </c>
      <c r="H586">
        <v>26</v>
      </c>
      <c r="I586" t="str">
        <f t="shared" si="36"/>
        <v>1-mar-2026</v>
      </c>
      <c r="K586" s="49">
        <f t="shared" si="38"/>
        <v>46082</v>
      </c>
      <c r="M586" t="b">
        <f t="shared" si="39"/>
        <v>0</v>
      </c>
    </row>
    <row r="587" spans="1:13" x14ac:dyDescent="0.3">
      <c r="A587" s="49">
        <v>45536</v>
      </c>
      <c r="D587" t="s">
        <v>7363</v>
      </c>
      <c r="E587">
        <v>1</v>
      </c>
      <c r="F587" t="str">
        <f t="shared" si="37"/>
        <v>feb</v>
      </c>
      <c r="G587">
        <v>20</v>
      </c>
      <c r="H587">
        <v>24</v>
      </c>
      <c r="I587" t="str">
        <f t="shared" si="36"/>
        <v>1-feb-2024</v>
      </c>
      <c r="K587" s="49">
        <f t="shared" si="38"/>
        <v>45323</v>
      </c>
      <c r="M587" t="b">
        <f t="shared" si="39"/>
        <v>1</v>
      </c>
    </row>
    <row r="588" spans="1:13" x14ac:dyDescent="0.3">
      <c r="A588" s="49">
        <v>45536</v>
      </c>
      <c r="D588" t="s">
        <v>7362</v>
      </c>
      <c r="E588">
        <v>1</v>
      </c>
      <c r="F588" t="str">
        <f t="shared" si="37"/>
        <v>ago</v>
      </c>
      <c r="G588">
        <v>20</v>
      </c>
      <c r="H588">
        <v>24</v>
      </c>
      <c r="I588" t="str">
        <f t="shared" si="36"/>
        <v>1-ago-2024</v>
      </c>
      <c r="K588" s="49">
        <f t="shared" si="38"/>
        <v>45505</v>
      </c>
      <c r="M588" t="b">
        <f t="shared" si="39"/>
        <v>1</v>
      </c>
    </row>
    <row r="589" spans="1:13" x14ac:dyDescent="0.3">
      <c r="A589" s="49">
        <v>45536</v>
      </c>
      <c r="D589" t="s">
        <v>7359</v>
      </c>
      <c r="E589">
        <v>1</v>
      </c>
      <c r="F589" t="str">
        <f t="shared" si="37"/>
        <v>jul</v>
      </c>
      <c r="G589">
        <v>20</v>
      </c>
      <c r="H589">
        <v>24</v>
      </c>
      <c r="I589" t="str">
        <f t="shared" si="36"/>
        <v>1-jul-2024</v>
      </c>
      <c r="K589" s="49">
        <f t="shared" si="38"/>
        <v>45474</v>
      </c>
      <c r="M589" t="b">
        <f t="shared" si="39"/>
        <v>1</v>
      </c>
    </row>
    <row r="590" spans="1:13" x14ac:dyDescent="0.3">
      <c r="A590" s="49">
        <v>45536</v>
      </c>
      <c r="D590" t="s">
        <v>7359</v>
      </c>
      <c r="E590">
        <v>1</v>
      </c>
      <c r="F590" t="str">
        <f t="shared" si="37"/>
        <v>jul</v>
      </c>
      <c r="G590">
        <v>20</v>
      </c>
      <c r="H590">
        <v>24</v>
      </c>
      <c r="I590" t="str">
        <f t="shared" si="36"/>
        <v>1-jul-2024</v>
      </c>
      <c r="K590" s="49">
        <f t="shared" si="38"/>
        <v>45474</v>
      </c>
      <c r="M590" t="b">
        <f t="shared" si="39"/>
        <v>1</v>
      </c>
    </row>
    <row r="591" spans="1:13" x14ac:dyDescent="0.3">
      <c r="A591" s="49">
        <v>45536</v>
      </c>
      <c r="D591" t="s">
        <v>7359</v>
      </c>
      <c r="E591">
        <v>1</v>
      </c>
      <c r="F591" t="str">
        <f t="shared" si="37"/>
        <v>jul</v>
      </c>
      <c r="G591">
        <v>20</v>
      </c>
      <c r="H591">
        <v>24</v>
      </c>
      <c r="I591" t="str">
        <f t="shared" si="36"/>
        <v>1-jul-2024</v>
      </c>
      <c r="K591" s="49">
        <f t="shared" si="38"/>
        <v>45474</v>
      </c>
      <c r="M591" t="b">
        <f t="shared" si="39"/>
        <v>1</v>
      </c>
    </row>
    <row r="592" spans="1:13" x14ac:dyDescent="0.3">
      <c r="A592" s="49">
        <v>45536</v>
      </c>
      <c r="D592" t="s">
        <v>7383</v>
      </c>
      <c r="E592">
        <v>1</v>
      </c>
      <c r="F592" t="str">
        <f t="shared" si="37"/>
        <v>ocy</v>
      </c>
      <c r="G592">
        <v>20</v>
      </c>
      <c r="H592">
        <v>24</v>
      </c>
      <c r="I592" t="str">
        <f t="shared" si="36"/>
        <v>1-ocy-2024</v>
      </c>
      <c r="K592" s="49" t="e">
        <f t="shared" si="38"/>
        <v>#VALUE!</v>
      </c>
      <c r="M592" t="e">
        <f t="shared" si="39"/>
        <v>#VALUE!</v>
      </c>
    </row>
    <row r="593" spans="1:13" x14ac:dyDescent="0.3">
      <c r="A593" s="49">
        <v>45536</v>
      </c>
      <c r="D593" t="s">
        <v>7357</v>
      </c>
      <c r="E593">
        <v>1</v>
      </c>
      <c r="F593" t="str">
        <f t="shared" si="37"/>
        <v>oct</v>
      </c>
      <c r="G593">
        <v>20</v>
      </c>
      <c r="H593">
        <v>24</v>
      </c>
      <c r="I593" t="str">
        <f t="shared" si="36"/>
        <v>1-oct-2024</v>
      </c>
      <c r="K593" s="49">
        <f t="shared" si="38"/>
        <v>45566</v>
      </c>
      <c r="M593" t="b">
        <f t="shared" si="39"/>
        <v>0</v>
      </c>
    </row>
    <row r="594" spans="1:13" x14ac:dyDescent="0.3">
      <c r="A594" s="49">
        <v>45536</v>
      </c>
      <c r="D594" t="s">
        <v>7367</v>
      </c>
      <c r="E594">
        <v>1</v>
      </c>
      <c r="F594" t="str">
        <f t="shared" si="37"/>
        <v>jun</v>
      </c>
      <c r="G594">
        <v>20</v>
      </c>
      <c r="H594">
        <v>24</v>
      </c>
      <c r="I594" t="str">
        <f t="shared" si="36"/>
        <v>1-jun-2024</v>
      </c>
      <c r="K594" s="49">
        <f t="shared" si="38"/>
        <v>45444</v>
      </c>
      <c r="M594" t="b">
        <f t="shared" si="39"/>
        <v>1</v>
      </c>
    </row>
    <row r="595" spans="1:13" x14ac:dyDescent="0.3">
      <c r="A595" s="49">
        <v>45536</v>
      </c>
      <c r="D595" t="s">
        <v>7381</v>
      </c>
      <c r="E595">
        <v>1</v>
      </c>
      <c r="F595" t="str">
        <f t="shared" si="37"/>
        <v>nov</v>
      </c>
      <c r="G595">
        <v>20</v>
      </c>
      <c r="H595">
        <v>24</v>
      </c>
      <c r="I595" t="str">
        <f t="shared" si="36"/>
        <v>1-nov-2024</v>
      </c>
      <c r="K595" s="49">
        <f t="shared" si="38"/>
        <v>45597</v>
      </c>
      <c r="M595" t="b">
        <f t="shared" si="39"/>
        <v>0</v>
      </c>
    </row>
    <row r="596" spans="1:13" x14ac:dyDescent="0.3">
      <c r="A596" s="49">
        <v>45536</v>
      </c>
      <c r="D596" t="s">
        <v>7368</v>
      </c>
      <c r="E596">
        <v>1</v>
      </c>
      <c r="F596" t="str">
        <f t="shared" si="37"/>
        <v>mar</v>
      </c>
      <c r="G596">
        <v>20</v>
      </c>
      <c r="H596">
        <v>24</v>
      </c>
      <c r="I596" t="str">
        <f t="shared" si="36"/>
        <v>1-mar-2024</v>
      </c>
      <c r="K596" s="49">
        <f t="shared" si="38"/>
        <v>45352</v>
      </c>
      <c r="M596" t="b">
        <f t="shared" si="39"/>
        <v>1</v>
      </c>
    </row>
    <row r="597" spans="1:13" x14ac:dyDescent="0.3">
      <c r="A597" s="49">
        <v>45536</v>
      </c>
      <c r="D597" t="s">
        <v>7357</v>
      </c>
      <c r="E597">
        <v>1</v>
      </c>
      <c r="F597" t="str">
        <f t="shared" si="37"/>
        <v>oct</v>
      </c>
      <c r="G597">
        <v>20</v>
      </c>
      <c r="H597">
        <v>23</v>
      </c>
      <c r="I597" t="str">
        <f t="shared" si="36"/>
        <v>1-oct-2023</v>
      </c>
      <c r="K597" s="49">
        <f t="shared" si="38"/>
        <v>45200</v>
      </c>
      <c r="M597" t="b">
        <f t="shared" si="39"/>
        <v>1</v>
      </c>
    </row>
    <row r="598" spans="1:13" x14ac:dyDescent="0.3">
      <c r="A598" s="49">
        <v>45536</v>
      </c>
      <c r="D598" t="s">
        <v>7367</v>
      </c>
      <c r="E598">
        <v>1</v>
      </c>
      <c r="F598" t="str">
        <f t="shared" si="37"/>
        <v>jun</v>
      </c>
      <c r="G598">
        <v>20</v>
      </c>
      <c r="H598">
        <v>24</v>
      </c>
      <c r="I598" t="str">
        <f t="shared" si="36"/>
        <v>1-jun-2024</v>
      </c>
      <c r="K598" s="49">
        <f t="shared" si="38"/>
        <v>45444</v>
      </c>
      <c r="M598" t="b">
        <f t="shared" si="39"/>
        <v>1</v>
      </c>
    </row>
    <row r="599" spans="1:13" x14ac:dyDescent="0.3">
      <c r="A599" s="49">
        <v>45536</v>
      </c>
      <c r="D599" t="s">
        <v>7367</v>
      </c>
      <c r="E599">
        <v>1</v>
      </c>
      <c r="F599" t="str">
        <f t="shared" si="37"/>
        <v>jun</v>
      </c>
      <c r="G599">
        <v>20</v>
      </c>
      <c r="H599">
        <v>24</v>
      </c>
      <c r="I599" t="str">
        <f t="shared" si="36"/>
        <v>1-jun-2024</v>
      </c>
      <c r="K599" s="49">
        <f t="shared" si="38"/>
        <v>45444</v>
      </c>
      <c r="M599" t="b">
        <f t="shared" si="39"/>
        <v>1</v>
      </c>
    </row>
    <row r="600" spans="1:13" x14ac:dyDescent="0.3">
      <c r="A600" s="49">
        <v>45536</v>
      </c>
      <c r="D600" t="s">
        <v>7363</v>
      </c>
      <c r="E600">
        <v>1</v>
      </c>
      <c r="F600" t="str">
        <f t="shared" si="37"/>
        <v>feb</v>
      </c>
      <c r="G600">
        <v>20</v>
      </c>
      <c r="H600">
        <v>25</v>
      </c>
      <c r="I600" t="str">
        <f t="shared" si="36"/>
        <v>1-feb-2025</v>
      </c>
      <c r="K600" s="49">
        <f t="shared" si="38"/>
        <v>45689</v>
      </c>
      <c r="M600" t="b">
        <f t="shared" si="39"/>
        <v>0</v>
      </c>
    </row>
    <row r="601" spans="1:13" x14ac:dyDescent="0.3">
      <c r="A601" s="49">
        <v>45536</v>
      </c>
      <c r="D601" t="s">
        <v>7367</v>
      </c>
      <c r="E601">
        <v>1</v>
      </c>
      <c r="F601" t="str">
        <f t="shared" si="37"/>
        <v>jun</v>
      </c>
      <c r="G601">
        <v>20</v>
      </c>
      <c r="H601">
        <v>24</v>
      </c>
      <c r="I601" t="str">
        <f t="shared" si="36"/>
        <v>1-jun-2024</v>
      </c>
      <c r="K601" s="49">
        <f t="shared" si="38"/>
        <v>45444</v>
      </c>
      <c r="M601" t="b">
        <f t="shared" si="39"/>
        <v>1</v>
      </c>
    </row>
    <row r="602" spans="1:13" x14ac:dyDescent="0.3">
      <c r="A602" s="49">
        <v>45536</v>
      </c>
      <c r="D602" t="s">
        <v>7357</v>
      </c>
      <c r="E602">
        <v>1</v>
      </c>
      <c r="F602" t="str">
        <f t="shared" si="37"/>
        <v>oct</v>
      </c>
      <c r="G602">
        <v>20</v>
      </c>
      <c r="H602">
        <v>23</v>
      </c>
      <c r="I602" t="str">
        <f t="shared" si="36"/>
        <v>1-oct-2023</v>
      </c>
      <c r="K602" s="49">
        <f t="shared" si="38"/>
        <v>45200</v>
      </c>
      <c r="M602" t="b">
        <f t="shared" si="39"/>
        <v>1</v>
      </c>
    </row>
    <row r="603" spans="1:13" x14ac:dyDescent="0.3">
      <c r="A603" s="49">
        <v>45536</v>
      </c>
      <c r="D603" t="s">
        <v>7357</v>
      </c>
      <c r="E603">
        <v>1</v>
      </c>
      <c r="F603" t="str">
        <f t="shared" si="37"/>
        <v>oct</v>
      </c>
      <c r="G603">
        <v>20</v>
      </c>
      <c r="H603">
        <v>23</v>
      </c>
      <c r="I603" t="str">
        <f t="shared" si="36"/>
        <v>1-oct-2023</v>
      </c>
      <c r="K603" s="49">
        <f t="shared" si="38"/>
        <v>45200</v>
      </c>
      <c r="M603" t="b">
        <f t="shared" si="39"/>
        <v>1</v>
      </c>
    </row>
    <row r="604" spans="1:13" x14ac:dyDescent="0.3">
      <c r="A604" s="49">
        <v>45536</v>
      </c>
      <c r="D604" t="s">
        <v>7370</v>
      </c>
      <c r="E604">
        <v>1</v>
      </c>
      <c r="F604" t="str">
        <f t="shared" si="37"/>
        <v>may</v>
      </c>
      <c r="G604">
        <v>20</v>
      </c>
      <c r="H604">
        <v>24</v>
      </c>
      <c r="I604" t="str">
        <f t="shared" si="36"/>
        <v>1-may-2024</v>
      </c>
      <c r="K604" s="49">
        <f t="shared" si="38"/>
        <v>45413</v>
      </c>
      <c r="M604" t="b">
        <f t="shared" si="39"/>
        <v>1</v>
      </c>
    </row>
    <row r="605" spans="1:13" x14ac:dyDescent="0.3">
      <c r="A605" s="49">
        <v>45536</v>
      </c>
      <c r="D605" t="s">
        <v>7367</v>
      </c>
      <c r="E605">
        <v>1</v>
      </c>
      <c r="F605" t="str">
        <f t="shared" si="37"/>
        <v>jun</v>
      </c>
      <c r="G605">
        <v>20</v>
      </c>
      <c r="H605">
        <v>21</v>
      </c>
      <c r="I605" t="str">
        <f t="shared" si="36"/>
        <v>1-jun-2021</v>
      </c>
      <c r="K605" s="49">
        <f t="shared" si="38"/>
        <v>44348</v>
      </c>
      <c r="M605" t="b">
        <f t="shared" si="39"/>
        <v>1</v>
      </c>
    </row>
    <row r="606" spans="1:13" x14ac:dyDescent="0.3">
      <c r="A606" s="49">
        <v>45536</v>
      </c>
      <c r="D606" t="s">
        <v>7367</v>
      </c>
      <c r="E606">
        <v>1</v>
      </c>
      <c r="F606" t="str">
        <f t="shared" si="37"/>
        <v>jun</v>
      </c>
      <c r="G606">
        <v>20</v>
      </c>
      <c r="H606">
        <v>21</v>
      </c>
      <c r="I606" t="str">
        <f t="shared" si="36"/>
        <v>1-jun-2021</v>
      </c>
      <c r="K606" s="49">
        <f t="shared" si="38"/>
        <v>44348</v>
      </c>
      <c r="M606" t="b">
        <f t="shared" si="39"/>
        <v>1</v>
      </c>
    </row>
    <row r="607" spans="1:13" x14ac:dyDescent="0.3">
      <c r="A607" s="49">
        <v>45536</v>
      </c>
      <c r="D607" t="s">
        <v>7365</v>
      </c>
      <c r="E607">
        <v>1</v>
      </c>
      <c r="F607" t="str">
        <f t="shared" si="37"/>
        <v>may</v>
      </c>
      <c r="G607">
        <v>20</v>
      </c>
      <c r="H607">
        <v>24</v>
      </c>
      <c r="I607" t="str">
        <f t="shared" si="36"/>
        <v>1-may-2024</v>
      </c>
      <c r="K607" s="49">
        <f t="shared" si="38"/>
        <v>45413</v>
      </c>
      <c r="M607" t="b">
        <f t="shared" si="39"/>
        <v>1</v>
      </c>
    </row>
    <row r="608" spans="1:13" x14ac:dyDescent="0.3">
      <c r="A608" s="49">
        <v>45536</v>
      </c>
      <c r="D608" t="s">
        <v>7360</v>
      </c>
      <c r="E608">
        <v>1</v>
      </c>
      <c r="F608" t="str">
        <f t="shared" si="37"/>
        <v>nov</v>
      </c>
      <c r="G608">
        <v>20</v>
      </c>
      <c r="H608">
        <v>23</v>
      </c>
      <c r="I608" t="str">
        <f t="shared" si="36"/>
        <v>1-nov-2023</v>
      </c>
      <c r="K608" s="49">
        <f t="shared" si="38"/>
        <v>45231</v>
      </c>
      <c r="M608" t="b">
        <f t="shared" si="39"/>
        <v>1</v>
      </c>
    </row>
    <row r="609" spans="1:13" x14ac:dyDescent="0.3">
      <c r="A609" s="49">
        <v>45536</v>
      </c>
      <c r="D609" t="s">
        <v>7359</v>
      </c>
      <c r="E609">
        <v>1</v>
      </c>
      <c r="F609" t="str">
        <f t="shared" si="37"/>
        <v>jul</v>
      </c>
      <c r="G609">
        <v>20</v>
      </c>
      <c r="H609">
        <v>24</v>
      </c>
      <c r="I609" t="str">
        <f t="shared" si="36"/>
        <v>1-jul-2024</v>
      </c>
      <c r="K609" s="49">
        <f t="shared" si="38"/>
        <v>45474</v>
      </c>
      <c r="M609" t="b">
        <f t="shared" si="39"/>
        <v>1</v>
      </c>
    </row>
    <row r="610" spans="1:13" x14ac:dyDescent="0.3">
      <c r="A610" s="49">
        <v>45536</v>
      </c>
      <c r="D610" t="s">
        <v>7369</v>
      </c>
      <c r="E610">
        <v>1</v>
      </c>
      <c r="F610" t="str">
        <f t="shared" si="37"/>
        <v>abr</v>
      </c>
      <c r="G610">
        <v>20</v>
      </c>
      <c r="H610">
        <v>24</v>
      </c>
      <c r="I610" t="str">
        <f t="shared" si="36"/>
        <v>1-abr-2024</v>
      </c>
      <c r="K610" s="49">
        <f t="shared" si="38"/>
        <v>45383</v>
      </c>
      <c r="M610" t="b">
        <f t="shared" si="39"/>
        <v>1</v>
      </c>
    </row>
    <row r="611" spans="1:13" x14ac:dyDescent="0.3">
      <c r="A611" s="49">
        <v>45536</v>
      </c>
      <c r="D611" t="s">
        <v>7370</v>
      </c>
      <c r="E611">
        <v>1</v>
      </c>
      <c r="F611" t="str">
        <f t="shared" si="37"/>
        <v>may</v>
      </c>
      <c r="G611">
        <v>20</v>
      </c>
      <c r="H611">
        <v>26</v>
      </c>
      <c r="I611" t="str">
        <f t="shared" si="36"/>
        <v>1-may-2026</v>
      </c>
      <c r="K611" s="49">
        <f t="shared" si="38"/>
        <v>46143</v>
      </c>
      <c r="M611" t="b">
        <f t="shared" si="39"/>
        <v>0</v>
      </c>
    </row>
    <row r="612" spans="1:13" x14ac:dyDescent="0.3">
      <c r="A612" s="49">
        <v>45536</v>
      </c>
      <c r="D612" t="s">
        <v>7359</v>
      </c>
      <c r="E612">
        <v>1</v>
      </c>
      <c r="F612" t="str">
        <f t="shared" si="37"/>
        <v>jul</v>
      </c>
      <c r="G612">
        <v>20</v>
      </c>
      <c r="H612">
        <v>25</v>
      </c>
      <c r="I612" t="str">
        <f t="shared" si="36"/>
        <v>1-jul-2025</v>
      </c>
      <c r="K612" s="49">
        <f t="shared" si="38"/>
        <v>45839</v>
      </c>
      <c r="M612" t="b">
        <f t="shared" si="39"/>
        <v>0</v>
      </c>
    </row>
    <row r="613" spans="1:13" x14ac:dyDescent="0.3">
      <c r="A613" s="49">
        <v>45536</v>
      </c>
      <c r="D613" t="s">
        <v>7368</v>
      </c>
      <c r="E613">
        <v>1</v>
      </c>
      <c r="F613" t="str">
        <f t="shared" si="37"/>
        <v>mar</v>
      </c>
      <c r="G613">
        <v>20</v>
      </c>
      <c r="H613">
        <v>24</v>
      </c>
      <c r="I613" t="str">
        <f t="shared" si="36"/>
        <v>1-mar-2024</v>
      </c>
      <c r="K613" s="49">
        <f t="shared" si="38"/>
        <v>45352</v>
      </c>
      <c r="M613" t="b">
        <f t="shared" si="39"/>
        <v>1</v>
      </c>
    </row>
    <row r="614" spans="1:13" x14ac:dyDescent="0.3">
      <c r="A614" s="49">
        <v>45536</v>
      </c>
      <c r="D614" t="s">
        <v>7367</v>
      </c>
      <c r="E614">
        <v>1</v>
      </c>
      <c r="F614" t="str">
        <f t="shared" si="37"/>
        <v>jun</v>
      </c>
      <c r="G614">
        <v>20</v>
      </c>
      <c r="H614">
        <v>20</v>
      </c>
      <c r="I614" t="str">
        <f t="shared" si="36"/>
        <v>1-jun-2020</v>
      </c>
      <c r="K614" s="49">
        <f t="shared" si="38"/>
        <v>43983</v>
      </c>
      <c r="M614" t="b">
        <f t="shared" si="39"/>
        <v>1</v>
      </c>
    </row>
    <row r="615" spans="1:13" x14ac:dyDescent="0.3">
      <c r="A615" s="49">
        <v>45536</v>
      </c>
      <c r="D615" t="s">
        <v>7362</v>
      </c>
      <c r="E615">
        <v>1</v>
      </c>
      <c r="F615" t="str">
        <f t="shared" si="37"/>
        <v>ago</v>
      </c>
      <c r="G615">
        <v>20</v>
      </c>
      <c r="H615">
        <v>21</v>
      </c>
      <c r="I615" t="str">
        <f t="shared" si="36"/>
        <v>1-ago-2021</v>
      </c>
      <c r="K615" s="49">
        <f t="shared" si="38"/>
        <v>44409</v>
      </c>
      <c r="M615" t="b">
        <f t="shared" si="39"/>
        <v>1</v>
      </c>
    </row>
    <row r="616" spans="1:13" x14ac:dyDescent="0.3">
      <c r="A616" s="49">
        <v>45536</v>
      </c>
      <c r="D616" t="s">
        <v>7367</v>
      </c>
      <c r="E616">
        <v>1</v>
      </c>
      <c r="F616" t="str">
        <f t="shared" si="37"/>
        <v>jun</v>
      </c>
      <c r="G616">
        <v>20</v>
      </c>
      <c r="H616">
        <v>24</v>
      </c>
      <c r="I616" t="str">
        <f t="shared" si="36"/>
        <v>1-jun-2024</v>
      </c>
      <c r="K616" s="49">
        <f t="shared" si="38"/>
        <v>45444</v>
      </c>
      <c r="M616" t="b">
        <f t="shared" si="39"/>
        <v>1</v>
      </c>
    </row>
    <row r="617" spans="1:13" x14ac:dyDescent="0.3">
      <c r="A617" s="49">
        <v>45536</v>
      </c>
      <c r="D617" t="s">
        <v>7367</v>
      </c>
      <c r="E617">
        <v>1</v>
      </c>
      <c r="F617" t="str">
        <f t="shared" si="37"/>
        <v>jun</v>
      </c>
      <c r="G617">
        <v>20</v>
      </c>
      <c r="H617">
        <v>24</v>
      </c>
      <c r="I617" t="str">
        <f t="shared" si="36"/>
        <v>1-jun-2024</v>
      </c>
      <c r="K617" s="49">
        <f t="shared" si="38"/>
        <v>45444</v>
      </c>
      <c r="M617" t="b">
        <f t="shared" si="39"/>
        <v>1</v>
      </c>
    </row>
    <row r="618" spans="1:13" x14ac:dyDescent="0.3">
      <c r="A618" s="49">
        <v>45536</v>
      </c>
      <c r="D618" t="s">
        <v>7360</v>
      </c>
      <c r="E618">
        <v>1</v>
      </c>
      <c r="F618" t="str">
        <f t="shared" si="37"/>
        <v>nov</v>
      </c>
      <c r="G618">
        <v>20</v>
      </c>
      <c r="H618">
        <v>25</v>
      </c>
      <c r="I618" t="str">
        <f t="shared" si="36"/>
        <v>1-nov-2025</v>
      </c>
      <c r="K618" s="49">
        <f t="shared" si="38"/>
        <v>45962</v>
      </c>
      <c r="M618" t="b">
        <f t="shared" si="39"/>
        <v>0</v>
      </c>
    </row>
    <row r="619" spans="1:13" x14ac:dyDescent="0.3">
      <c r="A619" s="49">
        <v>45536</v>
      </c>
      <c r="D619" t="s">
        <v>7368</v>
      </c>
      <c r="E619">
        <v>1</v>
      </c>
      <c r="F619" t="str">
        <f t="shared" si="37"/>
        <v>mar</v>
      </c>
      <c r="G619">
        <v>20</v>
      </c>
      <c r="H619">
        <v>20</v>
      </c>
      <c r="I619" t="str">
        <f t="shared" si="36"/>
        <v>1-mar-2020</v>
      </c>
      <c r="K619" s="49">
        <f t="shared" si="38"/>
        <v>43891</v>
      </c>
      <c r="M619" t="b">
        <f t="shared" si="39"/>
        <v>1</v>
      </c>
    </row>
    <row r="620" spans="1:13" x14ac:dyDescent="0.3">
      <c r="A620" s="49">
        <v>45536</v>
      </c>
      <c r="D620" t="s">
        <v>7368</v>
      </c>
      <c r="E620">
        <v>1</v>
      </c>
      <c r="F620" t="str">
        <f t="shared" si="37"/>
        <v>mar</v>
      </c>
      <c r="G620">
        <v>20</v>
      </c>
      <c r="H620">
        <v>24</v>
      </c>
      <c r="I620" t="str">
        <f t="shared" si="36"/>
        <v>1-mar-2024</v>
      </c>
      <c r="K620" s="49">
        <f t="shared" si="38"/>
        <v>45352</v>
      </c>
      <c r="M620" t="b">
        <f t="shared" si="39"/>
        <v>1</v>
      </c>
    </row>
    <row r="621" spans="1:13" x14ac:dyDescent="0.3">
      <c r="A621" s="49">
        <v>45536</v>
      </c>
      <c r="D621" t="s">
        <v>7359</v>
      </c>
      <c r="E621">
        <v>1</v>
      </c>
      <c r="F621" t="str">
        <f t="shared" si="37"/>
        <v>jul</v>
      </c>
      <c r="G621">
        <v>20</v>
      </c>
      <c r="H621">
        <v>25</v>
      </c>
      <c r="I621" t="str">
        <f t="shared" si="36"/>
        <v>1-jul-2025</v>
      </c>
      <c r="K621" s="49">
        <f t="shared" si="38"/>
        <v>45839</v>
      </c>
      <c r="M621" t="b">
        <f t="shared" si="39"/>
        <v>0</v>
      </c>
    </row>
    <row r="622" spans="1:13" x14ac:dyDescent="0.3">
      <c r="A622" s="49">
        <v>45536</v>
      </c>
      <c r="D622" t="s">
        <v>7357</v>
      </c>
      <c r="E622">
        <v>1</v>
      </c>
      <c r="F622" t="str">
        <f t="shared" si="37"/>
        <v>oct</v>
      </c>
      <c r="G622">
        <v>20</v>
      </c>
      <c r="H622">
        <v>24</v>
      </c>
      <c r="I622" t="str">
        <f t="shared" si="36"/>
        <v>1-oct-2024</v>
      </c>
      <c r="K622" s="49">
        <f t="shared" si="38"/>
        <v>45566</v>
      </c>
      <c r="M622" t="b">
        <f t="shared" si="39"/>
        <v>0</v>
      </c>
    </row>
    <row r="623" spans="1:13" x14ac:dyDescent="0.3">
      <c r="A623" s="49">
        <v>45536</v>
      </c>
      <c r="D623" t="s">
        <v>7356</v>
      </c>
      <c r="E623">
        <v>1</v>
      </c>
      <c r="F623" t="str">
        <f t="shared" si="37"/>
        <v>ene</v>
      </c>
      <c r="G623">
        <v>20</v>
      </c>
      <c r="H623">
        <v>23</v>
      </c>
      <c r="I623" t="str">
        <f t="shared" si="36"/>
        <v>1-ene-2023</v>
      </c>
      <c r="K623" s="49">
        <f t="shared" si="38"/>
        <v>44927</v>
      </c>
      <c r="M623" t="b">
        <f t="shared" si="39"/>
        <v>1</v>
      </c>
    </row>
    <row r="624" spans="1:13" x14ac:dyDescent="0.3">
      <c r="A624" s="49">
        <v>45536</v>
      </c>
      <c r="D624" t="s">
        <v>7363</v>
      </c>
      <c r="E624">
        <v>1</v>
      </c>
      <c r="F624" t="str">
        <f t="shared" si="37"/>
        <v>feb</v>
      </c>
      <c r="G624">
        <v>20</v>
      </c>
      <c r="H624">
        <v>24</v>
      </c>
      <c r="I624" t="str">
        <f t="shared" si="36"/>
        <v>1-feb-2024</v>
      </c>
      <c r="K624" s="49">
        <f t="shared" si="38"/>
        <v>45323</v>
      </c>
      <c r="M624" t="b">
        <f t="shared" si="39"/>
        <v>1</v>
      </c>
    </row>
    <row r="625" spans="1:13" x14ac:dyDescent="0.3">
      <c r="A625" s="49">
        <v>45536</v>
      </c>
      <c r="D625" t="s">
        <v>7363</v>
      </c>
      <c r="E625">
        <v>1</v>
      </c>
      <c r="F625" t="str">
        <f t="shared" si="37"/>
        <v>feb</v>
      </c>
      <c r="G625">
        <v>20</v>
      </c>
      <c r="H625">
        <v>20</v>
      </c>
      <c r="I625" t="str">
        <f t="shared" si="36"/>
        <v>1-feb-2020</v>
      </c>
      <c r="K625" s="49">
        <f t="shared" si="38"/>
        <v>43862</v>
      </c>
      <c r="M625" t="b">
        <f t="shared" si="39"/>
        <v>1</v>
      </c>
    </row>
    <row r="626" spans="1:13" x14ac:dyDescent="0.3">
      <c r="A626" s="49">
        <v>45536</v>
      </c>
      <c r="D626" t="s">
        <v>7368</v>
      </c>
      <c r="E626">
        <v>1</v>
      </c>
      <c r="F626" t="str">
        <f t="shared" si="37"/>
        <v>mar</v>
      </c>
      <c r="G626">
        <v>20</v>
      </c>
      <c r="H626">
        <v>26</v>
      </c>
      <c r="I626" t="str">
        <f t="shared" si="36"/>
        <v>1-mar-2026</v>
      </c>
      <c r="K626" s="49">
        <f t="shared" si="38"/>
        <v>46082</v>
      </c>
      <c r="M626" t="b">
        <f t="shared" si="39"/>
        <v>0</v>
      </c>
    </row>
    <row r="627" spans="1:13" x14ac:dyDescent="0.3">
      <c r="A627" s="49">
        <v>45536</v>
      </c>
      <c r="D627" t="s">
        <v>7355</v>
      </c>
      <c r="E627">
        <v>1</v>
      </c>
      <c r="F627" t="str">
        <f t="shared" si="37"/>
        <v>sep</v>
      </c>
      <c r="G627">
        <v>20</v>
      </c>
      <c r="H627">
        <v>25</v>
      </c>
      <c r="I627" t="str">
        <f t="shared" si="36"/>
        <v>1-sep-2025</v>
      </c>
      <c r="K627" s="49">
        <f t="shared" si="38"/>
        <v>45901</v>
      </c>
      <c r="M627" t="b">
        <f t="shared" si="39"/>
        <v>0</v>
      </c>
    </row>
    <row r="628" spans="1:13" x14ac:dyDescent="0.3">
      <c r="A628" s="49">
        <v>45536</v>
      </c>
      <c r="D628" t="s">
        <v>7370</v>
      </c>
      <c r="E628">
        <v>1</v>
      </c>
      <c r="F628" t="str">
        <f t="shared" si="37"/>
        <v>may</v>
      </c>
      <c r="G628">
        <v>20</v>
      </c>
      <c r="H628">
        <v>24</v>
      </c>
      <c r="I628" t="str">
        <f t="shared" si="36"/>
        <v>1-may-2024</v>
      </c>
      <c r="K628" s="49">
        <f t="shared" si="38"/>
        <v>45413</v>
      </c>
      <c r="M628" t="b">
        <f t="shared" si="39"/>
        <v>1</v>
      </c>
    </row>
    <row r="629" spans="1:13" x14ac:dyDescent="0.3">
      <c r="A629" s="49">
        <v>45536</v>
      </c>
      <c r="D629" t="s">
        <v>7371</v>
      </c>
      <c r="E629">
        <v>1</v>
      </c>
      <c r="F629" t="str">
        <f t="shared" si="37"/>
        <v>jul</v>
      </c>
      <c r="G629">
        <v>20</v>
      </c>
      <c r="H629">
        <v>24</v>
      </c>
      <c r="I629" t="str">
        <f t="shared" si="36"/>
        <v>1-jul-2024</v>
      </c>
      <c r="K629" s="49">
        <f t="shared" si="38"/>
        <v>45474</v>
      </c>
      <c r="M629" t="b">
        <f t="shared" si="39"/>
        <v>1</v>
      </c>
    </row>
    <row r="630" spans="1:13" x14ac:dyDescent="0.3">
      <c r="A630" s="49">
        <v>45536</v>
      </c>
      <c r="D630" t="s">
        <v>7368</v>
      </c>
      <c r="E630">
        <v>1</v>
      </c>
      <c r="F630" t="str">
        <f t="shared" si="37"/>
        <v>mar</v>
      </c>
      <c r="G630">
        <v>20</v>
      </c>
      <c r="H630">
        <v>24</v>
      </c>
      <c r="I630" t="str">
        <f t="shared" si="36"/>
        <v>1-mar-2024</v>
      </c>
      <c r="K630" s="49">
        <f t="shared" si="38"/>
        <v>45352</v>
      </c>
      <c r="M630" t="b">
        <f t="shared" si="39"/>
        <v>1</v>
      </c>
    </row>
    <row r="631" spans="1:13" x14ac:dyDescent="0.3">
      <c r="A631" s="49">
        <v>45536</v>
      </c>
      <c r="D631" t="s">
        <v>7369</v>
      </c>
      <c r="E631">
        <v>1</v>
      </c>
      <c r="F631" t="str">
        <f t="shared" si="37"/>
        <v>abr</v>
      </c>
      <c r="G631">
        <v>20</v>
      </c>
      <c r="H631">
        <v>24</v>
      </c>
      <c r="I631" t="str">
        <f t="shared" si="36"/>
        <v>1-abr-2024</v>
      </c>
      <c r="K631" s="49">
        <f t="shared" si="38"/>
        <v>45383</v>
      </c>
      <c r="M631" t="b">
        <f t="shared" si="39"/>
        <v>1</v>
      </c>
    </row>
    <row r="632" spans="1:13" x14ac:dyDescent="0.3">
      <c r="A632" s="49">
        <v>45536</v>
      </c>
      <c r="D632" t="s">
        <v>7370</v>
      </c>
      <c r="E632">
        <v>1</v>
      </c>
      <c r="F632" t="str">
        <f t="shared" si="37"/>
        <v>may</v>
      </c>
      <c r="G632">
        <v>20</v>
      </c>
      <c r="H632">
        <v>24</v>
      </c>
      <c r="I632" t="str">
        <f t="shared" si="36"/>
        <v>1-may-2024</v>
      </c>
      <c r="K632" s="49">
        <f t="shared" si="38"/>
        <v>45413</v>
      </c>
      <c r="M632" t="b">
        <f t="shared" si="39"/>
        <v>1</v>
      </c>
    </row>
    <row r="633" spans="1:13" x14ac:dyDescent="0.3">
      <c r="A633" s="49">
        <v>45536</v>
      </c>
      <c r="D633" t="s">
        <v>7368</v>
      </c>
      <c r="E633">
        <v>1</v>
      </c>
      <c r="F633" t="str">
        <f t="shared" si="37"/>
        <v>mar</v>
      </c>
      <c r="G633">
        <v>20</v>
      </c>
      <c r="H633">
        <v>26</v>
      </c>
      <c r="I633" t="str">
        <f t="shared" si="36"/>
        <v>1-mar-2026</v>
      </c>
      <c r="K633" s="49">
        <f t="shared" si="38"/>
        <v>46082</v>
      </c>
      <c r="M633" t="b">
        <f t="shared" si="39"/>
        <v>0</v>
      </c>
    </row>
    <row r="634" spans="1:13" x14ac:dyDescent="0.3">
      <c r="A634" s="49">
        <v>45536</v>
      </c>
      <c r="D634" t="s">
        <v>7355</v>
      </c>
      <c r="E634">
        <v>1</v>
      </c>
      <c r="F634" t="str">
        <f t="shared" si="37"/>
        <v>sep</v>
      </c>
      <c r="G634">
        <v>20</v>
      </c>
      <c r="H634">
        <v>22</v>
      </c>
      <c r="I634" t="str">
        <f t="shared" si="36"/>
        <v>1-sep-2022</v>
      </c>
      <c r="K634" s="49">
        <f t="shared" si="38"/>
        <v>44805</v>
      </c>
      <c r="M634" t="b">
        <f t="shared" si="39"/>
        <v>1</v>
      </c>
    </row>
    <row r="635" spans="1:13" x14ac:dyDescent="0.3">
      <c r="A635" s="49">
        <v>45536</v>
      </c>
      <c r="D635" t="s">
        <v>7381</v>
      </c>
      <c r="E635">
        <v>1</v>
      </c>
      <c r="F635" t="str">
        <f t="shared" si="37"/>
        <v>nov</v>
      </c>
      <c r="G635">
        <v>20</v>
      </c>
      <c r="H635">
        <v>23</v>
      </c>
      <c r="I635" t="str">
        <f t="shared" si="36"/>
        <v>1-nov-2023</v>
      </c>
      <c r="K635" s="49">
        <f t="shared" si="38"/>
        <v>45231</v>
      </c>
      <c r="M635" t="b">
        <f t="shared" si="39"/>
        <v>1</v>
      </c>
    </row>
    <row r="636" spans="1:13" x14ac:dyDescent="0.3">
      <c r="A636" s="49">
        <v>45536</v>
      </c>
      <c r="D636" t="s">
        <v>7360</v>
      </c>
      <c r="E636">
        <v>1</v>
      </c>
      <c r="F636" t="str">
        <f t="shared" si="37"/>
        <v>nov</v>
      </c>
      <c r="G636">
        <v>20</v>
      </c>
      <c r="H636">
        <v>21</v>
      </c>
      <c r="I636" t="str">
        <f t="shared" si="36"/>
        <v>1-nov-2021</v>
      </c>
      <c r="K636" s="49">
        <f t="shared" si="38"/>
        <v>44501</v>
      </c>
      <c r="M636" t="b">
        <f t="shared" si="39"/>
        <v>1</v>
      </c>
    </row>
    <row r="637" spans="1:13" x14ac:dyDescent="0.3">
      <c r="A637" s="49">
        <v>45536</v>
      </c>
      <c r="D637" t="s">
        <v>7363</v>
      </c>
      <c r="E637">
        <v>1</v>
      </c>
      <c r="F637" t="str">
        <f t="shared" si="37"/>
        <v>feb</v>
      </c>
      <c r="G637">
        <v>20</v>
      </c>
      <c r="H637">
        <v>25</v>
      </c>
      <c r="I637" t="str">
        <f t="shared" si="36"/>
        <v>1-feb-2025</v>
      </c>
      <c r="K637" s="49">
        <f t="shared" si="38"/>
        <v>45689</v>
      </c>
      <c r="M637" t="b">
        <f t="shared" si="39"/>
        <v>0</v>
      </c>
    </row>
    <row r="638" spans="1:13" x14ac:dyDescent="0.3">
      <c r="A638" s="49">
        <v>45536</v>
      </c>
      <c r="D638" t="s">
        <v>7363</v>
      </c>
      <c r="E638">
        <v>1</v>
      </c>
      <c r="F638" t="str">
        <f t="shared" si="37"/>
        <v>feb</v>
      </c>
      <c r="G638">
        <v>20</v>
      </c>
      <c r="H638">
        <v>25</v>
      </c>
      <c r="I638" t="str">
        <f t="shared" si="36"/>
        <v>1-feb-2025</v>
      </c>
      <c r="K638" s="49">
        <f t="shared" si="38"/>
        <v>45689</v>
      </c>
      <c r="M638" t="b">
        <f t="shared" si="39"/>
        <v>0</v>
      </c>
    </row>
    <row r="639" spans="1:13" x14ac:dyDescent="0.3">
      <c r="A639" s="49">
        <v>45536</v>
      </c>
      <c r="D639" t="s">
        <v>7368</v>
      </c>
      <c r="E639">
        <v>1</v>
      </c>
      <c r="F639" t="str">
        <f t="shared" si="37"/>
        <v>mar</v>
      </c>
      <c r="G639">
        <v>20</v>
      </c>
      <c r="H639">
        <v>24</v>
      </c>
      <c r="I639" t="str">
        <f t="shared" si="36"/>
        <v>1-mar-2024</v>
      </c>
      <c r="K639" s="49">
        <f t="shared" si="38"/>
        <v>45352</v>
      </c>
      <c r="M639" t="b">
        <f t="shared" si="39"/>
        <v>1</v>
      </c>
    </row>
    <row r="640" spans="1:13" x14ac:dyDescent="0.3">
      <c r="A640" s="49">
        <v>45536</v>
      </c>
      <c r="D640" t="s">
        <v>7359</v>
      </c>
      <c r="E640">
        <v>1</v>
      </c>
      <c r="F640" t="str">
        <f t="shared" si="37"/>
        <v>jul</v>
      </c>
      <c r="G640">
        <v>20</v>
      </c>
      <c r="H640">
        <v>24</v>
      </c>
      <c r="I640" t="str">
        <f t="shared" si="36"/>
        <v>1-jul-2024</v>
      </c>
      <c r="K640" s="49">
        <f t="shared" si="38"/>
        <v>45474</v>
      </c>
      <c r="M640" t="b">
        <f t="shared" si="39"/>
        <v>1</v>
      </c>
    </row>
    <row r="641" spans="1:13" x14ac:dyDescent="0.3">
      <c r="A641" s="49">
        <v>45536</v>
      </c>
      <c r="D641" t="s">
        <v>7369</v>
      </c>
      <c r="E641">
        <v>1</v>
      </c>
      <c r="F641" t="str">
        <f t="shared" si="37"/>
        <v>abr</v>
      </c>
      <c r="G641">
        <v>20</v>
      </c>
      <c r="H641">
        <v>24</v>
      </c>
      <c r="I641" t="str">
        <f t="shared" ref="I641:I704" si="40">_xlfn.CONCAT(E641,"-",F641,"-",G641,H641)</f>
        <v>1-abr-2024</v>
      </c>
      <c r="K641" s="49">
        <f t="shared" si="38"/>
        <v>45383</v>
      </c>
      <c r="M641" t="b">
        <f t="shared" si="39"/>
        <v>1</v>
      </c>
    </row>
    <row r="642" spans="1:13" x14ac:dyDescent="0.3">
      <c r="A642" s="49">
        <v>45536</v>
      </c>
      <c r="D642" t="s">
        <v>7362</v>
      </c>
      <c r="E642">
        <v>1</v>
      </c>
      <c r="F642" t="str">
        <f t="shared" ref="F642:F705" si="41">LOWER(D642)</f>
        <v>ago</v>
      </c>
      <c r="G642">
        <v>20</v>
      </c>
      <c r="H642">
        <v>22</v>
      </c>
      <c r="I642" t="str">
        <f t="shared" si="40"/>
        <v>1-ago-2022</v>
      </c>
      <c r="K642" s="49">
        <f t="shared" ref="K642:K705" si="42">DATEVALUE(I642)</f>
        <v>44774</v>
      </c>
      <c r="M642" t="b">
        <f t="shared" si="39"/>
        <v>1</v>
      </c>
    </row>
    <row r="643" spans="1:13" x14ac:dyDescent="0.3">
      <c r="A643" s="49">
        <v>45536</v>
      </c>
      <c r="D643" t="s">
        <v>7359</v>
      </c>
      <c r="E643">
        <v>1</v>
      </c>
      <c r="F643" t="str">
        <f t="shared" si="41"/>
        <v>jul</v>
      </c>
      <c r="G643">
        <v>20</v>
      </c>
      <c r="H643">
        <v>23</v>
      </c>
      <c r="I643" t="str">
        <f t="shared" si="40"/>
        <v>1-jul-2023</v>
      </c>
      <c r="K643" s="49">
        <f t="shared" si="42"/>
        <v>45108</v>
      </c>
      <c r="M643" t="b">
        <f t="shared" ref="M643:M706" si="43">K643&lt;A643</f>
        <v>1</v>
      </c>
    </row>
    <row r="644" spans="1:13" x14ac:dyDescent="0.3">
      <c r="A644" s="49">
        <v>45536</v>
      </c>
      <c r="D644" t="s">
        <v>7370</v>
      </c>
      <c r="E644">
        <v>1</v>
      </c>
      <c r="F644" t="str">
        <f t="shared" si="41"/>
        <v>may</v>
      </c>
      <c r="G644">
        <v>20</v>
      </c>
      <c r="H644">
        <v>25</v>
      </c>
      <c r="I644" t="str">
        <f t="shared" si="40"/>
        <v>1-may-2025</v>
      </c>
      <c r="K644" s="49">
        <f t="shared" si="42"/>
        <v>45778</v>
      </c>
      <c r="M644" t="b">
        <f t="shared" si="43"/>
        <v>0</v>
      </c>
    </row>
    <row r="645" spans="1:13" x14ac:dyDescent="0.3">
      <c r="A645" s="49">
        <v>45536</v>
      </c>
      <c r="D645" t="s">
        <v>7370</v>
      </c>
      <c r="E645">
        <v>1</v>
      </c>
      <c r="F645" t="str">
        <f t="shared" si="41"/>
        <v>may</v>
      </c>
      <c r="G645">
        <v>20</v>
      </c>
      <c r="H645">
        <v>25</v>
      </c>
      <c r="I645" t="str">
        <f t="shared" si="40"/>
        <v>1-may-2025</v>
      </c>
      <c r="K645" s="49">
        <f t="shared" si="42"/>
        <v>45778</v>
      </c>
      <c r="M645" t="b">
        <f t="shared" si="43"/>
        <v>0</v>
      </c>
    </row>
    <row r="646" spans="1:13" x14ac:dyDescent="0.3">
      <c r="A646" s="49">
        <v>45536</v>
      </c>
      <c r="D646" t="s">
        <v>7355</v>
      </c>
      <c r="E646">
        <v>1</v>
      </c>
      <c r="F646" t="str">
        <f t="shared" si="41"/>
        <v>sep</v>
      </c>
      <c r="G646">
        <v>20</v>
      </c>
      <c r="H646">
        <v>24</v>
      </c>
      <c r="I646" t="str">
        <f t="shared" si="40"/>
        <v>1-sep-2024</v>
      </c>
      <c r="K646" s="49">
        <f t="shared" si="42"/>
        <v>45536</v>
      </c>
      <c r="M646" t="b">
        <f t="shared" si="43"/>
        <v>0</v>
      </c>
    </row>
    <row r="647" spans="1:13" x14ac:dyDescent="0.3">
      <c r="A647" s="49">
        <v>45536</v>
      </c>
      <c r="D647" t="s">
        <v>7357</v>
      </c>
      <c r="E647">
        <v>1</v>
      </c>
      <c r="F647" t="str">
        <f t="shared" si="41"/>
        <v>oct</v>
      </c>
      <c r="G647">
        <v>20</v>
      </c>
      <c r="H647">
        <v>20</v>
      </c>
      <c r="I647" t="str">
        <f t="shared" si="40"/>
        <v>1-oct-2020</v>
      </c>
      <c r="K647" s="49">
        <f t="shared" si="42"/>
        <v>44105</v>
      </c>
      <c r="M647" t="b">
        <f t="shared" si="43"/>
        <v>1</v>
      </c>
    </row>
    <row r="648" spans="1:13" x14ac:dyDescent="0.3">
      <c r="A648" s="49">
        <v>45536</v>
      </c>
      <c r="D648" t="s">
        <v>7359</v>
      </c>
      <c r="E648">
        <v>1</v>
      </c>
      <c r="F648" t="str">
        <f t="shared" si="41"/>
        <v>jul</v>
      </c>
      <c r="G648">
        <v>20</v>
      </c>
      <c r="H648">
        <v>24</v>
      </c>
      <c r="I648" t="str">
        <f t="shared" si="40"/>
        <v>1-jul-2024</v>
      </c>
      <c r="K648" s="49">
        <f t="shared" si="42"/>
        <v>45474</v>
      </c>
      <c r="M648" t="b">
        <f t="shared" si="43"/>
        <v>1</v>
      </c>
    </row>
    <row r="649" spans="1:13" x14ac:dyDescent="0.3">
      <c r="A649" s="49">
        <v>45536</v>
      </c>
      <c r="D649" t="s">
        <v>7362</v>
      </c>
      <c r="E649">
        <v>1</v>
      </c>
      <c r="F649" t="str">
        <f t="shared" si="41"/>
        <v>ago</v>
      </c>
      <c r="G649">
        <v>20</v>
      </c>
      <c r="H649">
        <v>24</v>
      </c>
      <c r="I649" t="str">
        <f t="shared" si="40"/>
        <v>1-ago-2024</v>
      </c>
      <c r="K649" s="49">
        <f t="shared" si="42"/>
        <v>45505</v>
      </c>
      <c r="M649" t="b">
        <f t="shared" si="43"/>
        <v>1</v>
      </c>
    </row>
    <row r="650" spans="1:13" x14ac:dyDescent="0.3">
      <c r="A650" s="49">
        <v>45536</v>
      </c>
      <c r="D650" t="s">
        <v>7368</v>
      </c>
      <c r="E650">
        <v>1</v>
      </c>
      <c r="F650" t="str">
        <f t="shared" si="41"/>
        <v>mar</v>
      </c>
      <c r="G650">
        <v>20</v>
      </c>
      <c r="H650">
        <v>24</v>
      </c>
      <c r="I650" t="str">
        <f t="shared" si="40"/>
        <v>1-mar-2024</v>
      </c>
      <c r="K650" s="49">
        <f t="shared" si="42"/>
        <v>45352</v>
      </c>
      <c r="M650" t="b">
        <f t="shared" si="43"/>
        <v>1</v>
      </c>
    </row>
    <row r="651" spans="1:13" x14ac:dyDescent="0.3">
      <c r="A651" s="49">
        <v>45536</v>
      </c>
      <c r="D651" t="s">
        <v>7362</v>
      </c>
      <c r="E651">
        <v>1</v>
      </c>
      <c r="F651" t="str">
        <f t="shared" si="41"/>
        <v>ago</v>
      </c>
      <c r="G651">
        <v>20</v>
      </c>
      <c r="H651">
        <v>24</v>
      </c>
      <c r="I651" t="str">
        <f t="shared" si="40"/>
        <v>1-ago-2024</v>
      </c>
      <c r="K651" s="49">
        <f t="shared" si="42"/>
        <v>45505</v>
      </c>
      <c r="M651" t="b">
        <f t="shared" si="43"/>
        <v>1</v>
      </c>
    </row>
    <row r="652" spans="1:13" x14ac:dyDescent="0.3">
      <c r="A652" s="49">
        <v>45536</v>
      </c>
      <c r="D652" t="s">
        <v>7362</v>
      </c>
      <c r="E652">
        <v>1</v>
      </c>
      <c r="F652" t="str">
        <f t="shared" si="41"/>
        <v>ago</v>
      </c>
      <c r="G652">
        <v>20</v>
      </c>
      <c r="H652">
        <v>24</v>
      </c>
      <c r="I652" t="str">
        <f t="shared" si="40"/>
        <v>1-ago-2024</v>
      </c>
      <c r="K652" s="49">
        <f t="shared" si="42"/>
        <v>45505</v>
      </c>
      <c r="M652" t="b">
        <f t="shared" si="43"/>
        <v>1</v>
      </c>
    </row>
    <row r="653" spans="1:13" x14ac:dyDescent="0.3">
      <c r="A653" s="49">
        <v>45536</v>
      </c>
      <c r="D653" t="s">
        <v>7370</v>
      </c>
      <c r="E653">
        <v>1</v>
      </c>
      <c r="F653" t="str">
        <f t="shared" si="41"/>
        <v>may</v>
      </c>
      <c r="G653">
        <v>20</v>
      </c>
      <c r="H653">
        <v>23</v>
      </c>
      <c r="I653" t="str">
        <f t="shared" si="40"/>
        <v>1-may-2023</v>
      </c>
      <c r="K653" s="49">
        <f t="shared" si="42"/>
        <v>45047</v>
      </c>
      <c r="M653" t="b">
        <f t="shared" si="43"/>
        <v>1</v>
      </c>
    </row>
    <row r="654" spans="1:13" x14ac:dyDescent="0.3">
      <c r="A654" s="49">
        <v>45536</v>
      </c>
      <c r="D654" t="s">
        <v>7369</v>
      </c>
      <c r="E654">
        <v>1</v>
      </c>
      <c r="F654" t="str">
        <f t="shared" si="41"/>
        <v>abr</v>
      </c>
      <c r="G654">
        <v>20</v>
      </c>
      <c r="H654">
        <v>24</v>
      </c>
      <c r="I654" t="str">
        <f t="shared" si="40"/>
        <v>1-abr-2024</v>
      </c>
      <c r="K654" s="49">
        <f t="shared" si="42"/>
        <v>45383</v>
      </c>
      <c r="M654" t="b">
        <f t="shared" si="43"/>
        <v>1</v>
      </c>
    </row>
    <row r="655" spans="1:13" x14ac:dyDescent="0.3">
      <c r="A655" s="49">
        <v>45536</v>
      </c>
      <c r="D655" t="s">
        <v>7369</v>
      </c>
      <c r="E655">
        <v>1</v>
      </c>
      <c r="F655" t="str">
        <f t="shared" si="41"/>
        <v>abr</v>
      </c>
      <c r="G655">
        <v>20</v>
      </c>
      <c r="H655">
        <v>24</v>
      </c>
      <c r="I655" t="str">
        <f t="shared" si="40"/>
        <v>1-abr-2024</v>
      </c>
      <c r="K655" s="49">
        <f t="shared" si="42"/>
        <v>45383</v>
      </c>
      <c r="M655" t="b">
        <f t="shared" si="43"/>
        <v>1</v>
      </c>
    </row>
    <row r="656" spans="1:13" x14ac:dyDescent="0.3">
      <c r="A656" s="49">
        <v>45536</v>
      </c>
      <c r="D656" t="s">
        <v>7369</v>
      </c>
      <c r="E656">
        <v>1</v>
      </c>
      <c r="F656" t="str">
        <f t="shared" si="41"/>
        <v>abr</v>
      </c>
      <c r="G656">
        <v>20</v>
      </c>
      <c r="H656">
        <v>21</v>
      </c>
      <c r="I656" t="str">
        <f t="shared" si="40"/>
        <v>1-abr-2021</v>
      </c>
      <c r="K656" s="49">
        <f t="shared" si="42"/>
        <v>44287</v>
      </c>
      <c r="M656" t="b">
        <f t="shared" si="43"/>
        <v>1</v>
      </c>
    </row>
    <row r="657" spans="1:13" x14ac:dyDescent="0.3">
      <c r="A657" s="49">
        <v>45536</v>
      </c>
      <c r="D657" t="s">
        <v>7369</v>
      </c>
      <c r="E657">
        <v>1</v>
      </c>
      <c r="F657" t="str">
        <f t="shared" si="41"/>
        <v>abr</v>
      </c>
      <c r="G657">
        <v>20</v>
      </c>
      <c r="H657">
        <v>21</v>
      </c>
      <c r="I657" t="str">
        <f t="shared" si="40"/>
        <v>1-abr-2021</v>
      </c>
      <c r="K657" s="49">
        <f t="shared" si="42"/>
        <v>44287</v>
      </c>
      <c r="M657" t="b">
        <f t="shared" si="43"/>
        <v>1</v>
      </c>
    </row>
    <row r="658" spans="1:13" x14ac:dyDescent="0.3">
      <c r="A658" s="49">
        <v>45536</v>
      </c>
      <c r="D658" t="s">
        <v>7369</v>
      </c>
      <c r="E658">
        <v>1</v>
      </c>
      <c r="F658" t="str">
        <f t="shared" si="41"/>
        <v>abr</v>
      </c>
      <c r="G658">
        <v>20</v>
      </c>
      <c r="H658">
        <v>21</v>
      </c>
      <c r="I658" t="str">
        <f t="shared" si="40"/>
        <v>1-abr-2021</v>
      </c>
      <c r="K658" s="49">
        <f t="shared" si="42"/>
        <v>44287</v>
      </c>
      <c r="M658" t="b">
        <f t="shared" si="43"/>
        <v>1</v>
      </c>
    </row>
    <row r="659" spans="1:13" x14ac:dyDescent="0.3">
      <c r="A659" s="49">
        <v>45536</v>
      </c>
      <c r="D659" t="s">
        <v>7369</v>
      </c>
      <c r="E659">
        <v>1</v>
      </c>
      <c r="F659" t="str">
        <f t="shared" si="41"/>
        <v>abr</v>
      </c>
      <c r="G659">
        <v>20</v>
      </c>
      <c r="H659">
        <v>21</v>
      </c>
      <c r="I659" t="str">
        <f t="shared" si="40"/>
        <v>1-abr-2021</v>
      </c>
      <c r="K659" s="49">
        <f t="shared" si="42"/>
        <v>44287</v>
      </c>
      <c r="M659" t="b">
        <f t="shared" si="43"/>
        <v>1</v>
      </c>
    </row>
    <row r="660" spans="1:13" x14ac:dyDescent="0.3">
      <c r="A660" s="49">
        <v>45536</v>
      </c>
      <c r="D660" t="s">
        <v>7360</v>
      </c>
      <c r="E660">
        <v>1</v>
      </c>
      <c r="F660" t="str">
        <f t="shared" si="41"/>
        <v>nov</v>
      </c>
      <c r="G660">
        <v>20</v>
      </c>
      <c r="H660">
        <v>23</v>
      </c>
      <c r="I660" t="str">
        <f t="shared" si="40"/>
        <v>1-nov-2023</v>
      </c>
      <c r="K660" s="49">
        <f t="shared" si="42"/>
        <v>45231</v>
      </c>
      <c r="M660" t="b">
        <f t="shared" si="43"/>
        <v>1</v>
      </c>
    </row>
    <row r="661" spans="1:13" x14ac:dyDescent="0.3">
      <c r="A661" s="49">
        <v>45536</v>
      </c>
      <c r="D661" t="s">
        <v>7359</v>
      </c>
      <c r="E661">
        <v>1</v>
      </c>
      <c r="F661" t="str">
        <f t="shared" si="41"/>
        <v>jul</v>
      </c>
      <c r="G661">
        <v>20</v>
      </c>
      <c r="H661">
        <v>24</v>
      </c>
      <c r="I661" t="str">
        <f t="shared" si="40"/>
        <v>1-jul-2024</v>
      </c>
      <c r="K661" s="49">
        <f t="shared" si="42"/>
        <v>45474</v>
      </c>
      <c r="M661" t="b">
        <f t="shared" si="43"/>
        <v>1</v>
      </c>
    </row>
    <row r="662" spans="1:13" x14ac:dyDescent="0.3">
      <c r="A662" s="49">
        <v>45536</v>
      </c>
      <c r="D662" t="s">
        <v>7366</v>
      </c>
      <c r="E662">
        <v>1</v>
      </c>
      <c r="F662" t="str">
        <f t="shared" si="41"/>
        <v>dic</v>
      </c>
      <c r="G662">
        <v>20</v>
      </c>
      <c r="H662">
        <v>19</v>
      </c>
      <c r="I662" t="str">
        <f t="shared" si="40"/>
        <v>1-dic-2019</v>
      </c>
      <c r="K662" s="49">
        <f t="shared" si="42"/>
        <v>43800</v>
      </c>
      <c r="M662" t="b">
        <f t="shared" si="43"/>
        <v>1</v>
      </c>
    </row>
    <row r="663" spans="1:13" x14ac:dyDescent="0.3">
      <c r="A663" s="49">
        <v>45536</v>
      </c>
      <c r="D663" t="s">
        <v>7368</v>
      </c>
      <c r="E663">
        <v>1</v>
      </c>
      <c r="F663" t="str">
        <f t="shared" si="41"/>
        <v>mar</v>
      </c>
      <c r="G663">
        <v>20</v>
      </c>
      <c r="H663">
        <v>24</v>
      </c>
      <c r="I663" t="str">
        <f t="shared" si="40"/>
        <v>1-mar-2024</v>
      </c>
      <c r="K663" s="49">
        <f t="shared" si="42"/>
        <v>45352</v>
      </c>
      <c r="M663" t="b">
        <f t="shared" si="43"/>
        <v>1</v>
      </c>
    </row>
    <row r="664" spans="1:13" x14ac:dyDescent="0.3">
      <c r="A664" s="49">
        <v>45536</v>
      </c>
      <c r="D664" t="s">
        <v>7368</v>
      </c>
      <c r="E664">
        <v>1</v>
      </c>
      <c r="F664" t="str">
        <f t="shared" si="41"/>
        <v>mar</v>
      </c>
      <c r="G664">
        <v>20</v>
      </c>
      <c r="H664">
        <v>24</v>
      </c>
      <c r="I664" t="str">
        <f t="shared" si="40"/>
        <v>1-mar-2024</v>
      </c>
      <c r="K664" s="49">
        <f t="shared" si="42"/>
        <v>45352</v>
      </c>
      <c r="M664" t="b">
        <f t="shared" si="43"/>
        <v>1</v>
      </c>
    </row>
    <row r="665" spans="1:13" x14ac:dyDescent="0.3">
      <c r="A665" s="49">
        <v>45536</v>
      </c>
      <c r="D665" t="s">
        <v>7356</v>
      </c>
      <c r="E665">
        <v>1</v>
      </c>
      <c r="F665" t="str">
        <f t="shared" si="41"/>
        <v>ene</v>
      </c>
      <c r="G665">
        <v>20</v>
      </c>
      <c r="H665">
        <v>24</v>
      </c>
      <c r="I665" t="str">
        <f t="shared" si="40"/>
        <v>1-ene-2024</v>
      </c>
      <c r="K665" s="49">
        <f t="shared" si="42"/>
        <v>45292</v>
      </c>
      <c r="M665" t="b">
        <f t="shared" si="43"/>
        <v>1</v>
      </c>
    </row>
    <row r="666" spans="1:13" x14ac:dyDescent="0.3">
      <c r="A666" s="49">
        <v>45536</v>
      </c>
      <c r="D666" t="s">
        <v>7355</v>
      </c>
      <c r="E666">
        <v>1</v>
      </c>
      <c r="F666" t="str">
        <f t="shared" si="41"/>
        <v>sep</v>
      </c>
      <c r="G666">
        <v>20</v>
      </c>
      <c r="H666">
        <v>24</v>
      </c>
      <c r="I666" t="str">
        <f t="shared" si="40"/>
        <v>1-sep-2024</v>
      </c>
      <c r="K666" s="49">
        <f t="shared" si="42"/>
        <v>45536</v>
      </c>
      <c r="M666" t="b">
        <f t="shared" si="43"/>
        <v>0</v>
      </c>
    </row>
    <row r="667" spans="1:13" x14ac:dyDescent="0.3">
      <c r="A667" s="49">
        <v>45536</v>
      </c>
      <c r="D667" t="s">
        <v>7355</v>
      </c>
      <c r="E667">
        <v>1</v>
      </c>
      <c r="F667" t="str">
        <f t="shared" si="41"/>
        <v>sep</v>
      </c>
      <c r="G667">
        <v>20</v>
      </c>
      <c r="H667">
        <v>24</v>
      </c>
      <c r="I667" t="str">
        <f t="shared" si="40"/>
        <v>1-sep-2024</v>
      </c>
      <c r="K667" s="49">
        <f t="shared" si="42"/>
        <v>45536</v>
      </c>
      <c r="M667" t="b">
        <f t="shared" si="43"/>
        <v>0</v>
      </c>
    </row>
    <row r="668" spans="1:13" x14ac:dyDescent="0.3">
      <c r="A668" s="49">
        <v>45536</v>
      </c>
      <c r="D668" t="s">
        <v>7369</v>
      </c>
      <c r="E668">
        <v>1</v>
      </c>
      <c r="F668" t="str">
        <f t="shared" si="41"/>
        <v>abr</v>
      </c>
      <c r="G668">
        <v>20</v>
      </c>
      <c r="H668">
        <v>24</v>
      </c>
      <c r="I668" t="str">
        <f t="shared" si="40"/>
        <v>1-abr-2024</v>
      </c>
      <c r="K668" s="49">
        <f t="shared" si="42"/>
        <v>45383</v>
      </c>
      <c r="M668" t="b">
        <f t="shared" si="43"/>
        <v>1</v>
      </c>
    </row>
    <row r="669" spans="1:13" x14ac:dyDescent="0.3">
      <c r="A669" s="49">
        <v>45536</v>
      </c>
      <c r="D669" t="s">
        <v>7369</v>
      </c>
      <c r="E669">
        <v>1</v>
      </c>
      <c r="F669" t="str">
        <f t="shared" si="41"/>
        <v>abr</v>
      </c>
      <c r="G669">
        <v>20</v>
      </c>
      <c r="H669">
        <v>24</v>
      </c>
      <c r="I669" t="str">
        <f t="shared" si="40"/>
        <v>1-abr-2024</v>
      </c>
      <c r="K669" s="49">
        <f t="shared" si="42"/>
        <v>45383</v>
      </c>
      <c r="M669" t="b">
        <f t="shared" si="43"/>
        <v>1</v>
      </c>
    </row>
    <row r="670" spans="1:13" x14ac:dyDescent="0.3">
      <c r="A670" s="49">
        <v>45536</v>
      </c>
      <c r="D670" t="s">
        <v>7368</v>
      </c>
      <c r="E670">
        <v>1</v>
      </c>
      <c r="F670" t="str">
        <f t="shared" si="41"/>
        <v>mar</v>
      </c>
      <c r="G670">
        <v>20</v>
      </c>
      <c r="H670">
        <v>23</v>
      </c>
      <c r="I670" t="str">
        <f t="shared" si="40"/>
        <v>1-mar-2023</v>
      </c>
      <c r="K670" s="49">
        <f t="shared" si="42"/>
        <v>44986</v>
      </c>
      <c r="M670" t="b">
        <f t="shared" si="43"/>
        <v>1</v>
      </c>
    </row>
    <row r="671" spans="1:13" x14ac:dyDescent="0.3">
      <c r="A671" s="49">
        <v>45536</v>
      </c>
      <c r="D671" t="s">
        <v>7357</v>
      </c>
      <c r="E671">
        <v>1</v>
      </c>
      <c r="F671" t="str">
        <f t="shared" si="41"/>
        <v>oct</v>
      </c>
      <c r="G671">
        <v>20</v>
      </c>
      <c r="H671">
        <v>23</v>
      </c>
      <c r="I671" t="str">
        <f t="shared" si="40"/>
        <v>1-oct-2023</v>
      </c>
      <c r="K671" s="49">
        <f t="shared" si="42"/>
        <v>45200</v>
      </c>
      <c r="M671" t="b">
        <f t="shared" si="43"/>
        <v>1</v>
      </c>
    </row>
    <row r="672" spans="1:13" x14ac:dyDescent="0.3">
      <c r="A672" s="49">
        <v>45536</v>
      </c>
      <c r="D672" t="s">
        <v>7357</v>
      </c>
      <c r="E672">
        <v>1</v>
      </c>
      <c r="F672" t="str">
        <f t="shared" si="41"/>
        <v>oct</v>
      </c>
      <c r="G672">
        <v>20</v>
      </c>
      <c r="H672">
        <v>23</v>
      </c>
      <c r="I672" t="str">
        <f t="shared" si="40"/>
        <v>1-oct-2023</v>
      </c>
      <c r="K672" s="49">
        <f t="shared" si="42"/>
        <v>45200</v>
      </c>
      <c r="M672" t="b">
        <f t="shared" si="43"/>
        <v>1</v>
      </c>
    </row>
    <row r="673" spans="1:13" x14ac:dyDescent="0.3">
      <c r="A673" s="49">
        <v>45536</v>
      </c>
      <c r="D673" t="s">
        <v>7363</v>
      </c>
      <c r="E673">
        <v>1</v>
      </c>
      <c r="F673" t="str">
        <f t="shared" si="41"/>
        <v>feb</v>
      </c>
      <c r="G673">
        <v>20</v>
      </c>
      <c r="H673">
        <v>24</v>
      </c>
      <c r="I673" t="str">
        <f t="shared" si="40"/>
        <v>1-feb-2024</v>
      </c>
      <c r="K673" s="49">
        <f t="shared" si="42"/>
        <v>45323</v>
      </c>
      <c r="M673" t="b">
        <f t="shared" si="43"/>
        <v>1</v>
      </c>
    </row>
    <row r="674" spans="1:13" x14ac:dyDescent="0.3">
      <c r="A674" s="49">
        <v>45536</v>
      </c>
      <c r="D674" t="s">
        <v>7369</v>
      </c>
      <c r="E674">
        <v>1</v>
      </c>
      <c r="F674" t="str">
        <f t="shared" si="41"/>
        <v>abr</v>
      </c>
      <c r="G674">
        <v>20</v>
      </c>
      <c r="H674">
        <v>24</v>
      </c>
      <c r="I674" t="str">
        <f t="shared" si="40"/>
        <v>1-abr-2024</v>
      </c>
      <c r="K674" s="49">
        <f t="shared" si="42"/>
        <v>45383</v>
      </c>
      <c r="M674" t="b">
        <f t="shared" si="43"/>
        <v>1</v>
      </c>
    </row>
    <row r="675" spans="1:13" x14ac:dyDescent="0.3">
      <c r="A675" s="49">
        <v>45536</v>
      </c>
      <c r="D675" t="s">
        <v>7359</v>
      </c>
      <c r="E675">
        <v>1</v>
      </c>
      <c r="F675" t="str">
        <f t="shared" si="41"/>
        <v>jul</v>
      </c>
      <c r="G675">
        <v>20</v>
      </c>
      <c r="H675">
        <v>24</v>
      </c>
      <c r="I675" t="str">
        <f t="shared" si="40"/>
        <v>1-jul-2024</v>
      </c>
      <c r="K675" s="49">
        <f t="shared" si="42"/>
        <v>45474</v>
      </c>
      <c r="M675" t="b">
        <f t="shared" si="43"/>
        <v>1</v>
      </c>
    </row>
    <row r="676" spans="1:13" x14ac:dyDescent="0.3">
      <c r="A676" s="49">
        <v>45536</v>
      </c>
      <c r="D676" t="s">
        <v>7359</v>
      </c>
      <c r="E676">
        <v>1</v>
      </c>
      <c r="F676" t="str">
        <f t="shared" si="41"/>
        <v>jul</v>
      </c>
      <c r="G676">
        <v>20</v>
      </c>
      <c r="H676">
        <v>24</v>
      </c>
      <c r="I676" t="str">
        <f t="shared" si="40"/>
        <v>1-jul-2024</v>
      </c>
      <c r="K676" s="49">
        <f t="shared" si="42"/>
        <v>45474</v>
      </c>
      <c r="M676" t="b">
        <f t="shared" si="43"/>
        <v>1</v>
      </c>
    </row>
    <row r="677" spans="1:13" x14ac:dyDescent="0.3">
      <c r="A677" s="49">
        <v>45536</v>
      </c>
      <c r="D677" t="s">
        <v>7360</v>
      </c>
      <c r="E677">
        <v>1</v>
      </c>
      <c r="F677" t="str">
        <f t="shared" si="41"/>
        <v>nov</v>
      </c>
      <c r="G677">
        <v>20</v>
      </c>
      <c r="H677">
        <v>22</v>
      </c>
      <c r="I677" t="str">
        <f t="shared" si="40"/>
        <v>1-nov-2022</v>
      </c>
      <c r="K677" s="49">
        <f t="shared" si="42"/>
        <v>44866</v>
      </c>
      <c r="M677" t="b">
        <f t="shared" si="43"/>
        <v>1</v>
      </c>
    </row>
    <row r="678" spans="1:13" x14ac:dyDescent="0.3">
      <c r="A678" s="49">
        <v>45536</v>
      </c>
      <c r="D678" t="s">
        <v>7359</v>
      </c>
      <c r="E678">
        <v>1</v>
      </c>
      <c r="F678" t="str">
        <f t="shared" si="41"/>
        <v>jul</v>
      </c>
      <c r="G678">
        <v>20</v>
      </c>
      <c r="H678">
        <v>24</v>
      </c>
      <c r="I678" t="str">
        <f t="shared" si="40"/>
        <v>1-jul-2024</v>
      </c>
      <c r="K678" s="49">
        <f t="shared" si="42"/>
        <v>45474</v>
      </c>
      <c r="M678" t="b">
        <f t="shared" si="43"/>
        <v>1</v>
      </c>
    </row>
    <row r="679" spans="1:13" x14ac:dyDescent="0.3">
      <c r="A679" s="49">
        <v>45536</v>
      </c>
      <c r="D679" t="s">
        <v>7362</v>
      </c>
      <c r="E679">
        <v>1</v>
      </c>
      <c r="F679" t="str">
        <f t="shared" si="41"/>
        <v>ago</v>
      </c>
      <c r="G679">
        <v>20</v>
      </c>
      <c r="H679">
        <v>24</v>
      </c>
      <c r="I679" t="str">
        <f t="shared" si="40"/>
        <v>1-ago-2024</v>
      </c>
      <c r="K679" s="49">
        <f t="shared" si="42"/>
        <v>45505</v>
      </c>
      <c r="M679" t="b">
        <f t="shared" si="43"/>
        <v>1</v>
      </c>
    </row>
    <row r="680" spans="1:13" x14ac:dyDescent="0.3">
      <c r="A680" s="49">
        <v>45536</v>
      </c>
      <c r="D680" t="s">
        <v>7362</v>
      </c>
      <c r="E680">
        <v>1</v>
      </c>
      <c r="F680" t="str">
        <f t="shared" si="41"/>
        <v>ago</v>
      </c>
      <c r="G680">
        <v>20</v>
      </c>
      <c r="H680">
        <v>24</v>
      </c>
      <c r="I680" t="str">
        <f t="shared" si="40"/>
        <v>1-ago-2024</v>
      </c>
      <c r="K680" s="49">
        <f t="shared" si="42"/>
        <v>45505</v>
      </c>
      <c r="M680" t="b">
        <f t="shared" si="43"/>
        <v>1</v>
      </c>
    </row>
    <row r="681" spans="1:13" x14ac:dyDescent="0.3">
      <c r="A681" s="49">
        <v>45536</v>
      </c>
      <c r="D681" t="s">
        <v>7369</v>
      </c>
      <c r="E681">
        <v>1</v>
      </c>
      <c r="F681" t="str">
        <f t="shared" si="41"/>
        <v>abr</v>
      </c>
      <c r="G681">
        <v>20</v>
      </c>
      <c r="H681">
        <v>24</v>
      </c>
      <c r="I681" t="str">
        <f t="shared" si="40"/>
        <v>1-abr-2024</v>
      </c>
      <c r="K681" s="49">
        <f t="shared" si="42"/>
        <v>45383</v>
      </c>
      <c r="M681" t="b">
        <f t="shared" si="43"/>
        <v>1</v>
      </c>
    </row>
    <row r="682" spans="1:13" x14ac:dyDescent="0.3">
      <c r="A682" s="49">
        <v>45536</v>
      </c>
      <c r="D682" t="s">
        <v>7363</v>
      </c>
      <c r="E682">
        <v>1</v>
      </c>
      <c r="F682" t="str">
        <f t="shared" si="41"/>
        <v>feb</v>
      </c>
      <c r="G682">
        <v>20</v>
      </c>
      <c r="H682">
        <v>22</v>
      </c>
      <c r="I682" t="str">
        <f t="shared" si="40"/>
        <v>1-feb-2022</v>
      </c>
      <c r="K682" s="49">
        <f t="shared" si="42"/>
        <v>44593</v>
      </c>
      <c r="M682" t="b">
        <f t="shared" si="43"/>
        <v>1</v>
      </c>
    </row>
    <row r="683" spans="1:13" x14ac:dyDescent="0.3">
      <c r="A683" s="49">
        <v>45536</v>
      </c>
      <c r="D683" t="s">
        <v>7368</v>
      </c>
      <c r="E683">
        <v>1</v>
      </c>
      <c r="F683" t="str">
        <f t="shared" si="41"/>
        <v>mar</v>
      </c>
      <c r="G683">
        <v>20</v>
      </c>
      <c r="H683">
        <v>24</v>
      </c>
      <c r="I683" t="str">
        <f t="shared" si="40"/>
        <v>1-mar-2024</v>
      </c>
      <c r="K683" s="49">
        <f t="shared" si="42"/>
        <v>45352</v>
      </c>
      <c r="M683" t="b">
        <f t="shared" si="43"/>
        <v>1</v>
      </c>
    </row>
    <row r="684" spans="1:13" x14ac:dyDescent="0.3">
      <c r="A684" s="49">
        <v>45536</v>
      </c>
      <c r="D684" t="s">
        <v>7368</v>
      </c>
      <c r="E684">
        <v>1</v>
      </c>
      <c r="F684" t="str">
        <f t="shared" si="41"/>
        <v>mar</v>
      </c>
      <c r="G684">
        <v>20</v>
      </c>
      <c r="H684">
        <v>24</v>
      </c>
      <c r="I684" t="str">
        <f t="shared" si="40"/>
        <v>1-mar-2024</v>
      </c>
      <c r="K684" s="49">
        <f t="shared" si="42"/>
        <v>45352</v>
      </c>
      <c r="M684" t="b">
        <f t="shared" si="43"/>
        <v>1</v>
      </c>
    </row>
    <row r="685" spans="1:13" x14ac:dyDescent="0.3">
      <c r="A685" s="49">
        <v>45536</v>
      </c>
      <c r="D685" t="s">
        <v>7368</v>
      </c>
      <c r="E685">
        <v>1</v>
      </c>
      <c r="F685" t="str">
        <f t="shared" si="41"/>
        <v>mar</v>
      </c>
      <c r="G685">
        <v>20</v>
      </c>
      <c r="H685">
        <v>24</v>
      </c>
      <c r="I685" t="str">
        <f t="shared" si="40"/>
        <v>1-mar-2024</v>
      </c>
      <c r="K685" s="49">
        <f t="shared" si="42"/>
        <v>45352</v>
      </c>
      <c r="M685" t="b">
        <f t="shared" si="43"/>
        <v>1</v>
      </c>
    </row>
    <row r="686" spans="1:13" x14ac:dyDescent="0.3">
      <c r="A686" s="49">
        <v>45536</v>
      </c>
      <c r="D686" t="s">
        <v>7368</v>
      </c>
      <c r="E686">
        <v>1</v>
      </c>
      <c r="F686" t="str">
        <f t="shared" si="41"/>
        <v>mar</v>
      </c>
      <c r="G686">
        <v>20</v>
      </c>
      <c r="H686">
        <v>24</v>
      </c>
      <c r="I686" t="str">
        <f t="shared" si="40"/>
        <v>1-mar-2024</v>
      </c>
      <c r="K686" s="49">
        <f t="shared" si="42"/>
        <v>45352</v>
      </c>
      <c r="M686" t="b">
        <f t="shared" si="43"/>
        <v>1</v>
      </c>
    </row>
    <row r="687" spans="1:13" x14ac:dyDescent="0.3">
      <c r="A687" s="49">
        <v>45536</v>
      </c>
      <c r="D687" t="s">
        <v>7362</v>
      </c>
      <c r="E687">
        <v>1</v>
      </c>
      <c r="F687" t="str">
        <f t="shared" si="41"/>
        <v>ago</v>
      </c>
      <c r="G687">
        <v>20</v>
      </c>
      <c r="H687">
        <v>24</v>
      </c>
      <c r="I687" t="str">
        <f t="shared" si="40"/>
        <v>1-ago-2024</v>
      </c>
      <c r="K687" s="49">
        <f t="shared" si="42"/>
        <v>45505</v>
      </c>
      <c r="M687" t="b">
        <f t="shared" si="43"/>
        <v>1</v>
      </c>
    </row>
    <row r="688" spans="1:13" x14ac:dyDescent="0.3">
      <c r="A688" s="49">
        <v>45536</v>
      </c>
      <c r="D688" t="s">
        <v>7362</v>
      </c>
      <c r="E688">
        <v>1</v>
      </c>
      <c r="F688" t="str">
        <f t="shared" si="41"/>
        <v>ago</v>
      </c>
      <c r="G688">
        <v>20</v>
      </c>
      <c r="H688">
        <v>24</v>
      </c>
      <c r="I688" t="str">
        <f t="shared" si="40"/>
        <v>1-ago-2024</v>
      </c>
      <c r="K688" s="49">
        <f t="shared" si="42"/>
        <v>45505</v>
      </c>
      <c r="M688" t="b">
        <f t="shared" si="43"/>
        <v>1</v>
      </c>
    </row>
    <row r="689" spans="1:13" x14ac:dyDescent="0.3">
      <c r="A689" s="49">
        <v>45536</v>
      </c>
      <c r="D689" t="s">
        <v>7362</v>
      </c>
      <c r="E689">
        <v>1</v>
      </c>
      <c r="F689" t="str">
        <f t="shared" si="41"/>
        <v>ago</v>
      </c>
      <c r="G689">
        <v>20</v>
      </c>
      <c r="H689">
        <v>24</v>
      </c>
      <c r="I689" t="str">
        <f t="shared" si="40"/>
        <v>1-ago-2024</v>
      </c>
      <c r="K689" s="49">
        <f t="shared" si="42"/>
        <v>45505</v>
      </c>
      <c r="M689" t="b">
        <f t="shared" si="43"/>
        <v>1</v>
      </c>
    </row>
    <row r="690" spans="1:13" x14ac:dyDescent="0.3">
      <c r="A690" s="49">
        <v>45536</v>
      </c>
      <c r="D690" t="s">
        <v>7362</v>
      </c>
      <c r="E690">
        <v>1</v>
      </c>
      <c r="F690" t="str">
        <f t="shared" si="41"/>
        <v>ago</v>
      </c>
      <c r="G690">
        <v>20</v>
      </c>
      <c r="H690">
        <v>24</v>
      </c>
      <c r="I690" t="str">
        <f t="shared" si="40"/>
        <v>1-ago-2024</v>
      </c>
      <c r="K690" s="49">
        <f t="shared" si="42"/>
        <v>45505</v>
      </c>
      <c r="M690" t="b">
        <f t="shared" si="43"/>
        <v>1</v>
      </c>
    </row>
    <row r="691" spans="1:13" x14ac:dyDescent="0.3">
      <c r="A691" s="49">
        <v>45536</v>
      </c>
      <c r="D691" t="s">
        <v>7368</v>
      </c>
      <c r="E691">
        <v>1</v>
      </c>
      <c r="F691" t="str">
        <f t="shared" si="41"/>
        <v>mar</v>
      </c>
      <c r="G691">
        <v>20</v>
      </c>
      <c r="H691">
        <v>24</v>
      </c>
      <c r="I691" t="str">
        <f t="shared" si="40"/>
        <v>1-mar-2024</v>
      </c>
      <c r="K691" s="49">
        <f t="shared" si="42"/>
        <v>45352</v>
      </c>
      <c r="M691" t="b">
        <f t="shared" si="43"/>
        <v>1</v>
      </c>
    </row>
    <row r="692" spans="1:13" x14ac:dyDescent="0.3">
      <c r="A692" s="49">
        <v>45536</v>
      </c>
      <c r="D692" t="s">
        <v>7362</v>
      </c>
      <c r="E692">
        <v>1</v>
      </c>
      <c r="F692" t="str">
        <f t="shared" si="41"/>
        <v>ago</v>
      </c>
      <c r="G692">
        <v>20</v>
      </c>
      <c r="H692">
        <v>22</v>
      </c>
      <c r="I692" t="str">
        <f t="shared" si="40"/>
        <v>1-ago-2022</v>
      </c>
      <c r="K692" s="49">
        <f t="shared" si="42"/>
        <v>44774</v>
      </c>
      <c r="M692" t="b">
        <f t="shared" si="43"/>
        <v>1</v>
      </c>
    </row>
    <row r="693" spans="1:13" x14ac:dyDescent="0.3">
      <c r="A693" s="49">
        <v>45536</v>
      </c>
      <c r="D693" t="s">
        <v>7357</v>
      </c>
      <c r="E693">
        <v>1</v>
      </c>
      <c r="F693" t="str">
        <f t="shared" si="41"/>
        <v>oct</v>
      </c>
      <c r="G693">
        <v>20</v>
      </c>
      <c r="H693">
        <v>24</v>
      </c>
      <c r="I693" t="str">
        <f t="shared" si="40"/>
        <v>1-oct-2024</v>
      </c>
      <c r="K693" s="49">
        <f t="shared" si="42"/>
        <v>45566</v>
      </c>
      <c r="M693" t="b">
        <f t="shared" si="43"/>
        <v>0</v>
      </c>
    </row>
    <row r="694" spans="1:13" x14ac:dyDescent="0.3">
      <c r="A694" s="49">
        <v>45536</v>
      </c>
      <c r="D694" t="s">
        <v>7366</v>
      </c>
      <c r="E694">
        <v>1</v>
      </c>
      <c r="F694" t="str">
        <f t="shared" si="41"/>
        <v>dic</v>
      </c>
      <c r="G694">
        <v>20</v>
      </c>
      <c r="H694">
        <v>22</v>
      </c>
      <c r="I694" t="str">
        <f t="shared" si="40"/>
        <v>1-dic-2022</v>
      </c>
      <c r="K694" s="49">
        <f t="shared" si="42"/>
        <v>44896</v>
      </c>
      <c r="M694" t="b">
        <f t="shared" si="43"/>
        <v>1</v>
      </c>
    </row>
    <row r="695" spans="1:13" x14ac:dyDescent="0.3">
      <c r="A695" s="49">
        <v>45536</v>
      </c>
      <c r="D695" t="s">
        <v>7362</v>
      </c>
      <c r="E695">
        <v>1</v>
      </c>
      <c r="F695" t="str">
        <f t="shared" si="41"/>
        <v>ago</v>
      </c>
      <c r="G695">
        <v>20</v>
      </c>
      <c r="H695">
        <v>23</v>
      </c>
      <c r="I695" t="str">
        <f t="shared" si="40"/>
        <v>1-ago-2023</v>
      </c>
      <c r="K695" s="49">
        <f t="shared" si="42"/>
        <v>45139</v>
      </c>
      <c r="M695" t="b">
        <f t="shared" si="43"/>
        <v>1</v>
      </c>
    </row>
    <row r="696" spans="1:13" x14ac:dyDescent="0.3">
      <c r="A696" s="49">
        <v>45536</v>
      </c>
      <c r="D696" t="s">
        <v>7357</v>
      </c>
      <c r="E696">
        <v>1</v>
      </c>
      <c r="F696" t="str">
        <f t="shared" si="41"/>
        <v>oct</v>
      </c>
      <c r="G696">
        <v>20</v>
      </c>
      <c r="H696">
        <v>25</v>
      </c>
      <c r="I696" t="str">
        <f t="shared" si="40"/>
        <v>1-oct-2025</v>
      </c>
      <c r="K696" s="49">
        <f t="shared" si="42"/>
        <v>45931</v>
      </c>
      <c r="M696" t="b">
        <f t="shared" si="43"/>
        <v>0</v>
      </c>
    </row>
    <row r="697" spans="1:13" x14ac:dyDescent="0.3">
      <c r="A697" s="49">
        <v>45536</v>
      </c>
      <c r="D697" t="s">
        <v>7370</v>
      </c>
      <c r="E697">
        <v>1</v>
      </c>
      <c r="F697" t="str">
        <f t="shared" si="41"/>
        <v>may</v>
      </c>
      <c r="G697">
        <v>20</v>
      </c>
      <c r="H697">
        <v>22</v>
      </c>
      <c r="I697" t="str">
        <f t="shared" si="40"/>
        <v>1-may-2022</v>
      </c>
      <c r="K697" s="49">
        <f t="shared" si="42"/>
        <v>44682</v>
      </c>
      <c r="M697" t="b">
        <f t="shared" si="43"/>
        <v>1</v>
      </c>
    </row>
    <row r="698" spans="1:13" x14ac:dyDescent="0.3">
      <c r="A698" s="49">
        <v>45536</v>
      </c>
      <c r="D698" t="s">
        <v>7369</v>
      </c>
      <c r="E698">
        <v>1</v>
      </c>
      <c r="F698" t="str">
        <f t="shared" si="41"/>
        <v>abr</v>
      </c>
      <c r="G698">
        <v>20</v>
      </c>
      <c r="H698">
        <v>23</v>
      </c>
      <c r="I698" t="str">
        <f t="shared" si="40"/>
        <v>1-abr-2023</v>
      </c>
      <c r="K698" s="49">
        <f t="shared" si="42"/>
        <v>45017</v>
      </c>
      <c r="M698" t="b">
        <f t="shared" si="43"/>
        <v>1</v>
      </c>
    </row>
    <row r="699" spans="1:13" x14ac:dyDescent="0.3">
      <c r="A699" s="49">
        <v>45536</v>
      </c>
      <c r="D699" t="s">
        <v>7363</v>
      </c>
      <c r="E699">
        <v>1</v>
      </c>
      <c r="F699" t="str">
        <f t="shared" si="41"/>
        <v>feb</v>
      </c>
      <c r="G699">
        <v>20</v>
      </c>
      <c r="H699">
        <v>19</v>
      </c>
      <c r="I699" t="str">
        <f t="shared" si="40"/>
        <v>1-feb-2019</v>
      </c>
      <c r="K699" s="49">
        <f t="shared" si="42"/>
        <v>43497</v>
      </c>
      <c r="M699" t="b">
        <f t="shared" si="43"/>
        <v>1</v>
      </c>
    </row>
    <row r="700" spans="1:13" x14ac:dyDescent="0.3">
      <c r="A700" s="49">
        <v>45536</v>
      </c>
      <c r="D700" t="s">
        <v>7360</v>
      </c>
      <c r="E700">
        <v>1</v>
      </c>
      <c r="F700" t="str">
        <f t="shared" si="41"/>
        <v>nov</v>
      </c>
      <c r="G700">
        <v>20</v>
      </c>
      <c r="H700">
        <v>25</v>
      </c>
      <c r="I700" t="str">
        <f t="shared" si="40"/>
        <v>1-nov-2025</v>
      </c>
      <c r="K700" s="49">
        <f t="shared" si="42"/>
        <v>45962</v>
      </c>
      <c r="M700" t="b">
        <f t="shared" si="43"/>
        <v>0</v>
      </c>
    </row>
    <row r="701" spans="1:13" x14ac:dyDescent="0.3">
      <c r="A701" s="49">
        <v>45536</v>
      </c>
      <c r="D701" t="s">
        <v>7357</v>
      </c>
      <c r="E701">
        <v>1</v>
      </c>
      <c r="F701" t="str">
        <f t="shared" si="41"/>
        <v>oct</v>
      </c>
      <c r="G701">
        <v>20</v>
      </c>
      <c r="H701">
        <v>23</v>
      </c>
      <c r="I701" t="str">
        <f t="shared" si="40"/>
        <v>1-oct-2023</v>
      </c>
      <c r="K701" s="49">
        <f t="shared" si="42"/>
        <v>45200</v>
      </c>
      <c r="M701" t="b">
        <f t="shared" si="43"/>
        <v>1</v>
      </c>
    </row>
    <row r="702" spans="1:13" x14ac:dyDescent="0.3">
      <c r="A702" s="49">
        <v>45536</v>
      </c>
      <c r="D702" t="s">
        <v>7369</v>
      </c>
      <c r="E702">
        <v>1</v>
      </c>
      <c r="F702" t="str">
        <f t="shared" si="41"/>
        <v>abr</v>
      </c>
      <c r="G702">
        <v>20</v>
      </c>
      <c r="H702">
        <v>25</v>
      </c>
      <c r="I702" t="str">
        <f t="shared" si="40"/>
        <v>1-abr-2025</v>
      </c>
      <c r="K702" s="49">
        <f t="shared" si="42"/>
        <v>45748</v>
      </c>
      <c r="M702" t="b">
        <f t="shared" si="43"/>
        <v>0</v>
      </c>
    </row>
    <row r="703" spans="1:13" x14ac:dyDescent="0.3">
      <c r="A703" s="49">
        <v>45536</v>
      </c>
      <c r="D703" t="s">
        <v>7368</v>
      </c>
      <c r="E703">
        <v>1</v>
      </c>
      <c r="F703" t="str">
        <f t="shared" si="41"/>
        <v>mar</v>
      </c>
      <c r="G703">
        <v>20</v>
      </c>
      <c r="H703">
        <v>24</v>
      </c>
      <c r="I703" t="str">
        <f t="shared" si="40"/>
        <v>1-mar-2024</v>
      </c>
      <c r="K703" s="49">
        <f t="shared" si="42"/>
        <v>45352</v>
      </c>
      <c r="M703" t="b">
        <f t="shared" si="43"/>
        <v>1</v>
      </c>
    </row>
    <row r="704" spans="1:13" x14ac:dyDescent="0.3">
      <c r="A704" s="49">
        <v>45536</v>
      </c>
      <c r="D704" t="s">
        <v>7368</v>
      </c>
      <c r="E704">
        <v>1</v>
      </c>
      <c r="F704" t="str">
        <f t="shared" si="41"/>
        <v>mar</v>
      </c>
      <c r="G704">
        <v>20</v>
      </c>
      <c r="H704">
        <v>24</v>
      </c>
      <c r="I704" t="str">
        <f t="shared" si="40"/>
        <v>1-mar-2024</v>
      </c>
      <c r="K704" s="49">
        <f t="shared" si="42"/>
        <v>45352</v>
      </c>
      <c r="M704" t="b">
        <f t="shared" si="43"/>
        <v>1</v>
      </c>
    </row>
    <row r="705" spans="1:13" x14ac:dyDescent="0.3">
      <c r="A705" s="49">
        <v>45536</v>
      </c>
      <c r="D705" t="s">
        <v>7359</v>
      </c>
      <c r="E705">
        <v>1</v>
      </c>
      <c r="F705" t="str">
        <f t="shared" si="41"/>
        <v>jul</v>
      </c>
      <c r="G705">
        <v>20</v>
      </c>
      <c r="H705">
        <v>23</v>
      </c>
      <c r="I705" t="str">
        <f t="shared" ref="I705:I768" si="44">_xlfn.CONCAT(E705,"-",F705,"-",G705,H705)</f>
        <v>1-jul-2023</v>
      </c>
      <c r="K705" s="49">
        <f t="shared" si="42"/>
        <v>45108</v>
      </c>
      <c r="M705" t="b">
        <f t="shared" si="43"/>
        <v>1</v>
      </c>
    </row>
    <row r="706" spans="1:13" x14ac:dyDescent="0.3">
      <c r="A706" s="49">
        <v>45536</v>
      </c>
      <c r="D706" t="s">
        <v>7366</v>
      </c>
      <c r="E706">
        <v>1</v>
      </c>
      <c r="F706" t="str">
        <f t="shared" ref="F706:F769" si="45">LOWER(D706)</f>
        <v>dic</v>
      </c>
      <c r="G706">
        <v>20</v>
      </c>
      <c r="H706">
        <v>24</v>
      </c>
      <c r="I706" t="str">
        <f t="shared" si="44"/>
        <v>1-dic-2024</v>
      </c>
      <c r="K706" s="49">
        <f t="shared" ref="K706:K769" si="46">DATEVALUE(I706)</f>
        <v>45627</v>
      </c>
      <c r="M706" t="b">
        <f t="shared" si="43"/>
        <v>0</v>
      </c>
    </row>
    <row r="707" spans="1:13" x14ac:dyDescent="0.3">
      <c r="A707" s="49">
        <v>45536</v>
      </c>
      <c r="D707" t="s">
        <v>7366</v>
      </c>
      <c r="E707">
        <v>1</v>
      </c>
      <c r="F707" t="str">
        <f t="shared" si="45"/>
        <v>dic</v>
      </c>
      <c r="G707">
        <v>20</v>
      </c>
      <c r="H707">
        <v>24</v>
      </c>
      <c r="I707" t="str">
        <f t="shared" si="44"/>
        <v>1-dic-2024</v>
      </c>
      <c r="K707" s="49">
        <f t="shared" si="46"/>
        <v>45627</v>
      </c>
      <c r="M707" t="b">
        <f t="shared" ref="M707:M770" si="47">K707&lt;A707</f>
        <v>0</v>
      </c>
    </row>
    <row r="708" spans="1:13" x14ac:dyDescent="0.3">
      <c r="A708" s="49">
        <v>45536</v>
      </c>
      <c r="D708" t="s">
        <v>7366</v>
      </c>
      <c r="E708">
        <v>1</v>
      </c>
      <c r="F708" t="str">
        <f t="shared" si="45"/>
        <v>dic</v>
      </c>
      <c r="G708">
        <v>20</v>
      </c>
      <c r="H708">
        <v>24</v>
      </c>
      <c r="I708" t="str">
        <f t="shared" si="44"/>
        <v>1-dic-2024</v>
      </c>
      <c r="K708" s="49">
        <f t="shared" si="46"/>
        <v>45627</v>
      </c>
      <c r="M708" t="b">
        <f t="shared" si="47"/>
        <v>0</v>
      </c>
    </row>
    <row r="709" spans="1:13" x14ac:dyDescent="0.3">
      <c r="A709" s="49">
        <v>45536</v>
      </c>
      <c r="D709" t="s">
        <v>7366</v>
      </c>
      <c r="E709">
        <v>1</v>
      </c>
      <c r="F709" t="str">
        <f t="shared" si="45"/>
        <v>dic</v>
      </c>
      <c r="G709">
        <v>20</v>
      </c>
      <c r="H709">
        <v>24</v>
      </c>
      <c r="I709" t="str">
        <f t="shared" si="44"/>
        <v>1-dic-2024</v>
      </c>
      <c r="K709" s="49">
        <f t="shared" si="46"/>
        <v>45627</v>
      </c>
      <c r="M709" t="b">
        <f t="shared" si="47"/>
        <v>0</v>
      </c>
    </row>
    <row r="710" spans="1:13" x14ac:dyDescent="0.3">
      <c r="A710" s="49">
        <v>45505</v>
      </c>
      <c r="D710" t="s">
        <v>7375</v>
      </c>
      <c r="E710">
        <v>1</v>
      </c>
      <c r="F710" t="str">
        <f t="shared" si="45"/>
        <v>jun</v>
      </c>
      <c r="G710">
        <v>20</v>
      </c>
      <c r="H710">
        <v>23</v>
      </c>
      <c r="I710" t="str">
        <f t="shared" si="44"/>
        <v>1-jun-2023</v>
      </c>
      <c r="K710" s="49">
        <f t="shared" si="46"/>
        <v>45078</v>
      </c>
      <c r="M710" t="b">
        <f t="shared" si="47"/>
        <v>1</v>
      </c>
    </row>
    <row r="711" spans="1:13" x14ac:dyDescent="0.3">
      <c r="A711" s="49">
        <v>45505</v>
      </c>
      <c r="D711" t="s">
        <v>7365</v>
      </c>
      <c r="E711">
        <v>1</v>
      </c>
      <c r="F711" t="str">
        <f t="shared" si="45"/>
        <v>may</v>
      </c>
      <c r="G711">
        <v>20</v>
      </c>
      <c r="H711">
        <v>23</v>
      </c>
      <c r="I711" t="str">
        <f t="shared" si="44"/>
        <v>1-may-2023</v>
      </c>
      <c r="K711" s="49">
        <f t="shared" si="46"/>
        <v>45047</v>
      </c>
      <c r="M711" t="b">
        <f t="shared" si="47"/>
        <v>1</v>
      </c>
    </row>
    <row r="712" spans="1:13" x14ac:dyDescent="0.3">
      <c r="A712" s="49">
        <v>45505</v>
      </c>
      <c r="D712" t="s">
        <v>7363</v>
      </c>
      <c r="E712">
        <v>1</v>
      </c>
      <c r="F712" t="str">
        <f t="shared" si="45"/>
        <v>feb</v>
      </c>
      <c r="G712">
        <v>20</v>
      </c>
      <c r="H712">
        <v>22</v>
      </c>
      <c r="I712" t="str">
        <f t="shared" si="44"/>
        <v>1-feb-2022</v>
      </c>
      <c r="K712" s="49">
        <f t="shared" si="46"/>
        <v>44593</v>
      </c>
      <c r="M712" t="b">
        <f t="shared" si="47"/>
        <v>1</v>
      </c>
    </row>
    <row r="713" spans="1:13" x14ac:dyDescent="0.3">
      <c r="A713" s="49">
        <v>45505</v>
      </c>
      <c r="D713" t="s">
        <v>7384</v>
      </c>
      <c r="E713">
        <v>1</v>
      </c>
      <c r="F713" t="str">
        <f t="shared" si="45"/>
        <v>ene</v>
      </c>
      <c r="G713">
        <v>20</v>
      </c>
      <c r="H713">
        <v>24</v>
      </c>
      <c r="I713" t="str">
        <f t="shared" si="44"/>
        <v>1-ene-2024</v>
      </c>
      <c r="K713" s="49">
        <f t="shared" si="46"/>
        <v>45292</v>
      </c>
      <c r="M713" t="b">
        <f t="shared" si="47"/>
        <v>1</v>
      </c>
    </row>
    <row r="714" spans="1:13" x14ac:dyDescent="0.3">
      <c r="A714" s="49">
        <v>45505</v>
      </c>
      <c r="D714" t="s">
        <v>7378</v>
      </c>
      <c r="E714">
        <v>1</v>
      </c>
      <c r="F714" t="str">
        <f t="shared" si="45"/>
        <v>mar</v>
      </c>
      <c r="G714">
        <v>20</v>
      </c>
      <c r="H714">
        <v>24</v>
      </c>
      <c r="I714" t="str">
        <f t="shared" si="44"/>
        <v>1-mar-2024</v>
      </c>
      <c r="K714" s="49">
        <f t="shared" si="46"/>
        <v>45352</v>
      </c>
      <c r="M714" t="b">
        <f t="shared" si="47"/>
        <v>1</v>
      </c>
    </row>
    <row r="715" spans="1:13" x14ac:dyDescent="0.3">
      <c r="A715" s="49">
        <v>45505</v>
      </c>
      <c r="D715" t="s">
        <v>7374</v>
      </c>
      <c r="E715">
        <v>1</v>
      </c>
      <c r="F715" t="str">
        <f t="shared" si="45"/>
        <v>ago</v>
      </c>
      <c r="G715">
        <v>20</v>
      </c>
      <c r="H715">
        <v>25</v>
      </c>
      <c r="I715" t="str">
        <f t="shared" si="44"/>
        <v>1-ago-2025</v>
      </c>
      <c r="K715" s="49">
        <f t="shared" si="46"/>
        <v>45870</v>
      </c>
      <c r="M715" t="b">
        <f t="shared" si="47"/>
        <v>0</v>
      </c>
    </row>
    <row r="716" spans="1:13" x14ac:dyDescent="0.3">
      <c r="A716" s="49">
        <v>45505</v>
      </c>
      <c r="D716" t="s">
        <v>7385</v>
      </c>
      <c r="E716">
        <v>1</v>
      </c>
      <c r="F716" t="str">
        <f t="shared" si="45"/>
        <v>may</v>
      </c>
      <c r="G716">
        <v>20</v>
      </c>
      <c r="H716">
        <v>24</v>
      </c>
      <c r="I716" t="str">
        <f t="shared" si="44"/>
        <v>1-may-2024</v>
      </c>
      <c r="K716" s="49">
        <f t="shared" si="46"/>
        <v>45413</v>
      </c>
      <c r="M716" t="b">
        <f t="shared" si="47"/>
        <v>1</v>
      </c>
    </row>
    <row r="717" spans="1:13" x14ac:dyDescent="0.3">
      <c r="A717" s="49">
        <v>45505</v>
      </c>
      <c r="D717" t="s">
        <v>7370</v>
      </c>
      <c r="E717">
        <v>1</v>
      </c>
      <c r="F717" t="str">
        <f t="shared" si="45"/>
        <v>may</v>
      </c>
      <c r="G717">
        <v>20</v>
      </c>
      <c r="H717">
        <v>24</v>
      </c>
      <c r="I717" t="str">
        <f t="shared" si="44"/>
        <v>1-may-2024</v>
      </c>
      <c r="K717" s="49">
        <f t="shared" si="46"/>
        <v>45413</v>
      </c>
      <c r="M717" t="b">
        <f t="shared" si="47"/>
        <v>1</v>
      </c>
    </row>
    <row r="718" spans="1:13" x14ac:dyDescent="0.3">
      <c r="A718" s="49">
        <v>45505</v>
      </c>
      <c r="D718" t="s">
        <v>7386</v>
      </c>
      <c r="E718">
        <v>1</v>
      </c>
      <c r="F718" t="str">
        <f t="shared" si="45"/>
        <v>abr</v>
      </c>
      <c r="G718">
        <v>20</v>
      </c>
      <c r="H718">
        <v>24</v>
      </c>
      <c r="I718" t="str">
        <f t="shared" si="44"/>
        <v>1-abr-2024</v>
      </c>
      <c r="K718" s="49">
        <f t="shared" si="46"/>
        <v>45383</v>
      </c>
      <c r="M718" t="b">
        <f t="shared" si="47"/>
        <v>1</v>
      </c>
    </row>
    <row r="719" spans="1:13" x14ac:dyDescent="0.3">
      <c r="A719" s="49">
        <v>45505</v>
      </c>
      <c r="D719" t="s">
        <v>7386</v>
      </c>
      <c r="E719">
        <v>1</v>
      </c>
      <c r="F719" t="str">
        <f t="shared" si="45"/>
        <v>abr</v>
      </c>
      <c r="G719">
        <v>20</v>
      </c>
      <c r="H719">
        <v>24</v>
      </c>
      <c r="I719" t="str">
        <f t="shared" si="44"/>
        <v>1-abr-2024</v>
      </c>
      <c r="K719" s="49">
        <f t="shared" si="46"/>
        <v>45383</v>
      </c>
      <c r="M719" t="b">
        <f t="shared" si="47"/>
        <v>1</v>
      </c>
    </row>
    <row r="720" spans="1:13" x14ac:dyDescent="0.3">
      <c r="A720" s="49">
        <v>45505</v>
      </c>
      <c r="D720" t="s">
        <v>7368</v>
      </c>
      <c r="E720">
        <v>1</v>
      </c>
      <c r="F720" t="str">
        <f t="shared" si="45"/>
        <v>mar</v>
      </c>
      <c r="G720">
        <v>20</v>
      </c>
      <c r="H720">
        <v>24</v>
      </c>
      <c r="I720" t="str">
        <f t="shared" si="44"/>
        <v>1-mar-2024</v>
      </c>
      <c r="K720" s="49">
        <f t="shared" si="46"/>
        <v>45352</v>
      </c>
      <c r="M720" t="b">
        <f t="shared" si="47"/>
        <v>1</v>
      </c>
    </row>
    <row r="721" spans="1:13" x14ac:dyDescent="0.3">
      <c r="A721" s="49">
        <v>45505</v>
      </c>
      <c r="D721" t="s">
        <v>7363</v>
      </c>
      <c r="E721">
        <v>1</v>
      </c>
      <c r="F721" t="str">
        <f t="shared" si="45"/>
        <v>feb</v>
      </c>
      <c r="G721">
        <v>20</v>
      </c>
      <c r="H721">
        <v>24</v>
      </c>
      <c r="I721" t="str">
        <f t="shared" si="44"/>
        <v>1-feb-2024</v>
      </c>
      <c r="K721" s="49">
        <f t="shared" si="46"/>
        <v>45323</v>
      </c>
      <c r="M721" t="b">
        <f t="shared" si="47"/>
        <v>1</v>
      </c>
    </row>
    <row r="722" spans="1:13" x14ac:dyDescent="0.3">
      <c r="A722" s="49">
        <v>45505</v>
      </c>
      <c r="D722" t="s">
        <v>7363</v>
      </c>
      <c r="E722">
        <v>1</v>
      </c>
      <c r="F722" t="str">
        <f t="shared" si="45"/>
        <v>feb</v>
      </c>
      <c r="G722">
        <v>20</v>
      </c>
      <c r="H722">
        <v>24</v>
      </c>
      <c r="I722" t="str">
        <f t="shared" si="44"/>
        <v>1-feb-2024</v>
      </c>
      <c r="K722" s="49">
        <f t="shared" si="46"/>
        <v>45323</v>
      </c>
      <c r="M722" t="b">
        <f t="shared" si="47"/>
        <v>1</v>
      </c>
    </row>
    <row r="723" spans="1:13" x14ac:dyDescent="0.3">
      <c r="A723" s="49">
        <v>45505</v>
      </c>
      <c r="D723" t="s">
        <v>7363</v>
      </c>
      <c r="E723">
        <v>1</v>
      </c>
      <c r="F723" t="str">
        <f t="shared" si="45"/>
        <v>feb</v>
      </c>
      <c r="G723">
        <v>20</v>
      </c>
      <c r="H723">
        <v>24</v>
      </c>
      <c r="I723" t="str">
        <f t="shared" si="44"/>
        <v>1-feb-2024</v>
      </c>
      <c r="K723" s="49">
        <f t="shared" si="46"/>
        <v>45323</v>
      </c>
      <c r="M723" t="b">
        <f t="shared" si="47"/>
        <v>1</v>
      </c>
    </row>
    <row r="724" spans="1:13" x14ac:dyDescent="0.3">
      <c r="A724" s="49">
        <v>45505</v>
      </c>
      <c r="D724" t="s">
        <v>7363</v>
      </c>
      <c r="E724">
        <v>1</v>
      </c>
      <c r="F724" t="str">
        <f t="shared" si="45"/>
        <v>feb</v>
      </c>
      <c r="G724">
        <v>20</v>
      </c>
      <c r="H724">
        <v>24</v>
      </c>
      <c r="I724" t="str">
        <f t="shared" si="44"/>
        <v>1-feb-2024</v>
      </c>
      <c r="K724" s="49">
        <f t="shared" si="46"/>
        <v>45323</v>
      </c>
      <c r="M724" t="b">
        <f t="shared" si="47"/>
        <v>1</v>
      </c>
    </row>
    <row r="725" spans="1:13" x14ac:dyDescent="0.3">
      <c r="A725" s="49">
        <v>45505</v>
      </c>
      <c r="D725" t="s">
        <v>7378</v>
      </c>
      <c r="E725">
        <v>1</v>
      </c>
      <c r="F725" t="str">
        <f t="shared" si="45"/>
        <v>mar</v>
      </c>
      <c r="G725">
        <v>20</v>
      </c>
      <c r="H725">
        <v>24</v>
      </c>
      <c r="I725" t="str">
        <f t="shared" si="44"/>
        <v>1-mar-2024</v>
      </c>
      <c r="K725" s="49">
        <f t="shared" si="46"/>
        <v>45352</v>
      </c>
      <c r="M725" t="b">
        <f t="shared" si="47"/>
        <v>1</v>
      </c>
    </row>
    <row r="726" spans="1:13" x14ac:dyDescent="0.3">
      <c r="A726" s="49">
        <v>45505</v>
      </c>
      <c r="D726" t="s">
        <v>7365</v>
      </c>
      <c r="E726">
        <v>1</v>
      </c>
      <c r="F726" t="str">
        <f t="shared" si="45"/>
        <v>may</v>
      </c>
      <c r="G726">
        <v>20</v>
      </c>
      <c r="H726">
        <v>24</v>
      </c>
      <c r="I726" t="str">
        <f t="shared" si="44"/>
        <v>1-may-2024</v>
      </c>
      <c r="K726" s="49">
        <f t="shared" si="46"/>
        <v>45413</v>
      </c>
      <c r="M726" t="b">
        <f t="shared" si="47"/>
        <v>1</v>
      </c>
    </row>
    <row r="727" spans="1:13" x14ac:dyDescent="0.3">
      <c r="A727" s="49">
        <v>45505</v>
      </c>
      <c r="D727" t="s">
        <v>7367</v>
      </c>
      <c r="E727">
        <v>1</v>
      </c>
      <c r="F727" t="str">
        <f t="shared" si="45"/>
        <v>jun</v>
      </c>
      <c r="G727">
        <v>20</v>
      </c>
      <c r="H727">
        <v>25</v>
      </c>
      <c r="I727" t="str">
        <f t="shared" si="44"/>
        <v>1-jun-2025</v>
      </c>
      <c r="K727" s="49">
        <f t="shared" si="46"/>
        <v>45809</v>
      </c>
      <c r="M727" t="b">
        <f t="shared" si="47"/>
        <v>0</v>
      </c>
    </row>
    <row r="728" spans="1:13" x14ac:dyDescent="0.3">
      <c r="A728" s="49">
        <v>45505</v>
      </c>
      <c r="D728" t="s">
        <v>7359</v>
      </c>
      <c r="E728">
        <v>1</v>
      </c>
      <c r="F728" t="str">
        <f t="shared" si="45"/>
        <v>jul</v>
      </c>
      <c r="G728">
        <v>20</v>
      </c>
      <c r="H728">
        <v>25</v>
      </c>
      <c r="I728" t="str">
        <f t="shared" si="44"/>
        <v>1-jul-2025</v>
      </c>
      <c r="K728" s="49">
        <f t="shared" si="46"/>
        <v>45839</v>
      </c>
      <c r="M728" t="b">
        <f t="shared" si="47"/>
        <v>0</v>
      </c>
    </row>
    <row r="729" spans="1:13" x14ac:dyDescent="0.3">
      <c r="A729" s="49">
        <v>45505</v>
      </c>
      <c r="D729" t="s">
        <v>7356</v>
      </c>
      <c r="E729">
        <v>1</v>
      </c>
      <c r="F729" t="str">
        <f t="shared" si="45"/>
        <v>ene</v>
      </c>
      <c r="G729">
        <v>20</v>
      </c>
      <c r="H729">
        <v>24</v>
      </c>
      <c r="I729" t="str">
        <f t="shared" si="44"/>
        <v>1-ene-2024</v>
      </c>
      <c r="K729" s="49">
        <f t="shared" si="46"/>
        <v>45292</v>
      </c>
      <c r="M729" t="b">
        <f t="shared" si="47"/>
        <v>1</v>
      </c>
    </row>
    <row r="730" spans="1:13" x14ac:dyDescent="0.3">
      <c r="A730" s="49">
        <v>45505</v>
      </c>
      <c r="D730" t="s">
        <v>7378</v>
      </c>
      <c r="E730">
        <v>1</v>
      </c>
      <c r="F730" t="str">
        <f t="shared" si="45"/>
        <v>mar</v>
      </c>
      <c r="G730">
        <v>20</v>
      </c>
      <c r="H730">
        <v>23</v>
      </c>
      <c r="I730" t="str">
        <f t="shared" si="44"/>
        <v>1-mar-2023</v>
      </c>
      <c r="K730" s="49">
        <f t="shared" si="46"/>
        <v>44986</v>
      </c>
      <c r="M730" t="b">
        <f t="shared" si="47"/>
        <v>1</v>
      </c>
    </row>
    <row r="731" spans="1:13" x14ac:dyDescent="0.3">
      <c r="A731" s="49">
        <v>45505</v>
      </c>
      <c r="D731" t="s">
        <v>7368</v>
      </c>
      <c r="E731">
        <v>1</v>
      </c>
      <c r="F731" t="str">
        <f t="shared" si="45"/>
        <v>mar</v>
      </c>
      <c r="G731">
        <v>20</v>
      </c>
      <c r="H731">
        <v>25</v>
      </c>
      <c r="I731" t="str">
        <f t="shared" si="44"/>
        <v>1-mar-2025</v>
      </c>
      <c r="K731" s="49">
        <f t="shared" si="46"/>
        <v>45717</v>
      </c>
      <c r="M731" t="b">
        <f t="shared" si="47"/>
        <v>0</v>
      </c>
    </row>
    <row r="732" spans="1:13" x14ac:dyDescent="0.3">
      <c r="A732" s="49">
        <v>45505</v>
      </c>
      <c r="D732" t="s">
        <v>7370</v>
      </c>
      <c r="E732">
        <v>1</v>
      </c>
      <c r="F732" t="str">
        <f t="shared" si="45"/>
        <v>may</v>
      </c>
      <c r="G732">
        <v>20</v>
      </c>
      <c r="H732">
        <v>24</v>
      </c>
      <c r="I732" t="str">
        <f t="shared" si="44"/>
        <v>1-may-2024</v>
      </c>
      <c r="K732" s="49">
        <f t="shared" si="46"/>
        <v>45413</v>
      </c>
      <c r="M732" t="b">
        <f t="shared" si="47"/>
        <v>1</v>
      </c>
    </row>
    <row r="733" spans="1:13" x14ac:dyDescent="0.3">
      <c r="A733" s="49">
        <v>45505</v>
      </c>
      <c r="D733" t="s">
        <v>7379</v>
      </c>
      <c r="E733">
        <v>1</v>
      </c>
      <c r="F733" t="str">
        <f t="shared" si="45"/>
        <v>oct</v>
      </c>
      <c r="G733">
        <v>20</v>
      </c>
      <c r="H733">
        <v>23</v>
      </c>
      <c r="I733" t="str">
        <f t="shared" si="44"/>
        <v>1-oct-2023</v>
      </c>
      <c r="K733" s="49">
        <f t="shared" si="46"/>
        <v>45200</v>
      </c>
      <c r="M733" t="b">
        <f t="shared" si="47"/>
        <v>1</v>
      </c>
    </row>
    <row r="734" spans="1:13" x14ac:dyDescent="0.3">
      <c r="A734" s="49">
        <v>45505</v>
      </c>
      <c r="D734" t="s">
        <v>7369</v>
      </c>
      <c r="E734">
        <v>1</v>
      </c>
      <c r="F734" t="str">
        <f t="shared" si="45"/>
        <v>abr</v>
      </c>
      <c r="G734">
        <v>20</v>
      </c>
      <c r="H734">
        <v>23</v>
      </c>
      <c r="I734" t="str">
        <f t="shared" si="44"/>
        <v>1-abr-2023</v>
      </c>
      <c r="K734" s="49">
        <f t="shared" si="46"/>
        <v>45017</v>
      </c>
      <c r="M734" t="b">
        <f t="shared" si="47"/>
        <v>1</v>
      </c>
    </row>
    <row r="735" spans="1:13" x14ac:dyDescent="0.3">
      <c r="A735" s="49">
        <v>45505</v>
      </c>
      <c r="D735" t="s">
        <v>7374</v>
      </c>
      <c r="E735">
        <v>1</v>
      </c>
      <c r="F735" t="str">
        <f t="shared" si="45"/>
        <v>ago</v>
      </c>
      <c r="G735">
        <v>20</v>
      </c>
      <c r="H735">
        <v>23</v>
      </c>
      <c r="I735" t="str">
        <f t="shared" si="44"/>
        <v>1-ago-2023</v>
      </c>
      <c r="K735" s="49">
        <f t="shared" si="46"/>
        <v>45139</v>
      </c>
      <c r="M735" t="b">
        <f t="shared" si="47"/>
        <v>1</v>
      </c>
    </row>
    <row r="736" spans="1:13" x14ac:dyDescent="0.3">
      <c r="A736" s="49">
        <v>45505</v>
      </c>
      <c r="D736" t="s">
        <v>7356</v>
      </c>
      <c r="E736">
        <v>1</v>
      </c>
      <c r="F736" t="str">
        <f t="shared" si="45"/>
        <v>ene</v>
      </c>
      <c r="G736">
        <v>20</v>
      </c>
      <c r="H736">
        <v>24</v>
      </c>
      <c r="I736" t="str">
        <f t="shared" si="44"/>
        <v>1-ene-2024</v>
      </c>
      <c r="K736" s="49">
        <f t="shared" si="46"/>
        <v>45292</v>
      </c>
      <c r="M736" t="b">
        <f t="shared" si="47"/>
        <v>1</v>
      </c>
    </row>
    <row r="737" spans="1:13" x14ac:dyDescent="0.3">
      <c r="A737" s="49">
        <v>45505</v>
      </c>
      <c r="D737" t="s">
        <v>7367</v>
      </c>
      <c r="E737">
        <v>1</v>
      </c>
      <c r="F737" t="str">
        <f t="shared" si="45"/>
        <v>jun</v>
      </c>
      <c r="G737">
        <v>20</v>
      </c>
      <c r="H737">
        <v>24</v>
      </c>
      <c r="I737" t="str">
        <f t="shared" si="44"/>
        <v>1-jun-2024</v>
      </c>
      <c r="K737" s="49">
        <f t="shared" si="46"/>
        <v>45444</v>
      </c>
      <c r="M737" t="b">
        <f t="shared" si="47"/>
        <v>1</v>
      </c>
    </row>
    <row r="738" spans="1:13" x14ac:dyDescent="0.3">
      <c r="A738" s="49">
        <v>45505</v>
      </c>
      <c r="D738" t="s">
        <v>7367</v>
      </c>
      <c r="E738">
        <v>1</v>
      </c>
      <c r="F738" t="str">
        <f t="shared" si="45"/>
        <v>jun</v>
      </c>
      <c r="G738">
        <v>20</v>
      </c>
      <c r="H738">
        <v>24</v>
      </c>
      <c r="I738" t="str">
        <f t="shared" si="44"/>
        <v>1-jun-2024</v>
      </c>
      <c r="K738" s="49">
        <f t="shared" si="46"/>
        <v>45444</v>
      </c>
      <c r="M738" t="b">
        <f t="shared" si="47"/>
        <v>1</v>
      </c>
    </row>
    <row r="739" spans="1:13" x14ac:dyDescent="0.3">
      <c r="A739" s="49">
        <v>45505</v>
      </c>
      <c r="D739" t="s">
        <v>7367</v>
      </c>
      <c r="E739">
        <v>1</v>
      </c>
      <c r="F739" t="str">
        <f t="shared" si="45"/>
        <v>jun</v>
      </c>
      <c r="G739">
        <v>20</v>
      </c>
      <c r="H739">
        <v>24</v>
      </c>
      <c r="I739" t="str">
        <f t="shared" si="44"/>
        <v>1-jun-2024</v>
      </c>
      <c r="K739" s="49">
        <f t="shared" si="46"/>
        <v>45444</v>
      </c>
      <c r="M739" t="b">
        <f t="shared" si="47"/>
        <v>1</v>
      </c>
    </row>
    <row r="740" spans="1:13" x14ac:dyDescent="0.3">
      <c r="A740" s="49">
        <v>45505</v>
      </c>
      <c r="D740" t="s">
        <v>7367</v>
      </c>
      <c r="E740">
        <v>1</v>
      </c>
      <c r="F740" t="str">
        <f t="shared" si="45"/>
        <v>jun</v>
      </c>
      <c r="G740">
        <v>20</v>
      </c>
      <c r="H740">
        <v>24</v>
      </c>
      <c r="I740" t="str">
        <f t="shared" si="44"/>
        <v>1-jun-2024</v>
      </c>
      <c r="K740" s="49">
        <f t="shared" si="46"/>
        <v>45444</v>
      </c>
      <c r="M740" t="b">
        <f t="shared" si="47"/>
        <v>1</v>
      </c>
    </row>
    <row r="741" spans="1:13" x14ac:dyDescent="0.3">
      <c r="A741" s="49">
        <v>45505</v>
      </c>
      <c r="D741" t="s">
        <v>7369</v>
      </c>
      <c r="E741">
        <v>1</v>
      </c>
      <c r="F741" t="str">
        <f t="shared" si="45"/>
        <v>abr</v>
      </c>
      <c r="G741">
        <v>20</v>
      </c>
      <c r="H741">
        <v>24</v>
      </c>
      <c r="I741" t="str">
        <f t="shared" si="44"/>
        <v>1-abr-2024</v>
      </c>
      <c r="K741" s="49">
        <f t="shared" si="46"/>
        <v>45383</v>
      </c>
      <c r="M741" t="b">
        <f t="shared" si="47"/>
        <v>1</v>
      </c>
    </row>
    <row r="742" spans="1:13" x14ac:dyDescent="0.3">
      <c r="A742" s="49">
        <v>45505</v>
      </c>
      <c r="D742" t="s">
        <v>7370</v>
      </c>
      <c r="E742">
        <v>1</v>
      </c>
      <c r="F742" t="str">
        <f t="shared" si="45"/>
        <v>may</v>
      </c>
      <c r="G742">
        <v>20</v>
      </c>
      <c r="H742">
        <v>23</v>
      </c>
      <c r="I742" t="str">
        <f t="shared" si="44"/>
        <v>1-may-2023</v>
      </c>
      <c r="K742" s="49">
        <f t="shared" si="46"/>
        <v>45047</v>
      </c>
      <c r="M742" t="b">
        <f t="shared" si="47"/>
        <v>1</v>
      </c>
    </row>
    <row r="743" spans="1:13" x14ac:dyDescent="0.3">
      <c r="A743" s="49">
        <v>45505</v>
      </c>
      <c r="D743" t="s">
        <v>7357</v>
      </c>
      <c r="E743">
        <v>1</v>
      </c>
      <c r="F743" t="str">
        <f t="shared" si="45"/>
        <v>oct</v>
      </c>
      <c r="G743">
        <v>20</v>
      </c>
      <c r="H743">
        <v>25</v>
      </c>
      <c r="I743" t="str">
        <f t="shared" si="44"/>
        <v>1-oct-2025</v>
      </c>
      <c r="K743" s="49">
        <f t="shared" si="46"/>
        <v>45931</v>
      </c>
      <c r="M743" t="b">
        <f t="shared" si="47"/>
        <v>0</v>
      </c>
    </row>
    <row r="744" spans="1:13" x14ac:dyDescent="0.3">
      <c r="A744" s="49">
        <v>45505</v>
      </c>
      <c r="D744" t="s">
        <v>7357</v>
      </c>
      <c r="E744">
        <v>1</v>
      </c>
      <c r="F744" t="str">
        <f t="shared" si="45"/>
        <v>oct</v>
      </c>
      <c r="G744">
        <v>20</v>
      </c>
      <c r="H744">
        <v>25</v>
      </c>
      <c r="I744" t="str">
        <f t="shared" si="44"/>
        <v>1-oct-2025</v>
      </c>
      <c r="K744" s="49">
        <f t="shared" si="46"/>
        <v>45931</v>
      </c>
      <c r="M744" t="b">
        <f t="shared" si="47"/>
        <v>0</v>
      </c>
    </row>
    <row r="745" spans="1:13" x14ac:dyDescent="0.3">
      <c r="A745" s="49">
        <v>45505</v>
      </c>
      <c r="D745" t="s">
        <v>7367</v>
      </c>
      <c r="E745">
        <v>1</v>
      </c>
      <c r="F745" t="str">
        <f t="shared" si="45"/>
        <v>jun</v>
      </c>
      <c r="G745">
        <v>20</v>
      </c>
      <c r="H745">
        <v>24</v>
      </c>
      <c r="I745" t="str">
        <f t="shared" si="44"/>
        <v>1-jun-2024</v>
      </c>
      <c r="K745" s="49">
        <f t="shared" si="46"/>
        <v>45444</v>
      </c>
      <c r="M745" t="b">
        <f t="shared" si="47"/>
        <v>1</v>
      </c>
    </row>
    <row r="746" spans="1:13" x14ac:dyDescent="0.3">
      <c r="A746" s="49">
        <v>45505</v>
      </c>
      <c r="D746" t="s">
        <v>7355</v>
      </c>
      <c r="E746">
        <v>1</v>
      </c>
      <c r="F746" t="str">
        <f t="shared" si="45"/>
        <v>sep</v>
      </c>
      <c r="G746">
        <v>20</v>
      </c>
      <c r="H746">
        <v>23</v>
      </c>
      <c r="I746" t="str">
        <f t="shared" si="44"/>
        <v>1-sep-2023</v>
      </c>
      <c r="K746" s="49">
        <f t="shared" si="46"/>
        <v>45170</v>
      </c>
      <c r="M746" t="b">
        <f t="shared" si="47"/>
        <v>1</v>
      </c>
    </row>
    <row r="747" spans="1:13" x14ac:dyDescent="0.3">
      <c r="A747" s="49">
        <v>45505</v>
      </c>
      <c r="D747" t="s">
        <v>7360</v>
      </c>
      <c r="E747">
        <v>1</v>
      </c>
      <c r="F747" t="str">
        <f t="shared" si="45"/>
        <v>nov</v>
      </c>
      <c r="G747">
        <v>20</v>
      </c>
      <c r="H747">
        <v>25</v>
      </c>
      <c r="I747" t="str">
        <f t="shared" si="44"/>
        <v>1-nov-2025</v>
      </c>
      <c r="K747" s="49">
        <f t="shared" si="46"/>
        <v>45962</v>
      </c>
      <c r="M747" t="b">
        <f t="shared" si="47"/>
        <v>0</v>
      </c>
    </row>
    <row r="748" spans="1:13" x14ac:dyDescent="0.3">
      <c r="A748" s="49">
        <v>45505</v>
      </c>
      <c r="D748" t="s">
        <v>7360</v>
      </c>
      <c r="E748">
        <v>1</v>
      </c>
      <c r="F748" t="str">
        <f t="shared" si="45"/>
        <v>nov</v>
      </c>
      <c r="G748">
        <v>20</v>
      </c>
      <c r="H748">
        <v>25</v>
      </c>
      <c r="I748" t="str">
        <f t="shared" si="44"/>
        <v>1-nov-2025</v>
      </c>
      <c r="K748" s="49">
        <f t="shared" si="46"/>
        <v>45962</v>
      </c>
      <c r="M748" t="b">
        <f t="shared" si="47"/>
        <v>0</v>
      </c>
    </row>
    <row r="749" spans="1:13" x14ac:dyDescent="0.3">
      <c r="A749" s="49">
        <v>45505</v>
      </c>
      <c r="D749" t="s">
        <v>7368</v>
      </c>
      <c r="E749">
        <v>1</v>
      </c>
      <c r="F749" t="str">
        <f t="shared" si="45"/>
        <v>mar</v>
      </c>
      <c r="G749">
        <v>20</v>
      </c>
      <c r="H749">
        <v>24</v>
      </c>
      <c r="I749" t="str">
        <f t="shared" si="44"/>
        <v>1-mar-2024</v>
      </c>
      <c r="K749" s="49">
        <f t="shared" si="46"/>
        <v>45352</v>
      </c>
      <c r="M749" t="b">
        <f t="shared" si="47"/>
        <v>1</v>
      </c>
    </row>
    <row r="750" spans="1:13" x14ac:dyDescent="0.3">
      <c r="A750" s="49">
        <v>45505</v>
      </c>
      <c r="D750" t="s">
        <v>7367</v>
      </c>
      <c r="E750">
        <v>1</v>
      </c>
      <c r="F750" t="str">
        <f t="shared" si="45"/>
        <v>jun</v>
      </c>
      <c r="G750">
        <v>20</v>
      </c>
      <c r="H750">
        <v>24</v>
      </c>
      <c r="I750" t="str">
        <f t="shared" si="44"/>
        <v>1-jun-2024</v>
      </c>
      <c r="K750" s="49">
        <f t="shared" si="46"/>
        <v>45444</v>
      </c>
      <c r="M750" t="b">
        <f t="shared" si="47"/>
        <v>1</v>
      </c>
    </row>
    <row r="751" spans="1:13" x14ac:dyDescent="0.3">
      <c r="A751" s="49">
        <v>45505</v>
      </c>
      <c r="D751" t="s">
        <v>7368</v>
      </c>
      <c r="E751">
        <v>1</v>
      </c>
      <c r="F751" t="str">
        <f t="shared" si="45"/>
        <v>mar</v>
      </c>
      <c r="G751">
        <v>20</v>
      </c>
      <c r="H751">
        <v>25</v>
      </c>
      <c r="I751" t="str">
        <f t="shared" si="44"/>
        <v>1-mar-2025</v>
      </c>
      <c r="K751" s="49">
        <f t="shared" si="46"/>
        <v>45717</v>
      </c>
      <c r="M751" t="b">
        <f t="shared" si="47"/>
        <v>0</v>
      </c>
    </row>
    <row r="752" spans="1:13" x14ac:dyDescent="0.3">
      <c r="A752" s="49">
        <v>45505</v>
      </c>
      <c r="D752" t="s">
        <v>7369</v>
      </c>
      <c r="E752">
        <v>1</v>
      </c>
      <c r="F752" t="str">
        <f t="shared" si="45"/>
        <v>abr</v>
      </c>
      <c r="G752">
        <v>20</v>
      </c>
      <c r="H752">
        <v>24</v>
      </c>
      <c r="I752" t="str">
        <f t="shared" si="44"/>
        <v>1-abr-2024</v>
      </c>
      <c r="K752" s="49">
        <f t="shared" si="46"/>
        <v>45383</v>
      </c>
      <c r="M752" t="b">
        <f t="shared" si="47"/>
        <v>1</v>
      </c>
    </row>
    <row r="753" spans="1:13" x14ac:dyDescent="0.3">
      <c r="A753" s="49">
        <v>45505</v>
      </c>
      <c r="D753" t="s">
        <v>7359</v>
      </c>
      <c r="E753">
        <v>1</v>
      </c>
      <c r="F753" t="str">
        <f t="shared" si="45"/>
        <v>jul</v>
      </c>
      <c r="G753">
        <v>20</v>
      </c>
      <c r="H753">
        <v>24</v>
      </c>
      <c r="I753" t="str">
        <f t="shared" si="44"/>
        <v>1-jul-2024</v>
      </c>
      <c r="K753" s="49">
        <f t="shared" si="46"/>
        <v>45474</v>
      </c>
      <c r="M753" t="b">
        <f t="shared" si="47"/>
        <v>1</v>
      </c>
    </row>
    <row r="754" spans="1:13" x14ac:dyDescent="0.3">
      <c r="A754" s="49">
        <v>45505</v>
      </c>
      <c r="D754" t="s">
        <v>7362</v>
      </c>
      <c r="E754">
        <v>1</v>
      </c>
      <c r="F754" t="str">
        <f t="shared" si="45"/>
        <v>ago</v>
      </c>
      <c r="G754">
        <v>20</v>
      </c>
      <c r="H754">
        <v>24</v>
      </c>
      <c r="I754" t="str">
        <f t="shared" si="44"/>
        <v>1-ago-2024</v>
      </c>
      <c r="K754" s="49">
        <f t="shared" si="46"/>
        <v>45505</v>
      </c>
      <c r="M754" t="b">
        <f t="shared" si="47"/>
        <v>0</v>
      </c>
    </row>
    <row r="755" spans="1:13" x14ac:dyDescent="0.3">
      <c r="A755" s="49">
        <v>45505</v>
      </c>
      <c r="D755" t="s">
        <v>7368</v>
      </c>
      <c r="E755">
        <v>1</v>
      </c>
      <c r="F755" t="str">
        <f t="shared" si="45"/>
        <v>mar</v>
      </c>
      <c r="G755">
        <v>20</v>
      </c>
      <c r="H755">
        <v>24</v>
      </c>
      <c r="I755" t="str">
        <f t="shared" si="44"/>
        <v>1-mar-2024</v>
      </c>
      <c r="K755" s="49">
        <f t="shared" si="46"/>
        <v>45352</v>
      </c>
      <c r="M755" t="b">
        <f t="shared" si="47"/>
        <v>1</v>
      </c>
    </row>
    <row r="756" spans="1:13" x14ac:dyDescent="0.3">
      <c r="A756" s="49">
        <v>45505</v>
      </c>
      <c r="D756" t="s">
        <v>7363</v>
      </c>
      <c r="E756">
        <v>1</v>
      </c>
      <c r="F756" t="str">
        <f t="shared" si="45"/>
        <v>feb</v>
      </c>
      <c r="G756">
        <v>20</v>
      </c>
      <c r="H756">
        <v>26</v>
      </c>
      <c r="I756" t="str">
        <f t="shared" si="44"/>
        <v>1-feb-2026</v>
      </c>
      <c r="K756" s="49">
        <f t="shared" si="46"/>
        <v>46054</v>
      </c>
      <c r="M756" t="b">
        <f t="shared" si="47"/>
        <v>0</v>
      </c>
    </row>
    <row r="757" spans="1:13" x14ac:dyDescent="0.3">
      <c r="A757" s="49">
        <v>45505</v>
      </c>
      <c r="D757" t="s">
        <v>7363</v>
      </c>
      <c r="E757">
        <v>1</v>
      </c>
      <c r="F757" t="str">
        <f t="shared" si="45"/>
        <v>feb</v>
      </c>
      <c r="G757">
        <v>20</v>
      </c>
      <c r="H757">
        <v>26</v>
      </c>
      <c r="I757" t="str">
        <f t="shared" si="44"/>
        <v>1-feb-2026</v>
      </c>
      <c r="K757" s="49">
        <f t="shared" si="46"/>
        <v>46054</v>
      </c>
      <c r="M757" t="b">
        <f t="shared" si="47"/>
        <v>0</v>
      </c>
    </row>
    <row r="758" spans="1:13" x14ac:dyDescent="0.3">
      <c r="A758" s="49">
        <v>45505</v>
      </c>
      <c r="D758" t="s">
        <v>7366</v>
      </c>
      <c r="E758">
        <v>1</v>
      </c>
      <c r="F758" t="str">
        <f t="shared" si="45"/>
        <v>dic</v>
      </c>
      <c r="G758">
        <v>20</v>
      </c>
      <c r="H758">
        <v>25</v>
      </c>
      <c r="I758" t="str">
        <f t="shared" si="44"/>
        <v>1-dic-2025</v>
      </c>
      <c r="K758" s="49">
        <f t="shared" si="46"/>
        <v>45992</v>
      </c>
      <c r="M758" t="b">
        <f t="shared" si="47"/>
        <v>0</v>
      </c>
    </row>
    <row r="759" spans="1:13" x14ac:dyDescent="0.3">
      <c r="A759" s="49">
        <v>45505</v>
      </c>
      <c r="D759" t="s">
        <v>7355</v>
      </c>
      <c r="E759">
        <v>1</v>
      </c>
      <c r="F759" t="str">
        <f t="shared" si="45"/>
        <v>sep</v>
      </c>
      <c r="G759">
        <v>20</v>
      </c>
      <c r="H759">
        <v>26</v>
      </c>
      <c r="I759" t="str">
        <f t="shared" si="44"/>
        <v>1-sep-2026</v>
      </c>
      <c r="K759" s="49">
        <f t="shared" si="46"/>
        <v>46266</v>
      </c>
      <c r="M759" t="b">
        <f t="shared" si="47"/>
        <v>0</v>
      </c>
    </row>
    <row r="760" spans="1:13" x14ac:dyDescent="0.3">
      <c r="A760" s="49">
        <v>45505</v>
      </c>
      <c r="D760" t="s">
        <v>7355</v>
      </c>
      <c r="E760">
        <v>1</v>
      </c>
      <c r="F760" t="str">
        <f t="shared" si="45"/>
        <v>sep</v>
      </c>
      <c r="G760">
        <v>20</v>
      </c>
      <c r="H760">
        <v>26</v>
      </c>
      <c r="I760" t="str">
        <f t="shared" si="44"/>
        <v>1-sep-2026</v>
      </c>
      <c r="K760" s="49">
        <f t="shared" si="46"/>
        <v>46266</v>
      </c>
      <c r="M760" t="b">
        <f t="shared" si="47"/>
        <v>0</v>
      </c>
    </row>
    <row r="761" spans="1:13" x14ac:dyDescent="0.3">
      <c r="A761" s="49">
        <v>45505</v>
      </c>
      <c r="D761" t="s">
        <v>7368</v>
      </c>
      <c r="E761">
        <v>1</v>
      </c>
      <c r="F761" t="str">
        <f t="shared" si="45"/>
        <v>mar</v>
      </c>
      <c r="G761">
        <v>20</v>
      </c>
      <c r="H761">
        <v>24</v>
      </c>
      <c r="I761" t="str">
        <f t="shared" si="44"/>
        <v>1-mar-2024</v>
      </c>
      <c r="K761" s="49">
        <f t="shared" si="46"/>
        <v>45352</v>
      </c>
      <c r="M761" t="b">
        <f t="shared" si="47"/>
        <v>1</v>
      </c>
    </row>
    <row r="762" spans="1:13" x14ac:dyDescent="0.3">
      <c r="A762" s="49">
        <v>45505</v>
      </c>
      <c r="D762" t="s">
        <v>7368</v>
      </c>
      <c r="E762">
        <v>1</v>
      </c>
      <c r="F762" t="str">
        <f t="shared" si="45"/>
        <v>mar</v>
      </c>
      <c r="G762">
        <v>20</v>
      </c>
      <c r="H762">
        <v>24</v>
      </c>
      <c r="I762" t="str">
        <f t="shared" si="44"/>
        <v>1-mar-2024</v>
      </c>
      <c r="K762" s="49">
        <f t="shared" si="46"/>
        <v>45352</v>
      </c>
      <c r="M762" t="b">
        <f t="shared" si="47"/>
        <v>1</v>
      </c>
    </row>
    <row r="763" spans="1:13" x14ac:dyDescent="0.3">
      <c r="A763" s="49">
        <v>45505</v>
      </c>
      <c r="D763" t="s">
        <v>7359</v>
      </c>
      <c r="E763">
        <v>1</v>
      </c>
      <c r="F763" t="str">
        <f t="shared" si="45"/>
        <v>jul</v>
      </c>
      <c r="G763">
        <v>20</v>
      </c>
      <c r="H763">
        <v>24</v>
      </c>
      <c r="I763" t="str">
        <f t="shared" si="44"/>
        <v>1-jul-2024</v>
      </c>
      <c r="K763" s="49">
        <f t="shared" si="46"/>
        <v>45474</v>
      </c>
      <c r="M763" t="b">
        <f t="shared" si="47"/>
        <v>1</v>
      </c>
    </row>
    <row r="764" spans="1:13" x14ac:dyDescent="0.3">
      <c r="A764" s="49">
        <v>45505</v>
      </c>
      <c r="D764" t="s">
        <v>7359</v>
      </c>
      <c r="E764">
        <v>1</v>
      </c>
      <c r="F764" t="str">
        <f t="shared" si="45"/>
        <v>jul</v>
      </c>
      <c r="G764">
        <v>20</v>
      </c>
      <c r="H764">
        <v>24</v>
      </c>
      <c r="I764" t="str">
        <f t="shared" si="44"/>
        <v>1-jul-2024</v>
      </c>
      <c r="K764" s="49">
        <f t="shared" si="46"/>
        <v>45474</v>
      </c>
      <c r="M764" t="b">
        <f t="shared" si="47"/>
        <v>1</v>
      </c>
    </row>
    <row r="765" spans="1:13" x14ac:dyDescent="0.3">
      <c r="A765" s="49">
        <v>45505</v>
      </c>
      <c r="D765" t="s">
        <v>7367</v>
      </c>
      <c r="E765">
        <v>1</v>
      </c>
      <c r="F765" t="str">
        <f t="shared" si="45"/>
        <v>jun</v>
      </c>
      <c r="G765">
        <v>20</v>
      </c>
      <c r="H765">
        <v>24</v>
      </c>
      <c r="I765" t="str">
        <f t="shared" si="44"/>
        <v>1-jun-2024</v>
      </c>
      <c r="K765" s="49">
        <f t="shared" si="46"/>
        <v>45444</v>
      </c>
      <c r="M765" t="b">
        <f t="shared" si="47"/>
        <v>1</v>
      </c>
    </row>
    <row r="766" spans="1:13" x14ac:dyDescent="0.3">
      <c r="A766" s="49">
        <v>45505</v>
      </c>
      <c r="D766" t="s">
        <v>7367</v>
      </c>
      <c r="E766">
        <v>1</v>
      </c>
      <c r="F766" t="str">
        <f t="shared" si="45"/>
        <v>jun</v>
      </c>
      <c r="G766">
        <v>20</v>
      </c>
      <c r="H766">
        <v>24</v>
      </c>
      <c r="I766" t="str">
        <f t="shared" si="44"/>
        <v>1-jun-2024</v>
      </c>
      <c r="K766" s="49">
        <f t="shared" si="46"/>
        <v>45444</v>
      </c>
      <c r="M766" t="b">
        <f t="shared" si="47"/>
        <v>1</v>
      </c>
    </row>
    <row r="767" spans="1:13" x14ac:dyDescent="0.3">
      <c r="A767" s="49">
        <v>45505</v>
      </c>
      <c r="D767" t="s">
        <v>7356</v>
      </c>
      <c r="E767">
        <v>1</v>
      </c>
      <c r="F767" t="str">
        <f t="shared" si="45"/>
        <v>ene</v>
      </c>
      <c r="G767">
        <v>20</v>
      </c>
      <c r="H767">
        <v>24</v>
      </c>
      <c r="I767" t="str">
        <f t="shared" si="44"/>
        <v>1-ene-2024</v>
      </c>
      <c r="K767" s="49">
        <f t="shared" si="46"/>
        <v>45292</v>
      </c>
      <c r="M767" t="b">
        <f t="shared" si="47"/>
        <v>1</v>
      </c>
    </row>
    <row r="768" spans="1:13" x14ac:dyDescent="0.3">
      <c r="A768" s="49">
        <v>45505</v>
      </c>
      <c r="D768" t="s">
        <v>7362</v>
      </c>
      <c r="E768">
        <v>1</v>
      </c>
      <c r="F768" t="str">
        <f t="shared" si="45"/>
        <v>ago</v>
      </c>
      <c r="G768">
        <v>20</v>
      </c>
      <c r="H768">
        <v>23</v>
      </c>
      <c r="I768" t="str">
        <f t="shared" si="44"/>
        <v>1-ago-2023</v>
      </c>
      <c r="K768" s="49">
        <f t="shared" si="46"/>
        <v>45139</v>
      </c>
      <c r="M768" t="b">
        <f t="shared" si="47"/>
        <v>1</v>
      </c>
    </row>
    <row r="769" spans="1:13" x14ac:dyDescent="0.3">
      <c r="A769" s="49">
        <v>45505</v>
      </c>
      <c r="D769" t="s">
        <v>7366</v>
      </c>
      <c r="E769">
        <v>1</v>
      </c>
      <c r="F769" t="str">
        <f t="shared" si="45"/>
        <v>dic</v>
      </c>
      <c r="G769">
        <v>20</v>
      </c>
      <c r="H769">
        <v>25</v>
      </c>
      <c r="I769" t="str">
        <f t="shared" ref="I769:I832" si="48">_xlfn.CONCAT(E769,"-",F769,"-",G769,H769)</f>
        <v>1-dic-2025</v>
      </c>
      <c r="K769" s="49">
        <f t="shared" si="46"/>
        <v>45992</v>
      </c>
      <c r="M769" t="b">
        <f t="shared" si="47"/>
        <v>0</v>
      </c>
    </row>
    <row r="770" spans="1:13" x14ac:dyDescent="0.3">
      <c r="A770" s="49">
        <v>45505</v>
      </c>
      <c r="D770" t="s">
        <v>7360</v>
      </c>
      <c r="E770">
        <v>1</v>
      </c>
      <c r="F770" t="str">
        <f t="shared" ref="F770:F833" si="49">LOWER(D770)</f>
        <v>nov</v>
      </c>
      <c r="G770">
        <v>20</v>
      </c>
      <c r="H770">
        <v>25</v>
      </c>
      <c r="I770" t="str">
        <f t="shared" si="48"/>
        <v>1-nov-2025</v>
      </c>
      <c r="K770" s="49">
        <f t="shared" ref="K770:K833" si="50">DATEVALUE(I770)</f>
        <v>45962</v>
      </c>
      <c r="M770" t="b">
        <f t="shared" si="47"/>
        <v>0</v>
      </c>
    </row>
    <row r="771" spans="1:13" x14ac:dyDescent="0.3">
      <c r="A771" s="49">
        <v>45505</v>
      </c>
      <c r="D771" t="s">
        <v>7367</v>
      </c>
      <c r="E771">
        <v>1</v>
      </c>
      <c r="F771" t="str">
        <f t="shared" si="49"/>
        <v>jun</v>
      </c>
      <c r="G771">
        <v>20</v>
      </c>
      <c r="H771">
        <v>24</v>
      </c>
      <c r="I771" t="str">
        <f t="shared" si="48"/>
        <v>1-jun-2024</v>
      </c>
      <c r="K771" s="49">
        <f t="shared" si="50"/>
        <v>45444</v>
      </c>
      <c r="M771" t="b">
        <f t="shared" ref="M771:M834" si="51">K771&lt;A771</f>
        <v>1</v>
      </c>
    </row>
    <row r="772" spans="1:13" x14ac:dyDescent="0.3">
      <c r="A772" s="49">
        <v>45505</v>
      </c>
      <c r="D772" t="s">
        <v>7367</v>
      </c>
      <c r="E772">
        <v>1</v>
      </c>
      <c r="F772" t="str">
        <f t="shared" si="49"/>
        <v>jun</v>
      </c>
      <c r="G772">
        <v>20</v>
      </c>
      <c r="H772">
        <v>24</v>
      </c>
      <c r="I772" t="str">
        <f t="shared" si="48"/>
        <v>1-jun-2024</v>
      </c>
      <c r="K772" s="49">
        <f t="shared" si="50"/>
        <v>45444</v>
      </c>
      <c r="M772" t="b">
        <f t="shared" si="51"/>
        <v>1</v>
      </c>
    </row>
    <row r="773" spans="1:13" x14ac:dyDescent="0.3">
      <c r="A773" s="49">
        <v>45505</v>
      </c>
      <c r="D773" t="s">
        <v>7367</v>
      </c>
      <c r="E773">
        <v>1</v>
      </c>
      <c r="F773" t="str">
        <f t="shared" si="49"/>
        <v>jun</v>
      </c>
      <c r="G773">
        <v>20</v>
      </c>
      <c r="H773">
        <v>24</v>
      </c>
      <c r="I773" t="str">
        <f t="shared" si="48"/>
        <v>1-jun-2024</v>
      </c>
      <c r="K773" s="49">
        <f t="shared" si="50"/>
        <v>45444</v>
      </c>
      <c r="M773" t="b">
        <f t="shared" si="51"/>
        <v>1</v>
      </c>
    </row>
    <row r="774" spans="1:13" x14ac:dyDescent="0.3">
      <c r="A774" s="49">
        <v>45505</v>
      </c>
      <c r="D774" t="s">
        <v>7367</v>
      </c>
      <c r="E774">
        <v>1</v>
      </c>
      <c r="F774" t="str">
        <f t="shared" si="49"/>
        <v>jun</v>
      </c>
      <c r="G774">
        <v>20</v>
      </c>
      <c r="H774">
        <v>24</v>
      </c>
      <c r="I774" t="str">
        <f t="shared" si="48"/>
        <v>1-jun-2024</v>
      </c>
      <c r="K774" s="49">
        <f t="shared" si="50"/>
        <v>45444</v>
      </c>
      <c r="M774" t="b">
        <f t="shared" si="51"/>
        <v>1</v>
      </c>
    </row>
    <row r="775" spans="1:13" x14ac:dyDescent="0.3">
      <c r="A775" s="49">
        <v>45505</v>
      </c>
      <c r="D775" t="s">
        <v>7367</v>
      </c>
      <c r="E775">
        <v>1</v>
      </c>
      <c r="F775" t="str">
        <f t="shared" si="49"/>
        <v>jun</v>
      </c>
      <c r="G775">
        <v>20</v>
      </c>
      <c r="H775">
        <v>24</v>
      </c>
      <c r="I775" t="str">
        <f t="shared" si="48"/>
        <v>1-jun-2024</v>
      </c>
      <c r="K775" s="49">
        <f t="shared" si="50"/>
        <v>45444</v>
      </c>
      <c r="M775" t="b">
        <f t="shared" si="51"/>
        <v>1</v>
      </c>
    </row>
    <row r="776" spans="1:13" x14ac:dyDescent="0.3">
      <c r="A776" s="49">
        <v>45505</v>
      </c>
      <c r="D776" t="s">
        <v>7370</v>
      </c>
      <c r="E776">
        <v>1</v>
      </c>
      <c r="F776" t="str">
        <f t="shared" si="49"/>
        <v>may</v>
      </c>
      <c r="G776">
        <v>20</v>
      </c>
      <c r="H776">
        <v>24</v>
      </c>
      <c r="I776" t="str">
        <f t="shared" si="48"/>
        <v>1-may-2024</v>
      </c>
      <c r="K776" s="49">
        <f t="shared" si="50"/>
        <v>45413</v>
      </c>
      <c r="M776" t="b">
        <f t="shared" si="51"/>
        <v>1</v>
      </c>
    </row>
    <row r="777" spans="1:13" x14ac:dyDescent="0.3">
      <c r="A777" s="49">
        <v>45505</v>
      </c>
      <c r="D777" t="s">
        <v>7357</v>
      </c>
      <c r="E777">
        <v>1</v>
      </c>
      <c r="F777" t="str">
        <f t="shared" si="49"/>
        <v>oct</v>
      </c>
      <c r="G777">
        <v>20</v>
      </c>
      <c r="H777">
        <v>25</v>
      </c>
      <c r="I777" t="str">
        <f t="shared" si="48"/>
        <v>1-oct-2025</v>
      </c>
      <c r="K777" s="49">
        <f t="shared" si="50"/>
        <v>45931</v>
      </c>
      <c r="M777" t="b">
        <f t="shared" si="51"/>
        <v>0</v>
      </c>
    </row>
    <row r="778" spans="1:13" x14ac:dyDescent="0.3">
      <c r="A778" s="49">
        <v>45505</v>
      </c>
      <c r="D778" t="s">
        <v>7362</v>
      </c>
      <c r="E778">
        <v>1</v>
      </c>
      <c r="F778" t="str">
        <f t="shared" si="49"/>
        <v>ago</v>
      </c>
      <c r="G778">
        <v>20</v>
      </c>
      <c r="H778">
        <v>24</v>
      </c>
      <c r="I778" t="str">
        <f t="shared" si="48"/>
        <v>1-ago-2024</v>
      </c>
      <c r="K778" s="49">
        <f t="shared" si="50"/>
        <v>45505</v>
      </c>
      <c r="M778" t="b">
        <f t="shared" si="51"/>
        <v>0</v>
      </c>
    </row>
    <row r="779" spans="1:13" x14ac:dyDescent="0.3">
      <c r="A779" s="49">
        <v>45505</v>
      </c>
      <c r="D779" t="s">
        <v>7362</v>
      </c>
      <c r="E779">
        <v>1</v>
      </c>
      <c r="F779" t="str">
        <f t="shared" si="49"/>
        <v>ago</v>
      </c>
      <c r="G779">
        <v>20</v>
      </c>
      <c r="H779">
        <v>25</v>
      </c>
      <c r="I779" t="str">
        <f t="shared" si="48"/>
        <v>1-ago-2025</v>
      </c>
      <c r="K779" s="49">
        <f t="shared" si="50"/>
        <v>45870</v>
      </c>
      <c r="M779" t="b">
        <f t="shared" si="51"/>
        <v>0</v>
      </c>
    </row>
    <row r="780" spans="1:13" x14ac:dyDescent="0.3">
      <c r="A780" s="49">
        <v>45505</v>
      </c>
      <c r="D780" t="s">
        <v>7356</v>
      </c>
      <c r="E780">
        <v>1</v>
      </c>
      <c r="F780" t="str">
        <f t="shared" si="49"/>
        <v>ene</v>
      </c>
      <c r="G780">
        <v>20</v>
      </c>
      <c r="H780">
        <v>24</v>
      </c>
      <c r="I780" t="str">
        <f t="shared" si="48"/>
        <v>1-ene-2024</v>
      </c>
      <c r="K780" s="49">
        <f t="shared" si="50"/>
        <v>45292</v>
      </c>
      <c r="M780" t="b">
        <f t="shared" si="51"/>
        <v>1</v>
      </c>
    </row>
    <row r="781" spans="1:13" x14ac:dyDescent="0.3">
      <c r="A781" s="49">
        <v>45505</v>
      </c>
      <c r="D781" t="s">
        <v>7366</v>
      </c>
      <c r="E781">
        <v>1</v>
      </c>
      <c r="F781" t="str">
        <f t="shared" si="49"/>
        <v>dic</v>
      </c>
      <c r="G781">
        <v>20</v>
      </c>
      <c r="H781">
        <v>25</v>
      </c>
      <c r="I781" t="str">
        <f t="shared" si="48"/>
        <v>1-dic-2025</v>
      </c>
      <c r="K781" s="49">
        <f t="shared" si="50"/>
        <v>45992</v>
      </c>
      <c r="M781" t="b">
        <f t="shared" si="51"/>
        <v>0</v>
      </c>
    </row>
    <row r="782" spans="1:13" x14ac:dyDescent="0.3">
      <c r="A782" s="49">
        <v>45505</v>
      </c>
      <c r="D782" t="s">
        <v>7366</v>
      </c>
      <c r="E782">
        <v>1</v>
      </c>
      <c r="F782" t="str">
        <f t="shared" si="49"/>
        <v>dic</v>
      </c>
      <c r="G782">
        <v>20</v>
      </c>
      <c r="H782">
        <v>25</v>
      </c>
      <c r="I782" t="str">
        <f t="shared" si="48"/>
        <v>1-dic-2025</v>
      </c>
      <c r="K782" s="49">
        <f t="shared" si="50"/>
        <v>45992</v>
      </c>
      <c r="M782" t="b">
        <f t="shared" si="51"/>
        <v>0</v>
      </c>
    </row>
    <row r="783" spans="1:13" x14ac:dyDescent="0.3">
      <c r="A783" s="49">
        <v>45505</v>
      </c>
      <c r="D783" t="s">
        <v>7370</v>
      </c>
      <c r="E783">
        <v>1</v>
      </c>
      <c r="F783" t="str">
        <f t="shared" si="49"/>
        <v>may</v>
      </c>
      <c r="G783">
        <v>20</v>
      </c>
      <c r="H783">
        <v>24</v>
      </c>
      <c r="I783" t="str">
        <f t="shared" si="48"/>
        <v>1-may-2024</v>
      </c>
      <c r="K783" s="49">
        <f t="shared" si="50"/>
        <v>45413</v>
      </c>
      <c r="M783" t="b">
        <f t="shared" si="51"/>
        <v>1</v>
      </c>
    </row>
    <row r="784" spans="1:13" x14ac:dyDescent="0.3">
      <c r="A784" s="49">
        <v>45505</v>
      </c>
      <c r="D784" t="s">
        <v>7370</v>
      </c>
      <c r="E784">
        <v>1</v>
      </c>
      <c r="F784" t="str">
        <f t="shared" si="49"/>
        <v>may</v>
      </c>
      <c r="G784">
        <v>20</v>
      </c>
      <c r="H784">
        <v>24</v>
      </c>
      <c r="I784" t="str">
        <f t="shared" si="48"/>
        <v>1-may-2024</v>
      </c>
      <c r="K784" s="49">
        <f t="shared" si="50"/>
        <v>45413</v>
      </c>
      <c r="M784" t="b">
        <f t="shared" si="51"/>
        <v>1</v>
      </c>
    </row>
    <row r="785" spans="1:13" x14ac:dyDescent="0.3">
      <c r="A785" s="49">
        <v>45505</v>
      </c>
      <c r="D785" t="s">
        <v>7368</v>
      </c>
      <c r="E785">
        <v>1</v>
      </c>
      <c r="F785" t="str">
        <f t="shared" si="49"/>
        <v>mar</v>
      </c>
      <c r="G785">
        <v>20</v>
      </c>
      <c r="H785">
        <v>24</v>
      </c>
      <c r="I785" t="str">
        <f t="shared" si="48"/>
        <v>1-mar-2024</v>
      </c>
      <c r="K785" s="49">
        <f t="shared" si="50"/>
        <v>45352</v>
      </c>
      <c r="M785" t="b">
        <f t="shared" si="51"/>
        <v>1</v>
      </c>
    </row>
    <row r="786" spans="1:13" x14ac:dyDescent="0.3">
      <c r="A786" s="49">
        <v>45505</v>
      </c>
      <c r="D786" t="s">
        <v>7366</v>
      </c>
      <c r="E786">
        <v>1</v>
      </c>
      <c r="F786" t="str">
        <f t="shared" si="49"/>
        <v>dic</v>
      </c>
      <c r="G786">
        <v>20</v>
      </c>
      <c r="H786">
        <v>20</v>
      </c>
      <c r="I786" t="str">
        <f t="shared" si="48"/>
        <v>1-dic-2020</v>
      </c>
      <c r="K786" s="49">
        <f t="shared" si="50"/>
        <v>44166</v>
      </c>
      <c r="M786" t="b">
        <f t="shared" si="51"/>
        <v>1</v>
      </c>
    </row>
    <row r="787" spans="1:13" x14ac:dyDescent="0.3">
      <c r="A787" s="49">
        <v>45505</v>
      </c>
      <c r="D787" t="s">
        <v>7370</v>
      </c>
      <c r="E787">
        <v>1</v>
      </c>
      <c r="F787" t="str">
        <f t="shared" si="49"/>
        <v>may</v>
      </c>
      <c r="G787">
        <v>20</v>
      </c>
      <c r="H787">
        <v>24</v>
      </c>
      <c r="I787" t="str">
        <f t="shared" si="48"/>
        <v>1-may-2024</v>
      </c>
      <c r="K787" s="49">
        <f t="shared" si="50"/>
        <v>45413</v>
      </c>
      <c r="M787" t="b">
        <f t="shared" si="51"/>
        <v>1</v>
      </c>
    </row>
    <row r="788" spans="1:13" x14ac:dyDescent="0.3">
      <c r="A788" s="49">
        <v>45505</v>
      </c>
      <c r="D788" t="s">
        <v>7367</v>
      </c>
      <c r="E788">
        <v>1</v>
      </c>
      <c r="F788" t="str">
        <f t="shared" si="49"/>
        <v>jun</v>
      </c>
      <c r="G788">
        <v>20</v>
      </c>
      <c r="H788">
        <v>23</v>
      </c>
      <c r="I788" t="str">
        <f t="shared" si="48"/>
        <v>1-jun-2023</v>
      </c>
      <c r="K788" s="49">
        <f t="shared" si="50"/>
        <v>45078</v>
      </c>
      <c r="M788" t="b">
        <f t="shared" si="51"/>
        <v>1</v>
      </c>
    </row>
    <row r="789" spans="1:13" x14ac:dyDescent="0.3">
      <c r="A789" s="49">
        <v>45505</v>
      </c>
      <c r="D789" t="s">
        <v>7355</v>
      </c>
      <c r="E789">
        <v>1</v>
      </c>
      <c r="F789" t="str">
        <f t="shared" si="49"/>
        <v>sep</v>
      </c>
      <c r="G789">
        <v>20</v>
      </c>
      <c r="H789">
        <v>23</v>
      </c>
      <c r="I789" t="str">
        <f t="shared" si="48"/>
        <v>1-sep-2023</v>
      </c>
      <c r="K789" s="49">
        <f t="shared" si="50"/>
        <v>45170</v>
      </c>
      <c r="M789" t="b">
        <f t="shared" si="51"/>
        <v>1</v>
      </c>
    </row>
    <row r="790" spans="1:13" x14ac:dyDescent="0.3">
      <c r="A790" s="49">
        <v>45505</v>
      </c>
      <c r="D790" t="s">
        <v>7355</v>
      </c>
      <c r="E790">
        <v>1</v>
      </c>
      <c r="F790" t="str">
        <f t="shared" si="49"/>
        <v>sep</v>
      </c>
      <c r="G790">
        <v>20</v>
      </c>
      <c r="H790">
        <v>23</v>
      </c>
      <c r="I790" t="str">
        <f t="shared" si="48"/>
        <v>1-sep-2023</v>
      </c>
      <c r="K790" s="49">
        <f t="shared" si="50"/>
        <v>45170</v>
      </c>
      <c r="M790" t="b">
        <f t="shared" si="51"/>
        <v>1</v>
      </c>
    </row>
    <row r="791" spans="1:13" x14ac:dyDescent="0.3">
      <c r="A791" s="49">
        <v>45505</v>
      </c>
      <c r="D791" t="s">
        <v>7355</v>
      </c>
      <c r="E791">
        <v>1</v>
      </c>
      <c r="F791" t="str">
        <f t="shared" si="49"/>
        <v>sep</v>
      </c>
      <c r="G791">
        <v>20</v>
      </c>
      <c r="H791">
        <v>23</v>
      </c>
      <c r="I791" t="str">
        <f t="shared" si="48"/>
        <v>1-sep-2023</v>
      </c>
      <c r="K791" s="49">
        <f t="shared" si="50"/>
        <v>45170</v>
      </c>
      <c r="M791" t="b">
        <f t="shared" si="51"/>
        <v>1</v>
      </c>
    </row>
    <row r="792" spans="1:13" x14ac:dyDescent="0.3">
      <c r="A792" s="49">
        <v>45505</v>
      </c>
      <c r="D792" t="s">
        <v>7355</v>
      </c>
      <c r="E792">
        <v>1</v>
      </c>
      <c r="F792" t="str">
        <f t="shared" si="49"/>
        <v>sep</v>
      </c>
      <c r="G792">
        <v>20</v>
      </c>
      <c r="H792">
        <v>23</v>
      </c>
      <c r="I792" t="str">
        <f t="shared" si="48"/>
        <v>1-sep-2023</v>
      </c>
      <c r="K792" s="49">
        <f t="shared" si="50"/>
        <v>45170</v>
      </c>
      <c r="M792" t="b">
        <f t="shared" si="51"/>
        <v>1</v>
      </c>
    </row>
    <row r="793" spans="1:13" x14ac:dyDescent="0.3">
      <c r="A793" s="49">
        <v>45505</v>
      </c>
      <c r="D793" t="s">
        <v>7355</v>
      </c>
      <c r="E793">
        <v>1</v>
      </c>
      <c r="F793" t="str">
        <f t="shared" si="49"/>
        <v>sep</v>
      </c>
      <c r="G793">
        <v>20</v>
      </c>
      <c r="H793">
        <v>23</v>
      </c>
      <c r="I793" t="str">
        <f t="shared" si="48"/>
        <v>1-sep-2023</v>
      </c>
      <c r="K793" s="49">
        <f t="shared" si="50"/>
        <v>45170</v>
      </c>
      <c r="M793" t="b">
        <f t="shared" si="51"/>
        <v>1</v>
      </c>
    </row>
    <row r="794" spans="1:13" x14ac:dyDescent="0.3">
      <c r="A794" s="49">
        <v>45505</v>
      </c>
      <c r="D794" t="s">
        <v>7357</v>
      </c>
      <c r="E794">
        <v>1</v>
      </c>
      <c r="F794" t="str">
        <f t="shared" si="49"/>
        <v>oct</v>
      </c>
      <c r="G794">
        <v>20</v>
      </c>
      <c r="H794">
        <v>23</v>
      </c>
      <c r="I794" t="str">
        <f t="shared" si="48"/>
        <v>1-oct-2023</v>
      </c>
      <c r="K794" s="49">
        <f t="shared" si="50"/>
        <v>45200</v>
      </c>
      <c r="M794" t="b">
        <f t="shared" si="51"/>
        <v>1</v>
      </c>
    </row>
    <row r="795" spans="1:13" x14ac:dyDescent="0.3">
      <c r="A795" s="49">
        <v>45505</v>
      </c>
      <c r="D795" t="s">
        <v>7369</v>
      </c>
      <c r="E795">
        <v>1</v>
      </c>
      <c r="F795" t="str">
        <f t="shared" si="49"/>
        <v>abr</v>
      </c>
      <c r="G795">
        <v>20</v>
      </c>
      <c r="H795">
        <v>25</v>
      </c>
      <c r="I795" t="str">
        <f t="shared" si="48"/>
        <v>1-abr-2025</v>
      </c>
      <c r="K795" s="49">
        <f t="shared" si="50"/>
        <v>45748</v>
      </c>
      <c r="M795" t="b">
        <f t="shared" si="51"/>
        <v>0</v>
      </c>
    </row>
    <row r="796" spans="1:13" x14ac:dyDescent="0.3">
      <c r="A796" s="49">
        <v>45505</v>
      </c>
      <c r="D796" t="s">
        <v>7369</v>
      </c>
      <c r="E796">
        <v>1</v>
      </c>
      <c r="F796" t="str">
        <f t="shared" si="49"/>
        <v>abr</v>
      </c>
      <c r="G796">
        <v>20</v>
      </c>
      <c r="H796">
        <v>24</v>
      </c>
      <c r="I796" t="str">
        <f t="shared" si="48"/>
        <v>1-abr-2024</v>
      </c>
      <c r="K796" s="49">
        <f t="shared" si="50"/>
        <v>45383</v>
      </c>
      <c r="M796" t="b">
        <f t="shared" si="51"/>
        <v>1</v>
      </c>
    </row>
    <row r="797" spans="1:13" x14ac:dyDescent="0.3">
      <c r="A797" s="49">
        <v>45505</v>
      </c>
      <c r="D797" t="s">
        <v>7367</v>
      </c>
      <c r="E797">
        <v>1</v>
      </c>
      <c r="F797" t="str">
        <f t="shared" si="49"/>
        <v>jun</v>
      </c>
      <c r="G797">
        <v>20</v>
      </c>
      <c r="H797">
        <v>24</v>
      </c>
      <c r="I797" t="str">
        <f t="shared" si="48"/>
        <v>1-jun-2024</v>
      </c>
      <c r="K797" s="49">
        <f t="shared" si="50"/>
        <v>45444</v>
      </c>
      <c r="M797" t="b">
        <f t="shared" si="51"/>
        <v>1</v>
      </c>
    </row>
    <row r="798" spans="1:13" x14ac:dyDescent="0.3">
      <c r="A798" s="49">
        <v>45505</v>
      </c>
      <c r="D798" t="s">
        <v>7367</v>
      </c>
      <c r="E798">
        <v>1</v>
      </c>
      <c r="F798" t="str">
        <f t="shared" si="49"/>
        <v>jun</v>
      </c>
      <c r="G798">
        <v>20</v>
      </c>
      <c r="H798">
        <v>24</v>
      </c>
      <c r="I798" t="str">
        <f t="shared" si="48"/>
        <v>1-jun-2024</v>
      </c>
      <c r="K798" s="49">
        <f t="shared" si="50"/>
        <v>45444</v>
      </c>
      <c r="M798" t="b">
        <f t="shared" si="51"/>
        <v>1</v>
      </c>
    </row>
    <row r="799" spans="1:13" x14ac:dyDescent="0.3">
      <c r="A799" s="49">
        <v>45505</v>
      </c>
      <c r="D799" t="s">
        <v>7367</v>
      </c>
      <c r="E799">
        <v>1</v>
      </c>
      <c r="F799" t="str">
        <f t="shared" si="49"/>
        <v>jun</v>
      </c>
      <c r="G799">
        <v>20</v>
      </c>
      <c r="H799">
        <v>24</v>
      </c>
      <c r="I799" t="str">
        <f t="shared" si="48"/>
        <v>1-jun-2024</v>
      </c>
      <c r="K799" s="49">
        <f t="shared" si="50"/>
        <v>45444</v>
      </c>
      <c r="M799" t="b">
        <f t="shared" si="51"/>
        <v>1</v>
      </c>
    </row>
    <row r="800" spans="1:13" x14ac:dyDescent="0.3">
      <c r="A800" s="49">
        <v>45505</v>
      </c>
      <c r="D800" t="s">
        <v>7367</v>
      </c>
      <c r="E800">
        <v>1</v>
      </c>
      <c r="F800" t="str">
        <f t="shared" si="49"/>
        <v>jun</v>
      </c>
      <c r="G800">
        <v>20</v>
      </c>
      <c r="H800">
        <v>24</v>
      </c>
      <c r="I800" t="str">
        <f t="shared" si="48"/>
        <v>1-jun-2024</v>
      </c>
      <c r="K800" s="49">
        <f t="shared" si="50"/>
        <v>45444</v>
      </c>
      <c r="M800" t="b">
        <f t="shared" si="51"/>
        <v>1</v>
      </c>
    </row>
    <row r="801" spans="1:13" x14ac:dyDescent="0.3">
      <c r="A801" s="49">
        <v>45505</v>
      </c>
      <c r="D801" t="s">
        <v>7367</v>
      </c>
      <c r="E801">
        <v>1</v>
      </c>
      <c r="F801" t="str">
        <f t="shared" si="49"/>
        <v>jun</v>
      </c>
      <c r="G801">
        <v>20</v>
      </c>
      <c r="H801">
        <v>24</v>
      </c>
      <c r="I801" t="str">
        <f t="shared" si="48"/>
        <v>1-jun-2024</v>
      </c>
      <c r="K801" s="49">
        <f t="shared" si="50"/>
        <v>45444</v>
      </c>
      <c r="M801" t="b">
        <f t="shared" si="51"/>
        <v>1</v>
      </c>
    </row>
    <row r="802" spans="1:13" x14ac:dyDescent="0.3">
      <c r="A802" s="49">
        <v>45505</v>
      </c>
      <c r="D802" t="s">
        <v>7367</v>
      </c>
      <c r="E802">
        <v>1</v>
      </c>
      <c r="F802" t="str">
        <f t="shared" si="49"/>
        <v>jun</v>
      </c>
      <c r="G802">
        <v>20</v>
      </c>
      <c r="H802">
        <v>24</v>
      </c>
      <c r="I802" t="str">
        <f t="shared" si="48"/>
        <v>1-jun-2024</v>
      </c>
      <c r="K802" s="49">
        <f t="shared" si="50"/>
        <v>45444</v>
      </c>
      <c r="M802" t="b">
        <f t="shared" si="51"/>
        <v>1</v>
      </c>
    </row>
    <row r="803" spans="1:13" x14ac:dyDescent="0.3">
      <c r="A803" s="49">
        <v>45505</v>
      </c>
      <c r="D803" t="s">
        <v>7367</v>
      </c>
      <c r="E803">
        <v>1</v>
      </c>
      <c r="F803" t="str">
        <f t="shared" si="49"/>
        <v>jun</v>
      </c>
      <c r="G803">
        <v>20</v>
      </c>
      <c r="H803">
        <v>24</v>
      </c>
      <c r="I803" t="str">
        <f t="shared" si="48"/>
        <v>1-jun-2024</v>
      </c>
      <c r="K803" s="49">
        <f t="shared" si="50"/>
        <v>45444</v>
      </c>
      <c r="M803" t="b">
        <f t="shared" si="51"/>
        <v>1</v>
      </c>
    </row>
    <row r="804" spans="1:13" x14ac:dyDescent="0.3">
      <c r="A804" s="49">
        <v>45505</v>
      </c>
      <c r="D804" t="s">
        <v>7367</v>
      </c>
      <c r="E804">
        <v>1</v>
      </c>
      <c r="F804" t="str">
        <f t="shared" si="49"/>
        <v>jun</v>
      </c>
      <c r="G804">
        <v>20</v>
      </c>
      <c r="H804">
        <v>24</v>
      </c>
      <c r="I804" t="str">
        <f t="shared" si="48"/>
        <v>1-jun-2024</v>
      </c>
      <c r="K804" s="49">
        <f t="shared" si="50"/>
        <v>45444</v>
      </c>
      <c r="M804" t="b">
        <f t="shared" si="51"/>
        <v>1</v>
      </c>
    </row>
    <row r="805" spans="1:13" x14ac:dyDescent="0.3">
      <c r="A805" s="49">
        <v>45505</v>
      </c>
      <c r="D805" t="s">
        <v>7355</v>
      </c>
      <c r="E805">
        <v>1</v>
      </c>
      <c r="F805" t="str">
        <f t="shared" si="49"/>
        <v>sep</v>
      </c>
      <c r="G805">
        <v>20</v>
      </c>
      <c r="H805">
        <v>23</v>
      </c>
      <c r="I805" t="str">
        <f t="shared" si="48"/>
        <v>1-sep-2023</v>
      </c>
      <c r="K805" s="49">
        <f t="shared" si="50"/>
        <v>45170</v>
      </c>
      <c r="M805" t="b">
        <f t="shared" si="51"/>
        <v>1</v>
      </c>
    </row>
    <row r="806" spans="1:13" x14ac:dyDescent="0.3">
      <c r="A806" s="49">
        <v>45505</v>
      </c>
      <c r="D806" t="s">
        <v>7359</v>
      </c>
      <c r="E806">
        <v>1</v>
      </c>
      <c r="F806" t="str">
        <f t="shared" si="49"/>
        <v>jul</v>
      </c>
      <c r="G806">
        <v>20</v>
      </c>
      <c r="H806">
        <v>23</v>
      </c>
      <c r="I806" t="str">
        <f t="shared" si="48"/>
        <v>1-jul-2023</v>
      </c>
      <c r="K806" s="49">
        <f t="shared" si="50"/>
        <v>45108</v>
      </c>
      <c r="M806" t="b">
        <f t="shared" si="51"/>
        <v>1</v>
      </c>
    </row>
    <row r="807" spans="1:13" x14ac:dyDescent="0.3">
      <c r="A807" s="49">
        <v>45505</v>
      </c>
      <c r="D807" t="s">
        <v>7359</v>
      </c>
      <c r="E807">
        <v>1</v>
      </c>
      <c r="F807" t="str">
        <f t="shared" si="49"/>
        <v>jul</v>
      </c>
      <c r="G807">
        <v>20</v>
      </c>
      <c r="H807">
        <v>23</v>
      </c>
      <c r="I807" t="str">
        <f t="shared" si="48"/>
        <v>1-jul-2023</v>
      </c>
      <c r="K807" s="49">
        <f t="shared" si="50"/>
        <v>45108</v>
      </c>
      <c r="M807" t="b">
        <f t="shared" si="51"/>
        <v>1</v>
      </c>
    </row>
    <row r="808" spans="1:13" x14ac:dyDescent="0.3">
      <c r="A808" s="49">
        <v>45505</v>
      </c>
      <c r="D808" t="s">
        <v>7359</v>
      </c>
      <c r="E808">
        <v>1</v>
      </c>
      <c r="F808" t="str">
        <f t="shared" si="49"/>
        <v>jul</v>
      </c>
      <c r="G808">
        <v>20</v>
      </c>
      <c r="H808">
        <v>23</v>
      </c>
      <c r="I808" t="str">
        <f t="shared" si="48"/>
        <v>1-jul-2023</v>
      </c>
      <c r="K808" s="49">
        <f t="shared" si="50"/>
        <v>45108</v>
      </c>
      <c r="M808" t="b">
        <f t="shared" si="51"/>
        <v>1</v>
      </c>
    </row>
    <row r="809" spans="1:13" x14ac:dyDescent="0.3">
      <c r="A809" s="49">
        <v>45505</v>
      </c>
      <c r="D809" t="s">
        <v>7359</v>
      </c>
      <c r="E809">
        <v>1</v>
      </c>
      <c r="F809" t="str">
        <f t="shared" si="49"/>
        <v>jul</v>
      </c>
      <c r="G809">
        <v>20</v>
      </c>
      <c r="H809">
        <v>23</v>
      </c>
      <c r="I809" t="str">
        <f t="shared" si="48"/>
        <v>1-jul-2023</v>
      </c>
      <c r="K809" s="49">
        <f t="shared" si="50"/>
        <v>45108</v>
      </c>
      <c r="M809" t="b">
        <f t="shared" si="51"/>
        <v>1</v>
      </c>
    </row>
    <row r="810" spans="1:13" x14ac:dyDescent="0.3">
      <c r="A810" s="49">
        <v>45505</v>
      </c>
      <c r="D810" t="s">
        <v>7363</v>
      </c>
      <c r="E810">
        <v>1</v>
      </c>
      <c r="F810" t="str">
        <f t="shared" si="49"/>
        <v>feb</v>
      </c>
      <c r="G810">
        <v>20</v>
      </c>
      <c r="H810">
        <v>24</v>
      </c>
      <c r="I810" t="str">
        <f t="shared" si="48"/>
        <v>1-feb-2024</v>
      </c>
      <c r="K810" s="49">
        <f t="shared" si="50"/>
        <v>45323</v>
      </c>
      <c r="M810" t="b">
        <f t="shared" si="51"/>
        <v>1</v>
      </c>
    </row>
    <row r="811" spans="1:13" x14ac:dyDescent="0.3">
      <c r="A811" s="49">
        <v>45505</v>
      </c>
      <c r="D811" t="s">
        <v>7368</v>
      </c>
      <c r="E811">
        <v>1</v>
      </c>
      <c r="F811" t="str">
        <f t="shared" si="49"/>
        <v>mar</v>
      </c>
      <c r="G811">
        <v>20</v>
      </c>
      <c r="H811">
        <v>24</v>
      </c>
      <c r="I811" t="str">
        <f t="shared" si="48"/>
        <v>1-mar-2024</v>
      </c>
      <c r="K811" s="49">
        <f t="shared" si="50"/>
        <v>45352</v>
      </c>
      <c r="M811" t="b">
        <f t="shared" si="51"/>
        <v>1</v>
      </c>
    </row>
    <row r="812" spans="1:13" x14ac:dyDescent="0.3">
      <c r="A812" s="49">
        <v>45505</v>
      </c>
      <c r="D812" t="s">
        <v>7370</v>
      </c>
      <c r="E812">
        <v>1</v>
      </c>
      <c r="F812" t="str">
        <f t="shared" si="49"/>
        <v>may</v>
      </c>
      <c r="G812">
        <v>20</v>
      </c>
      <c r="H812">
        <v>22</v>
      </c>
      <c r="I812" t="str">
        <f t="shared" si="48"/>
        <v>1-may-2022</v>
      </c>
      <c r="K812" s="49">
        <f t="shared" si="50"/>
        <v>44682</v>
      </c>
      <c r="M812" t="b">
        <f t="shared" si="51"/>
        <v>1</v>
      </c>
    </row>
    <row r="813" spans="1:13" x14ac:dyDescent="0.3">
      <c r="A813" s="49">
        <v>45505</v>
      </c>
      <c r="D813" t="s">
        <v>7367</v>
      </c>
      <c r="E813">
        <v>1</v>
      </c>
      <c r="F813" t="str">
        <f t="shared" si="49"/>
        <v>jun</v>
      </c>
      <c r="G813">
        <v>20</v>
      </c>
      <c r="H813">
        <v>22</v>
      </c>
      <c r="I813" t="str">
        <f t="shared" si="48"/>
        <v>1-jun-2022</v>
      </c>
      <c r="K813" s="49">
        <f t="shared" si="50"/>
        <v>44713</v>
      </c>
      <c r="M813" t="b">
        <f t="shared" si="51"/>
        <v>1</v>
      </c>
    </row>
    <row r="814" spans="1:13" x14ac:dyDescent="0.3">
      <c r="A814" s="49">
        <v>45505</v>
      </c>
      <c r="D814" t="s">
        <v>7370</v>
      </c>
      <c r="E814">
        <v>1</v>
      </c>
      <c r="F814" t="str">
        <f t="shared" si="49"/>
        <v>may</v>
      </c>
      <c r="G814">
        <v>20</v>
      </c>
      <c r="H814">
        <v>23</v>
      </c>
      <c r="I814" t="str">
        <f t="shared" si="48"/>
        <v>1-may-2023</v>
      </c>
      <c r="K814" s="49">
        <f t="shared" si="50"/>
        <v>45047</v>
      </c>
      <c r="M814" t="b">
        <f t="shared" si="51"/>
        <v>1</v>
      </c>
    </row>
    <row r="815" spans="1:13" x14ac:dyDescent="0.3">
      <c r="A815" s="49">
        <v>45505</v>
      </c>
      <c r="D815" t="s">
        <v>7370</v>
      </c>
      <c r="E815">
        <v>1</v>
      </c>
      <c r="F815" t="str">
        <f t="shared" si="49"/>
        <v>may</v>
      </c>
      <c r="G815">
        <v>20</v>
      </c>
      <c r="H815">
        <v>23</v>
      </c>
      <c r="I815" t="str">
        <f t="shared" si="48"/>
        <v>1-may-2023</v>
      </c>
      <c r="K815" s="49">
        <f t="shared" si="50"/>
        <v>45047</v>
      </c>
      <c r="M815" t="b">
        <f t="shared" si="51"/>
        <v>1</v>
      </c>
    </row>
    <row r="816" spans="1:13" x14ac:dyDescent="0.3">
      <c r="A816" s="49">
        <v>45505</v>
      </c>
      <c r="D816" t="s">
        <v>7370</v>
      </c>
      <c r="E816">
        <v>1</v>
      </c>
      <c r="F816" t="str">
        <f t="shared" si="49"/>
        <v>may</v>
      </c>
      <c r="G816">
        <v>20</v>
      </c>
      <c r="H816">
        <v>23</v>
      </c>
      <c r="I816" t="str">
        <f t="shared" si="48"/>
        <v>1-may-2023</v>
      </c>
      <c r="K816" s="49">
        <f t="shared" si="50"/>
        <v>45047</v>
      </c>
      <c r="M816" t="b">
        <f t="shared" si="51"/>
        <v>1</v>
      </c>
    </row>
    <row r="817" spans="1:13" x14ac:dyDescent="0.3">
      <c r="A817" s="49">
        <v>45505</v>
      </c>
      <c r="D817" t="s">
        <v>7370</v>
      </c>
      <c r="E817">
        <v>1</v>
      </c>
      <c r="F817" t="str">
        <f t="shared" si="49"/>
        <v>may</v>
      </c>
      <c r="G817">
        <v>20</v>
      </c>
      <c r="H817">
        <v>23</v>
      </c>
      <c r="I817" t="str">
        <f t="shared" si="48"/>
        <v>1-may-2023</v>
      </c>
      <c r="K817" s="49">
        <f t="shared" si="50"/>
        <v>45047</v>
      </c>
      <c r="M817" t="b">
        <f t="shared" si="51"/>
        <v>1</v>
      </c>
    </row>
    <row r="818" spans="1:13" x14ac:dyDescent="0.3">
      <c r="A818" s="49">
        <v>45505</v>
      </c>
      <c r="D818" t="s">
        <v>7370</v>
      </c>
      <c r="E818">
        <v>1</v>
      </c>
      <c r="F818" t="str">
        <f t="shared" si="49"/>
        <v>may</v>
      </c>
      <c r="G818">
        <v>20</v>
      </c>
      <c r="H818">
        <v>23</v>
      </c>
      <c r="I818" t="str">
        <f t="shared" si="48"/>
        <v>1-may-2023</v>
      </c>
      <c r="K818" s="49">
        <f t="shared" si="50"/>
        <v>45047</v>
      </c>
      <c r="M818" t="b">
        <f t="shared" si="51"/>
        <v>1</v>
      </c>
    </row>
    <row r="819" spans="1:13" x14ac:dyDescent="0.3">
      <c r="A819" s="49">
        <v>45505</v>
      </c>
      <c r="D819" t="s">
        <v>7370</v>
      </c>
      <c r="E819">
        <v>1</v>
      </c>
      <c r="F819" t="str">
        <f t="shared" si="49"/>
        <v>may</v>
      </c>
      <c r="G819">
        <v>20</v>
      </c>
      <c r="H819">
        <v>23</v>
      </c>
      <c r="I819" t="str">
        <f t="shared" si="48"/>
        <v>1-may-2023</v>
      </c>
      <c r="K819" s="49">
        <f t="shared" si="50"/>
        <v>45047</v>
      </c>
      <c r="M819" t="b">
        <f t="shared" si="51"/>
        <v>1</v>
      </c>
    </row>
    <row r="820" spans="1:13" x14ac:dyDescent="0.3">
      <c r="A820" s="49">
        <v>45505</v>
      </c>
      <c r="D820" t="s">
        <v>7370</v>
      </c>
      <c r="E820">
        <v>1</v>
      </c>
      <c r="F820" t="str">
        <f t="shared" si="49"/>
        <v>may</v>
      </c>
      <c r="G820">
        <v>20</v>
      </c>
      <c r="H820">
        <v>24</v>
      </c>
      <c r="I820" t="str">
        <f t="shared" si="48"/>
        <v>1-may-2024</v>
      </c>
      <c r="K820" s="49">
        <f t="shared" si="50"/>
        <v>45413</v>
      </c>
      <c r="M820" t="b">
        <f t="shared" si="51"/>
        <v>1</v>
      </c>
    </row>
    <row r="821" spans="1:13" x14ac:dyDescent="0.3">
      <c r="A821" s="49">
        <v>45505</v>
      </c>
      <c r="D821" t="s">
        <v>7370</v>
      </c>
      <c r="E821">
        <v>1</v>
      </c>
      <c r="F821" t="str">
        <f t="shared" si="49"/>
        <v>may</v>
      </c>
      <c r="G821">
        <v>20</v>
      </c>
      <c r="H821">
        <v>24</v>
      </c>
      <c r="I821" t="str">
        <f t="shared" si="48"/>
        <v>1-may-2024</v>
      </c>
      <c r="K821" s="49">
        <f t="shared" si="50"/>
        <v>45413</v>
      </c>
      <c r="M821" t="b">
        <f t="shared" si="51"/>
        <v>1</v>
      </c>
    </row>
    <row r="822" spans="1:13" x14ac:dyDescent="0.3">
      <c r="A822" s="49">
        <v>45505</v>
      </c>
      <c r="D822" t="s">
        <v>7370</v>
      </c>
      <c r="E822">
        <v>1</v>
      </c>
      <c r="F822" t="str">
        <f t="shared" si="49"/>
        <v>may</v>
      </c>
      <c r="G822">
        <v>20</v>
      </c>
      <c r="H822">
        <v>24</v>
      </c>
      <c r="I822" t="str">
        <f t="shared" si="48"/>
        <v>1-may-2024</v>
      </c>
      <c r="K822" s="49">
        <f t="shared" si="50"/>
        <v>45413</v>
      </c>
      <c r="M822" t="b">
        <f t="shared" si="51"/>
        <v>1</v>
      </c>
    </row>
    <row r="823" spans="1:13" x14ac:dyDescent="0.3">
      <c r="A823" s="49">
        <v>45505</v>
      </c>
      <c r="D823" t="s">
        <v>7370</v>
      </c>
      <c r="E823">
        <v>1</v>
      </c>
      <c r="F823" t="str">
        <f t="shared" si="49"/>
        <v>may</v>
      </c>
      <c r="G823">
        <v>20</v>
      </c>
      <c r="H823">
        <v>24</v>
      </c>
      <c r="I823" t="str">
        <f t="shared" si="48"/>
        <v>1-may-2024</v>
      </c>
      <c r="K823" s="49">
        <f t="shared" si="50"/>
        <v>45413</v>
      </c>
      <c r="M823" t="b">
        <f t="shared" si="51"/>
        <v>1</v>
      </c>
    </row>
    <row r="824" spans="1:13" x14ac:dyDescent="0.3">
      <c r="A824" s="49">
        <v>45505</v>
      </c>
      <c r="D824" t="s">
        <v>7370</v>
      </c>
      <c r="E824">
        <v>1</v>
      </c>
      <c r="F824" t="str">
        <f t="shared" si="49"/>
        <v>may</v>
      </c>
      <c r="G824">
        <v>20</v>
      </c>
      <c r="H824">
        <v>24</v>
      </c>
      <c r="I824" t="str">
        <f t="shared" si="48"/>
        <v>1-may-2024</v>
      </c>
      <c r="K824" s="49">
        <f t="shared" si="50"/>
        <v>45413</v>
      </c>
      <c r="M824" t="b">
        <f t="shared" si="51"/>
        <v>1</v>
      </c>
    </row>
    <row r="825" spans="1:13" x14ac:dyDescent="0.3">
      <c r="A825" s="49">
        <v>45505</v>
      </c>
      <c r="D825" t="s">
        <v>7370</v>
      </c>
      <c r="E825">
        <v>1</v>
      </c>
      <c r="F825" t="str">
        <f t="shared" si="49"/>
        <v>may</v>
      </c>
      <c r="G825">
        <v>20</v>
      </c>
      <c r="H825">
        <v>24</v>
      </c>
      <c r="I825" t="str">
        <f t="shared" si="48"/>
        <v>1-may-2024</v>
      </c>
      <c r="K825" s="49">
        <f t="shared" si="50"/>
        <v>45413</v>
      </c>
      <c r="M825" t="b">
        <f t="shared" si="51"/>
        <v>1</v>
      </c>
    </row>
    <row r="826" spans="1:13" x14ac:dyDescent="0.3">
      <c r="A826" s="49">
        <v>45505</v>
      </c>
      <c r="D826" t="s">
        <v>7370</v>
      </c>
      <c r="E826">
        <v>1</v>
      </c>
      <c r="F826" t="str">
        <f t="shared" si="49"/>
        <v>may</v>
      </c>
      <c r="G826">
        <v>20</v>
      </c>
      <c r="H826">
        <v>24</v>
      </c>
      <c r="I826" t="str">
        <f t="shared" si="48"/>
        <v>1-may-2024</v>
      </c>
      <c r="K826" s="49">
        <f t="shared" si="50"/>
        <v>45413</v>
      </c>
      <c r="M826" t="b">
        <f t="shared" si="51"/>
        <v>1</v>
      </c>
    </row>
    <row r="827" spans="1:13" x14ac:dyDescent="0.3">
      <c r="A827" s="49">
        <v>45505</v>
      </c>
      <c r="D827" t="s">
        <v>7370</v>
      </c>
      <c r="E827">
        <v>1</v>
      </c>
      <c r="F827" t="str">
        <f t="shared" si="49"/>
        <v>may</v>
      </c>
      <c r="G827">
        <v>20</v>
      </c>
      <c r="H827">
        <v>24</v>
      </c>
      <c r="I827" t="str">
        <f t="shared" si="48"/>
        <v>1-may-2024</v>
      </c>
      <c r="K827" s="49">
        <f t="shared" si="50"/>
        <v>45413</v>
      </c>
      <c r="M827" t="b">
        <f t="shared" si="51"/>
        <v>1</v>
      </c>
    </row>
    <row r="828" spans="1:13" x14ac:dyDescent="0.3">
      <c r="A828" s="49">
        <v>45505</v>
      </c>
      <c r="D828" t="s">
        <v>7370</v>
      </c>
      <c r="E828">
        <v>1</v>
      </c>
      <c r="F828" t="str">
        <f t="shared" si="49"/>
        <v>may</v>
      </c>
      <c r="G828">
        <v>20</v>
      </c>
      <c r="H828">
        <v>24</v>
      </c>
      <c r="I828" t="str">
        <f t="shared" si="48"/>
        <v>1-may-2024</v>
      </c>
      <c r="K828" s="49">
        <f t="shared" si="50"/>
        <v>45413</v>
      </c>
      <c r="M828" t="b">
        <f t="shared" si="51"/>
        <v>1</v>
      </c>
    </row>
    <row r="829" spans="1:13" x14ac:dyDescent="0.3">
      <c r="A829" s="49">
        <v>45505</v>
      </c>
      <c r="D829" t="s">
        <v>7370</v>
      </c>
      <c r="E829">
        <v>1</v>
      </c>
      <c r="F829" t="str">
        <f t="shared" si="49"/>
        <v>may</v>
      </c>
      <c r="G829">
        <v>20</v>
      </c>
      <c r="H829">
        <v>24</v>
      </c>
      <c r="I829" t="str">
        <f t="shared" si="48"/>
        <v>1-may-2024</v>
      </c>
      <c r="K829" s="49">
        <f t="shared" si="50"/>
        <v>45413</v>
      </c>
      <c r="M829" t="b">
        <f t="shared" si="51"/>
        <v>1</v>
      </c>
    </row>
    <row r="830" spans="1:13" x14ac:dyDescent="0.3">
      <c r="A830" s="49">
        <v>45505</v>
      </c>
      <c r="D830" t="s">
        <v>7370</v>
      </c>
      <c r="E830">
        <v>1</v>
      </c>
      <c r="F830" t="str">
        <f t="shared" si="49"/>
        <v>may</v>
      </c>
      <c r="G830">
        <v>20</v>
      </c>
      <c r="H830">
        <v>24</v>
      </c>
      <c r="I830" t="str">
        <f t="shared" si="48"/>
        <v>1-may-2024</v>
      </c>
      <c r="K830" s="49">
        <f t="shared" si="50"/>
        <v>45413</v>
      </c>
      <c r="M830" t="b">
        <f t="shared" si="51"/>
        <v>1</v>
      </c>
    </row>
    <row r="831" spans="1:13" x14ac:dyDescent="0.3">
      <c r="A831" s="49">
        <v>45505</v>
      </c>
      <c r="D831" t="s">
        <v>7370</v>
      </c>
      <c r="E831">
        <v>1</v>
      </c>
      <c r="F831" t="str">
        <f t="shared" si="49"/>
        <v>may</v>
      </c>
      <c r="G831">
        <v>20</v>
      </c>
      <c r="H831">
        <v>24</v>
      </c>
      <c r="I831" t="str">
        <f t="shared" si="48"/>
        <v>1-may-2024</v>
      </c>
      <c r="K831" s="49">
        <f t="shared" si="50"/>
        <v>45413</v>
      </c>
      <c r="M831" t="b">
        <f t="shared" si="51"/>
        <v>1</v>
      </c>
    </row>
    <row r="832" spans="1:13" x14ac:dyDescent="0.3">
      <c r="A832" s="49">
        <v>45505</v>
      </c>
      <c r="D832" t="s">
        <v>7370</v>
      </c>
      <c r="E832">
        <v>1</v>
      </c>
      <c r="F832" t="str">
        <f t="shared" si="49"/>
        <v>may</v>
      </c>
      <c r="G832">
        <v>20</v>
      </c>
      <c r="H832">
        <v>24</v>
      </c>
      <c r="I832" t="str">
        <f t="shared" si="48"/>
        <v>1-may-2024</v>
      </c>
      <c r="K832" s="49">
        <f t="shared" si="50"/>
        <v>45413</v>
      </c>
      <c r="M832" t="b">
        <f t="shared" si="51"/>
        <v>1</v>
      </c>
    </row>
    <row r="833" spans="1:13" x14ac:dyDescent="0.3">
      <c r="A833" s="49">
        <v>45505</v>
      </c>
      <c r="D833" t="s">
        <v>7370</v>
      </c>
      <c r="E833">
        <v>1</v>
      </c>
      <c r="F833" t="str">
        <f t="shared" si="49"/>
        <v>may</v>
      </c>
      <c r="G833">
        <v>20</v>
      </c>
      <c r="H833">
        <v>24</v>
      </c>
      <c r="I833" t="str">
        <f t="shared" ref="I833:I896" si="52">_xlfn.CONCAT(E833,"-",F833,"-",G833,H833)</f>
        <v>1-may-2024</v>
      </c>
      <c r="K833" s="49">
        <f t="shared" si="50"/>
        <v>45413</v>
      </c>
      <c r="M833" t="b">
        <f t="shared" si="51"/>
        <v>1</v>
      </c>
    </row>
    <row r="834" spans="1:13" x14ac:dyDescent="0.3">
      <c r="A834" s="49">
        <v>45505</v>
      </c>
      <c r="D834" t="s">
        <v>7370</v>
      </c>
      <c r="E834">
        <v>1</v>
      </c>
      <c r="F834" t="str">
        <f t="shared" ref="F834:F897" si="53">LOWER(D834)</f>
        <v>may</v>
      </c>
      <c r="G834">
        <v>20</v>
      </c>
      <c r="H834">
        <v>24</v>
      </c>
      <c r="I834" t="str">
        <f t="shared" si="52"/>
        <v>1-may-2024</v>
      </c>
      <c r="K834" s="49">
        <f t="shared" ref="K834:K897" si="54">DATEVALUE(I834)</f>
        <v>45413</v>
      </c>
      <c r="M834" t="b">
        <f t="shared" si="51"/>
        <v>1</v>
      </c>
    </row>
    <row r="835" spans="1:13" x14ac:dyDescent="0.3">
      <c r="A835" s="49">
        <v>45505</v>
      </c>
      <c r="D835" t="s">
        <v>7370</v>
      </c>
      <c r="E835">
        <v>1</v>
      </c>
      <c r="F835" t="str">
        <f t="shared" si="53"/>
        <v>may</v>
      </c>
      <c r="G835">
        <v>20</v>
      </c>
      <c r="H835">
        <v>24</v>
      </c>
      <c r="I835" t="str">
        <f t="shared" si="52"/>
        <v>1-may-2024</v>
      </c>
      <c r="K835" s="49">
        <f t="shared" si="54"/>
        <v>45413</v>
      </c>
      <c r="M835" t="b">
        <f t="shared" ref="M835:M898" si="55">K835&lt;A835</f>
        <v>1</v>
      </c>
    </row>
    <row r="836" spans="1:13" x14ac:dyDescent="0.3">
      <c r="A836" s="49">
        <v>45505</v>
      </c>
      <c r="D836" t="s">
        <v>7370</v>
      </c>
      <c r="E836">
        <v>1</v>
      </c>
      <c r="F836" t="str">
        <f t="shared" si="53"/>
        <v>may</v>
      </c>
      <c r="G836">
        <v>20</v>
      </c>
      <c r="H836">
        <v>24</v>
      </c>
      <c r="I836" t="str">
        <f t="shared" si="52"/>
        <v>1-may-2024</v>
      </c>
      <c r="K836" s="49">
        <f t="shared" si="54"/>
        <v>45413</v>
      </c>
      <c r="M836" t="b">
        <f t="shared" si="55"/>
        <v>1</v>
      </c>
    </row>
    <row r="837" spans="1:13" x14ac:dyDescent="0.3">
      <c r="A837" s="49">
        <v>45505</v>
      </c>
      <c r="D837" t="s">
        <v>7370</v>
      </c>
      <c r="E837">
        <v>1</v>
      </c>
      <c r="F837" t="str">
        <f t="shared" si="53"/>
        <v>may</v>
      </c>
      <c r="G837">
        <v>20</v>
      </c>
      <c r="H837">
        <v>24</v>
      </c>
      <c r="I837" t="str">
        <f t="shared" si="52"/>
        <v>1-may-2024</v>
      </c>
      <c r="K837" s="49">
        <f t="shared" si="54"/>
        <v>45413</v>
      </c>
      <c r="M837" t="b">
        <f t="shared" si="55"/>
        <v>1</v>
      </c>
    </row>
    <row r="838" spans="1:13" x14ac:dyDescent="0.3">
      <c r="A838" s="49">
        <v>45505</v>
      </c>
      <c r="D838" t="s">
        <v>7370</v>
      </c>
      <c r="E838">
        <v>1</v>
      </c>
      <c r="F838" t="str">
        <f t="shared" si="53"/>
        <v>may</v>
      </c>
      <c r="G838">
        <v>20</v>
      </c>
      <c r="H838">
        <v>24</v>
      </c>
      <c r="I838" t="str">
        <f t="shared" si="52"/>
        <v>1-may-2024</v>
      </c>
      <c r="K838" s="49">
        <f t="shared" si="54"/>
        <v>45413</v>
      </c>
      <c r="M838" t="b">
        <f t="shared" si="55"/>
        <v>1</v>
      </c>
    </row>
    <row r="839" spans="1:13" x14ac:dyDescent="0.3">
      <c r="A839" s="49">
        <v>45505</v>
      </c>
      <c r="D839" t="s">
        <v>7370</v>
      </c>
      <c r="E839">
        <v>1</v>
      </c>
      <c r="F839" t="str">
        <f t="shared" si="53"/>
        <v>may</v>
      </c>
      <c r="G839">
        <v>20</v>
      </c>
      <c r="H839">
        <v>24</v>
      </c>
      <c r="I839" t="str">
        <f t="shared" si="52"/>
        <v>1-may-2024</v>
      </c>
      <c r="K839" s="49">
        <f t="shared" si="54"/>
        <v>45413</v>
      </c>
      <c r="M839" t="b">
        <f t="shared" si="55"/>
        <v>1</v>
      </c>
    </row>
    <row r="840" spans="1:13" x14ac:dyDescent="0.3">
      <c r="A840" s="49">
        <v>45505</v>
      </c>
      <c r="D840" t="s">
        <v>7370</v>
      </c>
      <c r="E840">
        <v>1</v>
      </c>
      <c r="F840" t="str">
        <f t="shared" si="53"/>
        <v>may</v>
      </c>
      <c r="G840">
        <v>20</v>
      </c>
      <c r="H840">
        <v>24</v>
      </c>
      <c r="I840" t="str">
        <f t="shared" si="52"/>
        <v>1-may-2024</v>
      </c>
      <c r="K840" s="49">
        <f t="shared" si="54"/>
        <v>45413</v>
      </c>
      <c r="M840" t="b">
        <f t="shared" si="55"/>
        <v>1</v>
      </c>
    </row>
    <row r="841" spans="1:13" x14ac:dyDescent="0.3">
      <c r="A841" s="49">
        <v>45505</v>
      </c>
      <c r="D841" t="s">
        <v>7370</v>
      </c>
      <c r="E841">
        <v>1</v>
      </c>
      <c r="F841" t="str">
        <f t="shared" si="53"/>
        <v>may</v>
      </c>
      <c r="G841">
        <v>20</v>
      </c>
      <c r="H841">
        <v>24</v>
      </c>
      <c r="I841" t="str">
        <f t="shared" si="52"/>
        <v>1-may-2024</v>
      </c>
      <c r="K841" s="49">
        <f t="shared" si="54"/>
        <v>45413</v>
      </c>
      <c r="M841" t="b">
        <f t="shared" si="55"/>
        <v>1</v>
      </c>
    </row>
    <row r="842" spans="1:13" x14ac:dyDescent="0.3">
      <c r="A842" s="49">
        <v>45505</v>
      </c>
      <c r="D842" t="s">
        <v>7359</v>
      </c>
      <c r="E842">
        <v>1</v>
      </c>
      <c r="F842" t="str">
        <f t="shared" si="53"/>
        <v>jul</v>
      </c>
      <c r="G842">
        <v>20</v>
      </c>
      <c r="H842">
        <v>24</v>
      </c>
      <c r="I842" t="str">
        <f t="shared" si="52"/>
        <v>1-jul-2024</v>
      </c>
      <c r="K842" s="49">
        <f t="shared" si="54"/>
        <v>45474</v>
      </c>
      <c r="M842" t="b">
        <f t="shared" si="55"/>
        <v>1</v>
      </c>
    </row>
    <row r="843" spans="1:13" x14ac:dyDescent="0.3">
      <c r="A843" s="49">
        <v>45505</v>
      </c>
      <c r="D843" t="s">
        <v>7359</v>
      </c>
      <c r="E843">
        <v>1</v>
      </c>
      <c r="F843" t="str">
        <f t="shared" si="53"/>
        <v>jul</v>
      </c>
      <c r="G843">
        <v>20</v>
      </c>
      <c r="H843">
        <v>24</v>
      </c>
      <c r="I843" t="str">
        <f t="shared" si="52"/>
        <v>1-jul-2024</v>
      </c>
      <c r="K843" s="49">
        <f t="shared" si="54"/>
        <v>45474</v>
      </c>
      <c r="M843" t="b">
        <f t="shared" si="55"/>
        <v>1</v>
      </c>
    </row>
    <row r="844" spans="1:13" x14ac:dyDescent="0.3">
      <c r="A844" s="49">
        <v>45505</v>
      </c>
      <c r="D844" t="s">
        <v>7359</v>
      </c>
      <c r="E844">
        <v>1</v>
      </c>
      <c r="F844" t="str">
        <f t="shared" si="53"/>
        <v>jul</v>
      </c>
      <c r="G844">
        <v>20</v>
      </c>
      <c r="H844">
        <v>24</v>
      </c>
      <c r="I844" t="str">
        <f t="shared" si="52"/>
        <v>1-jul-2024</v>
      </c>
      <c r="K844" s="49">
        <f t="shared" si="54"/>
        <v>45474</v>
      </c>
      <c r="M844" t="b">
        <f t="shared" si="55"/>
        <v>1</v>
      </c>
    </row>
    <row r="845" spans="1:13" x14ac:dyDescent="0.3">
      <c r="A845" s="49">
        <v>45505</v>
      </c>
      <c r="D845" t="s">
        <v>7359</v>
      </c>
      <c r="E845">
        <v>1</v>
      </c>
      <c r="F845" t="str">
        <f t="shared" si="53"/>
        <v>jul</v>
      </c>
      <c r="G845">
        <v>20</v>
      </c>
      <c r="H845">
        <v>24</v>
      </c>
      <c r="I845" t="str">
        <f t="shared" si="52"/>
        <v>1-jul-2024</v>
      </c>
      <c r="K845" s="49">
        <f t="shared" si="54"/>
        <v>45474</v>
      </c>
      <c r="M845" t="b">
        <f t="shared" si="55"/>
        <v>1</v>
      </c>
    </row>
    <row r="846" spans="1:13" x14ac:dyDescent="0.3">
      <c r="A846" s="49">
        <v>45505</v>
      </c>
      <c r="D846" t="s">
        <v>7359</v>
      </c>
      <c r="E846">
        <v>1</v>
      </c>
      <c r="F846" t="str">
        <f t="shared" si="53"/>
        <v>jul</v>
      </c>
      <c r="G846">
        <v>20</v>
      </c>
      <c r="H846">
        <v>24</v>
      </c>
      <c r="I846" t="str">
        <f t="shared" si="52"/>
        <v>1-jul-2024</v>
      </c>
      <c r="K846" s="49">
        <f t="shared" si="54"/>
        <v>45474</v>
      </c>
      <c r="M846" t="b">
        <f t="shared" si="55"/>
        <v>1</v>
      </c>
    </row>
    <row r="847" spans="1:13" x14ac:dyDescent="0.3">
      <c r="A847" s="49">
        <v>45505</v>
      </c>
      <c r="D847" t="s">
        <v>7359</v>
      </c>
      <c r="E847">
        <v>1</v>
      </c>
      <c r="F847" t="str">
        <f t="shared" si="53"/>
        <v>jul</v>
      </c>
      <c r="G847">
        <v>20</v>
      </c>
      <c r="H847">
        <v>24</v>
      </c>
      <c r="I847" t="str">
        <f t="shared" si="52"/>
        <v>1-jul-2024</v>
      </c>
      <c r="K847" s="49">
        <f t="shared" si="54"/>
        <v>45474</v>
      </c>
      <c r="M847" t="b">
        <f t="shared" si="55"/>
        <v>1</v>
      </c>
    </row>
    <row r="848" spans="1:13" x14ac:dyDescent="0.3">
      <c r="A848" s="49">
        <v>45505</v>
      </c>
      <c r="D848" t="s">
        <v>7359</v>
      </c>
      <c r="E848">
        <v>1</v>
      </c>
      <c r="F848" t="str">
        <f t="shared" si="53"/>
        <v>jul</v>
      </c>
      <c r="G848">
        <v>20</v>
      </c>
      <c r="H848">
        <v>24</v>
      </c>
      <c r="I848" t="str">
        <f t="shared" si="52"/>
        <v>1-jul-2024</v>
      </c>
      <c r="K848" s="49">
        <f t="shared" si="54"/>
        <v>45474</v>
      </c>
      <c r="M848" t="b">
        <f t="shared" si="55"/>
        <v>1</v>
      </c>
    </row>
    <row r="849" spans="1:13" x14ac:dyDescent="0.3">
      <c r="A849" s="49">
        <v>45505</v>
      </c>
      <c r="D849" t="s">
        <v>7359</v>
      </c>
      <c r="E849">
        <v>1</v>
      </c>
      <c r="F849" t="str">
        <f t="shared" si="53"/>
        <v>jul</v>
      </c>
      <c r="G849">
        <v>20</v>
      </c>
      <c r="H849">
        <v>24</v>
      </c>
      <c r="I849" t="str">
        <f t="shared" si="52"/>
        <v>1-jul-2024</v>
      </c>
      <c r="K849" s="49">
        <f t="shared" si="54"/>
        <v>45474</v>
      </c>
      <c r="M849" t="b">
        <f t="shared" si="55"/>
        <v>1</v>
      </c>
    </row>
    <row r="850" spans="1:13" x14ac:dyDescent="0.3">
      <c r="A850" s="49">
        <v>45505</v>
      </c>
      <c r="D850" t="s">
        <v>7359</v>
      </c>
      <c r="E850">
        <v>1</v>
      </c>
      <c r="F850" t="str">
        <f t="shared" si="53"/>
        <v>jul</v>
      </c>
      <c r="G850">
        <v>20</v>
      </c>
      <c r="H850">
        <v>24</v>
      </c>
      <c r="I850" t="str">
        <f t="shared" si="52"/>
        <v>1-jul-2024</v>
      </c>
      <c r="K850" s="49">
        <f t="shared" si="54"/>
        <v>45474</v>
      </c>
      <c r="M850" t="b">
        <f t="shared" si="55"/>
        <v>1</v>
      </c>
    </row>
    <row r="851" spans="1:13" x14ac:dyDescent="0.3">
      <c r="A851" s="49">
        <v>45505</v>
      </c>
      <c r="D851" t="s">
        <v>7367</v>
      </c>
      <c r="E851">
        <v>1</v>
      </c>
      <c r="F851" t="str">
        <f t="shared" si="53"/>
        <v>jun</v>
      </c>
      <c r="G851">
        <v>20</v>
      </c>
      <c r="H851">
        <v>24</v>
      </c>
      <c r="I851" t="str">
        <f t="shared" si="52"/>
        <v>1-jun-2024</v>
      </c>
      <c r="K851" s="49">
        <f t="shared" si="54"/>
        <v>45444</v>
      </c>
      <c r="M851" t="b">
        <f t="shared" si="55"/>
        <v>1</v>
      </c>
    </row>
    <row r="852" spans="1:13" x14ac:dyDescent="0.3">
      <c r="A852" s="49">
        <v>45505</v>
      </c>
      <c r="D852" t="s">
        <v>7369</v>
      </c>
      <c r="E852">
        <v>1</v>
      </c>
      <c r="F852" t="str">
        <f t="shared" si="53"/>
        <v>abr</v>
      </c>
      <c r="G852">
        <v>20</v>
      </c>
      <c r="H852">
        <v>23</v>
      </c>
      <c r="I852" t="str">
        <f t="shared" si="52"/>
        <v>1-abr-2023</v>
      </c>
      <c r="K852" s="49">
        <f t="shared" si="54"/>
        <v>45017</v>
      </c>
      <c r="M852" t="b">
        <f t="shared" si="55"/>
        <v>1</v>
      </c>
    </row>
    <row r="853" spans="1:13" x14ac:dyDescent="0.3">
      <c r="A853" s="49">
        <v>45505</v>
      </c>
      <c r="D853" t="s">
        <v>7356</v>
      </c>
      <c r="E853">
        <v>1</v>
      </c>
      <c r="F853" t="str">
        <f t="shared" si="53"/>
        <v>ene</v>
      </c>
      <c r="G853">
        <v>20</v>
      </c>
      <c r="H853">
        <v>24</v>
      </c>
      <c r="I853" t="str">
        <f t="shared" si="52"/>
        <v>1-ene-2024</v>
      </c>
      <c r="K853" s="49">
        <f t="shared" si="54"/>
        <v>45292</v>
      </c>
      <c r="M853" t="b">
        <f t="shared" si="55"/>
        <v>1</v>
      </c>
    </row>
    <row r="854" spans="1:13" x14ac:dyDescent="0.3">
      <c r="A854" s="49">
        <v>45505</v>
      </c>
      <c r="D854" t="s">
        <v>7357</v>
      </c>
      <c r="E854">
        <v>1</v>
      </c>
      <c r="F854" t="str">
        <f t="shared" si="53"/>
        <v>oct</v>
      </c>
      <c r="G854">
        <v>20</v>
      </c>
      <c r="H854">
        <v>23</v>
      </c>
      <c r="I854" t="str">
        <f t="shared" si="52"/>
        <v>1-oct-2023</v>
      </c>
      <c r="K854" s="49">
        <f t="shared" si="54"/>
        <v>45200</v>
      </c>
      <c r="M854" t="b">
        <f t="shared" si="55"/>
        <v>1</v>
      </c>
    </row>
    <row r="855" spans="1:13" x14ac:dyDescent="0.3">
      <c r="A855" s="49">
        <v>45505</v>
      </c>
      <c r="D855" t="s">
        <v>7368</v>
      </c>
      <c r="E855">
        <v>1</v>
      </c>
      <c r="F855" t="str">
        <f t="shared" si="53"/>
        <v>mar</v>
      </c>
      <c r="G855">
        <v>20</v>
      </c>
      <c r="H855">
        <v>24</v>
      </c>
      <c r="I855" t="str">
        <f t="shared" si="52"/>
        <v>1-mar-2024</v>
      </c>
      <c r="K855" s="49">
        <f t="shared" si="54"/>
        <v>45352</v>
      </c>
      <c r="M855" t="b">
        <f t="shared" si="55"/>
        <v>1</v>
      </c>
    </row>
    <row r="856" spans="1:13" x14ac:dyDescent="0.3">
      <c r="A856" s="49">
        <v>45505</v>
      </c>
      <c r="D856" t="s">
        <v>7362</v>
      </c>
      <c r="E856">
        <v>1</v>
      </c>
      <c r="F856" t="str">
        <f t="shared" si="53"/>
        <v>ago</v>
      </c>
      <c r="G856">
        <v>20</v>
      </c>
      <c r="H856">
        <v>23</v>
      </c>
      <c r="I856" t="str">
        <f t="shared" si="52"/>
        <v>1-ago-2023</v>
      </c>
      <c r="K856" s="49">
        <f t="shared" si="54"/>
        <v>45139</v>
      </c>
      <c r="M856" t="b">
        <f t="shared" si="55"/>
        <v>1</v>
      </c>
    </row>
    <row r="857" spans="1:13" x14ac:dyDescent="0.3">
      <c r="A857" s="49">
        <v>45505</v>
      </c>
      <c r="D857" t="s">
        <v>7370</v>
      </c>
      <c r="E857">
        <v>1</v>
      </c>
      <c r="F857" t="str">
        <f t="shared" si="53"/>
        <v>may</v>
      </c>
      <c r="G857">
        <v>20</v>
      </c>
      <c r="H857">
        <v>24</v>
      </c>
      <c r="I857" t="str">
        <f t="shared" si="52"/>
        <v>1-may-2024</v>
      </c>
      <c r="K857" s="49">
        <f t="shared" si="54"/>
        <v>45413</v>
      </c>
      <c r="M857" t="b">
        <f t="shared" si="55"/>
        <v>1</v>
      </c>
    </row>
    <row r="858" spans="1:13" x14ac:dyDescent="0.3">
      <c r="A858" s="49">
        <v>45352</v>
      </c>
      <c r="D858" t="s">
        <v>7359</v>
      </c>
      <c r="E858">
        <v>1</v>
      </c>
      <c r="F858" t="str">
        <f t="shared" si="53"/>
        <v>jul</v>
      </c>
      <c r="G858">
        <v>20</v>
      </c>
      <c r="H858">
        <v>23</v>
      </c>
      <c r="I858" t="str">
        <f t="shared" si="52"/>
        <v>1-jul-2023</v>
      </c>
      <c r="K858" s="49">
        <f t="shared" si="54"/>
        <v>45108</v>
      </c>
      <c r="M858" t="b">
        <f t="shared" si="55"/>
        <v>1</v>
      </c>
    </row>
    <row r="859" spans="1:13" x14ac:dyDescent="0.3">
      <c r="A859" s="49">
        <v>45352</v>
      </c>
      <c r="D859" t="s">
        <v>7369</v>
      </c>
      <c r="E859">
        <v>1</v>
      </c>
      <c r="F859" t="str">
        <f t="shared" si="53"/>
        <v>abr</v>
      </c>
      <c r="G859">
        <v>20</v>
      </c>
      <c r="H859">
        <v>20</v>
      </c>
      <c r="I859" t="str">
        <f t="shared" si="52"/>
        <v>1-abr-2020</v>
      </c>
      <c r="K859" s="49">
        <f t="shared" si="54"/>
        <v>43922</v>
      </c>
      <c r="M859" t="b">
        <f t="shared" si="55"/>
        <v>1</v>
      </c>
    </row>
    <row r="860" spans="1:13" x14ac:dyDescent="0.3">
      <c r="A860" s="49">
        <v>45352</v>
      </c>
      <c r="D860" t="s">
        <v>7367</v>
      </c>
      <c r="E860">
        <v>1</v>
      </c>
      <c r="F860" t="str">
        <f t="shared" si="53"/>
        <v>jun</v>
      </c>
      <c r="G860">
        <v>20</v>
      </c>
      <c r="H860">
        <v>22</v>
      </c>
      <c r="I860" t="str">
        <f t="shared" si="52"/>
        <v>1-jun-2022</v>
      </c>
      <c r="K860" s="49">
        <f t="shared" si="54"/>
        <v>44713</v>
      </c>
      <c r="M860" t="b">
        <f t="shared" si="55"/>
        <v>1</v>
      </c>
    </row>
    <row r="861" spans="1:13" x14ac:dyDescent="0.3">
      <c r="A861" s="49">
        <v>45352</v>
      </c>
      <c r="D861" t="s">
        <v>7367</v>
      </c>
      <c r="E861">
        <v>1</v>
      </c>
      <c r="F861" t="str">
        <f t="shared" si="53"/>
        <v>jun</v>
      </c>
      <c r="G861">
        <v>20</v>
      </c>
      <c r="H861">
        <v>24</v>
      </c>
      <c r="I861" t="str">
        <f t="shared" si="52"/>
        <v>1-jun-2024</v>
      </c>
      <c r="K861" s="49">
        <f t="shared" si="54"/>
        <v>45444</v>
      </c>
      <c r="M861" t="b">
        <f t="shared" si="55"/>
        <v>0</v>
      </c>
    </row>
    <row r="862" spans="1:13" x14ac:dyDescent="0.3">
      <c r="A862" s="49">
        <v>45352</v>
      </c>
      <c r="D862" t="s">
        <v>7369</v>
      </c>
      <c r="E862">
        <v>1</v>
      </c>
      <c r="F862" t="str">
        <f t="shared" si="53"/>
        <v>abr</v>
      </c>
      <c r="G862">
        <v>20</v>
      </c>
      <c r="H862">
        <v>22</v>
      </c>
      <c r="I862" t="str">
        <f t="shared" si="52"/>
        <v>1-abr-2022</v>
      </c>
      <c r="K862" s="49">
        <f t="shared" si="54"/>
        <v>44652</v>
      </c>
      <c r="M862" t="b">
        <f t="shared" si="55"/>
        <v>1</v>
      </c>
    </row>
    <row r="863" spans="1:13" x14ac:dyDescent="0.3">
      <c r="A863" s="49">
        <v>45352</v>
      </c>
      <c r="D863" t="s">
        <v>7367</v>
      </c>
      <c r="E863">
        <v>1</v>
      </c>
      <c r="F863" t="str">
        <f t="shared" si="53"/>
        <v>jun</v>
      </c>
      <c r="G863">
        <v>20</v>
      </c>
      <c r="H863">
        <v>22</v>
      </c>
      <c r="I863" t="str">
        <f t="shared" si="52"/>
        <v>1-jun-2022</v>
      </c>
      <c r="K863" s="49">
        <f t="shared" si="54"/>
        <v>44713</v>
      </c>
      <c r="M863" t="b">
        <f t="shared" si="55"/>
        <v>1</v>
      </c>
    </row>
    <row r="864" spans="1:13" x14ac:dyDescent="0.3">
      <c r="A864" s="49">
        <v>45352</v>
      </c>
      <c r="D864" t="s">
        <v>7355</v>
      </c>
      <c r="E864">
        <v>1</v>
      </c>
      <c r="F864" t="str">
        <f t="shared" si="53"/>
        <v>sep</v>
      </c>
      <c r="G864">
        <v>20</v>
      </c>
      <c r="H864">
        <v>21</v>
      </c>
      <c r="I864" t="str">
        <f t="shared" si="52"/>
        <v>1-sep-2021</v>
      </c>
      <c r="K864" s="49">
        <f t="shared" si="54"/>
        <v>44440</v>
      </c>
      <c r="M864" t="b">
        <f t="shared" si="55"/>
        <v>1</v>
      </c>
    </row>
    <row r="865" spans="1:13" x14ac:dyDescent="0.3">
      <c r="A865" s="49">
        <v>45352</v>
      </c>
      <c r="D865" t="s">
        <v>7376</v>
      </c>
      <c r="E865">
        <v>1</v>
      </c>
      <c r="F865" t="str">
        <f t="shared" si="53"/>
        <v>sep</v>
      </c>
      <c r="G865">
        <v>20</v>
      </c>
      <c r="H865">
        <v>22</v>
      </c>
      <c r="I865" t="str">
        <f t="shared" si="52"/>
        <v>1-sep-2022</v>
      </c>
      <c r="K865" s="49">
        <f t="shared" si="54"/>
        <v>44805</v>
      </c>
      <c r="M865" t="b">
        <f t="shared" si="55"/>
        <v>1</v>
      </c>
    </row>
    <row r="866" spans="1:13" x14ac:dyDescent="0.3">
      <c r="A866" s="49">
        <v>45352</v>
      </c>
      <c r="D866" t="s">
        <v>7369</v>
      </c>
      <c r="E866">
        <v>1</v>
      </c>
      <c r="F866" t="str">
        <f t="shared" si="53"/>
        <v>abr</v>
      </c>
      <c r="G866">
        <v>20</v>
      </c>
      <c r="H866">
        <v>23</v>
      </c>
      <c r="I866" t="str">
        <f t="shared" si="52"/>
        <v>1-abr-2023</v>
      </c>
      <c r="K866" s="49">
        <f t="shared" si="54"/>
        <v>45017</v>
      </c>
      <c r="M866" t="b">
        <f t="shared" si="55"/>
        <v>1</v>
      </c>
    </row>
    <row r="867" spans="1:13" x14ac:dyDescent="0.3">
      <c r="A867" s="49">
        <v>45352</v>
      </c>
      <c r="D867" t="s">
        <v>7360</v>
      </c>
      <c r="E867">
        <v>1</v>
      </c>
      <c r="F867" t="str">
        <f t="shared" si="53"/>
        <v>nov</v>
      </c>
      <c r="G867">
        <v>20</v>
      </c>
      <c r="H867">
        <v>22</v>
      </c>
      <c r="I867" t="str">
        <f t="shared" si="52"/>
        <v>1-nov-2022</v>
      </c>
      <c r="K867" s="49">
        <f t="shared" si="54"/>
        <v>44866</v>
      </c>
      <c r="M867" t="b">
        <f t="shared" si="55"/>
        <v>1</v>
      </c>
    </row>
    <row r="868" spans="1:13" x14ac:dyDescent="0.3">
      <c r="A868" s="49">
        <v>45352</v>
      </c>
      <c r="D868" t="s">
        <v>7368</v>
      </c>
      <c r="E868">
        <v>1</v>
      </c>
      <c r="F868" t="str">
        <f t="shared" si="53"/>
        <v>mar</v>
      </c>
      <c r="G868">
        <v>20</v>
      </c>
      <c r="H868">
        <v>22</v>
      </c>
      <c r="I868" t="str">
        <f t="shared" si="52"/>
        <v>1-mar-2022</v>
      </c>
      <c r="K868" s="49">
        <f t="shared" si="54"/>
        <v>44621</v>
      </c>
      <c r="M868" t="b">
        <f t="shared" si="55"/>
        <v>1</v>
      </c>
    </row>
    <row r="869" spans="1:13" x14ac:dyDescent="0.3">
      <c r="A869" s="49">
        <v>45352</v>
      </c>
      <c r="D869" t="s">
        <v>7360</v>
      </c>
      <c r="E869">
        <v>1</v>
      </c>
      <c r="F869" t="str">
        <f t="shared" si="53"/>
        <v>nov</v>
      </c>
      <c r="G869">
        <v>20</v>
      </c>
      <c r="H869">
        <v>24</v>
      </c>
      <c r="I869" t="str">
        <f t="shared" si="52"/>
        <v>1-nov-2024</v>
      </c>
      <c r="K869" s="49">
        <f t="shared" si="54"/>
        <v>45597</v>
      </c>
      <c r="M869" t="b">
        <f t="shared" si="55"/>
        <v>0</v>
      </c>
    </row>
    <row r="870" spans="1:13" x14ac:dyDescent="0.3">
      <c r="A870" s="49">
        <v>45352</v>
      </c>
      <c r="D870" t="s">
        <v>7369</v>
      </c>
      <c r="E870">
        <v>1</v>
      </c>
      <c r="F870" t="str">
        <f t="shared" si="53"/>
        <v>abr</v>
      </c>
      <c r="G870">
        <v>20</v>
      </c>
      <c r="H870">
        <v>25</v>
      </c>
      <c r="I870" t="str">
        <f t="shared" si="52"/>
        <v>1-abr-2025</v>
      </c>
      <c r="K870" s="49">
        <f t="shared" si="54"/>
        <v>45748</v>
      </c>
      <c r="M870" t="b">
        <f t="shared" si="55"/>
        <v>0</v>
      </c>
    </row>
    <row r="871" spans="1:13" x14ac:dyDescent="0.3">
      <c r="A871" s="49">
        <v>45352</v>
      </c>
      <c r="D871" t="s">
        <v>7359</v>
      </c>
      <c r="E871">
        <v>1</v>
      </c>
      <c r="F871" t="str">
        <f t="shared" si="53"/>
        <v>jul</v>
      </c>
      <c r="G871">
        <v>20</v>
      </c>
      <c r="H871">
        <v>22</v>
      </c>
      <c r="I871" t="str">
        <f t="shared" si="52"/>
        <v>1-jul-2022</v>
      </c>
      <c r="K871" s="49">
        <f t="shared" si="54"/>
        <v>44743</v>
      </c>
      <c r="M871" t="b">
        <f t="shared" si="55"/>
        <v>1</v>
      </c>
    </row>
    <row r="872" spans="1:13" x14ac:dyDescent="0.3">
      <c r="A872" s="49">
        <v>45352</v>
      </c>
      <c r="D872" t="s">
        <v>7363</v>
      </c>
      <c r="E872">
        <v>1</v>
      </c>
      <c r="F872" t="str">
        <f t="shared" si="53"/>
        <v>feb</v>
      </c>
      <c r="G872">
        <v>20</v>
      </c>
      <c r="H872">
        <v>24</v>
      </c>
      <c r="I872" t="str">
        <f t="shared" si="52"/>
        <v>1-feb-2024</v>
      </c>
      <c r="K872" s="49">
        <f t="shared" si="54"/>
        <v>45323</v>
      </c>
      <c r="M872" t="b">
        <f t="shared" si="55"/>
        <v>1</v>
      </c>
    </row>
    <row r="873" spans="1:13" x14ac:dyDescent="0.3">
      <c r="A873" s="49">
        <v>45352</v>
      </c>
      <c r="D873" t="s">
        <v>7363</v>
      </c>
      <c r="E873">
        <v>1</v>
      </c>
      <c r="F873" t="str">
        <f t="shared" si="53"/>
        <v>feb</v>
      </c>
      <c r="G873">
        <v>20</v>
      </c>
      <c r="H873">
        <v>24</v>
      </c>
      <c r="I873" t="str">
        <f t="shared" si="52"/>
        <v>1-feb-2024</v>
      </c>
      <c r="K873" s="49">
        <f t="shared" si="54"/>
        <v>45323</v>
      </c>
      <c r="M873" t="b">
        <f t="shared" si="55"/>
        <v>1</v>
      </c>
    </row>
    <row r="874" spans="1:13" x14ac:dyDescent="0.3">
      <c r="A874" s="49">
        <v>45352</v>
      </c>
      <c r="D874" t="s">
        <v>7356</v>
      </c>
      <c r="E874">
        <v>1</v>
      </c>
      <c r="F874" t="str">
        <f t="shared" si="53"/>
        <v>ene</v>
      </c>
      <c r="G874">
        <v>20</v>
      </c>
      <c r="H874">
        <v>26</v>
      </c>
      <c r="I874" t="str">
        <f t="shared" si="52"/>
        <v>1-ene-2026</v>
      </c>
      <c r="K874" s="49">
        <f t="shared" si="54"/>
        <v>46023</v>
      </c>
      <c r="M874" t="b">
        <f t="shared" si="55"/>
        <v>0</v>
      </c>
    </row>
    <row r="875" spans="1:13" x14ac:dyDescent="0.3">
      <c r="A875" s="49">
        <v>45352</v>
      </c>
      <c r="D875" t="s">
        <v>7363</v>
      </c>
      <c r="E875">
        <v>1</v>
      </c>
      <c r="F875" t="str">
        <f t="shared" si="53"/>
        <v>feb</v>
      </c>
      <c r="G875">
        <v>20</v>
      </c>
      <c r="H875">
        <v>24</v>
      </c>
      <c r="I875" t="str">
        <f t="shared" si="52"/>
        <v>1-feb-2024</v>
      </c>
      <c r="K875" s="49">
        <f t="shared" si="54"/>
        <v>45323</v>
      </c>
      <c r="M875" t="b">
        <f t="shared" si="55"/>
        <v>1</v>
      </c>
    </row>
    <row r="876" spans="1:13" x14ac:dyDescent="0.3">
      <c r="A876" s="49">
        <v>45352</v>
      </c>
      <c r="D876" t="s">
        <v>7357</v>
      </c>
      <c r="E876">
        <v>1</v>
      </c>
      <c r="F876" t="str">
        <f t="shared" si="53"/>
        <v>oct</v>
      </c>
      <c r="G876">
        <v>20</v>
      </c>
      <c r="H876">
        <v>22</v>
      </c>
      <c r="I876" t="str">
        <f t="shared" si="52"/>
        <v>1-oct-2022</v>
      </c>
      <c r="K876" s="49">
        <f t="shared" si="54"/>
        <v>44835</v>
      </c>
      <c r="M876" t="b">
        <f t="shared" si="55"/>
        <v>1</v>
      </c>
    </row>
    <row r="877" spans="1:13" x14ac:dyDescent="0.3">
      <c r="A877" s="49">
        <v>45352</v>
      </c>
      <c r="D877" t="s">
        <v>7355</v>
      </c>
      <c r="E877">
        <v>1</v>
      </c>
      <c r="F877" t="str">
        <f t="shared" si="53"/>
        <v>sep</v>
      </c>
      <c r="G877">
        <v>20</v>
      </c>
      <c r="H877">
        <v>18</v>
      </c>
      <c r="I877" t="str">
        <f t="shared" si="52"/>
        <v>1-sep-2018</v>
      </c>
      <c r="K877" s="49">
        <f t="shared" si="54"/>
        <v>43344</v>
      </c>
      <c r="M877" t="b">
        <f t="shared" si="55"/>
        <v>1</v>
      </c>
    </row>
    <row r="878" spans="1:13" x14ac:dyDescent="0.3">
      <c r="A878" s="49">
        <v>45352</v>
      </c>
      <c r="D878" t="s">
        <v>7369</v>
      </c>
      <c r="E878">
        <v>1</v>
      </c>
      <c r="F878" t="str">
        <f t="shared" si="53"/>
        <v>abr</v>
      </c>
      <c r="G878">
        <v>20</v>
      </c>
      <c r="H878">
        <v>22</v>
      </c>
      <c r="I878" t="str">
        <f t="shared" si="52"/>
        <v>1-abr-2022</v>
      </c>
      <c r="K878" s="49">
        <f t="shared" si="54"/>
        <v>44652</v>
      </c>
      <c r="M878" t="b">
        <f t="shared" si="55"/>
        <v>1</v>
      </c>
    </row>
    <row r="879" spans="1:13" x14ac:dyDescent="0.3">
      <c r="A879" s="49">
        <v>45352</v>
      </c>
      <c r="D879" t="s">
        <v>7355</v>
      </c>
      <c r="E879">
        <v>1</v>
      </c>
      <c r="F879" t="str">
        <f t="shared" si="53"/>
        <v>sep</v>
      </c>
      <c r="G879">
        <v>20</v>
      </c>
      <c r="H879">
        <v>23</v>
      </c>
      <c r="I879" t="str">
        <f t="shared" si="52"/>
        <v>1-sep-2023</v>
      </c>
      <c r="K879" s="49">
        <f t="shared" si="54"/>
        <v>45170</v>
      </c>
      <c r="M879" t="b">
        <f t="shared" si="55"/>
        <v>1</v>
      </c>
    </row>
    <row r="880" spans="1:13" x14ac:dyDescent="0.3">
      <c r="A880" s="49">
        <v>45352</v>
      </c>
      <c r="D880" t="s">
        <v>7369</v>
      </c>
      <c r="E880">
        <v>1</v>
      </c>
      <c r="F880" t="str">
        <f t="shared" si="53"/>
        <v>abr</v>
      </c>
      <c r="G880">
        <v>20</v>
      </c>
      <c r="H880">
        <v>23</v>
      </c>
      <c r="I880" t="str">
        <f t="shared" si="52"/>
        <v>1-abr-2023</v>
      </c>
      <c r="K880" s="49">
        <f t="shared" si="54"/>
        <v>45017</v>
      </c>
      <c r="M880" t="b">
        <f t="shared" si="55"/>
        <v>1</v>
      </c>
    </row>
    <row r="881" spans="1:13" x14ac:dyDescent="0.3">
      <c r="A881" s="49">
        <v>45352</v>
      </c>
      <c r="D881" t="s">
        <v>7360</v>
      </c>
      <c r="E881">
        <v>1</v>
      </c>
      <c r="F881" t="str">
        <f t="shared" si="53"/>
        <v>nov</v>
      </c>
      <c r="G881">
        <v>20</v>
      </c>
      <c r="H881">
        <v>23</v>
      </c>
      <c r="I881" t="str">
        <f t="shared" si="52"/>
        <v>1-nov-2023</v>
      </c>
      <c r="K881" s="49">
        <f t="shared" si="54"/>
        <v>45231</v>
      </c>
      <c r="M881" t="b">
        <f t="shared" si="55"/>
        <v>1</v>
      </c>
    </row>
    <row r="882" spans="1:13" x14ac:dyDescent="0.3">
      <c r="A882" s="49">
        <v>45352</v>
      </c>
      <c r="D882" t="s">
        <v>7355</v>
      </c>
      <c r="E882">
        <v>1</v>
      </c>
      <c r="F882" t="str">
        <f t="shared" si="53"/>
        <v>sep</v>
      </c>
      <c r="G882">
        <v>20</v>
      </c>
      <c r="H882">
        <v>21</v>
      </c>
      <c r="I882" t="str">
        <f t="shared" si="52"/>
        <v>1-sep-2021</v>
      </c>
      <c r="K882" s="49">
        <f t="shared" si="54"/>
        <v>44440</v>
      </c>
      <c r="M882" t="b">
        <f t="shared" si="55"/>
        <v>1</v>
      </c>
    </row>
    <row r="883" spans="1:13" x14ac:dyDescent="0.3">
      <c r="A883" s="49">
        <v>45352</v>
      </c>
      <c r="D883" t="s">
        <v>7356</v>
      </c>
      <c r="E883">
        <v>1</v>
      </c>
      <c r="F883" t="str">
        <f t="shared" si="53"/>
        <v>ene</v>
      </c>
      <c r="G883">
        <v>20</v>
      </c>
      <c r="H883">
        <v>23</v>
      </c>
      <c r="I883" t="str">
        <f t="shared" si="52"/>
        <v>1-ene-2023</v>
      </c>
      <c r="K883" s="49">
        <f t="shared" si="54"/>
        <v>44927</v>
      </c>
      <c r="M883" t="b">
        <f t="shared" si="55"/>
        <v>1</v>
      </c>
    </row>
    <row r="884" spans="1:13" x14ac:dyDescent="0.3">
      <c r="A884" s="49">
        <v>45352</v>
      </c>
      <c r="D884" t="s">
        <v>7359</v>
      </c>
      <c r="E884">
        <v>1</v>
      </c>
      <c r="F884" t="str">
        <f t="shared" si="53"/>
        <v>jul</v>
      </c>
      <c r="G884">
        <v>20</v>
      </c>
      <c r="H884">
        <v>22</v>
      </c>
      <c r="I884" t="str">
        <f t="shared" si="52"/>
        <v>1-jul-2022</v>
      </c>
      <c r="K884" s="49">
        <f t="shared" si="54"/>
        <v>44743</v>
      </c>
      <c r="M884" t="b">
        <f t="shared" si="55"/>
        <v>1</v>
      </c>
    </row>
    <row r="885" spans="1:13" x14ac:dyDescent="0.3">
      <c r="A885" s="49">
        <v>45352</v>
      </c>
      <c r="D885" t="s">
        <v>7363</v>
      </c>
      <c r="E885">
        <v>1</v>
      </c>
      <c r="F885" t="str">
        <f t="shared" si="53"/>
        <v>feb</v>
      </c>
      <c r="G885">
        <v>20</v>
      </c>
      <c r="H885">
        <v>24</v>
      </c>
      <c r="I885" t="str">
        <f t="shared" si="52"/>
        <v>1-feb-2024</v>
      </c>
      <c r="K885" s="49">
        <f t="shared" si="54"/>
        <v>45323</v>
      </c>
      <c r="M885" t="b">
        <f t="shared" si="55"/>
        <v>1</v>
      </c>
    </row>
    <row r="886" spans="1:13" x14ac:dyDescent="0.3">
      <c r="A886" s="49">
        <v>45352</v>
      </c>
      <c r="D886" t="s">
        <v>7362</v>
      </c>
      <c r="E886">
        <v>1</v>
      </c>
      <c r="F886" t="str">
        <f t="shared" si="53"/>
        <v>ago</v>
      </c>
      <c r="G886">
        <v>20</v>
      </c>
      <c r="H886">
        <v>22</v>
      </c>
      <c r="I886" t="str">
        <f t="shared" si="52"/>
        <v>1-ago-2022</v>
      </c>
      <c r="K886" s="49">
        <f t="shared" si="54"/>
        <v>44774</v>
      </c>
      <c r="M886" t="b">
        <f t="shared" si="55"/>
        <v>1</v>
      </c>
    </row>
    <row r="887" spans="1:13" x14ac:dyDescent="0.3">
      <c r="A887" s="49">
        <v>45352</v>
      </c>
      <c r="D887" t="s">
        <v>7368</v>
      </c>
      <c r="E887">
        <v>1</v>
      </c>
      <c r="F887" t="str">
        <f t="shared" si="53"/>
        <v>mar</v>
      </c>
      <c r="G887">
        <v>20</v>
      </c>
      <c r="H887">
        <v>24</v>
      </c>
      <c r="I887" t="str">
        <f t="shared" si="52"/>
        <v>1-mar-2024</v>
      </c>
      <c r="K887" s="49">
        <f t="shared" si="54"/>
        <v>45352</v>
      </c>
      <c r="M887" t="b">
        <f t="shared" si="55"/>
        <v>0</v>
      </c>
    </row>
    <row r="888" spans="1:13" x14ac:dyDescent="0.3">
      <c r="A888" s="49">
        <v>45352</v>
      </c>
      <c r="D888" t="s">
        <v>7357</v>
      </c>
      <c r="E888">
        <v>1</v>
      </c>
      <c r="F888" t="str">
        <f t="shared" si="53"/>
        <v>oct</v>
      </c>
      <c r="G888">
        <v>20</v>
      </c>
      <c r="H888">
        <v>21</v>
      </c>
      <c r="I888" t="str">
        <f t="shared" si="52"/>
        <v>1-oct-2021</v>
      </c>
      <c r="K888" s="49">
        <f t="shared" si="54"/>
        <v>44470</v>
      </c>
      <c r="M888" t="b">
        <f t="shared" si="55"/>
        <v>1</v>
      </c>
    </row>
    <row r="889" spans="1:13" x14ac:dyDescent="0.3">
      <c r="A889" s="49">
        <v>45352</v>
      </c>
      <c r="D889" t="s">
        <v>7360</v>
      </c>
      <c r="E889">
        <v>1</v>
      </c>
      <c r="F889" t="str">
        <f t="shared" si="53"/>
        <v>nov</v>
      </c>
      <c r="G889">
        <v>20</v>
      </c>
      <c r="H889">
        <v>23</v>
      </c>
      <c r="I889" t="str">
        <f t="shared" si="52"/>
        <v>1-nov-2023</v>
      </c>
      <c r="K889" s="49">
        <f t="shared" si="54"/>
        <v>45231</v>
      </c>
      <c r="M889" t="b">
        <f t="shared" si="55"/>
        <v>1</v>
      </c>
    </row>
    <row r="890" spans="1:13" x14ac:dyDescent="0.3">
      <c r="A890" s="49">
        <v>45352</v>
      </c>
      <c r="D890" t="s">
        <v>3586</v>
      </c>
      <c r="E890">
        <v>1</v>
      </c>
      <c r="F890" t="str">
        <f t="shared" si="53"/>
        <v>---</v>
      </c>
      <c r="G890">
        <v>20</v>
      </c>
      <c r="H890" t="s">
        <v>3911</v>
      </c>
      <c r="I890" t="str">
        <f t="shared" si="52"/>
        <v>1-----20--</v>
      </c>
      <c r="K890" s="49" t="e">
        <f t="shared" si="54"/>
        <v>#VALUE!</v>
      </c>
      <c r="M890" t="e">
        <f t="shared" si="55"/>
        <v>#VALUE!</v>
      </c>
    </row>
    <row r="891" spans="1:13" x14ac:dyDescent="0.3">
      <c r="A891" s="49">
        <v>45352</v>
      </c>
      <c r="D891" t="s">
        <v>7367</v>
      </c>
      <c r="E891">
        <v>1</v>
      </c>
      <c r="F891" t="str">
        <f t="shared" si="53"/>
        <v>jun</v>
      </c>
      <c r="G891">
        <v>20</v>
      </c>
      <c r="H891">
        <v>23</v>
      </c>
      <c r="I891" t="str">
        <f t="shared" si="52"/>
        <v>1-jun-2023</v>
      </c>
      <c r="K891" s="49">
        <f t="shared" si="54"/>
        <v>45078</v>
      </c>
      <c r="M891" t="b">
        <f t="shared" si="55"/>
        <v>1</v>
      </c>
    </row>
    <row r="892" spans="1:13" x14ac:dyDescent="0.3">
      <c r="A892" s="49">
        <v>45352</v>
      </c>
      <c r="D892" t="s">
        <v>7362</v>
      </c>
      <c r="E892">
        <v>1</v>
      </c>
      <c r="F892" t="str">
        <f t="shared" si="53"/>
        <v>ago</v>
      </c>
      <c r="G892">
        <v>20</v>
      </c>
      <c r="H892">
        <v>21</v>
      </c>
      <c r="I892" t="str">
        <f t="shared" si="52"/>
        <v>1-ago-2021</v>
      </c>
      <c r="K892" s="49">
        <f t="shared" si="54"/>
        <v>44409</v>
      </c>
      <c r="M892" t="b">
        <f t="shared" si="55"/>
        <v>1</v>
      </c>
    </row>
    <row r="893" spans="1:13" x14ac:dyDescent="0.3">
      <c r="A893" s="49">
        <v>45352</v>
      </c>
      <c r="D893" t="s">
        <v>7367</v>
      </c>
      <c r="E893">
        <v>1</v>
      </c>
      <c r="F893" t="str">
        <f t="shared" si="53"/>
        <v>jun</v>
      </c>
      <c r="G893">
        <v>20</v>
      </c>
      <c r="H893">
        <v>21</v>
      </c>
      <c r="I893" t="str">
        <f t="shared" si="52"/>
        <v>1-jun-2021</v>
      </c>
      <c r="K893" s="49">
        <f t="shared" si="54"/>
        <v>44348</v>
      </c>
      <c r="M893" t="b">
        <f t="shared" si="55"/>
        <v>1</v>
      </c>
    </row>
    <row r="894" spans="1:13" x14ac:dyDescent="0.3">
      <c r="A894" s="49">
        <v>45352</v>
      </c>
      <c r="D894" t="s">
        <v>7360</v>
      </c>
      <c r="E894">
        <v>1</v>
      </c>
      <c r="F894" t="str">
        <f t="shared" si="53"/>
        <v>nov</v>
      </c>
      <c r="G894">
        <v>20</v>
      </c>
      <c r="H894">
        <v>21</v>
      </c>
      <c r="I894" t="str">
        <f t="shared" si="52"/>
        <v>1-nov-2021</v>
      </c>
      <c r="K894" s="49">
        <f t="shared" si="54"/>
        <v>44501</v>
      </c>
      <c r="M894" t="b">
        <f t="shared" si="55"/>
        <v>1</v>
      </c>
    </row>
    <row r="895" spans="1:13" x14ac:dyDescent="0.3">
      <c r="A895" s="49">
        <v>45352</v>
      </c>
      <c r="D895" t="s">
        <v>7363</v>
      </c>
      <c r="E895">
        <v>1</v>
      </c>
      <c r="F895" t="str">
        <f t="shared" si="53"/>
        <v>feb</v>
      </c>
      <c r="G895">
        <v>20</v>
      </c>
      <c r="H895">
        <v>24</v>
      </c>
      <c r="I895" t="str">
        <f t="shared" si="52"/>
        <v>1-feb-2024</v>
      </c>
      <c r="K895" s="49">
        <f t="shared" si="54"/>
        <v>45323</v>
      </c>
      <c r="M895" t="b">
        <f t="shared" si="55"/>
        <v>1</v>
      </c>
    </row>
    <row r="896" spans="1:13" x14ac:dyDescent="0.3">
      <c r="A896" s="49">
        <v>45352</v>
      </c>
      <c r="D896" t="s">
        <v>7362</v>
      </c>
      <c r="E896">
        <v>1</v>
      </c>
      <c r="F896" t="str">
        <f t="shared" si="53"/>
        <v>ago</v>
      </c>
      <c r="G896">
        <v>20</v>
      </c>
      <c r="H896">
        <v>23</v>
      </c>
      <c r="I896" t="str">
        <f t="shared" si="52"/>
        <v>1-ago-2023</v>
      </c>
      <c r="K896" s="49">
        <f t="shared" si="54"/>
        <v>45139</v>
      </c>
      <c r="M896" t="b">
        <f t="shared" si="55"/>
        <v>1</v>
      </c>
    </row>
    <row r="897" spans="1:13" x14ac:dyDescent="0.3">
      <c r="A897" s="49">
        <v>45352</v>
      </c>
      <c r="D897" t="s">
        <v>7368</v>
      </c>
      <c r="E897">
        <v>1</v>
      </c>
      <c r="F897" t="str">
        <f t="shared" si="53"/>
        <v>mar</v>
      </c>
      <c r="G897">
        <v>20</v>
      </c>
      <c r="H897">
        <v>23</v>
      </c>
      <c r="I897" t="str">
        <f t="shared" ref="I897:I960" si="56">_xlfn.CONCAT(E897,"-",F897,"-",G897,H897)</f>
        <v>1-mar-2023</v>
      </c>
      <c r="K897" s="49">
        <f t="shared" si="54"/>
        <v>44986</v>
      </c>
      <c r="M897" t="b">
        <f t="shared" si="55"/>
        <v>1</v>
      </c>
    </row>
    <row r="898" spans="1:13" x14ac:dyDescent="0.3">
      <c r="A898" s="49">
        <v>45352</v>
      </c>
      <c r="D898" t="s">
        <v>7367</v>
      </c>
      <c r="E898">
        <v>1</v>
      </c>
      <c r="F898" t="str">
        <f t="shared" ref="F898:F961" si="57">LOWER(D898)</f>
        <v>jun</v>
      </c>
      <c r="G898">
        <v>20</v>
      </c>
      <c r="H898">
        <v>25</v>
      </c>
      <c r="I898" t="str">
        <f t="shared" si="56"/>
        <v>1-jun-2025</v>
      </c>
      <c r="K898" s="49">
        <f t="shared" ref="K898:K961" si="58">DATEVALUE(I898)</f>
        <v>45809</v>
      </c>
      <c r="M898" t="b">
        <f t="shared" si="55"/>
        <v>0</v>
      </c>
    </row>
    <row r="899" spans="1:13" x14ac:dyDescent="0.3">
      <c r="A899" s="49">
        <v>45352</v>
      </c>
      <c r="D899" t="s">
        <v>7366</v>
      </c>
      <c r="E899">
        <v>1</v>
      </c>
      <c r="F899" t="str">
        <f t="shared" si="57"/>
        <v>dic</v>
      </c>
      <c r="G899">
        <v>20</v>
      </c>
      <c r="H899">
        <v>23</v>
      </c>
      <c r="I899" t="str">
        <f t="shared" si="56"/>
        <v>1-dic-2023</v>
      </c>
      <c r="K899" s="49">
        <f t="shared" si="58"/>
        <v>45261</v>
      </c>
      <c r="M899" t="b">
        <f t="shared" ref="M899:M962" si="59">K899&lt;A899</f>
        <v>1</v>
      </c>
    </row>
    <row r="900" spans="1:13" x14ac:dyDescent="0.3">
      <c r="A900" s="49">
        <v>45352</v>
      </c>
      <c r="D900" t="s">
        <v>7363</v>
      </c>
      <c r="E900">
        <v>1</v>
      </c>
      <c r="F900" t="str">
        <f t="shared" si="57"/>
        <v>feb</v>
      </c>
      <c r="G900">
        <v>20</v>
      </c>
      <c r="H900">
        <v>22</v>
      </c>
      <c r="I900" t="str">
        <f t="shared" si="56"/>
        <v>1-feb-2022</v>
      </c>
      <c r="K900" s="49">
        <f t="shared" si="58"/>
        <v>44593</v>
      </c>
      <c r="M900" t="b">
        <f t="shared" si="59"/>
        <v>1</v>
      </c>
    </row>
    <row r="901" spans="1:13" x14ac:dyDescent="0.3">
      <c r="A901" s="49">
        <v>45352</v>
      </c>
      <c r="D901" t="s">
        <v>7368</v>
      </c>
      <c r="E901">
        <v>1</v>
      </c>
      <c r="F901" t="str">
        <f t="shared" si="57"/>
        <v>mar</v>
      </c>
      <c r="G901">
        <v>20</v>
      </c>
      <c r="H901">
        <v>24</v>
      </c>
      <c r="I901" t="str">
        <f t="shared" si="56"/>
        <v>1-mar-2024</v>
      </c>
      <c r="K901" s="49">
        <f t="shared" si="58"/>
        <v>45352</v>
      </c>
      <c r="M901" t="b">
        <f t="shared" si="59"/>
        <v>0</v>
      </c>
    </row>
    <row r="902" spans="1:13" x14ac:dyDescent="0.3">
      <c r="A902" s="49">
        <v>45352</v>
      </c>
      <c r="D902" t="s">
        <v>7370</v>
      </c>
      <c r="E902">
        <v>1</v>
      </c>
      <c r="F902" t="str">
        <f t="shared" si="57"/>
        <v>may</v>
      </c>
      <c r="G902">
        <v>20</v>
      </c>
      <c r="H902">
        <v>25</v>
      </c>
      <c r="I902" t="str">
        <f t="shared" si="56"/>
        <v>1-may-2025</v>
      </c>
      <c r="K902" s="49">
        <f t="shared" si="58"/>
        <v>45778</v>
      </c>
      <c r="M902" t="b">
        <f t="shared" si="59"/>
        <v>0</v>
      </c>
    </row>
    <row r="903" spans="1:13" x14ac:dyDescent="0.3">
      <c r="A903" s="49">
        <v>45352</v>
      </c>
      <c r="D903" t="s">
        <v>7370</v>
      </c>
      <c r="E903">
        <v>1</v>
      </c>
      <c r="F903" t="str">
        <f t="shared" si="57"/>
        <v>may</v>
      </c>
      <c r="G903">
        <v>20</v>
      </c>
      <c r="H903">
        <v>25</v>
      </c>
      <c r="I903" t="str">
        <f t="shared" si="56"/>
        <v>1-may-2025</v>
      </c>
      <c r="K903" s="49">
        <f t="shared" si="58"/>
        <v>45778</v>
      </c>
      <c r="M903" t="b">
        <f t="shared" si="59"/>
        <v>0</v>
      </c>
    </row>
    <row r="904" spans="1:13" x14ac:dyDescent="0.3">
      <c r="A904" s="49">
        <v>45352</v>
      </c>
      <c r="D904" t="s">
        <v>7370</v>
      </c>
      <c r="E904">
        <v>1</v>
      </c>
      <c r="F904" t="str">
        <f t="shared" si="57"/>
        <v>may</v>
      </c>
      <c r="G904">
        <v>20</v>
      </c>
      <c r="H904">
        <v>24</v>
      </c>
      <c r="I904" t="str">
        <f t="shared" si="56"/>
        <v>1-may-2024</v>
      </c>
      <c r="K904" s="49">
        <f t="shared" si="58"/>
        <v>45413</v>
      </c>
      <c r="M904" t="b">
        <f t="shared" si="59"/>
        <v>0</v>
      </c>
    </row>
    <row r="905" spans="1:13" x14ac:dyDescent="0.3">
      <c r="A905" s="49">
        <v>45352</v>
      </c>
      <c r="D905" t="s">
        <v>7355</v>
      </c>
      <c r="E905">
        <v>1</v>
      </c>
      <c r="F905" t="str">
        <f t="shared" si="57"/>
        <v>sep</v>
      </c>
      <c r="G905">
        <v>20</v>
      </c>
      <c r="H905">
        <v>25</v>
      </c>
      <c r="I905" t="str">
        <f t="shared" si="56"/>
        <v>1-sep-2025</v>
      </c>
      <c r="K905" s="49">
        <f t="shared" si="58"/>
        <v>45901</v>
      </c>
      <c r="M905" t="b">
        <f t="shared" si="59"/>
        <v>0</v>
      </c>
    </row>
    <row r="906" spans="1:13" x14ac:dyDescent="0.3">
      <c r="A906" s="49">
        <v>45352</v>
      </c>
      <c r="D906" t="s">
        <v>7363</v>
      </c>
      <c r="E906">
        <v>1</v>
      </c>
      <c r="F906" t="str">
        <f t="shared" si="57"/>
        <v>feb</v>
      </c>
      <c r="G906">
        <v>20</v>
      </c>
      <c r="H906">
        <v>24</v>
      </c>
      <c r="I906" t="str">
        <f t="shared" si="56"/>
        <v>1-feb-2024</v>
      </c>
      <c r="K906" s="49">
        <f t="shared" si="58"/>
        <v>45323</v>
      </c>
      <c r="M906" t="b">
        <f t="shared" si="59"/>
        <v>1</v>
      </c>
    </row>
    <row r="907" spans="1:13" x14ac:dyDescent="0.3">
      <c r="A907" s="49">
        <v>45352</v>
      </c>
      <c r="D907" t="s">
        <v>7362</v>
      </c>
      <c r="E907">
        <v>1</v>
      </c>
      <c r="F907" t="str">
        <f t="shared" si="57"/>
        <v>ago</v>
      </c>
      <c r="G907">
        <v>20</v>
      </c>
      <c r="H907">
        <v>25</v>
      </c>
      <c r="I907" t="str">
        <f t="shared" si="56"/>
        <v>1-ago-2025</v>
      </c>
      <c r="K907" s="49">
        <f t="shared" si="58"/>
        <v>45870</v>
      </c>
      <c r="M907" t="b">
        <f t="shared" si="59"/>
        <v>0</v>
      </c>
    </row>
    <row r="908" spans="1:13" x14ac:dyDescent="0.3">
      <c r="A908" s="49">
        <v>45352</v>
      </c>
      <c r="D908" t="s">
        <v>7362</v>
      </c>
      <c r="E908">
        <v>1</v>
      </c>
      <c r="F908" t="str">
        <f t="shared" si="57"/>
        <v>ago</v>
      </c>
      <c r="G908">
        <v>20</v>
      </c>
      <c r="H908">
        <v>25</v>
      </c>
      <c r="I908" t="str">
        <f t="shared" si="56"/>
        <v>1-ago-2025</v>
      </c>
      <c r="K908" s="49">
        <f t="shared" si="58"/>
        <v>45870</v>
      </c>
      <c r="M908" t="b">
        <f t="shared" si="59"/>
        <v>0</v>
      </c>
    </row>
    <row r="909" spans="1:13" x14ac:dyDescent="0.3">
      <c r="A909" s="49">
        <v>45352</v>
      </c>
      <c r="D909" t="s">
        <v>7368</v>
      </c>
      <c r="E909">
        <v>1</v>
      </c>
      <c r="F909" t="str">
        <f t="shared" si="57"/>
        <v>mar</v>
      </c>
      <c r="G909">
        <v>20</v>
      </c>
      <c r="H909">
        <v>25</v>
      </c>
      <c r="I909" t="str">
        <f t="shared" si="56"/>
        <v>1-mar-2025</v>
      </c>
      <c r="K909" s="49">
        <f t="shared" si="58"/>
        <v>45717</v>
      </c>
      <c r="M909" t="b">
        <f t="shared" si="59"/>
        <v>0</v>
      </c>
    </row>
    <row r="910" spans="1:13" x14ac:dyDescent="0.3">
      <c r="A910" s="49">
        <v>45352</v>
      </c>
      <c r="D910" t="s">
        <v>7363</v>
      </c>
      <c r="E910">
        <v>1</v>
      </c>
      <c r="F910" t="str">
        <f t="shared" si="57"/>
        <v>feb</v>
      </c>
      <c r="G910">
        <v>20</v>
      </c>
      <c r="H910">
        <v>21</v>
      </c>
      <c r="I910" t="str">
        <f t="shared" si="56"/>
        <v>1-feb-2021</v>
      </c>
      <c r="K910" s="49">
        <f t="shared" si="58"/>
        <v>44228</v>
      </c>
      <c r="M910" t="b">
        <f t="shared" si="59"/>
        <v>1</v>
      </c>
    </row>
    <row r="911" spans="1:13" x14ac:dyDescent="0.3">
      <c r="A911" s="49">
        <v>45352</v>
      </c>
      <c r="D911" t="s">
        <v>7367</v>
      </c>
      <c r="E911">
        <v>1</v>
      </c>
      <c r="F911" t="str">
        <f t="shared" si="57"/>
        <v>jun</v>
      </c>
      <c r="G911">
        <v>20</v>
      </c>
      <c r="H911">
        <v>23</v>
      </c>
      <c r="I911" t="str">
        <f t="shared" si="56"/>
        <v>1-jun-2023</v>
      </c>
      <c r="K911" s="49">
        <f t="shared" si="58"/>
        <v>45078</v>
      </c>
      <c r="M911" t="b">
        <f t="shared" si="59"/>
        <v>1</v>
      </c>
    </row>
    <row r="912" spans="1:13" x14ac:dyDescent="0.3">
      <c r="A912" s="49">
        <v>45352</v>
      </c>
      <c r="D912" t="s">
        <v>7360</v>
      </c>
      <c r="E912">
        <v>1</v>
      </c>
      <c r="F912" t="str">
        <f t="shared" si="57"/>
        <v>nov</v>
      </c>
      <c r="G912">
        <v>20</v>
      </c>
      <c r="H912">
        <v>21</v>
      </c>
      <c r="I912" t="str">
        <f t="shared" si="56"/>
        <v>1-nov-2021</v>
      </c>
      <c r="K912" s="49">
        <f t="shared" si="58"/>
        <v>44501</v>
      </c>
      <c r="M912" t="b">
        <f t="shared" si="59"/>
        <v>1</v>
      </c>
    </row>
    <row r="913" spans="1:13" x14ac:dyDescent="0.3">
      <c r="A913" s="49">
        <v>45352</v>
      </c>
      <c r="D913" t="s">
        <v>7357</v>
      </c>
      <c r="E913">
        <v>1</v>
      </c>
      <c r="F913" t="str">
        <f t="shared" si="57"/>
        <v>oct</v>
      </c>
      <c r="G913">
        <v>20</v>
      </c>
      <c r="H913">
        <v>21</v>
      </c>
      <c r="I913" t="str">
        <f t="shared" si="56"/>
        <v>1-oct-2021</v>
      </c>
      <c r="K913" s="49">
        <f t="shared" si="58"/>
        <v>44470</v>
      </c>
      <c r="M913" t="b">
        <f t="shared" si="59"/>
        <v>1</v>
      </c>
    </row>
    <row r="914" spans="1:13" x14ac:dyDescent="0.3">
      <c r="A914" s="49">
        <v>45352</v>
      </c>
      <c r="D914" t="s">
        <v>7363</v>
      </c>
      <c r="E914">
        <v>1</v>
      </c>
      <c r="F914" t="str">
        <f t="shared" si="57"/>
        <v>feb</v>
      </c>
      <c r="G914">
        <v>20</v>
      </c>
      <c r="H914">
        <v>24</v>
      </c>
      <c r="I914" t="str">
        <f t="shared" si="56"/>
        <v>1-feb-2024</v>
      </c>
      <c r="K914" s="49">
        <f t="shared" si="58"/>
        <v>45323</v>
      </c>
      <c r="M914" t="b">
        <f t="shared" si="59"/>
        <v>1</v>
      </c>
    </row>
    <row r="915" spans="1:13" x14ac:dyDescent="0.3">
      <c r="A915" s="49">
        <v>45352</v>
      </c>
      <c r="D915" t="s">
        <v>7366</v>
      </c>
      <c r="E915">
        <v>1</v>
      </c>
      <c r="F915" t="str">
        <f t="shared" si="57"/>
        <v>dic</v>
      </c>
      <c r="G915">
        <v>20</v>
      </c>
      <c r="H915">
        <v>21</v>
      </c>
      <c r="I915" t="str">
        <f t="shared" si="56"/>
        <v>1-dic-2021</v>
      </c>
      <c r="K915" s="49">
        <f t="shared" si="58"/>
        <v>44531</v>
      </c>
      <c r="M915" t="b">
        <f t="shared" si="59"/>
        <v>1</v>
      </c>
    </row>
    <row r="916" spans="1:13" x14ac:dyDescent="0.3">
      <c r="A916" s="49">
        <v>45352</v>
      </c>
      <c r="D916" t="s">
        <v>7369</v>
      </c>
      <c r="E916">
        <v>1</v>
      </c>
      <c r="F916" t="str">
        <f t="shared" si="57"/>
        <v>abr</v>
      </c>
      <c r="G916">
        <v>20</v>
      </c>
      <c r="H916">
        <v>22</v>
      </c>
      <c r="I916" t="str">
        <f t="shared" si="56"/>
        <v>1-abr-2022</v>
      </c>
      <c r="K916" s="49">
        <f t="shared" si="58"/>
        <v>44652</v>
      </c>
      <c r="M916" t="b">
        <f t="shared" si="59"/>
        <v>1</v>
      </c>
    </row>
    <row r="917" spans="1:13" x14ac:dyDescent="0.3">
      <c r="A917" s="49">
        <v>45352</v>
      </c>
      <c r="D917" t="s">
        <v>7359</v>
      </c>
      <c r="E917">
        <v>1</v>
      </c>
      <c r="F917" t="str">
        <f t="shared" si="57"/>
        <v>jul</v>
      </c>
      <c r="G917">
        <v>20</v>
      </c>
      <c r="H917">
        <v>12</v>
      </c>
      <c r="I917" t="str">
        <f t="shared" si="56"/>
        <v>1-jul-2012</v>
      </c>
      <c r="K917" s="49">
        <f t="shared" si="58"/>
        <v>41091</v>
      </c>
      <c r="M917" t="b">
        <f t="shared" si="59"/>
        <v>1</v>
      </c>
    </row>
    <row r="918" spans="1:13" x14ac:dyDescent="0.3">
      <c r="A918" s="49">
        <v>45352</v>
      </c>
      <c r="D918" t="s">
        <v>7360</v>
      </c>
      <c r="E918">
        <v>1</v>
      </c>
      <c r="F918" t="str">
        <f t="shared" si="57"/>
        <v>nov</v>
      </c>
      <c r="G918">
        <v>20</v>
      </c>
      <c r="H918">
        <v>20</v>
      </c>
      <c r="I918" t="str">
        <f t="shared" si="56"/>
        <v>1-nov-2020</v>
      </c>
      <c r="K918" s="49">
        <f t="shared" si="58"/>
        <v>44136</v>
      </c>
      <c r="M918" t="b">
        <f t="shared" si="59"/>
        <v>1</v>
      </c>
    </row>
    <row r="919" spans="1:13" x14ac:dyDescent="0.3">
      <c r="A919" s="49">
        <v>45352</v>
      </c>
      <c r="D919" t="s">
        <v>7359</v>
      </c>
      <c r="E919">
        <v>1</v>
      </c>
      <c r="F919" t="str">
        <f t="shared" si="57"/>
        <v>jul</v>
      </c>
      <c r="G919">
        <v>20</v>
      </c>
      <c r="H919">
        <v>22</v>
      </c>
      <c r="I919" t="str">
        <f t="shared" si="56"/>
        <v>1-jul-2022</v>
      </c>
      <c r="K919" s="49">
        <f t="shared" si="58"/>
        <v>44743</v>
      </c>
      <c r="M919" t="b">
        <f t="shared" si="59"/>
        <v>1</v>
      </c>
    </row>
    <row r="920" spans="1:13" x14ac:dyDescent="0.3">
      <c r="A920" s="49">
        <v>45352</v>
      </c>
      <c r="D920" t="s">
        <v>7357</v>
      </c>
      <c r="E920">
        <v>1</v>
      </c>
      <c r="F920" t="str">
        <f t="shared" si="57"/>
        <v>oct</v>
      </c>
      <c r="G920">
        <v>20</v>
      </c>
      <c r="H920">
        <v>19</v>
      </c>
      <c r="I920" t="str">
        <f t="shared" si="56"/>
        <v>1-oct-2019</v>
      </c>
      <c r="K920" s="49">
        <f t="shared" si="58"/>
        <v>43739</v>
      </c>
      <c r="M920" t="b">
        <f t="shared" si="59"/>
        <v>1</v>
      </c>
    </row>
    <row r="921" spans="1:13" x14ac:dyDescent="0.3">
      <c r="A921" s="49">
        <v>45323</v>
      </c>
      <c r="D921" t="s">
        <v>7367</v>
      </c>
      <c r="E921">
        <v>1</v>
      </c>
      <c r="F921" t="str">
        <f t="shared" si="57"/>
        <v>jun</v>
      </c>
      <c r="G921">
        <v>20</v>
      </c>
      <c r="H921">
        <v>26</v>
      </c>
      <c r="I921" t="str">
        <f t="shared" si="56"/>
        <v>1-jun-2026</v>
      </c>
      <c r="K921" s="49">
        <f t="shared" si="58"/>
        <v>46174</v>
      </c>
      <c r="M921" t="b">
        <f t="shared" si="59"/>
        <v>0</v>
      </c>
    </row>
    <row r="922" spans="1:13" x14ac:dyDescent="0.3">
      <c r="A922" s="49">
        <v>45323</v>
      </c>
      <c r="D922" t="s">
        <v>7364</v>
      </c>
      <c r="E922">
        <v>1</v>
      </c>
      <c r="F922" t="str">
        <f t="shared" si="57"/>
        <v>feb</v>
      </c>
      <c r="G922">
        <v>20</v>
      </c>
      <c r="H922">
        <v>23</v>
      </c>
      <c r="I922" t="str">
        <f t="shared" si="56"/>
        <v>1-feb-2023</v>
      </c>
      <c r="K922" s="49">
        <f t="shared" si="58"/>
        <v>44958</v>
      </c>
      <c r="M922" t="b">
        <f t="shared" si="59"/>
        <v>1</v>
      </c>
    </row>
    <row r="923" spans="1:13" x14ac:dyDescent="0.3">
      <c r="A923" s="49">
        <v>45323</v>
      </c>
      <c r="D923" t="s">
        <v>7374</v>
      </c>
      <c r="E923">
        <v>1</v>
      </c>
      <c r="F923" t="str">
        <f t="shared" si="57"/>
        <v>ago</v>
      </c>
      <c r="G923">
        <v>20</v>
      </c>
      <c r="H923">
        <v>18</v>
      </c>
      <c r="I923" t="str">
        <f t="shared" si="56"/>
        <v>1-ago-2018</v>
      </c>
      <c r="K923" s="49">
        <f t="shared" si="58"/>
        <v>43313</v>
      </c>
      <c r="M923" t="b">
        <f t="shared" si="59"/>
        <v>1</v>
      </c>
    </row>
    <row r="924" spans="1:13" x14ac:dyDescent="0.3">
      <c r="A924" s="49">
        <v>45323</v>
      </c>
      <c r="D924" t="s">
        <v>7381</v>
      </c>
      <c r="E924">
        <v>1</v>
      </c>
      <c r="F924" t="str">
        <f t="shared" si="57"/>
        <v>nov</v>
      </c>
      <c r="G924">
        <v>20</v>
      </c>
      <c r="H924">
        <v>23</v>
      </c>
      <c r="I924" t="str">
        <f t="shared" si="56"/>
        <v>1-nov-2023</v>
      </c>
      <c r="K924" s="49">
        <f t="shared" si="58"/>
        <v>45231</v>
      </c>
      <c r="M924" t="b">
        <f t="shared" si="59"/>
        <v>1</v>
      </c>
    </row>
    <row r="925" spans="1:13" x14ac:dyDescent="0.3">
      <c r="A925" s="49">
        <v>45323</v>
      </c>
      <c r="D925" t="s">
        <v>7366</v>
      </c>
      <c r="E925">
        <v>1</v>
      </c>
      <c r="F925" t="str">
        <f t="shared" si="57"/>
        <v>dic</v>
      </c>
      <c r="G925">
        <v>20</v>
      </c>
      <c r="H925">
        <v>21</v>
      </c>
      <c r="I925" t="str">
        <f t="shared" si="56"/>
        <v>1-dic-2021</v>
      </c>
      <c r="K925" s="49">
        <f t="shared" si="58"/>
        <v>44531</v>
      </c>
      <c r="M925" t="b">
        <f t="shared" si="59"/>
        <v>1</v>
      </c>
    </row>
    <row r="926" spans="1:13" x14ac:dyDescent="0.3">
      <c r="A926" s="49">
        <v>45323</v>
      </c>
      <c r="D926" t="s">
        <v>7376</v>
      </c>
      <c r="E926">
        <v>1</v>
      </c>
      <c r="F926" t="str">
        <f t="shared" si="57"/>
        <v>sep</v>
      </c>
      <c r="G926">
        <v>20</v>
      </c>
      <c r="H926">
        <v>23</v>
      </c>
      <c r="I926" t="str">
        <f t="shared" si="56"/>
        <v>1-sep-2023</v>
      </c>
      <c r="K926" s="49">
        <f t="shared" si="58"/>
        <v>45170</v>
      </c>
      <c r="M926" t="b">
        <f t="shared" si="59"/>
        <v>1</v>
      </c>
    </row>
    <row r="927" spans="1:13" x14ac:dyDescent="0.3">
      <c r="A927" s="49">
        <v>45323</v>
      </c>
      <c r="D927" t="s">
        <v>7360</v>
      </c>
      <c r="E927">
        <v>1</v>
      </c>
      <c r="F927" t="str">
        <f t="shared" si="57"/>
        <v>nov</v>
      </c>
      <c r="G927">
        <v>20</v>
      </c>
      <c r="H927">
        <v>23</v>
      </c>
      <c r="I927" t="str">
        <f t="shared" si="56"/>
        <v>1-nov-2023</v>
      </c>
      <c r="K927" s="49">
        <f t="shared" si="58"/>
        <v>45231</v>
      </c>
      <c r="M927" t="b">
        <f t="shared" si="59"/>
        <v>1</v>
      </c>
    </row>
    <row r="928" spans="1:13" x14ac:dyDescent="0.3">
      <c r="A928" s="49">
        <v>45323</v>
      </c>
      <c r="D928" t="s">
        <v>7357</v>
      </c>
      <c r="E928">
        <v>1</v>
      </c>
      <c r="F928" t="str">
        <f t="shared" si="57"/>
        <v>oct</v>
      </c>
      <c r="G928">
        <v>20</v>
      </c>
      <c r="H928">
        <v>23</v>
      </c>
      <c r="I928" t="str">
        <f t="shared" si="56"/>
        <v>1-oct-2023</v>
      </c>
      <c r="K928" s="49">
        <f t="shared" si="58"/>
        <v>45200</v>
      </c>
      <c r="M928" t="b">
        <f t="shared" si="59"/>
        <v>1</v>
      </c>
    </row>
    <row r="929" spans="1:13" x14ac:dyDescent="0.3">
      <c r="A929" s="49">
        <v>45323</v>
      </c>
      <c r="D929" t="s">
        <v>7369</v>
      </c>
      <c r="E929">
        <v>1</v>
      </c>
      <c r="F929" t="str">
        <f t="shared" si="57"/>
        <v>abr</v>
      </c>
      <c r="G929">
        <v>20</v>
      </c>
      <c r="H929">
        <v>23</v>
      </c>
      <c r="I929" t="str">
        <f t="shared" si="56"/>
        <v>1-abr-2023</v>
      </c>
      <c r="K929" s="49">
        <f t="shared" si="58"/>
        <v>45017</v>
      </c>
      <c r="M929" t="b">
        <f t="shared" si="59"/>
        <v>1</v>
      </c>
    </row>
    <row r="930" spans="1:13" x14ac:dyDescent="0.3">
      <c r="A930" s="49">
        <v>45323</v>
      </c>
      <c r="D930" t="s">
        <v>7369</v>
      </c>
      <c r="E930">
        <v>1</v>
      </c>
      <c r="F930" t="str">
        <f t="shared" si="57"/>
        <v>abr</v>
      </c>
      <c r="G930">
        <v>20</v>
      </c>
      <c r="H930">
        <v>23</v>
      </c>
      <c r="I930" t="str">
        <f t="shared" si="56"/>
        <v>1-abr-2023</v>
      </c>
      <c r="K930" s="49">
        <f t="shared" si="58"/>
        <v>45017</v>
      </c>
      <c r="M930" t="b">
        <f t="shared" si="59"/>
        <v>1</v>
      </c>
    </row>
    <row r="931" spans="1:13" x14ac:dyDescent="0.3">
      <c r="A931" s="49">
        <v>45323</v>
      </c>
      <c r="D931" t="s">
        <v>7369</v>
      </c>
      <c r="E931">
        <v>1</v>
      </c>
      <c r="F931" t="str">
        <f t="shared" si="57"/>
        <v>abr</v>
      </c>
      <c r="G931">
        <v>20</v>
      </c>
      <c r="H931">
        <v>23</v>
      </c>
      <c r="I931" t="str">
        <f t="shared" si="56"/>
        <v>1-abr-2023</v>
      </c>
      <c r="K931" s="49">
        <f t="shared" si="58"/>
        <v>45017</v>
      </c>
      <c r="M931" t="b">
        <f t="shared" si="59"/>
        <v>1</v>
      </c>
    </row>
    <row r="932" spans="1:13" x14ac:dyDescent="0.3">
      <c r="A932" s="49">
        <v>45323</v>
      </c>
      <c r="D932" t="s">
        <v>7369</v>
      </c>
      <c r="E932">
        <v>1</v>
      </c>
      <c r="F932" t="str">
        <f t="shared" si="57"/>
        <v>abr</v>
      </c>
      <c r="G932">
        <v>20</v>
      </c>
      <c r="H932">
        <v>23</v>
      </c>
      <c r="I932" t="str">
        <f t="shared" si="56"/>
        <v>1-abr-2023</v>
      </c>
      <c r="K932" s="49">
        <f t="shared" si="58"/>
        <v>45017</v>
      </c>
      <c r="M932" t="b">
        <f t="shared" si="59"/>
        <v>1</v>
      </c>
    </row>
    <row r="933" spans="1:13" x14ac:dyDescent="0.3">
      <c r="A933" s="49">
        <v>45323</v>
      </c>
      <c r="D933" t="s">
        <v>7356</v>
      </c>
      <c r="E933">
        <v>1</v>
      </c>
      <c r="F933" t="str">
        <f t="shared" si="57"/>
        <v>ene</v>
      </c>
      <c r="G933">
        <v>20</v>
      </c>
      <c r="H933">
        <v>24</v>
      </c>
      <c r="I933" t="str">
        <f t="shared" si="56"/>
        <v>1-ene-2024</v>
      </c>
      <c r="K933" s="49">
        <f t="shared" si="58"/>
        <v>45292</v>
      </c>
      <c r="M933" t="b">
        <f t="shared" si="59"/>
        <v>1</v>
      </c>
    </row>
    <row r="934" spans="1:13" x14ac:dyDescent="0.3">
      <c r="A934" s="49">
        <v>45323</v>
      </c>
      <c r="D934" t="s">
        <v>7367</v>
      </c>
      <c r="E934">
        <v>1</v>
      </c>
      <c r="F934" t="str">
        <f t="shared" si="57"/>
        <v>jun</v>
      </c>
      <c r="G934">
        <v>20</v>
      </c>
      <c r="H934">
        <v>23</v>
      </c>
      <c r="I934" t="str">
        <f t="shared" si="56"/>
        <v>1-jun-2023</v>
      </c>
      <c r="K934" s="49">
        <f t="shared" si="58"/>
        <v>45078</v>
      </c>
      <c r="M934" t="b">
        <f t="shared" si="59"/>
        <v>1</v>
      </c>
    </row>
    <row r="935" spans="1:13" x14ac:dyDescent="0.3">
      <c r="A935" s="49">
        <v>45323</v>
      </c>
      <c r="D935" t="s">
        <v>7357</v>
      </c>
      <c r="E935">
        <v>1</v>
      </c>
      <c r="F935" t="str">
        <f t="shared" si="57"/>
        <v>oct</v>
      </c>
      <c r="G935">
        <v>20</v>
      </c>
      <c r="H935">
        <v>23</v>
      </c>
      <c r="I935" t="str">
        <f t="shared" si="56"/>
        <v>1-oct-2023</v>
      </c>
      <c r="K935" s="49">
        <f t="shared" si="58"/>
        <v>45200</v>
      </c>
      <c r="M935" t="b">
        <f t="shared" si="59"/>
        <v>1</v>
      </c>
    </row>
    <row r="936" spans="1:13" x14ac:dyDescent="0.3">
      <c r="A936" s="49">
        <v>45323</v>
      </c>
      <c r="D936" t="s">
        <v>7374</v>
      </c>
      <c r="E936">
        <v>1</v>
      </c>
      <c r="F936" t="str">
        <f t="shared" si="57"/>
        <v>ago</v>
      </c>
      <c r="G936">
        <v>20</v>
      </c>
      <c r="H936">
        <v>23</v>
      </c>
      <c r="I936" t="str">
        <f t="shared" si="56"/>
        <v>1-ago-2023</v>
      </c>
      <c r="K936" s="49">
        <f t="shared" si="58"/>
        <v>45139</v>
      </c>
      <c r="M936" t="b">
        <f t="shared" si="59"/>
        <v>1</v>
      </c>
    </row>
    <row r="937" spans="1:13" x14ac:dyDescent="0.3">
      <c r="A937" s="49">
        <v>45323</v>
      </c>
      <c r="D937" t="s">
        <v>7376</v>
      </c>
      <c r="E937">
        <v>1</v>
      </c>
      <c r="F937" t="str">
        <f t="shared" si="57"/>
        <v>sep</v>
      </c>
      <c r="G937">
        <v>20</v>
      </c>
      <c r="H937">
        <v>23</v>
      </c>
      <c r="I937" t="str">
        <f t="shared" si="56"/>
        <v>1-sep-2023</v>
      </c>
      <c r="K937" s="49">
        <f t="shared" si="58"/>
        <v>45170</v>
      </c>
      <c r="M937" t="b">
        <f t="shared" si="59"/>
        <v>1</v>
      </c>
    </row>
    <row r="938" spans="1:13" x14ac:dyDescent="0.3">
      <c r="A938" s="49">
        <v>45323</v>
      </c>
      <c r="D938" t="s">
        <v>7360</v>
      </c>
      <c r="E938">
        <v>1</v>
      </c>
      <c r="F938" t="str">
        <f t="shared" si="57"/>
        <v>nov</v>
      </c>
      <c r="G938">
        <v>20</v>
      </c>
      <c r="H938">
        <v>23</v>
      </c>
      <c r="I938" t="str">
        <f t="shared" si="56"/>
        <v>1-nov-2023</v>
      </c>
      <c r="K938" s="49">
        <f t="shared" si="58"/>
        <v>45231</v>
      </c>
      <c r="M938" t="b">
        <f t="shared" si="59"/>
        <v>1</v>
      </c>
    </row>
    <row r="939" spans="1:13" x14ac:dyDescent="0.3">
      <c r="A939" s="49">
        <v>45323</v>
      </c>
      <c r="D939" t="s">
        <v>7362</v>
      </c>
      <c r="E939">
        <v>1</v>
      </c>
      <c r="F939" t="str">
        <f t="shared" si="57"/>
        <v>ago</v>
      </c>
      <c r="G939">
        <v>20</v>
      </c>
      <c r="H939">
        <v>23</v>
      </c>
      <c r="I939" t="str">
        <f t="shared" si="56"/>
        <v>1-ago-2023</v>
      </c>
      <c r="K939" s="49">
        <f t="shared" si="58"/>
        <v>45139</v>
      </c>
      <c r="M939" t="b">
        <f t="shared" si="59"/>
        <v>1</v>
      </c>
    </row>
    <row r="940" spans="1:13" x14ac:dyDescent="0.3">
      <c r="A940" s="49">
        <v>45323</v>
      </c>
      <c r="D940" t="s">
        <v>7363</v>
      </c>
      <c r="E940">
        <v>1</v>
      </c>
      <c r="F940" t="str">
        <f t="shared" si="57"/>
        <v>feb</v>
      </c>
      <c r="G940">
        <v>20</v>
      </c>
      <c r="H940">
        <v>23</v>
      </c>
      <c r="I940" t="str">
        <f t="shared" si="56"/>
        <v>1-feb-2023</v>
      </c>
      <c r="K940" s="49">
        <f t="shared" si="58"/>
        <v>44958</v>
      </c>
      <c r="M940" t="b">
        <f t="shared" si="59"/>
        <v>1</v>
      </c>
    </row>
    <row r="941" spans="1:13" x14ac:dyDescent="0.3">
      <c r="A941" s="49">
        <v>45323</v>
      </c>
      <c r="D941" t="s">
        <v>7379</v>
      </c>
      <c r="E941">
        <v>1</v>
      </c>
      <c r="F941" t="str">
        <f t="shared" si="57"/>
        <v>oct</v>
      </c>
      <c r="G941">
        <v>20</v>
      </c>
      <c r="H941">
        <v>23</v>
      </c>
      <c r="I941" t="str">
        <f t="shared" si="56"/>
        <v>1-oct-2023</v>
      </c>
      <c r="K941" s="49">
        <f t="shared" si="58"/>
        <v>45200</v>
      </c>
      <c r="M941" t="b">
        <f t="shared" si="59"/>
        <v>1</v>
      </c>
    </row>
    <row r="942" spans="1:13" x14ac:dyDescent="0.3">
      <c r="A942" s="49">
        <v>45323</v>
      </c>
      <c r="D942" t="s">
        <v>7379</v>
      </c>
      <c r="E942">
        <v>1</v>
      </c>
      <c r="F942" t="str">
        <f t="shared" si="57"/>
        <v>oct</v>
      </c>
      <c r="G942">
        <v>20</v>
      </c>
      <c r="H942">
        <v>23</v>
      </c>
      <c r="I942" t="str">
        <f t="shared" si="56"/>
        <v>1-oct-2023</v>
      </c>
      <c r="K942" s="49">
        <f t="shared" si="58"/>
        <v>45200</v>
      </c>
      <c r="M942" t="b">
        <f t="shared" si="59"/>
        <v>1</v>
      </c>
    </row>
    <row r="943" spans="1:13" x14ac:dyDescent="0.3">
      <c r="A943" s="49">
        <v>45323</v>
      </c>
      <c r="D943" t="s">
        <v>7367</v>
      </c>
      <c r="E943">
        <v>1</v>
      </c>
      <c r="F943" t="str">
        <f t="shared" si="57"/>
        <v>jun</v>
      </c>
      <c r="G943">
        <v>20</v>
      </c>
      <c r="H943">
        <v>23</v>
      </c>
      <c r="I943" t="str">
        <f t="shared" si="56"/>
        <v>1-jun-2023</v>
      </c>
      <c r="K943" s="49">
        <f t="shared" si="58"/>
        <v>45078</v>
      </c>
      <c r="M943" t="b">
        <f t="shared" si="59"/>
        <v>1</v>
      </c>
    </row>
    <row r="944" spans="1:13" x14ac:dyDescent="0.3">
      <c r="A944" s="49">
        <v>45323</v>
      </c>
      <c r="D944" t="s">
        <v>7367</v>
      </c>
      <c r="E944">
        <v>1</v>
      </c>
      <c r="F944" t="str">
        <f t="shared" si="57"/>
        <v>jun</v>
      </c>
      <c r="G944">
        <v>20</v>
      </c>
      <c r="H944">
        <v>23</v>
      </c>
      <c r="I944" t="str">
        <f t="shared" si="56"/>
        <v>1-jun-2023</v>
      </c>
      <c r="K944" s="49">
        <f t="shared" si="58"/>
        <v>45078</v>
      </c>
      <c r="M944" t="b">
        <f t="shared" si="59"/>
        <v>1</v>
      </c>
    </row>
    <row r="945" spans="1:13" x14ac:dyDescent="0.3">
      <c r="A945" s="49">
        <v>45323</v>
      </c>
      <c r="D945" t="s">
        <v>7359</v>
      </c>
      <c r="E945">
        <v>1</v>
      </c>
      <c r="F945" t="str">
        <f t="shared" si="57"/>
        <v>jul</v>
      </c>
      <c r="G945">
        <v>20</v>
      </c>
      <c r="H945">
        <v>23</v>
      </c>
      <c r="I945" t="str">
        <f t="shared" si="56"/>
        <v>1-jul-2023</v>
      </c>
      <c r="K945" s="49">
        <f t="shared" si="58"/>
        <v>45108</v>
      </c>
      <c r="M945" t="b">
        <f t="shared" si="59"/>
        <v>1</v>
      </c>
    </row>
    <row r="946" spans="1:13" x14ac:dyDescent="0.3">
      <c r="A946" s="49">
        <v>45323</v>
      </c>
      <c r="D946" t="s">
        <v>7378</v>
      </c>
      <c r="E946">
        <v>1</v>
      </c>
      <c r="F946" t="str">
        <f t="shared" si="57"/>
        <v>mar</v>
      </c>
      <c r="G946">
        <v>20</v>
      </c>
      <c r="H946">
        <v>25</v>
      </c>
      <c r="I946" t="str">
        <f t="shared" si="56"/>
        <v>1-mar-2025</v>
      </c>
      <c r="K946" s="49">
        <f t="shared" si="58"/>
        <v>45717</v>
      </c>
      <c r="M946" t="b">
        <f t="shared" si="59"/>
        <v>0</v>
      </c>
    </row>
    <row r="947" spans="1:13" x14ac:dyDescent="0.3">
      <c r="A947" s="49">
        <v>45323</v>
      </c>
      <c r="D947" t="s">
        <v>7368</v>
      </c>
      <c r="E947">
        <v>1</v>
      </c>
      <c r="F947" t="str">
        <f t="shared" si="57"/>
        <v>mar</v>
      </c>
      <c r="G947">
        <v>20</v>
      </c>
      <c r="H947">
        <v>21</v>
      </c>
      <c r="I947" t="str">
        <f t="shared" si="56"/>
        <v>1-mar-2021</v>
      </c>
      <c r="K947" s="49">
        <f t="shared" si="58"/>
        <v>44256</v>
      </c>
      <c r="M947" t="b">
        <f t="shared" si="59"/>
        <v>1</v>
      </c>
    </row>
    <row r="948" spans="1:13" x14ac:dyDescent="0.3">
      <c r="A948" s="49">
        <v>45323</v>
      </c>
      <c r="D948" t="s">
        <v>7367</v>
      </c>
      <c r="E948">
        <v>1</v>
      </c>
      <c r="F948" t="str">
        <f t="shared" si="57"/>
        <v>jun</v>
      </c>
      <c r="G948">
        <v>20</v>
      </c>
      <c r="H948">
        <v>23</v>
      </c>
      <c r="I948" t="str">
        <f t="shared" si="56"/>
        <v>1-jun-2023</v>
      </c>
      <c r="K948" s="49">
        <f t="shared" si="58"/>
        <v>45078</v>
      </c>
      <c r="M948" t="b">
        <f t="shared" si="59"/>
        <v>1</v>
      </c>
    </row>
    <row r="949" spans="1:13" x14ac:dyDescent="0.3">
      <c r="A949" s="49">
        <v>45323</v>
      </c>
      <c r="D949" t="s">
        <v>7370</v>
      </c>
      <c r="E949">
        <v>1</v>
      </c>
      <c r="F949" t="str">
        <f t="shared" si="57"/>
        <v>may</v>
      </c>
      <c r="G949">
        <v>20</v>
      </c>
      <c r="H949">
        <v>23</v>
      </c>
      <c r="I949" t="str">
        <f t="shared" si="56"/>
        <v>1-may-2023</v>
      </c>
      <c r="K949" s="49">
        <f t="shared" si="58"/>
        <v>45047</v>
      </c>
      <c r="M949" t="b">
        <f t="shared" si="59"/>
        <v>1</v>
      </c>
    </row>
    <row r="950" spans="1:13" x14ac:dyDescent="0.3">
      <c r="A950" s="49">
        <v>45323</v>
      </c>
      <c r="D950" t="s">
        <v>7362</v>
      </c>
      <c r="E950">
        <v>1</v>
      </c>
      <c r="F950" t="str">
        <f t="shared" si="57"/>
        <v>ago</v>
      </c>
      <c r="G950">
        <v>20</v>
      </c>
      <c r="H950">
        <v>16</v>
      </c>
      <c r="I950" t="str">
        <f t="shared" si="56"/>
        <v>1-ago-2016</v>
      </c>
      <c r="K950" s="49">
        <f t="shared" si="58"/>
        <v>42583</v>
      </c>
      <c r="M950" t="b">
        <f t="shared" si="59"/>
        <v>1</v>
      </c>
    </row>
    <row r="951" spans="1:13" x14ac:dyDescent="0.3">
      <c r="A951" s="49">
        <v>45323</v>
      </c>
      <c r="D951" t="s">
        <v>7366</v>
      </c>
      <c r="E951">
        <v>1</v>
      </c>
      <c r="F951" t="str">
        <f t="shared" si="57"/>
        <v>dic</v>
      </c>
      <c r="G951">
        <v>20</v>
      </c>
      <c r="H951">
        <v>23</v>
      </c>
      <c r="I951" t="str">
        <f t="shared" si="56"/>
        <v>1-dic-2023</v>
      </c>
      <c r="K951" s="49">
        <f t="shared" si="58"/>
        <v>45261</v>
      </c>
      <c r="M951" t="b">
        <f t="shared" si="59"/>
        <v>1</v>
      </c>
    </row>
    <row r="952" spans="1:13" x14ac:dyDescent="0.3">
      <c r="A952" s="49">
        <v>45323</v>
      </c>
      <c r="D952" t="s">
        <v>7362</v>
      </c>
      <c r="E952">
        <v>1</v>
      </c>
      <c r="F952" t="str">
        <f t="shared" si="57"/>
        <v>ago</v>
      </c>
      <c r="G952">
        <v>20</v>
      </c>
      <c r="H952">
        <v>23</v>
      </c>
      <c r="I952" t="str">
        <f t="shared" si="56"/>
        <v>1-ago-2023</v>
      </c>
      <c r="K952" s="49">
        <f t="shared" si="58"/>
        <v>45139</v>
      </c>
      <c r="M952" t="b">
        <f t="shared" si="59"/>
        <v>1</v>
      </c>
    </row>
    <row r="953" spans="1:13" x14ac:dyDescent="0.3">
      <c r="A953" s="49">
        <v>45323</v>
      </c>
      <c r="D953" t="s">
        <v>7359</v>
      </c>
      <c r="E953">
        <v>1</v>
      </c>
      <c r="F953" t="str">
        <f t="shared" si="57"/>
        <v>jul</v>
      </c>
      <c r="G953">
        <v>20</v>
      </c>
      <c r="H953">
        <v>23</v>
      </c>
      <c r="I953" t="str">
        <f t="shared" si="56"/>
        <v>1-jul-2023</v>
      </c>
      <c r="K953" s="49">
        <f t="shared" si="58"/>
        <v>45108</v>
      </c>
      <c r="M953" t="b">
        <f t="shared" si="59"/>
        <v>1</v>
      </c>
    </row>
    <row r="954" spans="1:13" x14ac:dyDescent="0.3">
      <c r="A954" s="49">
        <v>45323</v>
      </c>
      <c r="D954" t="s">
        <v>7359</v>
      </c>
      <c r="E954">
        <v>1</v>
      </c>
      <c r="F954" t="str">
        <f t="shared" si="57"/>
        <v>jul</v>
      </c>
      <c r="G954">
        <v>20</v>
      </c>
      <c r="H954">
        <v>23</v>
      </c>
      <c r="I954" t="str">
        <f t="shared" si="56"/>
        <v>1-jul-2023</v>
      </c>
      <c r="K954" s="49">
        <f t="shared" si="58"/>
        <v>45108</v>
      </c>
      <c r="M954" t="b">
        <f t="shared" si="59"/>
        <v>1</v>
      </c>
    </row>
    <row r="955" spans="1:13" x14ac:dyDescent="0.3">
      <c r="A955" s="49">
        <v>45323</v>
      </c>
      <c r="D955" t="s">
        <v>4842</v>
      </c>
      <c r="E955">
        <v>1</v>
      </c>
      <c r="F955" t="str">
        <f t="shared" si="57"/>
        <v>mar725</v>
      </c>
      <c r="G955">
        <v>20</v>
      </c>
      <c r="I955" t="str">
        <f t="shared" si="56"/>
        <v>1-mar725-20</v>
      </c>
      <c r="K955" s="49" t="e">
        <f t="shared" si="58"/>
        <v>#VALUE!</v>
      </c>
      <c r="M955" t="e">
        <f t="shared" si="59"/>
        <v>#VALUE!</v>
      </c>
    </row>
    <row r="956" spans="1:13" x14ac:dyDescent="0.3">
      <c r="A956" s="49">
        <v>45323</v>
      </c>
      <c r="D956" t="s">
        <v>7374</v>
      </c>
      <c r="E956">
        <v>1</v>
      </c>
      <c r="F956" t="str">
        <f t="shared" si="57"/>
        <v>ago</v>
      </c>
      <c r="G956">
        <v>20</v>
      </c>
      <c r="H956">
        <v>18</v>
      </c>
      <c r="I956" t="str">
        <f t="shared" si="56"/>
        <v>1-ago-2018</v>
      </c>
      <c r="K956" s="49">
        <f t="shared" si="58"/>
        <v>43313</v>
      </c>
      <c r="M956" t="b">
        <f t="shared" si="59"/>
        <v>1</v>
      </c>
    </row>
    <row r="957" spans="1:13" x14ac:dyDescent="0.3">
      <c r="A957" s="49">
        <v>45323</v>
      </c>
      <c r="D957" t="s">
        <v>7381</v>
      </c>
      <c r="E957">
        <v>1</v>
      </c>
      <c r="F957" t="str">
        <f t="shared" si="57"/>
        <v>nov</v>
      </c>
      <c r="G957">
        <v>20</v>
      </c>
      <c r="H957">
        <v>23</v>
      </c>
      <c r="I957" t="str">
        <f t="shared" si="56"/>
        <v>1-nov-2023</v>
      </c>
      <c r="K957" s="49">
        <f t="shared" si="58"/>
        <v>45231</v>
      </c>
      <c r="M957" t="b">
        <f t="shared" si="59"/>
        <v>1</v>
      </c>
    </row>
    <row r="958" spans="1:13" x14ac:dyDescent="0.3">
      <c r="A958" s="49">
        <v>45323</v>
      </c>
      <c r="D958" t="s">
        <v>7386</v>
      </c>
      <c r="E958">
        <v>1</v>
      </c>
      <c r="F958" t="str">
        <f t="shared" si="57"/>
        <v>abr</v>
      </c>
      <c r="G958">
        <v>20</v>
      </c>
      <c r="H958">
        <v>23</v>
      </c>
      <c r="I958" t="str">
        <f t="shared" si="56"/>
        <v>1-abr-2023</v>
      </c>
      <c r="K958" s="49">
        <f t="shared" si="58"/>
        <v>45017</v>
      </c>
      <c r="M958" t="b">
        <f t="shared" si="59"/>
        <v>1</v>
      </c>
    </row>
    <row r="959" spans="1:13" x14ac:dyDescent="0.3">
      <c r="A959" s="49">
        <v>45323</v>
      </c>
      <c r="D959" t="s">
        <v>7362</v>
      </c>
      <c r="E959">
        <v>1</v>
      </c>
      <c r="F959" t="str">
        <f t="shared" si="57"/>
        <v>ago</v>
      </c>
      <c r="G959">
        <v>20</v>
      </c>
      <c r="H959">
        <v>23</v>
      </c>
      <c r="I959" t="str">
        <f t="shared" si="56"/>
        <v>1-ago-2023</v>
      </c>
      <c r="K959" s="49">
        <f t="shared" si="58"/>
        <v>45139</v>
      </c>
      <c r="M959" t="b">
        <f t="shared" si="59"/>
        <v>1</v>
      </c>
    </row>
    <row r="960" spans="1:13" x14ac:dyDescent="0.3">
      <c r="A960" s="49">
        <v>45323</v>
      </c>
      <c r="D960" t="s">
        <v>7357</v>
      </c>
      <c r="E960">
        <v>1</v>
      </c>
      <c r="F960" t="str">
        <f t="shared" si="57"/>
        <v>oct</v>
      </c>
      <c r="G960">
        <v>20</v>
      </c>
      <c r="H960">
        <v>23</v>
      </c>
      <c r="I960" t="str">
        <f t="shared" si="56"/>
        <v>1-oct-2023</v>
      </c>
      <c r="K960" s="49">
        <f t="shared" si="58"/>
        <v>45200</v>
      </c>
      <c r="M960" t="b">
        <f t="shared" si="59"/>
        <v>1</v>
      </c>
    </row>
    <row r="961" spans="1:13" x14ac:dyDescent="0.3">
      <c r="A961" s="49">
        <v>45323</v>
      </c>
      <c r="D961" t="s">
        <v>7355</v>
      </c>
      <c r="E961">
        <v>1</v>
      </c>
      <c r="F961" t="str">
        <f t="shared" si="57"/>
        <v>sep</v>
      </c>
      <c r="G961">
        <v>20</v>
      </c>
      <c r="H961">
        <v>24</v>
      </c>
      <c r="I961" t="str">
        <f t="shared" ref="I961:I1024" si="60">_xlfn.CONCAT(E961,"-",F961,"-",G961,H961)</f>
        <v>1-sep-2024</v>
      </c>
      <c r="K961" s="49">
        <f t="shared" si="58"/>
        <v>45536</v>
      </c>
      <c r="M961" t="b">
        <f t="shared" si="59"/>
        <v>0</v>
      </c>
    </row>
    <row r="962" spans="1:13" x14ac:dyDescent="0.3">
      <c r="A962" s="49">
        <v>45323</v>
      </c>
      <c r="D962" t="s">
        <v>7379</v>
      </c>
      <c r="E962">
        <v>1</v>
      </c>
      <c r="F962" t="str">
        <f t="shared" ref="F962:F1025" si="61">LOWER(D962)</f>
        <v>oct</v>
      </c>
      <c r="G962">
        <v>20</v>
      </c>
      <c r="H962">
        <v>23</v>
      </c>
      <c r="I962" t="str">
        <f t="shared" si="60"/>
        <v>1-oct-2023</v>
      </c>
      <c r="K962" s="49">
        <f t="shared" ref="K962:K1025" si="62">DATEVALUE(I962)</f>
        <v>45200</v>
      </c>
      <c r="M962" t="b">
        <f t="shared" si="59"/>
        <v>1</v>
      </c>
    </row>
    <row r="963" spans="1:13" x14ac:dyDescent="0.3">
      <c r="A963" s="49">
        <v>45323</v>
      </c>
      <c r="D963" t="s">
        <v>7359</v>
      </c>
      <c r="E963">
        <v>1</v>
      </c>
      <c r="F963" t="str">
        <f t="shared" si="61"/>
        <v>jul</v>
      </c>
      <c r="G963">
        <v>20</v>
      </c>
      <c r="H963">
        <v>22</v>
      </c>
      <c r="I963" t="str">
        <f t="shared" si="60"/>
        <v>1-jul-2022</v>
      </c>
      <c r="K963" s="49">
        <f t="shared" si="62"/>
        <v>44743</v>
      </c>
      <c r="M963" t="b">
        <f t="shared" ref="M963:M1026" si="63">K963&lt;A963</f>
        <v>1</v>
      </c>
    </row>
    <row r="964" spans="1:13" x14ac:dyDescent="0.3">
      <c r="A964" s="49">
        <v>45323</v>
      </c>
      <c r="D964" t="s">
        <v>7364</v>
      </c>
      <c r="E964">
        <v>1</v>
      </c>
      <c r="F964" t="str">
        <f t="shared" si="61"/>
        <v>feb</v>
      </c>
      <c r="G964">
        <v>20</v>
      </c>
      <c r="H964">
        <v>24</v>
      </c>
      <c r="I964" t="str">
        <f t="shared" si="60"/>
        <v>1-feb-2024</v>
      </c>
      <c r="K964" s="49">
        <f t="shared" si="62"/>
        <v>45323</v>
      </c>
      <c r="M964" t="b">
        <f t="shared" si="63"/>
        <v>0</v>
      </c>
    </row>
    <row r="965" spans="1:13" x14ac:dyDescent="0.3">
      <c r="A965" s="49">
        <v>45323</v>
      </c>
      <c r="D965" t="s">
        <v>7362</v>
      </c>
      <c r="E965">
        <v>1</v>
      </c>
      <c r="F965" t="str">
        <f t="shared" si="61"/>
        <v>ago</v>
      </c>
      <c r="G965">
        <v>20</v>
      </c>
      <c r="H965">
        <v>23</v>
      </c>
      <c r="I965" t="str">
        <f t="shared" si="60"/>
        <v>1-ago-2023</v>
      </c>
      <c r="K965" s="49">
        <f t="shared" si="62"/>
        <v>45139</v>
      </c>
      <c r="M965" t="b">
        <f t="shared" si="63"/>
        <v>1</v>
      </c>
    </row>
    <row r="966" spans="1:13" x14ac:dyDescent="0.3">
      <c r="A966" s="49">
        <v>45323</v>
      </c>
      <c r="D966" t="s">
        <v>7370</v>
      </c>
      <c r="E966">
        <v>1</v>
      </c>
      <c r="F966" t="str">
        <f t="shared" si="61"/>
        <v>may</v>
      </c>
      <c r="G966">
        <v>20</v>
      </c>
      <c r="H966">
        <v>22</v>
      </c>
      <c r="I966" t="str">
        <f t="shared" si="60"/>
        <v>1-may-2022</v>
      </c>
      <c r="K966" s="49">
        <f t="shared" si="62"/>
        <v>44682</v>
      </c>
      <c r="M966" t="b">
        <f t="shared" si="63"/>
        <v>1</v>
      </c>
    </row>
    <row r="967" spans="1:13" x14ac:dyDescent="0.3">
      <c r="A967" s="49">
        <v>45323</v>
      </c>
      <c r="D967" t="s">
        <v>7369</v>
      </c>
      <c r="E967">
        <v>1</v>
      </c>
      <c r="F967" t="str">
        <f t="shared" si="61"/>
        <v>abr</v>
      </c>
      <c r="G967">
        <v>20</v>
      </c>
      <c r="H967">
        <v>23</v>
      </c>
      <c r="I967" t="str">
        <f t="shared" si="60"/>
        <v>1-abr-2023</v>
      </c>
      <c r="K967" s="49">
        <f t="shared" si="62"/>
        <v>45017</v>
      </c>
      <c r="M967" t="b">
        <f t="shared" si="63"/>
        <v>1</v>
      </c>
    </row>
    <row r="968" spans="1:13" x14ac:dyDescent="0.3">
      <c r="A968" s="49">
        <v>45323</v>
      </c>
      <c r="D968" t="s">
        <v>7364</v>
      </c>
      <c r="E968">
        <v>1</v>
      </c>
      <c r="F968" t="str">
        <f t="shared" si="61"/>
        <v>feb</v>
      </c>
      <c r="G968">
        <v>20</v>
      </c>
      <c r="H968">
        <v>23</v>
      </c>
      <c r="I968" t="str">
        <f t="shared" si="60"/>
        <v>1-feb-2023</v>
      </c>
      <c r="K968" s="49">
        <f t="shared" si="62"/>
        <v>44958</v>
      </c>
      <c r="M968" t="b">
        <f t="shared" si="63"/>
        <v>1</v>
      </c>
    </row>
    <row r="969" spans="1:13" x14ac:dyDescent="0.3">
      <c r="A969" s="49">
        <v>45323</v>
      </c>
      <c r="D969" t="s">
        <v>7362</v>
      </c>
      <c r="E969">
        <v>1</v>
      </c>
      <c r="F969" t="str">
        <f t="shared" si="61"/>
        <v>ago</v>
      </c>
      <c r="G969">
        <v>20</v>
      </c>
      <c r="H969">
        <v>22</v>
      </c>
      <c r="I969" t="str">
        <f t="shared" si="60"/>
        <v>1-ago-2022</v>
      </c>
      <c r="K969" s="49">
        <f t="shared" si="62"/>
        <v>44774</v>
      </c>
      <c r="M969" t="b">
        <f t="shared" si="63"/>
        <v>1</v>
      </c>
    </row>
    <row r="970" spans="1:13" x14ac:dyDescent="0.3">
      <c r="A970" s="49">
        <v>45323</v>
      </c>
      <c r="D970" t="s">
        <v>7370</v>
      </c>
      <c r="E970">
        <v>1</v>
      </c>
      <c r="F970" t="str">
        <f t="shared" si="61"/>
        <v>may</v>
      </c>
      <c r="G970">
        <v>20</v>
      </c>
      <c r="H970">
        <v>22</v>
      </c>
      <c r="I970" t="str">
        <f t="shared" si="60"/>
        <v>1-may-2022</v>
      </c>
      <c r="K970" s="49">
        <f t="shared" si="62"/>
        <v>44682</v>
      </c>
      <c r="M970" t="b">
        <f t="shared" si="63"/>
        <v>1</v>
      </c>
    </row>
    <row r="971" spans="1:13" x14ac:dyDescent="0.3">
      <c r="A971" s="49">
        <v>45323</v>
      </c>
      <c r="D971" t="s">
        <v>7359</v>
      </c>
      <c r="E971">
        <v>1</v>
      </c>
      <c r="F971" t="str">
        <f t="shared" si="61"/>
        <v>jul</v>
      </c>
      <c r="G971">
        <v>20</v>
      </c>
      <c r="H971">
        <v>22</v>
      </c>
      <c r="I971" t="str">
        <f t="shared" si="60"/>
        <v>1-jul-2022</v>
      </c>
      <c r="K971" s="49">
        <f t="shared" si="62"/>
        <v>44743</v>
      </c>
      <c r="M971" t="b">
        <f t="shared" si="63"/>
        <v>1</v>
      </c>
    </row>
    <row r="972" spans="1:13" x14ac:dyDescent="0.3">
      <c r="A972" s="49">
        <v>45323</v>
      </c>
      <c r="D972" t="s">
        <v>7375</v>
      </c>
      <c r="E972">
        <v>1</v>
      </c>
      <c r="F972" t="str">
        <f t="shared" si="61"/>
        <v>jun</v>
      </c>
      <c r="G972">
        <v>20</v>
      </c>
      <c r="H972">
        <v>23</v>
      </c>
      <c r="I972" t="str">
        <f t="shared" si="60"/>
        <v>1-jun-2023</v>
      </c>
      <c r="K972" s="49">
        <f t="shared" si="62"/>
        <v>45078</v>
      </c>
      <c r="M972" t="b">
        <f t="shared" si="63"/>
        <v>1</v>
      </c>
    </row>
    <row r="973" spans="1:13" x14ac:dyDescent="0.3">
      <c r="A973" s="49">
        <v>45323</v>
      </c>
      <c r="D973" t="s">
        <v>7384</v>
      </c>
      <c r="E973">
        <v>1</v>
      </c>
      <c r="F973" t="str">
        <f t="shared" si="61"/>
        <v>ene</v>
      </c>
      <c r="G973">
        <v>20</v>
      </c>
      <c r="H973">
        <v>27</v>
      </c>
      <c r="I973" t="str">
        <f t="shared" si="60"/>
        <v>1-ene-2027</v>
      </c>
      <c r="K973" s="49">
        <f t="shared" si="62"/>
        <v>46388</v>
      </c>
      <c r="M973" t="b">
        <f t="shared" si="63"/>
        <v>0</v>
      </c>
    </row>
    <row r="974" spans="1:13" x14ac:dyDescent="0.3">
      <c r="A974" s="49">
        <v>45323</v>
      </c>
      <c r="D974" t="s">
        <v>7364</v>
      </c>
      <c r="E974">
        <v>1</v>
      </c>
      <c r="F974" t="str">
        <f t="shared" si="61"/>
        <v>feb</v>
      </c>
      <c r="G974">
        <v>20</v>
      </c>
      <c r="H974">
        <v>24</v>
      </c>
      <c r="I974" t="str">
        <f t="shared" si="60"/>
        <v>1-feb-2024</v>
      </c>
      <c r="K974" s="49">
        <f t="shared" si="62"/>
        <v>45323</v>
      </c>
      <c r="M974" t="b">
        <f t="shared" si="63"/>
        <v>0</v>
      </c>
    </row>
    <row r="975" spans="1:13" x14ac:dyDescent="0.3">
      <c r="A975" s="49">
        <v>45323</v>
      </c>
      <c r="D975" t="s">
        <v>7363</v>
      </c>
      <c r="E975">
        <v>1</v>
      </c>
      <c r="F975" t="str">
        <f t="shared" si="61"/>
        <v>feb</v>
      </c>
      <c r="G975">
        <v>20</v>
      </c>
      <c r="H975">
        <v>24</v>
      </c>
      <c r="I975" t="str">
        <f t="shared" si="60"/>
        <v>1-feb-2024</v>
      </c>
      <c r="K975" s="49">
        <f t="shared" si="62"/>
        <v>45323</v>
      </c>
      <c r="M975" t="b">
        <f t="shared" si="63"/>
        <v>0</v>
      </c>
    </row>
    <row r="976" spans="1:13" x14ac:dyDescent="0.3">
      <c r="A976" s="49">
        <v>45323</v>
      </c>
      <c r="D976" t="s">
        <v>7363</v>
      </c>
      <c r="E976">
        <v>1</v>
      </c>
      <c r="F976" t="str">
        <f t="shared" si="61"/>
        <v>feb</v>
      </c>
      <c r="G976">
        <v>20</v>
      </c>
      <c r="H976">
        <v>24</v>
      </c>
      <c r="I976" t="str">
        <f t="shared" si="60"/>
        <v>1-feb-2024</v>
      </c>
      <c r="K976" s="49">
        <f t="shared" si="62"/>
        <v>45323</v>
      </c>
      <c r="M976" t="b">
        <f t="shared" si="63"/>
        <v>0</v>
      </c>
    </row>
    <row r="977" spans="1:13" x14ac:dyDescent="0.3">
      <c r="A977" s="49">
        <v>45323</v>
      </c>
      <c r="D977" t="s">
        <v>7370</v>
      </c>
      <c r="E977">
        <v>1</v>
      </c>
      <c r="F977" t="str">
        <f t="shared" si="61"/>
        <v>may</v>
      </c>
      <c r="G977">
        <v>20</v>
      </c>
      <c r="H977">
        <v>23</v>
      </c>
      <c r="I977" t="str">
        <f t="shared" si="60"/>
        <v>1-may-2023</v>
      </c>
      <c r="K977" s="49">
        <f t="shared" si="62"/>
        <v>45047</v>
      </c>
      <c r="M977" t="b">
        <f t="shared" si="63"/>
        <v>1</v>
      </c>
    </row>
    <row r="978" spans="1:13" x14ac:dyDescent="0.3">
      <c r="A978" s="49">
        <v>45323</v>
      </c>
      <c r="D978" t="s">
        <v>7387</v>
      </c>
      <c r="E978">
        <v>1</v>
      </c>
      <c r="F978" t="str">
        <f t="shared" si="61"/>
        <v>0ct</v>
      </c>
      <c r="G978">
        <v>20</v>
      </c>
      <c r="H978">
        <v>23</v>
      </c>
      <c r="I978" t="str">
        <f t="shared" si="60"/>
        <v>1-0ct-2023</v>
      </c>
      <c r="K978" s="49" t="e">
        <f t="shared" si="62"/>
        <v>#VALUE!</v>
      </c>
      <c r="M978" t="e">
        <f t="shared" si="63"/>
        <v>#VALUE!</v>
      </c>
    </row>
    <row r="979" spans="1:13" x14ac:dyDescent="0.3">
      <c r="A979" s="49">
        <v>45323</v>
      </c>
      <c r="D979" t="s">
        <v>7370</v>
      </c>
      <c r="E979">
        <v>1</v>
      </c>
      <c r="F979" t="str">
        <f t="shared" si="61"/>
        <v>may</v>
      </c>
      <c r="G979">
        <v>20</v>
      </c>
      <c r="H979">
        <v>23</v>
      </c>
      <c r="I979" t="str">
        <f t="shared" si="60"/>
        <v>1-may-2023</v>
      </c>
      <c r="K979" s="49">
        <f t="shared" si="62"/>
        <v>45047</v>
      </c>
      <c r="M979" t="b">
        <f t="shared" si="63"/>
        <v>1</v>
      </c>
    </row>
    <row r="980" spans="1:13" x14ac:dyDescent="0.3">
      <c r="A980" s="49">
        <v>45323</v>
      </c>
      <c r="D980" t="s">
        <v>7355</v>
      </c>
      <c r="E980">
        <v>1</v>
      </c>
      <c r="F980" t="str">
        <f t="shared" si="61"/>
        <v>sep</v>
      </c>
      <c r="G980">
        <v>20</v>
      </c>
      <c r="H980">
        <v>25</v>
      </c>
      <c r="I980" t="str">
        <f t="shared" si="60"/>
        <v>1-sep-2025</v>
      </c>
      <c r="K980" s="49">
        <f t="shared" si="62"/>
        <v>45901</v>
      </c>
      <c r="M980" t="b">
        <f t="shared" si="63"/>
        <v>0</v>
      </c>
    </row>
    <row r="981" spans="1:13" x14ac:dyDescent="0.3">
      <c r="A981" s="49">
        <v>45323</v>
      </c>
      <c r="D981" t="s">
        <v>7357</v>
      </c>
      <c r="E981">
        <v>1</v>
      </c>
      <c r="F981" t="str">
        <f t="shared" si="61"/>
        <v>oct</v>
      </c>
      <c r="G981">
        <v>20</v>
      </c>
      <c r="H981">
        <v>22</v>
      </c>
      <c r="I981" t="str">
        <f t="shared" si="60"/>
        <v>1-oct-2022</v>
      </c>
      <c r="K981" s="49">
        <f t="shared" si="62"/>
        <v>44835</v>
      </c>
      <c r="M981" t="b">
        <f t="shared" si="63"/>
        <v>1</v>
      </c>
    </row>
    <row r="982" spans="1:13" x14ac:dyDescent="0.3">
      <c r="A982" s="49">
        <v>45323</v>
      </c>
      <c r="D982" t="s">
        <v>7368</v>
      </c>
      <c r="E982">
        <v>1</v>
      </c>
      <c r="F982" t="str">
        <f t="shared" si="61"/>
        <v>mar</v>
      </c>
      <c r="G982">
        <v>20</v>
      </c>
      <c r="H982">
        <v>23</v>
      </c>
      <c r="I982" t="str">
        <f t="shared" si="60"/>
        <v>1-mar-2023</v>
      </c>
      <c r="K982" s="49">
        <f t="shared" si="62"/>
        <v>44986</v>
      </c>
      <c r="M982" t="b">
        <f t="shared" si="63"/>
        <v>1</v>
      </c>
    </row>
    <row r="983" spans="1:13" x14ac:dyDescent="0.3">
      <c r="A983" s="49">
        <v>45323</v>
      </c>
      <c r="D983" t="s">
        <v>7378</v>
      </c>
      <c r="E983">
        <v>1</v>
      </c>
      <c r="F983" t="str">
        <f t="shared" si="61"/>
        <v>mar</v>
      </c>
      <c r="G983">
        <v>20</v>
      </c>
      <c r="H983">
        <v>24</v>
      </c>
      <c r="I983" t="str">
        <f t="shared" si="60"/>
        <v>1-mar-2024</v>
      </c>
      <c r="K983" s="49">
        <f t="shared" si="62"/>
        <v>45352</v>
      </c>
      <c r="M983" t="b">
        <f t="shared" si="63"/>
        <v>0</v>
      </c>
    </row>
    <row r="984" spans="1:13" x14ac:dyDescent="0.3">
      <c r="A984" s="49">
        <v>45323</v>
      </c>
      <c r="D984" t="s">
        <v>7378</v>
      </c>
      <c r="E984">
        <v>1</v>
      </c>
      <c r="F984" t="str">
        <f t="shared" si="61"/>
        <v>mar</v>
      </c>
      <c r="G984">
        <v>20</v>
      </c>
      <c r="H984">
        <v>24</v>
      </c>
      <c r="I984" t="str">
        <f t="shared" si="60"/>
        <v>1-mar-2024</v>
      </c>
      <c r="K984" s="49">
        <f t="shared" si="62"/>
        <v>45352</v>
      </c>
      <c r="M984" t="b">
        <f t="shared" si="63"/>
        <v>0</v>
      </c>
    </row>
    <row r="985" spans="1:13" x14ac:dyDescent="0.3">
      <c r="A985" s="49">
        <v>45323</v>
      </c>
      <c r="D985" t="s">
        <v>7356</v>
      </c>
      <c r="E985">
        <v>1</v>
      </c>
      <c r="F985" t="str">
        <f t="shared" si="61"/>
        <v>ene</v>
      </c>
      <c r="G985">
        <v>20</v>
      </c>
      <c r="H985">
        <v>24</v>
      </c>
      <c r="I985" t="str">
        <f t="shared" si="60"/>
        <v>1-ene-2024</v>
      </c>
      <c r="K985" s="49">
        <f t="shared" si="62"/>
        <v>45292</v>
      </c>
      <c r="M985" t="b">
        <f t="shared" si="63"/>
        <v>1</v>
      </c>
    </row>
    <row r="986" spans="1:13" x14ac:dyDescent="0.3">
      <c r="A986" s="49">
        <v>45323</v>
      </c>
      <c r="D986" t="s">
        <v>7365</v>
      </c>
      <c r="E986">
        <v>1</v>
      </c>
      <c r="F986" t="str">
        <f t="shared" si="61"/>
        <v>may</v>
      </c>
      <c r="G986">
        <v>20</v>
      </c>
      <c r="H986">
        <v>25</v>
      </c>
      <c r="I986" t="str">
        <f t="shared" si="60"/>
        <v>1-may-2025</v>
      </c>
      <c r="K986" s="49">
        <f t="shared" si="62"/>
        <v>45778</v>
      </c>
      <c r="M986" t="b">
        <f t="shared" si="63"/>
        <v>0</v>
      </c>
    </row>
    <row r="987" spans="1:13" x14ac:dyDescent="0.3">
      <c r="A987" s="49">
        <v>45323</v>
      </c>
      <c r="D987" t="s">
        <v>7368</v>
      </c>
      <c r="E987">
        <v>1</v>
      </c>
      <c r="F987" t="str">
        <f t="shared" si="61"/>
        <v>mar</v>
      </c>
      <c r="G987">
        <v>20</v>
      </c>
      <c r="H987">
        <v>24</v>
      </c>
      <c r="I987" t="str">
        <f t="shared" si="60"/>
        <v>1-mar-2024</v>
      </c>
      <c r="K987" s="49">
        <f t="shared" si="62"/>
        <v>45352</v>
      </c>
      <c r="M987" t="b">
        <f t="shared" si="63"/>
        <v>0</v>
      </c>
    </row>
    <row r="988" spans="1:13" x14ac:dyDescent="0.3">
      <c r="A988" s="49">
        <v>45323</v>
      </c>
      <c r="D988" t="s">
        <v>7366</v>
      </c>
      <c r="E988">
        <v>1</v>
      </c>
      <c r="F988" t="str">
        <f t="shared" si="61"/>
        <v>dic</v>
      </c>
      <c r="G988">
        <v>20</v>
      </c>
      <c r="H988">
        <v>23</v>
      </c>
      <c r="I988" t="str">
        <f t="shared" si="60"/>
        <v>1-dic-2023</v>
      </c>
      <c r="K988" s="49">
        <f t="shared" si="62"/>
        <v>45261</v>
      </c>
      <c r="M988" t="b">
        <f t="shared" si="63"/>
        <v>1</v>
      </c>
    </row>
    <row r="989" spans="1:13" x14ac:dyDescent="0.3">
      <c r="A989" s="49">
        <v>45323</v>
      </c>
      <c r="D989" t="s">
        <v>7359</v>
      </c>
      <c r="E989">
        <v>1</v>
      </c>
      <c r="F989" t="str">
        <f t="shared" si="61"/>
        <v>jul</v>
      </c>
      <c r="G989">
        <v>20</v>
      </c>
      <c r="H989">
        <v>24</v>
      </c>
      <c r="I989" t="str">
        <f t="shared" si="60"/>
        <v>1-jul-2024</v>
      </c>
      <c r="K989" s="49">
        <f t="shared" si="62"/>
        <v>45474</v>
      </c>
      <c r="M989" t="b">
        <f t="shared" si="63"/>
        <v>0</v>
      </c>
    </row>
    <row r="990" spans="1:13" x14ac:dyDescent="0.3">
      <c r="A990" s="49">
        <v>45323</v>
      </c>
      <c r="D990" t="s">
        <v>7363</v>
      </c>
      <c r="E990">
        <v>1</v>
      </c>
      <c r="F990" t="str">
        <f t="shared" si="61"/>
        <v>feb</v>
      </c>
      <c r="G990">
        <v>20</v>
      </c>
      <c r="H990">
        <v>24</v>
      </c>
      <c r="I990" t="str">
        <f t="shared" si="60"/>
        <v>1-feb-2024</v>
      </c>
      <c r="K990" s="49">
        <f t="shared" si="62"/>
        <v>45323</v>
      </c>
      <c r="M990" t="b">
        <f t="shared" si="63"/>
        <v>0</v>
      </c>
    </row>
    <row r="991" spans="1:13" x14ac:dyDescent="0.3">
      <c r="A991" s="49">
        <v>45323</v>
      </c>
      <c r="D991" t="s">
        <v>7375</v>
      </c>
      <c r="E991">
        <v>1</v>
      </c>
      <c r="F991" t="str">
        <f t="shared" si="61"/>
        <v>jun</v>
      </c>
      <c r="G991">
        <v>20</v>
      </c>
      <c r="H991">
        <v>23</v>
      </c>
      <c r="I991" t="str">
        <f t="shared" si="60"/>
        <v>1-jun-2023</v>
      </c>
      <c r="K991" s="49">
        <f t="shared" si="62"/>
        <v>45078</v>
      </c>
      <c r="M991" t="b">
        <f t="shared" si="63"/>
        <v>1</v>
      </c>
    </row>
    <row r="992" spans="1:13" x14ac:dyDescent="0.3">
      <c r="A992" s="49">
        <v>45323</v>
      </c>
      <c r="D992" t="s">
        <v>7376</v>
      </c>
      <c r="E992">
        <v>1</v>
      </c>
      <c r="F992" t="str">
        <f t="shared" si="61"/>
        <v>sep</v>
      </c>
      <c r="G992">
        <v>20</v>
      </c>
      <c r="H992">
        <v>24</v>
      </c>
      <c r="I992" t="str">
        <f t="shared" si="60"/>
        <v>1-sep-2024</v>
      </c>
      <c r="K992" s="49">
        <f t="shared" si="62"/>
        <v>45536</v>
      </c>
      <c r="M992" t="b">
        <f t="shared" si="63"/>
        <v>0</v>
      </c>
    </row>
    <row r="993" spans="1:13" x14ac:dyDescent="0.3">
      <c r="A993" s="49">
        <v>45323</v>
      </c>
      <c r="D993" t="s">
        <v>7374</v>
      </c>
      <c r="E993">
        <v>1</v>
      </c>
      <c r="F993" t="str">
        <f t="shared" si="61"/>
        <v>ago</v>
      </c>
      <c r="G993">
        <v>20</v>
      </c>
      <c r="H993">
        <v>23</v>
      </c>
      <c r="I993" t="str">
        <f t="shared" si="60"/>
        <v>1-ago-2023</v>
      </c>
      <c r="K993" s="49">
        <f t="shared" si="62"/>
        <v>45139</v>
      </c>
      <c r="M993" t="b">
        <f t="shared" si="63"/>
        <v>1</v>
      </c>
    </row>
    <row r="994" spans="1:13" x14ac:dyDescent="0.3">
      <c r="A994" s="49">
        <v>45323</v>
      </c>
      <c r="D994" t="s">
        <v>7371</v>
      </c>
      <c r="E994">
        <v>1</v>
      </c>
      <c r="F994" t="str">
        <f t="shared" si="61"/>
        <v>jul</v>
      </c>
      <c r="G994">
        <v>20</v>
      </c>
      <c r="H994">
        <v>25</v>
      </c>
      <c r="I994" t="str">
        <f t="shared" si="60"/>
        <v>1-jul-2025</v>
      </c>
      <c r="K994" s="49">
        <f t="shared" si="62"/>
        <v>45839</v>
      </c>
      <c r="M994" t="b">
        <f t="shared" si="63"/>
        <v>0</v>
      </c>
    </row>
    <row r="995" spans="1:13" x14ac:dyDescent="0.3">
      <c r="A995" s="49">
        <v>45323</v>
      </c>
      <c r="D995" t="s">
        <v>7386</v>
      </c>
      <c r="E995">
        <v>1</v>
      </c>
      <c r="F995" t="str">
        <f t="shared" si="61"/>
        <v>abr</v>
      </c>
      <c r="G995">
        <v>20</v>
      </c>
      <c r="H995">
        <v>24</v>
      </c>
      <c r="I995" t="str">
        <f t="shared" si="60"/>
        <v>1-abr-2024</v>
      </c>
      <c r="K995" s="49">
        <f t="shared" si="62"/>
        <v>45383</v>
      </c>
      <c r="M995" t="b">
        <f t="shared" si="63"/>
        <v>0</v>
      </c>
    </row>
    <row r="996" spans="1:13" x14ac:dyDescent="0.3">
      <c r="A996" s="49">
        <v>45323</v>
      </c>
      <c r="D996" t="s">
        <v>7355</v>
      </c>
      <c r="E996">
        <v>1</v>
      </c>
      <c r="F996" t="str">
        <f t="shared" si="61"/>
        <v>sep</v>
      </c>
      <c r="G996">
        <v>20</v>
      </c>
      <c r="H996">
        <v>24</v>
      </c>
      <c r="I996" t="str">
        <f t="shared" si="60"/>
        <v>1-sep-2024</v>
      </c>
      <c r="K996" s="49">
        <f t="shared" si="62"/>
        <v>45536</v>
      </c>
      <c r="M996" t="b">
        <f t="shared" si="63"/>
        <v>0</v>
      </c>
    </row>
    <row r="997" spans="1:13" x14ac:dyDescent="0.3">
      <c r="A997" s="49">
        <v>45323</v>
      </c>
      <c r="D997" t="s">
        <v>7368</v>
      </c>
      <c r="E997">
        <v>1</v>
      </c>
      <c r="F997" t="str">
        <f t="shared" si="61"/>
        <v>mar</v>
      </c>
      <c r="G997">
        <v>20</v>
      </c>
      <c r="H997">
        <v>23</v>
      </c>
      <c r="I997" t="str">
        <f t="shared" si="60"/>
        <v>1-mar-2023</v>
      </c>
      <c r="K997" s="49">
        <f t="shared" si="62"/>
        <v>44986</v>
      </c>
      <c r="M997" t="b">
        <f t="shared" si="63"/>
        <v>1</v>
      </c>
    </row>
    <row r="998" spans="1:13" x14ac:dyDescent="0.3">
      <c r="A998" s="49">
        <v>45323</v>
      </c>
      <c r="D998" t="s">
        <v>7356</v>
      </c>
      <c r="E998">
        <v>1</v>
      </c>
      <c r="F998" t="str">
        <f t="shared" si="61"/>
        <v>ene</v>
      </c>
      <c r="G998">
        <v>20</v>
      </c>
      <c r="H998">
        <v>22</v>
      </c>
      <c r="I998" t="str">
        <f t="shared" si="60"/>
        <v>1-ene-2022</v>
      </c>
      <c r="K998" s="49">
        <f t="shared" si="62"/>
        <v>44562</v>
      </c>
      <c r="M998" t="b">
        <f t="shared" si="63"/>
        <v>1</v>
      </c>
    </row>
    <row r="999" spans="1:13" x14ac:dyDescent="0.3">
      <c r="A999" s="49">
        <v>45323</v>
      </c>
      <c r="D999" t="s">
        <v>7356</v>
      </c>
      <c r="E999">
        <v>1</v>
      </c>
      <c r="F999" t="str">
        <f t="shared" si="61"/>
        <v>ene</v>
      </c>
      <c r="G999">
        <v>20</v>
      </c>
      <c r="H999">
        <v>22</v>
      </c>
      <c r="I999" t="str">
        <f t="shared" si="60"/>
        <v>1-ene-2022</v>
      </c>
      <c r="K999" s="49">
        <f t="shared" si="62"/>
        <v>44562</v>
      </c>
      <c r="M999" t="b">
        <f t="shared" si="63"/>
        <v>1</v>
      </c>
    </row>
    <row r="1000" spans="1:13" x14ac:dyDescent="0.3">
      <c r="A1000" s="49">
        <v>45323</v>
      </c>
      <c r="D1000" t="s">
        <v>7356</v>
      </c>
      <c r="E1000">
        <v>1</v>
      </c>
      <c r="F1000" t="str">
        <f t="shared" si="61"/>
        <v>ene</v>
      </c>
      <c r="G1000">
        <v>20</v>
      </c>
      <c r="H1000">
        <v>22</v>
      </c>
      <c r="I1000" t="str">
        <f t="shared" si="60"/>
        <v>1-ene-2022</v>
      </c>
      <c r="K1000" s="49">
        <f t="shared" si="62"/>
        <v>44562</v>
      </c>
      <c r="M1000" t="b">
        <f t="shared" si="63"/>
        <v>1</v>
      </c>
    </row>
    <row r="1001" spans="1:13" x14ac:dyDescent="0.3">
      <c r="A1001" s="49">
        <v>45323</v>
      </c>
      <c r="D1001" t="s">
        <v>7370</v>
      </c>
      <c r="E1001">
        <v>1</v>
      </c>
      <c r="F1001" t="str">
        <f t="shared" si="61"/>
        <v>may</v>
      </c>
      <c r="G1001">
        <v>20</v>
      </c>
      <c r="H1001">
        <v>23</v>
      </c>
      <c r="I1001" t="str">
        <f t="shared" si="60"/>
        <v>1-may-2023</v>
      </c>
      <c r="K1001" s="49">
        <f t="shared" si="62"/>
        <v>45047</v>
      </c>
      <c r="M1001" t="b">
        <f t="shared" si="63"/>
        <v>1</v>
      </c>
    </row>
    <row r="1002" spans="1:13" x14ac:dyDescent="0.3">
      <c r="A1002" s="49">
        <v>45323</v>
      </c>
      <c r="D1002" t="s">
        <v>7357</v>
      </c>
      <c r="E1002">
        <v>1</v>
      </c>
      <c r="F1002" t="str">
        <f t="shared" si="61"/>
        <v>oct</v>
      </c>
      <c r="G1002">
        <v>20</v>
      </c>
      <c r="H1002">
        <v>23</v>
      </c>
      <c r="I1002" t="str">
        <f t="shared" si="60"/>
        <v>1-oct-2023</v>
      </c>
      <c r="K1002" s="49">
        <f t="shared" si="62"/>
        <v>45200</v>
      </c>
      <c r="M1002" t="b">
        <f t="shared" si="63"/>
        <v>1</v>
      </c>
    </row>
    <row r="1003" spans="1:13" x14ac:dyDescent="0.3">
      <c r="A1003" s="49">
        <v>45323</v>
      </c>
      <c r="D1003" t="s">
        <v>7388</v>
      </c>
      <c r="E1003">
        <v>1</v>
      </c>
      <c r="F1003" t="str">
        <f t="shared" si="61"/>
        <v xml:space="preserve">ene </v>
      </c>
      <c r="G1003">
        <v>20</v>
      </c>
      <c r="H1003">
        <v>25</v>
      </c>
      <c r="I1003" t="str">
        <f t="shared" si="60"/>
        <v>1-ene -2025</v>
      </c>
      <c r="K1003" s="49">
        <f t="shared" si="62"/>
        <v>45658</v>
      </c>
      <c r="M1003" t="b">
        <f t="shared" si="63"/>
        <v>0</v>
      </c>
    </row>
    <row r="1004" spans="1:13" x14ac:dyDescent="0.3">
      <c r="A1004" s="49">
        <v>45323</v>
      </c>
      <c r="D1004" t="s">
        <v>7388</v>
      </c>
      <c r="E1004">
        <v>1</v>
      </c>
      <c r="F1004" t="str">
        <f t="shared" si="61"/>
        <v xml:space="preserve">ene </v>
      </c>
      <c r="G1004">
        <v>20</v>
      </c>
      <c r="H1004">
        <v>25</v>
      </c>
      <c r="I1004" t="str">
        <f t="shared" si="60"/>
        <v>1-ene -2025</v>
      </c>
      <c r="K1004" s="49">
        <f t="shared" si="62"/>
        <v>45658</v>
      </c>
      <c r="M1004" t="b">
        <f t="shared" si="63"/>
        <v>0</v>
      </c>
    </row>
    <row r="1005" spans="1:13" x14ac:dyDescent="0.3">
      <c r="A1005" s="49">
        <v>45323</v>
      </c>
      <c r="D1005" t="s">
        <v>7389</v>
      </c>
      <c r="E1005">
        <v>1</v>
      </c>
      <c r="F1005" t="str">
        <f t="shared" si="61"/>
        <v xml:space="preserve">sep </v>
      </c>
      <c r="G1005">
        <v>20</v>
      </c>
      <c r="H1005">
        <v>24</v>
      </c>
      <c r="I1005" t="str">
        <f t="shared" si="60"/>
        <v>1-sep -2024</v>
      </c>
      <c r="K1005" s="49">
        <f t="shared" si="62"/>
        <v>45536</v>
      </c>
      <c r="M1005" t="b">
        <f t="shared" si="63"/>
        <v>0</v>
      </c>
    </row>
    <row r="1006" spans="1:13" x14ac:dyDescent="0.3">
      <c r="A1006" s="49">
        <v>45323</v>
      </c>
      <c r="D1006" t="s">
        <v>7389</v>
      </c>
      <c r="E1006">
        <v>1</v>
      </c>
      <c r="F1006" t="str">
        <f t="shared" si="61"/>
        <v xml:space="preserve">sep </v>
      </c>
      <c r="G1006">
        <v>20</v>
      </c>
      <c r="H1006">
        <v>24</v>
      </c>
      <c r="I1006" t="str">
        <f t="shared" si="60"/>
        <v>1-sep -2024</v>
      </c>
      <c r="K1006" s="49">
        <f t="shared" si="62"/>
        <v>45536</v>
      </c>
      <c r="M1006" t="b">
        <f t="shared" si="63"/>
        <v>0</v>
      </c>
    </row>
    <row r="1007" spans="1:13" x14ac:dyDescent="0.3">
      <c r="A1007" s="49">
        <v>45323</v>
      </c>
      <c r="D1007" t="s">
        <v>7370</v>
      </c>
      <c r="E1007">
        <v>1</v>
      </c>
      <c r="F1007" t="str">
        <f t="shared" si="61"/>
        <v>may</v>
      </c>
      <c r="G1007">
        <v>20</v>
      </c>
      <c r="H1007">
        <v>22</v>
      </c>
      <c r="I1007" t="str">
        <f t="shared" si="60"/>
        <v>1-may-2022</v>
      </c>
      <c r="K1007" s="49">
        <f t="shared" si="62"/>
        <v>44682</v>
      </c>
      <c r="M1007" t="b">
        <f t="shared" si="63"/>
        <v>1</v>
      </c>
    </row>
    <row r="1008" spans="1:13" x14ac:dyDescent="0.3">
      <c r="A1008" s="49">
        <v>45323</v>
      </c>
      <c r="D1008" t="s">
        <v>7368</v>
      </c>
      <c r="E1008">
        <v>1</v>
      </c>
      <c r="F1008" t="str">
        <f t="shared" si="61"/>
        <v>mar</v>
      </c>
      <c r="G1008">
        <v>20</v>
      </c>
      <c r="H1008">
        <v>23</v>
      </c>
      <c r="I1008" t="str">
        <f t="shared" si="60"/>
        <v>1-mar-2023</v>
      </c>
      <c r="K1008" s="49">
        <f t="shared" si="62"/>
        <v>44986</v>
      </c>
      <c r="M1008" t="b">
        <f t="shared" si="63"/>
        <v>1</v>
      </c>
    </row>
    <row r="1009" spans="1:13" x14ac:dyDescent="0.3">
      <c r="A1009" s="49">
        <v>45323</v>
      </c>
      <c r="D1009" t="s">
        <v>7355</v>
      </c>
      <c r="E1009">
        <v>1</v>
      </c>
      <c r="F1009" t="str">
        <f t="shared" si="61"/>
        <v>sep</v>
      </c>
      <c r="G1009">
        <v>20</v>
      </c>
      <c r="H1009">
        <v>23</v>
      </c>
      <c r="I1009" t="str">
        <f t="shared" si="60"/>
        <v>1-sep-2023</v>
      </c>
      <c r="K1009" s="49">
        <f t="shared" si="62"/>
        <v>45170</v>
      </c>
      <c r="M1009" t="b">
        <f t="shared" si="63"/>
        <v>1</v>
      </c>
    </row>
    <row r="1010" spans="1:13" x14ac:dyDescent="0.3">
      <c r="A1010" s="49">
        <v>45323</v>
      </c>
      <c r="D1010" t="s">
        <v>7360</v>
      </c>
      <c r="E1010">
        <v>1</v>
      </c>
      <c r="F1010" t="str">
        <f t="shared" si="61"/>
        <v>nov</v>
      </c>
      <c r="G1010">
        <v>20</v>
      </c>
      <c r="H1010">
        <v>22</v>
      </c>
      <c r="I1010" t="str">
        <f t="shared" si="60"/>
        <v>1-nov-2022</v>
      </c>
      <c r="K1010" s="49">
        <f t="shared" si="62"/>
        <v>44866</v>
      </c>
      <c r="M1010" t="b">
        <f t="shared" si="63"/>
        <v>1</v>
      </c>
    </row>
    <row r="1011" spans="1:13" x14ac:dyDescent="0.3">
      <c r="A1011" s="49">
        <v>45323</v>
      </c>
      <c r="D1011" t="s">
        <v>7360</v>
      </c>
      <c r="E1011">
        <v>1</v>
      </c>
      <c r="F1011" t="str">
        <f t="shared" si="61"/>
        <v>nov</v>
      </c>
      <c r="G1011">
        <v>20</v>
      </c>
      <c r="H1011">
        <v>23</v>
      </c>
      <c r="I1011" t="str">
        <f t="shared" si="60"/>
        <v>1-nov-2023</v>
      </c>
      <c r="K1011" s="49">
        <f t="shared" si="62"/>
        <v>45231</v>
      </c>
      <c r="M1011" t="b">
        <f t="shared" si="63"/>
        <v>1</v>
      </c>
    </row>
    <row r="1012" spans="1:13" x14ac:dyDescent="0.3">
      <c r="A1012" s="49">
        <v>45323</v>
      </c>
      <c r="D1012" t="s">
        <v>7360</v>
      </c>
      <c r="E1012">
        <v>1</v>
      </c>
      <c r="F1012" t="str">
        <f t="shared" si="61"/>
        <v>nov</v>
      </c>
      <c r="G1012">
        <v>20</v>
      </c>
      <c r="H1012">
        <v>23</v>
      </c>
      <c r="I1012" t="str">
        <f t="shared" si="60"/>
        <v>1-nov-2023</v>
      </c>
      <c r="K1012" s="49">
        <f t="shared" si="62"/>
        <v>45231</v>
      </c>
      <c r="M1012" t="b">
        <f t="shared" si="63"/>
        <v>1</v>
      </c>
    </row>
    <row r="1013" spans="1:13" x14ac:dyDescent="0.3">
      <c r="A1013" s="49">
        <v>45323</v>
      </c>
      <c r="D1013" t="s">
        <v>7357</v>
      </c>
      <c r="E1013">
        <v>1</v>
      </c>
      <c r="F1013" t="str">
        <f t="shared" si="61"/>
        <v>oct</v>
      </c>
      <c r="G1013">
        <v>20</v>
      </c>
      <c r="H1013">
        <v>22</v>
      </c>
      <c r="I1013" t="str">
        <f t="shared" si="60"/>
        <v>1-oct-2022</v>
      </c>
      <c r="K1013" s="49">
        <f t="shared" si="62"/>
        <v>44835</v>
      </c>
      <c r="M1013" t="b">
        <f t="shared" si="63"/>
        <v>1</v>
      </c>
    </row>
    <row r="1014" spans="1:13" x14ac:dyDescent="0.3">
      <c r="A1014" s="49">
        <v>45323</v>
      </c>
      <c r="D1014" t="s">
        <v>7367</v>
      </c>
      <c r="E1014">
        <v>1</v>
      </c>
      <c r="F1014" t="str">
        <f t="shared" si="61"/>
        <v>jun</v>
      </c>
      <c r="G1014">
        <v>20</v>
      </c>
      <c r="H1014">
        <v>22</v>
      </c>
      <c r="I1014" t="str">
        <f t="shared" si="60"/>
        <v>1-jun-2022</v>
      </c>
      <c r="K1014" s="49">
        <f t="shared" si="62"/>
        <v>44713</v>
      </c>
      <c r="M1014" t="b">
        <f t="shared" si="63"/>
        <v>1</v>
      </c>
    </row>
    <row r="1015" spans="1:13" x14ac:dyDescent="0.3">
      <c r="A1015" s="49">
        <v>45323</v>
      </c>
      <c r="D1015" t="s">
        <v>7369</v>
      </c>
      <c r="E1015">
        <v>1</v>
      </c>
      <c r="F1015" t="str">
        <f t="shared" si="61"/>
        <v>abr</v>
      </c>
      <c r="G1015">
        <v>20</v>
      </c>
      <c r="H1015">
        <v>21</v>
      </c>
      <c r="I1015" t="str">
        <f t="shared" si="60"/>
        <v>1-abr-2021</v>
      </c>
      <c r="K1015" s="49">
        <f t="shared" si="62"/>
        <v>44287</v>
      </c>
      <c r="M1015" t="b">
        <f t="shared" si="63"/>
        <v>1</v>
      </c>
    </row>
    <row r="1016" spans="1:13" x14ac:dyDescent="0.3">
      <c r="A1016" s="49">
        <v>45323</v>
      </c>
      <c r="D1016" t="s">
        <v>7366</v>
      </c>
      <c r="E1016">
        <v>1</v>
      </c>
      <c r="F1016" t="str">
        <f t="shared" si="61"/>
        <v>dic</v>
      </c>
      <c r="G1016">
        <v>20</v>
      </c>
      <c r="H1016">
        <v>23</v>
      </c>
      <c r="I1016" t="str">
        <f t="shared" si="60"/>
        <v>1-dic-2023</v>
      </c>
      <c r="K1016" s="49">
        <f t="shared" si="62"/>
        <v>45261</v>
      </c>
      <c r="M1016" t="b">
        <f t="shared" si="63"/>
        <v>1</v>
      </c>
    </row>
    <row r="1017" spans="1:13" x14ac:dyDescent="0.3">
      <c r="A1017" s="49">
        <v>45323</v>
      </c>
      <c r="D1017" t="s">
        <v>7390</v>
      </c>
      <c r="E1017">
        <v>1</v>
      </c>
      <c r="F1017" t="str">
        <f t="shared" si="61"/>
        <v>agos</v>
      </c>
      <c r="G1017">
        <v>20</v>
      </c>
      <c r="H1017">
        <v>23</v>
      </c>
      <c r="I1017" t="str">
        <f t="shared" si="60"/>
        <v>1-agos-2023</v>
      </c>
      <c r="K1017" s="49">
        <f t="shared" si="62"/>
        <v>45139</v>
      </c>
      <c r="M1017" t="b">
        <f t="shared" si="63"/>
        <v>1</v>
      </c>
    </row>
    <row r="1018" spans="1:13" x14ac:dyDescent="0.3">
      <c r="A1018" s="49">
        <v>45323</v>
      </c>
      <c r="D1018" t="s">
        <v>7390</v>
      </c>
      <c r="E1018">
        <v>1</v>
      </c>
      <c r="F1018" t="str">
        <f t="shared" si="61"/>
        <v>agos</v>
      </c>
      <c r="G1018">
        <v>20</v>
      </c>
      <c r="H1018">
        <v>23</v>
      </c>
      <c r="I1018" t="str">
        <f t="shared" si="60"/>
        <v>1-agos-2023</v>
      </c>
      <c r="K1018" s="49">
        <f t="shared" si="62"/>
        <v>45139</v>
      </c>
      <c r="M1018" t="b">
        <f t="shared" si="63"/>
        <v>1</v>
      </c>
    </row>
    <row r="1019" spans="1:13" x14ac:dyDescent="0.3">
      <c r="A1019" s="49">
        <v>45323</v>
      </c>
      <c r="D1019" t="s">
        <v>7360</v>
      </c>
      <c r="E1019">
        <v>1</v>
      </c>
      <c r="F1019" t="str">
        <f t="shared" si="61"/>
        <v>nov</v>
      </c>
      <c r="G1019">
        <v>20</v>
      </c>
      <c r="H1019">
        <v>23</v>
      </c>
      <c r="I1019" t="str">
        <f t="shared" si="60"/>
        <v>1-nov-2023</v>
      </c>
      <c r="K1019" s="49">
        <f t="shared" si="62"/>
        <v>45231</v>
      </c>
      <c r="M1019" t="b">
        <f t="shared" si="63"/>
        <v>1</v>
      </c>
    </row>
    <row r="1020" spans="1:13" x14ac:dyDescent="0.3">
      <c r="A1020" s="49">
        <v>45323</v>
      </c>
      <c r="D1020" t="s">
        <v>7366</v>
      </c>
      <c r="E1020">
        <v>1</v>
      </c>
      <c r="F1020" t="str">
        <f t="shared" si="61"/>
        <v>dic</v>
      </c>
      <c r="G1020">
        <v>20</v>
      </c>
      <c r="H1020">
        <v>22</v>
      </c>
      <c r="I1020" t="str">
        <f t="shared" si="60"/>
        <v>1-dic-2022</v>
      </c>
      <c r="K1020" s="49">
        <f t="shared" si="62"/>
        <v>44896</v>
      </c>
      <c r="M1020" t="b">
        <f t="shared" si="63"/>
        <v>1</v>
      </c>
    </row>
    <row r="1021" spans="1:13" x14ac:dyDescent="0.3">
      <c r="A1021" s="49">
        <v>45323</v>
      </c>
      <c r="D1021" t="s">
        <v>7360</v>
      </c>
      <c r="E1021">
        <v>1</v>
      </c>
      <c r="F1021" t="str">
        <f t="shared" si="61"/>
        <v>nov</v>
      </c>
      <c r="G1021">
        <v>20</v>
      </c>
      <c r="H1021">
        <v>23</v>
      </c>
      <c r="I1021" t="str">
        <f t="shared" si="60"/>
        <v>1-nov-2023</v>
      </c>
      <c r="K1021" s="49">
        <f t="shared" si="62"/>
        <v>45231</v>
      </c>
      <c r="M1021" t="b">
        <f t="shared" si="63"/>
        <v>1</v>
      </c>
    </row>
    <row r="1022" spans="1:13" x14ac:dyDescent="0.3">
      <c r="A1022" s="49">
        <v>45323</v>
      </c>
      <c r="D1022" t="s">
        <v>7357</v>
      </c>
      <c r="E1022">
        <v>1</v>
      </c>
      <c r="F1022" t="str">
        <f t="shared" si="61"/>
        <v>oct</v>
      </c>
      <c r="G1022">
        <v>20</v>
      </c>
      <c r="H1022">
        <v>23</v>
      </c>
      <c r="I1022" t="str">
        <f t="shared" si="60"/>
        <v>1-oct-2023</v>
      </c>
      <c r="K1022" s="49">
        <f t="shared" si="62"/>
        <v>45200</v>
      </c>
      <c r="M1022" t="b">
        <f t="shared" si="63"/>
        <v>1</v>
      </c>
    </row>
    <row r="1023" spans="1:13" x14ac:dyDescent="0.3">
      <c r="A1023" s="49">
        <v>45323</v>
      </c>
      <c r="D1023" t="s">
        <v>7355</v>
      </c>
      <c r="E1023">
        <v>1</v>
      </c>
      <c r="F1023" t="str">
        <f t="shared" si="61"/>
        <v>sep</v>
      </c>
      <c r="G1023">
        <v>20</v>
      </c>
      <c r="H1023">
        <v>23</v>
      </c>
      <c r="I1023" t="str">
        <f t="shared" si="60"/>
        <v>1-sep-2023</v>
      </c>
      <c r="K1023" s="49">
        <f t="shared" si="62"/>
        <v>45170</v>
      </c>
      <c r="M1023" t="b">
        <f t="shared" si="63"/>
        <v>1</v>
      </c>
    </row>
    <row r="1024" spans="1:13" x14ac:dyDescent="0.3">
      <c r="A1024" s="49">
        <v>45323</v>
      </c>
      <c r="D1024" t="s">
        <v>7367</v>
      </c>
      <c r="E1024">
        <v>1</v>
      </c>
      <c r="F1024" t="str">
        <f t="shared" si="61"/>
        <v>jun</v>
      </c>
      <c r="G1024">
        <v>20</v>
      </c>
      <c r="H1024">
        <v>22</v>
      </c>
      <c r="I1024" t="str">
        <f t="shared" si="60"/>
        <v>1-jun-2022</v>
      </c>
      <c r="K1024" s="49">
        <f t="shared" si="62"/>
        <v>44713</v>
      </c>
      <c r="M1024" t="b">
        <f t="shared" si="63"/>
        <v>1</v>
      </c>
    </row>
    <row r="1025" spans="1:13" x14ac:dyDescent="0.3">
      <c r="A1025" s="49">
        <v>45323</v>
      </c>
      <c r="D1025" t="s">
        <v>7388</v>
      </c>
      <c r="E1025">
        <v>1</v>
      </c>
      <c r="F1025" t="str">
        <f t="shared" si="61"/>
        <v xml:space="preserve">ene </v>
      </c>
      <c r="G1025">
        <v>20</v>
      </c>
      <c r="H1025">
        <v>24</v>
      </c>
      <c r="I1025" t="str">
        <f t="shared" ref="I1025:I1088" si="64">_xlfn.CONCAT(E1025,"-",F1025,"-",G1025,H1025)</f>
        <v>1-ene -2024</v>
      </c>
      <c r="K1025" s="49">
        <f t="shared" si="62"/>
        <v>45292</v>
      </c>
      <c r="M1025" t="b">
        <f t="shared" si="63"/>
        <v>1</v>
      </c>
    </row>
    <row r="1026" spans="1:13" x14ac:dyDescent="0.3">
      <c r="A1026" s="49">
        <v>45323</v>
      </c>
      <c r="D1026" t="s">
        <v>7370</v>
      </c>
      <c r="E1026">
        <v>1</v>
      </c>
      <c r="F1026" t="str">
        <f t="shared" ref="F1026:F1089" si="65">LOWER(D1026)</f>
        <v>may</v>
      </c>
      <c r="G1026">
        <v>20</v>
      </c>
      <c r="H1026">
        <v>23</v>
      </c>
      <c r="I1026" t="str">
        <f t="shared" si="64"/>
        <v>1-may-2023</v>
      </c>
      <c r="K1026" s="49">
        <f t="shared" ref="K1026:K1089" si="66">DATEVALUE(I1026)</f>
        <v>45047</v>
      </c>
      <c r="M1026" t="b">
        <f t="shared" si="63"/>
        <v>1</v>
      </c>
    </row>
    <row r="1027" spans="1:13" x14ac:dyDescent="0.3">
      <c r="A1027" s="49">
        <v>45323</v>
      </c>
      <c r="D1027" t="s">
        <v>7370</v>
      </c>
      <c r="E1027">
        <v>1</v>
      </c>
      <c r="F1027" t="str">
        <f t="shared" si="65"/>
        <v>may</v>
      </c>
      <c r="G1027">
        <v>20</v>
      </c>
      <c r="H1027">
        <v>23</v>
      </c>
      <c r="I1027" t="str">
        <f t="shared" si="64"/>
        <v>1-may-2023</v>
      </c>
      <c r="K1027" s="49">
        <f t="shared" si="66"/>
        <v>45047</v>
      </c>
      <c r="M1027" t="b">
        <f t="shared" ref="M1027:M1090" si="67">K1027&lt;A1027</f>
        <v>1</v>
      </c>
    </row>
    <row r="1028" spans="1:13" x14ac:dyDescent="0.3">
      <c r="A1028" s="49">
        <v>45323</v>
      </c>
      <c r="D1028" t="s">
        <v>7360</v>
      </c>
      <c r="E1028">
        <v>1</v>
      </c>
      <c r="F1028" t="str">
        <f t="shared" si="65"/>
        <v>nov</v>
      </c>
      <c r="G1028">
        <v>20</v>
      </c>
      <c r="H1028">
        <v>23</v>
      </c>
      <c r="I1028" t="str">
        <f t="shared" si="64"/>
        <v>1-nov-2023</v>
      </c>
      <c r="K1028" s="49">
        <f t="shared" si="66"/>
        <v>45231</v>
      </c>
      <c r="M1028" t="b">
        <f t="shared" si="67"/>
        <v>1</v>
      </c>
    </row>
    <row r="1029" spans="1:13" x14ac:dyDescent="0.3">
      <c r="A1029" s="49">
        <v>45323</v>
      </c>
      <c r="D1029" t="s">
        <v>7356</v>
      </c>
      <c r="E1029">
        <v>1</v>
      </c>
      <c r="F1029" t="str">
        <f t="shared" si="65"/>
        <v>ene</v>
      </c>
      <c r="G1029">
        <v>20</v>
      </c>
      <c r="H1029">
        <v>24</v>
      </c>
      <c r="I1029" t="str">
        <f t="shared" si="64"/>
        <v>1-ene-2024</v>
      </c>
      <c r="K1029" s="49">
        <f t="shared" si="66"/>
        <v>45292</v>
      </c>
      <c r="M1029" t="b">
        <f t="shared" si="67"/>
        <v>1</v>
      </c>
    </row>
    <row r="1030" spans="1:13" x14ac:dyDescent="0.3">
      <c r="A1030" s="49">
        <v>45323</v>
      </c>
      <c r="D1030" t="s">
        <v>7356</v>
      </c>
      <c r="E1030">
        <v>1</v>
      </c>
      <c r="F1030" t="str">
        <f t="shared" si="65"/>
        <v>ene</v>
      </c>
      <c r="G1030">
        <v>20</v>
      </c>
      <c r="H1030">
        <v>24</v>
      </c>
      <c r="I1030" t="str">
        <f t="shared" si="64"/>
        <v>1-ene-2024</v>
      </c>
      <c r="K1030" s="49">
        <f t="shared" si="66"/>
        <v>45292</v>
      </c>
      <c r="M1030" t="b">
        <f t="shared" si="67"/>
        <v>1</v>
      </c>
    </row>
    <row r="1031" spans="1:13" x14ac:dyDescent="0.3">
      <c r="A1031" s="49">
        <v>45323</v>
      </c>
      <c r="D1031" t="s">
        <v>7356</v>
      </c>
      <c r="E1031">
        <v>1</v>
      </c>
      <c r="F1031" t="str">
        <f t="shared" si="65"/>
        <v>ene</v>
      </c>
      <c r="G1031">
        <v>20</v>
      </c>
      <c r="H1031">
        <v>24</v>
      </c>
      <c r="I1031" t="str">
        <f t="shared" si="64"/>
        <v>1-ene-2024</v>
      </c>
      <c r="K1031" s="49">
        <f t="shared" si="66"/>
        <v>45292</v>
      </c>
      <c r="M1031" t="b">
        <f t="shared" si="67"/>
        <v>1</v>
      </c>
    </row>
    <row r="1032" spans="1:13" x14ac:dyDescent="0.3">
      <c r="A1032" s="49">
        <v>45323</v>
      </c>
      <c r="D1032" t="s">
        <v>7356</v>
      </c>
      <c r="E1032">
        <v>1</v>
      </c>
      <c r="F1032" t="str">
        <f t="shared" si="65"/>
        <v>ene</v>
      </c>
      <c r="G1032">
        <v>20</v>
      </c>
      <c r="H1032">
        <v>24</v>
      </c>
      <c r="I1032" t="str">
        <f t="shared" si="64"/>
        <v>1-ene-2024</v>
      </c>
      <c r="K1032" s="49">
        <f t="shared" si="66"/>
        <v>45292</v>
      </c>
      <c r="M1032" t="b">
        <f t="shared" si="67"/>
        <v>1</v>
      </c>
    </row>
    <row r="1033" spans="1:13" x14ac:dyDescent="0.3">
      <c r="A1033" s="49">
        <v>45323</v>
      </c>
      <c r="D1033" t="s">
        <v>7363</v>
      </c>
      <c r="E1033">
        <v>1</v>
      </c>
      <c r="F1033" t="str">
        <f t="shared" si="65"/>
        <v>feb</v>
      </c>
      <c r="G1033">
        <v>20</v>
      </c>
      <c r="H1033">
        <v>24</v>
      </c>
      <c r="I1033" t="str">
        <f t="shared" si="64"/>
        <v>1-feb-2024</v>
      </c>
      <c r="K1033" s="49">
        <f t="shared" si="66"/>
        <v>45323</v>
      </c>
      <c r="M1033" t="b">
        <f t="shared" si="67"/>
        <v>0</v>
      </c>
    </row>
    <row r="1034" spans="1:13" x14ac:dyDescent="0.3">
      <c r="A1034" s="49">
        <v>45323</v>
      </c>
      <c r="D1034" t="s">
        <v>7357</v>
      </c>
      <c r="E1034">
        <v>1</v>
      </c>
      <c r="F1034" t="str">
        <f t="shared" si="65"/>
        <v>oct</v>
      </c>
      <c r="G1034">
        <v>20</v>
      </c>
      <c r="H1034">
        <v>23</v>
      </c>
      <c r="I1034" t="str">
        <f t="shared" si="64"/>
        <v>1-oct-2023</v>
      </c>
      <c r="K1034" s="49">
        <f t="shared" si="66"/>
        <v>45200</v>
      </c>
      <c r="M1034" t="b">
        <f t="shared" si="67"/>
        <v>1</v>
      </c>
    </row>
    <row r="1035" spans="1:13" x14ac:dyDescent="0.3">
      <c r="A1035" s="49">
        <v>45323</v>
      </c>
      <c r="D1035" t="s">
        <v>7391</v>
      </c>
      <c r="E1035">
        <v>1</v>
      </c>
      <c r="F1035" t="str">
        <f t="shared" si="65"/>
        <v xml:space="preserve">sep </v>
      </c>
      <c r="G1035">
        <v>20</v>
      </c>
      <c r="H1035">
        <v>24</v>
      </c>
      <c r="I1035" t="str">
        <f t="shared" si="64"/>
        <v>1-sep -2024</v>
      </c>
      <c r="K1035" s="49">
        <f t="shared" si="66"/>
        <v>45536</v>
      </c>
      <c r="M1035" t="b">
        <f t="shared" si="67"/>
        <v>0</v>
      </c>
    </row>
    <row r="1036" spans="1:13" x14ac:dyDescent="0.3">
      <c r="A1036" s="49">
        <v>45323</v>
      </c>
      <c r="D1036" t="s">
        <v>7355</v>
      </c>
      <c r="E1036">
        <v>1</v>
      </c>
      <c r="F1036" t="str">
        <f t="shared" si="65"/>
        <v>sep</v>
      </c>
      <c r="G1036">
        <v>20</v>
      </c>
      <c r="H1036">
        <v>24</v>
      </c>
      <c r="I1036" t="str">
        <f t="shared" si="64"/>
        <v>1-sep-2024</v>
      </c>
      <c r="K1036" s="49">
        <f t="shared" si="66"/>
        <v>45536</v>
      </c>
      <c r="M1036" t="b">
        <f t="shared" si="67"/>
        <v>0</v>
      </c>
    </row>
    <row r="1037" spans="1:13" x14ac:dyDescent="0.3">
      <c r="A1037" s="49">
        <v>45323</v>
      </c>
      <c r="D1037" t="s">
        <v>7392</v>
      </c>
      <c r="E1037">
        <v>1</v>
      </c>
      <c r="F1037" t="str">
        <f t="shared" si="65"/>
        <v xml:space="preserve">nov </v>
      </c>
      <c r="G1037">
        <v>20</v>
      </c>
      <c r="H1037">
        <v>23</v>
      </c>
      <c r="I1037" t="str">
        <f t="shared" si="64"/>
        <v>1-nov -2023</v>
      </c>
      <c r="K1037" s="49">
        <f t="shared" si="66"/>
        <v>45231</v>
      </c>
      <c r="M1037" t="b">
        <f t="shared" si="67"/>
        <v>1</v>
      </c>
    </row>
    <row r="1038" spans="1:13" x14ac:dyDescent="0.3">
      <c r="A1038" s="49">
        <v>45323</v>
      </c>
      <c r="D1038" t="s">
        <v>7368</v>
      </c>
      <c r="E1038">
        <v>1</v>
      </c>
      <c r="F1038" t="str">
        <f t="shared" si="65"/>
        <v>mar</v>
      </c>
      <c r="G1038">
        <v>20</v>
      </c>
      <c r="H1038">
        <v>23</v>
      </c>
      <c r="I1038" t="str">
        <f t="shared" si="64"/>
        <v>1-mar-2023</v>
      </c>
      <c r="K1038" s="49">
        <f t="shared" si="66"/>
        <v>44986</v>
      </c>
      <c r="M1038" t="b">
        <f t="shared" si="67"/>
        <v>1</v>
      </c>
    </row>
    <row r="1039" spans="1:13" x14ac:dyDescent="0.3">
      <c r="A1039" s="49">
        <v>45323</v>
      </c>
      <c r="D1039" t="s">
        <v>7362</v>
      </c>
      <c r="E1039">
        <v>1</v>
      </c>
      <c r="F1039" t="str">
        <f t="shared" si="65"/>
        <v>ago</v>
      </c>
      <c r="G1039">
        <v>20</v>
      </c>
      <c r="H1039">
        <v>24</v>
      </c>
      <c r="I1039" t="str">
        <f t="shared" si="64"/>
        <v>1-ago-2024</v>
      </c>
      <c r="K1039" s="49">
        <f t="shared" si="66"/>
        <v>45505</v>
      </c>
      <c r="M1039" t="b">
        <f t="shared" si="67"/>
        <v>0</v>
      </c>
    </row>
    <row r="1040" spans="1:13" x14ac:dyDescent="0.3">
      <c r="A1040" s="49">
        <v>45323</v>
      </c>
      <c r="D1040" t="s">
        <v>7368</v>
      </c>
      <c r="E1040">
        <v>1</v>
      </c>
      <c r="F1040" t="str">
        <f t="shared" si="65"/>
        <v>mar</v>
      </c>
      <c r="G1040">
        <v>20</v>
      </c>
      <c r="H1040">
        <v>25</v>
      </c>
      <c r="I1040" t="str">
        <f t="shared" si="64"/>
        <v>1-mar-2025</v>
      </c>
      <c r="K1040" s="49">
        <f t="shared" si="66"/>
        <v>45717</v>
      </c>
      <c r="M1040" t="b">
        <f t="shared" si="67"/>
        <v>0</v>
      </c>
    </row>
    <row r="1041" spans="1:13" x14ac:dyDescent="0.3">
      <c r="A1041" s="49">
        <v>45323</v>
      </c>
      <c r="D1041" t="s">
        <v>7356</v>
      </c>
      <c r="E1041">
        <v>1</v>
      </c>
      <c r="F1041" t="str">
        <f t="shared" si="65"/>
        <v>ene</v>
      </c>
      <c r="G1041">
        <v>20</v>
      </c>
      <c r="H1041">
        <v>25</v>
      </c>
      <c r="I1041" t="str">
        <f t="shared" si="64"/>
        <v>1-ene-2025</v>
      </c>
      <c r="K1041" s="49">
        <f t="shared" si="66"/>
        <v>45658</v>
      </c>
      <c r="M1041" t="b">
        <f t="shared" si="67"/>
        <v>0</v>
      </c>
    </row>
    <row r="1042" spans="1:13" x14ac:dyDescent="0.3">
      <c r="A1042" s="49">
        <v>45323</v>
      </c>
      <c r="D1042" t="s">
        <v>7357</v>
      </c>
      <c r="E1042">
        <v>1</v>
      </c>
      <c r="F1042" t="str">
        <f t="shared" si="65"/>
        <v>oct</v>
      </c>
      <c r="G1042">
        <v>20</v>
      </c>
      <c r="H1042">
        <v>23</v>
      </c>
      <c r="I1042" t="str">
        <f t="shared" si="64"/>
        <v>1-oct-2023</v>
      </c>
      <c r="K1042" s="49">
        <f t="shared" si="66"/>
        <v>45200</v>
      </c>
      <c r="M1042" t="b">
        <f t="shared" si="67"/>
        <v>1</v>
      </c>
    </row>
    <row r="1043" spans="1:13" x14ac:dyDescent="0.3">
      <c r="A1043" s="49">
        <v>45323</v>
      </c>
      <c r="D1043" t="s">
        <v>7393</v>
      </c>
      <c r="E1043">
        <v>1</v>
      </c>
      <c r="F1043" t="str">
        <f t="shared" si="65"/>
        <v xml:space="preserve">nom </v>
      </c>
      <c r="G1043">
        <v>20</v>
      </c>
      <c r="H1043">
        <v>23</v>
      </c>
      <c r="I1043" t="str">
        <f t="shared" si="64"/>
        <v>1-nom -2023</v>
      </c>
      <c r="K1043" s="49" t="e">
        <f t="shared" si="66"/>
        <v>#VALUE!</v>
      </c>
      <c r="M1043" t="e">
        <f t="shared" si="67"/>
        <v>#VALUE!</v>
      </c>
    </row>
    <row r="1044" spans="1:13" x14ac:dyDescent="0.3">
      <c r="A1044" s="49">
        <v>45323</v>
      </c>
      <c r="D1044" t="s">
        <v>7362</v>
      </c>
      <c r="E1044">
        <v>1</v>
      </c>
      <c r="F1044" t="str">
        <f t="shared" si="65"/>
        <v>ago</v>
      </c>
      <c r="G1044">
        <v>20</v>
      </c>
      <c r="H1044">
        <v>23</v>
      </c>
      <c r="I1044" t="str">
        <f t="shared" si="64"/>
        <v>1-ago-2023</v>
      </c>
      <c r="K1044" s="49">
        <f t="shared" si="66"/>
        <v>45139</v>
      </c>
      <c r="M1044" t="b">
        <f t="shared" si="67"/>
        <v>1</v>
      </c>
    </row>
    <row r="1045" spans="1:13" x14ac:dyDescent="0.3">
      <c r="A1045" s="49">
        <v>45323</v>
      </c>
      <c r="D1045" t="s">
        <v>7363</v>
      </c>
      <c r="E1045">
        <v>1</v>
      </c>
      <c r="F1045" t="str">
        <f t="shared" si="65"/>
        <v>feb</v>
      </c>
      <c r="G1045">
        <v>20</v>
      </c>
      <c r="H1045">
        <v>23</v>
      </c>
      <c r="I1045" t="str">
        <f t="shared" si="64"/>
        <v>1-feb-2023</v>
      </c>
      <c r="K1045" s="49">
        <f t="shared" si="66"/>
        <v>44958</v>
      </c>
      <c r="M1045" t="b">
        <f t="shared" si="67"/>
        <v>1</v>
      </c>
    </row>
    <row r="1046" spans="1:13" x14ac:dyDescent="0.3">
      <c r="A1046" s="49">
        <v>45323</v>
      </c>
      <c r="D1046" t="s">
        <v>7363</v>
      </c>
      <c r="E1046">
        <v>1</v>
      </c>
      <c r="F1046" t="str">
        <f t="shared" si="65"/>
        <v>feb</v>
      </c>
      <c r="G1046">
        <v>20</v>
      </c>
      <c r="H1046">
        <v>23</v>
      </c>
      <c r="I1046" t="str">
        <f t="shared" si="64"/>
        <v>1-feb-2023</v>
      </c>
      <c r="K1046" s="49">
        <f t="shared" si="66"/>
        <v>44958</v>
      </c>
      <c r="M1046" t="b">
        <f t="shared" si="67"/>
        <v>1</v>
      </c>
    </row>
    <row r="1047" spans="1:13" x14ac:dyDescent="0.3">
      <c r="A1047" s="49">
        <v>45323</v>
      </c>
      <c r="D1047" t="s">
        <v>7363</v>
      </c>
      <c r="E1047">
        <v>1</v>
      </c>
      <c r="F1047" t="str">
        <f t="shared" si="65"/>
        <v>feb</v>
      </c>
      <c r="G1047">
        <v>20</v>
      </c>
      <c r="H1047">
        <v>23</v>
      </c>
      <c r="I1047" t="str">
        <f t="shared" si="64"/>
        <v>1-feb-2023</v>
      </c>
      <c r="K1047" s="49">
        <f t="shared" si="66"/>
        <v>44958</v>
      </c>
      <c r="M1047" t="b">
        <f t="shared" si="67"/>
        <v>1</v>
      </c>
    </row>
    <row r="1048" spans="1:13" x14ac:dyDescent="0.3">
      <c r="A1048" s="49">
        <v>45323</v>
      </c>
      <c r="D1048" t="s">
        <v>7357</v>
      </c>
      <c r="E1048">
        <v>1</v>
      </c>
      <c r="F1048" t="str">
        <f t="shared" si="65"/>
        <v>oct</v>
      </c>
      <c r="G1048">
        <v>20</v>
      </c>
      <c r="H1048">
        <v>23</v>
      </c>
      <c r="I1048" t="str">
        <f t="shared" si="64"/>
        <v>1-oct-2023</v>
      </c>
      <c r="K1048" s="49">
        <f t="shared" si="66"/>
        <v>45200</v>
      </c>
      <c r="M1048" t="b">
        <f t="shared" si="67"/>
        <v>1</v>
      </c>
    </row>
    <row r="1049" spans="1:13" x14ac:dyDescent="0.3">
      <c r="A1049" s="49">
        <v>45323</v>
      </c>
      <c r="D1049" t="s">
        <v>7360</v>
      </c>
      <c r="E1049">
        <v>1</v>
      </c>
      <c r="F1049" t="str">
        <f t="shared" si="65"/>
        <v>nov</v>
      </c>
      <c r="G1049">
        <v>20</v>
      </c>
      <c r="H1049">
        <v>23</v>
      </c>
      <c r="I1049" t="str">
        <f t="shared" si="64"/>
        <v>1-nov-2023</v>
      </c>
      <c r="K1049" s="49">
        <f t="shared" si="66"/>
        <v>45231</v>
      </c>
      <c r="M1049" t="b">
        <f t="shared" si="67"/>
        <v>1</v>
      </c>
    </row>
    <row r="1050" spans="1:13" x14ac:dyDescent="0.3">
      <c r="A1050" s="49">
        <v>45323</v>
      </c>
      <c r="D1050" t="s">
        <v>7394</v>
      </c>
      <c r="E1050">
        <v>1</v>
      </c>
      <c r="F1050" t="str">
        <f t="shared" si="65"/>
        <v xml:space="preserve">dic </v>
      </c>
      <c r="G1050">
        <v>20</v>
      </c>
      <c r="H1050">
        <v>23</v>
      </c>
      <c r="I1050" t="str">
        <f t="shared" si="64"/>
        <v>1-dic -2023</v>
      </c>
      <c r="K1050" s="49">
        <f t="shared" si="66"/>
        <v>45261</v>
      </c>
      <c r="M1050" t="b">
        <f t="shared" si="67"/>
        <v>1</v>
      </c>
    </row>
    <row r="1051" spans="1:13" x14ac:dyDescent="0.3">
      <c r="A1051" s="49">
        <v>45323</v>
      </c>
      <c r="D1051" t="s">
        <v>7388</v>
      </c>
      <c r="E1051">
        <v>1</v>
      </c>
      <c r="F1051" t="str">
        <f t="shared" si="65"/>
        <v xml:space="preserve">ene </v>
      </c>
      <c r="G1051">
        <v>20</v>
      </c>
      <c r="H1051">
        <v>24</v>
      </c>
      <c r="I1051" t="str">
        <f t="shared" si="64"/>
        <v>1-ene -2024</v>
      </c>
      <c r="K1051" s="49">
        <f t="shared" si="66"/>
        <v>45292</v>
      </c>
      <c r="M1051" t="b">
        <f t="shared" si="67"/>
        <v>1</v>
      </c>
    </row>
    <row r="1052" spans="1:13" x14ac:dyDescent="0.3">
      <c r="A1052" s="49">
        <v>45323</v>
      </c>
      <c r="D1052" t="s">
        <v>7388</v>
      </c>
      <c r="E1052">
        <v>1</v>
      </c>
      <c r="F1052" t="str">
        <f t="shared" si="65"/>
        <v xml:space="preserve">ene </v>
      </c>
      <c r="G1052">
        <v>20</v>
      </c>
      <c r="H1052">
        <v>24</v>
      </c>
      <c r="I1052" t="str">
        <f t="shared" si="64"/>
        <v>1-ene -2024</v>
      </c>
      <c r="K1052" s="49">
        <f t="shared" si="66"/>
        <v>45292</v>
      </c>
      <c r="M1052" t="b">
        <f t="shared" si="67"/>
        <v>1</v>
      </c>
    </row>
    <row r="1053" spans="1:13" x14ac:dyDescent="0.3">
      <c r="A1053" s="49">
        <v>45323</v>
      </c>
      <c r="D1053" t="s">
        <v>7356</v>
      </c>
      <c r="E1053">
        <v>1</v>
      </c>
      <c r="F1053" t="str">
        <f t="shared" si="65"/>
        <v>ene</v>
      </c>
      <c r="G1053">
        <v>20</v>
      </c>
      <c r="H1053">
        <v>25</v>
      </c>
      <c r="I1053" t="str">
        <f t="shared" si="64"/>
        <v>1-ene-2025</v>
      </c>
      <c r="K1053" s="49">
        <f t="shared" si="66"/>
        <v>45658</v>
      </c>
      <c r="M1053" t="b">
        <f t="shared" si="67"/>
        <v>0</v>
      </c>
    </row>
    <row r="1054" spans="1:13" x14ac:dyDescent="0.3">
      <c r="A1054" s="49">
        <v>45323</v>
      </c>
      <c r="D1054" t="s">
        <v>7366</v>
      </c>
      <c r="E1054">
        <v>1</v>
      </c>
      <c r="F1054" t="str">
        <f t="shared" si="65"/>
        <v>dic</v>
      </c>
      <c r="G1054">
        <v>20</v>
      </c>
      <c r="H1054">
        <v>23</v>
      </c>
      <c r="I1054" t="str">
        <f t="shared" si="64"/>
        <v>1-dic-2023</v>
      </c>
      <c r="K1054" s="49">
        <f t="shared" si="66"/>
        <v>45261</v>
      </c>
      <c r="M1054" t="b">
        <f t="shared" si="67"/>
        <v>1</v>
      </c>
    </row>
    <row r="1055" spans="1:13" x14ac:dyDescent="0.3">
      <c r="A1055" s="49">
        <v>45323</v>
      </c>
      <c r="D1055" t="s">
        <v>7360</v>
      </c>
      <c r="E1055">
        <v>1</v>
      </c>
      <c r="F1055" t="str">
        <f t="shared" si="65"/>
        <v>nov</v>
      </c>
      <c r="G1055">
        <v>20</v>
      </c>
      <c r="H1055">
        <v>22</v>
      </c>
      <c r="I1055" t="str">
        <f t="shared" si="64"/>
        <v>1-nov-2022</v>
      </c>
      <c r="K1055" s="49">
        <f t="shared" si="66"/>
        <v>44866</v>
      </c>
      <c r="M1055" t="b">
        <f t="shared" si="67"/>
        <v>1</v>
      </c>
    </row>
    <row r="1056" spans="1:13" x14ac:dyDescent="0.3">
      <c r="A1056" s="49">
        <v>45323</v>
      </c>
      <c r="D1056" t="s">
        <v>7357</v>
      </c>
      <c r="E1056">
        <v>1</v>
      </c>
      <c r="F1056" t="str">
        <f t="shared" si="65"/>
        <v>oct</v>
      </c>
      <c r="G1056">
        <v>20</v>
      </c>
      <c r="H1056">
        <v>22</v>
      </c>
      <c r="I1056" t="str">
        <f t="shared" si="64"/>
        <v>1-oct-2022</v>
      </c>
      <c r="K1056" s="49">
        <f t="shared" si="66"/>
        <v>44835</v>
      </c>
      <c r="M1056" t="b">
        <f t="shared" si="67"/>
        <v>1</v>
      </c>
    </row>
    <row r="1057" spans="1:13" x14ac:dyDescent="0.3">
      <c r="A1057" s="49">
        <v>45323</v>
      </c>
      <c r="D1057" t="s">
        <v>7356</v>
      </c>
      <c r="E1057">
        <v>1</v>
      </c>
      <c r="F1057" t="str">
        <f t="shared" si="65"/>
        <v>ene</v>
      </c>
      <c r="G1057">
        <v>20</v>
      </c>
      <c r="H1057">
        <v>22</v>
      </c>
      <c r="I1057" t="str">
        <f t="shared" si="64"/>
        <v>1-ene-2022</v>
      </c>
      <c r="K1057" s="49">
        <f t="shared" si="66"/>
        <v>44562</v>
      </c>
      <c r="M1057" t="b">
        <f t="shared" si="67"/>
        <v>1</v>
      </c>
    </row>
    <row r="1058" spans="1:13" x14ac:dyDescent="0.3">
      <c r="A1058" s="49">
        <v>45323</v>
      </c>
      <c r="D1058" t="s">
        <v>7363</v>
      </c>
      <c r="E1058">
        <v>1</v>
      </c>
      <c r="F1058" t="str">
        <f t="shared" si="65"/>
        <v>feb</v>
      </c>
      <c r="G1058">
        <v>20</v>
      </c>
      <c r="H1058">
        <v>22</v>
      </c>
      <c r="I1058" t="str">
        <f t="shared" si="64"/>
        <v>1-feb-2022</v>
      </c>
      <c r="K1058" s="49">
        <f t="shared" si="66"/>
        <v>44593</v>
      </c>
      <c r="M1058" t="b">
        <f t="shared" si="67"/>
        <v>1</v>
      </c>
    </row>
    <row r="1059" spans="1:13" x14ac:dyDescent="0.3">
      <c r="A1059" s="49">
        <v>45323</v>
      </c>
      <c r="D1059" t="s">
        <v>7357</v>
      </c>
      <c r="E1059">
        <v>1</v>
      </c>
      <c r="F1059" t="str">
        <f t="shared" si="65"/>
        <v>oct</v>
      </c>
      <c r="G1059">
        <v>20</v>
      </c>
      <c r="H1059">
        <v>22</v>
      </c>
      <c r="I1059" t="str">
        <f t="shared" si="64"/>
        <v>1-oct-2022</v>
      </c>
      <c r="K1059" s="49">
        <f t="shared" si="66"/>
        <v>44835</v>
      </c>
      <c r="M1059" t="b">
        <f t="shared" si="67"/>
        <v>1</v>
      </c>
    </row>
    <row r="1060" spans="1:13" x14ac:dyDescent="0.3">
      <c r="A1060" s="49">
        <v>45323</v>
      </c>
      <c r="D1060" t="s">
        <v>7357</v>
      </c>
      <c r="E1060">
        <v>1</v>
      </c>
      <c r="F1060" t="str">
        <f t="shared" si="65"/>
        <v>oct</v>
      </c>
      <c r="G1060">
        <v>20</v>
      </c>
      <c r="H1060">
        <v>21</v>
      </c>
      <c r="I1060" t="str">
        <f t="shared" si="64"/>
        <v>1-oct-2021</v>
      </c>
      <c r="K1060" s="49">
        <f t="shared" si="66"/>
        <v>44470</v>
      </c>
      <c r="M1060" t="b">
        <f t="shared" si="67"/>
        <v>1</v>
      </c>
    </row>
    <row r="1061" spans="1:13" x14ac:dyDescent="0.3">
      <c r="A1061" s="49">
        <v>45323</v>
      </c>
      <c r="D1061" t="s">
        <v>7366</v>
      </c>
      <c r="E1061">
        <v>1</v>
      </c>
      <c r="F1061" t="str">
        <f t="shared" si="65"/>
        <v>dic</v>
      </c>
      <c r="G1061">
        <v>20</v>
      </c>
      <c r="H1061">
        <v>23</v>
      </c>
      <c r="I1061" t="str">
        <f t="shared" si="64"/>
        <v>1-dic-2023</v>
      </c>
      <c r="K1061" s="49">
        <f t="shared" si="66"/>
        <v>45261</v>
      </c>
      <c r="M1061" t="b">
        <f t="shared" si="67"/>
        <v>1</v>
      </c>
    </row>
    <row r="1062" spans="1:13" x14ac:dyDescent="0.3">
      <c r="A1062" s="49">
        <v>45323</v>
      </c>
      <c r="D1062" t="s">
        <v>7363</v>
      </c>
      <c r="E1062">
        <v>1</v>
      </c>
      <c r="F1062" t="str">
        <f t="shared" si="65"/>
        <v>feb</v>
      </c>
      <c r="G1062">
        <v>20</v>
      </c>
      <c r="H1062">
        <v>23</v>
      </c>
      <c r="I1062" t="str">
        <f t="shared" si="64"/>
        <v>1-feb-2023</v>
      </c>
      <c r="K1062" s="49">
        <f t="shared" si="66"/>
        <v>44958</v>
      </c>
      <c r="M1062" t="b">
        <f t="shared" si="67"/>
        <v>1</v>
      </c>
    </row>
    <row r="1063" spans="1:13" x14ac:dyDescent="0.3">
      <c r="A1063" s="49">
        <v>45323</v>
      </c>
      <c r="D1063" t="s">
        <v>7357</v>
      </c>
      <c r="E1063">
        <v>1</v>
      </c>
      <c r="F1063" t="str">
        <f t="shared" si="65"/>
        <v>oct</v>
      </c>
      <c r="G1063">
        <v>20</v>
      </c>
      <c r="H1063">
        <v>23</v>
      </c>
      <c r="I1063" t="str">
        <f t="shared" si="64"/>
        <v>1-oct-2023</v>
      </c>
      <c r="K1063" s="49">
        <f t="shared" si="66"/>
        <v>45200</v>
      </c>
      <c r="M1063" t="b">
        <f t="shared" si="67"/>
        <v>1</v>
      </c>
    </row>
    <row r="1064" spans="1:13" x14ac:dyDescent="0.3">
      <c r="A1064" s="49">
        <v>45323</v>
      </c>
      <c r="D1064" t="s">
        <v>7362</v>
      </c>
      <c r="E1064">
        <v>1</v>
      </c>
      <c r="F1064" t="str">
        <f t="shared" si="65"/>
        <v>ago</v>
      </c>
      <c r="G1064">
        <v>20</v>
      </c>
      <c r="H1064">
        <v>23</v>
      </c>
      <c r="I1064" t="str">
        <f t="shared" si="64"/>
        <v>1-ago-2023</v>
      </c>
      <c r="K1064" s="49">
        <f t="shared" si="66"/>
        <v>45139</v>
      </c>
      <c r="M1064" t="b">
        <f t="shared" si="67"/>
        <v>1</v>
      </c>
    </row>
    <row r="1065" spans="1:13" x14ac:dyDescent="0.3">
      <c r="A1065" s="49">
        <v>45323</v>
      </c>
      <c r="D1065" t="s">
        <v>7362</v>
      </c>
      <c r="E1065">
        <v>1</v>
      </c>
      <c r="F1065" t="str">
        <f t="shared" si="65"/>
        <v>ago</v>
      </c>
      <c r="G1065">
        <v>20</v>
      </c>
      <c r="H1065">
        <v>23</v>
      </c>
      <c r="I1065" t="str">
        <f t="shared" si="64"/>
        <v>1-ago-2023</v>
      </c>
      <c r="K1065" s="49">
        <f t="shared" si="66"/>
        <v>45139</v>
      </c>
      <c r="M1065" t="b">
        <f t="shared" si="67"/>
        <v>1</v>
      </c>
    </row>
    <row r="1066" spans="1:13" x14ac:dyDescent="0.3">
      <c r="A1066" s="49">
        <v>45323</v>
      </c>
      <c r="D1066" t="s">
        <v>7362</v>
      </c>
      <c r="E1066">
        <v>1</v>
      </c>
      <c r="F1066" t="str">
        <f t="shared" si="65"/>
        <v>ago</v>
      </c>
      <c r="G1066">
        <v>20</v>
      </c>
      <c r="H1066">
        <v>23</v>
      </c>
      <c r="I1066" t="str">
        <f t="shared" si="64"/>
        <v>1-ago-2023</v>
      </c>
      <c r="K1066" s="49">
        <f t="shared" si="66"/>
        <v>45139</v>
      </c>
      <c r="M1066" t="b">
        <f t="shared" si="67"/>
        <v>1</v>
      </c>
    </row>
    <row r="1067" spans="1:13" x14ac:dyDescent="0.3">
      <c r="A1067" s="49">
        <v>45323</v>
      </c>
      <c r="D1067" t="s">
        <v>7360</v>
      </c>
      <c r="E1067">
        <v>1</v>
      </c>
      <c r="F1067" t="str">
        <f t="shared" si="65"/>
        <v>nov</v>
      </c>
      <c r="G1067">
        <v>20</v>
      </c>
      <c r="H1067">
        <v>23</v>
      </c>
      <c r="I1067" t="str">
        <f t="shared" si="64"/>
        <v>1-nov-2023</v>
      </c>
      <c r="K1067" s="49">
        <f t="shared" si="66"/>
        <v>45231</v>
      </c>
      <c r="M1067" t="b">
        <f t="shared" si="67"/>
        <v>1</v>
      </c>
    </row>
    <row r="1068" spans="1:13" x14ac:dyDescent="0.3">
      <c r="A1068" s="49">
        <v>45323</v>
      </c>
      <c r="D1068" t="s">
        <v>7366</v>
      </c>
      <c r="E1068">
        <v>1</v>
      </c>
      <c r="F1068" t="str">
        <f t="shared" si="65"/>
        <v>dic</v>
      </c>
      <c r="G1068">
        <v>20</v>
      </c>
      <c r="H1068">
        <v>21</v>
      </c>
      <c r="I1068" t="str">
        <f t="shared" si="64"/>
        <v>1-dic-2021</v>
      </c>
      <c r="K1068" s="49">
        <f t="shared" si="66"/>
        <v>44531</v>
      </c>
      <c r="M1068" t="b">
        <f t="shared" si="67"/>
        <v>1</v>
      </c>
    </row>
    <row r="1069" spans="1:13" x14ac:dyDescent="0.3">
      <c r="A1069" s="49">
        <v>45323</v>
      </c>
      <c r="D1069" t="s">
        <v>7366</v>
      </c>
      <c r="E1069">
        <v>1</v>
      </c>
      <c r="F1069" t="str">
        <f t="shared" si="65"/>
        <v>dic</v>
      </c>
      <c r="G1069">
        <v>20</v>
      </c>
      <c r="H1069">
        <v>21</v>
      </c>
      <c r="I1069" t="str">
        <f t="shared" si="64"/>
        <v>1-dic-2021</v>
      </c>
      <c r="K1069" s="49">
        <f t="shared" si="66"/>
        <v>44531</v>
      </c>
      <c r="M1069" t="b">
        <f t="shared" si="67"/>
        <v>1</v>
      </c>
    </row>
    <row r="1070" spans="1:13" x14ac:dyDescent="0.3">
      <c r="A1070" s="49">
        <v>45323</v>
      </c>
      <c r="D1070" t="s">
        <v>7366</v>
      </c>
      <c r="E1070">
        <v>1</v>
      </c>
      <c r="F1070" t="str">
        <f t="shared" si="65"/>
        <v>dic</v>
      </c>
      <c r="G1070">
        <v>20</v>
      </c>
      <c r="H1070">
        <v>23</v>
      </c>
      <c r="I1070" t="str">
        <f t="shared" si="64"/>
        <v>1-dic-2023</v>
      </c>
      <c r="K1070" s="49">
        <f t="shared" si="66"/>
        <v>45261</v>
      </c>
      <c r="M1070" t="b">
        <f t="shared" si="67"/>
        <v>1</v>
      </c>
    </row>
    <row r="1071" spans="1:13" x14ac:dyDescent="0.3">
      <c r="A1071" s="49">
        <v>45323</v>
      </c>
      <c r="D1071" t="s">
        <v>7366</v>
      </c>
      <c r="E1071">
        <v>1</v>
      </c>
      <c r="F1071" t="str">
        <f t="shared" si="65"/>
        <v>dic</v>
      </c>
      <c r="G1071">
        <v>20</v>
      </c>
      <c r="H1071">
        <v>23</v>
      </c>
      <c r="I1071" t="str">
        <f t="shared" si="64"/>
        <v>1-dic-2023</v>
      </c>
      <c r="K1071" s="49">
        <f t="shared" si="66"/>
        <v>45261</v>
      </c>
      <c r="M1071" t="b">
        <f t="shared" si="67"/>
        <v>1</v>
      </c>
    </row>
    <row r="1072" spans="1:13" x14ac:dyDescent="0.3">
      <c r="A1072" s="49">
        <v>45323</v>
      </c>
      <c r="D1072" t="s">
        <v>7366</v>
      </c>
      <c r="E1072">
        <v>1</v>
      </c>
      <c r="F1072" t="str">
        <f t="shared" si="65"/>
        <v>dic</v>
      </c>
      <c r="G1072">
        <v>20</v>
      </c>
      <c r="H1072">
        <v>23</v>
      </c>
      <c r="I1072" t="str">
        <f t="shared" si="64"/>
        <v>1-dic-2023</v>
      </c>
      <c r="K1072" s="49">
        <f t="shared" si="66"/>
        <v>45261</v>
      </c>
      <c r="M1072" t="b">
        <f t="shared" si="67"/>
        <v>1</v>
      </c>
    </row>
    <row r="1073" spans="1:13" x14ac:dyDescent="0.3">
      <c r="A1073" s="49">
        <v>45323</v>
      </c>
      <c r="D1073" t="s">
        <v>7366</v>
      </c>
      <c r="E1073">
        <v>1</v>
      </c>
      <c r="F1073" t="str">
        <f t="shared" si="65"/>
        <v>dic</v>
      </c>
      <c r="G1073">
        <v>20</v>
      </c>
      <c r="H1073">
        <v>23</v>
      </c>
      <c r="I1073" t="str">
        <f t="shared" si="64"/>
        <v>1-dic-2023</v>
      </c>
      <c r="K1073" s="49">
        <f t="shared" si="66"/>
        <v>45261</v>
      </c>
      <c r="M1073" t="b">
        <f t="shared" si="67"/>
        <v>1</v>
      </c>
    </row>
    <row r="1074" spans="1:13" x14ac:dyDescent="0.3">
      <c r="A1074" s="49">
        <v>45323</v>
      </c>
      <c r="D1074" t="s">
        <v>7366</v>
      </c>
      <c r="E1074">
        <v>1</v>
      </c>
      <c r="F1074" t="str">
        <f t="shared" si="65"/>
        <v>dic</v>
      </c>
      <c r="G1074">
        <v>20</v>
      </c>
      <c r="H1074">
        <v>23</v>
      </c>
      <c r="I1074" t="str">
        <f t="shared" si="64"/>
        <v>1-dic-2023</v>
      </c>
      <c r="K1074" s="49">
        <f t="shared" si="66"/>
        <v>45261</v>
      </c>
      <c r="M1074" t="b">
        <f t="shared" si="67"/>
        <v>1</v>
      </c>
    </row>
    <row r="1075" spans="1:13" x14ac:dyDescent="0.3">
      <c r="A1075" s="49">
        <v>45323</v>
      </c>
      <c r="D1075" t="s">
        <v>7366</v>
      </c>
      <c r="E1075">
        <v>1</v>
      </c>
      <c r="F1075" t="str">
        <f t="shared" si="65"/>
        <v>dic</v>
      </c>
      <c r="G1075">
        <v>20</v>
      </c>
      <c r="H1075">
        <v>23</v>
      </c>
      <c r="I1075" t="str">
        <f t="shared" si="64"/>
        <v>1-dic-2023</v>
      </c>
      <c r="K1075" s="49">
        <f t="shared" si="66"/>
        <v>45261</v>
      </c>
      <c r="M1075" t="b">
        <f t="shared" si="67"/>
        <v>1</v>
      </c>
    </row>
    <row r="1076" spans="1:13" x14ac:dyDescent="0.3">
      <c r="A1076" s="49">
        <v>45323</v>
      </c>
      <c r="D1076" t="s">
        <v>7360</v>
      </c>
      <c r="E1076">
        <v>1</v>
      </c>
      <c r="F1076" t="str">
        <f t="shared" si="65"/>
        <v>nov</v>
      </c>
      <c r="G1076">
        <v>20</v>
      </c>
      <c r="H1076">
        <v>23</v>
      </c>
      <c r="I1076" t="str">
        <f t="shared" si="64"/>
        <v>1-nov-2023</v>
      </c>
      <c r="K1076" s="49">
        <f t="shared" si="66"/>
        <v>45231</v>
      </c>
      <c r="M1076" t="b">
        <f t="shared" si="67"/>
        <v>1</v>
      </c>
    </row>
    <row r="1077" spans="1:13" x14ac:dyDescent="0.3">
      <c r="A1077" s="49">
        <v>45323</v>
      </c>
      <c r="D1077" t="s">
        <v>7369</v>
      </c>
      <c r="E1077">
        <v>1</v>
      </c>
      <c r="F1077" t="str">
        <f t="shared" si="65"/>
        <v>abr</v>
      </c>
      <c r="G1077">
        <v>20</v>
      </c>
      <c r="H1077">
        <v>23</v>
      </c>
      <c r="I1077" t="str">
        <f t="shared" si="64"/>
        <v>1-abr-2023</v>
      </c>
      <c r="K1077" s="49">
        <f t="shared" si="66"/>
        <v>45017</v>
      </c>
      <c r="M1077" t="b">
        <f t="shared" si="67"/>
        <v>1</v>
      </c>
    </row>
    <row r="1078" spans="1:13" x14ac:dyDescent="0.3">
      <c r="A1078" s="49">
        <v>45323</v>
      </c>
      <c r="D1078" t="s">
        <v>7394</v>
      </c>
      <c r="E1078">
        <v>1</v>
      </c>
      <c r="F1078" t="str">
        <f t="shared" si="65"/>
        <v xml:space="preserve">dic </v>
      </c>
      <c r="G1078">
        <v>20</v>
      </c>
      <c r="H1078">
        <v>22</v>
      </c>
      <c r="I1078" t="str">
        <f t="shared" si="64"/>
        <v>1-dic -2022</v>
      </c>
      <c r="K1078" s="49">
        <f t="shared" si="66"/>
        <v>44896</v>
      </c>
      <c r="M1078" t="b">
        <f t="shared" si="67"/>
        <v>1</v>
      </c>
    </row>
    <row r="1079" spans="1:13" x14ac:dyDescent="0.3">
      <c r="A1079" s="49">
        <v>45323</v>
      </c>
      <c r="D1079" t="s">
        <v>7362</v>
      </c>
      <c r="E1079">
        <v>1</v>
      </c>
      <c r="F1079" t="str">
        <f t="shared" si="65"/>
        <v>ago</v>
      </c>
      <c r="G1079">
        <v>20</v>
      </c>
      <c r="H1079">
        <v>25</v>
      </c>
      <c r="I1079" t="str">
        <f t="shared" si="64"/>
        <v>1-ago-2025</v>
      </c>
      <c r="K1079" s="49">
        <f t="shared" si="66"/>
        <v>45870</v>
      </c>
      <c r="M1079" t="b">
        <f t="shared" si="67"/>
        <v>0</v>
      </c>
    </row>
    <row r="1080" spans="1:13" x14ac:dyDescent="0.3">
      <c r="A1080" s="49">
        <v>45323</v>
      </c>
      <c r="D1080" t="s">
        <v>7362</v>
      </c>
      <c r="E1080">
        <v>1</v>
      </c>
      <c r="F1080" t="str">
        <f t="shared" si="65"/>
        <v>ago</v>
      </c>
      <c r="G1080">
        <v>20</v>
      </c>
      <c r="H1080">
        <v>22</v>
      </c>
      <c r="I1080" t="str">
        <f t="shared" si="64"/>
        <v>1-ago-2022</v>
      </c>
      <c r="K1080" s="49">
        <f t="shared" si="66"/>
        <v>44774</v>
      </c>
      <c r="M1080" t="b">
        <f t="shared" si="67"/>
        <v>1</v>
      </c>
    </row>
    <row r="1081" spans="1:13" x14ac:dyDescent="0.3">
      <c r="A1081" s="49">
        <v>45323</v>
      </c>
      <c r="D1081" t="s">
        <v>7369</v>
      </c>
      <c r="E1081">
        <v>1</v>
      </c>
      <c r="F1081" t="str">
        <f t="shared" si="65"/>
        <v>abr</v>
      </c>
      <c r="G1081">
        <v>20</v>
      </c>
      <c r="H1081">
        <v>25</v>
      </c>
      <c r="I1081" t="str">
        <f t="shared" si="64"/>
        <v>1-abr-2025</v>
      </c>
      <c r="K1081" s="49">
        <f t="shared" si="66"/>
        <v>45748</v>
      </c>
      <c r="M1081" t="b">
        <f t="shared" si="67"/>
        <v>0</v>
      </c>
    </row>
    <row r="1082" spans="1:13" x14ac:dyDescent="0.3">
      <c r="A1082" s="49">
        <v>45323</v>
      </c>
      <c r="D1082" t="s">
        <v>7367</v>
      </c>
      <c r="E1082">
        <v>1</v>
      </c>
      <c r="F1082" t="str">
        <f t="shared" si="65"/>
        <v>jun</v>
      </c>
      <c r="G1082">
        <v>20</v>
      </c>
      <c r="H1082">
        <v>22</v>
      </c>
      <c r="I1082" t="str">
        <f t="shared" si="64"/>
        <v>1-jun-2022</v>
      </c>
      <c r="K1082" s="49">
        <f t="shared" si="66"/>
        <v>44713</v>
      </c>
      <c r="M1082" t="b">
        <f t="shared" si="67"/>
        <v>1</v>
      </c>
    </row>
    <row r="1083" spans="1:13" x14ac:dyDescent="0.3">
      <c r="A1083" s="49">
        <v>45323</v>
      </c>
      <c r="D1083" t="s">
        <v>7359</v>
      </c>
      <c r="E1083">
        <v>1</v>
      </c>
      <c r="F1083" t="str">
        <f t="shared" si="65"/>
        <v>jul</v>
      </c>
      <c r="G1083">
        <v>20</v>
      </c>
      <c r="H1083">
        <v>23</v>
      </c>
      <c r="I1083" t="str">
        <f t="shared" si="64"/>
        <v>1-jul-2023</v>
      </c>
      <c r="K1083" s="49">
        <f t="shared" si="66"/>
        <v>45108</v>
      </c>
      <c r="M1083" t="b">
        <f t="shared" si="67"/>
        <v>1</v>
      </c>
    </row>
    <row r="1084" spans="1:13" x14ac:dyDescent="0.3">
      <c r="A1084" s="49">
        <v>45323</v>
      </c>
      <c r="D1084" t="s">
        <v>7356</v>
      </c>
      <c r="E1084">
        <v>1</v>
      </c>
      <c r="F1084" t="str">
        <f t="shared" si="65"/>
        <v>ene</v>
      </c>
      <c r="G1084">
        <v>20</v>
      </c>
      <c r="H1084">
        <v>24</v>
      </c>
      <c r="I1084" t="str">
        <f t="shared" si="64"/>
        <v>1-ene-2024</v>
      </c>
      <c r="K1084" s="49">
        <f t="shared" si="66"/>
        <v>45292</v>
      </c>
      <c r="M1084" t="b">
        <f t="shared" si="67"/>
        <v>1</v>
      </c>
    </row>
    <row r="1085" spans="1:13" x14ac:dyDescent="0.3">
      <c r="A1085" s="49">
        <v>45323</v>
      </c>
      <c r="D1085" t="s">
        <v>7356</v>
      </c>
      <c r="E1085">
        <v>1</v>
      </c>
      <c r="F1085" t="str">
        <f t="shared" si="65"/>
        <v>ene</v>
      </c>
      <c r="G1085">
        <v>20</v>
      </c>
      <c r="H1085">
        <v>24</v>
      </c>
      <c r="I1085" t="str">
        <f t="shared" si="64"/>
        <v>1-ene-2024</v>
      </c>
      <c r="K1085" s="49">
        <f t="shared" si="66"/>
        <v>45292</v>
      </c>
      <c r="M1085" t="b">
        <f t="shared" si="67"/>
        <v>1</v>
      </c>
    </row>
    <row r="1086" spans="1:13" x14ac:dyDescent="0.3">
      <c r="A1086" s="49">
        <v>45323</v>
      </c>
      <c r="D1086" t="s">
        <v>7356</v>
      </c>
      <c r="E1086">
        <v>1</v>
      </c>
      <c r="F1086" t="str">
        <f t="shared" si="65"/>
        <v>ene</v>
      </c>
      <c r="G1086">
        <v>20</v>
      </c>
      <c r="H1086">
        <v>24</v>
      </c>
      <c r="I1086" t="str">
        <f t="shared" si="64"/>
        <v>1-ene-2024</v>
      </c>
      <c r="K1086" s="49">
        <f t="shared" si="66"/>
        <v>45292</v>
      </c>
      <c r="M1086" t="b">
        <f t="shared" si="67"/>
        <v>1</v>
      </c>
    </row>
    <row r="1087" spans="1:13" x14ac:dyDescent="0.3">
      <c r="A1087" s="49">
        <v>45323</v>
      </c>
      <c r="D1087" t="s">
        <v>7356</v>
      </c>
      <c r="E1087">
        <v>1</v>
      </c>
      <c r="F1087" t="str">
        <f t="shared" si="65"/>
        <v>ene</v>
      </c>
      <c r="G1087">
        <v>20</v>
      </c>
      <c r="H1087">
        <v>24</v>
      </c>
      <c r="I1087" t="str">
        <f t="shared" si="64"/>
        <v>1-ene-2024</v>
      </c>
      <c r="K1087" s="49">
        <f t="shared" si="66"/>
        <v>45292</v>
      </c>
      <c r="M1087" t="b">
        <f t="shared" si="67"/>
        <v>1</v>
      </c>
    </row>
    <row r="1088" spans="1:13" x14ac:dyDescent="0.3">
      <c r="A1088" s="49">
        <v>45323</v>
      </c>
      <c r="D1088" t="s">
        <v>7360</v>
      </c>
      <c r="E1088">
        <v>1</v>
      </c>
      <c r="F1088" t="str">
        <f t="shared" si="65"/>
        <v>nov</v>
      </c>
      <c r="G1088">
        <v>20</v>
      </c>
      <c r="H1088">
        <v>23</v>
      </c>
      <c r="I1088" t="str">
        <f t="shared" si="64"/>
        <v>1-nov-2023</v>
      </c>
      <c r="K1088" s="49">
        <f t="shared" si="66"/>
        <v>45231</v>
      </c>
      <c r="M1088" t="b">
        <f t="shared" si="67"/>
        <v>1</v>
      </c>
    </row>
    <row r="1089" spans="1:13" x14ac:dyDescent="0.3">
      <c r="A1089" s="49">
        <v>45323</v>
      </c>
      <c r="D1089" t="s">
        <v>7357</v>
      </c>
      <c r="E1089">
        <v>1</v>
      </c>
      <c r="F1089" t="str">
        <f t="shared" si="65"/>
        <v>oct</v>
      </c>
      <c r="G1089">
        <v>20</v>
      </c>
      <c r="H1089">
        <v>23</v>
      </c>
      <c r="I1089" t="str">
        <f t="shared" ref="I1089:I1152" si="68">_xlfn.CONCAT(E1089,"-",F1089,"-",G1089,H1089)</f>
        <v>1-oct-2023</v>
      </c>
      <c r="K1089" s="49">
        <f t="shared" si="66"/>
        <v>45200</v>
      </c>
      <c r="M1089" t="b">
        <f t="shared" si="67"/>
        <v>1</v>
      </c>
    </row>
    <row r="1090" spans="1:13" x14ac:dyDescent="0.3">
      <c r="A1090" s="49">
        <v>45323</v>
      </c>
      <c r="D1090" t="s">
        <v>7356</v>
      </c>
      <c r="E1090">
        <v>1</v>
      </c>
      <c r="F1090" t="str">
        <f t="shared" ref="F1090:F1153" si="69">LOWER(D1090)</f>
        <v>ene</v>
      </c>
      <c r="G1090">
        <v>20</v>
      </c>
      <c r="H1090">
        <v>23</v>
      </c>
      <c r="I1090" t="str">
        <f t="shared" si="68"/>
        <v>1-ene-2023</v>
      </c>
      <c r="K1090" s="49">
        <f t="shared" ref="K1090:K1153" si="70">DATEVALUE(I1090)</f>
        <v>44927</v>
      </c>
      <c r="M1090" t="b">
        <f t="shared" si="67"/>
        <v>1</v>
      </c>
    </row>
    <row r="1091" spans="1:13" x14ac:dyDescent="0.3">
      <c r="A1091" s="49">
        <v>45323</v>
      </c>
      <c r="D1091" t="s">
        <v>7356</v>
      </c>
      <c r="E1091">
        <v>1</v>
      </c>
      <c r="F1091" t="str">
        <f t="shared" si="69"/>
        <v>ene</v>
      </c>
      <c r="G1091">
        <v>20</v>
      </c>
      <c r="H1091">
        <v>23</v>
      </c>
      <c r="I1091" t="str">
        <f t="shared" si="68"/>
        <v>1-ene-2023</v>
      </c>
      <c r="K1091" s="49">
        <f t="shared" si="70"/>
        <v>44927</v>
      </c>
      <c r="M1091" t="b">
        <f t="shared" ref="M1091:M1154" si="71">K1091&lt;A1091</f>
        <v>1</v>
      </c>
    </row>
    <row r="1092" spans="1:13" x14ac:dyDescent="0.3">
      <c r="A1092" s="49">
        <v>45323</v>
      </c>
      <c r="D1092" t="s">
        <v>7356</v>
      </c>
      <c r="E1092">
        <v>1</v>
      </c>
      <c r="F1092" t="str">
        <f t="shared" si="69"/>
        <v>ene</v>
      </c>
      <c r="G1092">
        <v>20</v>
      </c>
      <c r="H1092">
        <v>24</v>
      </c>
      <c r="I1092" t="str">
        <f t="shared" si="68"/>
        <v>1-ene-2024</v>
      </c>
      <c r="K1092" s="49">
        <f t="shared" si="70"/>
        <v>45292</v>
      </c>
      <c r="M1092" t="b">
        <f t="shared" si="71"/>
        <v>1</v>
      </c>
    </row>
    <row r="1093" spans="1:13" x14ac:dyDescent="0.3">
      <c r="A1093" s="49">
        <v>45323</v>
      </c>
      <c r="D1093" t="s">
        <v>7360</v>
      </c>
      <c r="E1093">
        <v>1</v>
      </c>
      <c r="F1093" t="str">
        <f t="shared" si="69"/>
        <v>nov</v>
      </c>
      <c r="G1093">
        <v>20</v>
      </c>
      <c r="H1093">
        <v>23</v>
      </c>
      <c r="I1093" t="str">
        <f t="shared" si="68"/>
        <v>1-nov-2023</v>
      </c>
      <c r="K1093" s="49">
        <f t="shared" si="70"/>
        <v>45231</v>
      </c>
      <c r="M1093" t="b">
        <f t="shared" si="71"/>
        <v>1</v>
      </c>
    </row>
    <row r="1094" spans="1:13" x14ac:dyDescent="0.3">
      <c r="A1094" s="49">
        <v>45323</v>
      </c>
      <c r="D1094" t="s">
        <v>7369</v>
      </c>
      <c r="E1094">
        <v>1</v>
      </c>
      <c r="F1094" t="str">
        <f t="shared" si="69"/>
        <v>abr</v>
      </c>
      <c r="G1094">
        <v>20</v>
      </c>
      <c r="H1094">
        <v>23</v>
      </c>
      <c r="I1094" t="str">
        <f t="shared" si="68"/>
        <v>1-abr-2023</v>
      </c>
      <c r="K1094" s="49">
        <f t="shared" si="70"/>
        <v>45017</v>
      </c>
      <c r="M1094" t="b">
        <f t="shared" si="71"/>
        <v>1</v>
      </c>
    </row>
    <row r="1095" spans="1:13" x14ac:dyDescent="0.3">
      <c r="A1095" s="49">
        <v>45323</v>
      </c>
      <c r="D1095" t="s">
        <v>7369</v>
      </c>
      <c r="E1095">
        <v>1</v>
      </c>
      <c r="F1095" t="str">
        <f t="shared" si="69"/>
        <v>abr</v>
      </c>
      <c r="G1095">
        <v>20</v>
      </c>
      <c r="H1095">
        <v>23</v>
      </c>
      <c r="I1095" t="str">
        <f t="shared" si="68"/>
        <v>1-abr-2023</v>
      </c>
      <c r="K1095" s="49">
        <f t="shared" si="70"/>
        <v>45017</v>
      </c>
      <c r="M1095" t="b">
        <f t="shared" si="71"/>
        <v>1</v>
      </c>
    </row>
    <row r="1096" spans="1:13" x14ac:dyDescent="0.3">
      <c r="A1096" s="49">
        <v>45323</v>
      </c>
      <c r="D1096" t="s">
        <v>7369</v>
      </c>
      <c r="E1096">
        <v>1</v>
      </c>
      <c r="F1096" t="str">
        <f t="shared" si="69"/>
        <v>abr</v>
      </c>
      <c r="G1096">
        <v>20</v>
      </c>
      <c r="H1096">
        <v>23</v>
      </c>
      <c r="I1096" t="str">
        <f t="shared" si="68"/>
        <v>1-abr-2023</v>
      </c>
      <c r="K1096" s="49">
        <f t="shared" si="70"/>
        <v>45017</v>
      </c>
      <c r="M1096" t="b">
        <f t="shared" si="71"/>
        <v>1</v>
      </c>
    </row>
    <row r="1097" spans="1:13" x14ac:dyDescent="0.3">
      <c r="A1097" s="49">
        <v>45323</v>
      </c>
      <c r="D1097" t="s">
        <v>3586</v>
      </c>
      <c r="E1097">
        <v>1</v>
      </c>
      <c r="F1097" t="str">
        <f t="shared" si="69"/>
        <v>---</v>
      </c>
      <c r="G1097">
        <v>20</v>
      </c>
      <c r="H1097" t="s">
        <v>3911</v>
      </c>
      <c r="I1097" t="str">
        <f t="shared" si="68"/>
        <v>1-----20--</v>
      </c>
      <c r="K1097" s="49" t="e">
        <f t="shared" si="70"/>
        <v>#VALUE!</v>
      </c>
      <c r="M1097" t="e">
        <f t="shared" si="71"/>
        <v>#VALUE!</v>
      </c>
    </row>
    <row r="1098" spans="1:13" x14ac:dyDescent="0.3">
      <c r="A1098" s="49">
        <v>45323</v>
      </c>
      <c r="D1098" t="s">
        <v>7356</v>
      </c>
      <c r="E1098">
        <v>1</v>
      </c>
      <c r="F1098" t="str">
        <f t="shared" si="69"/>
        <v>ene</v>
      </c>
      <c r="G1098">
        <v>20</v>
      </c>
      <c r="H1098">
        <v>22</v>
      </c>
      <c r="I1098" t="str">
        <f t="shared" si="68"/>
        <v>1-ene-2022</v>
      </c>
      <c r="K1098" s="49">
        <f t="shared" si="70"/>
        <v>44562</v>
      </c>
      <c r="M1098" t="b">
        <f t="shared" si="71"/>
        <v>1</v>
      </c>
    </row>
    <row r="1099" spans="1:13" x14ac:dyDescent="0.3">
      <c r="A1099" s="49">
        <v>45323</v>
      </c>
      <c r="D1099" t="s">
        <v>7356</v>
      </c>
      <c r="E1099">
        <v>1</v>
      </c>
      <c r="F1099" t="str">
        <f t="shared" si="69"/>
        <v>ene</v>
      </c>
      <c r="G1099">
        <v>20</v>
      </c>
      <c r="H1099">
        <v>22</v>
      </c>
      <c r="I1099" t="str">
        <f t="shared" si="68"/>
        <v>1-ene-2022</v>
      </c>
      <c r="K1099" s="49">
        <f t="shared" si="70"/>
        <v>44562</v>
      </c>
      <c r="M1099" t="b">
        <f t="shared" si="71"/>
        <v>1</v>
      </c>
    </row>
    <row r="1100" spans="1:13" x14ac:dyDescent="0.3">
      <c r="A1100" s="49">
        <v>45323</v>
      </c>
      <c r="D1100" t="s">
        <v>7355</v>
      </c>
      <c r="E1100">
        <v>1</v>
      </c>
      <c r="F1100" t="str">
        <f t="shared" si="69"/>
        <v>sep</v>
      </c>
      <c r="G1100">
        <v>20</v>
      </c>
      <c r="H1100">
        <v>23</v>
      </c>
      <c r="I1100" t="str">
        <f t="shared" si="68"/>
        <v>1-sep-2023</v>
      </c>
      <c r="K1100" s="49">
        <f t="shared" si="70"/>
        <v>45170</v>
      </c>
      <c r="M1100" t="b">
        <f t="shared" si="71"/>
        <v>1</v>
      </c>
    </row>
    <row r="1101" spans="1:13" x14ac:dyDescent="0.3">
      <c r="A1101" s="49">
        <v>45323</v>
      </c>
      <c r="D1101" t="s">
        <v>7370</v>
      </c>
      <c r="E1101">
        <v>1</v>
      </c>
      <c r="F1101" t="str">
        <f t="shared" si="69"/>
        <v>may</v>
      </c>
      <c r="G1101">
        <v>20</v>
      </c>
      <c r="H1101">
        <v>22</v>
      </c>
      <c r="I1101" t="str">
        <f t="shared" si="68"/>
        <v>1-may-2022</v>
      </c>
      <c r="K1101" s="49">
        <f t="shared" si="70"/>
        <v>44682</v>
      </c>
      <c r="M1101" t="b">
        <f t="shared" si="71"/>
        <v>1</v>
      </c>
    </row>
    <row r="1102" spans="1:13" x14ac:dyDescent="0.3">
      <c r="A1102" s="49">
        <v>45323</v>
      </c>
      <c r="D1102" t="s">
        <v>7370</v>
      </c>
      <c r="E1102">
        <v>1</v>
      </c>
      <c r="F1102" t="str">
        <f t="shared" si="69"/>
        <v>may</v>
      </c>
      <c r="G1102">
        <v>20</v>
      </c>
      <c r="H1102">
        <v>22</v>
      </c>
      <c r="I1102" t="str">
        <f t="shared" si="68"/>
        <v>1-may-2022</v>
      </c>
      <c r="K1102" s="49">
        <f t="shared" si="70"/>
        <v>44682</v>
      </c>
      <c r="M1102" t="b">
        <f t="shared" si="71"/>
        <v>1</v>
      </c>
    </row>
    <row r="1103" spans="1:13" x14ac:dyDescent="0.3">
      <c r="A1103" s="49">
        <v>45323</v>
      </c>
      <c r="D1103" t="s">
        <v>7367</v>
      </c>
      <c r="E1103">
        <v>1</v>
      </c>
      <c r="F1103" t="str">
        <f t="shared" si="69"/>
        <v>jun</v>
      </c>
      <c r="G1103">
        <v>20</v>
      </c>
      <c r="H1103">
        <v>24</v>
      </c>
      <c r="I1103" t="str">
        <f t="shared" si="68"/>
        <v>1-jun-2024</v>
      </c>
      <c r="K1103" s="49">
        <f t="shared" si="70"/>
        <v>45444</v>
      </c>
      <c r="M1103" t="b">
        <f t="shared" si="71"/>
        <v>0</v>
      </c>
    </row>
    <row r="1104" spans="1:13" x14ac:dyDescent="0.3">
      <c r="A1104" s="49">
        <v>45323</v>
      </c>
      <c r="D1104" t="s">
        <v>7366</v>
      </c>
      <c r="E1104">
        <v>1</v>
      </c>
      <c r="F1104" t="str">
        <f t="shared" si="69"/>
        <v>dic</v>
      </c>
      <c r="G1104">
        <v>20</v>
      </c>
      <c r="H1104">
        <v>23</v>
      </c>
      <c r="I1104" t="str">
        <f t="shared" si="68"/>
        <v>1-dic-2023</v>
      </c>
      <c r="K1104" s="49">
        <f t="shared" si="70"/>
        <v>45261</v>
      </c>
      <c r="M1104" t="b">
        <f t="shared" si="71"/>
        <v>1</v>
      </c>
    </row>
    <row r="1105" spans="1:13" x14ac:dyDescent="0.3">
      <c r="A1105" s="49">
        <v>45323</v>
      </c>
      <c r="D1105" t="s">
        <v>7366</v>
      </c>
      <c r="E1105">
        <v>1</v>
      </c>
      <c r="F1105" t="str">
        <f t="shared" si="69"/>
        <v>dic</v>
      </c>
      <c r="G1105">
        <v>20</v>
      </c>
      <c r="H1105">
        <v>23</v>
      </c>
      <c r="I1105" t="str">
        <f t="shared" si="68"/>
        <v>1-dic-2023</v>
      </c>
      <c r="K1105" s="49">
        <f t="shared" si="70"/>
        <v>45261</v>
      </c>
      <c r="M1105" t="b">
        <f t="shared" si="71"/>
        <v>1</v>
      </c>
    </row>
    <row r="1106" spans="1:13" x14ac:dyDescent="0.3">
      <c r="A1106" s="49">
        <v>45323</v>
      </c>
      <c r="D1106" t="s">
        <v>7366</v>
      </c>
      <c r="E1106">
        <v>1</v>
      </c>
      <c r="F1106" t="str">
        <f t="shared" si="69"/>
        <v>dic</v>
      </c>
      <c r="G1106">
        <v>20</v>
      </c>
      <c r="H1106">
        <v>23</v>
      </c>
      <c r="I1106" t="str">
        <f t="shared" si="68"/>
        <v>1-dic-2023</v>
      </c>
      <c r="K1106" s="49">
        <f t="shared" si="70"/>
        <v>45261</v>
      </c>
      <c r="M1106" t="b">
        <f t="shared" si="71"/>
        <v>1</v>
      </c>
    </row>
    <row r="1107" spans="1:13" x14ac:dyDescent="0.3">
      <c r="A1107" s="49">
        <v>45323</v>
      </c>
      <c r="D1107" t="s">
        <v>7366</v>
      </c>
      <c r="E1107">
        <v>1</v>
      </c>
      <c r="F1107" t="str">
        <f t="shared" si="69"/>
        <v>dic</v>
      </c>
      <c r="G1107">
        <v>20</v>
      </c>
      <c r="H1107">
        <v>23</v>
      </c>
      <c r="I1107" t="str">
        <f t="shared" si="68"/>
        <v>1-dic-2023</v>
      </c>
      <c r="K1107" s="49">
        <f t="shared" si="70"/>
        <v>45261</v>
      </c>
      <c r="M1107" t="b">
        <f t="shared" si="71"/>
        <v>1</v>
      </c>
    </row>
    <row r="1108" spans="1:13" x14ac:dyDescent="0.3">
      <c r="A1108" s="49">
        <v>45323</v>
      </c>
      <c r="D1108" t="s">
        <v>7366</v>
      </c>
      <c r="E1108">
        <v>1</v>
      </c>
      <c r="F1108" t="str">
        <f t="shared" si="69"/>
        <v>dic</v>
      </c>
      <c r="G1108">
        <v>20</v>
      </c>
      <c r="H1108">
        <v>23</v>
      </c>
      <c r="I1108" t="str">
        <f t="shared" si="68"/>
        <v>1-dic-2023</v>
      </c>
      <c r="K1108" s="49">
        <f t="shared" si="70"/>
        <v>45261</v>
      </c>
      <c r="M1108" t="b">
        <f t="shared" si="71"/>
        <v>1</v>
      </c>
    </row>
    <row r="1109" spans="1:13" x14ac:dyDescent="0.3">
      <c r="A1109" s="49">
        <v>45323</v>
      </c>
      <c r="D1109" t="s">
        <v>7366</v>
      </c>
      <c r="E1109">
        <v>1</v>
      </c>
      <c r="F1109" t="str">
        <f t="shared" si="69"/>
        <v>dic</v>
      </c>
      <c r="G1109">
        <v>20</v>
      </c>
      <c r="H1109">
        <v>23</v>
      </c>
      <c r="I1109" t="str">
        <f t="shared" si="68"/>
        <v>1-dic-2023</v>
      </c>
      <c r="K1109" s="49">
        <f t="shared" si="70"/>
        <v>45261</v>
      </c>
      <c r="M1109" t="b">
        <f t="shared" si="71"/>
        <v>1</v>
      </c>
    </row>
    <row r="1110" spans="1:13" x14ac:dyDescent="0.3">
      <c r="A1110" s="49">
        <v>45323</v>
      </c>
      <c r="D1110" t="s">
        <v>7369</v>
      </c>
      <c r="E1110">
        <v>1</v>
      </c>
      <c r="F1110" t="str">
        <f t="shared" si="69"/>
        <v>abr</v>
      </c>
      <c r="G1110">
        <v>20</v>
      </c>
      <c r="H1110">
        <v>24</v>
      </c>
      <c r="I1110" t="str">
        <f t="shared" si="68"/>
        <v>1-abr-2024</v>
      </c>
      <c r="K1110" s="49">
        <f t="shared" si="70"/>
        <v>45383</v>
      </c>
      <c r="M1110" t="b">
        <f t="shared" si="71"/>
        <v>0</v>
      </c>
    </row>
    <row r="1111" spans="1:13" x14ac:dyDescent="0.3">
      <c r="A1111" s="49">
        <v>45323</v>
      </c>
      <c r="D1111" t="s">
        <v>7357</v>
      </c>
      <c r="E1111">
        <v>1</v>
      </c>
      <c r="F1111" t="str">
        <f t="shared" si="69"/>
        <v>oct</v>
      </c>
      <c r="G1111">
        <v>20</v>
      </c>
      <c r="H1111">
        <v>23</v>
      </c>
      <c r="I1111" t="str">
        <f t="shared" si="68"/>
        <v>1-oct-2023</v>
      </c>
      <c r="K1111" s="49">
        <f t="shared" si="70"/>
        <v>45200</v>
      </c>
      <c r="M1111" t="b">
        <f t="shared" si="71"/>
        <v>1</v>
      </c>
    </row>
    <row r="1112" spans="1:13" x14ac:dyDescent="0.3">
      <c r="A1112" s="49">
        <v>45323</v>
      </c>
      <c r="D1112" t="s">
        <v>7357</v>
      </c>
      <c r="E1112">
        <v>1</v>
      </c>
      <c r="F1112" t="str">
        <f t="shared" si="69"/>
        <v>oct</v>
      </c>
      <c r="G1112">
        <v>20</v>
      </c>
      <c r="H1112">
        <v>23</v>
      </c>
      <c r="I1112" t="str">
        <f t="shared" si="68"/>
        <v>1-oct-2023</v>
      </c>
      <c r="K1112" s="49">
        <f t="shared" si="70"/>
        <v>45200</v>
      </c>
      <c r="M1112" t="b">
        <f t="shared" si="71"/>
        <v>1</v>
      </c>
    </row>
    <row r="1113" spans="1:13" x14ac:dyDescent="0.3">
      <c r="A1113" s="49">
        <v>45323</v>
      </c>
      <c r="D1113" t="s">
        <v>7357</v>
      </c>
      <c r="E1113">
        <v>1</v>
      </c>
      <c r="F1113" t="str">
        <f t="shared" si="69"/>
        <v>oct</v>
      </c>
      <c r="G1113">
        <v>20</v>
      </c>
      <c r="H1113">
        <v>23</v>
      </c>
      <c r="I1113" t="str">
        <f t="shared" si="68"/>
        <v>1-oct-2023</v>
      </c>
      <c r="K1113" s="49">
        <f t="shared" si="70"/>
        <v>45200</v>
      </c>
      <c r="M1113" t="b">
        <f t="shared" si="71"/>
        <v>1</v>
      </c>
    </row>
    <row r="1114" spans="1:13" x14ac:dyDescent="0.3">
      <c r="A1114" s="49">
        <v>45323</v>
      </c>
      <c r="D1114" t="s">
        <v>7359</v>
      </c>
      <c r="E1114">
        <v>1</v>
      </c>
      <c r="F1114" t="str">
        <f t="shared" si="69"/>
        <v>jul</v>
      </c>
      <c r="G1114">
        <v>20</v>
      </c>
      <c r="H1114">
        <v>24</v>
      </c>
      <c r="I1114" t="str">
        <f t="shared" si="68"/>
        <v>1-jul-2024</v>
      </c>
      <c r="K1114" s="49">
        <f t="shared" si="70"/>
        <v>45474</v>
      </c>
      <c r="M1114" t="b">
        <f t="shared" si="71"/>
        <v>0</v>
      </c>
    </row>
    <row r="1115" spans="1:13" x14ac:dyDescent="0.3">
      <c r="A1115" s="49">
        <v>45323</v>
      </c>
      <c r="D1115" t="s">
        <v>7395</v>
      </c>
      <c r="E1115">
        <v>1</v>
      </c>
      <c r="F1115" t="str">
        <f t="shared" si="69"/>
        <v xml:space="preserve">jul </v>
      </c>
      <c r="G1115">
        <v>20</v>
      </c>
      <c r="H1115">
        <v>23</v>
      </c>
      <c r="I1115" t="str">
        <f t="shared" si="68"/>
        <v>1-jul -2023</v>
      </c>
      <c r="K1115" s="49">
        <f t="shared" si="70"/>
        <v>45108</v>
      </c>
      <c r="M1115" t="b">
        <f t="shared" si="71"/>
        <v>1</v>
      </c>
    </row>
    <row r="1116" spans="1:13" x14ac:dyDescent="0.3">
      <c r="A1116" s="49">
        <v>45323</v>
      </c>
      <c r="D1116" t="s">
        <v>7395</v>
      </c>
      <c r="E1116">
        <v>1</v>
      </c>
      <c r="F1116" t="str">
        <f t="shared" si="69"/>
        <v xml:space="preserve">jul </v>
      </c>
      <c r="G1116">
        <v>20</v>
      </c>
      <c r="H1116">
        <v>23</v>
      </c>
      <c r="I1116" t="str">
        <f t="shared" si="68"/>
        <v>1-jul -2023</v>
      </c>
      <c r="K1116" s="49">
        <f t="shared" si="70"/>
        <v>45108</v>
      </c>
      <c r="M1116" t="b">
        <f t="shared" si="71"/>
        <v>1</v>
      </c>
    </row>
    <row r="1117" spans="1:13" x14ac:dyDescent="0.3">
      <c r="A1117" s="49">
        <v>45292</v>
      </c>
      <c r="D1117" t="s">
        <v>7359</v>
      </c>
      <c r="E1117">
        <v>1</v>
      </c>
      <c r="F1117" t="str">
        <f t="shared" si="69"/>
        <v>jul</v>
      </c>
      <c r="G1117">
        <v>20</v>
      </c>
      <c r="H1117">
        <v>22</v>
      </c>
      <c r="I1117" t="str">
        <f t="shared" si="68"/>
        <v>1-jul-2022</v>
      </c>
      <c r="K1117" s="49">
        <f t="shared" si="70"/>
        <v>44743</v>
      </c>
      <c r="M1117" t="b">
        <f t="shared" si="71"/>
        <v>1</v>
      </c>
    </row>
    <row r="1118" spans="1:13" x14ac:dyDescent="0.3">
      <c r="A1118" s="49">
        <v>45292</v>
      </c>
      <c r="D1118" t="s">
        <v>7359</v>
      </c>
      <c r="E1118">
        <v>1</v>
      </c>
      <c r="F1118" t="str">
        <f t="shared" si="69"/>
        <v>jul</v>
      </c>
      <c r="G1118">
        <v>20</v>
      </c>
      <c r="H1118">
        <v>23</v>
      </c>
      <c r="I1118" t="str">
        <f t="shared" si="68"/>
        <v>1-jul-2023</v>
      </c>
      <c r="K1118" s="49">
        <f t="shared" si="70"/>
        <v>45108</v>
      </c>
      <c r="M1118" t="b">
        <f t="shared" si="71"/>
        <v>1</v>
      </c>
    </row>
    <row r="1119" spans="1:13" x14ac:dyDescent="0.3">
      <c r="A1119" s="49">
        <v>45292</v>
      </c>
      <c r="D1119" t="s">
        <v>7355</v>
      </c>
      <c r="E1119">
        <v>1</v>
      </c>
      <c r="F1119" t="str">
        <f t="shared" si="69"/>
        <v>sep</v>
      </c>
      <c r="G1119">
        <v>20</v>
      </c>
      <c r="H1119">
        <v>23</v>
      </c>
      <c r="I1119" t="str">
        <f t="shared" si="68"/>
        <v>1-sep-2023</v>
      </c>
      <c r="K1119" s="49">
        <f t="shared" si="70"/>
        <v>45170</v>
      </c>
      <c r="M1119" t="b">
        <f t="shared" si="71"/>
        <v>1</v>
      </c>
    </row>
    <row r="1120" spans="1:13" x14ac:dyDescent="0.3">
      <c r="A1120" s="49">
        <v>45292</v>
      </c>
      <c r="D1120" t="s">
        <v>7362</v>
      </c>
      <c r="E1120">
        <v>1</v>
      </c>
      <c r="F1120" t="str">
        <f t="shared" si="69"/>
        <v>ago</v>
      </c>
      <c r="G1120">
        <v>20</v>
      </c>
      <c r="H1120">
        <v>22</v>
      </c>
      <c r="I1120" t="str">
        <f t="shared" si="68"/>
        <v>1-ago-2022</v>
      </c>
      <c r="K1120" s="49">
        <f t="shared" si="70"/>
        <v>44774</v>
      </c>
      <c r="M1120" t="b">
        <f t="shared" si="71"/>
        <v>1</v>
      </c>
    </row>
    <row r="1121" spans="1:13" x14ac:dyDescent="0.3">
      <c r="A1121" s="49">
        <v>45292</v>
      </c>
      <c r="D1121" t="s">
        <v>7366</v>
      </c>
      <c r="E1121">
        <v>1</v>
      </c>
      <c r="F1121" t="str">
        <f t="shared" si="69"/>
        <v>dic</v>
      </c>
      <c r="G1121">
        <v>20</v>
      </c>
      <c r="H1121">
        <v>23</v>
      </c>
      <c r="I1121" t="str">
        <f t="shared" si="68"/>
        <v>1-dic-2023</v>
      </c>
      <c r="K1121" s="49">
        <f t="shared" si="70"/>
        <v>45261</v>
      </c>
      <c r="M1121" t="b">
        <f t="shared" si="71"/>
        <v>1</v>
      </c>
    </row>
    <row r="1122" spans="1:13" x14ac:dyDescent="0.3">
      <c r="A1122" s="49">
        <v>45292</v>
      </c>
      <c r="D1122" t="s">
        <v>7360</v>
      </c>
      <c r="E1122">
        <v>1</v>
      </c>
      <c r="F1122" t="str">
        <f t="shared" si="69"/>
        <v>nov</v>
      </c>
      <c r="G1122">
        <v>20</v>
      </c>
      <c r="H1122">
        <v>23</v>
      </c>
      <c r="I1122" t="str">
        <f t="shared" si="68"/>
        <v>1-nov-2023</v>
      </c>
      <c r="K1122" s="49">
        <f t="shared" si="70"/>
        <v>45231</v>
      </c>
      <c r="M1122" t="b">
        <f t="shared" si="71"/>
        <v>1</v>
      </c>
    </row>
    <row r="1123" spans="1:13" x14ac:dyDescent="0.3">
      <c r="A1123" s="49">
        <v>45292</v>
      </c>
      <c r="D1123" t="s">
        <v>7356</v>
      </c>
      <c r="E1123">
        <v>1</v>
      </c>
      <c r="F1123" t="str">
        <f t="shared" si="69"/>
        <v>ene</v>
      </c>
      <c r="G1123">
        <v>20</v>
      </c>
      <c r="H1123">
        <v>23</v>
      </c>
      <c r="I1123" t="str">
        <f t="shared" si="68"/>
        <v>1-ene-2023</v>
      </c>
      <c r="K1123" s="49">
        <f t="shared" si="70"/>
        <v>44927</v>
      </c>
      <c r="M1123" t="b">
        <f t="shared" si="71"/>
        <v>1</v>
      </c>
    </row>
    <row r="1124" spans="1:13" x14ac:dyDescent="0.3">
      <c r="A1124" s="49">
        <v>45292</v>
      </c>
      <c r="D1124" t="s">
        <v>7366</v>
      </c>
      <c r="E1124">
        <v>1</v>
      </c>
      <c r="F1124" t="str">
        <f t="shared" si="69"/>
        <v>dic</v>
      </c>
      <c r="G1124">
        <v>20</v>
      </c>
      <c r="H1124">
        <v>23</v>
      </c>
      <c r="I1124" t="str">
        <f t="shared" si="68"/>
        <v>1-dic-2023</v>
      </c>
      <c r="K1124" s="49">
        <f t="shared" si="70"/>
        <v>45261</v>
      </c>
      <c r="M1124" t="b">
        <f t="shared" si="71"/>
        <v>1</v>
      </c>
    </row>
    <row r="1125" spans="1:13" x14ac:dyDescent="0.3">
      <c r="A1125" s="49">
        <v>45292</v>
      </c>
      <c r="D1125" t="s">
        <v>7363</v>
      </c>
      <c r="E1125">
        <v>1</v>
      </c>
      <c r="F1125" t="str">
        <f t="shared" si="69"/>
        <v>feb</v>
      </c>
      <c r="G1125">
        <v>20</v>
      </c>
      <c r="H1125">
        <v>23</v>
      </c>
      <c r="I1125" t="str">
        <f t="shared" si="68"/>
        <v>1-feb-2023</v>
      </c>
      <c r="K1125" s="49">
        <f t="shared" si="70"/>
        <v>44958</v>
      </c>
      <c r="M1125" t="b">
        <f t="shared" si="71"/>
        <v>1</v>
      </c>
    </row>
    <row r="1126" spans="1:13" x14ac:dyDescent="0.3">
      <c r="A1126" s="49">
        <v>45292</v>
      </c>
      <c r="D1126" t="s">
        <v>7355</v>
      </c>
      <c r="E1126">
        <v>1</v>
      </c>
      <c r="F1126" t="str">
        <f t="shared" si="69"/>
        <v>sep</v>
      </c>
      <c r="G1126">
        <v>20</v>
      </c>
      <c r="H1126">
        <v>23</v>
      </c>
      <c r="I1126" t="str">
        <f t="shared" si="68"/>
        <v>1-sep-2023</v>
      </c>
      <c r="K1126" s="49">
        <f t="shared" si="70"/>
        <v>45170</v>
      </c>
      <c r="M1126" t="b">
        <f t="shared" si="71"/>
        <v>1</v>
      </c>
    </row>
    <row r="1127" spans="1:13" x14ac:dyDescent="0.3">
      <c r="A1127" s="49">
        <v>45292</v>
      </c>
      <c r="D1127" t="s">
        <v>7366</v>
      </c>
      <c r="E1127">
        <v>1</v>
      </c>
      <c r="F1127" t="str">
        <f t="shared" si="69"/>
        <v>dic</v>
      </c>
      <c r="G1127">
        <v>20</v>
      </c>
      <c r="H1127">
        <v>19</v>
      </c>
      <c r="I1127" t="str">
        <f t="shared" si="68"/>
        <v>1-dic-2019</v>
      </c>
      <c r="K1127" s="49">
        <f t="shared" si="70"/>
        <v>43800</v>
      </c>
      <c r="M1127" t="b">
        <f t="shared" si="71"/>
        <v>1</v>
      </c>
    </row>
    <row r="1128" spans="1:13" x14ac:dyDescent="0.3">
      <c r="A1128" s="49">
        <v>45292</v>
      </c>
      <c r="D1128" t="s">
        <v>7362</v>
      </c>
      <c r="E1128">
        <v>1</v>
      </c>
      <c r="F1128" t="str">
        <f t="shared" si="69"/>
        <v>ago</v>
      </c>
      <c r="G1128">
        <v>20</v>
      </c>
      <c r="H1128">
        <v>20</v>
      </c>
      <c r="I1128" t="str">
        <f t="shared" si="68"/>
        <v>1-ago-2020</v>
      </c>
      <c r="K1128" s="49">
        <f t="shared" si="70"/>
        <v>44044</v>
      </c>
      <c r="M1128" t="b">
        <f t="shared" si="71"/>
        <v>1</v>
      </c>
    </row>
    <row r="1129" spans="1:13" x14ac:dyDescent="0.3">
      <c r="A1129" s="49">
        <v>45292</v>
      </c>
      <c r="D1129" t="s">
        <v>7355</v>
      </c>
      <c r="E1129">
        <v>1</v>
      </c>
      <c r="F1129" t="str">
        <f t="shared" si="69"/>
        <v>sep</v>
      </c>
      <c r="G1129">
        <v>20</v>
      </c>
      <c r="H1129">
        <v>22</v>
      </c>
      <c r="I1129" t="str">
        <f t="shared" si="68"/>
        <v>1-sep-2022</v>
      </c>
      <c r="K1129" s="49">
        <f t="shared" si="70"/>
        <v>44805</v>
      </c>
      <c r="M1129" t="b">
        <f t="shared" si="71"/>
        <v>1</v>
      </c>
    </row>
    <row r="1130" spans="1:13" x14ac:dyDescent="0.3">
      <c r="A1130" s="49">
        <v>45292</v>
      </c>
      <c r="D1130" t="s">
        <v>7360</v>
      </c>
      <c r="E1130">
        <v>1</v>
      </c>
      <c r="F1130" t="str">
        <f t="shared" si="69"/>
        <v>nov</v>
      </c>
      <c r="G1130">
        <v>20</v>
      </c>
      <c r="H1130">
        <v>23</v>
      </c>
      <c r="I1130" t="str">
        <f t="shared" si="68"/>
        <v>1-nov-2023</v>
      </c>
      <c r="K1130" s="49">
        <f t="shared" si="70"/>
        <v>45231</v>
      </c>
      <c r="M1130" t="b">
        <f t="shared" si="71"/>
        <v>1</v>
      </c>
    </row>
    <row r="1131" spans="1:13" x14ac:dyDescent="0.3">
      <c r="A1131" s="49">
        <v>45292</v>
      </c>
      <c r="D1131" t="s">
        <v>7368</v>
      </c>
      <c r="E1131">
        <v>1</v>
      </c>
      <c r="F1131" t="str">
        <f t="shared" si="69"/>
        <v>mar</v>
      </c>
      <c r="G1131">
        <v>20</v>
      </c>
      <c r="H1131">
        <v>23</v>
      </c>
      <c r="I1131" t="str">
        <f t="shared" si="68"/>
        <v>1-mar-2023</v>
      </c>
      <c r="K1131" s="49">
        <f t="shared" si="70"/>
        <v>44986</v>
      </c>
      <c r="M1131" t="b">
        <f t="shared" si="71"/>
        <v>1</v>
      </c>
    </row>
    <row r="1132" spans="1:13" x14ac:dyDescent="0.3">
      <c r="A1132" s="49">
        <v>45292</v>
      </c>
      <c r="D1132" t="s">
        <v>7366</v>
      </c>
      <c r="E1132">
        <v>1</v>
      </c>
      <c r="F1132" t="str">
        <f t="shared" si="69"/>
        <v>dic</v>
      </c>
      <c r="G1132">
        <v>20</v>
      </c>
      <c r="H1132">
        <v>23</v>
      </c>
      <c r="I1132" t="str">
        <f t="shared" si="68"/>
        <v>1-dic-2023</v>
      </c>
      <c r="K1132" s="49">
        <f t="shared" si="70"/>
        <v>45261</v>
      </c>
      <c r="M1132" t="b">
        <f t="shared" si="71"/>
        <v>1</v>
      </c>
    </row>
    <row r="1133" spans="1:13" x14ac:dyDescent="0.3">
      <c r="A1133" s="49">
        <v>45292</v>
      </c>
      <c r="D1133" t="s">
        <v>7366</v>
      </c>
      <c r="E1133">
        <v>1</v>
      </c>
      <c r="F1133" t="str">
        <f t="shared" si="69"/>
        <v>dic</v>
      </c>
      <c r="G1133">
        <v>20</v>
      </c>
      <c r="H1133">
        <v>23</v>
      </c>
      <c r="I1133" t="str">
        <f t="shared" si="68"/>
        <v>1-dic-2023</v>
      </c>
      <c r="K1133" s="49">
        <f t="shared" si="70"/>
        <v>45261</v>
      </c>
      <c r="M1133" t="b">
        <f t="shared" si="71"/>
        <v>1</v>
      </c>
    </row>
    <row r="1134" spans="1:13" x14ac:dyDescent="0.3">
      <c r="A1134" s="49">
        <v>45292</v>
      </c>
      <c r="D1134" t="s">
        <v>7366</v>
      </c>
      <c r="E1134">
        <v>1</v>
      </c>
      <c r="F1134" t="str">
        <f t="shared" si="69"/>
        <v>dic</v>
      </c>
      <c r="G1134">
        <v>20</v>
      </c>
      <c r="H1134">
        <v>23</v>
      </c>
      <c r="I1134" t="str">
        <f t="shared" si="68"/>
        <v>1-dic-2023</v>
      </c>
      <c r="K1134" s="49">
        <f t="shared" si="70"/>
        <v>45261</v>
      </c>
      <c r="M1134" t="b">
        <f t="shared" si="71"/>
        <v>1</v>
      </c>
    </row>
    <row r="1135" spans="1:13" x14ac:dyDescent="0.3">
      <c r="A1135" s="49">
        <v>45292</v>
      </c>
      <c r="D1135" t="s">
        <v>7366</v>
      </c>
      <c r="E1135">
        <v>1</v>
      </c>
      <c r="F1135" t="str">
        <f t="shared" si="69"/>
        <v>dic</v>
      </c>
      <c r="G1135">
        <v>20</v>
      </c>
      <c r="H1135">
        <v>23</v>
      </c>
      <c r="I1135" t="str">
        <f t="shared" si="68"/>
        <v>1-dic-2023</v>
      </c>
      <c r="K1135" s="49">
        <f t="shared" si="70"/>
        <v>45261</v>
      </c>
      <c r="M1135" t="b">
        <f t="shared" si="71"/>
        <v>1</v>
      </c>
    </row>
    <row r="1136" spans="1:13" x14ac:dyDescent="0.3">
      <c r="A1136" s="49">
        <v>45292</v>
      </c>
      <c r="D1136" t="s">
        <v>7366</v>
      </c>
      <c r="E1136">
        <v>1</v>
      </c>
      <c r="F1136" t="str">
        <f t="shared" si="69"/>
        <v>dic</v>
      </c>
      <c r="G1136">
        <v>20</v>
      </c>
      <c r="H1136">
        <v>23</v>
      </c>
      <c r="I1136" t="str">
        <f t="shared" si="68"/>
        <v>1-dic-2023</v>
      </c>
      <c r="K1136" s="49">
        <f t="shared" si="70"/>
        <v>45261</v>
      </c>
      <c r="M1136" t="b">
        <f t="shared" si="71"/>
        <v>1</v>
      </c>
    </row>
    <row r="1137" spans="1:13" x14ac:dyDescent="0.3">
      <c r="A1137" s="49">
        <v>45292</v>
      </c>
      <c r="D1137" t="s">
        <v>7366</v>
      </c>
      <c r="E1137">
        <v>1</v>
      </c>
      <c r="F1137" t="str">
        <f t="shared" si="69"/>
        <v>dic</v>
      </c>
      <c r="G1137">
        <v>20</v>
      </c>
      <c r="H1137">
        <v>23</v>
      </c>
      <c r="I1137" t="str">
        <f t="shared" si="68"/>
        <v>1-dic-2023</v>
      </c>
      <c r="K1137" s="49">
        <f t="shared" si="70"/>
        <v>45261</v>
      </c>
      <c r="M1137" t="b">
        <f t="shared" si="71"/>
        <v>1</v>
      </c>
    </row>
    <row r="1138" spans="1:13" x14ac:dyDescent="0.3">
      <c r="A1138" s="49">
        <v>45292</v>
      </c>
      <c r="D1138" t="s">
        <v>7366</v>
      </c>
      <c r="E1138">
        <v>1</v>
      </c>
      <c r="F1138" t="str">
        <f t="shared" si="69"/>
        <v>dic</v>
      </c>
      <c r="G1138">
        <v>20</v>
      </c>
      <c r="H1138">
        <v>23</v>
      </c>
      <c r="I1138" t="str">
        <f t="shared" si="68"/>
        <v>1-dic-2023</v>
      </c>
      <c r="K1138" s="49">
        <f t="shared" si="70"/>
        <v>45261</v>
      </c>
      <c r="M1138" t="b">
        <f t="shared" si="71"/>
        <v>1</v>
      </c>
    </row>
    <row r="1139" spans="1:13" x14ac:dyDescent="0.3">
      <c r="A1139" s="49">
        <v>45292</v>
      </c>
      <c r="D1139" t="s">
        <v>7366</v>
      </c>
      <c r="E1139">
        <v>1</v>
      </c>
      <c r="F1139" t="str">
        <f t="shared" si="69"/>
        <v>dic</v>
      </c>
      <c r="G1139">
        <v>20</v>
      </c>
      <c r="H1139">
        <v>23</v>
      </c>
      <c r="I1139" t="str">
        <f t="shared" si="68"/>
        <v>1-dic-2023</v>
      </c>
      <c r="K1139" s="49">
        <f t="shared" si="70"/>
        <v>45261</v>
      </c>
      <c r="M1139" t="b">
        <f t="shared" si="71"/>
        <v>1</v>
      </c>
    </row>
    <row r="1140" spans="1:13" x14ac:dyDescent="0.3">
      <c r="A1140" s="49">
        <v>45292</v>
      </c>
      <c r="D1140" t="s">
        <v>7366</v>
      </c>
      <c r="E1140">
        <v>1</v>
      </c>
      <c r="F1140" t="str">
        <f t="shared" si="69"/>
        <v>dic</v>
      </c>
      <c r="G1140">
        <v>20</v>
      </c>
      <c r="H1140">
        <v>23</v>
      </c>
      <c r="I1140" t="str">
        <f t="shared" si="68"/>
        <v>1-dic-2023</v>
      </c>
      <c r="K1140" s="49">
        <f t="shared" si="70"/>
        <v>45261</v>
      </c>
      <c r="M1140" t="b">
        <f t="shared" si="71"/>
        <v>1</v>
      </c>
    </row>
    <row r="1141" spans="1:13" x14ac:dyDescent="0.3">
      <c r="A1141" s="49">
        <v>45292</v>
      </c>
      <c r="D1141" t="s">
        <v>7356</v>
      </c>
      <c r="E1141">
        <v>1</v>
      </c>
      <c r="F1141" t="str">
        <f t="shared" si="69"/>
        <v>ene</v>
      </c>
      <c r="G1141">
        <v>20</v>
      </c>
      <c r="H1141">
        <v>25</v>
      </c>
      <c r="I1141" t="str">
        <f t="shared" si="68"/>
        <v>1-ene-2025</v>
      </c>
      <c r="K1141" s="49">
        <f t="shared" si="70"/>
        <v>45658</v>
      </c>
      <c r="M1141" t="b">
        <f t="shared" si="71"/>
        <v>0</v>
      </c>
    </row>
    <row r="1142" spans="1:13" x14ac:dyDescent="0.3">
      <c r="A1142" s="49">
        <v>45292</v>
      </c>
      <c r="D1142" t="s">
        <v>7357</v>
      </c>
      <c r="E1142">
        <v>1</v>
      </c>
      <c r="F1142" t="str">
        <f t="shared" si="69"/>
        <v>oct</v>
      </c>
      <c r="G1142">
        <v>20</v>
      </c>
      <c r="H1142">
        <v>23</v>
      </c>
      <c r="I1142" t="str">
        <f t="shared" si="68"/>
        <v>1-oct-2023</v>
      </c>
      <c r="K1142" s="49">
        <f t="shared" si="70"/>
        <v>45200</v>
      </c>
      <c r="M1142" t="b">
        <f t="shared" si="71"/>
        <v>1</v>
      </c>
    </row>
    <row r="1143" spans="1:13" x14ac:dyDescent="0.3">
      <c r="A1143" s="49">
        <v>45292</v>
      </c>
      <c r="D1143" t="s">
        <v>7357</v>
      </c>
      <c r="E1143">
        <v>1</v>
      </c>
      <c r="F1143" t="str">
        <f t="shared" si="69"/>
        <v>oct</v>
      </c>
      <c r="G1143">
        <v>20</v>
      </c>
      <c r="H1143">
        <v>23</v>
      </c>
      <c r="I1143" t="str">
        <f t="shared" si="68"/>
        <v>1-oct-2023</v>
      </c>
      <c r="K1143" s="49">
        <f t="shared" si="70"/>
        <v>45200</v>
      </c>
      <c r="M1143" t="b">
        <f t="shared" si="71"/>
        <v>1</v>
      </c>
    </row>
    <row r="1144" spans="1:13" x14ac:dyDescent="0.3">
      <c r="A1144" s="49">
        <v>45292</v>
      </c>
      <c r="D1144" t="s">
        <v>7369</v>
      </c>
      <c r="E1144">
        <v>1</v>
      </c>
      <c r="F1144" t="str">
        <f t="shared" si="69"/>
        <v>abr</v>
      </c>
      <c r="G1144">
        <v>20</v>
      </c>
      <c r="H1144">
        <v>16</v>
      </c>
      <c r="I1144" t="str">
        <f t="shared" si="68"/>
        <v>1-abr-2016</v>
      </c>
      <c r="K1144" s="49">
        <f t="shared" si="70"/>
        <v>42461</v>
      </c>
      <c r="M1144" t="b">
        <f t="shared" si="71"/>
        <v>1</v>
      </c>
    </row>
    <row r="1145" spans="1:13" x14ac:dyDescent="0.3">
      <c r="A1145" s="49">
        <v>45292</v>
      </c>
      <c r="D1145" t="s">
        <v>7368</v>
      </c>
      <c r="E1145">
        <v>1</v>
      </c>
      <c r="F1145" t="str">
        <f t="shared" si="69"/>
        <v>mar</v>
      </c>
      <c r="G1145">
        <v>20</v>
      </c>
      <c r="H1145">
        <v>23</v>
      </c>
      <c r="I1145" t="str">
        <f t="shared" si="68"/>
        <v>1-mar-2023</v>
      </c>
      <c r="K1145" s="49">
        <f t="shared" si="70"/>
        <v>44986</v>
      </c>
      <c r="M1145" t="b">
        <f t="shared" si="71"/>
        <v>1</v>
      </c>
    </row>
    <row r="1146" spans="1:13" x14ac:dyDescent="0.3">
      <c r="A1146" s="49">
        <v>45292</v>
      </c>
      <c r="D1146" t="s">
        <v>7368</v>
      </c>
      <c r="E1146">
        <v>1</v>
      </c>
      <c r="F1146" t="str">
        <f t="shared" si="69"/>
        <v>mar</v>
      </c>
      <c r="G1146">
        <v>20</v>
      </c>
      <c r="H1146">
        <v>23</v>
      </c>
      <c r="I1146" t="str">
        <f t="shared" si="68"/>
        <v>1-mar-2023</v>
      </c>
      <c r="K1146" s="49">
        <f t="shared" si="70"/>
        <v>44986</v>
      </c>
      <c r="M1146" t="b">
        <f t="shared" si="71"/>
        <v>1</v>
      </c>
    </row>
    <row r="1147" spans="1:13" x14ac:dyDescent="0.3">
      <c r="A1147" s="49">
        <v>45292</v>
      </c>
      <c r="D1147" t="s">
        <v>7363</v>
      </c>
      <c r="E1147">
        <v>1</v>
      </c>
      <c r="F1147" t="str">
        <f t="shared" si="69"/>
        <v>feb</v>
      </c>
      <c r="G1147">
        <v>20</v>
      </c>
      <c r="H1147">
        <v>23</v>
      </c>
      <c r="I1147" t="str">
        <f t="shared" si="68"/>
        <v>1-feb-2023</v>
      </c>
      <c r="K1147" s="49">
        <f t="shared" si="70"/>
        <v>44958</v>
      </c>
      <c r="M1147" t="b">
        <f t="shared" si="71"/>
        <v>1</v>
      </c>
    </row>
    <row r="1148" spans="1:13" x14ac:dyDescent="0.3">
      <c r="A1148" s="49">
        <v>45292</v>
      </c>
      <c r="D1148" t="s">
        <v>7369</v>
      </c>
      <c r="E1148">
        <v>1</v>
      </c>
      <c r="F1148" t="str">
        <f t="shared" si="69"/>
        <v>abr</v>
      </c>
      <c r="G1148">
        <v>20</v>
      </c>
      <c r="H1148">
        <v>22</v>
      </c>
      <c r="I1148" t="str">
        <f t="shared" si="68"/>
        <v>1-abr-2022</v>
      </c>
      <c r="K1148" s="49">
        <f t="shared" si="70"/>
        <v>44652</v>
      </c>
      <c r="M1148" t="b">
        <f t="shared" si="71"/>
        <v>1</v>
      </c>
    </row>
    <row r="1149" spans="1:13" x14ac:dyDescent="0.3">
      <c r="A1149" s="49">
        <v>45292</v>
      </c>
      <c r="D1149" t="s">
        <v>7366</v>
      </c>
      <c r="E1149">
        <v>1</v>
      </c>
      <c r="F1149" t="str">
        <f t="shared" si="69"/>
        <v>dic</v>
      </c>
      <c r="G1149">
        <v>20</v>
      </c>
      <c r="H1149">
        <v>23</v>
      </c>
      <c r="I1149" t="str">
        <f t="shared" si="68"/>
        <v>1-dic-2023</v>
      </c>
      <c r="K1149" s="49">
        <f t="shared" si="70"/>
        <v>45261</v>
      </c>
      <c r="M1149" t="b">
        <f t="shared" si="71"/>
        <v>1</v>
      </c>
    </row>
    <row r="1150" spans="1:13" x14ac:dyDescent="0.3">
      <c r="A1150" s="49">
        <v>45292</v>
      </c>
      <c r="D1150" t="s">
        <v>7362</v>
      </c>
      <c r="E1150">
        <v>1</v>
      </c>
      <c r="F1150" t="str">
        <f t="shared" si="69"/>
        <v>ago</v>
      </c>
      <c r="G1150">
        <v>20</v>
      </c>
      <c r="H1150">
        <v>23</v>
      </c>
      <c r="I1150" t="str">
        <f t="shared" si="68"/>
        <v>1-ago-2023</v>
      </c>
      <c r="K1150" s="49">
        <f t="shared" si="70"/>
        <v>45139</v>
      </c>
      <c r="M1150" t="b">
        <f t="shared" si="71"/>
        <v>1</v>
      </c>
    </row>
    <row r="1151" spans="1:13" x14ac:dyDescent="0.3">
      <c r="A1151" s="49">
        <v>45292</v>
      </c>
      <c r="D1151" t="s">
        <v>7357</v>
      </c>
      <c r="E1151">
        <v>1</v>
      </c>
      <c r="F1151" t="str">
        <f t="shared" si="69"/>
        <v>oct</v>
      </c>
      <c r="G1151">
        <v>20</v>
      </c>
      <c r="H1151">
        <v>22</v>
      </c>
      <c r="I1151" t="str">
        <f t="shared" si="68"/>
        <v>1-oct-2022</v>
      </c>
      <c r="K1151" s="49">
        <f t="shared" si="70"/>
        <v>44835</v>
      </c>
      <c r="M1151" t="b">
        <f t="shared" si="71"/>
        <v>1</v>
      </c>
    </row>
    <row r="1152" spans="1:13" x14ac:dyDescent="0.3">
      <c r="A1152" s="49">
        <v>45292</v>
      </c>
      <c r="D1152" t="s">
        <v>7355</v>
      </c>
      <c r="E1152">
        <v>1</v>
      </c>
      <c r="F1152" t="str">
        <f t="shared" si="69"/>
        <v>sep</v>
      </c>
      <c r="G1152">
        <v>20</v>
      </c>
      <c r="H1152">
        <v>23</v>
      </c>
      <c r="I1152" t="str">
        <f t="shared" si="68"/>
        <v>1-sep-2023</v>
      </c>
      <c r="K1152" s="49">
        <f t="shared" si="70"/>
        <v>45170</v>
      </c>
      <c r="M1152" t="b">
        <f t="shared" si="71"/>
        <v>1</v>
      </c>
    </row>
    <row r="1153" spans="1:13" x14ac:dyDescent="0.3">
      <c r="A1153" s="49">
        <v>45292</v>
      </c>
      <c r="D1153" t="s">
        <v>7362</v>
      </c>
      <c r="E1153">
        <v>1</v>
      </c>
      <c r="F1153" t="str">
        <f t="shared" si="69"/>
        <v>ago</v>
      </c>
      <c r="G1153">
        <v>20</v>
      </c>
      <c r="H1153">
        <v>23</v>
      </c>
      <c r="I1153" t="str">
        <f t="shared" ref="I1153:I1216" si="72">_xlfn.CONCAT(E1153,"-",F1153,"-",G1153,H1153)</f>
        <v>1-ago-2023</v>
      </c>
      <c r="K1153" s="49">
        <f t="shared" si="70"/>
        <v>45139</v>
      </c>
      <c r="M1153" t="b">
        <f t="shared" si="71"/>
        <v>1</v>
      </c>
    </row>
    <row r="1154" spans="1:13" x14ac:dyDescent="0.3">
      <c r="A1154" s="49">
        <v>45292</v>
      </c>
      <c r="D1154" t="s">
        <v>7370</v>
      </c>
      <c r="E1154">
        <v>1</v>
      </c>
      <c r="F1154" t="str">
        <f t="shared" ref="F1154:F1217" si="73">LOWER(D1154)</f>
        <v>may</v>
      </c>
      <c r="G1154">
        <v>20</v>
      </c>
      <c r="H1154">
        <v>24</v>
      </c>
      <c r="I1154" t="str">
        <f t="shared" si="72"/>
        <v>1-may-2024</v>
      </c>
      <c r="K1154" s="49">
        <f t="shared" ref="K1154:K1217" si="74">DATEVALUE(I1154)</f>
        <v>45413</v>
      </c>
      <c r="M1154" t="b">
        <f t="shared" si="71"/>
        <v>0</v>
      </c>
    </row>
    <row r="1155" spans="1:13" x14ac:dyDescent="0.3">
      <c r="A1155" s="49">
        <v>45292</v>
      </c>
      <c r="D1155" t="s">
        <v>7362</v>
      </c>
      <c r="E1155">
        <v>1</v>
      </c>
      <c r="F1155" t="str">
        <f t="shared" si="73"/>
        <v>ago</v>
      </c>
      <c r="G1155">
        <v>20</v>
      </c>
      <c r="H1155">
        <v>25</v>
      </c>
      <c r="I1155" t="str">
        <f t="shared" si="72"/>
        <v>1-ago-2025</v>
      </c>
      <c r="K1155" s="49">
        <f t="shared" si="74"/>
        <v>45870</v>
      </c>
      <c r="M1155" t="b">
        <f t="shared" ref="M1155:M1218" si="75">K1155&lt;A1155</f>
        <v>0</v>
      </c>
    </row>
    <row r="1156" spans="1:13" x14ac:dyDescent="0.3">
      <c r="A1156" s="49">
        <v>45292</v>
      </c>
      <c r="D1156" t="s">
        <v>7362</v>
      </c>
      <c r="E1156">
        <v>1</v>
      </c>
      <c r="F1156" t="str">
        <f t="shared" si="73"/>
        <v>ago</v>
      </c>
      <c r="G1156">
        <v>20</v>
      </c>
      <c r="H1156">
        <v>22</v>
      </c>
      <c r="I1156" t="str">
        <f t="shared" si="72"/>
        <v>1-ago-2022</v>
      </c>
      <c r="K1156" s="49">
        <f t="shared" si="74"/>
        <v>44774</v>
      </c>
      <c r="M1156" t="b">
        <f t="shared" si="75"/>
        <v>1</v>
      </c>
    </row>
    <row r="1157" spans="1:13" x14ac:dyDescent="0.3">
      <c r="A1157" s="49">
        <v>45292</v>
      </c>
      <c r="D1157" t="s">
        <v>7362</v>
      </c>
      <c r="E1157">
        <v>1</v>
      </c>
      <c r="F1157" t="str">
        <f t="shared" si="73"/>
        <v>ago</v>
      </c>
      <c r="G1157">
        <v>20</v>
      </c>
      <c r="H1157">
        <v>22</v>
      </c>
      <c r="I1157" t="str">
        <f t="shared" si="72"/>
        <v>1-ago-2022</v>
      </c>
      <c r="K1157" s="49">
        <f t="shared" si="74"/>
        <v>44774</v>
      </c>
      <c r="M1157" t="b">
        <f t="shared" si="75"/>
        <v>1</v>
      </c>
    </row>
    <row r="1158" spans="1:13" x14ac:dyDescent="0.3">
      <c r="A1158" s="49">
        <v>45292</v>
      </c>
      <c r="D1158" t="s">
        <v>7359</v>
      </c>
      <c r="E1158">
        <v>1</v>
      </c>
      <c r="F1158" t="str">
        <f t="shared" si="73"/>
        <v>jul</v>
      </c>
      <c r="G1158">
        <v>20</v>
      </c>
      <c r="H1158">
        <v>22</v>
      </c>
      <c r="I1158" t="str">
        <f t="shared" si="72"/>
        <v>1-jul-2022</v>
      </c>
      <c r="K1158" s="49">
        <f t="shared" si="74"/>
        <v>44743</v>
      </c>
      <c r="M1158" t="b">
        <f t="shared" si="75"/>
        <v>1</v>
      </c>
    </row>
    <row r="1159" spans="1:13" x14ac:dyDescent="0.3">
      <c r="A1159" s="49">
        <v>45292</v>
      </c>
      <c r="D1159" t="s">
        <v>7366</v>
      </c>
      <c r="E1159">
        <v>1</v>
      </c>
      <c r="F1159" t="str">
        <f t="shared" si="73"/>
        <v>dic</v>
      </c>
      <c r="G1159">
        <v>20</v>
      </c>
      <c r="H1159">
        <v>24</v>
      </c>
      <c r="I1159" t="str">
        <f t="shared" si="72"/>
        <v>1-dic-2024</v>
      </c>
      <c r="K1159" s="49">
        <f t="shared" si="74"/>
        <v>45627</v>
      </c>
      <c r="M1159" t="b">
        <f t="shared" si="75"/>
        <v>0</v>
      </c>
    </row>
    <row r="1160" spans="1:13" x14ac:dyDescent="0.3">
      <c r="A1160" s="49">
        <v>45292</v>
      </c>
      <c r="D1160" t="s">
        <v>7356</v>
      </c>
      <c r="E1160">
        <v>1</v>
      </c>
      <c r="F1160" t="str">
        <f t="shared" si="73"/>
        <v>ene</v>
      </c>
      <c r="G1160">
        <v>20</v>
      </c>
      <c r="H1160">
        <v>23</v>
      </c>
      <c r="I1160" t="str">
        <f t="shared" si="72"/>
        <v>1-ene-2023</v>
      </c>
      <c r="K1160" s="49">
        <f t="shared" si="74"/>
        <v>44927</v>
      </c>
      <c r="M1160" t="b">
        <f t="shared" si="75"/>
        <v>1</v>
      </c>
    </row>
    <row r="1161" spans="1:13" x14ac:dyDescent="0.3">
      <c r="A1161" s="49">
        <v>45292</v>
      </c>
      <c r="D1161" t="s">
        <v>7366</v>
      </c>
      <c r="E1161">
        <v>1</v>
      </c>
      <c r="F1161" t="str">
        <f t="shared" si="73"/>
        <v>dic</v>
      </c>
      <c r="G1161">
        <v>20</v>
      </c>
      <c r="H1161">
        <v>22</v>
      </c>
      <c r="I1161" t="str">
        <f t="shared" si="72"/>
        <v>1-dic-2022</v>
      </c>
      <c r="K1161" s="49">
        <f t="shared" si="74"/>
        <v>44896</v>
      </c>
      <c r="M1161" t="b">
        <f t="shared" si="75"/>
        <v>1</v>
      </c>
    </row>
    <row r="1162" spans="1:13" x14ac:dyDescent="0.3">
      <c r="A1162" s="49">
        <v>45292</v>
      </c>
      <c r="D1162" t="s">
        <v>7370</v>
      </c>
      <c r="E1162">
        <v>1</v>
      </c>
      <c r="F1162" t="str">
        <f t="shared" si="73"/>
        <v>may</v>
      </c>
      <c r="G1162">
        <v>20</v>
      </c>
      <c r="H1162">
        <v>22</v>
      </c>
      <c r="I1162" t="str">
        <f t="shared" si="72"/>
        <v>1-may-2022</v>
      </c>
      <c r="K1162" s="49">
        <f t="shared" si="74"/>
        <v>44682</v>
      </c>
      <c r="M1162" t="b">
        <f t="shared" si="75"/>
        <v>1</v>
      </c>
    </row>
    <row r="1163" spans="1:13" x14ac:dyDescent="0.3">
      <c r="A1163" s="49">
        <v>45292</v>
      </c>
      <c r="D1163" t="s">
        <v>7369</v>
      </c>
      <c r="E1163">
        <v>1</v>
      </c>
      <c r="F1163" t="str">
        <f t="shared" si="73"/>
        <v>abr</v>
      </c>
      <c r="G1163">
        <v>20</v>
      </c>
      <c r="H1163">
        <v>23</v>
      </c>
      <c r="I1163" t="str">
        <f t="shared" si="72"/>
        <v>1-abr-2023</v>
      </c>
      <c r="K1163" s="49">
        <f t="shared" si="74"/>
        <v>45017</v>
      </c>
      <c r="M1163" t="b">
        <f t="shared" si="75"/>
        <v>1</v>
      </c>
    </row>
    <row r="1164" spans="1:13" x14ac:dyDescent="0.3">
      <c r="A1164" s="49">
        <v>45292</v>
      </c>
      <c r="D1164" t="s">
        <v>7360</v>
      </c>
      <c r="E1164">
        <v>1</v>
      </c>
      <c r="F1164" t="str">
        <f t="shared" si="73"/>
        <v>nov</v>
      </c>
      <c r="G1164">
        <v>20</v>
      </c>
      <c r="H1164">
        <v>23</v>
      </c>
      <c r="I1164" t="str">
        <f t="shared" si="72"/>
        <v>1-nov-2023</v>
      </c>
      <c r="K1164" s="49">
        <f t="shared" si="74"/>
        <v>45231</v>
      </c>
      <c r="M1164" t="b">
        <f t="shared" si="75"/>
        <v>1</v>
      </c>
    </row>
    <row r="1165" spans="1:13" x14ac:dyDescent="0.3">
      <c r="A1165" s="49">
        <v>45292</v>
      </c>
      <c r="D1165" t="s">
        <v>7366</v>
      </c>
      <c r="E1165">
        <v>1</v>
      </c>
      <c r="F1165" t="str">
        <f t="shared" si="73"/>
        <v>dic</v>
      </c>
      <c r="G1165">
        <v>20</v>
      </c>
      <c r="H1165">
        <v>23</v>
      </c>
      <c r="I1165" t="str">
        <f t="shared" si="72"/>
        <v>1-dic-2023</v>
      </c>
      <c r="K1165" s="49">
        <f t="shared" si="74"/>
        <v>45261</v>
      </c>
      <c r="M1165" t="b">
        <f t="shared" si="75"/>
        <v>1</v>
      </c>
    </row>
    <row r="1166" spans="1:13" x14ac:dyDescent="0.3">
      <c r="A1166" s="49">
        <v>45292</v>
      </c>
      <c r="D1166" t="s">
        <v>7362</v>
      </c>
      <c r="E1166">
        <v>1</v>
      </c>
      <c r="F1166" t="str">
        <f t="shared" si="73"/>
        <v>ago</v>
      </c>
      <c r="G1166">
        <v>20</v>
      </c>
      <c r="H1166">
        <v>23</v>
      </c>
      <c r="I1166" t="str">
        <f t="shared" si="72"/>
        <v>1-ago-2023</v>
      </c>
      <c r="K1166" s="49">
        <f t="shared" si="74"/>
        <v>45139</v>
      </c>
      <c r="M1166" t="b">
        <f t="shared" si="75"/>
        <v>1</v>
      </c>
    </row>
    <row r="1167" spans="1:13" x14ac:dyDescent="0.3">
      <c r="A1167" s="49">
        <v>45292</v>
      </c>
      <c r="D1167" t="s">
        <v>7362</v>
      </c>
      <c r="E1167">
        <v>1</v>
      </c>
      <c r="F1167" t="str">
        <f t="shared" si="73"/>
        <v>ago</v>
      </c>
      <c r="G1167">
        <v>20</v>
      </c>
      <c r="H1167">
        <v>23</v>
      </c>
      <c r="I1167" t="str">
        <f t="shared" si="72"/>
        <v>1-ago-2023</v>
      </c>
      <c r="K1167" s="49">
        <f t="shared" si="74"/>
        <v>45139</v>
      </c>
      <c r="M1167" t="b">
        <f t="shared" si="75"/>
        <v>1</v>
      </c>
    </row>
    <row r="1168" spans="1:13" x14ac:dyDescent="0.3">
      <c r="A1168" s="49">
        <v>45292</v>
      </c>
      <c r="D1168" t="s">
        <v>7355</v>
      </c>
      <c r="E1168">
        <v>1</v>
      </c>
      <c r="F1168" t="str">
        <f t="shared" si="73"/>
        <v>sep</v>
      </c>
      <c r="G1168">
        <v>20</v>
      </c>
      <c r="H1168">
        <v>25</v>
      </c>
      <c r="I1168" t="str">
        <f t="shared" si="72"/>
        <v>1-sep-2025</v>
      </c>
      <c r="K1168" s="49">
        <f t="shared" si="74"/>
        <v>45901</v>
      </c>
      <c r="M1168" t="b">
        <f t="shared" si="75"/>
        <v>0</v>
      </c>
    </row>
    <row r="1169" spans="1:13" x14ac:dyDescent="0.3">
      <c r="A1169" s="49">
        <v>45292</v>
      </c>
      <c r="D1169" t="s">
        <v>7355</v>
      </c>
      <c r="E1169">
        <v>1</v>
      </c>
      <c r="F1169" t="str">
        <f t="shared" si="73"/>
        <v>sep</v>
      </c>
      <c r="G1169">
        <v>20</v>
      </c>
      <c r="H1169">
        <v>25</v>
      </c>
      <c r="I1169" t="str">
        <f t="shared" si="72"/>
        <v>1-sep-2025</v>
      </c>
      <c r="K1169" s="49">
        <f t="shared" si="74"/>
        <v>45901</v>
      </c>
      <c r="M1169" t="b">
        <f t="shared" si="75"/>
        <v>0</v>
      </c>
    </row>
    <row r="1170" spans="1:13" x14ac:dyDescent="0.3">
      <c r="A1170" s="49">
        <v>45292</v>
      </c>
      <c r="D1170" t="s">
        <v>7360</v>
      </c>
      <c r="E1170">
        <v>1</v>
      </c>
      <c r="F1170" t="str">
        <f t="shared" si="73"/>
        <v>nov</v>
      </c>
      <c r="G1170">
        <v>20</v>
      </c>
      <c r="H1170">
        <v>23</v>
      </c>
      <c r="I1170" t="str">
        <f t="shared" si="72"/>
        <v>1-nov-2023</v>
      </c>
      <c r="K1170" s="49">
        <f t="shared" si="74"/>
        <v>45231</v>
      </c>
      <c r="M1170" t="b">
        <f t="shared" si="75"/>
        <v>1</v>
      </c>
    </row>
    <row r="1171" spans="1:13" x14ac:dyDescent="0.3">
      <c r="A1171" s="49">
        <v>45292</v>
      </c>
      <c r="D1171" t="s">
        <v>7355</v>
      </c>
      <c r="E1171">
        <v>1</v>
      </c>
      <c r="F1171" t="str">
        <f t="shared" si="73"/>
        <v>sep</v>
      </c>
      <c r="G1171">
        <v>20</v>
      </c>
      <c r="H1171">
        <v>25</v>
      </c>
      <c r="I1171" t="str">
        <f t="shared" si="72"/>
        <v>1-sep-2025</v>
      </c>
      <c r="K1171" s="49">
        <f t="shared" si="74"/>
        <v>45901</v>
      </c>
      <c r="M1171" t="b">
        <f t="shared" si="75"/>
        <v>0</v>
      </c>
    </row>
    <row r="1172" spans="1:13" x14ac:dyDescent="0.3">
      <c r="A1172" s="49">
        <v>45292</v>
      </c>
      <c r="D1172" t="s">
        <v>7357</v>
      </c>
      <c r="E1172">
        <v>1</v>
      </c>
      <c r="F1172" t="str">
        <f t="shared" si="73"/>
        <v>oct</v>
      </c>
      <c r="G1172">
        <v>20</v>
      </c>
      <c r="H1172">
        <v>17</v>
      </c>
      <c r="I1172" t="str">
        <f t="shared" si="72"/>
        <v>1-oct-2017</v>
      </c>
      <c r="K1172" s="49">
        <f t="shared" si="74"/>
        <v>43009</v>
      </c>
      <c r="M1172" t="b">
        <f t="shared" si="75"/>
        <v>1</v>
      </c>
    </row>
    <row r="1173" spans="1:13" x14ac:dyDescent="0.3">
      <c r="A1173" s="49">
        <v>45292</v>
      </c>
      <c r="D1173" t="s">
        <v>7366</v>
      </c>
      <c r="E1173">
        <v>1</v>
      </c>
      <c r="F1173" t="str">
        <f t="shared" si="73"/>
        <v>dic</v>
      </c>
      <c r="G1173">
        <v>20</v>
      </c>
      <c r="H1173">
        <v>23</v>
      </c>
      <c r="I1173" t="str">
        <f t="shared" si="72"/>
        <v>1-dic-2023</v>
      </c>
      <c r="K1173" s="49">
        <f t="shared" si="74"/>
        <v>45261</v>
      </c>
      <c r="M1173" t="b">
        <f t="shared" si="75"/>
        <v>1</v>
      </c>
    </row>
    <row r="1174" spans="1:13" x14ac:dyDescent="0.3">
      <c r="A1174" s="49">
        <v>45292</v>
      </c>
      <c r="D1174" t="s">
        <v>7367</v>
      </c>
      <c r="E1174">
        <v>1</v>
      </c>
      <c r="F1174" t="str">
        <f t="shared" si="73"/>
        <v>jun</v>
      </c>
      <c r="G1174">
        <v>20</v>
      </c>
      <c r="H1174">
        <v>23</v>
      </c>
      <c r="I1174" t="str">
        <f t="shared" si="72"/>
        <v>1-jun-2023</v>
      </c>
      <c r="K1174" s="49">
        <f t="shared" si="74"/>
        <v>45078</v>
      </c>
      <c r="M1174" t="b">
        <f t="shared" si="75"/>
        <v>1</v>
      </c>
    </row>
    <row r="1175" spans="1:13" x14ac:dyDescent="0.3">
      <c r="A1175" s="49">
        <v>45292</v>
      </c>
      <c r="D1175" t="s">
        <v>7366</v>
      </c>
      <c r="E1175">
        <v>1</v>
      </c>
      <c r="F1175" t="str">
        <f t="shared" si="73"/>
        <v>dic</v>
      </c>
      <c r="G1175">
        <v>20</v>
      </c>
      <c r="H1175">
        <v>23</v>
      </c>
      <c r="I1175" t="str">
        <f t="shared" si="72"/>
        <v>1-dic-2023</v>
      </c>
      <c r="K1175" s="49">
        <f t="shared" si="74"/>
        <v>45261</v>
      </c>
      <c r="M1175" t="b">
        <f t="shared" si="75"/>
        <v>1</v>
      </c>
    </row>
    <row r="1176" spans="1:13" x14ac:dyDescent="0.3">
      <c r="A1176" s="49">
        <v>45292</v>
      </c>
      <c r="D1176" t="s">
        <v>7366</v>
      </c>
      <c r="E1176">
        <v>1</v>
      </c>
      <c r="F1176" t="str">
        <f t="shared" si="73"/>
        <v>dic</v>
      </c>
      <c r="G1176">
        <v>20</v>
      </c>
      <c r="H1176">
        <v>23</v>
      </c>
      <c r="I1176" t="str">
        <f t="shared" si="72"/>
        <v>1-dic-2023</v>
      </c>
      <c r="K1176" s="49">
        <f t="shared" si="74"/>
        <v>45261</v>
      </c>
      <c r="M1176" t="b">
        <f t="shared" si="75"/>
        <v>1</v>
      </c>
    </row>
    <row r="1177" spans="1:13" x14ac:dyDescent="0.3">
      <c r="A1177" s="49">
        <v>45292</v>
      </c>
      <c r="D1177" t="s">
        <v>7366</v>
      </c>
      <c r="E1177">
        <v>1</v>
      </c>
      <c r="F1177" t="str">
        <f t="shared" si="73"/>
        <v>dic</v>
      </c>
      <c r="G1177">
        <v>20</v>
      </c>
      <c r="H1177">
        <v>23</v>
      </c>
      <c r="I1177" t="str">
        <f t="shared" si="72"/>
        <v>1-dic-2023</v>
      </c>
      <c r="K1177" s="49">
        <f t="shared" si="74"/>
        <v>45261</v>
      </c>
      <c r="M1177" t="b">
        <f t="shared" si="75"/>
        <v>1</v>
      </c>
    </row>
    <row r="1178" spans="1:13" x14ac:dyDescent="0.3">
      <c r="A1178" s="49">
        <v>45292</v>
      </c>
      <c r="D1178" t="s">
        <v>7357</v>
      </c>
      <c r="E1178">
        <v>1</v>
      </c>
      <c r="F1178" t="str">
        <f t="shared" si="73"/>
        <v>oct</v>
      </c>
      <c r="G1178">
        <v>20</v>
      </c>
      <c r="H1178">
        <v>23</v>
      </c>
      <c r="I1178" t="str">
        <f t="shared" si="72"/>
        <v>1-oct-2023</v>
      </c>
      <c r="K1178" s="49">
        <f t="shared" si="74"/>
        <v>45200</v>
      </c>
      <c r="M1178" t="b">
        <f t="shared" si="75"/>
        <v>1</v>
      </c>
    </row>
    <row r="1179" spans="1:13" x14ac:dyDescent="0.3">
      <c r="A1179" s="49">
        <v>45292</v>
      </c>
      <c r="D1179" t="s">
        <v>7369</v>
      </c>
      <c r="E1179">
        <v>1</v>
      </c>
      <c r="F1179" t="str">
        <f t="shared" si="73"/>
        <v>abr</v>
      </c>
      <c r="G1179">
        <v>20</v>
      </c>
      <c r="H1179">
        <v>23</v>
      </c>
      <c r="I1179" t="str">
        <f t="shared" si="72"/>
        <v>1-abr-2023</v>
      </c>
      <c r="K1179" s="49">
        <f t="shared" si="74"/>
        <v>45017</v>
      </c>
      <c r="M1179" t="b">
        <f t="shared" si="75"/>
        <v>1</v>
      </c>
    </row>
    <row r="1180" spans="1:13" x14ac:dyDescent="0.3">
      <c r="A1180" s="49">
        <v>45292</v>
      </c>
      <c r="D1180" t="s">
        <v>7357</v>
      </c>
      <c r="E1180">
        <v>1</v>
      </c>
      <c r="F1180" t="str">
        <f t="shared" si="73"/>
        <v>oct</v>
      </c>
      <c r="G1180">
        <v>20</v>
      </c>
      <c r="H1180">
        <v>24</v>
      </c>
      <c r="I1180" t="str">
        <f t="shared" si="72"/>
        <v>1-oct-2024</v>
      </c>
      <c r="K1180" s="49">
        <f t="shared" si="74"/>
        <v>45566</v>
      </c>
      <c r="M1180" t="b">
        <f t="shared" si="75"/>
        <v>0</v>
      </c>
    </row>
    <row r="1181" spans="1:13" x14ac:dyDescent="0.3">
      <c r="A1181" s="49">
        <v>45292</v>
      </c>
      <c r="D1181" t="s">
        <v>7367</v>
      </c>
      <c r="E1181">
        <v>1</v>
      </c>
      <c r="F1181" t="str">
        <f t="shared" si="73"/>
        <v>jun</v>
      </c>
      <c r="G1181">
        <v>20</v>
      </c>
      <c r="H1181">
        <v>23</v>
      </c>
      <c r="I1181" t="str">
        <f t="shared" si="72"/>
        <v>1-jun-2023</v>
      </c>
      <c r="K1181" s="49">
        <f t="shared" si="74"/>
        <v>45078</v>
      </c>
      <c r="M1181" t="b">
        <f t="shared" si="75"/>
        <v>1</v>
      </c>
    </row>
    <row r="1182" spans="1:13" x14ac:dyDescent="0.3">
      <c r="A1182" s="49">
        <v>45292</v>
      </c>
      <c r="D1182" t="s">
        <v>7368</v>
      </c>
      <c r="E1182">
        <v>1</v>
      </c>
      <c r="F1182" t="str">
        <f t="shared" si="73"/>
        <v>mar</v>
      </c>
      <c r="G1182">
        <v>20</v>
      </c>
      <c r="H1182">
        <v>25</v>
      </c>
      <c r="I1182" t="str">
        <f t="shared" si="72"/>
        <v>1-mar-2025</v>
      </c>
      <c r="K1182" s="49">
        <f t="shared" si="74"/>
        <v>45717</v>
      </c>
      <c r="M1182" t="b">
        <f t="shared" si="75"/>
        <v>0</v>
      </c>
    </row>
    <row r="1183" spans="1:13" x14ac:dyDescent="0.3">
      <c r="A1183" s="49">
        <v>45292</v>
      </c>
      <c r="D1183" t="s">
        <v>7357</v>
      </c>
      <c r="E1183">
        <v>1</v>
      </c>
      <c r="F1183" t="str">
        <f t="shared" si="73"/>
        <v>oct</v>
      </c>
      <c r="G1183">
        <v>20</v>
      </c>
      <c r="H1183">
        <v>23</v>
      </c>
      <c r="I1183" t="str">
        <f t="shared" si="72"/>
        <v>1-oct-2023</v>
      </c>
      <c r="K1183" s="49">
        <f t="shared" si="74"/>
        <v>45200</v>
      </c>
      <c r="M1183" t="b">
        <f t="shared" si="75"/>
        <v>1</v>
      </c>
    </row>
    <row r="1184" spans="1:13" x14ac:dyDescent="0.3">
      <c r="A1184" s="49">
        <v>45292</v>
      </c>
      <c r="D1184" t="s">
        <v>7356</v>
      </c>
      <c r="E1184">
        <v>1</v>
      </c>
      <c r="F1184" t="str">
        <f t="shared" si="73"/>
        <v>ene</v>
      </c>
      <c r="G1184">
        <v>20</v>
      </c>
      <c r="H1184">
        <v>24</v>
      </c>
      <c r="I1184" t="str">
        <f t="shared" si="72"/>
        <v>1-ene-2024</v>
      </c>
      <c r="K1184" s="49">
        <f t="shared" si="74"/>
        <v>45292</v>
      </c>
      <c r="M1184" t="b">
        <f t="shared" si="75"/>
        <v>0</v>
      </c>
    </row>
    <row r="1185" spans="1:13" x14ac:dyDescent="0.3">
      <c r="A1185" s="49">
        <v>45292</v>
      </c>
      <c r="D1185" t="s">
        <v>7359</v>
      </c>
      <c r="E1185">
        <v>1</v>
      </c>
      <c r="F1185" t="str">
        <f t="shared" si="73"/>
        <v>jul</v>
      </c>
      <c r="G1185">
        <v>20</v>
      </c>
      <c r="H1185">
        <v>23</v>
      </c>
      <c r="I1185" t="str">
        <f t="shared" si="72"/>
        <v>1-jul-2023</v>
      </c>
      <c r="K1185" s="49">
        <f t="shared" si="74"/>
        <v>45108</v>
      </c>
      <c r="M1185" t="b">
        <f t="shared" si="75"/>
        <v>1</v>
      </c>
    </row>
    <row r="1186" spans="1:13" x14ac:dyDescent="0.3">
      <c r="A1186" s="49">
        <v>45292</v>
      </c>
      <c r="D1186" t="s">
        <v>7360</v>
      </c>
      <c r="E1186">
        <v>1</v>
      </c>
      <c r="F1186" t="str">
        <f t="shared" si="73"/>
        <v>nov</v>
      </c>
      <c r="G1186">
        <v>20</v>
      </c>
      <c r="H1186">
        <v>23</v>
      </c>
      <c r="I1186" t="str">
        <f t="shared" si="72"/>
        <v>1-nov-2023</v>
      </c>
      <c r="K1186" s="49">
        <f t="shared" si="74"/>
        <v>45231</v>
      </c>
      <c r="M1186" t="b">
        <f t="shared" si="75"/>
        <v>1</v>
      </c>
    </row>
    <row r="1187" spans="1:13" x14ac:dyDescent="0.3">
      <c r="A1187" s="49">
        <v>45292</v>
      </c>
      <c r="D1187" t="s">
        <v>7360</v>
      </c>
      <c r="E1187">
        <v>1</v>
      </c>
      <c r="F1187" t="str">
        <f t="shared" si="73"/>
        <v>nov</v>
      </c>
      <c r="G1187">
        <v>20</v>
      </c>
      <c r="H1187">
        <v>23</v>
      </c>
      <c r="I1187" t="str">
        <f t="shared" si="72"/>
        <v>1-nov-2023</v>
      </c>
      <c r="K1187" s="49">
        <f t="shared" si="74"/>
        <v>45231</v>
      </c>
      <c r="M1187" t="b">
        <f t="shared" si="75"/>
        <v>1</v>
      </c>
    </row>
    <row r="1188" spans="1:13" x14ac:dyDescent="0.3">
      <c r="A1188" s="49">
        <v>45292</v>
      </c>
      <c r="D1188" t="s">
        <v>7360</v>
      </c>
      <c r="E1188">
        <v>1</v>
      </c>
      <c r="F1188" t="str">
        <f t="shared" si="73"/>
        <v>nov</v>
      </c>
      <c r="G1188">
        <v>20</v>
      </c>
      <c r="H1188">
        <v>23</v>
      </c>
      <c r="I1188" t="str">
        <f t="shared" si="72"/>
        <v>1-nov-2023</v>
      </c>
      <c r="K1188" s="49">
        <f t="shared" si="74"/>
        <v>45231</v>
      </c>
      <c r="M1188" t="b">
        <f t="shared" si="75"/>
        <v>1</v>
      </c>
    </row>
    <row r="1189" spans="1:13" x14ac:dyDescent="0.3">
      <c r="A1189" s="49">
        <v>45292</v>
      </c>
      <c r="D1189" t="s">
        <v>7370</v>
      </c>
      <c r="E1189">
        <v>1</v>
      </c>
      <c r="F1189" t="str">
        <f t="shared" si="73"/>
        <v>may</v>
      </c>
      <c r="G1189">
        <v>20</v>
      </c>
      <c r="H1189">
        <v>23</v>
      </c>
      <c r="I1189" t="str">
        <f t="shared" si="72"/>
        <v>1-may-2023</v>
      </c>
      <c r="K1189" s="49">
        <f t="shared" si="74"/>
        <v>45047</v>
      </c>
      <c r="M1189" t="b">
        <f t="shared" si="75"/>
        <v>1</v>
      </c>
    </row>
    <row r="1190" spans="1:13" x14ac:dyDescent="0.3">
      <c r="A1190" s="49">
        <v>45292</v>
      </c>
      <c r="D1190" t="s">
        <v>7355</v>
      </c>
      <c r="E1190">
        <v>1</v>
      </c>
      <c r="F1190" t="str">
        <f t="shared" si="73"/>
        <v>sep</v>
      </c>
      <c r="G1190">
        <v>20</v>
      </c>
      <c r="H1190">
        <v>23</v>
      </c>
      <c r="I1190" t="str">
        <f t="shared" si="72"/>
        <v>1-sep-2023</v>
      </c>
      <c r="K1190" s="49">
        <f t="shared" si="74"/>
        <v>45170</v>
      </c>
      <c r="M1190" t="b">
        <f t="shared" si="75"/>
        <v>1</v>
      </c>
    </row>
    <row r="1191" spans="1:13" x14ac:dyDescent="0.3">
      <c r="A1191" s="49">
        <v>45292</v>
      </c>
      <c r="D1191" t="s">
        <v>7360</v>
      </c>
      <c r="E1191">
        <v>1</v>
      </c>
      <c r="F1191" t="str">
        <f t="shared" si="73"/>
        <v>nov</v>
      </c>
      <c r="G1191">
        <v>20</v>
      </c>
      <c r="H1191">
        <v>22</v>
      </c>
      <c r="I1191" t="str">
        <f t="shared" si="72"/>
        <v>1-nov-2022</v>
      </c>
      <c r="K1191" s="49">
        <f t="shared" si="74"/>
        <v>44866</v>
      </c>
      <c r="M1191" t="b">
        <f t="shared" si="75"/>
        <v>1</v>
      </c>
    </row>
    <row r="1192" spans="1:13" x14ac:dyDescent="0.3">
      <c r="A1192" s="49">
        <v>45292</v>
      </c>
      <c r="D1192" t="s">
        <v>7356</v>
      </c>
      <c r="E1192">
        <v>1</v>
      </c>
      <c r="F1192" t="str">
        <f t="shared" si="73"/>
        <v>ene</v>
      </c>
      <c r="G1192">
        <v>20</v>
      </c>
      <c r="H1192">
        <v>23</v>
      </c>
      <c r="I1192" t="str">
        <f t="shared" si="72"/>
        <v>1-ene-2023</v>
      </c>
      <c r="K1192" s="49">
        <f t="shared" si="74"/>
        <v>44927</v>
      </c>
      <c r="M1192" t="b">
        <f t="shared" si="75"/>
        <v>1</v>
      </c>
    </row>
    <row r="1193" spans="1:13" x14ac:dyDescent="0.3">
      <c r="A1193" s="49">
        <v>45292</v>
      </c>
      <c r="D1193" t="s">
        <v>7356</v>
      </c>
      <c r="E1193">
        <v>1</v>
      </c>
      <c r="F1193" t="str">
        <f t="shared" si="73"/>
        <v>ene</v>
      </c>
      <c r="G1193">
        <v>20</v>
      </c>
      <c r="H1193">
        <v>23</v>
      </c>
      <c r="I1193" t="str">
        <f t="shared" si="72"/>
        <v>1-ene-2023</v>
      </c>
      <c r="K1193" s="49">
        <f t="shared" si="74"/>
        <v>44927</v>
      </c>
      <c r="M1193" t="b">
        <f t="shared" si="75"/>
        <v>1</v>
      </c>
    </row>
    <row r="1194" spans="1:13" x14ac:dyDescent="0.3">
      <c r="A1194" s="49">
        <v>45292</v>
      </c>
      <c r="D1194" t="s">
        <v>7355</v>
      </c>
      <c r="E1194">
        <v>1</v>
      </c>
      <c r="F1194" t="str">
        <f t="shared" si="73"/>
        <v>sep</v>
      </c>
      <c r="G1194">
        <v>20</v>
      </c>
      <c r="H1194">
        <v>23</v>
      </c>
      <c r="I1194" t="str">
        <f t="shared" si="72"/>
        <v>1-sep-2023</v>
      </c>
      <c r="K1194" s="49">
        <f t="shared" si="74"/>
        <v>45170</v>
      </c>
      <c r="M1194" t="b">
        <f t="shared" si="75"/>
        <v>1</v>
      </c>
    </row>
    <row r="1195" spans="1:13" x14ac:dyDescent="0.3">
      <c r="A1195" s="49">
        <v>45292</v>
      </c>
      <c r="D1195" t="s">
        <v>7366</v>
      </c>
      <c r="E1195">
        <v>1</v>
      </c>
      <c r="F1195" t="str">
        <f t="shared" si="73"/>
        <v>dic</v>
      </c>
      <c r="G1195">
        <v>20</v>
      </c>
      <c r="H1195">
        <v>23</v>
      </c>
      <c r="I1195" t="str">
        <f t="shared" si="72"/>
        <v>1-dic-2023</v>
      </c>
      <c r="K1195" s="49">
        <f t="shared" si="74"/>
        <v>45261</v>
      </c>
      <c r="M1195" t="b">
        <f t="shared" si="75"/>
        <v>1</v>
      </c>
    </row>
    <row r="1196" spans="1:13" x14ac:dyDescent="0.3">
      <c r="A1196" s="49">
        <v>45292</v>
      </c>
      <c r="D1196" t="s">
        <v>7357</v>
      </c>
      <c r="E1196">
        <v>1</v>
      </c>
      <c r="F1196" t="str">
        <f t="shared" si="73"/>
        <v>oct</v>
      </c>
      <c r="G1196">
        <v>20</v>
      </c>
      <c r="H1196">
        <v>22</v>
      </c>
      <c r="I1196" t="str">
        <f t="shared" si="72"/>
        <v>1-oct-2022</v>
      </c>
      <c r="K1196" s="49">
        <f t="shared" si="74"/>
        <v>44835</v>
      </c>
      <c r="M1196" t="b">
        <f t="shared" si="75"/>
        <v>1</v>
      </c>
    </row>
    <row r="1197" spans="1:13" x14ac:dyDescent="0.3">
      <c r="A1197" s="49">
        <v>45292</v>
      </c>
      <c r="D1197" t="s">
        <v>7369</v>
      </c>
      <c r="E1197">
        <v>1</v>
      </c>
      <c r="F1197" t="str">
        <f t="shared" si="73"/>
        <v>abr</v>
      </c>
      <c r="G1197">
        <v>20</v>
      </c>
      <c r="H1197">
        <v>22</v>
      </c>
      <c r="I1197" t="str">
        <f t="shared" si="72"/>
        <v>1-abr-2022</v>
      </c>
      <c r="K1197" s="49">
        <f t="shared" si="74"/>
        <v>44652</v>
      </c>
      <c r="M1197" t="b">
        <f t="shared" si="75"/>
        <v>1</v>
      </c>
    </row>
    <row r="1198" spans="1:13" x14ac:dyDescent="0.3">
      <c r="A1198" s="49">
        <v>45292</v>
      </c>
      <c r="D1198" t="s">
        <v>7370</v>
      </c>
      <c r="E1198">
        <v>1</v>
      </c>
      <c r="F1198" t="str">
        <f t="shared" si="73"/>
        <v>may</v>
      </c>
      <c r="G1198">
        <v>20</v>
      </c>
      <c r="H1198">
        <v>23</v>
      </c>
      <c r="I1198" t="str">
        <f t="shared" si="72"/>
        <v>1-may-2023</v>
      </c>
      <c r="K1198" s="49">
        <f t="shared" si="74"/>
        <v>45047</v>
      </c>
      <c r="M1198" t="b">
        <f t="shared" si="75"/>
        <v>1</v>
      </c>
    </row>
    <row r="1199" spans="1:13" x14ac:dyDescent="0.3">
      <c r="A1199" s="49">
        <v>45292</v>
      </c>
      <c r="D1199" t="s">
        <v>7367</v>
      </c>
      <c r="E1199">
        <v>1</v>
      </c>
      <c r="F1199" t="str">
        <f t="shared" si="73"/>
        <v>jun</v>
      </c>
      <c r="G1199">
        <v>20</v>
      </c>
      <c r="H1199">
        <v>22</v>
      </c>
      <c r="I1199" t="str">
        <f t="shared" si="72"/>
        <v>1-jun-2022</v>
      </c>
      <c r="K1199" s="49">
        <f t="shared" si="74"/>
        <v>44713</v>
      </c>
      <c r="M1199" t="b">
        <f t="shared" si="75"/>
        <v>1</v>
      </c>
    </row>
    <row r="1200" spans="1:13" x14ac:dyDescent="0.3">
      <c r="A1200" s="49">
        <v>45292</v>
      </c>
      <c r="D1200" t="s">
        <v>7356</v>
      </c>
      <c r="E1200">
        <v>1</v>
      </c>
      <c r="F1200" t="str">
        <f t="shared" si="73"/>
        <v>ene</v>
      </c>
      <c r="G1200">
        <v>20</v>
      </c>
      <c r="H1200">
        <v>24</v>
      </c>
      <c r="I1200" t="str">
        <f t="shared" si="72"/>
        <v>1-ene-2024</v>
      </c>
      <c r="K1200" s="49">
        <f t="shared" si="74"/>
        <v>45292</v>
      </c>
      <c r="M1200" t="b">
        <f t="shared" si="75"/>
        <v>0</v>
      </c>
    </row>
    <row r="1201" spans="1:13" x14ac:dyDescent="0.3">
      <c r="A1201" s="49">
        <v>45292</v>
      </c>
      <c r="D1201" t="s">
        <v>7356</v>
      </c>
      <c r="E1201">
        <v>1</v>
      </c>
      <c r="F1201" t="str">
        <f t="shared" si="73"/>
        <v>ene</v>
      </c>
      <c r="G1201">
        <v>20</v>
      </c>
      <c r="H1201">
        <v>20</v>
      </c>
      <c r="I1201" t="str">
        <f t="shared" si="72"/>
        <v>1-ene-2020</v>
      </c>
      <c r="K1201" s="49">
        <f t="shared" si="74"/>
        <v>43831</v>
      </c>
      <c r="M1201" t="b">
        <f t="shared" si="75"/>
        <v>1</v>
      </c>
    </row>
    <row r="1202" spans="1:13" x14ac:dyDescent="0.3">
      <c r="A1202" s="49">
        <v>45292</v>
      </c>
      <c r="D1202" t="s">
        <v>7362</v>
      </c>
      <c r="E1202">
        <v>1</v>
      </c>
      <c r="F1202" t="str">
        <f t="shared" si="73"/>
        <v>ago</v>
      </c>
      <c r="G1202">
        <v>20</v>
      </c>
      <c r="H1202">
        <v>23</v>
      </c>
      <c r="I1202" t="str">
        <f t="shared" si="72"/>
        <v>1-ago-2023</v>
      </c>
      <c r="K1202" s="49">
        <f t="shared" si="74"/>
        <v>45139</v>
      </c>
      <c r="M1202" t="b">
        <f t="shared" si="75"/>
        <v>1</v>
      </c>
    </row>
    <row r="1203" spans="1:13" x14ac:dyDescent="0.3">
      <c r="A1203" s="49">
        <v>45292</v>
      </c>
      <c r="D1203" t="s">
        <v>7362</v>
      </c>
      <c r="E1203">
        <v>1</v>
      </c>
      <c r="F1203" t="str">
        <f t="shared" si="73"/>
        <v>ago</v>
      </c>
      <c r="G1203">
        <v>20</v>
      </c>
      <c r="H1203">
        <v>23</v>
      </c>
      <c r="I1203" t="str">
        <f t="shared" si="72"/>
        <v>1-ago-2023</v>
      </c>
      <c r="K1203" s="49">
        <f t="shared" si="74"/>
        <v>45139</v>
      </c>
      <c r="M1203" t="b">
        <f t="shared" si="75"/>
        <v>1</v>
      </c>
    </row>
    <row r="1204" spans="1:13" x14ac:dyDescent="0.3">
      <c r="A1204" s="49">
        <v>45292</v>
      </c>
      <c r="D1204" t="s">
        <v>7366</v>
      </c>
      <c r="E1204">
        <v>1</v>
      </c>
      <c r="F1204" t="str">
        <f t="shared" si="73"/>
        <v>dic</v>
      </c>
      <c r="G1204">
        <v>20</v>
      </c>
      <c r="H1204">
        <v>23</v>
      </c>
      <c r="I1204" t="str">
        <f t="shared" si="72"/>
        <v>1-dic-2023</v>
      </c>
      <c r="K1204" s="49">
        <f t="shared" si="74"/>
        <v>45261</v>
      </c>
      <c r="M1204" t="b">
        <f t="shared" si="75"/>
        <v>1</v>
      </c>
    </row>
    <row r="1205" spans="1:13" x14ac:dyDescent="0.3">
      <c r="A1205" s="49">
        <v>45261</v>
      </c>
      <c r="D1205" t="s">
        <v>7356</v>
      </c>
      <c r="E1205">
        <v>1</v>
      </c>
      <c r="F1205" t="str">
        <f t="shared" si="73"/>
        <v>ene</v>
      </c>
      <c r="G1205">
        <v>20</v>
      </c>
      <c r="H1205">
        <v>23</v>
      </c>
      <c r="I1205" t="str">
        <f t="shared" si="72"/>
        <v>1-ene-2023</v>
      </c>
      <c r="K1205" s="49">
        <f t="shared" si="74"/>
        <v>44927</v>
      </c>
      <c r="M1205" t="b">
        <f t="shared" si="75"/>
        <v>1</v>
      </c>
    </row>
    <row r="1206" spans="1:13" x14ac:dyDescent="0.3">
      <c r="A1206" s="49">
        <v>45261</v>
      </c>
      <c r="D1206" t="s">
        <v>7367</v>
      </c>
      <c r="E1206">
        <v>1</v>
      </c>
      <c r="F1206" t="str">
        <f t="shared" si="73"/>
        <v>jun</v>
      </c>
      <c r="G1206">
        <v>20</v>
      </c>
      <c r="H1206">
        <v>19</v>
      </c>
      <c r="I1206" t="str">
        <f t="shared" si="72"/>
        <v>1-jun-2019</v>
      </c>
      <c r="K1206" s="49">
        <f t="shared" si="74"/>
        <v>43617</v>
      </c>
      <c r="M1206" t="b">
        <f t="shared" si="75"/>
        <v>1</v>
      </c>
    </row>
    <row r="1207" spans="1:13" x14ac:dyDescent="0.3">
      <c r="A1207" s="49">
        <v>45261</v>
      </c>
      <c r="D1207" t="s">
        <v>7359</v>
      </c>
      <c r="E1207">
        <v>1</v>
      </c>
      <c r="F1207" t="str">
        <f t="shared" si="73"/>
        <v>jul</v>
      </c>
      <c r="G1207">
        <v>20</v>
      </c>
      <c r="H1207">
        <v>23</v>
      </c>
      <c r="I1207" t="str">
        <f t="shared" si="72"/>
        <v>1-jul-2023</v>
      </c>
      <c r="K1207" s="49">
        <f t="shared" si="74"/>
        <v>45108</v>
      </c>
      <c r="M1207" t="b">
        <f t="shared" si="75"/>
        <v>1</v>
      </c>
    </row>
    <row r="1208" spans="1:13" x14ac:dyDescent="0.3">
      <c r="A1208" s="49">
        <v>45261</v>
      </c>
      <c r="D1208" t="s">
        <v>7360</v>
      </c>
      <c r="E1208">
        <v>1</v>
      </c>
      <c r="F1208" t="str">
        <f t="shared" si="73"/>
        <v>nov</v>
      </c>
      <c r="G1208">
        <v>20</v>
      </c>
      <c r="H1208">
        <v>22</v>
      </c>
      <c r="I1208" t="str">
        <f t="shared" si="72"/>
        <v>1-nov-2022</v>
      </c>
      <c r="K1208" s="49">
        <f t="shared" si="74"/>
        <v>44866</v>
      </c>
      <c r="M1208" t="b">
        <f t="shared" si="75"/>
        <v>1</v>
      </c>
    </row>
    <row r="1209" spans="1:13" x14ac:dyDescent="0.3">
      <c r="A1209" s="49">
        <v>45261</v>
      </c>
      <c r="D1209" t="s">
        <v>7357</v>
      </c>
      <c r="E1209">
        <v>1</v>
      </c>
      <c r="F1209" t="str">
        <f t="shared" si="73"/>
        <v>oct</v>
      </c>
      <c r="G1209">
        <v>20</v>
      </c>
      <c r="H1209">
        <v>21</v>
      </c>
      <c r="I1209" t="str">
        <f t="shared" si="72"/>
        <v>1-oct-2021</v>
      </c>
      <c r="K1209" s="49">
        <f t="shared" si="74"/>
        <v>44470</v>
      </c>
      <c r="M1209" t="b">
        <f t="shared" si="75"/>
        <v>1</v>
      </c>
    </row>
    <row r="1210" spans="1:13" x14ac:dyDescent="0.3">
      <c r="A1210" s="49">
        <v>45261</v>
      </c>
      <c r="D1210" t="s">
        <v>7370</v>
      </c>
      <c r="E1210">
        <v>1</v>
      </c>
      <c r="F1210" t="str">
        <f t="shared" si="73"/>
        <v>may</v>
      </c>
      <c r="G1210">
        <v>20</v>
      </c>
      <c r="H1210">
        <v>21</v>
      </c>
      <c r="I1210" t="str">
        <f t="shared" si="72"/>
        <v>1-may-2021</v>
      </c>
      <c r="K1210" s="49">
        <f t="shared" si="74"/>
        <v>44317</v>
      </c>
      <c r="M1210" t="b">
        <f t="shared" si="75"/>
        <v>1</v>
      </c>
    </row>
    <row r="1211" spans="1:13" x14ac:dyDescent="0.3">
      <c r="A1211" s="49">
        <v>45261</v>
      </c>
      <c r="D1211" t="s">
        <v>7359</v>
      </c>
      <c r="E1211">
        <v>1</v>
      </c>
      <c r="F1211" t="str">
        <f t="shared" si="73"/>
        <v>jul</v>
      </c>
      <c r="G1211">
        <v>20</v>
      </c>
      <c r="H1211">
        <v>22</v>
      </c>
      <c r="I1211" t="str">
        <f t="shared" si="72"/>
        <v>1-jul-2022</v>
      </c>
      <c r="K1211" s="49">
        <f t="shared" si="74"/>
        <v>44743</v>
      </c>
      <c r="M1211" t="b">
        <f t="shared" si="75"/>
        <v>1</v>
      </c>
    </row>
    <row r="1212" spans="1:13" x14ac:dyDescent="0.3">
      <c r="A1212" s="49">
        <v>45261</v>
      </c>
      <c r="D1212" t="s">
        <v>7370</v>
      </c>
      <c r="E1212">
        <v>1</v>
      </c>
      <c r="F1212" t="str">
        <f t="shared" si="73"/>
        <v>may</v>
      </c>
      <c r="G1212">
        <v>20</v>
      </c>
      <c r="H1212">
        <v>23</v>
      </c>
      <c r="I1212" t="str">
        <f t="shared" si="72"/>
        <v>1-may-2023</v>
      </c>
      <c r="K1212" s="49">
        <f t="shared" si="74"/>
        <v>45047</v>
      </c>
      <c r="M1212" t="b">
        <f t="shared" si="75"/>
        <v>1</v>
      </c>
    </row>
    <row r="1213" spans="1:13" x14ac:dyDescent="0.3">
      <c r="A1213" s="49">
        <v>45261</v>
      </c>
      <c r="D1213" t="s">
        <v>7362</v>
      </c>
      <c r="E1213">
        <v>1</v>
      </c>
      <c r="F1213" t="str">
        <f t="shared" si="73"/>
        <v>ago</v>
      </c>
      <c r="G1213">
        <v>20</v>
      </c>
      <c r="H1213">
        <v>21</v>
      </c>
      <c r="I1213" t="str">
        <f t="shared" si="72"/>
        <v>1-ago-2021</v>
      </c>
      <c r="K1213" s="49">
        <f t="shared" si="74"/>
        <v>44409</v>
      </c>
      <c r="M1213" t="b">
        <f t="shared" si="75"/>
        <v>1</v>
      </c>
    </row>
    <row r="1214" spans="1:13" x14ac:dyDescent="0.3">
      <c r="A1214" s="49">
        <v>45261</v>
      </c>
      <c r="D1214" t="s">
        <v>7362</v>
      </c>
      <c r="E1214">
        <v>1</v>
      </c>
      <c r="F1214" t="str">
        <f t="shared" si="73"/>
        <v>ago</v>
      </c>
      <c r="G1214">
        <v>20</v>
      </c>
      <c r="H1214">
        <v>23</v>
      </c>
      <c r="I1214" t="str">
        <f t="shared" si="72"/>
        <v>1-ago-2023</v>
      </c>
      <c r="K1214" s="49">
        <f t="shared" si="74"/>
        <v>45139</v>
      </c>
      <c r="M1214" t="b">
        <f t="shared" si="75"/>
        <v>1</v>
      </c>
    </row>
    <row r="1215" spans="1:13" x14ac:dyDescent="0.3">
      <c r="A1215" s="49">
        <v>45261</v>
      </c>
      <c r="D1215" t="s">
        <v>7356</v>
      </c>
      <c r="E1215">
        <v>1</v>
      </c>
      <c r="F1215" t="str">
        <f t="shared" si="73"/>
        <v>ene</v>
      </c>
      <c r="G1215">
        <v>20</v>
      </c>
      <c r="H1215">
        <v>21</v>
      </c>
      <c r="I1215" t="str">
        <f t="shared" si="72"/>
        <v>1-ene-2021</v>
      </c>
      <c r="K1215" s="49">
        <f t="shared" si="74"/>
        <v>44197</v>
      </c>
      <c r="M1215" t="b">
        <f t="shared" si="75"/>
        <v>1</v>
      </c>
    </row>
    <row r="1216" spans="1:13" x14ac:dyDescent="0.3">
      <c r="A1216" s="49">
        <v>45261</v>
      </c>
      <c r="D1216" t="s">
        <v>7356</v>
      </c>
      <c r="E1216">
        <v>1</v>
      </c>
      <c r="F1216" t="str">
        <f t="shared" si="73"/>
        <v>ene</v>
      </c>
      <c r="G1216">
        <v>20</v>
      </c>
      <c r="H1216">
        <v>19</v>
      </c>
      <c r="I1216" t="str">
        <f t="shared" si="72"/>
        <v>1-ene-2019</v>
      </c>
      <c r="K1216" s="49">
        <f t="shared" si="74"/>
        <v>43466</v>
      </c>
      <c r="M1216" t="b">
        <f t="shared" si="75"/>
        <v>1</v>
      </c>
    </row>
    <row r="1217" spans="1:13" x14ac:dyDescent="0.3">
      <c r="A1217" s="49">
        <v>45261</v>
      </c>
      <c r="D1217" t="s">
        <v>7369</v>
      </c>
      <c r="E1217">
        <v>1</v>
      </c>
      <c r="F1217" t="str">
        <f t="shared" si="73"/>
        <v>abr</v>
      </c>
      <c r="G1217">
        <v>20</v>
      </c>
      <c r="H1217">
        <v>19</v>
      </c>
      <c r="I1217" t="str">
        <f t="shared" ref="I1217:I1280" si="76">_xlfn.CONCAT(E1217,"-",F1217,"-",G1217,H1217)</f>
        <v>1-abr-2019</v>
      </c>
      <c r="K1217" s="49">
        <f t="shared" si="74"/>
        <v>43556</v>
      </c>
      <c r="M1217" t="b">
        <f t="shared" si="75"/>
        <v>1</v>
      </c>
    </row>
    <row r="1218" spans="1:13" x14ac:dyDescent="0.3">
      <c r="A1218" s="49">
        <v>45261</v>
      </c>
      <c r="D1218" t="s">
        <v>7362</v>
      </c>
      <c r="E1218">
        <v>1</v>
      </c>
      <c r="F1218" t="str">
        <f t="shared" ref="F1218:F1281" si="77">LOWER(D1218)</f>
        <v>ago</v>
      </c>
      <c r="G1218">
        <v>20</v>
      </c>
      <c r="H1218">
        <v>23</v>
      </c>
      <c r="I1218" t="str">
        <f t="shared" si="76"/>
        <v>1-ago-2023</v>
      </c>
      <c r="K1218" s="49">
        <f t="shared" ref="K1218:K1281" si="78">DATEVALUE(I1218)</f>
        <v>45139</v>
      </c>
      <c r="M1218" t="b">
        <f t="shared" si="75"/>
        <v>1</v>
      </c>
    </row>
    <row r="1219" spans="1:13" x14ac:dyDescent="0.3">
      <c r="A1219" s="49">
        <v>45261</v>
      </c>
      <c r="D1219" t="s">
        <v>7367</v>
      </c>
      <c r="E1219">
        <v>1</v>
      </c>
      <c r="F1219" t="str">
        <f t="shared" si="77"/>
        <v>jun</v>
      </c>
      <c r="G1219">
        <v>20</v>
      </c>
      <c r="H1219">
        <v>23</v>
      </c>
      <c r="I1219" t="str">
        <f t="shared" si="76"/>
        <v>1-jun-2023</v>
      </c>
      <c r="K1219" s="49">
        <f t="shared" si="78"/>
        <v>45078</v>
      </c>
      <c r="M1219" t="b">
        <f t="shared" ref="M1219:M1282" si="79">K1219&lt;A1219</f>
        <v>1</v>
      </c>
    </row>
    <row r="1220" spans="1:13" x14ac:dyDescent="0.3">
      <c r="A1220" s="49">
        <v>45261</v>
      </c>
      <c r="D1220" t="s">
        <v>7362</v>
      </c>
      <c r="E1220">
        <v>1</v>
      </c>
      <c r="F1220" t="str">
        <f t="shared" si="77"/>
        <v>ago</v>
      </c>
      <c r="G1220">
        <v>20</v>
      </c>
      <c r="H1220">
        <v>22</v>
      </c>
      <c r="I1220" t="str">
        <f t="shared" si="76"/>
        <v>1-ago-2022</v>
      </c>
      <c r="K1220" s="49">
        <f t="shared" si="78"/>
        <v>44774</v>
      </c>
      <c r="M1220" t="b">
        <f t="shared" si="79"/>
        <v>1</v>
      </c>
    </row>
    <row r="1221" spans="1:13" x14ac:dyDescent="0.3">
      <c r="A1221" s="49">
        <v>45261</v>
      </c>
      <c r="D1221" t="s">
        <v>7360</v>
      </c>
      <c r="E1221">
        <v>1</v>
      </c>
      <c r="F1221" t="str">
        <f t="shared" si="77"/>
        <v>nov</v>
      </c>
      <c r="G1221">
        <v>20</v>
      </c>
      <c r="H1221">
        <v>23</v>
      </c>
      <c r="I1221" t="str">
        <f t="shared" si="76"/>
        <v>1-nov-2023</v>
      </c>
      <c r="K1221" s="49">
        <f t="shared" si="78"/>
        <v>45231</v>
      </c>
      <c r="M1221" t="b">
        <f t="shared" si="79"/>
        <v>1</v>
      </c>
    </row>
    <row r="1222" spans="1:13" x14ac:dyDescent="0.3">
      <c r="A1222" s="49">
        <v>45261</v>
      </c>
      <c r="D1222" t="s">
        <v>7359</v>
      </c>
      <c r="E1222">
        <v>1</v>
      </c>
      <c r="F1222" t="str">
        <f t="shared" si="77"/>
        <v>jul</v>
      </c>
      <c r="G1222">
        <v>20</v>
      </c>
      <c r="H1222">
        <v>22</v>
      </c>
      <c r="I1222" t="str">
        <f t="shared" si="76"/>
        <v>1-jul-2022</v>
      </c>
      <c r="K1222" s="49">
        <f t="shared" si="78"/>
        <v>44743</v>
      </c>
      <c r="M1222" t="b">
        <f t="shared" si="79"/>
        <v>1</v>
      </c>
    </row>
    <row r="1223" spans="1:13" x14ac:dyDescent="0.3">
      <c r="A1223" s="49">
        <v>45261</v>
      </c>
      <c r="D1223" t="s">
        <v>7360</v>
      </c>
      <c r="E1223">
        <v>1</v>
      </c>
      <c r="F1223" t="str">
        <f t="shared" si="77"/>
        <v>nov</v>
      </c>
      <c r="G1223">
        <v>20</v>
      </c>
      <c r="H1223">
        <v>22</v>
      </c>
      <c r="I1223" t="str">
        <f t="shared" si="76"/>
        <v>1-nov-2022</v>
      </c>
      <c r="K1223" s="49">
        <f t="shared" si="78"/>
        <v>44866</v>
      </c>
      <c r="M1223" t="b">
        <f t="shared" si="79"/>
        <v>1</v>
      </c>
    </row>
    <row r="1224" spans="1:13" x14ac:dyDescent="0.3">
      <c r="A1224" s="49">
        <v>45261</v>
      </c>
      <c r="D1224" t="s">
        <v>7360</v>
      </c>
      <c r="E1224">
        <v>1</v>
      </c>
      <c r="F1224" t="str">
        <f t="shared" si="77"/>
        <v>nov</v>
      </c>
      <c r="G1224">
        <v>20</v>
      </c>
      <c r="H1224">
        <v>24</v>
      </c>
      <c r="I1224" t="str">
        <f t="shared" si="76"/>
        <v>1-nov-2024</v>
      </c>
      <c r="K1224" s="49">
        <f t="shared" si="78"/>
        <v>45597</v>
      </c>
      <c r="M1224" t="b">
        <f t="shared" si="79"/>
        <v>0</v>
      </c>
    </row>
    <row r="1225" spans="1:13" x14ac:dyDescent="0.3">
      <c r="A1225" s="49">
        <v>45261</v>
      </c>
      <c r="D1225" t="s">
        <v>7362</v>
      </c>
      <c r="E1225">
        <v>1</v>
      </c>
      <c r="F1225" t="str">
        <f t="shared" si="77"/>
        <v>ago</v>
      </c>
      <c r="G1225">
        <v>20</v>
      </c>
      <c r="H1225">
        <v>18</v>
      </c>
      <c r="I1225" t="str">
        <f t="shared" si="76"/>
        <v>1-ago-2018</v>
      </c>
      <c r="K1225" s="49">
        <f t="shared" si="78"/>
        <v>43313</v>
      </c>
      <c r="M1225" t="b">
        <f t="shared" si="79"/>
        <v>1</v>
      </c>
    </row>
    <row r="1226" spans="1:13" x14ac:dyDescent="0.3">
      <c r="A1226" s="49">
        <v>45261</v>
      </c>
      <c r="D1226" t="s">
        <v>7355</v>
      </c>
      <c r="E1226">
        <v>1</v>
      </c>
      <c r="F1226" t="str">
        <f t="shared" si="77"/>
        <v>sep</v>
      </c>
      <c r="G1226">
        <v>20</v>
      </c>
      <c r="H1226">
        <v>20</v>
      </c>
      <c r="I1226" t="str">
        <f t="shared" si="76"/>
        <v>1-sep-2020</v>
      </c>
      <c r="K1226" s="49">
        <f t="shared" si="78"/>
        <v>44075</v>
      </c>
      <c r="M1226" t="b">
        <f t="shared" si="79"/>
        <v>1</v>
      </c>
    </row>
    <row r="1227" spans="1:13" x14ac:dyDescent="0.3">
      <c r="A1227" s="49">
        <v>45261</v>
      </c>
      <c r="D1227" t="s">
        <v>7362</v>
      </c>
      <c r="E1227">
        <v>1</v>
      </c>
      <c r="F1227" t="str">
        <f t="shared" si="77"/>
        <v>ago</v>
      </c>
      <c r="G1227">
        <v>20</v>
      </c>
      <c r="H1227">
        <v>23</v>
      </c>
      <c r="I1227" t="str">
        <f t="shared" si="76"/>
        <v>1-ago-2023</v>
      </c>
      <c r="K1227" s="49">
        <f t="shared" si="78"/>
        <v>45139</v>
      </c>
      <c r="M1227" t="b">
        <f t="shared" si="79"/>
        <v>1</v>
      </c>
    </row>
    <row r="1228" spans="1:13" x14ac:dyDescent="0.3">
      <c r="A1228" s="49">
        <v>45261</v>
      </c>
      <c r="D1228" t="s">
        <v>7366</v>
      </c>
      <c r="E1228">
        <v>1</v>
      </c>
      <c r="F1228" t="str">
        <f t="shared" si="77"/>
        <v>dic</v>
      </c>
      <c r="G1228">
        <v>20</v>
      </c>
      <c r="H1228">
        <v>23</v>
      </c>
      <c r="I1228" t="str">
        <f t="shared" si="76"/>
        <v>1-dic-2023</v>
      </c>
      <c r="K1228" s="49">
        <f t="shared" si="78"/>
        <v>45261</v>
      </c>
      <c r="M1228" t="b">
        <f t="shared" si="79"/>
        <v>0</v>
      </c>
    </row>
    <row r="1229" spans="1:13" x14ac:dyDescent="0.3">
      <c r="A1229" s="49">
        <v>45261</v>
      </c>
      <c r="D1229" t="s">
        <v>7357</v>
      </c>
      <c r="E1229">
        <v>1</v>
      </c>
      <c r="F1229" t="str">
        <f t="shared" si="77"/>
        <v>oct</v>
      </c>
      <c r="G1229">
        <v>20</v>
      </c>
      <c r="H1229">
        <v>21</v>
      </c>
      <c r="I1229" t="str">
        <f t="shared" si="76"/>
        <v>1-oct-2021</v>
      </c>
      <c r="K1229" s="49">
        <f t="shared" si="78"/>
        <v>44470</v>
      </c>
      <c r="M1229" t="b">
        <f t="shared" si="79"/>
        <v>1</v>
      </c>
    </row>
    <row r="1230" spans="1:13" x14ac:dyDescent="0.3">
      <c r="A1230" s="49">
        <v>45261</v>
      </c>
      <c r="D1230" t="s">
        <v>7359</v>
      </c>
      <c r="E1230">
        <v>1</v>
      </c>
      <c r="F1230" t="str">
        <f t="shared" si="77"/>
        <v>jul</v>
      </c>
      <c r="G1230">
        <v>20</v>
      </c>
      <c r="H1230">
        <v>23</v>
      </c>
      <c r="I1230" t="str">
        <f t="shared" si="76"/>
        <v>1-jul-2023</v>
      </c>
      <c r="K1230" s="49">
        <f t="shared" si="78"/>
        <v>45108</v>
      </c>
      <c r="M1230" t="b">
        <f t="shared" si="79"/>
        <v>1</v>
      </c>
    </row>
    <row r="1231" spans="1:13" x14ac:dyDescent="0.3">
      <c r="A1231" s="49">
        <v>45261</v>
      </c>
      <c r="D1231" t="s">
        <v>7355</v>
      </c>
      <c r="E1231">
        <v>1</v>
      </c>
      <c r="F1231" t="str">
        <f t="shared" si="77"/>
        <v>sep</v>
      </c>
      <c r="G1231">
        <v>20</v>
      </c>
      <c r="H1231">
        <v>23</v>
      </c>
      <c r="I1231" t="str">
        <f t="shared" si="76"/>
        <v>1-sep-2023</v>
      </c>
      <c r="K1231" s="49">
        <f t="shared" si="78"/>
        <v>45170</v>
      </c>
      <c r="M1231" t="b">
        <f t="shared" si="79"/>
        <v>1</v>
      </c>
    </row>
    <row r="1232" spans="1:13" x14ac:dyDescent="0.3">
      <c r="A1232" s="49">
        <v>45261</v>
      </c>
      <c r="D1232" t="s">
        <v>3586</v>
      </c>
      <c r="E1232">
        <v>1</v>
      </c>
      <c r="F1232" t="str">
        <f t="shared" si="77"/>
        <v>---</v>
      </c>
      <c r="G1232">
        <v>20</v>
      </c>
      <c r="H1232" t="s">
        <v>3911</v>
      </c>
      <c r="I1232" t="str">
        <f t="shared" si="76"/>
        <v>1-----20--</v>
      </c>
      <c r="K1232" s="49" t="e">
        <f t="shared" si="78"/>
        <v>#VALUE!</v>
      </c>
      <c r="M1232" t="e">
        <f t="shared" si="79"/>
        <v>#VALUE!</v>
      </c>
    </row>
    <row r="1233" spans="1:13" x14ac:dyDescent="0.3">
      <c r="A1233" s="49">
        <v>45261</v>
      </c>
      <c r="D1233" t="s">
        <v>7370</v>
      </c>
      <c r="E1233">
        <v>1</v>
      </c>
      <c r="F1233" t="str">
        <f t="shared" si="77"/>
        <v>may</v>
      </c>
      <c r="G1233">
        <v>20</v>
      </c>
      <c r="H1233">
        <v>21</v>
      </c>
      <c r="I1233" t="str">
        <f t="shared" si="76"/>
        <v>1-may-2021</v>
      </c>
      <c r="K1233" s="49">
        <f t="shared" si="78"/>
        <v>44317</v>
      </c>
      <c r="M1233" t="b">
        <f t="shared" si="79"/>
        <v>1</v>
      </c>
    </row>
    <row r="1234" spans="1:13" x14ac:dyDescent="0.3">
      <c r="A1234" s="49">
        <v>45261</v>
      </c>
      <c r="D1234" t="s">
        <v>7366</v>
      </c>
      <c r="E1234">
        <v>1</v>
      </c>
      <c r="F1234" t="str">
        <f t="shared" si="77"/>
        <v>dic</v>
      </c>
      <c r="G1234">
        <v>20</v>
      </c>
      <c r="H1234">
        <v>21</v>
      </c>
      <c r="I1234" t="str">
        <f t="shared" si="76"/>
        <v>1-dic-2021</v>
      </c>
      <c r="K1234" s="49">
        <f t="shared" si="78"/>
        <v>44531</v>
      </c>
      <c r="M1234" t="b">
        <f t="shared" si="79"/>
        <v>1</v>
      </c>
    </row>
    <row r="1235" spans="1:13" x14ac:dyDescent="0.3">
      <c r="A1235" s="49">
        <v>45261</v>
      </c>
      <c r="D1235" t="s">
        <v>7368</v>
      </c>
      <c r="E1235">
        <v>1</v>
      </c>
      <c r="F1235" t="str">
        <f t="shared" si="77"/>
        <v>mar</v>
      </c>
      <c r="G1235">
        <v>20</v>
      </c>
      <c r="H1235">
        <v>23</v>
      </c>
      <c r="I1235" t="str">
        <f t="shared" si="76"/>
        <v>1-mar-2023</v>
      </c>
      <c r="K1235" s="49">
        <f t="shared" si="78"/>
        <v>44986</v>
      </c>
      <c r="M1235" t="b">
        <f t="shared" si="79"/>
        <v>1</v>
      </c>
    </row>
    <row r="1236" spans="1:13" x14ac:dyDescent="0.3">
      <c r="A1236" s="49">
        <v>45261</v>
      </c>
      <c r="D1236" t="s">
        <v>7367</v>
      </c>
      <c r="E1236">
        <v>1</v>
      </c>
      <c r="F1236" t="str">
        <f t="shared" si="77"/>
        <v>jun</v>
      </c>
      <c r="G1236">
        <v>20</v>
      </c>
      <c r="H1236">
        <v>23</v>
      </c>
      <c r="I1236" t="str">
        <f t="shared" si="76"/>
        <v>1-jun-2023</v>
      </c>
      <c r="K1236" s="49">
        <f t="shared" si="78"/>
        <v>45078</v>
      </c>
      <c r="M1236" t="b">
        <f t="shared" si="79"/>
        <v>1</v>
      </c>
    </row>
    <row r="1237" spans="1:13" x14ac:dyDescent="0.3">
      <c r="A1237" s="49">
        <v>45261</v>
      </c>
      <c r="D1237" t="s">
        <v>7360</v>
      </c>
      <c r="E1237">
        <v>1</v>
      </c>
      <c r="F1237" t="str">
        <f t="shared" si="77"/>
        <v>nov</v>
      </c>
      <c r="G1237">
        <v>20</v>
      </c>
      <c r="H1237">
        <v>22</v>
      </c>
      <c r="I1237" t="str">
        <f t="shared" si="76"/>
        <v>1-nov-2022</v>
      </c>
      <c r="K1237" s="49">
        <f t="shared" si="78"/>
        <v>44866</v>
      </c>
      <c r="M1237" t="b">
        <f t="shared" si="79"/>
        <v>1</v>
      </c>
    </row>
    <row r="1238" spans="1:13" x14ac:dyDescent="0.3">
      <c r="A1238" s="49">
        <v>45261</v>
      </c>
      <c r="D1238" t="s">
        <v>7362</v>
      </c>
      <c r="E1238">
        <v>1</v>
      </c>
      <c r="F1238" t="str">
        <f t="shared" si="77"/>
        <v>ago</v>
      </c>
      <c r="G1238">
        <v>20</v>
      </c>
      <c r="H1238">
        <v>24</v>
      </c>
      <c r="I1238" t="str">
        <f t="shared" si="76"/>
        <v>1-ago-2024</v>
      </c>
      <c r="K1238" s="49">
        <f t="shared" si="78"/>
        <v>45505</v>
      </c>
      <c r="M1238" t="b">
        <f t="shared" si="79"/>
        <v>0</v>
      </c>
    </row>
    <row r="1239" spans="1:13" x14ac:dyDescent="0.3">
      <c r="A1239" s="49">
        <v>45261</v>
      </c>
      <c r="D1239" t="s">
        <v>7357</v>
      </c>
      <c r="E1239">
        <v>1</v>
      </c>
      <c r="F1239" t="str">
        <f t="shared" si="77"/>
        <v>oct</v>
      </c>
      <c r="G1239">
        <v>20</v>
      </c>
      <c r="H1239">
        <v>21</v>
      </c>
      <c r="I1239" t="str">
        <f t="shared" si="76"/>
        <v>1-oct-2021</v>
      </c>
      <c r="K1239" s="49">
        <f t="shared" si="78"/>
        <v>44470</v>
      </c>
      <c r="M1239" t="b">
        <f t="shared" si="79"/>
        <v>1</v>
      </c>
    </row>
    <row r="1240" spans="1:13" x14ac:dyDescent="0.3">
      <c r="A1240" s="49">
        <v>45261</v>
      </c>
      <c r="D1240" t="s">
        <v>7362</v>
      </c>
      <c r="E1240">
        <v>1</v>
      </c>
      <c r="F1240" t="str">
        <f t="shared" si="77"/>
        <v>ago</v>
      </c>
      <c r="G1240">
        <v>20</v>
      </c>
      <c r="H1240">
        <v>23</v>
      </c>
      <c r="I1240" t="str">
        <f t="shared" si="76"/>
        <v>1-ago-2023</v>
      </c>
      <c r="K1240" s="49">
        <f t="shared" si="78"/>
        <v>45139</v>
      </c>
      <c r="M1240" t="b">
        <f t="shared" si="79"/>
        <v>1</v>
      </c>
    </row>
    <row r="1241" spans="1:13" x14ac:dyDescent="0.3">
      <c r="A1241" s="49">
        <v>45261</v>
      </c>
      <c r="D1241" t="s">
        <v>7370</v>
      </c>
      <c r="E1241">
        <v>1</v>
      </c>
      <c r="F1241" t="str">
        <f t="shared" si="77"/>
        <v>may</v>
      </c>
      <c r="G1241">
        <v>20</v>
      </c>
      <c r="H1241">
        <v>17</v>
      </c>
      <c r="I1241" t="str">
        <f t="shared" si="76"/>
        <v>1-may-2017</v>
      </c>
      <c r="K1241" s="49">
        <f t="shared" si="78"/>
        <v>42856</v>
      </c>
      <c r="M1241" t="b">
        <f t="shared" si="79"/>
        <v>1</v>
      </c>
    </row>
    <row r="1242" spans="1:13" x14ac:dyDescent="0.3">
      <c r="A1242" s="49">
        <v>45261</v>
      </c>
      <c r="D1242" t="s">
        <v>7359</v>
      </c>
      <c r="E1242">
        <v>1</v>
      </c>
      <c r="F1242" t="str">
        <f t="shared" si="77"/>
        <v>jul</v>
      </c>
      <c r="G1242">
        <v>20</v>
      </c>
      <c r="H1242">
        <v>23</v>
      </c>
      <c r="I1242" t="str">
        <f t="shared" si="76"/>
        <v>1-jul-2023</v>
      </c>
      <c r="K1242" s="49">
        <f t="shared" si="78"/>
        <v>45108</v>
      </c>
      <c r="M1242" t="b">
        <f t="shared" si="79"/>
        <v>1</v>
      </c>
    </row>
    <row r="1243" spans="1:13" x14ac:dyDescent="0.3">
      <c r="A1243" s="49">
        <v>45261</v>
      </c>
      <c r="D1243" t="s">
        <v>7366</v>
      </c>
      <c r="E1243">
        <v>1</v>
      </c>
      <c r="F1243" t="str">
        <f t="shared" si="77"/>
        <v>dic</v>
      </c>
      <c r="G1243">
        <v>20</v>
      </c>
      <c r="H1243">
        <v>22</v>
      </c>
      <c r="I1243" t="str">
        <f t="shared" si="76"/>
        <v>1-dic-2022</v>
      </c>
      <c r="K1243" s="49">
        <f t="shared" si="78"/>
        <v>44896</v>
      </c>
      <c r="M1243" t="b">
        <f t="shared" si="79"/>
        <v>1</v>
      </c>
    </row>
    <row r="1244" spans="1:13" x14ac:dyDescent="0.3">
      <c r="A1244" s="49">
        <v>45261</v>
      </c>
      <c r="D1244" t="s">
        <v>7357</v>
      </c>
      <c r="E1244">
        <v>1</v>
      </c>
      <c r="F1244" t="str">
        <f t="shared" si="77"/>
        <v>oct</v>
      </c>
      <c r="G1244">
        <v>20</v>
      </c>
      <c r="H1244">
        <v>22</v>
      </c>
      <c r="I1244" t="str">
        <f t="shared" si="76"/>
        <v>1-oct-2022</v>
      </c>
      <c r="K1244" s="49">
        <f t="shared" si="78"/>
        <v>44835</v>
      </c>
      <c r="M1244" t="b">
        <f t="shared" si="79"/>
        <v>1</v>
      </c>
    </row>
    <row r="1245" spans="1:13" x14ac:dyDescent="0.3">
      <c r="A1245" s="49">
        <v>45261</v>
      </c>
      <c r="D1245" t="s">
        <v>7357</v>
      </c>
      <c r="E1245">
        <v>1</v>
      </c>
      <c r="F1245" t="str">
        <f t="shared" si="77"/>
        <v>oct</v>
      </c>
      <c r="G1245">
        <v>20</v>
      </c>
      <c r="H1245">
        <v>22</v>
      </c>
      <c r="I1245" t="str">
        <f t="shared" si="76"/>
        <v>1-oct-2022</v>
      </c>
      <c r="K1245" s="49">
        <f t="shared" si="78"/>
        <v>44835</v>
      </c>
      <c r="M1245" t="b">
        <f t="shared" si="79"/>
        <v>1</v>
      </c>
    </row>
    <row r="1246" spans="1:13" x14ac:dyDescent="0.3">
      <c r="A1246" s="49">
        <v>45261</v>
      </c>
      <c r="D1246" t="s">
        <v>7363</v>
      </c>
      <c r="E1246">
        <v>1</v>
      </c>
      <c r="F1246" t="str">
        <f t="shared" si="77"/>
        <v>feb</v>
      </c>
      <c r="G1246">
        <v>20</v>
      </c>
      <c r="H1246">
        <v>25</v>
      </c>
      <c r="I1246" t="str">
        <f t="shared" si="76"/>
        <v>1-feb-2025</v>
      </c>
      <c r="K1246" s="49">
        <f t="shared" si="78"/>
        <v>45689</v>
      </c>
      <c r="M1246" t="b">
        <f t="shared" si="79"/>
        <v>0</v>
      </c>
    </row>
    <row r="1247" spans="1:13" x14ac:dyDescent="0.3">
      <c r="A1247" s="49">
        <v>45261</v>
      </c>
      <c r="D1247" t="s">
        <v>7363</v>
      </c>
      <c r="E1247">
        <v>1</v>
      </c>
      <c r="F1247" t="str">
        <f t="shared" si="77"/>
        <v>feb</v>
      </c>
      <c r="G1247">
        <v>20</v>
      </c>
      <c r="H1247">
        <v>23</v>
      </c>
      <c r="I1247" t="str">
        <f t="shared" si="76"/>
        <v>1-feb-2023</v>
      </c>
      <c r="K1247" s="49">
        <f t="shared" si="78"/>
        <v>44958</v>
      </c>
      <c r="M1247" t="b">
        <f t="shared" si="79"/>
        <v>1</v>
      </c>
    </row>
    <row r="1248" spans="1:13" x14ac:dyDescent="0.3">
      <c r="A1248" s="49">
        <v>45261</v>
      </c>
      <c r="D1248" t="s">
        <v>7357</v>
      </c>
      <c r="E1248">
        <v>1</v>
      </c>
      <c r="F1248" t="str">
        <f t="shared" si="77"/>
        <v>oct</v>
      </c>
      <c r="G1248">
        <v>20</v>
      </c>
      <c r="H1248">
        <v>20</v>
      </c>
      <c r="I1248" t="str">
        <f t="shared" si="76"/>
        <v>1-oct-2020</v>
      </c>
      <c r="K1248" s="49">
        <f t="shared" si="78"/>
        <v>44105</v>
      </c>
      <c r="M1248" t="b">
        <f t="shared" si="79"/>
        <v>1</v>
      </c>
    </row>
    <row r="1249" spans="1:13" x14ac:dyDescent="0.3">
      <c r="A1249" s="49">
        <v>45261</v>
      </c>
      <c r="D1249" t="s">
        <v>7357</v>
      </c>
      <c r="E1249">
        <v>1</v>
      </c>
      <c r="F1249" t="str">
        <f t="shared" si="77"/>
        <v>oct</v>
      </c>
      <c r="G1249">
        <v>20</v>
      </c>
      <c r="H1249">
        <v>20</v>
      </c>
      <c r="I1249" t="str">
        <f t="shared" si="76"/>
        <v>1-oct-2020</v>
      </c>
      <c r="K1249" s="49">
        <f t="shared" si="78"/>
        <v>44105</v>
      </c>
      <c r="M1249" t="b">
        <f t="shared" si="79"/>
        <v>1</v>
      </c>
    </row>
    <row r="1250" spans="1:13" x14ac:dyDescent="0.3">
      <c r="A1250" s="49">
        <v>45261</v>
      </c>
      <c r="D1250" t="s">
        <v>7357</v>
      </c>
      <c r="E1250">
        <v>1</v>
      </c>
      <c r="F1250" t="str">
        <f t="shared" si="77"/>
        <v>oct</v>
      </c>
      <c r="G1250">
        <v>20</v>
      </c>
      <c r="H1250">
        <v>20</v>
      </c>
      <c r="I1250" t="str">
        <f t="shared" si="76"/>
        <v>1-oct-2020</v>
      </c>
      <c r="K1250" s="49">
        <f t="shared" si="78"/>
        <v>44105</v>
      </c>
      <c r="M1250" t="b">
        <f t="shared" si="79"/>
        <v>1</v>
      </c>
    </row>
    <row r="1251" spans="1:13" x14ac:dyDescent="0.3">
      <c r="A1251" s="49">
        <v>45261</v>
      </c>
      <c r="D1251" t="s">
        <v>7357</v>
      </c>
      <c r="E1251">
        <v>1</v>
      </c>
      <c r="F1251" t="str">
        <f t="shared" si="77"/>
        <v>oct</v>
      </c>
      <c r="G1251">
        <v>20</v>
      </c>
      <c r="H1251">
        <v>20</v>
      </c>
      <c r="I1251" t="str">
        <f t="shared" si="76"/>
        <v>1-oct-2020</v>
      </c>
      <c r="K1251" s="49">
        <f t="shared" si="78"/>
        <v>44105</v>
      </c>
      <c r="M1251" t="b">
        <f t="shared" si="79"/>
        <v>1</v>
      </c>
    </row>
    <row r="1252" spans="1:13" x14ac:dyDescent="0.3">
      <c r="A1252" s="49">
        <v>45261</v>
      </c>
      <c r="D1252" t="s">
        <v>7366</v>
      </c>
      <c r="E1252">
        <v>1</v>
      </c>
      <c r="F1252" t="str">
        <f t="shared" si="77"/>
        <v>dic</v>
      </c>
      <c r="G1252">
        <v>20</v>
      </c>
      <c r="H1252">
        <v>20</v>
      </c>
      <c r="I1252" t="str">
        <f t="shared" si="76"/>
        <v>1-dic-2020</v>
      </c>
      <c r="K1252" s="49">
        <f t="shared" si="78"/>
        <v>44166</v>
      </c>
      <c r="M1252" t="b">
        <f t="shared" si="79"/>
        <v>1</v>
      </c>
    </row>
    <row r="1253" spans="1:13" x14ac:dyDescent="0.3">
      <c r="A1253" s="49">
        <v>45261</v>
      </c>
      <c r="D1253" t="s">
        <v>7355</v>
      </c>
      <c r="E1253">
        <v>1</v>
      </c>
      <c r="F1253" t="str">
        <f t="shared" si="77"/>
        <v>sep</v>
      </c>
      <c r="G1253">
        <v>20</v>
      </c>
      <c r="H1253">
        <v>22</v>
      </c>
      <c r="I1253" t="str">
        <f t="shared" si="76"/>
        <v>1-sep-2022</v>
      </c>
      <c r="K1253" s="49">
        <f t="shared" si="78"/>
        <v>44805</v>
      </c>
      <c r="M1253" t="b">
        <f t="shared" si="79"/>
        <v>1</v>
      </c>
    </row>
    <row r="1254" spans="1:13" x14ac:dyDescent="0.3">
      <c r="A1254" s="49">
        <v>45261</v>
      </c>
      <c r="D1254" t="s">
        <v>7370</v>
      </c>
      <c r="E1254">
        <v>1</v>
      </c>
      <c r="F1254" t="str">
        <f t="shared" si="77"/>
        <v>may</v>
      </c>
      <c r="G1254">
        <v>20</v>
      </c>
      <c r="H1254">
        <v>20</v>
      </c>
      <c r="I1254" t="str">
        <f t="shared" si="76"/>
        <v>1-may-2020</v>
      </c>
      <c r="K1254" s="49">
        <f t="shared" si="78"/>
        <v>43952</v>
      </c>
      <c r="M1254" t="b">
        <f t="shared" si="79"/>
        <v>1</v>
      </c>
    </row>
    <row r="1255" spans="1:13" x14ac:dyDescent="0.3">
      <c r="A1255" s="49">
        <v>45261</v>
      </c>
      <c r="D1255" t="s">
        <v>7356</v>
      </c>
      <c r="E1255">
        <v>1</v>
      </c>
      <c r="F1255" t="str">
        <f t="shared" si="77"/>
        <v>ene</v>
      </c>
      <c r="G1255">
        <v>20</v>
      </c>
      <c r="H1255">
        <v>22</v>
      </c>
      <c r="I1255" t="str">
        <f t="shared" si="76"/>
        <v>1-ene-2022</v>
      </c>
      <c r="K1255" s="49">
        <f t="shared" si="78"/>
        <v>44562</v>
      </c>
      <c r="M1255" t="b">
        <f t="shared" si="79"/>
        <v>1</v>
      </c>
    </row>
    <row r="1256" spans="1:13" x14ac:dyDescent="0.3">
      <c r="A1256" s="49">
        <v>45261</v>
      </c>
      <c r="D1256" t="s">
        <v>7355</v>
      </c>
      <c r="E1256">
        <v>1</v>
      </c>
      <c r="F1256" t="str">
        <f t="shared" si="77"/>
        <v>sep</v>
      </c>
      <c r="G1256">
        <v>20</v>
      </c>
      <c r="H1256">
        <v>22</v>
      </c>
      <c r="I1256" t="str">
        <f t="shared" si="76"/>
        <v>1-sep-2022</v>
      </c>
      <c r="K1256" s="49">
        <f t="shared" si="78"/>
        <v>44805</v>
      </c>
      <c r="M1256" t="b">
        <f t="shared" si="79"/>
        <v>1</v>
      </c>
    </row>
    <row r="1257" spans="1:13" x14ac:dyDescent="0.3">
      <c r="A1257" s="49">
        <v>45261</v>
      </c>
      <c r="D1257" t="s">
        <v>7376</v>
      </c>
      <c r="E1257">
        <v>1</v>
      </c>
      <c r="F1257" t="str">
        <f t="shared" si="77"/>
        <v>sep</v>
      </c>
      <c r="G1257">
        <v>20</v>
      </c>
      <c r="H1257">
        <v>23</v>
      </c>
      <c r="I1257" t="str">
        <f t="shared" si="76"/>
        <v>1-sep-2023</v>
      </c>
      <c r="K1257" s="49">
        <f t="shared" si="78"/>
        <v>45170</v>
      </c>
      <c r="M1257" t="b">
        <f t="shared" si="79"/>
        <v>1</v>
      </c>
    </row>
    <row r="1258" spans="1:13" x14ac:dyDescent="0.3">
      <c r="A1258" s="49">
        <v>45261</v>
      </c>
      <c r="D1258" t="s">
        <v>7360</v>
      </c>
      <c r="E1258">
        <v>1</v>
      </c>
      <c r="F1258" t="str">
        <f t="shared" si="77"/>
        <v>nov</v>
      </c>
      <c r="G1258">
        <v>20</v>
      </c>
      <c r="H1258">
        <v>20</v>
      </c>
      <c r="I1258" t="str">
        <f t="shared" si="76"/>
        <v>1-nov-2020</v>
      </c>
      <c r="K1258" s="49">
        <f t="shared" si="78"/>
        <v>44136</v>
      </c>
      <c r="M1258" t="b">
        <f t="shared" si="79"/>
        <v>1</v>
      </c>
    </row>
    <row r="1259" spans="1:13" x14ac:dyDescent="0.3">
      <c r="A1259" s="49">
        <v>45261</v>
      </c>
      <c r="D1259" t="s">
        <v>7362</v>
      </c>
      <c r="E1259">
        <v>1</v>
      </c>
      <c r="F1259" t="str">
        <f t="shared" si="77"/>
        <v>ago</v>
      </c>
      <c r="G1259">
        <v>20</v>
      </c>
      <c r="H1259">
        <v>23</v>
      </c>
      <c r="I1259" t="str">
        <f t="shared" si="76"/>
        <v>1-ago-2023</v>
      </c>
      <c r="K1259" s="49">
        <f t="shared" si="78"/>
        <v>45139</v>
      </c>
      <c r="M1259" t="b">
        <f t="shared" si="79"/>
        <v>1</v>
      </c>
    </row>
    <row r="1260" spans="1:13" x14ac:dyDescent="0.3">
      <c r="A1260" s="49">
        <v>45261</v>
      </c>
      <c r="D1260" t="s">
        <v>7362</v>
      </c>
      <c r="E1260">
        <v>1</v>
      </c>
      <c r="F1260" t="str">
        <f t="shared" si="77"/>
        <v>ago</v>
      </c>
      <c r="G1260">
        <v>20</v>
      </c>
      <c r="H1260">
        <v>23</v>
      </c>
      <c r="I1260" t="str">
        <f t="shared" si="76"/>
        <v>1-ago-2023</v>
      </c>
      <c r="K1260" s="49">
        <f t="shared" si="78"/>
        <v>45139</v>
      </c>
      <c r="M1260" t="b">
        <f t="shared" si="79"/>
        <v>1</v>
      </c>
    </row>
    <row r="1261" spans="1:13" x14ac:dyDescent="0.3">
      <c r="A1261" s="49">
        <v>45261</v>
      </c>
      <c r="D1261" t="s">
        <v>7362</v>
      </c>
      <c r="E1261">
        <v>1</v>
      </c>
      <c r="F1261" t="str">
        <f t="shared" si="77"/>
        <v>ago</v>
      </c>
      <c r="G1261">
        <v>20</v>
      </c>
      <c r="H1261">
        <v>23</v>
      </c>
      <c r="I1261" t="str">
        <f t="shared" si="76"/>
        <v>1-ago-2023</v>
      </c>
      <c r="K1261" s="49">
        <f t="shared" si="78"/>
        <v>45139</v>
      </c>
      <c r="M1261" t="b">
        <f t="shared" si="79"/>
        <v>1</v>
      </c>
    </row>
    <row r="1262" spans="1:13" x14ac:dyDescent="0.3">
      <c r="A1262" s="49">
        <v>45261</v>
      </c>
      <c r="D1262" t="s">
        <v>7362</v>
      </c>
      <c r="E1262">
        <v>1</v>
      </c>
      <c r="F1262" t="str">
        <f t="shared" si="77"/>
        <v>ago</v>
      </c>
      <c r="G1262">
        <v>20</v>
      </c>
      <c r="H1262">
        <v>23</v>
      </c>
      <c r="I1262" t="str">
        <f t="shared" si="76"/>
        <v>1-ago-2023</v>
      </c>
      <c r="K1262" s="49">
        <f t="shared" si="78"/>
        <v>45139</v>
      </c>
      <c r="M1262" t="b">
        <f t="shared" si="79"/>
        <v>1</v>
      </c>
    </row>
    <row r="1263" spans="1:13" x14ac:dyDescent="0.3">
      <c r="A1263" s="49">
        <v>45261</v>
      </c>
      <c r="D1263" t="s">
        <v>7362</v>
      </c>
      <c r="E1263">
        <v>1</v>
      </c>
      <c r="F1263" t="str">
        <f t="shared" si="77"/>
        <v>ago</v>
      </c>
      <c r="G1263">
        <v>20</v>
      </c>
      <c r="H1263">
        <v>23</v>
      </c>
      <c r="I1263" t="str">
        <f t="shared" si="76"/>
        <v>1-ago-2023</v>
      </c>
      <c r="K1263" s="49">
        <f t="shared" si="78"/>
        <v>45139</v>
      </c>
      <c r="M1263" t="b">
        <f t="shared" si="79"/>
        <v>1</v>
      </c>
    </row>
    <row r="1264" spans="1:13" x14ac:dyDescent="0.3">
      <c r="A1264" s="49">
        <v>45261</v>
      </c>
      <c r="D1264" t="s">
        <v>7355</v>
      </c>
      <c r="E1264">
        <v>1</v>
      </c>
      <c r="F1264" t="str">
        <f t="shared" si="77"/>
        <v>sep</v>
      </c>
      <c r="G1264">
        <v>20</v>
      </c>
      <c r="H1264">
        <v>23</v>
      </c>
      <c r="I1264" t="str">
        <f t="shared" si="76"/>
        <v>1-sep-2023</v>
      </c>
      <c r="K1264" s="49">
        <f t="shared" si="78"/>
        <v>45170</v>
      </c>
      <c r="M1264" t="b">
        <f t="shared" si="79"/>
        <v>1</v>
      </c>
    </row>
    <row r="1265" spans="1:13" x14ac:dyDescent="0.3">
      <c r="A1265" s="49">
        <v>45261</v>
      </c>
      <c r="D1265" t="s">
        <v>7360</v>
      </c>
      <c r="E1265">
        <v>1</v>
      </c>
      <c r="F1265" t="str">
        <f t="shared" si="77"/>
        <v>nov</v>
      </c>
      <c r="G1265">
        <v>20</v>
      </c>
      <c r="H1265">
        <v>23</v>
      </c>
      <c r="I1265" t="str">
        <f t="shared" si="76"/>
        <v>1-nov-2023</v>
      </c>
      <c r="K1265" s="49">
        <f t="shared" si="78"/>
        <v>45231</v>
      </c>
      <c r="M1265" t="b">
        <f t="shared" si="79"/>
        <v>1</v>
      </c>
    </row>
    <row r="1266" spans="1:13" x14ac:dyDescent="0.3">
      <c r="A1266" s="49">
        <v>45261</v>
      </c>
      <c r="D1266" t="s">
        <v>7360</v>
      </c>
      <c r="E1266">
        <v>1</v>
      </c>
      <c r="F1266" t="str">
        <f t="shared" si="77"/>
        <v>nov</v>
      </c>
      <c r="G1266">
        <v>20</v>
      </c>
      <c r="H1266">
        <v>21</v>
      </c>
      <c r="I1266" t="str">
        <f t="shared" si="76"/>
        <v>1-nov-2021</v>
      </c>
      <c r="K1266" s="49">
        <f t="shared" si="78"/>
        <v>44501</v>
      </c>
      <c r="M1266" t="b">
        <f t="shared" si="79"/>
        <v>1</v>
      </c>
    </row>
    <row r="1267" spans="1:13" x14ac:dyDescent="0.3">
      <c r="A1267" s="49">
        <v>45261</v>
      </c>
      <c r="D1267" t="s">
        <v>7355</v>
      </c>
      <c r="E1267">
        <v>1</v>
      </c>
      <c r="F1267" t="str">
        <f t="shared" si="77"/>
        <v>sep</v>
      </c>
      <c r="G1267">
        <v>20</v>
      </c>
      <c r="H1267">
        <v>20</v>
      </c>
      <c r="I1267" t="str">
        <f t="shared" si="76"/>
        <v>1-sep-2020</v>
      </c>
      <c r="K1267" s="49">
        <f t="shared" si="78"/>
        <v>44075</v>
      </c>
      <c r="M1267" t="b">
        <f t="shared" si="79"/>
        <v>1</v>
      </c>
    </row>
    <row r="1268" spans="1:13" x14ac:dyDescent="0.3">
      <c r="A1268" s="49">
        <v>45261</v>
      </c>
      <c r="D1268" t="s">
        <v>7357</v>
      </c>
      <c r="E1268">
        <v>1</v>
      </c>
      <c r="F1268" t="str">
        <f t="shared" si="77"/>
        <v>oct</v>
      </c>
      <c r="G1268">
        <v>20</v>
      </c>
      <c r="H1268">
        <v>25</v>
      </c>
      <c r="I1268" t="str">
        <f t="shared" si="76"/>
        <v>1-oct-2025</v>
      </c>
      <c r="K1268" s="49">
        <f t="shared" si="78"/>
        <v>45931</v>
      </c>
      <c r="M1268" t="b">
        <f t="shared" si="79"/>
        <v>0</v>
      </c>
    </row>
    <row r="1269" spans="1:13" x14ac:dyDescent="0.3">
      <c r="A1269" s="49">
        <v>45261</v>
      </c>
      <c r="D1269" t="s">
        <v>7363</v>
      </c>
      <c r="E1269">
        <v>1</v>
      </c>
      <c r="F1269" t="str">
        <f t="shared" si="77"/>
        <v>feb</v>
      </c>
      <c r="G1269">
        <v>20</v>
      </c>
      <c r="H1269">
        <v>26</v>
      </c>
      <c r="I1269" t="str">
        <f t="shared" si="76"/>
        <v>1-feb-2026</v>
      </c>
      <c r="K1269" s="49">
        <f t="shared" si="78"/>
        <v>46054</v>
      </c>
      <c r="M1269" t="b">
        <f t="shared" si="79"/>
        <v>0</v>
      </c>
    </row>
    <row r="1270" spans="1:13" x14ac:dyDescent="0.3">
      <c r="A1270" s="49">
        <v>45261</v>
      </c>
      <c r="D1270" t="s">
        <v>7355</v>
      </c>
      <c r="E1270">
        <v>1</v>
      </c>
      <c r="F1270" t="str">
        <f t="shared" si="77"/>
        <v>sep</v>
      </c>
      <c r="G1270">
        <v>20</v>
      </c>
      <c r="H1270">
        <v>17</v>
      </c>
      <c r="I1270" t="str">
        <f t="shared" si="76"/>
        <v>1-sep-2017</v>
      </c>
      <c r="K1270" s="49">
        <f t="shared" si="78"/>
        <v>42979</v>
      </c>
      <c r="M1270" t="b">
        <f t="shared" si="79"/>
        <v>1</v>
      </c>
    </row>
    <row r="1271" spans="1:13" x14ac:dyDescent="0.3">
      <c r="A1271" s="49">
        <v>45261</v>
      </c>
      <c r="D1271" t="s">
        <v>7366</v>
      </c>
      <c r="E1271">
        <v>1</v>
      </c>
      <c r="F1271" t="str">
        <f t="shared" si="77"/>
        <v>dic</v>
      </c>
      <c r="G1271">
        <v>20</v>
      </c>
      <c r="H1271">
        <v>17</v>
      </c>
      <c r="I1271" t="str">
        <f t="shared" si="76"/>
        <v>1-dic-2017</v>
      </c>
      <c r="K1271" s="49">
        <f t="shared" si="78"/>
        <v>43070</v>
      </c>
      <c r="M1271" t="b">
        <f t="shared" si="79"/>
        <v>1</v>
      </c>
    </row>
    <row r="1272" spans="1:13" x14ac:dyDescent="0.3">
      <c r="A1272" s="49">
        <v>45261</v>
      </c>
      <c r="D1272" t="s">
        <v>7362</v>
      </c>
      <c r="E1272">
        <v>1</v>
      </c>
      <c r="F1272" t="str">
        <f t="shared" si="77"/>
        <v>ago</v>
      </c>
      <c r="G1272">
        <v>20</v>
      </c>
      <c r="H1272">
        <v>23</v>
      </c>
      <c r="I1272" t="str">
        <f t="shared" si="76"/>
        <v>1-ago-2023</v>
      </c>
      <c r="K1272" s="49">
        <f t="shared" si="78"/>
        <v>45139</v>
      </c>
      <c r="M1272" t="b">
        <f t="shared" si="79"/>
        <v>1</v>
      </c>
    </row>
    <row r="1273" spans="1:13" x14ac:dyDescent="0.3">
      <c r="A1273" s="49">
        <v>45261</v>
      </c>
      <c r="D1273" t="s">
        <v>7359</v>
      </c>
      <c r="E1273">
        <v>1</v>
      </c>
      <c r="F1273" t="str">
        <f t="shared" si="77"/>
        <v>jul</v>
      </c>
      <c r="G1273">
        <v>20</v>
      </c>
      <c r="H1273">
        <v>23</v>
      </c>
      <c r="I1273" t="str">
        <f t="shared" si="76"/>
        <v>1-jul-2023</v>
      </c>
      <c r="K1273" s="49">
        <f t="shared" si="78"/>
        <v>45108</v>
      </c>
      <c r="M1273" t="b">
        <f t="shared" si="79"/>
        <v>1</v>
      </c>
    </row>
    <row r="1274" spans="1:13" x14ac:dyDescent="0.3">
      <c r="A1274" s="49">
        <v>45261</v>
      </c>
      <c r="D1274" t="s">
        <v>7368</v>
      </c>
      <c r="E1274">
        <v>1</v>
      </c>
      <c r="F1274" t="str">
        <f t="shared" si="77"/>
        <v>mar</v>
      </c>
      <c r="G1274">
        <v>20</v>
      </c>
      <c r="H1274">
        <v>23</v>
      </c>
      <c r="I1274" t="str">
        <f t="shared" si="76"/>
        <v>1-mar-2023</v>
      </c>
      <c r="K1274" s="49">
        <f t="shared" si="78"/>
        <v>44986</v>
      </c>
      <c r="M1274" t="b">
        <f t="shared" si="79"/>
        <v>1</v>
      </c>
    </row>
    <row r="1275" spans="1:13" x14ac:dyDescent="0.3">
      <c r="A1275" s="49">
        <v>45261</v>
      </c>
      <c r="D1275" t="s">
        <v>7368</v>
      </c>
      <c r="E1275">
        <v>1</v>
      </c>
      <c r="F1275" t="str">
        <f t="shared" si="77"/>
        <v>mar</v>
      </c>
      <c r="G1275">
        <v>20</v>
      </c>
      <c r="H1275">
        <v>23</v>
      </c>
      <c r="I1275" t="str">
        <f t="shared" si="76"/>
        <v>1-mar-2023</v>
      </c>
      <c r="K1275" s="49">
        <f t="shared" si="78"/>
        <v>44986</v>
      </c>
      <c r="M1275" t="b">
        <f t="shared" si="79"/>
        <v>1</v>
      </c>
    </row>
    <row r="1276" spans="1:13" x14ac:dyDescent="0.3">
      <c r="A1276" s="49">
        <v>45261</v>
      </c>
      <c r="D1276" t="s">
        <v>7368</v>
      </c>
      <c r="E1276">
        <v>1</v>
      </c>
      <c r="F1276" t="str">
        <f t="shared" si="77"/>
        <v>mar</v>
      </c>
      <c r="G1276">
        <v>20</v>
      </c>
      <c r="H1276">
        <v>23</v>
      </c>
      <c r="I1276" t="str">
        <f t="shared" si="76"/>
        <v>1-mar-2023</v>
      </c>
      <c r="K1276" s="49">
        <f t="shared" si="78"/>
        <v>44986</v>
      </c>
      <c r="M1276" t="b">
        <f t="shared" si="79"/>
        <v>1</v>
      </c>
    </row>
    <row r="1277" spans="1:13" x14ac:dyDescent="0.3">
      <c r="A1277" s="49">
        <v>45261</v>
      </c>
      <c r="D1277" t="s">
        <v>7366</v>
      </c>
      <c r="E1277">
        <v>1</v>
      </c>
      <c r="F1277" t="str">
        <f t="shared" si="77"/>
        <v>dic</v>
      </c>
      <c r="G1277">
        <v>20</v>
      </c>
      <c r="H1277">
        <v>21</v>
      </c>
      <c r="I1277" t="str">
        <f t="shared" si="76"/>
        <v>1-dic-2021</v>
      </c>
      <c r="K1277" s="49">
        <f t="shared" si="78"/>
        <v>44531</v>
      </c>
      <c r="M1277" t="b">
        <f t="shared" si="79"/>
        <v>1</v>
      </c>
    </row>
    <row r="1278" spans="1:13" x14ac:dyDescent="0.3">
      <c r="A1278" s="49">
        <v>45261</v>
      </c>
      <c r="D1278" t="s">
        <v>7363</v>
      </c>
      <c r="E1278">
        <v>1</v>
      </c>
      <c r="F1278" t="str">
        <f t="shared" si="77"/>
        <v>feb</v>
      </c>
      <c r="G1278">
        <v>20</v>
      </c>
      <c r="H1278">
        <v>26</v>
      </c>
      <c r="I1278" t="str">
        <f t="shared" si="76"/>
        <v>1-feb-2026</v>
      </c>
      <c r="K1278" s="49">
        <f t="shared" si="78"/>
        <v>46054</v>
      </c>
      <c r="M1278" t="b">
        <f t="shared" si="79"/>
        <v>0</v>
      </c>
    </row>
    <row r="1279" spans="1:13" x14ac:dyDescent="0.3">
      <c r="A1279" s="49">
        <v>45261</v>
      </c>
      <c r="D1279" t="s">
        <v>7367</v>
      </c>
      <c r="E1279">
        <v>1</v>
      </c>
      <c r="F1279" t="str">
        <f t="shared" si="77"/>
        <v>jun</v>
      </c>
      <c r="G1279">
        <v>20</v>
      </c>
      <c r="H1279">
        <v>23</v>
      </c>
      <c r="I1279" t="str">
        <f t="shared" si="76"/>
        <v>1-jun-2023</v>
      </c>
      <c r="K1279" s="49">
        <f t="shared" si="78"/>
        <v>45078</v>
      </c>
      <c r="M1279" t="b">
        <f t="shared" si="79"/>
        <v>1</v>
      </c>
    </row>
    <row r="1280" spans="1:13" x14ac:dyDescent="0.3">
      <c r="A1280" s="49">
        <v>45261</v>
      </c>
      <c r="D1280" t="s">
        <v>7366</v>
      </c>
      <c r="E1280">
        <v>1</v>
      </c>
      <c r="F1280" t="str">
        <f t="shared" si="77"/>
        <v>dic</v>
      </c>
      <c r="G1280">
        <v>20</v>
      </c>
      <c r="H1280">
        <v>23</v>
      </c>
      <c r="I1280" t="str">
        <f t="shared" si="76"/>
        <v>1-dic-2023</v>
      </c>
      <c r="K1280" s="49">
        <f t="shared" si="78"/>
        <v>45261</v>
      </c>
      <c r="M1280" t="b">
        <f t="shared" si="79"/>
        <v>0</v>
      </c>
    </row>
    <row r="1281" spans="1:13" x14ac:dyDescent="0.3">
      <c r="A1281" s="49">
        <v>45261</v>
      </c>
      <c r="D1281" t="s">
        <v>7359</v>
      </c>
      <c r="E1281">
        <v>1</v>
      </c>
      <c r="F1281" t="str">
        <f t="shared" si="77"/>
        <v>jul</v>
      </c>
      <c r="G1281">
        <v>20</v>
      </c>
      <c r="H1281">
        <v>24</v>
      </c>
      <c r="I1281" t="str">
        <f t="shared" ref="I1281:I1344" si="80">_xlfn.CONCAT(E1281,"-",F1281,"-",G1281,H1281)</f>
        <v>1-jul-2024</v>
      </c>
      <c r="K1281" s="49">
        <f t="shared" si="78"/>
        <v>45474</v>
      </c>
      <c r="M1281" t="b">
        <f t="shared" si="79"/>
        <v>0</v>
      </c>
    </row>
    <row r="1282" spans="1:13" x14ac:dyDescent="0.3">
      <c r="A1282" s="49">
        <v>45261</v>
      </c>
      <c r="D1282" t="s">
        <v>7359</v>
      </c>
      <c r="E1282">
        <v>1</v>
      </c>
      <c r="F1282" t="str">
        <f t="shared" ref="F1282:F1345" si="81">LOWER(D1282)</f>
        <v>jul</v>
      </c>
      <c r="G1282">
        <v>20</v>
      </c>
      <c r="H1282">
        <v>24</v>
      </c>
      <c r="I1282" t="str">
        <f t="shared" si="80"/>
        <v>1-jul-2024</v>
      </c>
      <c r="K1282" s="49">
        <f t="shared" ref="K1282:K1345" si="82">DATEVALUE(I1282)</f>
        <v>45474</v>
      </c>
      <c r="M1282" t="b">
        <f t="shared" si="79"/>
        <v>0</v>
      </c>
    </row>
    <row r="1283" spans="1:13" x14ac:dyDescent="0.3">
      <c r="A1283" s="49">
        <v>45261</v>
      </c>
      <c r="D1283" t="s">
        <v>7359</v>
      </c>
      <c r="E1283">
        <v>1</v>
      </c>
      <c r="F1283" t="str">
        <f t="shared" si="81"/>
        <v>jul</v>
      </c>
      <c r="G1283">
        <v>20</v>
      </c>
      <c r="H1283">
        <v>24</v>
      </c>
      <c r="I1283" t="str">
        <f t="shared" si="80"/>
        <v>1-jul-2024</v>
      </c>
      <c r="K1283" s="49">
        <f t="shared" si="82"/>
        <v>45474</v>
      </c>
      <c r="M1283" t="b">
        <f t="shared" ref="M1283:M1346" si="83">K1283&lt;A1283</f>
        <v>0</v>
      </c>
    </row>
    <row r="1284" spans="1:13" x14ac:dyDescent="0.3">
      <c r="A1284" s="49">
        <v>45261</v>
      </c>
      <c r="D1284" t="s">
        <v>7360</v>
      </c>
      <c r="E1284">
        <v>1</v>
      </c>
      <c r="F1284" t="str">
        <f t="shared" si="81"/>
        <v>nov</v>
      </c>
      <c r="G1284">
        <v>20</v>
      </c>
      <c r="H1284">
        <v>20</v>
      </c>
      <c r="I1284" t="str">
        <f t="shared" si="80"/>
        <v>1-nov-2020</v>
      </c>
      <c r="K1284" s="49">
        <f t="shared" si="82"/>
        <v>44136</v>
      </c>
      <c r="M1284" t="b">
        <f t="shared" si="83"/>
        <v>1</v>
      </c>
    </row>
    <row r="1285" spans="1:13" x14ac:dyDescent="0.3">
      <c r="A1285" s="49">
        <v>45261</v>
      </c>
      <c r="D1285" t="s">
        <v>7368</v>
      </c>
      <c r="E1285">
        <v>1</v>
      </c>
      <c r="F1285" t="str">
        <f t="shared" si="81"/>
        <v>mar</v>
      </c>
      <c r="G1285">
        <v>20</v>
      </c>
      <c r="H1285">
        <v>24</v>
      </c>
      <c r="I1285" t="str">
        <f t="shared" si="80"/>
        <v>1-mar-2024</v>
      </c>
      <c r="K1285" s="49">
        <f t="shared" si="82"/>
        <v>45352</v>
      </c>
      <c r="M1285" t="b">
        <f t="shared" si="83"/>
        <v>0</v>
      </c>
    </row>
    <row r="1286" spans="1:13" x14ac:dyDescent="0.3">
      <c r="A1286" s="49">
        <v>45261</v>
      </c>
      <c r="D1286" t="s">
        <v>7368</v>
      </c>
      <c r="E1286">
        <v>1</v>
      </c>
      <c r="F1286" t="str">
        <f t="shared" si="81"/>
        <v>mar</v>
      </c>
      <c r="G1286">
        <v>20</v>
      </c>
      <c r="H1286">
        <v>24</v>
      </c>
      <c r="I1286" t="str">
        <f t="shared" si="80"/>
        <v>1-mar-2024</v>
      </c>
      <c r="K1286" s="49">
        <f t="shared" si="82"/>
        <v>45352</v>
      </c>
      <c r="M1286" t="b">
        <f t="shared" si="83"/>
        <v>0</v>
      </c>
    </row>
    <row r="1287" spans="1:13" x14ac:dyDescent="0.3">
      <c r="A1287" s="49">
        <v>45261</v>
      </c>
      <c r="D1287" t="s">
        <v>7368</v>
      </c>
      <c r="E1287">
        <v>1</v>
      </c>
      <c r="F1287" t="str">
        <f t="shared" si="81"/>
        <v>mar</v>
      </c>
      <c r="G1287">
        <v>20</v>
      </c>
      <c r="H1287">
        <v>24</v>
      </c>
      <c r="I1287" t="str">
        <f t="shared" si="80"/>
        <v>1-mar-2024</v>
      </c>
      <c r="K1287" s="49">
        <f t="shared" si="82"/>
        <v>45352</v>
      </c>
      <c r="M1287" t="b">
        <f t="shared" si="83"/>
        <v>0</v>
      </c>
    </row>
    <row r="1288" spans="1:13" x14ac:dyDescent="0.3">
      <c r="A1288" s="49">
        <v>45261</v>
      </c>
      <c r="D1288" t="s">
        <v>7369</v>
      </c>
      <c r="E1288">
        <v>1</v>
      </c>
      <c r="F1288" t="str">
        <f t="shared" si="81"/>
        <v>abr</v>
      </c>
      <c r="G1288">
        <v>20</v>
      </c>
      <c r="H1288">
        <v>21</v>
      </c>
      <c r="I1288" t="str">
        <f t="shared" si="80"/>
        <v>1-abr-2021</v>
      </c>
      <c r="K1288" s="49">
        <f t="shared" si="82"/>
        <v>44287</v>
      </c>
      <c r="M1288" t="b">
        <f t="shared" si="83"/>
        <v>1</v>
      </c>
    </row>
    <row r="1289" spans="1:13" x14ac:dyDescent="0.3">
      <c r="A1289" s="49">
        <v>45261</v>
      </c>
      <c r="D1289" t="s">
        <v>7362</v>
      </c>
      <c r="E1289">
        <v>1</v>
      </c>
      <c r="F1289" t="str">
        <f t="shared" si="81"/>
        <v>ago</v>
      </c>
      <c r="G1289">
        <v>20</v>
      </c>
      <c r="H1289">
        <v>23</v>
      </c>
      <c r="I1289" t="str">
        <f t="shared" si="80"/>
        <v>1-ago-2023</v>
      </c>
      <c r="K1289" s="49">
        <f t="shared" si="82"/>
        <v>45139</v>
      </c>
      <c r="M1289" t="b">
        <f t="shared" si="83"/>
        <v>1</v>
      </c>
    </row>
    <row r="1290" spans="1:13" x14ac:dyDescent="0.3">
      <c r="A1290" s="49">
        <v>45261</v>
      </c>
      <c r="D1290" t="s">
        <v>7362</v>
      </c>
      <c r="E1290">
        <v>1</v>
      </c>
      <c r="F1290" t="str">
        <f t="shared" si="81"/>
        <v>ago</v>
      </c>
      <c r="G1290">
        <v>20</v>
      </c>
      <c r="H1290">
        <v>19</v>
      </c>
      <c r="I1290" t="str">
        <f t="shared" si="80"/>
        <v>1-ago-2019</v>
      </c>
      <c r="K1290" s="49">
        <f t="shared" si="82"/>
        <v>43678</v>
      </c>
      <c r="M1290" t="b">
        <f t="shared" si="83"/>
        <v>1</v>
      </c>
    </row>
    <row r="1291" spans="1:13" x14ac:dyDescent="0.3">
      <c r="A1291" s="49">
        <v>45261</v>
      </c>
      <c r="D1291" t="s">
        <v>7368</v>
      </c>
      <c r="E1291">
        <v>1</v>
      </c>
      <c r="F1291" t="str">
        <f t="shared" si="81"/>
        <v>mar</v>
      </c>
      <c r="G1291">
        <v>20</v>
      </c>
      <c r="H1291">
        <v>23</v>
      </c>
      <c r="I1291" t="str">
        <f t="shared" si="80"/>
        <v>1-mar-2023</v>
      </c>
      <c r="K1291" s="49">
        <f t="shared" si="82"/>
        <v>44986</v>
      </c>
      <c r="M1291" t="b">
        <f t="shared" si="83"/>
        <v>1</v>
      </c>
    </row>
    <row r="1292" spans="1:13" x14ac:dyDescent="0.3">
      <c r="A1292" s="49">
        <v>45261</v>
      </c>
      <c r="D1292" t="s">
        <v>7359</v>
      </c>
      <c r="E1292">
        <v>1</v>
      </c>
      <c r="F1292" t="str">
        <f t="shared" si="81"/>
        <v>jul</v>
      </c>
      <c r="G1292">
        <v>20</v>
      </c>
      <c r="H1292">
        <v>21</v>
      </c>
      <c r="I1292" t="str">
        <f t="shared" si="80"/>
        <v>1-jul-2021</v>
      </c>
      <c r="K1292" s="49">
        <f t="shared" si="82"/>
        <v>44378</v>
      </c>
      <c r="M1292" t="b">
        <f t="shared" si="83"/>
        <v>1</v>
      </c>
    </row>
    <row r="1293" spans="1:13" x14ac:dyDescent="0.3">
      <c r="A1293" s="49">
        <v>45261</v>
      </c>
      <c r="D1293" t="s">
        <v>7359</v>
      </c>
      <c r="E1293">
        <v>1</v>
      </c>
      <c r="F1293" t="str">
        <f t="shared" si="81"/>
        <v>jul</v>
      </c>
      <c r="G1293">
        <v>20</v>
      </c>
      <c r="H1293">
        <v>24</v>
      </c>
      <c r="I1293" t="str">
        <f t="shared" si="80"/>
        <v>1-jul-2024</v>
      </c>
      <c r="K1293" s="49">
        <f t="shared" si="82"/>
        <v>45474</v>
      </c>
      <c r="M1293" t="b">
        <f t="shared" si="83"/>
        <v>0</v>
      </c>
    </row>
    <row r="1294" spans="1:13" x14ac:dyDescent="0.3">
      <c r="A1294" s="49">
        <v>45261</v>
      </c>
      <c r="D1294" t="s">
        <v>7359</v>
      </c>
      <c r="E1294">
        <v>1</v>
      </c>
      <c r="F1294" t="str">
        <f t="shared" si="81"/>
        <v>jul</v>
      </c>
      <c r="G1294">
        <v>20</v>
      </c>
      <c r="H1294">
        <v>22</v>
      </c>
      <c r="I1294" t="str">
        <f t="shared" si="80"/>
        <v>1-jul-2022</v>
      </c>
      <c r="K1294" s="49">
        <f t="shared" si="82"/>
        <v>44743</v>
      </c>
      <c r="M1294" t="b">
        <f t="shared" si="83"/>
        <v>1</v>
      </c>
    </row>
    <row r="1295" spans="1:13" x14ac:dyDescent="0.3">
      <c r="A1295" s="49">
        <v>45261</v>
      </c>
      <c r="D1295" t="s">
        <v>7362</v>
      </c>
      <c r="E1295">
        <v>1</v>
      </c>
      <c r="F1295" t="str">
        <f t="shared" si="81"/>
        <v>ago</v>
      </c>
      <c r="G1295">
        <v>20</v>
      </c>
      <c r="H1295">
        <v>23</v>
      </c>
      <c r="I1295" t="str">
        <f t="shared" si="80"/>
        <v>1-ago-2023</v>
      </c>
      <c r="K1295" s="49">
        <f t="shared" si="82"/>
        <v>45139</v>
      </c>
      <c r="M1295" t="b">
        <f t="shared" si="83"/>
        <v>1</v>
      </c>
    </row>
    <row r="1296" spans="1:13" x14ac:dyDescent="0.3">
      <c r="A1296" s="49">
        <v>45261</v>
      </c>
      <c r="D1296" t="s">
        <v>7360</v>
      </c>
      <c r="E1296">
        <v>1</v>
      </c>
      <c r="F1296" t="str">
        <f t="shared" si="81"/>
        <v>nov</v>
      </c>
      <c r="G1296">
        <v>20</v>
      </c>
      <c r="H1296">
        <v>18</v>
      </c>
      <c r="I1296" t="str">
        <f t="shared" si="80"/>
        <v>1-nov-2018</v>
      </c>
      <c r="K1296" s="49">
        <f t="shared" si="82"/>
        <v>43405</v>
      </c>
      <c r="M1296" t="b">
        <f t="shared" si="83"/>
        <v>1</v>
      </c>
    </row>
    <row r="1297" spans="1:13" x14ac:dyDescent="0.3">
      <c r="A1297" s="49">
        <v>45261</v>
      </c>
      <c r="D1297" t="s">
        <v>7370</v>
      </c>
      <c r="E1297">
        <v>1</v>
      </c>
      <c r="F1297" t="str">
        <f t="shared" si="81"/>
        <v>may</v>
      </c>
      <c r="G1297">
        <v>20</v>
      </c>
      <c r="H1297">
        <v>21</v>
      </c>
      <c r="I1297" t="str">
        <f t="shared" si="80"/>
        <v>1-may-2021</v>
      </c>
      <c r="K1297" s="49">
        <f t="shared" si="82"/>
        <v>44317</v>
      </c>
      <c r="M1297" t="b">
        <f t="shared" si="83"/>
        <v>1</v>
      </c>
    </row>
    <row r="1298" spans="1:13" x14ac:dyDescent="0.3">
      <c r="A1298" s="49">
        <v>45261</v>
      </c>
      <c r="D1298" t="s">
        <v>7369</v>
      </c>
      <c r="E1298">
        <v>1</v>
      </c>
      <c r="F1298" t="str">
        <f t="shared" si="81"/>
        <v>abr</v>
      </c>
      <c r="G1298">
        <v>20</v>
      </c>
      <c r="H1298">
        <v>19</v>
      </c>
      <c r="I1298" t="str">
        <f t="shared" si="80"/>
        <v>1-abr-2019</v>
      </c>
      <c r="K1298" s="49">
        <f t="shared" si="82"/>
        <v>43556</v>
      </c>
      <c r="M1298" t="b">
        <f t="shared" si="83"/>
        <v>1</v>
      </c>
    </row>
    <row r="1299" spans="1:13" x14ac:dyDescent="0.3">
      <c r="A1299" s="49">
        <v>45261</v>
      </c>
      <c r="D1299" t="s">
        <v>7367</v>
      </c>
      <c r="E1299">
        <v>1</v>
      </c>
      <c r="F1299" t="str">
        <f t="shared" si="81"/>
        <v>jun</v>
      </c>
      <c r="G1299">
        <v>20</v>
      </c>
      <c r="H1299">
        <v>23</v>
      </c>
      <c r="I1299" t="str">
        <f t="shared" si="80"/>
        <v>1-jun-2023</v>
      </c>
      <c r="K1299" s="49">
        <f t="shared" si="82"/>
        <v>45078</v>
      </c>
      <c r="M1299" t="b">
        <f t="shared" si="83"/>
        <v>1</v>
      </c>
    </row>
    <row r="1300" spans="1:13" x14ac:dyDescent="0.3">
      <c r="A1300" s="49">
        <v>45261</v>
      </c>
      <c r="D1300" t="s">
        <v>7355</v>
      </c>
      <c r="E1300">
        <v>1</v>
      </c>
      <c r="F1300" t="str">
        <f t="shared" si="81"/>
        <v>sep</v>
      </c>
      <c r="G1300">
        <v>20</v>
      </c>
      <c r="H1300">
        <v>23</v>
      </c>
      <c r="I1300" t="str">
        <f t="shared" si="80"/>
        <v>1-sep-2023</v>
      </c>
      <c r="K1300" s="49">
        <f t="shared" si="82"/>
        <v>45170</v>
      </c>
      <c r="M1300" t="b">
        <f t="shared" si="83"/>
        <v>1</v>
      </c>
    </row>
    <row r="1301" spans="1:13" x14ac:dyDescent="0.3">
      <c r="A1301" s="49">
        <v>45261</v>
      </c>
      <c r="D1301" t="s">
        <v>7355</v>
      </c>
      <c r="E1301">
        <v>1</v>
      </c>
      <c r="F1301" t="str">
        <f t="shared" si="81"/>
        <v>sep</v>
      </c>
      <c r="G1301">
        <v>20</v>
      </c>
      <c r="H1301">
        <v>23</v>
      </c>
      <c r="I1301" t="str">
        <f t="shared" si="80"/>
        <v>1-sep-2023</v>
      </c>
      <c r="K1301" s="49">
        <f t="shared" si="82"/>
        <v>45170</v>
      </c>
      <c r="M1301" t="b">
        <f t="shared" si="83"/>
        <v>1</v>
      </c>
    </row>
    <row r="1302" spans="1:13" x14ac:dyDescent="0.3">
      <c r="A1302" s="49">
        <v>45261</v>
      </c>
      <c r="D1302" t="s">
        <v>7369</v>
      </c>
      <c r="E1302">
        <v>1</v>
      </c>
      <c r="F1302" t="str">
        <f t="shared" si="81"/>
        <v>abr</v>
      </c>
      <c r="G1302">
        <v>20</v>
      </c>
      <c r="H1302">
        <v>23</v>
      </c>
      <c r="I1302" t="str">
        <f t="shared" si="80"/>
        <v>1-abr-2023</v>
      </c>
      <c r="K1302" s="49">
        <f t="shared" si="82"/>
        <v>45017</v>
      </c>
      <c r="M1302" t="b">
        <f t="shared" si="83"/>
        <v>1</v>
      </c>
    </row>
    <row r="1303" spans="1:13" x14ac:dyDescent="0.3">
      <c r="A1303" s="49">
        <v>45261</v>
      </c>
      <c r="D1303" t="s">
        <v>7357</v>
      </c>
      <c r="E1303">
        <v>1</v>
      </c>
      <c r="F1303" t="str">
        <f t="shared" si="81"/>
        <v>oct</v>
      </c>
      <c r="G1303">
        <v>20</v>
      </c>
      <c r="H1303">
        <v>17</v>
      </c>
      <c r="I1303" t="str">
        <f t="shared" si="80"/>
        <v>1-oct-2017</v>
      </c>
      <c r="K1303" s="49">
        <f t="shared" si="82"/>
        <v>43009</v>
      </c>
      <c r="M1303" t="b">
        <f t="shared" si="83"/>
        <v>1</v>
      </c>
    </row>
    <row r="1304" spans="1:13" x14ac:dyDescent="0.3">
      <c r="A1304" s="49">
        <v>45261</v>
      </c>
      <c r="D1304" t="s">
        <v>7367</v>
      </c>
      <c r="E1304">
        <v>1</v>
      </c>
      <c r="F1304" t="str">
        <f t="shared" si="81"/>
        <v>jun</v>
      </c>
      <c r="G1304">
        <v>20</v>
      </c>
      <c r="H1304">
        <v>23</v>
      </c>
      <c r="I1304" t="str">
        <f t="shared" si="80"/>
        <v>1-jun-2023</v>
      </c>
      <c r="K1304" s="49">
        <f t="shared" si="82"/>
        <v>45078</v>
      </c>
      <c r="M1304" t="b">
        <f t="shared" si="83"/>
        <v>1</v>
      </c>
    </row>
    <row r="1305" spans="1:13" x14ac:dyDescent="0.3">
      <c r="A1305" s="49">
        <v>45261</v>
      </c>
      <c r="D1305" t="s">
        <v>7359</v>
      </c>
      <c r="E1305">
        <v>1</v>
      </c>
      <c r="F1305" t="str">
        <f t="shared" si="81"/>
        <v>jul</v>
      </c>
      <c r="G1305">
        <v>20</v>
      </c>
      <c r="H1305">
        <v>21</v>
      </c>
      <c r="I1305" t="str">
        <f t="shared" si="80"/>
        <v>1-jul-2021</v>
      </c>
      <c r="K1305" s="49">
        <f t="shared" si="82"/>
        <v>44378</v>
      </c>
      <c r="M1305" t="b">
        <f t="shared" si="83"/>
        <v>1</v>
      </c>
    </row>
    <row r="1306" spans="1:13" x14ac:dyDescent="0.3">
      <c r="A1306" s="49">
        <v>45261</v>
      </c>
      <c r="D1306" t="s">
        <v>7359</v>
      </c>
      <c r="E1306">
        <v>1</v>
      </c>
      <c r="F1306" t="str">
        <f t="shared" si="81"/>
        <v>jul</v>
      </c>
      <c r="G1306">
        <v>20</v>
      </c>
      <c r="H1306">
        <v>19</v>
      </c>
      <c r="I1306" t="str">
        <f t="shared" si="80"/>
        <v>1-jul-2019</v>
      </c>
      <c r="K1306" s="49">
        <f t="shared" si="82"/>
        <v>43647</v>
      </c>
      <c r="M1306" t="b">
        <f t="shared" si="83"/>
        <v>1</v>
      </c>
    </row>
    <row r="1307" spans="1:13" x14ac:dyDescent="0.3">
      <c r="A1307" s="49">
        <v>45261</v>
      </c>
      <c r="D1307" t="s">
        <v>7370</v>
      </c>
      <c r="E1307">
        <v>1</v>
      </c>
      <c r="F1307" t="str">
        <f t="shared" si="81"/>
        <v>may</v>
      </c>
      <c r="G1307">
        <v>20</v>
      </c>
      <c r="H1307">
        <v>21</v>
      </c>
      <c r="I1307" t="str">
        <f t="shared" si="80"/>
        <v>1-may-2021</v>
      </c>
      <c r="K1307" s="49">
        <f t="shared" si="82"/>
        <v>44317</v>
      </c>
      <c r="M1307" t="b">
        <f t="shared" si="83"/>
        <v>1</v>
      </c>
    </row>
    <row r="1308" spans="1:13" x14ac:dyDescent="0.3">
      <c r="A1308" s="49">
        <v>45261</v>
      </c>
      <c r="D1308" t="s">
        <v>7362</v>
      </c>
      <c r="E1308">
        <v>1</v>
      </c>
      <c r="F1308" t="str">
        <f t="shared" si="81"/>
        <v>ago</v>
      </c>
      <c r="G1308">
        <v>20</v>
      </c>
      <c r="H1308">
        <v>18</v>
      </c>
      <c r="I1308" t="str">
        <f t="shared" si="80"/>
        <v>1-ago-2018</v>
      </c>
      <c r="K1308" s="49">
        <f t="shared" si="82"/>
        <v>43313</v>
      </c>
      <c r="M1308" t="b">
        <f t="shared" si="83"/>
        <v>1</v>
      </c>
    </row>
    <row r="1309" spans="1:13" x14ac:dyDescent="0.3">
      <c r="A1309" s="49">
        <v>45261</v>
      </c>
      <c r="D1309" t="s">
        <v>7366</v>
      </c>
      <c r="E1309">
        <v>1</v>
      </c>
      <c r="F1309" t="str">
        <f t="shared" si="81"/>
        <v>dic</v>
      </c>
      <c r="G1309">
        <v>20</v>
      </c>
      <c r="H1309">
        <v>21</v>
      </c>
      <c r="I1309" t="str">
        <f t="shared" si="80"/>
        <v>1-dic-2021</v>
      </c>
      <c r="K1309" s="49">
        <f t="shared" si="82"/>
        <v>44531</v>
      </c>
      <c r="M1309" t="b">
        <f t="shared" si="83"/>
        <v>1</v>
      </c>
    </row>
    <row r="1310" spans="1:13" x14ac:dyDescent="0.3">
      <c r="A1310" s="49">
        <v>45261</v>
      </c>
      <c r="D1310" t="s">
        <v>7363</v>
      </c>
      <c r="E1310">
        <v>1</v>
      </c>
      <c r="F1310" t="str">
        <f t="shared" si="81"/>
        <v>feb</v>
      </c>
      <c r="G1310">
        <v>20</v>
      </c>
      <c r="H1310">
        <v>23</v>
      </c>
      <c r="I1310" t="str">
        <f t="shared" si="80"/>
        <v>1-feb-2023</v>
      </c>
      <c r="K1310" s="49">
        <f t="shared" si="82"/>
        <v>44958</v>
      </c>
      <c r="M1310" t="b">
        <f t="shared" si="83"/>
        <v>1</v>
      </c>
    </row>
    <row r="1311" spans="1:13" x14ac:dyDescent="0.3">
      <c r="A1311" s="49">
        <v>45261</v>
      </c>
      <c r="D1311" t="s">
        <v>7363</v>
      </c>
      <c r="E1311">
        <v>1</v>
      </c>
      <c r="F1311" t="str">
        <f t="shared" si="81"/>
        <v>feb</v>
      </c>
      <c r="G1311">
        <v>20</v>
      </c>
      <c r="H1311">
        <v>23</v>
      </c>
      <c r="I1311" t="str">
        <f t="shared" si="80"/>
        <v>1-feb-2023</v>
      </c>
      <c r="K1311" s="49">
        <f t="shared" si="82"/>
        <v>44958</v>
      </c>
      <c r="M1311" t="b">
        <f t="shared" si="83"/>
        <v>1</v>
      </c>
    </row>
    <row r="1312" spans="1:13" x14ac:dyDescent="0.3">
      <c r="A1312" s="49">
        <v>45261</v>
      </c>
      <c r="D1312" t="s">
        <v>7359</v>
      </c>
      <c r="E1312">
        <v>1</v>
      </c>
      <c r="F1312" t="str">
        <f t="shared" si="81"/>
        <v>jul</v>
      </c>
      <c r="G1312">
        <v>20</v>
      </c>
      <c r="H1312">
        <v>24</v>
      </c>
      <c r="I1312" t="str">
        <f t="shared" si="80"/>
        <v>1-jul-2024</v>
      </c>
      <c r="K1312" s="49">
        <f t="shared" si="82"/>
        <v>45474</v>
      </c>
      <c r="M1312" t="b">
        <f t="shared" si="83"/>
        <v>0</v>
      </c>
    </row>
    <row r="1313" spans="1:13" x14ac:dyDescent="0.3">
      <c r="A1313" s="49">
        <v>45261</v>
      </c>
      <c r="D1313" t="s">
        <v>7362</v>
      </c>
      <c r="E1313">
        <v>1</v>
      </c>
      <c r="F1313" t="str">
        <f t="shared" si="81"/>
        <v>ago</v>
      </c>
      <c r="G1313">
        <v>20</v>
      </c>
      <c r="H1313">
        <v>21</v>
      </c>
      <c r="I1313" t="str">
        <f t="shared" si="80"/>
        <v>1-ago-2021</v>
      </c>
      <c r="K1313" s="49">
        <f t="shared" si="82"/>
        <v>44409</v>
      </c>
      <c r="M1313" t="b">
        <f t="shared" si="83"/>
        <v>1</v>
      </c>
    </row>
    <row r="1314" spans="1:13" x14ac:dyDescent="0.3">
      <c r="A1314" s="49">
        <v>45261</v>
      </c>
      <c r="D1314" t="s">
        <v>7367</v>
      </c>
      <c r="E1314">
        <v>1</v>
      </c>
      <c r="F1314" t="str">
        <f t="shared" si="81"/>
        <v>jun</v>
      </c>
      <c r="G1314">
        <v>20</v>
      </c>
      <c r="H1314">
        <v>23</v>
      </c>
      <c r="I1314" t="str">
        <f t="shared" si="80"/>
        <v>1-jun-2023</v>
      </c>
      <c r="K1314" s="49">
        <f t="shared" si="82"/>
        <v>45078</v>
      </c>
      <c r="M1314" t="b">
        <f t="shared" si="83"/>
        <v>1</v>
      </c>
    </row>
    <row r="1315" spans="1:13" x14ac:dyDescent="0.3">
      <c r="A1315" s="49">
        <v>45261</v>
      </c>
      <c r="D1315" t="s">
        <v>7368</v>
      </c>
      <c r="E1315">
        <v>1</v>
      </c>
      <c r="F1315" t="str">
        <f t="shared" si="81"/>
        <v>mar</v>
      </c>
      <c r="G1315">
        <v>20</v>
      </c>
      <c r="H1315">
        <v>17</v>
      </c>
      <c r="I1315" t="str">
        <f t="shared" si="80"/>
        <v>1-mar-2017</v>
      </c>
      <c r="K1315" s="49">
        <f t="shared" si="82"/>
        <v>42795</v>
      </c>
      <c r="M1315" t="b">
        <f t="shared" si="83"/>
        <v>1</v>
      </c>
    </row>
    <row r="1316" spans="1:13" x14ac:dyDescent="0.3">
      <c r="A1316" s="49">
        <v>45261</v>
      </c>
      <c r="D1316" t="s">
        <v>7367</v>
      </c>
      <c r="E1316">
        <v>1</v>
      </c>
      <c r="F1316" t="str">
        <f t="shared" si="81"/>
        <v>jun</v>
      </c>
      <c r="G1316">
        <v>20</v>
      </c>
      <c r="H1316">
        <v>24</v>
      </c>
      <c r="I1316" t="str">
        <f t="shared" si="80"/>
        <v>1-jun-2024</v>
      </c>
      <c r="K1316" s="49">
        <f t="shared" si="82"/>
        <v>45444</v>
      </c>
      <c r="M1316" t="b">
        <f t="shared" si="83"/>
        <v>0</v>
      </c>
    </row>
    <row r="1317" spans="1:13" x14ac:dyDescent="0.3">
      <c r="A1317" s="49">
        <v>45261</v>
      </c>
      <c r="D1317" t="s">
        <v>7368</v>
      </c>
      <c r="E1317">
        <v>1</v>
      </c>
      <c r="F1317" t="str">
        <f t="shared" si="81"/>
        <v>mar</v>
      </c>
      <c r="G1317">
        <v>20</v>
      </c>
      <c r="H1317">
        <v>17</v>
      </c>
      <c r="I1317" t="str">
        <f t="shared" si="80"/>
        <v>1-mar-2017</v>
      </c>
      <c r="K1317" s="49">
        <f t="shared" si="82"/>
        <v>42795</v>
      </c>
      <c r="M1317" t="b">
        <f t="shared" si="83"/>
        <v>1</v>
      </c>
    </row>
    <row r="1318" spans="1:13" x14ac:dyDescent="0.3">
      <c r="A1318" s="49">
        <v>45261</v>
      </c>
      <c r="D1318" t="s">
        <v>7357</v>
      </c>
      <c r="E1318">
        <v>1</v>
      </c>
      <c r="F1318" t="str">
        <f t="shared" si="81"/>
        <v>oct</v>
      </c>
      <c r="G1318">
        <v>20</v>
      </c>
      <c r="H1318">
        <v>25</v>
      </c>
      <c r="I1318" t="str">
        <f t="shared" si="80"/>
        <v>1-oct-2025</v>
      </c>
      <c r="K1318" s="49">
        <f t="shared" si="82"/>
        <v>45931</v>
      </c>
      <c r="M1318" t="b">
        <f t="shared" si="83"/>
        <v>0</v>
      </c>
    </row>
    <row r="1319" spans="1:13" x14ac:dyDescent="0.3">
      <c r="A1319" s="49">
        <v>45261</v>
      </c>
      <c r="D1319" t="s">
        <v>7366</v>
      </c>
      <c r="E1319">
        <v>1</v>
      </c>
      <c r="F1319" t="str">
        <f t="shared" si="81"/>
        <v>dic</v>
      </c>
      <c r="G1319">
        <v>20</v>
      </c>
      <c r="H1319">
        <v>25</v>
      </c>
      <c r="I1319" t="str">
        <f t="shared" si="80"/>
        <v>1-dic-2025</v>
      </c>
      <c r="K1319" s="49">
        <f t="shared" si="82"/>
        <v>45992</v>
      </c>
      <c r="M1319" t="b">
        <f t="shared" si="83"/>
        <v>0</v>
      </c>
    </row>
    <row r="1320" spans="1:13" x14ac:dyDescent="0.3">
      <c r="A1320" s="49">
        <v>45261</v>
      </c>
      <c r="D1320" t="s">
        <v>7366</v>
      </c>
      <c r="E1320">
        <v>1</v>
      </c>
      <c r="F1320" t="str">
        <f t="shared" si="81"/>
        <v>dic</v>
      </c>
      <c r="G1320">
        <v>20</v>
      </c>
      <c r="H1320">
        <v>22</v>
      </c>
      <c r="I1320" t="str">
        <f t="shared" si="80"/>
        <v>1-dic-2022</v>
      </c>
      <c r="K1320" s="49">
        <f t="shared" si="82"/>
        <v>44896</v>
      </c>
      <c r="M1320" t="b">
        <f t="shared" si="83"/>
        <v>1</v>
      </c>
    </row>
    <row r="1321" spans="1:13" x14ac:dyDescent="0.3">
      <c r="A1321" s="49">
        <v>45261</v>
      </c>
      <c r="D1321" t="s">
        <v>7363</v>
      </c>
      <c r="E1321">
        <v>1</v>
      </c>
      <c r="F1321" t="str">
        <f t="shared" si="81"/>
        <v>feb</v>
      </c>
      <c r="G1321">
        <v>20</v>
      </c>
      <c r="H1321">
        <v>21</v>
      </c>
      <c r="I1321" t="str">
        <f t="shared" si="80"/>
        <v>1-feb-2021</v>
      </c>
      <c r="K1321" s="49">
        <f t="shared" si="82"/>
        <v>44228</v>
      </c>
      <c r="M1321" t="b">
        <f t="shared" si="83"/>
        <v>1</v>
      </c>
    </row>
    <row r="1322" spans="1:13" x14ac:dyDescent="0.3">
      <c r="A1322" s="49">
        <v>45261</v>
      </c>
      <c r="D1322" t="s">
        <v>7367</v>
      </c>
      <c r="E1322">
        <v>1</v>
      </c>
      <c r="F1322" t="str">
        <f t="shared" si="81"/>
        <v>jun</v>
      </c>
      <c r="G1322">
        <v>20</v>
      </c>
      <c r="H1322">
        <v>23</v>
      </c>
      <c r="I1322" t="str">
        <f t="shared" si="80"/>
        <v>1-jun-2023</v>
      </c>
      <c r="K1322" s="49">
        <f t="shared" si="82"/>
        <v>45078</v>
      </c>
      <c r="M1322" t="b">
        <f t="shared" si="83"/>
        <v>1</v>
      </c>
    </row>
    <row r="1323" spans="1:13" x14ac:dyDescent="0.3">
      <c r="A1323" s="49">
        <v>45261</v>
      </c>
      <c r="D1323" t="s">
        <v>7367</v>
      </c>
      <c r="E1323">
        <v>1</v>
      </c>
      <c r="F1323" t="str">
        <f t="shared" si="81"/>
        <v>jun</v>
      </c>
      <c r="G1323">
        <v>20</v>
      </c>
      <c r="H1323">
        <v>23</v>
      </c>
      <c r="I1323" t="str">
        <f t="shared" si="80"/>
        <v>1-jun-2023</v>
      </c>
      <c r="K1323" s="49">
        <f t="shared" si="82"/>
        <v>45078</v>
      </c>
      <c r="M1323" t="b">
        <f t="shared" si="83"/>
        <v>1</v>
      </c>
    </row>
    <row r="1324" spans="1:13" x14ac:dyDescent="0.3">
      <c r="A1324" s="49">
        <v>45261</v>
      </c>
      <c r="D1324" t="s">
        <v>7367</v>
      </c>
      <c r="E1324">
        <v>1</v>
      </c>
      <c r="F1324" t="str">
        <f t="shared" si="81"/>
        <v>jun</v>
      </c>
      <c r="G1324">
        <v>20</v>
      </c>
      <c r="H1324">
        <v>23</v>
      </c>
      <c r="I1324" t="str">
        <f t="shared" si="80"/>
        <v>1-jun-2023</v>
      </c>
      <c r="K1324" s="49">
        <f t="shared" si="82"/>
        <v>45078</v>
      </c>
      <c r="M1324" t="b">
        <f t="shared" si="83"/>
        <v>1</v>
      </c>
    </row>
    <row r="1325" spans="1:13" x14ac:dyDescent="0.3">
      <c r="A1325" s="49">
        <v>45261</v>
      </c>
      <c r="D1325" t="s">
        <v>7367</v>
      </c>
      <c r="E1325">
        <v>1</v>
      </c>
      <c r="F1325" t="str">
        <f t="shared" si="81"/>
        <v>jun</v>
      </c>
      <c r="G1325">
        <v>20</v>
      </c>
      <c r="H1325">
        <v>23</v>
      </c>
      <c r="I1325" t="str">
        <f t="shared" si="80"/>
        <v>1-jun-2023</v>
      </c>
      <c r="K1325" s="49">
        <f t="shared" si="82"/>
        <v>45078</v>
      </c>
      <c r="M1325" t="b">
        <f t="shared" si="83"/>
        <v>1</v>
      </c>
    </row>
    <row r="1326" spans="1:13" x14ac:dyDescent="0.3">
      <c r="A1326" s="49">
        <v>45261</v>
      </c>
      <c r="D1326" t="s">
        <v>7370</v>
      </c>
      <c r="E1326">
        <v>1</v>
      </c>
      <c r="F1326" t="str">
        <f t="shared" si="81"/>
        <v>may</v>
      </c>
      <c r="G1326">
        <v>20</v>
      </c>
      <c r="H1326">
        <v>19</v>
      </c>
      <c r="I1326" t="str">
        <f t="shared" si="80"/>
        <v>1-may-2019</v>
      </c>
      <c r="K1326" s="49">
        <f t="shared" si="82"/>
        <v>43586</v>
      </c>
      <c r="M1326" t="b">
        <f t="shared" si="83"/>
        <v>1</v>
      </c>
    </row>
    <row r="1327" spans="1:13" x14ac:dyDescent="0.3">
      <c r="A1327" s="49">
        <v>45261</v>
      </c>
      <c r="D1327" t="s">
        <v>7369</v>
      </c>
      <c r="E1327">
        <v>1</v>
      </c>
      <c r="F1327" t="str">
        <f t="shared" si="81"/>
        <v>abr</v>
      </c>
      <c r="G1327">
        <v>20</v>
      </c>
      <c r="H1327">
        <v>23</v>
      </c>
      <c r="I1327" t="str">
        <f t="shared" si="80"/>
        <v>1-abr-2023</v>
      </c>
      <c r="K1327" s="49">
        <f t="shared" si="82"/>
        <v>45017</v>
      </c>
      <c r="M1327" t="b">
        <f t="shared" si="83"/>
        <v>1</v>
      </c>
    </row>
    <row r="1328" spans="1:13" x14ac:dyDescent="0.3">
      <c r="A1328" s="49">
        <v>45261</v>
      </c>
      <c r="D1328" t="s">
        <v>7356</v>
      </c>
      <c r="E1328">
        <v>1</v>
      </c>
      <c r="F1328" t="str">
        <f t="shared" si="81"/>
        <v>ene</v>
      </c>
      <c r="G1328">
        <v>20</v>
      </c>
      <c r="H1328">
        <v>17</v>
      </c>
      <c r="I1328" t="str">
        <f t="shared" si="80"/>
        <v>1-ene-2017</v>
      </c>
      <c r="K1328" s="49">
        <f t="shared" si="82"/>
        <v>42736</v>
      </c>
      <c r="M1328" t="b">
        <f t="shared" si="83"/>
        <v>1</v>
      </c>
    </row>
    <row r="1329" spans="1:13" x14ac:dyDescent="0.3">
      <c r="A1329" s="49">
        <v>45261</v>
      </c>
      <c r="D1329" t="s">
        <v>7367</v>
      </c>
      <c r="E1329">
        <v>1</v>
      </c>
      <c r="F1329" t="str">
        <f t="shared" si="81"/>
        <v>jun</v>
      </c>
      <c r="G1329">
        <v>20</v>
      </c>
      <c r="H1329">
        <v>23</v>
      </c>
      <c r="I1329" t="str">
        <f t="shared" si="80"/>
        <v>1-jun-2023</v>
      </c>
      <c r="K1329" s="49">
        <f t="shared" si="82"/>
        <v>45078</v>
      </c>
      <c r="M1329" t="b">
        <f t="shared" si="83"/>
        <v>1</v>
      </c>
    </row>
    <row r="1330" spans="1:13" x14ac:dyDescent="0.3">
      <c r="A1330" s="49">
        <v>45261</v>
      </c>
      <c r="D1330" t="s">
        <v>7368</v>
      </c>
      <c r="E1330">
        <v>1</v>
      </c>
      <c r="F1330" t="str">
        <f t="shared" si="81"/>
        <v>mar</v>
      </c>
      <c r="G1330">
        <v>20</v>
      </c>
      <c r="H1330">
        <v>24</v>
      </c>
      <c r="I1330" t="str">
        <f t="shared" si="80"/>
        <v>1-mar-2024</v>
      </c>
      <c r="K1330" s="49">
        <f t="shared" si="82"/>
        <v>45352</v>
      </c>
      <c r="M1330" t="b">
        <f t="shared" si="83"/>
        <v>0</v>
      </c>
    </row>
    <row r="1331" spans="1:13" x14ac:dyDescent="0.3">
      <c r="A1331" s="49">
        <v>45261</v>
      </c>
      <c r="D1331" t="s">
        <v>7363</v>
      </c>
      <c r="E1331">
        <v>1</v>
      </c>
      <c r="F1331" t="str">
        <f t="shared" si="81"/>
        <v>feb</v>
      </c>
      <c r="G1331">
        <v>20</v>
      </c>
      <c r="H1331">
        <v>17</v>
      </c>
      <c r="I1331" t="str">
        <f t="shared" si="80"/>
        <v>1-feb-2017</v>
      </c>
      <c r="K1331" s="49">
        <f t="shared" si="82"/>
        <v>42767</v>
      </c>
      <c r="M1331" t="b">
        <f t="shared" si="83"/>
        <v>1</v>
      </c>
    </row>
    <row r="1332" spans="1:13" x14ac:dyDescent="0.3">
      <c r="A1332" s="49">
        <v>45261</v>
      </c>
      <c r="D1332" t="s">
        <v>7363</v>
      </c>
      <c r="E1332">
        <v>1</v>
      </c>
      <c r="F1332" t="str">
        <f t="shared" si="81"/>
        <v>feb</v>
      </c>
      <c r="G1332">
        <v>20</v>
      </c>
      <c r="H1332">
        <v>17</v>
      </c>
      <c r="I1332" t="str">
        <f t="shared" si="80"/>
        <v>1-feb-2017</v>
      </c>
      <c r="K1332" s="49">
        <f t="shared" si="82"/>
        <v>42767</v>
      </c>
      <c r="M1332" t="b">
        <f t="shared" si="83"/>
        <v>1</v>
      </c>
    </row>
    <row r="1333" spans="1:13" x14ac:dyDescent="0.3">
      <c r="A1333" s="49">
        <v>45261</v>
      </c>
      <c r="D1333" t="s">
        <v>7369</v>
      </c>
      <c r="E1333">
        <v>1</v>
      </c>
      <c r="F1333" t="str">
        <f t="shared" si="81"/>
        <v>abr</v>
      </c>
      <c r="G1333">
        <v>20</v>
      </c>
      <c r="H1333">
        <v>20</v>
      </c>
      <c r="I1333" t="str">
        <f t="shared" si="80"/>
        <v>1-abr-2020</v>
      </c>
      <c r="K1333" s="49">
        <f t="shared" si="82"/>
        <v>43922</v>
      </c>
      <c r="M1333" t="b">
        <f t="shared" si="83"/>
        <v>1</v>
      </c>
    </row>
    <row r="1334" spans="1:13" x14ac:dyDescent="0.3">
      <c r="A1334" s="49">
        <v>45261</v>
      </c>
      <c r="D1334" t="s">
        <v>7359</v>
      </c>
      <c r="E1334">
        <v>1</v>
      </c>
      <c r="F1334" t="str">
        <f t="shared" si="81"/>
        <v>jul</v>
      </c>
      <c r="G1334">
        <v>20</v>
      </c>
      <c r="H1334">
        <v>24</v>
      </c>
      <c r="I1334" t="str">
        <f t="shared" si="80"/>
        <v>1-jul-2024</v>
      </c>
      <c r="K1334" s="49">
        <f t="shared" si="82"/>
        <v>45474</v>
      </c>
      <c r="M1334" t="b">
        <f t="shared" si="83"/>
        <v>0</v>
      </c>
    </row>
    <row r="1335" spans="1:13" x14ac:dyDescent="0.3">
      <c r="A1335" s="49">
        <v>45261</v>
      </c>
      <c r="D1335" t="s">
        <v>7356</v>
      </c>
      <c r="E1335">
        <v>1</v>
      </c>
      <c r="F1335" t="str">
        <f t="shared" si="81"/>
        <v>ene</v>
      </c>
      <c r="G1335">
        <v>20</v>
      </c>
      <c r="H1335">
        <v>24</v>
      </c>
      <c r="I1335" t="str">
        <f t="shared" si="80"/>
        <v>1-ene-2024</v>
      </c>
      <c r="K1335" s="49">
        <f t="shared" si="82"/>
        <v>45292</v>
      </c>
      <c r="M1335" t="b">
        <f t="shared" si="83"/>
        <v>0</v>
      </c>
    </row>
    <row r="1336" spans="1:13" x14ac:dyDescent="0.3">
      <c r="A1336" s="49">
        <v>45261</v>
      </c>
      <c r="D1336" t="s">
        <v>7369</v>
      </c>
      <c r="E1336">
        <v>1</v>
      </c>
      <c r="F1336" t="str">
        <f t="shared" si="81"/>
        <v>abr</v>
      </c>
      <c r="G1336">
        <v>20</v>
      </c>
      <c r="H1336">
        <v>17</v>
      </c>
      <c r="I1336" t="str">
        <f t="shared" si="80"/>
        <v>1-abr-2017</v>
      </c>
      <c r="K1336" s="49">
        <f t="shared" si="82"/>
        <v>42826</v>
      </c>
      <c r="M1336" t="b">
        <f t="shared" si="83"/>
        <v>1</v>
      </c>
    </row>
    <row r="1337" spans="1:13" x14ac:dyDescent="0.3">
      <c r="A1337" s="49">
        <v>45261</v>
      </c>
      <c r="D1337" t="s">
        <v>7355</v>
      </c>
      <c r="E1337">
        <v>1</v>
      </c>
      <c r="F1337" t="str">
        <f t="shared" si="81"/>
        <v>sep</v>
      </c>
      <c r="G1337">
        <v>20</v>
      </c>
      <c r="H1337">
        <v>22</v>
      </c>
      <c r="I1337" t="str">
        <f t="shared" si="80"/>
        <v>1-sep-2022</v>
      </c>
      <c r="K1337" s="49">
        <f t="shared" si="82"/>
        <v>44805</v>
      </c>
      <c r="M1337" t="b">
        <f t="shared" si="83"/>
        <v>1</v>
      </c>
    </row>
    <row r="1338" spans="1:13" x14ac:dyDescent="0.3">
      <c r="A1338" s="49">
        <v>45261</v>
      </c>
      <c r="D1338" t="s">
        <v>7362</v>
      </c>
      <c r="E1338">
        <v>1</v>
      </c>
      <c r="F1338" t="str">
        <f t="shared" si="81"/>
        <v>ago</v>
      </c>
      <c r="G1338">
        <v>20</v>
      </c>
      <c r="H1338">
        <v>23</v>
      </c>
      <c r="I1338" t="str">
        <f t="shared" si="80"/>
        <v>1-ago-2023</v>
      </c>
      <c r="K1338" s="49">
        <f t="shared" si="82"/>
        <v>45139</v>
      </c>
      <c r="M1338" t="b">
        <f t="shared" si="83"/>
        <v>1</v>
      </c>
    </row>
    <row r="1339" spans="1:13" x14ac:dyDescent="0.3">
      <c r="A1339" s="49">
        <v>45261</v>
      </c>
      <c r="D1339" t="s">
        <v>7366</v>
      </c>
      <c r="E1339">
        <v>1</v>
      </c>
      <c r="F1339" t="str">
        <f t="shared" si="81"/>
        <v>dic</v>
      </c>
      <c r="G1339">
        <v>20</v>
      </c>
      <c r="H1339">
        <v>19</v>
      </c>
      <c r="I1339" t="str">
        <f t="shared" si="80"/>
        <v>1-dic-2019</v>
      </c>
      <c r="K1339" s="49">
        <f t="shared" si="82"/>
        <v>43800</v>
      </c>
      <c r="M1339" t="b">
        <f t="shared" si="83"/>
        <v>1</v>
      </c>
    </row>
    <row r="1340" spans="1:13" x14ac:dyDescent="0.3">
      <c r="A1340" s="49">
        <v>45261</v>
      </c>
      <c r="D1340" t="s">
        <v>7369</v>
      </c>
      <c r="E1340">
        <v>1</v>
      </c>
      <c r="F1340" t="str">
        <f t="shared" si="81"/>
        <v>abr</v>
      </c>
      <c r="G1340">
        <v>20</v>
      </c>
      <c r="H1340">
        <v>23</v>
      </c>
      <c r="I1340" t="str">
        <f t="shared" si="80"/>
        <v>1-abr-2023</v>
      </c>
      <c r="K1340" s="49">
        <f t="shared" si="82"/>
        <v>45017</v>
      </c>
      <c r="M1340" t="b">
        <f t="shared" si="83"/>
        <v>1</v>
      </c>
    </row>
    <row r="1341" spans="1:13" x14ac:dyDescent="0.3">
      <c r="A1341" s="49">
        <v>45261</v>
      </c>
      <c r="D1341" t="s">
        <v>7356</v>
      </c>
      <c r="E1341">
        <v>1</v>
      </c>
      <c r="F1341" t="str">
        <f t="shared" si="81"/>
        <v>ene</v>
      </c>
      <c r="G1341">
        <v>20</v>
      </c>
      <c r="H1341">
        <v>25</v>
      </c>
      <c r="I1341" t="str">
        <f t="shared" si="80"/>
        <v>1-ene-2025</v>
      </c>
      <c r="K1341" s="49">
        <f t="shared" si="82"/>
        <v>45658</v>
      </c>
      <c r="M1341" t="b">
        <f t="shared" si="83"/>
        <v>0</v>
      </c>
    </row>
    <row r="1342" spans="1:13" x14ac:dyDescent="0.3">
      <c r="A1342" s="49">
        <v>45261</v>
      </c>
      <c r="D1342" t="s">
        <v>7366</v>
      </c>
      <c r="E1342">
        <v>1</v>
      </c>
      <c r="F1342" t="str">
        <f t="shared" si="81"/>
        <v>dic</v>
      </c>
      <c r="G1342">
        <v>20</v>
      </c>
      <c r="H1342">
        <v>21</v>
      </c>
      <c r="I1342" t="str">
        <f t="shared" si="80"/>
        <v>1-dic-2021</v>
      </c>
      <c r="K1342" s="49">
        <f t="shared" si="82"/>
        <v>44531</v>
      </c>
      <c r="M1342" t="b">
        <f t="shared" si="83"/>
        <v>1</v>
      </c>
    </row>
    <row r="1343" spans="1:13" x14ac:dyDescent="0.3">
      <c r="A1343" s="49">
        <v>45261</v>
      </c>
      <c r="D1343" t="s">
        <v>7360</v>
      </c>
      <c r="E1343">
        <v>1</v>
      </c>
      <c r="F1343" t="str">
        <f t="shared" si="81"/>
        <v>nov</v>
      </c>
      <c r="G1343">
        <v>20</v>
      </c>
      <c r="H1343">
        <v>18</v>
      </c>
      <c r="I1343" t="str">
        <f t="shared" si="80"/>
        <v>1-nov-2018</v>
      </c>
      <c r="K1343" s="49">
        <f t="shared" si="82"/>
        <v>43405</v>
      </c>
      <c r="M1343" t="b">
        <f t="shared" si="83"/>
        <v>1</v>
      </c>
    </row>
    <row r="1344" spans="1:13" x14ac:dyDescent="0.3">
      <c r="A1344" s="49">
        <v>45261</v>
      </c>
      <c r="D1344" t="s">
        <v>7355</v>
      </c>
      <c r="E1344">
        <v>1</v>
      </c>
      <c r="F1344" t="str">
        <f t="shared" si="81"/>
        <v>sep</v>
      </c>
      <c r="G1344">
        <v>20</v>
      </c>
      <c r="H1344">
        <v>21</v>
      </c>
      <c r="I1344" t="str">
        <f t="shared" si="80"/>
        <v>1-sep-2021</v>
      </c>
      <c r="K1344" s="49">
        <f t="shared" si="82"/>
        <v>44440</v>
      </c>
      <c r="M1344" t="b">
        <f t="shared" si="83"/>
        <v>1</v>
      </c>
    </row>
    <row r="1345" spans="1:13" x14ac:dyDescent="0.3">
      <c r="A1345" s="49">
        <v>45261</v>
      </c>
      <c r="D1345" t="s">
        <v>7356</v>
      </c>
      <c r="E1345">
        <v>1</v>
      </c>
      <c r="F1345" t="str">
        <f t="shared" si="81"/>
        <v>ene</v>
      </c>
      <c r="G1345">
        <v>20</v>
      </c>
      <c r="H1345">
        <v>24</v>
      </c>
      <c r="I1345" t="str">
        <f t="shared" ref="I1345:I1408" si="84">_xlfn.CONCAT(E1345,"-",F1345,"-",G1345,H1345)</f>
        <v>1-ene-2024</v>
      </c>
      <c r="K1345" s="49">
        <f t="shared" si="82"/>
        <v>45292</v>
      </c>
      <c r="M1345" t="b">
        <f t="shared" si="83"/>
        <v>0</v>
      </c>
    </row>
    <row r="1346" spans="1:13" x14ac:dyDescent="0.3">
      <c r="A1346" s="49">
        <v>45261</v>
      </c>
      <c r="D1346" t="s">
        <v>7355</v>
      </c>
      <c r="E1346">
        <v>1</v>
      </c>
      <c r="F1346" t="str">
        <f t="shared" ref="F1346:F1409" si="85">LOWER(D1346)</f>
        <v>sep</v>
      </c>
      <c r="G1346">
        <v>20</v>
      </c>
      <c r="H1346">
        <v>21</v>
      </c>
      <c r="I1346" t="str">
        <f t="shared" si="84"/>
        <v>1-sep-2021</v>
      </c>
      <c r="K1346" s="49">
        <f t="shared" ref="K1346:K1409" si="86">DATEVALUE(I1346)</f>
        <v>44440</v>
      </c>
      <c r="M1346" t="b">
        <f t="shared" si="83"/>
        <v>1</v>
      </c>
    </row>
    <row r="1347" spans="1:13" x14ac:dyDescent="0.3">
      <c r="A1347" s="49">
        <v>45261</v>
      </c>
      <c r="D1347" t="s">
        <v>7357</v>
      </c>
      <c r="E1347">
        <v>1</v>
      </c>
      <c r="F1347" t="str">
        <f t="shared" si="85"/>
        <v>oct</v>
      </c>
      <c r="G1347">
        <v>20</v>
      </c>
      <c r="H1347">
        <v>23</v>
      </c>
      <c r="I1347" t="str">
        <f t="shared" si="84"/>
        <v>1-oct-2023</v>
      </c>
      <c r="K1347" s="49">
        <f t="shared" si="86"/>
        <v>45200</v>
      </c>
      <c r="M1347" t="b">
        <f t="shared" ref="M1347:M1410" si="87">K1347&lt;A1347</f>
        <v>1</v>
      </c>
    </row>
    <row r="1348" spans="1:13" x14ac:dyDescent="0.3">
      <c r="A1348" s="49">
        <v>45261</v>
      </c>
      <c r="D1348" t="s">
        <v>7355</v>
      </c>
      <c r="E1348">
        <v>1</v>
      </c>
      <c r="F1348" t="str">
        <f t="shared" si="85"/>
        <v>sep</v>
      </c>
      <c r="G1348">
        <v>20</v>
      </c>
      <c r="H1348">
        <v>21</v>
      </c>
      <c r="I1348" t="str">
        <f t="shared" si="84"/>
        <v>1-sep-2021</v>
      </c>
      <c r="K1348" s="49">
        <f t="shared" si="86"/>
        <v>44440</v>
      </c>
      <c r="M1348" t="b">
        <f t="shared" si="87"/>
        <v>1</v>
      </c>
    </row>
    <row r="1349" spans="1:13" x14ac:dyDescent="0.3">
      <c r="A1349" s="49">
        <v>45261</v>
      </c>
      <c r="D1349" t="s">
        <v>7363</v>
      </c>
      <c r="E1349">
        <v>1</v>
      </c>
      <c r="F1349" t="str">
        <f t="shared" si="85"/>
        <v>feb</v>
      </c>
      <c r="G1349">
        <v>20</v>
      </c>
      <c r="H1349">
        <v>17</v>
      </c>
      <c r="I1349" t="str">
        <f t="shared" si="84"/>
        <v>1-feb-2017</v>
      </c>
      <c r="K1349" s="49">
        <f t="shared" si="86"/>
        <v>42767</v>
      </c>
      <c r="M1349" t="b">
        <f t="shared" si="87"/>
        <v>1</v>
      </c>
    </row>
    <row r="1350" spans="1:13" x14ac:dyDescent="0.3">
      <c r="A1350" s="49">
        <v>45261</v>
      </c>
      <c r="D1350" t="s">
        <v>7368</v>
      </c>
      <c r="E1350">
        <v>1</v>
      </c>
      <c r="F1350" t="str">
        <f t="shared" si="85"/>
        <v>mar</v>
      </c>
      <c r="G1350">
        <v>20</v>
      </c>
      <c r="H1350">
        <v>22</v>
      </c>
      <c r="I1350" t="str">
        <f t="shared" si="84"/>
        <v>1-mar-2022</v>
      </c>
      <c r="K1350" s="49">
        <f t="shared" si="86"/>
        <v>44621</v>
      </c>
      <c r="M1350" t="b">
        <f t="shared" si="87"/>
        <v>1</v>
      </c>
    </row>
    <row r="1351" spans="1:13" x14ac:dyDescent="0.3">
      <c r="A1351" s="49">
        <v>45261</v>
      </c>
      <c r="D1351" t="s">
        <v>7359</v>
      </c>
      <c r="E1351">
        <v>1</v>
      </c>
      <c r="F1351" t="str">
        <f t="shared" si="85"/>
        <v>jul</v>
      </c>
      <c r="G1351">
        <v>20</v>
      </c>
      <c r="H1351">
        <v>23</v>
      </c>
      <c r="I1351" t="str">
        <f t="shared" si="84"/>
        <v>1-jul-2023</v>
      </c>
      <c r="K1351" s="49">
        <f t="shared" si="86"/>
        <v>45108</v>
      </c>
      <c r="M1351" t="b">
        <f t="shared" si="87"/>
        <v>1</v>
      </c>
    </row>
    <row r="1352" spans="1:13" x14ac:dyDescent="0.3">
      <c r="A1352" s="49">
        <v>45261</v>
      </c>
      <c r="D1352" t="s">
        <v>7369</v>
      </c>
      <c r="E1352">
        <v>1</v>
      </c>
      <c r="F1352" t="str">
        <f t="shared" si="85"/>
        <v>abr</v>
      </c>
      <c r="G1352">
        <v>20</v>
      </c>
      <c r="H1352">
        <v>21</v>
      </c>
      <c r="I1352" t="str">
        <f t="shared" si="84"/>
        <v>1-abr-2021</v>
      </c>
      <c r="K1352" s="49">
        <f t="shared" si="86"/>
        <v>44287</v>
      </c>
      <c r="M1352" t="b">
        <f t="shared" si="87"/>
        <v>1</v>
      </c>
    </row>
    <row r="1353" spans="1:13" x14ac:dyDescent="0.3">
      <c r="A1353" s="49">
        <v>45261</v>
      </c>
      <c r="D1353" t="s">
        <v>7369</v>
      </c>
      <c r="E1353">
        <v>1</v>
      </c>
      <c r="F1353" t="str">
        <f t="shared" si="85"/>
        <v>abr</v>
      </c>
      <c r="G1353">
        <v>20</v>
      </c>
      <c r="H1353">
        <v>22</v>
      </c>
      <c r="I1353" t="str">
        <f t="shared" si="84"/>
        <v>1-abr-2022</v>
      </c>
      <c r="K1353" s="49">
        <f t="shared" si="86"/>
        <v>44652</v>
      </c>
      <c r="M1353" t="b">
        <f t="shared" si="87"/>
        <v>1</v>
      </c>
    </row>
    <row r="1354" spans="1:13" x14ac:dyDescent="0.3">
      <c r="A1354" s="49">
        <v>45261</v>
      </c>
      <c r="D1354" t="s">
        <v>7355</v>
      </c>
      <c r="E1354">
        <v>1</v>
      </c>
      <c r="F1354" t="str">
        <f t="shared" si="85"/>
        <v>sep</v>
      </c>
      <c r="G1354">
        <v>20</v>
      </c>
      <c r="H1354">
        <v>22</v>
      </c>
      <c r="I1354" t="str">
        <f t="shared" si="84"/>
        <v>1-sep-2022</v>
      </c>
      <c r="K1354" s="49">
        <f t="shared" si="86"/>
        <v>44805</v>
      </c>
      <c r="M1354" t="b">
        <f t="shared" si="87"/>
        <v>1</v>
      </c>
    </row>
    <row r="1355" spans="1:13" x14ac:dyDescent="0.3">
      <c r="A1355" s="49">
        <v>45261</v>
      </c>
      <c r="D1355" t="s">
        <v>7355</v>
      </c>
      <c r="E1355">
        <v>1</v>
      </c>
      <c r="F1355" t="str">
        <f t="shared" si="85"/>
        <v>sep</v>
      </c>
      <c r="G1355">
        <v>20</v>
      </c>
      <c r="H1355">
        <v>22</v>
      </c>
      <c r="I1355" t="str">
        <f t="shared" si="84"/>
        <v>1-sep-2022</v>
      </c>
      <c r="K1355" s="49">
        <f t="shared" si="86"/>
        <v>44805</v>
      </c>
      <c r="M1355" t="b">
        <f t="shared" si="87"/>
        <v>1</v>
      </c>
    </row>
    <row r="1356" spans="1:13" x14ac:dyDescent="0.3">
      <c r="A1356" s="49">
        <v>45261</v>
      </c>
      <c r="D1356" t="s">
        <v>7362</v>
      </c>
      <c r="E1356">
        <v>1</v>
      </c>
      <c r="F1356" t="str">
        <f t="shared" si="85"/>
        <v>ago</v>
      </c>
      <c r="G1356">
        <v>20</v>
      </c>
      <c r="H1356">
        <v>23</v>
      </c>
      <c r="I1356" t="str">
        <f t="shared" si="84"/>
        <v>1-ago-2023</v>
      </c>
      <c r="K1356" s="49">
        <f t="shared" si="86"/>
        <v>45139</v>
      </c>
      <c r="M1356" t="b">
        <f t="shared" si="87"/>
        <v>1</v>
      </c>
    </row>
    <row r="1357" spans="1:13" x14ac:dyDescent="0.3">
      <c r="A1357" s="49">
        <v>45261</v>
      </c>
      <c r="D1357" t="s">
        <v>7369</v>
      </c>
      <c r="E1357">
        <v>1</v>
      </c>
      <c r="F1357" t="str">
        <f t="shared" si="85"/>
        <v>abr</v>
      </c>
      <c r="G1357">
        <v>20</v>
      </c>
      <c r="H1357">
        <v>21</v>
      </c>
      <c r="I1357" t="str">
        <f t="shared" si="84"/>
        <v>1-abr-2021</v>
      </c>
      <c r="K1357" s="49">
        <f t="shared" si="86"/>
        <v>44287</v>
      </c>
      <c r="M1357" t="b">
        <f t="shared" si="87"/>
        <v>1</v>
      </c>
    </row>
    <row r="1358" spans="1:13" x14ac:dyDescent="0.3">
      <c r="A1358" s="49">
        <v>45261</v>
      </c>
      <c r="D1358" t="s">
        <v>7368</v>
      </c>
      <c r="E1358">
        <v>1</v>
      </c>
      <c r="F1358" t="str">
        <f t="shared" si="85"/>
        <v>mar</v>
      </c>
      <c r="G1358">
        <v>20</v>
      </c>
      <c r="H1358">
        <v>22</v>
      </c>
      <c r="I1358" t="str">
        <f t="shared" si="84"/>
        <v>1-mar-2022</v>
      </c>
      <c r="K1358" s="49">
        <f t="shared" si="86"/>
        <v>44621</v>
      </c>
      <c r="M1358" t="b">
        <f t="shared" si="87"/>
        <v>1</v>
      </c>
    </row>
    <row r="1359" spans="1:13" x14ac:dyDescent="0.3">
      <c r="A1359" s="49">
        <v>45261</v>
      </c>
      <c r="D1359" t="s">
        <v>7362</v>
      </c>
      <c r="E1359">
        <v>1</v>
      </c>
      <c r="F1359" t="str">
        <f t="shared" si="85"/>
        <v>ago</v>
      </c>
      <c r="G1359">
        <v>20</v>
      </c>
      <c r="H1359">
        <v>21</v>
      </c>
      <c r="I1359" t="str">
        <f t="shared" si="84"/>
        <v>1-ago-2021</v>
      </c>
      <c r="K1359" s="49">
        <f t="shared" si="86"/>
        <v>44409</v>
      </c>
      <c r="M1359" t="b">
        <f t="shared" si="87"/>
        <v>1</v>
      </c>
    </row>
    <row r="1360" spans="1:13" x14ac:dyDescent="0.3">
      <c r="A1360" s="49">
        <v>45261</v>
      </c>
      <c r="D1360" t="s">
        <v>7357</v>
      </c>
      <c r="E1360">
        <v>1</v>
      </c>
      <c r="F1360" t="str">
        <f t="shared" si="85"/>
        <v>oct</v>
      </c>
      <c r="G1360">
        <v>20</v>
      </c>
      <c r="H1360">
        <v>18</v>
      </c>
      <c r="I1360" t="str">
        <f t="shared" si="84"/>
        <v>1-oct-2018</v>
      </c>
      <c r="K1360" s="49">
        <f t="shared" si="86"/>
        <v>43374</v>
      </c>
      <c r="M1360" t="b">
        <f t="shared" si="87"/>
        <v>1</v>
      </c>
    </row>
    <row r="1361" spans="1:13" x14ac:dyDescent="0.3">
      <c r="A1361" s="49">
        <v>45261</v>
      </c>
      <c r="D1361" t="s">
        <v>7369</v>
      </c>
      <c r="E1361">
        <v>1</v>
      </c>
      <c r="F1361" t="str">
        <f t="shared" si="85"/>
        <v>abr</v>
      </c>
      <c r="G1361">
        <v>20</v>
      </c>
      <c r="H1361">
        <v>23</v>
      </c>
      <c r="I1361" t="str">
        <f t="shared" si="84"/>
        <v>1-abr-2023</v>
      </c>
      <c r="K1361" s="49">
        <f t="shared" si="86"/>
        <v>45017</v>
      </c>
      <c r="M1361" t="b">
        <f t="shared" si="87"/>
        <v>1</v>
      </c>
    </row>
    <row r="1362" spans="1:13" x14ac:dyDescent="0.3">
      <c r="A1362" s="49">
        <v>45261</v>
      </c>
      <c r="D1362" t="s">
        <v>7369</v>
      </c>
      <c r="E1362">
        <v>1</v>
      </c>
      <c r="F1362" t="str">
        <f t="shared" si="85"/>
        <v>abr</v>
      </c>
      <c r="G1362">
        <v>20</v>
      </c>
      <c r="H1362">
        <v>23</v>
      </c>
      <c r="I1362" t="str">
        <f t="shared" si="84"/>
        <v>1-abr-2023</v>
      </c>
      <c r="K1362" s="49">
        <f t="shared" si="86"/>
        <v>45017</v>
      </c>
      <c r="M1362" t="b">
        <f t="shared" si="87"/>
        <v>1</v>
      </c>
    </row>
    <row r="1363" spans="1:13" x14ac:dyDescent="0.3">
      <c r="A1363" s="49">
        <v>45261</v>
      </c>
      <c r="D1363" t="s">
        <v>7363</v>
      </c>
      <c r="E1363">
        <v>1</v>
      </c>
      <c r="F1363" t="str">
        <f t="shared" si="85"/>
        <v>feb</v>
      </c>
      <c r="G1363">
        <v>20</v>
      </c>
      <c r="H1363">
        <v>21</v>
      </c>
      <c r="I1363" t="str">
        <f t="shared" si="84"/>
        <v>1-feb-2021</v>
      </c>
      <c r="K1363" s="49">
        <f t="shared" si="86"/>
        <v>44228</v>
      </c>
      <c r="M1363" t="b">
        <f t="shared" si="87"/>
        <v>1</v>
      </c>
    </row>
    <row r="1364" spans="1:13" x14ac:dyDescent="0.3">
      <c r="A1364" s="49">
        <v>45261</v>
      </c>
      <c r="D1364" t="s">
        <v>7369</v>
      </c>
      <c r="E1364">
        <v>1</v>
      </c>
      <c r="F1364" t="str">
        <f t="shared" si="85"/>
        <v>abr</v>
      </c>
      <c r="G1364">
        <v>20</v>
      </c>
      <c r="H1364">
        <v>17</v>
      </c>
      <c r="I1364" t="str">
        <f t="shared" si="84"/>
        <v>1-abr-2017</v>
      </c>
      <c r="K1364" s="49">
        <f t="shared" si="86"/>
        <v>42826</v>
      </c>
      <c r="M1364" t="b">
        <f t="shared" si="87"/>
        <v>1</v>
      </c>
    </row>
    <row r="1365" spans="1:13" x14ac:dyDescent="0.3">
      <c r="A1365" s="49">
        <v>45261</v>
      </c>
      <c r="D1365" t="s">
        <v>7356</v>
      </c>
      <c r="E1365">
        <v>1</v>
      </c>
      <c r="F1365" t="str">
        <f t="shared" si="85"/>
        <v>ene</v>
      </c>
      <c r="G1365">
        <v>20</v>
      </c>
      <c r="H1365">
        <v>22</v>
      </c>
      <c r="I1365" t="str">
        <f t="shared" si="84"/>
        <v>1-ene-2022</v>
      </c>
      <c r="K1365" s="49">
        <f t="shared" si="86"/>
        <v>44562</v>
      </c>
      <c r="M1365" t="b">
        <f t="shared" si="87"/>
        <v>1</v>
      </c>
    </row>
    <row r="1366" spans="1:13" x14ac:dyDescent="0.3">
      <c r="A1366" s="49">
        <v>45261</v>
      </c>
      <c r="D1366" t="s">
        <v>7370</v>
      </c>
      <c r="E1366">
        <v>1</v>
      </c>
      <c r="F1366" t="str">
        <f t="shared" si="85"/>
        <v>may</v>
      </c>
      <c r="G1366">
        <v>20</v>
      </c>
      <c r="H1366">
        <v>23</v>
      </c>
      <c r="I1366" t="str">
        <f t="shared" si="84"/>
        <v>1-may-2023</v>
      </c>
      <c r="K1366" s="49">
        <f t="shared" si="86"/>
        <v>45047</v>
      </c>
      <c r="M1366" t="b">
        <f t="shared" si="87"/>
        <v>1</v>
      </c>
    </row>
    <row r="1367" spans="1:13" x14ac:dyDescent="0.3">
      <c r="A1367" s="49">
        <v>45261</v>
      </c>
      <c r="D1367" t="s">
        <v>7356</v>
      </c>
      <c r="E1367">
        <v>1</v>
      </c>
      <c r="F1367" t="str">
        <f t="shared" si="85"/>
        <v>ene</v>
      </c>
      <c r="G1367">
        <v>20</v>
      </c>
      <c r="H1367">
        <v>22</v>
      </c>
      <c r="I1367" t="str">
        <f t="shared" si="84"/>
        <v>1-ene-2022</v>
      </c>
      <c r="K1367" s="49">
        <f t="shared" si="86"/>
        <v>44562</v>
      </c>
      <c r="M1367" t="b">
        <f t="shared" si="87"/>
        <v>1</v>
      </c>
    </row>
    <row r="1368" spans="1:13" x14ac:dyDescent="0.3">
      <c r="A1368" s="49">
        <v>45261</v>
      </c>
      <c r="D1368" t="s">
        <v>7368</v>
      </c>
      <c r="E1368">
        <v>1</v>
      </c>
      <c r="F1368" t="str">
        <f t="shared" si="85"/>
        <v>mar</v>
      </c>
      <c r="G1368">
        <v>20</v>
      </c>
      <c r="H1368">
        <v>23</v>
      </c>
      <c r="I1368" t="str">
        <f t="shared" si="84"/>
        <v>1-mar-2023</v>
      </c>
      <c r="K1368" s="49">
        <f t="shared" si="86"/>
        <v>44986</v>
      </c>
      <c r="M1368" t="b">
        <f t="shared" si="87"/>
        <v>1</v>
      </c>
    </row>
    <row r="1369" spans="1:13" x14ac:dyDescent="0.3">
      <c r="A1369" s="49">
        <v>45261</v>
      </c>
      <c r="D1369" t="s">
        <v>7368</v>
      </c>
      <c r="E1369">
        <v>1</v>
      </c>
      <c r="F1369" t="str">
        <f t="shared" si="85"/>
        <v>mar</v>
      </c>
      <c r="G1369">
        <v>20</v>
      </c>
      <c r="H1369">
        <v>23</v>
      </c>
      <c r="I1369" t="str">
        <f t="shared" si="84"/>
        <v>1-mar-2023</v>
      </c>
      <c r="K1369" s="49">
        <f t="shared" si="86"/>
        <v>44986</v>
      </c>
      <c r="M1369" t="b">
        <f t="shared" si="87"/>
        <v>1</v>
      </c>
    </row>
    <row r="1370" spans="1:13" x14ac:dyDescent="0.3">
      <c r="A1370" s="49">
        <v>45261</v>
      </c>
      <c r="D1370" t="s">
        <v>7370</v>
      </c>
      <c r="E1370">
        <v>1</v>
      </c>
      <c r="F1370" t="str">
        <f t="shared" si="85"/>
        <v>may</v>
      </c>
      <c r="G1370">
        <v>20</v>
      </c>
      <c r="H1370">
        <v>17</v>
      </c>
      <c r="I1370" t="str">
        <f t="shared" si="84"/>
        <v>1-may-2017</v>
      </c>
      <c r="K1370" s="49">
        <f t="shared" si="86"/>
        <v>42856</v>
      </c>
      <c r="M1370" t="b">
        <f t="shared" si="87"/>
        <v>1</v>
      </c>
    </row>
    <row r="1371" spans="1:13" x14ac:dyDescent="0.3">
      <c r="A1371" s="49">
        <v>45261</v>
      </c>
      <c r="D1371" t="s">
        <v>7362</v>
      </c>
      <c r="E1371">
        <v>1</v>
      </c>
      <c r="F1371" t="str">
        <f t="shared" si="85"/>
        <v>ago</v>
      </c>
      <c r="G1371">
        <v>20</v>
      </c>
      <c r="H1371">
        <v>23</v>
      </c>
      <c r="I1371" t="str">
        <f t="shared" si="84"/>
        <v>1-ago-2023</v>
      </c>
      <c r="K1371" s="49">
        <f t="shared" si="86"/>
        <v>45139</v>
      </c>
      <c r="M1371" t="b">
        <f t="shared" si="87"/>
        <v>1</v>
      </c>
    </row>
    <row r="1372" spans="1:13" x14ac:dyDescent="0.3">
      <c r="A1372" s="49">
        <v>45261</v>
      </c>
      <c r="D1372" t="s">
        <v>7362</v>
      </c>
      <c r="E1372">
        <v>1</v>
      </c>
      <c r="F1372" t="str">
        <f t="shared" si="85"/>
        <v>ago</v>
      </c>
      <c r="G1372">
        <v>20</v>
      </c>
      <c r="H1372">
        <v>23</v>
      </c>
      <c r="I1372" t="str">
        <f t="shared" si="84"/>
        <v>1-ago-2023</v>
      </c>
      <c r="K1372" s="49">
        <f t="shared" si="86"/>
        <v>45139</v>
      </c>
      <c r="M1372" t="b">
        <f t="shared" si="87"/>
        <v>1</v>
      </c>
    </row>
    <row r="1373" spans="1:13" x14ac:dyDescent="0.3">
      <c r="A1373" s="49">
        <v>45261</v>
      </c>
      <c r="D1373" t="s">
        <v>7366</v>
      </c>
      <c r="E1373">
        <v>1</v>
      </c>
      <c r="F1373" t="str">
        <f t="shared" si="85"/>
        <v>dic</v>
      </c>
      <c r="G1373">
        <v>20</v>
      </c>
      <c r="H1373">
        <v>24</v>
      </c>
      <c r="I1373" t="str">
        <f t="shared" si="84"/>
        <v>1-dic-2024</v>
      </c>
      <c r="K1373" s="49">
        <f t="shared" si="86"/>
        <v>45627</v>
      </c>
      <c r="M1373" t="b">
        <f t="shared" si="87"/>
        <v>0</v>
      </c>
    </row>
    <row r="1374" spans="1:13" x14ac:dyDescent="0.3">
      <c r="A1374" s="49">
        <v>45261</v>
      </c>
      <c r="D1374" t="s">
        <v>7370</v>
      </c>
      <c r="E1374">
        <v>1</v>
      </c>
      <c r="F1374" t="str">
        <f t="shared" si="85"/>
        <v>may</v>
      </c>
      <c r="G1374">
        <v>20</v>
      </c>
      <c r="H1374">
        <v>23</v>
      </c>
      <c r="I1374" t="str">
        <f t="shared" si="84"/>
        <v>1-may-2023</v>
      </c>
      <c r="K1374" s="49">
        <f t="shared" si="86"/>
        <v>45047</v>
      </c>
      <c r="M1374" t="b">
        <f t="shared" si="87"/>
        <v>1</v>
      </c>
    </row>
    <row r="1375" spans="1:13" x14ac:dyDescent="0.3">
      <c r="A1375" s="49">
        <v>45261</v>
      </c>
      <c r="D1375" t="s">
        <v>7370</v>
      </c>
      <c r="E1375">
        <v>1</v>
      </c>
      <c r="F1375" t="str">
        <f t="shared" si="85"/>
        <v>may</v>
      </c>
      <c r="G1375">
        <v>20</v>
      </c>
      <c r="H1375">
        <v>23</v>
      </c>
      <c r="I1375" t="str">
        <f t="shared" si="84"/>
        <v>1-may-2023</v>
      </c>
      <c r="K1375" s="49">
        <f t="shared" si="86"/>
        <v>45047</v>
      </c>
      <c r="M1375" t="b">
        <f t="shared" si="87"/>
        <v>1</v>
      </c>
    </row>
    <row r="1376" spans="1:13" x14ac:dyDescent="0.3">
      <c r="A1376" s="49">
        <v>45261</v>
      </c>
      <c r="D1376" t="s">
        <v>7359</v>
      </c>
      <c r="E1376">
        <v>1</v>
      </c>
      <c r="F1376" t="str">
        <f t="shared" si="85"/>
        <v>jul</v>
      </c>
      <c r="G1376">
        <v>20</v>
      </c>
      <c r="H1376">
        <v>22</v>
      </c>
      <c r="I1376" t="str">
        <f t="shared" si="84"/>
        <v>1-jul-2022</v>
      </c>
      <c r="K1376" s="49">
        <f t="shared" si="86"/>
        <v>44743</v>
      </c>
      <c r="M1376" t="b">
        <f t="shared" si="87"/>
        <v>1</v>
      </c>
    </row>
    <row r="1377" spans="1:13" x14ac:dyDescent="0.3">
      <c r="A1377" s="49">
        <v>45261</v>
      </c>
      <c r="D1377" t="s">
        <v>7357</v>
      </c>
      <c r="E1377">
        <v>1</v>
      </c>
      <c r="F1377" t="str">
        <f t="shared" si="85"/>
        <v>oct</v>
      </c>
      <c r="G1377">
        <v>20</v>
      </c>
      <c r="H1377">
        <v>21</v>
      </c>
      <c r="I1377" t="str">
        <f t="shared" si="84"/>
        <v>1-oct-2021</v>
      </c>
      <c r="K1377" s="49">
        <f t="shared" si="86"/>
        <v>44470</v>
      </c>
      <c r="M1377" t="b">
        <f t="shared" si="87"/>
        <v>1</v>
      </c>
    </row>
    <row r="1378" spans="1:13" x14ac:dyDescent="0.3">
      <c r="A1378" s="49">
        <v>45261</v>
      </c>
      <c r="D1378" t="s">
        <v>7357</v>
      </c>
      <c r="E1378">
        <v>1</v>
      </c>
      <c r="F1378" t="str">
        <f t="shared" si="85"/>
        <v>oct</v>
      </c>
      <c r="G1378">
        <v>20</v>
      </c>
      <c r="H1378">
        <v>23</v>
      </c>
      <c r="I1378" t="str">
        <f t="shared" si="84"/>
        <v>1-oct-2023</v>
      </c>
      <c r="K1378" s="49">
        <f t="shared" si="86"/>
        <v>45200</v>
      </c>
      <c r="M1378" t="b">
        <f t="shared" si="87"/>
        <v>1</v>
      </c>
    </row>
    <row r="1379" spans="1:13" x14ac:dyDescent="0.3">
      <c r="A1379" s="49">
        <v>45261</v>
      </c>
      <c r="D1379" t="s">
        <v>7362</v>
      </c>
      <c r="E1379">
        <v>1</v>
      </c>
      <c r="F1379" t="str">
        <f t="shared" si="85"/>
        <v>ago</v>
      </c>
      <c r="G1379">
        <v>20</v>
      </c>
      <c r="H1379">
        <v>23</v>
      </c>
      <c r="I1379" t="str">
        <f t="shared" si="84"/>
        <v>1-ago-2023</v>
      </c>
      <c r="K1379" s="49">
        <f t="shared" si="86"/>
        <v>45139</v>
      </c>
      <c r="M1379" t="b">
        <f t="shared" si="87"/>
        <v>1</v>
      </c>
    </row>
    <row r="1380" spans="1:13" x14ac:dyDescent="0.3">
      <c r="A1380" s="49">
        <v>45261</v>
      </c>
      <c r="D1380" t="s">
        <v>7355</v>
      </c>
      <c r="E1380">
        <v>1</v>
      </c>
      <c r="F1380" t="str">
        <f t="shared" si="85"/>
        <v>sep</v>
      </c>
      <c r="G1380">
        <v>20</v>
      </c>
      <c r="H1380">
        <v>23</v>
      </c>
      <c r="I1380" t="str">
        <f t="shared" si="84"/>
        <v>1-sep-2023</v>
      </c>
      <c r="K1380" s="49">
        <f t="shared" si="86"/>
        <v>45170</v>
      </c>
      <c r="M1380" t="b">
        <f t="shared" si="87"/>
        <v>1</v>
      </c>
    </row>
    <row r="1381" spans="1:13" x14ac:dyDescent="0.3">
      <c r="A1381" s="49">
        <v>45261</v>
      </c>
      <c r="D1381" t="s">
        <v>7368</v>
      </c>
      <c r="E1381">
        <v>1</v>
      </c>
      <c r="F1381" t="str">
        <f t="shared" si="85"/>
        <v>mar</v>
      </c>
      <c r="G1381">
        <v>20</v>
      </c>
      <c r="H1381">
        <v>21</v>
      </c>
      <c r="I1381" t="str">
        <f t="shared" si="84"/>
        <v>1-mar-2021</v>
      </c>
      <c r="K1381" s="49">
        <f t="shared" si="86"/>
        <v>44256</v>
      </c>
      <c r="M1381" t="b">
        <f t="shared" si="87"/>
        <v>1</v>
      </c>
    </row>
    <row r="1382" spans="1:13" x14ac:dyDescent="0.3">
      <c r="A1382" s="49">
        <v>45261</v>
      </c>
      <c r="D1382" t="s">
        <v>7362</v>
      </c>
      <c r="E1382">
        <v>1</v>
      </c>
      <c r="F1382" t="str">
        <f t="shared" si="85"/>
        <v>ago</v>
      </c>
      <c r="G1382">
        <v>20</v>
      </c>
      <c r="H1382">
        <v>23</v>
      </c>
      <c r="I1382" t="str">
        <f t="shared" si="84"/>
        <v>1-ago-2023</v>
      </c>
      <c r="K1382" s="49">
        <f t="shared" si="86"/>
        <v>45139</v>
      </c>
      <c r="M1382" t="b">
        <f t="shared" si="87"/>
        <v>1</v>
      </c>
    </row>
    <row r="1383" spans="1:13" x14ac:dyDescent="0.3">
      <c r="A1383" s="49">
        <v>45261</v>
      </c>
      <c r="D1383" t="s">
        <v>7368</v>
      </c>
      <c r="E1383">
        <v>1</v>
      </c>
      <c r="F1383" t="str">
        <f t="shared" si="85"/>
        <v>mar</v>
      </c>
      <c r="G1383">
        <v>20</v>
      </c>
      <c r="H1383">
        <v>21</v>
      </c>
      <c r="I1383" t="str">
        <f t="shared" si="84"/>
        <v>1-mar-2021</v>
      </c>
      <c r="K1383" s="49">
        <f t="shared" si="86"/>
        <v>44256</v>
      </c>
      <c r="M1383" t="b">
        <f t="shared" si="87"/>
        <v>1</v>
      </c>
    </row>
    <row r="1384" spans="1:13" x14ac:dyDescent="0.3">
      <c r="A1384" s="49">
        <v>45261</v>
      </c>
      <c r="D1384" t="s">
        <v>7367</v>
      </c>
      <c r="E1384">
        <v>1</v>
      </c>
      <c r="F1384" t="str">
        <f t="shared" si="85"/>
        <v>jun</v>
      </c>
      <c r="G1384">
        <v>20</v>
      </c>
      <c r="H1384">
        <v>18</v>
      </c>
      <c r="I1384" t="str">
        <f t="shared" si="84"/>
        <v>1-jun-2018</v>
      </c>
      <c r="K1384" s="49">
        <f t="shared" si="86"/>
        <v>43252</v>
      </c>
      <c r="M1384" t="b">
        <f t="shared" si="87"/>
        <v>1</v>
      </c>
    </row>
    <row r="1385" spans="1:13" x14ac:dyDescent="0.3">
      <c r="A1385" s="49">
        <v>45261</v>
      </c>
      <c r="D1385" t="s">
        <v>7359</v>
      </c>
      <c r="E1385">
        <v>1</v>
      </c>
      <c r="F1385" t="str">
        <f t="shared" si="85"/>
        <v>jul</v>
      </c>
      <c r="G1385">
        <v>20</v>
      </c>
      <c r="H1385">
        <v>21</v>
      </c>
      <c r="I1385" t="str">
        <f t="shared" si="84"/>
        <v>1-jul-2021</v>
      </c>
      <c r="K1385" s="49">
        <f t="shared" si="86"/>
        <v>44378</v>
      </c>
      <c r="M1385" t="b">
        <f t="shared" si="87"/>
        <v>1</v>
      </c>
    </row>
    <row r="1386" spans="1:13" x14ac:dyDescent="0.3">
      <c r="A1386" s="49">
        <v>45261</v>
      </c>
      <c r="D1386" t="s">
        <v>7368</v>
      </c>
      <c r="E1386">
        <v>1</v>
      </c>
      <c r="F1386" t="str">
        <f t="shared" si="85"/>
        <v>mar</v>
      </c>
      <c r="G1386">
        <v>20</v>
      </c>
      <c r="H1386">
        <v>17</v>
      </c>
      <c r="I1386" t="str">
        <f t="shared" si="84"/>
        <v>1-mar-2017</v>
      </c>
      <c r="K1386" s="49">
        <f t="shared" si="86"/>
        <v>42795</v>
      </c>
      <c r="M1386" t="b">
        <f t="shared" si="87"/>
        <v>1</v>
      </c>
    </row>
    <row r="1387" spans="1:13" x14ac:dyDescent="0.3">
      <c r="A1387" s="49">
        <v>45261</v>
      </c>
      <c r="D1387" t="s">
        <v>7363</v>
      </c>
      <c r="E1387">
        <v>1</v>
      </c>
      <c r="F1387" t="str">
        <f t="shared" si="85"/>
        <v>feb</v>
      </c>
      <c r="G1387">
        <v>20</v>
      </c>
      <c r="H1387">
        <v>19</v>
      </c>
      <c r="I1387" t="str">
        <f t="shared" si="84"/>
        <v>1-feb-2019</v>
      </c>
      <c r="K1387" s="49">
        <f t="shared" si="86"/>
        <v>43497</v>
      </c>
      <c r="M1387" t="b">
        <f t="shared" si="87"/>
        <v>1</v>
      </c>
    </row>
    <row r="1388" spans="1:13" x14ac:dyDescent="0.3">
      <c r="A1388" s="49">
        <v>45261</v>
      </c>
      <c r="D1388" t="s">
        <v>7362</v>
      </c>
      <c r="E1388">
        <v>1</v>
      </c>
      <c r="F1388" t="str">
        <f t="shared" si="85"/>
        <v>ago</v>
      </c>
      <c r="G1388">
        <v>20</v>
      </c>
      <c r="H1388">
        <v>23</v>
      </c>
      <c r="I1388" t="str">
        <f t="shared" si="84"/>
        <v>1-ago-2023</v>
      </c>
      <c r="K1388" s="49">
        <f t="shared" si="86"/>
        <v>45139</v>
      </c>
      <c r="M1388" t="b">
        <f t="shared" si="87"/>
        <v>1</v>
      </c>
    </row>
    <row r="1389" spans="1:13" x14ac:dyDescent="0.3">
      <c r="A1389" s="49">
        <v>45261</v>
      </c>
      <c r="D1389" t="s">
        <v>7367</v>
      </c>
      <c r="E1389">
        <v>1</v>
      </c>
      <c r="F1389" t="str">
        <f t="shared" si="85"/>
        <v>jun</v>
      </c>
      <c r="G1389">
        <v>20</v>
      </c>
      <c r="H1389">
        <v>20</v>
      </c>
      <c r="I1389" t="str">
        <f t="shared" si="84"/>
        <v>1-jun-2020</v>
      </c>
      <c r="K1389" s="49">
        <f t="shared" si="86"/>
        <v>43983</v>
      </c>
      <c r="M1389" t="b">
        <f t="shared" si="87"/>
        <v>1</v>
      </c>
    </row>
    <row r="1390" spans="1:13" x14ac:dyDescent="0.3">
      <c r="A1390" s="49">
        <v>45261</v>
      </c>
      <c r="D1390" t="s">
        <v>7355</v>
      </c>
      <c r="E1390">
        <v>1</v>
      </c>
      <c r="F1390" t="str">
        <f t="shared" si="85"/>
        <v>sep</v>
      </c>
      <c r="G1390">
        <v>20</v>
      </c>
      <c r="H1390">
        <v>23</v>
      </c>
      <c r="I1390" t="str">
        <f t="shared" si="84"/>
        <v>1-sep-2023</v>
      </c>
      <c r="K1390" s="49">
        <f t="shared" si="86"/>
        <v>45170</v>
      </c>
      <c r="M1390" t="b">
        <f t="shared" si="87"/>
        <v>1</v>
      </c>
    </row>
    <row r="1391" spans="1:13" x14ac:dyDescent="0.3">
      <c r="A1391" s="49">
        <v>45261</v>
      </c>
      <c r="D1391" t="s">
        <v>7359</v>
      </c>
      <c r="E1391">
        <v>1</v>
      </c>
      <c r="F1391" t="str">
        <f t="shared" si="85"/>
        <v>jul</v>
      </c>
      <c r="G1391">
        <v>20</v>
      </c>
      <c r="H1391">
        <v>21</v>
      </c>
      <c r="I1391" t="str">
        <f t="shared" si="84"/>
        <v>1-jul-2021</v>
      </c>
      <c r="K1391" s="49">
        <f t="shared" si="86"/>
        <v>44378</v>
      </c>
      <c r="M1391" t="b">
        <f t="shared" si="87"/>
        <v>1</v>
      </c>
    </row>
    <row r="1392" spans="1:13" x14ac:dyDescent="0.3">
      <c r="A1392" s="49">
        <v>45261</v>
      </c>
      <c r="D1392" t="s">
        <v>7359</v>
      </c>
      <c r="E1392">
        <v>1</v>
      </c>
      <c r="F1392" t="str">
        <f t="shared" si="85"/>
        <v>jul</v>
      </c>
      <c r="G1392">
        <v>20</v>
      </c>
      <c r="H1392">
        <v>21</v>
      </c>
      <c r="I1392" t="str">
        <f t="shared" si="84"/>
        <v>1-jul-2021</v>
      </c>
      <c r="K1392" s="49">
        <f t="shared" si="86"/>
        <v>44378</v>
      </c>
      <c r="M1392" t="b">
        <f t="shared" si="87"/>
        <v>1</v>
      </c>
    </row>
    <row r="1393" spans="1:13" x14ac:dyDescent="0.3">
      <c r="A1393" s="49">
        <v>45261</v>
      </c>
      <c r="D1393" t="s">
        <v>7363</v>
      </c>
      <c r="E1393">
        <v>1</v>
      </c>
      <c r="F1393" t="str">
        <f t="shared" si="85"/>
        <v>feb</v>
      </c>
      <c r="G1393">
        <v>20</v>
      </c>
      <c r="H1393">
        <v>22</v>
      </c>
      <c r="I1393" t="str">
        <f t="shared" si="84"/>
        <v>1-feb-2022</v>
      </c>
      <c r="K1393" s="49">
        <f t="shared" si="86"/>
        <v>44593</v>
      </c>
      <c r="M1393" t="b">
        <f t="shared" si="87"/>
        <v>1</v>
      </c>
    </row>
    <row r="1394" spans="1:13" x14ac:dyDescent="0.3">
      <c r="A1394" s="49">
        <v>45261</v>
      </c>
      <c r="D1394" t="s">
        <v>7367</v>
      </c>
      <c r="E1394">
        <v>1</v>
      </c>
      <c r="F1394" t="str">
        <f t="shared" si="85"/>
        <v>jun</v>
      </c>
      <c r="G1394">
        <v>20</v>
      </c>
      <c r="H1394">
        <v>24</v>
      </c>
      <c r="I1394" t="str">
        <f t="shared" si="84"/>
        <v>1-jun-2024</v>
      </c>
      <c r="K1394" s="49">
        <f t="shared" si="86"/>
        <v>45444</v>
      </c>
      <c r="M1394" t="b">
        <f t="shared" si="87"/>
        <v>0</v>
      </c>
    </row>
    <row r="1395" spans="1:13" x14ac:dyDescent="0.3">
      <c r="A1395" s="49">
        <v>45261</v>
      </c>
      <c r="D1395" t="s">
        <v>7359</v>
      </c>
      <c r="E1395">
        <v>1</v>
      </c>
      <c r="F1395" t="str">
        <f t="shared" si="85"/>
        <v>jul</v>
      </c>
      <c r="G1395">
        <v>20</v>
      </c>
      <c r="H1395">
        <v>23</v>
      </c>
      <c r="I1395" t="str">
        <f t="shared" si="84"/>
        <v>1-jul-2023</v>
      </c>
      <c r="K1395" s="49">
        <f t="shared" si="86"/>
        <v>45108</v>
      </c>
      <c r="M1395" t="b">
        <f t="shared" si="87"/>
        <v>1</v>
      </c>
    </row>
    <row r="1396" spans="1:13" x14ac:dyDescent="0.3">
      <c r="A1396" s="49">
        <v>45261</v>
      </c>
      <c r="D1396" t="s">
        <v>7366</v>
      </c>
      <c r="E1396">
        <v>1</v>
      </c>
      <c r="F1396" t="str">
        <f t="shared" si="85"/>
        <v>dic</v>
      </c>
      <c r="G1396">
        <v>20</v>
      </c>
      <c r="H1396">
        <v>22</v>
      </c>
      <c r="I1396" t="str">
        <f t="shared" si="84"/>
        <v>1-dic-2022</v>
      </c>
      <c r="K1396" s="49">
        <f t="shared" si="86"/>
        <v>44896</v>
      </c>
      <c r="M1396" t="b">
        <f t="shared" si="87"/>
        <v>1</v>
      </c>
    </row>
    <row r="1397" spans="1:13" x14ac:dyDescent="0.3">
      <c r="A1397" s="49">
        <v>45261</v>
      </c>
      <c r="D1397" t="s">
        <v>7366</v>
      </c>
      <c r="E1397">
        <v>1</v>
      </c>
      <c r="F1397" t="str">
        <f t="shared" si="85"/>
        <v>dic</v>
      </c>
      <c r="G1397">
        <v>20</v>
      </c>
      <c r="H1397">
        <v>22</v>
      </c>
      <c r="I1397" t="str">
        <f t="shared" si="84"/>
        <v>1-dic-2022</v>
      </c>
      <c r="K1397" s="49">
        <f t="shared" si="86"/>
        <v>44896</v>
      </c>
      <c r="M1397" t="b">
        <f t="shared" si="87"/>
        <v>1</v>
      </c>
    </row>
    <row r="1398" spans="1:13" x14ac:dyDescent="0.3">
      <c r="A1398" s="49">
        <v>45261</v>
      </c>
      <c r="D1398" t="s">
        <v>7367</v>
      </c>
      <c r="E1398">
        <v>1</v>
      </c>
      <c r="F1398" t="str">
        <f t="shared" si="85"/>
        <v>jun</v>
      </c>
      <c r="G1398">
        <v>20</v>
      </c>
      <c r="H1398">
        <v>20</v>
      </c>
      <c r="I1398" t="str">
        <f t="shared" si="84"/>
        <v>1-jun-2020</v>
      </c>
      <c r="K1398" s="49">
        <f t="shared" si="86"/>
        <v>43983</v>
      </c>
      <c r="M1398" t="b">
        <f t="shared" si="87"/>
        <v>1</v>
      </c>
    </row>
    <row r="1399" spans="1:13" x14ac:dyDescent="0.3">
      <c r="A1399" s="49">
        <v>45261</v>
      </c>
      <c r="D1399" t="s">
        <v>7363</v>
      </c>
      <c r="E1399">
        <v>1</v>
      </c>
      <c r="F1399" t="str">
        <f t="shared" si="85"/>
        <v>feb</v>
      </c>
      <c r="G1399">
        <v>20</v>
      </c>
      <c r="H1399">
        <v>23</v>
      </c>
      <c r="I1399" t="str">
        <f t="shared" si="84"/>
        <v>1-feb-2023</v>
      </c>
      <c r="K1399" s="49">
        <f t="shared" si="86"/>
        <v>44958</v>
      </c>
      <c r="M1399" t="b">
        <f t="shared" si="87"/>
        <v>1</v>
      </c>
    </row>
    <row r="1400" spans="1:13" x14ac:dyDescent="0.3">
      <c r="A1400" s="49">
        <v>45261</v>
      </c>
      <c r="D1400" t="s">
        <v>7363</v>
      </c>
      <c r="E1400">
        <v>1</v>
      </c>
      <c r="F1400" t="str">
        <f t="shared" si="85"/>
        <v>feb</v>
      </c>
      <c r="G1400">
        <v>20</v>
      </c>
      <c r="H1400">
        <v>19</v>
      </c>
      <c r="I1400" t="str">
        <f t="shared" si="84"/>
        <v>1-feb-2019</v>
      </c>
      <c r="K1400" s="49">
        <f t="shared" si="86"/>
        <v>43497</v>
      </c>
      <c r="M1400" t="b">
        <f t="shared" si="87"/>
        <v>1</v>
      </c>
    </row>
    <row r="1401" spans="1:13" x14ac:dyDescent="0.3">
      <c r="A1401" s="49">
        <v>45261</v>
      </c>
      <c r="D1401" t="s">
        <v>7369</v>
      </c>
      <c r="E1401">
        <v>1</v>
      </c>
      <c r="F1401" t="str">
        <f t="shared" si="85"/>
        <v>abr</v>
      </c>
      <c r="G1401">
        <v>20</v>
      </c>
      <c r="H1401">
        <v>17</v>
      </c>
      <c r="I1401" t="str">
        <f t="shared" si="84"/>
        <v>1-abr-2017</v>
      </c>
      <c r="K1401" s="49">
        <f t="shared" si="86"/>
        <v>42826</v>
      </c>
      <c r="M1401" t="b">
        <f t="shared" si="87"/>
        <v>1</v>
      </c>
    </row>
    <row r="1402" spans="1:13" x14ac:dyDescent="0.3">
      <c r="A1402" s="49">
        <v>45261</v>
      </c>
      <c r="D1402" t="s">
        <v>7359</v>
      </c>
      <c r="E1402">
        <v>1</v>
      </c>
      <c r="F1402" t="str">
        <f t="shared" si="85"/>
        <v>jul</v>
      </c>
      <c r="G1402">
        <v>20</v>
      </c>
      <c r="H1402">
        <v>23</v>
      </c>
      <c r="I1402" t="str">
        <f t="shared" si="84"/>
        <v>1-jul-2023</v>
      </c>
      <c r="K1402" s="49">
        <f t="shared" si="86"/>
        <v>45108</v>
      </c>
      <c r="M1402" t="b">
        <f t="shared" si="87"/>
        <v>1</v>
      </c>
    </row>
    <row r="1403" spans="1:13" x14ac:dyDescent="0.3">
      <c r="A1403" s="49">
        <v>45261</v>
      </c>
      <c r="D1403" t="s">
        <v>7359</v>
      </c>
      <c r="E1403">
        <v>1</v>
      </c>
      <c r="F1403" t="str">
        <f t="shared" si="85"/>
        <v>jul</v>
      </c>
      <c r="G1403">
        <v>20</v>
      </c>
      <c r="H1403">
        <v>23</v>
      </c>
      <c r="I1403" t="str">
        <f t="shared" si="84"/>
        <v>1-jul-2023</v>
      </c>
      <c r="K1403" s="49">
        <f t="shared" si="86"/>
        <v>45108</v>
      </c>
      <c r="M1403" t="b">
        <f t="shared" si="87"/>
        <v>1</v>
      </c>
    </row>
    <row r="1404" spans="1:13" x14ac:dyDescent="0.3">
      <c r="A1404" s="49">
        <v>45261</v>
      </c>
      <c r="D1404" t="s">
        <v>7356</v>
      </c>
      <c r="E1404">
        <v>1</v>
      </c>
      <c r="F1404" t="str">
        <f t="shared" si="85"/>
        <v>ene</v>
      </c>
      <c r="G1404">
        <v>20</v>
      </c>
      <c r="H1404">
        <v>23</v>
      </c>
      <c r="I1404" t="str">
        <f t="shared" si="84"/>
        <v>1-ene-2023</v>
      </c>
      <c r="K1404" s="49">
        <f t="shared" si="86"/>
        <v>44927</v>
      </c>
      <c r="M1404" t="b">
        <f t="shared" si="87"/>
        <v>1</v>
      </c>
    </row>
    <row r="1405" spans="1:13" x14ac:dyDescent="0.3">
      <c r="A1405" s="49">
        <v>45261</v>
      </c>
      <c r="D1405" t="s">
        <v>7368</v>
      </c>
      <c r="E1405">
        <v>1</v>
      </c>
      <c r="F1405" t="str">
        <f t="shared" si="85"/>
        <v>mar</v>
      </c>
      <c r="G1405">
        <v>20</v>
      </c>
      <c r="H1405">
        <v>22</v>
      </c>
      <c r="I1405" t="str">
        <f t="shared" si="84"/>
        <v>1-mar-2022</v>
      </c>
      <c r="K1405" s="49">
        <f t="shared" si="86"/>
        <v>44621</v>
      </c>
      <c r="M1405" t="b">
        <f t="shared" si="87"/>
        <v>1</v>
      </c>
    </row>
    <row r="1406" spans="1:13" x14ac:dyDescent="0.3">
      <c r="A1406" s="49">
        <v>45261</v>
      </c>
      <c r="D1406" t="s">
        <v>7355</v>
      </c>
      <c r="E1406">
        <v>1</v>
      </c>
      <c r="F1406" t="str">
        <f t="shared" si="85"/>
        <v>sep</v>
      </c>
      <c r="G1406">
        <v>20</v>
      </c>
      <c r="H1406">
        <v>22</v>
      </c>
      <c r="I1406" t="str">
        <f t="shared" si="84"/>
        <v>1-sep-2022</v>
      </c>
      <c r="K1406" s="49">
        <f t="shared" si="86"/>
        <v>44805</v>
      </c>
      <c r="M1406" t="b">
        <f t="shared" si="87"/>
        <v>1</v>
      </c>
    </row>
    <row r="1407" spans="1:13" x14ac:dyDescent="0.3">
      <c r="A1407" s="49">
        <v>45261</v>
      </c>
      <c r="D1407" t="s">
        <v>7360</v>
      </c>
      <c r="E1407">
        <v>1</v>
      </c>
      <c r="F1407" t="str">
        <f t="shared" si="85"/>
        <v>nov</v>
      </c>
      <c r="G1407">
        <v>20</v>
      </c>
      <c r="H1407">
        <v>20</v>
      </c>
      <c r="I1407" t="str">
        <f t="shared" si="84"/>
        <v>1-nov-2020</v>
      </c>
      <c r="K1407" s="49">
        <f t="shared" si="86"/>
        <v>44136</v>
      </c>
      <c r="M1407" t="b">
        <f t="shared" si="87"/>
        <v>1</v>
      </c>
    </row>
    <row r="1408" spans="1:13" x14ac:dyDescent="0.3">
      <c r="A1408" s="49">
        <v>45261</v>
      </c>
      <c r="D1408" t="s">
        <v>7363</v>
      </c>
      <c r="E1408">
        <v>1</v>
      </c>
      <c r="F1408" t="str">
        <f t="shared" si="85"/>
        <v>feb</v>
      </c>
      <c r="G1408">
        <v>20</v>
      </c>
      <c r="H1408">
        <v>17</v>
      </c>
      <c r="I1408" t="str">
        <f t="shared" si="84"/>
        <v>1-feb-2017</v>
      </c>
      <c r="K1408" s="49">
        <f t="shared" si="86"/>
        <v>42767</v>
      </c>
      <c r="M1408" t="b">
        <f t="shared" si="87"/>
        <v>1</v>
      </c>
    </row>
    <row r="1409" spans="1:13" x14ac:dyDescent="0.3">
      <c r="A1409" s="49">
        <v>45261</v>
      </c>
      <c r="D1409" t="s">
        <v>7363</v>
      </c>
      <c r="E1409">
        <v>1</v>
      </c>
      <c r="F1409" t="str">
        <f t="shared" si="85"/>
        <v>feb</v>
      </c>
      <c r="G1409">
        <v>20</v>
      </c>
      <c r="H1409">
        <v>17</v>
      </c>
      <c r="I1409" t="str">
        <f t="shared" ref="I1409:I1472" si="88">_xlfn.CONCAT(E1409,"-",F1409,"-",G1409,H1409)</f>
        <v>1-feb-2017</v>
      </c>
      <c r="K1409" s="49">
        <f t="shared" si="86"/>
        <v>42767</v>
      </c>
      <c r="M1409" t="b">
        <f t="shared" si="87"/>
        <v>1</v>
      </c>
    </row>
    <row r="1410" spans="1:13" x14ac:dyDescent="0.3">
      <c r="A1410" s="49">
        <v>45261</v>
      </c>
      <c r="D1410" t="s">
        <v>7369</v>
      </c>
      <c r="E1410">
        <v>1</v>
      </c>
      <c r="F1410" t="str">
        <f t="shared" ref="F1410:F1473" si="89">LOWER(D1410)</f>
        <v>abr</v>
      </c>
      <c r="G1410">
        <v>20</v>
      </c>
      <c r="H1410">
        <v>22</v>
      </c>
      <c r="I1410" t="str">
        <f t="shared" si="88"/>
        <v>1-abr-2022</v>
      </c>
      <c r="K1410" s="49">
        <f t="shared" ref="K1410:K1473" si="90">DATEVALUE(I1410)</f>
        <v>44652</v>
      </c>
      <c r="M1410" t="b">
        <f t="shared" si="87"/>
        <v>1</v>
      </c>
    </row>
    <row r="1411" spans="1:13" x14ac:dyDescent="0.3">
      <c r="A1411" s="49">
        <v>45261</v>
      </c>
      <c r="D1411" t="s">
        <v>7367</v>
      </c>
      <c r="E1411">
        <v>1</v>
      </c>
      <c r="F1411" t="str">
        <f t="shared" si="89"/>
        <v>jun</v>
      </c>
      <c r="G1411">
        <v>20</v>
      </c>
      <c r="H1411">
        <v>23</v>
      </c>
      <c r="I1411" t="str">
        <f t="shared" si="88"/>
        <v>1-jun-2023</v>
      </c>
      <c r="K1411" s="49">
        <f t="shared" si="90"/>
        <v>45078</v>
      </c>
      <c r="M1411" t="b">
        <f t="shared" ref="M1411:M1474" si="91">K1411&lt;A1411</f>
        <v>1</v>
      </c>
    </row>
    <row r="1412" spans="1:13" x14ac:dyDescent="0.3">
      <c r="A1412" s="49">
        <v>45261</v>
      </c>
      <c r="D1412" t="s">
        <v>7367</v>
      </c>
      <c r="E1412">
        <v>1</v>
      </c>
      <c r="F1412" t="str">
        <f t="shared" si="89"/>
        <v>jun</v>
      </c>
      <c r="G1412">
        <v>20</v>
      </c>
      <c r="H1412">
        <v>23</v>
      </c>
      <c r="I1412" t="str">
        <f t="shared" si="88"/>
        <v>1-jun-2023</v>
      </c>
      <c r="K1412" s="49">
        <f t="shared" si="90"/>
        <v>45078</v>
      </c>
      <c r="M1412" t="b">
        <f t="shared" si="91"/>
        <v>1</v>
      </c>
    </row>
    <row r="1413" spans="1:13" x14ac:dyDescent="0.3">
      <c r="A1413" s="49">
        <v>45261</v>
      </c>
      <c r="D1413" t="s">
        <v>7355</v>
      </c>
      <c r="E1413">
        <v>1</v>
      </c>
      <c r="F1413" t="str">
        <f t="shared" si="89"/>
        <v>sep</v>
      </c>
      <c r="G1413">
        <v>20</v>
      </c>
      <c r="H1413">
        <v>23</v>
      </c>
      <c r="I1413" t="str">
        <f t="shared" si="88"/>
        <v>1-sep-2023</v>
      </c>
      <c r="K1413" s="49">
        <f t="shared" si="90"/>
        <v>45170</v>
      </c>
      <c r="M1413" t="b">
        <f t="shared" si="91"/>
        <v>1</v>
      </c>
    </row>
    <row r="1414" spans="1:13" x14ac:dyDescent="0.3">
      <c r="A1414" s="49">
        <v>45261</v>
      </c>
      <c r="D1414" t="s">
        <v>7362</v>
      </c>
      <c r="E1414">
        <v>1</v>
      </c>
      <c r="F1414" t="str">
        <f t="shared" si="89"/>
        <v>ago</v>
      </c>
      <c r="G1414">
        <v>20</v>
      </c>
      <c r="H1414">
        <v>24</v>
      </c>
      <c r="I1414" t="str">
        <f t="shared" si="88"/>
        <v>1-ago-2024</v>
      </c>
      <c r="K1414" s="49">
        <f t="shared" si="90"/>
        <v>45505</v>
      </c>
      <c r="M1414" t="b">
        <f t="shared" si="91"/>
        <v>0</v>
      </c>
    </row>
    <row r="1415" spans="1:13" x14ac:dyDescent="0.3">
      <c r="A1415" s="49">
        <v>45261</v>
      </c>
      <c r="D1415" t="s">
        <v>7357</v>
      </c>
      <c r="E1415">
        <v>1</v>
      </c>
      <c r="F1415" t="str">
        <f t="shared" si="89"/>
        <v>oct</v>
      </c>
      <c r="G1415">
        <v>20</v>
      </c>
      <c r="H1415">
        <v>23</v>
      </c>
      <c r="I1415" t="str">
        <f t="shared" si="88"/>
        <v>1-oct-2023</v>
      </c>
      <c r="K1415" s="49">
        <f t="shared" si="90"/>
        <v>45200</v>
      </c>
      <c r="M1415" t="b">
        <f t="shared" si="91"/>
        <v>1</v>
      </c>
    </row>
    <row r="1416" spans="1:13" x14ac:dyDescent="0.3">
      <c r="A1416" s="49">
        <v>45261</v>
      </c>
      <c r="D1416" t="s">
        <v>7357</v>
      </c>
      <c r="E1416">
        <v>1</v>
      </c>
      <c r="F1416" t="str">
        <f t="shared" si="89"/>
        <v>oct</v>
      </c>
      <c r="G1416">
        <v>20</v>
      </c>
      <c r="H1416">
        <v>22</v>
      </c>
      <c r="I1416" t="str">
        <f t="shared" si="88"/>
        <v>1-oct-2022</v>
      </c>
      <c r="K1416" s="49">
        <f t="shared" si="90"/>
        <v>44835</v>
      </c>
      <c r="M1416" t="b">
        <f t="shared" si="91"/>
        <v>1</v>
      </c>
    </row>
    <row r="1417" spans="1:13" x14ac:dyDescent="0.3">
      <c r="A1417" s="49">
        <v>45261</v>
      </c>
      <c r="D1417" t="s">
        <v>7356</v>
      </c>
      <c r="E1417">
        <v>1</v>
      </c>
      <c r="F1417" t="str">
        <f t="shared" si="89"/>
        <v>ene</v>
      </c>
      <c r="G1417">
        <v>20</v>
      </c>
      <c r="H1417">
        <v>23</v>
      </c>
      <c r="I1417" t="str">
        <f t="shared" si="88"/>
        <v>1-ene-2023</v>
      </c>
      <c r="K1417" s="49">
        <f t="shared" si="90"/>
        <v>44927</v>
      </c>
      <c r="M1417" t="b">
        <f t="shared" si="91"/>
        <v>1</v>
      </c>
    </row>
    <row r="1418" spans="1:13" x14ac:dyDescent="0.3">
      <c r="A1418" s="49">
        <v>45261</v>
      </c>
      <c r="D1418" t="s">
        <v>7357</v>
      </c>
      <c r="E1418">
        <v>1</v>
      </c>
      <c r="F1418" t="str">
        <f t="shared" si="89"/>
        <v>oct</v>
      </c>
      <c r="G1418">
        <v>20</v>
      </c>
      <c r="H1418">
        <v>21</v>
      </c>
      <c r="I1418" t="str">
        <f t="shared" si="88"/>
        <v>1-oct-2021</v>
      </c>
      <c r="K1418" s="49">
        <f t="shared" si="90"/>
        <v>44470</v>
      </c>
      <c r="M1418" t="b">
        <f t="shared" si="91"/>
        <v>1</v>
      </c>
    </row>
    <row r="1419" spans="1:13" x14ac:dyDescent="0.3">
      <c r="A1419" s="49">
        <v>45261</v>
      </c>
      <c r="D1419" t="s">
        <v>7362</v>
      </c>
      <c r="E1419">
        <v>1</v>
      </c>
      <c r="F1419" t="str">
        <f t="shared" si="89"/>
        <v>ago</v>
      </c>
      <c r="G1419">
        <v>20</v>
      </c>
      <c r="H1419">
        <v>22</v>
      </c>
      <c r="I1419" t="str">
        <f t="shared" si="88"/>
        <v>1-ago-2022</v>
      </c>
      <c r="K1419" s="49">
        <f t="shared" si="90"/>
        <v>44774</v>
      </c>
      <c r="M1419" t="b">
        <f t="shared" si="91"/>
        <v>1</v>
      </c>
    </row>
    <row r="1420" spans="1:13" x14ac:dyDescent="0.3">
      <c r="A1420" s="49">
        <v>45261</v>
      </c>
      <c r="D1420" t="s">
        <v>7355</v>
      </c>
      <c r="E1420">
        <v>1</v>
      </c>
      <c r="F1420" t="str">
        <f t="shared" si="89"/>
        <v>sep</v>
      </c>
      <c r="G1420">
        <v>20</v>
      </c>
      <c r="H1420">
        <v>22</v>
      </c>
      <c r="I1420" t="str">
        <f t="shared" si="88"/>
        <v>1-sep-2022</v>
      </c>
      <c r="K1420" s="49">
        <f t="shared" si="90"/>
        <v>44805</v>
      </c>
      <c r="M1420" t="b">
        <f t="shared" si="91"/>
        <v>1</v>
      </c>
    </row>
    <row r="1421" spans="1:13" x14ac:dyDescent="0.3">
      <c r="A1421" s="49">
        <v>45261</v>
      </c>
      <c r="D1421" t="s">
        <v>7359</v>
      </c>
      <c r="E1421">
        <v>1</v>
      </c>
      <c r="F1421" t="str">
        <f t="shared" si="89"/>
        <v>jul</v>
      </c>
      <c r="G1421">
        <v>20</v>
      </c>
      <c r="H1421">
        <v>23</v>
      </c>
      <c r="I1421" t="str">
        <f t="shared" si="88"/>
        <v>1-jul-2023</v>
      </c>
      <c r="K1421" s="49">
        <f t="shared" si="90"/>
        <v>45108</v>
      </c>
      <c r="M1421" t="b">
        <f t="shared" si="91"/>
        <v>1</v>
      </c>
    </row>
    <row r="1422" spans="1:13" x14ac:dyDescent="0.3">
      <c r="A1422" s="49">
        <v>45261</v>
      </c>
      <c r="D1422" t="s">
        <v>7369</v>
      </c>
      <c r="E1422">
        <v>1</v>
      </c>
      <c r="F1422" t="str">
        <f t="shared" si="89"/>
        <v>abr</v>
      </c>
      <c r="G1422">
        <v>20</v>
      </c>
      <c r="H1422">
        <v>21</v>
      </c>
      <c r="I1422" t="str">
        <f t="shared" si="88"/>
        <v>1-abr-2021</v>
      </c>
      <c r="K1422" s="49">
        <f t="shared" si="90"/>
        <v>44287</v>
      </c>
      <c r="M1422" t="b">
        <f t="shared" si="91"/>
        <v>1</v>
      </c>
    </row>
    <row r="1423" spans="1:13" x14ac:dyDescent="0.3">
      <c r="A1423" s="49">
        <v>45261</v>
      </c>
      <c r="D1423" t="s">
        <v>7366</v>
      </c>
      <c r="E1423">
        <v>1</v>
      </c>
      <c r="F1423" t="str">
        <f t="shared" si="89"/>
        <v>dic</v>
      </c>
      <c r="G1423">
        <v>20</v>
      </c>
      <c r="H1423">
        <v>21</v>
      </c>
      <c r="I1423" t="str">
        <f t="shared" si="88"/>
        <v>1-dic-2021</v>
      </c>
      <c r="K1423" s="49">
        <f t="shared" si="90"/>
        <v>44531</v>
      </c>
      <c r="M1423" t="b">
        <f t="shared" si="91"/>
        <v>1</v>
      </c>
    </row>
    <row r="1424" spans="1:13" x14ac:dyDescent="0.3">
      <c r="A1424" s="49">
        <v>45261</v>
      </c>
      <c r="D1424" t="s">
        <v>7363</v>
      </c>
      <c r="E1424">
        <v>1</v>
      </c>
      <c r="F1424" t="str">
        <f t="shared" si="89"/>
        <v>feb</v>
      </c>
      <c r="G1424">
        <v>20</v>
      </c>
      <c r="H1424">
        <v>21</v>
      </c>
      <c r="I1424" t="str">
        <f t="shared" si="88"/>
        <v>1-feb-2021</v>
      </c>
      <c r="K1424" s="49">
        <f t="shared" si="90"/>
        <v>44228</v>
      </c>
      <c r="M1424" t="b">
        <f t="shared" si="91"/>
        <v>1</v>
      </c>
    </row>
    <row r="1425" spans="1:13" x14ac:dyDescent="0.3">
      <c r="A1425" s="49">
        <v>45261</v>
      </c>
      <c r="D1425" t="s">
        <v>7357</v>
      </c>
      <c r="E1425">
        <v>1</v>
      </c>
      <c r="F1425" t="str">
        <f t="shared" si="89"/>
        <v>oct</v>
      </c>
      <c r="G1425">
        <v>20</v>
      </c>
      <c r="H1425">
        <v>22</v>
      </c>
      <c r="I1425" t="str">
        <f t="shared" si="88"/>
        <v>1-oct-2022</v>
      </c>
      <c r="K1425" s="49">
        <f t="shared" si="90"/>
        <v>44835</v>
      </c>
      <c r="M1425" t="b">
        <f t="shared" si="91"/>
        <v>1</v>
      </c>
    </row>
    <row r="1426" spans="1:13" x14ac:dyDescent="0.3">
      <c r="A1426" s="49">
        <v>45261</v>
      </c>
      <c r="D1426" t="s">
        <v>7367</v>
      </c>
      <c r="E1426">
        <v>1</v>
      </c>
      <c r="F1426" t="str">
        <f t="shared" si="89"/>
        <v>jun</v>
      </c>
      <c r="G1426">
        <v>20</v>
      </c>
      <c r="H1426">
        <v>23</v>
      </c>
      <c r="I1426" t="str">
        <f t="shared" si="88"/>
        <v>1-jun-2023</v>
      </c>
      <c r="K1426" s="49">
        <f t="shared" si="90"/>
        <v>45078</v>
      </c>
      <c r="M1426" t="b">
        <f t="shared" si="91"/>
        <v>1</v>
      </c>
    </row>
    <row r="1427" spans="1:13" x14ac:dyDescent="0.3">
      <c r="A1427" s="49">
        <v>45261</v>
      </c>
      <c r="D1427" t="s">
        <v>7369</v>
      </c>
      <c r="E1427">
        <v>1</v>
      </c>
      <c r="F1427" t="str">
        <f t="shared" si="89"/>
        <v>abr</v>
      </c>
      <c r="G1427">
        <v>20</v>
      </c>
      <c r="H1427">
        <v>22</v>
      </c>
      <c r="I1427" t="str">
        <f t="shared" si="88"/>
        <v>1-abr-2022</v>
      </c>
      <c r="K1427" s="49">
        <f t="shared" si="90"/>
        <v>44652</v>
      </c>
      <c r="M1427" t="b">
        <f t="shared" si="91"/>
        <v>1</v>
      </c>
    </row>
    <row r="1428" spans="1:13" x14ac:dyDescent="0.3">
      <c r="A1428" s="49">
        <v>45261</v>
      </c>
      <c r="D1428" t="s">
        <v>7362</v>
      </c>
      <c r="E1428">
        <v>1</v>
      </c>
      <c r="F1428" t="str">
        <f t="shared" si="89"/>
        <v>ago</v>
      </c>
      <c r="G1428">
        <v>20</v>
      </c>
      <c r="H1428">
        <v>23</v>
      </c>
      <c r="I1428" t="str">
        <f t="shared" si="88"/>
        <v>1-ago-2023</v>
      </c>
      <c r="K1428" s="49">
        <f t="shared" si="90"/>
        <v>45139</v>
      </c>
      <c r="M1428" t="b">
        <f t="shared" si="91"/>
        <v>1</v>
      </c>
    </row>
    <row r="1429" spans="1:13" x14ac:dyDescent="0.3">
      <c r="A1429" s="49">
        <v>45261</v>
      </c>
      <c r="D1429" t="s">
        <v>7367</v>
      </c>
      <c r="E1429">
        <v>1</v>
      </c>
      <c r="F1429" t="str">
        <f t="shared" si="89"/>
        <v>jun</v>
      </c>
      <c r="G1429">
        <v>20</v>
      </c>
      <c r="H1429">
        <v>23</v>
      </c>
      <c r="I1429" t="str">
        <f t="shared" si="88"/>
        <v>1-jun-2023</v>
      </c>
      <c r="K1429" s="49">
        <f t="shared" si="90"/>
        <v>45078</v>
      </c>
      <c r="M1429" t="b">
        <f t="shared" si="91"/>
        <v>1</v>
      </c>
    </row>
    <row r="1430" spans="1:13" x14ac:dyDescent="0.3">
      <c r="A1430" s="49">
        <v>45261</v>
      </c>
      <c r="D1430" t="s">
        <v>7370</v>
      </c>
      <c r="E1430">
        <v>1</v>
      </c>
      <c r="F1430" t="str">
        <f t="shared" si="89"/>
        <v>may</v>
      </c>
      <c r="G1430">
        <v>20</v>
      </c>
      <c r="H1430">
        <v>23</v>
      </c>
      <c r="I1430" t="str">
        <f t="shared" si="88"/>
        <v>1-may-2023</v>
      </c>
      <c r="K1430" s="49">
        <f t="shared" si="90"/>
        <v>45047</v>
      </c>
      <c r="M1430" t="b">
        <f t="shared" si="91"/>
        <v>1</v>
      </c>
    </row>
    <row r="1431" spans="1:13" x14ac:dyDescent="0.3">
      <c r="A1431" s="49">
        <v>45261</v>
      </c>
      <c r="D1431" t="s">
        <v>7367</v>
      </c>
      <c r="E1431">
        <v>1</v>
      </c>
      <c r="F1431" t="str">
        <f t="shared" si="89"/>
        <v>jun</v>
      </c>
      <c r="G1431">
        <v>20</v>
      </c>
      <c r="H1431">
        <v>23</v>
      </c>
      <c r="I1431" t="str">
        <f t="shared" si="88"/>
        <v>1-jun-2023</v>
      </c>
      <c r="K1431" s="49">
        <f t="shared" si="90"/>
        <v>45078</v>
      </c>
      <c r="M1431" t="b">
        <f t="shared" si="91"/>
        <v>1</v>
      </c>
    </row>
    <row r="1432" spans="1:13" x14ac:dyDescent="0.3">
      <c r="A1432" s="49">
        <v>45261</v>
      </c>
      <c r="D1432" t="s">
        <v>7367</v>
      </c>
      <c r="E1432">
        <v>1</v>
      </c>
      <c r="F1432" t="str">
        <f t="shared" si="89"/>
        <v>jun</v>
      </c>
      <c r="G1432">
        <v>20</v>
      </c>
      <c r="H1432">
        <v>23</v>
      </c>
      <c r="I1432" t="str">
        <f t="shared" si="88"/>
        <v>1-jun-2023</v>
      </c>
      <c r="K1432" s="49">
        <f t="shared" si="90"/>
        <v>45078</v>
      </c>
      <c r="M1432" t="b">
        <f t="shared" si="91"/>
        <v>1</v>
      </c>
    </row>
    <row r="1433" spans="1:13" x14ac:dyDescent="0.3">
      <c r="A1433" s="49">
        <v>45261</v>
      </c>
      <c r="D1433" t="s">
        <v>7369</v>
      </c>
      <c r="E1433">
        <v>1</v>
      </c>
      <c r="F1433" t="str">
        <f t="shared" si="89"/>
        <v>abr</v>
      </c>
      <c r="G1433">
        <v>20</v>
      </c>
      <c r="H1433">
        <v>23</v>
      </c>
      <c r="I1433" t="str">
        <f t="shared" si="88"/>
        <v>1-abr-2023</v>
      </c>
      <c r="K1433" s="49">
        <f t="shared" si="90"/>
        <v>45017</v>
      </c>
      <c r="M1433" t="b">
        <f t="shared" si="91"/>
        <v>1</v>
      </c>
    </row>
    <row r="1434" spans="1:13" x14ac:dyDescent="0.3">
      <c r="A1434" s="49">
        <v>45261</v>
      </c>
      <c r="D1434" t="s">
        <v>7363</v>
      </c>
      <c r="E1434">
        <v>1</v>
      </c>
      <c r="F1434" t="str">
        <f t="shared" si="89"/>
        <v>feb</v>
      </c>
      <c r="G1434">
        <v>20</v>
      </c>
      <c r="H1434">
        <v>20</v>
      </c>
      <c r="I1434" t="str">
        <f t="shared" si="88"/>
        <v>1-feb-2020</v>
      </c>
      <c r="K1434" s="49">
        <f t="shared" si="90"/>
        <v>43862</v>
      </c>
      <c r="M1434" t="b">
        <f t="shared" si="91"/>
        <v>1</v>
      </c>
    </row>
    <row r="1435" spans="1:13" x14ac:dyDescent="0.3">
      <c r="A1435" s="49">
        <v>45261</v>
      </c>
      <c r="D1435" t="s">
        <v>7359</v>
      </c>
      <c r="E1435">
        <v>1</v>
      </c>
      <c r="F1435" t="str">
        <f t="shared" si="89"/>
        <v>jul</v>
      </c>
      <c r="G1435">
        <v>20</v>
      </c>
      <c r="H1435">
        <v>21</v>
      </c>
      <c r="I1435" t="str">
        <f t="shared" si="88"/>
        <v>1-jul-2021</v>
      </c>
      <c r="K1435" s="49">
        <f t="shared" si="90"/>
        <v>44378</v>
      </c>
      <c r="M1435" t="b">
        <f t="shared" si="91"/>
        <v>1</v>
      </c>
    </row>
    <row r="1436" spans="1:13" x14ac:dyDescent="0.3">
      <c r="A1436" s="49">
        <v>45261</v>
      </c>
      <c r="D1436" t="s">
        <v>7368</v>
      </c>
      <c r="E1436">
        <v>1</v>
      </c>
      <c r="F1436" t="str">
        <f t="shared" si="89"/>
        <v>mar</v>
      </c>
      <c r="G1436">
        <v>20</v>
      </c>
      <c r="H1436">
        <v>23</v>
      </c>
      <c r="I1436" t="str">
        <f t="shared" si="88"/>
        <v>1-mar-2023</v>
      </c>
      <c r="K1436" s="49">
        <f t="shared" si="90"/>
        <v>44986</v>
      </c>
      <c r="M1436" t="b">
        <f t="shared" si="91"/>
        <v>1</v>
      </c>
    </row>
    <row r="1437" spans="1:13" x14ac:dyDescent="0.3">
      <c r="A1437" s="49">
        <v>45261</v>
      </c>
      <c r="D1437" t="s">
        <v>7367</v>
      </c>
      <c r="E1437">
        <v>1</v>
      </c>
      <c r="F1437" t="str">
        <f t="shared" si="89"/>
        <v>jun</v>
      </c>
      <c r="G1437">
        <v>20</v>
      </c>
      <c r="H1437">
        <v>23</v>
      </c>
      <c r="I1437" t="str">
        <f t="shared" si="88"/>
        <v>1-jun-2023</v>
      </c>
      <c r="K1437" s="49">
        <f t="shared" si="90"/>
        <v>45078</v>
      </c>
      <c r="M1437" t="b">
        <f t="shared" si="91"/>
        <v>1</v>
      </c>
    </row>
    <row r="1438" spans="1:13" x14ac:dyDescent="0.3">
      <c r="A1438" s="49">
        <v>45261</v>
      </c>
      <c r="D1438" t="s">
        <v>7362</v>
      </c>
      <c r="E1438">
        <v>1</v>
      </c>
      <c r="F1438" t="str">
        <f t="shared" si="89"/>
        <v>ago</v>
      </c>
      <c r="G1438">
        <v>20</v>
      </c>
      <c r="H1438">
        <v>21</v>
      </c>
      <c r="I1438" t="str">
        <f t="shared" si="88"/>
        <v>1-ago-2021</v>
      </c>
      <c r="K1438" s="49">
        <f t="shared" si="90"/>
        <v>44409</v>
      </c>
      <c r="M1438" t="b">
        <f t="shared" si="91"/>
        <v>1</v>
      </c>
    </row>
    <row r="1439" spans="1:13" x14ac:dyDescent="0.3">
      <c r="A1439" s="49">
        <v>45261</v>
      </c>
      <c r="D1439" t="s">
        <v>7359</v>
      </c>
      <c r="E1439">
        <v>1</v>
      </c>
      <c r="F1439" t="str">
        <f t="shared" si="89"/>
        <v>jul</v>
      </c>
      <c r="G1439">
        <v>20</v>
      </c>
      <c r="H1439">
        <v>23</v>
      </c>
      <c r="I1439" t="str">
        <f t="shared" si="88"/>
        <v>1-jul-2023</v>
      </c>
      <c r="K1439" s="49">
        <f t="shared" si="90"/>
        <v>45108</v>
      </c>
      <c r="M1439" t="b">
        <f t="shared" si="91"/>
        <v>1</v>
      </c>
    </row>
    <row r="1440" spans="1:13" x14ac:dyDescent="0.3">
      <c r="A1440" s="49">
        <v>45261</v>
      </c>
      <c r="D1440" t="s">
        <v>7360</v>
      </c>
      <c r="E1440">
        <v>1</v>
      </c>
      <c r="F1440" t="str">
        <f t="shared" si="89"/>
        <v>nov</v>
      </c>
      <c r="G1440">
        <v>20</v>
      </c>
      <c r="H1440">
        <v>21</v>
      </c>
      <c r="I1440" t="str">
        <f t="shared" si="88"/>
        <v>1-nov-2021</v>
      </c>
      <c r="K1440" s="49">
        <f t="shared" si="90"/>
        <v>44501</v>
      </c>
      <c r="M1440" t="b">
        <f t="shared" si="91"/>
        <v>1</v>
      </c>
    </row>
    <row r="1441" spans="1:13" x14ac:dyDescent="0.3">
      <c r="A1441" s="49">
        <v>45261</v>
      </c>
      <c r="D1441" t="s">
        <v>7369</v>
      </c>
      <c r="E1441">
        <v>1</v>
      </c>
      <c r="F1441" t="str">
        <f t="shared" si="89"/>
        <v>abr</v>
      </c>
      <c r="G1441">
        <v>20</v>
      </c>
      <c r="H1441">
        <v>22</v>
      </c>
      <c r="I1441" t="str">
        <f t="shared" si="88"/>
        <v>1-abr-2022</v>
      </c>
      <c r="K1441" s="49">
        <f t="shared" si="90"/>
        <v>44652</v>
      </c>
      <c r="M1441" t="b">
        <f t="shared" si="91"/>
        <v>1</v>
      </c>
    </row>
    <row r="1442" spans="1:13" x14ac:dyDescent="0.3">
      <c r="A1442" s="49">
        <v>45261</v>
      </c>
      <c r="D1442" t="s">
        <v>7369</v>
      </c>
      <c r="E1442">
        <v>1</v>
      </c>
      <c r="F1442" t="str">
        <f t="shared" si="89"/>
        <v>abr</v>
      </c>
      <c r="G1442">
        <v>20</v>
      </c>
      <c r="H1442">
        <v>20</v>
      </c>
      <c r="I1442" t="str">
        <f t="shared" si="88"/>
        <v>1-abr-2020</v>
      </c>
      <c r="K1442" s="49">
        <f t="shared" si="90"/>
        <v>43922</v>
      </c>
      <c r="M1442" t="b">
        <f t="shared" si="91"/>
        <v>1</v>
      </c>
    </row>
    <row r="1443" spans="1:13" x14ac:dyDescent="0.3">
      <c r="A1443" s="49">
        <v>45261</v>
      </c>
      <c r="D1443" t="s">
        <v>7368</v>
      </c>
      <c r="E1443">
        <v>1</v>
      </c>
      <c r="F1443" t="str">
        <f t="shared" si="89"/>
        <v>mar</v>
      </c>
      <c r="G1443">
        <v>20</v>
      </c>
      <c r="H1443">
        <v>22</v>
      </c>
      <c r="I1443" t="str">
        <f t="shared" si="88"/>
        <v>1-mar-2022</v>
      </c>
      <c r="K1443" s="49">
        <f t="shared" si="90"/>
        <v>44621</v>
      </c>
      <c r="M1443" t="b">
        <f t="shared" si="91"/>
        <v>1</v>
      </c>
    </row>
    <row r="1444" spans="1:13" x14ac:dyDescent="0.3">
      <c r="A1444" s="49">
        <v>45261</v>
      </c>
      <c r="D1444" t="s">
        <v>7363</v>
      </c>
      <c r="E1444">
        <v>1</v>
      </c>
      <c r="F1444" t="str">
        <f t="shared" si="89"/>
        <v>feb</v>
      </c>
      <c r="G1444">
        <v>20</v>
      </c>
      <c r="H1444">
        <v>22</v>
      </c>
      <c r="I1444" t="str">
        <f t="shared" si="88"/>
        <v>1-feb-2022</v>
      </c>
      <c r="K1444" s="49">
        <f t="shared" si="90"/>
        <v>44593</v>
      </c>
      <c r="M1444" t="b">
        <f t="shared" si="91"/>
        <v>1</v>
      </c>
    </row>
    <row r="1445" spans="1:13" x14ac:dyDescent="0.3">
      <c r="A1445" s="49">
        <v>45261</v>
      </c>
      <c r="D1445" t="s">
        <v>7370</v>
      </c>
      <c r="E1445">
        <v>1</v>
      </c>
      <c r="F1445" t="str">
        <f t="shared" si="89"/>
        <v>may</v>
      </c>
      <c r="G1445">
        <v>20</v>
      </c>
      <c r="H1445">
        <v>24</v>
      </c>
      <c r="I1445" t="str">
        <f t="shared" si="88"/>
        <v>1-may-2024</v>
      </c>
      <c r="K1445" s="49">
        <f t="shared" si="90"/>
        <v>45413</v>
      </c>
      <c r="M1445" t="b">
        <f t="shared" si="91"/>
        <v>0</v>
      </c>
    </row>
    <row r="1446" spans="1:13" x14ac:dyDescent="0.3">
      <c r="A1446" s="49">
        <v>45261</v>
      </c>
      <c r="D1446" t="s">
        <v>7367</v>
      </c>
      <c r="E1446">
        <v>1</v>
      </c>
      <c r="F1446" t="str">
        <f t="shared" si="89"/>
        <v>jun</v>
      </c>
      <c r="G1446">
        <v>20</v>
      </c>
      <c r="H1446">
        <v>19</v>
      </c>
      <c r="I1446" t="str">
        <f t="shared" si="88"/>
        <v>1-jun-2019</v>
      </c>
      <c r="K1446" s="49">
        <f t="shared" si="90"/>
        <v>43617</v>
      </c>
      <c r="M1446" t="b">
        <f t="shared" si="91"/>
        <v>1</v>
      </c>
    </row>
    <row r="1447" spans="1:13" x14ac:dyDescent="0.3">
      <c r="A1447" s="49">
        <v>45261</v>
      </c>
      <c r="D1447" t="s">
        <v>7363</v>
      </c>
      <c r="E1447">
        <v>1</v>
      </c>
      <c r="F1447" t="str">
        <f t="shared" si="89"/>
        <v>feb</v>
      </c>
      <c r="G1447">
        <v>20</v>
      </c>
      <c r="H1447">
        <v>22</v>
      </c>
      <c r="I1447" t="str">
        <f t="shared" si="88"/>
        <v>1-feb-2022</v>
      </c>
      <c r="K1447" s="49">
        <f t="shared" si="90"/>
        <v>44593</v>
      </c>
      <c r="M1447" t="b">
        <f t="shared" si="91"/>
        <v>1</v>
      </c>
    </row>
    <row r="1448" spans="1:13" x14ac:dyDescent="0.3">
      <c r="A1448" s="49">
        <v>45261</v>
      </c>
      <c r="D1448" t="s">
        <v>7367</v>
      </c>
      <c r="E1448">
        <v>1</v>
      </c>
      <c r="F1448" t="str">
        <f t="shared" si="89"/>
        <v>jun</v>
      </c>
      <c r="G1448">
        <v>20</v>
      </c>
      <c r="H1448">
        <v>21</v>
      </c>
      <c r="I1448" t="str">
        <f t="shared" si="88"/>
        <v>1-jun-2021</v>
      </c>
      <c r="K1448" s="49">
        <f t="shared" si="90"/>
        <v>44348</v>
      </c>
      <c r="M1448" t="b">
        <f t="shared" si="91"/>
        <v>1</v>
      </c>
    </row>
    <row r="1449" spans="1:13" x14ac:dyDescent="0.3">
      <c r="A1449" s="49">
        <v>45261</v>
      </c>
      <c r="D1449" t="s">
        <v>7369</v>
      </c>
      <c r="E1449">
        <v>1</v>
      </c>
      <c r="F1449" t="str">
        <f t="shared" si="89"/>
        <v>abr</v>
      </c>
      <c r="G1449">
        <v>20</v>
      </c>
      <c r="H1449">
        <v>23</v>
      </c>
      <c r="I1449" t="str">
        <f t="shared" si="88"/>
        <v>1-abr-2023</v>
      </c>
      <c r="K1449" s="49">
        <f t="shared" si="90"/>
        <v>45017</v>
      </c>
      <c r="M1449" t="b">
        <f t="shared" si="91"/>
        <v>1</v>
      </c>
    </row>
    <row r="1450" spans="1:13" x14ac:dyDescent="0.3">
      <c r="A1450" s="49">
        <v>45261</v>
      </c>
      <c r="D1450" t="s">
        <v>7359</v>
      </c>
      <c r="E1450">
        <v>1</v>
      </c>
      <c r="F1450" t="str">
        <f t="shared" si="89"/>
        <v>jul</v>
      </c>
      <c r="G1450">
        <v>20</v>
      </c>
      <c r="H1450">
        <v>21</v>
      </c>
      <c r="I1450" t="str">
        <f t="shared" si="88"/>
        <v>1-jul-2021</v>
      </c>
      <c r="K1450" s="49">
        <f t="shared" si="90"/>
        <v>44378</v>
      </c>
      <c r="M1450" t="b">
        <f t="shared" si="91"/>
        <v>1</v>
      </c>
    </row>
    <row r="1451" spans="1:13" x14ac:dyDescent="0.3">
      <c r="A1451" s="49">
        <v>45261</v>
      </c>
      <c r="D1451" t="s">
        <v>7369</v>
      </c>
      <c r="E1451">
        <v>1</v>
      </c>
      <c r="F1451" t="str">
        <f t="shared" si="89"/>
        <v>abr</v>
      </c>
      <c r="G1451">
        <v>20</v>
      </c>
      <c r="H1451">
        <v>23</v>
      </c>
      <c r="I1451" t="str">
        <f t="shared" si="88"/>
        <v>1-abr-2023</v>
      </c>
      <c r="K1451" s="49">
        <f t="shared" si="90"/>
        <v>45017</v>
      </c>
      <c r="M1451" t="b">
        <f t="shared" si="91"/>
        <v>1</v>
      </c>
    </row>
    <row r="1452" spans="1:13" x14ac:dyDescent="0.3">
      <c r="A1452" s="49">
        <v>45261</v>
      </c>
      <c r="D1452" t="s">
        <v>7357</v>
      </c>
      <c r="E1452">
        <v>1</v>
      </c>
      <c r="F1452" t="str">
        <f t="shared" si="89"/>
        <v>oct</v>
      </c>
      <c r="G1452">
        <v>20</v>
      </c>
      <c r="H1452">
        <v>19</v>
      </c>
      <c r="I1452" t="str">
        <f t="shared" si="88"/>
        <v>1-oct-2019</v>
      </c>
      <c r="K1452" s="49">
        <f t="shared" si="90"/>
        <v>43739</v>
      </c>
      <c r="M1452" t="b">
        <f t="shared" si="91"/>
        <v>1</v>
      </c>
    </row>
    <row r="1453" spans="1:13" x14ac:dyDescent="0.3">
      <c r="A1453" s="49">
        <v>45261</v>
      </c>
      <c r="D1453" t="s">
        <v>7357</v>
      </c>
      <c r="E1453">
        <v>1</v>
      </c>
      <c r="F1453" t="str">
        <f t="shared" si="89"/>
        <v>oct</v>
      </c>
      <c r="G1453">
        <v>20</v>
      </c>
      <c r="H1453">
        <v>19</v>
      </c>
      <c r="I1453" t="str">
        <f t="shared" si="88"/>
        <v>1-oct-2019</v>
      </c>
      <c r="K1453" s="49">
        <f t="shared" si="90"/>
        <v>43739</v>
      </c>
      <c r="M1453" t="b">
        <f t="shared" si="91"/>
        <v>1</v>
      </c>
    </row>
    <row r="1454" spans="1:13" x14ac:dyDescent="0.3">
      <c r="A1454" s="49">
        <v>45261</v>
      </c>
      <c r="D1454" t="s">
        <v>7362</v>
      </c>
      <c r="E1454">
        <v>1</v>
      </c>
      <c r="F1454" t="str">
        <f t="shared" si="89"/>
        <v>ago</v>
      </c>
      <c r="G1454">
        <v>20</v>
      </c>
      <c r="H1454">
        <v>22</v>
      </c>
      <c r="I1454" t="str">
        <f t="shared" si="88"/>
        <v>1-ago-2022</v>
      </c>
      <c r="K1454" s="49">
        <f t="shared" si="90"/>
        <v>44774</v>
      </c>
      <c r="M1454" t="b">
        <f t="shared" si="91"/>
        <v>1</v>
      </c>
    </row>
    <row r="1455" spans="1:13" x14ac:dyDescent="0.3">
      <c r="A1455" s="49">
        <v>45261</v>
      </c>
      <c r="D1455" t="s">
        <v>7370</v>
      </c>
      <c r="E1455">
        <v>1</v>
      </c>
      <c r="F1455" t="str">
        <f t="shared" si="89"/>
        <v>may</v>
      </c>
      <c r="G1455">
        <v>20</v>
      </c>
      <c r="H1455">
        <v>23</v>
      </c>
      <c r="I1455" t="str">
        <f t="shared" si="88"/>
        <v>1-may-2023</v>
      </c>
      <c r="K1455" s="49">
        <f t="shared" si="90"/>
        <v>45047</v>
      </c>
      <c r="M1455" t="b">
        <f t="shared" si="91"/>
        <v>1</v>
      </c>
    </row>
    <row r="1456" spans="1:13" x14ac:dyDescent="0.3">
      <c r="A1456" s="49">
        <v>45261</v>
      </c>
      <c r="D1456" t="s">
        <v>7363</v>
      </c>
      <c r="E1456">
        <v>1</v>
      </c>
      <c r="F1456" t="str">
        <f t="shared" si="89"/>
        <v>feb</v>
      </c>
      <c r="G1456">
        <v>20</v>
      </c>
      <c r="H1456">
        <v>20</v>
      </c>
      <c r="I1456" t="str">
        <f t="shared" si="88"/>
        <v>1-feb-2020</v>
      </c>
      <c r="K1456" s="49">
        <f t="shared" si="90"/>
        <v>43862</v>
      </c>
      <c r="M1456" t="b">
        <f t="shared" si="91"/>
        <v>1</v>
      </c>
    </row>
    <row r="1457" spans="1:13" x14ac:dyDescent="0.3">
      <c r="A1457" s="49">
        <v>45261</v>
      </c>
      <c r="D1457" t="s">
        <v>7356</v>
      </c>
      <c r="E1457">
        <v>1</v>
      </c>
      <c r="F1457" t="str">
        <f t="shared" si="89"/>
        <v>ene</v>
      </c>
      <c r="G1457">
        <v>20</v>
      </c>
      <c r="H1457">
        <v>24</v>
      </c>
      <c r="I1457" t="str">
        <f t="shared" si="88"/>
        <v>1-ene-2024</v>
      </c>
      <c r="K1457" s="49">
        <f t="shared" si="90"/>
        <v>45292</v>
      </c>
      <c r="M1457" t="b">
        <f t="shared" si="91"/>
        <v>0</v>
      </c>
    </row>
    <row r="1458" spans="1:13" x14ac:dyDescent="0.3">
      <c r="A1458" s="49">
        <v>45261</v>
      </c>
      <c r="D1458" t="s">
        <v>7369</v>
      </c>
      <c r="E1458">
        <v>1</v>
      </c>
      <c r="F1458" t="str">
        <f t="shared" si="89"/>
        <v>abr</v>
      </c>
      <c r="G1458">
        <v>20</v>
      </c>
      <c r="H1458">
        <v>23</v>
      </c>
      <c r="I1458" t="str">
        <f t="shared" si="88"/>
        <v>1-abr-2023</v>
      </c>
      <c r="K1458" s="49">
        <f t="shared" si="90"/>
        <v>45017</v>
      </c>
      <c r="M1458" t="b">
        <f t="shared" si="91"/>
        <v>1</v>
      </c>
    </row>
    <row r="1459" spans="1:13" x14ac:dyDescent="0.3">
      <c r="A1459" s="49">
        <v>45261</v>
      </c>
      <c r="D1459" t="s">
        <v>7363</v>
      </c>
      <c r="E1459">
        <v>1</v>
      </c>
      <c r="F1459" t="str">
        <f t="shared" si="89"/>
        <v>feb</v>
      </c>
      <c r="G1459">
        <v>20</v>
      </c>
      <c r="H1459">
        <v>25</v>
      </c>
      <c r="I1459" t="str">
        <f t="shared" si="88"/>
        <v>1-feb-2025</v>
      </c>
      <c r="K1459" s="49">
        <f t="shared" si="90"/>
        <v>45689</v>
      </c>
      <c r="M1459" t="b">
        <f t="shared" si="91"/>
        <v>0</v>
      </c>
    </row>
    <row r="1460" spans="1:13" x14ac:dyDescent="0.3">
      <c r="A1460" s="49">
        <v>45261</v>
      </c>
      <c r="D1460" t="s">
        <v>7359</v>
      </c>
      <c r="E1460">
        <v>1</v>
      </c>
      <c r="F1460" t="str">
        <f t="shared" si="89"/>
        <v>jul</v>
      </c>
      <c r="G1460">
        <v>20</v>
      </c>
      <c r="H1460">
        <v>23</v>
      </c>
      <c r="I1460" t="str">
        <f t="shared" si="88"/>
        <v>1-jul-2023</v>
      </c>
      <c r="K1460" s="49">
        <f t="shared" si="90"/>
        <v>45108</v>
      </c>
      <c r="M1460" t="b">
        <f t="shared" si="91"/>
        <v>1</v>
      </c>
    </row>
    <row r="1461" spans="1:13" x14ac:dyDescent="0.3">
      <c r="A1461" s="49">
        <v>45261</v>
      </c>
      <c r="D1461" t="s">
        <v>7366</v>
      </c>
      <c r="E1461">
        <v>1</v>
      </c>
      <c r="F1461" t="str">
        <f t="shared" si="89"/>
        <v>dic</v>
      </c>
      <c r="G1461">
        <v>20</v>
      </c>
      <c r="H1461">
        <v>21</v>
      </c>
      <c r="I1461" t="str">
        <f t="shared" si="88"/>
        <v>1-dic-2021</v>
      </c>
      <c r="K1461" s="49">
        <f t="shared" si="90"/>
        <v>44531</v>
      </c>
      <c r="M1461" t="b">
        <f t="shared" si="91"/>
        <v>1</v>
      </c>
    </row>
    <row r="1462" spans="1:13" x14ac:dyDescent="0.3">
      <c r="A1462" s="49">
        <v>45261</v>
      </c>
      <c r="D1462" t="s">
        <v>7369</v>
      </c>
      <c r="E1462">
        <v>1</v>
      </c>
      <c r="F1462" t="str">
        <f t="shared" si="89"/>
        <v>abr</v>
      </c>
      <c r="G1462">
        <v>20</v>
      </c>
      <c r="H1462">
        <v>22</v>
      </c>
      <c r="I1462" t="str">
        <f t="shared" si="88"/>
        <v>1-abr-2022</v>
      </c>
      <c r="K1462" s="49">
        <f t="shared" si="90"/>
        <v>44652</v>
      </c>
      <c r="M1462" t="b">
        <f t="shared" si="91"/>
        <v>1</v>
      </c>
    </row>
    <row r="1463" spans="1:13" x14ac:dyDescent="0.3">
      <c r="A1463" s="49">
        <v>45261</v>
      </c>
      <c r="D1463" t="s">
        <v>7357</v>
      </c>
      <c r="E1463">
        <v>1</v>
      </c>
      <c r="F1463" t="str">
        <f t="shared" si="89"/>
        <v>oct</v>
      </c>
      <c r="G1463">
        <v>20</v>
      </c>
      <c r="H1463">
        <v>21</v>
      </c>
      <c r="I1463" t="str">
        <f t="shared" si="88"/>
        <v>1-oct-2021</v>
      </c>
      <c r="K1463" s="49">
        <f t="shared" si="90"/>
        <v>44470</v>
      </c>
      <c r="M1463" t="b">
        <f t="shared" si="91"/>
        <v>1</v>
      </c>
    </row>
    <row r="1464" spans="1:13" x14ac:dyDescent="0.3">
      <c r="A1464" s="49">
        <v>45261</v>
      </c>
      <c r="D1464" t="s">
        <v>7355</v>
      </c>
      <c r="E1464">
        <v>1</v>
      </c>
      <c r="F1464" t="str">
        <f t="shared" si="89"/>
        <v>sep</v>
      </c>
      <c r="G1464">
        <v>20</v>
      </c>
      <c r="H1464">
        <v>21</v>
      </c>
      <c r="I1464" t="str">
        <f t="shared" si="88"/>
        <v>1-sep-2021</v>
      </c>
      <c r="K1464" s="49">
        <f t="shared" si="90"/>
        <v>44440</v>
      </c>
      <c r="M1464" t="b">
        <f t="shared" si="91"/>
        <v>1</v>
      </c>
    </row>
    <row r="1465" spans="1:13" x14ac:dyDescent="0.3">
      <c r="A1465" s="49">
        <v>45261</v>
      </c>
      <c r="D1465" t="s">
        <v>7355</v>
      </c>
      <c r="E1465">
        <v>1</v>
      </c>
      <c r="F1465" t="str">
        <f t="shared" si="89"/>
        <v>sep</v>
      </c>
      <c r="G1465">
        <v>20</v>
      </c>
      <c r="H1465">
        <v>20</v>
      </c>
      <c r="I1465" t="str">
        <f t="shared" si="88"/>
        <v>1-sep-2020</v>
      </c>
      <c r="K1465" s="49">
        <f t="shared" si="90"/>
        <v>44075</v>
      </c>
      <c r="M1465" t="b">
        <f t="shared" si="91"/>
        <v>1</v>
      </c>
    </row>
    <row r="1466" spans="1:13" x14ac:dyDescent="0.3">
      <c r="A1466" s="49">
        <v>45261</v>
      </c>
      <c r="D1466" t="s">
        <v>7362</v>
      </c>
      <c r="E1466">
        <v>1</v>
      </c>
      <c r="F1466" t="str">
        <f t="shared" si="89"/>
        <v>ago</v>
      </c>
      <c r="G1466">
        <v>20</v>
      </c>
      <c r="H1466">
        <v>21</v>
      </c>
      <c r="I1466" t="str">
        <f t="shared" si="88"/>
        <v>1-ago-2021</v>
      </c>
      <c r="K1466" s="49">
        <f t="shared" si="90"/>
        <v>44409</v>
      </c>
      <c r="M1466" t="b">
        <f t="shared" si="91"/>
        <v>1</v>
      </c>
    </row>
    <row r="1467" spans="1:13" x14ac:dyDescent="0.3">
      <c r="A1467" s="49">
        <v>45261</v>
      </c>
      <c r="D1467" t="s">
        <v>7367</v>
      </c>
      <c r="E1467">
        <v>1</v>
      </c>
      <c r="F1467" t="str">
        <f t="shared" si="89"/>
        <v>jun</v>
      </c>
      <c r="G1467">
        <v>20</v>
      </c>
      <c r="H1467">
        <v>23</v>
      </c>
      <c r="I1467" t="str">
        <f t="shared" si="88"/>
        <v>1-jun-2023</v>
      </c>
      <c r="K1467" s="49">
        <f t="shared" si="90"/>
        <v>45078</v>
      </c>
      <c r="M1467" t="b">
        <f t="shared" si="91"/>
        <v>1</v>
      </c>
    </row>
    <row r="1468" spans="1:13" x14ac:dyDescent="0.3">
      <c r="A1468" s="49">
        <v>45261</v>
      </c>
      <c r="D1468" t="s">
        <v>7366</v>
      </c>
      <c r="E1468">
        <v>1</v>
      </c>
      <c r="F1468" t="str">
        <f t="shared" si="89"/>
        <v>dic</v>
      </c>
      <c r="G1468">
        <v>20</v>
      </c>
      <c r="H1468">
        <v>23</v>
      </c>
      <c r="I1468" t="str">
        <f t="shared" si="88"/>
        <v>1-dic-2023</v>
      </c>
      <c r="K1468" s="49">
        <f t="shared" si="90"/>
        <v>45261</v>
      </c>
      <c r="M1468" t="b">
        <f t="shared" si="91"/>
        <v>0</v>
      </c>
    </row>
    <row r="1469" spans="1:13" x14ac:dyDescent="0.3">
      <c r="A1469" s="49">
        <v>45261</v>
      </c>
      <c r="D1469" t="s">
        <v>7369</v>
      </c>
      <c r="E1469">
        <v>1</v>
      </c>
      <c r="F1469" t="str">
        <f t="shared" si="89"/>
        <v>abr</v>
      </c>
      <c r="G1469">
        <v>20</v>
      </c>
      <c r="H1469">
        <v>21</v>
      </c>
      <c r="I1469" t="str">
        <f t="shared" si="88"/>
        <v>1-abr-2021</v>
      </c>
      <c r="K1469" s="49">
        <f t="shared" si="90"/>
        <v>44287</v>
      </c>
      <c r="M1469" t="b">
        <f t="shared" si="91"/>
        <v>1</v>
      </c>
    </row>
    <row r="1470" spans="1:13" x14ac:dyDescent="0.3">
      <c r="A1470" s="49">
        <v>45261</v>
      </c>
      <c r="D1470" t="s">
        <v>7363</v>
      </c>
      <c r="E1470">
        <v>1</v>
      </c>
      <c r="F1470" t="str">
        <f t="shared" si="89"/>
        <v>feb</v>
      </c>
      <c r="G1470">
        <v>20</v>
      </c>
      <c r="H1470">
        <v>25</v>
      </c>
      <c r="I1470" t="str">
        <f t="shared" si="88"/>
        <v>1-feb-2025</v>
      </c>
      <c r="K1470" s="49">
        <f t="shared" si="90"/>
        <v>45689</v>
      </c>
      <c r="M1470" t="b">
        <f t="shared" si="91"/>
        <v>0</v>
      </c>
    </row>
    <row r="1471" spans="1:13" x14ac:dyDescent="0.3">
      <c r="A1471" s="49">
        <v>45261</v>
      </c>
      <c r="D1471" t="s">
        <v>7367</v>
      </c>
      <c r="E1471">
        <v>1</v>
      </c>
      <c r="F1471" t="str">
        <f t="shared" si="89"/>
        <v>jun</v>
      </c>
      <c r="G1471">
        <v>20</v>
      </c>
      <c r="H1471">
        <v>17</v>
      </c>
      <c r="I1471" t="str">
        <f t="shared" si="88"/>
        <v>1-jun-2017</v>
      </c>
      <c r="K1471" s="49">
        <f t="shared" si="90"/>
        <v>42887</v>
      </c>
      <c r="M1471" t="b">
        <f t="shared" si="91"/>
        <v>1</v>
      </c>
    </row>
    <row r="1472" spans="1:13" x14ac:dyDescent="0.3">
      <c r="A1472" s="49">
        <v>45261</v>
      </c>
      <c r="D1472" t="s">
        <v>7356</v>
      </c>
      <c r="E1472">
        <v>1</v>
      </c>
      <c r="F1472" t="str">
        <f t="shared" si="89"/>
        <v>ene</v>
      </c>
      <c r="G1472">
        <v>20</v>
      </c>
      <c r="H1472">
        <v>23</v>
      </c>
      <c r="I1472" t="str">
        <f t="shared" si="88"/>
        <v>1-ene-2023</v>
      </c>
      <c r="K1472" s="49">
        <f t="shared" si="90"/>
        <v>44927</v>
      </c>
      <c r="M1472" t="b">
        <f t="shared" si="91"/>
        <v>1</v>
      </c>
    </row>
    <row r="1473" spans="1:13" x14ac:dyDescent="0.3">
      <c r="A1473" s="49">
        <v>45261</v>
      </c>
      <c r="D1473" t="s">
        <v>7360</v>
      </c>
      <c r="E1473">
        <v>1</v>
      </c>
      <c r="F1473" t="str">
        <f t="shared" si="89"/>
        <v>nov</v>
      </c>
      <c r="G1473">
        <v>20</v>
      </c>
      <c r="H1473">
        <v>21</v>
      </c>
      <c r="I1473" t="str">
        <f t="shared" ref="I1473:I1536" si="92">_xlfn.CONCAT(E1473,"-",F1473,"-",G1473,H1473)</f>
        <v>1-nov-2021</v>
      </c>
      <c r="K1473" s="49">
        <f t="shared" si="90"/>
        <v>44501</v>
      </c>
      <c r="M1473" t="b">
        <f t="shared" si="91"/>
        <v>1</v>
      </c>
    </row>
    <row r="1474" spans="1:13" x14ac:dyDescent="0.3">
      <c r="A1474" s="49">
        <v>45261</v>
      </c>
      <c r="D1474" t="s">
        <v>7366</v>
      </c>
      <c r="E1474">
        <v>1</v>
      </c>
      <c r="F1474" t="str">
        <f t="shared" ref="F1474:F1537" si="93">LOWER(D1474)</f>
        <v>dic</v>
      </c>
      <c r="G1474">
        <v>20</v>
      </c>
      <c r="H1474">
        <v>24</v>
      </c>
      <c r="I1474" t="str">
        <f t="shared" si="92"/>
        <v>1-dic-2024</v>
      </c>
      <c r="K1474" s="49">
        <f t="shared" ref="K1474:K1537" si="94">DATEVALUE(I1474)</f>
        <v>45627</v>
      </c>
      <c r="M1474" t="b">
        <f t="shared" si="91"/>
        <v>0</v>
      </c>
    </row>
    <row r="1475" spans="1:13" x14ac:dyDescent="0.3">
      <c r="A1475" s="49">
        <v>45261</v>
      </c>
      <c r="D1475" t="s">
        <v>7362</v>
      </c>
      <c r="E1475">
        <v>1</v>
      </c>
      <c r="F1475" t="str">
        <f t="shared" si="93"/>
        <v>ago</v>
      </c>
      <c r="G1475">
        <v>20</v>
      </c>
      <c r="H1475">
        <v>24</v>
      </c>
      <c r="I1475" t="str">
        <f t="shared" si="92"/>
        <v>1-ago-2024</v>
      </c>
      <c r="K1475" s="49">
        <f t="shared" si="94"/>
        <v>45505</v>
      </c>
      <c r="M1475" t="b">
        <f t="shared" ref="M1475:M1538" si="95">K1475&lt;A1475</f>
        <v>0</v>
      </c>
    </row>
    <row r="1476" spans="1:13" x14ac:dyDescent="0.3">
      <c r="A1476" s="49">
        <v>45261</v>
      </c>
      <c r="D1476" t="s">
        <v>7362</v>
      </c>
      <c r="E1476">
        <v>1</v>
      </c>
      <c r="F1476" t="str">
        <f t="shared" si="93"/>
        <v>ago</v>
      </c>
      <c r="G1476">
        <v>20</v>
      </c>
      <c r="H1476">
        <v>23</v>
      </c>
      <c r="I1476" t="str">
        <f t="shared" si="92"/>
        <v>1-ago-2023</v>
      </c>
      <c r="K1476" s="49">
        <f t="shared" si="94"/>
        <v>45139</v>
      </c>
      <c r="M1476" t="b">
        <f t="shared" si="95"/>
        <v>1</v>
      </c>
    </row>
    <row r="1477" spans="1:13" x14ac:dyDescent="0.3">
      <c r="A1477" s="49">
        <v>45261</v>
      </c>
      <c r="D1477" t="s">
        <v>7366</v>
      </c>
      <c r="E1477">
        <v>1</v>
      </c>
      <c r="F1477" t="str">
        <f t="shared" si="93"/>
        <v>dic</v>
      </c>
      <c r="G1477">
        <v>20</v>
      </c>
      <c r="H1477">
        <v>16</v>
      </c>
      <c r="I1477" t="str">
        <f t="shared" si="92"/>
        <v>1-dic-2016</v>
      </c>
      <c r="K1477" s="49">
        <f t="shared" si="94"/>
        <v>42705</v>
      </c>
      <c r="M1477" t="b">
        <f t="shared" si="95"/>
        <v>1</v>
      </c>
    </row>
    <row r="1478" spans="1:13" x14ac:dyDescent="0.3">
      <c r="A1478" s="49">
        <v>45261</v>
      </c>
      <c r="D1478" t="s">
        <v>7368</v>
      </c>
      <c r="E1478">
        <v>1</v>
      </c>
      <c r="F1478" t="str">
        <f t="shared" si="93"/>
        <v>mar</v>
      </c>
      <c r="G1478">
        <v>20</v>
      </c>
      <c r="H1478">
        <v>22</v>
      </c>
      <c r="I1478" t="str">
        <f t="shared" si="92"/>
        <v>1-mar-2022</v>
      </c>
      <c r="K1478" s="49">
        <f t="shared" si="94"/>
        <v>44621</v>
      </c>
      <c r="M1478" t="b">
        <f t="shared" si="95"/>
        <v>1</v>
      </c>
    </row>
    <row r="1479" spans="1:13" x14ac:dyDescent="0.3">
      <c r="A1479" s="49">
        <v>45261</v>
      </c>
      <c r="D1479" t="s">
        <v>7370</v>
      </c>
      <c r="E1479">
        <v>1</v>
      </c>
      <c r="F1479" t="str">
        <f t="shared" si="93"/>
        <v>may</v>
      </c>
      <c r="G1479">
        <v>20</v>
      </c>
      <c r="H1479">
        <v>17</v>
      </c>
      <c r="I1479" t="str">
        <f t="shared" si="92"/>
        <v>1-may-2017</v>
      </c>
      <c r="K1479" s="49">
        <f t="shared" si="94"/>
        <v>42856</v>
      </c>
      <c r="M1479" t="b">
        <f t="shared" si="95"/>
        <v>1</v>
      </c>
    </row>
    <row r="1480" spans="1:13" x14ac:dyDescent="0.3">
      <c r="A1480" s="49">
        <v>45261</v>
      </c>
      <c r="D1480" t="s">
        <v>7370</v>
      </c>
      <c r="E1480">
        <v>1</v>
      </c>
      <c r="F1480" t="str">
        <f t="shared" si="93"/>
        <v>may</v>
      </c>
      <c r="G1480">
        <v>20</v>
      </c>
      <c r="H1480">
        <v>20</v>
      </c>
      <c r="I1480" t="str">
        <f t="shared" si="92"/>
        <v>1-may-2020</v>
      </c>
      <c r="K1480" s="49">
        <f t="shared" si="94"/>
        <v>43952</v>
      </c>
      <c r="M1480" t="b">
        <f t="shared" si="95"/>
        <v>1</v>
      </c>
    </row>
    <row r="1481" spans="1:13" x14ac:dyDescent="0.3">
      <c r="A1481" s="49">
        <v>45261</v>
      </c>
      <c r="D1481" t="s">
        <v>7359</v>
      </c>
      <c r="E1481">
        <v>1</v>
      </c>
      <c r="F1481" t="str">
        <f t="shared" si="93"/>
        <v>jul</v>
      </c>
      <c r="G1481">
        <v>20</v>
      </c>
      <c r="H1481">
        <v>19</v>
      </c>
      <c r="I1481" t="str">
        <f t="shared" si="92"/>
        <v>1-jul-2019</v>
      </c>
      <c r="K1481" s="49">
        <f t="shared" si="94"/>
        <v>43647</v>
      </c>
      <c r="M1481" t="b">
        <f t="shared" si="95"/>
        <v>1</v>
      </c>
    </row>
    <row r="1482" spans="1:13" x14ac:dyDescent="0.3">
      <c r="A1482" s="49">
        <v>45261</v>
      </c>
      <c r="D1482" t="s">
        <v>7366</v>
      </c>
      <c r="E1482">
        <v>1</v>
      </c>
      <c r="F1482" t="str">
        <f t="shared" si="93"/>
        <v>dic</v>
      </c>
      <c r="G1482">
        <v>20</v>
      </c>
      <c r="H1482">
        <v>21</v>
      </c>
      <c r="I1482" t="str">
        <f t="shared" si="92"/>
        <v>1-dic-2021</v>
      </c>
      <c r="K1482" s="49">
        <f t="shared" si="94"/>
        <v>44531</v>
      </c>
      <c r="M1482" t="b">
        <f t="shared" si="95"/>
        <v>1</v>
      </c>
    </row>
    <row r="1483" spans="1:13" x14ac:dyDescent="0.3">
      <c r="A1483" s="49">
        <v>45261</v>
      </c>
      <c r="D1483" t="s">
        <v>7360</v>
      </c>
      <c r="E1483">
        <v>1</v>
      </c>
      <c r="F1483" t="str">
        <f t="shared" si="93"/>
        <v>nov</v>
      </c>
      <c r="G1483">
        <v>20</v>
      </c>
      <c r="H1483">
        <v>19</v>
      </c>
      <c r="I1483" t="str">
        <f t="shared" si="92"/>
        <v>1-nov-2019</v>
      </c>
      <c r="K1483" s="49">
        <f t="shared" si="94"/>
        <v>43770</v>
      </c>
      <c r="M1483" t="b">
        <f t="shared" si="95"/>
        <v>1</v>
      </c>
    </row>
    <row r="1484" spans="1:13" x14ac:dyDescent="0.3">
      <c r="A1484" s="49">
        <v>45261</v>
      </c>
      <c r="D1484" t="s">
        <v>7357</v>
      </c>
      <c r="E1484">
        <v>1</v>
      </c>
      <c r="F1484" t="str">
        <f t="shared" si="93"/>
        <v>oct</v>
      </c>
      <c r="G1484">
        <v>20</v>
      </c>
      <c r="H1484">
        <v>21</v>
      </c>
      <c r="I1484" t="str">
        <f t="shared" si="92"/>
        <v>1-oct-2021</v>
      </c>
      <c r="K1484" s="49">
        <f t="shared" si="94"/>
        <v>44470</v>
      </c>
      <c r="M1484" t="b">
        <f t="shared" si="95"/>
        <v>1</v>
      </c>
    </row>
    <row r="1485" spans="1:13" x14ac:dyDescent="0.3">
      <c r="A1485" s="49">
        <v>45261</v>
      </c>
      <c r="D1485" t="s">
        <v>7367</v>
      </c>
      <c r="E1485">
        <v>1</v>
      </c>
      <c r="F1485" t="str">
        <f t="shared" si="93"/>
        <v>jun</v>
      </c>
      <c r="G1485">
        <v>20</v>
      </c>
      <c r="H1485">
        <v>20</v>
      </c>
      <c r="I1485" t="str">
        <f t="shared" si="92"/>
        <v>1-jun-2020</v>
      </c>
      <c r="K1485" s="49">
        <f t="shared" si="94"/>
        <v>43983</v>
      </c>
      <c r="M1485" t="b">
        <f t="shared" si="95"/>
        <v>1</v>
      </c>
    </row>
    <row r="1486" spans="1:13" x14ac:dyDescent="0.3">
      <c r="A1486" s="49">
        <v>45261</v>
      </c>
      <c r="D1486" t="s">
        <v>7367</v>
      </c>
      <c r="E1486">
        <v>1</v>
      </c>
      <c r="F1486" t="str">
        <f t="shared" si="93"/>
        <v>jun</v>
      </c>
      <c r="G1486">
        <v>20</v>
      </c>
      <c r="H1486">
        <v>23</v>
      </c>
      <c r="I1486" t="str">
        <f t="shared" si="92"/>
        <v>1-jun-2023</v>
      </c>
      <c r="K1486" s="49">
        <f t="shared" si="94"/>
        <v>45078</v>
      </c>
      <c r="M1486" t="b">
        <f t="shared" si="95"/>
        <v>1</v>
      </c>
    </row>
    <row r="1487" spans="1:13" x14ac:dyDescent="0.3">
      <c r="A1487" s="49">
        <v>45261</v>
      </c>
      <c r="D1487" t="s">
        <v>7363</v>
      </c>
      <c r="E1487">
        <v>1</v>
      </c>
      <c r="F1487" t="str">
        <f t="shared" si="93"/>
        <v>feb</v>
      </c>
      <c r="G1487">
        <v>20</v>
      </c>
      <c r="H1487">
        <v>25</v>
      </c>
      <c r="I1487" t="str">
        <f t="shared" si="92"/>
        <v>1-feb-2025</v>
      </c>
      <c r="K1487" s="49">
        <f t="shared" si="94"/>
        <v>45689</v>
      </c>
      <c r="M1487" t="b">
        <f t="shared" si="95"/>
        <v>0</v>
      </c>
    </row>
    <row r="1488" spans="1:13" x14ac:dyDescent="0.3">
      <c r="A1488" s="49">
        <v>45261</v>
      </c>
      <c r="D1488" t="s">
        <v>7368</v>
      </c>
      <c r="E1488">
        <v>1</v>
      </c>
      <c r="F1488" t="str">
        <f t="shared" si="93"/>
        <v>mar</v>
      </c>
      <c r="G1488">
        <v>20</v>
      </c>
      <c r="H1488">
        <v>14</v>
      </c>
      <c r="I1488" t="str">
        <f t="shared" si="92"/>
        <v>1-mar-2014</v>
      </c>
      <c r="K1488" s="49">
        <f t="shared" si="94"/>
        <v>41699</v>
      </c>
      <c r="M1488" t="b">
        <f t="shared" si="95"/>
        <v>1</v>
      </c>
    </row>
    <row r="1489" spans="1:13" x14ac:dyDescent="0.3">
      <c r="A1489" s="49">
        <v>45261</v>
      </c>
      <c r="D1489" t="s">
        <v>7362</v>
      </c>
      <c r="E1489">
        <v>1</v>
      </c>
      <c r="F1489" t="str">
        <f t="shared" si="93"/>
        <v>ago</v>
      </c>
      <c r="G1489">
        <v>20</v>
      </c>
      <c r="H1489">
        <v>23</v>
      </c>
      <c r="I1489" t="str">
        <f t="shared" si="92"/>
        <v>1-ago-2023</v>
      </c>
      <c r="K1489" s="49">
        <f t="shared" si="94"/>
        <v>45139</v>
      </c>
      <c r="M1489" t="b">
        <f t="shared" si="95"/>
        <v>1</v>
      </c>
    </row>
    <row r="1490" spans="1:13" x14ac:dyDescent="0.3">
      <c r="A1490" s="49">
        <v>45261</v>
      </c>
      <c r="D1490" t="s">
        <v>7369</v>
      </c>
      <c r="E1490">
        <v>1</v>
      </c>
      <c r="F1490" t="str">
        <f t="shared" si="93"/>
        <v>abr</v>
      </c>
      <c r="G1490">
        <v>20</v>
      </c>
      <c r="H1490">
        <v>23</v>
      </c>
      <c r="I1490" t="str">
        <f t="shared" si="92"/>
        <v>1-abr-2023</v>
      </c>
      <c r="K1490" s="49">
        <f t="shared" si="94"/>
        <v>45017</v>
      </c>
      <c r="M1490" t="b">
        <f t="shared" si="95"/>
        <v>1</v>
      </c>
    </row>
    <row r="1491" spans="1:13" x14ac:dyDescent="0.3">
      <c r="A1491" s="49">
        <v>45261</v>
      </c>
      <c r="D1491" t="s">
        <v>7357</v>
      </c>
      <c r="E1491">
        <v>1</v>
      </c>
      <c r="F1491" t="str">
        <f t="shared" si="93"/>
        <v>oct</v>
      </c>
      <c r="G1491">
        <v>20</v>
      </c>
      <c r="H1491">
        <v>20</v>
      </c>
      <c r="I1491" t="str">
        <f t="shared" si="92"/>
        <v>1-oct-2020</v>
      </c>
      <c r="K1491" s="49">
        <f t="shared" si="94"/>
        <v>44105</v>
      </c>
      <c r="M1491" t="b">
        <f t="shared" si="95"/>
        <v>1</v>
      </c>
    </row>
    <row r="1492" spans="1:13" x14ac:dyDescent="0.3">
      <c r="A1492" s="49">
        <v>45261</v>
      </c>
      <c r="D1492" t="s">
        <v>7370</v>
      </c>
      <c r="E1492">
        <v>1</v>
      </c>
      <c r="F1492" t="str">
        <f t="shared" si="93"/>
        <v>may</v>
      </c>
      <c r="G1492">
        <v>20</v>
      </c>
      <c r="H1492">
        <v>23</v>
      </c>
      <c r="I1492" t="str">
        <f t="shared" si="92"/>
        <v>1-may-2023</v>
      </c>
      <c r="K1492" s="49">
        <f t="shared" si="94"/>
        <v>45047</v>
      </c>
      <c r="M1492" t="b">
        <f t="shared" si="95"/>
        <v>1</v>
      </c>
    </row>
    <row r="1493" spans="1:13" x14ac:dyDescent="0.3">
      <c r="A1493" s="49">
        <v>45261</v>
      </c>
      <c r="D1493" t="s">
        <v>7367</v>
      </c>
      <c r="E1493">
        <v>1</v>
      </c>
      <c r="F1493" t="str">
        <f t="shared" si="93"/>
        <v>jun</v>
      </c>
      <c r="G1493">
        <v>20</v>
      </c>
      <c r="H1493">
        <v>21</v>
      </c>
      <c r="I1493" t="str">
        <f t="shared" si="92"/>
        <v>1-jun-2021</v>
      </c>
      <c r="K1493" s="49">
        <f t="shared" si="94"/>
        <v>44348</v>
      </c>
      <c r="M1493" t="b">
        <f t="shared" si="95"/>
        <v>1</v>
      </c>
    </row>
    <row r="1494" spans="1:13" x14ac:dyDescent="0.3">
      <c r="A1494" s="49">
        <v>45261</v>
      </c>
      <c r="D1494" t="s">
        <v>7357</v>
      </c>
      <c r="E1494">
        <v>1</v>
      </c>
      <c r="F1494" t="str">
        <f t="shared" si="93"/>
        <v>oct</v>
      </c>
      <c r="G1494">
        <v>20</v>
      </c>
      <c r="H1494">
        <v>20</v>
      </c>
      <c r="I1494" t="str">
        <f t="shared" si="92"/>
        <v>1-oct-2020</v>
      </c>
      <c r="K1494" s="49">
        <f t="shared" si="94"/>
        <v>44105</v>
      </c>
      <c r="M1494" t="b">
        <f t="shared" si="95"/>
        <v>1</v>
      </c>
    </row>
    <row r="1495" spans="1:13" x14ac:dyDescent="0.3">
      <c r="A1495" s="49">
        <v>45261</v>
      </c>
      <c r="D1495" t="s">
        <v>7370</v>
      </c>
      <c r="E1495">
        <v>1</v>
      </c>
      <c r="F1495" t="str">
        <f t="shared" si="93"/>
        <v>may</v>
      </c>
      <c r="G1495">
        <v>20</v>
      </c>
      <c r="H1495">
        <v>19</v>
      </c>
      <c r="I1495" t="str">
        <f t="shared" si="92"/>
        <v>1-may-2019</v>
      </c>
      <c r="K1495" s="49">
        <f t="shared" si="94"/>
        <v>43586</v>
      </c>
      <c r="M1495" t="b">
        <f t="shared" si="95"/>
        <v>1</v>
      </c>
    </row>
    <row r="1496" spans="1:13" x14ac:dyDescent="0.3">
      <c r="A1496" s="49">
        <v>45261</v>
      </c>
      <c r="D1496" t="s">
        <v>7370</v>
      </c>
      <c r="E1496">
        <v>1</v>
      </c>
      <c r="F1496" t="str">
        <f t="shared" si="93"/>
        <v>may</v>
      </c>
      <c r="G1496">
        <v>20</v>
      </c>
      <c r="H1496">
        <v>19</v>
      </c>
      <c r="I1496" t="str">
        <f t="shared" si="92"/>
        <v>1-may-2019</v>
      </c>
      <c r="K1496" s="49">
        <f t="shared" si="94"/>
        <v>43586</v>
      </c>
      <c r="M1496" t="b">
        <f t="shared" si="95"/>
        <v>1</v>
      </c>
    </row>
    <row r="1497" spans="1:13" x14ac:dyDescent="0.3">
      <c r="A1497" s="49">
        <v>45261</v>
      </c>
      <c r="D1497" t="s">
        <v>7370</v>
      </c>
      <c r="E1497">
        <v>1</v>
      </c>
      <c r="F1497" t="str">
        <f t="shared" si="93"/>
        <v>may</v>
      </c>
      <c r="G1497">
        <v>20</v>
      </c>
      <c r="H1497">
        <v>19</v>
      </c>
      <c r="I1497" t="str">
        <f t="shared" si="92"/>
        <v>1-may-2019</v>
      </c>
      <c r="K1497" s="49">
        <f t="shared" si="94"/>
        <v>43586</v>
      </c>
      <c r="M1497" t="b">
        <f t="shared" si="95"/>
        <v>1</v>
      </c>
    </row>
    <row r="1498" spans="1:13" x14ac:dyDescent="0.3">
      <c r="A1498" s="49">
        <v>45261</v>
      </c>
      <c r="D1498" t="s">
        <v>7370</v>
      </c>
      <c r="E1498">
        <v>1</v>
      </c>
      <c r="F1498" t="str">
        <f t="shared" si="93"/>
        <v>may</v>
      </c>
      <c r="G1498">
        <v>20</v>
      </c>
      <c r="H1498">
        <v>19</v>
      </c>
      <c r="I1498" t="str">
        <f t="shared" si="92"/>
        <v>1-may-2019</v>
      </c>
      <c r="K1498" s="49">
        <f t="shared" si="94"/>
        <v>43586</v>
      </c>
      <c r="M1498" t="b">
        <f t="shared" si="95"/>
        <v>1</v>
      </c>
    </row>
    <row r="1499" spans="1:13" x14ac:dyDescent="0.3">
      <c r="A1499" s="49">
        <v>45261</v>
      </c>
      <c r="D1499" t="s">
        <v>7367</v>
      </c>
      <c r="E1499">
        <v>1</v>
      </c>
      <c r="F1499" t="str">
        <f t="shared" si="93"/>
        <v>jun</v>
      </c>
      <c r="G1499">
        <v>20</v>
      </c>
      <c r="H1499">
        <v>21</v>
      </c>
      <c r="I1499" t="str">
        <f t="shared" si="92"/>
        <v>1-jun-2021</v>
      </c>
      <c r="K1499" s="49">
        <f t="shared" si="94"/>
        <v>44348</v>
      </c>
      <c r="M1499" t="b">
        <f t="shared" si="95"/>
        <v>1</v>
      </c>
    </row>
    <row r="1500" spans="1:13" x14ac:dyDescent="0.3">
      <c r="A1500" s="49">
        <v>45261</v>
      </c>
      <c r="D1500" t="s">
        <v>7363</v>
      </c>
      <c r="E1500">
        <v>1</v>
      </c>
      <c r="F1500" t="str">
        <f t="shared" si="93"/>
        <v>feb</v>
      </c>
      <c r="G1500">
        <v>20</v>
      </c>
      <c r="H1500">
        <v>20</v>
      </c>
      <c r="I1500" t="str">
        <f t="shared" si="92"/>
        <v>1-feb-2020</v>
      </c>
      <c r="K1500" s="49">
        <f t="shared" si="94"/>
        <v>43862</v>
      </c>
      <c r="M1500" t="b">
        <f t="shared" si="95"/>
        <v>1</v>
      </c>
    </row>
    <row r="1501" spans="1:13" x14ac:dyDescent="0.3">
      <c r="A1501" s="49">
        <v>45261</v>
      </c>
      <c r="D1501" t="s">
        <v>7370</v>
      </c>
      <c r="E1501">
        <v>1</v>
      </c>
      <c r="F1501" t="str">
        <f t="shared" si="93"/>
        <v>may</v>
      </c>
      <c r="G1501">
        <v>20</v>
      </c>
      <c r="H1501">
        <v>23</v>
      </c>
      <c r="I1501" t="str">
        <f t="shared" si="92"/>
        <v>1-may-2023</v>
      </c>
      <c r="K1501" s="49">
        <f t="shared" si="94"/>
        <v>45047</v>
      </c>
      <c r="M1501" t="b">
        <f t="shared" si="95"/>
        <v>1</v>
      </c>
    </row>
    <row r="1502" spans="1:13" x14ac:dyDescent="0.3">
      <c r="A1502" s="49">
        <v>45261</v>
      </c>
      <c r="D1502" t="s">
        <v>7363</v>
      </c>
      <c r="E1502">
        <v>1</v>
      </c>
      <c r="F1502" t="str">
        <f t="shared" si="93"/>
        <v>feb</v>
      </c>
      <c r="G1502">
        <v>20</v>
      </c>
      <c r="H1502">
        <v>23</v>
      </c>
      <c r="I1502" t="str">
        <f t="shared" si="92"/>
        <v>1-feb-2023</v>
      </c>
      <c r="K1502" s="49">
        <f t="shared" si="94"/>
        <v>44958</v>
      </c>
      <c r="M1502" t="b">
        <f t="shared" si="95"/>
        <v>1</v>
      </c>
    </row>
    <row r="1503" spans="1:13" x14ac:dyDescent="0.3">
      <c r="A1503" s="49">
        <v>45261</v>
      </c>
      <c r="D1503" t="s">
        <v>7356</v>
      </c>
      <c r="E1503">
        <v>1</v>
      </c>
      <c r="F1503" t="str">
        <f t="shared" si="93"/>
        <v>ene</v>
      </c>
      <c r="G1503">
        <v>20</v>
      </c>
      <c r="H1503">
        <v>22</v>
      </c>
      <c r="I1503" t="str">
        <f t="shared" si="92"/>
        <v>1-ene-2022</v>
      </c>
      <c r="K1503" s="49">
        <f t="shared" si="94"/>
        <v>44562</v>
      </c>
      <c r="M1503" t="b">
        <f t="shared" si="95"/>
        <v>1</v>
      </c>
    </row>
    <row r="1504" spans="1:13" x14ac:dyDescent="0.3">
      <c r="A1504" s="49">
        <v>45261</v>
      </c>
      <c r="D1504" t="s">
        <v>7355</v>
      </c>
      <c r="E1504">
        <v>1</v>
      </c>
      <c r="F1504" t="str">
        <f t="shared" si="93"/>
        <v>sep</v>
      </c>
      <c r="G1504">
        <v>20</v>
      </c>
      <c r="H1504">
        <v>19</v>
      </c>
      <c r="I1504" t="str">
        <f t="shared" si="92"/>
        <v>1-sep-2019</v>
      </c>
      <c r="K1504" s="49">
        <f t="shared" si="94"/>
        <v>43709</v>
      </c>
      <c r="M1504" t="b">
        <f t="shared" si="95"/>
        <v>1</v>
      </c>
    </row>
    <row r="1505" spans="1:13" x14ac:dyDescent="0.3">
      <c r="A1505" s="49">
        <v>45261</v>
      </c>
      <c r="D1505" t="s">
        <v>7368</v>
      </c>
      <c r="E1505">
        <v>1</v>
      </c>
      <c r="F1505" t="str">
        <f t="shared" si="93"/>
        <v>mar</v>
      </c>
      <c r="G1505">
        <v>20</v>
      </c>
      <c r="H1505">
        <v>22</v>
      </c>
      <c r="I1505" t="str">
        <f t="shared" si="92"/>
        <v>1-mar-2022</v>
      </c>
      <c r="K1505" s="49">
        <f t="shared" si="94"/>
        <v>44621</v>
      </c>
      <c r="M1505" t="b">
        <f t="shared" si="95"/>
        <v>1</v>
      </c>
    </row>
    <row r="1506" spans="1:13" x14ac:dyDescent="0.3">
      <c r="A1506" s="49">
        <v>45261</v>
      </c>
      <c r="D1506" t="s">
        <v>7368</v>
      </c>
      <c r="E1506">
        <v>1</v>
      </c>
      <c r="F1506" t="str">
        <f t="shared" si="93"/>
        <v>mar</v>
      </c>
      <c r="G1506">
        <v>20</v>
      </c>
      <c r="H1506">
        <v>23</v>
      </c>
      <c r="I1506" t="str">
        <f t="shared" si="92"/>
        <v>1-mar-2023</v>
      </c>
      <c r="K1506" s="49">
        <f t="shared" si="94"/>
        <v>44986</v>
      </c>
      <c r="M1506" t="b">
        <f t="shared" si="95"/>
        <v>1</v>
      </c>
    </row>
    <row r="1507" spans="1:13" x14ac:dyDescent="0.3">
      <c r="A1507" s="49">
        <v>45261</v>
      </c>
      <c r="D1507" t="s">
        <v>7359</v>
      </c>
      <c r="E1507">
        <v>1</v>
      </c>
      <c r="F1507" t="str">
        <f t="shared" si="93"/>
        <v>jul</v>
      </c>
      <c r="G1507">
        <v>20</v>
      </c>
      <c r="H1507">
        <v>23</v>
      </c>
      <c r="I1507" t="str">
        <f t="shared" si="92"/>
        <v>1-jul-2023</v>
      </c>
      <c r="K1507" s="49">
        <f t="shared" si="94"/>
        <v>45108</v>
      </c>
      <c r="M1507" t="b">
        <f t="shared" si="95"/>
        <v>1</v>
      </c>
    </row>
    <row r="1508" spans="1:13" x14ac:dyDescent="0.3">
      <c r="A1508" s="49">
        <v>45261</v>
      </c>
      <c r="D1508" t="s">
        <v>7366</v>
      </c>
      <c r="E1508">
        <v>1</v>
      </c>
      <c r="F1508" t="str">
        <f t="shared" si="93"/>
        <v>dic</v>
      </c>
      <c r="G1508">
        <v>20</v>
      </c>
      <c r="H1508">
        <v>19</v>
      </c>
      <c r="I1508" t="str">
        <f t="shared" si="92"/>
        <v>1-dic-2019</v>
      </c>
      <c r="K1508" s="49">
        <f t="shared" si="94"/>
        <v>43800</v>
      </c>
      <c r="M1508" t="b">
        <f t="shared" si="95"/>
        <v>1</v>
      </c>
    </row>
    <row r="1509" spans="1:13" x14ac:dyDescent="0.3">
      <c r="A1509" s="49">
        <v>45261</v>
      </c>
      <c r="D1509" t="s">
        <v>7355</v>
      </c>
      <c r="E1509">
        <v>1</v>
      </c>
      <c r="F1509" t="str">
        <f t="shared" si="93"/>
        <v>sep</v>
      </c>
      <c r="G1509">
        <v>20</v>
      </c>
      <c r="H1509">
        <v>23</v>
      </c>
      <c r="I1509" t="str">
        <f t="shared" si="92"/>
        <v>1-sep-2023</v>
      </c>
      <c r="K1509" s="49">
        <f t="shared" si="94"/>
        <v>45170</v>
      </c>
      <c r="M1509" t="b">
        <f t="shared" si="95"/>
        <v>1</v>
      </c>
    </row>
    <row r="1510" spans="1:13" x14ac:dyDescent="0.3">
      <c r="A1510" s="49">
        <v>45261</v>
      </c>
      <c r="D1510" t="s">
        <v>7356</v>
      </c>
      <c r="E1510">
        <v>1</v>
      </c>
      <c r="F1510" t="str">
        <f t="shared" si="93"/>
        <v>ene</v>
      </c>
      <c r="G1510">
        <v>20</v>
      </c>
      <c r="H1510">
        <v>22</v>
      </c>
      <c r="I1510" t="str">
        <f t="shared" si="92"/>
        <v>1-ene-2022</v>
      </c>
      <c r="K1510" s="49">
        <f t="shared" si="94"/>
        <v>44562</v>
      </c>
      <c r="M1510" t="b">
        <f t="shared" si="95"/>
        <v>1</v>
      </c>
    </row>
    <row r="1511" spans="1:13" x14ac:dyDescent="0.3">
      <c r="A1511" s="49">
        <v>45261</v>
      </c>
      <c r="D1511" t="s">
        <v>7369</v>
      </c>
      <c r="E1511">
        <v>1</v>
      </c>
      <c r="F1511" t="str">
        <f t="shared" si="93"/>
        <v>abr</v>
      </c>
      <c r="G1511">
        <v>20</v>
      </c>
      <c r="H1511">
        <v>23</v>
      </c>
      <c r="I1511" t="str">
        <f t="shared" si="92"/>
        <v>1-abr-2023</v>
      </c>
      <c r="K1511" s="49">
        <f t="shared" si="94"/>
        <v>45017</v>
      </c>
      <c r="M1511" t="b">
        <f t="shared" si="95"/>
        <v>1</v>
      </c>
    </row>
    <row r="1512" spans="1:13" x14ac:dyDescent="0.3">
      <c r="A1512" s="49">
        <v>45261</v>
      </c>
      <c r="D1512" t="s">
        <v>7368</v>
      </c>
      <c r="E1512">
        <v>1</v>
      </c>
      <c r="F1512" t="str">
        <f t="shared" si="93"/>
        <v>mar</v>
      </c>
      <c r="G1512">
        <v>20</v>
      </c>
      <c r="H1512">
        <v>21</v>
      </c>
      <c r="I1512" t="str">
        <f t="shared" si="92"/>
        <v>1-mar-2021</v>
      </c>
      <c r="K1512" s="49">
        <f t="shared" si="94"/>
        <v>44256</v>
      </c>
      <c r="M1512" t="b">
        <f t="shared" si="95"/>
        <v>1</v>
      </c>
    </row>
    <row r="1513" spans="1:13" x14ac:dyDescent="0.3">
      <c r="A1513" s="49">
        <v>45261</v>
      </c>
      <c r="D1513" t="s">
        <v>7369</v>
      </c>
      <c r="E1513">
        <v>1</v>
      </c>
      <c r="F1513" t="str">
        <f t="shared" si="93"/>
        <v>abr</v>
      </c>
      <c r="G1513">
        <v>20</v>
      </c>
      <c r="H1513">
        <v>23</v>
      </c>
      <c r="I1513" t="str">
        <f t="shared" si="92"/>
        <v>1-abr-2023</v>
      </c>
      <c r="K1513" s="49">
        <f t="shared" si="94"/>
        <v>45017</v>
      </c>
      <c r="M1513" t="b">
        <f t="shared" si="95"/>
        <v>1</v>
      </c>
    </row>
    <row r="1514" spans="1:13" x14ac:dyDescent="0.3">
      <c r="A1514" s="49">
        <v>45261</v>
      </c>
      <c r="D1514" t="s">
        <v>7369</v>
      </c>
      <c r="E1514">
        <v>1</v>
      </c>
      <c r="F1514" t="str">
        <f t="shared" si="93"/>
        <v>abr</v>
      </c>
      <c r="G1514">
        <v>20</v>
      </c>
      <c r="H1514">
        <v>23</v>
      </c>
      <c r="I1514" t="str">
        <f t="shared" si="92"/>
        <v>1-abr-2023</v>
      </c>
      <c r="K1514" s="49">
        <f t="shared" si="94"/>
        <v>45017</v>
      </c>
      <c r="M1514" t="b">
        <f t="shared" si="95"/>
        <v>1</v>
      </c>
    </row>
    <row r="1515" spans="1:13" x14ac:dyDescent="0.3">
      <c r="A1515" s="49">
        <v>45261</v>
      </c>
      <c r="D1515" t="s">
        <v>7369</v>
      </c>
      <c r="E1515">
        <v>1</v>
      </c>
      <c r="F1515" t="str">
        <f t="shared" si="93"/>
        <v>abr</v>
      </c>
      <c r="G1515">
        <v>20</v>
      </c>
      <c r="H1515">
        <v>23</v>
      </c>
      <c r="I1515" t="str">
        <f t="shared" si="92"/>
        <v>1-abr-2023</v>
      </c>
      <c r="K1515" s="49">
        <f t="shared" si="94"/>
        <v>45017</v>
      </c>
      <c r="M1515" t="b">
        <f t="shared" si="95"/>
        <v>1</v>
      </c>
    </row>
    <row r="1516" spans="1:13" x14ac:dyDescent="0.3">
      <c r="A1516" s="49">
        <v>45261</v>
      </c>
      <c r="D1516" t="s">
        <v>7357</v>
      </c>
      <c r="E1516">
        <v>1</v>
      </c>
      <c r="F1516" t="str">
        <f t="shared" si="93"/>
        <v>oct</v>
      </c>
      <c r="G1516">
        <v>20</v>
      </c>
      <c r="H1516">
        <v>23</v>
      </c>
      <c r="I1516" t="str">
        <f t="shared" si="92"/>
        <v>1-oct-2023</v>
      </c>
      <c r="K1516" s="49">
        <f t="shared" si="94"/>
        <v>45200</v>
      </c>
      <c r="M1516" t="b">
        <f t="shared" si="95"/>
        <v>1</v>
      </c>
    </row>
    <row r="1517" spans="1:13" x14ac:dyDescent="0.3">
      <c r="A1517" s="49">
        <v>45261</v>
      </c>
      <c r="D1517" t="s">
        <v>7359</v>
      </c>
      <c r="E1517">
        <v>1</v>
      </c>
      <c r="F1517" t="str">
        <f t="shared" si="93"/>
        <v>jul</v>
      </c>
      <c r="G1517">
        <v>20</v>
      </c>
      <c r="H1517">
        <v>24</v>
      </c>
      <c r="I1517" t="str">
        <f t="shared" si="92"/>
        <v>1-jul-2024</v>
      </c>
      <c r="K1517" s="49">
        <f t="shared" si="94"/>
        <v>45474</v>
      </c>
      <c r="M1517" t="b">
        <f t="shared" si="95"/>
        <v>0</v>
      </c>
    </row>
    <row r="1518" spans="1:13" x14ac:dyDescent="0.3">
      <c r="A1518" s="49">
        <v>45261</v>
      </c>
      <c r="D1518" t="s">
        <v>7362</v>
      </c>
      <c r="E1518">
        <v>1</v>
      </c>
      <c r="F1518" t="str">
        <f t="shared" si="93"/>
        <v>ago</v>
      </c>
      <c r="G1518">
        <v>20</v>
      </c>
      <c r="H1518">
        <v>23</v>
      </c>
      <c r="I1518" t="str">
        <f t="shared" si="92"/>
        <v>1-ago-2023</v>
      </c>
      <c r="K1518" s="49">
        <f t="shared" si="94"/>
        <v>45139</v>
      </c>
      <c r="M1518" t="b">
        <f t="shared" si="95"/>
        <v>1</v>
      </c>
    </row>
    <row r="1519" spans="1:13" x14ac:dyDescent="0.3">
      <c r="A1519" s="49">
        <v>45261</v>
      </c>
      <c r="D1519" t="s">
        <v>7360</v>
      </c>
      <c r="E1519">
        <v>1</v>
      </c>
      <c r="F1519" t="str">
        <f t="shared" si="93"/>
        <v>nov</v>
      </c>
      <c r="G1519">
        <v>20</v>
      </c>
      <c r="H1519">
        <v>21</v>
      </c>
      <c r="I1519" t="str">
        <f t="shared" si="92"/>
        <v>1-nov-2021</v>
      </c>
      <c r="K1519" s="49">
        <f t="shared" si="94"/>
        <v>44501</v>
      </c>
      <c r="M1519" t="b">
        <f t="shared" si="95"/>
        <v>1</v>
      </c>
    </row>
    <row r="1520" spans="1:13" x14ac:dyDescent="0.3">
      <c r="A1520" s="49">
        <v>45261</v>
      </c>
      <c r="D1520" t="s">
        <v>7369</v>
      </c>
      <c r="E1520">
        <v>1</v>
      </c>
      <c r="F1520" t="str">
        <f t="shared" si="93"/>
        <v>abr</v>
      </c>
      <c r="G1520">
        <v>20</v>
      </c>
      <c r="H1520">
        <v>23</v>
      </c>
      <c r="I1520" t="str">
        <f t="shared" si="92"/>
        <v>1-abr-2023</v>
      </c>
      <c r="K1520" s="49">
        <f t="shared" si="94"/>
        <v>45017</v>
      </c>
      <c r="M1520" t="b">
        <f t="shared" si="95"/>
        <v>1</v>
      </c>
    </row>
    <row r="1521" spans="1:13" x14ac:dyDescent="0.3">
      <c r="A1521" s="49">
        <v>45261</v>
      </c>
      <c r="D1521" t="s">
        <v>7367</v>
      </c>
      <c r="E1521">
        <v>1</v>
      </c>
      <c r="F1521" t="str">
        <f t="shared" si="93"/>
        <v>jun</v>
      </c>
      <c r="G1521">
        <v>20</v>
      </c>
      <c r="H1521">
        <v>23</v>
      </c>
      <c r="I1521" t="str">
        <f t="shared" si="92"/>
        <v>1-jun-2023</v>
      </c>
      <c r="K1521" s="49">
        <f t="shared" si="94"/>
        <v>45078</v>
      </c>
      <c r="M1521" t="b">
        <f t="shared" si="95"/>
        <v>1</v>
      </c>
    </row>
    <row r="1522" spans="1:13" x14ac:dyDescent="0.3">
      <c r="A1522" s="49">
        <v>45261</v>
      </c>
      <c r="D1522" t="s">
        <v>7368</v>
      </c>
      <c r="E1522">
        <v>1</v>
      </c>
      <c r="F1522" t="str">
        <f t="shared" si="93"/>
        <v>mar</v>
      </c>
      <c r="G1522">
        <v>20</v>
      </c>
      <c r="H1522">
        <v>22</v>
      </c>
      <c r="I1522" t="str">
        <f t="shared" si="92"/>
        <v>1-mar-2022</v>
      </c>
      <c r="K1522" s="49">
        <f t="shared" si="94"/>
        <v>44621</v>
      </c>
      <c r="M1522" t="b">
        <f t="shared" si="95"/>
        <v>1</v>
      </c>
    </row>
    <row r="1523" spans="1:13" x14ac:dyDescent="0.3">
      <c r="A1523" s="49">
        <v>45261</v>
      </c>
      <c r="D1523" t="s">
        <v>7362</v>
      </c>
      <c r="E1523">
        <v>1</v>
      </c>
      <c r="F1523" t="str">
        <f t="shared" si="93"/>
        <v>ago</v>
      </c>
      <c r="G1523">
        <v>20</v>
      </c>
      <c r="H1523">
        <v>23</v>
      </c>
      <c r="I1523" t="str">
        <f t="shared" si="92"/>
        <v>1-ago-2023</v>
      </c>
      <c r="K1523" s="49">
        <f t="shared" si="94"/>
        <v>45139</v>
      </c>
      <c r="M1523" t="b">
        <f t="shared" si="95"/>
        <v>1</v>
      </c>
    </row>
    <row r="1524" spans="1:13" x14ac:dyDescent="0.3">
      <c r="A1524" s="49">
        <v>45261</v>
      </c>
      <c r="D1524" t="s">
        <v>7362</v>
      </c>
      <c r="E1524">
        <v>1</v>
      </c>
      <c r="F1524" t="str">
        <f t="shared" si="93"/>
        <v>ago</v>
      </c>
      <c r="G1524">
        <v>20</v>
      </c>
      <c r="H1524">
        <v>23</v>
      </c>
      <c r="I1524" t="str">
        <f t="shared" si="92"/>
        <v>1-ago-2023</v>
      </c>
      <c r="K1524" s="49">
        <f t="shared" si="94"/>
        <v>45139</v>
      </c>
      <c r="M1524" t="b">
        <f t="shared" si="95"/>
        <v>1</v>
      </c>
    </row>
    <row r="1525" spans="1:13" x14ac:dyDescent="0.3">
      <c r="A1525" s="49">
        <v>45261</v>
      </c>
      <c r="D1525" t="s">
        <v>7355</v>
      </c>
      <c r="E1525">
        <v>1</v>
      </c>
      <c r="F1525" t="str">
        <f t="shared" si="93"/>
        <v>sep</v>
      </c>
      <c r="G1525">
        <v>20</v>
      </c>
      <c r="H1525">
        <v>21</v>
      </c>
      <c r="I1525" t="str">
        <f t="shared" si="92"/>
        <v>1-sep-2021</v>
      </c>
      <c r="K1525" s="49">
        <f t="shared" si="94"/>
        <v>44440</v>
      </c>
      <c r="M1525" t="b">
        <f t="shared" si="95"/>
        <v>1</v>
      </c>
    </row>
    <row r="1526" spans="1:13" x14ac:dyDescent="0.3">
      <c r="A1526" s="49">
        <v>45261</v>
      </c>
      <c r="D1526" t="s">
        <v>7359</v>
      </c>
      <c r="E1526">
        <v>1</v>
      </c>
      <c r="F1526" t="str">
        <f t="shared" si="93"/>
        <v>jul</v>
      </c>
      <c r="G1526">
        <v>20</v>
      </c>
      <c r="H1526">
        <v>23</v>
      </c>
      <c r="I1526" t="str">
        <f t="shared" si="92"/>
        <v>1-jul-2023</v>
      </c>
      <c r="K1526" s="49">
        <f t="shared" si="94"/>
        <v>45108</v>
      </c>
      <c r="M1526" t="b">
        <f t="shared" si="95"/>
        <v>1</v>
      </c>
    </row>
    <row r="1527" spans="1:13" x14ac:dyDescent="0.3">
      <c r="A1527" s="49">
        <v>45261</v>
      </c>
      <c r="D1527" t="s">
        <v>7357</v>
      </c>
      <c r="E1527">
        <v>1</v>
      </c>
      <c r="F1527" t="str">
        <f t="shared" si="93"/>
        <v>oct</v>
      </c>
      <c r="G1527">
        <v>20</v>
      </c>
      <c r="H1527">
        <v>23</v>
      </c>
      <c r="I1527" t="str">
        <f t="shared" si="92"/>
        <v>1-oct-2023</v>
      </c>
      <c r="K1527" s="49">
        <f t="shared" si="94"/>
        <v>45200</v>
      </c>
      <c r="M1527" t="b">
        <f t="shared" si="95"/>
        <v>1</v>
      </c>
    </row>
    <row r="1528" spans="1:13" x14ac:dyDescent="0.3">
      <c r="A1528" s="49">
        <v>45261</v>
      </c>
      <c r="D1528" t="s">
        <v>7362</v>
      </c>
      <c r="E1528">
        <v>1</v>
      </c>
      <c r="F1528" t="str">
        <f t="shared" si="93"/>
        <v>ago</v>
      </c>
      <c r="G1528">
        <v>20</v>
      </c>
      <c r="H1528">
        <v>24</v>
      </c>
      <c r="I1528" t="str">
        <f t="shared" si="92"/>
        <v>1-ago-2024</v>
      </c>
      <c r="K1528" s="49">
        <f t="shared" si="94"/>
        <v>45505</v>
      </c>
      <c r="M1528" t="b">
        <f t="shared" si="95"/>
        <v>0</v>
      </c>
    </row>
    <row r="1529" spans="1:13" x14ac:dyDescent="0.3">
      <c r="A1529" s="49">
        <v>45261</v>
      </c>
      <c r="D1529" t="s">
        <v>7369</v>
      </c>
      <c r="E1529">
        <v>1</v>
      </c>
      <c r="F1529" t="str">
        <f t="shared" si="93"/>
        <v>abr</v>
      </c>
      <c r="G1529">
        <v>20</v>
      </c>
      <c r="H1529">
        <v>24</v>
      </c>
      <c r="I1529" t="str">
        <f t="shared" si="92"/>
        <v>1-abr-2024</v>
      </c>
      <c r="K1529" s="49">
        <f t="shared" si="94"/>
        <v>45383</v>
      </c>
      <c r="M1529" t="b">
        <f t="shared" si="95"/>
        <v>0</v>
      </c>
    </row>
    <row r="1530" spans="1:13" x14ac:dyDescent="0.3">
      <c r="A1530" s="49">
        <v>45261</v>
      </c>
      <c r="D1530" t="s">
        <v>7369</v>
      </c>
      <c r="E1530">
        <v>1</v>
      </c>
      <c r="F1530" t="str">
        <f t="shared" si="93"/>
        <v>abr</v>
      </c>
      <c r="G1530">
        <v>20</v>
      </c>
      <c r="H1530">
        <v>23</v>
      </c>
      <c r="I1530" t="str">
        <f t="shared" si="92"/>
        <v>1-abr-2023</v>
      </c>
      <c r="K1530" s="49">
        <f t="shared" si="94"/>
        <v>45017</v>
      </c>
      <c r="M1530" t="b">
        <f t="shared" si="95"/>
        <v>1</v>
      </c>
    </row>
    <row r="1531" spans="1:13" x14ac:dyDescent="0.3">
      <c r="A1531" s="49">
        <v>45261</v>
      </c>
      <c r="D1531" t="s">
        <v>7362</v>
      </c>
      <c r="E1531">
        <v>1</v>
      </c>
      <c r="F1531" t="str">
        <f t="shared" si="93"/>
        <v>ago</v>
      </c>
      <c r="G1531">
        <v>20</v>
      </c>
      <c r="H1531">
        <v>23</v>
      </c>
      <c r="I1531" t="str">
        <f t="shared" si="92"/>
        <v>1-ago-2023</v>
      </c>
      <c r="K1531" s="49">
        <f t="shared" si="94"/>
        <v>45139</v>
      </c>
      <c r="M1531" t="b">
        <f t="shared" si="95"/>
        <v>1</v>
      </c>
    </row>
    <row r="1532" spans="1:13" x14ac:dyDescent="0.3">
      <c r="A1532" s="49">
        <v>45261</v>
      </c>
      <c r="D1532" t="s">
        <v>7362</v>
      </c>
      <c r="E1532">
        <v>1</v>
      </c>
      <c r="F1532" t="str">
        <f t="shared" si="93"/>
        <v>ago</v>
      </c>
      <c r="G1532">
        <v>20</v>
      </c>
      <c r="H1532">
        <v>23</v>
      </c>
      <c r="I1532" t="str">
        <f t="shared" si="92"/>
        <v>1-ago-2023</v>
      </c>
      <c r="K1532" s="49">
        <f t="shared" si="94"/>
        <v>45139</v>
      </c>
      <c r="M1532" t="b">
        <f t="shared" si="95"/>
        <v>1</v>
      </c>
    </row>
    <row r="1533" spans="1:13" x14ac:dyDescent="0.3">
      <c r="A1533" s="49">
        <v>45261</v>
      </c>
      <c r="D1533" t="s">
        <v>7362</v>
      </c>
      <c r="E1533">
        <v>1</v>
      </c>
      <c r="F1533" t="str">
        <f t="shared" si="93"/>
        <v>ago</v>
      </c>
      <c r="G1533">
        <v>20</v>
      </c>
      <c r="H1533">
        <v>23</v>
      </c>
      <c r="I1533" t="str">
        <f t="shared" si="92"/>
        <v>1-ago-2023</v>
      </c>
      <c r="K1533" s="49">
        <f t="shared" si="94"/>
        <v>45139</v>
      </c>
      <c r="M1533" t="b">
        <f t="shared" si="95"/>
        <v>1</v>
      </c>
    </row>
    <row r="1534" spans="1:13" x14ac:dyDescent="0.3">
      <c r="A1534" s="49">
        <v>45261</v>
      </c>
      <c r="D1534" t="s">
        <v>7366</v>
      </c>
      <c r="E1534">
        <v>1</v>
      </c>
      <c r="F1534" t="str">
        <f t="shared" si="93"/>
        <v>dic</v>
      </c>
      <c r="G1534">
        <v>20</v>
      </c>
      <c r="H1534">
        <v>22</v>
      </c>
      <c r="I1534" t="str">
        <f t="shared" si="92"/>
        <v>1-dic-2022</v>
      </c>
      <c r="K1534" s="49">
        <f t="shared" si="94"/>
        <v>44896</v>
      </c>
      <c r="M1534" t="b">
        <f t="shared" si="95"/>
        <v>1</v>
      </c>
    </row>
    <row r="1535" spans="1:13" x14ac:dyDescent="0.3">
      <c r="A1535" s="49">
        <v>45261</v>
      </c>
      <c r="D1535" t="s">
        <v>7363</v>
      </c>
      <c r="E1535">
        <v>1</v>
      </c>
      <c r="F1535" t="str">
        <f t="shared" si="93"/>
        <v>feb</v>
      </c>
      <c r="G1535">
        <v>20</v>
      </c>
      <c r="H1535">
        <v>22</v>
      </c>
      <c r="I1535" t="str">
        <f t="shared" si="92"/>
        <v>1-feb-2022</v>
      </c>
      <c r="K1535" s="49">
        <f t="shared" si="94"/>
        <v>44593</v>
      </c>
      <c r="M1535" t="b">
        <f t="shared" si="95"/>
        <v>1</v>
      </c>
    </row>
    <row r="1536" spans="1:13" x14ac:dyDescent="0.3">
      <c r="A1536" s="49">
        <v>45261</v>
      </c>
      <c r="D1536" t="s">
        <v>7368</v>
      </c>
      <c r="E1536">
        <v>1</v>
      </c>
      <c r="F1536" t="str">
        <f t="shared" si="93"/>
        <v>mar</v>
      </c>
      <c r="G1536">
        <v>20</v>
      </c>
      <c r="H1536">
        <v>19</v>
      </c>
      <c r="I1536" t="str">
        <f t="shared" si="92"/>
        <v>1-mar-2019</v>
      </c>
      <c r="K1536" s="49">
        <f t="shared" si="94"/>
        <v>43525</v>
      </c>
      <c r="M1536" t="b">
        <f t="shared" si="95"/>
        <v>1</v>
      </c>
    </row>
    <row r="1537" spans="1:13" x14ac:dyDescent="0.3">
      <c r="A1537" s="49">
        <v>45261</v>
      </c>
      <c r="D1537" t="s">
        <v>7366</v>
      </c>
      <c r="E1537">
        <v>1</v>
      </c>
      <c r="F1537" t="str">
        <f t="shared" si="93"/>
        <v>dic</v>
      </c>
      <c r="G1537">
        <v>20</v>
      </c>
      <c r="H1537">
        <v>22</v>
      </c>
      <c r="I1537" t="str">
        <f t="shared" ref="I1537:I1600" si="96">_xlfn.CONCAT(E1537,"-",F1537,"-",G1537,H1537)</f>
        <v>1-dic-2022</v>
      </c>
      <c r="K1537" s="49">
        <f t="shared" si="94"/>
        <v>44896</v>
      </c>
      <c r="M1537" t="b">
        <f t="shared" si="95"/>
        <v>1</v>
      </c>
    </row>
    <row r="1538" spans="1:13" x14ac:dyDescent="0.3">
      <c r="A1538" s="49">
        <v>45261</v>
      </c>
      <c r="D1538" t="s">
        <v>7366</v>
      </c>
      <c r="E1538">
        <v>1</v>
      </c>
      <c r="F1538" t="str">
        <f t="shared" ref="F1538:F1601" si="97">LOWER(D1538)</f>
        <v>dic</v>
      </c>
      <c r="G1538">
        <v>20</v>
      </c>
      <c r="H1538">
        <v>23</v>
      </c>
      <c r="I1538" t="str">
        <f t="shared" si="96"/>
        <v>1-dic-2023</v>
      </c>
      <c r="K1538" s="49">
        <f t="shared" ref="K1538:K1601" si="98">DATEVALUE(I1538)</f>
        <v>45261</v>
      </c>
      <c r="M1538" t="b">
        <f t="shared" si="95"/>
        <v>0</v>
      </c>
    </row>
    <row r="1539" spans="1:13" x14ac:dyDescent="0.3">
      <c r="A1539" s="49">
        <v>45261</v>
      </c>
      <c r="D1539" t="s">
        <v>7360</v>
      </c>
      <c r="E1539">
        <v>1</v>
      </c>
      <c r="F1539" t="str">
        <f t="shared" si="97"/>
        <v>nov</v>
      </c>
      <c r="G1539">
        <v>20</v>
      </c>
      <c r="H1539">
        <v>20</v>
      </c>
      <c r="I1539" t="str">
        <f t="shared" si="96"/>
        <v>1-nov-2020</v>
      </c>
      <c r="K1539" s="49">
        <f t="shared" si="98"/>
        <v>44136</v>
      </c>
      <c r="M1539" t="b">
        <f t="shared" ref="M1539:M1602" si="99">K1539&lt;A1539</f>
        <v>1</v>
      </c>
    </row>
    <row r="1540" spans="1:13" x14ac:dyDescent="0.3">
      <c r="A1540" s="49">
        <v>45261</v>
      </c>
      <c r="D1540" t="s">
        <v>7360</v>
      </c>
      <c r="E1540">
        <v>1</v>
      </c>
      <c r="F1540" t="str">
        <f t="shared" si="97"/>
        <v>nov</v>
      </c>
      <c r="G1540">
        <v>20</v>
      </c>
      <c r="H1540">
        <v>20</v>
      </c>
      <c r="I1540" t="str">
        <f t="shared" si="96"/>
        <v>1-nov-2020</v>
      </c>
      <c r="K1540" s="49">
        <f t="shared" si="98"/>
        <v>44136</v>
      </c>
      <c r="M1540" t="b">
        <f t="shared" si="99"/>
        <v>1</v>
      </c>
    </row>
    <row r="1541" spans="1:13" x14ac:dyDescent="0.3">
      <c r="A1541" s="49">
        <v>45261</v>
      </c>
      <c r="D1541" t="s">
        <v>3586</v>
      </c>
      <c r="E1541">
        <v>1</v>
      </c>
      <c r="F1541" t="str">
        <f t="shared" si="97"/>
        <v>---</v>
      </c>
      <c r="G1541">
        <v>20</v>
      </c>
      <c r="H1541" t="s">
        <v>3911</v>
      </c>
      <c r="I1541" t="str">
        <f t="shared" si="96"/>
        <v>1-----20--</v>
      </c>
      <c r="K1541" s="49" t="e">
        <f t="shared" si="98"/>
        <v>#VALUE!</v>
      </c>
      <c r="M1541" t="e">
        <f t="shared" si="99"/>
        <v>#VALUE!</v>
      </c>
    </row>
    <row r="1542" spans="1:13" x14ac:dyDescent="0.3">
      <c r="A1542" s="49">
        <v>45261</v>
      </c>
      <c r="D1542" t="s">
        <v>7368</v>
      </c>
      <c r="E1542">
        <v>1</v>
      </c>
      <c r="F1542" t="str">
        <f t="shared" si="97"/>
        <v>mar</v>
      </c>
      <c r="G1542">
        <v>20</v>
      </c>
      <c r="H1542">
        <v>17</v>
      </c>
      <c r="I1542" t="str">
        <f t="shared" si="96"/>
        <v>1-mar-2017</v>
      </c>
      <c r="K1542" s="49">
        <f t="shared" si="98"/>
        <v>42795</v>
      </c>
      <c r="M1542" t="b">
        <f t="shared" si="99"/>
        <v>1</v>
      </c>
    </row>
    <row r="1543" spans="1:13" x14ac:dyDescent="0.3">
      <c r="A1543" s="49">
        <v>45261</v>
      </c>
      <c r="D1543" t="s">
        <v>7360</v>
      </c>
      <c r="E1543">
        <v>1</v>
      </c>
      <c r="F1543" t="str">
        <f t="shared" si="97"/>
        <v>nov</v>
      </c>
      <c r="G1543">
        <v>20</v>
      </c>
      <c r="H1543">
        <v>20</v>
      </c>
      <c r="I1543" t="str">
        <f t="shared" si="96"/>
        <v>1-nov-2020</v>
      </c>
      <c r="K1543" s="49">
        <f t="shared" si="98"/>
        <v>44136</v>
      </c>
      <c r="M1543" t="b">
        <f t="shared" si="99"/>
        <v>1</v>
      </c>
    </row>
    <row r="1544" spans="1:13" x14ac:dyDescent="0.3">
      <c r="A1544" s="49">
        <v>45261</v>
      </c>
      <c r="D1544" t="s">
        <v>7360</v>
      </c>
      <c r="E1544">
        <v>1</v>
      </c>
      <c r="F1544" t="str">
        <f t="shared" si="97"/>
        <v>nov</v>
      </c>
      <c r="G1544">
        <v>20</v>
      </c>
      <c r="H1544">
        <v>21</v>
      </c>
      <c r="I1544" t="str">
        <f t="shared" si="96"/>
        <v>1-nov-2021</v>
      </c>
      <c r="K1544" s="49">
        <f t="shared" si="98"/>
        <v>44501</v>
      </c>
      <c r="M1544" t="b">
        <f t="shared" si="99"/>
        <v>1</v>
      </c>
    </row>
    <row r="1545" spans="1:13" x14ac:dyDescent="0.3">
      <c r="A1545" s="49">
        <v>45261</v>
      </c>
      <c r="D1545" t="s">
        <v>7367</v>
      </c>
      <c r="E1545">
        <v>1</v>
      </c>
      <c r="F1545" t="str">
        <f t="shared" si="97"/>
        <v>jun</v>
      </c>
      <c r="G1545">
        <v>20</v>
      </c>
      <c r="H1545">
        <v>25</v>
      </c>
      <c r="I1545" t="str">
        <f t="shared" si="96"/>
        <v>1-jun-2025</v>
      </c>
      <c r="K1545" s="49">
        <f t="shared" si="98"/>
        <v>45809</v>
      </c>
      <c r="M1545" t="b">
        <f t="shared" si="99"/>
        <v>0</v>
      </c>
    </row>
    <row r="1546" spans="1:13" x14ac:dyDescent="0.3">
      <c r="A1546" s="49">
        <v>45261</v>
      </c>
      <c r="D1546" t="s">
        <v>7355</v>
      </c>
      <c r="E1546">
        <v>1</v>
      </c>
      <c r="F1546" t="str">
        <f t="shared" si="97"/>
        <v>sep</v>
      </c>
      <c r="G1546">
        <v>20</v>
      </c>
      <c r="H1546">
        <v>23</v>
      </c>
      <c r="I1546" t="str">
        <f t="shared" si="96"/>
        <v>1-sep-2023</v>
      </c>
      <c r="K1546" s="49">
        <f t="shared" si="98"/>
        <v>45170</v>
      </c>
      <c r="M1546" t="b">
        <f t="shared" si="99"/>
        <v>1</v>
      </c>
    </row>
    <row r="1547" spans="1:13" x14ac:dyDescent="0.3">
      <c r="A1547" s="49">
        <v>45261</v>
      </c>
      <c r="D1547" t="s">
        <v>7359</v>
      </c>
      <c r="E1547">
        <v>1</v>
      </c>
      <c r="F1547" t="str">
        <f t="shared" si="97"/>
        <v>jul</v>
      </c>
      <c r="G1547">
        <v>20</v>
      </c>
      <c r="H1547">
        <v>23</v>
      </c>
      <c r="I1547" t="str">
        <f t="shared" si="96"/>
        <v>1-jul-2023</v>
      </c>
      <c r="K1547" s="49">
        <f t="shared" si="98"/>
        <v>45108</v>
      </c>
      <c r="M1547" t="b">
        <f t="shared" si="99"/>
        <v>1</v>
      </c>
    </row>
    <row r="1548" spans="1:13" x14ac:dyDescent="0.3">
      <c r="A1548" s="49">
        <v>45261</v>
      </c>
      <c r="D1548" t="s">
        <v>7366</v>
      </c>
      <c r="E1548">
        <v>1</v>
      </c>
      <c r="F1548" t="str">
        <f t="shared" si="97"/>
        <v>dic</v>
      </c>
      <c r="G1548">
        <v>20</v>
      </c>
      <c r="H1548">
        <v>23</v>
      </c>
      <c r="I1548" t="str">
        <f t="shared" si="96"/>
        <v>1-dic-2023</v>
      </c>
      <c r="K1548" s="49">
        <f t="shared" si="98"/>
        <v>45261</v>
      </c>
      <c r="M1548" t="b">
        <f t="shared" si="99"/>
        <v>0</v>
      </c>
    </row>
    <row r="1549" spans="1:13" x14ac:dyDescent="0.3">
      <c r="A1549" s="49">
        <v>45261</v>
      </c>
      <c r="D1549" t="s">
        <v>7356</v>
      </c>
      <c r="E1549">
        <v>1</v>
      </c>
      <c r="F1549" t="str">
        <f t="shared" si="97"/>
        <v>ene</v>
      </c>
      <c r="G1549">
        <v>20</v>
      </c>
      <c r="H1549">
        <v>25</v>
      </c>
      <c r="I1549" t="str">
        <f t="shared" si="96"/>
        <v>1-ene-2025</v>
      </c>
      <c r="K1549" s="49">
        <f t="shared" si="98"/>
        <v>45658</v>
      </c>
      <c r="M1549" t="b">
        <f t="shared" si="99"/>
        <v>0</v>
      </c>
    </row>
    <row r="1550" spans="1:13" x14ac:dyDescent="0.3">
      <c r="A1550" s="49">
        <v>45261</v>
      </c>
      <c r="D1550" t="s">
        <v>7370</v>
      </c>
      <c r="E1550">
        <v>1</v>
      </c>
      <c r="F1550" t="str">
        <f t="shared" si="97"/>
        <v>may</v>
      </c>
      <c r="G1550">
        <v>20</v>
      </c>
      <c r="H1550">
        <v>23</v>
      </c>
      <c r="I1550" t="str">
        <f t="shared" si="96"/>
        <v>1-may-2023</v>
      </c>
      <c r="K1550" s="49">
        <f t="shared" si="98"/>
        <v>45047</v>
      </c>
      <c r="M1550" t="b">
        <f t="shared" si="99"/>
        <v>1</v>
      </c>
    </row>
    <row r="1551" spans="1:13" x14ac:dyDescent="0.3">
      <c r="A1551" s="49">
        <v>45261</v>
      </c>
      <c r="D1551" t="s">
        <v>7370</v>
      </c>
      <c r="E1551">
        <v>1</v>
      </c>
      <c r="F1551" t="str">
        <f t="shared" si="97"/>
        <v>may</v>
      </c>
      <c r="G1551">
        <v>20</v>
      </c>
      <c r="H1551">
        <v>23</v>
      </c>
      <c r="I1551" t="str">
        <f t="shared" si="96"/>
        <v>1-may-2023</v>
      </c>
      <c r="K1551" s="49">
        <f t="shared" si="98"/>
        <v>45047</v>
      </c>
      <c r="M1551" t="b">
        <f t="shared" si="99"/>
        <v>1</v>
      </c>
    </row>
    <row r="1552" spans="1:13" x14ac:dyDescent="0.3">
      <c r="A1552" s="49">
        <v>45261</v>
      </c>
      <c r="D1552" t="s">
        <v>7366</v>
      </c>
      <c r="E1552">
        <v>1</v>
      </c>
      <c r="F1552" t="str">
        <f t="shared" si="97"/>
        <v>dic</v>
      </c>
      <c r="G1552">
        <v>20</v>
      </c>
      <c r="H1552">
        <v>17</v>
      </c>
      <c r="I1552" t="str">
        <f t="shared" si="96"/>
        <v>1-dic-2017</v>
      </c>
      <c r="K1552" s="49">
        <f t="shared" si="98"/>
        <v>43070</v>
      </c>
      <c r="M1552" t="b">
        <f t="shared" si="99"/>
        <v>1</v>
      </c>
    </row>
    <row r="1553" spans="1:13" x14ac:dyDescent="0.3">
      <c r="A1553" s="49">
        <v>45261</v>
      </c>
      <c r="D1553" t="s">
        <v>7363</v>
      </c>
      <c r="E1553">
        <v>1</v>
      </c>
      <c r="F1553" t="str">
        <f t="shared" si="97"/>
        <v>feb</v>
      </c>
      <c r="G1553">
        <v>20</v>
      </c>
      <c r="H1553">
        <v>21</v>
      </c>
      <c r="I1553" t="str">
        <f t="shared" si="96"/>
        <v>1-feb-2021</v>
      </c>
      <c r="K1553" s="49">
        <f t="shared" si="98"/>
        <v>44228</v>
      </c>
      <c r="M1553" t="b">
        <f t="shared" si="99"/>
        <v>1</v>
      </c>
    </row>
    <row r="1554" spans="1:13" x14ac:dyDescent="0.3">
      <c r="A1554" s="49">
        <v>45261</v>
      </c>
      <c r="D1554" t="s">
        <v>7356</v>
      </c>
      <c r="E1554">
        <v>1</v>
      </c>
      <c r="F1554" t="str">
        <f t="shared" si="97"/>
        <v>ene</v>
      </c>
      <c r="G1554">
        <v>20</v>
      </c>
      <c r="H1554">
        <v>21</v>
      </c>
      <c r="I1554" t="str">
        <f t="shared" si="96"/>
        <v>1-ene-2021</v>
      </c>
      <c r="K1554" s="49">
        <f t="shared" si="98"/>
        <v>44197</v>
      </c>
      <c r="M1554" t="b">
        <f t="shared" si="99"/>
        <v>1</v>
      </c>
    </row>
    <row r="1555" spans="1:13" x14ac:dyDescent="0.3">
      <c r="A1555" s="49">
        <v>45261</v>
      </c>
      <c r="D1555" t="s">
        <v>7363</v>
      </c>
      <c r="E1555">
        <v>1</v>
      </c>
      <c r="F1555" t="str">
        <f t="shared" si="97"/>
        <v>feb</v>
      </c>
      <c r="G1555">
        <v>20</v>
      </c>
      <c r="H1555">
        <v>22</v>
      </c>
      <c r="I1555" t="str">
        <f t="shared" si="96"/>
        <v>1-feb-2022</v>
      </c>
      <c r="K1555" s="49">
        <f t="shared" si="98"/>
        <v>44593</v>
      </c>
      <c r="M1555" t="b">
        <f t="shared" si="99"/>
        <v>1</v>
      </c>
    </row>
    <row r="1556" spans="1:13" x14ac:dyDescent="0.3">
      <c r="A1556" s="49">
        <v>45261</v>
      </c>
      <c r="D1556" t="s">
        <v>7370</v>
      </c>
      <c r="E1556">
        <v>1</v>
      </c>
      <c r="F1556" t="str">
        <f t="shared" si="97"/>
        <v>may</v>
      </c>
      <c r="G1556">
        <v>20</v>
      </c>
      <c r="H1556">
        <v>24</v>
      </c>
      <c r="I1556" t="str">
        <f t="shared" si="96"/>
        <v>1-may-2024</v>
      </c>
      <c r="K1556" s="49">
        <f t="shared" si="98"/>
        <v>45413</v>
      </c>
      <c r="M1556" t="b">
        <f t="shared" si="99"/>
        <v>0</v>
      </c>
    </row>
    <row r="1557" spans="1:13" x14ac:dyDescent="0.3">
      <c r="A1557" s="49">
        <v>45261</v>
      </c>
      <c r="D1557" t="s">
        <v>7369</v>
      </c>
      <c r="E1557">
        <v>1</v>
      </c>
      <c r="F1557" t="str">
        <f t="shared" si="97"/>
        <v>abr</v>
      </c>
      <c r="G1557">
        <v>20</v>
      </c>
      <c r="H1557">
        <v>20</v>
      </c>
      <c r="I1557" t="str">
        <f t="shared" si="96"/>
        <v>1-abr-2020</v>
      </c>
      <c r="K1557" s="49">
        <f t="shared" si="98"/>
        <v>43922</v>
      </c>
      <c r="M1557" t="b">
        <f t="shared" si="99"/>
        <v>1</v>
      </c>
    </row>
    <row r="1558" spans="1:13" x14ac:dyDescent="0.3">
      <c r="A1558" s="49">
        <v>45261</v>
      </c>
      <c r="D1558" t="s">
        <v>7355</v>
      </c>
      <c r="E1558">
        <v>1</v>
      </c>
      <c r="F1558" t="str">
        <f t="shared" si="97"/>
        <v>sep</v>
      </c>
      <c r="G1558">
        <v>20</v>
      </c>
      <c r="H1558">
        <v>21</v>
      </c>
      <c r="I1558" t="str">
        <f t="shared" si="96"/>
        <v>1-sep-2021</v>
      </c>
      <c r="K1558" s="49">
        <f t="shared" si="98"/>
        <v>44440</v>
      </c>
      <c r="M1558" t="b">
        <f t="shared" si="99"/>
        <v>1</v>
      </c>
    </row>
    <row r="1559" spans="1:13" x14ac:dyDescent="0.3">
      <c r="A1559" s="49">
        <v>45261</v>
      </c>
      <c r="D1559" t="s">
        <v>7370</v>
      </c>
      <c r="E1559">
        <v>1</v>
      </c>
      <c r="F1559" t="str">
        <f t="shared" si="97"/>
        <v>may</v>
      </c>
      <c r="G1559">
        <v>20</v>
      </c>
      <c r="H1559">
        <v>25</v>
      </c>
      <c r="I1559" t="str">
        <f t="shared" si="96"/>
        <v>1-may-2025</v>
      </c>
      <c r="K1559" s="49">
        <f t="shared" si="98"/>
        <v>45778</v>
      </c>
      <c r="M1559" t="b">
        <f t="shared" si="99"/>
        <v>0</v>
      </c>
    </row>
    <row r="1560" spans="1:13" x14ac:dyDescent="0.3">
      <c r="A1560" s="49">
        <v>45261</v>
      </c>
      <c r="D1560" t="s">
        <v>7356</v>
      </c>
      <c r="E1560">
        <v>1</v>
      </c>
      <c r="F1560" t="str">
        <f t="shared" si="97"/>
        <v>ene</v>
      </c>
      <c r="G1560">
        <v>20</v>
      </c>
      <c r="H1560">
        <v>20</v>
      </c>
      <c r="I1560" t="str">
        <f t="shared" si="96"/>
        <v>1-ene-2020</v>
      </c>
      <c r="K1560" s="49">
        <f t="shared" si="98"/>
        <v>43831</v>
      </c>
      <c r="M1560" t="b">
        <f t="shared" si="99"/>
        <v>1</v>
      </c>
    </row>
    <row r="1561" spans="1:13" x14ac:dyDescent="0.3">
      <c r="A1561" s="49">
        <v>45261</v>
      </c>
      <c r="D1561" t="s">
        <v>7368</v>
      </c>
      <c r="E1561">
        <v>1</v>
      </c>
      <c r="F1561" t="str">
        <f t="shared" si="97"/>
        <v>mar</v>
      </c>
      <c r="G1561">
        <v>20</v>
      </c>
      <c r="H1561">
        <v>21</v>
      </c>
      <c r="I1561" t="str">
        <f t="shared" si="96"/>
        <v>1-mar-2021</v>
      </c>
      <c r="K1561" s="49">
        <f t="shared" si="98"/>
        <v>44256</v>
      </c>
      <c r="M1561" t="b">
        <f t="shared" si="99"/>
        <v>1</v>
      </c>
    </row>
    <row r="1562" spans="1:13" x14ac:dyDescent="0.3">
      <c r="A1562" s="49">
        <v>45261</v>
      </c>
      <c r="D1562" t="s">
        <v>7366</v>
      </c>
      <c r="E1562">
        <v>1</v>
      </c>
      <c r="F1562" t="str">
        <f t="shared" si="97"/>
        <v>dic</v>
      </c>
      <c r="G1562">
        <v>20</v>
      </c>
      <c r="H1562">
        <v>21</v>
      </c>
      <c r="I1562" t="str">
        <f t="shared" si="96"/>
        <v>1-dic-2021</v>
      </c>
      <c r="K1562" s="49">
        <f t="shared" si="98"/>
        <v>44531</v>
      </c>
      <c r="M1562" t="b">
        <f t="shared" si="99"/>
        <v>1</v>
      </c>
    </row>
    <row r="1563" spans="1:13" x14ac:dyDescent="0.3">
      <c r="A1563" s="49">
        <v>45261</v>
      </c>
      <c r="D1563" t="s">
        <v>7360</v>
      </c>
      <c r="E1563">
        <v>1</v>
      </c>
      <c r="F1563" t="str">
        <f t="shared" si="97"/>
        <v>nov</v>
      </c>
      <c r="G1563">
        <v>20</v>
      </c>
      <c r="H1563">
        <v>19</v>
      </c>
      <c r="I1563" t="str">
        <f t="shared" si="96"/>
        <v>1-nov-2019</v>
      </c>
      <c r="K1563" s="49">
        <f t="shared" si="98"/>
        <v>43770</v>
      </c>
      <c r="M1563" t="b">
        <f t="shared" si="99"/>
        <v>1</v>
      </c>
    </row>
    <row r="1564" spans="1:13" x14ac:dyDescent="0.3">
      <c r="A1564" s="49">
        <v>45261</v>
      </c>
      <c r="D1564" t="s">
        <v>7368</v>
      </c>
      <c r="E1564">
        <v>1</v>
      </c>
      <c r="F1564" t="str">
        <f t="shared" si="97"/>
        <v>mar</v>
      </c>
      <c r="G1564">
        <v>20</v>
      </c>
      <c r="H1564">
        <v>22</v>
      </c>
      <c r="I1564" t="str">
        <f t="shared" si="96"/>
        <v>1-mar-2022</v>
      </c>
      <c r="K1564" s="49">
        <f t="shared" si="98"/>
        <v>44621</v>
      </c>
      <c r="M1564" t="b">
        <f t="shared" si="99"/>
        <v>1</v>
      </c>
    </row>
    <row r="1565" spans="1:13" x14ac:dyDescent="0.3">
      <c r="A1565" s="49">
        <v>45261</v>
      </c>
      <c r="D1565" t="s">
        <v>7357</v>
      </c>
      <c r="E1565">
        <v>1</v>
      </c>
      <c r="F1565" t="str">
        <f t="shared" si="97"/>
        <v>oct</v>
      </c>
      <c r="G1565">
        <v>20</v>
      </c>
      <c r="H1565">
        <v>22</v>
      </c>
      <c r="I1565" t="str">
        <f t="shared" si="96"/>
        <v>1-oct-2022</v>
      </c>
      <c r="K1565" s="49">
        <f t="shared" si="98"/>
        <v>44835</v>
      </c>
      <c r="M1565" t="b">
        <f t="shared" si="99"/>
        <v>1</v>
      </c>
    </row>
    <row r="1566" spans="1:13" x14ac:dyDescent="0.3">
      <c r="A1566" s="49">
        <v>45261</v>
      </c>
      <c r="D1566" t="s">
        <v>7396</v>
      </c>
      <c r="E1566">
        <v>1</v>
      </c>
      <c r="F1566" t="str">
        <f t="shared" si="97"/>
        <v>otc</v>
      </c>
      <c r="G1566">
        <v>20</v>
      </c>
      <c r="H1566">
        <v>22</v>
      </c>
      <c r="I1566" t="str">
        <f t="shared" si="96"/>
        <v>1-otc-2022</v>
      </c>
      <c r="K1566" s="49" t="e">
        <f t="shared" si="98"/>
        <v>#VALUE!</v>
      </c>
      <c r="M1566" t="e">
        <f t="shared" si="99"/>
        <v>#VALUE!</v>
      </c>
    </row>
    <row r="1567" spans="1:13" x14ac:dyDescent="0.3">
      <c r="A1567" s="49">
        <v>45261</v>
      </c>
      <c r="D1567" t="s">
        <v>7370</v>
      </c>
      <c r="E1567">
        <v>1</v>
      </c>
      <c r="F1567" t="str">
        <f t="shared" si="97"/>
        <v>may</v>
      </c>
      <c r="G1567">
        <v>20</v>
      </c>
      <c r="H1567">
        <v>22</v>
      </c>
      <c r="I1567" t="str">
        <f t="shared" si="96"/>
        <v>1-may-2022</v>
      </c>
      <c r="K1567" s="49">
        <f t="shared" si="98"/>
        <v>44682</v>
      </c>
      <c r="M1567" t="b">
        <f t="shared" si="99"/>
        <v>1</v>
      </c>
    </row>
    <row r="1568" spans="1:13" x14ac:dyDescent="0.3">
      <c r="A1568" s="49">
        <v>45261</v>
      </c>
      <c r="D1568" t="s">
        <v>7370</v>
      </c>
      <c r="E1568">
        <v>1</v>
      </c>
      <c r="F1568" t="str">
        <f t="shared" si="97"/>
        <v>may</v>
      </c>
      <c r="G1568">
        <v>20</v>
      </c>
      <c r="H1568">
        <v>22</v>
      </c>
      <c r="I1568" t="str">
        <f t="shared" si="96"/>
        <v>1-may-2022</v>
      </c>
      <c r="K1568" s="49">
        <f t="shared" si="98"/>
        <v>44682</v>
      </c>
      <c r="M1568" t="b">
        <f t="shared" si="99"/>
        <v>1</v>
      </c>
    </row>
    <row r="1569" spans="1:13" x14ac:dyDescent="0.3">
      <c r="A1569" s="49">
        <v>45261</v>
      </c>
      <c r="D1569" t="s">
        <v>7357</v>
      </c>
      <c r="E1569">
        <v>1</v>
      </c>
      <c r="F1569" t="str">
        <f t="shared" si="97"/>
        <v>oct</v>
      </c>
      <c r="G1569">
        <v>20</v>
      </c>
      <c r="H1569">
        <v>23</v>
      </c>
      <c r="I1569" t="str">
        <f t="shared" si="96"/>
        <v>1-oct-2023</v>
      </c>
      <c r="K1569" s="49">
        <f t="shared" si="98"/>
        <v>45200</v>
      </c>
      <c r="M1569" t="b">
        <f t="shared" si="99"/>
        <v>1</v>
      </c>
    </row>
    <row r="1570" spans="1:13" x14ac:dyDescent="0.3">
      <c r="A1570" s="49">
        <v>45261</v>
      </c>
      <c r="D1570" t="s">
        <v>7357</v>
      </c>
      <c r="E1570">
        <v>1</v>
      </c>
      <c r="F1570" t="str">
        <f t="shared" si="97"/>
        <v>oct</v>
      </c>
      <c r="G1570">
        <v>20</v>
      </c>
      <c r="H1570">
        <v>23</v>
      </c>
      <c r="I1570" t="str">
        <f t="shared" si="96"/>
        <v>1-oct-2023</v>
      </c>
      <c r="K1570" s="49">
        <f t="shared" si="98"/>
        <v>45200</v>
      </c>
      <c r="M1570" t="b">
        <f t="shared" si="99"/>
        <v>1</v>
      </c>
    </row>
    <row r="1571" spans="1:13" x14ac:dyDescent="0.3">
      <c r="A1571" s="49">
        <v>45261</v>
      </c>
      <c r="D1571" t="s">
        <v>7357</v>
      </c>
      <c r="E1571">
        <v>1</v>
      </c>
      <c r="F1571" t="str">
        <f t="shared" si="97"/>
        <v>oct</v>
      </c>
      <c r="G1571">
        <v>20</v>
      </c>
      <c r="H1571">
        <v>23</v>
      </c>
      <c r="I1571" t="str">
        <f t="shared" si="96"/>
        <v>1-oct-2023</v>
      </c>
      <c r="K1571" s="49">
        <f t="shared" si="98"/>
        <v>45200</v>
      </c>
      <c r="M1571" t="b">
        <f t="shared" si="99"/>
        <v>1</v>
      </c>
    </row>
    <row r="1572" spans="1:13" x14ac:dyDescent="0.3">
      <c r="A1572" s="49">
        <v>45261</v>
      </c>
      <c r="D1572" t="s">
        <v>7363</v>
      </c>
      <c r="E1572">
        <v>1</v>
      </c>
      <c r="F1572" t="str">
        <f t="shared" si="97"/>
        <v>feb</v>
      </c>
      <c r="G1572">
        <v>20</v>
      </c>
      <c r="H1572">
        <v>20</v>
      </c>
      <c r="I1572" t="str">
        <f t="shared" si="96"/>
        <v>1-feb-2020</v>
      </c>
      <c r="K1572" s="49">
        <f t="shared" si="98"/>
        <v>43862</v>
      </c>
      <c r="M1572" t="b">
        <f t="shared" si="99"/>
        <v>1</v>
      </c>
    </row>
    <row r="1573" spans="1:13" x14ac:dyDescent="0.3">
      <c r="A1573" s="49">
        <v>45261</v>
      </c>
      <c r="D1573" t="s">
        <v>7355</v>
      </c>
      <c r="E1573">
        <v>1</v>
      </c>
      <c r="F1573" t="str">
        <f t="shared" si="97"/>
        <v>sep</v>
      </c>
      <c r="G1573">
        <v>20</v>
      </c>
      <c r="H1573">
        <v>20</v>
      </c>
      <c r="I1573" t="str">
        <f t="shared" si="96"/>
        <v>1-sep-2020</v>
      </c>
      <c r="K1573" s="49">
        <f t="shared" si="98"/>
        <v>44075</v>
      </c>
      <c r="M1573" t="b">
        <f t="shared" si="99"/>
        <v>1</v>
      </c>
    </row>
    <row r="1574" spans="1:13" x14ac:dyDescent="0.3">
      <c r="A1574" s="49">
        <v>45261</v>
      </c>
      <c r="D1574" t="s">
        <v>7368</v>
      </c>
      <c r="E1574">
        <v>1</v>
      </c>
      <c r="F1574" t="str">
        <f t="shared" si="97"/>
        <v>mar</v>
      </c>
      <c r="G1574">
        <v>20</v>
      </c>
      <c r="H1574">
        <v>20</v>
      </c>
      <c r="I1574" t="str">
        <f t="shared" si="96"/>
        <v>1-mar-2020</v>
      </c>
      <c r="K1574" s="49">
        <f t="shared" si="98"/>
        <v>43891</v>
      </c>
      <c r="M1574" t="b">
        <f t="shared" si="99"/>
        <v>1</v>
      </c>
    </row>
    <row r="1575" spans="1:13" x14ac:dyDescent="0.3">
      <c r="A1575" s="49">
        <v>45261</v>
      </c>
      <c r="D1575" t="s">
        <v>7357</v>
      </c>
      <c r="E1575">
        <v>1</v>
      </c>
      <c r="F1575" t="str">
        <f t="shared" si="97"/>
        <v>oct</v>
      </c>
      <c r="G1575">
        <v>20</v>
      </c>
      <c r="H1575">
        <v>23</v>
      </c>
      <c r="I1575" t="str">
        <f t="shared" si="96"/>
        <v>1-oct-2023</v>
      </c>
      <c r="K1575" s="49">
        <f t="shared" si="98"/>
        <v>45200</v>
      </c>
      <c r="M1575" t="b">
        <f t="shared" si="99"/>
        <v>1</v>
      </c>
    </row>
    <row r="1576" spans="1:13" x14ac:dyDescent="0.3">
      <c r="A1576" s="49">
        <v>45261</v>
      </c>
      <c r="D1576" t="s">
        <v>7366</v>
      </c>
      <c r="E1576">
        <v>1</v>
      </c>
      <c r="F1576" t="str">
        <f t="shared" si="97"/>
        <v>dic</v>
      </c>
      <c r="G1576">
        <v>20</v>
      </c>
      <c r="H1576">
        <v>24</v>
      </c>
      <c r="I1576" t="str">
        <f t="shared" si="96"/>
        <v>1-dic-2024</v>
      </c>
      <c r="K1576" s="49">
        <f t="shared" si="98"/>
        <v>45627</v>
      </c>
      <c r="M1576" t="b">
        <f t="shared" si="99"/>
        <v>0</v>
      </c>
    </row>
    <row r="1577" spans="1:13" x14ac:dyDescent="0.3">
      <c r="A1577" s="49">
        <v>45261</v>
      </c>
      <c r="D1577" t="s">
        <v>7368</v>
      </c>
      <c r="E1577">
        <v>1</v>
      </c>
      <c r="F1577" t="str">
        <f t="shared" si="97"/>
        <v>mar</v>
      </c>
      <c r="G1577">
        <v>20</v>
      </c>
      <c r="H1577">
        <v>21</v>
      </c>
      <c r="I1577" t="str">
        <f t="shared" si="96"/>
        <v>1-mar-2021</v>
      </c>
      <c r="K1577" s="49">
        <f t="shared" si="98"/>
        <v>44256</v>
      </c>
      <c r="M1577" t="b">
        <f t="shared" si="99"/>
        <v>1</v>
      </c>
    </row>
    <row r="1578" spans="1:13" x14ac:dyDescent="0.3">
      <c r="A1578" s="49">
        <v>45261</v>
      </c>
      <c r="D1578" t="s">
        <v>7359</v>
      </c>
      <c r="E1578">
        <v>1</v>
      </c>
      <c r="F1578" t="str">
        <f t="shared" si="97"/>
        <v>jul</v>
      </c>
      <c r="G1578">
        <v>20</v>
      </c>
      <c r="H1578">
        <v>20</v>
      </c>
      <c r="I1578" t="str">
        <f t="shared" si="96"/>
        <v>1-jul-2020</v>
      </c>
      <c r="K1578" s="49">
        <f t="shared" si="98"/>
        <v>44013</v>
      </c>
      <c r="M1578" t="b">
        <f t="shared" si="99"/>
        <v>1</v>
      </c>
    </row>
    <row r="1579" spans="1:13" x14ac:dyDescent="0.3">
      <c r="A1579" s="49">
        <v>45261</v>
      </c>
      <c r="D1579" t="s">
        <v>7362</v>
      </c>
      <c r="E1579">
        <v>1</v>
      </c>
      <c r="F1579" t="str">
        <f t="shared" si="97"/>
        <v>ago</v>
      </c>
      <c r="G1579">
        <v>20</v>
      </c>
      <c r="H1579">
        <v>23</v>
      </c>
      <c r="I1579" t="str">
        <f t="shared" si="96"/>
        <v>1-ago-2023</v>
      </c>
      <c r="K1579" s="49">
        <f t="shared" si="98"/>
        <v>45139</v>
      </c>
      <c r="M1579" t="b">
        <f t="shared" si="99"/>
        <v>1</v>
      </c>
    </row>
    <row r="1580" spans="1:13" x14ac:dyDescent="0.3">
      <c r="A1580" s="49">
        <v>45261</v>
      </c>
      <c r="D1580" t="s">
        <v>7368</v>
      </c>
      <c r="E1580">
        <v>1</v>
      </c>
      <c r="F1580" t="str">
        <f t="shared" si="97"/>
        <v>mar</v>
      </c>
      <c r="G1580">
        <v>20</v>
      </c>
      <c r="H1580">
        <v>21</v>
      </c>
      <c r="I1580" t="str">
        <f t="shared" si="96"/>
        <v>1-mar-2021</v>
      </c>
      <c r="K1580" s="49">
        <f t="shared" si="98"/>
        <v>44256</v>
      </c>
      <c r="M1580" t="b">
        <f t="shared" si="99"/>
        <v>1</v>
      </c>
    </row>
    <row r="1581" spans="1:13" x14ac:dyDescent="0.3">
      <c r="A1581" s="49">
        <v>45261</v>
      </c>
      <c r="D1581" t="s">
        <v>7366</v>
      </c>
      <c r="E1581">
        <v>1</v>
      </c>
      <c r="F1581" t="str">
        <f t="shared" si="97"/>
        <v>dic</v>
      </c>
      <c r="G1581">
        <v>20</v>
      </c>
      <c r="H1581">
        <v>16</v>
      </c>
      <c r="I1581" t="str">
        <f t="shared" si="96"/>
        <v>1-dic-2016</v>
      </c>
      <c r="K1581" s="49">
        <f t="shared" si="98"/>
        <v>42705</v>
      </c>
      <c r="M1581" t="b">
        <f t="shared" si="99"/>
        <v>1</v>
      </c>
    </row>
    <row r="1582" spans="1:13" x14ac:dyDescent="0.3">
      <c r="A1582" s="49">
        <v>45261</v>
      </c>
      <c r="D1582" t="s">
        <v>7356</v>
      </c>
      <c r="E1582">
        <v>1</v>
      </c>
      <c r="F1582" t="str">
        <f t="shared" si="97"/>
        <v>ene</v>
      </c>
      <c r="G1582">
        <v>20</v>
      </c>
      <c r="H1582">
        <v>21</v>
      </c>
      <c r="I1582" t="str">
        <f t="shared" si="96"/>
        <v>1-ene-2021</v>
      </c>
      <c r="K1582" s="49">
        <f t="shared" si="98"/>
        <v>44197</v>
      </c>
      <c r="M1582" t="b">
        <f t="shared" si="99"/>
        <v>1</v>
      </c>
    </row>
    <row r="1583" spans="1:13" x14ac:dyDescent="0.3">
      <c r="A1583" s="49">
        <v>45261</v>
      </c>
      <c r="D1583" t="s">
        <v>7359</v>
      </c>
      <c r="E1583">
        <v>1</v>
      </c>
      <c r="F1583" t="str">
        <f t="shared" si="97"/>
        <v>jul</v>
      </c>
      <c r="G1583">
        <v>20</v>
      </c>
      <c r="H1583">
        <v>17</v>
      </c>
      <c r="I1583" t="str">
        <f t="shared" si="96"/>
        <v>1-jul-2017</v>
      </c>
      <c r="K1583" s="49">
        <f t="shared" si="98"/>
        <v>42917</v>
      </c>
      <c r="M1583" t="b">
        <f t="shared" si="99"/>
        <v>1</v>
      </c>
    </row>
    <row r="1584" spans="1:13" x14ac:dyDescent="0.3">
      <c r="A1584" s="49">
        <v>45261</v>
      </c>
      <c r="D1584" t="s">
        <v>7370</v>
      </c>
      <c r="E1584">
        <v>1</v>
      </c>
      <c r="F1584" t="str">
        <f t="shared" si="97"/>
        <v>may</v>
      </c>
      <c r="G1584">
        <v>20</v>
      </c>
      <c r="H1584">
        <v>20</v>
      </c>
      <c r="I1584" t="str">
        <f t="shared" si="96"/>
        <v>1-may-2020</v>
      </c>
      <c r="K1584" s="49">
        <f t="shared" si="98"/>
        <v>43952</v>
      </c>
      <c r="M1584" t="b">
        <f t="shared" si="99"/>
        <v>1</v>
      </c>
    </row>
    <row r="1585" spans="1:13" x14ac:dyDescent="0.3">
      <c r="A1585" s="49">
        <v>45261</v>
      </c>
      <c r="D1585" t="s">
        <v>7355</v>
      </c>
      <c r="E1585">
        <v>1</v>
      </c>
      <c r="F1585" t="str">
        <f t="shared" si="97"/>
        <v>sep</v>
      </c>
      <c r="G1585">
        <v>20</v>
      </c>
      <c r="H1585">
        <v>19</v>
      </c>
      <c r="I1585" t="str">
        <f t="shared" si="96"/>
        <v>1-sep-2019</v>
      </c>
      <c r="K1585" s="49">
        <f t="shared" si="98"/>
        <v>43709</v>
      </c>
      <c r="M1585" t="b">
        <f t="shared" si="99"/>
        <v>1</v>
      </c>
    </row>
    <row r="1586" spans="1:13" x14ac:dyDescent="0.3">
      <c r="A1586" s="49">
        <v>45261</v>
      </c>
      <c r="D1586" t="s">
        <v>7368</v>
      </c>
      <c r="E1586">
        <v>1</v>
      </c>
      <c r="F1586" t="str">
        <f t="shared" si="97"/>
        <v>mar</v>
      </c>
      <c r="G1586">
        <v>20</v>
      </c>
      <c r="H1586">
        <v>22</v>
      </c>
      <c r="I1586" t="str">
        <f t="shared" si="96"/>
        <v>1-mar-2022</v>
      </c>
      <c r="K1586" s="49">
        <f t="shared" si="98"/>
        <v>44621</v>
      </c>
      <c r="M1586" t="b">
        <f t="shared" si="99"/>
        <v>1</v>
      </c>
    </row>
    <row r="1587" spans="1:13" x14ac:dyDescent="0.3">
      <c r="A1587" s="49">
        <v>45261</v>
      </c>
      <c r="D1587" t="s">
        <v>7368</v>
      </c>
      <c r="E1587">
        <v>1</v>
      </c>
      <c r="F1587" t="str">
        <f t="shared" si="97"/>
        <v>mar</v>
      </c>
      <c r="G1587">
        <v>20</v>
      </c>
      <c r="H1587">
        <v>20</v>
      </c>
      <c r="I1587" t="str">
        <f t="shared" si="96"/>
        <v>1-mar-2020</v>
      </c>
      <c r="K1587" s="49">
        <f t="shared" si="98"/>
        <v>43891</v>
      </c>
      <c r="M1587" t="b">
        <f t="shared" si="99"/>
        <v>1</v>
      </c>
    </row>
    <row r="1588" spans="1:13" x14ac:dyDescent="0.3">
      <c r="A1588" s="49">
        <v>45261</v>
      </c>
      <c r="D1588" t="s">
        <v>7362</v>
      </c>
      <c r="E1588">
        <v>1</v>
      </c>
      <c r="F1588" t="str">
        <f t="shared" si="97"/>
        <v>ago</v>
      </c>
      <c r="G1588">
        <v>20</v>
      </c>
      <c r="H1588">
        <v>22</v>
      </c>
      <c r="I1588" t="str">
        <f t="shared" si="96"/>
        <v>1-ago-2022</v>
      </c>
      <c r="K1588" s="49">
        <f t="shared" si="98"/>
        <v>44774</v>
      </c>
      <c r="M1588" t="b">
        <f t="shared" si="99"/>
        <v>1</v>
      </c>
    </row>
    <row r="1589" spans="1:13" x14ac:dyDescent="0.3">
      <c r="A1589" s="49">
        <v>45261</v>
      </c>
      <c r="D1589" t="s">
        <v>7370</v>
      </c>
      <c r="E1589">
        <v>1</v>
      </c>
      <c r="F1589" t="str">
        <f t="shared" si="97"/>
        <v>may</v>
      </c>
      <c r="G1589">
        <v>20</v>
      </c>
      <c r="H1589">
        <v>23</v>
      </c>
      <c r="I1589" t="str">
        <f t="shared" si="96"/>
        <v>1-may-2023</v>
      </c>
      <c r="K1589" s="49">
        <f t="shared" si="98"/>
        <v>45047</v>
      </c>
      <c r="M1589" t="b">
        <f t="shared" si="99"/>
        <v>1</v>
      </c>
    </row>
    <row r="1590" spans="1:13" x14ac:dyDescent="0.3">
      <c r="A1590" s="49">
        <v>45261</v>
      </c>
      <c r="D1590" t="s">
        <v>7370</v>
      </c>
      <c r="E1590">
        <v>1</v>
      </c>
      <c r="F1590" t="str">
        <f t="shared" si="97"/>
        <v>may</v>
      </c>
      <c r="G1590">
        <v>20</v>
      </c>
      <c r="H1590">
        <v>19</v>
      </c>
      <c r="I1590" t="str">
        <f t="shared" si="96"/>
        <v>1-may-2019</v>
      </c>
      <c r="K1590" s="49">
        <f t="shared" si="98"/>
        <v>43586</v>
      </c>
      <c r="M1590" t="b">
        <f t="shared" si="99"/>
        <v>1</v>
      </c>
    </row>
    <row r="1591" spans="1:13" x14ac:dyDescent="0.3">
      <c r="A1591" s="49">
        <v>45261</v>
      </c>
      <c r="D1591" t="s">
        <v>7369</v>
      </c>
      <c r="E1591">
        <v>1</v>
      </c>
      <c r="F1591" t="str">
        <f t="shared" si="97"/>
        <v>abr</v>
      </c>
      <c r="G1591">
        <v>20</v>
      </c>
      <c r="H1591">
        <v>22</v>
      </c>
      <c r="I1591" t="str">
        <f t="shared" si="96"/>
        <v>1-abr-2022</v>
      </c>
      <c r="K1591" s="49">
        <f t="shared" si="98"/>
        <v>44652</v>
      </c>
      <c r="M1591" t="b">
        <f t="shared" si="99"/>
        <v>1</v>
      </c>
    </row>
    <row r="1592" spans="1:13" x14ac:dyDescent="0.3">
      <c r="A1592" s="49">
        <v>45261</v>
      </c>
      <c r="D1592" t="s">
        <v>7369</v>
      </c>
      <c r="E1592">
        <v>1</v>
      </c>
      <c r="F1592" t="str">
        <f t="shared" si="97"/>
        <v>abr</v>
      </c>
      <c r="G1592">
        <v>20</v>
      </c>
      <c r="H1592">
        <v>23</v>
      </c>
      <c r="I1592" t="str">
        <f t="shared" si="96"/>
        <v>1-abr-2023</v>
      </c>
      <c r="K1592" s="49">
        <f t="shared" si="98"/>
        <v>45017</v>
      </c>
      <c r="M1592" t="b">
        <f t="shared" si="99"/>
        <v>1</v>
      </c>
    </row>
    <row r="1593" spans="1:13" x14ac:dyDescent="0.3">
      <c r="A1593" s="49">
        <v>45261</v>
      </c>
      <c r="D1593" t="s">
        <v>7369</v>
      </c>
      <c r="E1593">
        <v>1</v>
      </c>
      <c r="F1593" t="str">
        <f t="shared" si="97"/>
        <v>abr</v>
      </c>
      <c r="G1593">
        <v>20</v>
      </c>
      <c r="H1593">
        <v>25</v>
      </c>
      <c r="I1593" t="str">
        <f t="shared" si="96"/>
        <v>1-abr-2025</v>
      </c>
      <c r="K1593" s="49">
        <f t="shared" si="98"/>
        <v>45748</v>
      </c>
      <c r="M1593" t="b">
        <f t="shared" si="99"/>
        <v>0</v>
      </c>
    </row>
    <row r="1594" spans="1:13" x14ac:dyDescent="0.3">
      <c r="A1594" s="49">
        <v>45261</v>
      </c>
      <c r="D1594" t="s">
        <v>7370</v>
      </c>
      <c r="E1594">
        <v>1</v>
      </c>
      <c r="F1594" t="str">
        <f t="shared" si="97"/>
        <v>may</v>
      </c>
      <c r="G1594">
        <v>20</v>
      </c>
      <c r="H1594">
        <v>22</v>
      </c>
      <c r="I1594" t="str">
        <f t="shared" si="96"/>
        <v>1-may-2022</v>
      </c>
      <c r="K1594" s="49">
        <f t="shared" si="98"/>
        <v>44682</v>
      </c>
      <c r="M1594" t="b">
        <f t="shared" si="99"/>
        <v>1</v>
      </c>
    </row>
    <row r="1595" spans="1:13" x14ac:dyDescent="0.3">
      <c r="A1595" s="49">
        <v>45261</v>
      </c>
      <c r="D1595" t="s">
        <v>7367</v>
      </c>
      <c r="E1595">
        <v>1</v>
      </c>
      <c r="F1595" t="str">
        <f t="shared" si="97"/>
        <v>jun</v>
      </c>
      <c r="G1595">
        <v>20</v>
      </c>
      <c r="H1595">
        <v>21</v>
      </c>
      <c r="I1595" t="str">
        <f t="shared" si="96"/>
        <v>1-jun-2021</v>
      </c>
      <c r="K1595" s="49">
        <f t="shared" si="98"/>
        <v>44348</v>
      </c>
      <c r="M1595" t="b">
        <f t="shared" si="99"/>
        <v>1</v>
      </c>
    </row>
    <row r="1596" spans="1:13" x14ac:dyDescent="0.3">
      <c r="A1596" s="49">
        <v>45261</v>
      </c>
      <c r="D1596" t="s">
        <v>7368</v>
      </c>
      <c r="E1596">
        <v>1</v>
      </c>
      <c r="F1596" t="str">
        <f t="shared" si="97"/>
        <v>mar</v>
      </c>
      <c r="G1596">
        <v>20</v>
      </c>
      <c r="H1596">
        <v>17</v>
      </c>
      <c r="I1596" t="str">
        <f t="shared" si="96"/>
        <v>1-mar-2017</v>
      </c>
      <c r="K1596" s="49">
        <f t="shared" si="98"/>
        <v>42795</v>
      </c>
      <c r="M1596" t="b">
        <f t="shared" si="99"/>
        <v>1</v>
      </c>
    </row>
    <row r="1597" spans="1:13" x14ac:dyDescent="0.3">
      <c r="A1597" s="49">
        <v>45261</v>
      </c>
      <c r="D1597" t="s">
        <v>7367</v>
      </c>
      <c r="E1597">
        <v>1</v>
      </c>
      <c r="F1597" t="str">
        <f t="shared" si="97"/>
        <v>jun</v>
      </c>
      <c r="G1597">
        <v>20</v>
      </c>
      <c r="H1597">
        <v>21</v>
      </c>
      <c r="I1597" t="str">
        <f t="shared" si="96"/>
        <v>1-jun-2021</v>
      </c>
      <c r="K1597" s="49">
        <f t="shared" si="98"/>
        <v>44348</v>
      </c>
      <c r="M1597" t="b">
        <f t="shared" si="99"/>
        <v>1</v>
      </c>
    </row>
    <row r="1598" spans="1:13" x14ac:dyDescent="0.3">
      <c r="A1598" s="49">
        <v>45261</v>
      </c>
      <c r="D1598" t="s">
        <v>7355</v>
      </c>
      <c r="E1598">
        <v>1</v>
      </c>
      <c r="F1598" t="str">
        <f t="shared" si="97"/>
        <v>sep</v>
      </c>
      <c r="G1598">
        <v>20</v>
      </c>
      <c r="H1598">
        <v>23</v>
      </c>
      <c r="I1598" t="str">
        <f t="shared" si="96"/>
        <v>1-sep-2023</v>
      </c>
      <c r="K1598" s="49">
        <f t="shared" si="98"/>
        <v>45170</v>
      </c>
      <c r="M1598" t="b">
        <f t="shared" si="99"/>
        <v>1</v>
      </c>
    </row>
    <row r="1599" spans="1:13" x14ac:dyDescent="0.3">
      <c r="A1599" s="49">
        <v>45261</v>
      </c>
      <c r="D1599" t="s">
        <v>7368</v>
      </c>
      <c r="E1599">
        <v>1</v>
      </c>
      <c r="F1599" t="str">
        <f t="shared" si="97"/>
        <v>mar</v>
      </c>
      <c r="G1599">
        <v>20</v>
      </c>
      <c r="H1599">
        <v>19</v>
      </c>
      <c r="I1599" t="str">
        <f t="shared" si="96"/>
        <v>1-mar-2019</v>
      </c>
      <c r="K1599" s="49">
        <f t="shared" si="98"/>
        <v>43525</v>
      </c>
      <c r="M1599" t="b">
        <f t="shared" si="99"/>
        <v>1</v>
      </c>
    </row>
    <row r="1600" spans="1:13" x14ac:dyDescent="0.3">
      <c r="A1600" s="49">
        <v>45261</v>
      </c>
      <c r="D1600" t="s">
        <v>7369</v>
      </c>
      <c r="E1600">
        <v>1</v>
      </c>
      <c r="F1600" t="str">
        <f t="shared" si="97"/>
        <v>abr</v>
      </c>
      <c r="G1600">
        <v>20</v>
      </c>
      <c r="H1600">
        <v>21</v>
      </c>
      <c r="I1600" t="str">
        <f t="shared" si="96"/>
        <v>1-abr-2021</v>
      </c>
      <c r="K1600" s="49">
        <f t="shared" si="98"/>
        <v>44287</v>
      </c>
      <c r="M1600" t="b">
        <f t="shared" si="99"/>
        <v>1</v>
      </c>
    </row>
    <row r="1601" spans="1:13" x14ac:dyDescent="0.3">
      <c r="A1601" s="49">
        <v>45261</v>
      </c>
      <c r="D1601" t="s">
        <v>7356</v>
      </c>
      <c r="E1601">
        <v>1</v>
      </c>
      <c r="F1601" t="str">
        <f t="shared" si="97"/>
        <v>ene</v>
      </c>
      <c r="G1601">
        <v>20</v>
      </c>
      <c r="H1601">
        <v>23</v>
      </c>
      <c r="I1601" t="str">
        <f t="shared" ref="I1601:I1664" si="100">_xlfn.CONCAT(E1601,"-",F1601,"-",G1601,H1601)</f>
        <v>1-ene-2023</v>
      </c>
      <c r="K1601" s="49">
        <f t="shared" si="98"/>
        <v>44927</v>
      </c>
      <c r="M1601" t="b">
        <f t="shared" si="99"/>
        <v>1</v>
      </c>
    </row>
    <row r="1602" spans="1:13" x14ac:dyDescent="0.3">
      <c r="A1602" s="49">
        <v>45261</v>
      </c>
      <c r="D1602" t="s">
        <v>7356</v>
      </c>
      <c r="E1602">
        <v>1</v>
      </c>
      <c r="F1602" t="str">
        <f t="shared" ref="F1602:F1665" si="101">LOWER(D1602)</f>
        <v>ene</v>
      </c>
      <c r="G1602">
        <v>20</v>
      </c>
      <c r="H1602">
        <v>23</v>
      </c>
      <c r="I1602" t="str">
        <f t="shared" si="100"/>
        <v>1-ene-2023</v>
      </c>
      <c r="K1602" s="49">
        <f t="shared" ref="K1602:K1665" si="102">DATEVALUE(I1602)</f>
        <v>44927</v>
      </c>
      <c r="M1602" t="b">
        <f t="shared" si="99"/>
        <v>1</v>
      </c>
    </row>
    <row r="1603" spans="1:13" x14ac:dyDescent="0.3">
      <c r="A1603" s="49">
        <v>45261</v>
      </c>
      <c r="D1603" t="s">
        <v>7362</v>
      </c>
      <c r="E1603">
        <v>1</v>
      </c>
      <c r="F1603" t="str">
        <f t="shared" si="101"/>
        <v>ago</v>
      </c>
      <c r="G1603">
        <v>20</v>
      </c>
      <c r="H1603">
        <v>12</v>
      </c>
      <c r="I1603" t="str">
        <f t="shared" si="100"/>
        <v>1-ago-2012</v>
      </c>
      <c r="K1603" s="49">
        <f t="shared" si="102"/>
        <v>41122</v>
      </c>
      <c r="M1603" t="b">
        <f t="shared" ref="M1603:M1666" si="103">K1603&lt;A1603</f>
        <v>1</v>
      </c>
    </row>
    <row r="1604" spans="1:13" x14ac:dyDescent="0.3">
      <c r="A1604" s="49">
        <v>45261</v>
      </c>
      <c r="D1604" t="s">
        <v>7356</v>
      </c>
      <c r="E1604">
        <v>1</v>
      </c>
      <c r="F1604" t="str">
        <f t="shared" si="101"/>
        <v>ene</v>
      </c>
      <c r="G1604">
        <v>20</v>
      </c>
      <c r="H1604">
        <v>17</v>
      </c>
      <c r="I1604" t="str">
        <f t="shared" si="100"/>
        <v>1-ene-2017</v>
      </c>
      <c r="K1604" s="49">
        <f t="shared" si="102"/>
        <v>42736</v>
      </c>
      <c r="M1604" t="b">
        <f t="shared" si="103"/>
        <v>1</v>
      </c>
    </row>
    <row r="1605" spans="1:13" x14ac:dyDescent="0.3">
      <c r="A1605" s="49">
        <v>45261</v>
      </c>
      <c r="D1605" t="s">
        <v>7356</v>
      </c>
      <c r="E1605">
        <v>1</v>
      </c>
      <c r="F1605" t="str">
        <f t="shared" si="101"/>
        <v>ene</v>
      </c>
      <c r="G1605">
        <v>20</v>
      </c>
      <c r="H1605">
        <v>17</v>
      </c>
      <c r="I1605" t="str">
        <f t="shared" si="100"/>
        <v>1-ene-2017</v>
      </c>
      <c r="K1605" s="49">
        <f t="shared" si="102"/>
        <v>42736</v>
      </c>
      <c r="M1605" t="b">
        <f t="shared" si="103"/>
        <v>1</v>
      </c>
    </row>
    <row r="1606" spans="1:13" x14ac:dyDescent="0.3">
      <c r="A1606" s="49">
        <v>45261</v>
      </c>
      <c r="D1606" t="s">
        <v>7368</v>
      </c>
      <c r="E1606">
        <v>1</v>
      </c>
      <c r="F1606" t="str">
        <f t="shared" si="101"/>
        <v>mar</v>
      </c>
      <c r="G1606">
        <v>20</v>
      </c>
      <c r="H1606">
        <v>17</v>
      </c>
      <c r="I1606" t="str">
        <f t="shared" si="100"/>
        <v>1-mar-2017</v>
      </c>
      <c r="K1606" s="49">
        <f t="shared" si="102"/>
        <v>42795</v>
      </c>
      <c r="M1606" t="b">
        <f t="shared" si="103"/>
        <v>1</v>
      </c>
    </row>
    <row r="1607" spans="1:13" x14ac:dyDescent="0.3">
      <c r="A1607" s="49">
        <v>45261</v>
      </c>
      <c r="D1607" t="s">
        <v>7368</v>
      </c>
      <c r="E1607">
        <v>1</v>
      </c>
      <c r="F1607" t="str">
        <f t="shared" si="101"/>
        <v>mar</v>
      </c>
      <c r="G1607">
        <v>20</v>
      </c>
      <c r="H1607">
        <v>21</v>
      </c>
      <c r="I1607" t="str">
        <f t="shared" si="100"/>
        <v>1-mar-2021</v>
      </c>
      <c r="K1607" s="49">
        <f t="shared" si="102"/>
        <v>44256</v>
      </c>
      <c r="M1607" t="b">
        <f t="shared" si="103"/>
        <v>1</v>
      </c>
    </row>
    <row r="1608" spans="1:13" x14ac:dyDescent="0.3">
      <c r="A1608" s="49">
        <v>45261</v>
      </c>
      <c r="D1608" t="s">
        <v>7362</v>
      </c>
      <c r="E1608">
        <v>1</v>
      </c>
      <c r="F1608" t="str">
        <f t="shared" si="101"/>
        <v>ago</v>
      </c>
      <c r="G1608">
        <v>20</v>
      </c>
      <c r="H1608">
        <v>23</v>
      </c>
      <c r="I1608" t="str">
        <f t="shared" si="100"/>
        <v>1-ago-2023</v>
      </c>
      <c r="K1608" s="49">
        <f t="shared" si="102"/>
        <v>45139</v>
      </c>
      <c r="M1608" t="b">
        <f t="shared" si="103"/>
        <v>1</v>
      </c>
    </row>
    <row r="1609" spans="1:13" x14ac:dyDescent="0.3">
      <c r="A1609" s="49">
        <v>45261</v>
      </c>
      <c r="D1609" t="s">
        <v>7368</v>
      </c>
      <c r="E1609">
        <v>1</v>
      </c>
      <c r="F1609" t="str">
        <f t="shared" si="101"/>
        <v>mar</v>
      </c>
      <c r="G1609">
        <v>20</v>
      </c>
      <c r="H1609">
        <v>17</v>
      </c>
      <c r="I1609" t="str">
        <f t="shared" si="100"/>
        <v>1-mar-2017</v>
      </c>
      <c r="K1609" s="49">
        <f t="shared" si="102"/>
        <v>42795</v>
      </c>
      <c r="M1609" t="b">
        <f t="shared" si="103"/>
        <v>1</v>
      </c>
    </row>
    <row r="1610" spans="1:13" x14ac:dyDescent="0.3">
      <c r="A1610" s="49">
        <v>45261</v>
      </c>
      <c r="D1610" t="s">
        <v>7368</v>
      </c>
      <c r="E1610">
        <v>1</v>
      </c>
      <c r="F1610" t="str">
        <f t="shared" si="101"/>
        <v>mar</v>
      </c>
      <c r="G1610">
        <v>20</v>
      </c>
      <c r="H1610">
        <v>17</v>
      </c>
      <c r="I1610" t="str">
        <f t="shared" si="100"/>
        <v>1-mar-2017</v>
      </c>
      <c r="K1610" s="49">
        <f t="shared" si="102"/>
        <v>42795</v>
      </c>
      <c r="M1610" t="b">
        <f t="shared" si="103"/>
        <v>1</v>
      </c>
    </row>
    <row r="1611" spans="1:13" x14ac:dyDescent="0.3">
      <c r="A1611" s="49">
        <v>45261</v>
      </c>
      <c r="D1611" t="s">
        <v>7368</v>
      </c>
      <c r="E1611">
        <v>1</v>
      </c>
      <c r="F1611" t="str">
        <f t="shared" si="101"/>
        <v>mar</v>
      </c>
      <c r="G1611">
        <v>20</v>
      </c>
      <c r="H1611">
        <v>17</v>
      </c>
      <c r="I1611" t="str">
        <f t="shared" si="100"/>
        <v>1-mar-2017</v>
      </c>
      <c r="K1611" s="49">
        <f t="shared" si="102"/>
        <v>42795</v>
      </c>
      <c r="M1611" t="b">
        <f t="shared" si="103"/>
        <v>1</v>
      </c>
    </row>
    <row r="1612" spans="1:13" x14ac:dyDescent="0.3">
      <c r="A1612" s="49">
        <v>45261</v>
      </c>
      <c r="D1612" t="s">
        <v>7363</v>
      </c>
      <c r="E1612">
        <v>1</v>
      </c>
      <c r="F1612" t="str">
        <f t="shared" si="101"/>
        <v>feb</v>
      </c>
      <c r="G1612">
        <v>20</v>
      </c>
      <c r="H1612">
        <v>22</v>
      </c>
      <c r="I1612" t="str">
        <f t="shared" si="100"/>
        <v>1-feb-2022</v>
      </c>
      <c r="K1612" s="49">
        <f t="shared" si="102"/>
        <v>44593</v>
      </c>
      <c r="M1612" t="b">
        <f t="shared" si="103"/>
        <v>1</v>
      </c>
    </row>
    <row r="1613" spans="1:13" x14ac:dyDescent="0.3">
      <c r="A1613" s="49">
        <v>45261</v>
      </c>
      <c r="D1613" t="s">
        <v>7368</v>
      </c>
      <c r="E1613">
        <v>1</v>
      </c>
      <c r="F1613" t="str">
        <f t="shared" si="101"/>
        <v>mar</v>
      </c>
      <c r="G1613">
        <v>20</v>
      </c>
      <c r="H1613">
        <v>22</v>
      </c>
      <c r="I1613" t="str">
        <f t="shared" si="100"/>
        <v>1-mar-2022</v>
      </c>
      <c r="K1613" s="49">
        <f t="shared" si="102"/>
        <v>44621</v>
      </c>
      <c r="M1613" t="b">
        <f t="shared" si="103"/>
        <v>1</v>
      </c>
    </row>
    <row r="1614" spans="1:13" x14ac:dyDescent="0.3">
      <c r="A1614" s="49">
        <v>45261</v>
      </c>
      <c r="D1614" t="s">
        <v>7355</v>
      </c>
      <c r="E1614">
        <v>1</v>
      </c>
      <c r="F1614" t="str">
        <f t="shared" si="101"/>
        <v>sep</v>
      </c>
      <c r="G1614">
        <v>20</v>
      </c>
      <c r="H1614">
        <v>23</v>
      </c>
      <c r="I1614" t="str">
        <f t="shared" si="100"/>
        <v>1-sep-2023</v>
      </c>
      <c r="K1614" s="49">
        <f t="shared" si="102"/>
        <v>45170</v>
      </c>
      <c r="M1614" t="b">
        <f t="shared" si="103"/>
        <v>1</v>
      </c>
    </row>
    <row r="1615" spans="1:13" x14ac:dyDescent="0.3">
      <c r="A1615" s="49">
        <v>45261</v>
      </c>
      <c r="D1615" t="s">
        <v>7359</v>
      </c>
      <c r="E1615">
        <v>1</v>
      </c>
      <c r="F1615" t="str">
        <f t="shared" si="101"/>
        <v>jul</v>
      </c>
      <c r="G1615">
        <v>20</v>
      </c>
      <c r="H1615">
        <v>21</v>
      </c>
      <c r="I1615" t="str">
        <f t="shared" si="100"/>
        <v>1-jul-2021</v>
      </c>
      <c r="K1615" s="49">
        <f t="shared" si="102"/>
        <v>44378</v>
      </c>
      <c r="M1615" t="b">
        <f t="shared" si="103"/>
        <v>1</v>
      </c>
    </row>
    <row r="1616" spans="1:13" x14ac:dyDescent="0.3">
      <c r="A1616" s="49">
        <v>45261</v>
      </c>
      <c r="D1616" t="s">
        <v>7363</v>
      </c>
      <c r="E1616">
        <v>1</v>
      </c>
      <c r="F1616" t="str">
        <f t="shared" si="101"/>
        <v>feb</v>
      </c>
      <c r="G1616">
        <v>20</v>
      </c>
      <c r="H1616">
        <v>25</v>
      </c>
      <c r="I1616" t="str">
        <f t="shared" si="100"/>
        <v>1-feb-2025</v>
      </c>
      <c r="K1616" s="49">
        <f t="shared" si="102"/>
        <v>45689</v>
      </c>
      <c r="M1616" t="b">
        <f t="shared" si="103"/>
        <v>0</v>
      </c>
    </row>
    <row r="1617" spans="1:13" x14ac:dyDescent="0.3">
      <c r="A1617" s="49">
        <v>45261</v>
      </c>
      <c r="D1617" t="s">
        <v>7369</v>
      </c>
      <c r="E1617">
        <v>1</v>
      </c>
      <c r="F1617" t="str">
        <f t="shared" si="101"/>
        <v>abr</v>
      </c>
      <c r="G1617">
        <v>20</v>
      </c>
      <c r="H1617">
        <v>21</v>
      </c>
      <c r="I1617" t="str">
        <f t="shared" si="100"/>
        <v>1-abr-2021</v>
      </c>
      <c r="K1617" s="49">
        <f t="shared" si="102"/>
        <v>44287</v>
      </c>
      <c r="M1617" t="b">
        <f t="shared" si="103"/>
        <v>1</v>
      </c>
    </row>
    <row r="1618" spans="1:13" x14ac:dyDescent="0.3">
      <c r="A1618" s="49">
        <v>45261</v>
      </c>
      <c r="D1618" t="s">
        <v>7370</v>
      </c>
      <c r="E1618">
        <v>1</v>
      </c>
      <c r="F1618" t="str">
        <f t="shared" si="101"/>
        <v>may</v>
      </c>
      <c r="G1618">
        <v>20</v>
      </c>
      <c r="H1618">
        <v>20</v>
      </c>
      <c r="I1618" t="str">
        <f t="shared" si="100"/>
        <v>1-may-2020</v>
      </c>
      <c r="K1618" s="49">
        <f t="shared" si="102"/>
        <v>43952</v>
      </c>
      <c r="M1618" t="b">
        <f t="shared" si="103"/>
        <v>1</v>
      </c>
    </row>
    <row r="1619" spans="1:13" x14ac:dyDescent="0.3">
      <c r="A1619" s="49">
        <v>45261</v>
      </c>
      <c r="D1619" t="s">
        <v>7370</v>
      </c>
      <c r="E1619">
        <v>1</v>
      </c>
      <c r="F1619" t="str">
        <f t="shared" si="101"/>
        <v>may</v>
      </c>
      <c r="G1619">
        <v>20</v>
      </c>
      <c r="H1619">
        <v>22</v>
      </c>
      <c r="I1619" t="str">
        <f t="shared" si="100"/>
        <v>1-may-2022</v>
      </c>
      <c r="K1619" s="49">
        <f t="shared" si="102"/>
        <v>44682</v>
      </c>
      <c r="M1619" t="b">
        <f t="shared" si="103"/>
        <v>1</v>
      </c>
    </row>
    <row r="1620" spans="1:13" x14ac:dyDescent="0.3">
      <c r="A1620" s="49">
        <v>45261</v>
      </c>
      <c r="D1620" t="s">
        <v>7369</v>
      </c>
      <c r="E1620">
        <v>1</v>
      </c>
      <c r="F1620" t="str">
        <f t="shared" si="101"/>
        <v>abr</v>
      </c>
      <c r="G1620">
        <v>20</v>
      </c>
      <c r="H1620">
        <v>25</v>
      </c>
      <c r="I1620" t="str">
        <f t="shared" si="100"/>
        <v>1-abr-2025</v>
      </c>
      <c r="K1620" s="49">
        <f t="shared" si="102"/>
        <v>45748</v>
      </c>
      <c r="M1620" t="b">
        <f t="shared" si="103"/>
        <v>0</v>
      </c>
    </row>
    <row r="1621" spans="1:13" x14ac:dyDescent="0.3">
      <c r="A1621" s="49">
        <v>45261</v>
      </c>
      <c r="D1621" t="s">
        <v>7368</v>
      </c>
      <c r="E1621">
        <v>1</v>
      </c>
      <c r="F1621" t="str">
        <f t="shared" si="101"/>
        <v>mar</v>
      </c>
      <c r="G1621">
        <v>20</v>
      </c>
      <c r="H1621">
        <v>23</v>
      </c>
      <c r="I1621" t="str">
        <f t="shared" si="100"/>
        <v>1-mar-2023</v>
      </c>
      <c r="K1621" s="49">
        <f t="shared" si="102"/>
        <v>44986</v>
      </c>
      <c r="M1621" t="b">
        <f t="shared" si="103"/>
        <v>1</v>
      </c>
    </row>
    <row r="1622" spans="1:13" x14ac:dyDescent="0.3">
      <c r="A1622" s="49">
        <v>45261</v>
      </c>
      <c r="D1622" t="s">
        <v>7357</v>
      </c>
      <c r="E1622">
        <v>1</v>
      </c>
      <c r="F1622" t="str">
        <f t="shared" si="101"/>
        <v>oct</v>
      </c>
      <c r="G1622">
        <v>20</v>
      </c>
      <c r="H1622">
        <v>23</v>
      </c>
      <c r="I1622" t="str">
        <f t="shared" si="100"/>
        <v>1-oct-2023</v>
      </c>
      <c r="K1622" s="49">
        <f t="shared" si="102"/>
        <v>45200</v>
      </c>
      <c r="M1622" t="b">
        <f t="shared" si="103"/>
        <v>1</v>
      </c>
    </row>
    <row r="1623" spans="1:13" x14ac:dyDescent="0.3">
      <c r="A1623" s="49">
        <v>45261</v>
      </c>
      <c r="D1623" t="s">
        <v>7357</v>
      </c>
      <c r="E1623">
        <v>1</v>
      </c>
      <c r="F1623" t="str">
        <f t="shared" si="101"/>
        <v>oct</v>
      </c>
      <c r="G1623">
        <v>20</v>
      </c>
      <c r="H1623">
        <v>23</v>
      </c>
      <c r="I1623" t="str">
        <f t="shared" si="100"/>
        <v>1-oct-2023</v>
      </c>
      <c r="K1623" s="49">
        <f t="shared" si="102"/>
        <v>45200</v>
      </c>
      <c r="M1623" t="b">
        <f t="shared" si="103"/>
        <v>1</v>
      </c>
    </row>
    <row r="1624" spans="1:13" x14ac:dyDescent="0.3">
      <c r="A1624" s="49">
        <v>45261</v>
      </c>
      <c r="D1624" t="s">
        <v>7362</v>
      </c>
      <c r="E1624">
        <v>1</v>
      </c>
      <c r="F1624" t="str">
        <f t="shared" si="101"/>
        <v>ago</v>
      </c>
      <c r="G1624">
        <v>20</v>
      </c>
      <c r="H1624">
        <v>19</v>
      </c>
      <c r="I1624" t="str">
        <f t="shared" si="100"/>
        <v>1-ago-2019</v>
      </c>
      <c r="K1624" s="49">
        <f t="shared" si="102"/>
        <v>43678</v>
      </c>
      <c r="M1624" t="b">
        <f t="shared" si="103"/>
        <v>1</v>
      </c>
    </row>
    <row r="1625" spans="1:13" x14ac:dyDescent="0.3">
      <c r="A1625" s="49">
        <v>45261</v>
      </c>
      <c r="D1625" t="s">
        <v>7368</v>
      </c>
      <c r="E1625">
        <v>1</v>
      </c>
      <c r="F1625" t="str">
        <f t="shared" si="101"/>
        <v>mar</v>
      </c>
      <c r="G1625">
        <v>20</v>
      </c>
      <c r="H1625">
        <v>22</v>
      </c>
      <c r="I1625" t="str">
        <f t="shared" si="100"/>
        <v>1-mar-2022</v>
      </c>
      <c r="K1625" s="49">
        <f t="shared" si="102"/>
        <v>44621</v>
      </c>
      <c r="M1625" t="b">
        <f t="shared" si="103"/>
        <v>1</v>
      </c>
    </row>
    <row r="1626" spans="1:13" x14ac:dyDescent="0.3">
      <c r="A1626" s="49">
        <v>45261</v>
      </c>
      <c r="D1626" t="s">
        <v>7357</v>
      </c>
      <c r="E1626">
        <v>1</v>
      </c>
      <c r="F1626" t="str">
        <f t="shared" si="101"/>
        <v>oct</v>
      </c>
      <c r="G1626">
        <v>20</v>
      </c>
      <c r="H1626">
        <v>21</v>
      </c>
      <c r="I1626" t="str">
        <f t="shared" si="100"/>
        <v>1-oct-2021</v>
      </c>
      <c r="K1626" s="49">
        <f t="shared" si="102"/>
        <v>44470</v>
      </c>
      <c r="M1626" t="b">
        <f t="shared" si="103"/>
        <v>1</v>
      </c>
    </row>
    <row r="1627" spans="1:13" x14ac:dyDescent="0.3">
      <c r="A1627" s="49">
        <v>45261</v>
      </c>
      <c r="D1627" t="s">
        <v>7360</v>
      </c>
      <c r="E1627">
        <v>1</v>
      </c>
      <c r="F1627" t="str">
        <f t="shared" si="101"/>
        <v>nov</v>
      </c>
      <c r="G1627">
        <v>20</v>
      </c>
      <c r="H1627">
        <v>24</v>
      </c>
      <c r="I1627" t="str">
        <f t="shared" si="100"/>
        <v>1-nov-2024</v>
      </c>
      <c r="K1627" s="49">
        <f t="shared" si="102"/>
        <v>45597</v>
      </c>
      <c r="M1627" t="b">
        <f t="shared" si="103"/>
        <v>0</v>
      </c>
    </row>
    <row r="1628" spans="1:13" x14ac:dyDescent="0.3">
      <c r="A1628" s="49">
        <v>45261</v>
      </c>
      <c r="D1628" t="s">
        <v>7368</v>
      </c>
      <c r="E1628">
        <v>1</v>
      </c>
      <c r="F1628" t="str">
        <f t="shared" si="101"/>
        <v>mar</v>
      </c>
      <c r="G1628">
        <v>20</v>
      </c>
      <c r="H1628">
        <v>17</v>
      </c>
      <c r="I1628" t="str">
        <f t="shared" si="100"/>
        <v>1-mar-2017</v>
      </c>
      <c r="K1628" s="49">
        <f t="shared" si="102"/>
        <v>42795</v>
      </c>
      <c r="M1628" t="b">
        <f t="shared" si="103"/>
        <v>1</v>
      </c>
    </row>
    <row r="1629" spans="1:13" x14ac:dyDescent="0.3">
      <c r="A1629" s="49">
        <v>45261</v>
      </c>
      <c r="D1629" t="s">
        <v>7368</v>
      </c>
      <c r="E1629">
        <v>1</v>
      </c>
      <c r="F1629" t="str">
        <f t="shared" si="101"/>
        <v>mar</v>
      </c>
      <c r="G1629">
        <v>20</v>
      </c>
      <c r="H1629">
        <v>17</v>
      </c>
      <c r="I1629" t="str">
        <f t="shared" si="100"/>
        <v>1-mar-2017</v>
      </c>
      <c r="K1629" s="49">
        <f t="shared" si="102"/>
        <v>42795</v>
      </c>
      <c r="M1629" t="b">
        <f t="shared" si="103"/>
        <v>1</v>
      </c>
    </row>
    <row r="1630" spans="1:13" x14ac:dyDescent="0.3">
      <c r="A1630" s="49">
        <v>45261</v>
      </c>
      <c r="D1630" t="s">
        <v>7369</v>
      </c>
      <c r="E1630">
        <v>1</v>
      </c>
      <c r="F1630" t="str">
        <f t="shared" si="101"/>
        <v>abr</v>
      </c>
      <c r="G1630">
        <v>20</v>
      </c>
      <c r="H1630">
        <v>20</v>
      </c>
      <c r="I1630" t="str">
        <f t="shared" si="100"/>
        <v>1-abr-2020</v>
      </c>
      <c r="K1630" s="49">
        <f t="shared" si="102"/>
        <v>43922</v>
      </c>
      <c r="M1630" t="b">
        <f t="shared" si="103"/>
        <v>1</v>
      </c>
    </row>
    <row r="1631" spans="1:13" x14ac:dyDescent="0.3">
      <c r="A1631" s="49">
        <v>45261</v>
      </c>
      <c r="D1631" t="s">
        <v>7366</v>
      </c>
      <c r="E1631">
        <v>1</v>
      </c>
      <c r="F1631" t="str">
        <f t="shared" si="101"/>
        <v>dic</v>
      </c>
      <c r="G1631">
        <v>20</v>
      </c>
      <c r="H1631">
        <v>23</v>
      </c>
      <c r="I1631" t="str">
        <f t="shared" si="100"/>
        <v>1-dic-2023</v>
      </c>
      <c r="K1631" s="49">
        <f t="shared" si="102"/>
        <v>45261</v>
      </c>
      <c r="M1631" t="b">
        <f t="shared" si="103"/>
        <v>0</v>
      </c>
    </row>
    <row r="1632" spans="1:13" x14ac:dyDescent="0.3">
      <c r="A1632" s="49">
        <v>45261</v>
      </c>
      <c r="D1632" t="s">
        <v>7356</v>
      </c>
      <c r="E1632">
        <v>1</v>
      </c>
      <c r="F1632" t="str">
        <f t="shared" si="101"/>
        <v>ene</v>
      </c>
      <c r="G1632">
        <v>20</v>
      </c>
      <c r="H1632">
        <v>20</v>
      </c>
      <c r="I1632" t="str">
        <f t="shared" si="100"/>
        <v>1-ene-2020</v>
      </c>
      <c r="K1632" s="49">
        <f t="shared" si="102"/>
        <v>43831</v>
      </c>
      <c r="M1632" t="b">
        <f t="shared" si="103"/>
        <v>1</v>
      </c>
    </row>
    <row r="1633" spans="1:13" x14ac:dyDescent="0.3">
      <c r="A1633" s="49">
        <v>45261</v>
      </c>
      <c r="D1633" t="s">
        <v>7356</v>
      </c>
      <c r="E1633">
        <v>1</v>
      </c>
      <c r="F1633" t="str">
        <f t="shared" si="101"/>
        <v>ene</v>
      </c>
      <c r="G1633">
        <v>20</v>
      </c>
      <c r="H1633">
        <v>20</v>
      </c>
      <c r="I1633" t="str">
        <f t="shared" si="100"/>
        <v>1-ene-2020</v>
      </c>
      <c r="K1633" s="49">
        <f t="shared" si="102"/>
        <v>43831</v>
      </c>
      <c r="M1633" t="b">
        <f t="shared" si="103"/>
        <v>1</v>
      </c>
    </row>
    <row r="1634" spans="1:13" x14ac:dyDescent="0.3">
      <c r="A1634" s="49">
        <v>45261</v>
      </c>
      <c r="D1634" t="s">
        <v>7367</v>
      </c>
      <c r="E1634">
        <v>1</v>
      </c>
      <c r="F1634" t="str">
        <f t="shared" si="101"/>
        <v>jun</v>
      </c>
      <c r="G1634">
        <v>20</v>
      </c>
      <c r="H1634">
        <v>23</v>
      </c>
      <c r="I1634" t="str">
        <f t="shared" si="100"/>
        <v>1-jun-2023</v>
      </c>
      <c r="K1634" s="49">
        <f t="shared" si="102"/>
        <v>45078</v>
      </c>
      <c r="M1634" t="b">
        <f t="shared" si="103"/>
        <v>1</v>
      </c>
    </row>
    <row r="1635" spans="1:13" x14ac:dyDescent="0.3">
      <c r="A1635" s="49">
        <v>45261</v>
      </c>
      <c r="D1635" t="s">
        <v>7359</v>
      </c>
      <c r="E1635">
        <v>1</v>
      </c>
      <c r="F1635" t="str">
        <f t="shared" si="101"/>
        <v>jul</v>
      </c>
      <c r="G1635">
        <v>20</v>
      </c>
      <c r="H1635">
        <v>16</v>
      </c>
      <c r="I1635" t="str">
        <f t="shared" si="100"/>
        <v>1-jul-2016</v>
      </c>
      <c r="K1635" s="49">
        <f t="shared" si="102"/>
        <v>42552</v>
      </c>
      <c r="M1635" t="b">
        <f t="shared" si="103"/>
        <v>1</v>
      </c>
    </row>
    <row r="1636" spans="1:13" x14ac:dyDescent="0.3">
      <c r="A1636" s="49">
        <v>45261</v>
      </c>
      <c r="D1636" t="s">
        <v>7359</v>
      </c>
      <c r="E1636">
        <v>1</v>
      </c>
      <c r="F1636" t="str">
        <f t="shared" si="101"/>
        <v>jul</v>
      </c>
      <c r="G1636">
        <v>20</v>
      </c>
      <c r="H1636">
        <v>16</v>
      </c>
      <c r="I1636" t="str">
        <f t="shared" si="100"/>
        <v>1-jul-2016</v>
      </c>
      <c r="K1636" s="49">
        <f t="shared" si="102"/>
        <v>42552</v>
      </c>
      <c r="M1636" t="b">
        <f t="shared" si="103"/>
        <v>1</v>
      </c>
    </row>
    <row r="1637" spans="1:13" x14ac:dyDescent="0.3">
      <c r="A1637" s="49">
        <v>45261</v>
      </c>
      <c r="D1637" t="s">
        <v>7362</v>
      </c>
      <c r="E1637">
        <v>1</v>
      </c>
      <c r="F1637" t="str">
        <f t="shared" si="101"/>
        <v>ago</v>
      </c>
      <c r="G1637">
        <v>20</v>
      </c>
      <c r="H1637">
        <v>20</v>
      </c>
      <c r="I1637" t="str">
        <f t="shared" si="100"/>
        <v>1-ago-2020</v>
      </c>
      <c r="K1637" s="49">
        <f t="shared" si="102"/>
        <v>44044</v>
      </c>
      <c r="M1637" t="b">
        <f t="shared" si="103"/>
        <v>1</v>
      </c>
    </row>
    <row r="1638" spans="1:13" x14ac:dyDescent="0.3">
      <c r="A1638" s="49">
        <v>45261</v>
      </c>
      <c r="D1638" t="s">
        <v>7369</v>
      </c>
      <c r="E1638">
        <v>1</v>
      </c>
      <c r="F1638" t="str">
        <f t="shared" si="101"/>
        <v>abr</v>
      </c>
      <c r="G1638">
        <v>20</v>
      </c>
      <c r="H1638">
        <v>23</v>
      </c>
      <c r="I1638" t="str">
        <f t="shared" si="100"/>
        <v>1-abr-2023</v>
      </c>
      <c r="K1638" s="49">
        <f t="shared" si="102"/>
        <v>45017</v>
      </c>
      <c r="M1638" t="b">
        <f t="shared" si="103"/>
        <v>1</v>
      </c>
    </row>
    <row r="1639" spans="1:13" x14ac:dyDescent="0.3">
      <c r="A1639" s="49">
        <v>45261</v>
      </c>
      <c r="D1639" t="s">
        <v>7370</v>
      </c>
      <c r="E1639">
        <v>1</v>
      </c>
      <c r="F1639" t="str">
        <f t="shared" si="101"/>
        <v>may</v>
      </c>
      <c r="G1639">
        <v>20</v>
      </c>
      <c r="H1639">
        <v>22</v>
      </c>
      <c r="I1639" t="str">
        <f t="shared" si="100"/>
        <v>1-may-2022</v>
      </c>
      <c r="K1639" s="49">
        <f t="shared" si="102"/>
        <v>44682</v>
      </c>
      <c r="M1639" t="b">
        <f t="shared" si="103"/>
        <v>1</v>
      </c>
    </row>
    <row r="1640" spans="1:13" x14ac:dyDescent="0.3">
      <c r="A1640" s="49">
        <v>45261</v>
      </c>
      <c r="D1640" t="s">
        <v>7362</v>
      </c>
      <c r="E1640">
        <v>1</v>
      </c>
      <c r="F1640" t="str">
        <f t="shared" si="101"/>
        <v>ago</v>
      </c>
      <c r="G1640">
        <v>20</v>
      </c>
      <c r="H1640">
        <v>23</v>
      </c>
      <c r="I1640" t="str">
        <f t="shared" si="100"/>
        <v>1-ago-2023</v>
      </c>
      <c r="K1640" s="49">
        <f t="shared" si="102"/>
        <v>45139</v>
      </c>
      <c r="M1640" t="b">
        <f t="shared" si="103"/>
        <v>1</v>
      </c>
    </row>
    <row r="1641" spans="1:13" x14ac:dyDescent="0.3">
      <c r="A1641" s="49">
        <v>45261</v>
      </c>
      <c r="D1641" t="s">
        <v>7367</v>
      </c>
      <c r="E1641">
        <v>1</v>
      </c>
      <c r="F1641" t="str">
        <f t="shared" si="101"/>
        <v>jun</v>
      </c>
      <c r="G1641">
        <v>20</v>
      </c>
      <c r="H1641">
        <v>21</v>
      </c>
      <c r="I1641" t="str">
        <f t="shared" si="100"/>
        <v>1-jun-2021</v>
      </c>
      <c r="K1641" s="49">
        <f t="shared" si="102"/>
        <v>44348</v>
      </c>
      <c r="M1641" t="b">
        <f t="shared" si="103"/>
        <v>1</v>
      </c>
    </row>
    <row r="1642" spans="1:13" x14ac:dyDescent="0.3">
      <c r="A1642" s="49">
        <v>45261</v>
      </c>
      <c r="D1642" t="s">
        <v>7367</v>
      </c>
      <c r="E1642">
        <v>1</v>
      </c>
      <c r="F1642" t="str">
        <f t="shared" si="101"/>
        <v>jun</v>
      </c>
      <c r="G1642">
        <v>20</v>
      </c>
      <c r="H1642">
        <v>21</v>
      </c>
      <c r="I1642" t="str">
        <f t="shared" si="100"/>
        <v>1-jun-2021</v>
      </c>
      <c r="K1642" s="49">
        <f t="shared" si="102"/>
        <v>44348</v>
      </c>
      <c r="M1642" t="b">
        <f t="shared" si="103"/>
        <v>1</v>
      </c>
    </row>
    <row r="1643" spans="1:13" x14ac:dyDescent="0.3">
      <c r="A1643" s="49">
        <v>45261</v>
      </c>
      <c r="D1643" t="s">
        <v>7362</v>
      </c>
      <c r="E1643">
        <v>1</v>
      </c>
      <c r="F1643" t="str">
        <f t="shared" si="101"/>
        <v>ago</v>
      </c>
      <c r="G1643">
        <v>20</v>
      </c>
      <c r="H1643">
        <v>15</v>
      </c>
      <c r="I1643" t="str">
        <f t="shared" si="100"/>
        <v>1-ago-2015</v>
      </c>
      <c r="K1643" s="49">
        <f t="shared" si="102"/>
        <v>42217</v>
      </c>
      <c r="M1643" t="b">
        <f t="shared" si="103"/>
        <v>1</v>
      </c>
    </row>
    <row r="1644" spans="1:13" x14ac:dyDescent="0.3">
      <c r="A1644" s="49">
        <v>45261</v>
      </c>
      <c r="D1644" t="s">
        <v>7356</v>
      </c>
      <c r="E1644">
        <v>1</v>
      </c>
      <c r="F1644" t="str">
        <f t="shared" si="101"/>
        <v>ene</v>
      </c>
      <c r="G1644">
        <v>20</v>
      </c>
      <c r="H1644">
        <v>20</v>
      </c>
      <c r="I1644" t="str">
        <f t="shared" si="100"/>
        <v>1-ene-2020</v>
      </c>
      <c r="K1644" s="49">
        <f t="shared" si="102"/>
        <v>43831</v>
      </c>
      <c r="M1644" t="b">
        <f t="shared" si="103"/>
        <v>1</v>
      </c>
    </row>
    <row r="1645" spans="1:13" x14ac:dyDescent="0.3">
      <c r="A1645" s="49">
        <v>45261</v>
      </c>
      <c r="D1645" t="s">
        <v>7369</v>
      </c>
      <c r="E1645">
        <v>1</v>
      </c>
      <c r="F1645" t="str">
        <f t="shared" si="101"/>
        <v>abr</v>
      </c>
      <c r="G1645">
        <v>20</v>
      </c>
      <c r="H1645">
        <v>23</v>
      </c>
      <c r="I1645" t="str">
        <f t="shared" si="100"/>
        <v>1-abr-2023</v>
      </c>
      <c r="K1645" s="49">
        <f t="shared" si="102"/>
        <v>45017</v>
      </c>
      <c r="M1645" t="b">
        <f t="shared" si="103"/>
        <v>1</v>
      </c>
    </row>
    <row r="1646" spans="1:13" x14ac:dyDescent="0.3">
      <c r="A1646" s="49">
        <v>45261</v>
      </c>
      <c r="D1646" t="s">
        <v>7369</v>
      </c>
      <c r="E1646">
        <v>1</v>
      </c>
      <c r="F1646" t="str">
        <f t="shared" si="101"/>
        <v>abr</v>
      </c>
      <c r="G1646">
        <v>20</v>
      </c>
      <c r="H1646">
        <v>23</v>
      </c>
      <c r="I1646" t="str">
        <f t="shared" si="100"/>
        <v>1-abr-2023</v>
      </c>
      <c r="K1646" s="49">
        <f t="shared" si="102"/>
        <v>45017</v>
      </c>
      <c r="M1646" t="b">
        <f t="shared" si="103"/>
        <v>1</v>
      </c>
    </row>
    <row r="1647" spans="1:13" x14ac:dyDescent="0.3">
      <c r="A1647" s="49">
        <v>45261</v>
      </c>
      <c r="D1647" t="s">
        <v>7369</v>
      </c>
      <c r="E1647">
        <v>1</v>
      </c>
      <c r="F1647" t="str">
        <f t="shared" si="101"/>
        <v>abr</v>
      </c>
      <c r="G1647">
        <v>20</v>
      </c>
      <c r="H1647">
        <v>23</v>
      </c>
      <c r="I1647" t="str">
        <f t="shared" si="100"/>
        <v>1-abr-2023</v>
      </c>
      <c r="K1647" s="49">
        <f t="shared" si="102"/>
        <v>45017</v>
      </c>
      <c r="M1647" t="b">
        <f t="shared" si="103"/>
        <v>1</v>
      </c>
    </row>
    <row r="1648" spans="1:13" x14ac:dyDescent="0.3">
      <c r="A1648" s="49">
        <v>45261</v>
      </c>
      <c r="D1648" t="s">
        <v>3586</v>
      </c>
      <c r="E1648">
        <v>1</v>
      </c>
      <c r="F1648" t="str">
        <f t="shared" si="101"/>
        <v>---</v>
      </c>
      <c r="G1648">
        <v>20</v>
      </c>
      <c r="H1648" t="s">
        <v>3911</v>
      </c>
      <c r="I1648" t="str">
        <f t="shared" si="100"/>
        <v>1-----20--</v>
      </c>
      <c r="K1648" s="49" t="e">
        <f t="shared" si="102"/>
        <v>#VALUE!</v>
      </c>
      <c r="M1648" t="e">
        <f t="shared" si="103"/>
        <v>#VALUE!</v>
      </c>
    </row>
    <row r="1649" spans="1:13" x14ac:dyDescent="0.3">
      <c r="A1649" s="49">
        <v>45261</v>
      </c>
      <c r="D1649" t="s">
        <v>7369</v>
      </c>
      <c r="E1649">
        <v>1</v>
      </c>
      <c r="F1649" t="str">
        <f t="shared" si="101"/>
        <v>abr</v>
      </c>
      <c r="G1649">
        <v>20</v>
      </c>
      <c r="H1649">
        <v>24</v>
      </c>
      <c r="I1649" t="str">
        <f t="shared" si="100"/>
        <v>1-abr-2024</v>
      </c>
      <c r="K1649" s="49">
        <f t="shared" si="102"/>
        <v>45383</v>
      </c>
      <c r="M1649" t="b">
        <f t="shared" si="103"/>
        <v>0</v>
      </c>
    </row>
    <row r="1650" spans="1:13" x14ac:dyDescent="0.3">
      <c r="A1650" s="49">
        <v>45261</v>
      </c>
      <c r="D1650" t="s">
        <v>7355</v>
      </c>
      <c r="E1650">
        <v>1</v>
      </c>
      <c r="F1650" t="str">
        <f t="shared" si="101"/>
        <v>sep</v>
      </c>
      <c r="G1650">
        <v>20</v>
      </c>
      <c r="H1650">
        <v>23</v>
      </c>
      <c r="I1650" t="str">
        <f t="shared" si="100"/>
        <v>1-sep-2023</v>
      </c>
      <c r="K1650" s="49">
        <f t="shared" si="102"/>
        <v>45170</v>
      </c>
      <c r="M1650" t="b">
        <f t="shared" si="103"/>
        <v>1</v>
      </c>
    </row>
    <row r="1651" spans="1:13" x14ac:dyDescent="0.3">
      <c r="A1651" s="49">
        <v>45261</v>
      </c>
      <c r="D1651" t="s">
        <v>7357</v>
      </c>
      <c r="E1651">
        <v>1</v>
      </c>
      <c r="F1651" t="str">
        <f t="shared" si="101"/>
        <v>oct</v>
      </c>
      <c r="G1651">
        <v>20</v>
      </c>
      <c r="H1651">
        <v>24</v>
      </c>
      <c r="I1651" t="str">
        <f t="shared" si="100"/>
        <v>1-oct-2024</v>
      </c>
      <c r="K1651" s="49">
        <f t="shared" si="102"/>
        <v>45566</v>
      </c>
      <c r="M1651" t="b">
        <f t="shared" si="103"/>
        <v>0</v>
      </c>
    </row>
    <row r="1652" spans="1:13" x14ac:dyDescent="0.3">
      <c r="A1652" s="49">
        <v>45261</v>
      </c>
      <c r="D1652" t="s">
        <v>7355</v>
      </c>
      <c r="E1652">
        <v>1</v>
      </c>
      <c r="F1652" t="str">
        <f t="shared" si="101"/>
        <v>sep</v>
      </c>
      <c r="G1652">
        <v>20</v>
      </c>
      <c r="H1652">
        <v>23</v>
      </c>
      <c r="I1652" t="str">
        <f t="shared" si="100"/>
        <v>1-sep-2023</v>
      </c>
      <c r="K1652" s="49">
        <f t="shared" si="102"/>
        <v>45170</v>
      </c>
      <c r="M1652" t="b">
        <f t="shared" si="103"/>
        <v>1</v>
      </c>
    </row>
    <row r="1653" spans="1:13" x14ac:dyDescent="0.3">
      <c r="A1653" s="49">
        <v>45261</v>
      </c>
      <c r="D1653" t="s">
        <v>7355</v>
      </c>
      <c r="E1653">
        <v>1</v>
      </c>
      <c r="F1653" t="str">
        <f t="shared" si="101"/>
        <v>sep</v>
      </c>
      <c r="G1653">
        <v>20</v>
      </c>
      <c r="H1653">
        <v>21</v>
      </c>
      <c r="I1653" t="str">
        <f t="shared" si="100"/>
        <v>1-sep-2021</v>
      </c>
      <c r="K1653" s="49">
        <f t="shared" si="102"/>
        <v>44440</v>
      </c>
      <c r="M1653" t="b">
        <f t="shared" si="103"/>
        <v>1</v>
      </c>
    </row>
    <row r="1654" spans="1:13" x14ac:dyDescent="0.3">
      <c r="A1654" s="49">
        <v>45261</v>
      </c>
      <c r="D1654" t="s">
        <v>7366</v>
      </c>
      <c r="E1654">
        <v>1</v>
      </c>
      <c r="F1654" t="str">
        <f t="shared" si="101"/>
        <v>dic</v>
      </c>
      <c r="G1654">
        <v>20</v>
      </c>
      <c r="H1654">
        <v>22</v>
      </c>
      <c r="I1654" t="str">
        <f t="shared" si="100"/>
        <v>1-dic-2022</v>
      </c>
      <c r="K1654" s="49">
        <f t="shared" si="102"/>
        <v>44896</v>
      </c>
      <c r="M1654" t="b">
        <f t="shared" si="103"/>
        <v>1</v>
      </c>
    </row>
    <row r="1655" spans="1:13" x14ac:dyDescent="0.3">
      <c r="A1655" s="49">
        <v>45261</v>
      </c>
      <c r="D1655" t="s">
        <v>7367</v>
      </c>
      <c r="E1655">
        <v>1</v>
      </c>
      <c r="F1655" t="str">
        <f t="shared" si="101"/>
        <v>jun</v>
      </c>
      <c r="G1655">
        <v>20</v>
      </c>
      <c r="H1655">
        <v>23</v>
      </c>
      <c r="I1655" t="str">
        <f t="shared" si="100"/>
        <v>1-jun-2023</v>
      </c>
      <c r="K1655" s="49">
        <f t="shared" si="102"/>
        <v>45078</v>
      </c>
      <c r="M1655" t="b">
        <f t="shared" si="103"/>
        <v>1</v>
      </c>
    </row>
    <row r="1656" spans="1:13" x14ac:dyDescent="0.3">
      <c r="A1656" s="49">
        <v>45261</v>
      </c>
      <c r="D1656" t="s">
        <v>7355</v>
      </c>
      <c r="E1656">
        <v>1</v>
      </c>
      <c r="F1656" t="str">
        <f t="shared" si="101"/>
        <v>sep</v>
      </c>
      <c r="G1656">
        <v>20</v>
      </c>
      <c r="H1656">
        <v>23</v>
      </c>
      <c r="I1656" t="str">
        <f t="shared" si="100"/>
        <v>1-sep-2023</v>
      </c>
      <c r="K1656" s="49">
        <f t="shared" si="102"/>
        <v>45170</v>
      </c>
      <c r="M1656" t="b">
        <f t="shared" si="103"/>
        <v>1</v>
      </c>
    </row>
    <row r="1657" spans="1:13" x14ac:dyDescent="0.3">
      <c r="A1657" s="49">
        <v>45261</v>
      </c>
      <c r="D1657" t="s">
        <v>7370</v>
      </c>
      <c r="E1657">
        <v>1</v>
      </c>
      <c r="F1657" t="str">
        <f t="shared" si="101"/>
        <v>may</v>
      </c>
      <c r="G1657">
        <v>20</v>
      </c>
      <c r="H1657">
        <v>22</v>
      </c>
      <c r="I1657" t="str">
        <f t="shared" si="100"/>
        <v>1-may-2022</v>
      </c>
      <c r="K1657" s="49">
        <f t="shared" si="102"/>
        <v>44682</v>
      </c>
      <c r="M1657" t="b">
        <f t="shared" si="103"/>
        <v>1</v>
      </c>
    </row>
    <row r="1658" spans="1:13" x14ac:dyDescent="0.3">
      <c r="A1658" s="49">
        <v>45261</v>
      </c>
      <c r="D1658" t="s">
        <v>7366</v>
      </c>
      <c r="E1658">
        <v>1</v>
      </c>
      <c r="F1658" t="str">
        <f t="shared" si="101"/>
        <v>dic</v>
      </c>
      <c r="G1658">
        <v>20</v>
      </c>
      <c r="H1658">
        <v>22</v>
      </c>
      <c r="I1658" t="str">
        <f t="shared" si="100"/>
        <v>1-dic-2022</v>
      </c>
      <c r="K1658" s="49">
        <f t="shared" si="102"/>
        <v>44896</v>
      </c>
      <c r="M1658" t="b">
        <f t="shared" si="103"/>
        <v>1</v>
      </c>
    </row>
    <row r="1659" spans="1:13" x14ac:dyDescent="0.3">
      <c r="A1659" s="49">
        <v>45261</v>
      </c>
      <c r="D1659" t="s">
        <v>7367</v>
      </c>
      <c r="E1659">
        <v>1</v>
      </c>
      <c r="F1659" t="str">
        <f t="shared" si="101"/>
        <v>jun</v>
      </c>
      <c r="G1659">
        <v>20</v>
      </c>
      <c r="H1659">
        <v>21</v>
      </c>
      <c r="I1659" t="str">
        <f t="shared" si="100"/>
        <v>1-jun-2021</v>
      </c>
      <c r="K1659" s="49">
        <f t="shared" si="102"/>
        <v>44348</v>
      </c>
      <c r="M1659" t="b">
        <f t="shared" si="103"/>
        <v>1</v>
      </c>
    </row>
    <row r="1660" spans="1:13" x14ac:dyDescent="0.3">
      <c r="A1660" s="49">
        <v>45261</v>
      </c>
      <c r="D1660" t="s">
        <v>7357</v>
      </c>
      <c r="E1660">
        <v>1</v>
      </c>
      <c r="F1660" t="str">
        <f t="shared" si="101"/>
        <v>oct</v>
      </c>
      <c r="G1660">
        <v>20</v>
      </c>
      <c r="H1660">
        <v>21</v>
      </c>
      <c r="I1660" t="str">
        <f t="shared" si="100"/>
        <v>1-oct-2021</v>
      </c>
      <c r="K1660" s="49">
        <f t="shared" si="102"/>
        <v>44470</v>
      </c>
      <c r="M1660" t="b">
        <f t="shared" si="103"/>
        <v>1</v>
      </c>
    </row>
    <row r="1661" spans="1:13" x14ac:dyDescent="0.3">
      <c r="A1661" s="49">
        <v>45261</v>
      </c>
      <c r="D1661" t="s">
        <v>7362</v>
      </c>
      <c r="E1661">
        <v>1</v>
      </c>
      <c r="F1661" t="str">
        <f t="shared" si="101"/>
        <v>ago</v>
      </c>
      <c r="G1661">
        <v>20</v>
      </c>
      <c r="H1661">
        <v>23</v>
      </c>
      <c r="I1661" t="str">
        <f t="shared" si="100"/>
        <v>1-ago-2023</v>
      </c>
      <c r="K1661" s="49">
        <f t="shared" si="102"/>
        <v>45139</v>
      </c>
      <c r="M1661" t="b">
        <f t="shared" si="103"/>
        <v>1</v>
      </c>
    </row>
    <row r="1662" spans="1:13" x14ac:dyDescent="0.3">
      <c r="A1662" s="49">
        <v>45261</v>
      </c>
      <c r="D1662" t="s">
        <v>7357</v>
      </c>
      <c r="E1662">
        <v>1</v>
      </c>
      <c r="F1662" t="str">
        <f t="shared" si="101"/>
        <v>oct</v>
      </c>
      <c r="G1662">
        <v>20</v>
      </c>
      <c r="H1662">
        <v>20</v>
      </c>
      <c r="I1662" t="str">
        <f t="shared" si="100"/>
        <v>1-oct-2020</v>
      </c>
      <c r="K1662" s="49">
        <f t="shared" si="102"/>
        <v>44105</v>
      </c>
      <c r="M1662" t="b">
        <f t="shared" si="103"/>
        <v>1</v>
      </c>
    </row>
    <row r="1663" spans="1:13" x14ac:dyDescent="0.3">
      <c r="A1663" s="49">
        <v>45261</v>
      </c>
      <c r="D1663" t="s">
        <v>7360</v>
      </c>
      <c r="E1663">
        <v>1</v>
      </c>
      <c r="F1663" t="str">
        <f t="shared" si="101"/>
        <v>nov</v>
      </c>
      <c r="G1663">
        <v>20</v>
      </c>
      <c r="H1663">
        <v>17</v>
      </c>
      <c r="I1663" t="str">
        <f t="shared" si="100"/>
        <v>1-nov-2017</v>
      </c>
      <c r="K1663" s="49">
        <f t="shared" si="102"/>
        <v>43040</v>
      </c>
      <c r="M1663" t="b">
        <f t="shared" si="103"/>
        <v>1</v>
      </c>
    </row>
    <row r="1664" spans="1:13" x14ac:dyDescent="0.3">
      <c r="A1664" s="49">
        <v>45261</v>
      </c>
      <c r="D1664" t="s">
        <v>7359</v>
      </c>
      <c r="E1664">
        <v>1</v>
      </c>
      <c r="F1664" t="str">
        <f t="shared" si="101"/>
        <v>jul</v>
      </c>
      <c r="G1664">
        <v>20</v>
      </c>
      <c r="H1664">
        <v>23</v>
      </c>
      <c r="I1664" t="str">
        <f t="shared" si="100"/>
        <v>1-jul-2023</v>
      </c>
      <c r="K1664" s="49">
        <f t="shared" si="102"/>
        <v>45108</v>
      </c>
      <c r="M1664" t="b">
        <f t="shared" si="103"/>
        <v>1</v>
      </c>
    </row>
    <row r="1665" spans="1:13" x14ac:dyDescent="0.3">
      <c r="A1665" s="49">
        <v>45261</v>
      </c>
      <c r="D1665" t="s">
        <v>7370</v>
      </c>
      <c r="E1665">
        <v>1</v>
      </c>
      <c r="F1665" t="str">
        <f t="shared" si="101"/>
        <v>may</v>
      </c>
      <c r="G1665">
        <v>20</v>
      </c>
      <c r="H1665">
        <v>22</v>
      </c>
      <c r="I1665" t="str">
        <f t="shared" ref="I1665:I1728" si="104">_xlfn.CONCAT(E1665,"-",F1665,"-",G1665,H1665)</f>
        <v>1-may-2022</v>
      </c>
      <c r="K1665" s="49">
        <f t="shared" si="102"/>
        <v>44682</v>
      </c>
      <c r="M1665" t="b">
        <f t="shared" si="103"/>
        <v>1</v>
      </c>
    </row>
    <row r="1666" spans="1:13" x14ac:dyDescent="0.3">
      <c r="A1666" s="49">
        <v>45261</v>
      </c>
      <c r="D1666" t="s">
        <v>7368</v>
      </c>
      <c r="E1666">
        <v>1</v>
      </c>
      <c r="F1666" t="str">
        <f t="shared" ref="F1666:F1729" si="105">LOWER(D1666)</f>
        <v>mar</v>
      </c>
      <c r="G1666">
        <v>20</v>
      </c>
      <c r="H1666">
        <v>22</v>
      </c>
      <c r="I1666" t="str">
        <f t="shared" si="104"/>
        <v>1-mar-2022</v>
      </c>
      <c r="K1666" s="49">
        <f t="shared" ref="K1666:K1729" si="106">DATEVALUE(I1666)</f>
        <v>44621</v>
      </c>
      <c r="M1666" t="b">
        <f t="shared" si="103"/>
        <v>1</v>
      </c>
    </row>
    <row r="1667" spans="1:13" x14ac:dyDescent="0.3">
      <c r="A1667" s="49">
        <v>45261</v>
      </c>
      <c r="D1667" t="s">
        <v>7368</v>
      </c>
      <c r="E1667">
        <v>1</v>
      </c>
      <c r="F1667" t="str">
        <f t="shared" si="105"/>
        <v>mar</v>
      </c>
      <c r="G1667">
        <v>20</v>
      </c>
      <c r="H1667">
        <v>22</v>
      </c>
      <c r="I1667" t="str">
        <f t="shared" si="104"/>
        <v>1-mar-2022</v>
      </c>
      <c r="K1667" s="49">
        <f t="shared" si="106"/>
        <v>44621</v>
      </c>
      <c r="M1667" t="b">
        <f t="shared" ref="M1667:M1730" si="107">K1667&lt;A1667</f>
        <v>1</v>
      </c>
    </row>
    <row r="1668" spans="1:13" x14ac:dyDescent="0.3">
      <c r="A1668" s="49">
        <v>45261</v>
      </c>
      <c r="D1668" t="s">
        <v>7368</v>
      </c>
      <c r="E1668">
        <v>1</v>
      </c>
      <c r="F1668" t="str">
        <f t="shared" si="105"/>
        <v>mar</v>
      </c>
      <c r="G1668">
        <v>20</v>
      </c>
      <c r="H1668">
        <v>22</v>
      </c>
      <c r="I1668" t="str">
        <f t="shared" si="104"/>
        <v>1-mar-2022</v>
      </c>
      <c r="K1668" s="49">
        <f t="shared" si="106"/>
        <v>44621</v>
      </c>
      <c r="M1668" t="b">
        <f t="shared" si="107"/>
        <v>1</v>
      </c>
    </row>
    <row r="1669" spans="1:13" x14ac:dyDescent="0.3">
      <c r="A1669" s="49">
        <v>45261</v>
      </c>
      <c r="D1669" t="s">
        <v>7368</v>
      </c>
      <c r="E1669">
        <v>1</v>
      </c>
      <c r="F1669" t="str">
        <f t="shared" si="105"/>
        <v>mar</v>
      </c>
      <c r="G1669">
        <v>20</v>
      </c>
      <c r="H1669">
        <v>23</v>
      </c>
      <c r="I1669" t="str">
        <f t="shared" si="104"/>
        <v>1-mar-2023</v>
      </c>
      <c r="K1669" s="49">
        <f t="shared" si="106"/>
        <v>44986</v>
      </c>
      <c r="M1669" t="b">
        <f t="shared" si="107"/>
        <v>1</v>
      </c>
    </row>
    <row r="1670" spans="1:13" x14ac:dyDescent="0.3">
      <c r="A1670" s="49">
        <v>45261</v>
      </c>
      <c r="D1670" t="s">
        <v>7359</v>
      </c>
      <c r="E1670">
        <v>1</v>
      </c>
      <c r="F1670" t="str">
        <f t="shared" si="105"/>
        <v>jul</v>
      </c>
      <c r="G1670">
        <v>20</v>
      </c>
      <c r="H1670">
        <v>24</v>
      </c>
      <c r="I1670" t="str">
        <f t="shared" si="104"/>
        <v>1-jul-2024</v>
      </c>
      <c r="K1670" s="49">
        <f t="shared" si="106"/>
        <v>45474</v>
      </c>
      <c r="M1670" t="b">
        <f t="shared" si="107"/>
        <v>0</v>
      </c>
    </row>
    <row r="1671" spans="1:13" x14ac:dyDescent="0.3">
      <c r="A1671" s="49">
        <v>45261</v>
      </c>
      <c r="D1671" t="s">
        <v>7370</v>
      </c>
      <c r="E1671">
        <v>1</v>
      </c>
      <c r="F1671" t="str">
        <f t="shared" si="105"/>
        <v>may</v>
      </c>
      <c r="G1671">
        <v>20</v>
      </c>
      <c r="H1671">
        <v>22</v>
      </c>
      <c r="I1671" t="str">
        <f t="shared" si="104"/>
        <v>1-may-2022</v>
      </c>
      <c r="K1671" s="49">
        <f t="shared" si="106"/>
        <v>44682</v>
      </c>
      <c r="M1671" t="b">
        <f t="shared" si="107"/>
        <v>1</v>
      </c>
    </row>
    <row r="1672" spans="1:13" x14ac:dyDescent="0.3">
      <c r="A1672" s="49">
        <v>45261</v>
      </c>
      <c r="D1672" t="s">
        <v>7370</v>
      </c>
      <c r="E1672">
        <v>1</v>
      </c>
      <c r="F1672" t="str">
        <f t="shared" si="105"/>
        <v>may</v>
      </c>
      <c r="G1672">
        <v>20</v>
      </c>
      <c r="H1672">
        <v>17</v>
      </c>
      <c r="I1672" t="str">
        <f t="shared" si="104"/>
        <v>1-may-2017</v>
      </c>
      <c r="K1672" s="49">
        <f t="shared" si="106"/>
        <v>42856</v>
      </c>
      <c r="M1672" t="b">
        <f t="shared" si="107"/>
        <v>1</v>
      </c>
    </row>
    <row r="1673" spans="1:13" x14ac:dyDescent="0.3">
      <c r="A1673" s="49">
        <v>45261</v>
      </c>
      <c r="D1673" t="s">
        <v>7366</v>
      </c>
      <c r="E1673">
        <v>1</v>
      </c>
      <c r="F1673" t="str">
        <f t="shared" si="105"/>
        <v>dic</v>
      </c>
      <c r="G1673">
        <v>20</v>
      </c>
      <c r="H1673">
        <v>22</v>
      </c>
      <c r="I1673" t="str">
        <f t="shared" si="104"/>
        <v>1-dic-2022</v>
      </c>
      <c r="K1673" s="49">
        <f t="shared" si="106"/>
        <v>44896</v>
      </c>
      <c r="M1673" t="b">
        <f t="shared" si="107"/>
        <v>1</v>
      </c>
    </row>
    <row r="1674" spans="1:13" x14ac:dyDescent="0.3">
      <c r="A1674" s="49">
        <v>45261</v>
      </c>
      <c r="D1674" t="s">
        <v>7366</v>
      </c>
      <c r="E1674">
        <v>1</v>
      </c>
      <c r="F1674" t="str">
        <f t="shared" si="105"/>
        <v>dic</v>
      </c>
      <c r="G1674">
        <v>20</v>
      </c>
      <c r="H1674">
        <v>22</v>
      </c>
      <c r="I1674" t="str">
        <f t="shared" si="104"/>
        <v>1-dic-2022</v>
      </c>
      <c r="K1674" s="49">
        <f t="shared" si="106"/>
        <v>44896</v>
      </c>
      <c r="M1674" t="b">
        <f t="shared" si="107"/>
        <v>1</v>
      </c>
    </row>
    <row r="1675" spans="1:13" x14ac:dyDescent="0.3">
      <c r="A1675" s="49">
        <v>45261</v>
      </c>
      <c r="D1675" t="s">
        <v>7356</v>
      </c>
      <c r="E1675">
        <v>1</v>
      </c>
      <c r="F1675" t="str">
        <f t="shared" si="105"/>
        <v>ene</v>
      </c>
      <c r="G1675">
        <v>20</v>
      </c>
      <c r="H1675">
        <v>20</v>
      </c>
      <c r="I1675" t="str">
        <f t="shared" si="104"/>
        <v>1-ene-2020</v>
      </c>
      <c r="K1675" s="49">
        <f t="shared" si="106"/>
        <v>43831</v>
      </c>
      <c r="M1675" t="b">
        <f t="shared" si="107"/>
        <v>1</v>
      </c>
    </row>
    <row r="1676" spans="1:13" x14ac:dyDescent="0.3">
      <c r="A1676" s="49">
        <v>45261</v>
      </c>
      <c r="D1676" t="s">
        <v>7355</v>
      </c>
      <c r="E1676">
        <v>1</v>
      </c>
      <c r="F1676" t="str">
        <f t="shared" si="105"/>
        <v>sep</v>
      </c>
      <c r="G1676">
        <v>20</v>
      </c>
      <c r="H1676">
        <v>22</v>
      </c>
      <c r="I1676" t="str">
        <f t="shared" si="104"/>
        <v>1-sep-2022</v>
      </c>
      <c r="K1676" s="49">
        <f t="shared" si="106"/>
        <v>44805</v>
      </c>
      <c r="M1676" t="b">
        <f t="shared" si="107"/>
        <v>1</v>
      </c>
    </row>
    <row r="1677" spans="1:13" x14ac:dyDescent="0.3">
      <c r="A1677" s="49">
        <v>45261</v>
      </c>
      <c r="D1677" t="s">
        <v>7369</v>
      </c>
      <c r="E1677">
        <v>1</v>
      </c>
      <c r="F1677" t="str">
        <f t="shared" si="105"/>
        <v>abr</v>
      </c>
      <c r="G1677">
        <v>20</v>
      </c>
      <c r="H1677">
        <v>24</v>
      </c>
      <c r="I1677" t="str">
        <f t="shared" si="104"/>
        <v>1-abr-2024</v>
      </c>
      <c r="K1677" s="49">
        <f t="shared" si="106"/>
        <v>45383</v>
      </c>
      <c r="M1677" t="b">
        <f t="shared" si="107"/>
        <v>0</v>
      </c>
    </row>
    <row r="1678" spans="1:13" x14ac:dyDescent="0.3">
      <c r="A1678" s="49">
        <v>45261</v>
      </c>
      <c r="D1678" t="s">
        <v>7362</v>
      </c>
      <c r="E1678">
        <v>1</v>
      </c>
      <c r="F1678" t="str">
        <f t="shared" si="105"/>
        <v>ago</v>
      </c>
      <c r="G1678">
        <v>20</v>
      </c>
      <c r="H1678">
        <v>22</v>
      </c>
      <c r="I1678" t="str">
        <f t="shared" si="104"/>
        <v>1-ago-2022</v>
      </c>
      <c r="K1678" s="49">
        <f t="shared" si="106"/>
        <v>44774</v>
      </c>
      <c r="M1678" t="b">
        <f t="shared" si="107"/>
        <v>1</v>
      </c>
    </row>
    <row r="1679" spans="1:13" x14ac:dyDescent="0.3">
      <c r="A1679" s="49">
        <v>45261</v>
      </c>
      <c r="D1679" t="s">
        <v>7369</v>
      </c>
      <c r="E1679">
        <v>1</v>
      </c>
      <c r="F1679" t="str">
        <f t="shared" si="105"/>
        <v>abr</v>
      </c>
      <c r="G1679">
        <v>20</v>
      </c>
      <c r="H1679">
        <v>24</v>
      </c>
      <c r="I1679" t="str">
        <f t="shared" si="104"/>
        <v>1-abr-2024</v>
      </c>
      <c r="K1679" s="49">
        <f t="shared" si="106"/>
        <v>45383</v>
      </c>
      <c r="M1679" t="b">
        <f t="shared" si="107"/>
        <v>0</v>
      </c>
    </row>
    <row r="1680" spans="1:13" x14ac:dyDescent="0.3">
      <c r="A1680" s="49">
        <v>45261</v>
      </c>
      <c r="D1680" t="s">
        <v>7369</v>
      </c>
      <c r="E1680">
        <v>1</v>
      </c>
      <c r="F1680" t="str">
        <f t="shared" si="105"/>
        <v>abr</v>
      </c>
      <c r="G1680">
        <v>20</v>
      </c>
      <c r="H1680">
        <v>20</v>
      </c>
      <c r="I1680" t="str">
        <f t="shared" si="104"/>
        <v>1-abr-2020</v>
      </c>
      <c r="K1680" s="49">
        <f t="shared" si="106"/>
        <v>43922</v>
      </c>
      <c r="M1680" t="b">
        <f t="shared" si="107"/>
        <v>1</v>
      </c>
    </row>
    <row r="1681" spans="1:13" x14ac:dyDescent="0.3">
      <c r="A1681" s="49">
        <v>45261</v>
      </c>
      <c r="D1681" t="s">
        <v>7359</v>
      </c>
      <c r="E1681">
        <v>1</v>
      </c>
      <c r="F1681" t="str">
        <f t="shared" si="105"/>
        <v>jul</v>
      </c>
      <c r="G1681">
        <v>20</v>
      </c>
      <c r="H1681">
        <v>23</v>
      </c>
      <c r="I1681" t="str">
        <f t="shared" si="104"/>
        <v>1-jul-2023</v>
      </c>
      <c r="K1681" s="49">
        <f t="shared" si="106"/>
        <v>45108</v>
      </c>
      <c r="M1681" t="b">
        <f t="shared" si="107"/>
        <v>1</v>
      </c>
    </row>
    <row r="1682" spans="1:13" x14ac:dyDescent="0.3">
      <c r="A1682" s="49">
        <v>45261</v>
      </c>
      <c r="D1682" t="s">
        <v>7370</v>
      </c>
      <c r="E1682">
        <v>1</v>
      </c>
      <c r="F1682" t="str">
        <f t="shared" si="105"/>
        <v>may</v>
      </c>
      <c r="G1682">
        <v>20</v>
      </c>
      <c r="H1682">
        <v>23</v>
      </c>
      <c r="I1682" t="str">
        <f t="shared" si="104"/>
        <v>1-may-2023</v>
      </c>
      <c r="K1682" s="49">
        <f t="shared" si="106"/>
        <v>45047</v>
      </c>
      <c r="M1682" t="b">
        <f t="shared" si="107"/>
        <v>1</v>
      </c>
    </row>
    <row r="1683" spans="1:13" x14ac:dyDescent="0.3">
      <c r="A1683" s="49">
        <v>45261</v>
      </c>
      <c r="D1683" t="s">
        <v>7356</v>
      </c>
      <c r="E1683">
        <v>1</v>
      </c>
      <c r="F1683" t="str">
        <f t="shared" si="105"/>
        <v>ene</v>
      </c>
      <c r="G1683">
        <v>20</v>
      </c>
      <c r="H1683">
        <v>22</v>
      </c>
      <c r="I1683" t="str">
        <f t="shared" si="104"/>
        <v>1-ene-2022</v>
      </c>
      <c r="K1683" s="49">
        <f t="shared" si="106"/>
        <v>44562</v>
      </c>
      <c r="M1683" t="b">
        <f t="shared" si="107"/>
        <v>1</v>
      </c>
    </row>
    <row r="1684" spans="1:13" x14ac:dyDescent="0.3">
      <c r="A1684" s="49">
        <v>45261</v>
      </c>
      <c r="D1684" t="s">
        <v>7357</v>
      </c>
      <c r="E1684">
        <v>1</v>
      </c>
      <c r="F1684" t="str">
        <f t="shared" si="105"/>
        <v>oct</v>
      </c>
      <c r="G1684">
        <v>20</v>
      </c>
      <c r="H1684">
        <v>23</v>
      </c>
      <c r="I1684" t="str">
        <f t="shared" si="104"/>
        <v>1-oct-2023</v>
      </c>
      <c r="K1684" s="49">
        <f t="shared" si="106"/>
        <v>45200</v>
      </c>
      <c r="M1684" t="b">
        <f t="shared" si="107"/>
        <v>1</v>
      </c>
    </row>
    <row r="1685" spans="1:13" x14ac:dyDescent="0.3">
      <c r="A1685" s="49">
        <v>45261</v>
      </c>
      <c r="D1685" t="s">
        <v>7357</v>
      </c>
      <c r="E1685">
        <v>1</v>
      </c>
      <c r="F1685" t="str">
        <f t="shared" si="105"/>
        <v>oct</v>
      </c>
      <c r="G1685">
        <v>20</v>
      </c>
      <c r="H1685">
        <v>23</v>
      </c>
      <c r="I1685" t="str">
        <f t="shared" si="104"/>
        <v>1-oct-2023</v>
      </c>
      <c r="K1685" s="49">
        <f t="shared" si="106"/>
        <v>45200</v>
      </c>
      <c r="M1685" t="b">
        <f t="shared" si="107"/>
        <v>1</v>
      </c>
    </row>
    <row r="1686" spans="1:13" x14ac:dyDescent="0.3">
      <c r="A1686" s="49">
        <v>45261</v>
      </c>
      <c r="D1686" t="s">
        <v>7355</v>
      </c>
      <c r="E1686">
        <v>1</v>
      </c>
      <c r="F1686" t="str">
        <f t="shared" si="105"/>
        <v>sep</v>
      </c>
      <c r="G1686">
        <v>20</v>
      </c>
      <c r="H1686">
        <v>23</v>
      </c>
      <c r="I1686" t="str">
        <f t="shared" si="104"/>
        <v>1-sep-2023</v>
      </c>
      <c r="K1686" s="49">
        <f t="shared" si="106"/>
        <v>45170</v>
      </c>
      <c r="M1686" t="b">
        <f t="shared" si="107"/>
        <v>1</v>
      </c>
    </row>
    <row r="1687" spans="1:13" x14ac:dyDescent="0.3">
      <c r="A1687" s="49">
        <v>45261</v>
      </c>
      <c r="D1687" t="s">
        <v>7368</v>
      </c>
      <c r="E1687">
        <v>1</v>
      </c>
      <c r="F1687" t="str">
        <f t="shared" si="105"/>
        <v>mar</v>
      </c>
      <c r="G1687">
        <v>20</v>
      </c>
      <c r="H1687">
        <v>20</v>
      </c>
      <c r="I1687" t="str">
        <f t="shared" si="104"/>
        <v>1-mar-2020</v>
      </c>
      <c r="K1687" s="49">
        <f t="shared" si="106"/>
        <v>43891</v>
      </c>
      <c r="M1687" t="b">
        <f t="shared" si="107"/>
        <v>1</v>
      </c>
    </row>
    <row r="1688" spans="1:13" x14ac:dyDescent="0.3">
      <c r="A1688" s="49">
        <v>45261</v>
      </c>
      <c r="D1688" t="s">
        <v>7362</v>
      </c>
      <c r="E1688">
        <v>1</v>
      </c>
      <c r="F1688" t="str">
        <f t="shared" si="105"/>
        <v>ago</v>
      </c>
      <c r="G1688">
        <v>20</v>
      </c>
      <c r="H1688">
        <v>23</v>
      </c>
      <c r="I1688" t="str">
        <f t="shared" si="104"/>
        <v>1-ago-2023</v>
      </c>
      <c r="K1688" s="49">
        <f t="shared" si="106"/>
        <v>45139</v>
      </c>
      <c r="M1688" t="b">
        <f t="shared" si="107"/>
        <v>1</v>
      </c>
    </row>
    <row r="1689" spans="1:13" x14ac:dyDescent="0.3">
      <c r="A1689" s="49">
        <v>45261</v>
      </c>
      <c r="D1689" t="s">
        <v>7356</v>
      </c>
      <c r="E1689">
        <v>1</v>
      </c>
      <c r="F1689" t="str">
        <f t="shared" si="105"/>
        <v>ene</v>
      </c>
      <c r="G1689">
        <v>20</v>
      </c>
      <c r="H1689">
        <v>22</v>
      </c>
      <c r="I1689" t="str">
        <f t="shared" si="104"/>
        <v>1-ene-2022</v>
      </c>
      <c r="K1689" s="49">
        <f t="shared" si="106"/>
        <v>44562</v>
      </c>
      <c r="M1689" t="b">
        <f t="shared" si="107"/>
        <v>1</v>
      </c>
    </row>
    <row r="1690" spans="1:13" x14ac:dyDescent="0.3">
      <c r="A1690" s="49">
        <v>45261</v>
      </c>
      <c r="D1690" t="s">
        <v>7366</v>
      </c>
      <c r="E1690">
        <v>1</v>
      </c>
      <c r="F1690" t="str">
        <f t="shared" si="105"/>
        <v>dic</v>
      </c>
      <c r="G1690">
        <v>20</v>
      </c>
      <c r="H1690">
        <v>22</v>
      </c>
      <c r="I1690" t="str">
        <f t="shared" si="104"/>
        <v>1-dic-2022</v>
      </c>
      <c r="K1690" s="49">
        <f t="shared" si="106"/>
        <v>44896</v>
      </c>
      <c r="M1690" t="b">
        <f t="shared" si="107"/>
        <v>1</v>
      </c>
    </row>
    <row r="1691" spans="1:13" x14ac:dyDescent="0.3">
      <c r="A1691" s="49">
        <v>45261</v>
      </c>
      <c r="D1691" t="s">
        <v>7367</v>
      </c>
      <c r="E1691">
        <v>1</v>
      </c>
      <c r="F1691" t="str">
        <f t="shared" si="105"/>
        <v>jun</v>
      </c>
      <c r="G1691">
        <v>20</v>
      </c>
      <c r="H1691">
        <v>19</v>
      </c>
      <c r="I1691" t="str">
        <f t="shared" si="104"/>
        <v>1-jun-2019</v>
      </c>
      <c r="K1691" s="49">
        <f t="shared" si="106"/>
        <v>43617</v>
      </c>
      <c r="M1691" t="b">
        <f t="shared" si="107"/>
        <v>1</v>
      </c>
    </row>
    <row r="1692" spans="1:13" x14ac:dyDescent="0.3">
      <c r="A1692" s="49">
        <v>45261</v>
      </c>
      <c r="D1692" t="s">
        <v>7362</v>
      </c>
      <c r="E1692">
        <v>1</v>
      </c>
      <c r="F1692" t="str">
        <f t="shared" si="105"/>
        <v>ago</v>
      </c>
      <c r="G1692">
        <v>20</v>
      </c>
      <c r="H1692">
        <v>20</v>
      </c>
      <c r="I1692" t="str">
        <f t="shared" si="104"/>
        <v>1-ago-2020</v>
      </c>
      <c r="K1692" s="49">
        <f t="shared" si="106"/>
        <v>44044</v>
      </c>
      <c r="M1692" t="b">
        <f t="shared" si="107"/>
        <v>1</v>
      </c>
    </row>
    <row r="1693" spans="1:13" x14ac:dyDescent="0.3">
      <c r="A1693" s="49">
        <v>45261</v>
      </c>
      <c r="D1693" t="s">
        <v>7363</v>
      </c>
      <c r="E1693">
        <v>1</v>
      </c>
      <c r="F1693" t="str">
        <f t="shared" si="105"/>
        <v>feb</v>
      </c>
      <c r="G1693">
        <v>20</v>
      </c>
      <c r="H1693">
        <v>22</v>
      </c>
      <c r="I1693" t="str">
        <f t="shared" si="104"/>
        <v>1-feb-2022</v>
      </c>
      <c r="K1693" s="49">
        <f t="shared" si="106"/>
        <v>44593</v>
      </c>
      <c r="M1693" t="b">
        <f t="shared" si="107"/>
        <v>1</v>
      </c>
    </row>
    <row r="1694" spans="1:13" x14ac:dyDescent="0.3">
      <c r="A1694" s="49">
        <v>45261</v>
      </c>
      <c r="D1694" t="s">
        <v>7369</v>
      </c>
      <c r="E1694">
        <v>1</v>
      </c>
      <c r="F1694" t="str">
        <f t="shared" si="105"/>
        <v>abr</v>
      </c>
      <c r="G1694">
        <v>20</v>
      </c>
      <c r="H1694">
        <v>23</v>
      </c>
      <c r="I1694" t="str">
        <f t="shared" si="104"/>
        <v>1-abr-2023</v>
      </c>
      <c r="K1694" s="49">
        <f t="shared" si="106"/>
        <v>45017</v>
      </c>
      <c r="M1694" t="b">
        <f t="shared" si="107"/>
        <v>1</v>
      </c>
    </row>
    <row r="1695" spans="1:13" x14ac:dyDescent="0.3">
      <c r="A1695" s="49">
        <v>45261</v>
      </c>
      <c r="D1695" t="s">
        <v>7355</v>
      </c>
      <c r="E1695">
        <v>1</v>
      </c>
      <c r="F1695" t="str">
        <f t="shared" si="105"/>
        <v>sep</v>
      </c>
      <c r="G1695">
        <v>20</v>
      </c>
      <c r="H1695">
        <v>19</v>
      </c>
      <c r="I1695" t="str">
        <f t="shared" si="104"/>
        <v>1-sep-2019</v>
      </c>
      <c r="K1695" s="49">
        <f t="shared" si="106"/>
        <v>43709</v>
      </c>
      <c r="M1695" t="b">
        <f t="shared" si="107"/>
        <v>1</v>
      </c>
    </row>
    <row r="1696" spans="1:13" x14ac:dyDescent="0.3">
      <c r="A1696" s="49">
        <v>45261</v>
      </c>
      <c r="D1696" t="s">
        <v>7362</v>
      </c>
      <c r="E1696">
        <v>1</v>
      </c>
      <c r="F1696" t="str">
        <f t="shared" si="105"/>
        <v>ago</v>
      </c>
      <c r="G1696">
        <v>20</v>
      </c>
      <c r="H1696">
        <v>24</v>
      </c>
      <c r="I1696" t="str">
        <f t="shared" si="104"/>
        <v>1-ago-2024</v>
      </c>
      <c r="K1696" s="49">
        <f t="shared" si="106"/>
        <v>45505</v>
      </c>
      <c r="M1696" t="b">
        <f t="shared" si="107"/>
        <v>0</v>
      </c>
    </row>
    <row r="1697" spans="1:13" x14ac:dyDescent="0.3">
      <c r="A1697" s="49">
        <v>45261</v>
      </c>
      <c r="D1697" t="s">
        <v>7369</v>
      </c>
      <c r="E1697">
        <v>1</v>
      </c>
      <c r="F1697" t="str">
        <f t="shared" si="105"/>
        <v>abr</v>
      </c>
      <c r="G1697">
        <v>20</v>
      </c>
      <c r="H1697">
        <v>15</v>
      </c>
      <c r="I1697" t="str">
        <f t="shared" si="104"/>
        <v>1-abr-2015</v>
      </c>
      <c r="K1697" s="49">
        <f t="shared" si="106"/>
        <v>42095</v>
      </c>
      <c r="M1697" t="b">
        <f t="shared" si="107"/>
        <v>1</v>
      </c>
    </row>
    <row r="1698" spans="1:13" x14ac:dyDescent="0.3">
      <c r="A1698" s="49">
        <v>45261</v>
      </c>
      <c r="D1698" t="s">
        <v>7369</v>
      </c>
      <c r="E1698">
        <v>1</v>
      </c>
      <c r="F1698" t="str">
        <f t="shared" si="105"/>
        <v>abr</v>
      </c>
      <c r="G1698">
        <v>20</v>
      </c>
      <c r="H1698">
        <v>15</v>
      </c>
      <c r="I1698" t="str">
        <f t="shared" si="104"/>
        <v>1-abr-2015</v>
      </c>
      <c r="K1698" s="49">
        <f t="shared" si="106"/>
        <v>42095</v>
      </c>
      <c r="M1698" t="b">
        <f t="shared" si="107"/>
        <v>1</v>
      </c>
    </row>
    <row r="1699" spans="1:13" x14ac:dyDescent="0.3">
      <c r="A1699" s="49">
        <v>45261</v>
      </c>
      <c r="D1699" t="s">
        <v>7369</v>
      </c>
      <c r="E1699">
        <v>1</v>
      </c>
      <c r="F1699" t="str">
        <f t="shared" si="105"/>
        <v>abr</v>
      </c>
      <c r="G1699">
        <v>20</v>
      </c>
      <c r="H1699">
        <v>15</v>
      </c>
      <c r="I1699" t="str">
        <f t="shared" si="104"/>
        <v>1-abr-2015</v>
      </c>
      <c r="K1699" s="49">
        <f t="shared" si="106"/>
        <v>42095</v>
      </c>
      <c r="M1699" t="b">
        <f t="shared" si="107"/>
        <v>1</v>
      </c>
    </row>
    <row r="1700" spans="1:13" x14ac:dyDescent="0.3">
      <c r="A1700" s="49">
        <v>45261</v>
      </c>
      <c r="D1700" t="s">
        <v>7369</v>
      </c>
      <c r="E1700">
        <v>1</v>
      </c>
      <c r="F1700" t="str">
        <f t="shared" si="105"/>
        <v>abr</v>
      </c>
      <c r="G1700">
        <v>20</v>
      </c>
      <c r="H1700">
        <v>15</v>
      </c>
      <c r="I1700" t="str">
        <f t="shared" si="104"/>
        <v>1-abr-2015</v>
      </c>
      <c r="K1700" s="49">
        <f t="shared" si="106"/>
        <v>42095</v>
      </c>
      <c r="M1700" t="b">
        <f t="shared" si="107"/>
        <v>1</v>
      </c>
    </row>
    <row r="1701" spans="1:13" x14ac:dyDescent="0.3">
      <c r="A1701" s="49">
        <v>45261</v>
      </c>
      <c r="D1701" t="s">
        <v>7369</v>
      </c>
      <c r="E1701">
        <v>1</v>
      </c>
      <c r="F1701" t="str">
        <f t="shared" si="105"/>
        <v>abr</v>
      </c>
      <c r="G1701">
        <v>20</v>
      </c>
      <c r="H1701">
        <v>15</v>
      </c>
      <c r="I1701" t="str">
        <f t="shared" si="104"/>
        <v>1-abr-2015</v>
      </c>
      <c r="K1701" s="49">
        <f t="shared" si="106"/>
        <v>42095</v>
      </c>
      <c r="M1701" t="b">
        <f t="shared" si="107"/>
        <v>1</v>
      </c>
    </row>
    <row r="1702" spans="1:13" x14ac:dyDescent="0.3">
      <c r="A1702" s="49">
        <v>45261</v>
      </c>
      <c r="D1702" t="s">
        <v>7369</v>
      </c>
      <c r="E1702">
        <v>1</v>
      </c>
      <c r="F1702" t="str">
        <f t="shared" si="105"/>
        <v>abr</v>
      </c>
      <c r="G1702">
        <v>20</v>
      </c>
      <c r="H1702">
        <v>15</v>
      </c>
      <c r="I1702" t="str">
        <f t="shared" si="104"/>
        <v>1-abr-2015</v>
      </c>
      <c r="K1702" s="49">
        <f t="shared" si="106"/>
        <v>42095</v>
      </c>
      <c r="M1702" t="b">
        <f t="shared" si="107"/>
        <v>1</v>
      </c>
    </row>
    <row r="1703" spans="1:13" x14ac:dyDescent="0.3">
      <c r="A1703" s="49">
        <v>45261</v>
      </c>
      <c r="D1703" t="s">
        <v>7355</v>
      </c>
      <c r="E1703">
        <v>1</v>
      </c>
      <c r="F1703" t="str">
        <f t="shared" si="105"/>
        <v>sep</v>
      </c>
      <c r="G1703">
        <v>20</v>
      </c>
      <c r="H1703">
        <v>23</v>
      </c>
      <c r="I1703" t="str">
        <f t="shared" si="104"/>
        <v>1-sep-2023</v>
      </c>
      <c r="K1703" s="49">
        <f t="shared" si="106"/>
        <v>45170</v>
      </c>
      <c r="M1703" t="b">
        <f t="shared" si="107"/>
        <v>1</v>
      </c>
    </row>
    <row r="1704" spans="1:13" x14ac:dyDescent="0.3">
      <c r="A1704" s="49">
        <v>45261</v>
      </c>
      <c r="D1704" t="s">
        <v>7355</v>
      </c>
      <c r="E1704">
        <v>1</v>
      </c>
      <c r="F1704" t="str">
        <f t="shared" si="105"/>
        <v>sep</v>
      </c>
      <c r="G1704">
        <v>20</v>
      </c>
      <c r="H1704">
        <v>23</v>
      </c>
      <c r="I1704" t="str">
        <f t="shared" si="104"/>
        <v>1-sep-2023</v>
      </c>
      <c r="K1704" s="49">
        <f t="shared" si="106"/>
        <v>45170</v>
      </c>
      <c r="M1704" t="b">
        <f t="shared" si="107"/>
        <v>1</v>
      </c>
    </row>
    <row r="1705" spans="1:13" x14ac:dyDescent="0.3">
      <c r="A1705" s="49">
        <v>45261</v>
      </c>
      <c r="D1705" t="s">
        <v>7357</v>
      </c>
      <c r="E1705">
        <v>1</v>
      </c>
      <c r="F1705" t="str">
        <f t="shared" si="105"/>
        <v>oct</v>
      </c>
      <c r="G1705">
        <v>20</v>
      </c>
      <c r="H1705">
        <v>23</v>
      </c>
      <c r="I1705" t="str">
        <f t="shared" si="104"/>
        <v>1-oct-2023</v>
      </c>
      <c r="K1705" s="49">
        <f t="shared" si="106"/>
        <v>45200</v>
      </c>
      <c r="M1705" t="b">
        <f t="shared" si="107"/>
        <v>1</v>
      </c>
    </row>
    <row r="1706" spans="1:13" x14ac:dyDescent="0.3">
      <c r="A1706" s="49">
        <v>45261</v>
      </c>
      <c r="D1706" t="s">
        <v>3586</v>
      </c>
      <c r="E1706">
        <v>1</v>
      </c>
      <c r="F1706" t="str">
        <f t="shared" si="105"/>
        <v>---</v>
      </c>
      <c r="G1706">
        <v>20</v>
      </c>
      <c r="H1706" t="s">
        <v>3911</v>
      </c>
      <c r="I1706" t="str">
        <f t="shared" si="104"/>
        <v>1-----20--</v>
      </c>
      <c r="K1706" s="49" t="e">
        <f t="shared" si="106"/>
        <v>#VALUE!</v>
      </c>
      <c r="M1706" t="e">
        <f t="shared" si="107"/>
        <v>#VALUE!</v>
      </c>
    </row>
    <row r="1707" spans="1:13" x14ac:dyDescent="0.3">
      <c r="A1707" s="49">
        <v>45261</v>
      </c>
      <c r="D1707" t="s">
        <v>7367</v>
      </c>
      <c r="E1707">
        <v>1</v>
      </c>
      <c r="F1707" t="str">
        <f t="shared" si="105"/>
        <v>jun</v>
      </c>
      <c r="G1707">
        <v>20</v>
      </c>
      <c r="H1707">
        <v>23</v>
      </c>
      <c r="I1707" t="str">
        <f t="shared" si="104"/>
        <v>1-jun-2023</v>
      </c>
      <c r="K1707" s="49">
        <f t="shared" si="106"/>
        <v>45078</v>
      </c>
      <c r="M1707" t="b">
        <f t="shared" si="107"/>
        <v>1</v>
      </c>
    </row>
    <row r="1708" spans="1:13" x14ac:dyDescent="0.3">
      <c r="A1708" s="49">
        <v>45261</v>
      </c>
      <c r="D1708" t="s">
        <v>7370</v>
      </c>
      <c r="E1708">
        <v>1</v>
      </c>
      <c r="F1708" t="str">
        <f t="shared" si="105"/>
        <v>may</v>
      </c>
      <c r="G1708">
        <v>20</v>
      </c>
      <c r="H1708">
        <v>23</v>
      </c>
      <c r="I1708" t="str">
        <f t="shared" si="104"/>
        <v>1-may-2023</v>
      </c>
      <c r="K1708" s="49">
        <f t="shared" si="106"/>
        <v>45047</v>
      </c>
      <c r="M1708" t="b">
        <f t="shared" si="107"/>
        <v>1</v>
      </c>
    </row>
    <row r="1709" spans="1:13" x14ac:dyDescent="0.3">
      <c r="A1709" s="49">
        <v>45261</v>
      </c>
      <c r="D1709" t="s">
        <v>7367</v>
      </c>
      <c r="E1709">
        <v>1</v>
      </c>
      <c r="F1709" t="str">
        <f t="shared" si="105"/>
        <v>jun</v>
      </c>
      <c r="G1709">
        <v>20</v>
      </c>
      <c r="H1709">
        <v>21</v>
      </c>
      <c r="I1709" t="str">
        <f t="shared" si="104"/>
        <v>1-jun-2021</v>
      </c>
      <c r="K1709" s="49">
        <f t="shared" si="106"/>
        <v>44348</v>
      </c>
      <c r="M1709" t="b">
        <f t="shared" si="107"/>
        <v>1</v>
      </c>
    </row>
    <row r="1710" spans="1:13" x14ac:dyDescent="0.3">
      <c r="A1710" s="49">
        <v>45261</v>
      </c>
      <c r="D1710" t="s">
        <v>7367</v>
      </c>
      <c r="E1710">
        <v>1</v>
      </c>
      <c r="F1710" t="str">
        <f t="shared" si="105"/>
        <v>jun</v>
      </c>
      <c r="G1710">
        <v>20</v>
      </c>
      <c r="H1710">
        <v>21</v>
      </c>
      <c r="I1710" t="str">
        <f t="shared" si="104"/>
        <v>1-jun-2021</v>
      </c>
      <c r="K1710" s="49">
        <f t="shared" si="106"/>
        <v>44348</v>
      </c>
      <c r="M1710" t="b">
        <f t="shared" si="107"/>
        <v>1</v>
      </c>
    </row>
    <row r="1711" spans="1:13" x14ac:dyDescent="0.3">
      <c r="A1711" s="49">
        <v>45261</v>
      </c>
      <c r="D1711" t="s">
        <v>7369</v>
      </c>
      <c r="E1711">
        <v>1</v>
      </c>
      <c r="F1711" t="str">
        <f t="shared" si="105"/>
        <v>abr</v>
      </c>
      <c r="G1711">
        <v>20</v>
      </c>
      <c r="H1711">
        <v>22</v>
      </c>
      <c r="I1711" t="str">
        <f t="shared" si="104"/>
        <v>1-abr-2022</v>
      </c>
      <c r="K1711" s="49">
        <f t="shared" si="106"/>
        <v>44652</v>
      </c>
      <c r="M1711" t="b">
        <f t="shared" si="107"/>
        <v>1</v>
      </c>
    </row>
    <row r="1712" spans="1:13" x14ac:dyDescent="0.3">
      <c r="A1712" s="49">
        <v>45261</v>
      </c>
      <c r="D1712" t="s">
        <v>7367</v>
      </c>
      <c r="E1712">
        <v>1</v>
      </c>
      <c r="F1712" t="str">
        <f t="shared" si="105"/>
        <v>jun</v>
      </c>
      <c r="G1712">
        <v>20</v>
      </c>
      <c r="H1712">
        <v>21</v>
      </c>
      <c r="I1712" t="str">
        <f t="shared" si="104"/>
        <v>1-jun-2021</v>
      </c>
      <c r="K1712" s="49">
        <f t="shared" si="106"/>
        <v>44348</v>
      </c>
      <c r="M1712" t="b">
        <f t="shared" si="107"/>
        <v>1</v>
      </c>
    </row>
    <row r="1713" spans="1:13" x14ac:dyDescent="0.3">
      <c r="A1713" s="49">
        <v>45261</v>
      </c>
      <c r="D1713" t="s">
        <v>7367</v>
      </c>
      <c r="E1713">
        <v>1</v>
      </c>
      <c r="F1713" t="str">
        <f t="shared" si="105"/>
        <v>jun</v>
      </c>
      <c r="G1713">
        <v>20</v>
      </c>
      <c r="H1713">
        <v>21</v>
      </c>
      <c r="I1713" t="str">
        <f t="shared" si="104"/>
        <v>1-jun-2021</v>
      </c>
      <c r="K1713" s="49">
        <f t="shared" si="106"/>
        <v>44348</v>
      </c>
      <c r="M1713" t="b">
        <f t="shared" si="107"/>
        <v>1</v>
      </c>
    </row>
    <row r="1714" spans="1:13" x14ac:dyDescent="0.3">
      <c r="A1714" s="49">
        <v>45261</v>
      </c>
      <c r="D1714" t="s">
        <v>7367</v>
      </c>
      <c r="E1714">
        <v>1</v>
      </c>
      <c r="F1714" t="str">
        <f t="shared" si="105"/>
        <v>jun</v>
      </c>
      <c r="G1714">
        <v>20</v>
      </c>
      <c r="H1714">
        <v>21</v>
      </c>
      <c r="I1714" t="str">
        <f t="shared" si="104"/>
        <v>1-jun-2021</v>
      </c>
      <c r="K1714" s="49">
        <f t="shared" si="106"/>
        <v>44348</v>
      </c>
      <c r="M1714" t="b">
        <f t="shared" si="107"/>
        <v>1</v>
      </c>
    </row>
    <row r="1715" spans="1:13" x14ac:dyDescent="0.3">
      <c r="A1715" s="49">
        <v>45261</v>
      </c>
      <c r="D1715" t="s">
        <v>7367</v>
      </c>
      <c r="E1715">
        <v>1</v>
      </c>
      <c r="F1715" t="str">
        <f t="shared" si="105"/>
        <v>jun</v>
      </c>
      <c r="G1715">
        <v>20</v>
      </c>
      <c r="H1715">
        <v>21</v>
      </c>
      <c r="I1715" t="str">
        <f t="shared" si="104"/>
        <v>1-jun-2021</v>
      </c>
      <c r="K1715" s="49">
        <f t="shared" si="106"/>
        <v>44348</v>
      </c>
      <c r="M1715" t="b">
        <f t="shared" si="107"/>
        <v>1</v>
      </c>
    </row>
    <row r="1716" spans="1:13" x14ac:dyDescent="0.3">
      <c r="A1716" s="49">
        <v>45261</v>
      </c>
      <c r="D1716" t="s">
        <v>7367</v>
      </c>
      <c r="E1716">
        <v>1</v>
      </c>
      <c r="F1716" t="str">
        <f t="shared" si="105"/>
        <v>jun</v>
      </c>
      <c r="G1716">
        <v>20</v>
      </c>
      <c r="H1716">
        <v>21</v>
      </c>
      <c r="I1716" t="str">
        <f t="shared" si="104"/>
        <v>1-jun-2021</v>
      </c>
      <c r="K1716" s="49">
        <f t="shared" si="106"/>
        <v>44348</v>
      </c>
      <c r="M1716" t="b">
        <f t="shared" si="107"/>
        <v>1</v>
      </c>
    </row>
    <row r="1717" spans="1:13" x14ac:dyDescent="0.3">
      <c r="A1717" s="49">
        <v>45261</v>
      </c>
      <c r="D1717" t="s">
        <v>7367</v>
      </c>
      <c r="E1717">
        <v>1</v>
      </c>
      <c r="F1717" t="str">
        <f t="shared" si="105"/>
        <v>jun</v>
      </c>
      <c r="G1717">
        <v>20</v>
      </c>
      <c r="H1717">
        <v>21</v>
      </c>
      <c r="I1717" t="str">
        <f t="shared" si="104"/>
        <v>1-jun-2021</v>
      </c>
      <c r="K1717" s="49">
        <f t="shared" si="106"/>
        <v>44348</v>
      </c>
      <c r="M1717" t="b">
        <f t="shared" si="107"/>
        <v>1</v>
      </c>
    </row>
    <row r="1718" spans="1:13" x14ac:dyDescent="0.3">
      <c r="A1718" s="49">
        <v>45261</v>
      </c>
      <c r="D1718" t="s">
        <v>7367</v>
      </c>
      <c r="E1718">
        <v>1</v>
      </c>
      <c r="F1718" t="str">
        <f t="shared" si="105"/>
        <v>jun</v>
      </c>
      <c r="G1718">
        <v>20</v>
      </c>
      <c r="H1718">
        <v>21</v>
      </c>
      <c r="I1718" t="str">
        <f t="shared" si="104"/>
        <v>1-jun-2021</v>
      </c>
      <c r="K1718" s="49">
        <f t="shared" si="106"/>
        <v>44348</v>
      </c>
      <c r="M1718" t="b">
        <f t="shared" si="107"/>
        <v>1</v>
      </c>
    </row>
    <row r="1719" spans="1:13" x14ac:dyDescent="0.3">
      <c r="A1719" s="49">
        <v>45261</v>
      </c>
      <c r="D1719" t="s">
        <v>7367</v>
      </c>
      <c r="E1719">
        <v>1</v>
      </c>
      <c r="F1719" t="str">
        <f t="shared" si="105"/>
        <v>jun</v>
      </c>
      <c r="G1719">
        <v>20</v>
      </c>
      <c r="H1719">
        <v>21</v>
      </c>
      <c r="I1719" t="str">
        <f t="shared" si="104"/>
        <v>1-jun-2021</v>
      </c>
      <c r="K1719" s="49">
        <f t="shared" si="106"/>
        <v>44348</v>
      </c>
      <c r="M1719" t="b">
        <f t="shared" si="107"/>
        <v>1</v>
      </c>
    </row>
    <row r="1720" spans="1:13" x14ac:dyDescent="0.3">
      <c r="A1720" s="49">
        <v>45261</v>
      </c>
      <c r="D1720" t="s">
        <v>7367</v>
      </c>
      <c r="E1720">
        <v>1</v>
      </c>
      <c r="F1720" t="str">
        <f t="shared" si="105"/>
        <v>jun</v>
      </c>
      <c r="G1720">
        <v>20</v>
      </c>
      <c r="H1720">
        <v>21</v>
      </c>
      <c r="I1720" t="str">
        <f t="shared" si="104"/>
        <v>1-jun-2021</v>
      </c>
      <c r="K1720" s="49">
        <f t="shared" si="106"/>
        <v>44348</v>
      </c>
      <c r="M1720" t="b">
        <f t="shared" si="107"/>
        <v>1</v>
      </c>
    </row>
    <row r="1721" spans="1:13" x14ac:dyDescent="0.3">
      <c r="A1721" s="49">
        <v>45261</v>
      </c>
      <c r="D1721" t="s">
        <v>7367</v>
      </c>
      <c r="E1721">
        <v>1</v>
      </c>
      <c r="F1721" t="str">
        <f t="shared" si="105"/>
        <v>jun</v>
      </c>
      <c r="G1721">
        <v>20</v>
      </c>
      <c r="H1721">
        <v>21</v>
      </c>
      <c r="I1721" t="str">
        <f t="shared" si="104"/>
        <v>1-jun-2021</v>
      </c>
      <c r="K1721" s="49">
        <f t="shared" si="106"/>
        <v>44348</v>
      </c>
      <c r="M1721" t="b">
        <f t="shared" si="107"/>
        <v>1</v>
      </c>
    </row>
    <row r="1722" spans="1:13" x14ac:dyDescent="0.3">
      <c r="A1722" s="49">
        <v>45261</v>
      </c>
      <c r="D1722" t="s">
        <v>7362</v>
      </c>
      <c r="E1722">
        <v>1</v>
      </c>
      <c r="F1722" t="str">
        <f t="shared" si="105"/>
        <v>ago</v>
      </c>
      <c r="G1722">
        <v>20</v>
      </c>
      <c r="H1722">
        <v>21</v>
      </c>
      <c r="I1722" t="str">
        <f t="shared" si="104"/>
        <v>1-ago-2021</v>
      </c>
      <c r="K1722" s="49">
        <f t="shared" si="106"/>
        <v>44409</v>
      </c>
      <c r="M1722" t="b">
        <f t="shared" si="107"/>
        <v>1</v>
      </c>
    </row>
    <row r="1723" spans="1:13" x14ac:dyDescent="0.3">
      <c r="A1723" s="49">
        <v>45261</v>
      </c>
      <c r="D1723" t="s">
        <v>7357</v>
      </c>
      <c r="E1723">
        <v>1</v>
      </c>
      <c r="F1723" t="str">
        <f t="shared" si="105"/>
        <v>oct</v>
      </c>
      <c r="G1723">
        <v>20</v>
      </c>
      <c r="H1723">
        <v>21</v>
      </c>
      <c r="I1723" t="str">
        <f t="shared" si="104"/>
        <v>1-oct-2021</v>
      </c>
      <c r="K1723" s="49">
        <f t="shared" si="106"/>
        <v>44470</v>
      </c>
      <c r="M1723" t="b">
        <f t="shared" si="107"/>
        <v>1</v>
      </c>
    </row>
    <row r="1724" spans="1:13" x14ac:dyDescent="0.3">
      <c r="A1724" s="49">
        <v>45261</v>
      </c>
      <c r="D1724" t="s">
        <v>3586</v>
      </c>
      <c r="E1724">
        <v>1</v>
      </c>
      <c r="F1724" t="str">
        <f t="shared" si="105"/>
        <v>---</v>
      </c>
      <c r="G1724">
        <v>20</v>
      </c>
      <c r="H1724" t="s">
        <v>3911</v>
      </c>
      <c r="I1724" t="str">
        <f t="shared" si="104"/>
        <v>1-----20--</v>
      </c>
      <c r="K1724" s="49" t="e">
        <f t="shared" si="106"/>
        <v>#VALUE!</v>
      </c>
      <c r="M1724" t="e">
        <f t="shared" si="107"/>
        <v>#VALUE!</v>
      </c>
    </row>
    <row r="1725" spans="1:13" x14ac:dyDescent="0.3">
      <c r="A1725" s="49">
        <v>45261</v>
      </c>
      <c r="D1725" t="s">
        <v>7362</v>
      </c>
      <c r="E1725">
        <v>1</v>
      </c>
      <c r="F1725" t="str">
        <f t="shared" si="105"/>
        <v>ago</v>
      </c>
      <c r="G1725">
        <v>20</v>
      </c>
      <c r="H1725">
        <v>24</v>
      </c>
      <c r="I1725" t="str">
        <f t="shared" si="104"/>
        <v>1-ago-2024</v>
      </c>
      <c r="K1725" s="49">
        <f t="shared" si="106"/>
        <v>45505</v>
      </c>
      <c r="M1725" t="b">
        <f t="shared" si="107"/>
        <v>0</v>
      </c>
    </row>
    <row r="1726" spans="1:13" x14ac:dyDescent="0.3">
      <c r="A1726" s="49">
        <v>45261</v>
      </c>
      <c r="D1726" t="s">
        <v>7362</v>
      </c>
      <c r="E1726">
        <v>1</v>
      </c>
      <c r="F1726" t="str">
        <f t="shared" si="105"/>
        <v>ago</v>
      </c>
      <c r="G1726">
        <v>20</v>
      </c>
      <c r="H1726">
        <v>23</v>
      </c>
      <c r="I1726" t="str">
        <f t="shared" si="104"/>
        <v>1-ago-2023</v>
      </c>
      <c r="K1726" s="49">
        <f t="shared" si="106"/>
        <v>45139</v>
      </c>
      <c r="M1726" t="b">
        <f t="shared" si="107"/>
        <v>1</v>
      </c>
    </row>
    <row r="1727" spans="1:13" x14ac:dyDescent="0.3">
      <c r="A1727" s="49">
        <v>45261</v>
      </c>
      <c r="D1727" t="s">
        <v>7362</v>
      </c>
      <c r="E1727">
        <v>1</v>
      </c>
      <c r="F1727" t="str">
        <f t="shared" si="105"/>
        <v>ago</v>
      </c>
      <c r="G1727">
        <v>20</v>
      </c>
      <c r="H1727">
        <v>23</v>
      </c>
      <c r="I1727" t="str">
        <f t="shared" si="104"/>
        <v>1-ago-2023</v>
      </c>
      <c r="K1727" s="49">
        <f t="shared" si="106"/>
        <v>45139</v>
      </c>
      <c r="M1727" t="b">
        <f t="shared" si="107"/>
        <v>1</v>
      </c>
    </row>
    <row r="1728" spans="1:13" x14ac:dyDescent="0.3">
      <c r="A1728" s="49">
        <v>45261</v>
      </c>
      <c r="D1728" t="s">
        <v>7362</v>
      </c>
      <c r="E1728">
        <v>1</v>
      </c>
      <c r="F1728" t="str">
        <f t="shared" si="105"/>
        <v>ago</v>
      </c>
      <c r="G1728">
        <v>20</v>
      </c>
      <c r="H1728">
        <v>23</v>
      </c>
      <c r="I1728" t="str">
        <f t="shared" si="104"/>
        <v>1-ago-2023</v>
      </c>
      <c r="K1728" s="49">
        <f t="shared" si="106"/>
        <v>45139</v>
      </c>
      <c r="M1728" t="b">
        <f t="shared" si="107"/>
        <v>1</v>
      </c>
    </row>
    <row r="1729" spans="1:13" x14ac:dyDescent="0.3">
      <c r="A1729" s="49">
        <v>45261</v>
      </c>
      <c r="D1729" t="s">
        <v>7355</v>
      </c>
      <c r="E1729">
        <v>1</v>
      </c>
      <c r="F1729" t="str">
        <f t="shared" si="105"/>
        <v>sep</v>
      </c>
      <c r="G1729">
        <v>20</v>
      </c>
      <c r="H1729">
        <v>22</v>
      </c>
      <c r="I1729" t="str">
        <f t="shared" ref="I1729:I1792" si="108">_xlfn.CONCAT(E1729,"-",F1729,"-",G1729,H1729)</f>
        <v>1-sep-2022</v>
      </c>
      <c r="K1729" s="49">
        <f t="shared" si="106"/>
        <v>44805</v>
      </c>
      <c r="M1729" t="b">
        <f t="shared" si="107"/>
        <v>1</v>
      </c>
    </row>
    <row r="1730" spans="1:13" x14ac:dyDescent="0.3">
      <c r="A1730" s="49">
        <v>45261</v>
      </c>
      <c r="D1730" t="s">
        <v>7357</v>
      </c>
      <c r="E1730">
        <v>1</v>
      </c>
      <c r="F1730" t="str">
        <f t="shared" ref="F1730:F1793" si="109">LOWER(D1730)</f>
        <v>oct</v>
      </c>
      <c r="G1730">
        <v>20</v>
      </c>
      <c r="H1730">
        <v>23</v>
      </c>
      <c r="I1730" t="str">
        <f t="shared" si="108"/>
        <v>1-oct-2023</v>
      </c>
      <c r="K1730" s="49">
        <f t="shared" ref="K1730:K1793" si="110">DATEVALUE(I1730)</f>
        <v>45200</v>
      </c>
      <c r="M1730" t="b">
        <f t="shared" si="107"/>
        <v>1</v>
      </c>
    </row>
    <row r="1731" spans="1:13" x14ac:dyDescent="0.3">
      <c r="A1731" s="49">
        <v>45261</v>
      </c>
      <c r="D1731" t="s">
        <v>7359</v>
      </c>
      <c r="E1731">
        <v>1</v>
      </c>
      <c r="F1731" t="str">
        <f t="shared" si="109"/>
        <v>jul</v>
      </c>
      <c r="G1731">
        <v>20</v>
      </c>
      <c r="H1731">
        <v>22</v>
      </c>
      <c r="I1731" t="str">
        <f t="shared" si="108"/>
        <v>1-jul-2022</v>
      </c>
      <c r="K1731" s="49">
        <f t="shared" si="110"/>
        <v>44743</v>
      </c>
      <c r="M1731" t="b">
        <f t="shared" ref="M1731:M1794" si="111">K1731&lt;A1731</f>
        <v>1</v>
      </c>
    </row>
    <row r="1732" spans="1:13" x14ac:dyDescent="0.3">
      <c r="A1732" s="49">
        <v>45261</v>
      </c>
      <c r="D1732" t="s">
        <v>7367</v>
      </c>
      <c r="E1732">
        <v>1</v>
      </c>
      <c r="F1732" t="str">
        <f t="shared" si="109"/>
        <v>jun</v>
      </c>
      <c r="G1732">
        <v>20</v>
      </c>
      <c r="H1732">
        <v>23</v>
      </c>
      <c r="I1732" t="str">
        <f t="shared" si="108"/>
        <v>1-jun-2023</v>
      </c>
      <c r="K1732" s="49">
        <f t="shared" si="110"/>
        <v>45078</v>
      </c>
      <c r="M1732" t="b">
        <f t="shared" si="111"/>
        <v>1</v>
      </c>
    </row>
    <row r="1733" spans="1:13" x14ac:dyDescent="0.3">
      <c r="A1733" s="49">
        <v>45261</v>
      </c>
      <c r="D1733" t="s">
        <v>7367</v>
      </c>
      <c r="E1733">
        <v>1</v>
      </c>
      <c r="F1733" t="str">
        <f t="shared" si="109"/>
        <v>jun</v>
      </c>
      <c r="G1733">
        <v>20</v>
      </c>
      <c r="H1733">
        <v>23</v>
      </c>
      <c r="I1733" t="str">
        <f t="shared" si="108"/>
        <v>1-jun-2023</v>
      </c>
      <c r="K1733" s="49">
        <f t="shared" si="110"/>
        <v>45078</v>
      </c>
      <c r="M1733" t="b">
        <f t="shared" si="111"/>
        <v>1</v>
      </c>
    </row>
    <row r="1734" spans="1:13" x14ac:dyDescent="0.3">
      <c r="A1734" s="49">
        <v>45261</v>
      </c>
      <c r="D1734" t="s">
        <v>7356</v>
      </c>
      <c r="E1734">
        <v>1</v>
      </c>
      <c r="F1734" t="str">
        <f t="shared" si="109"/>
        <v>ene</v>
      </c>
      <c r="G1734">
        <v>20</v>
      </c>
      <c r="H1734">
        <v>20</v>
      </c>
      <c r="I1734" t="str">
        <f t="shared" si="108"/>
        <v>1-ene-2020</v>
      </c>
      <c r="K1734" s="49">
        <f t="shared" si="110"/>
        <v>43831</v>
      </c>
      <c r="M1734" t="b">
        <f t="shared" si="111"/>
        <v>1</v>
      </c>
    </row>
    <row r="1735" spans="1:13" x14ac:dyDescent="0.3">
      <c r="A1735" s="49">
        <v>45261</v>
      </c>
      <c r="D1735" t="s">
        <v>7356</v>
      </c>
      <c r="E1735">
        <v>1</v>
      </c>
      <c r="F1735" t="str">
        <f t="shared" si="109"/>
        <v>ene</v>
      </c>
      <c r="G1735">
        <v>20</v>
      </c>
      <c r="H1735">
        <v>20</v>
      </c>
      <c r="I1735" t="str">
        <f t="shared" si="108"/>
        <v>1-ene-2020</v>
      </c>
      <c r="K1735" s="49">
        <f t="shared" si="110"/>
        <v>43831</v>
      </c>
      <c r="M1735" t="b">
        <f t="shared" si="111"/>
        <v>1</v>
      </c>
    </row>
    <row r="1736" spans="1:13" x14ac:dyDescent="0.3">
      <c r="A1736" s="49">
        <v>45261</v>
      </c>
      <c r="D1736" t="s">
        <v>7356</v>
      </c>
      <c r="E1736">
        <v>1</v>
      </c>
      <c r="F1736" t="str">
        <f t="shared" si="109"/>
        <v>ene</v>
      </c>
      <c r="G1736">
        <v>20</v>
      </c>
      <c r="H1736">
        <v>20</v>
      </c>
      <c r="I1736" t="str">
        <f t="shared" si="108"/>
        <v>1-ene-2020</v>
      </c>
      <c r="K1736" s="49">
        <f t="shared" si="110"/>
        <v>43831</v>
      </c>
      <c r="M1736" t="b">
        <f t="shared" si="111"/>
        <v>1</v>
      </c>
    </row>
    <row r="1737" spans="1:13" x14ac:dyDescent="0.3">
      <c r="A1737" s="49">
        <v>45261</v>
      </c>
      <c r="D1737" t="s">
        <v>7363</v>
      </c>
      <c r="E1737">
        <v>1</v>
      </c>
      <c r="F1737" t="str">
        <f t="shared" si="109"/>
        <v>feb</v>
      </c>
      <c r="G1737">
        <v>20</v>
      </c>
      <c r="H1737">
        <v>22</v>
      </c>
      <c r="I1737" t="str">
        <f t="shared" si="108"/>
        <v>1-feb-2022</v>
      </c>
      <c r="K1737" s="49">
        <f t="shared" si="110"/>
        <v>44593</v>
      </c>
      <c r="M1737" t="b">
        <f t="shared" si="111"/>
        <v>1</v>
      </c>
    </row>
    <row r="1738" spans="1:13" x14ac:dyDescent="0.3">
      <c r="A1738" s="49">
        <v>45261</v>
      </c>
      <c r="D1738" t="s">
        <v>7366</v>
      </c>
      <c r="E1738">
        <v>1</v>
      </c>
      <c r="F1738" t="str">
        <f t="shared" si="109"/>
        <v>dic</v>
      </c>
      <c r="G1738">
        <v>20</v>
      </c>
      <c r="H1738">
        <v>22</v>
      </c>
      <c r="I1738" t="str">
        <f t="shared" si="108"/>
        <v>1-dic-2022</v>
      </c>
      <c r="K1738" s="49">
        <f t="shared" si="110"/>
        <v>44896</v>
      </c>
      <c r="M1738" t="b">
        <f t="shared" si="111"/>
        <v>1</v>
      </c>
    </row>
    <row r="1739" spans="1:13" x14ac:dyDescent="0.3">
      <c r="A1739" s="49">
        <v>45261</v>
      </c>
      <c r="D1739" t="s">
        <v>7370</v>
      </c>
      <c r="E1739">
        <v>1</v>
      </c>
      <c r="F1739" t="str">
        <f t="shared" si="109"/>
        <v>may</v>
      </c>
      <c r="G1739">
        <v>20</v>
      </c>
      <c r="H1739">
        <v>20</v>
      </c>
      <c r="I1739" t="str">
        <f t="shared" si="108"/>
        <v>1-may-2020</v>
      </c>
      <c r="K1739" s="49">
        <f t="shared" si="110"/>
        <v>43952</v>
      </c>
      <c r="M1739" t="b">
        <f t="shared" si="111"/>
        <v>1</v>
      </c>
    </row>
    <row r="1740" spans="1:13" x14ac:dyDescent="0.3">
      <c r="A1740" s="49">
        <v>45261</v>
      </c>
      <c r="D1740" t="s">
        <v>7367</v>
      </c>
      <c r="E1740">
        <v>1</v>
      </c>
      <c r="F1740" t="str">
        <f t="shared" si="109"/>
        <v>jun</v>
      </c>
      <c r="G1740">
        <v>20</v>
      </c>
      <c r="H1740">
        <v>19</v>
      </c>
      <c r="I1740" t="str">
        <f t="shared" si="108"/>
        <v>1-jun-2019</v>
      </c>
      <c r="K1740" s="49">
        <f t="shared" si="110"/>
        <v>43617</v>
      </c>
      <c r="M1740" t="b">
        <f t="shared" si="111"/>
        <v>1</v>
      </c>
    </row>
    <row r="1741" spans="1:13" x14ac:dyDescent="0.3">
      <c r="A1741" s="49">
        <v>45261</v>
      </c>
      <c r="D1741" t="s">
        <v>7366</v>
      </c>
      <c r="E1741">
        <v>1</v>
      </c>
      <c r="F1741" t="str">
        <f t="shared" si="109"/>
        <v>dic</v>
      </c>
      <c r="G1741">
        <v>20</v>
      </c>
      <c r="H1741">
        <v>19</v>
      </c>
      <c r="I1741" t="str">
        <f t="shared" si="108"/>
        <v>1-dic-2019</v>
      </c>
      <c r="K1741" s="49">
        <f t="shared" si="110"/>
        <v>43800</v>
      </c>
      <c r="M1741" t="b">
        <f t="shared" si="111"/>
        <v>1</v>
      </c>
    </row>
    <row r="1742" spans="1:13" x14ac:dyDescent="0.3">
      <c r="A1742" s="49">
        <v>45261</v>
      </c>
      <c r="D1742" t="s">
        <v>7366</v>
      </c>
      <c r="E1742">
        <v>1</v>
      </c>
      <c r="F1742" t="str">
        <f t="shared" si="109"/>
        <v>dic</v>
      </c>
      <c r="G1742">
        <v>20</v>
      </c>
      <c r="H1742">
        <v>21</v>
      </c>
      <c r="I1742" t="str">
        <f t="shared" si="108"/>
        <v>1-dic-2021</v>
      </c>
      <c r="K1742" s="49">
        <f t="shared" si="110"/>
        <v>44531</v>
      </c>
      <c r="M1742" t="b">
        <f t="shared" si="111"/>
        <v>1</v>
      </c>
    </row>
    <row r="1743" spans="1:13" x14ac:dyDescent="0.3">
      <c r="A1743" s="49">
        <v>45261</v>
      </c>
      <c r="D1743" t="s">
        <v>7363</v>
      </c>
      <c r="E1743">
        <v>1</v>
      </c>
      <c r="F1743" t="str">
        <f t="shared" si="109"/>
        <v>feb</v>
      </c>
      <c r="G1743">
        <v>20</v>
      </c>
      <c r="H1743">
        <v>22</v>
      </c>
      <c r="I1743" t="str">
        <f t="shared" si="108"/>
        <v>1-feb-2022</v>
      </c>
      <c r="K1743" s="49">
        <f t="shared" si="110"/>
        <v>44593</v>
      </c>
      <c r="M1743" t="b">
        <f t="shared" si="111"/>
        <v>1</v>
      </c>
    </row>
    <row r="1744" spans="1:13" x14ac:dyDescent="0.3">
      <c r="A1744" s="49">
        <v>45261</v>
      </c>
      <c r="D1744" t="s">
        <v>7356</v>
      </c>
      <c r="E1744">
        <v>1</v>
      </c>
      <c r="F1744" t="str">
        <f t="shared" si="109"/>
        <v>ene</v>
      </c>
      <c r="G1744">
        <v>20</v>
      </c>
      <c r="H1744">
        <v>22</v>
      </c>
      <c r="I1744" t="str">
        <f t="shared" si="108"/>
        <v>1-ene-2022</v>
      </c>
      <c r="K1744" s="49">
        <f t="shared" si="110"/>
        <v>44562</v>
      </c>
      <c r="M1744" t="b">
        <f t="shared" si="111"/>
        <v>1</v>
      </c>
    </row>
    <row r="1745" spans="1:13" x14ac:dyDescent="0.3">
      <c r="A1745" s="49">
        <v>45261</v>
      </c>
      <c r="D1745" t="s">
        <v>7370</v>
      </c>
      <c r="E1745">
        <v>1</v>
      </c>
      <c r="F1745" t="str">
        <f t="shared" si="109"/>
        <v>may</v>
      </c>
      <c r="G1745">
        <v>20</v>
      </c>
      <c r="H1745">
        <v>17</v>
      </c>
      <c r="I1745" t="str">
        <f t="shared" si="108"/>
        <v>1-may-2017</v>
      </c>
      <c r="K1745" s="49">
        <f t="shared" si="110"/>
        <v>42856</v>
      </c>
      <c r="M1745" t="b">
        <f t="shared" si="111"/>
        <v>1</v>
      </c>
    </row>
    <row r="1746" spans="1:13" x14ac:dyDescent="0.3">
      <c r="A1746" s="49">
        <v>45261</v>
      </c>
      <c r="D1746" t="s">
        <v>7366</v>
      </c>
      <c r="E1746">
        <v>1</v>
      </c>
      <c r="F1746" t="str">
        <f t="shared" si="109"/>
        <v>dic</v>
      </c>
      <c r="G1746">
        <v>20</v>
      </c>
      <c r="H1746">
        <v>19</v>
      </c>
      <c r="I1746" t="str">
        <f t="shared" si="108"/>
        <v>1-dic-2019</v>
      </c>
      <c r="K1746" s="49">
        <f t="shared" si="110"/>
        <v>43800</v>
      </c>
      <c r="M1746" t="b">
        <f t="shared" si="111"/>
        <v>1</v>
      </c>
    </row>
    <row r="1747" spans="1:13" x14ac:dyDescent="0.3">
      <c r="A1747" s="49">
        <v>45261</v>
      </c>
      <c r="D1747" t="s">
        <v>7357</v>
      </c>
      <c r="E1747">
        <v>1</v>
      </c>
      <c r="F1747" t="str">
        <f t="shared" si="109"/>
        <v>oct</v>
      </c>
      <c r="G1747">
        <v>20</v>
      </c>
      <c r="H1747">
        <v>16</v>
      </c>
      <c r="I1747" t="str">
        <f t="shared" si="108"/>
        <v>1-oct-2016</v>
      </c>
      <c r="K1747" s="49">
        <f t="shared" si="110"/>
        <v>42644</v>
      </c>
      <c r="M1747" t="b">
        <f t="shared" si="111"/>
        <v>1</v>
      </c>
    </row>
    <row r="1748" spans="1:13" x14ac:dyDescent="0.3">
      <c r="A1748" s="49">
        <v>45261</v>
      </c>
      <c r="D1748" t="s">
        <v>7357</v>
      </c>
      <c r="E1748">
        <v>1</v>
      </c>
      <c r="F1748" t="str">
        <f t="shared" si="109"/>
        <v>oct</v>
      </c>
      <c r="G1748">
        <v>20</v>
      </c>
      <c r="H1748">
        <v>21</v>
      </c>
      <c r="I1748" t="str">
        <f t="shared" si="108"/>
        <v>1-oct-2021</v>
      </c>
      <c r="K1748" s="49">
        <f t="shared" si="110"/>
        <v>44470</v>
      </c>
      <c r="M1748" t="b">
        <f t="shared" si="111"/>
        <v>1</v>
      </c>
    </row>
    <row r="1749" spans="1:13" x14ac:dyDescent="0.3">
      <c r="A1749" s="49">
        <v>45261</v>
      </c>
      <c r="D1749" t="s">
        <v>7362</v>
      </c>
      <c r="E1749">
        <v>1</v>
      </c>
      <c r="F1749" t="str">
        <f t="shared" si="109"/>
        <v>ago</v>
      </c>
      <c r="G1749">
        <v>20</v>
      </c>
      <c r="H1749">
        <v>23</v>
      </c>
      <c r="I1749" t="str">
        <f t="shared" si="108"/>
        <v>1-ago-2023</v>
      </c>
      <c r="K1749" s="49">
        <f t="shared" si="110"/>
        <v>45139</v>
      </c>
      <c r="M1749" t="b">
        <f t="shared" si="111"/>
        <v>1</v>
      </c>
    </row>
    <row r="1750" spans="1:13" x14ac:dyDescent="0.3">
      <c r="A1750" s="49">
        <v>45261</v>
      </c>
      <c r="D1750" t="s">
        <v>7367</v>
      </c>
      <c r="E1750">
        <v>1</v>
      </c>
      <c r="F1750" t="str">
        <f t="shared" si="109"/>
        <v>jun</v>
      </c>
      <c r="G1750">
        <v>20</v>
      </c>
      <c r="H1750">
        <v>21</v>
      </c>
      <c r="I1750" t="str">
        <f t="shared" si="108"/>
        <v>1-jun-2021</v>
      </c>
      <c r="K1750" s="49">
        <f t="shared" si="110"/>
        <v>44348</v>
      </c>
      <c r="M1750" t="b">
        <f t="shared" si="111"/>
        <v>1</v>
      </c>
    </row>
    <row r="1751" spans="1:13" x14ac:dyDescent="0.3">
      <c r="A1751" s="49">
        <v>45261</v>
      </c>
      <c r="D1751" t="s">
        <v>7370</v>
      </c>
      <c r="E1751">
        <v>1</v>
      </c>
      <c r="F1751" t="str">
        <f t="shared" si="109"/>
        <v>may</v>
      </c>
      <c r="G1751">
        <v>20</v>
      </c>
      <c r="H1751">
        <v>20</v>
      </c>
      <c r="I1751" t="str">
        <f t="shared" si="108"/>
        <v>1-may-2020</v>
      </c>
      <c r="K1751" s="49">
        <f t="shared" si="110"/>
        <v>43952</v>
      </c>
      <c r="M1751" t="b">
        <f t="shared" si="111"/>
        <v>1</v>
      </c>
    </row>
    <row r="1752" spans="1:13" x14ac:dyDescent="0.3">
      <c r="A1752" s="49">
        <v>45261</v>
      </c>
      <c r="D1752" t="s">
        <v>7359</v>
      </c>
      <c r="E1752">
        <v>1</v>
      </c>
      <c r="F1752" t="str">
        <f t="shared" si="109"/>
        <v>jul</v>
      </c>
      <c r="G1752">
        <v>20</v>
      </c>
      <c r="H1752">
        <v>20</v>
      </c>
      <c r="I1752" t="str">
        <f t="shared" si="108"/>
        <v>1-jul-2020</v>
      </c>
      <c r="K1752" s="49">
        <f t="shared" si="110"/>
        <v>44013</v>
      </c>
      <c r="M1752" t="b">
        <f t="shared" si="111"/>
        <v>1</v>
      </c>
    </row>
    <row r="1753" spans="1:13" x14ac:dyDescent="0.3">
      <c r="A1753" s="49">
        <v>45261</v>
      </c>
      <c r="D1753" t="s">
        <v>7363</v>
      </c>
      <c r="E1753">
        <v>1</v>
      </c>
      <c r="F1753" t="str">
        <f t="shared" si="109"/>
        <v>feb</v>
      </c>
      <c r="G1753">
        <v>20</v>
      </c>
      <c r="H1753">
        <v>21</v>
      </c>
      <c r="I1753" t="str">
        <f t="shared" si="108"/>
        <v>1-feb-2021</v>
      </c>
      <c r="K1753" s="49">
        <f t="shared" si="110"/>
        <v>44228</v>
      </c>
      <c r="M1753" t="b">
        <f t="shared" si="111"/>
        <v>1</v>
      </c>
    </row>
    <row r="1754" spans="1:13" x14ac:dyDescent="0.3">
      <c r="A1754" s="49">
        <v>45261</v>
      </c>
      <c r="D1754" t="s">
        <v>7356</v>
      </c>
      <c r="E1754">
        <v>1</v>
      </c>
      <c r="F1754" t="str">
        <f t="shared" si="109"/>
        <v>ene</v>
      </c>
      <c r="G1754">
        <v>20</v>
      </c>
      <c r="H1754">
        <v>21</v>
      </c>
      <c r="I1754" t="str">
        <f t="shared" si="108"/>
        <v>1-ene-2021</v>
      </c>
      <c r="K1754" s="49">
        <f t="shared" si="110"/>
        <v>44197</v>
      </c>
      <c r="M1754" t="b">
        <f t="shared" si="111"/>
        <v>1</v>
      </c>
    </row>
    <row r="1755" spans="1:13" x14ac:dyDescent="0.3">
      <c r="A1755" s="49">
        <v>45261</v>
      </c>
      <c r="D1755" t="s">
        <v>7367</v>
      </c>
      <c r="E1755">
        <v>1</v>
      </c>
      <c r="F1755" t="str">
        <f t="shared" si="109"/>
        <v>jun</v>
      </c>
      <c r="G1755">
        <v>20</v>
      </c>
      <c r="H1755">
        <v>23</v>
      </c>
      <c r="I1755" t="str">
        <f t="shared" si="108"/>
        <v>1-jun-2023</v>
      </c>
      <c r="K1755" s="49">
        <f t="shared" si="110"/>
        <v>45078</v>
      </c>
      <c r="M1755" t="b">
        <f t="shared" si="111"/>
        <v>1</v>
      </c>
    </row>
    <row r="1756" spans="1:13" x14ac:dyDescent="0.3">
      <c r="A1756" s="49">
        <v>45261</v>
      </c>
      <c r="D1756" t="s">
        <v>7357</v>
      </c>
      <c r="E1756">
        <v>1</v>
      </c>
      <c r="F1756" t="str">
        <f t="shared" si="109"/>
        <v>oct</v>
      </c>
      <c r="G1756">
        <v>20</v>
      </c>
      <c r="H1756">
        <v>23</v>
      </c>
      <c r="I1756" t="str">
        <f t="shared" si="108"/>
        <v>1-oct-2023</v>
      </c>
      <c r="K1756" s="49">
        <f t="shared" si="110"/>
        <v>45200</v>
      </c>
      <c r="M1756" t="b">
        <f t="shared" si="111"/>
        <v>1</v>
      </c>
    </row>
    <row r="1757" spans="1:13" x14ac:dyDescent="0.3">
      <c r="A1757" s="49">
        <v>45261</v>
      </c>
      <c r="D1757" t="s">
        <v>7368</v>
      </c>
      <c r="E1757">
        <v>1</v>
      </c>
      <c r="F1757" t="str">
        <f t="shared" si="109"/>
        <v>mar</v>
      </c>
      <c r="G1757">
        <v>20</v>
      </c>
      <c r="H1757">
        <v>21</v>
      </c>
      <c r="I1757" t="str">
        <f t="shared" si="108"/>
        <v>1-mar-2021</v>
      </c>
      <c r="K1757" s="49">
        <f t="shared" si="110"/>
        <v>44256</v>
      </c>
      <c r="M1757" t="b">
        <f t="shared" si="111"/>
        <v>1</v>
      </c>
    </row>
    <row r="1758" spans="1:13" x14ac:dyDescent="0.3">
      <c r="A1758" s="49">
        <v>45261</v>
      </c>
      <c r="D1758" t="s">
        <v>7355</v>
      </c>
      <c r="E1758">
        <v>1</v>
      </c>
      <c r="F1758" t="str">
        <f t="shared" si="109"/>
        <v>sep</v>
      </c>
      <c r="G1758">
        <v>20</v>
      </c>
      <c r="H1758">
        <v>19</v>
      </c>
      <c r="I1758" t="str">
        <f t="shared" si="108"/>
        <v>1-sep-2019</v>
      </c>
      <c r="K1758" s="49">
        <f t="shared" si="110"/>
        <v>43709</v>
      </c>
      <c r="M1758" t="b">
        <f t="shared" si="111"/>
        <v>1</v>
      </c>
    </row>
    <row r="1759" spans="1:13" x14ac:dyDescent="0.3">
      <c r="A1759" s="49">
        <v>45261</v>
      </c>
      <c r="D1759" t="s">
        <v>7355</v>
      </c>
      <c r="E1759">
        <v>1</v>
      </c>
      <c r="F1759" t="str">
        <f t="shared" si="109"/>
        <v>sep</v>
      </c>
      <c r="G1759">
        <v>20</v>
      </c>
      <c r="H1759">
        <v>25</v>
      </c>
      <c r="I1759" t="str">
        <f t="shared" si="108"/>
        <v>1-sep-2025</v>
      </c>
      <c r="K1759" s="49">
        <f t="shared" si="110"/>
        <v>45901</v>
      </c>
      <c r="M1759" t="b">
        <f t="shared" si="111"/>
        <v>0</v>
      </c>
    </row>
    <row r="1760" spans="1:13" x14ac:dyDescent="0.3">
      <c r="A1760" s="49">
        <v>45261</v>
      </c>
      <c r="D1760" t="s">
        <v>7366</v>
      </c>
      <c r="E1760">
        <v>1</v>
      </c>
      <c r="F1760" t="str">
        <f t="shared" si="109"/>
        <v>dic</v>
      </c>
      <c r="G1760">
        <v>20</v>
      </c>
      <c r="H1760">
        <v>19</v>
      </c>
      <c r="I1760" t="str">
        <f t="shared" si="108"/>
        <v>1-dic-2019</v>
      </c>
      <c r="K1760" s="49">
        <f t="shared" si="110"/>
        <v>43800</v>
      </c>
      <c r="M1760" t="b">
        <f t="shared" si="111"/>
        <v>1</v>
      </c>
    </row>
    <row r="1761" spans="1:13" x14ac:dyDescent="0.3">
      <c r="A1761" s="49">
        <v>45261</v>
      </c>
      <c r="D1761" t="s">
        <v>7363</v>
      </c>
      <c r="E1761">
        <v>1</v>
      </c>
      <c r="F1761" t="str">
        <f t="shared" si="109"/>
        <v>feb</v>
      </c>
      <c r="G1761">
        <v>20</v>
      </c>
      <c r="H1761">
        <v>22</v>
      </c>
      <c r="I1761" t="str">
        <f t="shared" si="108"/>
        <v>1-feb-2022</v>
      </c>
      <c r="K1761" s="49">
        <f t="shared" si="110"/>
        <v>44593</v>
      </c>
      <c r="M1761" t="b">
        <f t="shared" si="111"/>
        <v>1</v>
      </c>
    </row>
    <row r="1762" spans="1:13" x14ac:dyDescent="0.3">
      <c r="A1762" s="49">
        <v>45261</v>
      </c>
      <c r="D1762" t="s">
        <v>7357</v>
      </c>
      <c r="E1762">
        <v>1</v>
      </c>
      <c r="F1762" t="str">
        <f t="shared" si="109"/>
        <v>oct</v>
      </c>
      <c r="G1762">
        <v>20</v>
      </c>
      <c r="H1762">
        <v>20</v>
      </c>
      <c r="I1762" t="str">
        <f t="shared" si="108"/>
        <v>1-oct-2020</v>
      </c>
      <c r="K1762" s="49">
        <f t="shared" si="110"/>
        <v>44105</v>
      </c>
      <c r="M1762" t="b">
        <f t="shared" si="111"/>
        <v>1</v>
      </c>
    </row>
    <row r="1763" spans="1:13" x14ac:dyDescent="0.3">
      <c r="A1763" s="49">
        <v>45261</v>
      </c>
      <c r="D1763" t="s">
        <v>7367</v>
      </c>
      <c r="E1763">
        <v>1</v>
      </c>
      <c r="F1763" t="str">
        <f t="shared" si="109"/>
        <v>jun</v>
      </c>
      <c r="G1763">
        <v>20</v>
      </c>
      <c r="H1763">
        <v>22</v>
      </c>
      <c r="I1763" t="str">
        <f t="shared" si="108"/>
        <v>1-jun-2022</v>
      </c>
      <c r="K1763" s="49">
        <f t="shared" si="110"/>
        <v>44713</v>
      </c>
      <c r="M1763" t="b">
        <f t="shared" si="111"/>
        <v>1</v>
      </c>
    </row>
    <row r="1764" spans="1:13" x14ac:dyDescent="0.3">
      <c r="A1764" s="49">
        <v>45261</v>
      </c>
      <c r="D1764" t="s">
        <v>7367</v>
      </c>
      <c r="E1764">
        <v>1</v>
      </c>
      <c r="F1764" t="str">
        <f t="shared" si="109"/>
        <v>jun</v>
      </c>
      <c r="G1764">
        <v>20</v>
      </c>
      <c r="H1764">
        <v>23</v>
      </c>
      <c r="I1764" t="str">
        <f t="shared" si="108"/>
        <v>1-jun-2023</v>
      </c>
      <c r="K1764" s="49">
        <f t="shared" si="110"/>
        <v>45078</v>
      </c>
      <c r="M1764" t="b">
        <f t="shared" si="111"/>
        <v>1</v>
      </c>
    </row>
    <row r="1765" spans="1:13" x14ac:dyDescent="0.3">
      <c r="A1765" s="49">
        <v>45261</v>
      </c>
      <c r="D1765" t="s">
        <v>7359</v>
      </c>
      <c r="E1765">
        <v>1</v>
      </c>
      <c r="F1765" t="str">
        <f t="shared" si="109"/>
        <v>jul</v>
      </c>
      <c r="G1765">
        <v>20</v>
      </c>
      <c r="H1765">
        <v>25</v>
      </c>
      <c r="I1765" t="str">
        <f t="shared" si="108"/>
        <v>1-jul-2025</v>
      </c>
      <c r="K1765" s="49">
        <f t="shared" si="110"/>
        <v>45839</v>
      </c>
      <c r="M1765" t="b">
        <f t="shared" si="111"/>
        <v>0</v>
      </c>
    </row>
    <row r="1766" spans="1:13" x14ac:dyDescent="0.3">
      <c r="A1766" s="49">
        <v>45261</v>
      </c>
      <c r="D1766" t="s">
        <v>7370</v>
      </c>
      <c r="E1766">
        <v>1</v>
      </c>
      <c r="F1766" t="str">
        <f t="shared" si="109"/>
        <v>may</v>
      </c>
      <c r="G1766">
        <v>20</v>
      </c>
      <c r="H1766">
        <v>22</v>
      </c>
      <c r="I1766" t="str">
        <f t="shared" si="108"/>
        <v>1-may-2022</v>
      </c>
      <c r="K1766" s="49">
        <f t="shared" si="110"/>
        <v>44682</v>
      </c>
      <c r="M1766" t="b">
        <f t="shared" si="111"/>
        <v>1</v>
      </c>
    </row>
    <row r="1767" spans="1:13" x14ac:dyDescent="0.3">
      <c r="A1767" s="49">
        <v>45261</v>
      </c>
      <c r="D1767" t="s">
        <v>7362</v>
      </c>
      <c r="E1767">
        <v>1</v>
      </c>
      <c r="F1767" t="str">
        <f t="shared" si="109"/>
        <v>ago</v>
      </c>
      <c r="G1767">
        <v>20</v>
      </c>
      <c r="H1767">
        <v>23</v>
      </c>
      <c r="I1767" t="str">
        <f t="shared" si="108"/>
        <v>1-ago-2023</v>
      </c>
      <c r="K1767" s="49">
        <f t="shared" si="110"/>
        <v>45139</v>
      </c>
      <c r="M1767" t="b">
        <f t="shared" si="111"/>
        <v>1</v>
      </c>
    </row>
    <row r="1768" spans="1:13" x14ac:dyDescent="0.3">
      <c r="A1768" s="49">
        <v>45261</v>
      </c>
      <c r="D1768" t="s">
        <v>7363</v>
      </c>
      <c r="E1768">
        <v>1</v>
      </c>
      <c r="F1768" t="str">
        <f t="shared" si="109"/>
        <v>feb</v>
      </c>
      <c r="G1768">
        <v>20</v>
      </c>
      <c r="H1768">
        <v>18</v>
      </c>
      <c r="I1768" t="str">
        <f t="shared" si="108"/>
        <v>1-feb-2018</v>
      </c>
      <c r="K1768" s="49">
        <f t="shared" si="110"/>
        <v>43132</v>
      </c>
      <c r="M1768" t="b">
        <f t="shared" si="111"/>
        <v>1</v>
      </c>
    </row>
    <row r="1769" spans="1:13" x14ac:dyDescent="0.3">
      <c r="A1769" s="49">
        <v>45261</v>
      </c>
      <c r="D1769" t="s">
        <v>7368</v>
      </c>
      <c r="E1769">
        <v>1</v>
      </c>
      <c r="F1769" t="str">
        <f t="shared" si="109"/>
        <v>mar</v>
      </c>
      <c r="G1769">
        <v>20</v>
      </c>
      <c r="H1769">
        <v>23</v>
      </c>
      <c r="I1769" t="str">
        <f t="shared" si="108"/>
        <v>1-mar-2023</v>
      </c>
      <c r="K1769" s="49">
        <f t="shared" si="110"/>
        <v>44986</v>
      </c>
      <c r="M1769" t="b">
        <f t="shared" si="111"/>
        <v>1</v>
      </c>
    </row>
    <row r="1770" spans="1:13" x14ac:dyDescent="0.3">
      <c r="A1770" s="49">
        <v>45261</v>
      </c>
      <c r="D1770" t="s">
        <v>7366</v>
      </c>
      <c r="E1770">
        <v>1</v>
      </c>
      <c r="F1770" t="str">
        <f t="shared" si="109"/>
        <v>dic</v>
      </c>
      <c r="G1770">
        <v>20</v>
      </c>
      <c r="H1770">
        <v>21</v>
      </c>
      <c r="I1770" t="str">
        <f t="shared" si="108"/>
        <v>1-dic-2021</v>
      </c>
      <c r="K1770" s="49">
        <f t="shared" si="110"/>
        <v>44531</v>
      </c>
      <c r="M1770" t="b">
        <f t="shared" si="111"/>
        <v>1</v>
      </c>
    </row>
    <row r="1771" spans="1:13" x14ac:dyDescent="0.3">
      <c r="A1771" s="49">
        <v>45261</v>
      </c>
      <c r="D1771" t="s">
        <v>7360</v>
      </c>
      <c r="E1771">
        <v>1</v>
      </c>
      <c r="F1771" t="str">
        <f t="shared" si="109"/>
        <v>nov</v>
      </c>
      <c r="G1771">
        <v>20</v>
      </c>
      <c r="H1771">
        <v>21</v>
      </c>
      <c r="I1771" t="str">
        <f t="shared" si="108"/>
        <v>1-nov-2021</v>
      </c>
      <c r="K1771" s="49">
        <f t="shared" si="110"/>
        <v>44501</v>
      </c>
      <c r="M1771" t="b">
        <f t="shared" si="111"/>
        <v>1</v>
      </c>
    </row>
    <row r="1772" spans="1:13" x14ac:dyDescent="0.3">
      <c r="A1772" s="49">
        <v>45261</v>
      </c>
      <c r="D1772" t="s">
        <v>7370</v>
      </c>
      <c r="E1772">
        <v>1</v>
      </c>
      <c r="F1772" t="str">
        <f t="shared" si="109"/>
        <v>may</v>
      </c>
      <c r="G1772">
        <v>20</v>
      </c>
      <c r="H1772">
        <v>26</v>
      </c>
      <c r="I1772" t="str">
        <f t="shared" si="108"/>
        <v>1-may-2026</v>
      </c>
      <c r="K1772" s="49">
        <f t="shared" si="110"/>
        <v>46143</v>
      </c>
      <c r="M1772" t="b">
        <f t="shared" si="111"/>
        <v>0</v>
      </c>
    </row>
    <row r="1773" spans="1:13" x14ac:dyDescent="0.3">
      <c r="A1773" s="49">
        <v>45261</v>
      </c>
      <c r="D1773" t="s">
        <v>7367</v>
      </c>
      <c r="E1773">
        <v>1</v>
      </c>
      <c r="F1773" t="str">
        <f t="shared" si="109"/>
        <v>jun</v>
      </c>
      <c r="G1773">
        <v>20</v>
      </c>
      <c r="H1773">
        <v>21</v>
      </c>
      <c r="I1773" t="str">
        <f t="shared" si="108"/>
        <v>1-jun-2021</v>
      </c>
      <c r="K1773" s="49">
        <f t="shared" si="110"/>
        <v>44348</v>
      </c>
      <c r="M1773" t="b">
        <f t="shared" si="111"/>
        <v>1</v>
      </c>
    </row>
    <row r="1774" spans="1:13" x14ac:dyDescent="0.3">
      <c r="A1774" s="49">
        <v>45261</v>
      </c>
      <c r="D1774" t="s">
        <v>7359</v>
      </c>
      <c r="E1774">
        <v>1</v>
      </c>
      <c r="F1774" t="str">
        <f t="shared" si="109"/>
        <v>jul</v>
      </c>
      <c r="G1774">
        <v>20</v>
      </c>
      <c r="H1774">
        <v>20</v>
      </c>
      <c r="I1774" t="str">
        <f t="shared" si="108"/>
        <v>1-jul-2020</v>
      </c>
      <c r="K1774" s="49">
        <f t="shared" si="110"/>
        <v>44013</v>
      </c>
      <c r="M1774" t="b">
        <f t="shared" si="111"/>
        <v>1</v>
      </c>
    </row>
    <row r="1775" spans="1:13" x14ac:dyDescent="0.3">
      <c r="A1775" s="49">
        <v>45261</v>
      </c>
      <c r="D1775" t="s">
        <v>7363</v>
      </c>
      <c r="E1775">
        <v>1</v>
      </c>
      <c r="F1775" t="str">
        <f t="shared" si="109"/>
        <v>feb</v>
      </c>
      <c r="G1775">
        <v>20</v>
      </c>
      <c r="H1775">
        <v>23</v>
      </c>
      <c r="I1775" t="str">
        <f t="shared" si="108"/>
        <v>1-feb-2023</v>
      </c>
      <c r="K1775" s="49">
        <f t="shared" si="110"/>
        <v>44958</v>
      </c>
      <c r="M1775" t="b">
        <f t="shared" si="111"/>
        <v>1</v>
      </c>
    </row>
    <row r="1776" spans="1:13" x14ac:dyDescent="0.3">
      <c r="A1776" s="49">
        <v>45261</v>
      </c>
      <c r="D1776" t="s">
        <v>7356</v>
      </c>
      <c r="E1776">
        <v>1</v>
      </c>
      <c r="F1776" t="str">
        <f t="shared" si="109"/>
        <v>ene</v>
      </c>
      <c r="G1776">
        <v>20</v>
      </c>
      <c r="H1776">
        <v>22</v>
      </c>
      <c r="I1776" t="str">
        <f t="shared" si="108"/>
        <v>1-ene-2022</v>
      </c>
      <c r="K1776" s="49">
        <f t="shared" si="110"/>
        <v>44562</v>
      </c>
      <c r="M1776" t="b">
        <f t="shared" si="111"/>
        <v>1</v>
      </c>
    </row>
    <row r="1777" spans="1:13" x14ac:dyDescent="0.3">
      <c r="A1777" s="49">
        <v>45261</v>
      </c>
      <c r="D1777" t="s">
        <v>7359</v>
      </c>
      <c r="E1777">
        <v>1</v>
      </c>
      <c r="F1777" t="str">
        <f t="shared" si="109"/>
        <v>jul</v>
      </c>
      <c r="G1777">
        <v>20</v>
      </c>
      <c r="H1777">
        <v>20</v>
      </c>
      <c r="I1777" t="str">
        <f t="shared" si="108"/>
        <v>1-jul-2020</v>
      </c>
      <c r="K1777" s="49">
        <f t="shared" si="110"/>
        <v>44013</v>
      </c>
      <c r="M1777" t="b">
        <f t="shared" si="111"/>
        <v>1</v>
      </c>
    </row>
    <row r="1778" spans="1:13" x14ac:dyDescent="0.3">
      <c r="A1778" s="49">
        <v>45261</v>
      </c>
      <c r="D1778" t="s">
        <v>7356</v>
      </c>
      <c r="E1778">
        <v>1</v>
      </c>
      <c r="F1778" t="str">
        <f t="shared" si="109"/>
        <v>ene</v>
      </c>
      <c r="G1778">
        <v>20</v>
      </c>
      <c r="H1778">
        <v>24</v>
      </c>
      <c r="I1778" t="str">
        <f t="shared" si="108"/>
        <v>1-ene-2024</v>
      </c>
      <c r="K1778" s="49">
        <f t="shared" si="110"/>
        <v>45292</v>
      </c>
      <c r="M1778" t="b">
        <f t="shared" si="111"/>
        <v>0</v>
      </c>
    </row>
    <row r="1779" spans="1:13" x14ac:dyDescent="0.3">
      <c r="A1779" s="49">
        <v>45261</v>
      </c>
      <c r="D1779" t="s">
        <v>7356</v>
      </c>
      <c r="E1779">
        <v>1</v>
      </c>
      <c r="F1779" t="str">
        <f t="shared" si="109"/>
        <v>ene</v>
      </c>
      <c r="G1779">
        <v>20</v>
      </c>
      <c r="H1779">
        <v>21</v>
      </c>
      <c r="I1779" t="str">
        <f t="shared" si="108"/>
        <v>1-ene-2021</v>
      </c>
      <c r="K1779" s="49">
        <f t="shared" si="110"/>
        <v>44197</v>
      </c>
      <c r="M1779" t="b">
        <f t="shared" si="111"/>
        <v>1</v>
      </c>
    </row>
    <row r="1780" spans="1:13" x14ac:dyDescent="0.3">
      <c r="A1780" s="49">
        <v>45261</v>
      </c>
      <c r="D1780" t="s">
        <v>7355</v>
      </c>
      <c r="E1780">
        <v>1</v>
      </c>
      <c r="F1780" t="str">
        <f t="shared" si="109"/>
        <v>sep</v>
      </c>
      <c r="G1780">
        <v>20</v>
      </c>
      <c r="H1780">
        <v>23</v>
      </c>
      <c r="I1780" t="str">
        <f t="shared" si="108"/>
        <v>1-sep-2023</v>
      </c>
      <c r="K1780" s="49">
        <f t="shared" si="110"/>
        <v>45170</v>
      </c>
      <c r="M1780" t="b">
        <f t="shared" si="111"/>
        <v>1</v>
      </c>
    </row>
    <row r="1781" spans="1:13" x14ac:dyDescent="0.3">
      <c r="A1781" s="49">
        <v>45261</v>
      </c>
      <c r="D1781" t="s">
        <v>7363</v>
      </c>
      <c r="E1781">
        <v>1</v>
      </c>
      <c r="F1781" t="str">
        <f t="shared" si="109"/>
        <v>feb</v>
      </c>
      <c r="G1781">
        <v>20</v>
      </c>
      <c r="H1781">
        <v>24</v>
      </c>
      <c r="I1781" t="str">
        <f t="shared" si="108"/>
        <v>1-feb-2024</v>
      </c>
      <c r="K1781" s="49">
        <f t="shared" si="110"/>
        <v>45323</v>
      </c>
      <c r="M1781" t="b">
        <f t="shared" si="111"/>
        <v>0</v>
      </c>
    </row>
    <row r="1782" spans="1:13" x14ac:dyDescent="0.3">
      <c r="A1782" s="49">
        <v>45261</v>
      </c>
      <c r="D1782" t="s">
        <v>7355</v>
      </c>
      <c r="E1782">
        <v>1</v>
      </c>
      <c r="F1782" t="str">
        <f t="shared" si="109"/>
        <v>sep</v>
      </c>
      <c r="G1782">
        <v>20</v>
      </c>
      <c r="H1782">
        <v>22</v>
      </c>
      <c r="I1782" t="str">
        <f t="shared" si="108"/>
        <v>1-sep-2022</v>
      </c>
      <c r="K1782" s="49">
        <f t="shared" si="110"/>
        <v>44805</v>
      </c>
      <c r="M1782" t="b">
        <f t="shared" si="111"/>
        <v>1</v>
      </c>
    </row>
    <row r="1783" spans="1:13" x14ac:dyDescent="0.3">
      <c r="A1783" s="49">
        <v>45261</v>
      </c>
      <c r="D1783" t="s">
        <v>7360</v>
      </c>
      <c r="E1783">
        <v>1</v>
      </c>
      <c r="F1783" t="str">
        <f t="shared" si="109"/>
        <v>nov</v>
      </c>
      <c r="G1783">
        <v>20</v>
      </c>
      <c r="H1783">
        <v>21</v>
      </c>
      <c r="I1783" t="str">
        <f t="shared" si="108"/>
        <v>1-nov-2021</v>
      </c>
      <c r="K1783" s="49">
        <f t="shared" si="110"/>
        <v>44501</v>
      </c>
      <c r="M1783" t="b">
        <f t="shared" si="111"/>
        <v>1</v>
      </c>
    </row>
    <row r="1784" spans="1:13" x14ac:dyDescent="0.3">
      <c r="A1784" s="49">
        <v>45261</v>
      </c>
      <c r="D1784" t="s">
        <v>7355</v>
      </c>
      <c r="E1784">
        <v>1</v>
      </c>
      <c r="F1784" t="str">
        <f t="shared" si="109"/>
        <v>sep</v>
      </c>
      <c r="G1784">
        <v>20</v>
      </c>
      <c r="H1784">
        <v>16</v>
      </c>
      <c r="I1784" t="str">
        <f t="shared" si="108"/>
        <v>1-sep-2016</v>
      </c>
      <c r="K1784" s="49">
        <f t="shared" si="110"/>
        <v>42614</v>
      </c>
      <c r="M1784" t="b">
        <f t="shared" si="111"/>
        <v>1</v>
      </c>
    </row>
    <row r="1785" spans="1:13" x14ac:dyDescent="0.3">
      <c r="A1785" s="49">
        <v>45261</v>
      </c>
      <c r="D1785" t="s">
        <v>7355</v>
      </c>
      <c r="E1785">
        <v>1</v>
      </c>
      <c r="F1785" t="str">
        <f t="shared" si="109"/>
        <v>sep</v>
      </c>
      <c r="G1785">
        <v>20</v>
      </c>
      <c r="H1785">
        <v>16</v>
      </c>
      <c r="I1785" t="str">
        <f t="shared" si="108"/>
        <v>1-sep-2016</v>
      </c>
      <c r="K1785" s="49">
        <f t="shared" si="110"/>
        <v>42614</v>
      </c>
      <c r="M1785" t="b">
        <f t="shared" si="111"/>
        <v>1</v>
      </c>
    </row>
    <row r="1786" spans="1:13" x14ac:dyDescent="0.3">
      <c r="A1786" s="49">
        <v>45261</v>
      </c>
      <c r="D1786" t="s">
        <v>7355</v>
      </c>
      <c r="E1786">
        <v>1</v>
      </c>
      <c r="F1786" t="str">
        <f t="shared" si="109"/>
        <v>sep</v>
      </c>
      <c r="G1786">
        <v>20</v>
      </c>
      <c r="H1786">
        <v>16</v>
      </c>
      <c r="I1786" t="str">
        <f t="shared" si="108"/>
        <v>1-sep-2016</v>
      </c>
      <c r="K1786" s="49">
        <f t="shared" si="110"/>
        <v>42614</v>
      </c>
      <c r="M1786" t="b">
        <f t="shared" si="111"/>
        <v>1</v>
      </c>
    </row>
    <row r="1787" spans="1:13" x14ac:dyDescent="0.3">
      <c r="A1787" s="49">
        <v>45261</v>
      </c>
      <c r="D1787" t="s">
        <v>7355</v>
      </c>
      <c r="E1787">
        <v>1</v>
      </c>
      <c r="F1787" t="str">
        <f t="shared" si="109"/>
        <v>sep</v>
      </c>
      <c r="G1787">
        <v>20</v>
      </c>
      <c r="H1787">
        <v>16</v>
      </c>
      <c r="I1787" t="str">
        <f t="shared" si="108"/>
        <v>1-sep-2016</v>
      </c>
      <c r="K1787" s="49">
        <f t="shared" si="110"/>
        <v>42614</v>
      </c>
      <c r="M1787" t="b">
        <f t="shared" si="111"/>
        <v>1</v>
      </c>
    </row>
    <row r="1788" spans="1:13" x14ac:dyDescent="0.3">
      <c r="A1788" s="49">
        <v>45261</v>
      </c>
      <c r="D1788" t="s">
        <v>7356</v>
      </c>
      <c r="E1788">
        <v>1</v>
      </c>
      <c r="F1788" t="str">
        <f t="shared" si="109"/>
        <v>ene</v>
      </c>
      <c r="G1788">
        <v>20</v>
      </c>
      <c r="H1788">
        <v>23</v>
      </c>
      <c r="I1788" t="str">
        <f t="shared" si="108"/>
        <v>1-ene-2023</v>
      </c>
      <c r="K1788" s="49">
        <f t="shared" si="110"/>
        <v>44927</v>
      </c>
      <c r="M1788" t="b">
        <f t="shared" si="111"/>
        <v>1</v>
      </c>
    </row>
    <row r="1789" spans="1:13" x14ac:dyDescent="0.3">
      <c r="A1789" s="49">
        <v>45261</v>
      </c>
      <c r="D1789" t="s">
        <v>7368</v>
      </c>
      <c r="E1789">
        <v>1</v>
      </c>
      <c r="F1789" t="str">
        <f t="shared" si="109"/>
        <v>mar</v>
      </c>
      <c r="G1789">
        <v>20</v>
      </c>
      <c r="H1789">
        <v>14</v>
      </c>
      <c r="I1789" t="str">
        <f t="shared" si="108"/>
        <v>1-mar-2014</v>
      </c>
      <c r="K1789" s="49">
        <f t="shared" si="110"/>
        <v>41699</v>
      </c>
      <c r="M1789" t="b">
        <f t="shared" si="111"/>
        <v>1</v>
      </c>
    </row>
    <row r="1790" spans="1:13" x14ac:dyDescent="0.3">
      <c r="A1790" s="49">
        <v>45261</v>
      </c>
      <c r="D1790" t="s">
        <v>7368</v>
      </c>
      <c r="E1790">
        <v>1</v>
      </c>
      <c r="F1790" t="str">
        <f t="shared" si="109"/>
        <v>mar</v>
      </c>
      <c r="G1790">
        <v>20</v>
      </c>
      <c r="H1790">
        <v>14</v>
      </c>
      <c r="I1790" t="str">
        <f t="shared" si="108"/>
        <v>1-mar-2014</v>
      </c>
      <c r="K1790" s="49">
        <f t="shared" si="110"/>
        <v>41699</v>
      </c>
      <c r="M1790" t="b">
        <f t="shared" si="111"/>
        <v>1</v>
      </c>
    </row>
    <row r="1791" spans="1:13" x14ac:dyDescent="0.3">
      <c r="A1791" s="49">
        <v>45261</v>
      </c>
      <c r="D1791" t="s">
        <v>7356</v>
      </c>
      <c r="E1791">
        <v>1</v>
      </c>
      <c r="F1791" t="str">
        <f t="shared" si="109"/>
        <v>ene</v>
      </c>
      <c r="G1791">
        <v>20</v>
      </c>
      <c r="H1791">
        <v>21</v>
      </c>
      <c r="I1791" t="str">
        <f t="shared" si="108"/>
        <v>1-ene-2021</v>
      </c>
      <c r="K1791" s="49">
        <f t="shared" si="110"/>
        <v>44197</v>
      </c>
      <c r="M1791" t="b">
        <f t="shared" si="111"/>
        <v>1</v>
      </c>
    </row>
    <row r="1792" spans="1:13" x14ac:dyDescent="0.3">
      <c r="A1792" s="49">
        <v>45261</v>
      </c>
      <c r="D1792" t="s">
        <v>7355</v>
      </c>
      <c r="E1792">
        <v>1</v>
      </c>
      <c r="F1792" t="str">
        <f t="shared" si="109"/>
        <v>sep</v>
      </c>
      <c r="G1792">
        <v>20</v>
      </c>
      <c r="H1792">
        <v>21</v>
      </c>
      <c r="I1792" t="str">
        <f t="shared" si="108"/>
        <v>1-sep-2021</v>
      </c>
      <c r="K1792" s="49">
        <f t="shared" si="110"/>
        <v>44440</v>
      </c>
      <c r="M1792" t="b">
        <f t="shared" si="111"/>
        <v>1</v>
      </c>
    </row>
    <row r="1793" spans="1:13" x14ac:dyDescent="0.3">
      <c r="A1793" s="49">
        <v>45261</v>
      </c>
      <c r="D1793" t="s">
        <v>7355</v>
      </c>
      <c r="E1793">
        <v>1</v>
      </c>
      <c r="F1793" t="str">
        <f t="shared" si="109"/>
        <v>sep</v>
      </c>
      <c r="G1793">
        <v>20</v>
      </c>
      <c r="H1793">
        <v>21</v>
      </c>
      <c r="I1793" t="str">
        <f t="shared" ref="I1793:I1856" si="112">_xlfn.CONCAT(E1793,"-",F1793,"-",G1793,H1793)</f>
        <v>1-sep-2021</v>
      </c>
      <c r="K1793" s="49">
        <f t="shared" si="110"/>
        <v>44440</v>
      </c>
      <c r="M1793" t="b">
        <f t="shared" si="111"/>
        <v>1</v>
      </c>
    </row>
    <row r="1794" spans="1:13" x14ac:dyDescent="0.3">
      <c r="A1794" s="49">
        <v>45261</v>
      </c>
      <c r="D1794" t="s">
        <v>7366</v>
      </c>
      <c r="E1794">
        <v>1</v>
      </c>
      <c r="F1794" t="str">
        <f t="shared" ref="F1794:F1857" si="113">LOWER(D1794)</f>
        <v>dic</v>
      </c>
      <c r="G1794">
        <v>20</v>
      </c>
      <c r="H1794">
        <v>21</v>
      </c>
      <c r="I1794" t="str">
        <f t="shared" si="112"/>
        <v>1-dic-2021</v>
      </c>
      <c r="K1794" s="49">
        <f t="shared" ref="K1794:K1857" si="114">DATEVALUE(I1794)</f>
        <v>44531</v>
      </c>
      <c r="M1794" t="b">
        <f t="shared" si="111"/>
        <v>1</v>
      </c>
    </row>
    <row r="1795" spans="1:13" x14ac:dyDescent="0.3">
      <c r="A1795" s="49">
        <v>45261</v>
      </c>
      <c r="D1795" t="s">
        <v>7363</v>
      </c>
      <c r="E1795">
        <v>1</v>
      </c>
      <c r="F1795" t="str">
        <f t="shared" si="113"/>
        <v>feb</v>
      </c>
      <c r="G1795">
        <v>20</v>
      </c>
      <c r="H1795">
        <v>22</v>
      </c>
      <c r="I1795" t="str">
        <f t="shared" si="112"/>
        <v>1-feb-2022</v>
      </c>
      <c r="K1795" s="49">
        <f t="shared" si="114"/>
        <v>44593</v>
      </c>
      <c r="M1795" t="b">
        <f t="shared" ref="M1795:M1858" si="115">K1795&lt;A1795</f>
        <v>1</v>
      </c>
    </row>
    <row r="1796" spans="1:13" x14ac:dyDescent="0.3">
      <c r="A1796" s="49">
        <v>45261</v>
      </c>
      <c r="D1796" t="s">
        <v>7362</v>
      </c>
      <c r="E1796">
        <v>1</v>
      </c>
      <c r="F1796" t="str">
        <f t="shared" si="113"/>
        <v>ago</v>
      </c>
      <c r="G1796">
        <v>20</v>
      </c>
      <c r="H1796">
        <v>20</v>
      </c>
      <c r="I1796" t="str">
        <f t="shared" si="112"/>
        <v>1-ago-2020</v>
      </c>
      <c r="K1796" s="49">
        <f t="shared" si="114"/>
        <v>44044</v>
      </c>
      <c r="M1796" t="b">
        <f t="shared" si="115"/>
        <v>1</v>
      </c>
    </row>
    <row r="1797" spans="1:13" x14ac:dyDescent="0.3">
      <c r="A1797" s="49">
        <v>45261</v>
      </c>
      <c r="D1797" t="s">
        <v>7355</v>
      </c>
      <c r="E1797">
        <v>1</v>
      </c>
      <c r="F1797" t="str">
        <f t="shared" si="113"/>
        <v>sep</v>
      </c>
      <c r="G1797">
        <v>20</v>
      </c>
      <c r="H1797">
        <v>22</v>
      </c>
      <c r="I1797" t="str">
        <f t="shared" si="112"/>
        <v>1-sep-2022</v>
      </c>
      <c r="K1797" s="49">
        <f t="shared" si="114"/>
        <v>44805</v>
      </c>
      <c r="M1797" t="b">
        <f t="shared" si="115"/>
        <v>1</v>
      </c>
    </row>
    <row r="1798" spans="1:13" x14ac:dyDescent="0.3">
      <c r="A1798" s="49">
        <v>45261</v>
      </c>
      <c r="D1798" t="s">
        <v>7359</v>
      </c>
      <c r="E1798">
        <v>1</v>
      </c>
      <c r="F1798" t="str">
        <f t="shared" si="113"/>
        <v>jul</v>
      </c>
      <c r="G1798">
        <v>20</v>
      </c>
      <c r="H1798">
        <v>21</v>
      </c>
      <c r="I1798" t="str">
        <f t="shared" si="112"/>
        <v>1-jul-2021</v>
      </c>
      <c r="K1798" s="49">
        <f t="shared" si="114"/>
        <v>44378</v>
      </c>
      <c r="M1798" t="b">
        <f t="shared" si="115"/>
        <v>1</v>
      </c>
    </row>
    <row r="1799" spans="1:13" x14ac:dyDescent="0.3">
      <c r="A1799" s="49">
        <v>45261</v>
      </c>
      <c r="D1799" t="s">
        <v>7368</v>
      </c>
      <c r="E1799">
        <v>1</v>
      </c>
      <c r="F1799" t="str">
        <f t="shared" si="113"/>
        <v>mar</v>
      </c>
      <c r="G1799">
        <v>20</v>
      </c>
      <c r="H1799">
        <v>21</v>
      </c>
      <c r="I1799" t="str">
        <f t="shared" si="112"/>
        <v>1-mar-2021</v>
      </c>
      <c r="K1799" s="49">
        <f t="shared" si="114"/>
        <v>44256</v>
      </c>
      <c r="M1799" t="b">
        <f t="shared" si="115"/>
        <v>1</v>
      </c>
    </row>
    <row r="1800" spans="1:13" x14ac:dyDescent="0.3">
      <c r="A1800" s="49">
        <v>45261</v>
      </c>
      <c r="D1800" t="s">
        <v>7363</v>
      </c>
      <c r="E1800">
        <v>1</v>
      </c>
      <c r="F1800" t="str">
        <f t="shared" si="113"/>
        <v>feb</v>
      </c>
      <c r="G1800">
        <v>20</v>
      </c>
      <c r="H1800">
        <v>23</v>
      </c>
      <c r="I1800" t="str">
        <f t="shared" si="112"/>
        <v>1-feb-2023</v>
      </c>
      <c r="K1800" s="49">
        <f t="shared" si="114"/>
        <v>44958</v>
      </c>
      <c r="M1800" t="b">
        <f t="shared" si="115"/>
        <v>1</v>
      </c>
    </row>
    <row r="1801" spans="1:13" x14ac:dyDescent="0.3">
      <c r="A1801" s="49">
        <v>45261</v>
      </c>
      <c r="D1801" t="s">
        <v>7363</v>
      </c>
      <c r="E1801">
        <v>1</v>
      </c>
      <c r="F1801" t="str">
        <f t="shared" si="113"/>
        <v>feb</v>
      </c>
      <c r="G1801">
        <v>20</v>
      </c>
      <c r="H1801">
        <v>23</v>
      </c>
      <c r="I1801" t="str">
        <f t="shared" si="112"/>
        <v>1-feb-2023</v>
      </c>
      <c r="K1801" s="49">
        <f t="shared" si="114"/>
        <v>44958</v>
      </c>
      <c r="M1801" t="b">
        <f t="shared" si="115"/>
        <v>1</v>
      </c>
    </row>
    <row r="1802" spans="1:13" x14ac:dyDescent="0.3">
      <c r="A1802" s="49">
        <v>45261</v>
      </c>
      <c r="D1802" t="s">
        <v>7363</v>
      </c>
      <c r="E1802">
        <v>1</v>
      </c>
      <c r="F1802" t="str">
        <f t="shared" si="113"/>
        <v>feb</v>
      </c>
      <c r="G1802">
        <v>20</v>
      </c>
      <c r="H1802">
        <v>23</v>
      </c>
      <c r="I1802" t="str">
        <f t="shared" si="112"/>
        <v>1-feb-2023</v>
      </c>
      <c r="K1802" s="49">
        <f t="shared" si="114"/>
        <v>44958</v>
      </c>
      <c r="M1802" t="b">
        <f t="shared" si="115"/>
        <v>1</v>
      </c>
    </row>
    <row r="1803" spans="1:13" x14ac:dyDescent="0.3">
      <c r="A1803" s="49">
        <v>45261</v>
      </c>
      <c r="D1803" t="s">
        <v>7368</v>
      </c>
      <c r="E1803">
        <v>1</v>
      </c>
      <c r="F1803" t="str">
        <f t="shared" si="113"/>
        <v>mar</v>
      </c>
      <c r="G1803">
        <v>20</v>
      </c>
      <c r="H1803">
        <v>21</v>
      </c>
      <c r="I1803" t="str">
        <f t="shared" si="112"/>
        <v>1-mar-2021</v>
      </c>
      <c r="K1803" s="49">
        <f t="shared" si="114"/>
        <v>44256</v>
      </c>
      <c r="M1803" t="b">
        <f t="shared" si="115"/>
        <v>1</v>
      </c>
    </row>
    <row r="1804" spans="1:13" x14ac:dyDescent="0.3">
      <c r="A1804" s="49">
        <v>45261</v>
      </c>
      <c r="D1804" t="s">
        <v>7368</v>
      </c>
      <c r="E1804">
        <v>1</v>
      </c>
      <c r="F1804" t="str">
        <f t="shared" si="113"/>
        <v>mar</v>
      </c>
      <c r="G1804">
        <v>20</v>
      </c>
      <c r="H1804">
        <v>21</v>
      </c>
      <c r="I1804" t="str">
        <f t="shared" si="112"/>
        <v>1-mar-2021</v>
      </c>
      <c r="K1804" s="49">
        <f t="shared" si="114"/>
        <v>44256</v>
      </c>
      <c r="M1804" t="b">
        <f t="shared" si="115"/>
        <v>1</v>
      </c>
    </row>
    <row r="1805" spans="1:13" x14ac:dyDescent="0.3">
      <c r="A1805" s="49">
        <v>45261</v>
      </c>
      <c r="D1805" t="s">
        <v>7356</v>
      </c>
      <c r="E1805">
        <v>1</v>
      </c>
      <c r="F1805" t="str">
        <f t="shared" si="113"/>
        <v>ene</v>
      </c>
      <c r="G1805">
        <v>20</v>
      </c>
      <c r="H1805">
        <v>20</v>
      </c>
      <c r="I1805" t="str">
        <f t="shared" si="112"/>
        <v>1-ene-2020</v>
      </c>
      <c r="K1805" s="49">
        <f t="shared" si="114"/>
        <v>43831</v>
      </c>
      <c r="M1805" t="b">
        <f t="shared" si="115"/>
        <v>1</v>
      </c>
    </row>
    <row r="1806" spans="1:13" x14ac:dyDescent="0.3">
      <c r="A1806" s="49">
        <v>45261</v>
      </c>
      <c r="D1806" t="s">
        <v>7355</v>
      </c>
      <c r="E1806">
        <v>1</v>
      </c>
      <c r="F1806" t="str">
        <f t="shared" si="113"/>
        <v>sep</v>
      </c>
      <c r="G1806">
        <v>20</v>
      </c>
      <c r="H1806">
        <v>22</v>
      </c>
      <c r="I1806" t="str">
        <f t="shared" si="112"/>
        <v>1-sep-2022</v>
      </c>
      <c r="K1806" s="49">
        <f t="shared" si="114"/>
        <v>44805</v>
      </c>
      <c r="M1806" t="b">
        <f t="shared" si="115"/>
        <v>1</v>
      </c>
    </row>
    <row r="1807" spans="1:13" x14ac:dyDescent="0.3">
      <c r="A1807" s="49">
        <v>45261</v>
      </c>
      <c r="D1807" t="s">
        <v>7370</v>
      </c>
      <c r="E1807">
        <v>1</v>
      </c>
      <c r="F1807" t="str">
        <f t="shared" si="113"/>
        <v>may</v>
      </c>
      <c r="G1807">
        <v>20</v>
      </c>
      <c r="H1807">
        <v>21</v>
      </c>
      <c r="I1807" t="str">
        <f t="shared" si="112"/>
        <v>1-may-2021</v>
      </c>
      <c r="K1807" s="49">
        <f t="shared" si="114"/>
        <v>44317</v>
      </c>
      <c r="M1807" t="b">
        <f t="shared" si="115"/>
        <v>1</v>
      </c>
    </row>
    <row r="1808" spans="1:13" x14ac:dyDescent="0.3">
      <c r="A1808" s="49">
        <v>45261</v>
      </c>
      <c r="D1808" t="s">
        <v>7362</v>
      </c>
      <c r="E1808">
        <v>1</v>
      </c>
      <c r="F1808" t="str">
        <f t="shared" si="113"/>
        <v>ago</v>
      </c>
      <c r="G1808">
        <v>20</v>
      </c>
      <c r="H1808">
        <v>20</v>
      </c>
      <c r="I1808" t="str">
        <f t="shared" si="112"/>
        <v>1-ago-2020</v>
      </c>
      <c r="K1808" s="49">
        <f t="shared" si="114"/>
        <v>44044</v>
      </c>
      <c r="M1808" t="b">
        <f t="shared" si="115"/>
        <v>1</v>
      </c>
    </row>
    <row r="1809" spans="1:13" x14ac:dyDescent="0.3">
      <c r="A1809" s="49">
        <v>45261</v>
      </c>
      <c r="D1809" t="s">
        <v>7369</v>
      </c>
      <c r="E1809">
        <v>1</v>
      </c>
      <c r="F1809" t="str">
        <f t="shared" si="113"/>
        <v>abr</v>
      </c>
      <c r="G1809">
        <v>20</v>
      </c>
      <c r="H1809">
        <v>21</v>
      </c>
      <c r="I1809" t="str">
        <f t="shared" si="112"/>
        <v>1-abr-2021</v>
      </c>
      <c r="K1809" s="49">
        <f t="shared" si="114"/>
        <v>44287</v>
      </c>
      <c r="M1809" t="b">
        <f t="shared" si="115"/>
        <v>1</v>
      </c>
    </row>
    <row r="1810" spans="1:13" x14ac:dyDescent="0.3">
      <c r="A1810" s="49">
        <v>45261</v>
      </c>
      <c r="D1810" t="s">
        <v>7356</v>
      </c>
      <c r="E1810">
        <v>1</v>
      </c>
      <c r="F1810" t="str">
        <f t="shared" si="113"/>
        <v>ene</v>
      </c>
      <c r="G1810">
        <v>20</v>
      </c>
      <c r="H1810">
        <v>22</v>
      </c>
      <c r="I1810" t="str">
        <f t="shared" si="112"/>
        <v>1-ene-2022</v>
      </c>
      <c r="K1810" s="49">
        <f t="shared" si="114"/>
        <v>44562</v>
      </c>
      <c r="M1810" t="b">
        <f t="shared" si="115"/>
        <v>1</v>
      </c>
    </row>
    <row r="1811" spans="1:13" x14ac:dyDescent="0.3">
      <c r="A1811" s="49">
        <v>45261</v>
      </c>
      <c r="D1811" t="s">
        <v>7370</v>
      </c>
      <c r="E1811">
        <v>1</v>
      </c>
      <c r="F1811" t="str">
        <f t="shared" si="113"/>
        <v>may</v>
      </c>
      <c r="G1811">
        <v>20</v>
      </c>
      <c r="H1811">
        <v>20</v>
      </c>
      <c r="I1811" t="str">
        <f t="shared" si="112"/>
        <v>1-may-2020</v>
      </c>
      <c r="K1811" s="49">
        <f t="shared" si="114"/>
        <v>43952</v>
      </c>
      <c r="M1811" t="b">
        <f t="shared" si="115"/>
        <v>1</v>
      </c>
    </row>
    <row r="1812" spans="1:13" x14ac:dyDescent="0.3">
      <c r="A1812" s="49">
        <v>45261</v>
      </c>
      <c r="D1812" t="s">
        <v>7363</v>
      </c>
      <c r="E1812">
        <v>1</v>
      </c>
      <c r="F1812" t="str">
        <f t="shared" si="113"/>
        <v>feb</v>
      </c>
      <c r="G1812">
        <v>20</v>
      </c>
      <c r="H1812">
        <v>20</v>
      </c>
      <c r="I1812" t="str">
        <f t="shared" si="112"/>
        <v>1-feb-2020</v>
      </c>
      <c r="K1812" s="49">
        <f t="shared" si="114"/>
        <v>43862</v>
      </c>
      <c r="M1812" t="b">
        <f t="shared" si="115"/>
        <v>1</v>
      </c>
    </row>
    <row r="1813" spans="1:13" x14ac:dyDescent="0.3">
      <c r="A1813" s="49">
        <v>45261</v>
      </c>
      <c r="D1813" t="s">
        <v>7367</v>
      </c>
      <c r="E1813">
        <v>1</v>
      </c>
      <c r="F1813" t="str">
        <f t="shared" si="113"/>
        <v>jun</v>
      </c>
      <c r="G1813">
        <v>20</v>
      </c>
      <c r="H1813">
        <v>20</v>
      </c>
      <c r="I1813" t="str">
        <f t="shared" si="112"/>
        <v>1-jun-2020</v>
      </c>
      <c r="K1813" s="49">
        <f t="shared" si="114"/>
        <v>43983</v>
      </c>
      <c r="M1813" t="b">
        <f t="shared" si="115"/>
        <v>1</v>
      </c>
    </row>
    <row r="1814" spans="1:13" x14ac:dyDescent="0.3">
      <c r="A1814" s="49">
        <v>45261</v>
      </c>
      <c r="D1814" t="s">
        <v>7367</v>
      </c>
      <c r="E1814">
        <v>1</v>
      </c>
      <c r="F1814" t="str">
        <f t="shared" si="113"/>
        <v>jun</v>
      </c>
      <c r="G1814">
        <v>20</v>
      </c>
      <c r="H1814">
        <v>0</v>
      </c>
      <c r="I1814" t="str">
        <f t="shared" si="112"/>
        <v>1-jun-200</v>
      </c>
      <c r="K1814" s="49" t="e">
        <f t="shared" si="114"/>
        <v>#VALUE!</v>
      </c>
      <c r="M1814" t="e">
        <f t="shared" si="115"/>
        <v>#VALUE!</v>
      </c>
    </row>
    <row r="1815" spans="1:13" x14ac:dyDescent="0.3">
      <c r="A1815" s="49">
        <v>45261</v>
      </c>
      <c r="D1815" t="s">
        <v>7359</v>
      </c>
      <c r="E1815">
        <v>1</v>
      </c>
      <c r="F1815" t="str">
        <f t="shared" si="113"/>
        <v>jul</v>
      </c>
      <c r="G1815">
        <v>20</v>
      </c>
      <c r="H1815">
        <v>21</v>
      </c>
      <c r="I1815" t="str">
        <f t="shared" si="112"/>
        <v>1-jul-2021</v>
      </c>
      <c r="K1815" s="49">
        <f t="shared" si="114"/>
        <v>44378</v>
      </c>
      <c r="M1815" t="b">
        <f t="shared" si="115"/>
        <v>1</v>
      </c>
    </row>
    <row r="1816" spans="1:13" x14ac:dyDescent="0.3">
      <c r="A1816" s="49">
        <v>45261</v>
      </c>
      <c r="D1816" t="s">
        <v>7366</v>
      </c>
      <c r="E1816">
        <v>1</v>
      </c>
      <c r="F1816" t="str">
        <f t="shared" si="113"/>
        <v>dic</v>
      </c>
      <c r="G1816">
        <v>20</v>
      </c>
      <c r="H1816">
        <v>19</v>
      </c>
      <c r="I1816" t="str">
        <f t="shared" si="112"/>
        <v>1-dic-2019</v>
      </c>
      <c r="K1816" s="49">
        <f t="shared" si="114"/>
        <v>43800</v>
      </c>
      <c r="M1816" t="b">
        <f t="shared" si="115"/>
        <v>1</v>
      </c>
    </row>
    <row r="1817" spans="1:13" x14ac:dyDescent="0.3">
      <c r="A1817" s="49">
        <v>45261</v>
      </c>
      <c r="D1817" t="s">
        <v>7363</v>
      </c>
      <c r="E1817">
        <v>1</v>
      </c>
      <c r="F1817" t="str">
        <f t="shared" si="113"/>
        <v>feb</v>
      </c>
      <c r="G1817">
        <v>20</v>
      </c>
      <c r="H1817">
        <v>20</v>
      </c>
      <c r="I1817" t="str">
        <f t="shared" si="112"/>
        <v>1-feb-2020</v>
      </c>
      <c r="K1817" s="49">
        <f t="shared" si="114"/>
        <v>43862</v>
      </c>
      <c r="M1817" t="b">
        <f t="shared" si="115"/>
        <v>1</v>
      </c>
    </row>
    <row r="1818" spans="1:13" x14ac:dyDescent="0.3">
      <c r="A1818" s="49">
        <v>45261</v>
      </c>
      <c r="D1818" t="s">
        <v>7363</v>
      </c>
      <c r="E1818">
        <v>1</v>
      </c>
      <c r="F1818" t="str">
        <f t="shared" si="113"/>
        <v>feb</v>
      </c>
      <c r="G1818">
        <v>20</v>
      </c>
      <c r="H1818">
        <v>20</v>
      </c>
      <c r="I1818" t="str">
        <f t="shared" si="112"/>
        <v>1-feb-2020</v>
      </c>
      <c r="K1818" s="49">
        <f t="shared" si="114"/>
        <v>43862</v>
      </c>
      <c r="M1818" t="b">
        <f t="shared" si="115"/>
        <v>1</v>
      </c>
    </row>
    <row r="1819" spans="1:13" x14ac:dyDescent="0.3">
      <c r="A1819" s="49">
        <v>45261</v>
      </c>
      <c r="D1819" t="s">
        <v>7366</v>
      </c>
      <c r="E1819">
        <v>1</v>
      </c>
      <c r="F1819" t="str">
        <f t="shared" si="113"/>
        <v>dic</v>
      </c>
      <c r="G1819">
        <v>20</v>
      </c>
      <c r="H1819">
        <v>19</v>
      </c>
      <c r="I1819" t="str">
        <f t="shared" si="112"/>
        <v>1-dic-2019</v>
      </c>
      <c r="K1819" s="49">
        <f t="shared" si="114"/>
        <v>43800</v>
      </c>
      <c r="M1819" t="b">
        <f t="shared" si="115"/>
        <v>1</v>
      </c>
    </row>
    <row r="1820" spans="1:13" x14ac:dyDescent="0.3">
      <c r="A1820" s="49">
        <v>45261</v>
      </c>
      <c r="D1820" t="s">
        <v>7366</v>
      </c>
      <c r="E1820">
        <v>1</v>
      </c>
      <c r="F1820" t="str">
        <f t="shared" si="113"/>
        <v>dic</v>
      </c>
      <c r="G1820">
        <v>20</v>
      </c>
      <c r="H1820">
        <v>19</v>
      </c>
      <c r="I1820" t="str">
        <f t="shared" si="112"/>
        <v>1-dic-2019</v>
      </c>
      <c r="K1820" s="49">
        <f t="shared" si="114"/>
        <v>43800</v>
      </c>
      <c r="M1820" t="b">
        <f t="shared" si="115"/>
        <v>1</v>
      </c>
    </row>
    <row r="1821" spans="1:13" x14ac:dyDescent="0.3">
      <c r="A1821" s="49">
        <v>45261</v>
      </c>
      <c r="D1821" t="s">
        <v>7366</v>
      </c>
      <c r="E1821">
        <v>1</v>
      </c>
      <c r="F1821" t="str">
        <f t="shared" si="113"/>
        <v>dic</v>
      </c>
      <c r="G1821">
        <v>20</v>
      </c>
      <c r="H1821">
        <v>19</v>
      </c>
      <c r="I1821" t="str">
        <f t="shared" si="112"/>
        <v>1-dic-2019</v>
      </c>
      <c r="K1821" s="49">
        <f t="shared" si="114"/>
        <v>43800</v>
      </c>
      <c r="M1821" t="b">
        <f t="shared" si="115"/>
        <v>1</v>
      </c>
    </row>
    <row r="1822" spans="1:13" x14ac:dyDescent="0.3">
      <c r="A1822" s="49">
        <v>45261</v>
      </c>
      <c r="D1822" t="s">
        <v>7366</v>
      </c>
      <c r="E1822">
        <v>1</v>
      </c>
      <c r="F1822" t="str">
        <f t="shared" si="113"/>
        <v>dic</v>
      </c>
      <c r="G1822">
        <v>20</v>
      </c>
      <c r="H1822">
        <v>19</v>
      </c>
      <c r="I1822" t="str">
        <f t="shared" si="112"/>
        <v>1-dic-2019</v>
      </c>
      <c r="K1822" s="49">
        <f t="shared" si="114"/>
        <v>43800</v>
      </c>
      <c r="M1822" t="b">
        <f t="shared" si="115"/>
        <v>1</v>
      </c>
    </row>
    <row r="1823" spans="1:13" x14ac:dyDescent="0.3">
      <c r="A1823" s="49">
        <v>45261</v>
      </c>
      <c r="D1823" t="s">
        <v>7370</v>
      </c>
      <c r="E1823">
        <v>1</v>
      </c>
      <c r="F1823" t="str">
        <f t="shared" si="113"/>
        <v>may</v>
      </c>
      <c r="G1823">
        <v>20</v>
      </c>
      <c r="H1823">
        <v>20</v>
      </c>
      <c r="I1823" t="str">
        <f t="shared" si="112"/>
        <v>1-may-2020</v>
      </c>
      <c r="K1823" s="49">
        <f t="shared" si="114"/>
        <v>43952</v>
      </c>
      <c r="M1823" t="b">
        <f t="shared" si="115"/>
        <v>1</v>
      </c>
    </row>
    <row r="1824" spans="1:13" x14ac:dyDescent="0.3">
      <c r="A1824" s="49">
        <v>45261</v>
      </c>
      <c r="D1824" t="s">
        <v>7370</v>
      </c>
      <c r="E1824">
        <v>1</v>
      </c>
      <c r="F1824" t="str">
        <f t="shared" si="113"/>
        <v>may</v>
      </c>
      <c r="G1824">
        <v>20</v>
      </c>
      <c r="H1824">
        <v>20</v>
      </c>
      <c r="I1824" t="str">
        <f t="shared" si="112"/>
        <v>1-may-2020</v>
      </c>
      <c r="K1824" s="49">
        <f t="shared" si="114"/>
        <v>43952</v>
      </c>
      <c r="M1824" t="b">
        <f t="shared" si="115"/>
        <v>1</v>
      </c>
    </row>
    <row r="1825" spans="1:13" x14ac:dyDescent="0.3">
      <c r="A1825" s="49">
        <v>45261</v>
      </c>
      <c r="D1825" t="s">
        <v>7366</v>
      </c>
      <c r="E1825">
        <v>1</v>
      </c>
      <c r="F1825" t="str">
        <f t="shared" si="113"/>
        <v>dic</v>
      </c>
      <c r="G1825">
        <v>20</v>
      </c>
      <c r="H1825">
        <v>21</v>
      </c>
      <c r="I1825" t="str">
        <f t="shared" si="112"/>
        <v>1-dic-2021</v>
      </c>
      <c r="K1825" s="49">
        <f t="shared" si="114"/>
        <v>44531</v>
      </c>
      <c r="M1825" t="b">
        <f t="shared" si="115"/>
        <v>1</v>
      </c>
    </row>
    <row r="1826" spans="1:13" x14ac:dyDescent="0.3">
      <c r="A1826" s="49">
        <v>45261</v>
      </c>
      <c r="D1826" t="s">
        <v>7366</v>
      </c>
      <c r="E1826">
        <v>1</v>
      </c>
      <c r="F1826" t="str">
        <f t="shared" si="113"/>
        <v>dic</v>
      </c>
      <c r="G1826">
        <v>20</v>
      </c>
      <c r="H1826">
        <v>21</v>
      </c>
      <c r="I1826" t="str">
        <f t="shared" si="112"/>
        <v>1-dic-2021</v>
      </c>
      <c r="K1826" s="49">
        <f t="shared" si="114"/>
        <v>44531</v>
      </c>
      <c r="M1826" t="b">
        <f t="shared" si="115"/>
        <v>1</v>
      </c>
    </row>
    <row r="1827" spans="1:13" x14ac:dyDescent="0.3">
      <c r="A1827" s="49">
        <v>45261</v>
      </c>
      <c r="D1827" t="s">
        <v>7368</v>
      </c>
      <c r="E1827">
        <v>1</v>
      </c>
      <c r="F1827" t="str">
        <f t="shared" si="113"/>
        <v>mar</v>
      </c>
      <c r="G1827">
        <v>20</v>
      </c>
      <c r="H1827">
        <v>22</v>
      </c>
      <c r="I1827" t="str">
        <f t="shared" si="112"/>
        <v>1-mar-2022</v>
      </c>
      <c r="K1827" s="49">
        <f t="shared" si="114"/>
        <v>44621</v>
      </c>
      <c r="M1827" t="b">
        <f t="shared" si="115"/>
        <v>1</v>
      </c>
    </row>
    <row r="1828" spans="1:13" x14ac:dyDescent="0.3">
      <c r="A1828" s="49">
        <v>45261</v>
      </c>
      <c r="D1828" t="s">
        <v>7355</v>
      </c>
      <c r="E1828">
        <v>1</v>
      </c>
      <c r="F1828" t="str">
        <f t="shared" si="113"/>
        <v>sep</v>
      </c>
      <c r="G1828">
        <v>20</v>
      </c>
      <c r="H1828">
        <v>21</v>
      </c>
      <c r="I1828" t="str">
        <f t="shared" si="112"/>
        <v>1-sep-2021</v>
      </c>
      <c r="K1828" s="49">
        <f t="shared" si="114"/>
        <v>44440</v>
      </c>
      <c r="M1828" t="b">
        <f t="shared" si="115"/>
        <v>1</v>
      </c>
    </row>
    <row r="1829" spans="1:13" x14ac:dyDescent="0.3">
      <c r="A1829" s="49">
        <v>45261</v>
      </c>
      <c r="D1829" t="s">
        <v>7370</v>
      </c>
      <c r="E1829">
        <v>1</v>
      </c>
      <c r="F1829" t="str">
        <f t="shared" si="113"/>
        <v>may</v>
      </c>
      <c r="G1829">
        <v>20</v>
      </c>
      <c r="H1829">
        <v>21</v>
      </c>
      <c r="I1829" t="str">
        <f t="shared" si="112"/>
        <v>1-may-2021</v>
      </c>
      <c r="K1829" s="49">
        <f t="shared" si="114"/>
        <v>44317</v>
      </c>
      <c r="M1829" t="b">
        <f t="shared" si="115"/>
        <v>1</v>
      </c>
    </row>
    <row r="1830" spans="1:13" x14ac:dyDescent="0.3">
      <c r="A1830" s="49">
        <v>45261</v>
      </c>
      <c r="D1830" t="s">
        <v>7360</v>
      </c>
      <c r="E1830">
        <v>1</v>
      </c>
      <c r="F1830" t="str">
        <f t="shared" si="113"/>
        <v>nov</v>
      </c>
      <c r="G1830">
        <v>20</v>
      </c>
      <c r="H1830">
        <v>23</v>
      </c>
      <c r="I1830" t="str">
        <f t="shared" si="112"/>
        <v>1-nov-2023</v>
      </c>
      <c r="K1830" s="49">
        <f t="shared" si="114"/>
        <v>45231</v>
      </c>
      <c r="M1830" t="b">
        <f t="shared" si="115"/>
        <v>1</v>
      </c>
    </row>
    <row r="1831" spans="1:13" x14ac:dyDescent="0.3">
      <c r="A1831" s="49">
        <v>45261</v>
      </c>
      <c r="D1831" t="s">
        <v>7367</v>
      </c>
      <c r="E1831">
        <v>1</v>
      </c>
      <c r="F1831" t="str">
        <f t="shared" si="113"/>
        <v>jun</v>
      </c>
      <c r="G1831">
        <v>20</v>
      </c>
      <c r="H1831">
        <v>20</v>
      </c>
      <c r="I1831" t="str">
        <f t="shared" si="112"/>
        <v>1-jun-2020</v>
      </c>
      <c r="K1831" s="49">
        <f t="shared" si="114"/>
        <v>43983</v>
      </c>
      <c r="M1831" t="b">
        <f t="shared" si="115"/>
        <v>1</v>
      </c>
    </row>
    <row r="1832" spans="1:13" x14ac:dyDescent="0.3">
      <c r="A1832" s="49">
        <v>45261</v>
      </c>
      <c r="D1832" t="s">
        <v>7362</v>
      </c>
      <c r="E1832">
        <v>1</v>
      </c>
      <c r="F1832" t="str">
        <f t="shared" si="113"/>
        <v>ago</v>
      </c>
      <c r="G1832">
        <v>20</v>
      </c>
      <c r="H1832">
        <v>20</v>
      </c>
      <c r="I1832" t="str">
        <f t="shared" si="112"/>
        <v>1-ago-2020</v>
      </c>
      <c r="K1832" s="49">
        <f t="shared" si="114"/>
        <v>44044</v>
      </c>
      <c r="M1832" t="b">
        <f t="shared" si="115"/>
        <v>1</v>
      </c>
    </row>
    <row r="1833" spans="1:13" x14ac:dyDescent="0.3">
      <c r="A1833" s="49">
        <v>45261</v>
      </c>
      <c r="D1833" t="s">
        <v>7367</v>
      </c>
      <c r="E1833">
        <v>1</v>
      </c>
      <c r="F1833" t="str">
        <f t="shared" si="113"/>
        <v>jun</v>
      </c>
      <c r="G1833">
        <v>20</v>
      </c>
      <c r="H1833">
        <v>20</v>
      </c>
      <c r="I1833" t="str">
        <f t="shared" si="112"/>
        <v>1-jun-2020</v>
      </c>
      <c r="K1833" s="49">
        <f t="shared" si="114"/>
        <v>43983</v>
      </c>
      <c r="M1833" t="b">
        <f t="shared" si="115"/>
        <v>1</v>
      </c>
    </row>
    <row r="1834" spans="1:13" x14ac:dyDescent="0.3">
      <c r="A1834" s="49">
        <v>45261</v>
      </c>
      <c r="D1834" t="s">
        <v>7367</v>
      </c>
      <c r="E1834">
        <v>1</v>
      </c>
      <c r="F1834" t="str">
        <f t="shared" si="113"/>
        <v>jun</v>
      </c>
      <c r="G1834">
        <v>20</v>
      </c>
      <c r="H1834">
        <v>20</v>
      </c>
      <c r="I1834" t="str">
        <f t="shared" si="112"/>
        <v>1-jun-2020</v>
      </c>
      <c r="K1834" s="49">
        <f t="shared" si="114"/>
        <v>43983</v>
      </c>
      <c r="M1834" t="b">
        <f t="shared" si="115"/>
        <v>1</v>
      </c>
    </row>
    <row r="1835" spans="1:13" x14ac:dyDescent="0.3">
      <c r="A1835" s="49">
        <v>45261</v>
      </c>
      <c r="D1835" t="s">
        <v>7368</v>
      </c>
      <c r="E1835">
        <v>1</v>
      </c>
      <c r="F1835" t="str">
        <f t="shared" si="113"/>
        <v>mar</v>
      </c>
      <c r="G1835">
        <v>20</v>
      </c>
      <c r="H1835">
        <v>17</v>
      </c>
      <c r="I1835" t="str">
        <f t="shared" si="112"/>
        <v>1-mar-2017</v>
      </c>
      <c r="K1835" s="49">
        <f t="shared" si="114"/>
        <v>42795</v>
      </c>
      <c r="M1835" t="b">
        <f t="shared" si="115"/>
        <v>1</v>
      </c>
    </row>
    <row r="1836" spans="1:13" x14ac:dyDescent="0.3">
      <c r="A1836" s="49">
        <v>45261</v>
      </c>
      <c r="D1836" t="s">
        <v>7363</v>
      </c>
      <c r="E1836">
        <v>1</v>
      </c>
      <c r="F1836" t="str">
        <f t="shared" si="113"/>
        <v>feb</v>
      </c>
      <c r="G1836">
        <v>20</v>
      </c>
      <c r="H1836">
        <v>21</v>
      </c>
      <c r="I1836" t="str">
        <f t="shared" si="112"/>
        <v>1-feb-2021</v>
      </c>
      <c r="K1836" s="49">
        <f t="shared" si="114"/>
        <v>44228</v>
      </c>
      <c r="M1836" t="b">
        <f t="shared" si="115"/>
        <v>1</v>
      </c>
    </row>
    <row r="1837" spans="1:13" x14ac:dyDescent="0.3">
      <c r="A1837" s="49">
        <v>45261</v>
      </c>
      <c r="D1837" t="s">
        <v>7367</v>
      </c>
      <c r="E1837">
        <v>1</v>
      </c>
      <c r="F1837" t="str">
        <f t="shared" si="113"/>
        <v>jun</v>
      </c>
      <c r="G1837">
        <v>20</v>
      </c>
      <c r="H1837">
        <v>21</v>
      </c>
      <c r="I1837" t="str">
        <f t="shared" si="112"/>
        <v>1-jun-2021</v>
      </c>
      <c r="K1837" s="49">
        <f t="shared" si="114"/>
        <v>44348</v>
      </c>
      <c r="M1837" t="b">
        <f t="shared" si="115"/>
        <v>1</v>
      </c>
    </row>
    <row r="1838" spans="1:13" x14ac:dyDescent="0.3">
      <c r="A1838" s="49">
        <v>45261</v>
      </c>
      <c r="D1838" t="s">
        <v>7397</v>
      </c>
      <c r="E1838">
        <v>1</v>
      </c>
      <c r="F1838" t="str">
        <f t="shared" si="113"/>
        <v xml:space="preserve">ago </v>
      </c>
      <c r="G1838">
        <v>20</v>
      </c>
      <c r="H1838">
        <v>21</v>
      </c>
      <c r="I1838" t="str">
        <f t="shared" si="112"/>
        <v>1-ago -2021</v>
      </c>
      <c r="K1838" s="49">
        <f t="shared" si="114"/>
        <v>44409</v>
      </c>
      <c r="M1838" t="b">
        <f t="shared" si="115"/>
        <v>1</v>
      </c>
    </row>
    <row r="1839" spans="1:13" x14ac:dyDescent="0.3">
      <c r="A1839" s="49">
        <v>45261</v>
      </c>
      <c r="D1839" t="s">
        <v>7367</v>
      </c>
      <c r="E1839">
        <v>1</v>
      </c>
      <c r="F1839" t="str">
        <f t="shared" si="113"/>
        <v>jun</v>
      </c>
      <c r="G1839">
        <v>20</v>
      </c>
      <c r="H1839">
        <v>25</v>
      </c>
      <c r="I1839" t="str">
        <f t="shared" si="112"/>
        <v>1-jun-2025</v>
      </c>
      <c r="K1839" s="49">
        <f t="shared" si="114"/>
        <v>45809</v>
      </c>
      <c r="M1839" t="b">
        <f t="shared" si="115"/>
        <v>0</v>
      </c>
    </row>
    <row r="1840" spans="1:13" x14ac:dyDescent="0.3">
      <c r="A1840" s="49">
        <v>45261</v>
      </c>
      <c r="D1840" t="s">
        <v>7366</v>
      </c>
      <c r="E1840">
        <v>1</v>
      </c>
      <c r="F1840" t="str">
        <f t="shared" si="113"/>
        <v>dic</v>
      </c>
      <c r="G1840">
        <v>20</v>
      </c>
      <c r="H1840">
        <v>19</v>
      </c>
      <c r="I1840" t="str">
        <f t="shared" si="112"/>
        <v>1-dic-2019</v>
      </c>
      <c r="K1840" s="49">
        <f t="shared" si="114"/>
        <v>43800</v>
      </c>
      <c r="M1840" t="b">
        <f t="shared" si="115"/>
        <v>1</v>
      </c>
    </row>
    <row r="1841" spans="1:13" x14ac:dyDescent="0.3">
      <c r="A1841" s="49">
        <v>45261</v>
      </c>
      <c r="D1841" t="s">
        <v>7366</v>
      </c>
      <c r="E1841">
        <v>1</v>
      </c>
      <c r="F1841" t="str">
        <f t="shared" si="113"/>
        <v>dic</v>
      </c>
      <c r="G1841">
        <v>20</v>
      </c>
      <c r="H1841">
        <v>19</v>
      </c>
      <c r="I1841" t="str">
        <f t="shared" si="112"/>
        <v>1-dic-2019</v>
      </c>
      <c r="K1841" s="49">
        <f t="shared" si="114"/>
        <v>43800</v>
      </c>
      <c r="M1841" t="b">
        <f t="shared" si="115"/>
        <v>1</v>
      </c>
    </row>
    <row r="1842" spans="1:13" x14ac:dyDescent="0.3">
      <c r="A1842" s="49">
        <v>45261</v>
      </c>
      <c r="D1842" t="s">
        <v>7369</v>
      </c>
      <c r="E1842">
        <v>1</v>
      </c>
      <c r="F1842" t="str">
        <f t="shared" si="113"/>
        <v>abr</v>
      </c>
      <c r="G1842">
        <v>20</v>
      </c>
      <c r="H1842">
        <v>20</v>
      </c>
      <c r="I1842" t="str">
        <f t="shared" si="112"/>
        <v>1-abr-2020</v>
      </c>
      <c r="K1842" s="49">
        <f t="shared" si="114"/>
        <v>43922</v>
      </c>
      <c r="M1842" t="b">
        <f t="shared" si="115"/>
        <v>1</v>
      </c>
    </row>
    <row r="1843" spans="1:13" x14ac:dyDescent="0.3">
      <c r="A1843" s="49">
        <v>45261</v>
      </c>
      <c r="D1843" t="s">
        <v>7367</v>
      </c>
      <c r="E1843">
        <v>1</v>
      </c>
      <c r="F1843" t="str">
        <f t="shared" si="113"/>
        <v>jun</v>
      </c>
      <c r="G1843">
        <v>20</v>
      </c>
      <c r="H1843">
        <v>20</v>
      </c>
      <c r="I1843" t="str">
        <f t="shared" si="112"/>
        <v>1-jun-2020</v>
      </c>
      <c r="K1843" s="49">
        <f t="shared" si="114"/>
        <v>43983</v>
      </c>
      <c r="M1843" t="b">
        <f t="shared" si="115"/>
        <v>1</v>
      </c>
    </row>
    <row r="1844" spans="1:13" x14ac:dyDescent="0.3">
      <c r="A1844" s="49">
        <v>45261</v>
      </c>
      <c r="D1844" t="s">
        <v>7367</v>
      </c>
      <c r="E1844">
        <v>1</v>
      </c>
      <c r="F1844" t="str">
        <f t="shared" si="113"/>
        <v>jun</v>
      </c>
      <c r="G1844">
        <v>20</v>
      </c>
      <c r="H1844">
        <v>20</v>
      </c>
      <c r="I1844" t="str">
        <f t="shared" si="112"/>
        <v>1-jun-2020</v>
      </c>
      <c r="K1844" s="49">
        <f t="shared" si="114"/>
        <v>43983</v>
      </c>
      <c r="M1844" t="b">
        <f t="shared" si="115"/>
        <v>1</v>
      </c>
    </row>
    <row r="1845" spans="1:13" x14ac:dyDescent="0.3">
      <c r="A1845" s="49">
        <v>45261</v>
      </c>
      <c r="D1845" t="s">
        <v>7356</v>
      </c>
      <c r="E1845">
        <v>1</v>
      </c>
      <c r="F1845" t="str">
        <f t="shared" si="113"/>
        <v>ene</v>
      </c>
      <c r="G1845">
        <v>20</v>
      </c>
      <c r="H1845">
        <v>20</v>
      </c>
      <c r="I1845" t="str">
        <f t="shared" si="112"/>
        <v>1-ene-2020</v>
      </c>
      <c r="K1845" s="49">
        <f t="shared" si="114"/>
        <v>43831</v>
      </c>
      <c r="M1845" t="b">
        <f t="shared" si="115"/>
        <v>1</v>
      </c>
    </row>
    <row r="1846" spans="1:13" x14ac:dyDescent="0.3">
      <c r="A1846" s="49">
        <v>45261</v>
      </c>
      <c r="D1846" t="s">
        <v>7369</v>
      </c>
      <c r="E1846">
        <v>1</v>
      </c>
      <c r="F1846" t="str">
        <f t="shared" si="113"/>
        <v>abr</v>
      </c>
      <c r="G1846">
        <v>20</v>
      </c>
      <c r="H1846">
        <v>23</v>
      </c>
      <c r="I1846" t="str">
        <f t="shared" si="112"/>
        <v>1-abr-2023</v>
      </c>
      <c r="K1846" s="49">
        <f t="shared" si="114"/>
        <v>45017</v>
      </c>
      <c r="M1846" t="b">
        <f t="shared" si="115"/>
        <v>1</v>
      </c>
    </row>
    <row r="1847" spans="1:13" x14ac:dyDescent="0.3">
      <c r="A1847" s="49">
        <v>45261</v>
      </c>
      <c r="D1847" t="s">
        <v>7369</v>
      </c>
      <c r="E1847">
        <v>1</v>
      </c>
      <c r="F1847" t="str">
        <f t="shared" si="113"/>
        <v>abr</v>
      </c>
      <c r="G1847">
        <v>20</v>
      </c>
      <c r="H1847">
        <v>21</v>
      </c>
      <c r="I1847" t="str">
        <f t="shared" si="112"/>
        <v>1-abr-2021</v>
      </c>
      <c r="K1847" s="49">
        <f t="shared" si="114"/>
        <v>44287</v>
      </c>
      <c r="M1847" t="b">
        <f t="shared" si="115"/>
        <v>1</v>
      </c>
    </row>
    <row r="1848" spans="1:13" x14ac:dyDescent="0.3">
      <c r="A1848" s="49">
        <v>45261</v>
      </c>
      <c r="D1848" t="s">
        <v>7369</v>
      </c>
      <c r="E1848">
        <v>1</v>
      </c>
      <c r="F1848" t="str">
        <f t="shared" si="113"/>
        <v>abr</v>
      </c>
      <c r="G1848">
        <v>20</v>
      </c>
      <c r="H1848">
        <v>21</v>
      </c>
      <c r="I1848" t="str">
        <f t="shared" si="112"/>
        <v>1-abr-2021</v>
      </c>
      <c r="K1848" s="49">
        <f t="shared" si="114"/>
        <v>44287</v>
      </c>
      <c r="M1848" t="b">
        <f t="shared" si="115"/>
        <v>1</v>
      </c>
    </row>
    <row r="1849" spans="1:13" x14ac:dyDescent="0.3">
      <c r="A1849" s="49">
        <v>45261</v>
      </c>
      <c r="D1849" t="s">
        <v>7363</v>
      </c>
      <c r="E1849">
        <v>1</v>
      </c>
      <c r="F1849" t="str">
        <f t="shared" si="113"/>
        <v>feb</v>
      </c>
      <c r="G1849">
        <v>20</v>
      </c>
      <c r="H1849">
        <v>22</v>
      </c>
      <c r="I1849" t="str">
        <f t="shared" si="112"/>
        <v>1-feb-2022</v>
      </c>
      <c r="K1849" s="49">
        <f t="shared" si="114"/>
        <v>44593</v>
      </c>
      <c r="M1849" t="b">
        <f t="shared" si="115"/>
        <v>1</v>
      </c>
    </row>
    <row r="1850" spans="1:13" x14ac:dyDescent="0.3">
      <c r="A1850" s="49">
        <v>45261</v>
      </c>
      <c r="D1850" t="s">
        <v>7359</v>
      </c>
      <c r="E1850">
        <v>1</v>
      </c>
      <c r="F1850" t="str">
        <f t="shared" si="113"/>
        <v>jul</v>
      </c>
      <c r="G1850">
        <v>20</v>
      </c>
      <c r="H1850">
        <v>21</v>
      </c>
      <c r="I1850" t="str">
        <f t="shared" si="112"/>
        <v>1-jul-2021</v>
      </c>
      <c r="K1850" s="49">
        <f t="shared" si="114"/>
        <v>44378</v>
      </c>
      <c r="M1850" t="b">
        <f t="shared" si="115"/>
        <v>1</v>
      </c>
    </row>
    <row r="1851" spans="1:13" x14ac:dyDescent="0.3">
      <c r="A1851" s="49">
        <v>45261</v>
      </c>
      <c r="D1851" t="s">
        <v>7369</v>
      </c>
      <c r="E1851">
        <v>1</v>
      </c>
      <c r="F1851" t="str">
        <f t="shared" si="113"/>
        <v>abr</v>
      </c>
      <c r="G1851">
        <v>20</v>
      </c>
      <c r="H1851">
        <v>23</v>
      </c>
      <c r="I1851" t="str">
        <f t="shared" si="112"/>
        <v>1-abr-2023</v>
      </c>
      <c r="K1851" s="49">
        <f t="shared" si="114"/>
        <v>45017</v>
      </c>
      <c r="M1851" t="b">
        <f t="shared" si="115"/>
        <v>1</v>
      </c>
    </row>
    <row r="1852" spans="1:13" x14ac:dyDescent="0.3">
      <c r="A1852" s="49">
        <v>45261</v>
      </c>
      <c r="D1852" t="s">
        <v>7355</v>
      </c>
      <c r="E1852">
        <v>1</v>
      </c>
      <c r="F1852" t="str">
        <f t="shared" si="113"/>
        <v>sep</v>
      </c>
      <c r="G1852">
        <v>20</v>
      </c>
      <c r="H1852">
        <v>22</v>
      </c>
      <c r="I1852" t="str">
        <f t="shared" si="112"/>
        <v>1-sep-2022</v>
      </c>
      <c r="K1852" s="49">
        <f t="shared" si="114"/>
        <v>44805</v>
      </c>
      <c r="M1852" t="b">
        <f t="shared" si="115"/>
        <v>1</v>
      </c>
    </row>
    <row r="1853" spans="1:13" x14ac:dyDescent="0.3">
      <c r="A1853" s="49">
        <v>45261</v>
      </c>
      <c r="D1853" t="s">
        <v>7355</v>
      </c>
      <c r="E1853">
        <v>1</v>
      </c>
      <c r="F1853" t="str">
        <f t="shared" si="113"/>
        <v>sep</v>
      </c>
      <c r="G1853">
        <v>20</v>
      </c>
      <c r="H1853">
        <v>22</v>
      </c>
      <c r="I1853" t="str">
        <f t="shared" si="112"/>
        <v>1-sep-2022</v>
      </c>
      <c r="K1853" s="49">
        <f t="shared" si="114"/>
        <v>44805</v>
      </c>
      <c r="M1853" t="b">
        <f t="shared" si="115"/>
        <v>1</v>
      </c>
    </row>
    <row r="1854" spans="1:13" x14ac:dyDescent="0.3">
      <c r="A1854" s="49">
        <v>45261</v>
      </c>
      <c r="D1854" t="s">
        <v>7355</v>
      </c>
      <c r="E1854">
        <v>1</v>
      </c>
      <c r="F1854" t="str">
        <f t="shared" si="113"/>
        <v>sep</v>
      </c>
      <c r="G1854">
        <v>20</v>
      </c>
      <c r="H1854">
        <v>21</v>
      </c>
      <c r="I1854" t="str">
        <f t="shared" si="112"/>
        <v>1-sep-2021</v>
      </c>
      <c r="K1854" s="49">
        <f t="shared" si="114"/>
        <v>44440</v>
      </c>
      <c r="M1854" t="b">
        <f t="shared" si="115"/>
        <v>1</v>
      </c>
    </row>
    <row r="1855" spans="1:13" x14ac:dyDescent="0.3">
      <c r="A1855" s="49">
        <v>45261</v>
      </c>
      <c r="D1855" t="s">
        <v>7370</v>
      </c>
      <c r="E1855">
        <v>1</v>
      </c>
      <c r="F1855" t="str">
        <f t="shared" si="113"/>
        <v>may</v>
      </c>
      <c r="G1855">
        <v>20</v>
      </c>
      <c r="H1855">
        <v>22</v>
      </c>
      <c r="I1855" t="str">
        <f t="shared" si="112"/>
        <v>1-may-2022</v>
      </c>
      <c r="K1855" s="49">
        <f t="shared" si="114"/>
        <v>44682</v>
      </c>
      <c r="M1855" t="b">
        <f t="shared" si="115"/>
        <v>1</v>
      </c>
    </row>
    <row r="1856" spans="1:13" x14ac:dyDescent="0.3">
      <c r="A1856" s="49">
        <v>45261</v>
      </c>
      <c r="D1856" t="s">
        <v>7368</v>
      </c>
      <c r="E1856">
        <v>1</v>
      </c>
      <c r="F1856" t="str">
        <f t="shared" si="113"/>
        <v>mar</v>
      </c>
      <c r="G1856">
        <v>20</v>
      </c>
      <c r="H1856">
        <v>24</v>
      </c>
      <c r="I1856" t="str">
        <f t="shared" si="112"/>
        <v>1-mar-2024</v>
      </c>
      <c r="K1856" s="49">
        <f t="shared" si="114"/>
        <v>45352</v>
      </c>
      <c r="M1856" t="b">
        <f t="shared" si="115"/>
        <v>0</v>
      </c>
    </row>
    <row r="1857" spans="1:13" x14ac:dyDescent="0.3">
      <c r="A1857" s="49">
        <v>45261</v>
      </c>
      <c r="D1857" t="s">
        <v>7356</v>
      </c>
      <c r="E1857">
        <v>1</v>
      </c>
      <c r="F1857" t="str">
        <f t="shared" si="113"/>
        <v>ene</v>
      </c>
      <c r="G1857">
        <v>20</v>
      </c>
      <c r="H1857">
        <v>23</v>
      </c>
      <c r="I1857" t="str">
        <f t="shared" ref="I1857:I1920" si="116">_xlfn.CONCAT(E1857,"-",F1857,"-",G1857,H1857)</f>
        <v>1-ene-2023</v>
      </c>
      <c r="K1857" s="49">
        <f t="shared" si="114"/>
        <v>44927</v>
      </c>
      <c r="M1857" t="b">
        <f t="shared" si="115"/>
        <v>1</v>
      </c>
    </row>
    <row r="1858" spans="1:13" x14ac:dyDescent="0.3">
      <c r="A1858" s="49">
        <v>45261</v>
      </c>
      <c r="D1858" t="s">
        <v>7357</v>
      </c>
      <c r="E1858">
        <v>1</v>
      </c>
      <c r="F1858" t="str">
        <f t="shared" ref="F1858:F1921" si="117">LOWER(D1858)</f>
        <v>oct</v>
      </c>
      <c r="G1858">
        <v>20</v>
      </c>
      <c r="H1858">
        <v>22</v>
      </c>
      <c r="I1858" t="str">
        <f t="shared" si="116"/>
        <v>1-oct-2022</v>
      </c>
      <c r="K1858" s="49">
        <f t="shared" ref="K1858:K1921" si="118">DATEVALUE(I1858)</f>
        <v>44835</v>
      </c>
      <c r="M1858" t="b">
        <f t="shared" si="115"/>
        <v>1</v>
      </c>
    </row>
    <row r="1859" spans="1:13" x14ac:dyDescent="0.3">
      <c r="A1859" s="49">
        <v>45261</v>
      </c>
      <c r="D1859" t="s">
        <v>7363</v>
      </c>
      <c r="E1859">
        <v>1</v>
      </c>
      <c r="F1859" t="str">
        <f t="shared" si="117"/>
        <v>feb</v>
      </c>
      <c r="G1859">
        <v>20</v>
      </c>
      <c r="H1859">
        <v>20</v>
      </c>
      <c r="I1859" t="str">
        <f t="shared" si="116"/>
        <v>1-feb-2020</v>
      </c>
      <c r="K1859" s="49">
        <f t="shared" si="118"/>
        <v>43862</v>
      </c>
      <c r="M1859" t="b">
        <f t="shared" ref="M1859:M1922" si="119">K1859&lt;A1859</f>
        <v>1</v>
      </c>
    </row>
    <row r="1860" spans="1:13" x14ac:dyDescent="0.3">
      <c r="A1860" s="49">
        <v>45261</v>
      </c>
      <c r="D1860" t="s">
        <v>7356</v>
      </c>
      <c r="E1860">
        <v>1</v>
      </c>
      <c r="F1860" t="str">
        <f t="shared" si="117"/>
        <v>ene</v>
      </c>
      <c r="G1860">
        <v>20</v>
      </c>
      <c r="H1860">
        <v>20</v>
      </c>
      <c r="I1860" t="str">
        <f t="shared" si="116"/>
        <v>1-ene-2020</v>
      </c>
      <c r="K1860" s="49">
        <f t="shared" si="118"/>
        <v>43831</v>
      </c>
      <c r="M1860" t="b">
        <f t="shared" si="119"/>
        <v>1</v>
      </c>
    </row>
    <row r="1861" spans="1:13" x14ac:dyDescent="0.3">
      <c r="A1861" s="49">
        <v>45261</v>
      </c>
      <c r="D1861" t="s">
        <v>7356</v>
      </c>
      <c r="E1861">
        <v>1</v>
      </c>
      <c r="F1861" t="str">
        <f t="shared" si="117"/>
        <v>ene</v>
      </c>
      <c r="G1861">
        <v>20</v>
      </c>
      <c r="H1861">
        <v>20</v>
      </c>
      <c r="I1861" t="str">
        <f t="shared" si="116"/>
        <v>1-ene-2020</v>
      </c>
      <c r="K1861" s="49">
        <f t="shared" si="118"/>
        <v>43831</v>
      </c>
      <c r="M1861" t="b">
        <f t="shared" si="119"/>
        <v>1</v>
      </c>
    </row>
    <row r="1862" spans="1:13" x14ac:dyDescent="0.3">
      <c r="A1862" s="49">
        <v>45261</v>
      </c>
      <c r="D1862" t="s">
        <v>7356</v>
      </c>
      <c r="E1862">
        <v>1</v>
      </c>
      <c r="F1862" t="str">
        <f t="shared" si="117"/>
        <v>ene</v>
      </c>
      <c r="G1862">
        <v>20</v>
      </c>
      <c r="H1862">
        <v>20</v>
      </c>
      <c r="I1862" t="str">
        <f t="shared" si="116"/>
        <v>1-ene-2020</v>
      </c>
      <c r="K1862" s="49">
        <f t="shared" si="118"/>
        <v>43831</v>
      </c>
      <c r="M1862" t="b">
        <f t="shared" si="119"/>
        <v>1</v>
      </c>
    </row>
    <row r="1863" spans="1:13" x14ac:dyDescent="0.3">
      <c r="A1863" s="49">
        <v>45261</v>
      </c>
      <c r="D1863" t="s">
        <v>7359</v>
      </c>
      <c r="E1863">
        <v>1</v>
      </c>
      <c r="F1863" t="str">
        <f t="shared" si="117"/>
        <v>jul</v>
      </c>
      <c r="G1863">
        <v>20</v>
      </c>
      <c r="H1863">
        <v>22</v>
      </c>
      <c r="I1863" t="str">
        <f t="shared" si="116"/>
        <v>1-jul-2022</v>
      </c>
      <c r="K1863" s="49">
        <f t="shared" si="118"/>
        <v>44743</v>
      </c>
      <c r="M1863" t="b">
        <f t="shared" si="119"/>
        <v>1</v>
      </c>
    </row>
    <row r="1864" spans="1:13" x14ac:dyDescent="0.3">
      <c r="A1864" s="49">
        <v>45261</v>
      </c>
      <c r="D1864" t="s">
        <v>7367</v>
      </c>
      <c r="E1864">
        <v>1</v>
      </c>
      <c r="F1864" t="str">
        <f t="shared" si="117"/>
        <v>jun</v>
      </c>
      <c r="G1864">
        <v>20</v>
      </c>
      <c r="H1864">
        <v>23</v>
      </c>
      <c r="I1864" t="str">
        <f t="shared" si="116"/>
        <v>1-jun-2023</v>
      </c>
      <c r="K1864" s="49">
        <f t="shared" si="118"/>
        <v>45078</v>
      </c>
      <c r="M1864" t="b">
        <f t="shared" si="119"/>
        <v>1</v>
      </c>
    </row>
    <row r="1865" spans="1:13" x14ac:dyDescent="0.3">
      <c r="A1865" s="49">
        <v>45261</v>
      </c>
      <c r="D1865" t="s">
        <v>7359</v>
      </c>
      <c r="E1865">
        <v>1</v>
      </c>
      <c r="F1865" t="str">
        <f t="shared" si="117"/>
        <v>jul</v>
      </c>
      <c r="G1865">
        <v>20</v>
      </c>
      <c r="H1865">
        <v>23</v>
      </c>
      <c r="I1865" t="str">
        <f t="shared" si="116"/>
        <v>1-jul-2023</v>
      </c>
      <c r="K1865" s="49">
        <f t="shared" si="118"/>
        <v>45108</v>
      </c>
      <c r="M1865" t="b">
        <f t="shared" si="119"/>
        <v>1</v>
      </c>
    </row>
    <row r="1866" spans="1:13" x14ac:dyDescent="0.3">
      <c r="A1866" s="49">
        <v>45261</v>
      </c>
      <c r="D1866" t="s">
        <v>7360</v>
      </c>
      <c r="E1866">
        <v>1</v>
      </c>
      <c r="F1866" t="str">
        <f t="shared" si="117"/>
        <v>nov</v>
      </c>
      <c r="G1866">
        <v>20</v>
      </c>
      <c r="H1866">
        <v>23</v>
      </c>
      <c r="I1866" t="str">
        <f t="shared" si="116"/>
        <v>1-nov-2023</v>
      </c>
      <c r="K1866" s="49">
        <f t="shared" si="118"/>
        <v>45231</v>
      </c>
      <c r="M1866" t="b">
        <f t="shared" si="119"/>
        <v>1</v>
      </c>
    </row>
    <row r="1867" spans="1:13" x14ac:dyDescent="0.3">
      <c r="A1867" s="49">
        <v>45261</v>
      </c>
      <c r="D1867" t="s">
        <v>7366</v>
      </c>
      <c r="E1867">
        <v>1</v>
      </c>
      <c r="F1867" t="str">
        <f t="shared" si="117"/>
        <v>dic</v>
      </c>
      <c r="G1867">
        <v>20</v>
      </c>
      <c r="H1867">
        <v>19</v>
      </c>
      <c r="I1867" t="str">
        <f t="shared" si="116"/>
        <v>1-dic-2019</v>
      </c>
      <c r="K1867" s="49">
        <f t="shared" si="118"/>
        <v>43800</v>
      </c>
      <c r="M1867" t="b">
        <f t="shared" si="119"/>
        <v>1</v>
      </c>
    </row>
    <row r="1868" spans="1:13" x14ac:dyDescent="0.3">
      <c r="A1868" s="49">
        <v>45261</v>
      </c>
      <c r="D1868" t="s">
        <v>7369</v>
      </c>
      <c r="E1868">
        <v>1</v>
      </c>
      <c r="F1868" t="str">
        <f t="shared" si="117"/>
        <v>abr</v>
      </c>
      <c r="G1868">
        <v>20</v>
      </c>
      <c r="H1868">
        <v>23</v>
      </c>
      <c r="I1868" t="str">
        <f t="shared" si="116"/>
        <v>1-abr-2023</v>
      </c>
      <c r="K1868" s="49">
        <f t="shared" si="118"/>
        <v>45017</v>
      </c>
      <c r="M1868" t="b">
        <f t="shared" si="119"/>
        <v>1</v>
      </c>
    </row>
    <row r="1869" spans="1:13" x14ac:dyDescent="0.3">
      <c r="A1869" s="49">
        <v>45261</v>
      </c>
      <c r="D1869" t="s">
        <v>7357</v>
      </c>
      <c r="E1869">
        <v>1</v>
      </c>
      <c r="F1869" t="str">
        <f t="shared" si="117"/>
        <v>oct</v>
      </c>
      <c r="G1869">
        <v>20</v>
      </c>
      <c r="H1869">
        <v>22</v>
      </c>
      <c r="I1869" t="str">
        <f t="shared" si="116"/>
        <v>1-oct-2022</v>
      </c>
      <c r="K1869" s="49">
        <f t="shared" si="118"/>
        <v>44835</v>
      </c>
      <c r="M1869" t="b">
        <f t="shared" si="119"/>
        <v>1</v>
      </c>
    </row>
    <row r="1870" spans="1:13" x14ac:dyDescent="0.3">
      <c r="A1870" s="49">
        <v>45261</v>
      </c>
      <c r="D1870" t="s">
        <v>7360</v>
      </c>
      <c r="E1870">
        <v>1</v>
      </c>
      <c r="F1870" t="str">
        <f t="shared" si="117"/>
        <v>nov</v>
      </c>
      <c r="G1870">
        <v>20</v>
      </c>
      <c r="H1870">
        <v>23</v>
      </c>
      <c r="I1870" t="str">
        <f t="shared" si="116"/>
        <v>1-nov-2023</v>
      </c>
      <c r="K1870" s="49">
        <f t="shared" si="118"/>
        <v>45231</v>
      </c>
      <c r="M1870" t="b">
        <f t="shared" si="119"/>
        <v>1</v>
      </c>
    </row>
    <row r="1871" spans="1:13" x14ac:dyDescent="0.3">
      <c r="A1871" s="49">
        <v>45261</v>
      </c>
      <c r="D1871" t="s">
        <v>7363</v>
      </c>
      <c r="E1871">
        <v>1</v>
      </c>
      <c r="F1871" t="str">
        <f t="shared" si="117"/>
        <v>feb</v>
      </c>
      <c r="G1871">
        <v>20</v>
      </c>
      <c r="H1871">
        <v>24</v>
      </c>
      <c r="I1871" t="str">
        <f t="shared" si="116"/>
        <v>1-feb-2024</v>
      </c>
      <c r="K1871" s="49">
        <f t="shared" si="118"/>
        <v>45323</v>
      </c>
      <c r="M1871" t="b">
        <f t="shared" si="119"/>
        <v>0</v>
      </c>
    </row>
    <row r="1872" spans="1:13" x14ac:dyDescent="0.3">
      <c r="A1872" s="49">
        <v>45261</v>
      </c>
      <c r="D1872" t="s">
        <v>7363</v>
      </c>
      <c r="E1872">
        <v>1</v>
      </c>
      <c r="F1872" t="str">
        <f t="shared" si="117"/>
        <v>feb</v>
      </c>
      <c r="G1872">
        <v>20</v>
      </c>
      <c r="H1872">
        <v>24</v>
      </c>
      <c r="I1872" t="str">
        <f t="shared" si="116"/>
        <v>1-feb-2024</v>
      </c>
      <c r="K1872" s="49">
        <f t="shared" si="118"/>
        <v>45323</v>
      </c>
      <c r="M1872" t="b">
        <f t="shared" si="119"/>
        <v>0</v>
      </c>
    </row>
    <row r="1873" spans="1:13" x14ac:dyDescent="0.3">
      <c r="A1873" s="49">
        <v>45261</v>
      </c>
      <c r="D1873" t="s">
        <v>7368</v>
      </c>
      <c r="E1873">
        <v>1</v>
      </c>
      <c r="F1873" t="str">
        <f t="shared" si="117"/>
        <v>mar</v>
      </c>
      <c r="G1873">
        <v>20</v>
      </c>
      <c r="H1873">
        <v>15</v>
      </c>
      <c r="I1873" t="str">
        <f t="shared" si="116"/>
        <v>1-mar-2015</v>
      </c>
      <c r="K1873" s="49">
        <f t="shared" si="118"/>
        <v>42064</v>
      </c>
      <c r="M1873" t="b">
        <f t="shared" si="119"/>
        <v>1</v>
      </c>
    </row>
    <row r="1874" spans="1:13" x14ac:dyDescent="0.3">
      <c r="A1874" s="49">
        <v>45261</v>
      </c>
      <c r="D1874" t="s">
        <v>7368</v>
      </c>
      <c r="E1874">
        <v>1</v>
      </c>
      <c r="F1874" t="str">
        <f t="shared" si="117"/>
        <v>mar</v>
      </c>
      <c r="G1874">
        <v>20</v>
      </c>
      <c r="H1874">
        <v>15</v>
      </c>
      <c r="I1874" t="str">
        <f t="shared" si="116"/>
        <v>1-mar-2015</v>
      </c>
      <c r="K1874" s="49">
        <f t="shared" si="118"/>
        <v>42064</v>
      </c>
      <c r="M1874" t="b">
        <f t="shared" si="119"/>
        <v>1</v>
      </c>
    </row>
    <row r="1875" spans="1:13" x14ac:dyDescent="0.3">
      <c r="A1875" s="49">
        <v>45261</v>
      </c>
      <c r="D1875" t="s">
        <v>7368</v>
      </c>
      <c r="E1875">
        <v>1</v>
      </c>
      <c r="F1875" t="str">
        <f t="shared" si="117"/>
        <v>mar</v>
      </c>
      <c r="G1875">
        <v>20</v>
      </c>
      <c r="H1875">
        <v>15</v>
      </c>
      <c r="I1875" t="str">
        <f t="shared" si="116"/>
        <v>1-mar-2015</v>
      </c>
      <c r="K1875" s="49">
        <f t="shared" si="118"/>
        <v>42064</v>
      </c>
      <c r="M1875" t="b">
        <f t="shared" si="119"/>
        <v>1</v>
      </c>
    </row>
    <row r="1876" spans="1:13" x14ac:dyDescent="0.3">
      <c r="A1876" s="49">
        <v>45261</v>
      </c>
      <c r="D1876" t="s">
        <v>7368</v>
      </c>
      <c r="E1876">
        <v>1</v>
      </c>
      <c r="F1876" t="str">
        <f t="shared" si="117"/>
        <v>mar</v>
      </c>
      <c r="G1876">
        <v>20</v>
      </c>
      <c r="H1876">
        <v>15</v>
      </c>
      <c r="I1876" t="str">
        <f t="shared" si="116"/>
        <v>1-mar-2015</v>
      </c>
      <c r="K1876" s="49">
        <f t="shared" si="118"/>
        <v>42064</v>
      </c>
      <c r="M1876" t="b">
        <f t="shared" si="119"/>
        <v>1</v>
      </c>
    </row>
    <row r="1877" spans="1:13" x14ac:dyDescent="0.3">
      <c r="A1877" s="49">
        <v>45261</v>
      </c>
      <c r="D1877" t="s">
        <v>7368</v>
      </c>
      <c r="E1877">
        <v>1</v>
      </c>
      <c r="F1877" t="str">
        <f t="shared" si="117"/>
        <v>mar</v>
      </c>
      <c r="G1877">
        <v>20</v>
      </c>
      <c r="H1877">
        <v>15</v>
      </c>
      <c r="I1877" t="str">
        <f t="shared" si="116"/>
        <v>1-mar-2015</v>
      </c>
      <c r="K1877" s="49">
        <f t="shared" si="118"/>
        <v>42064</v>
      </c>
      <c r="M1877" t="b">
        <f t="shared" si="119"/>
        <v>1</v>
      </c>
    </row>
    <row r="1878" spans="1:13" x14ac:dyDescent="0.3">
      <c r="A1878" s="49">
        <v>45261</v>
      </c>
      <c r="D1878" t="s">
        <v>7368</v>
      </c>
      <c r="E1878">
        <v>1</v>
      </c>
      <c r="F1878" t="str">
        <f t="shared" si="117"/>
        <v>mar</v>
      </c>
      <c r="G1878">
        <v>20</v>
      </c>
      <c r="H1878">
        <v>15</v>
      </c>
      <c r="I1878" t="str">
        <f t="shared" si="116"/>
        <v>1-mar-2015</v>
      </c>
      <c r="K1878" s="49">
        <f t="shared" si="118"/>
        <v>42064</v>
      </c>
      <c r="M1878" t="b">
        <f t="shared" si="119"/>
        <v>1</v>
      </c>
    </row>
    <row r="1879" spans="1:13" x14ac:dyDescent="0.3">
      <c r="A1879" s="49">
        <v>45261</v>
      </c>
      <c r="D1879" t="s">
        <v>7368</v>
      </c>
      <c r="E1879">
        <v>1</v>
      </c>
      <c r="F1879" t="str">
        <f t="shared" si="117"/>
        <v>mar</v>
      </c>
      <c r="G1879">
        <v>20</v>
      </c>
      <c r="H1879">
        <v>15</v>
      </c>
      <c r="I1879" t="str">
        <f t="shared" si="116"/>
        <v>1-mar-2015</v>
      </c>
      <c r="K1879" s="49">
        <f t="shared" si="118"/>
        <v>42064</v>
      </c>
      <c r="M1879" t="b">
        <f t="shared" si="119"/>
        <v>1</v>
      </c>
    </row>
    <row r="1880" spans="1:13" x14ac:dyDescent="0.3">
      <c r="A1880" s="49">
        <v>45261</v>
      </c>
      <c r="D1880" t="s">
        <v>7368</v>
      </c>
      <c r="E1880">
        <v>1</v>
      </c>
      <c r="F1880" t="str">
        <f t="shared" si="117"/>
        <v>mar</v>
      </c>
      <c r="G1880">
        <v>20</v>
      </c>
      <c r="H1880">
        <v>15</v>
      </c>
      <c r="I1880" t="str">
        <f t="shared" si="116"/>
        <v>1-mar-2015</v>
      </c>
      <c r="K1880" s="49">
        <f t="shared" si="118"/>
        <v>42064</v>
      </c>
      <c r="M1880" t="b">
        <f t="shared" si="119"/>
        <v>1</v>
      </c>
    </row>
    <row r="1881" spans="1:13" x14ac:dyDescent="0.3">
      <c r="A1881" s="49">
        <v>45261</v>
      </c>
      <c r="D1881" t="s">
        <v>7368</v>
      </c>
      <c r="E1881">
        <v>1</v>
      </c>
      <c r="F1881" t="str">
        <f t="shared" si="117"/>
        <v>mar</v>
      </c>
      <c r="G1881">
        <v>20</v>
      </c>
      <c r="H1881">
        <v>15</v>
      </c>
      <c r="I1881" t="str">
        <f t="shared" si="116"/>
        <v>1-mar-2015</v>
      </c>
      <c r="K1881" s="49">
        <f t="shared" si="118"/>
        <v>42064</v>
      </c>
      <c r="M1881" t="b">
        <f t="shared" si="119"/>
        <v>1</v>
      </c>
    </row>
    <row r="1882" spans="1:13" x14ac:dyDescent="0.3">
      <c r="A1882" s="49">
        <v>45261</v>
      </c>
      <c r="D1882" t="s">
        <v>7363</v>
      </c>
      <c r="E1882">
        <v>1</v>
      </c>
      <c r="F1882" t="str">
        <f t="shared" si="117"/>
        <v>feb</v>
      </c>
      <c r="G1882">
        <v>20</v>
      </c>
      <c r="H1882">
        <v>17</v>
      </c>
      <c r="I1882" t="str">
        <f t="shared" si="116"/>
        <v>1-feb-2017</v>
      </c>
      <c r="K1882" s="49">
        <f t="shared" si="118"/>
        <v>42767</v>
      </c>
      <c r="M1882" t="b">
        <f t="shared" si="119"/>
        <v>1</v>
      </c>
    </row>
    <row r="1883" spans="1:13" x14ac:dyDescent="0.3">
      <c r="A1883" s="49">
        <v>45261</v>
      </c>
      <c r="D1883" t="s">
        <v>7363</v>
      </c>
      <c r="E1883">
        <v>1</v>
      </c>
      <c r="F1883" t="str">
        <f t="shared" si="117"/>
        <v>feb</v>
      </c>
      <c r="G1883">
        <v>20</v>
      </c>
      <c r="H1883">
        <v>17</v>
      </c>
      <c r="I1883" t="str">
        <f t="shared" si="116"/>
        <v>1-feb-2017</v>
      </c>
      <c r="K1883" s="49">
        <f t="shared" si="118"/>
        <v>42767</v>
      </c>
      <c r="M1883" t="b">
        <f t="shared" si="119"/>
        <v>1</v>
      </c>
    </row>
    <row r="1884" spans="1:13" x14ac:dyDescent="0.3">
      <c r="A1884" s="49">
        <v>45261</v>
      </c>
      <c r="D1884" t="s">
        <v>7363</v>
      </c>
      <c r="E1884">
        <v>1</v>
      </c>
      <c r="F1884" t="str">
        <f t="shared" si="117"/>
        <v>feb</v>
      </c>
      <c r="G1884">
        <v>20</v>
      </c>
      <c r="H1884">
        <v>17</v>
      </c>
      <c r="I1884" t="str">
        <f t="shared" si="116"/>
        <v>1-feb-2017</v>
      </c>
      <c r="K1884" s="49">
        <f t="shared" si="118"/>
        <v>42767</v>
      </c>
      <c r="M1884" t="b">
        <f t="shared" si="119"/>
        <v>1</v>
      </c>
    </row>
    <row r="1885" spans="1:13" x14ac:dyDescent="0.3">
      <c r="A1885" s="49">
        <v>45261</v>
      </c>
      <c r="D1885" t="s">
        <v>7367</v>
      </c>
      <c r="E1885">
        <v>1</v>
      </c>
      <c r="F1885" t="str">
        <f t="shared" si="117"/>
        <v>jun</v>
      </c>
      <c r="G1885">
        <v>20</v>
      </c>
      <c r="H1885">
        <v>22</v>
      </c>
      <c r="I1885" t="str">
        <f t="shared" si="116"/>
        <v>1-jun-2022</v>
      </c>
      <c r="K1885" s="49">
        <f t="shared" si="118"/>
        <v>44713</v>
      </c>
      <c r="M1885" t="b">
        <f t="shared" si="119"/>
        <v>1</v>
      </c>
    </row>
    <row r="1886" spans="1:13" x14ac:dyDescent="0.3">
      <c r="A1886" s="49">
        <v>45261</v>
      </c>
      <c r="D1886" t="s">
        <v>7360</v>
      </c>
      <c r="E1886">
        <v>1</v>
      </c>
      <c r="F1886" t="str">
        <f t="shared" si="117"/>
        <v>nov</v>
      </c>
      <c r="G1886">
        <v>20</v>
      </c>
      <c r="H1886">
        <v>24</v>
      </c>
      <c r="I1886" t="str">
        <f t="shared" si="116"/>
        <v>1-nov-2024</v>
      </c>
      <c r="K1886" s="49">
        <f t="shared" si="118"/>
        <v>45597</v>
      </c>
      <c r="M1886" t="b">
        <f t="shared" si="119"/>
        <v>0</v>
      </c>
    </row>
    <row r="1887" spans="1:13" x14ac:dyDescent="0.3">
      <c r="A1887" s="49">
        <v>45261</v>
      </c>
      <c r="D1887" t="s">
        <v>7370</v>
      </c>
      <c r="E1887">
        <v>1</v>
      </c>
      <c r="F1887" t="str">
        <f t="shared" si="117"/>
        <v>may</v>
      </c>
      <c r="G1887">
        <v>20</v>
      </c>
      <c r="H1887">
        <v>16</v>
      </c>
      <c r="I1887" t="str">
        <f t="shared" si="116"/>
        <v>1-may-2016</v>
      </c>
      <c r="K1887" s="49">
        <f t="shared" si="118"/>
        <v>42491</v>
      </c>
      <c r="M1887" t="b">
        <f t="shared" si="119"/>
        <v>1</v>
      </c>
    </row>
    <row r="1888" spans="1:13" x14ac:dyDescent="0.3">
      <c r="A1888" s="49">
        <v>45261</v>
      </c>
      <c r="D1888" t="s">
        <v>7368</v>
      </c>
      <c r="E1888">
        <v>1</v>
      </c>
      <c r="F1888" t="str">
        <f t="shared" si="117"/>
        <v>mar</v>
      </c>
      <c r="G1888">
        <v>20</v>
      </c>
      <c r="H1888">
        <v>20</v>
      </c>
      <c r="I1888" t="str">
        <f t="shared" si="116"/>
        <v>1-mar-2020</v>
      </c>
      <c r="K1888" s="49">
        <f t="shared" si="118"/>
        <v>43891</v>
      </c>
      <c r="M1888" t="b">
        <f t="shared" si="119"/>
        <v>1</v>
      </c>
    </row>
    <row r="1889" spans="1:13" x14ac:dyDescent="0.3">
      <c r="A1889" s="49">
        <v>45261</v>
      </c>
      <c r="D1889" t="s">
        <v>7357</v>
      </c>
      <c r="E1889">
        <v>1</v>
      </c>
      <c r="F1889" t="str">
        <f t="shared" si="117"/>
        <v>oct</v>
      </c>
      <c r="G1889">
        <v>20</v>
      </c>
      <c r="H1889">
        <v>23</v>
      </c>
      <c r="I1889" t="str">
        <f t="shared" si="116"/>
        <v>1-oct-2023</v>
      </c>
      <c r="K1889" s="49">
        <f t="shared" si="118"/>
        <v>45200</v>
      </c>
      <c r="M1889" t="b">
        <f t="shared" si="119"/>
        <v>1</v>
      </c>
    </row>
    <row r="1890" spans="1:13" x14ac:dyDescent="0.3">
      <c r="A1890" s="49">
        <v>45261</v>
      </c>
      <c r="D1890" t="s">
        <v>7368</v>
      </c>
      <c r="E1890">
        <v>1</v>
      </c>
      <c r="F1890" t="str">
        <f t="shared" si="117"/>
        <v>mar</v>
      </c>
      <c r="G1890">
        <v>20</v>
      </c>
      <c r="H1890">
        <v>20</v>
      </c>
      <c r="I1890" t="str">
        <f t="shared" si="116"/>
        <v>1-mar-2020</v>
      </c>
      <c r="K1890" s="49">
        <f t="shared" si="118"/>
        <v>43891</v>
      </c>
      <c r="M1890" t="b">
        <f t="shared" si="119"/>
        <v>1</v>
      </c>
    </row>
    <row r="1891" spans="1:13" x14ac:dyDescent="0.3">
      <c r="A1891" s="49">
        <v>45261</v>
      </c>
      <c r="D1891" t="s">
        <v>7369</v>
      </c>
      <c r="E1891">
        <v>1</v>
      </c>
      <c r="F1891" t="str">
        <f t="shared" si="117"/>
        <v>abr</v>
      </c>
      <c r="G1891">
        <v>20</v>
      </c>
      <c r="H1891">
        <v>22</v>
      </c>
      <c r="I1891" t="str">
        <f t="shared" si="116"/>
        <v>1-abr-2022</v>
      </c>
      <c r="K1891" s="49">
        <f t="shared" si="118"/>
        <v>44652</v>
      </c>
      <c r="M1891" t="b">
        <f t="shared" si="119"/>
        <v>1</v>
      </c>
    </row>
    <row r="1892" spans="1:13" x14ac:dyDescent="0.3">
      <c r="A1892" s="49">
        <v>45261</v>
      </c>
      <c r="D1892" t="s">
        <v>7355</v>
      </c>
      <c r="E1892">
        <v>1</v>
      </c>
      <c r="F1892" t="str">
        <f t="shared" si="117"/>
        <v>sep</v>
      </c>
      <c r="G1892">
        <v>20</v>
      </c>
      <c r="H1892">
        <v>20</v>
      </c>
      <c r="I1892" t="str">
        <f t="shared" si="116"/>
        <v>1-sep-2020</v>
      </c>
      <c r="K1892" s="49">
        <f t="shared" si="118"/>
        <v>44075</v>
      </c>
      <c r="M1892" t="b">
        <f t="shared" si="119"/>
        <v>1</v>
      </c>
    </row>
    <row r="1893" spans="1:13" x14ac:dyDescent="0.3">
      <c r="A1893" s="49">
        <v>45261</v>
      </c>
      <c r="D1893" t="s">
        <v>7357</v>
      </c>
      <c r="E1893">
        <v>1</v>
      </c>
      <c r="F1893" t="str">
        <f t="shared" si="117"/>
        <v>oct</v>
      </c>
      <c r="G1893">
        <v>20</v>
      </c>
      <c r="H1893">
        <v>19</v>
      </c>
      <c r="I1893" t="str">
        <f t="shared" si="116"/>
        <v>1-oct-2019</v>
      </c>
      <c r="K1893" s="49">
        <f t="shared" si="118"/>
        <v>43739</v>
      </c>
      <c r="M1893" t="b">
        <f t="shared" si="119"/>
        <v>1</v>
      </c>
    </row>
    <row r="1894" spans="1:13" x14ac:dyDescent="0.3">
      <c r="A1894" s="49">
        <v>45261</v>
      </c>
      <c r="D1894" t="s">
        <v>7357</v>
      </c>
      <c r="E1894">
        <v>1</v>
      </c>
      <c r="F1894" t="str">
        <f t="shared" si="117"/>
        <v>oct</v>
      </c>
      <c r="G1894">
        <v>20</v>
      </c>
      <c r="H1894">
        <v>23</v>
      </c>
      <c r="I1894" t="str">
        <f t="shared" si="116"/>
        <v>1-oct-2023</v>
      </c>
      <c r="K1894" s="49">
        <f t="shared" si="118"/>
        <v>45200</v>
      </c>
      <c r="M1894" t="b">
        <f t="shared" si="119"/>
        <v>1</v>
      </c>
    </row>
    <row r="1895" spans="1:13" x14ac:dyDescent="0.3">
      <c r="A1895" s="49">
        <v>45261</v>
      </c>
      <c r="D1895" t="s">
        <v>7367</v>
      </c>
      <c r="E1895">
        <v>1</v>
      </c>
      <c r="F1895" t="str">
        <f t="shared" si="117"/>
        <v>jun</v>
      </c>
      <c r="G1895">
        <v>20</v>
      </c>
      <c r="H1895">
        <v>23</v>
      </c>
      <c r="I1895" t="str">
        <f t="shared" si="116"/>
        <v>1-jun-2023</v>
      </c>
      <c r="K1895" s="49">
        <f t="shared" si="118"/>
        <v>45078</v>
      </c>
      <c r="M1895" t="b">
        <f t="shared" si="119"/>
        <v>1</v>
      </c>
    </row>
    <row r="1896" spans="1:13" x14ac:dyDescent="0.3">
      <c r="A1896" s="49">
        <v>45261</v>
      </c>
      <c r="D1896" t="s">
        <v>7369</v>
      </c>
      <c r="E1896">
        <v>1</v>
      </c>
      <c r="F1896" t="str">
        <f t="shared" si="117"/>
        <v>abr</v>
      </c>
      <c r="G1896">
        <v>20</v>
      </c>
      <c r="H1896">
        <v>23</v>
      </c>
      <c r="I1896" t="str">
        <f t="shared" si="116"/>
        <v>1-abr-2023</v>
      </c>
      <c r="K1896" s="49">
        <f t="shared" si="118"/>
        <v>45017</v>
      </c>
      <c r="M1896" t="b">
        <f t="shared" si="119"/>
        <v>1</v>
      </c>
    </row>
    <row r="1897" spans="1:13" x14ac:dyDescent="0.3">
      <c r="A1897" s="49">
        <v>45261</v>
      </c>
      <c r="D1897" t="s">
        <v>7369</v>
      </c>
      <c r="E1897">
        <v>1</v>
      </c>
      <c r="F1897" t="str">
        <f t="shared" si="117"/>
        <v>abr</v>
      </c>
      <c r="G1897">
        <v>20</v>
      </c>
      <c r="H1897">
        <v>24</v>
      </c>
      <c r="I1897" t="str">
        <f t="shared" si="116"/>
        <v>1-abr-2024</v>
      </c>
      <c r="K1897" s="49">
        <f t="shared" si="118"/>
        <v>45383</v>
      </c>
      <c r="M1897" t="b">
        <f t="shared" si="119"/>
        <v>0</v>
      </c>
    </row>
    <row r="1898" spans="1:13" x14ac:dyDescent="0.3">
      <c r="A1898" s="49">
        <v>45261</v>
      </c>
      <c r="D1898" t="s">
        <v>7363</v>
      </c>
      <c r="E1898">
        <v>1</v>
      </c>
      <c r="F1898" t="str">
        <f t="shared" si="117"/>
        <v>feb</v>
      </c>
      <c r="G1898">
        <v>20</v>
      </c>
      <c r="H1898">
        <v>23</v>
      </c>
      <c r="I1898" t="str">
        <f t="shared" si="116"/>
        <v>1-feb-2023</v>
      </c>
      <c r="K1898" s="49">
        <f t="shared" si="118"/>
        <v>44958</v>
      </c>
      <c r="M1898" t="b">
        <f t="shared" si="119"/>
        <v>1</v>
      </c>
    </row>
    <row r="1899" spans="1:13" x14ac:dyDescent="0.3">
      <c r="A1899" s="49">
        <v>45261</v>
      </c>
      <c r="D1899" t="s">
        <v>7363</v>
      </c>
      <c r="E1899">
        <v>1</v>
      </c>
      <c r="F1899" t="str">
        <f t="shared" si="117"/>
        <v>feb</v>
      </c>
      <c r="G1899">
        <v>20</v>
      </c>
      <c r="H1899">
        <v>17</v>
      </c>
      <c r="I1899" t="str">
        <f t="shared" si="116"/>
        <v>1-feb-2017</v>
      </c>
      <c r="K1899" s="49">
        <f t="shared" si="118"/>
        <v>42767</v>
      </c>
      <c r="M1899" t="b">
        <f t="shared" si="119"/>
        <v>1</v>
      </c>
    </row>
    <row r="1900" spans="1:13" x14ac:dyDescent="0.3">
      <c r="A1900" s="49">
        <v>45261</v>
      </c>
      <c r="D1900" t="s">
        <v>7355</v>
      </c>
      <c r="E1900">
        <v>1</v>
      </c>
      <c r="F1900" t="str">
        <f t="shared" si="117"/>
        <v>sep</v>
      </c>
      <c r="G1900">
        <v>20</v>
      </c>
      <c r="H1900">
        <v>21</v>
      </c>
      <c r="I1900" t="str">
        <f t="shared" si="116"/>
        <v>1-sep-2021</v>
      </c>
      <c r="K1900" s="49">
        <f t="shared" si="118"/>
        <v>44440</v>
      </c>
      <c r="M1900" t="b">
        <f t="shared" si="119"/>
        <v>1</v>
      </c>
    </row>
    <row r="1901" spans="1:13" x14ac:dyDescent="0.3">
      <c r="A1901" s="49">
        <v>45261</v>
      </c>
      <c r="D1901" t="s">
        <v>7368</v>
      </c>
      <c r="E1901">
        <v>1</v>
      </c>
      <c r="F1901" t="str">
        <f t="shared" si="117"/>
        <v>mar</v>
      </c>
      <c r="G1901">
        <v>20</v>
      </c>
      <c r="H1901">
        <v>22</v>
      </c>
      <c r="I1901" t="str">
        <f t="shared" si="116"/>
        <v>1-mar-2022</v>
      </c>
      <c r="K1901" s="49">
        <f t="shared" si="118"/>
        <v>44621</v>
      </c>
      <c r="M1901" t="b">
        <f t="shared" si="119"/>
        <v>1</v>
      </c>
    </row>
    <row r="1902" spans="1:13" x14ac:dyDescent="0.3">
      <c r="A1902" s="49">
        <v>45261</v>
      </c>
      <c r="D1902" t="s">
        <v>7370</v>
      </c>
      <c r="E1902">
        <v>1</v>
      </c>
      <c r="F1902" t="str">
        <f t="shared" si="117"/>
        <v>may</v>
      </c>
      <c r="G1902">
        <v>20</v>
      </c>
      <c r="H1902">
        <v>21</v>
      </c>
      <c r="I1902" t="str">
        <f t="shared" si="116"/>
        <v>1-may-2021</v>
      </c>
      <c r="K1902" s="49">
        <f t="shared" si="118"/>
        <v>44317</v>
      </c>
      <c r="M1902" t="b">
        <f t="shared" si="119"/>
        <v>1</v>
      </c>
    </row>
    <row r="1903" spans="1:13" x14ac:dyDescent="0.3">
      <c r="A1903" s="49">
        <v>45261</v>
      </c>
      <c r="D1903" t="s">
        <v>7363</v>
      </c>
      <c r="E1903">
        <v>1</v>
      </c>
      <c r="F1903" t="str">
        <f t="shared" si="117"/>
        <v>feb</v>
      </c>
      <c r="G1903">
        <v>20</v>
      </c>
      <c r="H1903">
        <v>18</v>
      </c>
      <c r="I1903" t="str">
        <f t="shared" si="116"/>
        <v>1-feb-2018</v>
      </c>
      <c r="K1903" s="49">
        <f t="shared" si="118"/>
        <v>43132</v>
      </c>
      <c r="M1903" t="b">
        <f t="shared" si="119"/>
        <v>1</v>
      </c>
    </row>
    <row r="1904" spans="1:13" x14ac:dyDescent="0.3">
      <c r="A1904" s="49">
        <v>45261</v>
      </c>
      <c r="D1904" t="s">
        <v>7366</v>
      </c>
      <c r="E1904">
        <v>1</v>
      </c>
      <c r="F1904" t="str">
        <f t="shared" si="117"/>
        <v>dic</v>
      </c>
      <c r="G1904">
        <v>20</v>
      </c>
      <c r="H1904">
        <v>19</v>
      </c>
      <c r="I1904" t="str">
        <f t="shared" si="116"/>
        <v>1-dic-2019</v>
      </c>
      <c r="K1904" s="49">
        <f t="shared" si="118"/>
        <v>43800</v>
      </c>
      <c r="M1904" t="b">
        <f t="shared" si="119"/>
        <v>1</v>
      </c>
    </row>
    <row r="1905" spans="1:13" x14ac:dyDescent="0.3">
      <c r="A1905" s="49">
        <v>45261</v>
      </c>
      <c r="D1905" t="s">
        <v>7355</v>
      </c>
      <c r="E1905">
        <v>1</v>
      </c>
      <c r="F1905" t="str">
        <f t="shared" si="117"/>
        <v>sep</v>
      </c>
      <c r="G1905">
        <v>20</v>
      </c>
      <c r="H1905">
        <v>21</v>
      </c>
      <c r="I1905" t="str">
        <f t="shared" si="116"/>
        <v>1-sep-2021</v>
      </c>
      <c r="K1905" s="49">
        <f t="shared" si="118"/>
        <v>44440</v>
      </c>
      <c r="M1905" t="b">
        <f t="shared" si="119"/>
        <v>1</v>
      </c>
    </row>
    <row r="1906" spans="1:13" x14ac:dyDescent="0.3">
      <c r="A1906" s="49">
        <v>45261</v>
      </c>
      <c r="D1906" t="s">
        <v>7362</v>
      </c>
      <c r="E1906">
        <v>1</v>
      </c>
      <c r="F1906" t="str">
        <f t="shared" si="117"/>
        <v>ago</v>
      </c>
      <c r="G1906">
        <v>20</v>
      </c>
      <c r="H1906">
        <v>20</v>
      </c>
      <c r="I1906" t="str">
        <f t="shared" si="116"/>
        <v>1-ago-2020</v>
      </c>
      <c r="K1906" s="49">
        <f t="shared" si="118"/>
        <v>44044</v>
      </c>
      <c r="M1906" t="b">
        <f t="shared" si="119"/>
        <v>1</v>
      </c>
    </row>
    <row r="1907" spans="1:13" x14ac:dyDescent="0.3">
      <c r="A1907" s="49">
        <v>45261</v>
      </c>
      <c r="D1907" t="s">
        <v>7362</v>
      </c>
      <c r="E1907">
        <v>1</v>
      </c>
      <c r="F1907" t="str">
        <f t="shared" si="117"/>
        <v>ago</v>
      </c>
      <c r="G1907">
        <v>20</v>
      </c>
      <c r="H1907">
        <v>22</v>
      </c>
      <c r="I1907" t="str">
        <f t="shared" si="116"/>
        <v>1-ago-2022</v>
      </c>
      <c r="K1907" s="49">
        <f t="shared" si="118"/>
        <v>44774</v>
      </c>
      <c r="M1907" t="b">
        <f t="shared" si="119"/>
        <v>1</v>
      </c>
    </row>
    <row r="1908" spans="1:13" x14ac:dyDescent="0.3">
      <c r="A1908" s="49">
        <v>45261</v>
      </c>
      <c r="D1908" t="s">
        <v>7369</v>
      </c>
      <c r="E1908">
        <v>1</v>
      </c>
      <c r="F1908" t="str">
        <f t="shared" si="117"/>
        <v>abr</v>
      </c>
      <c r="G1908">
        <v>20</v>
      </c>
      <c r="H1908">
        <v>23</v>
      </c>
      <c r="I1908" t="str">
        <f t="shared" si="116"/>
        <v>1-abr-2023</v>
      </c>
      <c r="K1908" s="49">
        <f t="shared" si="118"/>
        <v>45017</v>
      </c>
      <c r="M1908" t="b">
        <f t="shared" si="119"/>
        <v>1</v>
      </c>
    </row>
    <row r="1909" spans="1:13" x14ac:dyDescent="0.3">
      <c r="A1909" s="49">
        <v>45261</v>
      </c>
      <c r="D1909" t="s">
        <v>7362</v>
      </c>
      <c r="E1909">
        <v>1</v>
      </c>
      <c r="F1909" t="str">
        <f t="shared" si="117"/>
        <v>ago</v>
      </c>
      <c r="G1909">
        <v>20</v>
      </c>
      <c r="H1909">
        <v>23</v>
      </c>
      <c r="I1909" t="str">
        <f t="shared" si="116"/>
        <v>1-ago-2023</v>
      </c>
      <c r="K1909" s="49">
        <f t="shared" si="118"/>
        <v>45139</v>
      </c>
      <c r="M1909" t="b">
        <f t="shared" si="119"/>
        <v>1</v>
      </c>
    </row>
    <row r="1910" spans="1:13" x14ac:dyDescent="0.3">
      <c r="A1910" s="49">
        <v>45261</v>
      </c>
      <c r="D1910" t="s">
        <v>7355</v>
      </c>
      <c r="E1910">
        <v>1</v>
      </c>
      <c r="F1910" t="str">
        <f t="shared" si="117"/>
        <v>sep</v>
      </c>
      <c r="G1910">
        <v>20</v>
      </c>
      <c r="H1910">
        <v>24</v>
      </c>
      <c r="I1910" t="str">
        <f t="shared" si="116"/>
        <v>1-sep-2024</v>
      </c>
      <c r="K1910" s="49">
        <f t="shared" si="118"/>
        <v>45536</v>
      </c>
      <c r="M1910" t="b">
        <f t="shared" si="119"/>
        <v>0</v>
      </c>
    </row>
    <row r="1911" spans="1:13" x14ac:dyDescent="0.3">
      <c r="A1911" s="49">
        <v>45261</v>
      </c>
      <c r="D1911" t="s">
        <v>7363</v>
      </c>
      <c r="E1911">
        <v>1</v>
      </c>
      <c r="F1911" t="str">
        <f t="shared" si="117"/>
        <v>feb</v>
      </c>
      <c r="G1911">
        <v>20</v>
      </c>
      <c r="H1911">
        <v>23</v>
      </c>
      <c r="I1911" t="str">
        <f t="shared" si="116"/>
        <v>1-feb-2023</v>
      </c>
      <c r="K1911" s="49">
        <f t="shared" si="118"/>
        <v>44958</v>
      </c>
      <c r="M1911" t="b">
        <f t="shared" si="119"/>
        <v>1</v>
      </c>
    </row>
    <row r="1912" spans="1:13" x14ac:dyDescent="0.3">
      <c r="A1912" s="49">
        <v>45261</v>
      </c>
      <c r="D1912" t="s">
        <v>7360</v>
      </c>
      <c r="E1912">
        <v>1</v>
      </c>
      <c r="F1912" t="str">
        <f t="shared" si="117"/>
        <v>nov</v>
      </c>
      <c r="G1912">
        <v>20</v>
      </c>
      <c r="H1912">
        <v>19</v>
      </c>
      <c r="I1912" t="str">
        <f t="shared" si="116"/>
        <v>1-nov-2019</v>
      </c>
      <c r="K1912" s="49">
        <f t="shared" si="118"/>
        <v>43770</v>
      </c>
      <c r="M1912" t="b">
        <f t="shared" si="119"/>
        <v>1</v>
      </c>
    </row>
    <row r="1913" spans="1:13" x14ac:dyDescent="0.3">
      <c r="A1913" s="49">
        <v>45261</v>
      </c>
      <c r="D1913" t="s">
        <v>7357</v>
      </c>
      <c r="E1913">
        <v>1</v>
      </c>
      <c r="F1913" t="str">
        <f t="shared" si="117"/>
        <v>oct</v>
      </c>
      <c r="G1913">
        <v>20</v>
      </c>
      <c r="H1913">
        <v>22</v>
      </c>
      <c r="I1913" t="str">
        <f t="shared" si="116"/>
        <v>1-oct-2022</v>
      </c>
      <c r="K1913" s="49">
        <f t="shared" si="118"/>
        <v>44835</v>
      </c>
      <c r="M1913" t="b">
        <f t="shared" si="119"/>
        <v>1</v>
      </c>
    </row>
    <row r="1914" spans="1:13" x14ac:dyDescent="0.3">
      <c r="A1914" s="49">
        <v>45261</v>
      </c>
      <c r="D1914" t="s">
        <v>7357</v>
      </c>
      <c r="E1914">
        <v>1</v>
      </c>
      <c r="F1914" t="str">
        <f t="shared" si="117"/>
        <v>oct</v>
      </c>
      <c r="G1914">
        <v>20</v>
      </c>
      <c r="H1914">
        <v>21</v>
      </c>
      <c r="I1914" t="str">
        <f t="shared" si="116"/>
        <v>1-oct-2021</v>
      </c>
      <c r="K1914" s="49">
        <f t="shared" si="118"/>
        <v>44470</v>
      </c>
      <c r="M1914" t="b">
        <f t="shared" si="119"/>
        <v>1</v>
      </c>
    </row>
    <row r="1915" spans="1:13" x14ac:dyDescent="0.3">
      <c r="A1915" s="49">
        <v>45261</v>
      </c>
      <c r="D1915" t="s">
        <v>7363</v>
      </c>
      <c r="E1915">
        <v>1</v>
      </c>
      <c r="F1915" t="str">
        <f t="shared" si="117"/>
        <v>feb</v>
      </c>
      <c r="G1915">
        <v>20</v>
      </c>
      <c r="H1915">
        <v>23</v>
      </c>
      <c r="I1915" t="str">
        <f t="shared" si="116"/>
        <v>1-feb-2023</v>
      </c>
      <c r="K1915" s="49">
        <f t="shared" si="118"/>
        <v>44958</v>
      </c>
      <c r="M1915" t="b">
        <f t="shared" si="119"/>
        <v>1</v>
      </c>
    </row>
    <row r="1916" spans="1:13" x14ac:dyDescent="0.3">
      <c r="A1916" s="49">
        <v>45261</v>
      </c>
      <c r="D1916" t="s">
        <v>7367</v>
      </c>
      <c r="E1916">
        <v>1</v>
      </c>
      <c r="F1916" t="str">
        <f t="shared" si="117"/>
        <v>jun</v>
      </c>
      <c r="G1916">
        <v>20</v>
      </c>
      <c r="H1916">
        <v>23</v>
      </c>
      <c r="I1916" t="str">
        <f t="shared" si="116"/>
        <v>1-jun-2023</v>
      </c>
      <c r="K1916" s="49">
        <f t="shared" si="118"/>
        <v>45078</v>
      </c>
      <c r="M1916" t="b">
        <f t="shared" si="119"/>
        <v>1</v>
      </c>
    </row>
    <row r="1917" spans="1:13" x14ac:dyDescent="0.3">
      <c r="A1917" s="49">
        <v>45261</v>
      </c>
      <c r="D1917" t="s">
        <v>7369</v>
      </c>
      <c r="E1917">
        <v>1</v>
      </c>
      <c r="F1917" t="str">
        <f t="shared" si="117"/>
        <v>abr</v>
      </c>
      <c r="G1917">
        <v>20</v>
      </c>
      <c r="H1917">
        <v>22</v>
      </c>
      <c r="I1917" t="str">
        <f t="shared" si="116"/>
        <v>1-abr-2022</v>
      </c>
      <c r="K1917" s="49">
        <f t="shared" si="118"/>
        <v>44652</v>
      </c>
      <c r="M1917" t="b">
        <f t="shared" si="119"/>
        <v>1</v>
      </c>
    </row>
    <row r="1918" spans="1:13" x14ac:dyDescent="0.3">
      <c r="A1918" s="49">
        <v>45261</v>
      </c>
      <c r="D1918" t="s">
        <v>7363</v>
      </c>
      <c r="E1918">
        <v>1</v>
      </c>
      <c r="F1918" t="str">
        <f t="shared" si="117"/>
        <v>feb</v>
      </c>
      <c r="G1918">
        <v>20</v>
      </c>
      <c r="H1918">
        <v>17</v>
      </c>
      <c r="I1918" t="str">
        <f t="shared" si="116"/>
        <v>1-feb-2017</v>
      </c>
      <c r="K1918" s="49">
        <f t="shared" si="118"/>
        <v>42767</v>
      </c>
      <c r="M1918" t="b">
        <f t="shared" si="119"/>
        <v>1</v>
      </c>
    </row>
    <row r="1919" spans="1:13" x14ac:dyDescent="0.3">
      <c r="A1919" s="49">
        <v>45261</v>
      </c>
      <c r="D1919" t="s">
        <v>7359</v>
      </c>
      <c r="E1919">
        <v>1</v>
      </c>
      <c r="F1919" t="str">
        <f t="shared" si="117"/>
        <v>jul</v>
      </c>
      <c r="G1919">
        <v>20</v>
      </c>
      <c r="H1919">
        <v>18</v>
      </c>
      <c r="I1919" t="str">
        <f t="shared" si="116"/>
        <v>1-jul-2018</v>
      </c>
      <c r="K1919" s="49">
        <f t="shared" si="118"/>
        <v>43282</v>
      </c>
      <c r="M1919" t="b">
        <f t="shared" si="119"/>
        <v>1</v>
      </c>
    </row>
    <row r="1920" spans="1:13" x14ac:dyDescent="0.3">
      <c r="A1920" s="49">
        <v>45261</v>
      </c>
      <c r="D1920" t="s">
        <v>7355</v>
      </c>
      <c r="E1920">
        <v>1</v>
      </c>
      <c r="F1920" t="str">
        <f t="shared" si="117"/>
        <v>sep</v>
      </c>
      <c r="G1920">
        <v>20</v>
      </c>
      <c r="H1920">
        <v>12</v>
      </c>
      <c r="I1920" t="str">
        <f t="shared" si="116"/>
        <v>1-sep-2012</v>
      </c>
      <c r="K1920" s="49">
        <f t="shared" si="118"/>
        <v>41153</v>
      </c>
      <c r="M1920" t="b">
        <f t="shared" si="119"/>
        <v>1</v>
      </c>
    </row>
    <row r="1921" spans="1:13" x14ac:dyDescent="0.3">
      <c r="A1921" s="49">
        <v>45261</v>
      </c>
      <c r="D1921" t="s">
        <v>7369</v>
      </c>
      <c r="E1921">
        <v>1</v>
      </c>
      <c r="F1921" t="str">
        <f t="shared" si="117"/>
        <v>abr</v>
      </c>
      <c r="G1921">
        <v>20</v>
      </c>
      <c r="H1921">
        <v>15</v>
      </c>
      <c r="I1921" t="str">
        <f t="shared" ref="I1921:I1984" si="120">_xlfn.CONCAT(E1921,"-",F1921,"-",G1921,H1921)</f>
        <v>1-abr-2015</v>
      </c>
      <c r="K1921" s="49">
        <f t="shared" si="118"/>
        <v>42095</v>
      </c>
      <c r="M1921" t="b">
        <f t="shared" si="119"/>
        <v>1</v>
      </c>
    </row>
    <row r="1922" spans="1:13" x14ac:dyDescent="0.3">
      <c r="A1922" s="49">
        <v>45261</v>
      </c>
      <c r="D1922" t="s">
        <v>7357</v>
      </c>
      <c r="E1922">
        <v>1</v>
      </c>
      <c r="F1922" t="str">
        <f t="shared" ref="F1922:F1985" si="121">LOWER(D1922)</f>
        <v>oct</v>
      </c>
      <c r="G1922">
        <v>20</v>
      </c>
      <c r="H1922">
        <v>16</v>
      </c>
      <c r="I1922" t="str">
        <f t="shared" si="120"/>
        <v>1-oct-2016</v>
      </c>
      <c r="K1922" s="49">
        <f t="shared" ref="K1922:K1985" si="122">DATEVALUE(I1922)</f>
        <v>42644</v>
      </c>
      <c r="M1922" t="b">
        <f t="shared" si="119"/>
        <v>1</v>
      </c>
    </row>
    <row r="1923" spans="1:13" x14ac:dyDescent="0.3">
      <c r="A1923" s="49">
        <v>45261</v>
      </c>
      <c r="D1923" t="s">
        <v>7359</v>
      </c>
      <c r="E1923">
        <v>1</v>
      </c>
      <c r="F1923" t="str">
        <f t="shared" si="121"/>
        <v>jul</v>
      </c>
      <c r="G1923">
        <v>20</v>
      </c>
      <c r="H1923">
        <v>16</v>
      </c>
      <c r="I1923" t="str">
        <f t="shared" si="120"/>
        <v>1-jul-2016</v>
      </c>
      <c r="K1923" s="49">
        <f t="shared" si="122"/>
        <v>42552</v>
      </c>
      <c r="M1923" t="b">
        <f t="shared" ref="M1923:M1986" si="123">K1923&lt;A1923</f>
        <v>1</v>
      </c>
    </row>
    <row r="1924" spans="1:13" x14ac:dyDescent="0.3">
      <c r="A1924" s="49">
        <v>45261</v>
      </c>
      <c r="D1924" t="s">
        <v>7368</v>
      </c>
      <c r="E1924">
        <v>1</v>
      </c>
      <c r="F1924" t="str">
        <f t="shared" si="121"/>
        <v>mar</v>
      </c>
      <c r="G1924">
        <v>20</v>
      </c>
      <c r="H1924">
        <v>14</v>
      </c>
      <c r="I1924" t="str">
        <f t="shared" si="120"/>
        <v>1-mar-2014</v>
      </c>
      <c r="K1924" s="49">
        <f t="shared" si="122"/>
        <v>41699</v>
      </c>
      <c r="M1924" t="b">
        <f t="shared" si="123"/>
        <v>1</v>
      </c>
    </row>
    <row r="1925" spans="1:13" x14ac:dyDescent="0.3">
      <c r="A1925" s="49">
        <v>45261</v>
      </c>
      <c r="D1925" t="s">
        <v>7368</v>
      </c>
      <c r="E1925">
        <v>1</v>
      </c>
      <c r="F1925" t="str">
        <f t="shared" si="121"/>
        <v>mar</v>
      </c>
      <c r="G1925">
        <v>20</v>
      </c>
      <c r="H1925">
        <v>14</v>
      </c>
      <c r="I1925" t="str">
        <f t="shared" si="120"/>
        <v>1-mar-2014</v>
      </c>
      <c r="K1925" s="49">
        <f t="shared" si="122"/>
        <v>41699</v>
      </c>
      <c r="M1925" t="b">
        <f t="shared" si="123"/>
        <v>1</v>
      </c>
    </row>
    <row r="1926" spans="1:13" x14ac:dyDescent="0.3">
      <c r="A1926" s="49">
        <v>45261</v>
      </c>
      <c r="D1926" t="s">
        <v>7368</v>
      </c>
      <c r="E1926">
        <v>1</v>
      </c>
      <c r="F1926" t="str">
        <f t="shared" si="121"/>
        <v>mar</v>
      </c>
      <c r="G1926">
        <v>20</v>
      </c>
      <c r="H1926">
        <v>14</v>
      </c>
      <c r="I1926" t="str">
        <f t="shared" si="120"/>
        <v>1-mar-2014</v>
      </c>
      <c r="K1926" s="49">
        <f t="shared" si="122"/>
        <v>41699</v>
      </c>
      <c r="M1926" t="b">
        <f t="shared" si="123"/>
        <v>1</v>
      </c>
    </row>
    <row r="1927" spans="1:13" x14ac:dyDescent="0.3">
      <c r="A1927" s="49">
        <v>45261</v>
      </c>
      <c r="D1927" t="s">
        <v>7368</v>
      </c>
      <c r="E1927">
        <v>1</v>
      </c>
      <c r="F1927" t="str">
        <f t="shared" si="121"/>
        <v>mar</v>
      </c>
      <c r="G1927">
        <v>20</v>
      </c>
      <c r="H1927">
        <v>14</v>
      </c>
      <c r="I1927" t="str">
        <f t="shared" si="120"/>
        <v>1-mar-2014</v>
      </c>
      <c r="K1927" s="49">
        <f t="shared" si="122"/>
        <v>41699</v>
      </c>
      <c r="M1927" t="b">
        <f t="shared" si="123"/>
        <v>1</v>
      </c>
    </row>
    <row r="1928" spans="1:13" x14ac:dyDescent="0.3">
      <c r="A1928" s="49">
        <v>45261</v>
      </c>
      <c r="D1928" t="s">
        <v>7368</v>
      </c>
      <c r="E1928">
        <v>1</v>
      </c>
      <c r="F1928" t="str">
        <f t="shared" si="121"/>
        <v>mar</v>
      </c>
      <c r="G1928">
        <v>20</v>
      </c>
      <c r="H1928">
        <v>14</v>
      </c>
      <c r="I1928" t="str">
        <f t="shared" si="120"/>
        <v>1-mar-2014</v>
      </c>
      <c r="K1928" s="49">
        <f t="shared" si="122"/>
        <v>41699</v>
      </c>
      <c r="M1928" t="b">
        <f t="shared" si="123"/>
        <v>1</v>
      </c>
    </row>
    <row r="1929" spans="1:13" x14ac:dyDescent="0.3">
      <c r="A1929" s="49">
        <v>45261</v>
      </c>
      <c r="D1929" t="s">
        <v>7357</v>
      </c>
      <c r="E1929">
        <v>1</v>
      </c>
      <c r="F1929" t="str">
        <f t="shared" si="121"/>
        <v>oct</v>
      </c>
      <c r="G1929">
        <v>20</v>
      </c>
      <c r="H1929">
        <v>23</v>
      </c>
      <c r="I1929" t="str">
        <f t="shared" si="120"/>
        <v>1-oct-2023</v>
      </c>
      <c r="K1929" s="49">
        <f t="shared" si="122"/>
        <v>45200</v>
      </c>
      <c r="M1929" t="b">
        <f t="shared" si="123"/>
        <v>1</v>
      </c>
    </row>
    <row r="1930" spans="1:13" x14ac:dyDescent="0.3">
      <c r="A1930" s="49">
        <v>45261</v>
      </c>
      <c r="D1930" t="s">
        <v>7369</v>
      </c>
      <c r="E1930">
        <v>1</v>
      </c>
      <c r="F1930" t="str">
        <f t="shared" si="121"/>
        <v>abr</v>
      </c>
      <c r="G1930">
        <v>20</v>
      </c>
      <c r="H1930">
        <v>19</v>
      </c>
      <c r="I1930" t="str">
        <f t="shared" si="120"/>
        <v>1-abr-2019</v>
      </c>
      <c r="K1930" s="49">
        <f t="shared" si="122"/>
        <v>43556</v>
      </c>
      <c r="M1930" t="b">
        <f t="shared" si="123"/>
        <v>1</v>
      </c>
    </row>
    <row r="1931" spans="1:13" x14ac:dyDescent="0.3">
      <c r="A1931" s="49">
        <v>45261</v>
      </c>
      <c r="D1931" t="s">
        <v>7370</v>
      </c>
      <c r="E1931">
        <v>1</v>
      </c>
      <c r="F1931" t="str">
        <f t="shared" si="121"/>
        <v>may</v>
      </c>
      <c r="G1931">
        <v>20</v>
      </c>
      <c r="H1931">
        <v>20</v>
      </c>
      <c r="I1931" t="str">
        <f t="shared" si="120"/>
        <v>1-may-2020</v>
      </c>
      <c r="K1931" s="49">
        <f t="shared" si="122"/>
        <v>43952</v>
      </c>
      <c r="M1931" t="b">
        <f t="shared" si="123"/>
        <v>1</v>
      </c>
    </row>
    <row r="1932" spans="1:13" x14ac:dyDescent="0.3">
      <c r="A1932" s="49">
        <v>45261</v>
      </c>
      <c r="D1932" t="s">
        <v>7355</v>
      </c>
      <c r="E1932">
        <v>1</v>
      </c>
      <c r="F1932" t="str">
        <f t="shared" si="121"/>
        <v>sep</v>
      </c>
      <c r="G1932">
        <v>20</v>
      </c>
      <c r="H1932">
        <v>20</v>
      </c>
      <c r="I1932" t="str">
        <f t="shared" si="120"/>
        <v>1-sep-2020</v>
      </c>
      <c r="K1932" s="49">
        <f t="shared" si="122"/>
        <v>44075</v>
      </c>
      <c r="M1932" t="b">
        <f t="shared" si="123"/>
        <v>1</v>
      </c>
    </row>
    <row r="1933" spans="1:13" x14ac:dyDescent="0.3">
      <c r="A1933" s="49">
        <v>45261</v>
      </c>
      <c r="D1933" t="s">
        <v>7363</v>
      </c>
      <c r="E1933">
        <v>1</v>
      </c>
      <c r="F1933" t="str">
        <f t="shared" si="121"/>
        <v>feb</v>
      </c>
      <c r="G1933">
        <v>20</v>
      </c>
      <c r="H1933">
        <v>22</v>
      </c>
      <c r="I1933" t="str">
        <f t="shared" si="120"/>
        <v>1-feb-2022</v>
      </c>
      <c r="K1933" s="49">
        <f t="shared" si="122"/>
        <v>44593</v>
      </c>
      <c r="M1933" t="b">
        <f t="shared" si="123"/>
        <v>1</v>
      </c>
    </row>
    <row r="1934" spans="1:13" x14ac:dyDescent="0.3">
      <c r="A1934" s="49">
        <v>45261</v>
      </c>
      <c r="D1934" t="s">
        <v>7362</v>
      </c>
      <c r="E1934">
        <v>1</v>
      </c>
      <c r="F1934" t="str">
        <f t="shared" si="121"/>
        <v>ago</v>
      </c>
      <c r="G1934">
        <v>20</v>
      </c>
      <c r="H1934">
        <v>23</v>
      </c>
      <c r="I1934" t="str">
        <f t="shared" si="120"/>
        <v>1-ago-2023</v>
      </c>
      <c r="K1934" s="49">
        <f t="shared" si="122"/>
        <v>45139</v>
      </c>
      <c r="M1934" t="b">
        <f t="shared" si="123"/>
        <v>1</v>
      </c>
    </row>
    <row r="1935" spans="1:13" x14ac:dyDescent="0.3">
      <c r="A1935" s="49">
        <v>45261</v>
      </c>
      <c r="D1935" t="s">
        <v>7357</v>
      </c>
      <c r="E1935">
        <v>1</v>
      </c>
      <c r="F1935" t="str">
        <f t="shared" si="121"/>
        <v>oct</v>
      </c>
      <c r="G1935">
        <v>20</v>
      </c>
      <c r="H1935">
        <v>20</v>
      </c>
      <c r="I1935" t="str">
        <f t="shared" si="120"/>
        <v>1-oct-2020</v>
      </c>
      <c r="K1935" s="49">
        <f t="shared" si="122"/>
        <v>44105</v>
      </c>
      <c r="M1935" t="b">
        <f t="shared" si="123"/>
        <v>1</v>
      </c>
    </row>
    <row r="1936" spans="1:13" x14ac:dyDescent="0.3">
      <c r="A1936" s="49">
        <v>45261</v>
      </c>
      <c r="D1936" t="s">
        <v>7359</v>
      </c>
      <c r="E1936">
        <v>1</v>
      </c>
      <c r="F1936" t="str">
        <f t="shared" si="121"/>
        <v>jul</v>
      </c>
      <c r="G1936">
        <v>20</v>
      </c>
      <c r="H1936">
        <v>23</v>
      </c>
      <c r="I1936" t="str">
        <f t="shared" si="120"/>
        <v>1-jul-2023</v>
      </c>
      <c r="K1936" s="49">
        <f t="shared" si="122"/>
        <v>45108</v>
      </c>
      <c r="M1936" t="b">
        <f t="shared" si="123"/>
        <v>1</v>
      </c>
    </row>
    <row r="1937" spans="1:13" x14ac:dyDescent="0.3">
      <c r="A1937" s="49">
        <v>45261</v>
      </c>
      <c r="D1937" t="s">
        <v>7363</v>
      </c>
      <c r="E1937">
        <v>1</v>
      </c>
      <c r="F1937" t="str">
        <f t="shared" si="121"/>
        <v>feb</v>
      </c>
      <c r="G1937">
        <v>20</v>
      </c>
      <c r="H1937">
        <v>17</v>
      </c>
      <c r="I1937" t="str">
        <f t="shared" si="120"/>
        <v>1-feb-2017</v>
      </c>
      <c r="K1937" s="49">
        <f t="shared" si="122"/>
        <v>42767</v>
      </c>
      <c r="M1937" t="b">
        <f t="shared" si="123"/>
        <v>1</v>
      </c>
    </row>
    <row r="1938" spans="1:13" x14ac:dyDescent="0.3">
      <c r="A1938" s="49">
        <v>45261</v>
      </c>
      <c r="D1938" t="s">
        <v>7368</v>
      </c>
      <c r="E1938">
        <v>1</v>
      </c>
      <c r="F1938" t="str">
        <f t="shared" si="121"/>
        <v>mar</v>
      </c>
      <c r="G1938">
        <v>20</v>
      </c>
      <c r="H1938">
        <v>21</v>
      </c>
      <c r="I1938" t="str">
        <f t="shared" si="120"/>
        <v>1-mar-2021</v>
      </c>
      <c r="K1938" s="49">
        <f t="shared" si="122"/>
        <v>44256</v>
      </c>
      <c r="M1938" t="b">
        <f t="shared" si="123"/>
        <v>1</v>
      </c>
    </row>
    <row r="1939" spans="1:13" x14ac:dyDescent="0.3">
      <c r="A1939" s="49">
        <v>45261</v>
      </c>
      <c r="D1939" t="s">
        <v>7368</v>
      </c>
      <c r="E1939">
        <v>1</v>
      </c>
      <c r="F1939" t="str">
        <f t="shared" si="121"/>
        <v>mar</v>
      </c>
      <c r="G1939">
        <v>20</v>
      </c>
      <c r="H1939">
        <v>16</v>
      </c>
      <c r="I1939" t="str">
        <f t="shared" si="120"/>
        <v>1-mar-2016</v>
      </c>
      <c r="K1939" s="49">
        <f t="shared" si="122"/>
        <v>42430</v>
      </c>
      <c r="M1939" t="b">
        <f t="shared" si="123"/>
        <v>1</v>
      </c>
    </row>
    <row r="1940" spans="1:13" x14ac:dyDescent="0.3">
      <c r="A1940" s="49">
        <v>45261</v>
      </c>
      <c r="D1940" t="s">
        <v>7359</v>
      </c>
      <c r="E1940">
        <v>1</v>
      </c>
      <c r="F1940" t="str">
        <f t="shared" si="121"/>
        <v>jul</v>
      </c>
      <c r="G1940">
        <v>20</v>
      </c>
      <c r="H1940">
        <v>22</v>
      </c>
      <c r="I1940" t="str">
        <f t="shared" si="120"/>
        <v>1-jul-2022</v>
      </c>
      <c r="K1940" s="49">
        <f t="shared" si="122"/>
        <v>44743</v>
      </c>
      <c r="M1940" t="b">
        <f t="shared" si="123"/>
        <v>1</v>
      </c>
    </row>
    <row r="1941" spans="1:13" x14ac:dyDescent="0.3">
      <c r="A1941" s="49">
        <v>45261</v>
      </c>
      <c r="D1941" t="s">
        <v>7367</v>
      </c>
      <c r="E1941">
        <v>1</v>
      </c>
      <c r="F1941" t="str">
        <f t="shared" si="121"/>
        <v>jun</v>
      </c>
      <c r="G1941">
        <v>20</v>
      </c>
      <c r="H1941">
        <v>22</v>
      </c>
      <c r="I1941" t="str">
        <f t="shared" si="120"/>
        <v>1-jun-2022</v>
      </c>
      <c r="K1941" s="49">
        <f t="shared" si="122"/>
        <v>44713</v>
      </c>
      <c r="M1941" t="b">
        <f t="shared" si="123"/>
        <v>1</v>
      </c>
    </row>
    <row r="1942" spans="1:13" x14ac:dyDescent="0.3">
      <c r="A1942" s="49">
        <v>45261</v>
      </c>
      <c r="D1942" t="s">
        <v>7356</v>
      </c>
      <c r="E1942">
        <v>1</v>
      </c>
      <c r="F1942" t="str">
        <f t="shared" si="121"/>
        <v>ene</v>
      </c>
      <c r="G1942">
        <v>20</v>
      </c>
      <c r="H1942">
        <v>23</v>
      </c>
      <c r="I1942" t="str">
        <f t="shared" si="120"/>
        <v>1-ene-2023</v>
      </c>
      <c r="K1942" s="49">
        <f t="shared" si="122"/>
        <v>44927</v>
      </c>
      <c r="M1942" t="b">
        <f t="shared" si="123"/>
        <v>1</v>
      </c>
    </row>
    <row r="1943" spans="1:13" x14ac:dyDescent="0.3">
      <c r="A1943" s="49">
        <v>45261</v>
      </c>
      <c r="D1943" t="s">
        <v>3586</v>
      </c>
      <c r="E1943">
        <v>1</v>
      </c>
      <c r="F1943" t="str">
        <f t="shared" si="121"/>
        <v>---</v>
      </c>
      <c r="G1943">
        <v>20</v>
      </c>
      <c r="H1943" t="s">
        <v>3911</v>
      </c>
      <c r="I1943" t="str">
        <f t="shared" si="120"/>
        <v>1-----20--</v>
      </c>
      <c r="K1943" s="49" t="e">
        <f t="shared" si="122"/>
        <v>#VALUE!</v>
      </c>
      <c r="M1943" t="e">
        <f t="shared" si="123"/>
        <v>#VALUE!</v>
      </c>
    </row>
    <row r="1944" spans="1:13" x14ac:dyDescent="0.3">
      <c r="A1944" s="49">
        <v>45261</v>
      </c>
      <c r="D1944" t="s">
        <v>7355</v>
      </c>
      <c r="E1944">
        <v>1</v>
      </c>
      <c r="F1944" t="str">
        <f t="shared" si="121"/>
        <v>sep</v>
      </c>
      <c r="G1944">
        <v>20</v>
      </c>
      <c r="H1944">
        <v>23</v>
      </c>
      <c r="I1944" t="str">
        <f t="shared" si="120"/>
        <v>1-sep-2023</v>
      </c>
      <c r="K1944" s="49">
        <f t="shared" si="122"/>
        <v>45170</v>
      </c>
      <c r="M1944" t="b">
        <f t="shared" si="123"/>
        <v>1</v>
      </c>
    </row>
    <row r="1945" spans="1:13" x14ac:dyDescent="0.3">
      <c r="A1945" s="49">
        <v>45261</v>
      </c>
      <c r="D1945" t="s">
        <v>7357</v>
      </c>
      <c r="E1945">
        <v>1</v>
      </c>
      <c r="F1945" t="str">
        <f t="shared" si="121"/>
        <v>oct</v>
      </c>
      <c r="G1945">
        <v>20</v>
      </c>
      <c r="H1945">
        <v>23</v>
      </c>
      <c r="I1945" t="str">
        <f t="shared" si="120"/>
        <v>1-oct-2023</v>
      </c>
      <c r="K1945" s="49">
        <f t="shared" si="122"/>
        <v>45200</v>
      </c>
      <c r="M1945" t="b">
        <f t="shared" si="123"/>
        <v>1</v>
      </c>
    </row>
    <row r="1946" spans="1:13" x14ac:dyDescent="0.3">
      <c r="A1946" s="49">
        <v>45261</v>
      </c>
      <c r="D1946" t="s">
        <v>7357</v>
      </c>
      <c r="E1946">
        <v>1</v>
      </c>
      <c r="F1946" t="str">
        <f t="shared" si="121"/>
        <v>oct</v>
      </c>
      <c r="G1946">
        <v>20</v>
      </c>
      <c r="H1946">
        <v>19</v>
      </c>
      <c r="I1946" t="str">
        <f t="shared" si="120"/>
        <v>1-oct-2019</v>
      </c>
      <c r="K1946" s="49">
        <f t="shared" si="122"/>
        <v>43739</v>
      </c>
      <c r="M1946" t="b">
        <f t="shared" si="123"/>
        <v>1</v>
      </c>
    </row>
    <row r="1947" spans="1:13" x14ac:dyDescent="0.3">
      <c r="A1947" s="49">
        <v>45261</v>
      </c>
      <c r="D1947" t="s">
        <v>7370</v>
      </c>
      <c r="E1947">
        <v>1</v>
      </c>
      <c r="F1947" t="str">
        <f t="shared" si="121"/>
        <v>may</v>
      </c>
      <c r="G1947">
        <v>20</v>
      </c>
      <c r="H1947">
        <v>21</v>
      </c>
      <c r="I1947" t="str">
        <f t="shared" si="120"/>
        <v>1-may-2021</v>
      </c>
      <c r="K1947" s="49">
        <f t="shared" si="122"/>
        <v>44317</v>
      </c>
      <c r="M1947" t="b">
        <f t="shared" si="123"/>
        <v>1</v>
      </c>
    </row>
    <row r="1948" spans="1:13" x14ac:dyDescent="0.3">
      <c r="A1948" s="49">
        <v>45261</v>
      </c>
      <c r="D1948" t="s">
        <v>7370</v>
      </c>
      <c r="E1948">
        <v>1</v>
      </c>
      <c r="F1948" t="str">
        <f t="shared" si="121"/>
        <v>may</v>
      </c>
      <c r="G1948">
        <v>20</v>
      </c>
      <c r="H1948">
        <v>22</v>
      </c>
      <c r="I1948" t="str">
        <f t="shared" si="120"/>
        <v>1-may-2022</v>
      </c>
      <c r="K1948" s="49">
        <f t="shared" si="122"/>
        <v>44682</v>
      </c>
      <c r="M1948" t="b">
        <f t="shared" si="123"/>
        <v>1</v>
      </c>
    </row>
    <row r="1949" spans="1:13" x14ac:dyDescent="0.3">
      <c r="A1949" s="49">
        <v>45261</v>
      </c>
      <c r="D1949" t="s">
        <v>7355</v>
      </c>
      <c r="E1949">
        <v>1</v>
      </c>
      <c r="F1949" t="str">
        <f t="shared" si="121"/>
        <v>sep</v>
      </c>
      <c r="G1949">
        <v>20</v>
      </c>
      <c r="H1949">
        <v>23</v>
      </c>
      <c r="I1949" t="str">
        <f t="shared" si="120"/>
        <v>1-sep-2023</v>
      </c>
      <c r="K1949" s="49">
        <f t="shared" si="122"/>
        <v>45170</v>
      </c>
      <c r="M1949" t="b">
        <f t="shared" si="123"/>
        <v>1</v>
      </c>
    </row>
    <row r="1950" spans="1:13" x14ac:dyDescent="0.3">
      <c r="A1950" s="49">
        <v>45261</v>
      </c>
      <c r="D1950" t="s">
        <v>7357</v>
      </c>
      <c r="E1950">
        <v>1</v>
      </c>
      <c r="F1950" t="str">
        <f t="shared" si="121"/>
        <v>oct</v>
      </c>
      <c r="G1950">
        <v>20</v>
      </c>
      <c r="H1950">
        <v>22</v>
      </c>
      <c r="I1950" t="str">
        <f t="shared" si="120"/>
        <v>1-oct-2022</v>
      </c>
      <c r="K1950" s="49">
        <f t="shared" si="122"/>
        <v>44835</v>
      </c>
      <c r="M1950" t="b">
        <f t="shared" si="123"/>
        <v>1</v>
      </c>
    </row>
    <row r="1951" spans="1:13" x14ac:dyDescent="0.3">
      <c r="A1951" s="49">
        <v>45261</v>
      </c>
      <c r="D1951" t="s">
        <v>7363</v>
      </c>
      <c r="E1951">
        <v>1</v>
      </c>
      <c r="F1951" t="str">
        <f t="shared" si="121"/>
        <v>feb</v>
      </c>
      <c r="G1951">
        <v>20</v>
      </c>
      <c r="H1951">
        <v>22</v>
      </c>
      <c r="I1951" t="str">
        <f t="shared" si="120"/>
        <v>1-feb-2022</v>
      </c>
      <c r="K1951" s="49">
        <f t="shared" si="122"/>
        <v>44593</v>
      </c>
      <c r="M1951" t="b">
        <f t="shared" si="123"/>
        <v>1</v>
      </c>
    </row>
    <row r="1952" spans="1:13" x14ac:dyDescent="0.3">
      <c r="A1952" s="49">
        <v>45261</v>
      </c>
      <c r="D1952" t="s">
        <v>7355</v>
      </c>
      <c r="E1952">
        <v>1</v>
      </c>
      <c r="F1952" t="str">
        <f t="shared" si="121"/>
        <v>sep</v>
      </c>
      <c r="G1952">
        <v>20</v>
      </c>
      <c r="H1952">
        <v>22</v>
      </c>
      <c r="I1952" t="str">
        <f t="shared" si="120"/>
        <v>1-sep-2022</v>
      </c>
      <c r="K1952" s="49">
        <f t="shared" si="122"/>
        <v>44805</v>
      </c>
      <c r="M1952" t="b">
        <f t="shared" si="123"/>
        <v>1</v>
      </c>
    </row>
    <row r="1953" spans="1:13" x14ac:dyDescent="0.3">
      <c r="A1953" s="49">
        <v>45261</v>
      </c>
      <c r="D1953" t="s">
        <v>7355</v>
      </c>
      <c r="E1953">
        <v>1</v>
      </c>
      <c r="F1953" t="str">
        <f t="shared" si="121"/>
        <v>sep</v>
      </c>
      <c r="G1953">
        <v>20</v>
      </c>
      <c r="H1953">
        <v>22</v>
      </c>
      <c r="I1953" t="str">
        <f t="shared" si="120"/>
        <v>1-sep-2022</v>
      </c>
      <c r="K1953" s="49">
        <f t="shared" si="122"/>
        <v>44805</v>
      </c>
      <c r="M1953" t="b">
        <f t="shared" si="123"/>
        <v>1</v>
      </c>
    </row>
    <row r="1954" spans="1:13" x14ac:dyDescent="0.3">
      <c r="A1954" s="49">
        <v>45261</v>
      </c>
      <c r="D1954" t="s">
        <v>7355</v>
      </c>
      <c r="E1954">
        <v>1</v>
      </c>
      <c r="F1954" t="str">
        <f t="shared" si="121"/>
        <v>sep</v>
      </c>
      <c r="G1954">
        <v>20</v>
      </c>
      <c r="H1954">
        <v>22</v>
      </c>
      <c r="I1954" t="str">
        <f t="shared" si="120"/>
        <v>1-sep-2022</v>
      </c>
      <c r="K1954" s="49">
        <f t="shared" si="122"/>
        <v>44805</v>
      </c>
      <c r="M1954" t="b">
        <f t="shared" si="123"/>
        <v>1</v>
      </c>
    </row>
    <row r="1955" spans="1:13" x14ac:dyDescent="0.3">
      <c r="A1955" s="49">
        <v>45261</v>
      </c>
      <c r="D1955" t="s">
        <v>7355</v>
      </c>
      <c r="E1955">
        <v>1</v>
      </c>
      <c r="F1955" t="str">
        <f t="shared" si="121"/>
        <v>sep</v>
      </c>
      <c r="G1955">
        <v>20</v>
      </c>
      <c r="H1955">
        <v>22</v>
      </c>
      <c r="I1955" t="str">
        <f t="shared" si="120"/>
        <v>1-sep-2022</v>
      </c>
      <c r="K1955" s="49">
        <f t="shared" si="122"/>
        <v>44805</v>
      </c>
      <c r="M1955" t="b">
        <f t="shared" si="123"/>
        <v>1</v>
      </c>
    </row>
    <row r="1956" spans="1:13" x14ac:dyDescent="0.3">
      <c r="A1956" s="49">
        <v>45261</v>
      </c>
      <c r="D1956" t="s">
        <v>7355</v>
      </c>
      <c r="E1956">
        <v>1</v>
      </c>
      <c r="F1956" t="str">
        <f t="shared" si="121"/>
        <v>sep</v>
      </c>
      <c r="G1956">
        <v>20</v>
      </c>
      <c r="H1956">
        <v>22</v>
      </c>
      <c r="I1956" t="str">
        <f t="shared" si="120"/>
        <v>1-sep-2022</v>
      </c>
      <c r="K1956" s="49">
        <f t="shared" si="122"/>
        <v>44805</v>
      </c>
      <c r="M1956" t="b">
        <f t="shared" si="123"/>
        <v>1</v>
      </c>
    </row>
    <row r="1957" spans="1:13" x14ac:dyDescent="0.3">
      <c r="A1957" s="49">
        <v>45261</v>
      </c>
      <c r="D1957" t="s">
        <v>7355</v>
      </c>
      <c r="E1957">
        <v>1</v>
      </c>
      <c r="F1957" t="str">
        <f t="shared" si="121"/>
        <v>sep</v>
      </c>
      <c r="G1957">
        <v>20</v>
      </c>
      <c r="H1957">
        <v>22</v>
      </c>
      <c r="I1957" t="str">
        <f t="shared" si="120"/>
        <v>1-sep-2022</v>
      </c>
      <c r="K1957" s="49">
        <f t="shared" si="122"/>
        <v>44805</v>
      </c>
      <c r="M1957" t="b">
        <f t="shared" si="123"/>
        <v>1</v>
      </c>
    </row>
    <row r="1958" spans="1:13" x14ac:dyDescent="0.3">
      <c r="A1958" s="49">
        <v>45261</v>
      </c>
      <c r="D1958" t="s">
        <v>7355</v>
      </c>
      <c r="E1958">
        <v>1</v>
      </c>
      <c r="F1958" t="str">
        <f t="shared" si="121"/>
        <v>sep</v>
      </c>
      <c r="G1958">
        <v>20</v>
      </c>
      <c r="H1958">
        <v>22</v>
      </c>
      <c r="I1958" t="str">
        <f t="shared" si="120"/>
        <v>1-sep-2022</v>
      </c>
      <c r="K1958" s="49">
        <f t="shared" si="122"/>
        <v>44805</v>
      </c>
      <c r="M1958" t="b">
        <f t="shared" si="123"/>
        <v>1</v>
      </c>
    </row>
    <row r="1959" spans="1:13" x14ac:dyDescent="0.3">
      <c r="A1959" s="49">
        <v>45261</v>
      </c>
      <c r="D1959" t="s">
        <v>7355</v>
      </c>
      <c r="E1959">
        <v>1</v>
      </c>
      <c r="F1959" t="str">
        <f t="shared" si="121"/>
        <v>sep</v>
      </c>
      <c r="G1959">
        <v>20</v>
      </c>
      <c r="H1959">
        <v>22</v>
      </c>
      <c r="I1959" t="str">
        <f t="shared" si="120"/>
        <v>1-sep-2022</v>
      </c>
      <c r="K1959" s="49">
        <f t="shared" si="122"/>
        <v>44805</v>
      </c>
      <c r="M1959" t="b">
        <f t="shared" si="123"/>
        <v>1</v>
      </c>
    </row>
    <row r="1960" spans="1:13" x14ac:dyDescent="0.3">
      <c r="A1960" s="49">
        <v>45261</v>
      </c>
      <c r="D1960" t="s">
        <v>7355</v>
      </c>
      <c r="E1960">
        <v>1</v>
      </c>
      <c r="F1960" t="str">
        <f t="shared" si="121"/>
        <v>sep</v>
      </c>
      <c r="G1960">
        <v>20</v>
      </c>
      <c r="H1960">
        <v>22</v>
      </c>
      <c r="I1960" t="str">
        <f t="shared" si="120"/>
        <v>1-sep-2022</v>
      </c>
      <c r="K1960" s="49">
        <f t="shared" si="122"/>
        <v>44805</v>
      </c>
      <c r="M1960" t="b">
        <f t="shared" si="123"/>
        <v>1</v>
      </c>
    </row>
    <row r="1961" spans="1:13" x14ac:dyDescent="0.3">
      <c r="A1961" s="49">
        <v>45261</v>
      </c>
      <c r="D1961" t="s">
        <v>7355</v>
      </c>
      <c r="E1961">
        <v>1</v>
      </c>
      <c r="F1961" t="str">
        <f t="shared" si="121"/>
        <v>sep</v>
      </c>
      <c r="G1961">
        <v>20</v>
      </c>
      <c r="H1961">
        <v>22</v>
      </c>
      <c r="I1961" t="str">
        <f t="shared" si="120"/>
        <v>1-sep-2022</v>
      </c>
      <c r="K1961" s="49">
        <f t="shared" si="122"/>
        <v>44805</v>
      </c>
      <c r="M1961" t="b">
        <f t="shared" si="123"/>
        <v>1</v>
      </c>
    </row>
    <row r="1962" spans="1:13" x14ac:dyDescent="0.3">
      <c r="A1962" s="49">
        <v>45261</v>
      </c>
      <c r="D1962" t="s">
        <v>7355</v>
      </c>
      <c r="E1962">
        <v>1</v>
      </c>
      <c r="F1962" t="str">
        <f t="shared" si="121"/>
        <v>sep</v>
      </c>
      <c r="G1962">
        <v>20</v>
      </c>
      <c r="H1962">
        <v>22</v>
      </c>
      <c r="I1962" t="str">
        <f t="shared" si="120"/>
        <v>1-sep-2022</v>
      </c>
      <c r="K1962" s="49">
        <f t="shared" si="122"/>
        <v>44805</v>
      </c>
      <c r="M1962" t="b">
        <f t="shared" si="123"/>
        <v>1</v>
      </c>
    </row>
    <row r="1963" spans="1:13" x14ac:dyDescent="0.3">
      <c r="A1963" s="49">
        <v>45261</v>
      </c>
      <c r="D1963" t="s">
        <v>7355</v>
      </c>
      <c r="E1963">
        <v>1</v>
      </c>
      <c r="F1963" t="str">
        <f t="shared" si="121"/>
        <v>sep</v>
      </c>
      <c r="G1963">
        <v>20</v>
      </c>
      <c r="H1963">
        <v>22</v>
      </c>
      <c r="I1963" t="str">
        <f t="shared" si="120"/>
        <v>1-sep-2022</v>
      </c>
      <c r="K1963" s="49">
        <f t="shared" si="122"/>
        <v>44805</v>
      </c>
      <c r="M1963" t="b">
        <f t="shared" si="123"/>
        <v>1</v>
      </c>
    </row>
    <row r="1964" spans="1:13" x14ac:dyDescent="0.3">
      <c r="A1964" s="49">
        <v>45261</v>
      </c>
      <c r="D1964" t="s">
        <v>7355</v>
      </c>
      <c r="E1964">
        <v>1</v>
      </c>
      <c r="F1964" t="str">
        <f t="shared" si="121"/>
        <v>sep</v>
      </c>
      <c r="G1964">
        <v>20</v>
      </c>
      <c r="H1964">
        <v>22</v>
      </c>
      <c r="I1964" t="str">
        <f t="shared" si="120"/>
        <v>1-sep-2022</v>
      </c>
      <c r="K1964" s="49">
        <f t="shared" si="122"/>
        <v>44805</v>
      </c>
      <c r="M1964" t="b">
        <f t="shared" si="123"/>
        <v>1</v>
      </c>
    </row>
    <row r="1965" spans="1:13" x14ac:dyDescent="0.3">
      <c r="A1965" s="49">
        <v>45261</v>
      </c>
      <c r="D1965" t="s">
        <v>7355</v>
      </c>
      <c r="E1965">
        <v>1</v>
      </c>
      <c r="F1965" t="str">
        <f t="shared" si="121"/>
        <v>sep</v>
      </c>
      <c r="G1965">
        <v>20</v>
      </c>
      <c r="H1965">
        <v>22</v>
      </c>
      <c r="I1965" t="str">
        <f t="shared" si="120"/>
        <v>1-sep-2022</v>
      </c>
      <c r="K1965" s="49">
        <f t="shared" si="122"/>
        <v>44805</v>
      </c>
      <c r="M1965" t="b">
        <f t="shared" si="123"/>
        <v>1</v>
      </c>
    </row>
    <row r="1966" spans="1:13" x14ac:dyDescent="0.3">
      <c r="A1966" s="49">
        <v>45261</v>
      </c>
      <c r="D1966" t="s">
        <v>7355</v>
      </c>
      <c r="E1966">
        <v>1</v>
      </c>
      <c r="F1966" t="str">
        <f t="shared" si="121"/>
        <v>sep</v>
      </c>
      <c r="G1966">
        <v>20</v>
      </c>
      <c r="H1966">
        <v>22</v>
      </c>
      <c r="I1966" t="str">
        <f t="shared" si="120"/>
        <v>1-sep-2022</v>
      </c>
      <c r="K1966" s="49">
        <f t="shared" si="122"/>
        <v>44805</v>
      </c>
      <c r="M1966" t="b">
        <f t="shared" si="123"/>
        <v>1</v>
      </c>
    </row>
    <row r="1967" spans="1:13" x14ac:dyDescent="0.3">
      <c r="A1967" s="49">
        <v>45261</v>
      </c>
      <c r="D1967" t="s">
        <v>7355</v>
      </c>
      <c r="E1967">
        <v>1</v>
      </c>
      <c r="F1967" t="str">
        <f t="shared" si="121"/>
        <v>sep</v>
      </c>
      <c r="G1967">
        <v>20</v>
      </c>
      <c r="H1967">
        <v>22</v>
      </c>
      <c r="I1967" t="str">
        <f t="shared" si="120"/>
        <v>1-sep-2022</v>
      </c>
      <c r="K1967" s="49">
        <f t="shared" si="122"/>
        <v>44805</v>
      </c>
      <c r="M1967" t="b">
        <f t="shared" si="123"/>
        <v>1</v>
      </c>
    </row>
    <row r="1968" spans="1:13" x14ac:dyDescent="0.3">
      <c r="A1968" s="49">
        <v>45261</v>
      </c>
      <c r="D1968" t="s">
        <v>7355</v>
      </c>
      <c r="E1968">
        <v>1</v>
      </c>
      <c r="F1968" t="str">
        <f t="shared" si="121"/>
        <v>sep</v>
      </c>
      <c r="G1968">
        <v>20</v>
      </c>
      <c r="H1968">
        <v>22</v>
      </c>
      <c r="I1968" t="str">
        <f t="shared" si="120"/>
        <v>1-sep-2022</v>
      </c>
      <c r="K1968" s="49">
        <f t="shared" si="122"/>
        <v>44805</v>
      </c>
      <c r="M1968" t="b">
        <f t="shared" si="123"/>
        <v>1</v>
      </c>
    </row>
    <row r="1969" spans="1:13" x14ac:dyDescent="0.3">
      <c r="A1969" s="49">
        <v>45261</v>
      </c>
      <c r="D1969" t="s">
        <v>7355</v>
      </c>
      <c r="E1969">
        <v>1</v>
      </c>
      <c r="F1969" t="str">
        <f t="shared" si="121"/>
        <v>sep</v>
      </c>
      <c r="G1969">
        <v>20</v>
      </c>
      <c r="H1969">
        <v>22</v>
      </c>
      <c r="I1969" t="str">
        <f t="shared" si="120"/>
        <v>1-sep-2022</v>
      </c>
      <c r="K1969" s="49">
        <f t="shared" si="122"/>
        <v>44805</v>
      </c>
      <c r="M1969" t="b">
        <f t="shared" si="123"/>
        <v>1</v>
      </c>
    </row>
    <row r="1970" spans="1:13" x14ac:dyDescent="0.3">
      <c r="A1970" s="49">
        <v>45261</v>
      </c>
      <c r="D1970" t="s">
        <v>7355</v>
      </c>
      <c r="E1970">
        <v>1</v>
      </c>
      <c r="F1970" t="str">
        <f t="shared" si="121"/>
        <v>sep</v>
      </c>
      <c r="G1970">
        <v>20</v>
      </c>
      <c r="H1970">
        <v>22</v>
      </c>
      <c r="I1970" t="str">
        <f t="shared" si="120"/>
        <v>1-sep-2022</v>
      </c>
      <c r="K1970" s="49">
        <f t="shared" si="122"/>
        <v>44805</v>
      </c>
      <c r="M1970" t="b">
        <f t="shared" si="123"/>
        <v>1</v>
      </c>
    </row>
    <row r="1971" spans="1:13" x14ac:dyDescent="0.3">
      <c r="A1971" s="49">
        <v>45261</v>
      </c>
      <c r="D1971" t="s">
        <v>7355</v>
      </c>
      <c r="E1971">
        <v>1</v>
      </c>
      <c r="F1971" t="str">
        <f t="shared" si="121"/>
        <v>sep</v>
      </c>
      <c r="G1971">
        <v>20</v>
      </c>
      <c r="H1971">
        <v>22</v>
      </c>
      <c r="I1971" t="str">
        <f t="shared" si="120"/>
        <v>1-sep-2022</v>
      </c>
      <c r="K1971" s="49">
        <f t="shared" si="122"/>
        <v>44805</v>
      </c>
      <c r="M1971" t="b">
        <f t="shared" si="123"/>
        <v>1</v>
      </c>
    </row>
    <row r="1972" spans="1:13" x14ac:dyDescent="0.3">
      <c r="A1972" s="49">
        <v>45261</v>
      </c>
      <c r="D1972" t="s">
        <v>7355</v>
      </c>
      <c r="E1972">
        <v>1</v>
      </c>
      <c r="F1972" t="str">
        <f t="shared" si="121"/>
        <v>sep</v>
      </c>
      <c r="G1972">
        <v>20</v>
      </c>
      <c r="H1972">
        <v>22</v>
      </c>
      <c r="I1972" t="str">
        <f t="shared" si="120"/>
        <v>1-sep-2022</v>
      </c>
      <c r="K1972" s="49">
        <f t="shared" si="122"/>
        <v>44805</v>
      </c>
      <c r="M1972" t="b">
        <f t="shared" si="123"/>
        <v>1</v>
      </c>
    </row>
    <row r="1973" spans="1:13" x14ac:dyDescent="0.3">
      <c r="A1973" s="49">
        <v>45261</v>
      </c>
      <c r="D1973" t="s">
        <v>7355</v>
      </c>
      <c r="E1973">
        <v>1</v>
      </c>
      <c r="F1973" t="str">
        <f t="shared" si="121"/>
        <v>sep</v>
      </c>
      <c r="G1973">
        <v>20</v>
      </c>
      <c r="H1973">
        <v>22</v>
      </c>
      <c r="I1973" t="str">
        <f t="shared" si="120"/>
        <v>1-sep-2022</v>
      </c>
      <c r="K1973" s="49">
        <f t="shared" si="122"/>
        <v>44805</v>
      </c>
      <c r="M1973" t="b">
        <f t="shared" si="123"/>
        <v>1</v>
      </c>
    </row>
    <row r="1974" spans="1:13" x14ac:dyDescent="0.3">
      <c r="A1974" s="49">
        <v>45261</v>
      </c>
      <c r="D1974" t="s">
        <v>7356</v>
      </c>
      <c r="E1974">
        <v>1</v>
      </c>
      <c r="F1974" t="str">
        <f t="shared" si="121"/>
        <v>ene</v>
      </c>
      <c r="G1974">
        <v>20</v>
      </c>
      <c r="H1974">
        <v>25</v>
      </c>
      <c r="I1974" t="str">
        <f t="shared" si="120"/>
        <v>1-ene-2025</v>
      </c>
      <c r="K1974" s="49">
        <f t="shared" si="122"/>
        <v>45658</v>
      </c>
      <c r="M1974" t="b">
        <f t="shared" si="123"/>
        <v>0</v>
      </c>
    </row>
    <row r="1975" spans="1:13" x14ac:dyDescent="0.3">
      <c r="A1975" s="49">
        <v>45261</v>
      </c>
      <c r="D1975" t="s">
        <v>7369</v>
      </c>
      <c r="E1975">
        <v>1</v>
      </c>
      <c r="F1975" t="str">
        <f t="shared" si="121"/>
        <v>abr</v>
      </c>
      <c r="G1975">
        <v>20</v>
      </c>
      <c r="H1975">
        <v>22</v>
      </c>
      <c r="I1975" t="str">
        <f t="shared" si="120"/>
        <v>1-abr-2022</v>
      </c>
      <c r="K1975" s="49">
        <f t="shared" si="122"/>
        <v>44652</v>
      </c>
      <c r="M1975" t="b">
        <f t="shared" si="123"/>
        <v>1</v>
      </c>
    </row>
    <row r="1976" spans="1:13" x14ac:dyDescent="0.3">
      <c r="A1976" s="49">
        <v>45261</v>
      </c>
      <c r="D1976" t="s">
        <v>7362</v>
      </c>
      <c r="E1976">
        <v>1</v>
      </c>
      <c r="F1976" t="str">
        <f t="shared" si="121"/>
        <v>ago</v>
      </c>
      <c r="G1976">
        <v>20</v>
      </c>
      <c r="H1976">
        <v>22</v>
      </c>
      <c r="I1976" t="str">
        <f t="shared" si="120"/>
        <v>1-ago-2022</v>
      </c>
      <c r="K1976" s="49">
        <f t="shared" si="122"/>
        <v>44774</v>
      </c>
      <c r="M1976" t="b">
        <f t="shared" si="123"/>
        <v>1</v>
      </c>
    </row>
    <row r="1977" spans="1:13" x14ac:dyDescent="0.3">
      <c r="A1977" s="49">
        <v>45261</v>
      </c>
      <c r="D1977" t="s">
        <v>7362</v>
      </c>
      <c r="E1977">
        <v>1</v>
      </c>
      <c r="F1977" t="str">
        <f t="shared" si="121"/>
        <v>ago</v>
      </c>
      <c r="G1977">
        <v>20</v>
      </c>
      <c r="H1977">
        <v>23</v>
      </c>
      <c r="I1977" t="str">
        <f t="shared" si="120"/>
        <v>1-ago-2023</v>
      </c>
      <c r="K1977" s="49">
        <f t="shared" si="122"/>
        <v>45139</v>
      </c>
      <c r="M1977" t="b">
        <f t="shared" si="123"/>
        <v>1</v>
      </c>
    </row>
    <row r="1978" spans="1:13" x14ac:dyDescent="0.3">
      <c r="A1978" s="49">
        <v>45261</v>
      </c>
      <c r="D1978" t="s">
        <v>7362</v>
      </c>
      <c r="E1978">
        <v>1</v>
      </c>
      <c r="F1978" t="str">
        <f t="shared" si="121"/>
        <v>ago</v>
      </c>
      <c r="G1978">
        <v>20</v>
      </c>
      <c r="H1978">
        <v>23</v>
      </c>
      <c r="I1978" t="str">
        <f t="shared" si="120"/>
        <v>1-ago-2023</v>
      </c>
      <c r="K1978" s="49">
        <f t="shared" si="122"/>
        <v>45139</v>
      </c>
      <c r="M1978" t="b">
        <f t="shared" si="123"/>
        <v>1</v>
      </c>
    </row>
    <row r="1979" spans="1:13" x14ac:dyDescent="0.3">
      <c r="A1979" s="49">
        <v>45261</v>
      </c>
      <c r="D1979" t="s">
        <v>7359</v>
      </c>
      <c r="E1979">
        <v>1</v>
      </c>
      <c r="F1979" t="str">
        <f t="shared" si="121"/>
        <v>jul</v>
      </c>
      <c r="G1979">
        <v>20</v>
      </c>
      <c r="H1979">
        <v>25</v>
      </c>
      <c r="I1979" t="str">
        <f t="shared" si="120"/>
        <v>1-jul-2025</v>
      </c>
      <c r="K1979" s="49">
        <f t="shared" si="122"/>
        <v>45839</v>
      </c>
      <c r="M1979" t="b">
        <f t="shared" si="123"/>
        <v>0</v>
      </c>
    </row>
    <row r="1980" spans="1:13" x14ac:dyDescent="0.3">
      <c r="A1980" s="49">
        <v>45261</v>
      </c>
      <c r="D1980" t="s">
        <v>7366</v>
      </c>
      <c r="E1980">
        <v>1</v>
      </c>
      <c r="F1980" t="str">
        <f t="shared" si="121"/>
        <v>dic</v>
      </c>
      <c r="G1980">
        <v>20</v>
      </c>
      <c r="H1980">
        <v>16</v>
      </c>
      <c r="I1980" t="str">
        <f t="shared" si="120"/>
        <v>1-dic-2016</v>
      </c>
      <c r="K1980" s="49">
        <f t="shared" si="122"/>
        <v>42705</v>
      </c>
      <c r="M1980" t="b">
        <f t="shared" si="123"/>
        <v>1</v>
      </c>
    </row>
    <row r="1981" spans="1:13" x14ac:dyDescent="0.3">
      <c r="A1981" s="49">
        <v>45261</v>
      </c>
      <c r="D1981" t="s">
        <v>7363</v>
      </c>
      <c r="E1981">
        <v>1</v>
      </c>
      <c r="F1981" t="str">
        <f t="shared" si="121"/>
        <v>feb</v>
      </c>
      <c r="G1981">
        <v>20</v>
      </c>
      <c r="H1981">
        <v>20</v>
      </c>
      <c r="I1981" t="str">
        <f t="shared" si="120"/>
        <v>1-feb-2020</v>
      </c>
      <c r="K1981" s="49">
        <f t="shared" si="122"/>
        <v>43862</v>
      </c>
      <c r="M1981" t="b">
        <f t="shared" si="123"/>
        <v>1</v>
      </c>
    </row>
    <row r="1982" spans="1:13" x14ac:dyDescent="0.3">
      <c r="A1982" s="49">
        <v>45261</v>
      </c>
      <c r="D1982" t="s">
        <v>7359</v>
      </c>
      <c r="E1982">
        <v>1</v>
      </c>
      <c r="F1982" t="str">
        <f t="shared" si="121"/>
        <v>jul</v>
      </c>
      <c r="G1982">
        <v>20</v>
      </c>
      <c r="H1982">
        <v>22</v>
      </c>
      <c r="I1982" t="str">
        <f t="shared" si="120"/>
        <v>1-jul-2022</v>
      </c>
      <c r="K1982" s="49">
        <f t="shared" si="122"/>
        <v>44743</v>
      </c>
      <c r="M1982" t="b">
        <f t="shared" si="123"/>
        <v>1</v>
      </c>
    </row>
    <row r="1983" spans="1:13" x14ac:dyDescent="0.3">
      <c r="A1983" s="49">
        <v>45261</v>
      </c>
      <c r="D1983" t="s">
        <v>7359</v>
      </c>
      <c r="E1983">
        <v>1</v>
      </c>
      <c r="F1983" t="str">
        <f t="shared" si="121"/>
        <v>jul</v>
      </c>
      <c r="G1983">
        <v>20</v>
      </c>
      <c r="H1983">
        <v>22</v>
      </c>
      <c r="I1983" t="str">
        <f t="shared" si="120"/>
        <v>1-jul-2022</v>
      </c>
      <c r="K1983" s="49">
        <f t="shared" si="122"/>
        <v>44743</v>
      </c>
      <c r="M1983" t="b">
        <f t="shared" si="123"/>
        <v>1</v>
      </c>
    </row>
    <row r="1984" spans="1:13" x14ac:dyDescent="0.3">
      <c r="A1984" s="49">
        <v>45261</v>
      </c>
      <c r="D1984" t="s">
        <v>7360</v>
      </c>
      <c r="E1984">
        <v>1</v>
      </c>
      <c r="F1984" t="str">
        <f t="shared" si="121"/>
        <v>nov</v>
      </c>
      <c r="G1984">
        <v>20</v>
      </c>
      <c r="H1984">
        <v>23</v>
      </c>
      <c r="I1984" t="str">
        <f t="shared" si="120"/>
        <v>1-nov-2023</v>
      </c>
      <c r="K1984" s="49">
        <f t="shared" si="122"/>
        <v>45231</v>
      </c>
      <c r="M1984" t="b">
        <f t="shared" si="123"/>
        <v>1</v>
      </c>
    </row>
    <row r="1985" spans="1:13" x14ac:dyDescent="0.3">
      <c r="A1985" s="49">
        <v>45261</v>
      </c>
      <c r="D1985" t="s">
        <v>7355</v>
      </c>
      <c r="E1985">
        <v>1</v>
      </c>
      <c r="F1985" t="str">
        <f t="shared" si="121"/>
        <v>sep</v>
      </c>
      <c r="G1985">
        <v>20</v>
      </c>
      <c r="H1985">
        <v>23</v>
      </c>
      <c r="I1985" t="str">
        <f t="shared" ref="I1985:I2048" si="124">_xlfn.CONCAT(E1985,"-",F1985,"-",G1985,H1985)</f>
        <v>1-sep-2023</v>
      </c>
      <c r="K1985" s="49">
        <f t="shared" si="122"/>
        <v>45170</v>
      </c>
      <c r="M1985" t="b">
        <f t="shared" si="123"/>
        <v>1</v>
      </c>
    </row>
    <row r="1986" spans="1:13" x14ac:dyDescent="0.3">
      <c r="A1986" s="49">
        <v>45261</v>
      </c>
      <c r="D1986" t="s">
        <v>7369</v>
      </c>
      <c r="E1986">
        <v>1</v>
      </c>
      <c r="F1986" t="str">
        <f t="shared" ref="F1986:F2049" si="125">LOWER(D1986)</f>
        <v>abr</v>
      </c>
      <c r="G1986">
        <v>20</v>
      </c>
      <c r="H1986">
        <v>22</v>
      </c>
      <c r="I1986" t="str">
        <f t="shared" si="124"/>
        <v>1-abr-2022</v>
      </c>
      <c r="K1986" s="49">
        <f t="shared" ref="K1986:K2049" si="126">DATEVALUE(I1986)</f>
        <v>44652</v>
      </c>
      <c r="M1986" t="b">
        <f t="shared" si="123"/>
        <v>1</v>
      </c>
    </row>
    <row r="1987" spans="1:13" x14ac:dyDescent="0.3">
      <c r="A1987" s="49">
        <v>45261</v>
      </c>
      <c r="D1987" t="s">
        <v>7359</v>
      </c>
      <c r="E1987">
        <v>1</v>
      </c>
      <c r="F1987" t="str">
        <f t="shared" si="125"/>
        <v>jul</v>
      </c>
      <c r="G1987">
        <v>20</v>
      </c>
      <c r="H1987">
        <v>23</v>
      </c>
      <c r="I1987" t="str">
        <f t="shared" si="124"/>
        <v>1-jul-2023</v>
      </c>
      <c r="K1987" s="49">
        <f t="shared" si="126"/>
        <v>45108</v>
      </c>
      <c r="M1987" t="b">
        <f t="shared" ref="M1987:M2050" si="127">K1987&lt;A1987</f>
        <v>1</v>
      </c>
    </row>
    <row r="1988" spans="1:13" x14ac:dyDescent="0.3">
      <c r="A1988" s="49">
        <v>45261</v>
      </c>
      <c r="D1988" t="s">
        <v>7370</v>
      </c>
      <c r="E1988">
        <v>1</v>
      </c>
      <c r="F1988" t="str">
        <f t="shared" si="125"/>
        <v>may</v>
      </c>
      <c r="G1988">
        <v>20</v>
      </c>
      <c r="H1988">
        <v>20</v>
      </c>
      <c r="I1988" t="str">
        <f t="shared" si="124"/>
        <v>1-may-2020</v>
      </c>
      <c r="K1988" s="49">
        <f t="shared" si="126"/>
        <v>43952</v>
      </c>
      <c r="M1988" t="b">
        <f t="shared" si="127"/>
        <v>1</v>
      </c>
    </row>
    <row r="1989" spans="1:13" x14ac:dyDescent="0.3">
      <c r="A1989" s="49">
        <v>45261</v>
      </c>
      <c r="D1989" t="s">
        <v>7371</v>
      </c>
      <c r="E1989">
        <v>1</v>
      </c>
      <c r="F1989" t="str">
        <f t="shared" si="125"/>
        <v>jul</v>
      </c>
      <c r="G1989">
        <v>20</v>
      </c>
      <c r="H1989">
        <v>25</v>
      </c>
      <c r="I1989" t="str">
        <f t="shared" si="124"/>
        <v>1-jul-2025</v>
      </c>
      <c r="K1989" s="49">
        <f t="shared" si="126"/>
        <v>45839</v>
      </c>
      <c r="M1989" t="b">
        <f t="shared" si="127"/>
        <v>0</v>
      </c>
    </row>
    <row r="1990" spans="1:13" x14ac:dyDescent="0.3">
      <c r="A1990" s="49">
        <v>45261</v>
      </c>
      <c r="D1990" t="s">
        <v>7362</v>
      </c>
      <c r="E1990">
        <v>1</v>
      </c>
      <c r="F1990" t="str">
        <f t="shared" si="125"/>
        <v>ago</v>
      </c>
      <c r="G1990">
        <v>20</v>
      </c>
      <c r="H1990">
        <v>23</v>
      </c>
      <c r="I1990" t="str">
        <f t="shared" si="124"/>
        <v>1-ago-2023</v>
      </c>
      <c r="K1990" s="49">
        <f t="shared" si="126"/>
        <v>45139</v>
      </c>
      <c r="M1990" t="b">
        <f t="shared" si="127"/>
        <v>1</v>
      </c>
    </row>
    <row r="1991" spans="1:13" x14ac:dyDescent="0.3">
      <c r="A1991" s="49">
        <v>45261</v>
      </c>
      <c r="D1991" t="s">
        <v>7362</v>
      </c>
      <c r="E1991">
        <v>1</v>
      </c>
      <c r="F1991" t="str">
        <f t="shared" si="125"/>
        <v>ago</v>
      </c>
      <c r="G1991">
        <v>20</v>
      </c>
      <c r="H1991">
        <v>23</v>
      </c>
      <c r="I1991" t="str">
        <f t="shared" si="124"/>
        <v>1-ago-2023</v>
      </c>
      <c r="K1991" s="49">
        <f t="shared" si="126"/>
        <v>45139</v>
      </c>
      <c r="M1991" t="b">
        <f t="shared" si="127"/>
        <v>1</v>
      </c>
    </row>
    <row r="1992" spans="1:13" x14ac:dyDescent="0.3">
      <c r="A1992" s="49">
        <v>45261</v>
      </c>
      <c r="D1992" t="s">
        <v>7367</v>
      </c>
      <c r="E1992">
        <v>1</v>
      </c>
      <c r="F1992" t="str">
        <f t="shared" si="125"/>
        <v>jun</v>
      </c>
      <c r="G1992">
        <v>20</v>
      </c>
      <c r="H1992">
        <v>23</v>
      </c>
      <c r="I1992" t="str">
        <f t="shared" si="124"/>
        <v>1-jun-2023</v>
      </c>
      <c r="K1992" s="49">
        <f t="shared" si="126"/>
        <v>45078</v>
      </c>
      <c r="M1992" t="b">
        <f t="shared" si="127"/>
        <v>1</v>
      </c>
    </row>
    <row r="1993" spans="1:13" x14ac:dyDescent="0.3">
      <c r="A1993" s="49">
        <v>45261</v>
      </c>
      <c r="D1993" t="s">
        <v>7356</v>
      </c>
      <c r="E1993">
        <v>1</v>
      </c>
      <c r="F1993" t="str">
        <f t="shared" si="125"/>
        <v>ene</v>
      </c>
      <c r="G1993">
        <v>20</v>
      </c>
      <c r="H1993">
        <v>19</v>
      </c>
      <c r="I1993" t="str">
        <f t="shared" si="124"/>
        <v>1-ene-2019</v>
      </c>
      <c r="K1993" s="49">
        <f t="shared" si="126"/>
        <v>43466</v>
      </c>
      <c r="M1993" t="b">
        <f t="shared" si="127"/>
        <v>1</v>
      </c>
    </row>
    <row r="1994" spans="1:13" x14ac:dyDescent="0.3">
      <c r="A1994" s="49">
        <v>45261</v>
      </c>
      <c r="D1994" t="s">
        <v>7355</v>
      </c>
      <c r="E1994">
        <v>1</v>
      </c>
      <c r="F1994" t="str">
        <f t="shared" si="125"/>
        <v>sep</v>
      </c>
      <c r="G1994">
        <v>20</v>
      </c>
      <c r="H1994">
        <v>23</v>
      </c>
      <c r="I1994" t="str">
        <f t="shared" si="124"/>
        <v>1-sep-2023</v>
      </c>
      <c r="K1994" s="49">
        <f t="shared" si="126"/>
        <v>45170</v>
      </c>
      <c r="M1994" t="b">
        <f t="shared" si="127"/>
        <v>1</v>
      </c>
    </row>
    <row r="1995" spans="1:13" x14ac:dyDescent="0.3">
      <c r="A1995" s="49">
        <v>45261</v>
      </c>
      <c r="D1995" t="s">
        <v>7360</v>
      </c>
      <c r="E1995">
        <v>1</v>
      </c>
      <c r="F1995" t="str">
        <f t="shared" si="125"/>
        <v>nov</v>
      </c>
      <c r="G1995">
        <v>20</v>
      </c>
      <c r="H1995">
        <v>21</v>
      </c>
      <c r="I1995" t="str">
        <f t="shared" si="124"/>
        <v>1-nov-2021</v>
      </c>
      <c r="K1995" s="49">
        <f t="shared" si="126"/>
        <v>44501</v>
      </c>
      <c r="M1995" t="b">
        <f t="shared" si="127"/>
        <v>1</v>
      </c>
    </row>
    <row r="1996" spans="1:13" x14ac:dyDescent="0.3">
      <c r="A1996" s="49">
        <v>45261</v>
      </c>
      <c r="D1996" t="s">
        <v>7363</v>
      </c>
      <c r="E1996">
        <v>1</v>
      </c>
      <c r="F1996" t="str">
        <f t="shared" si="125"/>
        <v>feb</v>
      </c>
      <c r="G1996">
        <v>20</v>
      </c>
      <c r="H1996">
        <v>23</v>
      </c>
      <c r="I1996" t="str">
        <f t="shared" si="124"/>
        <v>1-feb-2023</v>
      </c>
      <c r="K1996" s="49">
        <f t="shared" si="126"/>
        <v>44958</v>
      </c>
      <c r="M1996" t="b">
        <f t="shared" si="127"/>
        <v>1</v>
      </c>
    </row>
    <row r="1997" spans="1:13" x14ac:dyDescent="0.3">
      <c r="A1997" s="49">
        <v>45261</v>
      </c>
      <c r="D1997" t="s">
        <v>7368</v>
      </c>
      <c r="E1997">
        <v>1</v>
      </c>
      <c r="F1997" t="str">
        <f t="shared" si="125"/>
        <v>mar</v>
      </c>
      <c r="G1997">
        <v>20</v>
      </c>
      <c r="H1997">
        <v>23</v>
      </c>
      <c r="I1997" t="str">
        <f t="shared" si="124"/>
        <v>1-mar-2023</v>
      </c>
      <c r="K1997" s="49">
        <f t="shared" si="126"/>
        <v>44986</v>
      </c>
      <c r="M1997" t="b">
        <f t="shared" si="127"/>
        <v>1</v>
      </c>
    </row>
    <row r="1998" spans="1:13" x14ac:dyDescent="0.3">
      <c r="A1998" s="49">
        <v>45261</v>
      </c>
      <c r="D1998" t="s">
        <v>7360</v>
      </c>
      <c r="E1998">
        <v>1</v>
      </c>
      <c r="F1998" t="str">
        <f t="shared" si="125"/>
        <v>nov</v>
      </c>
      <c r="G1998">
        <v>20</v>
      </c>
      <c r="H1998">
        <v>20</v>
      </c>
      <c r="I1998" t="str">
        <f t="shared" si="124"/>
        <v>1-nov-2020</v>
      </c>
      <c r="K1998" s="49">
        <f t="shared" si="126"/>
        <v>44136</v>
      </c>
      <c r="M1998" t="b">
        <f t="shared" si="127"/>
        <v>1</v>
      </c>
    </row>
    <row r="1999" spans="1:13" x14ac:dyDescent="0.3">
      <c r="A1999" s="49">
        <v>45261</v>
      </c>
      <c r="D1999" t="s">
        <v>7357</v>
      </c>
      <c r="E1999">
        <v>1</v>
      </c>
      <c r="F1999" t="str">
        <f t="shared" si="125"/>
        <v>oct</v>
      </c>
      <c r="G1999">
        <v>20</v>
      </c>
      <c r="H1999">
        <v>21</v>
      </c>
      <c r="I1999" t="str">
        <f t="shared" si="124"/>
        <v>1-oct-2021</v>
      </c>
      <c r="K1999" s="49">
        <f t="shared" si="126"/>
        <v>44470</v>
      </c>
      <c r="M1999" t="b">
        <f t="shared" si="127"/>
        <v>1</v>
      </c>
    </row>
    <row r="2000" spans="1:13" x14ac:dyDescent="0.3">
      <c r="A2000" s="49">
        <v>45261</v>
      </c>
      <c r="D2000" t="s">
        <v>7370</v>
      </c>
      <c r="E2000">
        <v>1</v>
      </c>
      <c r="F2000" t="str">
        <f t="shared" si="125"/>
        <v>may</v>
      </c>
      <c r="G2000">
        <v>20</v>
      </c>
      <c r="H2000">
        <v>20</v>
      </c>
      <c r="I2000" t="str">
        <f t="shared" si="124"/>
        <v>1-may-2020</v>
      </c>
      <c r="K2000" s="49">
        <f t="shared" si="126"/>
        <v>43952</v>
      </c>
      <c r="M2000" t="b">
        <f t="shared" si="127"/>
        <v>1</v>
      </c>
    </row>
    <row r="2001" spans="1:13" x14ac:dyDescent="0.3">
      <c r="A2001" s="49">
        <v>45261</v>
      </c>
      <c r="D2001" t="s">
        <v>7368</v>
      </c>
      <c r="E2001">
        <v>1</v>
      </c>
      <c r="F2001" t="str">
        <f t="shared" si="125"/>
        <v>mar</v>
      </c>
      <c r="G2001">
        <v>20</v>
      </c>
      <c r="H2001">
        <v>22</v>
      </c>
      <c r="I2001" t="str">
        <f t="shared" si="124"/>
        <v>1-mar-2022</v>
      </c>
      <c r="K2001" s="49">
        <f t="shared" si="126"/>
        <v>44621</v>
      </c>
      <c r="M2001" t="b">
        <f t="shared" si="127"/>
        <v>1</v>
      </c>
    </row>
    <row r="2002" spans="1:13" x14ac:dyDescent="0.3">
      <c r="A2002" s="49">
        <v>45261</v>
      </c>
      <c r="D2002" t="s">
        <v>7355</v>
      </c>
      <c r="E2002">
        <v>1</v>
      </c>
      <c r="F2002" t="str">
        <f t="shared" si="125"/>
        <v>sep</v>
      </c>
      <c r="G2002">
        <v>20</v>
      </c>
      <c r="H2002">
        <v>22</v>
      </c>
      <c r="I2002" t="str">
        <f t="shared" si="124"/>
        <v>1-sep-2022</v>
      </c>
      <c r="K2002" s="49">
        <f t="shared" si="126"/>
        <v>44805</v>
      </c>
      <c r="M2002" t="b">
        <f t="shared" si="127"/>
        <v>1</v>
      </c>
    </row>
    <row r="2003" spans="1:13" x14ac:dyDescent="0.3">
      <c r="A2003" s="49">
        <v>45261</v>
      </c>
      <c r="D2003" t="s">
        <v>7357</v>
      </c>
      <c r="E2003">
        <v>1</v>
      </c>
      <c r="F2003" t="str">
        <f t="shared" si="125"/>
        <v>oct</v>
      </c>
      <c r="G2003">
        <v>20</v>
      </c>
      <c r="H2003">
        <v>20</v>
      </c>
      <c r="I2003" t="str">
        <f t="shared" si="124"/>
        <v>1-oct-2020</v>
      </c>
      <c r="K2003" s="49">
        <f t="shared" si="126"/>
        <v>44105</v>
      </c>
      <c r="M2003" t="b">
        <f t="shared" si="127"/>
        <v>1</v>
      </c>
    </row>
    <row r="2004" spans="1:13" x14ac:dyDescent="0.3">
      <c r="A2004" s="49">
        <v>45261</v>
      </c>
      <c r="D2004" t="s">
        <v>7367</v>
      </c>
      <c r="E2004">
        <v>1</v>
      </c>
      <c r="F2004" t="str">
        <f t="shared" si="125"/>
        <v>jun</v>
      </c>
      <c r="G2004">
        <v>20</v>
      </c>
      <c r="H2004">
        <v>23</v>
      </c>
      <c r="I2004" t="str">
        <f t="shared" si="124"/>
        <v>1-jun-2023</v>
      </c>
      <c r="K2004" s="49">
        <f t="shared" si="126"/>
        <v>45078</v>
      </c>
      <c r="M2004" t="b">
        <f t="shared" si="127"/>
        <v>1</v>
      </c>
    </row>
    <row r="2005" spans="1:13" x14ac:dyDescent="0.3">
      <c r="A2005" s="49">
        <v>45261</v>
      </c>
      <c r="D2005" t="s">
        <v>7367</v>
      </c>
      <c r="E2005">
        <v>1</v>
      </c>
      <c r="F2005" t="str">
        <f t="shared" si="125"/>
        <v>jun</v>
      </c>
      <c r="G2005">
        <v>20</v>
      </c>
      <c r="H2005">
        <v>19</v>
      </c>
      <c r="I2005" t="str">
        <f t="shared" si="124"/>
        <v>1-jun-2019</v>
      </c>
      <c r="K2005" s="49">
        <f t="shared" si="126"/>
        <v>43617</v>
      </c>
      <c r="M2005" t="b">
        <f t="shared" si="127"/>
        <v>1</v>
      </c>
    </row>
    <row r="2006" spans="1:13" x14ac:dyDescent="0.3">
      <c r="A2006" s="49">
        <v>45261</v>
      </c>
      <c r="D2006" t="s">
        <v>7359</v>
      </c>
      <c r="E2006">
        <v>1</v>
      </c>
      <c r="F2006" t="str">
        <f t="shared" si="125"/>
        <v>jul</v>
      </c>
      <c r="G2006">
        <v>20</v>
      </c>
      <c r="H2006">
        <v>21</v>
      </c>
      <c r="I2006" t="str">
        <f t="shared" si="124"/>
        <v>1-jul-2021</v>
      </c>
      <c r="K2006" s="49">
        <f t="shared" si="126"/>
        <v>44378</v>
      </c>
      <c r="M2006" t="b">
        <f t="shared" si="127"/>
        <v>1</v>
      </c>
    </row>
    <row r="2007" spans="1:13" x14ac:dyDescent="0.3">
      <c r="A2007" s="49">
        <v>45261</v>
      </c>
      <c r="D2007" t="s">
        <v>7359</v>
      </c>
      <c r="E2007">
        <v>1</v>
      </c>
      <c r="F2007" t="str">
        <f t="shared" si="125"/>
        <v>jul</v>
      </c>
      <c r="G2007">
        <v>20</v>
      </c>
      <c r="H2007">
        <v>21</v>
      </c>
      <c r="I2007" t="str">
        <f t="shared" si="124"/>
        <v>1-jul-2021</v>
      </c>
      <c r="K2007" s="49">
        <f t="shared" si="126"/>
        <v>44378</v>
      </c>
      <c r="M2007" t="b">
        <f t="shared" si="127"/>
        <v>1</v>
      </c>
    </row>
    <row r="2008" spans="1:13" x14ac:dyDescent="0.3">
      <c r="A2008" s="49">
        <v>45261</v>
      </c>
      <c r="D2008" t="s">
        <v>7362</v>
      </c>
      <c r="E2008">
        <v>1</v>
      </c>
      <c r="F2008" t="str">
        <f t="shared" si="125"/>
        <v>ago</v>
      </c>
      <c r="G2008">
        <v>20</v>
      </c>
      <c r="H2008">
        <v>19</v>
      </c>
      <c r="I2008" t="str">
        <f t="shared" si="124"/>
        <v>1-ago-2019</v>
      </c>
      <c r="K2008" s="49">
        <f t="shared" si="126"/>
        <v>43678</v>
      </c>
      <c r="M2008" t="b">
        <f t="shared" si="127"/>
        <v>1</v>
      </c>
    </row>
    <row r="2009" spans="1:13" x14ac:dyDescent="0.3">
      <c r="A2009" s="49">
        <v>45261</v>
      </c>
      <c r="D2009" t="s">
        <v>7356</v>
      </c>
      <c r="E2009">
        <v>1</v>
      </c>
      <c r="F2009" t="str">
        <f t="shared" si="125"/>
        <v>ene</v>
      </c>
      <c r="G2009">
        <v>20</v>
      </c>
      <c r="H2009">
        <v>20</v>
      </c>
      <c r="I2009" t="str">
        <f t="shared" si="124"/>
        <v>1-ene-2020</v>
      </c>
      <c r="K2009" s="49">
        <f t="shared" si="126"/>
        <v>43831</v>
      </c>
      <c r="M2009" t="b">
        <f t="shared" si="127"/>
        <v>1</v>
      </c>
    </row>
    <row r="2010" spans="1:13" x14ac:dyDescent="0.3">
      <c r="A2010" s="49">
        <v>45261</v>
      </c>
      <c r="D2010" t="s">
        <v>7362</v>
      </c>
      <c r="E2010">
        <v>1</v>
      </c>
      <c r="F2010" t="str">
        <f t="shared" si="125"/>
        <v>ago</v>
      </c>
      <c r="G2010">
        <v>20</v>
      </c>
      <c r="H2010">
        <v>21</v>
      </c>
      <c r="I2010" t="str">
        <f t="shared" si="124"/>
        <v>1-ago-2021</v>
      </c>
      <c r="K2010" s="49">
        <f t="shared" si="126"/>
        <v>44409</v>
      </c>
      <c r="M2010" t="b">
        <f t="shared" si="127"/>
        <v>1</v>
      </c>
    </row>
    <row r="2011" spans="1:13" x14ac:dyDescent="0.3">
      <c r="A2011" s="49">
        <v>45261</v>
      </c>
      <c r="D2011" t="s">
        <v>7362</v>
      </c>
      <c r="E2011">
        <v>1</v>
      </c>
      <c r="F2011" t="str">
        <f t="shared" si="125"/>
        <v>ago</v>
      </c>
      <c r="G2011">
        <v>20</v>
      </c>
      <c r="H2011">
        <v>20</v>
      </c>
      <c r="I2011" t="str">
        <f t="shared" si="124"/>
        <v>1-ago-2020</v>
      </c>
      <c r="K2011" s="49">
        <f t="shared" si="126"/>
        <v>44044</v>
      </c>
      <c r="M2011" t="b">
        <f t="shared" si="127"/>
        <v>1</v>
      </c>
    </row>
    <row r="2012" spans="1:13" x14ac:dyDescent="0.3">
      <c r="A2012" s="49">
        <v>45261</v>
      </c>
      <c r="D2012" t="s">
        <v>7363</v>
      </c>
      <c r="E2012">
        <v>1</v>
      </c>
      <c r="F2012" t="str">
        <f t="shared" si="125"/>
        <v>feb</v>
      </c>
      <c r="G2012">
        <v>20</v>
      </c>
      <c r="H2012">
        <v>21</v>
      </c>
      <c r="I2012" t="str">
        <f t="shared" si="124"/>
        <v>1-feb-2021</v>
      </c>
      <c r="K2012" s="49">
        <f t="shared" si="126"/>
        <v>44228</v>
      </c>
      <c r="M2012" t="b">
        <f t="shared" si="127"/>
        <v>1</v>
      </c>
    </row>
    <row r="2013" spans="1:13" x14ac:dyDescent="0.3">
      <c r="A2013" s="49">
        <v>45261</v>
      </c>
      <c r="D2013" t="s">
        <v>7356</v>
      </c>
      <c r="E2013">
        <v>1</v>
      </c>
      <c r="F2013" t="str">
        <f t="shared" si="125"/>
        <v>ene</v>
      </c>
      <c r="G2013">
        <v>20</v>
      </c>
      <c r="H2013">
        <v>22</v>
      </c>
      <c r="I2013" t="str">
        <f t="shared" si="124"/>
        <v>1-ene-2022</v>
      </c>
      <c r="K2013" s="49">
        <f t="shared" si="126"/>
        <v>44562</v>
      </c>
      <c r="M2013" t="b">
        <f t="shared" si="127"/>
        <v>1</v>
      </c>
    </row>
    <row r="2014" spans="1:13" x14ac:dyDescent="0.3">
      <c r="A2014" s="49">
        <v>45261</v>
      </c>
      <c r="D2014" t="s">
        <v>7368</v>
      </c>
      <c r="E2014">
        <v>1</v>
      </c>
      <c r="F2014" t="str">
        <f t="shared" si="125"/>
        <v>mar</v>
      </c>
      <c r="G2014">
        <v>20</v>
      </c>
      <c r="H2014">
        <v>22</v>
      </c>
      <c r="I2014" t="str">
        <f t="shared" si="124"/>
        <v>1-mar-2022</v>
      </c>
      <c r="K2014" s="49">
        <f t="shared" si="126"/>
        <v>44621</v>
      </c>
      <c r="M2014" t="b">
        <f t="shared" si="127"/>
        <v>1</v>
      </c>
    </row>
    <row r="2015" spans="1:13" x14ac:dyDescent="0.3">
      <c r="A2015" s="49">
        <v>45261</v>
      </c>
      <c r="D2015" t="s">
        <v>7355</v>
      </c>
      <c r="E2015">
        <v>1</v>
      </c>
      <c r="F2015" t="str">
        <f t="shared" si="125"/>
        <v>sep</v>
      </c>
      <c r="G2015">
        <v>20</v>
      </c>
      <c r="H2015">
        <v>21</v>
      </c>
      <c r="I2015" t="str">
        <f t="shared" si="124"/>
        <v>1-sep-2021</v>
      </c>
      <c r="K2015" s="49">
        <f t="shared" si="126"/>
        <v>44440</v>
      </c>
      <c r="M2015" t="b">
        <f t="shared" si="127"/>
        <v>1</v>
      </c>
    </row>
    <row r="2016" spans="1:13" x14ac:dyDescent="0.3">
      <c r="A2016" s="49">
        <v>45261</v>
      </c>
      <c r="D2016" t="s">
        <v>7355</v>
      </c>
      <c r="E2016">
        <v>1</v>
      </c>
      <c r="F2016" t="str">
        <f t="shared" si="125"/>
        <v>sep</v>
      </c>
      <c r="G2016">
        <v>20</v>
      </c>
      <c r="H2016">
        <v>23</v>
      </c>
      <c r="I2016" t="str">
        <f t="shared" si="124"/>
        <v>1-sep-2023</v>
      </c>
      <c r="K2016" s="49">
        <f t="shared" si="126"/>
        <v>45170</v>
      </c>
      <c r="M2016" t="b">
        <f t="shared" si="127"/>
        <v>1</v>
      </c>
    </row>
    <row r="2017" spans="1:13" x14ac:dyDescent="0.3">
      <c r="A2017" s="49">
        <v>45261</v>
      </c>
      <c r="D2017" t="s">
        <v>7368</v>
      </c>
      <c r="E2017">
        <v>1</v>
      </c>
      <c r="F2017" t="str">
        <f t="shared" si="125"/>
        <v>mar</v>
      </c>
      <c r="G2017">
        <v>20</v>
      </c>
      <c r="H2017">
        <v>23</v>
      </c>
      <c r="I2017" t="str">
        <f t="shared" si="124"/>
        <v>1-mar-2023</v>
      </c>
      <c r="K2017" s="49">
        <f t="shared" si="126"/>
        <v>44986</v>
      </c>
      <c r="M2017" t="b">
        <f t="shared" si="127"/>
        <v>1</v>
      </c>
    </row>
    <row r="2018" spans="1:13" x14ac:dyDescent="0.3">
      <c r="A2018" s="49">
        <v>45261</v>
      </c>
      <c r="D2018" t="s">
        <v>7359</v>
      </c>
      <c r="E2018">
        <v>1</v>
      </c>
      <c r="F2018" t="str">
        <f t="shared" si="125"/>
        <v>jul</v>
      </c>
      <c r="G2018">
        <v>20</v>
      </c>
      <c r="H2018">
        <v>23</v>
      </c>
      <c r="I2018" t="str">
        <f t="shared" si="124"/>
        <v>1-jul-2023</v>
      </c>
      <c r="K2018" s="49">
        <f t="shared" si="126"/>
        <v>45108</v>
      </c>
      <c r="M2018" t="b">
        <f t="shared" si="127"/>
        <v>1</v>
      </c>
    </row>
    <row r="2019" spans="1:13" x14ac:dyDescent="0.3">
      <c r="A2019" s="49">
        <v>45261</v>
      </c>
      <c r="D2019" t="s">
        <v>7370</v>
      </c>
      <c r="E2019">
        <v>1</v>
      </c>
      <c r="F2019" t="str">
        <f t="shared" si="125"/>
        <v>may</v>
      </c>
      <c r="G2019">
        <v>20</v>
      </c>
      <c r="H2019">
        <v>18</v>
      </c>
      <c r="I2019" t="str">
        <f t="shared" si="124"/>
        <v>1-may-2018</v>
      </c>
      <c r="K2019" s="49">
        <f t="shared" si="126"/>
        <v>43221</v>
      </c>
      <c r="M2019" t="b">
        <f t="shared" si="127"/>
        <v>1</v>
      </c>
    </row>
    <row r="2020" spans="1:13" x14ac:dyDescent="0.3">
      <c r="A2020" s="49">
        <v>45261</v>
      </c>
      <c r="D2020" t="s">
        <v>7355</v>
      </c>
      <c r="E2020">
        <v>1</v>
      </c>
      <c r="F2020" t="str">
        <f t="shared" si="125"/>
        <v>sep</v>
      </c>
      <c r="G2020">
        <v>20</v>
      </c>
      <c r="H2020">
        <v>20</v>
      </c>
      <c r="I2020" t="str">
        <f t="shared" si="124"/>
        <v>1-sep-2020</v>
      </c>
      <c r="K2020" s="49">
        <f t="shared" si="126"/>
        <v>44075</v>
      </c>
      <c r="M2020" t="b">
        <f t="shared" si="127"/>
        <v>1</v>
      </c>
    </row>
    <row r="2021" spans="1:13" x14ac:dyDescent="0.3">
      <c r="A2021" s="49">
        <v>45261</v>
      </c>
      <c r="D2021" t="s">
        <v>7368</v>
      </c>
      <c r="E2021">
        <v>1</v>
      </c>
      <c r="F2021" t="str">
        <f t="shared" si="125"/>
        <v>mar</v>
      </c>
      <c r="G2021">
        <v>20</v>
      </c>
      <c r="H2021">
        <v>23</v>
      </c>
      <c r="I2021" t="str">
        <f t="shared" si="124"/>
        <v>1-mar-2023</v>
      </c>
      <c r="K2021" s="49">
        <f t="shared" si="126"/>
        <v>44986</v>
      </c>
      <c r="M2021" t="b">
        <f t="shared" si="127"/>
        <v>1</v>
      </c>
    </row>
    <row r="2022" spans="1:13" x14ac:dyDescent="0.3">
      <c r="A2022" s="49">
        <v>45261</v>
      </c>
      <c r="D2022" t="s">
        <v>7366</v>
      </c>
      <c r="E2022">
        <v>1</v>
      </c>
      <c r="F2022" t="str">
        <f t="shared" si="125"/>
        <v>dic</v>
      </c>
      <c r="G2022">
        <v>20</v>
      </c>
      <c r="H2022">
        <v>23</v>
      </c>
      <c r="I2022" t="str">
        <f t="shared" si="124"/>
        <v>1-dic-2023</v>
      </c>
      <c r="K2022" s="49">
        <f t="shared" si="126"/>
        <v>45261</v>
      </c>
      <c r="M2022" t="b">
        <f t="shared" si="127"/>
        <v>0</v>
      </c>
    </row>
    <row r="2023" spans="1:13" x14ac:dyDescent="0.3">
      <c r="A2023" s="49">
        <v>45261</v>
      </c>
      <c r="D2023" t="s">
        <v>7369</v>
      </c>
      <c r="E2023">
        <v>1</v>
      </c>
      <c r="F2023" t="str">
        <f t="shared" si="125"/>
        <v>abr</v>
      </c>
      <c r="G2023">
        <v>20</v>
      </c>
      <c r="H2023">
        <v>15</v>
      </c>
      <c r="I2023" t="str">
        <f t="shared" si="124"/>
        <v>1-abr-2015</v>
      </c>
      <c r="K2023" s="49">
        <f t="shared" si="126"/>
        <v>42095</v>
      </c>
      <c r="M2023" t="b">
        <f t="shared" si="127"/>
        <v>1</v>
      </c>
    </row>
    <row r="2024" spans="1:13" x14ac:dyDescent="0.3">
      <c r="A2024" s="49">
        <v>45261</v>
      </c>
      <c r="D2024" t="s">
        <v>7369</v>
      </c>
      <c r="E2024">
        <v>1</v>
      </c>
      <c r="F2024" t="str">
        <f t="shared" si="125"/>
        <v>abr</v>
      </c>
      <c r="G2024">
        <v>20</v>
      </c>
      <c r="H2024">
        <v>15</v>
      </c>
      <c r="I2024" t="str">
        <f t="shared" si="124"/>
        <v>1-abr-2015</v>
      </c>
      <c r="K2024" s="49">
        <f t="shared" si="126"/>
        <v>42095</v>
      </c>
      <c r="M2024" t="b">
        <f t="shared" si="127"/>
        <v>1</v>
      </c>
    </row>
    <row r="2025" spans="1:13" x14ac:dyDescent="0.3">
      <c r="A2025" s="49">
        <v>45261</v>
      </c>
      <c r="D2025" t="s">
        <v>7369</v>
      </c>
      <c r="E2025">
        <v>1</v>
      </c>
      <c r="F2025" t="str">
        <f t="shared" si="125"/>
        <v>abr</v>
      </c>
      <c r="G2025">
        <v>20</v>
      </c>
      <c r="H2025">
        <v>15</v>
      </c>
      <c r="I2025" t="str">
        <f t="shared" si="124"/>
        <v>1-abr-2015</v>
      </c>
      <c r="K2025" s="49">
        <f t="shared" si="126"/>
        <v>42095</v>
      </c>
      <c r="M2025" t="b">
        <f t="shared" si="127"/>
        <v>1</v>
      </c>
    </row>
    <row r="2026" spans="1:13" x14ac:dyDescent="0.3">
      <c r="A2026" s="49">
        <v>45261</v>
      </c>
      <c r="D2026" t="s">
        <v>7356</v>
      </c>
      <c r="E2026">
        <v>1</v>
      </c>
      <c r="F2026" t="str">
        <f t="shared" si="125"/>
        <v>ene</v>
      </c>
      <c r="G2026">
        <v>20</v>
      </c>
      <c r="H2026">
        <v>21</v>
      </c>
      <c r="I2026" t="str">
        <f t="shared" si="124"/>
        <v>1-ene-2021</v>
      </c>
      <c r="K2026" s="49">
        <f t="shared" si="126"/>
        <v>44197</v>
      </c>
      <c r="M2026" t="b">
        <f t="shared" si="127"/>
        <v>1</v>
      </c>
    </row>
    <row r="2027" spans="1:13" x14ac:dyDescent="0.3">
      <c r="A2027" s="49">
        <v>45261</v>
      </c>
      <c r="D2027" t="s">
        <v>7370</v>
      </c>
      <c r="E2027">
        <v>1</v>
      </c>
      <c r="F2027" t="str">
        <f t="shared" si="125"/>
        <v>may</v>
      </c>
      <c r="G2027">
        <v>20</v>
      </c>
      <c r="H2027">
        <v>23</v>
      </c>
      <c r="I2027" t="str">
        <f t="shared" si="124"/>
        <v>1-may-2023</v>
      </c>
      <c r="K2027" s="49">
        <f t="shared" si="126"/>
        <v>45047</v>
      </c>
      <c r="M2027" t="b">
        <f t="shared" si="127"/>
        <v>1</v>
      </c>
    </row>
    <row r="2028" spans="1:13" x14ac:dyDescent="0.3">
      <c r="A2028" s="49">
        <v>45261</v>
      </c>
      <c r="D2028" t="s">
        <v>7369</v>
      </c>
      <c r="E2028">
        <v>1</v>
      </c>
      <c r="F2028" t="str">
        <f t="shared" si="125"/>
        <v>abr</v>
      </c>
      <c r="G2028">
        <v>20</v>
      </c>
      <c r="H2028">
        <v>22</v>
      </c>
      <c r="I2028" t="str">
        <f t="shared" si="124"/>
        <v>1-abr-2022</v>
      </c>
      <c r="K2028" s="49">
        <f t="shared" si="126"/>
        <v>44652</v>
      </c>
      <c r="M2028" t="b">
        <f t="shared" si="127"/>
        <v>1</v>
      </c>
    </row>
    <row r="2029" spans="1:13" x14ac:dyDescent="0.3">
      <c r="A2029" s="49">
        <v>45261</v>
      </c>
      <c r="D2029" t="s">
        <v>7367</v>
      </c>
      <c r="E2029">
        <v>1</v>
      </c>
      <c r="F2029" t="str">
        <f t="shared" si="125"/>
        <v>jun</v>
      </c>
      <c r="G2029">
        <v>20</v>
      </c>
      <c r="H2029">
        <v>22</v>
      </c>
      <c r="I2029" t="str">
        <f t="shared" si="124"/>
        <v>1-jun-2022</v>
      </c>
      <c r="K2029" s="49">
        <f t="shared" si="126"/>
        <v>44713</v>
      </c>
      <c r="M2029" t="b">
        <f t="shared" si="127"/>
        <v>1</v>
      </c>
    </row>
    <row r="2030" spans="1:13" x14ac:dyDescent="0.3">
      <c r="A2030" s="49">
        <v>45261</v>
      </c>
      <c r="D2030" t="s">
        <v>7359</v>
      </c>
      <c r="E2030">
        <v>1</v>
      </c>
      <c r="F2030" t="str">
        <f t="shared" si="125"/>
        <v>jul</v>
      </c>
      <c r="G2030">
        <v>20</v>
      </c>
      <c r="H2030">
        <v>21</v>
      </c>
      <c r="I2030" t="str">
        <f t="shared" si="124"/>
        <v>1-jul-2021</v>
      </c>
      <c r="K2030" s="49">
        <f t="shared" si="126"/>
        <v>44378</v>
      </c>
      <c r="M2030" t="b">
        <f t="shared" si="127"/>
        <v>1</v>
      </c>
    </row>
    <row r="2031" spans="1:13" x14ac:dyDescent="0.3">
      <c r="A2031" s="49">
        <v>45261</v>
      </c>
      <c r="D2031" t="s">
        <v>7359</v>
      </c>
      <c r="E2031">
        <v>1</v>
      </c>
      <c r="F2031" t="str">
        <f t="shared" si="125"/>
        <v>jul</v>
      </c>
      <c r="G2031">
        <v>20</v>
      </c>
      <c r="H2031">
        <v>21</v>
      </c>
      <c r="I2031" t="str">
        <f t="shared" si="124"/>
        <v>1-jul-2021</v>
      </c>
      <c r="K2031" s="49">
        <f t="shared" si="126"/>
        <v>44378</v>
      </c>
      <c r="M2031" t="b">
        <f t="shared" si="127"/>
        <v>1</v>
      </c>
    </row>
    <row r="2032" spans="1:13" x14ac:dyDescent="0.3">
      <c r="A2032" s="49">
        <v>45261</v>
      </c>
      <c r="D2032" t="s">
        <v>7366</v>
      </c>
      <c r="E2032">
        <v>1</v>
      </c>
      <c r="F2032" t="str">
        <f t="shared" si="125"/>
        <v>dic</v>
      </c>
      <c r="G2032">
        <v>20</v>
      </c>
      <c r="H2032">
        <v>23</v>
      </c>
      <c r="I2032" t="str">
        <f t="shared" si="124"/>
        <v>1-dic-2023</v>
      </c>
      <c r="K2032" s="49">
        <f t="shared" si="126"/>
        <v>45261</v>
      </c>
      <c r="M2032" t="b">
        <f t="shared" si="127"/>
        <v>0</v>
      </c>
    </row>
    <row r="2033" spans="1:13" x14ac:dyDescent="0.3">
      <c r="A2033" s="49">
        <v>45261</v>
      </c>
      <c r="D2033" t="s">
        <v>7369</v>
      </c>
      <c r="E2033">
        <v>1</v>
      </c>
      <c r="F2033" t="str">
        <f t="shared" si="125"/>
        <v>abr</v>
      </c>
      <c r="G2033">
        <v>20</v>
      </c>
      <c r="H2033">
        <v>23</v>
      </c>
      <c r="I2033" t="str">
        <f t="shared" si="124"/>
        <v>1-abr-2023</v>
      </c>
      <c r="K2033" s="49">
        <f t="shared" si="126"/>
        <v>45017</v>
      </c>
      <c r="M2033" t="b">
        <f t="shared" si="127"/>
        <v>1</v>
      </c>
    </row>
    <row r="2034" spans="1:13" x14ac:dyDescent="0.3">
      <c r="A2034" s="49">
        <v>45261</v>
      </c>
      <c r="D2034" t="s">
        <v>7359</v>
      </c>
      <c r="E2034">
        <v>1</v>
      </c>
      <c r="F2034" t="str">
        <f t="shared" si="125"/>
        <v>jul</v>
      </c>
      <c r="G2034">
        <v>20</v>
      </c>
      <c r="H2034">
        <v>21</v>
      </c>
      <c r="I2034" t="str">
        <f t="shared" si="124"/>
        <v>1-jul-2021</v>
      </c>
      <c r="K2034" s="49">
        <f t="shared" si="126"/>
        <v>44378</v>
      </c>
      <c r="M2034" t="b">
        <f t="shared" si="127"/>
        <v>1</v>
      </c>
    </row>
    <row r="2035" spans="1:13" x14ac:dyDescent="0.3">
      <c r="A2035" s="49">
        <v>45261</v>
      </c>
      <c r="D2035" t="s">
        <v>7357</v>
      </c>
      <c r="E2035">
        <v>1</v>
      </c>
      <c r="F2035" t="str">
        <f t="shared" si="125"/>
        <v>oct</v>
      </c>
      <c r="G2035">
        <v>20</v>
      </c>
      <c r="H2035">
        <v>22</v>
      </c>
      <c r="I2035" t="str">
        <f t="shared" si="124"/>
        <v>1-oct-2022</v>
      </c>
      <c r="K2035" s="49">
        <f t="shared" si="126"/>
        <v>44835</v>
      </c>
      <c r="M2035" t="b">
        <f t="shared" si="127"/>
        <v>1</v>
      </c>
    </row>
    <row r="2036" spans="1:13" x14ac:dyDescent="0.3">
      <c r="A2036" s="49">
        <v>45261</v>
      </c>
      <c r="D2036" t="s">
        <v>7370</v>
      </c>
      <c r="E2036">
        <v>1</v>
      </c>
      <c r="F2036" t="str">
        <f t="shared" si="125"/>
        <v>may</v>
      </c>
      <c r="G2036">
        <v>20</v>
      </c>
      <c r="H2036">
        <v>22</v>
      </c>
      <c r="I2036" t="str">
        <f t="shared" si="124"/>
        <v>1-may-2022</v>
      </c>
      <c r="K2036" s="49">
        <f t="shared" si="126"/>
        <v>44682</v>
      </c>
      <c r="M2036" t="b">
        <f t="shared" si="127"/>
        <v>1</v>
      </c>
    </row>
    <row r="2037" spans="1:13" x14ac:dyDescent="0.3">
      <c r="A2037" s="49">
        <v>45261</v>
      </c>
      <c r="D2037" t="s">
        <v>7360</v>
      </c>
      <c r="E2037">
        <v>1</v>
      </c>
      <c r="F2037" t="str">
        <f t="shared" si="125"/>
        <v>nov</v>
      </c>
      <c r="G2037">
        <v>20</v>
      </c>
      <c r="H2037">
        <v>24</v>
      </c>
      <c r="I2037" t="str">
        <f t="shared" si="124"/>
        <v>1-nov-2024</v>
      </c>
      <c r="K2037" s="49">
        <f t="shared" si="126"/>
        <v>45597</v>
      </c>
      <c r="M2037" t="b">
        <f t="shared" si="127"/>
        <v>0</v>
      </c>
    </row>
    <row r="2038" spans="1:13" x14ac:dyDescent="0.3">
      <c r="A2038" s="49">
        <v>45261</v>
      </c>
      <c r="D2038" t="s">
        <v>7363</v>
      </c>
      <c r="E2038">
        <v>1</v>
      </c>
      <c r="F2038" t="str">
        <f t="shared" si="125"/>
        <v>feb</v>
      </c>
      <c r="G2038">
        <v>20</v>
      </c>
      <c r="H2038">
        <v>22</v>
      </c>
      <c r="I2038" t="str">
        <f t="shared" si="124"/>
        <v>1-feb-2022</v>
      </c>
      <c r="K2038" s="49">
        <f t="shared" si="126"/>
        <v>44593</v>
      </c>
      <c r="M2038" t="b">
        <f t="shared" si="127"/>
        <v>1</v>
      </c>
    </row>
    <row r="2039" spans="1:13" x14ac:dyDescent="0.3">
      <c r="A2039" s="49">
        <v>45261</v>
      </c>
      <c r="D2039" t="s">
        <v>7363</v>
      </c>
      <c r="E2039">
        <v>1</v>
      </c>
      <c r="F2039" t="str">
        <f t="shared" si="125"/>
        <v>feb</v>
      </c>
      <c r="G2039">
        <v>20</v>
      </c>
      <c r="H2039">
        <v>22</v>
      </c>
      <c r="I2039" t="str">
        <f t="shared" si="124"/>
        <v>1-feb-2022</v>
      </c>
      <c r="K2039" s="49">
        <f t="shared" si="126"/>
        <v>44593</v>
      </c>
      <c r="M2039" t="b">
        <f t="shared" si="127"/>
        <v>1</v>
      </c>
    </row>
    <row r="2040" spans="1:13" x14ac:dyDescent="0.3">
      <c r="A2040" s="49">
        <v>45261</v>
      </c>
      <c r="D2040" t="s">
        <v>7363</v>
      </c>
      <c r="E2040">
        <v>1</v>
      </c>
      <c r="F2040" t="str">
        <f t="shared" si="125"/>
        <v>feb</v>
      </c>
      <c r="G2040">
        <v>20</v>
      </c>
      <c r="H2040">
        <v>22</v>
      </c>
      <c r="I2040" t="str">
        <f t="shared" si="124"/>
        <v>1-feb-2022</v>
      </c>
      <c r="K2040" s="49">
        <f t="shared" si="126"/>
        <v>44593</v>
      </c>
      <c r="M2040" t="b">
        <f t="shared" si="127"/>
        <v>1</v>
      </c>
    </row>
    <row r="2041" spans="1:13" x14ac:dyDescent="0.3">
      <c r="A2041" s="49">
        <v>45261</v>
      </c>
      <c r="D2041" t="s">
        <v>7366</v>
      </c>
      <c r="E2041">
        <v>1</v>
      </c>
      <c r="F2041" t="str">
        <f t="shared" si="125"/>
        <v>dic</v>
      </c>
      <c r="G2041">
        <v>20</v>
      </c>
      <c r="H2041">
        <v>21</v>
      </c>
      <c r="I2041" t="str">
        <f t="shared" si="124"/>
        <v>1-dic-2021</v>
      </c>
      <c r="K2041" s="49">
        <f t="shared" si="126"/>
        <v>44531</v>
      </c>
      <c r="M2041" t="b">
        <f t="shared" si="127"/>
        <v>1</v>
      </c>
    </row>
    <row r="2042" spans="1:13" x14ac:dyDescent="0.3">
      <c r="A2042" s="49">
        <v>45261</v>
      </c>
      <c r="D2042" t="s">
        <v>7366</v>
      </c>
      <c r="E2042">
        <v>1</v>
      </c>
      <c r="F2042" t="str">
        <f t="shared" si="125"/>
        <v>dic</v>
      </c>
      <c r="G2042">
        <v>20</v>
      </c>
      <c r="H2042">
        <v>21</v>
      </c>
      <c r="I2042" t="str">
        <f t="shared" si="124"/>
        <v>1-dic-2021</v>
      </c>
      <c r="K2042" s="49">
        <f t="shared" si="126"/>
        <v>44531</v>
      </c>
      <c r="M2042" t="b">
        <f t="shared" si="127"/>
        <v>1</v>
      </c>
    </row>
    <row r="2043" spans="1:13" x14ac:dyDescent="0.3">
      <c r="A2043" s="49">
        <v>45261</v>
      </c>
      <c r="D2043" t="s">
        <v>7369</v>
      </c>
      <c r="E2043">
        <v>1</v>
      </c>
      <c r="F2043" t="str">
        <f t="shared" si="125"/>
        <v>abr</v>
      </c>
      <c r="G2043">
        <v>20</v>
      </c>
      <c r="H2043">
        <v>23</v>
      </c>
      <c r="I2043" t="str">
        <f t="shared" si="124"/>
        <v>1-abr-2023</v>
      </c>
      <c r="K2043" s="49">
        <f t="shared" si="126"/>
        <v>45017</v>
      </c>
      <c r="M2043" t="b">
        <f t="shared" si="127"/>
        <v>1</v>
      </c>
    </row>
    <row r="2044" spans="1:13" x14ac:dyDescent="0.3">
      <c r="A2044" s="49">
        <v>45261</v>
      </c>
      <c r="D2044" t="s">
        <v>7369</v>
      </c>
      <c r="E2044">
        <v>1</v>
      </c>
      <c r="F2044" t="str">
        <f t="shared" si="125"/>
        <v>abr</v>
      </c>
      <c r="G2044">
        <v>20</v>
      </c>
      <c r="H2044">
        <v>23</v>
      </c>
      <c r="I2044" t="str">
        <f t="shared" si="124"/>
        <v>1-abr-2023</v>
      </c>
      <c r="K2044" s="49">
        <f t="shared" si="126"/>
        <v>45017</v>
      </c>
      <c r="M2044" t="b">
        <f t="shared" si="127"/>
        <v>1</v>
      </c>
    </row>
    <row r="2045" spans="1:13" x14ac:dyDescent="0.3">
      <c r="A2045" s="49">
        <v>45261</v>
      </c>
      <c r="D2045" t="s">
        <v>7366</v>
      </c>
      <c r="E2045">
        <v>1</v>
      </c>
      <c r="F2045" t="str">
        <f t="shared" si="125"/>
        <v>dic</v>
      </c>
      <c r="G2045">
        <v>20</v>
      </c>
      <c r="H2045">
        <v>22</v>
      </c>
      <c r="I2045" t="str">
        <f t="shared" si="124"/>
        <v>1-dic-2022</v>
      </c>
      <c r="K2045" s="49">
        <f t="shared" si="126"/>
        <v>44896</v>
      </c>
      <c r="M2045" t="b">
        <f t="shared" si="127"/>
        <v>1</v>
      </c>
    </row>
    <row r="2046" spans="1:13" x14ac:dyDescent="0.3">
      <c r="A2046" s="49">
        <v>45261</v>
      </c>
      <c r="D2046" t="s">
        <v>7360</v>
      </c>
      <c r="E2046">
        <v>1</v>
      </c>
      <c r="F2046" t="str">
        <f t="shared" si="125"/>
        <v>nov</v>
      </c>
      <c r="G2046">
        <v>20</v>
      </c>
      <c r="H2046">
        <v>23</v>
      </c>
      <c r="I2046" t="str">
        <f t="shared" si="124"/>
        <v>1-nov-2023</v>
      </c>
      <c r="K2046" s="49">
        <f t="shared" si="126"/>
        <v>45231</v>
      </c>
      <c r="M2046" t="b">
        <f t="shared" si="127"/>
        <v>1</v>
      </c>
    </row>
    <row r="2047" spans="1:13" x14ac:dyDescent="0.3">
      <c r="A2047" s="49">
        <v>45261</v>
      </c>
      <c r="D2047" t="s">
        <v>7367</v>
      </c>
      <c r="E2047">
        <v>1</v>
      </c>
      <c r="F2047" t="str">
        <f t="shared" si="125"/>
        <v>jun</v>
      </c>
      <c r="G2047">
        <v>20</v>
      </c>
      <c r="H2047">
        <v>17</v>
      </c>
      <c r="I2047" t="str">
        <f t="shared" si="124"/>
        <v>1-jun-2017</v>
      </c>
      <c r="K2047" s="49">
        <f t="shared" si="126"/>
        <v>42887</v>
      </c>
      <c r="M2047" t="b">
        <f t="shared" si="127"/>
        <v>1</v>
      </c>
    </row>
    <row r="2048" spans="1:13" x14ac:dyDescent="0.3">
      <c r="A2048" s="49">
        <v>45261</v>
      </c>
      <c r="D2048" t="s">
        <v>7360</v>
      </c>
      <c r="E2048">
        <v>1</v>
      </c>
      <c r="F2048" t="str">
        <f t="shared" si="125"/>
        <v>nov</v>
      </c>
      <c r="G2048">
        <v>20</v>
      </c>
      <c r="H2048">
        <v>16</v>
      </c>
      <c r="I2048" t="str">
        <f t="shared" si="124"/>
        <v>1-nov-2016</v>
      </c>
      <c r="K2048" s="49">
        <f t="shared" si="126"/>
        <v>42675</v>
      </c>
      <c r="M2048" t="b">
        <f t="shared" si="127"/>
        <v>1</v>
      </c>
    </row>
    <row r="2049" spans="1:13" x14ac:dyDescent="0.3">
      <c r="A2049" s="49">
        <v>45261</v>
      </c>
      <c r="D2049" t="s">
        <v>7362</v>
      </c>
      <c r="E2049">
        <v>1</v>
      </c>
      <c r="F2049" t="str">
        <f t="shared" si="125"/>
        <v>ago</v>
      </c>
      <c r="G2049">
        <v>20</v>
      </c>
      <c r="H2049">
        <v>21</v>
      </c>
      <c r="I2049" t="str">
        <f t="shared" ref="I2049:I2112" si="128">_xlfn.CONCAT(E2049,"-",F2049,"-",G2049,H2049)</f>
        <v>1-ago-2021</v>
      </c>
      <c r="K2049" s="49">
        <f t="shared" si="126"/>
        <v>44409</v>
      </c>
      <c r="M2049" t="b">
        <f t="shared" si="127"/>
        <v>1</v>
      </c>
    </row>
    <row r="2050" spans="1:13" x14ac:dyDescent="0.3">
      <c r="A2050" s="49">
        <v>45261</v>
      </c>
      <c r="D2050" t="s">
        <v>7357</v>
      </c>
      <c r="E2050">
        <v>1</v>
      </c>
      <c r="F2050" t="str">
        <f t="shared" ref="F2050:F2113" si="129">LOWER(D2050)</f>
        <v>oct</v>
      </c>
      <c r="G2050">
        <v>20</v>
      </c>
      <c r="H2050">
        <v>21</v>
      </c>
      <c r="I2050" t="str">
        <f t="shared" si="128"/>
        <v>1-oct-2021</v>
      </c>
      <c r="K2050" s="49">
        <f t="shared" ref="K2050:K2113" si="130">DATEVALUE(I2050)</f>
        <v>44470</v>
      </c>
      <c r="M2050" t="b">
        <f t="shared" si="127"/>
        <v>1</v>
      </c>
    </row>
    <row r="2051" spans="1:13" x14ac:dyDescent="0.3">
      <c r="A2051" s="49">
        <v>45261</v>
      </c>
      <c r="D2051" t="s">
        <v>7370</v>
      </c>
      <c r="E2051">
        <v>1</v>
      </c>
      <c r="F2051" t="str">
        <f t="shared" si="129"/>
        <v>may</v>
      </c>
      <c r="G2051">
        <v>20</v>
      </c>
      <c r="H2051">
        <v>21</v>
      </c>
      <c r="I2051" t="str">
        <f t="shared" si="128"/>
        <v>1-may-2021</v>
      </c>
      <c r="K2051" s="49">
        <f t="shared" si="130"/>
        <v>44317</v>
      </c>
      <c r="M2051" t="b">
        <f t="shared" ref="M2051:M2114" si="131">K2051&lt;A2051</f>
        <v>1</v>
      </c>
    </row>
    <row r="2052" spans="1:13" x14ac:dyDescent="0.3">
      <c r="A2052" s="49">
        <v>45261</v>
      </c>
      <c r="D2052" t="s">
        <v>7357</v>
      </c>
      <c r="E2052">
        <v>1</v>
      </c>
      <c r="F2052" t="str">
        <f t="shared" si="129"/>
        <v>oct</v>
      </c>
      <c r="G2052">
        <v>20</v>
      </c>
      <c r="H2052">
        <v>23</v>
      </c>
      <c r="I2052" t="str">
        <f t="shared" si="128"/>
        <v>1-oct-2023</v>
      </c>
      <c r="K2052" s="49">
        <f t="shared" si="130"/>
        <v>45200</v>
      </c>
      <c r="M2052" t="b">
        <f t="shared" si="131"/>
        <v>1</v>
      </c>
    </row>
    <row r="2053" spans="1:13" x14ac:dyDescent="0.3">
      <c r="A2053" s="49">
        <v>45261</v>
      </c>
      <c r="D2053" t="s">
        <v>7357</v>
      </c>
      <c r="E2053">
        <v>1</v>
      </c>
      <c r="F2053" t="str">
        <f t="shared" si="129"/>
        <v>oct</v>
      </c>
      <c r="G2053">
        <v>20</v>
      </c>
      <c r="H2053">
        <v>23</v>
      </c>
      <c r="I2053" t="str">
        <f t="shared" si="128"/>
        <v>1-oct-2023</v>
      </c>
      <c r="K2053" s="49">
        <f t="shared" si="130"/>
        <v>45200</v>
      </c>
      <c r="M2053" t="b">
        <f t="shared" si="131"/>
        <v>1</v>
      </c>
    </row>
    <row r="2054" spans="1:13" x14ac:dyDescent="0.3">
      <c r="A2054" s="49">
        <v>45261</v>
      </c>
      <c r="D2054" t="s">
        <v>7355</v>
      </c>
      <c r="E2054">
        <v>1</v>
      </c>
      <c r="F2054" t="str">
        <f t="shared" si="129"/>
        <v>sep</v>
      </c>
      <c r="G2054">
        <v>20</v>
      </c>
      <c r="H2054">
        <v>23</v>
      </c>
      <c r="I2054" t="str">
        <f t="shared" si="128"/>
        <v>1-sep-2023</v>
      </c>
      <c r="K2054" s="49">
        <f t="shared" si="130"/>
        <v>45170</v>
      </c>
      <c r="M2054" t="b">
        <f t="shared" si="131"/>
        <v>1</v>
      </c>
    </row>
    <row r="2055" spans="1:13" x14ac:dyDescent="0.3">
      <c r="A2055" s="49">
        <v>45261</v>
      </c>
      <c r="D2055" t="s">
        <v>7367</v>
      </c>
      <c r="E2055">
        <v>1</v>
      </c>
      <c r="F2055" t="str">
        <f t="shared" si="129"/>
        <v>jun</v>
      </c>
      <c r="G2055">
        <v>20</v>
      </c>
      <c r="H2055">
        <v>24</v>
      </c>
      <c r="I2055" t="str">
        <f t="shared" si="128"/>
        <v>1-jun-2024</v>
      </c>
      <c r="K2055" s="49">
        <f t="shared" si="130"/>
        <v>45444</v>
      </c>
      <c r="M2055" t="b">
        <f t="shared" si="131"/>
        <v>0</v>
      </c>
    </row>
    <row r="2056" spans="1:13" x14ac:dyDescent="0.3">
      <c r="A2056" s="49">
        <v>45261</v>
      </c>
      <c r="D2056" t="s">
        <v>7360</v>
      </c>
      <c r="E2056">
        <v>1</v>
      </c>
      <c r="F2056" t="str">
        <f t="shared" si="129"/>
        <v>nov</v>
      </c>
      <c r="G2056">
        <v>20</v>
      </c>
      <c r="H2056">
        <v>23</v>
      </c>
      <c r="I2056" t="str">
        <f t="shared" si="128"/>
        <v>1-nov-2023</v>
      </c>
      <c r="K2056" s="49">
        <f t="shared" si="130"/>
        <v>45231</v>
      </c>
      <c r="M2056" t="b">
        <f t="shared" si="131"/>
        <v>1</v>
      </c>
    </row>
    <row r="2057" spans="1:13" x14ac:dyDescent="0.3">
      <c r="A2057" s="49">
        <v>45261</v>
      </c>
      <c r="D2057" t="s">
        <v>7369</v>
      </c>
      <c r="E2057">
        <v>1</v>
      </c>
      <c r="F2057" t="str">
        <f t="shared" si="129"/>
        <v>abr</v>
      </c>
      <c r="G2057">
        <v>20</v>
      </c>
      <c r="H2057">
        <v>21</v>
      </c>
      <c r="I2057" t="str">
        <f t="shared" si="128"/>
        <v>1-abr-2021</v>
      </c>
      <c r="K2057" s="49">
        <f t="shared" si="130"/>
        <v>44287</v>
      </c>
      <c r="M2057" t="b">
        <f t="shared" si="131"/>
        <v>1</v>
      </c>
    </row>
    <row r="2058" spans="1:13" x14ac:dyDescent="0.3">
      <c r="A2058" s="49">
        <v>45261</v>
      </c>
      <c r="D2058" t="s">
        <v>7363</v>
      </c>
      <c r="E2058">
        <v>1</v>
      </c>
      <c r="F2058" t="str">
        <f t="shared" si="129"/>
        <v>feb</v>
      </c>
      <c r="G2058">
        <v>20</v>
      </c>
      <c r="H2058">
        <v>22</v>
      </c>
      <c r="I2058" t="str">
        <f t="shared" si="128"/>
        <v>1-feb-2022</v>
      </c>
      <c r="K2058" s="49">
        <f t="shared" si="130"/>
        <v>44593</v>
      </c>
      <c r="M2058" t="b">
        <f t="shared" si="131"/>
        <v>1</v>
      </c>
    </row>
    <row r="2059" spans="1:13" x14ac:dyDescent="0.3">
      <c r="A2059" s="49">
        <v>45261</v>
      </c>
      <c r="D2059" t="s">
        <v>7368</v>
      </c>
      <c r="E2059">
        <v>1</v>
      </c>
      <c r="F2059" t="str">
        <f t="shared" si="129"/>
        <v>mar</v>
      </c>
      <c r="G2059">
        <v>20</v>
      </c>
      <c r="H2059">
        <v>23</v>
      </c>
      <c r="I2059" t="str">
        <f t="shared" si="128"/>
        <v>1-mar-2023</v>
      </c>
      <c r="K2059" s="49">
        <f t="shared" si="130"/>
        <v>44986</v>
      </c>
      <c r="M2059" t="b">
        <f t="shared" si="131"/>
        <v>1</v>
      </c>
    </row>
    <row r="2060" spans="1:13" x14ac:dyDescent="0.3">
      <c r="A2060" s="49">
        <v>45261</v>
      </c>
      <c r="D2060" t="s">
        <v>7359</v>
      </c>
      <c r="E2060">
        <v>1</v>
      </c>
      <c r="F2060" t="str">
        <f t="shared" si="129"/>
        <v>jul</v>
      </c>
      <c r="G2060">
        <v>20</v>
      </c>
      <c r="H2060">
        <v>23</v>
      </c>
      <c r="I2060" t="str">
        <f t="shared" si="128"/>
        <v>1-jul-2023</v>
      </c>
      <c r="K2060" s="49">
        <f t="shared" si="130"/>
        <v>45108</v>
      </c>
      <c r="M2060" t="b">
        <f t="shared" si="131"/>
        <v>1</v>
      </c>
    </row>
    <row r="2061" spans="1:13" x14ac:dyDescent="0.3">
      <c r="A2061" s="49">
        <v>45261</v>
      </c>
      <c r="D2061" t="s">
        <v>7356</v>
      </c>
      <c r="E2061">
        <v>1</v>
      </c>
      <c r="F2061" t="str">
        <f t="shared" si="129"/>
        <v>ene</v>
      </c>
      <c r="G2061">
        <v>20</v>
      </c>
      <c r="H2061">
        <v>22</v>
      </c>
      <c r="I2061" t="str">
        <f t="shared" si="128"/>
        <v>1-ene-2022</v>
      </c>
      <c r="K2061" s="49">
        <f t="shared" si="130"/>
        <v>44562</v>
      </c>
      <c r="M2061" t="b">
        <f t="shared" si="131"/>
        <v>1</v>
      </c>
    </row>
    <row r="2062" spans="1:13" x14ac:dyDescent="0.3">
      <c r="A2062" s="49">
        <v>45261</v>
      </c>
      <c r="D2062" t="s">
        <v>7356</v>
      </c>
      <c r="E2062">
        <v>1</v>
      </c>
      <c r="F2062" t="str">
        <f t="shared" si="129"/>
        <v>ene</v>
      </c>
      <c r="G2062">
        <v>20</v>
      </c>
      <c r="H2062">
        <v>23</v>
      </c>
      <c r="I2062" t="str">
        <f t="shared" si="128"/>
        <v>1-ene-2023</v>
      </c>
      <c r="K2062" s="49">
        <f t="shared" si="130"/>
        <v>44927</v>
      </c>
      <c r="M2062" t="b">
        <f t="shared" si="131"/>
        <v>1</v>
      </c>
    </row>
    <row r="2063" spans="1:13" x14ac:dyDescent="0.3">
      <c r="A2063" s="49">
        <v>45261</v>
      </c>
      <c r="D2063" t="s">
        <v>7363</v>
      </c>
      <c r="E2063">
        <v>1</v>
      </c>
      <c r="F2063" t="str">
        <f t="shared" si="129"/>
        <v>feb</v>
      </c>
      <c r="G2063">
        <v>20</v>
      </c>
      <c r="H2063">
        <v>21</v>
      </c>
      <c r="I2063" t="str">
        <f t="shared" si="128"/>
        <v>1-feb-2021</v>
      </c>
      <c r="K2063" s="49">
        <f t="shared" si="130"/>
        <v>44228</v>
      </c>
      <c r="M2063" t="b">
        <f t="shared" si="131"/>
        <v>1</v>
      </c>
    </row>
    <row r="2064" spans="1:13" x14ac:dyDescent="0.3">
      <c r="A2064" s="49">
        <v>45261</v>
      </c>
      <c r="D2064" t="s">
        <v>7370</v>
      </c>
      <c r="E2064">
        <v>1</v>
      </c>
      <c r="F2064" t="str">
        <f t="shared" si="129"/>
        <v>may</v>
      </c>
      <c r="G2064">
        <v>20</v>
      </c>
      <c r="H2064">
        <v>19</v>
      </c>
      <c r="I2064" t="str">
        <f t="shared" si="128"/>
        <v>1-may-2019</v>
      </c>
      <c r="K2064" s="49">
        <f t="shared" si="130"/>
        <v>43586</v>
      </c>
      <c r="M2064" t="b">
        <f t="shared" si="131"/>
        <v>1</v>
      </c>
    </row>
    <row r="2065" spans="1:13" x14ac:dyDescent="0.3">
      <c r="A2065" s="49">
        <v>45261</v>
      </c>
      <c r="D2065" t="s">
        <v>7359</v>
      </c>
      <c r="E2065">
        <v>1</v>
      </c>
      <c r="F2065" t="str">
        <f t="shared" si="129"/>
        <v>jul</v>
      </c>
      <c r="G2065">
        <v>20</v>
      </c>
      <c r="H2065">
        <v>23</v>
      </c>
      <c r="I2065" t="str">
        <f t="shared" si="128"/>
        <v>1-jul-2023</v>
      </c>
      <c r="K2065" s="49">
        <f t="shared" si="130"/>
        <v>45108</v>
      </c>
      <c r="M2065" t="b">
        <f t="shared" si="131"/>
        <v>1</v>
      </c>
    </row>
    <row r="2066" spans="1:13" x14ac:dyDescent="0.3">
      <c r="A2066" s="49">
        <v>45261</v>
      </c>
      <c r="D2066" t="s">
        <v>7356</v>
      </c>
      <c r="E2066">
        <v>1</v>
      </c>
      <c r="F2066" t="str">
        <f t="shared" si="129"/>
        <v>ene</v>
      </c>
      <c r="G2066">
        <v>20</v>
      </c>
      <c r="H2066">
        <v>22</v>
      </c>
      <c r="I2066" t="str">
        <f t="shared" si="128"/>
        <v>1-ene-2022</v>
      </c>
      <c r="K2066" s="49">
        <f t="shared" si="130"/>
        <v>44562</v>
      </c>
      <c r="M2066" t="b">
        <f t="shared" si="131"/>
        <v>1</v>
      </c>
    </row>
    <row r="2067" spans="1:13" x14ac:dyDescent="0.3">
      <c r="A2067" s="49">
        <v>45261</v>
      </c>
      <c r="D2067" t="s">
        <v>7355</v>
      </c>
      <c r="E2067">
        <v>1</v>
      </c>
      <c r="F2067" t="str">
        <f t="shared" si="129"/>
        <v>sep</v>
      </c>
      <c r="G2067">
        <v>20</v>
      </c>
      <c r="H2067">
        <v>22</v>
      </c>
      <c r="I2067" t="str">
        <f t="shared" si="128"/>
        <v>1-sep-2022</v>
      </c>
      <c r="K2067" s="49">
        <f t="shared" si="130"/>
        <v>44805</v>
      </c>
      <c r="M2067" t="b">
        <f t="shared" si="131"/>
        <v>1</v>
      </c>
    </row>
    <row r="2068" spans="1:13" x14ac:dyDescent="0.3">
      <c r="A2068" s="49">
        <v>45261</v>
      </c>
      <c r="D2068" t="s">
        <v>7368</v>
      </c>
      <c r="E2068">
        <v>1</v>
      </c>
      <c r="F2068" t="str">
        <f t="shared" si="129"/>
        <v>mar</v>
      </c>
      <c r="G2068">
        <v>20</v>
      </c>
      <c r="H2068">
        <v>22</v>
      </c>
      <c r="I2068" t="str">
        <f t="shared" si="128"/>
        <v>1-mar-2022</v>
      </c>
      <c r="K2068" s="49">
        <f t="shared" si="130"/>
        <v>44621</v>
      </c>
      <c r="M2068" t="b">
        <f t="shared" si="131"/>
        <v>1</v>
      </c>
    </row>
    <row r="2069" spans="1:13" x14ac:dyDescent="0.3">
      <c r="A2069" s="49">
        <v>45261</v>
      </c>
      <c r="D2069" t="s">
        <v>7368</v>
      </c>
      <c r="E2069">
        <v>1</v>
      </c>
      <c r="F2069" t="str">
        <f t="shared" si="129"/>
        <v>mar</v>
      </c>
      <c r="G2069">
        <v>20</v>
      </c>
      <c r="H2069">
        <v>22</v>
      </c>
      <c r="I2069" t="str">
        <f t="shared" si="128"/>
        <v>1-mar-2022</v>
      </c>
      <c r="K2069" s="49">
        <f t="shared" si="130"/>
        <v>44621</v>
      </c>
      <c r="M2069" t="b">
        <f t="shared" si="131"/>
        <v>1</v>
      </c>
    </row>
    <row r="2070" spans="1:13" x14ac:dyDescent="0.3">
      <c r="A2070" s="49">
        <v>45261</v>
      </c>
      <c r="D2070" t="s">
        <v>7355</v>
      </c>
      <c r="E2070">
        <v>1</v>
      </c>
      <c r="F2070" t="str">
        <f t="shared" si="129"/>
        <v>sep</v>
      </c>
      <c r="G2070">
        <v>20</v>
      </c>
      <c r="H2070">
        <v>23</v>
      </c>
      <c r="I2070" t="str">
        <f t="shared" si="128"/>
        <v>1-sep-2023</v>
      </c>
      <c r="K2070" s="49">
        <f t="shared" si="130"/>
        <v>45170</v>
      </c>
      <c r="M2070" t="b">
        <f t="shared" si="131"/>
        <v>1</v>
      </c>
    </row>
    <row r="2071" spans="1:13" x14ac:dyDescent="0.3">
      <c r="A2071" s="49">
        <v>45261</v>
      </c>
      <c r="D2071" t="s">
        <v>7368</v>
      </c>
      <c r="E2071">
        <v>1</v>
      </c>
      <c r="F2071" t="str">
        <f t="shared" si="129"/>
        <v>mar</v>
      </c>
      <c r="G2071">
        <v>20</v>
      </c>
      <c r="H2071">
        <v>22</v>
      </c>
      <c r="I2071" t="str">
        <f t="shared" si="128"/>
        <v>1-mar-2022</v>
      </c>
      <c r="K2071" s="49">
        <f t="shared" si="130"/>
        <v>44621</v>
      </c>
      <c r="M2071" t="b">
        <f t="shared" si="131"/>
        <v>1</v>
      </c>
    </row>
    <row r="2072" spans="1:13" x14ac:dyDescent="0.3">
      <c r="A2072" s="49">
        <v>45261</v>
      </c>
      <c r="D2072" t="s">
        <v>7368</v>
      </c>
      <c r="E2072">
        <v>1</v>
      </c>
      <c r="F2072" t="str">
        <f t="shared" si="129"/>
        <v>mar</v>
      </c>
      <c r="G2072">
        <v>20</v>
      </c>
      <c r="H2072">
        <v>23</v>
      </c>
      <c r="I2072" t="str">
        <f t="shared" si="128"/>
        <v>1-mar-2023</v>
      </c>
      <c r="K2072" s="49">
        <f t="shared" si="130"/>
        <v>44986</v>
      </c>
      <c r="M2072" t="b">
        <f t="shared" si="131"/>
        <v>1</v>
      </c>
    </row>
    <row r="2073" spans="1:13" x14ac:dyDescent="0.3">
      <c r="A2073" s="49">
        <v>45261</v>
      </c>
      <c r="D2073" t="s">
        <v>7368</v>
      </c>
      <c r="E2073">
        <v>1</v>
      </c>
      <c r="F2073" t="str">
        <f t="shared" si="129"/>
        <v>mar</v>
      </c>
      <c r="G2073">
        <v>20</v>
      </c>
      <c r="H2073">
        <v>22</v>
      </c>
      <c r="I2073" t="str">
        <f t="shared" si="128"/>
        <v>1-mar-2022</v>
      </c>
      <c r="K2073" s="49">
        <f t="shared" si="130"/>
        <v>44621</v>
      </c>
      <c r="M2073" t="b">
        <f t="shared" si="131"/>
        <v>1</v>
      </c>
    </row>
    <row r="2074" spans="1:13" x14ac:dyDescent="0.3">
      <c r="A2074" s="49">
        <v>45261</v>
      </c>
      <c r="D2074" t="s">
        <v>7359</v>
      </c>
      <c r="E2074">
        <v>1</v>
      </c>
      <c r="F2074" t="str">
        <f t="shared" si="129"/>
        <v>jul</v>
      </c>
      <c r="G2074">
        <v>20</v>
      </c>
      <c r="H2074">
        <v>24</v>
      </c>
      <c r="I2074" t="str">
        <f t="shared" si="128"/>
        <v>1-jul-2024</v>
      </c>
      <c r="K2074" s="49">
        <f t="shared" si="130"/>
        <v>45474</v>
      </c>
      <c r="M2074" t="b">
        <f t="shared" si="131"/>
        <v>0</v>
      </c>
    </row>
    <row r="2075" spans="1:13" x14ac:dyDescent="0.3">
      <c r="A2075" s="49">
        <v>45261</v>
      </c>
      <c r="D2075" t="s">
        <v>7362</v>
      </c>
      <c r="E2075">
        <v>1</v>
      </c>
      <c r="F2075" t="str">
        <f t="shared" si="129"/>
        <v>ago</v>
      </c>
      <c r="G2075">
        <v>20</v>
      </c>
      <c r="H2075">
        <v>23</v>
      </c>
      <c r="I2075" t="str">
        <f t="shared" si="128"/>
        <v>1-ago-2023</v>
      </c>
      <c r="K2075" s="49">
        <f t="shared" si="130"/>
        <v>45139</v>
      </c>
      <c r="M2075" t="b">
        <f t="shared" si="131"/>
        <v>1</v>
      </c>
    </row>
    <row r="2076" spans="1:13" x14ac:dyDescent="0.3">
      <c r="A2076" s="49">
        <v>45261</v>
      </c>
      <c r="D2076" t="s">
        <v>7367</v>
      </c>
      <c r="E2076">
        <v>1</v>
      </c>
      <c r="F2076" t="str">
        <f t="shared" si="129"/>
        <v>jun</v>
      </c>
      <c r="G2076">
        <v>20</v>
      </c>
      <c r="H2076">
        <v>25</v>
      </c>
      <c r="I2076" t="str">
        <f t="shared" si="128"/>
        <v>1-jun-2025</v>
      </c>
      <c r="K2076" s="49">
        <f t="shared" si="130"/>
        <v>45809</v>
      </c>
      <c r="M2076" t="b">
        <f t="shared" si="131"/>
        <v>0</v>
      </c>
    </row>
    <row r="2077" spans="1:13" x14ac:dyDescent="0.3">
      <c r="A2077" s="49">
        <v>45261</v>
      </c>
      <c r="D2077" t="s">
        <v>7362</v>
      </c>
      <c r="E2077">
        <v>1</v>
      </c>
      <c r="F2077" t="str">
        <f t="shared" si="129"/>
        <v>ago</v>
      </c>
      <c r="G2077">
        <v>20</v>
      </c>
      <c r="H2077">
        <v>23</v>
      </c>
      <c r="I2077" t="str">
        <f t="shared" si="128"/>
        <v>1-ago-2023</v>
      </c>
      <c r="K2077" s="49">
        <f t="shared" si="130"/>
        <v>45139</v>
      </c>
      <c r="M2077" t="b">
        <f t="shared" si="131"/>
        <v>1</v>
      </c>
    </row>
    <row r="2078" spans="1:13" x14ac:dyDescent="0.3">
      <c r="A2078" s="49">
        <v>45261</v>
      </c>
      <c r="D2078" t="s">
        <v>7368</v>
      </c>
      <c r="E2078">
        <v>1</v>
      </c>
      <c r="F2078" t="str">
        <f t="shared" si="129"/>
        <v>mar</v>
      </c>
      <c r="G2078">
        <v>20</v>
      </c>
      <c r="H2078">
        <v>23</v>
      </c>
      <c r="I2078" t="str">
        <f t="shared" si="128"/>
        <v>1-mar-2023</v>
      </c>
      <c r="K2078" s="49">
        <f t="shared" si="130"/>
        <v>44986</v>
      </c>
      <c r="M2078" t="b">
        <f t="shared" si="131"/>
        <v>1</v>
      </c>
    </row>
    <row r="2079" spans="1:13" x14ac:dyDescent="0.3">
      <c r="A2079" s="49">
        <v>45261</v>
      </c>
      <c r="D2079" t="s">
        <v>7355</v>
      </c>
      <c r="E2079">
        <v>1</v>
      </c>
      <c r="F2079" t="str">
        <f t="shared" si="129"/>
        <v>sep</v>
      </c>
      <c r="G2079">
        <v>20</v>
      </c>
      <c r="H2079">
        <v>23</v>
      </c>
      <c r="I2079" t="str">
        <f t="shared" si="128"/>
        <v>1-sep-2023</v>
      </c>
      <c r="K2079" s="49">
        <f t="shared" si="130"/>
        <v>45170</v>
      </c>
      <c r="M2079" t="b">
        <f t="shared" si="131"/>
        <v>1</v>
      </c>
    </row>
    <row r="2080" spans="1:13" x14ac:dyDescent="0.3">
      <c r="A2080" s="49">
        <v>45261</v>
      </c>
      <c r="D2080" t="s">
        <v>7359</v>
      </c>
      <c r="E2080">
        <v>1</v>
      </c>
      <c r="F2080" t="str">
        <f t="shared" si="129"/>
        <v>jul</v>
      </c>
      <c r="G2080">
        <v>20</v>
      </c>
      <c r="H2080">
        <v>20</v>
      </c>
      <c r="I2080" t="str">
        <f t="shared" si="128"/>
        <v>1-jul-2020</v>
      </c>
      <c r="K2080" s="49">
        <f t="shared" si="130"/>
        <v>44013</v>
      </c>
      <c r="M2080" t="b">
        <f t="shared" si="131"/>
        <v>1</v>
      </c>
    </row>
    <row r="2081" spans="1:13" x14ac:dyDescent="0.3">
      <c r="A2081" s="49">
        <v>45261</v>
      </c>
      <c r="D2081" t="s">
        <v>7359</v>
      </c>
      <c r="E2081">
        <v>1</v>
      </c>
      <c r="F2081" t="str">
        <f t="shared" si="129"/>
        <v>jul</v>
      </c>
      <c r="G2081">
        <v>20</v>
      </c>
      <c r="H2081">
        <v>20</v>
      </c>
      <c r="I2081" t="str">
        <f t="shared" si="128"/>
        <v>1-jul-2020</v>
      </c>
      <c r="K2081" s="49">
        <f t="shared" si="130"/>
        <v>44013</v>
      </c>
      <c r="M2081" t="b">
        <f t="shared" si="131"/>
        <v>1</v>
      </c>
    </row>
    <row r="2082" spans="1:13" x14ac:dyDescent="0.3">
      <c r="A2082" s="49">
        <v>45261</v>
      </c>
      <c r="D2082" t="s">
        <v>7368</v>
      </c>
      <c r="E2082">
        <v>1</v>
      </c>
      <c r="F2082" t="str">
        <f t="shared" si="129"/>
        <v>mar</v>
      </c>
      <c r="G2082">
        <v>20</v>
      </c>
      <c r="H2082">
        <v>22</v>
      </c>
      <c r="I2082" t="str">
        <f t="shared" si="128"/>
        <v>1-mar-2022</v>
      </c>
      <c r="K2082" s="49">
        <f t="shared" si="130"/>
        <v>44621</v>
      </c>
      <c r="M2082" t="b">
        <f t="shared" si="131"/>
        <v>1</v>
      </c>
    </row>
    <row r="2083" spans="1:13" x14ac:dyDescent="0.3">
      <c r="A2083" s="49">
        <v>45261</v>
      </c>
      <c r="D2083" t="s">
        <v>7360</v>
      </c>
      <c r="E2083">
        <v>1</v>
      </c>
      <c r="F2083" t="str">
        <f t="shared" si="129"/>
        <v>nov</v>
      </c>
      <c r="G2083">
        <v>20</v>
      </c>
      <c r="H2083">
        <v>20</v>
      </c>
      <c r="I2083" t="str">
        <f t="shared" si="128"/>
        <v>1-nov-2020</v>
      </c>
      <c r="K2083" s="49">
        <f t="shared" si="130"/>
        <v>44136</v>
      </c>
      <c r="M2083" t="b">
        <f t="shared" si="131"/>
        <v>1</v>
      </c>
    </row>
    <row r="2084" spans="1:13" x14ac:dyDescent="0.3">
      <c r="A2084" s="49">
        <v>45261</v>
      </c>
      <c r="D2084" t="s">
        <v>7362</v>
      </c>
      <c r="E2084">
        <v>1</v>
      </c>
      <c r="F2084" t="str">
        <f t="shared" si="129"/>
        <v>ago</v>
      </c>
      <c r="G2084">
        <v>20</v>
      </c>
      <c r="H2084">
        <v>21</v>
      </c>
      <c r="I2084" t="str">
        <f t="shared" si="128"/>
        <v>1-ago-2021</v>
      </c>
      <c r="K2084" s="49">
        <f t="shared" si="130"/>
        <v>44409</v>
      </c>
      <c r="M2084" t="b">
        <f t="shared" si="131"/>
        <v>1</v>
      </c>
    </row>
    <row r="2085" spans="1:13" x14ac:dyDescent="0.3">
      <c r="A2085" s="49">
        <v>45261</v>
      </c>
      <c r="D2085" t="s">
        <v>7363</v>
      </c>
      <c r="E2085">
        <v>1</v>
      </c>
      <c r="F2085" t="str">
        <f t="shared" si="129"/>
        <v>feb</v>
      </c>
      <c r="G2085">
        <v>20</v>
      </c>
      <c r="H2085">
        <v>22</v>
      </c>
      <c r="I2085" t="str">
        <f t="shared" si="128"/>
        <v>1-feb-2022</v>
      </c>
      <c r="K2085" s="49">
        <f t="shared" si="130"/>
        <v>44593</v>
      </c>
      <c r="M2085" t="b">
        <f t="shared" si="131"/>
        <v>1</v>
      </c>
    </row>
    <row r="2086" spans="1:13" x14ac:dyDescent="0.3">
      <c r="A2086" s="49">
        <v>45261</v>
      </c>
      <c r="D2086" t="s">
        <v>7368</v>
      </c>
      <c r="E2086">
        <v>1</v>
      </c>
      <c r="F2086" t="str">
        <f t="shared" si="129"/>
        <v>mar</v>
      </c>
      <c r="G2086">
        <v>20</v>
      </c>
      <c r="H2086">
        <v>22</v>
      </c>
      <c r="I2086" t="str">
        <f t="shared" si="128"/>
        <v>1-mar-2022</v>
      </c>
      <c r="K2086" s="49">
        <f t="shared" si="130"/>
        <v>44621</v>
      </c>
      <c r="M2086" t="b">
        <f t="shared" si="131"/>
        <v>1</v>
      </c>
    </row>
    <row r="2087" spans="1:13" x14ac:dyDescent="0.3">
      <c r="A2087" s="49">
        <v>45261</v>
      </c>
      <c r="D2087" t="s">
        <v>7362</v>
      </c>
      <c r="E2087">
        <v>1</v>
      </c>
      <c r="F2087" t="str">
        <f t="shared" si="129"/>
        <v>ago</v>
      </c>
      <c r="G2087">
        <v>20</v>
      </c>
      <c r="H2087">
        <v>23</v>
      </c>
      <c r="I2087" t="str">
        <f t="shared" si="128"/>
        <v>1-ago-2023</v>
      </c>
      <c r="K2087" s="49">
        <f t="shared" si="130"/>
        <v>45139</v>
      </c>
      <c r="M2087" t="b">
        <f t="shared" si="131"/>
        <v>1</v>
      </c>
    </row>
    <row r="2088" spans="1:13" x14ac:dyDescent="0.3">
      <c r="A2088" s="49">
        <v>45261</v>
      </c>
      <c r="D2088" t="s">
        <v>7357</v>
      </c>
      <c r="E2088">
        <v>1</v>
      </c>
      <c r="F2088" t="str">
        <f t="shared" si="129"/>
        <v>oct</v>
      </c>
      <c r="G2088">
        <v>20</v>
      </c>
      <c r="H2088">
        <v>22</v>
      </c>
      <c r="I2088" t="str">
        <f t="shared" si="128"/>
        <v>1-oct-2022</v>
      </c>
      <c r="K2088" s="49">
        <f t="shared" si="130"/>
        <v>44835</v>
      </c>
      <c r="M2088" t="b">
        <f t="shared" si="131"/>
        <v>1</v>
      </c>
    </row>
    <row r="2089" spans="1:13" x14ac:dyDescent="0.3">
      <c r="A2089" s="49">
        <v>45261</v>
      </c>
      <c r="D2089" t="s">
        <v>7369</v>
      </c>
      <c r="E2089">
        <v>1</v>
      </c>
      <c r="F2089" t="str">
        <f t="shared" si="129"/>
        <v>abr</v>
      </c>
      <c r="G2089">
        <v>20</v>
      </c>
      <c r="H2089">
        <v>15</v>
      </c>
      <c r="I2089" t="str">
        <f t="shared" si="128"/>
        <v>1-abr-2015</v>
      </c>
      <c r="K2089" s="49">
        <f t="shared" si="130"/>
        <v>42095</v>
      </c>
      <c r="M2089" t="b">
        <f t="shared" si="131"/>
        <v>1</v>
      </c>
    </row>
    <row r="2090" spans="1:13" x14ac:dyDescent="0.3">
      <c r="A2090" s="49">
        <v>45261</v>
      </c>
      <c r="D2090" t="s">
        <v>7369</v>
      </c>
      <c r="E2090">
        <v>1</v>
      </c>
      <c r="F2090" t="str">
        <f t="shared" si="129"/>
        <v>abr</v>
      </c>
      <c r="G2090">
        <v>20</v>
      </c>
      <c r="H2090">
        <v>15</v>
      </c>
      <c r="I2090" t="str">
        <f t="shared" si="128"/>
        <v>1-abr-2015</v>
      </c>
      <c r="K2090" s="49">
        <f t="shared" si="130"/>
        <v>42095</v>
      </c>
      <c r="M2090" t="b">
        <f t="shared" si="131"/>
        <v>1</v>
      </c>
    </row>
    <row r="2091" spans="1:13" x14ac:dyDescent="0.3">
      <c r="A2091" s="49">
        <v>45261</v>
      </c>
      <c r="D2091" t="s">
        <v>7369</v>
      </c>
      <c r="E2091">
        <v>1</v>
      </c>
      <c r="F2091" t="str">
        <f t="shared" si="129"/>
        <v>abr</v>
      </c>
      <c r="G2091">
        <v>20</v>
      </c>
      <c r="H2091">
        <v>15</v>
      </c>
      <c r="I2091" t="str">
        <f t="shared" si="128"/>
        <v>1-abr-2015</v>
      </c>
      <c r="K2091" s="49">
        <f t="shared" si="130"/>
        <v>42095</v>
      </c>
      <c r="M2091" t="b">
        <f t="shared" si="131"/>
        <v>1</v>
      </c>
    </row>
    <row r="2092" spans="1:13" x14ac:dyDescent="0.3">
      <c r="A2092" s="49">
        <v>45261</v>
      </c>
      <c r="D2092" t="s">
        <v>7369</v>
      </c>
      <c r="E2092">
        <v>1</v>
      </c>
      <c r="F2092" t="str">
        <f t="shared" si="129"/>
        <v>abr</v>
      </c>
      <c r="G2092">
        <v>20</v>
      </c>
      <c r="H2092">
        <v>15</v>
      </c>
      <c r="I2092" t="str">
        <f t="shared" si="128"/>
        <v>1-abr-2015</v>
      </c>
      <c r="K2092" s="49">
        <f t="shared" si="130"/>
        <v>42095</v>
      </c>
      <c r="M2092" t="b">
        <f t="shared" si="131"/>
        <v>1</v>
      </c>
    </row>
    <row r="2093" spans="1:13" x14ac:dyDescent="0.3">
      <c r="A2093" s="49">
        <v>45261</v>
      </c>
      <c r="D2093" t="s">
        <v>7369</v>
      </c>
      <c r="E2093">
        <v>1</v>
      </c>
      <c r="F2093" t="str">
        <f t="shared" si="129"/>
        <v>abr</v>
      </c>
      <c r="G2093">
        <v>20</v>
      </c>
      <c r="H2093">
        <v>15</v>
      </c>
      <c r="I2093" t="str">
        <f t="shared" si="128"/>
        <v>1-abr-2015</v>
      </c>
      <c r="K2093" s="49">
        <f t="shared" si="130"/>
        <v>42095</v>
      </c>
      <c r="M2093" t="b">
        <f t="shared" si="131"/>
        <v>1</v>
      </c>
    </row>
    <row r="2094" spans="1:13" x14ac:dyDescent="0.3">
      <c r="A2094" s="49">
        <v>45261</v>
      </c>
      <c r="D2094" t="s">
        <v>7369</v>
      </c>
      <c r="E2094">
        <v>1</v>
      </c>
      <c r="F2094" t="str">
        <f t="shared" si="129"/>
        <v>abr</v>
      </c>
      <c r="G2094">
        <v>20</v>
      </c>
      <c r="H2094">
        <v>15</v>
      </c>
      <c r="I2094" t="str">
        <f t="shared" si="128"/>
        <v>1-abr-2015</v>
      </c>
      <c r="K2094" s="49">
        <f t="shared" si="130"/>
        <v>42095</v>
      </c>
      <c r="M2094" t="b">
        <f t="shared" si="131"/>
        <v>1</v>
      </c>
    </row>
    <row r="2095" spans="1:13" x14ac:dyDescent="0.3">
      <c r="A2095" s="49">
        <v>45261</v>
      </c>
      <c r="D2095" t="s">
        <v>7369</v>
      </c>
      <c r="E2095">
        <v>1</v>
      </c>
      <c r="F2095" t="str">
        <f t="shared" si="129"/>
        <v>abr</v>
      </c>
      <c r="G2095">
        <v>20</v>
      </c>
      <c r="H2095">
        <v>15</v>
      </c>
      <c r="I2095" t="str">
        <f t="shared" si="128"/>
        <v>1-abr-2015</v>
      </c>
      <c r="K2095" s="49">
        <f t="shared" si="130"/>
        <v>42095</v>
      </c>
      <c r="M2095" t="b">
        <f t="shared" si="131"/>
        <v>1</v>
      </c>
    </row>
    <row r="2096" spans="1:13" x14ac:dyDescent="0.3">
      <c r="A2096" s="49">
        <v>45261</v>
      </c>
      <c r="D2096" t="s">
        <v>7363</v>
      </c>
      <c r="E2096">
        <v>1</v>
      </c>
      <c r="F2096" t="str">
        <f t="shared" si="129"/>
        <v>feb</v>
      </c>
      <c r="G2096">
        <v>20</v>
      </c>
      <c r="H2096">
        <v>22</v>
      </c>
      <c r="I2096" t="str">
        <f t="shared" si="128"/>
        <v>1-feb-2022</v>
      </c>
      <c r="K2096" s="49">
        <f t="shared" si="130"/>
        <v>44593</v>
      </c>
      <c r="M2096" t="b">
        <f t="shared" si="131"/>
        <v>1</v>
      </c>
    </row>
    <row r="2097" spans="1:13" x14ac:dyDescent="0.3">
      <c r="A2097" s="49">
        <v>45261</v>
      </c>
      <c r="D2097" t="s">
        <v>7355</v>
      </c>
      <c r="E2097">
        <v>1</v>
      </c>
      <c r="F2097" t="str">
        <f t="shared" si="129"/>
        <v>sep</v>
      </c>
      <c r="G2097">
        <v>20</v>
      </c>
      <c r="H2097">
        <v>23</v>
      </c>
      <c r="I2097" t="str">
        <f t="shared" si="128"/>
        <v>1-sep-2023</v>
      </c>
      <c r="K2097" s="49">
        <f t="shared" si="130"/>
        <v>45170</v>
      </c>
      <c r="M2097" t="b">
        <f t="shared" si="131"/>
        <v>1</v>
      </c>
    </row>
    <row r="2098" spans="1:13" x14ac:dyDescent="0.3">
      <c r="A2098" s="49">
        <v>45261</v>
      </c>
      <c r="D2098" t="s">
        <v>7370</v>
      </c>
      <c r="E2098">
        <v>1</v>
      </c>
      <c r="F2098" t="str">
        <f t="shared" si="129"/>
        <v>may</v>
      </c>
      <c r="G2098">
        <v>20</v>
      </c>
      <c r="H2098">
        <v>22</v>
      </c>
      <c r="I2098" t="str">
        <f t="shared" si="128"/>
        <v>1-may-2022</v>
      </c>
      <c r="K2098" s="49">
        <f t="shared" si="130"/>
        <v>44682</v>
      </c>
      <c r="M2098" t="b">
        <f t="shared" si="131"/>
        <v>1</v>
      </c>
    </row>
    <row r="2099" spans="1:13" x14ac:dyDescent="0.3">
      <c r="A2099" s="49">
        <v>45261</v>
      </c>
      <c r="D2099" t="s">
        <v>7355</v>
      </c>
      <c r="E2099">
        <v>1</v>
      </c>
      <c r="F2099" t="str">
        <f t="shared" si="129"/>
        <v>sep</v>
      </c>
      <c r="G2099">
        <v>20</v>
      </c>
      <c r="H2099">
        <v>23</v>
      </c>
      <c r="I2099" t="str">
        <f t="shared" si="128"/>
        <v>1-sep-2023</v>
      </c>
      <c r="K2099" s="49">
        <f t="shared" si="130"/>
        <v>45170</v>
      </c>
      <c r="M2099" t="b">
        <f t="shared" si="131"/>
        <v>1</v>
      </c>
    </row>
    <row r="2100" spans="1:13" x14ac:dyDescent="0.3">
      <c r="A2100" s="49">
        <v>45261</v>
      </c>
      <c r="D2100" t="s">
        <v>7369</v>
      </c>
      <c r="E2100">
        <v>1</v>
      </c>
      <c r="F2100" t="str">
        <f t="shared" si="129"/>
        <v>abr</v>
      </c>
      <c r="G2100">
        <v>20</v>
      </c>
      <c r="H2100">
        <v>23</v>
      </c>
      <c r="I2100" t="str">
        <f t="shared" si="128"/>
        <v>1-abr-2023</v>
      </c>
      <c r="K2100" s="49">
        <f t="shared" si="130"/>
        <v>45017</v>
      </c>
      <c r="M2100" t="b">
        <f t="shared" si="131"/>
        <v>1</v>
      </c>
    </row>
    <row r="2101" spans="1:13" x14ac:dyDescent="0.3">
      <c r="A2101" s="49">
        <v>45261</v>
      </c>
      <c r="D2101" t="s">
        <v>7369</v>
      </c>
      <c r="E2101">
        <v>1</v>
      </c>
      <c r="F2101" t="str">
        <f t="shared" si="129"/>
        <v>abr</v>
      </c>
      <c r="G2101">
        <v>20</v>
      </c>
      <c r="H2101">
        <v>23</v>
      </c>
      <c r="I2101" t="str">
        <f t="shared" si="128"/>
        <v>1-abr-2023</v>
      </c>
      <c r="K2101" s="49">
        <f t="shared" si="130"/>
        <v>45017</v>
      </c>
      <c r="M2101" t="b">
        <f t="shared" si="131"/>
        <v>1</v>
      </c>
    </row>
    <row r="2102" spans="1:13" x14ac:dyDescent="0.3">
      <c r="A2102" s="49">
        <v>45261</v>
      </c>
      <c r="D2102" t="s">
        <v>7367</v>
      </c>
      <c r="E2102">
        <v>1</v>
      </c>
      <c r="F2102" t="str">
        <f t="shared" si="129"/>
        <v>jun</v>
      </c>
      <c r="G2102">
        <v>20</v>
      </c>
      <c r="H2102">
        <v>23</v>
      </c>
      <c r="I2102" t="str">
        <f t="shared" si="128"/>
        <v>1-jun-2023</v>
      </c>
      <c r="K2102" s="49">
        <f t="shared" si="130"/>
        <v>45078</v>
      </c>
      <c r="M2102" t="b">
        <f t="shared" si="131"/>
        <v>1</v>
      </c>
    </row>
    <row r="2103" spans="1:13" x14ac:dyDescent="0.3">
      <c r="A2103" s="49">
        <v>45261</v>
      </c>
      <c r="D2103" t="s">
        <v>7362</v>
      </c>
      <c r="E2103">
        <v>1</v>
      </c>
      <c r="F2103" t="str">
        <f t="shared" si="129"/>
        <v>ago</v>
      </c>
      <c r="G2103">
        <v>20</v>
      </c>
      <c r="H2103">
        <v>23</v>
      </c>
      <c r="I2103" t="str">
        <f t="shared" si="128"/>
        <v>1-ago-2023</v>
      </c>
      <c r="K2103" s="49">
        <f t="shared" si="130"/>
        <v>45139</v>
      </c>
      <c r="M2103" t="b">
        <f t="shared" si="131"/>
        <v>1</v>
      </c>
    </row>
    <row r="2104" spans="1:13" x14ac:dyDescent="0.3">
      <c r="A2104" s="49">
        <v>45261</v>
      </c>
      <c r="D2104" t="s">
        <v>7367</v>
      </c>
      <c r="E2104">
        <v>1</v>
      </c>
      <c r="F2104" t="str">
        <f t="shared" si="129"/>
        <v>jun</v>
      </c>
      <c r="G2104">
        <v>20</v>
      </c>
      <c r="H2104">
        <v>23</v>
      </c>
      <c r="I2104" t="str">
        <f t="shared" si="128"/>
        <v>1-jun-2023</v>
      </c>
      <c r="K2104" s="49">
        <f t="shared" si="130"/>
        <v>45078</v>
      </c>
      <c r="M2104" t="b">
        <f t="shared" si="131"/>
        <v>1</v>
      </c>
    </row>
    <row r="2105" spans="1:13" x14ac:dyDescent="0.3">
      <c r="A2105" s="49">
        <v>45261</v>
      </c>
      <c r="D2105" t="s">
        <v>7370</v>
      </c>
      <c r="E2105">
        <v>1</v>
      </c>
      <c r="F2105" t="str">
        <f t="shared" si="129"/>
        <v>may</v>
      </c>
      <c r="G2105">
        <v>20</v>
      </c>
      <c r="H2105">
        <v>22</v>
      </c>
      <c r="I2105" t="str">
        <f t="shared" si="128"/>
        <v>1-may-2022</v>
      </c>
      <c r="K2105" s="49">
        <f t="shared" si="130"/>
        <v>44682</v>
      </c>
      <c r="M2105" t="b">
        <f t="shared" si="131"/>
        <v>1</v>
      </c>
    </row>
    <row r="2106" spans="1:13" x14ac:dyDescent="0.3">
      <c r="A2106" s="49">
        <v>45261</v>
      </c>
      <c r="D2106" t="s">
        <v>7363</v>
      </c>
      <c r="E2106">
        <v>1</v>
      </c>
      <c r="F2106" t="str">
        <f t="shared" si="129"/>
        <v>feb</v>
      </c>
      <c r="G2106">
        <v>20</v>
      </c>
      <c r="H2106">
        <v>23</v>
      </c>
      <c r="I2106" t="str">
        <f t="shared" si="128"/>
        <v>1-feb-2023</v>
      </c>
      <c r="K2106" s="49">
        <f t="shared" si="130"/>
        <v>44958</v>
      </c>
      <c r="M2106" t="b">
        <f t="shared" si="131"/>
        <v>1</v>
      </c>
    </row>
    <row r="2107" spans="1:13" x14ac:dyDescent="0.3">
      <c r="A2107" s="49">
        <v>45261</v>
      </c>
      <c r="D2107" t="s">
        <v>7370</v>
      </c>
      <c r="E2107">
        <v>1</v>
      </c>
      <c r="F2107" t="str">
        <f t="shared" si="129"/>
        <v>may</v>
      </c>
      <c r="G2107">
        <v>20</v>
      </c>
      <c r="H2107">
        <v>22</v>
      </c>
      <c r="I2107" t="str">
        <f t="shared" si="128"/>
        <v>1-may-2022</v>
      </c>
      <c r="K2107" s="49">
        <f t="shared" si="130"/>
        <v>44682</v>
      </c>
      <c r="M2107" t="b">
        <f t="shared" si="131"/>
        <v>1</v>
      </c>
    </row>
    <row r="2108" spans="1:13" x14ac:dyDescent="0.3">
      <c r="A2108" s="49">
        <v>45261</v>
      </c>
      <c r="D2108" t="s">
        <v>7359</v>
      </c>
      <c r="E2108">
        <v>1</v>
      </c>
      <c r="F2108" t="str">
        <f t="shared" si="129"/>
        <v>jul</v>
      </c>
      <c r="G2108">
        <v>20</v>
      </c>
      <c r="H2108">
        <v>23</v>
      </c>
      <c r="I2108" t="str">
        <f t="shared" si="128"/>
        <v>1-jul-2023</v>
      </c>
      <c r="K2108" s="49">
        <f t="shared" si="130"/>
        <v>45108</v>
      </c>
      <c r="M2108" t="b">
        <f t="shared" si="131"/>
        <v>1</v>
      </c>
    </row>
    <row r="2109" spans="1:13" x14ac:dyDescent="0.3">
      <c r="A2109" s="49">
        <v>45261</v>
      </c>
      <c r="D2109" t="s">
        <v>7360</v>
      </c>
      <c r="E2109">
        <v>1</v>
      </c>
      <c r="F2109" t="str">
        <f t="shared" si="129"/>
        <v>nov</v>
      </c>
      <c r="G2109">
        <v>20</v>
      </c>
      <c r="H2109">
        <v>23</v>
      </c>
      <c r="I2109" t="str">
        <f t="shared" si="128"/>
        <v>1-nov-2023</v>
      </c>
      <c r="K2109" s="49">
        <f t="shared" si="130"/>
        <v>45231</v>
      </c>
      <c r="M2109" t="b">
        <f t="shared" si="131"/>
        <v>1</v>
      </c>
    </row>
    <row r="2110" spans="1:13" x14ac:dyDescent="0.3">
      <c r="A2110" s="49">
        <v>45261</v>
      </c>
      <c r="D2110" t="s">
        <v>7370</v>
      </c>
      <c r="E2110">
        <v>1</v>
      </c>
      <c r="F2110" t="str">
        <f t="shared" si="129"/>
        <v>may</v>
      </c>
      <c r="G2110">
        <v>20</v>
      </c>
      <c r="H2110">
        <v>20</v>
      </c>
      <c r="I2110" t="str">
        <f t="shared" si="128"/>
        <v>1-may-2020</v>
      </c>
      <c r="K2110" s="49">
        <f t="shared" si="130"/>
        <v>43952</v>
      </c>
      <c r="M2110" t="b">
        <f t="shared" si="131"/>
        <v>1</v>
      </c>
    </row>
    <row r="2111" spans="1:13" x14ac:dyDescent="0.3">
      <c r="A2111" s="49">
        <v>45261</v>
      </c>
      <c r="D2111" t="s">
        <v>7359</v>
      </c>
      <c r="E2111">
        <v>1</v>
      </c>
      <c r="F2111" t="str">
        <f t="shared" si="129"/>
        <v>jul</v>
      </c>
      <c r="G2111">
        <v>20</v>
      </c>
      <c r="H2111">
        <v>23</v>
      </c>
      <c r="I2111" t="str">
        <f t="shared" si="128"/>
        <v>1-jul-2023</v>
      </c>
      <c r="K2111" s="49">
        <f t="shared" si="130"/>
        <v>45108</v>
      </c>
      <c r="M2111" t="b">
        <f t="shared" si="131"/>
        <v>1</v>
      </c>
    </row>
    <row r="2112" spans="1:13" x14ac:dyDescent="0.3">
      <c r="A2112" s="49">
        <v>45261</v>
      </c>
      <c r="D2112" t="s">
        <v>7370</v>
      </c>
      <c r="E2112">
        <v>1</v>
      </c>
      <c r="F2112" t="str">
        <f t="shared" si="129"/>
        <v>may</v>
      </c>
      <c r="G2112">
        <v>20</v>
      </c>
      <c r="H2112">
        <v>17</v>
      </c>
      <c r="I2112" t="str">
        <f t="shared" si="128"/>
        <v>1-may-2017</v>
      </c>
      <c r="K2112" s="49">
        <f t="shared" si="130"/>
        <v>42856</v>
      </c>
      <c r="M2112" t="b">
        <f t="shared" si="131"/>
        <v>1</v>
      </c>
    </row>
    <row r="2113" spans="1:13" x14ac:dyDescent="0.3">
      <c r="A2113" s="49">
        <v>45261</v>
      </c>
      <c r="D2113" t="s">
        <v>7369</v>
      </c>
      <c r="E2113">
        <v>1</v>
      </c>
      <c r="F2113" t="str">
        <f t="shared" si="129"/>
        <v>abr</v>
      </c>
      <c r="G2113">
        <v>20</v>
      </c>
      <c r="H2113">
        <v>21</v>
      </c>
      <c r="I2113" t="str">
        <f t="shared" ref="I2113:I2176" si="132">_xlfn.CONCAT(E2113,"-",F2113,"-",G2113,H2113)</f>
        <v>1-abr-2021</v>
      </c>
      <c r="K2113" s="49">
        <f t="shared" si="130"/>
        <v>44287</v>
      </c>
      <c r="M2113" t="b">
        <f t="shared" si="131"/>
        <v>1</v>
      </c>
    </row>
    <row r="2114" spans="1:13" x14ac:dyDescent="0.3">
      <c r="A2114" s="49">
        <v>45261</v>
      </c>
      <c r="D2114" t="s">
        <v>7360</v>
      </c>
      <c r="E2114">
        <v>1</v>
      </c>
      <c r="F2114" t="str">
        <f t="shared" ref="F2114:F2177" si="133">LOWER(D2114)</f>
        <v>nov</v>
      </c>
      <c r="G2114">
        <v>20</v>
      </c>
      <c r="H2114">
        <v>23</v>
      </c>
      <c r="I2114" t="str">
        <f t="shared" si="132"/>
        <v>1-nov-2023</v>
      </c>
      <c r="K2114" s="49">
        <f t="shared" ref="K2114:K2177" si="134">DATEVALUE(I2114)</f>
        <v>45231</v>
      </c>
      <c r="M2114" t="b">
        <f t="shared" si="131"/>
        <v>1</v>
      </c>
    </row>
    <row r="2115" spans="1:13" x14ac:dyDescent="0.3">
      <c r="A2115" s="49">
        <v>45261</v>
      </c>
      <c r="D2115" t="s">
        <v>7366</v>
      </c>
      <c r="E2115">
        <v>1</v>
      </c>
      <c r="F2115" t="str">
        <f t="shared" si="133"/>
        <v>dic</v>
      </c>
      <c r="G2115">
        <v>20</v>
      </c>
      <c r="H2115">
        <v>22</v>
      </c>
      <c r="I2115" t="str">
        <f t="shared" si="132"/>
        <v>1-dic-2022</v>
      </c>
      <c r="K2115" s="49">
        <f t="shared" si="134"/>
        <v>44896</v>
      </c>
      <c r="M2115" t="b">
        <f t="shared" ref="M2115:M2178" si="135">K2115&lt;A2115</f>
        <v>1</v>
      </c>
    </row>
    <row r="2116" spans="1:13" x14ac:dyDescent="0.3">
      <c r="A2116" s="49">
        <v>45261</v>
      </c>
      <c r="D2116" t="s">
        <v>7367</v>
      </c>
      <c r="E2116">
        <v>1</v>
      </c>
      <c r="F2116" t="str">
        <f t="shared" si="133"/>
        <v>jun</v>
      </c>
      <c r="G2116">
        <v>20</v>
      </c>
      <c r="H2116">
        <v>23</v>
      </c>
      <c r="I2116" t="str">
        <f t="shared" si="132"/>
        <v>1-jun-2023</v>
      </c>
      <c r="K2116" s="49">
        <f t="shared" si="134"/>
        <v>45078</v>
      </c>
      <c r="M2116" t="b">
        <f t="shared" si="135"/>
        <v>1</v>
      </c>
    </row>
    <row r="2117" spans="1:13" x14ac:dyDescent="0.3">
      <c r="A2117" s="49">
        <v>45261</v>
      </c>
      <c r="D2117" t="s">
        <v>7367</v>
      </c>
      <c r="E2117">
        <v>1</v>
      </c>
      <c r="F2117" t="str">
        <f t="shared" si="133"/>
        <v>jun</v>
      </c>
      <c r="G2117">
        <v>20</v>
      </c>
      <c r="H2117">
        <v>23</v>
      </c>
      <c r="I2117" t="str">
        <f t="shared" si="132"/>
        <v>1-jun-2023</v>
      </c>
      <c r="K2117" s="49">
        <f t="shared" si="134"/>
        <v>45078</v>
      </c>
      <c r="M2117" t="b">
        <f t="shared" si="135"/>
        <v>1</v>
      </c>
    </row>
    <row r="2118" spans="1:13" x14ac:dyDescent="0.3">
      <c r="A2118" s="49">
        <v>45261</v>
      </c>
      <c r="D2118" t="s">
        <v>7369</v>
      </c>
      <c r="E2118">
        <v>1</v>
      </c>
      <c r="F2118" t="str">
        <f t="shared" si="133"/>
        <v>abr</v>
      </c>
      <c r="G2118">
        <v>20</v>
      </c>
      <c r="H2118">
        <v>23</v>
      </c>
      <c r="I2118" t="str">
        <f t="shared" si="132"/>
        <v>1-abr-2023</v>
      </c>
      <c r="K2118" s="49">
        <f t="shared" si="134"/>
        <v>45017</v>
      </c>
      <c r="M2118" t="b">
        <f t="shared" si="135"/>
        <v>1</v>
      </c>
    </row>
    <row r="2119" spans="1:13" x14ac:dyDescent="0.3">
      <c r="A2119" s="49">
        <v>45261</v>
      </c>
      <c r="D2119" t="s">
        <v>7368</v>
      </c>
      <c r="E2119">
        <v>1</v>
      </c>
      <c r="F2119" t="str">
        <f t="shared" si="133"/>
        <v>mar</v>
      </c>
      <c r="G2119">
        <v>20</v>
      </c>
      <c r="H2119">
        <v>21</v>
      </c>
      <c r="I2119" t="str">
        <f t="shared" si="132"/>
        <v>1-mar-2021</v>
      </c>
      <c r="K2119" s="49">
        <f t="shared" si="134"/>
        <v>44256</v>
      </c>
      <c r="M2119" t="b">
        <f t="shared" si="135"/>
        <v>1</v>
      </c>
    </row>
    <row r="2120" spans="1:13" x14ac:dyDescent="0.3">
      <c r="A2120" s="49">
        <v>45261</v>
      </c>
      <c r="D2120" t="s">
        <v>7370</v>
      </c>
      <c r="E2120">
        <v>1</v>
      </c>
      <c r="F2120" t="str">
        <f t="shared" si="133"/>
        <v>may</v>
      </c>
      <c r="G2120">
        <v>20</v>
      </c>
      <c r="H2120">
        <v>23</v>
      </c>
      <c r="I2120" t="str">
        <f t="shared" si="132"/>
        <v>1-may-2023</v>
      </c>
      <c r="K2120" s="49">
        <f t="shared" si="134"/>
        <v>45047</v>
      </c>
      <c r="M2120" t="b">
        <f t="shared" si="135"/>
        <v>1</v>
      </c>
    </row>
    <row r="2121" spans="1:13" x14ac:dyDescent="0.3">
      <c r="A2121" s="49">
        <v>45261</v>
      </c>
      <c r="D2121" t="s">
        <v>7363</v>
      </c>
      <c r="E2121">
        <v>1</v>
      </c>
      <c r="F2121" t="str">
        <f t="shared" si="133"/>
        <v>feb</v>
      </c>
      <c r="G2121">
        <v>20</v>
      </c>
      <c r="H2121">
        <v>19</v>
      </c>
      <c r="I2121" t="str">
        <f t="shared" si="132"/>
        <v>1-feb-2019</v>
      </c>
      <c r="K2121" s="49">
        <f t="shared" si="134"/>
        <v>43497</v>
      </c>
      <c r="M2121" t="b">
        <f t="shared" si="135"/>
        <v>1</v>
      </c>
    </row>
    <row r="2122" spans="1:13" x14ac:dyDescent="0.3">
      <c r="A2122" s="49">
        <v>45261</v>
      </c>
      <c r="D2122" t="s">
        <v>7368</v>
      </c>
      <c r="E2122">
        <v>1</v>
      </c>
      <c r="F2122" t="str">
        <f t="shared" si="133"/>
        <v>mar</v>
      </c>
      <c r="G2122">
        <v>20</v>
      </c>
      <c r="H2122">
        <v>14</v>
      </c>
      <c r="I2122" t="str">
        <f t="shared" si="132"/>
        <v>1-mar-2014</v>
      </c>
      <c r="K2122" s="49">
        <f t="shared" si="134"/>
        <v>41699</v>
      </c>
      <c r="M2122" t="b">
        <f t="shared" si="135"/>
        <v>1</v>
      </c>
    </row>
    <row r="2123" spans="1:13" x14ac:dyDescent="0.3">
      <c r="A2123" s="49">
        <v>45261</v>
      </c>
      <c r="D2123" t="s">
        <v>7368</v>
      </c>
      <c r="E2123">
        <v>1</v>
      </c>
      <c r="F2123" t="str">
        <f t="shared" si="133"/>
        <v>mar</v>
      </c>
      <c r="G2123">
        <v>20</v>
      </c>
      <c r="H2123">
        <v>14</v>
      </c>
      <c r="I2123" t="str">
        <f t="shared" si="132"/>
        <v>1-mar-2014</v>
      </c>
      <c r="K2123" s="49">
        <f t="shared" si="134"/>
        <v>41699</v>
      </c>
      <c r="M2123" t="b">
        <f t="shared" si="135"/>
        <v>1</v>
      </c>
    </row>
    <row r="2124" spans="1:13" x14ac:dyDescent="0.3">
      <c r="A2124" s="49">
        <v>45261</v>
      </c>
      <c r="D2124" t="s">
        <v>7368</v>
      </c>
      <c r="E2124">
        <v>1</v>
      </c>
      <c r="F2124" t="str">
        <f t="shared" si="133"/>
        <v>mar</v>
      </c>
      <c r="G2124">
        <v>20</v>
      </c>
      <c r="H2124">
        <v>14</v>
      </c>
      <c r="I2124" t="str">
        <f t="shared" si="132"/>
        <v>1-mar-2014</v>
      </c>
      <c r="K2124" s="49">
        <f t="shared" si="134"/>
        <v>41699</v>
      </c>
      <c r="M2124" t="b">
        <f t="shared" si="135"/>
        <v>1</v>
      </c>
    </row>
    <row r="2125" spans="1:13" x14ac:dyDescent="0.3">
      <c r="A2125" s="49">
        <v>45261</v>
      </c>
      <c r="D2125" t="s">
        <v>7368</v>
      </c>
      <c r="E2125">
        <v>1</v>
      </c>
      <c r="F2125" t="str">
        <f t="shared" si="133"/>
        <v>mar</v>
      </c>
      <c r="G2125">
        <v>20</v>
      </c>
      <c r="H2125">
        <v>14</v>
      </c>
      <c r="I2125" t="str">
        <f t="shared" si="132"/>
        <v>1-mar-2014</v>
      </c>
      <c r="K2125" s="49">
        <f t="shared" si="134"/>
        <v>41699</v>
      </c>
      <c r="M2125" t="b">
        <f t="shared" si="135"/>
        <v>1</v>
      </c>
    </row>
    <row r="2126" spans="1:13" x14ac:dyDescent="0.3">
      <c r="A2126" s="49">
        <v>45261</v>
      </c>
      <c r="D2126" t="s">
        <v>7368</v>
      </c>
      <c r="E2126">
        <v>1</v>
      </c>
      <c r="F2126" t="str">
        <f t="shared" si="133"/>
        <v>mar</v>
      </c>
      <c r="G2126">
        <v>20</v>
      </c>
      <c r="H2126">
        <v>14</v>
      </c>
      <c r="I2126" t="str">
        <f t="shared" si="132"/>
        <v>1-mar-2014</v>
      </c>
      <c r="K2126" s="49">
        <f t="shared" si="134"/>
        <v>41699</v>
      </c>
      <c r="M2126" t="b">
        <f t="shared" si="135"/>
        <v>1</v>
      </c>
    </row>
    <row r="2127" spans="1:13" x14ac:dyDescent="0.3">
      <c r="A2127" s="49">
        <v>45261</v>
      </c>
      <c r="D2127" t="s">
        <v>7368</v>
      </c>
      <c r="E2127">
        <v>1</v>
      </c>
      <c r="F2127" t="str">
        <f t="shared" si="133"/>
        <v>mar</v>
      </c>
      <c r="G2127">
        <v>20</v>
      </c>
      <c r="H2127">
        <v>14</v>
      </c>
      <c r="I2127" t="str">
        <f t="shared" si="132"/>
        <v>1-mar-2014</v>
      </c>
      <c r="K2127" s="49">
        <f t="shared" si="134"/>
        <v>41699</v>
      </c>
      <c r="M2127" t="b">
        <f t="shared" si="135"/>
        <v>1</v>
      </c>
    </row>
    <row r="2128" spans="1:13" x14ac:dyDescent="0.3">
      <c r="A2128" s="49">
        <v>45261</v>
      </c>
      <c r="D2128" t="s">
        <v>7368</v>
      </c>
      <c r="E2128">
        <v>1</v>
      </c>
      <c r="F2128" t="str">
        <f t="shared" si="133"/>
        <v>mar</v>
      </c>
      <c r="G2128">
        <v>20</v>
      </c>
      <c r="H2128">
        <v>14</v>
      </c>
      <c r="I2128" t="str">
        <f t="shared" si="132"/>
        <v>1-mar-2014</v>
      </c>
      <c r="K2128" s="49">
        <f t="shared" si="134"/>
        <v>41699</v>
      </c>
      <c r="M2128" t="b">
        <f t="shared" si="135"/>
        <v>1</v>
      </c>
    </row>
    <row r="2129" spans="1:13" x14ac:dyDescent="0.3">
      <c r="A2129" s="49">
        <v>45261</v>
      </c>
      <c r="D2129" t="s">
        <v>7368</v>
      </c>
      <c r="E2129">
        <v>1</v>
      </c>
      <c r="F2129" t="str">
        <f t="shared" si="133"/>
        <v>mar</v>
      </c>
      <c r="G2129">
        <v>20</v>
      </c>
      <c r="H2129">
        <v>14</v>
      </c>
      <c r="I2129" t="str">
        <f t="shared" si="132"/>
        <v>1-mar-2014</v>
      </c>
      <c r="K2129" s="49">
        <f t="shared" si="134"/>
        <v>41699</v>
      </c>
      <c r="M2129" t="b">
        <f t="shared" si="135"/>
        <v>1</v>
      </c>
    </row>
    <row r="2130" spans="1:13" x14ac:dyDescent="0.3">
      <c r="A2130" s="49">
        <v>45261</v>
      </c>
      <c r="D2130" t="s">
        <v>7368</v>
      </c>
      <c r="E2130">
        <v>1</v>
      </c>
      <c r="F2130" t="str">
        <f t="shared" si="133"/>
        <v>mar</v>
      </c>
      <c r="G2130">
        <v>20</v>
      </c>
      <c r="H2130">
        <v>14</v>
      </c>
      <c r="I2130" t="str">
        <f t="shared" si="132"/>
        <v>1-mar-2014</v>
      </c>
      <c r="K2130" s="49">
        <f t="shared" si="134"/>
        <v>41699</v>
      </c>
      <c r="M2130" t="b">
        <f t="shared" si="135"/>
        <v>1</v>
      </c>
    </row>
    <row r="2131" spans="1:13" x14ac:dyDescent="0.3">
      <c r="A2131" s="49">
        <v>45261</v>
      </c>
      <c r="D2131" t="s">
        <v>7368</v>
      </c>
      <c r="E2131">
        <v>1</v>
      </c>
      <c r="F2131" t="str">
        <f t="shared" si="133"/>
        <v>mar</v>
      </c>
      <c r="G2131">
        <v>20</v>
      </c>
      <c r="H2131">
        <v>14</v>
      </c>
      <c r="I2131" t="str">
        <f t="shared" si="132"/>
        <v>1-mar-2014</v>
      </c>
      <c r="K2131" s="49">
        <f t="shared" si="134"/>
        <v>41699</v>
      </c>
      <c r="M2131" t="b">
        <f t="shared" si="135"/>
        <v>1</v>
      </c>
    </row>
    <row r="2132" spans="1:13" x14ac:dyDescent="0.3">
      <c r="A2132" s="49">
        <v>45261</v>
      </c>
      <c r="D2132" t="s">
        <v>7357</v>
      </c>
      <c r="E2132">
        <v>1</v>
      </c>
      <c r="F2132" t="str">
        <f t="shared" si="133"/>
        <v>oct</v>
      </c>
      <c r="G2132">
        <v>20</v>
      </c>
      <c r="H2132">
        <v>23</v>
      </c>
      <c r="I2132" t="str">
        <f t="shared" si="132"/>
        <v>1-oct-2023</v>
      </c>
      <c r="K2132" s="49">
        <f t="shared" si="134"/>
        <v>45200</v>
      </c>
      <c r="M2132" t="b">
        <f t="shared" si="135"/>
        <v>1</v>
      </c>
    </row>
    <row r="2133" spans="1:13" x14ac:dyDescent="0.3">
      <c r="A2133" s="49">
        <v>45261</v>
      </c>
      <c r="D2133" t="s">
        <v>7355</v>
      </c>
      <c r="E2133">
        <v>1</v>
      </c>
      <c r="F2133" t="str">
        <f t="shared" si="133"/>
        <v>sep</v>
      </c>
      <c r="G2133">
        <v>20</v>
      </c>
      <c r="H2133">
        <v>23</v>
      </c>
      <c r="I2133" t="str">
        <f t="shared" si="132"/>
        <v>1-sep-2023</v>
      </c>
      <c r="K2133" s="49">
        <f t="shared" si="134"/>
        <v>45170</v>
      </c>
      <c r="M2133" t="b">
        <f t="shared" si="135"/>
        <v>1</v>
      </c>
    </row>
    <row r="2134" spans="1:13" x14ac:dyDescent="0.3">
      <c r="A2134" s="49">
        <v>45261</v>
      </c>
      <c r="D2134" t="s">
        <v>7360</v>
      </c>
      <c r="E2134">
        <v>1</v>
      </c>
      <c r="F2134" t="str">
        <f t="shared" si="133"/>
        <v>nov</v>
      </c>
      <c r="G2134">
        <v>20</v>
      </c>
      <c r="H2134">
        <v>19</v>
      </c>
      <c r="I2134" t="str">
        <f t="shared" si="132"/>
        <v>1-nov-2019</v>
      </c>
      <c r="K2134" s="49">
        <f t="shared" si="134"/>
        <v>43770</v>
      </c>
      <c r="M2134" t="b">
        <f t="shared" si="135"/>
        <v>1</v>
      </c>
    </row>
    <row r="2135" spans="1:13" x14ac:dyDescent="0.3">
      <c r="A2135" s="49">
        <v>45261</v>
      </c>
      <c r="D2135" t="s">
        <v>7362</v>
      </c>
      <c r="E2135">
        <v>1</v>
      </c>
      <c r="F2135" t="str">
        <f t="shared" si="133"/>
        <v>ago</v>
      </c>
      <c r="G2135">
        <v>20</v>
      </c>
      <c r="H2135">
        <v>19</v>
      </c>
      <c r="I2135" t="str">
        <f t="shared" si="132"/>
        <v>1-ago-2019</v>
      </c>
      <c r="K2135" s="49">
        <f t="shared" si="134"/>
        <v>43678</v>
      </c>
      <c r="M2135" t="b">
        <f t="shared" si="135"/>
        <v>1</v>
      </c>
    </row>
    <row r="2136" spans="1:13" x14ac:dyDescent="0.3">
      <c r="A2136" s="49">
        <v>45261</v>
      </c>
      <c r="D2136" t="s">
        <v>7370</v>
      </c>
      <c r="E2136">
        <v>1</v>
      </c>
      <c r="F2136" t="str">
        <f t="shared" si="133"/>
        <v>may</v>
      </c>
      <c r="G2136">
        <v>20</v>
      </c>
      <c r="H2136">
        <v>20</v>
      </c>
      <c r="I2136" t="str">
        <f t="shared" si="132"/>
        <v>1-may-2020</v>
      </c>
      <c r="K2136" s="49">
        <f t="shared" si="134"/>
        <v>43952</v>
      </c>
      <c r="M2136" t="b">
        <f t="shared" si="135"/>
        <v>1</v>
      </c>
    </row>
    <row r="2137" spans="1:13" x14ac:dyDescent="0.3">
      <c r="A2137" s="49">
        <v>45261</v>
      </c>
      <c r="D2137" t="s">
        <v>7370</v>
      </c>
      <c r="E2137">
        <v>1</v>
      </c>
      <c r="F2137" t="str">
        <f t="shared" si="133"/>
        <v>may</v>
      </c>
      <c r="G2137">
        <v>20</v>
      </c>
      <c r="H2137">
        <v>23</v>
      </c>
      <c r="I2137" t="str">
        <f t="shared" si="132"/>
        <v>1-may-2023</v>
      </c>
      <c r="K2137" s="49">
        <f t="shared" si="134"/>
        <v>45047</v>
      </c>
      <c r="M2137" t="b">
        <f t="shared" si="135"/>
        <v>1</v>
      </c>
    </row>
    <row r="2138" spans="1:13" x14ac:dyDescent="0.3">
      <c r="A2138" s="49">
        <v>45261</v>
      </c>
      <c r="D2138" t="s">
        <v>7355</v>
      </c>
      <c r="E2138">
        <v>1</v>
      </c>
      <c r="F2138" t="str">
        <f t="shared" si="133"/>
        <v>sep</v>
      </c>
      <c r="G2138">
        <v>20</v>
      </c>
      <c r="H2138">
        <v>24</v>
      </c>
      <c r="I2138" t="str">
        <f t="shared" si="132"/>
        <v>1-sep-2024</v>
      </c>
      <c r="K2138" s="49">
        <f t="shared" si="134"/>
        <v>45536</v>
      </c>
      <c r="M2138" t="b">
        <f t="shared" si="135"/>
        <v>0</v>
      </c>
    </row>
    <row r="2139" spans="1:13" x14ac:dyDescent="0.3">
      <c r="A2139" s="49">
        <v>45261</v>
      </c>
      <c r="D2139" t="s">
        <v>7360</v>
      </c>
      <c r="E2139">
        <v>1</v>
      </c>
      <c r="F2139" t="str">
        <f t="shared" si="133"/>
        <v>nov</v>
      </c>
      <c r="G2139">
        <v>20</v>
      </c>
      <c r="H2139">
        <v>22</v>
      </c>
      <c r="I2139" t="str">
        <f t="shared" si="132"/>
        <v>1-nov-2022</v>
      </c>
      <c r="K2139" s="49">
        <f t="shared" si="134"/>
        <v>44866</v>
      </c>
      <c r="M2139" t="b">
        <f t="shared" si="135"/>
        <v>1</v>
      </c>
    </row>
    <row r="2140" spans="1:13" x14ac:dyDescent="0.3">
      <c r="A2140" s="49">
        <v>45261</v>
      </c>
      <c r="D2140" t="s">
        <v>7368</v>
      </c>
      <c r="E2140">
        <v>1</v>
      </c>
      <c r="F2140" t="str">
        <f t="shared" si="133"/>
        <v>mar</v>
      </c>
      <c r="G2140">
        <v>20</v>
      </c>
      <c r="H2140">
        <v>22</v>
      </c>
      <c r="I2140" t="str">
        <f t="shared" si="132"/>
        <v>1-mar-2022</v>
      </c>
      <c r="K2140" s="49">
        <f t="shared" si="134"/>
        <v>44621</v>
      </c>
      <c r="M2140" t="b">
        <f t="shared" si="135"/>
        <v>1</v>
      </c>
    </row>
    <row r="2141" spans="1:13" x14ac:dyDescent="0.3">
      <c r="A2141" s="49">
        <v>45261</v>
      </c>
      <c r="D2141" t="s">
        <v>7368</v>
      </c>
      <c r="E2141">
        <v>1</v>
      </c>
      <c r="F2141" t="str">
        <f t="shared" si="133"/>
        <v>mar</v>
      </c>
      <c r="G2141">
        <v>20</v>
      </c>
      <c r="H2141">
        <v>23</v>
      </c>
      <c r="I2141" t="str">
        <f t="shared" si="132"/>
        <v>1-mar-2023</v>
      </c>
      <c r="K2141" s="49">
        <f t="shared" si="134"/>
        <v>44986</v>
      </c>
      <c r="M2141" t="b">
        <f t="shared" si="135"/>
        <v>1</v>
      </c>
    </row>
    <row r="2142" spans="1:13" x14ac:dyDescent="0.3">
      <c r="A2142" s="49">
        <v>45261</v>
      </c>
      <c r="D2142" t="s">
        <v>7356</v>
      </c>
      <c r="E2142">
        <v>1</v>
      </c>
      <c r="F2142" t="str">
        <f t="shared" si="133"/>
        <v>ene</v>
      </c>
      <c r="G2142">
        <v>20</v>
      </c>
      <c r="H2142">
        <v>19</v>
      </c>
      <c r="I2142" t="str">
        <f t="shared" si="132"/>
        <v>1-ene-2019</v>
      </c>
      <c r="K2142" s="49">
        <f t="shared" si="134"/>
        <v>43466</v>
      </c>
      <c r="M2142" t="b">
        <f t="shared" si="135"/>
        <v>1</v>
      </c>
    </row>
    <row r="2143" spans="1:13" x14ac:dyDescent="0.3">
      <c r="A2143" s="49">
        <v>45261</v>
      </c>
      <c r="D2143" t="s">
        <v>7355</v>
      </c>
      <c r="E2143">
        <v>1</v>
      </c>
      <c r="F2143" t="str">
        <f t="shared" si="133"/>
        <v>sep</v>
      </c>
      <c r="G2143">
        <v>20</v>
      </c>
      <c r="H2143">
        <v>22</v>
      </c>
      <c r="I2143" t="str">
        <f t="shared" si="132"/>
        <v>1-sep-2022</v>
      </c>
      <c r="K2143" s="49">
        <f t="shared" si="134"/>
        <v>44805</v>
      </c>
      <c r="M2143" t="b">
        <f t="shared" si="135"/>
        <v>1</v>
      </c>
    </row>
    <row r="2144" spans="1:13" x14ac:dyDescent="0.3">
      <c r="A2144" s="49">
        <v>45261</v>
      </c>
      <c r="D2144" t="s">
        <v>7356</v>
      </c>
      <c r="E2144">
        <v>1</v>
      </c>
      <c r="F2144" t="str">
        <f t="shared" si="133"/>
        <v>ene</v>
      </c>
      <c r="G2144">
        <v>20</v>
      </c>
      <c r="H2144">
        <v>20</v>
      </c>
      <c r="I2144" t="str">
        <f t="shared" si="132"/>
        <v>1-ene-2020</v>
      </c>
      <c r="K2144" s="49">
        <f t="shared" si="134"/>
        <v>43831</v>
      </c>
      <c r="M2144" t="b">
        <f t="shared" si="135"/>
        <v>1</v>
      </c>
    </row>
    <row r="2145" spans="1:13" x14ac:dyDescent="0.3">
      <c r="A2145" s="49">
        <v>45261</v>
      </c>
      <c r="D2145" t="s">
        <v>7362</v>
      </c>
      <c r="E2145">
        <v>1</v>
      </c>
      <c r="F2145" t="str">
        <f t="shared" si="133"/>
        <v>ago</v>
      </c>
      <c r="G2145">
        <v>20</v>
      </c>
      <c r="H2145">
        <v>23</v>
      </c>
      <c r="I2145" t="str">
        <f t="shared" si="132"/>
        <v>1-ago-2023</v>
      </c>
      <c r="K2145" s="49">
        <f t="shared" si="134"/>
        <v>45139</v>
      </c>
      <c r="M2145" t="b">
        <f t="shared" si="135"/>
        <v>1</v>
      </c>
    </row>
    <row r="2146" spans="1:13" x14ac:dyDescent="0.3">
      <c r="A2146" s="49">
        <v>45261</v>
      </c>
      <c r="D2146" t="s">
        <v>7366</v>
      </c>
      <c r="E2146">
        <v>1</v>
      </c>
      <c r="F2146" t="str">
        <f t="shared" si="133"/>
        <v>dic</v>
      </c>
      <c r="G2146">
        <v>20</v>
      </c>
      <c r="H2146">
        <v>18</v>
      </c>
      <c r="I2146" t="str">
        <f t="shared" si="132"/>
        <v>1-dic-2018</v>
      </c>
      <c r="K2146" s="49">
        <f t="shared" si="134"/>
        <v>43435</v>
      </c>
      <c r="M2146" t="b">
        <f t="shared" si="135"/>
        <v>1</v>
      </c>
    </row>
    <row r="2147" spans="1:13" x14ac:dyDescent="0.3">
      <c r="A2147" s="49">
        <v>45261</v>
      </c>
      <c r="D2147" t="s">
        <v>7368</v>
      </c>
      <c r="E2147">
        <v>1</v>
      </c>
      <c r="F2147" t="str">
        <f t="shared" si="133"/>
        <v>mar</v>
      </c>
      <c r="G2147">
        <v>20</v>
      </c>
      <c r="H2147">
        <v>23</v>
      </c>
      <c r="I2147" t="str">
        <f t="shared" si="132"/>
        <v>1-mar-2023</v>
      </c>
      <c r="K2147" s="49">
        <f t="shared" si="134"/>
        <v>44986</v>
      </c>
      <c r="M2147" t="b">
        <f t="shared" si="135"/>
        <v>1</v>
      </c>
    </row>
    <row r="2148" spans="1:13" x14ac:dyDescent="0.3">
      <c r="A2148" s="49">
        <v>45261</v>
      </c>
      <c r="D2148" t="s">
        <v>7360</v>
      </c>
      <c r="E2148">
        <v>1</v>
      </c>
      <c r="F2148" t="str">
        <f t="shared" si="133"/>
        <v>nov</v>
      </c>
      <c r="G2148">
        <v>20</v>
      </c>
      <c r="H2148">
        <v>24</v>
      </c>
      <c r="I2148" t="str">
        <f t="shared" si="132"/>
        <v>1-nov-2024</v>
      </c>
      <c r="K2148" s="49">
        <f t="shared" si="134"/>
        <v>45597</v>
      </c>
      <c r="M2148" t="b">
        <f t="shared" si="135"/>
        <v>0</v>
      </c>
    </row>
    <row r="2149" spans="1:13" x14ac:dyDescent="0.3">
      <c r="A2149" s="49">
        <v>45261</v>
      </c>
      <c r="D2149" t="s">
        <v>7367</v>
      </c>
      <c r="E2149">
        <v>1</v>
      </c>
      <c r="F2149" t="str">
        <f t="shared" si="133"/>
        <v>jun</v>
      </c>
      <c r="G2149">
        <v>20</v>
      </c>
      <c r="H2149">
        <v>23</v>
      </c>
      <c r="I2149" t="str">
        <f t="shared" si="132"/>
        <v>1-jun-2023</v>
      </c>
      <c r="K2149" s="49">
        <f t="shared" si="134"/>
        <v>45078</v>
      </c>
      <c r="M2149" t="b">
        <f t="shared" si="135"/>
        <v>1</v>
      </c>
    </row>
    <row r="2150" spans="1:13" x14ac:dyDescent="0.3">
      <c r="A2150" s="49">
        <v>45261</v>
      </c>
      <c r="D2150" t="s">
        <v>7363</v>
      </c>
      <c r="E2150">
        <v>1</v>
      </c>
      <c r="F2150" t="str">
        <f t="shared" si="133"/>
        <v>feb</v>
      </c>
      <c r="G2150">
        <v>20</v>
      </c>
      <c r="H2150">
        <v>22</v>
      </c>
      <c r="I2150" t="str">
        <f t="shared" si="132"/>
        <v>1-feb-2022</v>
      </c>
      <c r="K2150" s="49">
        <f t="shared" si="134"/>
        <v>44593</v>
      </c>
      <c r="M2150" t="b">
        <f t="shared" si="135"/>
        <v>1</v>
      </c>
    </row>
    <row r="2151" spans="1:13" x14ac:dyDescent="0.3">
      <c r="A2151" s="49">
        <v>45261</v>
      </c>
      <c r="D2151" t="s">
        <v>7363</v>
      </c>
      <c r="E2151">
        <v>1</v>
      </c>
      <c r="F2151" t="str">
        <f t="shared" si="133"/>
        <v>feb</v>
      </c>
      <c r="G2151">
        <v>20</v>
      </c>
      <c r="H2151">
        <v>22</v>
      </c>
      <c r="I2151" t="str">
        <f t="shared" si="132"/>
        <v>1-feb-2022</v>
      </c>
      <c r="K2151" s="49">
        <f t="shared" si="134"/>
        <v>44593</v>
      </c>
      <c r="M2151" t="b">
        <f t="shared" si="135"/>
        <v>1</v>
      </c>
    </row>
    <row r="2152" spans="1:13" x14ac:dyDescent="0.3">
      <c r="A2152" s="49">
        <v>45261</v>
      </c>
      <c r="D2152" t="s">
        <v>7367</v>
      </c>
      <c r="E2152">
        <v>1</v>
      </c>
      <c r="F2152" t="str">
        <f t="shared" si="133"/>
        <v>jun</v>
      </c>
      <c r="G2152">
        <v>20</v>
      </c>
      <c r="H2152">
        <v>23</v>
      </c>
      <c r="I2152" t="str">
        <f t="shared" si="132"/>
        <v>1-jun-2023</v>
      </c>
      <c r="K2152" s="49">
        <f t="shared" si="134"/>
        <v>45078</v>
      </c>
      <c r="M2152" t="b">
        <f t="shared" si="135"/>
        <v>1</v>
      </c>
    </row>
    <row r="2153" spans="1:13" x14ac:dyDescent="0.3">
      <c r="A2153" s="49">
        <v>45261</v>
      </c>
      <c r="D2153" t="s">
        <v>7367</v>
      </c>
      <c r="E2153">
        <v>1</v>
      </c>
      <c r="F2153" t="str">
        <f t="shared" si="133"/>
        <v>jun</v>
      </c>
      <c r="G2153">
        <v>20</v>
      </c>
      <c r="H2153">
        <v>23</v>
      </c>
      <c r="I2153" t="str">
        <f t="shared" si="132"/>
        <v>1-jun-2023</v>
      </c>
      <c r="K2153" s="49">
        <f t="shared" si="134"/>
        <v>45078</v>
      </c>
      <c r="M2153" t="b">
        <f t="shared" si="135"/>
        <v>1</v>
      </c>
    </row>
    <row r="2154" spans="1:13" x14ac:dyDescent="0.3">
      <c r="A2154" s="49">
        <v>45261</v>
      </c>
      <c r="D2154" t="s">
        <v>7367</v>
      </c>
      <c r="E2154">
        <v>1</v>
      </c>
      <c r="F2154" t="str">
        <f t="shared" si="133"/>
        <v>jun</v>
      </c>
      <c r="G2154">
        <v>20</v>
      </c>
      <c r="H2154">
        <v>23</v>
      </c>
      <c r="I2154" t="str">
        <f t="shared" si="132"/>
        <v>1-jun-2023</v>
      </c>
      <c r="K2154" s="49">
        <f t="shared" si="134"/>
        <v>45078</v>
      </c>
      <c r="M2154" t="b">
        <f t="shared" si="135"/>
        <v>1</v>
      </c>
    </row>
    <row r="2155" spans="1:13" x14ac:dyDescent="0.3">
      <c r="A2155" s="49">
        <v>45261</v>
      </c>
      <c r="D2155" t="s">
        <v>7367</v>
      </c>
      <c r="E2155">
        <v>1</v>
      </c>
      <c r="F2155" t="str">
        <f t="shared" si="133"/>
        <v>jun</v>
      </c>
      <c r="G2155">
        <v>20</v>
      </c>
      <c r="H2155">
        <v>23</v>
      </c>
      <c r="I2155" t="str">
        <f t="shared" si="132"/>
        <v>1-jun-2023</v>
      </c>
      <c r="K2155" s="49">
        <f t="shared" si="134"/>
        <v>45078</v>
      </c>
      <c r="M2155" t="b">
        <f t="shared" si="135"/>
        <v>1</v>
      </c>
    </row>
    <row r="2156" spans="1:13" x14ac:dyDescent="0.3">
      <c r="A2156" s="49">
        <v>45261</v>
      </c>
      <c r="D2156" t="s">
        <v>7367</v>
      </c>
      <c r="E2156">
        <v>1</v>
      </c>
      <c r="F2156" t="str">
        <f t="shared" si="133"/>
        <v>jun</v>
      </c>
      <c r="G2156">
        <v>20</v>
      </c>
      <c r="H2156">
        <v>23</v>
      </c>
      <c r="I2156" t="str">
        <f t="shared" si="132"/>
        <v>1-jun-2023</v>
      </c>
      <c r="K2156" s="49">
        <f t="shared" si="134"/>
        <v>45078</v>
      </c>
      <c r="M2156" t="b">
        <f t="shared" si="135"/>
        <v>1</v>
      </c>
    </row>
    <row r="2157" spans="1:13" x14ac:dyDescent="0.3">
      <c r="A2157" s="49">
        <v>45261</v>
      </c>
      <c r="D2157" t="s">
        <v>7367</v>
      </c>
      <c r="E2157">
        <v>1</v>
      </c>
      <c r="F2157" t="str">
        <f t="shared" si="133"/>
        <v>jun</v>
      </c>
      <c r="G2157">
        <v>20</v>
      </c>
      <c r="H2157">
        <v>23</v>
      </c>
      <c r="I2157" t="str">
        <f t="shared" si="132"/>
        <v>1-jun-2023</v>
      </c>
      <c r="K2157" s="49">
        <f t="shared" si="134"/>
        <v>45078</v>
      </c>
      <c r="M2157" t="b">
        <f t="shared" si="135"/>
        <v>1</v>
      </c>
    </row>
    <row r="2158" spans="1:13" x14ac:dyDescent="0.3">
      <c r="A2158" s="49">
        <v>45261</v>
      </c>
      <c r="D2158" t="s">
        <v>7370</v>
      </c>
      <c r="E2158">
        <v>1</v>
      </c>
      <c r="F2158" t="str">
        <f t="shared" si="133"/>
        <v>may</v>
      </c>
      <c r="G2158">
        <v>20</v>
      </c>
      <c r="H2158">
        <v>22</v>
      </c>
      <c r="I2158" t="str">
        <f t="shared" si="132"/>
        <v>1-may-2022</v>
      </c>
      <c r="K2158" s="49">
        <f t="shared" si="134"/>
        <v>44682</v>
      </c>
      <c r="M2158" t="b">
        <f t="shared" si="135"/>
        <v>1</v>
      </c>
    </row>
    <row r="2159" spans="1:13" x14ac:dyDescent="0.3">
      <c r="A2159" s="49">
        <v>45261</v>
      </c>
      <c r="D2159" t="s">
        <v>7359</v>
      </c>
      <c r="E2159">
        <v>1</v>
      </c>
      <c r="F2159" t="str">
        <f t="shared" si="133"/>
        <v>jul</v>
      </c>
      <c r="G2159">
        <v>20</v>
      </c>
      <c r="H2159">
        <v>23</v>
      </c>
      <c r="I2159" t="str">
        <f t="shared" si="132"/>
        <v>1-jul-2023</v>
      </c>
      <c r="K2159" s="49">
        <f t="shared" si="134"/>
        <v>45108</v>
      </c>
      <c r="M2159" t="b">
        <f t="shared" si="135"/>
        <v>1</v>
      </c>
    </row>
    <row r="2160" spans="1:13" x14ac:dyDescent="0.3">
      <c r="A2160" s="49">
        <v>45261</v>
      </c>
      <c r="D2160" t="s">
        <v>7369</v>
      </c>
      <c r="E2160">
        <v>1</v>
      </c>
      <c r="F2160" t="str">
        <f t="shared" si="133"/>
        <v>abr</v>
      </c>
      <c r="G2160">
        <v>20</v>
      </c>
      <c r="H2160">
        <v>24</v>
      </c>
      <c r="I2160" t="str">
        <f t="shared" si="132"/>
        <v>1-abr-2024</v>
      </c>
      <c r="K2160" s="49">
        <f t="shared" si="134"/>
        <v>45383</v>
      </c>
      <c r="M2160" t="b">
        <f t="shared" si="135"/>
        <v>0</v>
      </c>
    </row>
    <row r="2161" spans="1:13" x14ac:dyDescent="0.3">
      <c r="A2161" s="49">
        <v>45261</v>
      </c>
      <c r="D2161" t="s">
        <v>7367</v>
      </c>
      <c r="E2161">
        <v>1</v>
      </c>
      <c r="F2161" t="str">
        <f t="shared" si="133"/>
        <v>jun</v>
      </c>
      <c r="G2161">
        <v>20</v>
      </c>
      <c r="H2161">
        <v>26</v>
      </c>
      <c r="I2161" t="str">
        <f t="shared" si="132"/>
        <v>1-jun-2026</v>
      </c>
      <c r="K2161" s="49">
        <f t="shared" si="134"/>
        <v>46174</v>
      </c>
      <c r="M2161" t="b">
        <f t="shared" si="135"/>
        <v>0</v>
      </c>
    </row>
    <row r="2162" spans="1:13" x14ac:dyDescent="0.3">
      <c r="A2162" s="49">
        <v>45261</v>
      </c>
      <c r="D2162" t="s">
        <v>7369</v>
      </c>
      <c r="E2162">
        <v>1</v>
      </c>
      <c r="F2162" t="str">
        <f t="shared" si="133"/>
        <v>abr</v>
      </c>
      <c r="G2162">
        <v>20</v>
      </c>
      <c r="H2162">
        <v>21</v>
      </c>
      <c r="I2162" t="str">
        <f t="shared" si="132"/>
        <v>1-abr-2021</v>
      </c>
      <c r="K2162" s="49">
        <f t="shared" si="134"/>
        <v>44287</v>
      </c>
      <c r="M2162" t="b">
        <f t="shared" si="135"/>
        <v>1</v>
      </c>
    </row>
    <row r="2163" spans="1:13" x14ac:dyDescent="0.3">
      <c r="A2163" s="49">
        <v>45261</v>
      </c>
      <c r="D2163" t="s">
        <v>7367</v>
      </c>
      <c r="E2163">
        <v>1</v>
      </c>
      <c r="F2163" t="str">
        <f t="shared" si="133"/>
        <v>jun</v>
      </c>
      <c r="G2163">
        <v>20</v>
      </c>
      <c r="H2163">
        <v>22</v>
      </c>
      <c r="I2163" t="str">
        <f t="shared" si="132"/>
        <v>1-jun-2022</v>
      </c>
      <c r="K2163" s="49">
        <f t="shared" si="134"/>
        <v>44713</v>
      </c>
      <c r="M2163" t="b">
        <f t="shared" si="135"/>
        <v>1</v>
      </c>
    </row>
    <row r="2164" spans="1:13" x14ac:dyDescent="0.3">
      <c r="A2164" s="49">
        <v>45261</v>
      </c>
      <c r="D2164" t="s">
        <v>7369</v>
      </c>
      <c r="E2164">
        <v>1</v>
      </c>
      <c r="F2164" t="str">
        <f t="shared" si="133"/>
        <v>abr</v>
      </c>
      <c r="G2164">
        <v>20</v>
      </c>
      <c r="H2164">
        <v>17</v>
      </c>
      <c r="I2164" t="str">
        <f t="shared" si="132"/>
        <v>1-abr-2017</v>
      </c>
      <c r="K2164" s="49">
        <f t="shared" si="134"/>
        <v>42826</v>
      </c>
      <c r="M2164" t="b">
        <f t="shared" si="135"/>
        <v>1</v>
      </c>
    </row>
    <row r="2165" spans="1:13" x14ac:dyDescent="0.3">
      <c r="A2165" s="49">
        <v>45261</v>
      </c>
      <c r="D2165" t="s">
        <v>7356</v>
      </c>
      <c r="E2165">
        <v>1</v>
      </c>
      <c r="F2165" t="str">
        <f t="shared" si="133"/>
        <v>ene</v>
      </c>
      <c r="G2165">
        <v>20</v>
      </c>
      <c r="H2165">
        <v>22</v>
      </c>
      <c r="I2165" t="str">
        <f t="shared" si="132"/>
        <v>1-ene-2022</v>
      </c>
      <c r="K2165" s="49">
        <f t="shared" si="134"/>
        <v>44562</v>
      </c>
      <c r="M2165" t="b">
        <f t="shared" si="135"/>
        <v>1</v>
      </c>
    </row>
    <row r="2166" spans="1:13" x14ac:dyDescent="0.3">
      <c r="A2166" s="49">
        <v>45261</v>
      </c>
      <c r="D2166" t="s">
        <v>7355</v>
      </c>
      <c r="E2166">
        <v>1</v>
      </c>
      <c r="F2166" t="str">
        <f t="shared" si="133"/>
        <v>sep</v>
      </c>
      <c r="G2166">
        <v>20</v>
      </c>
      <c r="H2166">
        <v>22</v>
      </c>
      <c r="I2166" t="str">
        <f t="shared" si="132"/>
        <v>1-sep-2022</v>
      </c>
      <c r="K2166" s="49">
        <f t="shared" si="134"/>
        <v>44805</v>
      </c>
      <c r="M2166" t="b">
        <f t="shared" si="135"/>
        <v>1</v>
      </c>
    </row>
    <row r="2167" spans="1:13" x14ac:dyDescent="0.3">
      <c r="A2167" s="49">
        <v>45261</v>
      </c>
      <c r="D2167" t="s">
        <v>7355</v>
      </c>
      <c r="E2167">
        <v>1</v>
      </c>
      <c r="F2167" t="str">
        <f t="shared" si="133"/>
        <v>sep</v>
      </c>
      <c r="G2167">
        <v>20</v>
      </c>
      <c r="H2167">
        <v>23</v>
      </c>
      <c r="I2167" t="str">
        <f t="shared" si="132"/>
        <v>1-sep-2023</v>
      </c>
      <c r="K2167" s="49">
        <f t="shared" si="134"/>
        <v>45170</v>
      </c>
      <c r="M2167" t="b">
        <f t="shared" si="135"/>
        <v>1</v>
      </c>
    </row>
    <row r="2168" spans="1:13" x14ac:dyDescent="0.3">
      <c r="A2168" s="49">
        <v>45261</v>
      </c>
      <c r="D2168" t="s">
        <v>7362</v>
      </c>
      <c r="E2168">
        <v>1</v>
      </c>
      <c r="F2168" t="str">
        <f t="shared" si="133"/>
        <v>ago</v>
      </c>
      <c r="G2168">
        <v>20</v>
      </c>
      <c r="H2168">
        <v>21</v>
      </c>
      <c r="I2168" t="str">
        <f t="shared" si="132"/>
        <v>1-ago-2021</v>
      </c>
      <c r="K2168" s="49">
        <f t="shared" si="134"/>
        <v>44409</v>
      </c>
      <c r="M2168" t="b">
        <f t="shared" si="135"/>
        <v>1</v>
      </c>
    </row>
    <row r="2169" spans="1:13" x14ac:dyDescent="0.3">
      <c r="A2169" s="49">
        <v>45261</v>
      </c>
      <c r="D2169" t="s">
        <v>7368</v>
      </c>
      <c r="E2169">
        <v>1</v>
      </c>
      <c r="F2169" t="str">
        <f t="shared" si="133"/>
        <v>mar</v>
      </c>
      <c r="G2169">
        <v>20</v>
      </c>
      <c r="H2169">
        <v>22</v>
      </c>
      <c r="I2169" t="str">
        <f t="shared" si="132"/>
        <v>1-mar-2022</v>
      </c>
      <c r="K2169" s="49">
        <f t="shared" si="134"/>
        <v>44621</v>
      </c>
      <c r="M2169" t="b">
        <f t="shared" si="135"/>
        <v>1</v>
      </c>
    </row>
    <row r="2170" spans="1:13" x14ac:dyDescent="0.3">
      <c r="A2170" s="49">
        <v>45261</v>
      </c>
      <c r="D2170" t="s">
        <v>7370</v>
      </c>
      <c r="E2170">
        <v>1</v>
      </c>
      <c r="F2170" t="str">
        <f t="shared" si="133"/>
        <v>may</v>
      </c>
      <c r="G2170">
        <v>20</v>
      </c>
      <c r="H2170">
        <v>23</v>
      </c>
      <c r="I2170" t="str">
        <f t="shared" si="132"/>
        <v>1-may-2023</v>
      </c>
      <c r="K2170" s="49">
        <f t="shared" si="134"/>
        <v>45047</v>
      </c>
      <c r="M2170" t="b">
        <f t="shared" si="135"/>
        <v>1</v>
      </c>
    </row>
    <row r="2171" spans="1:13" x14ac:dyDescent="0.3">
      <c r="A2171" s="49">
        <v>45261</v>
      </c>
      <c r="D2171" t="s">
        <v>7362</v>
      </c>
      <c r="E2171">
        <v>1</v>
      </c>
      <c r="F2171" t="str">
        <f t="shared" si="133"/>
        <v>ago</v>
      </c>
      <c r="G2171">
        <v>20</v>
      </c>
      <c r="H2171">
        <v>23</v>
      </c>
      <c r="I2171" t="str">
        <f t="shared" si="132"/>
        <v>1-ago-2023</v>
      </c>
      <c r="K2171" s="49">
        <f t="shared" si="134"/>
        <v>45139</v>
      </c>
      <c r="M2171" t="b">
        <f t="shared" si="135"/>
        <v>1</v>
      </c>
    </row>
    <row r="2172" spans="1:13" x14ac:dyDescent="0.3">
      <c r="A2172" s="49">
        <v>45261</v>
      </c>
      <c r="D2172" t="s">
        <v>7359</v>
      </c>
      <c r="E2172">
        <v>1</v>
      </c>
      <c r="F2172" t="str">
        <f t="shared" si="133"/>
        <v>jul</v>
      </c>
      <c r="G2172">
        <v>20</v>
      </c>
      <c r="H2172">
        <v>23</v>
      </c>
      <c r="I2172" t="str">
        <f t="shared" si="132"/>
        <v>1-jul-2023</v>
      </c>
      <c r="K2172" s="49">
        <f t="shared" si="134"/>
        <v>45108</v>
      </c>
      <c r="M2172" t="b">
        <f t="shared" si="135"/>
        <v>1</v>
      </c>
    </row>
    <row r="2173" spans="1:13" x14ac:dyDescent="0.3">
      <c r="A2173" s="49">
        <v>45261</v>
      </c>
      <c r="D2173" t="s">
        <v>7367</v>
      </c>
      <c r="E2173">
        <v>1</v>
      </c>
      <c r="F2173" t="str">
        <f t="shared" si="133"/>
        <v>jun</v>
      </c>
      <c r="G2173">
        <v>20</v>
      </c>
      <c r="H2173">
        <v>23</v>
      </c>
      <c r="I2173" t="str">
        <f t="shared" si="132"/>
        <v>1-jun-2023</v>
      </c>
      <c r="K2173" s="49">
        <f t="shared" si="134"/>
        <v>45078</v>
      </c>
      <c r="M2173" t="b">
        <f t="shared" si="135"/>
        <v>1</v>
      </c>
    </row>
    <row r="2174" spans="1:13" x14ac:dyDescent="0.3">
      <c r="A2174" s="49">
        <v>45261</v>
      </c>
      <c r="D2174" t="s">
        <v>7367</v>
      </c>
      <c r="E2174">
        <v>1</v>
      </c>
      <c r="F2174" t="str">
        <f t="shared" si="133"/>
        <v>jun</v>
      </c>
      <c r="G2174">
        <v>20</v>
      </c>
      <c r="H2174">
        <v>23</v>
      </c>
      <c r="I2174" t="str">
        <f t="shared" si="132"/>
        <v>1-jun-2023</v>
      </c>
      <c r="K2174" s="49">
        <f t="shared" si="134"/>
        <v>45078</v>
      </c>
      <c r="M2174" t="b">
        <f t="shared" si="135"/>
        <v>1</v>
      </c>
    </row>
    <row r="2175" spans="1:13" x14ac:dyDescent="0.3">
      <c r="A2175" s="49">
        <v>45261</v>
      </c>
      <c r="D2175" t="s">
        <v>7367</v>
      </c>
      <c r="E2175">
        <v>1</v>
      </c>
      <c r="F2175" t="str">
        <f t="shared" si="133"/>
        <v>jun</v>
      </c>
      <c r="G2175">
        <v>20</v>
      </c>
      <c r="H2175">
        <v>23</v>
      </c>
      <c r="I2175" t="str">
        <f t="shared" si="132"/>
        <v>1-jun-2023</v>
      </c>
      <c r="K2175" s="49">
        <f t="shared" si="134"/>
        <v>45078</v>
      </c>
      <c r="M2175" t="b">
        <f t="shared" si="135"/>
        <v>1</v>
      </c>
    </row>
    <row r="2176" spans="1:13" x14ac:dyDescent="0.3">
      <c r="A2176" s="49">
        <v>45261</v>
      </c>
      <c r="D2176" t="s">
        <v>7367</v>
      </c>
      <c r="E2176">
        <v>1</v>
      </c>
      <c r="F2176" t="str">
        <f t="shared" si="133"/>
        <v>jun</v>
      </c>
      <c r="G2176">
        <v>20</v>
      </c>
      <c r="H2176">
        <v>23</v>
      </c>
      <c r="I2176" t="str">
        <f t="shared" si="132"/>
        <v>1-jun-2023</v>
      </c>
      <c r="K2176" s="49">
        <f t="shared" si="134"/>
        <v>45078</v>
      </c>
      <c r="M2176" t="b">
        <f t="shared" si="135"/>
        <v>1</v>
      </c>
    </row>
    <row r="2177" spans="1:13" x14ac:dyDescent="0.3">
      <c r="A2177" s="49">
        <v>45261</v>
      </c>
      <c r="D2177" t="s">
        <v>7357</v>
      </c>
      <c r="E2177">
        <v>1</v>
      </c>
      <c r="F2177" t="str">
        <f t="shared" si="133"/>
        <v>oct</v>
      </c>
      <c r="G2177">
        <v>20</v>
      </c>
      <c r="H2177">
        <v>23</v>
      </c>
      <c r="I2177" t="str">
        <f t="shared" ref="I2177:I2240" si="136">_xlfn.CONCAT(E2177,"-",F2177,"-",G2177,H2177)</f>
        <v>1-oct-2023</v>
      </c>
      <c r="K2177" s="49">
        <f t="shared" si="134"/>
        <v>45200</v>
      </c>
      <c r="M2177" t="b">
        <f t="shared" si="135"/>
        <v>1</v>
      </c>
    </row>
    <row r="2178" spans="1:13" x14ac:dyDescent="0.3">
      <c r="A2178" s="49">
        <v>45261</v>
      </c>
      <c r="D2178" t="s">
        <v>7355</v>
      </c>
      <c r="E2178">
        <v>1</v>
      </c>
      <c r="F2178" t="str">
        <f t="shared" ref="F2178:F2241" si="137">LOWER(D2178)</f>
        <v>sep</v>
      </c>
      <c r="G2178">
        <v>20</v>
      </c>
      <c r="H2178">
        <v>22</v>
      </c>
      <c r="I2178" t="str">
        <f t="shared" si="136"/>
        <v>1-sep-2022</v>
      </c>
      <c r="K2178" s="49">
        <f t="shared" ref="K2178:K2241" si="138">DATEVALUE(I2178)</f>
        <v>44805</v>
      </c>
      <c r="M2178" t="b">
        <f t="shared" si="135"/>
        <v>1</v>
      </c>
    </row>
    <row r="2179" spans="1:13" x14ac:dyDescent="0.3">
      <c r="A2179" s="49">
        <v>45261</v>
      </c>
      <c r="D2179" t="s">
        <v>7368</v>
      </c>
      <c r="E2179">
        <v>1</v>
      </c>
      <c r="F2179" t="str">
        <f t="shared" si="137"/>
        <v>mar</v>
      </c>
      <c r="G2179">
        <v>20</v>
      </c>
      <c r="H2179">
        <v>23</v>
      </c>
      <c r="I2179" t="str">
        <f t="shared" si="136"/>
        <v>1-mar-2023</v>
      </c>
      <c r="K2179" s="49">
        <f t="shared" si="138"/>
        <v>44986</v>
      </c>
      <c r="M2179" t="b">
        <f t="shared" ref="M2179:M2242" si="139">K2179&lt;A2179</f>
        <v>1</v>
      </c>
    </row>
    <row r="2180" spans="1:13" x14ac:dyDescent="0.3">
      <c r="A2180" s="49">
        <v>45261</v>
      </c>
      <c r="D2180" t="s">
        <v>7367</v>
      </c>
      <c r="E2180">
        <v>1</v>
      </c>
      <c r="F2180" t="str">
        <f t="shared" si="137"/>
        <v>jun</v>
      </c>
      <c r="G2180">
        <v>20</v>
      </c>
      <c r="H2180">
        <v>23</v>
      </c>
      <c r="I2180" t="str">
        <f t="shared" si="136"/>
        <v>1-jun-2023</v>
      </c>
      <c r="K2180" s="49">
        <f t="shared" si="138"/>
        <v>45078</v>
      </c>
      <c r="M2180" t="b">
        <f t="shared" si="139"/>
        <v>1</v>
      </c>
    </row>
    <row r="2181" spans="1:13" x14ac:dyDescent="0.3">
      <c r="A2181" s="49">
        <v>45261</v>
      </c>
      <c r="D2181" t="s">
        <v>7367</v>
      </c>
      <c r="E2181">
        <v>1</v>
      </c>
      <c r="F2181" t="str">
        <f t="shared" si="137"/>
        <v>jun</v>
      </c>
      <c r="G2181">
        <v>20</v>
      </c>
      <c r="H2181">
        <v>22</v>
      </c>
      <c r="I2181" t="str">
        <f t="shared" si="136"/>
        <v>1-jun-2022</v>
      </c>
      <c r="K2181" s="49">
        <f t="shared" si="138"/>
        <v>44713</v>
      </c>
      <c r="M2181" t="b">
        <f t="shared" si="139"/>
        <v>1</v>
      </c>
    </row>
    <row r="2182" spans="1:13" x14ac:dyDescent="0.3">
      <c r="A2182" s="49">
        <v>45261</v>
      </c>
      <c r="D2182" t="s">
        <v>7368</v>
      </c>
      <c r="E2182">
        <v>1</v>
      </c>
      <c r="F2182" t="str">
        <f t="shared" si="137"/>
        <v>mar</v>
      </c>
      <c r="G2182">
        <v>20</v>
      </c>
      <c r="H2182">
        <v>23</v>
      </c>
      <c r="I2182" t="str">
        <f t="shared" si="136"/>
        <v>1-mar-2023</v>
      </c>
      <c r="K2182" s="49">
        <f t="shared" si="138"/>
        <v>44986</v>
      </c>
      <c r="M2182" t="b">
        <f t="shared" si="139"/>
        <v>1</v>
      </c>
    </row>
    <row r="2183" spans="1:13" x14ac:dyDescent="0.3">
      <c r="A2183" s="49">
        <v>45261</v>
      </c>
      <c r="D2183" t="s">
        <v>7357</v>
      </c>
      <c r="E2183">
        <v>1</v>
      </c>
      <c r="F2183" t="str">
        <f t="shared" si="137"/>
        <v>oct</v>
      </c>
      <c r="G2183">
        <v>20</v>
      </c>
      <c r="H2183">
        <v>21</v>
      </c>
      <c r="I2183" t="str">
        <f t="shared" si="136"/>
        <v>1-oct-2021</v>
      </c>
      <c r="K2183" s="49">
        <f t="shared" si="138"/>
        <v>44470</v>
      </c>
      <c r="M2183" t="b">
        <f t="shared" si="139"/>
        <v>1</v>
      </c>
    </row>
    <row r="2184" spans="1:13" x14ac:dyDescent="0.3">
      <c r="A2184" s="49">
        <v>45261</v>
      </c>
      <c r="D2184" t="s">
        <v>7366</v>
      </c>
      <c r="E2184">
        <v>1</v>
      </c>
      <c r="F2184" t="str">
        <f t="shared" si="137"/>
        <v>dic</v>
      </c>
      <c r="G2184">
        <v>20</v>
      </c>
      <c r="H2184">
        <v>23</v>
      </c>
      <c r="I2184" t="str">
        <f t="shared" si="136"/>
        <v>1-dic-2023</v>
      </c>
      <c r="K2184" s="49">
        <f t="shared" si="138"/>
        <v>45261</v>
      </c>
      <c r="M2184" t="b">
        <f t="shared" si="139"/>
        <v>0</v>
      </c>
    </row>
    <row r="2185" spans="1:13" x14ac:dyDescent="0.3">
      <c r="A2185" s="49">
        <v>45261</v>
      </c>
      <c r="D2185" t="s">
        <v>7363</v>
      </c>
      <c r="E2185">
        <v>1</v>
      </c>
      <c r="F2185" t="str">
        <f t="shared" si="137"/>
        <v>feb</v>
      </c>
      <c r="G2185">
        <v>20</v>
      </c>
      <c r="H2185">
        <v>21</v>
      </c>
      <c r="I2185" t="str">
        <f t="shared" si="136"/>
        <v>1-feb-2021</v>
      </c>
      <c r="K2185" s="49">
        <f t="shared" si="138"/>
        <v>44228</v>
      </c>
      <c r="M2185" t="b">
        <f t="shared" si="139"/>
        <v>1</v>
      </c>
    </row>
    <row r="2186" spans="1:13" x14ac:dyDescent="0.3">
      <c r="A2186" s="49">
        <v>45261</v>
      </c>
      <c r="D2186" t="s">
        <v>7357</v>
      </c>
      <c r="E2186">
        <v>1</v>
      </c>
      <c r="F2186" t="str">
        <f t="shared" si="137"/>
        <v>oct</v>
      </c>
      <c r="G2186">
        <v>20</v>
      </c>
      <c r="H2186">
        <v>23</v>
      </c>
      <c r="I2186" t="str">
        <f t="shared" si="136"/>
        <v>1-oct-2023</v>
      </c>
      <c r="K2186" s="49">
        <f t="shared" si="138"/>
        <v>45200</v>
      </c>
      <c r="M2186" t="b">
        <f t="shared" si="139"/>
        <v>1</v>
      </c>
    </row>
    <row r="2187" spans="1:13" x14ac:dyDescent="0.3">
      <c r="A2187" s="49">
        <v>45261</v>
      </c>
      <c r="D2187" t="s">
        <v>7363</v>
      </c>
      <c r="E2187">
        <v>1</v>
      </c>
      <c r="F2187" t="str">
        <f t="shared" si="137"/>
        <v>feb</v>
      </c>
      <c r="G2187">
        <v>20</v>
      </c>
      <c r="H2187">
        <v>17</v>
      </c>
      <c r="I2187" t="str">
        <f t="shared" si="136"/>
        <v>1-feb-2017</v>
      </c>
      <c r="K2187" s="49">
        <f t="shared" si="138"/>
        <v>42767</v>
      </c>
      <c r="M2187" t="b">
        <f t="shared" si="139"/>
        <v>1</v>
      </c>
    </row>
    <row r="2188" spans="1:13" x14ac:dyDescent="0.3">
      <c r="A2188" s="49">
        <v>45261</v>
      </c>
      <c r="D2188" t="s">
        <v>7357</v>
      </c>
      <c r="E2188">
        <v>1</v>
      </c>
      <c r="F2188" t="str">
        <f t="shared" si="137"/>
        <v>oct</v>
      </c>
      <c r="G2188">
        <v>20</v>
      </c>
      <c r="H2188">
        <v>23</v>
      </c>
      <c r="I2188" t="str">
        <f t="shared" si="136"/>
        <v>1-oct-2023</v>
      </c>
      <c r="K2188" s="49">
        <f t="shared" si="138"/>
        <v>45200</v>
      </c>
      <c r="M2188" t="b">
        <f t="shared" si="139"/>
        <v>1</v>
      </c>
    </row>
    <row r="2189" spans="1:13" x14ac:dyDescent="0.3">
      <c r="A2189" s="49">
        <v>45261</v>
      </c>
      <c r="D2189" t="s">
        <v>7369</v>
      </c>
      <c r="E2189">
        <v>1</v>
      </c>
      <c r="F2189" t="str">
        <f t="shared" si="137"/>
        <v>abr</v>
      </c>
      <c r="G2189">
        <v>20</v>
      </c>
      <c r="H2189">
        <v>23</v>
      </c>
      <c r="I2189" t="str">
        <f t="shared" si="136"/>
        <v>1-abr-2023</v>
      </c>
      <c r="K2189" s="49">
        <f t="shared" si="138"/>
        <v>45017</v>
      </c>
      <c r="M2189" t="b">
        <f t="shared" si="139"/>
        <v>1</v>
      </c>
    </row>
    <row r="2190" spans="1:13" x14ac:dyDescent="0.3">
      <c r="A2190" s="49">
        <v>45261</v>
      </c>
      <c r="D2190" t="s">
        <v>7362</v>
      </c>
      <c r="E2190">
        <v>1</v>
      </c>
      <c r="F2190" t="str">
        <f t="shared" si="137"/>
        <v>ago</v>
      </c>
      <c r="G2190">
        <v>20</v>
      </c>
      <c r="H2190">
        <v>23</v>
      </c>
      <c r="I2190" t="str">
        <f t="shared" si="136"/>
        <v>1-ago-2023</v>
      </c>
      <c r="K2190" s="49">
        <f t="shared" si="138"/>
        <v>45139</v>
      </c>
      <c r="M2190" t="b">
        <f t="shared" si="139"/>
        <v>1</v>
      </c>
    </row>
    <row r="2191" spans="1:13" x14ac:dyDescent="0.3">
      <c r="A2191" s="49">
        <v>45261</v>
      </c>
      <c r="D2191" t="s">
        <v>7355</v>
      </c>
      <c r="E2191">
        <v>1</v>
      </c>
      <c r="F2191" t="str">
        <f t="shared" si="137"/>
        <v>sep</v>
      </c>
      <c r="G2191">
        <v>20</v>
      </c>
      <c r="H2191">
        <v>20</v>
      </c>
      <c r="I2191" t="str">
        <f t="shared" si="136"/>
        <v>1-sep-2020</v>
      </c>
      <c r="K2191" s="49">
        <f t="shared" si="138"/>
        <v>44075</v>
      </c>
      <c r="M2191" t="b">
        <f t="shared" si="139"/>
        <v>1</v>
      </c>
    </row>
    <row r="2192" spans="1:13" x14ac:dyDescent="0.3">
      <c r="A2192" s="49">
        <v>45261</v>
      </c>
      <c r="D2192" t="s">
        <v>7368</v>
      </c>
      <c r="E2192">
        <v>1</v>
      </c>
      <c r="F2192" t="str">
        <f t="shared" si="137"/>
        <v>mar</v>
      </c>
      <c r="G2192">
        <v>20</v>
      </c>
      <c r="H2192">
        <v>24</v>
      </c>
      <c r="I2192" t="str">
        <f t="shared" si="136"/>
        <v>1-mar-2024</v>
      </c>
      <c r="K2192" s="49">
        <f t="shared" si="138"/>
        <v>45352</v>
      </c>
      <c r="M2192" t="b">
        <f t="shared" si="139"/>
        <v>0</v>
      </c>
    </row>
    <row r="2193" spans="1:13" x14ac:dyDescent="0.3">
      <c r="A2193" s="49">
        <v>45261</v>
      </c>
      <c r="D2193" t="s">
        <v>7360</v>
      </c>
      <c r="E2193">
        <v>1</v>
      </c>
      <c r="F2193" t="str">
        <f t="shared" si="137"/>
        <v>nov</v>
      </c>
      <c r="G2193">
        <v>20</v>
      </c>
      <c r="H2193">
        <v>23</v>
      </c>
      <c r="I2193" t="str">
        <f t="shared" si="136"/>
        <v>1-nov-2023</v>
      </c>
      <c r="K2193" s="49">
        <f t="shared" si="138"/>
        <v>45231</v>
      </c>
      <c r="M2193" t="b">
        <f t="shared" si="139"/>
        <v>1</v>
      </c>
    </row>
    <row r="2194" spans="1:13" x14ac:dyDescent="0.3">
      <c r="A2194" s="49">
        <v>45261</v>
      </c>
      <c r="D2194" t="s">
        <v>7363</v>
      </c>
      <c r="E2194">
        <v>1</v>
      </c>
      <c r="F2194" t="str">
        <f t="shared" si="137"/>
        <v>feb</v>
      </c>
      <c r="G2194">
        <v>20</v>
      </c>
      <c r="H2194">
        <v>24</v>
      </c>
      <c r="I2194" t="str">
        <f t="shared" si="136"/>
        <v>1-feb-2024</v>
      </c>
      <c r="K2194" s="49">
        <f t="shared" si="138"/>
        <v>45323</v>
      </c>
      <c r="M2194" t="b">
        <f t="shared" si="139"/>
        <v>0</v>
      </c>
    </row>
    <row r="2195" spans="1:13" x14ac:dyDescent="0.3">
      <c r="A2195" s="49">
        <v>45261</v>
      </c>
      <c r="D2195" t="s">
        <v>7369</v>
      </c>
      <c r="E2195">
        <v>1</v>
      </c>
      <c r="F2195" t="str">
        <f t="shared" si="137"/>
        <v>abr</v>
      </c>
      <c r="G2195">
        <v>20</v>
      </c>
      <c r="H2195">
        <v>15</v>
      </c>
      <c r="I2195" t="str">
        <f t="shared" si="136"/>
        <v>1-abr-2015</v>
      </c>
      <c r="K2195" s="49">
        <f t="shared" si="138"/>
        <v>42095</v>
      </c>
      <c r="M2195" t="b">
        <f t="shared" si="139"/>
        <v>1</v>
      </c>
    </row>
    <row r="2196" spans="1:13" x14ac:dyDescent="0.3">
      <c r="A2196" s="49">
        <v>45261</v>
      </c>
      <c r="D2196" t="s">
        <v>7369</v>
      </c>
      <c r="E2196">
        <v>1</v>
      </c>
      <c r="F2196" t="str">
        <f t="shared" si="137"/>
        <v>abr</v>
      </c>
      <c r="G2196">
        <v>20</v>
      </c>
      <c r="H2196">
        <v>15</v>
      </c>
      <c r="I2196" t="str">
        <f t="shared" si="136"/>
        <v>1-abr-2015</v>
      </c>
      <c r="K2196" s="49">
        <f t="shared" si="138"/>
        <v>42095</v>
      </c>
      <c r="M2196" t="b">
        <f t="shared" si="139"/>
        <v>1</v>
      </c>
    </row>
    <row r="2197" spans="1:13" x14ac:dyDescent="0.3">
      <c r="A2197" s="49">
        <v>45261</v>
      </c>
      <c r="D2197" t="s">
        <v>7369</v>
      </c>
      <c r="E2197">
        <v>1</v>
      </c>
      <c r="F2197" t="str">
        <f t="shared" si="137"/>
        <v>abr</v>
      </c>
      <c r="G2197">
        <v>20</v>
      </c>
      <c r="H2197">
        <v>15</v>
      </c>
      <c r="I2197" t="str">
        <f t="shared" si="136"/>
        <v>1-abr-2015</v>
      </c>
      <c r="K2197" s="49">
        <f t="shared" si="138"/>
        <v>42095</v>
      </c>
      <c r="M2197" t="b">
        <f t="shared" si="139"/>
        <v>1</v>
      </c>
    </row>
    <row r="2198" spans="1:13" x14ac:dyDescent="0.3">
      <c r="A2198" s="49">
        <v>45261</v>
      </c>
      <c r="D2198" t="s">
        <v>7369</v>
      </c>
      <c r="E2198">
        <v>1</v>
      </c>
      <c r="F2198" t="str">
        <f t="shared" si="137"/>
        <v>abr</v>
      </c>
      <c r="G2198">
        <v>20</v>
      </c>
      <c r="H2198">
        <v>15</v>
      </c>
      <c r="I2198" t="str">
        <f t="shared" si="136"/>
        <v>1-abr-2015</v>
      </c>
      <c r="K2198" s="49">
        <f t="shared" si="138"/>
        <v>42095</v>
      </c>
      <c r="M2198" t="b">
        <f t="shared" si="139"/>
        <v>1</v>
      </c>
    </row>
    <row r="2199" spans="1:13" x14ac:dyDescent="0.3">
      <c r="A2199" s="49">
        <v>45261</v>
      </c>
      <c r="D2199" t="s">
        <v>7369</v>
      </c>
      <c r="E2199">
        <v>1</v>
      </c>
      <c r="F2199" t="str">
        <f t="shared" si="137"/>
        <v>abr</v>
      </c>
      <c r="G2199">
        <v>20</v>
      </c>
      <c r="H2199">
        <v>15</v>
      </c>
      <c r="I2199" t="str">
        <f t="shared" si="136"/>
        <v>1-abr-2015</v>
      </c>
      <c r="K2199" s="49">
        <f t="shared" si="138"/>
        <v>42095</v>
      </c>
      <c r="M2199" t="b">
        <f t="shared" si="139"/>
        <v>1</v>
      </c>
    </row>
    <row r="2200" spans="1:13" x14ac:dyDescent="0.3">
      <c r="A2200" s="49">
        <v>45261</v>
      </c>
      <c r="D2200" t="s">
        <v>7369</v>
      </c>
      <c r="E2200">
        <v>1</v>
      </c>
      <c r="F2200" t="str">
        <f t="shared" si="137"/>
        <v>abr</v>
      </c>
      <c r="G2200">
        <v>20</v>
      </c>
      <c r="H2200">
        <v>15</v>
      </c>
      <c r="I2200" t="str">
        <f t="shared" si="136"/>
        <v>1-abr-2015</v>
      </c>
      <c r="K2200" s="49">
        <f t="shared" si="138"/>
        <v>42095</v>
      </c>
      <c r="M2200" t="b">
        <f t="shared" si="139"/>
        <v>1</v>
      </c>
    </row>
    <row r="2201" spans="1:13" x14ac:dyDescent="0.3">
      <c r="A2201" s="49">
        <v>45261</v>
      </c>
      <c r="D2201" t="s">
        <v>7369</v>
      </c>
      <c r="E2201">
        <v>1</v>
      </c>
      <c r="F2201" t="str">
        <f t="shared" si="137"/>
        <v>abr</v>
      </c>
      <c r="G2201">
        <v>20</v>
      </c>
      <c r="H2201">
        <v>15</v>
      </c>
      <c r="I2201" t="str">
        <f t="shared" si="136"/>
        <v>1-abr-2015</v>
      </c>
      <c r="K2201" s="49">
        <f t="shared" si="138"/>
        <v>42095</v>
      </c>
      <c r="M2201" t="b">
        <f t="shared" si="139"/>
        <v>1</v>
      </c>
    </row>
    <row r="2202" spans="1:13" x14ac:dyDescent="0.3">
      <c r="A2202" s="49">
        <v>45261</v>
      </c>
      <c r="D2202" t="s">
        <v>7369</v>
      </c>
      <c r="E2202">
        <v>1</v>
      </c>
      <c r="F2202" t="str">
        <f t="shared" si="137"/>
        <v>abr</v>
      </c>
      <c r="G2202">
        <v>20</v>
      </c>
      <c r="H2202">
        <v>15</v>
      </c>
      <c r="I2202" t="str">
        <f t="shared" si="136"/>
        <v>1-abr-2015</v>
      </c>
      <c r="K2202" s="49">
        <f t="shared" si="138"/>
        <v>42095</v>
      </c>
      <c r="M2202" t="b">
        <f t="shared" si="139"/>
        <v>1</v>
      </c>
    </row>
    <row r="2203" spans="1:13" x14ac:dyDescent="0.3">
      <c r="A2203" s="49">
        <v>45261</v>
      </c>
      <c r="D2203" t="s">
        <v>7369</v>
      </c>
      <c r="E2203">
        <v>1</v>
      </c>
      <c r="F2203" t="str">
        <f t="shared" si="137"/>
        <v>abr</v>
      </c>
      <c r="G2203">
        <v>20</v>
      </c>
      <c r="H2203">
        <v>15</v>
      </c>
      <c r="I2203" t="str">
        <f t="shared" si="136"/>
        <v>1-abr-2015</v>
      </c>
      <c r="K2203" s="49">
        <f t="shared" si="138"/>
        <v>42095</v>
      </c>
      <c r="M2203" t="b">
        <f t="shared" si="139"/>
        <v>1</v>
      </c>
    </row>
    <row r="2204" spans="1:13" x14ac:dyDescent="0.3">
      <c r="A2204" s="49">
        <v>45261</v>
      </c>
      <c r="D2204" t="s">
        <v>7367</v>
      </c>
      <c r="E2204">
        <v>1</v>
      </c>
      <c r="F2204" t="str">
        <f t="shared" si="137"/>
        <v>jun</v>
      </c>
      <c r="G2204">
        <v>20</v>
      </c>
      <c r="H2204">
        <v>20</v>
      </c>
      <c r="I2204" t="str">
        <f t="shared" si="136"/>
        <v>1-jun-2020</v>
      </c>
      <c r="K2204" s="49">
        <f t="shared" si="138"/>
        <v>43983</v>
      </c>
      <c r="M2204" t="b">
        <f t="shared" si="139"/>
        <v>1</v>
      </c>
    </row>
    <row r="2205" spans="1:13" x14ac:dyDescent="0.3">
      <c r="A2205" s="49">
        <v>45261</v>
      </c>
      <c r="D2205" t="s">
        <v>7370</v>
      </c>
      <c r="E2205">
        <v>1</v>
      </c>
      <c r="F2205" t="str">
        <f t="shared" si="137"/>
        <v>may</v>
      </c>
      <c r="G2205">
        <v>20</v>
      </c>
      <c r="H2205">
        <v>23</v>
      </c>
      <c r="I2205" t="str">
        <f t="shared" si="136"/>
        <v>1-may-2023</v>
      </c>
      <c r="K2205" s="49">
        <f t="shared" si="138"/>
        <v>45047</v>
      </c>
      <c r="M2205" t="b">
        <f t="shared" si="139"/>
        <v>1</v>
      </c>
    </row>
    <row r="2206" spans="1:13" x14ac:dyDescent="0.3">
      <c r="A2206" s="49">
        <v>45261</v>
      </c>
      <c r="D2206" t="s">
        <v>7368</v>
      </c>
      <c r="E2206">
        <v>1</v>
      </c>
      <c r="F2206" t="str">
        <f t="shared" si="137"/>
        <v>mar</v>
      </c>
      <c r="G2206">
        <v>20</v>
      </c>
      <c r="H2206">
        <v>17</v>
      </c>
      <c r="I2206" t="str">
        <f t="shared" si="136"/>
        <v>1-mar-2017</v>
      </c>
      <c r="K2206" s="49">
        <f t="shared" si="138"/>
        <v>42795</v>
      </c>
      <c r="M2206" t="b">
        <f t="shared" si="139"/>
        <v>1</v>
      </c>
    </row>
    <row r="2207" spans="1:13" x14ac:dyDescent="0.3">
      <c r="A2207" s="49">
        <v>45261</v>
      </c>
      <c r="D2207" t="s">
        <v>7368</v>
      </c>
      <c r="E2207">
        <v>1</v>
      </c>
      <c r="F2207" t="str">
        <f t="shared" si="137"/>
        <v>mar</v>
      </c>
      <c r="G2207">
        <v>20</v>
      </c>
      <c r="H2207">
        <v>17</v>
      </c>
      <c r="I2207" t="str">
        <f t="shared" si="136"/>
        <v>1-mar-2017</v>
      </c>
      <c r="K2207" s="49">
        <f t="shared" si="138"/>
        <v>42795</v>
      </c>
      <c r="M2207" t="b">
        <f t="shared" si="139"/>
        <v>1</v>
      </c>
    </row>
    <row r="2208" spans="1:13" x14ac:dyDescent="0.3">
      <c r="A2208" s="49">
        <v>45261</v>
      </c>
      <c r="D2208" t="s">
        <v>7369</v>
      </c>
      <c r="E2208">
        <v>1</v>
      </c>
      <c r="F2208" t="str">
        <f t="shared" si="137"/>
        <v>abr</v>
      </c>
      <c r="G2208">
        <v>20</v>
      </c>
      <c r="H2208">
        <v>15</v>
      </c>
      <c r="I2208" t="str">
        <f t="shared" si="136"/>
        <v>1-abr-2015</v>
      </c>
      <c r="K2208" s="49">
        <f t="shared" si="138"/>
        <v>42095</v>
      </c>
      <c r="M2208" t="b">
        <f t="shared" si="139"/>
        <v>1</v>
      </c>
    </row>
    <row r="2209" spans="1:13" x14ac:dyDescent="0.3">
      <c r="A2209" s="49">
        <v>45261</v>
      </c>
      <c r="D2209" t="s">
        <v>7369</v>
      </c>
      <c r="E2209">
        <v>1</v>
      </c>
      <c r="F2209" t="str">
        <f t="shared" si="137"/>
        <v>abr</v>
      </c>
      <c r="G2209">
        <v>20</v>
      </c>
      <c r="H2209">
        <v>15</v>
      </c>
      <c r="I2209" t="str">
        <f t="shared" si="136"/>
        <v>1-abr-2015</v>
      </c>
      <c r="K2209" s="49">
        <f t="shared" si="138"/>
        <v>42095</v>
      </c>
      <c r="M2209" t="b">
        <f t="shared" si="139"/>
        <v>1</v>
      </c>
    </row>
    <row r="2210" spans="1:13" x14ac:dyDescent="0.3">
      <c r="A2210" s="49">
        <v>45261</v>
      </c>
      <c r="D2210" t="s">
        <v>7369</v>
      </c>
      <c r="E2210">
        <v>1</v>
      </c>
      <c r="F2210" t="str">
        <f t="shared" si="137"/>
        <v>abr</v>
      </c>
      <c r="G2210">
        <v>20</v>
      </c>
      <c r="H2210">
        <v>15</v>
      </c>
      <c r="I2210" t="str">
        <f t="shared" si="136"/>
        <v>1-abr-2015</v>
      </c>
      <c r="K2210" s="49">
        <f t="shared" si="138"/>
        <v>42095</v>
      </c>
      <c r="M2210" t="b">
        <f t="shared" si="139"/>
        <v>1</v>
      </c>
    </row>
    <row r="2211" spans="1:13" x14ac:dyDescent="0.3">
      <c r="A2211" s="49">
        <v>45261</v>
      </c>
      <c r="D2211" t="s">
        <v>7369</v>
      </c>
      <c r="E2211">
        <v>1</v>
      </c>
      <c r="F2211" t="str">
        <f t="shared" si="137"/>
        <v>abr</v>
      </c>
      <c r="G2211">
        <v>20</v>
      </c>
      <c r="H2211">
        <v>15</v>
      </c>
      <c r="I2211" t="str">
        <f t="shared" si="136"/>
        <v>1-abr-2015</v>
      </c>
      <c r="K2211" s="49">
        <f t="shared" si="138"/>
        <v>42095</v>
      </c>
      <c r="M2211" t="b">
        <f t="shared" si="139"/>
        <v>1</v>
      </c>
    </row>
    <row r="2212" spans="1:13" x14ac:dyDescent="0.3">
      <c r="A2212" s="49">
        <v>45261</v>
      </c>
      <c r="D2212" t="s">
        <v>7355</v>
      </c>
      <c r="E2212">
        <v>1</v>
      </c>
      <c r="F2212" t="str">
        <f t="shared" si="137"/>
        <v>sep</v>
      </c>
      <c r="G2212">
        <v>20</v>
      </c>
      <c r="H2212">
        <v>20</v>
      </c>
      <c r="I2212" t="str">
        <f t="shared" si="136"/>
        <v>1-sep-2020</v>
      </c>
      <c r="K2212" s="49">
        <f t="shared" si="138"/>
        <v>44075</v>
      </c>
      <c r="M2212" t="b">
        <f t="shared" si="139"/>
        <v>1</v>
      </c>
    </row>
    <row r="2213" spans="1:13" x14ac:dyDescent="0.3">
      <c r="A2213" s="49">
        <v>45261</v>
      </c>
      <c r="D2213" t="s">
        <v>7369</v>
      </c>
      <c r="E2213">
        <v>1</v>
      </c>
      <c r="F2213" t="str">
        <f t="shared" si="137"/>
        <v>abr</v>
      </c>
      <c r="G2213">
        <v>20</v>
      </c>
      <c r="H2213">
        <v>22</v>
      </c>
      <c r="I2213" t="str">
        <f t="shared" si="136"/>
        <v>1-abr-2022</v>
      </c>
      <c r="K2213" s="49">
        <f t="shared" si="138"/>
        <v>44652</v>
      </c>
      <c r="M2213" t="b">
        <f t="shared" si="139"/>
        <v>1</v>
      </c>
    </row>
    <row r="2214" spans="1:13" x14ac:dyDescent="0.3">
      <c r="A2214" s="49">
        <v>45261</v>
      </c>
      <c r="D2214" t="s">
        <v>7359</v>
      </c>
      <c r="E2214">
        <v>1</v>
      </c>
      <c r="F2214" t="str">
        <f t="shared" si="137"/>
        <v>jul</v>
      </c>
      <c r="G2214">
        <v>20</v>
      </c>
      <c r="H2214">
        <v>21</v>
      </c>
      <c r="I2214" t="str">
        <f t="shared" si="136"/>
        <v>1-jul-2021</v>
      </c>
      <c r="K2214" s="49">
        <f t="shared" si="138"/>
        <v>44378</v>
      </c>
      <c r="M2214" t="b">
        <f t="shared" si="139"/>
        <v>1</v>
      </c>
    </row>
    <row r="2215" spans="1:13" x14ac:dyDescent="0.3">
      <c r="A2215" s="49">
        <v>45261</v>
      </c>
      <c r="D2215" t="s">
        <v>7360</v>
      </c>
      <c r="E2215">
        <v>1</v>
      </c>
      <c r="F2215" t="str">
        <f t="shared" si="137"/>
        <v>nov</v>
      </c>
      <c r="G2215">
        <v>20</v>
      </c>
      <c r="H2215">
        <v>17</v>
      </c>
      <c r="I2215" t="str">
        <f t="shared" si="136"/>
        <v>1-nov-2017</v>
      </c>
      <c r="K2215" s="49">
        <f t="shared" si="138"/>
        <v>43040</v>
      </c>
      <c r="M2215" t="b">
        <f t="shared" si="139"/>
        <v>1</v>
      </c>
    </row>
    <row r="2216" spans="1:13" x14ac:dyDescent="0.3">
      <c r="A2216" s="49">
        <v>45261</v>
      </c>
      <c r="D2216" t="s">
        <v>7369</v>
      </c>
      <c r="E2216">
        <v>1</v>
      </c>
      <c r="F2216" t="str">
        <f t="shared" si="137"/>
        <v>abr</v>
      </c>
      <c r="G2216">
        <v>20</v>
      </c>
      <c r="H2216">
        <v>15</v>
      </c>
      <c r="I2216" t="str">
        <f t="shared" si="136"/>
        <v>1-abr-2015</v>
      </c>
      <c r="K2216" s="49">
        <f t="shared" si="138"/>
        <v>42095</v>
      </c>
      <c r="M2216" t="b">
        <f t="shared" si="139"/>
        <v>1</v>
      </c>
    </row>
    <row r="2217" spans="1:13" x14ac:dyDescent="0.3">
      <c r="A2217" s="49">
        <v>45261</v>
      </c>
      <c r="D2217" t="s">
        <v>7369</v>
      </c>
      <c r="E2217">
        <v>1</v>
      </c>
      <c r="F2217" t="str">
        <f t="shared" si="137"/>
        <v>abr</v>
      </c>
      <c r="G2217">
        <v>20</v>
      </c>
      <c r="H2217">
        <v>15</v>
      </c>
      <c r="I2217" t="str">
        <f t="shared" si="136"/>
        <v>1-abr-2015</v>
      </c>
      <c r="K2217" s="49">
        <f t="shared" si="138"/>
        <v>42095</v>
      </c>
      <c r="M2217" t="b">
        <f t="shared" si="139"/>
        <v>1</v>
      </c>
    </row>
    <row r="2218" spans="1:13" x14ac:dyDescent="0.3">
      <c r="A2218" s="49">
        <v>45261</v>
      </c>
      <c r="D2218" t="s">
        <v>7369</v>
      </c>
      <c r="E2218">
        <v>1</v>
      </c>
      <c r="F2218" t="str">
        <f t="shared" si="137"/>
        <v>abr</v>
      </c>
      <c r="G2218">
        <v>20</v>
      </c>
      <c r="H2218">
        <v>15</v>
      </c>
      <c r="I2218" t="str">
        <f t="shared" si="136"/>
        <v>1-abr-2015</v>
      </c>
      <c r="K2218" s="49">
        <f t="shared" si="138"/>
        <v>42095</v>
      </c>
      <c r="M2218" t="b">
        <f t="shared" si="139"/>
        <v>1</v>
      </c>
    </row>
    <row r="2219" spans="1:13" x14ac:dyDescent="0.3">
      <c r="A2219" s="49">
        <v>45261</v>
      </c>
      <c r="D2219" t="s">
        <v>7369</v>
      </c>
      <c r="E2219">
        <v>1</v>
      </c>
      <c r="F2219" t="str">
        <f t="shared" si="137"/>
        <v>abr</v>
      </c>
      <c r="G2219">
        <v>20</v>
      </c>
      <c r="H2219">
        <v>15</v>
      </c>
      <c r="I2219" t="str">
        <f t="shared" si="136"/>
        <v>1-abr-2015</v>
      </c>
      <c r="K2219" s="49">
        <f t="shared" si="138"/>
        <v>42095</v>
      </c>
      <c r="M2219" t="b">
        <f t="shared" si="139"/>
        <v>1</v>
      </c>
    </row>
    <row r="2220" spans="1:13" x14ac:dyDescent="0.3">
      <c r="A2220" s="49">
        <v>45261</v>
      </c>
      <c r="D2220" t="s">
        <v>7369</v>
      </c>
      <c r="E2220">
        <v>1</v>
      </c>
      <c r="F2220" t="str">
        <f t="shared" si="137"/>
        <v>abr</v>
      </c>
      <c r="G2220">
        <v>20</v>
      </c>
      <c r="H2220">
        <v>15</v>
      </c>
      <c r="I2220" t="str">
        <f t="shared" si="136"/>
        <v>1-abr-2015</v>
      </c>
      <c r="K2220" s="49">
        <f t="shared" si="138"/>
        <v>42095</v>
      </c>
      <c r="M2220" t="b">
        <f t="shared" si="139"/>
        <v>1</v>
      </c>
    </row>
    <row r="2221" spans="1:13" x14ac:dyDescent="0.3">
      <c r="A2221" s="49">
        <v>45261</v>
      </c>
      <c r="D2221" t="s">
        <v>7355</v>
      </c>
      <c r="E2221">
        <v>1</v>
      </c>
      <c r="F2221" t="str">
        <f t="shared" si="137"/>
        <v>sep</v>
      </c>
      <c r="G2221">
        <v>20</v>
      </c>
      <c r="H2221">
        <v>23</v>
      </c>
      <c r="I2221" t="str">
        <f t="shared" si="136"/>
        <v>1-sep-2023</v>
      </c>
      <c r="K2221" s="49">
        <f t="shared" si="138"/>
        <v>45170</v>
      </c>
      <c r="M2221" t="b">
        <f t="shared" si="139"/>
        <v>1</v>
      </c>
    </row>
    <row r="2222" spans="1:13" x14ac:dyDescent="0.3">
      <c r="A2222" s="49">
        <v>45261</v>
      </c>
      <c r="D2222" t="s">
        <v>7366</v>
      </c>
      <c r="E2222">
        <v>1</v>
      </c>
      <c r="F2222" t="str">
        <f t="shared" si="137"/>
        <v>dic</v>
      </c>
      <c r="G2222">
        <v>20</v>
      </c>
      <c r="H2222">
        <v>19</v>
      </c>
      <c r="I2222" t="str">
        <f t="shared" si="136"/>
        <v>1-dic-2019</v>
      </c>
      <c r="K2222" s="49">
        <f t="shared" si="138"/>
        <v>43800</v>
      </c>
      <c r="M2222" t="b">
        <f t="shared" si="139"/>
        <v>1</v>
      </c>
    </row>
    <row r="2223" spans="1:13" x14ac:dyDescent="0.3">
      <c r="A2223" s="49">
        <v>45261</v>
      </c>
      <c r="D2223" t="s">
        <v>7370</v>
      </c>
      <c r="E2223">
        <v>1</v>
      </c>
      <c r="F2223" t="str">
        <f t="shared" si="137"/>
        <v>may</v>
      </c>
      <c r="G2223">
        <v>20</v>
      </c>
      <c r="H2223">
        <v>16</v>
      </c>
      <c r="I2223" t="str">
        <f t="shared" si="136"/>
        <v>1-may-2016</v>
      </c>
      <c r="K2223" s="49">
        <f t="shared" si="138"/>
        <v>42491</v>
      </c>
      <c r="M2223" t="b">
        <f t="shared" si="139"/>
        <v>1</v>
      </c>
    </row>
    <row r="2224" spans="1:13" x14ac:dyDescent="0.3">
      <c r="A2224" s="49">
        <v>45261</v>
      </c>
      <c r="D2224" t="s">
        <v>7370</v>
      </c>
      <c r="E2224">
        <v>1</v>
      </c>
      <c r="F2224" t="str">
        <f t="shared" si="137"/>
        <v>may</v>
      </c>
      <c r="G2224">
        <v>20</v>
      </c>
      <c r="H2224">
        <v>16</v>
      </c>
      <c r="I2224" t="str">
        <f t="shared" si="136"/>
        <v>1-may-2016</v>
      </c>
      <c r="K2224" s="49">
        <f t="shared" si="138"/>
        <v>42491</v>
      </c>
      <c r="M2224" t="b">
        <f t="shared" si="139"/>
        <v>1</v>
      </c>
    </row>
    <row r="2225" spans="1:13" x14ac:dyDescent="0.3">
      <c r="A2225" s="49">
        <v>45261</v>
      </c>
      <c r="D2225" t="s">
        <v>7370</v>
      </c>
      <c r="E2225">
        <v>1</v>
      </c>
      <c r="F2225" t="str">
        <f t="shared" si="137"/>
        <v>may</v>
      </c>
      <c r="G2225">
        <v>20</v>
      </c>
      <c r="H2225">
        <v>16</v>
      </c>
      <c r="I2225" t="str">
        <f t="shared" si="136"/>
        <v>1-may-2016</v>
      </c>
      <c r="K2225" s="49">
        <f t="shared" si="138"/>
        <v>42491</v>
      </c>
      <c r="M2225" t="b">
        <f t="shared" si="139"/>
        <v>1</v>
      </c>
    </row>
    <row r="2226" spans="1:13" x14ac:dyDescent="0.3">
      <c r="A2226" s="49">
        <v>45261</v>
      </c>
      <c r="D2226" t="s">
        <v>7370</v>
      </c>
      <c r="E2226">
        <v>1</v>
      </c>
      <c r="F2226" t="str">
        <f t="shared" si="137"/>
        <v>may</v>
      </c>
      <c r="G2226">
        <v>20</v>
      </c>
      <c r="H2226">
        <v>16</v>
      </c>
      <c r="I2226" t="str">
        <f t="shared" si="136"/>
        <v>1-may-2016</v>
      </c>
      <c r="K2226" s="49">
        <f t="shared" si="138"/>
        <v>42491</v>
      </c>
      <c r="M2226" t="b">
        <f t="shared" si="139"/>
        <v>1</v>
      </c>
    </row>
    <row r="2227" spans="1:13" x14ac:dyDescent="0.3">
      <c r="A2227" s="49">
        <v>45261</v>
      </c>
      <c r="D2227" t="s">
        <v>7366</v>
      </c>
      <c r="E2227">
        <v>1</v>
      </c>
      <c r="F2227" t="str">
        <f t="shared" si="137"/>
        <v>dic</v>
      </c>
      <c r="G2227">
        <v>20</v>
      </c>
      <c r="H2227">
        <v>19</v>
      </c>
      <c r="I2227" t="str">
        <f t="shared" si="136"/>
        <v>1-dic-2019</v>
      </c>
      <c r="K2227" s="49">
        <f t="shared" si="138"/>
        <v>43800</v>
      </c>
      <c r="M2227" t="b">
        <f t="shared" si="139"/>
        <v>1</v>
      </c>
    </row>
    <row r="2228" spans="1:13" x14ac:dyDescent="0.3">
      <c r="A2228" s="49">
        <v>45261</v>
      </c>
      <c r="D2228" t="s">
        <v>7355</v>
      </c>
      <c r="E2228">
        <v>1</v>
      </c>
      <c r="F2228" t="str">
        <f t="shared" si="137"/>
        <v>sep</v>
      </c>
      <c r="G2228">
        <v>20</v>
      </c>
      <c r="H2228">
        <v>23</v>
      </c>
      <c r="I2228" t="str">
        <f t="shared" si="136"/>
        <v>1-sep-2023</v>
      </c>
      <c r="K2228" s="49">
        <f t="shared" si="138"/>
        <v>45170</v>
      </c>
      <c r="M2228" t="b">
        <f t="shared" si="139"/>
        <v>1</v>
      </c>
    </row>
    <row r="2229" spans="1:13" x14ac:dyDescent="0.3">
      <c r="A2229" s="49">
        <v>45261</v>
      </c>
      <c r="D2229" t="s">
        <v>7367</v>
      </c>
      <c r="E2229">
        <v>1</v>
      </c>
      <c r="F2229" t="str">
        <f t="shared" si="137"/>
        <v>jun</v>
      </c>
      <c r="G2229">
        <v>20</v>
      </c>
      <c r="H2229">
        <v>20</v>
      </c>
      <c r="I2229" t="str">
        <f t="shared" si="136"/>
        <v>1-jun-2020</v>
      </c>
      <c r="K2229" s="49">
        <f t="shared" si="138"/>
        <v>43983</v>
      </c>
      <c r="M2229" t="b">
        <f t="shared" si="139"/>
        <v>1</v>
      </c>
    </row>
    <row r="2230" spans="1:13" x14ac:dyDescent="0.3">
      <c r="A2230" s="49">
        <v>45261</v>
      </c>
      <c r="D2230" t="s">
        <v>7355</v>
      </c>
      <c r="E2230">
        <v>1</v>
      </c>
      <c r="F2230" t="str">
        <f t="shared" si="137"/>
        <v>sep</v>
      </c>
      <c r="G2230">
        <v>20</v>
      </c>
      <c r="H2230">
        <v>23</v>
      </c>
      <c r="I2230" t="str">
        <f t="shared" si="136"/>
        <v>1-sep-2023</v>
      </c>
      <c r="K2230" s="49">
        <f t="shared" si="138"/>
        <v>45170</v>
      </c>
      <c r="M2230" t="b">
        <f t="shared" si="139"/>
        <v>1</v>
      </c>
    </row>
    <row r="2231" spans="1:13" x14ac:dyDescent="0.3">
      <c r="A2231" s="49">
        <v>45261</v>
      </c>
      <c r="D2231" t="s">
        <v>7368</v>
      </c>
      <c r="E2231">
        <v>1</v>
      </c>
      <c r="F2231" t="str">
        <f t="shared" si="137"/>
        <v>mar</v>
      </c>
      <c r="G2231">
        <v>20</v>
      </c>
      <c r="H2231">
        <v>22</v>
      </c>
      <c r="I2231" t="str">
        <f t="shared" si="136"/>
        <v>1-mar-2022</v>
      </c>
      <c r="K2231" s="49">
        <f t="shared" si="138"/>
        <v>44621</v>
      </c>
      <c r="M2231" t="b">
        <f t="shared" si="139"/>
        <v>1</v>
      </c>
    </row>
    <row r="2232" spans="1:13" x14ac:dyDescent="0.3">
      <c r="A2232" s="49">
        <v>45261</v>
      </c>
      <c r="D2232" t="s">
        <v>7359</v>
      </c>
      <c r="E2232">
        <v>1</v>
      </c>
      <c r="F2232" t="str">
        <f t="shared" si="137"/>
        <v>jul</v>
      </c>
      <c r="G2232">
        <v>20</v>
      </c>
      <c r="H2232">
        <v>20</v>
      </c>
      <c r="I2232" t="str">
        <f t="shared" si="136"/>
        <v>1-jul-2020</v>
      </c>
      <c r="K2232" s="49">
        <f t="shared" si="138"/>
        <v>44013</v>
      </c>
      <c r="M2232" t="b">
        <f t="shared" si="139"/>
        <v>1</v>
      </c>
    </row>
    <row r="2233" spans="1:13" x14ac:dyDescent="0.3">
      <c r="A2233" s="49">
        <v>45261</v>
      </c>
      <c r="D2233" t="s">
        <v>7357</v>
      </c>
      <c r="E2233">
        <v>1</v>
      </c>
      <c r="F2233" t="str">
        <f t="shared" si="137"/>
        <v>oct</v>
      </c>
      <c r="G2233">
        <v>20</v>
      </c>
      <c r="H2233">
        <v>21</v>
      </c>
      <c r="I2233" t="str">
        <f t="shared" si="136"/>
        <v>1-oct-2021</v>
      </c>
      <c r="K2233" s="49">
        <f t="shared" si="138"/>
        <v>44470</v>
      </c>
      <c r="M2233" t="b">
        <f t="shared" si="139"/>
        <v>1</v>
      </c>
    </row>
    <row r="2234" spans="1:13" x14ac:dyDescent="0.3">
      <c r="A2234" s="49">
        <v>45261</v>
      </c>
      <c r="D2234" t="s">
        <v>7357</v>
      </c>
      <c r="E2234">
        <v>1</v>
      </c>
      <c r="F2234" t="str">
        <f t="shared" si="137"/>
        <v>oct</v>
      </c>
      <c r="G2234">
        <v>20</v>
      </c>
      <c r="H2234">
        <v>14</v>
      </c>
      <c r="I2234" t="str">
        <f t="shared" si="136"/>
        <v>1-oct-2014</v>
      </c>
      <c r="K2234" s="49">
        <f t="shared" si="138"/>
        <v>41913</v>
      </c>
      <c r="M2234" t="b">
        <f t="shared" si="139"/>
        <v>1</v>
      </c>
    </row>
    <row r="2235" spans="1:13" x14ac:dyDescent="0.3">
      <c r="A2235" s="49">
        <v>45261</v>
      </c>
      <c r="D2235" t="s">
        <v>7357</v>
      </c>
      <c r="E2235">
        <v>1</v>
      </c>
      <c r="F2235" t="str">
        <f t="shared" si="137"/>
        <v>oct</v>
      </c>
      <c r="G2235">
        <v>20</v>
      </c>
      <c r="H2235">
        <v>14</v>
      </c>
      <c r="I2235" t="str">
        <f t="shared" si="136"/>
        <v>1-oct-2014</v>
      </c>
      <c r="K2235" s="49">
        <f t="shared" si="138"/>
        <v>41913</v>
      </c>
      <c r="M2235" t="b">
        <f t="shared" si="139"/>
        <v>1</v>
      </c>
    </row>
    <row r="2236" spans="1:13" x14ac:dyDescent="0.3">
      <c r="A2236" s="49">
        <v>45261</v>
      </c>
      <c r="D2236" t="s">
        <v>7357</v>
      </c>
      <c r="E2236">
        <v>1</v>
      </c>
      <c r="F2236" t="str">
        <f t="shared" si="137"/>
        <v>oct</v>
      </c>
      <c r="G2236">
        <v>20</v>
      </c>
      <c r="H2236">
        <v>14</v>
      </c>
      <c r="I2236" t="str">
        <f t="shared" si="136"/>
        <v>1-oct-2014</v>
      </c>
      <c r="K2236" s="49">
        <f t="shared" si="138"/>
        <v>41913</v>
      </c>
      <c r="M2236" t="b">
        <f t="shared" si="139"/>
        <v>1</v>
      </c>
    </row>
    <row r="2237" spans="1:13" x14ac:dyDescent="0.3">
      <c r="A2237" s="49">
        <v>45261</v>
      </c>
      <c r="D2237" t="s">
        <v>7357</v>
      </c>
      <c r="E2237">
        <v>1</v>
      </c>
      <c r="F2237" t="str">
        <f t="shared" si="137"/>
        <v>oct</v>
      </c>
      <c r="G2237">
        <v>20</v>
      </c>
      <c r="H2237">
        <v>14</v>
      </c>
      <c r="I2237" t="str">
        <f t="shared" si="136"/>
        <v>1-oct-2014</v>
      </c>
      <c r="K2237" s="49">
        <f t="shared" si="138"/>
        <v>41913</v>
      </c>
      <c r="M2237" t="b">
        <f t="shared" si="139"/>
        <v>1</v>
      </c>
    </row>
    <row r="2238" spans="1:13" x14ac:dyDescent="0.3">
      <c r="A2238" s="49">
        <v>45261</v>
      </c>
      <c r="D2238" t="s">
        <v>7357</v>
      </c>
      <c r="E2238">
        <v>1</v>
      </c>
      <c r="F2238" t="str">
        <f t="shared" si="137"/>
        <v>oct</v>
      </c>
      <c r="G2238">
        <v>20</v>
      </c>
      <c r="H2238">
        <v>14</v>
      </c>
      <c r="I2238" t="str">
        <f t="shared" si="136"/>
        <v>1-oct-2014</v>
      </c>
      <c r="K2238" s="49">
        <f t="shared" si="138"/>
        <v>41913</v>
      </c>
      <c r="M2238" t="b">
        <f t="shared" si="139"/>
        <v>1</v>
      </c>
    </row>
    <row r="2239" spans="1:13" x14ac:dyDescent="0.3">
      <c r="A2239" s="49">
        <v>45261</v>
      </c>
      <c r="D2239" t="s">
        <v>7357</v>
      </c>
      <c r="E2239">
        <v>1</v>
      </c>
      <c r="F2239" t="str">
        <f t="shared" si="137"/>
        <v>oct</v>
      </c>
      <c r="G2239">
        <v>20</v>
      </c>
      <c r="H2239">
        <v>14</v>
      </c>
      <c r="I2239" t="str">
        <f t="shared" si="136"/>
        <v>1-oct-2014</v>
      </c>
      <c r="K2239" s="49">
        <f t="shared" si="138"/>
        <v>41913</v>
      </c>
      <c r="M2239" t="b">
        <f t="shared" si="139"/>
        <v>1</v>
      </c>
    </row>
    <row r="2240" spans="1:13" x14ac:dyDescent="0.3">
      <c r="A2240" s="49">
        <v>45261</v>
      </c>
      <c r="D2240" t="s">
        <v>7357</v>
      </c>
      <c r="E2240">
        <v>1</v>
      </c>
      <c r="F2240" t="str">
        <f t="shared" si="137"/>
        <v>oct</v>
      </c>
      <c r="G2240">
        <v>20</v>
      </c>
      <c r="H2240">
        <v>14</v>
      </c>
      <c r="I2240" t="str">
        <f t="shared" si="136"/>
        <v>1-oct-2014</v>
      </c>
      <c r="K2240" s="49">
        <f t="shared" si="138"/>
        <v>41913</v>
      </c>
      <c r="M2240" t="b">
        <f t="shared" si="139"/>
        <v>1</v>
      </c>
    </row>
    <row r="2241" spans="1:13" x14ac:dyDescent="0.3">
      <c r="A2241" s="49">
        <v>45261</v>
      </c>
      <c r="D2241" t="s">
        <v>7357</v>
      </c>
      <c r="E2241">
        <v>1</v>
      </c>
      <c r="F2241" t="str">
        <f t="shared" si="137"/>
        <v>oct</v>
      </c>
      <c r="G2241">
        <v>20</v>
      </c>
      <c r="H2241">
        <v>14</v>
      </c>
      <c r="I2241" t="str">
        <f t="shared" ref="I2241:I2304" si="140">_xlfn.CONCAT(E2241,"-",F2241,"-",G2241,H2241)</f>
        <v>1-oct-2014</v>
      </c>
      <c r="K2241" s="49">
        <f t="shared" si="138"/>
        <v>41913</v>
      </c>
      <c r="M2241" t="b">
        <f t="shared" si="139"/>
        <v>1</v>
      </c>
    </row>
    <row r="2242" spans="1:13" x14ac:dyDescent="0.3">
      <c r="A2242" s="49">
        <v>45261</v>
      </c>
      <c r="D2242" t="s">
        <v>7357</v>
      </c>
      <c r="E2242">
        <v>1</v>
      </c>
      <c r="F2242" t="str">
        <f t="shared" ref="F2242:F2305" si="141">LOWER(D2242)</f>
        <v>oct</v>
      </c>
      <c r="G2242">
        <v>20</v>
      </c>
      <c r="H2242">
        <v>14</v>
      </c>
      <c r="I2242" t="str">
        <f t="shared" si="140"/>
        <v>1-oct-2014</v>
      </c>
      <c r="K2242" s="49">
        <f t="shared" ref="K2242:K2305" si="142">DATEVALUE(I2242)</f>
        <v>41913</v>
      </c>
      <c r="M2242" t="b">
        <f t="shared" si="139"/>
        <v>1</v>
      </c>
    </row>
    <row r="2243" spans="1:13" x14ac:dyDescent="0.3">
      <c r="A2243" s="49">
        <v>45261</v>
      </c>
      <c r="D2243" t="s">
        <v>7357</v>
      </c>
      <c r="E2243">
        <v>1</v>
      </c>
      <c r="F2243" t="str">
        <f t="shared" si="141"/>
        <v>oct</v>
      </c>
      <c r="G2243">
        <v>20</v>
      </c>
      <c r="H2243">
        <v>14</v>
      </c>
      <c r="I2243" t="str">
        <f t="shared" si="140"/>
        <v>1-oct-2014</v>
      </c>
      <c r="K2243" s="49">
        <f t="shared" si="142"/>
        <v>41913</v>
      </c>
      <c r="M2243" t="b">
        <f t="shared" ref="M2243:M2306" si="143">K2243&lt;A2243</f>
        <v>1</v>
      </c>
    </row>
    <row r="2244" spans="1:13" x14ac:dyDescent="0.3">
      <c r="A2244" s="49">
        <v>45261</v>
      </c>
      <c r="D2244" t="s">
        <v>7357</v>
      </c>
      <c r="E2244">
        <v>1</v>
      </c>
      <c r="F2244" t="str">
        <f t="shared" si="141"/>
        <v>oct</v>
      </c>
      <c r="G2244">
        <v>20</v>
      </c>
      <c r="H2244">
        <v>14</v>
      </c>
      <c r="I2244" t="str">
        <f t="shared" si="140"/>
        <v>1-oct-2014</v>
      </c>
      <c r="K2244" s="49">
        <f t="shared" si="142"/>
        <v>41913</v>
      </c>
      <c r="M2244" t="b">
        <f t="shared" si="143"/>
        <v>1</v>
      </c>
    </row>
    <row r="2245" spans="1:13" x14ac:dyDescent="0.3">
      <c r="A2245" s="49">
        <v>45261</v>
      </c>
      <c r="D2245" t="s">
        <v>7357</v>
      </c>
      <c r="E2245">
        <v>1</v>
      </c>
      <c r="F2245" t="str">
        <f t="shared" si="141"/>
        <v>oct</v>
      </c>
      <c r="G2245">
        <v>20</v>
      </c>
      <c r="H2245">
        <v>14</v>
      </c>
      <c r="I2245" t="str">
        <f t="shared" si="140"/>
        <v>1-oct-2014</v>
      </c>
      <c r="K2245" s="49">
        <f t="shared" si="142"/>
        <v>41913</v>
      </c>
      <c r="M2245" t="b">
        <f t="shared" si="143"/>
        <v>1</v>
      </c>
    </row>
    <row r="2246" spans="1:13" x14ac:dyDescent="0.3">
      <c r="A2246" s="49">
        <v>45261</v>
      </c>
      <c r="D2246" t="s">
        <v>7357</v>
      </c>
      <c r="E2246">
        <v>1</v>
      </c>
      <c r="F2246" t="str">
        <f t="shared" si="141"/>
        <v>oct</v>
      </c>
      <c r="G2246">
        <v>20</v>
      </c>
      <c r="H2246">
        <v>14</v>
      </c>
      <c r="I2246" t="str">
        <f t="shared" si="140"/>
        <v>1-oct-2014</v>
      </c>
      <c r="K2246" s="49">
        <f t="shared" si="142"/>
        <v>41913</v>
      </c>
      <c r="M2246" t="b">
        <f t="shared" si="143"/>
        <v>1</v>
      </c>
    </row>
    <row r="2247" spans="1:13" x14ac:dyDescent="0.3">
      <c r="A2247" s="49">
        <v>45261</v>
      </c>
      <c r="D2247" t="s">
        <v>7370</v>
      </c>
      <c r="E2247">
        <v>1</v>
      </c>
      <c r="F2247" t="str">
        <f t="shared" si="141"/>
        <v>may</v>
      </c>
      <c r="G2247">
        <v>20</v>
      </c>
      <c r="H2247">
        <v>14</v>
      </c>
      <c r="I2247" t="str">
        <f t="shared" si="140"/>
        <v>1-may-2014</v>
      </c>
      <c r="K2247" s="49">
        <f t="shared" si="142"/>
        <v>41760</v>
      </c>
      <c r="M2247" t="b">
        <f t="shared" si="143"/>
        <v>1</v>
      </c>
    </row>
    <row r="2248" spans="1:13" x14ac:dyDescent="0.3">
      <c r="A2248" s="49">
        <v>45261</v>
      </c>
      <c r="D2248" t="s">
        <v>7370</v>
      </c>
      <c r="E2248">
        <v>1</v>
      </c>
      <c r="F2248" t="str">
        <f t="shared" si="141"/>
        <v>may</v>
      </c>
      <c r="G2248">
        <v>20</v>
      </c>
      <c r="H2248">
        <v>14</v>
      </c>
      <c r="I2248" t="str">
        <f t="shared" si="140"/>
        <v>1-may-2014</v>
      </c>
      <c r="K2248" s="49">
        <f t="shared" si="142"/>
        <v>41760</v>
      </c>
      <c r="M2248" t="b">
        <f t="shared" si="143"/>
        <v>1</v>
      </c>
    </row>
    <row r="2249" spans="1:13" x14ac:dyDescent="0.3">
      <c r="A2249" s="49">
        <v>45261</v>
      </c>
      <c r="D2249" t="s">
        <v>7370</v>
      </c>
      <c r="E2249">
        <v>1</v>
      </c>
      <c r="F2249" t="str">
        <f t="shared" si="141"/>
        <v>may</v>
      </c>
      <c r="G2249">
        <v>20</v>
      </c>
      <c r="H2249">
        <v>14</v>
      </c>
      <c r="I2249" t="str">
        <f t="shared" si="140"/>
        <v>1-may-2014</v>
      </c>
      <c r="K2249" s="49">
        <f t="shared" si="142"/>
        <v>41760</v>
      </c>
      <c r="M2249" t="b">
        <f t="shared" si="143"/>
        <v>1</v>
      </c>
    </row>
    <row r="2250" spans="1:13" x14ac:dyDescent="0.3">
      <c r="A2250" s="49">
        <v>45261</v>
      </c>
      <c r="D2250" t="s">
        <v>7357</v>
      </c>
      <c r="E2250">
        <v>1</v>
      </c>
      <c r="F2250" t="str">
        <f t="shared" si="141"/>
        <v>oct</v>
      </c>
      <c r="G2250">
        <v>20</v>
      </c>
      <c r="H2250">
        <v>14</v>
      </c>
      <c r="I2250" t="str">
        <f t="shared" si="140"/>
        <v>1-oct-2014</v>
      </c>
      <c r="K2250" s="49">
        <f t="shared" si="142"/>
        <v>41913</v>
      </c>
      <c r="M2250" t="b">
        <f t="shared" si="143"/>
        <v>1</v>
      </c>
    </row>
    <row r="2251" spans="1:13" x14ac:dyDescent="0.3">
      <c r="A2251" s="49">
        <v>45261</v>
      </c>
      <c r="D2251" t="s">
        <v>7357</v>
      </c>
      <c r="E2251">
        <v>1</v>
      </c>
      <c r="F2251" t="str">
        <f t="shared" si="141"/>
        <v>oct</v>
      </c>
      <c r="G2251">
        <v>20</v>
      </c>
      <c r="H2251">
        <v>14</v>
      </c>
      <c r="I2251" t="str">
        <f t="shared" si="140"/>
        <v>1-oct-2014</v>
      </c>
      <c r="K2251" s="49">
        <f t="shared" si="142"/>
        <v>41913</v>
      </c>
      <c r="M2251" t="b">
        <f t="shared" si="143"/>
        <v>1</v>
      </c>
    </row>
    <row r="2252" spans="1:13" x14ac:dyDescent="0.3">
      <c r="A2252" s="49">
        <v>45261</v>
      </c>
      <c r="D2252" t="s">
        <v>7357</v>
      </c>
      <c r="E2252">
        <v>1</v>
      </c>
      <c r="F2252" t="str">
        <f t="shared" si="141"/>
        <v>oct</v>
      </c>
      <c r="G2252">
        <v>20</v>
      </c>
      <c r="H2252">
        <v>14</v>
      </c>
      <c r="I2252" t="str">
        <f t="shared" si="140"/>
        <v>1-oct-2014</v>
      </c>
      <c r="K2252" s="49">
        <f t="shared" si="142"/>
        <v>41913</v>
      </c>
      <c r="M2252" t="b">
        <f t="shared" si="143"/>
        <v>1</v>
      </c>
    </row>
    <row r="2253" spans="1:13" x14ac:dyDescent="0.3">
      <c r="A2253" s="49">
        <v>45261</v>
      </c>
      <c r="D2253" t="s">
        <v>7357</v>
      </c>
      <c r="E2253">
        <v>1</v>
      </c>
      <c r="F2253" t="str">
        <f t="shared" si="141"/>
        <v>oct</v>
      </c>
      <c r="G2253">
        <v>20</v>
      </c>
      <c r="H2253">
        <v>14</v>
      </c>
      <c r="I2253" t="str">
        <f t="shared" si="140"/>
        <v>1-oct-2014</v>
      </c>
      <c r="K2253" s="49">
        <f t="shared" si="142"/>
        <v>41913</v>
      </c>
      <c r="M2253" t="b">
        <f t="shared" si="143"/>
        <v>1</v>
      </c>
    </row>
    <row r="2254" spans="1:13" x14ac:dyDescent="0.3">
      <c r="A2254" s="49">
        <v>45261</v>
      </c>
      <c r="D2254" t="s">
        <v>7357</v>
      </c>
      <c r="E2254">
        <v>1</v>
      </c>
      <c r="F2254" t="str">
        <f t="shared" si="141"/>
        <v>oct</v>
      </c>
      <c r="G2254">
        <v>20</v>
      </c>
      <c r="H2254">
        <v>14</v>
      </c>
      <c r="I2254" t="str">
        <f t="shared" si="140"/>
        <v>1-oct-2014</v>
      </c>
      <c r="K2254" s="49">
        <f t="shared" si="142"/>
        <v>41913</v>
      </c>
      <c r="M2254" t="b">
        <f t="shared" si="143"/>
        <v>1</v>
      </c>
    </row>
    <row r="2255" spans="1:13" x14ac:dyDescent="0.3">
      <c r="A2255" s="49">
        <v>45261</v>
      </c>
      <c r="D2255" t="s">
        <v>7357</v>
      </c>
      <c r="E2255">
        <v>1</v>
      </c>
      <c r="F2255" t="str">
        <f t="shared" si="141"/>
        <v>oct</v>
      </c>
      <c r="G2255">
        <v>20</v>
      </c>
      <c r="H2255">
        <v>14</v>
      </c>
      <c r="I2255" t="str">
        <f t="shared" si="140"/>
        <v>1-oct-2014</v>
      </c>
      <c r="K2255" s="49">
        <f t="shared" si="142"/>
        <v>41913</v>
      </c>
      <c r="M2255" t="b">
        <f t="shared" si="143"/>
        <v>1</v>
      </c>
    </row>
    <row r="2256" spans="1:13" x14ac:dyDescent="0.3">
      <c r="A2256" s="49">
        <v>45261</v>
      </c>
      <c r="D2256" t="s">
        <v>7357</v>
      </c>
      <c r="E2256">
        <v>1</v>
      </c>
      <c r="F2256" t="str">
        <f t="shared" si="141"/>
        <v>oct</v>
      </c>
      <c r="G2256">
        <v>20</v>
      </c>
      <c r="H2256">
        <v>14</v>
      </c>
      <c r="I2256" t="str">
        <f t="shared" si="140"/>
        <v>1-oct-2014</v>
      </c>
      <c r="K2256" s="49">
        <f t="shared" si="142"/>
        <v>41913</v>
      </c>
      <c r="M2256" t="b">
        <f t="shared" si="143"/>
        <v>1</v>
      </c>
    </row>
    <row r="2257" spans="1:13" x14ac:dyDescent="0.3">
      <c r="A2257" s="49">
        <v>45261</v>
      </c>
      <c r="D2257" t="s">
        <v>7370</v>
      </c>
      <c r="E2257">
        <v>1</v>
      </c>
      <c r="F2257" t="str">
        <f t="shared" si="141"/>
        <v>may</v>
      </c>
      <c r="G2257">
        <v>20</v>
      </c>
      <c r="H2257">
        <v>23</v>
      </c>
      <c r="I2257" t="str">
        <f t="shared" si="140"/>
        <v>1-may-2023</v>
      </c>
      <c r="K2257" s="49">
        <f t="shared" si="142"/>
        <v>45047</v>
      </c>
      <c r="M2257" t="b">
        <f t="shared" si="143"/>
        <v>1</v>
      </c>
    </row>
    <row r="2258" spans="1:13" x14ac:dyDescent="0.3">
      <c r="A2258" s="49">
        <v>45261</v>
      </c>
      <c r="D2258" t="s">
        <v>7363</v>
      </c>
      <c r="E2258">
        <v>1</v>
      </c>
      <c r="F2258" t="str">
        <f t="shared" si="141"/>
        <v>feb</v>
      </c>
      <c r="G2258">
        <v>20</v>
      </c>
      <c r="H2258">
        <v>15</v>
      </c>
      <c r="I2258" t="str">
        <f t="shared" si="140"/>
        <v>1-feb-2015</v>
      </c>
      <c r="K2258" s="49">
        <f t="shared" si="142"/>
        <v>42036</v>
      </c>
      <c r="M2258" t="b">
        <f t="shared" si="143"/>
        <v>1</v>
      </c>
    </row>
    <row r="2259" spans="1:13" x14ac:dyDescent="0.3">
      <c r="A2259" s="49">
        <v>45261</v>
      </c>
      <c r="D2259" t="s">
        <v>7363</v>
      </c>
      <c r="E2259">
        <v>1</v>
      </c>
      <c r="F2259" t="str">
        <f t="shared" si="141"/>
        <v>feb</v>
      </c>
      <c r="G2259">
        <v>20</v>
      </c>
      <c r="H2259">
        <v>15</v>
      </c>
      <c r="I2259" t="str">
        <f t="shared" si="140"/>
        <v>1-feb-2015</v>
      </c>
      <c r="K2259" s="49">
        <f t="shared" si="142"/>
        <v>42036</v>
      </c>
      <c r="M2259" t="b">
        <f t="shared" si="143"/>
        <v>1</v>
      </c>
    </row>
    <row r="2260" spans="1:13" x14ac:dyDescent="0.3">
      <c r="A2260" s="49">
        <v>45261</v>
      </c>
      <c r="D2260" t="s">
        <v>7363</v>
      </c>
      <c r="E2260">
        <v>1</v>
      </c>
      <c r="F2260" t="str">
        <f t="shared" si="141"/>
        <v>feb</v>
      </c>
      <c r="G2260">
        <v>20</v>
      </c>
      <c r="H2260">
        <v>13</v>
      </c>
      <c r="I2260" t="str">
        <f t="shared" si="140"/>
        <v>1-feb-2013</v>
      </c>
      <c r="K2260" s="49">
        <f t="shared" si="142"/>
        <v>41306</v>
      </c>
      <c r="M2260" t="b">
        <f t="shared" si="143"/>
        <v>1</v>
      </c>
    </row>
    <row r="2261" spans="1:13" x14ac:dyDescent="0.3">
      <c r="A2261" s="49">
        <v>45261</v>
      </c>
      <c r="D2261" t="s">
        <v>7363</v>
      </c>
      <c r="E2261">
        <v>1</v>
      </c>
      <c r="F2261" t="str">
        <f t="shared" si="141"/>
        <v>feb</v>
      </c>
      <c r="G2261">
        <v>20</v>
      </c>
      <c r="H2261">
        <v>15</v>
      </c>
      <c r="I2261" t="str">
        <f t="shared" si="140"/>
        <v>1-feb-2015</v>
      </c>
      <c r="K2261" s="49">
        <f t="shared" si="142"/>
        <v>42036</v>
      </c>
      <c r="M2261" t="b">
        <f t="shared" si="143"/>
        <v>1</v>
      </c>
    </row>
    <row r="2262" spans="1:13" x14ac:dyDescent="0.3">
      <c r="A2262" s="49">
        <v>45261</v>
      </c>
      <c r="D2262" t="s">
        <v>7367</v>
      </c>
      <c r="E2262">
        <v>1</v>
      </c>
      <c r="F2262" t="str">
        <f t="shared" si="141"/>
        <v>jun</v>
      </c>
      <c r="G2262">
        <v>20</v>
      </c>
      <c r="H2262">
        <v>23</v>
      </c>
      <c r="I2262" t="str">
        <f t="shared" si="140"/>
        <v>1-jun-2023</v>
      </c>
      <c r="K2262" s="49">
        <f t="shared" si="142"/>
        <v>45078</v>
      </c>
      <c r="M2262" t="b">
        <f t="shared" si="143"/>
        <v>1</v>
      </c>
    </row>
    <row r="2263" spans="1:13" x14ac:dyDescent="0.3">
      <c r="A2263" s="49">
        <v>45261</v>
      </c>
      <c r="D2263" t="s">
        <v>7369</v>
      </c>
      <c r="E2263">
        <v>1</v>
      </c>
      <c r="F2263" t="str">
        <f t="shared" si="141"/>
        <v>abr</v>
      </c>
      <c r="G2263">
        <v>20</v>
      </c>
      <c r="H2263">
        <v>22</v>
      </c>
      <c r="I2263" t="str">
        <f t="shared" si="140"/>
        <v>1-abr-2022</v>
      </c>
      <c r="K2263" s="49">
        <f t="shared" si="142"/>
        <v>44652</v>
      </c>
      <c r="M2263" t="b">
        <f t="shared" si="143"/>
        <v>1</v>
      </c>
    </row>
    <row r="2264" spans="1:13" x14ac:dyDescent="0.3">
      <c r="A2264" s="49">
        <v>45261</v>
      </c>
      <c r="D2264" t="s">
        <v>7369</v>
      </c>
      <c r="E2264">
        <v>1</v>
      </c>
      <c r="F2264" t="str">
        <f t="shared" si="141"/>
        <v>abr</v>
      </c>
      <c r="G2264">
        <v>20</v>
      </c>
      <c r="H2264">
        <v>22</v>
      </c>
      <c r="I2264" t="str">
        <f t="shared" si="140"/>
        <v>1-abr-2022</v>
      </c>
      <c r="K2264" s="49">
        <f t="shared" si="142"/>
        <v>44652</v>
      </c>
      <c r="M2264" t="b">
        <f t="shared" si="143"/>
        <v>1</v>
      </c>
    </row>
    <row r="2265" spans="1:13" x14ac:dyDescent="0.3">
      <c r="A2265" s="49">
        <v>45261</v>
      </c>
      <c r="D2265" t="s">
        <v>7369</v>
      </c>
      <c r="E2265">
        <v>1</v>
      </c>
      <c r="F2265" t="str">
        <f t="shared" si="141"/>
        <v>abr</v>
      </c>
      <c r="G2265">
        <v>20</v>
      </c>
      <c r="H2265">
        <v>22</v>
      </c>
      <c r="I2265" t="str">
        <f t="shared" si="140"/>
        <v>1-abr-2022</v>
      </c>
      <c r="K2265" s="49">
        <f t="shared" si="142"/>
        <v>44652</v>
      </c>
      <c r="M2265" t="b">
        <f t="shared" si="143"/>
        <v>1</v>
      </c>
    </row>
    <row r="2266" spans="1:13" x14ac:dyDescent="0.3">
      <c r="A2266" s="49">
        <v>45261</v>
      </c>
      <c r="D2266" t="s">
        <v>7369</v>
      </c>
      <c r="E2266">
        <v>1</v>
      </c>
      <c r="F2266" t="str">
        <f t="shared" si="141"/>
        <v>abr</v>
      </c>
      <c r="G2266">
        <v>20</v>
      </c>
      <c r="H2266">
        <v>22</v>
      </c>
      <c r="I2266" t="str">
        <f t="shared" si="140"/>
        <v>1-abr-2022</v>
      </c>
      <c r="K2266" s="49">
        <f t="shared" si="142"/>
        <v>44652</v>
      </c>
      <c r="M2266" t="b">
        <f t="shared" si="143"/>
        <v>1</v>
      </c>
    </row>
    <row r="2267" spans="1:13" x14ac:dyDescent="0.3">
      <c r="A2267" s="49">
        <v>45261</v>
      </c>
      <c r="D2267" t="s">
        <v>7369</v>
      </c>
      <c r="E2267">
        <v>1</v>
      </c>
      <c r="F2267" t="str">
        <f t="shared" si="141"/>
        <v>abr</v>
      </c>
      <c r="G2267">
        <v>20</v>
      </c>
      <c r="H2267">
        <v>22</v>
      </c>
      <c r="I2267" t="str">
        <f t="shared" si="140"/>
        <v>1-abr-2022</v>
      </c>
      <c r="K2267" s="49">
        <f t="shared" si="142"/>
        <v>44652</v>
      </c>
      <c r="M2267" t="b">
        <f t="shared" si="143"/>
        <v>1</v>
      </c>
    </row>
    <row r="2268" spans="1:13" x14ac:dyDescent="0.3">
      <c r="A2268" s="49">
        <v>45261</v>
      </c>
      <c r="D2268" t="s">
        <v>7369</v>
      </c>
      <c r="E2268">
        <v>1</v>
      </c>
      <c r="F2268" t="str">
        <f t="shared" si="141"/>
        <v>abr</v>
      </c>
      <c r="G2268">
        <v>20</v>
      </c>
      <c r="H2268">
        <v>22</v>
      </c>
      <c r="I2268" t="str">
        <f t="shared" si="140"/>
        <v>1-abr-2022</v>
      </c>
      <c r="K2268" s="49">
        <f t="shared" si="142"/>
        <v>44652</v>
      </c>
      <c r="M2268" t="b">
        <f t="shared" si="143"/>
        <v>1</v>
      </c>
    </row>
    <row r="2269" spans="1:13" x14ac:dyDescent="0.3">
      <c r="A2269" s="49">
        <v>45261</v>
      </c>
      <c r="D2269" t="s">
        <v>7369</v>
      </c>
      <c r="E2269">
        <v>1</v>
      </c>
      <c r="F2269" t="str">
        <f t="shared" si="141"/>
        <v>abr</v>
      </c>
      <c r="G2269">
        <v>20</v>
      </c>
      <c r="H2269">
        <v>22</v>
      </c>
      <c r="I2269" t="str">
        <f t="shared" si="140"/>
        <v>1-abr-2022</v>
      </c>
      <c r="K2269" s="49">
        <f t="shared" si="142"/>
        <v>44652</v>
      </c>
      <c r="M2269" t="b">
        <f t="shared" si="143"/>
        <v>1</v>
      </c>
    </row>
    <row r="2270" spans="1:13" x14ac:dyDescent="0.3">
      <c r="A2270" s="49">
        <v>45261</v>
      </c>
      <c r="D2270" t="s">
        <v>7369</v>
      </c>
      <c r="E2270">
        <v>1</v>
      </c>
      <c r="F2270" t="str">
        <f t="shared" si="141"/>
        <v>abr</v>
      </c>
      <c r="G2270">
        <v>20</v>
      </c>
      <c r="H2270">
        <v>22</v>
      </c>
      <c r="I2270" t="str">
        <f t="shared" si="140"/>
        <v>1-abr-2022</v>
      </c>
      <c r="K2270" s="49">
        <f t="shared" si="142"/>
        <v>44652</v>
      </c>
      <c r="M2270" t="b">
        <f t="shared" si="143"/>
        <v>1</v>
      </c>
    </row>
    <row r="2271" spans="1:13" x14ac:dyDescent="0.3">
      <c r="A2271" s="49">
        <v>45261</v>
      </c>
      <c r="D2271" t="s">
        <v>7369</v>
      </c>
      <c r="E2271">
        <v>1</v>
      </c>
      <c r="F2271" t="str">
        <f t="shared" si="141"/>
        <v>abr</v>
      </c>
      <c r="G2271">
        <v>20</v>
      </c>
      <c r="H2271">
        <v>22</v>
      </c>
      <c r="I2271" t="str">
        <f t="shared" si="140"/>
        <v>1-abr-2022</v>
      </c>
      <c r="K2271" s="49">
        <f t="shared" si="142"/>
        <v>44652</v>
      </c>
      <c r="M2271" t="b">
        <f t="shared" si="143"/>
        <v>1</v>
      </c>
    </row>
    <row r="2272" spans="1:13" x14ac:dyDescent="0.3">
      <c r="A2272" s="49">
        <v>45261</v>
      </c>
      <c r="D2272" t="s">
        <v>7369</v>
      </c>
      <c r="E2272">
        <v>1</v>
      </c>
      <c r="F2272" t="str">
        <f t="shared" si="141"/>
        <v>abr</v>
      </c>
      <c r="G2272">
        <v>20</v>
      </c>
      <c r="H2272">
        <v>22</v>
      </c>
      <c r="I2272" t="str">
        <f t="shared" si="140"/>
        <v>1-abr-2022</v>
      </c>
      <c r="K2272" s="49">
        <f t="shared" si="142"/>
        <v>44652</v>
      </c>
      <c r="M2272" t="b">
        <f t="shared" si="143"/>
        <v>1</v>
      </c>
    </row>
    <row r="2273" spans="1:13" x14ac:dyDescent="0.3">
      <c r="A2273" s="49">
        <v>45261</v>
      </c>
      <c r="D2273" t="s">
        <v>7369</v>
      </c>
      <c r="E2273">
        <v>1</v>
      </c>
      <c r="F2273" t="str">
        <f t="shared" si="141"/>
        <v>abr</v>
      </c>
      <c r="G2273">
        <v>20</v>
      </c>
      <c r="H2273">
        <v>22</v>
      </c>
      <c r="I2273" t="str">
        <f t="shared" si="140"/>
        <v>1-abr-2022</v>
      </c>
      <c r="K2273" s="49">
        <f t="shared" si="142"/>
        <v>44652</v>
      </c>
      <c r="M2273" t="b">
        <f t="shared" si="143"/>
        <v>1</v>
      </c>
    </row>
    <row r="2274" spans="1:13" x14ac:dyDescent="0.3">
      <c r="A2274" s="49">
        <v>45261</v>
      </c>
      <c r="D2274" t="s">
        <v>7369</v>
      </c>
      <c r="E2274">
        <v>1</v>
      </c>
      <c r="F2274" t="str">
        <f t="shared" si="141"/>
        <v>abr</v>
      </c>
      <c r="G2274">
        <v>20</v>
      </c>
      <c r="H2274">
        <v>22</v>
      </c>
      <c r="I2274" t="str">
        <f t="shared" si="140"/>
        <v>1-abr-2022</v>
      </c>
      <c r="K2274" s="49">
        <f t="shared" si="142"/>
        <v>44652</v>
      </c>
      <c r="M2274" t="b">
        <f t="shared" si="143"/>
        <v>1</v>
      </c>
    </row>
    <row r="2275" spans="1:13" x14ac:dyDescent="0.3">
      <c r="A2275" s="49">
        <v>45261</v>
      </c>
      <c r="D2275" t="s">
        <v>7357</v>
      </c>
      <c r="E2275">
        <v>1</v>
      </c>
      <c r="F2275" t="str">
        <f t="shared" si="141"/>
        <v>oct</v>
      </c>
      <c r="G2275">
        <v>20</v>
      </c>
      <c r="H2275">
        <v>23</v>
      </c>
      <c r="I2275" t="str">
        <f t="shared" si="140"/>
        <v>1-oct-2023</v>
      </c>
      <c r="K2275" s="49">
        <f t="shared" si="142"/>
        <v>45200</v>
      </c>
      <c r="M2275" t="b">
        <f t="shared" si="143"/>
        <v>1</v>
      </c>
    </row>
    <row r="2276" spans="1:13" x14ac:dyDescent="0.3">
      <c r="A2276" s="49">
        <v>45261</v>
      </c>
      <c r="D2276" t="s">
        <v>7357</v>
      </c>
      <c r="E2276">
        <v>1</v>
      </c>
      <c r="F2276" t="str">
        <f t="shared" si="141"/>
        <v>oct</v>
      </c>
      <c r="G2276">
        <v>20</v>
      </c>
      <c r="H2276">
        <v>23</v>
      </c>
      <c r="I2276" t="str">
        <f t="shared" si="140"/>
        <v>1-oct-2023</v>
      </c>
      <c r="K2276" s="49">
        <f t="shared" si="142"/>
        <v>45200</v>
      </c>
      <c r="M2276" t="b">
        <f t="shared" si="143"/>
        <v>1</v>
      </c>
    </row>
    <row r="2277" spans="1:13" x14ac:dyDescent="0.3">
      <c r="A2277" s="49">
        <v>45261</v>
      </c>
      <c r="D2277" t="s">
        <v>7357</v>
      </c>
      <c r="E2277">
        <v>1</v>
      </c>
      <c r="F2277" t="str">
        <f t="shared" si="141"/>
        <v>oct</v>
      </c>
      <c r="G2277">
        <v>20</v>
      </c>
      <c r="H2277">
        <v>23</v>
      </c>
      <c r="I2277" t="str">
        <f t="shared" si="140"/>
        <v>1-oct-2023</v>
      </c>
      <c r="K2277" s="49">
        <f t="shared" si="142"/>
        <v>45200</v>
      </c>
      <c r="M2277" t="b">
        <f t="shared" si="143"/>
        <v>1</v>
      </c>
    </row>
    <row r="2278" spans="1:13" x14ac:dyDescent="0.3">
      <c r="A2278" s="49">
        <v>45261</v>
      </c>
      <c r="D2278" t="s">
        <v>7362</v>
      </c>
      <c r="E2278">
        <v>1</v>
      </c>
      <c r="F2278" t="str">
        <f t="shared" si="141"/>
        <v>ago</v>
      </c>
      <c r="G2278">
        <v>20</v>
      </c>
      <c r="H2278">
        <v>18</v>
      </c>
      <c r="I2278" t="str">
        <f t="shared" si="140"/>
        <v>1-ago-2018</v>
      </c>
      <c r="K2278" s="49">
        <f t="shared" si="142"/>
        <v>43313</v>
      </c>
      <c r="M2278" t="b">
        <f t="shared" si="143"/>
        <v>1</v>
      </c>
    </row>
    <row r="2279" spans="1:13" x14ac:dyDescent="0.3">
      <c r="A2279" s="49">
        <v>45261</v>
      </c>
      <c r="D2279" t="s">
        <v>7367</v>
      </c>
      <c r="E2279">
        <v>1</v>
      </c>
      <c r="F2279" t="str">
        <f t="shared" si="141"/>
        <v>jun</v>
      </c>
      <c r="G2279">
        <v>20</v>
      </c>
      <c r="H2279">
        <v>22</v>
      </c>
      <c r="I2279" t="str">
        <f t="shared" si="140"/>
        <v>1-jun-2022</v>
      </c>
      <c r="K2279" s="49">
        <f t="shared" si="142"/>
        <v>44713</v>
      </c>
      <c r="M2279" t="b">
        <f t="shared" si="143"/>
        <v>1</v>
      </c>
    </row>
    <row r="2280" spans="1:13" x14ac:dyDescent="0.3">
      <c r="A2280" s="49">
        <v>45261</v>
      </c>
      <c r="D2280" t="s">
        <v>7369</v>
      </c>
      <c r="E2280">
        <v>1</v>
      </c>
      <c r="F2280" t="str">
        <f t="shared" si="141"/>
        <v>abr</v>
      </c>
      <c r="G2280">
        <v>20</v>
      </c>
      <c r="H2280">
        <v>22</v>
      </c>
      <c r="I2280" t="str">
        <f t="shared" si="140"/>
        <v>1-abr-2022</v>
      </c>
      <c r="K2280" s="49">
        <f t="shared" si="142"/>
        <v>44652</v>
      </c>
      <c r="M2280" t="b">
        <f t="shared" si="143"/>
        <v>1</v>
      </c>
    </row>
    <row r="2281" spans="1:13" x14ac:dyDescent="0.3">
      <c r="A2281" s="49">
        <v>45261</v>
      </c>
      <c r="D2281" t="s">
        <v>7369</v>
      </c>
      <c r="E2281">
        <v>1</v>
      </c>
      <c r="F2281" t="str">
        <f t="shared" si="141"/>
        <v>abr</v>
      </c>
      <c r="G2281">
        <v>20</v>
      </c>
      <c r="H2281">
        <v>23</v>
      </c>
      <c r="I2281" t="str">
        <f t="shared" si="140"/>
        <v>1-abr-2023</v>
      </c>
      <c r="K2281" s="49">
        <f t="shared" si="142"/>
        <v>45017</v>
      </c>
      <c r="M2281" t="b">
        <f t="shared" si="143"/>
        <v>1</v>
      </c>
    </row>
    <row r="2282" spans="1:13" x14ac:dyDescent="0.3">
      <c r="A2282" s="49">
        <v>45261</v>
      </c>
      <c r="D2282" t="s">
        <v>7355</v>
      </c>
      <c r="E2282">
        <v>1</v>
      </c>
      <c r="F2282" t="str">
        <f t="shared" si="141"/>
        <v>sep</v>
      </c>
      <c r="G2282">
        <v>20</v>
      </c>
      <c r="H2282">
        <v>23</v>
      </c>
      <c r="I2282" t="str">
        <f t="shared" si="140"/>
        <v>1-sep-2023</v>
      </c>
      <c r="K2282" s="49">
        <f t="shared" si="142"/>
        <v>45170</v>
      </c>
      <c r="M2282" t="b">
        <f t="shared" si="143"/>
        <v>1</v>
      </c>
    </row>
    <row r="2283" spans="1:13" x14ac:dyDescent="0.3">
      <c r="A2283" s="49">
        <v>45261</v>
      </c>
      <c r="D2283" t="s">
        <v>7355</v>
      </c>
      <c r="E2283">
        <v>1</v>
      </c>
      <c r="F2283" t="str">
        <f t="shared" si="141"/>
        <v>sep</v>
      </c>
      <c r="G2283">
        <v>20</v>
      </c>
      <c r="H2283">
        <v>23</v>
      </c>
      <c r="I2283" t="str">
        <f t="shared" si="140"/>
        <v>1-sep-2023</v>
      </c>
      <c r="K2283" s="49">
        <f t="shared" si="142"/>
        <v>45170</v>
      </c>
      <c r="M2283" t="b">
        <f t="shared" si="143"/>
        <v>1</v>
      </c>
    </row>
    <row r="2284" spans="1:13" x14ac:dyDescent="0.3">
      <c r="A2284" s="49">
        <v>45261</v>
      </c>
      <c r="D2284" t="s">
        <v>7355</v>
      </c>
      <c r="E2284">
        <v>1</v>
      </c>
      <c r="F2284" t="str">
        <f t="shared" si="141"/>
        <v>sep</v>
      </c>
      <c r="G2284">
        <v>20</v>
      </c>
      <c r="H2284">
        <v>23</v>
      </c>
      <c r="I2284" t="str">
        <f t="shared" si="140"/>
        <v>1-sep-2023</v>
      </c>
      <c r="K2284" s="49">
        <f t="shared" si="142"/>
        <v>45170</v>
      </c>
      <c r="M2284" t="b">
        <f t="shared" si="143"/>
        <v>1</v>
      </c>
    </row>
    <row r="2285" spans="1:13" x14ac:dyDescent="0.3">
      <c r="A2285" s="49">
        <v>45261</v>
      </c>
      <c r="D2285" t="s">
        <v>7359</v>
      </c>
      <c r="E2285">
        <v>1</v>
      </c>
      <c r="F2285" t="str">
        <f t="shared" si="141"/>
        <v>jul</v>
      </c>
      <c r="G2285">
        <v>20</v>
      </c>
      <c r="H2285">
        <v>16</v>
      </c>
      <c r="I2285" t="str">
        <f t="shared" si="140"/>
        <v>1-jul-2016</v>
      </c>
      <c r="K2285" s="49">
        <f t="shared" si="142"/>
        <v>42552</v>
      </c>
      <c r="M2285" t="b">
        <f t="shared" si="143"/>
        <v>1</v>
      </c>
    </row>
    <row r="2286" spans="1:13" x14ac:dyDescent="0.3">
      <c r="A2286" s="49">
        <v>45261</v>
      </c>
      <c r="D2286" t="s">
        <v>7369</v>
      </c>
      <c r="E2286">
        <v>1</v>
      </c>
      <c r="F2286" t="str">
        <f t="shared" si="141"/>
        <v>abr</v>
      </c>
      <c r="G2286">
        <v>20</v>
      </c>
      <c r="H2286">
        <v>23</v>
      </c>
      <c r="I2286" t="str">
        <f t="shared" si="140"/>
        <v>1-abr-2023</v>
      </c>
      <c r="K2286" s="49">
        <f t="shared" si="142"/>
        <v>45017</v>
      </c>
      <c r="M2286" t="b">
        <f t="shared" si="143"/>
        <v>1</v>
      </c>
    </row>
    <row r="2287" spans="1:13" x14ac:dyDescent="0.3">
      <c r="A2287" s="49">
        <v>45261</v>
      </c>
      <c r="D2287" t="s">
        <v>7369</v>
      </c>
      <c r="E2287">
        <v>1</v>
      </c>
      <c r="F2287" t="str">
        <f t="shared" si="141"/>
        <v>abr</v>
      </c>
      <c r="G2287">
        <v>20</v>
      </c>
      <c r="H2287">
        <v>22</v>
      </c>
      <c r="I2287" t="str">
        <f t="shared" si="140"/>
        <v>1-abr-2022</v>
      </c>
      <c r="K2287" s="49">
        <f t="shared" si="142"/>
        <v>44652</v>
      </c>
      <c r="M2287" t="b">
        <f t="shared" si="143"/>
        <v>1</v>
      </c>
    </row>
    <row r="2288" spans="1:13" x14ac:dyDescent="0.3">
      <c r="A2288" s="49">
        <v>45261</v>
      </c>
      <c r="D2288" t="s">
        <v>7367</v>
      </c>
      <c r="E2288">
        <v>1</v>
      </c>
      <c r="F2288" t="str">
        <f t="shared" si="141"/>
        <v>jun</v>
      </c>
      <c r="G2288">
        <v>20</v>
      </c>
      <c r="H2288">
        <v>22</v>
      </c>
      <c r="I2288" t="str">
        <f t="shared" si="140"/>
        <v>1-jun-2022</v>
      </c>
      <c r="K2288" s="49">
        <f t="shared" si="142"/>
        <v>44713</v>
      </c>
      <c r="M2288" t="b">
        <f t="shared" si="143"/>
        <v>1</v>
      </c>
    </row>
    <row r="2289" spans="1:13" x14ac:dyDescent="0.3">
      <c r="A2289" s="49">
        <v>45261</v>
      </c>
      <c r="D2289" t="s">
        <v>7367</v>
      </c>
      <c r="E2289">
        <v>1</v>
      </c>
      <c r="F2289" t="str">
        <f t="shared" si="141"/>
        <v>jun</v>
      </c>
      <c r="G2289">
        <v>20</v>
      </c>
      <c r="H2289">
        <v>22</v>
      </c>
      <c r="I2289" t="str">
        <f t="shared" si="140"/>
        <v>1-jun-2022</v>
      </c>
      <c r="K2289" s="49">
        <f t="shared" si="142"/>
        <v>44713</v>
      </c>
      <c r="M2289" t="b">
        <f t="shared" si="143"/>
        <v>1</v>
      </c>
    </row>
    <row r="2290" spans="1:13" x14ac:dyDescent="0.3">
      <c r="A2290" s="49">
        <v>45261</v>
      </c>
      <c r="D2290" t="s">
        <v>7369</v>
      </c>
      <c r="E2290">
        <v>1</v>
      </c>
      <c r="F2290" t="str">
        <f t="shared" si="141"/>
        <v>abr</v>
      </c>
      <c r="G2290">
        <v>20</v>
      </c>
      <c r="H2290">
        <v>21</v>
      </c>
      <c r="I2290" t="str">
        <f t="shared" si="140"/>
        <v>1-abr-2021</v>
      </c>
      <c r="K2290" s="49">
        <f t="shared" si="142"/>
        <v>44287</v>
      </c>
      <c r="M2290" t="b">
        <f t="shared" si="143"/>
        <v>1</v>
      </c>
    </row>
    <row r="2291" spans="1:13" x14ac:dyDescent="0.3">
      <c r="A2291" s="49">
        <v>45261</v>
      </c>
      <c r="D2291" t="s">
        <v>7368</v>
      </c>
      <c r="E2291">
        <v>1</v>
      </c>
      <c r="F2291" t="str">
        <f t="shared" si="141"/>
        <v>mar</v>
      </c>
      <c r="G2291">
        <v>20</v>
      </c>
      <c r="H2291">
        <v>17</v>
      </c>
      <c r="I2291" t="str">
        <f t="shared" si="140"/>
        <v>1-mar-2017</v>
      </c>
      <c r="K2291" s="49">
        <f t="shared" si="142"/>
        <v>42795</v>
      </c>
      <c r="M2291" t="b">
        <f t="shared" si="143"/>
        <v>1</v>
      </c>
    </row>
    <row r="2292" spans="1:13" x14ac:dyDescent="0.3">
      <c r="A2292" s="49">
        <v>45261</v>
      </c>
      <c r="D2292" t="s">
        <v>7359</v>
      </c>
      <c r="E2292">
        <v>1</v>
      </c>
      <c r="F2292" t="str">
        <f t="shared" si="141"/>
        <v>jul</v>
      </c>
      <c r="G2292">
        <v>20</v>
      </c>
      <c r="H2292">
        <v>23</v>
      </c>
      <c r="I2292" t="str">
        <f t="shared" si="140"/>
        <v>1-jul-2023</v>
      </c>
      <c r="K2292" s="49">
        <f t="shared" si="142"/>
        <v>45108</v>
      </c>
      <c r="M2292" t="b">
        <f t="shared" si="143"/>
        <v>1</v>
      </c>
    </row>
    <row r="2293" spans="1:13" x14ac:dyDescent="0.3">
      <c r="A2293" s="49">
        <v>45261</v>
      </c>
      <c r="D2293" t="s">
        <v>7370</v>
      </c>
      <c r="E2293">
        <v>1</v>
      </c>
      <c r="F2293" t="str">
        <f t="shared" si="141"/>
        <v>may</v>
      </c>
      <c r="G2293">
        <v>20</v>
      </c>
      <c r="H2293">
        <v>19</v>
      </c>
      <c r="I2293" t="str">
        <f t="shared" si="140"/>
        <v>1-may-2019</v>
      </c>
      <c r="K2293" s="49">
        <f t="shared" si="142"/>
        <v>43586</v>
      </c>
      <c r="M2293" t="b">
        <f t="shared" si="143"/>
        <v>1</v>
      </c>
    </row>
    <row r="2294" spans="1:13" x14ac:dyDescent="0.3">
      <c r="A2294" s="49">
        <v>45261</v>
      </c>
      <c r="D2294" t="s">
        <v>7362</v>
      </c>
      <c r="E2294">
        <v>1</v>
      </c>
      <c r="F2294" t="str">
        <f t="shared" si="141"/>
        <v>ago</v>
      </c>
      <c r="G2294">
        <v>20</v>
      </c>
      <c r="H2294">
        <v>22</v>
      </c>
      <c r="I2294" t="str">
        <f t="shared" si="140"/>
        <v>1-ago-2022</v>
      </c>
      <c r="K2294" s="49">
        <f t="shared" si="142"/>
        <v>44774</v>
      </c>
      <c r="M2294" t="b">
        <f t="shared" si="143"/>
        <v>1</v>
      </c>
    </row>
    <row r="2295" spans="1:13" x14ac:dyDescent="0.3">
      <c r="A2295" s="49">
        <v>45261</v>
      </c>
      <c r="D2295" t="s">
        <v>7363</v>
      </c>
      <c r="E2295">
        <v>1</v>
      </c>
      <c r="F2295" t="str">
        <f t="shared" si="141"/>
        <v>feb</v>
      </c>
      <c r="G2295">
        <v>20</v>
      </c>
      <c r="H2295">
        <v>21</v>
      </c>
      <c r="I2295" t="str">
        <f t="shared" si="140"/>
        <v>1-feb-2021</v>
      </c>
      <c r="K2295" s="49">
        <f t="shared" si="142"/>
        <v>44228</v>
      </c>
      <c r="M2295" t="b">
        <f t="shared" si="143"/>
        <v>1</v>
      </c>
    </row>
    <row r="2296" spans="1:13" x14ac:dyDescent="0.3">
      <c r="A2296" s="49">
        <v>45261</v>
      </c>
      <c r="D2296" t="s">
        <v>7368</v>
      </c>
      <c r="E2296">
        <v>1</v>
      </c>
      <c r="F2296" t="str">
        <f t="shared" si="141"/>
        <v>mar</v>
      </c>
      <c r="G2296">
        <v>20</v>
      </c>
      <c r="H2296">
        <v>24</v>
      </c>
      <c r="I2296" t="str">
        <f t="shared" si="140"/>
        <v>1-mar-2024</v>
      </c>
      <c r="K2296" s="49">
        <f t="shared" si="142"/>
        <v>45352</v>
      </c>
      <c r="M2296" t="b">
        <f t="shared" si="143"/>
        <v>0</v>
      </c>
    </row>
    <row r="2297" spans="1:13" x14ac:dyDescent="0.3">
      <c r="A2297" s="49">
        <v>45261</v>
      </c>
      <c r="D2297" t="s">
        <v>7357</v>
      </c>
      <c r="E2297">
        <v>1</v>
      </c>
      <c r="F2297" t="str">
        <f t="shared" si="141"/>
        <v>oct</v>
      </c>
      <c r="G2297">
        <v>20</v>
      </c>
      <c r="H2297">
        <v>20</v>
      </c>
      <c r="I2297" t="str">
        <f t="shared" si="140"/>
        <v>1-oct-2020</v>
      </c>
      <c r="K2297" s="49">
        <f t="shared" si="142"/>
        <v>44105</v>
      </c>
      <c r="M2297" t="b">
        <f t="shared" si="143"/>
        <v>1</v>
      </c>
    </row>
    <row r="2298" spans="1:13" x14ac:dyDescent="0.3">
      <c r="A2298" s="49">
        <v>45261</v>
      </c>
      <c r="D2298" t="s">
        <v>7359</v>
      </c>
      <c r="E2298">
        <v>1</v>
      </c>
      <c r="F2298" t="str">
        <f t="shared" si="141"/>
        <v>jul</v>
      </c>
      <c r="G2298">
        <v>20</v>
      </c>
      <c r="H2298">
        <v>23</v>
      </c>
      <c r="I2298" t="str">
        <f t="shared" si="140"/>
        <v>1-jul-2023</v>
      </c>
      <c r="K2298" s="49">
        <f t="shared" si="142"/>
        <v>45108</v>
      </c>
      <c r="M2298" t="b">
        <f t="shared" si="143"/>
        <v>1</v>
      </c>
    </row>
    <row r="2299" spans="1:13" x14ac:dyDescent="0.3">
      <c r="A2299" s="49">
        <v>45261</v>
      </c>
      <c r="D2299" t="s">
        <v>7362</v>
      </c>
      <c r="E2299">
        <v>1</v>
      </c>
      <c r="F2299" t="str">
        <f t="shared" si="141"/>
        <v>ago</v>
      </c>
      <c r="G2299">
        <v>20</v>
      </c>
      <c r="H2299">
        <v>23</v>
      </c>
      <c r="I2299" t="str">
        <f t="shared" si="140"/>
        <v>1-ago-2023</v>
      </c>
      <c r="K2299" s="49">
        <f t="shared" si="142"/>
        <v>45139</v>
      </c>
      <c r="M2299" t="b">
        <f t="shared" si="143"/>
        <v>1</v>
      </c>
    </row>
    <row r="2300" spans="1:13" x14ac:dyDescent="0.3">
      <c r="A2300" s="49">
        <v>45261</v>
      </c>
      <c r="D2300" t="s">
        <v>7363</v>
      </c>
      <c r="E2300">
        <v>1</v>
      </c>
      <c r="F2300" t="str">
        <f t="shared" si="141"/>
        <v>feb</v>
      </c>
      <c r="G2300">
        <v>20</v>
      </c>
      <c r="H2300">
        <v>21</v>
      </c>
      <c r="I2300" t="str">
        <f t="shared" si="140"/>
        <v>1-feb-2021</v>
      </c>
      <c r="K2300" s="49">
        <f t="shared" si="142"/>
        <v>44228</v>
      </c>
      <c r="M2300" t="b">
        <f t="shared" si="143"/>
        <v>1</v>
      </c>
    </row>
    <row r="2301" spans="1:13" x14ac:dyDescent="0.3">
      <c r="A2301" s="49">
        <v>45261</v>
      </c>
      <c r="D2301" t="s">
        <v>7370</v>
      </c>
      <c r="E2301">
        <v>1</v>
      </c>
      <c r="F2301" t="str">
        <f t="shared" si="141"/>
        <v>may</v>
      </c>
      <c r="G2301">
        <v>20</v>
      </c>
      <c r="H2301">
        <v>16</v>
      </c>
      <c r="I2301" t="str">
        <f t="shared" si="140"/>
        <v>1-may-2016</v>
      </c>
      <c r="K2301" s="49">
        <f t="shared" si="142"/>
        <v>42491</v>
      </c>
      <c r="M2301" t="b">
        <f t="shared" si="143"/>
        <v>1</v>
      </c>
    </row>
    <row r="2302" spans="1:13" x14ac:dyDescent="0.3">
      <c r="A2302" s="49">
        <v>45261</v>
      </c>
      <c r="D2302" t="s">
        <v>7357</v>
      </c>
      <c r="E2302">
        <v>1</v>
      </c>
      <c r="F2302" t="str">
        <f t="shared" si="141"/>
        <v>oct</v>
      </c>
      <c r="G2302">
        <v>20</v>
      </c>
      <c r="H2302">
        <v>22</v>
      </c>
      <c r="I2302" t="str">
        <f t="shared" si="140"/>
        <v>1-oct-2022</v>
      </c>
      <c r="K2302" s="49">
        <f t="shared" si="142"/>
        <v>44835</v>
      </c>
      <c r="M2302" t="b">
        <f t="shared" si="143"/>
        <v>1</v>
      </c>
    </row>
    <row r="2303" spans="1:13" x14ac:dyDescent="0.3">
      <c r="A2303" s="49">
        <v>45261</v>
      </c>
      <c r="D2303" t="s">
        <v>7363</v>
      </c>
      <c r="E2303">
        <v>1</v>
      </c>
      <c r="F2303" t="str">
        <f t="shared" si="141"/>
        <v>feb</v>
      </c>
      <c r="G2303">
        <v>20</v>
      </c>
      <c r="H2303">
        <v>22</v>
      </c>
      <c r="I2303" t="str">
        <f t="shared" si="140"/>
        <v>1-feb-2022</v>
      </c>
      <c r="K2303" s="49">
        <f t="shared" si="142"/>
        <v>44593</v>
      </c>
      <c r="M2303" t="b">
        <f t="shared" si="143"/>
        <v>1</v>
      </c>
    </row>
    <row r="2304" spans="1:13" x14ac:dyDescent="0.3">
      <c r="A2304" s="49">
        <v>45261</v>
      </c>
      <c r="D2304" t="s">
        <v>7368</v>
      </c>
      <c r="E2304">
        <v>1</v>
      </c>
      <c r="F2304" t="str">
        <f t="shared" si="141"/>
        <v>mar</v>
      </c>
      <c r="G2304">
        <v>20</v>
      </c>
      <c r="H2304">
        <v>23</v>
      </c>
      <c r="I2304" t="str">
        <f t="shared" si="140"/>
        <v>1-mar-2023</v>
      </c>
      <c r="K2304" s="49">
        <f t="shared" si="142"/>
        <v>44986</v>
      </c>
      <c r="M2304" t="b">
        <f t="shared" si="143"/>
        <v>1</v>
      </c>
    </row>
    <row r="2305" spans="1:13" x14ac:dyDescent="0.3">
      <c r="A2305" s="49">
        <v>45261</v>
      </c>
      <c r="D2305" t="s">
        <v>7368</v>
      </c>
      <c r="E2305">
        <v>1</v>
      </c>
      <c r="F2305" t="str">
        <f t="shared" si="141"/>
        <v>mar</v>
      </c>
      <c r="G2305">
        <v>20</v>
      </c>
      <c r="H2305">
        <v>23</v>
      </c>
      <c r="I2305" t="str">
        <f t="shared" ref="I2305:I2368" si="144">_xlfn.CONCAT(E2305,"-",F2305,"-",G2305,H2305)</f>
        <v>1-mar-2023</v>
      </c>
      <c r="K2305" s="49">
        <f t="shared" si="142"/>
        <v>44986</v>
      </c>
      <c r="M2305" t="b">
        <f t="shared" si="143"/>
        <v>1</v>
      </c>
    </row>
    <row r="2306" spans="1:13" x14ac:dyDescent="0.3">
      <c r="A2306" s="49">
        <v>45261</v>
      </c>
      <c r="D2306" t="s">
        <v>7355</v>
      </c>
      <c r="E2306">
        <v>1</v>
      </c>
      <c r="F2306" t="str">
        <f t="shared" ref="F2306:F2369" si="145">LOWER(D2306)</f>
        <v>sep</v>
      </c>
      <c r="G2306">
        <v>20</v>
      </c>
      <c r="H2306">
        <v>21</v>
      </c>
      <c r="I2306" t="str">
        <f t="shared" si="144"/>
        <v>1-sep-2021</v>
      </c>
      <c r="K2306" s="49">
        <f t="shared" ref="K2306:K2369" si="146">DATEVALUE(I2306)</f>
        <v>44440</v>
      </c>
      <c r="M2306" t="b">
        <f t="shared" si="143"/>
        <v>1</v>
      </c>
    </row>
    <row r="2307" spans="1:13" x14ac:dyDescent="0.3">
      <c r="A2307" s="49">
        <v>45261</v>
      </c>
      <c r="D2307" t="s">
        <v>7359</v>
      </c>
      <c r="E2307">
        <v>1</v>
      </c>
      <c r="F2307" t="str">
        <f t="shared" si="145"/>
        <v>jul</v>
      </c>
      <c r="G2307">
        <v>20</v>
      </c>
      <c r="H2307">
        <v>20</v>
      </c>
      <c r="I2307" t="str">
        <f t="shared" si="144"/>
        <v>1-jul-2020</v>
      </c>
      <c r="K2307" s="49">
        <f t="shared" si="146"/>
        <v>44013</v>
      </c>
      <c r="M2307" t="b">
        <f t="shared" ref="M2307:M2370" si="147">K2307&lt;A2307</f>
        <v>1</v>
      </c>
    </row>
    <row r="2308" spans="1:13" x14ac:dyDescent="0.3">
      <c r="A2308" s="49">
        <v>45261</v>
      </c>
      <c r="D2308" t="s">
        <v>7357</v>
      </c>
      <c r="E2308">
        <v>1</v>
      </c>
      <c r="F2308" t="str">
        <f t="shared" si="145"/>
        <v>oct</v>
      </c>
      <c r="G2308">
        <v>20</v>
      </c>
      <c r="H2308">
        <v>23</v>
      </c>
      <c r="I2308" t="str">
        <f t="shared" si="144"/>
        <v>1-oct-2023</v>
      </c>
      <c r="K2308" s="49">
        <f t="shared" si="146"/>
        <v>45200</v>
      </c>
      <c r="M2308" t="b">
        <f t="shared" si="147"/>
        <v>1</v>
      </c>
    </row>
    <row r="2309" spans="1:13" x14ac:dyDescent="0.3">
      <c r="A2309" s="49">
        <v>45261</v>
      </c>
      <c r="D2309" t="s">
        <v>7355</v>
      </c>
      <c r="E2309">
        <v>1</v>
      </c>
      <c r="F2309" t="str">
        <f t="shared" si="145"/>
        <v>sep</v>
      </c>
      <c r="G2309">
        <v>20</v>
      </c>
      <c r="H2309">
        <v>21</v>
      </c>
      <c r="I2309" t="str">
        <f t="shared" si="144"/>
        <v>1-sep-2021</v>
      </c>
      <c r="K2309" s="49">
        <f t="shared" si="146"/>
        <v>44440</v>
      </c>
      <c r="M2309" t="b">
        <f t="shared" si="147"/>
        <v>1</v>
      </c>
    </row>
    <row r="2310" spans="1:13" x14ac:dyDescent="0.3">
      <c r="A2310" s="49">
        <v>45261</v>
      </c>
      <c r="D2310" t="s">
        <v>7355</v>
      </c>
      <c r="E2310">
        <v>1</v>
      </c>
      <c r="F2310" t="str">
        <f t="shared" si="145"/>
        <v>sep</v>
      </c>
      <c r="G2310">
        <v>20</v>
      </c>
      <c r="H2310">
        <v>21</v>
      </c>
      <c r="I2310" t="str">
        <f t="shared" si="144"/>
        <v>1-sep-2021</v>
      </c>
      <c r="K2310" s="49">
        <f t="shared" si="146"/>
        <v>44440</v>
      </c>
      <c r="M2310" t="b">
        <f t="shared" si="147"/>
        <v>1</v>
      </c>
    </row>
    <row r="2311" spans="1:13" x14ac:dyDescent="0.3">
      <c r="A2311" s="49">
        <v>45261</v>
      </c>
      <c r="D2311" t="s">
        <v>7363</v>
      </c>
      <c r="E2311">
        <v>1</v>
      </c>
      <c r="F2311" t="str">
        <f t="shared" si="145"/>
        <v>feb</v>
      </c>
      <c r="G2311">
        <v>20</v>
      </c>
      <c r="H2311">
        <v>23</v>
      </c>
      <c r="I2311" t="str">
        <f t="shared" si="144"/>
        <v>1-feb-2023</v>
      </c>
      <c r="K2311" s="49">
        <f t="shared" si="146"/>
        <v>44958</v>
      </c>
      <c r="M2311" t="b">
        <f t="shared" si="147"/>
        <v>1</v>
      </c>
    </row>
    <row r="2312" spans="1:13" x14ac:dyDescent="0.3">
      <c r="A2312" s="49">
        <v>45261</v>
      </c>
      <c r="D2312" t="s">
        <v>7369</v>
      </c>
      <c r="E2312">
        <v>1</v>
      </c>
      <c r="F2312" t="str">
        <f t="shared" si="145"/>
        <v>abr</v>
      </c>
      <c r="G2312">
        <v>20</v>
      </c>
      <c r="H2312">
        <v>22</v>
      </c>
      <c r="I2312" t="str">
        <f t="shared" si="144"/>
        <v>1-abr-2022</v>
      </c>
      <c r="K2312" s="49">
        <f t="shared" si="146"/>
        <v>44652</v>
      </c>
      <c r="M2312" t="b">
        <f t="shared" si="147"/>
        <v>1</v>
      </c>
    </row>
    <row r="2313" spans="1:13" x14ac:dyDescent="0.3">
      <c r="A2313" s="49">
        <v>45261</v>
      </c>
      <c r="D2313" t="s">
        <v>7362</v>
      </c>
      <c r="E2313">
        <v>1</v>
      </c>
      <c r="F2313" t="str">
        <f t="shared" si="145"/>
        <v>ago</v>
      </c>
      <c r="G2313">
        <v>20</v>
      </c>
      <c r="H2313">
        <v>20</v>
      </c>
      <c r="I2313" t="str">
        <f t="shared" si="144"/>
        <v>1-ago-2020</v>
      </c>
      <c r="K2313" s="49">
        <f t="shared" si="146"/>
        <v>44044</v>
      </c>
      <c r="M2313" t="b">
        <f t="shared" si="147"/>
        <v>1</v>
      </c>
    </row>
    <row r="2314" spans="1:13" x14ac:dyDescent="0.3">
      <c r="A2314" s="49">
        <v>45261</v>
      </c>
      <c r="D2314" t="s">
        <v>7360</v>
      </c>
      <c r="E2314">
        <v>1</v>
      </c>
      <c r="F2314" t="str">
        <f t="shared" si="145"/>
        <v>nov</v>
      </c>
      <c r="G2314">
        <v>20</v>
      </c>
      <c r="H2314">
        <v>23</v>
      </c>
      <c r="I2314" t="str">
        <f t="shared" si="144"/>
        <v>1-nov-2023</v>
      </c>
      <c r="K2314" s="49">
        <f t="shared" si="146"/>
        <v>45231</v>
      </c>
      <c r="M2314" t="b">
        <f t="shared" si="147"/>
        <v>1</v>
      </c>
    </row>
    <row r="2315" spans="1:13" x14ac:dyDescent="0.3">
      <c r="A2315" s="49">
        <v>45261</v>
      </c>
      <c r="D2315" t="s">
        <v>7360</v>
      </c>
      <c r="E2315">
        <v>1</v>
      </c>
      <c r="F2315" t="str">
        <f t="shared" si="145"/>
        <v>nov</v>
      </c>
      <c r="G2315">
        <v>20</v>
      </c>
      <c r="H2315">
        <v>23</v>
      </c>
      <c r="I2315" t="str">
        <f t="shared" si="144"/>
        <v>1-nov-2023</v>
      </c>
      <c r="K2315" s="49">
        <f t="shared" si="146"/>
        <v>45231</v>
      </c>
      <c r="M2315" t="b">
        <f t="shared" si="147"/>
        <v>1</v>
      </c>
    </row>
    <row r="2316" spans="1:13" x14ac:dyDescent="0.3">
      <c r="A2316" s="49">
        <v>45261</v>
      </c>
      <c r="D2316" t="s">
        <v>7357</v>
      </c>
      <c r="E2316">
        <v>1</v>
      </c>
      <c r="F2316" t="str">
        <f t="shared" si="145"/>
        <v>oct</v>
      </c>
      <c r="G2316">
        <v>20</v>
      </c>
      <c r="H2316">
        <v>23</v>
      </c>
      <c r="I2316" t="str">
        <f t="shared" si="144"/>
        <v>1-oct-2023</v>
      </c>
      <c r="K2316" s="49">
        <f t="shared" si="146"/>
        <v>45200</v>
      </c>
      <c r="M2316" t="b">
        <f t="shared" si="147"/>
        <v>1</v>
      </c>
    </row>
    <row r="2317" spans="1:13" x14ac:dyDescent="0.3">
      <c r="A2317" s="49">
        <v>45261</v>
      </c>
      <c r="D2317" t="s">
        <v>7357</v>
      </c>
      <c r="E2317">
        <v>1</v>
      </c>
      <c r="F2317" t="str">
        <f t="shared" si="145"/>
        <v>oct</v>
      </c>
      <c r="G2317">
        <v>20</v>
      </c>
      <c r="H2317">
        <v>23</v>
      </c>
      <c r="I2317" t="str">
        <f t="shared" si="144"/>
        <v>1-oct-2023</v>
      </c>
      <c r="K2317" s="49">
        <f t="shared" si="146"/>
        <v>45200</v>
      </c>
      <c r="M2317" t="b">
        <f t="shared" si="147"/>
        <v>1</v>
      </c>
    </row>
    <row r="2318" spans="1:13" x14ac:dyDescent="0.3">
      <c r="A2318" s="49">
        <v>45261</v>
      </c>
      <c r="D2318" t="s">
        <v>7367</v>
      </c>
      <c r="E2318">
        <v>1</v>
      </c>
      <c r="F2318" t="str">
        <f t="shared" si="145"/>
        <v>jun</v>
      </c>
      <c r="G2318">
        <v>20</v>
      </c>
      <c r="H2318">
        <v>22</v>
      </c>
      <c r="I2318" t="str">
        <f t="shared" si="144"/>
        <v>1-jun-2022</v>
      </c>
      <c r="K2318" s="49">
        <f t="shared" si="146"/>
        <v>44713</v>
      </c>
      <c r="M2318" t="b">
        <f t="shared" si="147"/>
        <v>1</v>
      </c>
    </row>
    <row r="2319" spans="1:13" x14ac:dyDescent="0.3">
      <c r="A2319" s="49">
        <v>45261</v>
      </c>
      <c r="D2319" t="s">
        <v>7355</v>
      </c>
      <c r="E2319">
        <v>1</v>
      </c>
      <c r="F2319" t="str">
        <f t="shared" si="145"/>
        <v>sep</v>
      </c>
      <c r="G2319">
        <v>20</v>
      </c>
      <c r="H2319">
        <v>20</v>
      </c>
      <c r="I2319" t="str">
        <f t="shared" si="144"/>
        <v>1-sep-2020</v>
      </c>
      <c r="K2319" s="49">
        <f t="shared" si="146"/>
        <v>44075</v>
      </c>
      <c r="M2319" t="b">
        <f t="shared" si="147"/>
        <v>1</v>
      </c>
    </row>
    <row r="2320" spans="1:13" x14ac:dyDescent="0.3">
      <c r="A2320" s="49">
        <v>45261</v>
      </c>
      <c r="D2320" t="s">
        <v>7360</v>
      </c>
      <c r="E2320">
        <v>1</v>
      </c>
      <c r="F2320" t="str">
        <f t="shared" si="145"/>
        <v>nov</v>
      </c>
      <c r="G2320">
        <v>20</v>
      </c>
      <c r="H2320">
        <v>23</v>
      </c>
      <c r="I2320" t="str">
        <f t="shared" si="144"/>
        <v>1-nov-2023</v>
      </c>
      <c r="K2320" s="49">
        <f t="shared" si="146"/>
        <v>45231</v>
      </c>
      <c r="M2320" t="b">
        <f t="shared" si="147"/>
        <v>1</v>
      </c>
    </row>
    <row r="2321" spans="1:13" x14ac:dyDescent="0.3">
      <c r="A2321" s="49">
        <v>45261</v>
      </c>
      <c r="D2321" t="s">
        <v>7360</v>
      </c>
      <c r="E2321">
        <v>1</v>
      </c>
      <c r="F2321" t="str">
        <f t="shared" si="145"/>
        <v>nov</v>
      </c>
      <c r="G2321">
        <v>20</v>
      </c>
      <c r="H2321">
        <v>22</v>
      </c>
      <c r="I2321" t="str">
        <f t="shared" si="144"/>
        <v>1-nov-2022</v>
      </c>
      <c r="K2321" s="49">
        <f t="shared" si="146"/>
        <v>44866</v>
      </c>
      <c r="M2321" t="b">
        <f t="shared" si="147"/>
        <v>1</v>
      </c>
    </row>
    <row r="2322" spans="1:13" x14ac:dyDescent="0.3">
      <c r="A2322" s="49">
        <v>45261</v>
      </c>
      <c r="D2322" t="s">
        <v>7357</v>
      </c>
      <c r="E2322">
        <v>1</v>
      </c>
      <c r="F2322" t="str">
        <f t="shared" si="145"/>
        <v>oct</v>
      </c>
      <c r="G2322">
        <v>20</v>
      </c>
      <c r="H2322">
        <v>23</v>
      </c>
      <c r="I2322" t="str">
        <f t="shared" si="144"/>
        <v>1-oct-2023</v>
      </c>
      <c r="K2322" s="49">
        <f t="shared" si="146"/>
        <v>45200</v>
      </c>
      <c r="M2322" t="b">
        <f t="shared" si="147"/>
        <v>1</v>
      </c>
    </row>
    <row r="2323" spans="1:13" x14ac:dyDescent="0.3">
      <c r="A2323" s="49">
        <v>45261</v>
      </c>
      <c r="D2323" t="s">
        <v>7366</v>
      </c>
      <c r="E2323">
        <v>1</v>
      </c>
      <c r="F2323" t="str">
        <f t="shared" si="145"/>
        <v>dic</v>
      </c>
      <c r="G2323">
        <v>20</v>
      </c>
      <c r="H2323">
        <v>20</v>
      </c>
      <c r="I2323" t="str">
        <f t="shared" si="144"/>
        <v>1-dic-2020</v>
      </c>
      <c r="K2323" s="49">
        <f t="shared" si="146"/>
        <v>44166</v>
      </c>
      <c r="M2323" t="b">
        <f t="shared" si="147"/>
        <v>1</v>
      </c>
    </row>
    <row r="2324" spans="1:13" x14ac:dyDescent="0.3">
      <c r="A2324" s="49">
        <v>45261</v>
      </c>
      <c r="D2324" t="s">
        <v>7357</v>
      </c>
      <c r="E2324">
        <v>1</v>
      </c>
      <c r="F2324" t="str">
        <f t="shared" si="145"/>
        <v>oct</v>
      </c>
      <c r="G2324">
        <v>20</v>
      </c>
      <c r="H2324">
        <v>20</v>
      </c>
      <c r="I2324" t="str">
        <f t="shared" si="144"/>
        <v>1-oct-2020</v>
      </c>
      <c r="K2324" s="49">
        <f t="shared" si="146"/>
        <v>44105</v>
      </c>
      <c r="M2324" t="b">
        <f t="shared" si="147"/>
        <v>1</v>
      </c>
    </row>
    <row r="2325" spans="1:13" x14ac:dyDescent="0.3">
      <c r="A2325" s="49">
        <v>45261</v>
      </c>
      <c r="D2325" t="s">
        <v>7357</v>
      </c>
      <c r="E2325">
        <v>1</v>
      </c>
      <c r="F2325" t="str">
        <f t="shared" si="145"/>
        <v>oct</v>
      </c>
      <c r="G2325">
        <v>20</v>
      </c>
      <c r="H2325">
        <v>20</v>
      </c>
      <c r="I2325" t="str">
        <f t="shared" si="144"/>
        <v>1-oct-2020</v>
      </c>
      <c r="K2325" s="49">
        <f t="shared" si="146"/>
        <v>44105</v>
      </c>
      <c r="M2325" t="b">
        <f t="shared" si="147"/>
        <v>1</v>
      </c>
    </row>
    <row r="2326" spans="1:13" x14ac:dyDescent="0.3">
      <c r="A2326" s="49">
        <v>45261</v>
      </c>
      <c r="D2326" t="s">
        <v>7359</v>
      </c>
      <c r="E2326">
        <v>1</v>
      </c>
      <c r="F2326" t="str">
        <f t="shared" si="145"/>
        <v>jul</v>
      </c>
      <c r="G2326">
        <v>20</v>
      </c>
      <c r="H2326">
        <v>21</v>
      </c>
      <c r="I2326" t="str">
        <f t="shared" si="144"/>
        <v>1-jul-2021</v>
      </c>
      <c r="K2326" s="49">
        <f t="shared" si="146"/>
        <v>44378</v>
      </c>
      <c r="M2326" t="b">
        <f t="shared" si="147"/>
        <v>1</v>
      </c>
    </row>
    <row r="2327" spans="1:13" x14ac:dyDescent="0.3">
      <c r="A2327" s="49">
        <v>45261</v>
      </c>
      <c r="D2327" t="s">
        <v>7362</v>
      </c>
      <c r="E2327">
        <v>1</v>
      </c>
      <c r="F2327" t="str">
        <f t="shared" si="145"/>
        <v>ago</v>
      </c>
      <c r="G2327">
        <v>20</v>
      </c>
      <c r="H2327">
        <v>23</v>
      </c>
      <c r="I2327" t="str">
        <f t="shared" si="144"/>
        <v>1-ago-2023</v>
      </c>
      <c r="K2327" s="49">
        <f t="shared" si="146"/>
        <v>45139</v>
      </c>
      <c r="M2327" t="b">
        <f t="shared" si="147"/>
        <v>1</v>
      </c>
    </row>
    <row r="2328" spans="1:13" x14ac:dyDescent="0.3">
      <c r="A2328" s="49">
        <v>45261</v>
      </c>
      <c r="D2328" t="s">
        <v>7355</v>
      </c>
      <c r="E2328">
        <v>1</v>
      </c>
      <c r="F2328" t="str">
        <f t="shared" si="145"/>
        <v>sep</v>
      </c>
      <c r="G2328">
        <v>20</v>
      </c>
      <c r="H2328">
        <v>23</v>
      </c>
      <c r="I2328" t="str">
        <f t="shared" si="144"/>
        <v>1-sep-2023</v>
      </c>
      <c r="K2328" s="49">
        <f t="shared" si="146"/>
        <v>45170</v>
      </c>
      <c r="M2328" t="b">
        <f t="shared" si="147"/>
        <v>1</v>
      </c>
    </row>
    <row r="2329" spans="1:13" x14ac:dyDescent="0.3">
      <c r="A2329" s="49">
        <v>45261</v>
      </c>
      <c r="D2329" t="s">
        <v>7369</v>
      </c>
      <c r="E2329">
        <v>1</v>
      </c>
      <c r="F2329" t="str">
        <f t="shared" si="145"/>
        <v>abr</v>
      </c>
      <c r="G2329">
        <v>20</v>
      </c>
      <c r="H2329">
        <v>22</v>
      </c>
      <c r="I2329" t="str">
        <f t="shared" si="144"/>
        <v>1-abr-2022</v>
      </c>
      <c r="K2329" s="49">
        <f t="shared" si="146"/>
        <v>44652</v>
      </c>
      <c r="M2329" t="b">
        <f t="shared" si="147"/>
        <v>1</v>
      </c>
    </row>
    <row r="2330" spans="1:13" x14ac:dyDescent="0.3">
      <c r="A2330" s="49">
        <v>45261</v>
      </c>
      <c r="D2330" t="s">
        <v>7355</v>
      </c>
      <c r="E2330">
        <v>1</v>
      </c>
      <c r="F2330" t="str">
        <f t="shared" si="145"/>
        <v>sep</v>
      </c>
      <c r="G2330">
        <v>20</v>
      </c>
      <c r="H2330">
        <v>23</v>
      </c>
      <c r="I2330" t="str">
        <f t="shared" si="144"/>
        <v>1-sep-2023</v>
      </c>
      <c r="K2330" s="49">
        <f t="shared" si="146"/>
        <v>45170</v>
      </c>
      <c r="M2330" t="b">
        <f t="shared" si="147"/>
        <v>1</v>
      </c>
    </row>
    <row r="2331" spans="1:13" x14ac:dyDescent="0.3">
      <c r="A2331" s="49">
        <v>45261</v>
      </c>
      <c r="D2331" t="s">
        <v>7360</v>
      </c>
      <c r="E2331">
        <v>1</v>
      </c>
      <c r="F2331" t="str">
        <f t="shared" si="145"/>
        <v>nov</v>
      </c>
      <c r="G2331">
        <v>20</v>
      </c>
      <c r="H2331">
        <v>16</v>
      </c>
      <c r="I2331" t="str">
        <f t="shared" si="144"/>
        <v>1-nov-2016</v>
      </c>
      <c r="K2331" s="49">
        <f t="shared" si="146"/>
        <v>42675</v>
      </c>
      <c r="M2331" t="b">
        <f t="shared" si="147"/>
        <v>1</v>
      </c>
    </row>
    <row r="2332" spans="1:13" x14ac:dyDescent="0.3">
      <c r="A2332" s="49">
        <v>45261</v>
      </c>
      <c r="D2332" t="s">
        <v>7357</v>
      </c>
      <c r="E2332">
        <v>1</v>
      </c>
      <c r="F2332" t="str">
        <f t="shared" si="145"/>
        <v>oct</v>
      </c>
      <c r="G2332">
        <v>20</v>
      </c>
      <c r="H2332">
        <v>23</v>
      </c>
      <c r="I2332" t="str">
        <f t="shared" si="144"/>
        <v>1-oct-2023</v>
      </c>
      <c r="K2332" s="49">
        <f t="shared" si="146"/>
        <v>45200</v>
      </c>
      <c r="M2332" t="b">
        <f t="shared" si="147"/>
        <v>1</v>
      </c>
    </row>
    <row r="2333" spans="1:13" x14ac:dyDescent="0.3">
      <c r="A2333" s="49">
        <v>45261</v>
      </c>
      <c r="D2333" t="s">
        <v>7369</v>
      </c>
      <c r="E2333">
        <v>1</v>
      </c>
      <c r="F2333" t="str">
        <f t="shared" si="145"/>
        <v>abr</v>
      </c>
      <c r="G2333">
        <v>20</v>
      </c>
      <c r="H2333">
        <v>25</v>
      </c>
      <c r="I2333" t="str">
        <f t="shared" si="144"/>
        <v>1-abr-2025</v>
      </c>
      <c r="K2333" s="49">
        <f t="shared" si="146"/>
        <v>45748</v>
      </c>
      <c r="M2333" t="b">
        <f t="shared" si="147"/>
        <v>0</v>
      </c>
    </row>
    <row r="2334" spans="1:13" x14ac:dyDescent="0.3">
      <c r="A2334" s="49">
        <v>45261</v>
      </c>
      <c r="D2334" t="s">
        <v>7367</v>
      </c>
      <c r="E2334">
        <v>1</v>
      </c>
      <c r="F2334" t="str">
        <f t="shared" si="145"/>
        <v>jun</v>
      </c>
      <c r="G2334">
        <v>20</v>
      </c>
      <c r="H2334">
        <v>23</v>
      </c>
      <c r="I2334" t="str">
        <f t="shared" si="144"/>
        <v>1-jun-2023</v>
      </c>
      <c r="K2334" s="49">
        <f t="shared" si="146"/>
        <v>45078</v>
      </c>
      <c r="M2334" t="b">
        <f t="shared" si="147"/>
        <v>1</v>
      </c>
    </row>
    <row r="2335" spans="1:13" x14ac:dyDescent="0.3">
      <c r="A2335" s="49">
        <v>45261</v>
      </c>
      <c r="D2335" t="s">
        <v>7363</v>
      </c>
      <c r="E2335">
        <v>1</v>
      </c>
      <c r="F2335" t="str">
        <f t="shared" si="145"/>
        <v>feb</v>
      </c>
      <c r="G2335">
        <v>20</v>
      </c>
      <c r="H2335">
        <v>22</v>
      </c>
      <c r="I2335" t="str">
        <f t="shared" si="144"/>
        <v>1-feb-2022</v>
      </c>
      <c r="K2335" s="49">
        <f t="shared" si="146"/>
        <v>44593</v>
      </c>
      <c r="M2335" t="b">
        <f t="shared" si="147"/>
        <v>1</v>
      </c>
    </row>
    <row r="2336" spans="1:13" x14ac:dyDescent="0.3">
      <c r="A2336" s="49">
        <v>45261</v>
      </c>
      <c r="D2336" t="s">
        <v>7367</v>
      </c>
      <c r="E2336">
        <v>1</v>
      </c>
      <c r="F2336" t="str">
        <f t="shared" si="145"/>
        <v>jun</v>
      </c>
      <c r="G2336">
        <v>20</v>
      </c>
      <c r="H2336">
        <v>21</v>
      </c>
      <c r="I2336" t="str">
        <f t="shared" si="144"/>
        <v>1-jun-2021</v>
      </c>
      <c r="K2336" s="49">
        <f t="shared" si="146"/>
        <v>44348</v>
      </c>
      <c r="M2336" t="b">
        <f t="shared" si="147"/>
        <v>1</v>
      </c>
    </row>
    <row r="2337" spans="1:13" x14ac:dyDescent="0.3">
      <c r="A2337" s="49">
        <v>45261</v>
      </c>
      <c r="D2337" t="s">
        <v>7367</v>
      </c>
      <c r="E2337">
        <v>1</v>
      </c>
      <c r="F2337" t="str">
        <f t="shared" si="145"/>
        <v>jun</v>
      </c>
      <c r="G2337">
        <v>20</v>
      </c>
      <c r="H2337">
        <v>22</v>
      </c>
      <c r="I2337" t="str">
        <f t="shared" si="144"/>
        <v>1-jun-2022</v>
      </c>
      <c r="K2337" s="49">
        <f t="shared" si="146"/>
        <v>44713</v>
      </c>
      <c r="M2337" t="b">
        <f t="shared" si="147"/>
        <v>1</v>
      </c>
    </row>
    <row r="2338" spans="1:13" x14ac:dyDescent="0.3">
      <c r="A2338" s="49">
        <v>45261</v>
      </c>
      <c r="D2338" t="s">
        <v>7356</v>
      </c>
      <c r="E2338">
        <v>1</v>
      </c>
      <c r="F2338" t="str">
        <f t="shared" si="145"/>
        <v>ene</v>
      </c>
      <c r="G2338">
        <v>20</v>
      </c>
      <c r="H2338">
        <v>25</v>
      </c>
      <c r="I2338" t="str">
        <f t="shared" si="144"/>
        <v>1-ene-2025</v>
      </c>
      <c r="K2338" s="49">
        <f t="shared" si="146"/>
        <v>45658</v>
      </c>
      <c r="M2338" t="b">
        <f t="shared" si="147"/>
        <v>0</v>
      </c>
    </row>
    <row r="2339" spans="1:13" x14ac:dyDescent="0.3">
      <c r="A2339" s="49">
        <v>45261</v>
      </c>
      <c r="D2339" t="s">
        <v>7360</v>
      </c>
      <c r="E2339">
        <v>1</v>
      </c>
      <c r="F2339" t="str">
        <f t="shared" si="145"/>
        <v>nov</v>
      </c>
      <c r="G2339">
        <v>20</v>
      </c>
      <c r="H2339">
        <v>22</v>
      </c>
      <c r="I2339" t="str">
        <f t="shared" si="144"/>
        <v>1-nov-2022</v>
      </c>
      <c r="K2339" s="49">
        <f t="shared" si="146"/>
        <v>44866</v>
      </c>
      <c r="M2339" t="b">
        <f t="shared" si="147"/>
        <v>1</v>
      </c>
    </row>
    <row r="2340" spans="1:13" x14ac:dyDescent="0.3">
      <c r="A2340" s="49">
        <v>45261</v>
      </c>
      <c r="D2340" t="s">
        <v>7367</v>
      </c>
      <c r="E2340">
        <v>1</v>
      </c>
      <c r="F2340" t="str">
        <f t="shared" si="145"/>
        <v>jun</v>
      </c>
      <c r="G2340">
        <v>20</v>
      </c>
      <c r="H2340">
        <v>23</v>
      </c>
      <c r="I2340" t="str">
        <f t="shared" si="144"/>
        <v>1-jun-2023</v>
      </c>
      <c r="K2340" s="49">
        <f t="shared" si="146"/>
        <v>45078</v>
      </c>
      <c r="M2340" t="b">
        <f t="shared" si="147"/>
        <v>1</v>
      </c>
    </row>
    <row r="2341" spans="1:13" x14ac:dyDescent="0.3">
      <c r="A2341" s="49">
        <v>45261</v>
      </c>
      <c r="D2341" t="s">
        <v>7369</v>
      </c>
      <c r="E2341">
        <v>1</v>
      </c>
      <c r="F2341" t="str">
        <f t="shared" si="145"/>
        <v>abr</v>
      </c>
      <c r="G2341">
        <v>20</v>
      </c>
      <c r="H2341">
        <v>20</v>
      </c>
      <c r="I2341" t="str">
        <f t="shared" si="144"/>
        <v>1-abr-2020</v>
      </c>
      <c r="K2341" s="49">
        <f t="shared" si="146"/>
        <v>43922</v>
      </c>
      <c r="M2341" t="b">
        <f t="shared" si="147"/>
        <v>1</v>
      </c>
    </row>
    <row r="2342" spans="1:13" x14ac:dyDescent="0.3">
      <c r="A2342" s="49">
        <v>45261</v>
      </c>
      <c r="D2342" t="s">
        <v>7370</v>
      </c>
      <c r="E2342">
        <v>1</v>
      </c>
      <c r="F2342" t="str">
        <f t="shared" si="145"/>
        <v>may</v>
      </c>
      <c r="G2342">
        <v>20</v>
      </c>
      <c r="H2342">
        <v>20</v>
      </c>
      <c r="I2342" t="str">
        <f t="shared" si="144"/>
        <v>1-may-2020</v>
      </c>
      <c r="K2342" s="49">
        <f t="shared" si="146"/>
        <v>43952</v>
      </c>
      <c r="M2342" t="b">
        <f t="shared" si="147"/>
        <v>1</v>
      </c>
    </row>
    <row r="2343" spans="1:13" x14ac:dyDescent="0.3">
      <c r="A2343" s="49">
        <v>45261</v>
      </c>
      <c r="D2343" t="s">
        <v>7368</v>
      </c>
      <c r="E2343">
        <v>1</v>
      </c>
      <c r="F2343" t="str">
        <f t="shared" si="145"/>
        <v>mar</v>
      </c>
      <c r="G2343">
        <v>20</v>
      </c>
      <c r="H2343">
        <v>23</v>
      </c>
      <c r="I2343" t="str">
        <f t="shared" si="144"/>
        <v>1-mar-2023</v>
      </c>
      <c r="K2343" s="49">
        <f t="shared" si="146"/>
        <v>44986</v>
      </c>
      <c r="M2343" t="b">
        <f t="shared" si="147"/>
        <v>1</v>
      </c>
    </row>
    <row r="2344" spans="1:13" x14ac:dyDescent="0.3">
      <c r="A2344" s="49">
        <v>45261</v>
      </c>
      <c r="D2344" t="s">
        <v>7359</v>
      </c>
      <c r="E2344">
        <v>1</v>
      </c>
      <c r="F2344" t="str">
        <f t="shared" si="145"/>
        <v>jul</v>
      </c>
      <c r="G2344">
        <v>20</v>
      </c>
      <c r="H2344">
        <v>23</v>
      </c>
      <c r="I2344" t="str">
        <f t="shared" si="144"/>
        <v>1-jul-2023</v>
      </c>
      <c r="K2344" s="49">
        <f t="shared" si="146"/>
        <v>45108</v>
      </c>
      <c r="M2344" t="b">
        <f t="shared" si="147"/>
        <v>1</v>
      </c>
    </row>
    <row r="2345" spans="1:13" x14ac:dyDescent="0.3">
      <c r="A2345" s="49">
        <v>45261</v>
      </c>
      <c r="D2345" t="s">
        <v>7359</v>
      </c>
      <c r="E2345">
        <v>1</v>
      </c>
      <c r="F2345" t="str">
        <f t="shared" si="145"/>
        <v>jul</v>
      </c>
      <c r="G2345">
        <v>20</v>
      </c>
      <c r="H2345">
        <v>21</v>
      </c>
      <c r="I2345" t="str">
        <f t="shared" si="144"/>
        <v>1-jul-2021</v>
      </c>
      <c r="K2345" s="49">
        <f t="shared" si="146"/>
        <v>44378</v>
      </c>
      <c r="M2345" t="b">
        <f t="shared" si="147"/>
        <v>1</v>
      </c>
    </row>
    <row r="2346" spans="1:13" x14ac:dyDescent="0.3">
      <c r="A2346" s="49">
        <v>45261</v>
      </c>
      <c r="D2346" t="s">
        <v>7357</v>
      </c>
      <c r="E2346">
        <v>1</v>
      </c>
      <c r="F2346" t="str">
        <f t="shared" si="145"/>
        <v>oct</v>
      </c>
      <c r="G2346">
        <v>20</v>
      </c>
      <c r="H2346">
        <v>23</v>
      </c>
      <c r="I2346" t="str">
        <f t="shared" si="144"/>
        <v>1-oct-2023</v>
      </c>
      <c r="K2346" s="49">
        <f t="shared" si="146"/>
        <v>45200</v>
      </c>
      <c r="M2346" t="b">
        <f t="shared" si="147"/>
        <v>1</v>
      </c>
    </row>
    <row r="2347" spans="1:13" x14ac:dyDescent="0.3">
      <c r="A2347" s="49">
        <v>45261</v>
      </c>
      <c r="D2347" t="s">
        <v>7370</v>
      </c>
      <c r="E2347">
        <v>1</v>
      </c>
      <c r="F2347" t="str">
        <f t="shared" si="145"/>
        <v>may</v>
      </c>
      <c r="G2347">
        <v>20</v>
      </c>
      <c r="H2347">
        <v>17</v>
      </c>
      <c r="I2347" t="str">
        <f t="shared" si="144"/>
        <v>1-may-2017</v>
      </c>
      <c r="K2347" s="49">
        <f t="shared" si="146"/>
        <v>42856</v>
      </c>
      <c r="M2347" t="b">
        <f t="shared" si="147"/>
        <v>1</v>
      </c>
    </row>
    <row r="2348" spans="1:13" x14ac:dyDescent="0.3">
      <c r="A2348" s="49">
        <v>45261</v>
      </c>
      <c r="D2348" t="s">
        <v>7370</v>
      </c>
      <c r="E2348">
        <v>1</v>
      </c>
      <c r="F2348" t="str">
        <f t="shared" si="145"/>
        <v>may</v>
      </c>
      <c r="G2348">
        <v>20</v>
      </c>
      <c r="H2348">
        <v>17</v>
      </c>
      <c r="I2348" t="str">
        <f t="shared" si="144"/>
        <v>1-may-2017</v>
      </c>
      <c r="K2348" s="49">
        <f t="shared" si="146"/>
        <v>42856</v>
      </c>
      <c r="M2348" t="b">
        <f t="shared" si="147"/>
        <v>1</v>
      </c>
    </row>
    <row r="2349" spans="1:13" x14ac:dyDescent="0.3">
      <c r="A2349" s="49">
        <v>45261</v>
      </c>
      <c r="D2349" t="s">
        <v>7370</v>
      </c>
      <c r="E2349">
        <v>1</v>
      </c>
      <c r="F2349" t="str">
        <f t="shared" si="145"/>
        <v>may</v>
      </c>
      <c r="G2349">
        <v>20</v>
      </c>
      <c r="H2349">
        <v>17</v>
      </c>
      <c r="I2349" t="str">
        <f t="shared" si="144"/>
        <v>1-may-2017</v>
      </c>
      <c r="K2349" s="49">
        <f t="shared" si="146"/>
        <v>42856</v>
      </c>
      <c r="M2349" t="b">
        <f t="shared" si="147"/>
        <v>1</v>
      </c>
    </row>
    <row r="2350" spans="1:13" x14ac:dyDescent="0.3">
      <c r="A2350" s="49">
        <v>45261</v>
      </c>
      <c r="D2350" t="s">
        <v>7367</v>
      </c>
      <c r="E2350">
        <v>1</v>
      </c>
      <c r="F2350" t="str">
        <f t="shared" si="145"/>
        <v>jun</v>
      </c>
      <c r="G2350">
        <v>20</v>
      </c>
      <c r="H2350">
        <v>21</v>
      </c>
      <c r="I2350" t="str">
        <f t="shared" si="144"/>
        <v>1-jun-2021</v>
      </c>
      <c r="K2350" s="49">
        <f t="shared" si="146"/>
        <v>44348</v>
      </c>
      <c r="M2350" t="b">
        <f t="shared" si="147"/>
        <v>1</v>
      </c>
    </row>
    <row r="2351" spans="1:13" x14ac:dyDescent="0.3">
      <c r="A2351" s="49">
        <v>45261</v>
      </c>
      <c r="D2351" t="s">
        <v>7370</v>
      </c>
      <c r="E2351">
        <v>1</v>
      </c>
      <c r="F2351" t="str">
        <f t="shared" si="145"/>
        <v>may</v>
      </c>
      <c r="G2351">
        <v>20</v>
      </c>
      <c r="H2351">
        <v>21</v>
      </c>
      <c r="I2351" t="str">
        <f t="shared" si="144"/>
        <v>1-may-2021</v>
      </c>
      <c r="K2351" s="49">
        <f t="shared" si="146"/>
        <v>44317</v>
      </c>
      <c r="M2351" t="b">
        <f t="shared" si="147"/>
        <v>1</v>
      </c>
    </row>
    <row r="2352" spans="1:13" x14ac:dyDescent="0.3">
      <c r="A2352" s="49">
        <v>45261</v>
      </c>
      <c r="D2352" t="s">
        <v>7360</v>
      </c>
      <c r="E2352">
        <v>1</v>
      </c>
      <c r="F2352" t="str">
        <f t="shared" si="145"/>
        <v>nov</v>
      </c>
      <c r="G2352">
        <v>20</v>
      </c>
      <c r="H2352">
        <v>19</v>
      </c>
      <c r="I2352" t="str">
        <f t="shared" si="144"/>
        <v>1-nov-2019</v>
      </c>
      <c r="K2352" s="49">
        <f t="shared" si="146"/>
        <v>43770</v>
      </c>
      <c r="M2352" t="b">
        <f t="shared" si="147"/>
        <v>1</v>
      </c>
    </row>
    <row r="2353" spans="1:13" x14ac:dyDescent="0.3">
      <c r="A2353" s="49">
        <v>45261</v>
      </c>
      <c r="D2353" t="s">
        <v>7370</v>
      </c>
      <c r="E2353">
        <v>1</v>
      </c>
      <c r="F2353" t="str">
        <f t="shared" si="145"/>
        <v>may</v>
      </c>
      <c r="G2353">
        <v>20</v>
      </c>
      <c r="H2353">
        <v>23</v>
      </c>
      <c r="I2353" t="str">
        <f t="shared" si="144"/>
        <v>1-may-2023</v>
      </c>
      <c r="K2353" s="49">
        <f t="shared" si="146"/>
        <v>45047</v>
      </c>
      <c r="M2353" t="b">
        <f t="shared" si="147"/>
        <v>1</v>
      </c>
    </row>
    <row r="2354" spans="1:13" x14ac:dyDescent="0.3">
      <c r="A2354" s="49">
        <v>45261</v>
      </c>
      <c r="D2354" t="s">
        <v>7370</v>
      </c>
      <c r="E2354">
        <v>1</v>
      </c>
      <c r="F2354" t="str">
        <f t="shared" si="145"/>
        <v>may</v>
      </c>
      <c r="G2354">
        <v>20</v>
      </c>
      <c r="H2354">
        <v>23</v>
      </c>
      <c r="I2354" t="str">
        <f t="shared" si="144"/>
        <v>1-may-2023</v>
      </c>
      <c r="K2354" s="49">
        <f t="shared" si="146"/>
        <v>45047</v>
      </c>
      <c r="M2354" t="b">
        <f t="shared" si="147"/>
        <v>1</v>
      </c>
    </row>
    <row r="2355" spans="1:13" x14ac:dyDescent="0.3">
      <c r="A2355" s="49">
        <v>45261</v>
      </c>
      <c r="D2355" t="s">
        <v>7362</v>
      </c>
      <c r="E2355">
        <v>1</v>
      </c>
      <c r="F2355" t="str">
        <f t="shared" si="145"/>
        <v>ago</v>
      </c>
      <c r="G2355">
        <v>20</v>
      </c>
      <c r="H2355">
        <v>23</v>
      </c>
      <c r="I2355" t="str">
        <f t="shared" si="144"/>
        <v>1-ago-2023</v>
      </c>
      <c r="K2355" s="49">
        <f t="shared" si="146"/>
        <v>45139</v>
      </c>
      <c r="M2355" t="b">
        <f t="shared" si="147"/>
        <v>1</v>
      </c>
    </row>
    <row r="2356" spans="1:13" x14ac:dyDescent="0.3">
      <c r="A2356" s="49">
        <v>45261</v>
      </c>
      <c r="D2356" t="s">
        <v>7357</v>
      </c>
      <c r="E2356">
        <v>1</v>
      </c>
      <c r="F2356" t="str">
        <f t="shared" si="145"/>
        <v>oct</v>
      </c>
      <c r="G2356">
        <v>20</v>
      </c>
      <c r="H2356">
        <v>23</v>
      </c>
      <c r="I2356" t="str">
        <f t="shared" si="144"/>
        <v>1-oct-2023</v>
      </c>
      <c r="K2356" s="49">
        <f t="shared" si="146"/>
        <v>45200</v>
      </c>
      <c r="M2356" t="b">
        <f t="shared" si="147"/>
        <v>1</v>
      </c>
    </row>
    <row r="2357" spans="1:13" x14ac:dyDescent="0.3">
      <c r="A2357" s="49">
        <v>45261</v>
      </c>
      <c r="D2357" t="s">
        <v>7368</v>
      </c>
      <c r="E2357">
        <v>1</v>
      </c>
      <c r="F2357" t="str">
        <f t="shared" si="145"/>
        <v>mar</v>
      </c>
      <c r="G2357">
        <v>20</v>
      </c>
      <c r="H2357">
        <v>24</v>
      </c>
      <c r="I2357" t="str">
        <f t="shared" si="144"/>
        <v>1-mar-2024</v>
      </c>
      <c r="K2357" s="49">
        <f t="shared" si="146"/>
        <v>45352</v>
      </c>
      <c r="M2357" t="b">
        <f t="shared" si="147"/>
        <v>0</v>
      </c>
    </row>
    <row r="2358" spans="1:13" x14ac:dyDescent="0.3">
      <c r="A2358" s="49">
        <v>45261</v>
      </c>
      <c r="D2358" t="s">
        <v>7357</v>
      </c>
      <c r="E2358">
        <v>1</v>
      </c>
      <c r="F2358" t="str">
        <f t="shared" si="145"/>
        <v>oct</v>
      </c>
      <c r="G2358">
        <v>20</v>
      </c>
      <c r="H2358">
        <v>23</v>
      </c>
      <c r="I2358" t="str">
        <f t="shared" si="144"/>
        <v>1-oct-2023</v>
      </c>
      <c r="K2358" s="49">
        <f t="shared" si="146"/>
        <v>45200</v>
      </c>
      <c r="M2358" t="b">
        <f t="shared" si="147"/>
        <v>1</v>
      </c>
    </row>
    <row r="2359" spans="1:13" x14ac:dyDescent="0.3">
      <c r="A2359" s="49">
        <v>45261</v>
      </c>
      <c r="D2359" t="s">
        <v>7369</v>
      </c>
      <c r="E2359">
        <v>1</v>
      </c>
      <c r="F2359" t="str">
        <f t="shared" si="145"/>
        <v>abr</v>
      </c>
      <c r="G2359">
        <v>20</v>
      </c>
      <c r="H2359">
        <v>23</v>
      </c>
      <c r="I2359" t="str">
        <f t="shared" si="144"/>
        <v>1-abr-2023</v>
      </c>
      <c r="K2359" s="49">
        <f t="shared" si="146"/>
        <v>45017</v>
      </c>
      <c r="M2359" t="b">
        <f t="shared" si="147"/>
        <v>1</v>
      </c>
    </row>
    <row r="2360" spans="1:13" x14ac:dyDescent="0.3">
      <c r="A2360" s="49">
        <v>45261</v>
      </c>
      <c r="D2360" t="s">
        <v>7355</v>
      </c>
      <c r="E2360">
        <v>1</v>
      </c>
      <c r="F2360" t="str">
        <f t="shared" si="145"/>
        <v>sep</v>
      </c>
      <c r="G2360">
        <v>20</v>
      </c>
      <c r="H2360">
        <v>23</v>
      </c>
      <c r="I2360" t="str">
        <f t="shared" si="144"/>
        <v>1-sep-2023</v>
      </c>
      <c r="K2360" s="49">
        <f t="shared" si="146"/>
        <v>45170</v>
      </c>
      <c r="M2360" t="b">
        <f t="shared" si="147"/>
        <v>1</v>
      </c>
    </row>
    <row r="2361" spans="1:13" x14ac:dyDescent="0.3">
      <c r="A2361" s="49">
        <v>45261</v>
      </c>
      <c r="D2361" t="s">
        <v>7363</v>
      </c>
      <c r="E2361">
        <v>1</v>
      </c>
      <c r="F2361" t="str">
        <f t="shared" si="145"/>
        <v>feb</v>
      </c>
      <c r="G2361">
        <v>20</v>
      </c>
      <c r="H2361">
        <v>20</v>
      </c>
      <c r="I2361" t="str">
        <f t="shared" si="144"/>
        <v>1-feb-2020</v>
      </c>
      <c r="K2361" s="49">
        <f t="shared" si="146"/>
        <v>43862</v>
      </c>
      <c r="M2361" t="b">
        <f t="shared" si="147"/>
        <v>1</v>
      </c>
    </row>
    <row r="2362" spans="1:13" x14ac:dyDescent="0.3">
      <c r="A2362" s="49">
        <v>45261</v>
      </c>
      <c r="D2362" t="s">
        <v>7370</v>
      </c>
      <c r="E2362">
        <v>1</v>
      </c>
      <c r="F2362" t="str">
        <f t="shared" si="145"/>
        <v>may</v>
      </c>
      <c r="G2362">
        <v>20</v>
      </c>
      <c r="H2362">
        <v>20</v>
      </c>
      <c r="I2362" t="str">
        <f t="shared" si="144"/>
        <v>1-may-2020</v>
      </c>
      <c r="K2362" s="49">
        <f t="shared" si="146"/>
        <v>43952</v>
      </c>
      <c r="M2362" t="b">
        <f t="shared" si="147"/>
        <v>1</v>
      </c>
    </row>
    <row r="2363" spans="1:13" x14ac:dyDescent="0.3">
      <c r="A2363" s="49">
        <v>45261</v>
      </c>
      <c r="D2363" t="s">
        <v>7362</v>
      </c>
      <c r="E2363">
        <v>1</v>
      </c>
      <c r="F2363" t="str">
        <f t="shared" si="145"/>
        <v>ago</v>
      </c>
      <c r="G2363">
        <v>20</v>
      </c>
      <c r="H2363">
        <v>21</v>
      </c>
      <c r="I2363" t="str">
        <f t="shared" si="144"/>
        <v>1-ago-2021</v>
      </c>
      <c r="K2363" s="49">
        <f t="shared" si="146"/>
        <v>44409</v>
      </c>
      <c r="M2363" t="b">
        <f t="shared" si="147"/>
        <v>1</v>
      </c>
    </row>
    <row r="2364" spans="1:13" x14ac:dyDescent="0.3">
      <c r="A2364" s="49">
        <v>45261</v>
      </c>
      <c r="D2364" t="s">
        <v>7357</v>
      </c>
      <c r="E2364">
        <v>1</v>
      </c>
      <c r="F2364" t="str">
        <f t="shared" si="145"/>
        <v>oct</v>
      </c>
      <c r="G2364">
        <v>20</v>
      </c>
      <c r="H2364">
        <v>17</v>
      </c>
      <c r="I2364" t="str">
        <f t="shared" si="144"/>
        <v>1-oct-2017</v>
      </c>
      <c r="K2364" s="49">
        <f t="shared" si="146"/>
        <v>43009</v>
      </c>
      <c r="M2364" t="b">
        <f t="shared" si="147"/>
        <v>1</v>
      </c>
    </row>
    <row r="2365" spans="1:13" x14ac:dyDescent="0.3">
      <c r="A2365" s="49">
        <v>45261</v>
      </c>
      <c r="D2365" t="s">
        <v>7363</v>
      </c>
      <c r="E2365">
        <v>1</v>
      </c>
      <c r="F2365" t="str">
        <f t="shared" si="145"/>
        <v>feb</v>
      </c>
      <c r="G2365">
        <v>20</v>
      </c>
      <c r="H2365">
        <v>23</v>
      </c>
      <c r="I2365" t="str">
        <f t="shared" si="144"/>
        <v>1-feb-2023</v>
      </c>
      <c r="K2365" s="49">
        <f t="shared" si="146"/>
        <v>44958</v>
      </c>
      <c r="M2365" t="b">
        <f t="shared" si="147"/>
        <v>1</v>
      </c>
    </row>
    <row r="2366" spans="1:13" x14ac:dyDescent="0.3">
      <c r="A2366" s="49">
        <v>45261</v>
      </c>
      <c r="D2366" t="s">
        <v>7355</v>
      </c>
      <c r="E2366">
        <v>1</v>
      </c>
      <c r="F2366" t="str">
        <f t="shared" si="145"/>
        <v>sep</v>
      </c>
      <c r="G2366">
        <v>20</v>
      </c>
      <c r="H2366">
        <v>24</v>
      </c>
      <c r="I2366" t="str">
        <f t="shared" si="144"/>
        <v>1-sep-2024</v>
      </c>
      <c r="K2366" s="49">
        <f t="shared" si="146"/>
        <v>45536</v>
      </c>
      <c r="M2366" t="b">
        <f t="shared" si="147"/>
        <v>0</v>
      </c>
    </row>
    <row r="2367" spans="1:13" x14ac:dyDescent="0.3">
      <c r="A2367" s="49">
        <v>45261</v>
      </c>
      <c r="D2367" t="s">
        <v>7362</v>
      </c>
      <c r="E2367">
        <v>1</v>
      </c>
      <c r="F2367" t="str">
        <f t="shared" si="145"/>
        <v>ago</v>
      </c>
      <c r="G2367">
        <v>20</v>
      </c>
      <c r="H2367">
        <v>23</v>
      </c>
      <c r="I2367" t="str">
        <f t="shared" si="144"/>
        <v>1-ago-2023</v>
      </c>
      <c r="K2367" s="49">
        <f t="shared" si="146"/>
        <v>45139</v>
      </c>
      <c r="M2367" t="b">
        <f t="shared" si="147"/>
        <v>1</v>
      </c>
    </row>
    <row r="2368" spans="1:13" x14ac:dyDescent="0.3">
      <c r="A2368" s="49">
        <v>45261</v>
      </c>
      <c r="D2368" t="s">
        <v>7359</v>
      </c>
      <c r="E2368">
        <v>1</v>
      </c>
      <c r="F2368" t="str">
        <f t="shared" si="145"/>
        <v>jul</v>
      </c>
      <c r="G2368">
        <v>20</v>
      </c>
      <c r="H2368">
        <v>16</v>
      </c>
      <c r="I2368" t="str">
        <f t="shared" si="144"/>
        <v>1-jul-2016</v>
      </c>
      <c r="K2368" s="49">
        <f t="shared" si="146"/>
        <v>42552</v>
      </c>
      <c r="M2368" t="b">
        <f t="shared" si="147"/>
        <v>1</v>
      </c>
    </row>
    <row r="2369" spans="1:13" x14ac:dyDescent="0.3">
      <c r="A2369" s="49">
        <v>45261</v>
      </c>
      <c r="D2369" t="s">
        <v>7368</v>
      </c>
      <c r="E2369">
        <v>1</v>
      </c>
      <c r="F2369" t="str">
        <f t="shared" si="145"/>
        <v>mar</v>
      </c>
      <c r="G2369">
        <v>20</v>
      </c>
      <c r="H2369">
        <v>23</v>
      </c>
      <c r="I2369" t="str">
        <f t="shared" ref="I2369:I2432" si="148">_xlfn.CONCAT(E2369,"-",F2369,"-",G2369,H2369)</f>
        <v>1-mar-2023</v>
      </c>
      <c r="K2369" s="49">
        <f t="shared" si="146"/>
        <v>44986</v>
      </c>
      <c r="M2369" t="b">
        <f t="shared" si="147"/>
        <v>1</v>
      </c>
    </row>
    <row r="2370" spans="1:13" x14ac:dyDescent="0.3">
      <c r="A2370" s="49">
        <v>45261</v>
      </c>
      <c r="D2370" t="s">
        <v>7360</v>
      </c>
      <c r="E2370">
        <v>1</v>
      </c>
      <c r="F2370" t="str">
        <f t="shared" ref="F2370:F2433" si="149">LOWER(D2370)</f>
        <v>nov</v>
      </c>
      <c r="G2370">
        <v>20</v>
      </c>
      <c r="H2370">
        <v>24</v>
      </c>
      <c r="I2370" t="str">
        <f t="shared" si="148"/>
        <v>1-nov-2024</v>
      </c>
      <c r="K2370" s="49">
        <f t="shared" ref="K2370:K2433" si="150">DATEVALUE(I2370)</f>
        <v>45597</v>
      </c>
      <c r="M2370" t="b">
        <f t="shared" si="147"/>
        <v>0</v>
      </c>
    </row>
    <row r="2371" spans="1:13" x14ac:dyDescent="0.3">
      <c r="A2371" s="49">
        <v>45261</v>
      </c>
      <c r="D2371" t="s">
        <v>7359</v>
      </c>
      <c r="E2371">
        <v>1</v>
      </c>
      <c r="F2371" t="str">
        <f t="shared" si="149"/>
        <v>jul</v>
      </c>
      <c r="G2371">
        <v>20</v>
      </c>
      <c r="H2371">
        <v>16</v>
      </c>
      <c r="I2371" t="str">
        <f t="shared" si="148"/>
        <v>1-jul-2016</v>
      </c>
      <c r="K2371" s="49">
        <f t="shared" si="150"/>
        <v>42552</v>
      </c>
      <c r="M2371" t="b">
        <f t="shared" ref="M2371:M2434" si="151">K2371&lt;A2371</f>
        <v>1</v>
      </c>
    </row>
    <row r="2372" spans="1:13" x14ac:dyDescent="0.3">
      <c r="A2372" s="49">
        <v>45261</v>
      </c>
      <c r="D2372" t="s">
        <v>7367</v>
      </c>
      <c r="E2372">
        <v>1</v>
      </c>
      <c r="F2372" t="str">
        <f t="shared" si="149"/>
        <v>jun</v>
      </c>
      <c r="G2372">
        <v>20</v>
      </c>
      <c r="H2372">
        <v>21</v>
      </c>
      <c r="I2372" t="str">
        <f t="shared" si="148"/>
        <v>1-jun-2021</v>
      </c>
      <c r="K2372" s="49">
        <f t="shared" si="150"/>
        <v>44348</v>
      </c>
      <c r="M2372" t="b">
        <f t="shared" si="151"/>
        <v>1</v>
      </c>
    </row>
    <row r="2373" spans="1:13" x14ac:dyDescent="0.3">
      <c r="A2373" s="49">
        <v>45261</v>
      </c>
      <c r="D2373" t="s">
        <v>7355</v>
      </c>
      <c r="E2373">
        <v>1</v>
      </c>
      <c r="F2373" t="str">
        <f t="shared" si="149"/>
        <v>sep</v>
      </c>
      <c r="G2373">
        <v>20</v>
      </c>
      <c r="H2373">
        <v>23</v>
      </c>
      <c r="I2373" t="str">
        <f t="shared" si="148"/>
        <v>1-sep-2023</v>
      </c>
      <c r="K2373" s="49">
        <f t="shared" si="150"/>
        <v>45170</v>
      </c>
      <c r="M2373" t="b">
        <f t="shared" si="151"/>
        <v>1</v>
      </c>
    </row>
    <row r="2374" spans="1:13" x14ac:dyDescent="0.3">
      <c r="A2374" s="49">
        <v>45261</v>
      </c>
      <c r="D2374" t="s">
        <v>7356</v>
      </c>
      <c r="E2374">
        <v>1</v>
      </c>
      <c r="F2374" t="str">
        <f t="shared" si="149"/>
        <v>ene</v>
      </c>
      <c r="G2374">
        <v>20</v>
      </c>
      <c r="H2374">
        <v>23</v>
      </c>
      <c r="I2374" t="str">
        <f t="shared" si="148"/>
        <v>1-ene-2023</v>
      </c>
      <c r="K2374" s="49">
        <f t="shared" si="150"/>
        <v>44927</v>
      </c>
      <c r="M2374" t="b">
        <f t="shared" si="151"/>
        <v>1</v>
      </c>
    </row>
    <row r="2375" spans="1:13" x14ac:dyDescent="0.3">
      <c r="A2375" s="49">
        <v>45261</v>
      </c>
      <c r="D2375" t="s">
        <v>7356</v>
      </c>
      <c r="E2375">
        <v>1</v>
      </c>
      <c r="F2375" t="str">
        <f t="shared" si="149"/>
        <v>ene</v>
      </c>
      <c r="G2375">
        <v>20</v>
      </c>
      <c r="H2375">
        <v>23</v>
      </c>
      <c r="I2375" t="str">
        <f t="shared" si="148"/>
        <v>1-ene-2023</v>
      </c>
      <c r="K2375" s="49">
        <f t="shared" si="150"/>
        <v>44927</v>
      </c>
      <c r="M2375" t="b">
        <f t="shared" si="151"/>
        <v>1</v>
      </c>
    </row>
    <row r="2376" spans="1:13" x14ac:dyDescent="0.3">
      <c r="A2376" s="49">
        <v>45261</v>
      </c>
      <c r="D2376" t="s">
        <v>7369</v>
      </c>
      <c r="E2376">
        <v>1</v>
      </c>
      <c r="F2376" t="str">
        <f t="shared" si="149"/>
        <v>abr</v>
      </c>
      <c r="G2376">
        <v>20</v>
      </c>
      <c r="H2376">
        <v>23</v>
      </c>
      <c r="I2376" t="str">
        <f t="shared" si="148"/>
        <v>1-abr-2023</v>
      </c>
      <c r="K2376" s="49">
        <f t="shared" si="150"/>
        <v>45017</v>
      </c>
      <c r="M2376" t="b">
        <f t="shared" si="151"/>
        <v>1</v>
      </c>
    </row>
    <row r="2377" spans="1:13" x14ac:dyDescent="0.3">
      <c r="A2377" s="49">
        <v>45261</v>
      </c>
      <c r="D2377" t="s">
        <v>7370</v>
      </c>
      <c r="E2377">
        <v>1</v>
      </c>
      <c r="F2377" t="str">
        <f t="shared" si="149"/>
        <v>may</v>
      </c>
      <c r="G2377">
        <v>20</v>
      </c>
      <c r="H2377">
        <v>23</v>
      </c>
      <c r="I2377" t="str">
        <f t="shared" si="148"/>
        <v>1-may-2023</v>
      </c>
      <c r="K2377" s="49">
        <f t="shared" si="150"/>
        <v>45047</v>
      </c>
      <c r="M2377" t="b">
        <f t="shared" si="151"/>
        <v>1</v>
      </c>
    </row>
    <row r="2378" spans="1:13" x14ac:dyDescent="0.3">
      <c r="A2378" s="49">
        <v>45261</v>
      </c>
      <c r="D2378" t="s">
        <v>7367</v>
      </c>
      <c r="E2378">
        <v>1</v>
      </c>
      <c r="F2378" t="str">
        <f t="shared" si="149"/>
        <v>jun</v>
      </c>
      <c r="G2378">
        <v>20</v>
      </c>
      <c r="H2378">
        <v>23</v>
      </c>
      <c r="I2378" t="str">
        <f t="shared" si="148"/>
        <v>1-jun-2023</v>
      </c>
      <c r="K2378" s="49">
        <f t="shared" si="150"/>
        <v>45078</v>
      </c>
      <c r="M2378" t="b">
        <f t="shared" si="151"/>
        <v>1</v>
      </c>
    </row>
    <row r="2379" spans="1:13" x14ac:dyDescent="0.3">
      <c r="A2379" s="49">
        <v>45261</v>
      </c>
      <c r="D2379" t="s">
        <v>7356</v>
      </c>
      <c r="E2379">
        <v>1</v>
      </c>
      <c r="F2379" t="str">
        <f t="shared" si="149"/>
        <v>ene</v>
      </c>
      <c r="G2379">
        <v>20</v>
      </c>
      <c r="H2379">
        <v>23</v>
      </c>
      <c r="I2379" t="str">
        <f t="shared" si="148"/>
        <v>1-ene-2023</v>
      </c>
      <c r="K2379" s="49">
        <f t="shared" si="150"/>
        <v>44927</v>
      </c>
      <c r="M2379" t="b">
        <f t="shared" si="151"/>
        <v>1</v>
      </c>
    </row>
    <row r="2380" spans="1:13" x14ac:dyDescent="0.3">
      <c r="A2380" s="49">
        <v>45261</v>
      </c>
      <c r="D2380" t="s">
        <v>3586</v>
      </c>
      <c r="E2380">
        <v>1</v>
      </c>
      <c r="F2380" t="str">
        <f t="shared" si="149"/>
        <v>---</v>
      </c>
      <c r="G2380">
        <v>20</v>
      </c>
      <c r="H2380" t="s">
        <v>3911</v>
      </c>
      <c r="I2380" t="str">
        <f t="shared" si="148"/>
        <v>1-----20--</v>
      </c>
      <c r="K2380" s="49" t="e">
        <f t="shared" si="150"/>
        <v>#VALUE!</v>
      </c>
      <c r="M2380" t="e">
        <f t="shared" si="151"/>
        <v>#VALUE!</v>
      </c>
    </row>
    <row r="2381" spans="1:13" x14ac:dyDescent="0.3">
      <c r="A2381" s="49">
        <v>45261</v>
      </c>
      <c r="D2381" t="s">
        <v>7369</v>
      </c>
      <c r="E2381">
        <v>1</v>
      </c>
      <c r="F2381" t="str">
        <f t="shared" si="149"/>
        <v>abr</v>
      </c>
      <c r="G2381">
        <v>20</v>
      </c>
      <c r="H2381">
        <v>24</v>
      </c>
      <c r="I2381" t="str">
        <f t="shared" si="148"/>
        <v>1-abr-2024</v>
      </c>
      <c r="K2381" s="49">
        <f t="shared" si="150"/>
        <v>45383</v>
      </c>
      <c r="M2381" t="b">
        <f t="shared" si="151"/>
        <v>0</v>
      </c>
    </row>
    <row r="2382" spans="1:13" x14ac:dyDescent="0.3">
      <c r="A2382" s="49">
        <v>45261</v>
      </c>
      <c r="D2382" t="s">
        <v>7367</v>
      </c>
      <c r="E2382">
        <v>1</v>
      </c>
      <c r="F2382" t="str">
        <f t="shared" si="149"/>
        <v>jun</v>
      </c>
      <c r="G2382">
        <v>20</v>
      </c>
      <c r="H2382">
        <v>23</v>
      </c>
      <c r="I2382" t="str">
        <f t="shared" si="148"/>
        <v>1-jun-2023</v>
      </c>
      <c r="K2382" s="49">
        <f t="shared" si="150"/>
        <v>45078</v>
      </c>
      <c r="M2382" t="b">
        <f t="shared" si="151"/>
        <v>1</v>
      </c>
    </row>
    <row r="2383" spans="1:13" x14ac:dyDescent="0.3">
      <c r="A2383" s="49">
        <v>45261</v>
      </c>
      <c r="D2383" t="s">
        <v>7366</v>
      </c>
      <c r="E2383">
        <v>1</v>
      </c>
      <c r="F2383" t="str">
        <f t="shared" si="149"/>
        <v>dic</v>
      </c>
      <c r="G2383">
        <v>20</v>
      </c>
      <c r="H2383">
        <v>23</v>
      </c>
      <c r="I2383" t="str">
        <f t="shared" si="148"/>
        <v>1-dic-2023</v>
      </c>
      <c r="K2383" s="49">
        <f t="shared" si="150"/>
        <v>45261</v>
      </c>
      <c r="M2383" t="b">
        <f t="shared" si="151"/>
        <v>0</v>
      </c>
    </row>
    <row r="2384" spans="1:13" x14ac:dyDescent="0.3">
      <c r="A2384" s="49">
        <v>45261</v>
      </c>
      <c r="D2384" t="s">
        <v>7360</v>
      </c>
      <c r="E2384">
        <v>1</v>
      </c>
      <c r="F2384" t="str">
        <f t="shared" si="149"/>
        <v>nov</v>
      </c>
      <c r="G2384">
        <v>20</v>
      </c>
      <c r="H2384">
        <v>22</v>
      </c>
      <c r="I2384" t="str">
        <f t="shared" si="148"/>
        <v>1-nov-2022</v>
      </c>
      <c r="K2384" s="49">
        <f t="shared" si="150"/>
        <v>44866</v>
      </c>
      <c r="M2384" t="b">
        <f t="shared" si="151"/>
        <v>1</v>
      </c>
    </row>
    <row r="2385" spans="1:13" x14ac:dyDescent="0.3">
      <c r="A2385" s="49">
        <v>45261</v>
      </c>
      <c r="D2385" t="s">
        <v>7360</v>
      </c>
      <c r="E2385">
        <v>1</v>
      </c>
      <c r="F2385" t="str">
        <f t="shared" si="149"/>
        <v>nov</v>
      </c>
      <c r="G2385">
        <v>20</v>
      </c>
      <c r="H2385">
        <v>23</v>
      </c>
      <c r="I2385" t="str">
        <f t="shared" si="148"/>
        <v>1-nov-2023</v>
      </c>
      <c r="K2385" s="49">
        <f t="shared" si="150"/>
        <v>45231</v>
      </c>
      <c r="M2385" t="b">
        <f t="shared" si="151"/>
        <v>1</v>
      </c>
    </row>
    <row r="2386" spans="1:13" x14ac:dyDescent="0.3">
      <c r="A2386" s="49">
        <v>45261</v>
      </c>
      <c r="D2386" t="s">
        <v>7362</v>
      </c>
      <c r="E2386">
        <v>1</v>
      </c>
      <c r="F2386" t="str">
        <f t="shared" si="149"/>
        <v>ago</v>
      </c>
      <c r="G2386">
        <v>20</v>
      </c>
      <c r="H2386">
        <v>24</v>
      </c>
      <c r="I2386" t="str">
        <f t="shared" si="148"/>
        <v>1-ago-2024</v>
      </c>
      <c r="K2386" s="49">
        <f t="shared" si="150"/>
        <v>45505</v>
      </c>
      <c r="M2386" t="b">
        <f t="shared" si="151"/>
        <v>0</v>
      </c>
    </row>
    <row r="2387" spans="1:13" x14ac:dyDescent="0.3">
      <c r="A2387" s="49">
        <v>45261</v>
      </c>
      <c r="D2387" t="s">
        <v>7368</v>
      </c>
      <c r="E2387">
        <v>1</v>
      </c>
      <c r="F2387" t="str">
        <f t="shared" si="149"/>
        <v>mar</v>
      </c>
      <c r="G2387">
        <v>20</v>
      </c>
      <c r="H2387">
        <v>22</v>
      </c>
      <c r="I2387" t="str">
        <f t="shared" si="148"/>
        <v>1-mar-2022</v>
      </c>
      <c r="K2387" s="49">
        <f t="shared" si="150"/>
        <v>44621</v>
      </c>
      <c r="M2387" t="b">
        <f t="shared" si="151"/>
        <v>1</v>
      </c>
    </row>
    <row r="2388" spans="1:13" x14ac:dyDescent="0.3">
      <c r="A2388" s="49">
        <v>45261</v>
      </c>
      <c r="D2388" t="s">
        <v>7369</v>
      </c>
      <c r="E2388">
        <v>1</v>
      </c>
      <c r="F2388" t="str">
        <f t="shared" si="149"/>
        <v>abr</v>
      </c>
      <c r="G2388">
        <v>20</v>
      </c>
      <c r="H2388">
        <v>23</v>
      </c>
      <c r="I2388" t="str">
        <f t="shared" si="148"/>
        <v>1-abr-2023</v>
      </c>
      <c r="K2388" s="49">
        <f t="shared" si="150"/>
        <v>45017</v>
      </c>
      <c r="M2388" t="b">
        <f t="shared" si="151"/>
        <v>1</v>
      </c>
    </row>
    <row r="2389" spans="1:13" x14ac:dyDescent="0.3">
      <c r="A2389" s="49">
        <v>45261</v>
      </c>
      <c r="D2389" t="s">
        <v>7357</v>
      </c>
      <c r="E2389">
        <v>1</v>
      </c>
      <c r="F2389" t="str">
        <f t="shared" si="149"/>
        <v>oct</v>
      </c>
      <c r="G2389">
        <v>20</v>
      </c>
      <c r="H2389">
        <v>21</v>
      </c>
      <c r="I2389" t="str">
        <f t="shared" si="148"/>
        <v>1-oct-2021</v>
      </c>
      <c r="K2389" s="49">
        <f t="shared" si="150"/>
        <v>44470</v>
      </c>
      <c r="M2389" t="b">
        <f t="shared" si="151"/>
        <v>1</v>
      </c>
    </row>
    <row r="2390" spans="1:13" x14ac:dyDescent="0.3">
      <c r="A2390" s="49">
        <v>45261</v>
      </c>
      <c r="D2390" t="s">
        <v>7368</v>
      </c>
      <c r="E2390">
        <v>1</v>
      </c>
      <c r="F2390" t="str">
        <f t="shared" si="149"/>
        <v>mar</v>
      </c>
      <c r="G2390">
        <v>20</v>
      </c>
      <c r="H2390">
        <v>23</v>
      </c>
      <c r="I2390" t="str">
        <f t="shared" si="148"/>
        <v>1-mar-2023</v>
      </c>
      <c r="K2390" s="49">
        <f t="shared" si="150"/>
        <v>44986</v>
      </c>
      <c r="M2390" t="b">
        <f t="shared" si="151"/>
        <v>1</v>
      </c>
    </row>
    <row r="2391" spans="1:13" x14ac:dyDescent="0.3">
      <c r="A2391" s="49">
        <v>45261</v>
      </c>
      <c r="D2391" t="s">
        <v>7357</v>
      </c>
      <c r="E2391">
        <v>1</v>
      </c>
      <c r="F2391" t="str">
        <f t="shared" si="149"/>
        <v>oct</v>
      </c>
      <c r="G2391">
        <v>20</v>
      </c>
      <c r="H2391">
        <v>22</v>
      </c>
      <c r="I2391" t="str">
        <f t="shared" si="148"/>
        <v>1-oct-2022</v>
      </c>
      <c r="K2391" s="49">
        <f t="shared" si="150"/>
        <v>44835</v>
      </c>
      <c r="M2391" t="b">
        <f t="shared" si="151"/>
        <v>1</v>
      </c>
    </row>
    <row r="2392" spans="1:13" x14ac:dyDescent="0.3">
      <c r="A2392" s="49">
        <v>45261</v>
      </c>
      <c r="D2392" t="s">
        <v>7368</v>
      </c>
      <c r="E2392">
        <v>1</v>
      </c>
      <c r="F2392" t="str">
        <f t="shared" si="149"/>
        <v>mar</v>
      </c>
      <c r="G2392">
        <v>20</v>
      </c>
      <c r="H2392">
        <v>23</v>
      </c>
      <c r="I2392" t="str">
        <f t="shared" si="148"/>
        <v>1-mar-2023</v>
      </c>
      <c r="K2392" s="49">
        <f t="shared" si="150"/>
        <v>44986</v>
      </c>
      <c r="M2392" t="b">
        <f t="shared" si="151"/>
        <v>1</v>
      </c>
    </row>
    <row r="2393" spans="1:13" x14ac:dyDescent="0.3">
      <c r="A2393" s="49">
        <v>45261</v>
      </c>
      <c r="D2393" t="s">
        <v>7368</v>
      </c>
      <c r="E2393">
        <v>1</v>
      </c>
      <c r="F2393" t="str">
        <f t="shared" si="149"/>
        <v>mar</v>
      </c>
      <c r="G2393">
        <v>20</v>
      </c>
      <c r="H2393">
        <v>23</v>
      </c>
      <c r="I2393" t="str">
        <f t="shared" si="148"/>
        <v>1-mar-2023</v>
      </c>
      <c r="K2393" s="49">
        <f t="shared" si="150"/>
        <v>44986</v>
      </c>
      <c r="M2393" t="b">
        <f t="shared" si="151"/>
        <v>1</v>
      </c>
    </row>
    <row r="2394" spans="1:13" x14ac:dyDescent="0.3">
      <c r="A2394" s="49">
        <v>45261</v>
      </c>
      <c r="D2394" t="s">
        <v>7362</v>
      </c>
      <c r="E2394">
        <v>1</v>
      </c>
      <c r="F2394" t="str">
        <f t="shared" si="149"/>
        <v>ago</v>
      </c>
      <c r="G2394">
        <v>20</v>
      </c>
      <c r="H2394">
        <v>21</v>
      </c>
      <c r="I2394" t="str">
        <f t="shared" si="148"/>
        <v>1-ago-2021</v>
      </c>
      <c r="K2394" s="49">
        <f t="shared" si="150"/>
        <v>44409</v>
      </c>
      <c r="M2394" t="b">
        <f t="shared" si="151"/>
        <v>1</v>
      </c>
    </row>
    <row r="2395" spans="1:13" x14ac:dyDescent="0.3">
      <c r="A2395" s="49">
        <v>45261</v>
      </c>
      <c r="D2395" t="s">
        <v>7368</v>
      </c>
      <c r="E2395">
        <v>1</v>
      </c>
      <c r="F2395" t="str">
        <f t="shared" si="149"/>
        <v>mar</v>
      </c>
      <c r="G2395">
        <v>20</v>
      </c>
      <c r="H2395">
        <v>23</v>
      </c>
      <c r="I2395" t="str">
        <f t="shared" si="148"/>
        <v>1-mar-2023</v>
      </c>
      <c r="K2395" s="49">
        <f t="shared" si="150"/>
        <v>44986</v>
      </c>
      <c r="M2395" t="b">
        <f t="shared" si="151"/>
        <v>1</v>
      </c>
    </row>
    <row r="2396" spans="1:13" x14ac:dyDescent="0.3">
      <c r="A2396" s="49">
        <v>45261</v>
      </c>
      <c r="D2396" t="s">
        <v>7367</v>
      </c>
      <c r="E2396">
        <v>1</v>
      </c>
      <c r="F2396" t="str">
        <f t="shared" si="149"/>
        <v>jun</v>
      </c>
      <c r="G2396">
        <v>20</v>
      </c>
      <c r="H2396">
        <v>23</v>
      </c>
      <c r="I2396" t="str">
        <f t="shared" si="148"/>
        <v>1-jun-2023</v>
      </c>
      <c r="K2396" s="49">
        <f t="shared" si="150"/>
        <v>45078</v>
      </c>
      <c r="M2396" t="b">
        <f t="shared" si="151"/>
        <v>1</v>
      </c>
    </row>
    <row r="2397" spans="1:13" x14ac:dyDescent="0.3">
      <c r="A2397" s="49">
        <v>45261</v>
      </c>
      <c r="D2397" t="s">
        <v>7368</v>
      </c>
      <c r="E2397">
        <v>1</v>
      </c>
      <c r="F2397" t="str">
        <f t="shared" si="149"/>
        <v>mar</v>
      </c>
      <c r="G2397">
        <v>20</v>
      </c>
      <c r="H2397">
        <v>23</v>
      </c>
      <c r="I2397" t="str">
        <f t="shared" si="148"/>
        <v>1-mar-2023</v>
      </c>
      <c r="K2397" s="49">
        <f t="shared" si="150"/>
        <v>44986</v>
      </c>
      <c r="M2397" t="b">
        <f t="shared" si="151"/>
        <v>1</v>
      </c>
    </row>
    <row r="2398" spans="1:13" x14ac:dyDescent="0.3">
      <c r="A2398" s="49">
        <v>45261</v>
      </c>
      <c r="D2398" t="s">
        <v>7357</v>
      </c>
      <c r="E2398">
        <v>1</v>
      </c>
      <c r="F2398" t="str">
        <f t="shared" si="149"/>
        <v>oct</v>
      </c>
      <c r="G2398">
        <v>20</v>
      </c>
      <c r="H2398">
        <v>22</v>
      </c>
      <c r="I2398" t="str">
        <f t="shared" si="148"/>
        <v>1-oct-2022</v>
      </c>
      <c r="K2398" s="49">
        <f t="shared" si="150"/>
        <v>44835</v>
      </c>
      <c r="M2398" t="b">
        <f t="shared" si="151"/>
        <v>1</v>
      </c>
    </row>
    <row r="2399" spans="1:13" x14ac:dyDescent="0.3">
      <c r="A2399" s="49">
        <v>45261</v>
      </c>
      <c r="D2399" t="s">
        <v>7370</v>
      </c>
      <c r="E2399">
        <v>1</v>
      </c>
      <c r="F2399" t="str">
        <f t="shared" si="149"/>
        <v>may</v>
      </c>
      <c r="G2399">
        <v>20</v>
      </c>
      <c r="H2399">
        <v>20</v>
      </c>
      <c r="I2399" t="str">
        <f t="shared" si="148"/>
        <v>1-may-2020</v>
      </c>
      <c r="K2399" s="49">
        <f t="shared" si="150"/>
        <v>43952</v>
      </c>
      <c r="M2399" t="b">
        <f t="shared" si="151"/>
        <v>1</v>
      </c>
    </row>
    <row r="2400" spans="1:13" x14ac:dyDescent="0.3">
      <c r="A2400" s="49">
        <v>45261</v>
      </c>
      <c r="D2400" t="s">
        <v>7366</v>
      </c>
      <c r="E2400">
        <v>1</v>
      </c>
      <c r="F2400" t="str">
        <f t="shared" si="149"/>
        <v>dic</v>
      </c>
      <c r="G2400">
        <v>20</v>
      </c>
      <c r="H2400">
        <v>22</v>
      </c>
      <c r="I2400" t="str">
        <f t="shared" si="148"/>
        <v>1-dic-2022</v>
      </c>
      <c r="K2400" s="49">
        <f t="shared" si="150"/>
        <v>44896</v>
      </c>
      <c r="M2400" t="b">
        <f t="shared" si="151"/>
        <v>1</v>
      </c>
    </row>
    <row r="2401" spans="1:13" x14ac:dyDescent="0.3">
      <c r="A2401" s="49">
        <v>45261</v>
      </c>
      <c r="D2401" t="s">
        <v>7370</v>
      </c>
      <c r="E2401">
        <v>1</v>
      </c>
      <c r="F2401" t="str">
        <f t="shared" si="149"/>
        <v>may</v>
      </c>
      <c r="G2401">
        <v>20</v>
      </c>
      <c r="H2401">
        <v>23</v>
      </c>
      <c r="I2401" t="str">
        <f t="shared" si="148"/>
        <v>1-may-2023</v>
      </c>
      <c r="K2401" s="49">
        <f t="shared" si="150"/>
        <v>45047</v>
      </c>
      <c r="M2401" t="b">
        <f t="shared" si="151"/>
        <v>1</v>
      </c>
    </row>
    <row r="2402" spans="1:13" x14ac:dyDescent="0.3">
      <c r="A2402" s="49">
        <v>45261</v>
      </c>
      <c r="D2402" t="s">
        <v>7370</v>
      </c>
      <c r="E2402">
        <v>1</v>
      </c>
      <c r="F2402" t="str">
        <f t="shared" si="149"/>
        <v>may</v>
      </c>
      <c r="G2402">
        <v>20</v>
      </c>
      <c r="H2402">
        <v>23</v>
      </c>
      <c r="I2402" t="str">
        <f t="shared" si="148"/>
        <v>1-may-2023</v>
      </c>
      <c r="K2402" s="49">
        <f t="shared" si="150"/>
        <v>45047</v>
      </c>
      <c r="M2402" t="b">
        <f t="shared" si="151"/>
        <v>1</v>
      </c>
    </row>
    <row r="2403" spans="1:13" x14ac:dyDescent="0.3">
      <c r="A2403" s="49">
        <v>45261</v>
      </c>
      <c r="D2403" t="s">
        <v>7360</v>
      </c>
      <c r="E2403">
        <v>1</v>
      </c>
      <c r="F2403" t="str">
        <f t="shared" si="149"/>
        <v>nov</v>
      </c>
      <c r="G2403">
        <v>20</v>
      </c>
      <c r="H2403">
        <v>23</v>
      </c>
      <c r="I2403" t="str">
        <f t="shared" si="148"/>
        <v>1-nov-2023</v>
      </c>
      <c r="K2403" s="49">
        <f t="shared" si="150"/>
        <v>45231</v>
      </c>
      <c r="M2403" t="b">
        <f t="shared" si="151"/>
        <v>1</v>
      </c>
    </row>
    <row r="2404" spans="1:13" x14ac:dyDescent="0.3">
      <c r="A2404" s="49">
        <v>45261</v>
      </c>
      <c r="D2404" t="s">
        <v>7360</v>
      </c>
      <c r="E2404">
        <v>1</v>
      </c>
      <c r="F2404" t="str">
        <f t="shared" si="149"/>
        <v>nov</v>
      </c>
      <c r="G2404">
        <v>20</v>
      </c>
      <c r="H2404">
        <v>23</v>
      </c>
      <c r="I2404" t="str">
        <f t="shared" si="148"/>
        <v>1-nov-2023</v>
      </c>
      <c r="K2404" s="49">
        <f t="shared" si="150"/>
        <v>45231</v>
      </c>
      <c r="M2404" t="b">
        <f t="shared" si="151"/>
        <v>1</v>
      </c>
    </row>
    <row r="2405" spans="1:13" x14ac:dyDescent="0.3">
      <c r="A2405" s="49">
        <v>45261</v>
      </c>
      <c r="D2405" t="s">
        <v>7359</v>
      </c>
      <c r="E2405">
        <v>1</v>
      </c>
      <c r="F2405" t="str">
        <f t="shared" si="149"/>
        <v>jul</v>
      </c>
      <c r="G2405">
        <v>20</v>
      </c>
      <c r="H2405">
        <v>22</v>
      </c>
      <c r="I2405" t="str">
        <f t="shared" si="148"/>
        <v>1-jul-2022</v>
      </c>
      <c r="K2405" s="49">
        <f t="shared" si="150"/>
        <v>44743</v>
      </c>
      <c r="M2405" t="b">
        <f t="shared" si="151"/>
        <v>1</v>
      </c>
    </row>
    <row r="2406" spans="1:13" x14ac:dyDescent="0.3">
      <c r="A2406" s="49">
        <v>45261</v>
      </c>
      <c r="D2406" t="s">
        <v>7359</v>
      </c>
      <c r="E2406">
        <v>1</v>
      </c>
      <c r="F2406" t="str">
        <f t="shared" si="149"/>
        <v>jul</v>
      </c>
      <c r="G2406">
        <v>20</v>
      </c>
      <c r="H2406">
        <v>23</v>
      </c>
      <c r="I2406" t="str">
        <f t="shared" si="148"/>
        <v>1-jul-2023</v>
      </c>
      <c r="K2406" s="49">
        <f t="shared" si="150"/>
        <v>45108</v>
      </c>
      <c r="M2406" t="b">
        <f t="shared" si="151"/>
        <v>1</v>
      </c>
    </row>
    <row r="2407" spans="1:13" x14ac:dyDescent="0.3">
      <c r="A2407" s="49">
        <v>45261</v>
      </c>
      <c r="D2407" t="s">
        <v>7356</v>
      </c>
      <c r="E2407">
        <v>1</v>
      </c>
      <c r="F2407" t="str">
        <f t="shared" si="149"/>
        <v>ene</v>
      </c>
      <c r="G2407">
        <v>20</v>
      </c>
      <c r="H2407">
        <v>23</v>
      </c>
      <c r="I2407" t="str">
        <f t="shared" si="148"/>
        <v>1-ene-2023</v>
      </c>
      <c r="K2407" s="49">
        <f t="shared" si="150"/>
        <v>44927</v>
      </c>
      <c r="M2407" t="b">
        <f t="shared" si="151"/>
        <v>1</v>
      </c>
    </row>
    <row r="2408" spans="1:13" x14ac:dyDescent="0.3">
      <c r="A2408" s="49">
        <v>45261</v>
      </c>
      <c r="D2408" t="s">
        <v>7356</v>
      </c>
      <c r="E2408">
        <v>1</v>
      </c>
      <c r="F2408" t="str">
        <f t="shared" si="149"/>
        <v>ene</v>
      </c>
      <c r="G2408">
        <v>20</v>
      </c>
      <c r="H2408">
        <v>23</v>
      </c>
      <c r="I2408" t="str">
        <f t="shared" si="148"/>
        <v>1-ene-2023</v>
      </c>
      <c r="K2408" s="49">
        <f t="shared" si="150"/>
        <v>44927</v>
      </c>
      <c r="M2408" t="b">
        <f t="shared" si="151"/>
        <v>1</v>
      </c>
    </row>
    <row r="2409" spans="1:13" x14ac:dyDescent="0.3">
      <c r="A2409" s="49">
        <v>45261</v>
      </c>
      <c r="D2409" t="s">
        <v>7357</v>
      </c>
      <c r="E2409">
        <v>1</v>
      </c>
      <c r="F2409" t="str">
        <f t="shared" si="149"/>
        <v>oct</v>
      </c>
      <c r="G2409">
        <v>20</v>
      </c>
      <c r="H2409">
        <v>22</v>
      </c>
      <c r="I2409" t="str">
        <f t="shared" si="148"/>
        <v>1-oct-2022</v>
      </c>
      <c r="K2409" s="49">
        <f t="shared" si="150"/>
        <v>44835</v>
      </c>
      <c r="M2409" t="b">
        <f t="shared" si="151"/>
        <v>1</v>
      </c>
    </row>
    <row r="2410" spans="1:13" x14ac:dyDescent="0.3">
      <c r="A2410" s="49">
        <v>45261</v>
      </c>
      <c r="D2410" t="s">
        <v>7355</v>
      </c>
      <c r="E2410">
        <v>1</v>
      </c>
      <c r="F2410" t="str">
        <f t="shared" si="149"/>
        <v>sep</v>
      </c>
      <c r="G2410">
        <v>20</v>
      </c>
      <c r="H2410">
        <v>23</v>
      </c>
      <c r="I2410" t="str">
        <f t="shared" si="148"/>
        <v>1-sep-2023</v>
      </c>
      <c r="K2410" s="49">
        <f t="shared" si="150"/>
        <v>45170</v>
      </c>
      <c r="M2410" t="b">
        <f t="shared" si="151"/>
        <v>1</v>
      </c>
    </row>
    <row r="2411" spans="1:13" x14ac:dyDescent="0.3">
      <c r="A2411" s="49">
        <v>45261</v>
      </c>
      <c r="D2411" t="s">
        <v>7369</v>
      </c>
      <c r="E2411">
        <v>1</v>
      </c>
      <c r="F2411" t="str">
        <f t="shared" si="149"/>
        <v>abr</v>
      </c>
      <c r="G2411">
        <v>20</v>
      </c>
      <c r="H2411">
        <v>15</v>
      </c>
      <c r="I2411" t="str">
        <f t="shared" si="148"/>
        <v>1-abr-2015</v>
      </c>
      <c r="K2411" s="49">
        <f t="shared" si="150"/>
        <v>42095</v>
      </c>
      <c r="M2411" t="b">
        <f t="shared" si="151"/>
        <v>1</v>
      </c>
    </row>
    <row r="2412" spans="1:13" x14ac:dyDescent="0.3">
      <c r="A2412" s="49">
        <v>45261</v>
      </c>
      <c r="D2412" t="s">
        <v>7357</v>
      </c>
      <c r="E2412">
        <v>1</v>
      </c>
      <c r="F2412" t="str">
        <f t="shared" si="149"/>
        <v>oct</v>
      </c>
      <c r="G2412">
        <v>20</v>
      </c>
      <c r="H2412">
        <v>22</v>
      </c>
      <c r="I2412" t="str">
        <f t="shared" si="148"/>
        <v>1-oct-2022</v>
      </c>
      <c r="K2412" s="49">
        <f t="shared" si="150"/>
        <v>44835</v>
      </c>
      <c r="M2412" t="b">
        <f t="shared" si="151"/>
        <v>1</v>
      </c>
    </row>
    <row r="2413" spans="1:13" x14ac:dyDescent="0.3">
      <c r="A2413" s="49">
        <v>45261</v>
      </c>
      <c r="D2413" t="s">
        <v>7357</v>
      </c>
      <c r="E2413">
        <v>1</v>
      </c>
      <c r="F2413" t="str">
        <f t="shared" si="149"/>
        <v>oct</v>
      </c>
      <c r="G2413">
        <v>20</v>
      </c>
      <c r="H2413">
        <v>23</v>
      </c>
      <c r="I2413" t="str">
        <f t="shared" si="148"/>
        <v>1-oct-2023</v>
      </c>
      <c r="K2413" s="49">
        <f t="shared" si="150"/>
        <v>45200</v>
      </c>
      <c r="M2413" t="b">
        <f t="shared" si="151"/>
        <v>1</v>
      </c>
    </row>
    <row r="2414" spans="1:13" x14ac:dyDescent="0.3">
      <c r="A2414" s="49">
        <v>45261</v>
      </c>
      <c r="D2414" t="s">
        <v>7357</v>
      </c>
      <c r="E2414">
        <v>1</v>
      </c>
      <c r="F2414" t="str">
        <f t="shared" si="149"/>
        <v>oct</v>
      </c>
      <c r="G2414">
        <v>20</v>
      </c>
      <c r="H2414">
        <v>23</v>
      </c>
      <c r="I2414" t="str">
        <f t="shared" si="148"/>
        <v>1-oct-2023</v>
      </c>
      <c r="K2414" s="49">
        <f t="shared" si="150"/>
        <v>45200</v>
      </c>
      <c r="M2414" t="b">
        <f t="shared" si="151"/>
        <v>1</v>
      </c>
    </row>
    <row r="2415" spans="1:13" x14ac:dyDescent="0.3">
      <c r="A2415" s="49">
        <v>45261</v>
      </c>
      <c r="D2415" t="s">
        <v>7369</v>
      </c>
      <c r="E2415">
        <v>1</v>
      </c>
      <c r="F2415" t="str">
        <f t="shared" si="149"/>
        <v>abr</v>
      </c>
      <c r="G2415">
        <v>20</v>
      </c>
      <c r="H2415">
        <v>15</v>
      </c>
      <c r="I2415" t="str">
        <f t="shared" si="148"/>
        <v>1-abr-2015</v>
      </c>
      <c r="K2415" s="49">
        <f t="shared" si="150"/>
        <v>42095</v>
      </c>
      <c r="M2415" t="b">
        <f t="shared" si="151"/>
        <v>1</v>
      </c>
    </row>
    <row r="2416" spans="1:13" x14ac:dyDescent="0.3">
      <c r="A2416" s="49">
        <v>45261</v>
      </c>
      <c r="D2416" t="s">
        <v>7369</v>
      </c>
      <c r="E2416">
        <v>1</v>
      </c>
      <c r="F2416" t="str">
        <f t="shared" si="149"/>
        <v>abr</v>
      </c>
      <c r="G2416">
        <v>20</v>
      </c>
      <c r="H2416">
        <v>15</v>
      </c>
      <c r="I2416" t="str">
        <f t="shared" si="148"/>
        <v>1-abr-2015</v>
      </c>
      <c r="K2416" s="49">
        <f t="shared" si="150"/>
        <v>42095</v>
      </c>
      <c r="M2416" t="b">
        <f t="shared" si="151"/>
        <v>1</v>
      </c>
    </row>
    <row r="2417" spans="1:13" x14ac:dyDescent="0.3">
      <c r="A2417" s="49">
        <v>45261</v>
      </c>
      <c r="D2417" t="s">
        <v>7369</v>
      </c>
      <c r="E2417">
        <v>1</v>
      </c>
      <c r="F2417" t="str">
        <f t="shared" si="149"/>
        <v>abr</v>
      </c>
      <c r="G2417">
        <v>20</v>
      </c>
      <c r="H2417">
        <v>15</v>
      </c>
      <c r="I2417" t="str">
        <f t="shared" si="148"/>
        <v>1-abr-2015</v>
      </c>
      <c r="K2417" s="49">
        <f t="shared" si="150"/>
        <v>42095</v>
      </c>
      <c r="M2417" t="b">
        <f t="shared" si="151"/>
        <v>1</v>
      </c>
    </row>
    <row r="2418" spans="1:13" x14ac:dyDescent="0.3">
      <c r="A2418" s="49">
        <v>45261</v>
      </c>
      <c r="D2418" t="s">
        <v>7367</v>
      </c>
      <c r="E2418">
        <v>1</v>
      </c>
      <c r="F2418" t="str">
        <f t="shared" si="149"/>
        <v>jun</v>
      </c>
      <c r="G2418">
        <v>20</v>
      </c>
      <c r="H2418">
        <v>23</v>
      </c>
      <c r="I2418" t="str">
        <f t="shared" si="148"/>
        <v>1-jun-2023</v>
      </c>
      <c r="K2418" s="49">
        <f t="shared" si="150"/>
        <v>45078</v>
      </c>
      <c r="M2418" t="b">
        <f t="shared" si="151"/>
        <v>1</v>
      </c>
    </row>
    <row r="2419" spans="1:13" x14ac:dyDescent="0.3">
      <c r="A2419" s="49">
        <v>45261</v>
      </c>
      <c r="D2419" t="s">
        <v>7367</v>
      </c>
      <c r="E2419">
        <v>1</v>
      </c>
      <c r="F2419" t="str">
        <f t="shared" si="149"/>
        <v>jun</v>
      </c>
      <c r="G2419">
        <v>20</v>
      </c>
      <c r="H2419">
        <v>23</v>
      </c>
      <c r="I2419" t="str">
        <f t="shared" si="148"/>
        <v>1-jun-2023</v>
      </c>
      <c r="K2419" s="49">
        <f t="shared" si="150"/>
        <v>45078</v>
      </c>
      <c r="M2419" t="b">
        <f t="shared" si="151"/>
        <v>1</v>
      </c>
    </row>
    <row r="2420" spans="1:13" x14ac:dyDescent="0.3">
      <c r="A2420" s="49">
        <v>45261</v>
      </c>
      <c r="D2420" t="s">
        <v>7367</v>
      </c>
      <c r="E2420">
        <v>1</v>
      </c>
      <c r="F2420" t="str">
        <f t="shared" si="149"/>
        <v>jun</v>
      </c>
      <c r="G2420">
        <v>20</v>
      </c>
      <c r="H2420">
        <v>21</v>
      </c>
      <c r="I2420" t="str">
        <f t="shared" si="148"/>
        <v>1-jun-2021</v>
      </c>
      <c r="K2420" s="49">
        <f t="shared" si="150"/>
        <v>44348</v>
      </c>
      <c r="M2420" t="b">
        <f t="shared" si="151"/>
        <v>1</v>
      </c>
    </row>
    <row r="2421" spans="1:13" x14ac:dyDescent="0.3">
      <c r="A2421" s="49">
        <v>45261</v>
      </c>
      <c r="D2421" t="s">
        <v>7360</v>
      </c>
      <c r="E2421">
        <v>1</v>
      </c>
      <c r="F2421" t="str">
        <f t="shared" si="149"/>
        <v>nov</v>
      </c>
      <c r="G2421">
        <v>20</v>
      </c>
      <c r="H2421">
        <v>24</v>
      </c>
      <c r="I2421" t="str">
        <f t="shared" si="148"/>
        <v>1-nov-2024</v>
      </c>
      <c r="K2421" s="49">
        <f t="shared" si="150"/>
        <v>45597</v>
      </c>
      <c r="M2421" t="b">
        <f t="shared" si="151"/>
        <v>0</v>
      </c>
    </row>
    <row r="2422" spans="1:13" x14ac:dyDescent="0.3">
      <c r="A2422" s="49">
        <v>45261</v>
      </c>
      <c r="D2422" t="s">
        <v>7362</v>
      </c>
      <c r="E2422">
        <v>1</v>
      </c>
      <c r="F2422" t="str">
        <f t="shared" si="149"/>
        <v>ago</v>
      </c>
      <c r="G2422">
        <v>20</v>
      </c>
      <c r="H2422">
        <v>23</v>
      </c>
      <c r="I2422" t="str">
        <f t="shared" si="148"/>
        <v>1-ago-2023</v>
      </c>
      <c r="K2422" s="49">
        <f t="shared" si="150"/>
        <v>45139</v>
      </c>
      <c r="M2422" t="b">
        <f t="shared" si="151"/>
        <v>1</v>
      </c>
    </row>
    <row r="2423" spans="1:13" x14ac:dyDescent="0.3">
      <c r="A2423" s="49">
        <v>45261</v>
      </c>
      <c r="D2423" t="s">
        <v>7362</v>
      </c>
      <c r="E2423">
        <v>1</v>
      </c>
      <c r="F2423" t="str">
        <f t="shared" si="149"/>
        <v>ago</v>
      </c>
      <c r="G2423">
        <v>20</v>
      </c>
      <c r="H2423">
        <v>23</v>
      </c>
      <c r="I2423" t="str">
        <f t="shared" si="148"/>
        <v>1-ago-2023</v>
      </c>
      <c r="K2423" s="49">
        <f t="shared" si="150"/>
        <v>45139</v>
      </c>
      <c r="M2423" t="b">
        <f t="shared" si="151"/>
        <v>1</v>
      </c>
    </row>
    <row r="2424" spans="1:13" x14ac:dyDescent="0.3">
      <c r="A2424" s="49">
        <v>45261</v>
      </c>
      <c r="D2424" t="s">
        <v>7367</v>
      </c>
      <c r="E2424">
        <v>1</v>
      </c>
      <c r="F2424" t="str">
        <f t="shared" si="149"/>
        <v>jun</v>
      </c>
      <c r="G2424">
        <v>20</v>
      </c>
      <c r="H2424">
        <v>21</v>
      </c>
      <c r="I2424" t="str">
        <f t="shared" si="148"/>
        <v>1-jun-2021</v>
      </c>
      <c r="K2424" s="49">
        <f t="shared" si="150"/>
        <v>44348</v>
      </c>
      <c r="M2424" t="b">
        <f t="shared" si="151"/>
        <v>1</v>
      </c>
    </row>
    <row r="2425" spans="1:13" x14ac:dyDescent="0.3">
      <c r="A2425" s="49">
        <v>45261</v>
      </c>
      <c r="D2425" t="s">
        <v>7367</v>
      </c>
      <c r="E2425">
        <v>1</v>
      </c>
      <c r="F2425" t="str">
        <f t="shared" si="149"/>
        <v>jun</v>
      </c>
      <c r="G2425">
        <v>20</v>
      </c>
      <c r="H2425">
        <v>21</v>
      </c>
      <c r="I2425" t="str">
        <f t="shared" si="148"/>
        <v>1-jun-2021</v>
      </c>
      <c r="K2425" s="49">
        <f t="shared" si="150"/>
        <v>44348</v>
      </c>
      <c r="M2425" t="b">
        <f t="shared" si="151"/>
        <v>1</v>
      </c>
    </row>
    <row r="2426" spans="1:13" x14ac:dyDescent="0.3">
      <c r="A2426" s="49">
        <v>45261</v>
      </c>
      <c r="D2426" t="s">
        <v>7360</v>
      </c>
      <c r="E2426">
        <v>1</v>
      </c>
      <c r="F2426" t="str">
        <f t="shared" si="149"/>
        <v>nov</v>
      </c>
      <c r="G2426">
        <v>20</v>
      </c>
      <c r="H2426">
        <v>22</v>
      </c>
      <c r="I2426" t="str">
        <f t="shared" si="148"/>
        <v>1-nov-2022</v>
      </c>
      <c r="K2426" s="49">
        <f t="shared" si="150"/>
        <v>44866</v>
      </c>
      <c r="M2426" t="b">
        <f t="shared" si="151"/>
        <v>1</v>
      </c>
    </row>
    <row r="2427" spans="1:13" x14ac:dyDescent="0.3">
      <c r="A2427" s="49">
        <v>45261</v>
      </c>
      <c r="D2427" t="s">
        <v>7360</v>
      </c>
      <c r="E2427">
        <v>1</v>
      </c>
      <c r="F2427" t="str">
        <f t="shared" si="149"/>
        <v>nov</v>
      </c>
      <c r="G2427">
        <v>20</v>
      </c>
      <c r="H2427">
        <v>22</v>
      </c>
      <c r="I2427" t="str">
        <f t="shared" si="148"/>
        <v>1-nov-2022</v>
      </c>
      <c r="K2427" s="49">
        <f t="shared" si="150"/>
        <v>44866</v>
      </c>
      <c r="M2427" t="b">
        <f t="shared" si="151"/>
        <v>1</v>
      </c>
    </row>
    <row r="2428" spans="1:13" x14ac:dyDescent="0.3">
      <c r="A2428" s="49">
        <v>45261</v>
      </c>
      <c r="D2428" t="s">
        <v>7360</v>
      </c>
      <c r="E2428">
        <v>1</v>
      </c>
      <c r="F2428" t="str">
        <f t="shared" si="149"/>
        <v>nov</v>
      </c>
      <c r="G2428">
        <v>20</v>
      </c>
      <c r="H2428">
        <v>22</v>
      </c>
      <c r="I2428" t="str">
        <f t="shared" si="148"/>
        <v>1-nov-2022</v>
      </c>
      <c r="K2428" s="49">
        <f t="shared" si="150"/>
        <v>44866</v>
      </c>
      <c r="M2428" t="b">
        <f t="shared" si="151"/>
        <v>1</v>
      </c>
    </row>
    <row r="2429" spans="1:13" x14ac:dyDescent="0.3">
      <c r="A2429" s="49">
        <v>45261</v>
      </c>
      <c r="D2429" t="s">
        <v>7362</v>
      </c>
      <c r="E2429">
        <v>1</v>
      </c>
      <c r="F2429" t="str">
        <f t="shared" si="149"/>
        <v>ago</v>
      </c>
      <c r="G2429">
        <v>20</v>
      </c>
      <c r="H2429">
        <v>23</v>
      </c>
      <c r="I2429" t="str">
        <f t="shared" si="148"/>
        <v>1-ago-2023</v>
      </c>
      <c r="K2429" s="49">
        <f t="shared" si="150"/>
        <v>45139</v>
      </c>
      <c r="M2429" t="b">
        <f t="shared" si="151"/>
        <v>1</v>
      </c>
    </row>
    <row r="2430" spans="1:13" x14ac:dyDescent="0.3">
      <c r="A2430" s="49">
        <v>45261</v>
      </c>
      <c r="D2430" t="s">
        <v>7362</v>
      </c>
      <c r="E2430">
        <v>1</v>
      </c>
      <c r="F2430" t="str">
        <f t="shared" si="149"/>
        <v>ago</v>
      </c>
      <c r="G2430">
        <v>20</v>
      </c>
      <c r="H2430">
        <v>23</v>
      </c>
      <c r="I2430" t="str">
        <f t="shared" si="148"/>
        <v>1-ago-2023</v>
      </c>
      <c r="K2430" s="49">
        <f t="shared" si="150"/>
        <v>45139</v>
      </c>
      <c r="M2430" t="b">
        <f t="shared" si="151"/>
        <v>1</v>
      </c>
    </row>
    <row r="2431" spans="1:13" x14ac:dyDescent="0.3">
      <c r="A2431" s="49">
        <v>45261</v>
      </c>
      <c r="D2431" t="s">
        <v>7362</v>
      </c>
      <c r="E2431">
        <v>1</v>
      </c>
      <c r="F2431" t="str">
        <f t="shared" si="149"/>
        <v>ago</v>
      </c>
      <c r="G2431">
        <v>20</v>
      </c>
      <c r="H2431">
        <v>23</v>
      </c>
      <c r="I2431" t="str">
        <f t="shared" si="148"/>
        <v>1-ago-2023</v>
      </c>
      <c r="K2431" s="49">
        <f t="shared" si="150"/>
        <v>45139</v>
      </c>
      <c r="M2431" t="b">
        <f t="shared" si="151"/>
        <v>1</v>
      </c>
    </row>
    <row r="2432" spans="1:13" x14ac:dyDescent="0.3">
      <c r="A2432" s="49">
        <v>45261</v>
      </c>
      <c r="D2432" t="s">
        <v>7359</v>
      </c>
      <c r="E2432">
        <v>1</v>
      </c>
      <c r="F2432" t="str">
        <f t="shared" si="149"/>
        <v>jul</v>
      </c>
      <c r="G2432">
        <v>20</v>
      </c>
      <c r="H2432">
        <v>18</v>
      </c>
      <c r="I2432" t="str">
        <f t="shared" si="148"/>
        <v>1-jul-2018</v>
      </c>
      <c r="K2432" s="49">
        <f t="shared" si="150"/>
        <v>43282</v>
      </c>
      <c r="M2432" t="b">
        <f t="shared" si="151"/>
        <v>1</v>
      </c>
    </row>
    <row r="2433" spans="1:13" x14ac:dyDescent="0.3">
      <c r="A2433" s="49">
        <v>45261</v>
      </c>
      <c r="D2433" t="s">
        <v>7363</v>
      </c>
      <c r="E2433">
        <v>1</v>
      </c>
      <c r="F2433" t="str">
        <f t="shared" si="149"/>
        <v>feb</v>
      </c>
      <c r="G2433">
        <v>20</v>
      </c>
      <c r="H2433">
        <v>25</v>
      </c>
      <c r="I2433" t="str">
        <f t="shared" ref="I2433:I2496" si="152">_xlfn.CONCAT(E2433,"-",F2433,"-",G2433,H2433)</f>
        <v>1-feb-2025</v>
      </c>
      <c r="K2433" s="49">
        <f t="shared" si="150"/>
        <v>45689</v>
      </c>
      <c r="M2433" t="b">
        <f t="shared" si="151"/>
        <v>0</v>
      </c>
    </row>
    <row r="2434" spans="1:13" x14ac:dyDescent="0.3">
      <c r="A2434" s="49">
        <v>45261</v>
      </c>
      <c r="D2434" t="s">
        <v>7360</v>
      </c>
      <c r="E2434">
        <v>1</v>
      </c>
      <c r="F2434" t="str">
        <f t="shared" ref="F2434:F2497" si="153">LOWER(D2434)</f>
        <v>nov</v>
      </c>
      <c r="G2434">
        <v>20</v>
      </c>
      <c r="H2434">
        <v>23</v>
      </c>
      <c r="I2434" t="str">
        <f t="shared" si="152"/>
        <v>1-nov-2023</v>
      </c>
      <c r="K2434" s="49">
        <f t="shared" ref="K2434:K2497" si="154">DATEVALUE(I2434)</f>
        <v>45231</v>
      </c>
      <c r="M2434" t="b">
        <f t="shared" si="151"/>
        <v>1</v>
      </c>
    </row>
    <row r="2435" spans="1:13" x14ac:dyDescent="0.3">
      <c r="A2435" s="49">
        <v>45261</v>
      </c>
      <c r="D2435" t="s">
        <v>7368</v>
      </c>
      <c r="E2435">
        <v>1</v>
      </c>
      <c r="F2435" t="str">
        <f t="shared" si="153"/>
        <v>mar</v>
      </c>
      <c r="G2435">
        <v>20</v>
      </c>
      <c r="H2435">
        <v>21</v>
      </c>
      <c r="I2435" t="str">
        <f t="shared" si="152"/>
        <v>1-mar-2021</v>
      </c>
      <c r="K2435" s="49">
        <f t="shared" si="154"/>
        <v>44256</v>
      </c>
      <c r="M2435" t="b">
        <f t="shared" ref="M2435:M2498" si="155">K2435&lt;A2435</f>
        <v>1</v>
      </c>
    </row>
    <row r="2436" spans="1:13" x14ac:dyDescent="0.3">
      <c r="A2436" s="49">
        <v>45261</v>
      </c>
      <c r="D2436" t="s">
        <v>7357</v>
      </c>
      <c r="E2436">
        <v>1</v>
      </c>
      <c r="F2436" t="str">
        <f t="shared" si="153"/>
        <v>oct</v>
      </c>
      <c r="G2436">
        <v>20</v>
      </c>
      <c r="H2436">
        <v>20</v>
      </c>
      <c r="I2436" t="str">
        <f t="shared" si="152"/>
        <v>1-oct-2020</v>
      </c>
      <c r="K2436" s="49">
        <f t="shared" si="154"/>
        <v>44105</v>
      </c>
      <c r="M2436" t="b">
        <f t="shared" si="155"/>
        <v>1</v>
      </c>
    </row>
    <row r="2437" spans="1:13" x14ac:dyDescent="0.3">
      <c r="A2437" s="49">
        <v>45261</v>
      </c>
      <c r="D2437" t="s">
        <v>7357</v>
      </c>
      <c r="E2437">
        <v>1</v>
      </c>
      <c r="F2437" t="str">
        <f t="shared" si="153"/>
        <v>oct</v>
      </c>
      <c r="G2437">
        <v>20</v>
      </c>
      <c r="H2437">
        <v>20</v>
      </c>
      <c r="I2437" t="str">
        <f t="shared" si="152"/>
        <v>1-oct-2020</v>
      </c>
      <c r="K2437" s="49">
        <f t="shared" si="154"/>
        <v>44105</v>
      </c>
      <c r="M2437" t="b">
        <f t="shared" si="155"/>
        <v>1</v>
      </c>
    </row>
    <row r="2438" spans="1:13" x14ac:dyDescent="0.3">
      <c r="A2438" s="49">
        <v>45261</v>
      </c>
      <c r="D2438" t="s">
        <v>7355</v>
      </c>
      <c r="E2438">
        <v>1</v>
      </c>
      <c r="F2438" t="str">
        <f t="shared" si="153"/>
        <v>sep</v>
      </c>
      <c r="G2438">
        <v>20</v>
      </c>
      <c r="H2438">
        <v>23</v>
      </c>
      <c r="I2438" t="str">
        <f t="shared" si="152"/>
        <v>1-sep-2023</v>
      </c>
      <c r="K2438" s="49">
        <f t="shared" si="154"/>
        <v>45170</v>
      </c>
      <c r="M2438" t="b">
        <f t="shared" si="155"/>
        <v>1</v>
      </c>
    </row>
    <row r="2439" spans="1:13" x14ac:dyDescent="0.3">
      <c r="A2439" s="49">
        <v>45261</v>
      </c>
      <c r="D2439" t="s">
        <v>7362</v>
      </c>
      <c r="E2439">
        <v>1</v>
      </c>
      <c r="F2439" t="str">
        <f t="shared" si="153"/>
        <v>ago</v>
      </c>
      <c r="G2439">
        <v>20</v>
      </c>
      <c r="H2439">
        <v>23</v>
      </c>
      <c r="I2439" t="str">
        <f t="shared" si="152"/>
        <v>1-ago-2023</v>
      </c>
      <c r="K2439" s="49">
        <f t="shared" si="154"/>
        <v>45139</v>
      </c>
      <c r="M2439" t="b">
        <f t="shared" si="155"/>
        <v>1</v>
      </c>
    </row>
    <row r="2440" spans="1:13" x14ac:dyDescent="0.3">
      <c r="A2440" s="49">
        <v>45261</v>
      </c>
      <c r="D2440" t="s">
        <v>7362</v>
      </c>
      <c r="E2440">
        <v>1</v>
      </c>
      <c r="F2440" t="str">
        <f t="shared" si="153"/>
        <v>ago</v>
      </c>
      <c r="G2440">
        <v>20</v>
      </c>
      <c r="H2440">
        <v>23</v>
      </c>
      <c r="I2440" t="str">
        <f t="shared" si="152"/>
        <v>1-ago-2023</v>
      </c>
      <c r="K2440" s="49">
        <f t="shared" si="154"/>
        <v>45139</v>
      </c>
      <c r="M2440" t="b">
        <f t="shared" si="155"/>
        <v>1</v>
      </c>
    </row>
    <row r="2441" spans="1:13" x14ac:dyDescent="0.3">
      <c r="A2441" s="49">
        <v>45261</v>
      </c>
      <c r="D2441" t="s">
        <v>7359</v>
      </c>
      <c r="E2441">
        <v>1</v>
      </c>
      <c r="F2441" t="str">
        <f t="shared" si="153"/>
        <v>jul</v>
      </c>
      <c r="G2441">
        <v>20</v>
      </c>
      <c r="H2441">
        <v>23</v>
      </c>
      <c r="I2441" t="str">
        <f t="shared" si="152"/>
        <v>1-jul-2023</v>
      </c>
      <c r="K2441" s="49">
        <f t="shared" si="154"/>
        <v>45108</v>
      </c>
      <c r="M2441" t="b">
        <f t="shared" si="155"/>
        <v>1</v>
      </c>
    </row>
    <row r="2442" spans="1:13" x14ac:dyDescent="0.3">
      <c r="A2442" s="49">
        <v>45261</v>
      </c>
      <c r="D2442" t="s">
        <v>7362</v>
      </c>
      <c r="E2442">
        <v>1</v>
      </c>
      <c r="F2442" t="str">
        <f t="shared" si="153"/>
        <v>ago</v>
      </c>
      <c r="G2442">
        <v>20</v>
      </c>
      <c r="H2442">
        <v>23</v>
      </c>
      <c r="I2442" t="str">
        <f t="shared" si="152"/>
        <v>1-ago-2023</v>
      </c>
      <c r="K2442" s="49">
        <f t="shared" si="154"/>
        <v>45139</v>
      </c>
      <c r="M2442" t="b">
        <f t="shared" si="155"/>
        <v>1</v>
      </c>
    </row>
    <row r="2443" spans="1:13" x14ac:dyDescent="0.3">
      <c r="A2443" s="49">
        <v>45261</v>
      </c>
      <c r="D2443" t="s">
        <v>7370</v>
      </c>
      <c r="E2443">
        <v>1</v>
      </c>
      <c r="F2443" t="str">
        <f t="shared" si="153"/>
        <v>may</v>
      </c>
      <c r="G2443">
        <v>20</v>
      </c>
      <c r="H2443">
        <v>22</v>
      </c>
      <c r="I2443" t="str">
        <f t="shared" si="152"/>
        <v>1-may-2022</v>
      </c>
      <c r="K2443" s="49">
        <f t="shared" si="154"/>
        <v>44682</v>
      </c>
      <c r="M2443" t="b">
        <f t="shared" si="155"/>
        <v>1</v>
      </c>
    </row>
    <row r="2444" spans="1:13" x14ac:dyDescent="0.3">
      <c r="A2444" s="49">
        <v>45261</v>
      </c>
      <c r="D2444" t="s">
        <v>7366</v>
      </c>
      <c r="E2444">
        <v>1</v>
      </c>
      <c r="F2444" t="str">
        <f t="shared" si="153"/>
        <v>dic</v>
      </c>
      <c r="G2444">
        <v>20</v>
      </c>
      <c r="H2444">
        <v>23</v>
      </c>
      <c r="I2444" t="str">
        <f t="shared" si="152"/>
        <v>1-dic-2023</v>
      </c>
      <c r="K2444" s="49">
        <f t="shared" si="154"/>
        <v>45261</v>
      </c>
      <c r="M2444" t="b">
        <f t="shared" si="155"/>
        <v>0</v>
      </c>
    </row>
    <row r="2445" spans="1:13" x14ac:dyDescent="0.3">
      <c r="A2445" s="49">
        <v>45261</v>
      </c>
      <c r="D2445" t="s">
        <v>7370</v>
      </c>
      <c r="E2445">
        <v>1</v>
      </c>
      <c r="F2445" t="str">
        <f t="shared" si="153"/>
        <v>may</v>
      </c>
      <c r="G2445">
        <v>20</v>
      </c>
      <c r="H2445">
        <v>22</v>
      </c>
      <c r="I2445" t="str">
        <f t="shared" si="152"/>
        <v>1-may-2022</v>
      </c>
      <c r="K2445" s="49">
        <f t="shared" si="154"/>
        <v>44682</v>
      </c>
      <c r="M2445" t="b">
        <f t="shared" si="155"/>
        <v>1</v>
      </c>
    </row>
    <row r="2446" spans="1:13" x14ac:dyDescent="0.3">
      <c r="A2446" s="49">
        <v>45261</v>
      </c>
      <c r="D2446" t="s">
        <v>7357</v>
      </c>
      <c r="E2446">
        <v>1</v>
      </c>
      <c r="F2446" t="str">
        <f t="shared" si="153"/>
        <v>oct</v>
      </c>
      <c r="G2446">
        <v>20</v>
      </c>
      <c r="H2446">
        <v>23</v>
      </c>
      <c r="I2446" t="str">
        <f t="shared" si="152"/>
        <v>1-oct-2023</v>
      </c>
      <c r="K2446" s="49">
        <f t="shared" si="154"/>
        <v>45200</v>
      </c>
      <c r="M2446" t="b">
        <f t="shared" si="155"/>
        <v>1</v>
      </c>
    </row>
    <row r="2447" spans="1:13" x14ac:dyDescent="0.3">
      <c r="A2447" s="49">
        <v>45261</v>
      </c>
      <c r="D2447" t="s">
        <v>7367</v>
      </c>
      <c r="E2447">
        <v>1</v>
      </c>
      <c r="F2447" t="str">
        <f t="shared" si="153"/>
        <v>jun</v>
      </c>
      <c r="G2447">
        <v>20</v>
      </c>
      <c r="H2447">
        <v>23</v>
      </c>
      <c r="I2447" t="str">
        <f t="shared" si="152"/>
        <v>1-jun-2023</v>
      </c>
      <c r="K2447" s="49">
        <f t="shared" si="154"/>
        <v>45078</v>
      </c>
      <c r="M2447" t="b">
        <f t="shared" si="155"/>
        <v>1</v>
      </c>
    </row>
    <row r="2448" spans="1:13" x14ac:dyDescent="0.3">
      <c r="A2448" s="49">
        <v>45261</v>
      </c>
      <c r="D2448" t="s">
        <v>7367</v>
      </c>
      <c r="E2448">
        <v>1</v>
      </c>
      <c r="F2448" t="str">
        <f t="shared" si="153"/>
        <v>jun</v>
      </c>
      <c r="G2448">
        <v>20</v>
      </c>
      <c r="H2448">
        <v>23</v>
      </c>
      <c r="I2448" t="str">
        <f t="shared" si="152"/>
        <v>1-jun-2023</v>
      </c>
      <c r="K2448" s="49">
        <f t="shared" si="154"/>
        <v>45078</v>
      </c>
      <c r="M2448" t="b">
        <f t="shared" si="155"/>
        <v>1</v>
      </c>
    </row>
    <row r="2449" spans="1:13" x14ac:dyDescent="0.3">
      <c r="A2449" s="49">
        <v>45261</v>
      </c>
      <c r="D2449" t="s">
        <v>7362</v>
      </c>
      <c r="E2449">
        <v>1</v>
      </c>
      <c r="F2449" t="str">
        <f t="shared" si="153"/>
        <v>ago</v>
      </c>
      <c r="G2449">
        <v>20</v>
      </c>
      <c r="H2449">
        <v>23</v>
      </c>
      <c r="I2449" t="str">
        <f t="shared" si="152"/>
        <v>1-ago-2023</v>
      </c>
      <c r="K2449" s="49">
        <f t="shared" si="154"/>
        <v>45139</v>
      </c>
      <c r="M2449" t="b">
        <f t="shared" si="155"/>
        <v>1</v>
      </c>
    </row>
    <row r="2450" spans="1:13" x14ac:dyDescent="0.3">
      <c r="A2450" s="49">
        <v>45261</v>
      </c>
      <c r="D2450" t="s">
        <v>7362</v>
      </c>
      <c r="E2450">
        <v>1</v>
      </c>
      <c r="F2450" t="str">
        <f t="shared" si="153"/>
        <v>ago</v>
      </c>
      <c r="G2450">
        <v>20</v>
      </c>
      <c r="H2450">
        <v>23</v>
      </c>
      <c r="I2450" t="str">
        <f t="shared" si="152"/>
        <v>1-ago-2023</v>
      </c>
      <c r="K2450" s="49">
        <f t="shared" si="154"/>
        <v>45139</v>
      </c>
      <c r="M2450" t="b">
        <f t="shared" si="155"/>
        <v>1</v>
      </c>
    </row>
    <row r="2451" spans="1:13" x14ac:dyDescent="0.3">
      <c r="A2451" s="49">
        <v>45261</v>
      </c>
      <c r="D2451" t="s">
        <v>7362</v>
      </c>
      <c r="E2451">
        <v>1</v>
      </c>
      <c r="F2451" t="str">
        <f t="shared" si="153"/>
        <v>ago</v>
      </c>
      <c r="G2451">
        <v>20</v>
      </c>
      <c r="H2451">
        <v>23</v>
      </c>
      <c r="I2451" t="str">
        <f t="shared" si="152"/>
        <v>1-ago-2023</v>
      </c>
      <c r="K2451" s="49">
        <f t="shared" si="154"/>
        <v>45139</v>
      </c>
      <c r="M2451" t="b">
        <f t="shared" si="155"/>
        <v>1</v>
      </c>
    </row>
    <row r="2452" spans="1:13" x14ac:dyDescent="0.3">
      <c r="A2452" s="49">
        <v>45261</v>
      </c>
      <c r="D2452" t="s">
        <v>7362</v>
      </c>
      <c r="E2452">
        <v>1</v>
      </c>
      <c r="F2452" t="str">
        <f t="shared" si="153"/>
        <v>ago</v>
      </c>
      <c r="G2452">
        <v>20</v>
      </c>
      <c r="H2452">
        <v>23</v>
      </c>
      <c r="I2452" t="str">
        <f t="shared" si="152"/>
        <v>1-ago-2023</v>
      </c>
      <c r="K2452" s="49">
        <f t="shared" si="154"/>
        <v>45139</v>
      </c>
      <c r="M2452" t="b">
        <f t="shared" si="155"/>
        <v>1</v>
      </c>
    </row>
    <row r="2453" spans="1:13" x14ac:dyDescent="0.3">
      <c r="A2453" s="49">
        <v>45261</v>
      </c>
      <c r="D2453" t="s">
        <v>7357</v>
      </c>
      <c r="E2453">
        <v>1</v>
      </c>
      <c r="F2453" t="str">
        <f t="shared" si="153"/>
        <v>oct</v>
      </c>
      <c r="G2453">
        <v>20</v>
      </c>
      <c r="H2453">
        <v>21</v>
      </c>
      <c r="I2453" t="str">
        <f t="shared" si="152"/>
        <v>1-oct-2021</v>
      </c>
      <c r="K2453" s="49">
        <f t="shared" si="154"/>
        <v>44470</v>
      </c>
      <c r="M2453" t="b">
        <f t="shared" si="155"/>
        <v>1</v>
      </c>
    </row>
    <row r="2454" spans="1:13" x14ac:dyDescent="0.3">
      <c r="A2454" s="49">
        <v>45261</v>
      </c>
      <c r="D2454" t="s">
        <v>7362</v>
      </c>
      <c r="E2454">
        <v>1</v>
      </c>
      <c r="F2454" t="str">
        <f t="shared" si="153"/>
        <v>ago</v>
      </c>
      <c r="G2454">
        <v>20</v>
      </c>
      <c r="H2454">
        <v>22</v>
      </c>
      <c r="I2454" t="str">
        <f t="shared" si="152"/>
        <v>1-ago-2022</v>
      </c>
      <c r="K2454" s="49">
        <f t="shared" si="154"/>
        <v>44774</v>
      </c>
      <c r="M2454" t="b">
        <f t="shared" si="155"/>
        <v>1</v>
      </c>
    </row>
    <row r="2455" spans="1:13" x14ac:dyDescent="0.3">
      <c r="A2455" s="49">
        <v>45261</v>
      </c>
      <c r="D2455" t="s">
        <v>7355</v>
      </c>
      <c r="E2455">
        <v>1</v>
      </c>
      <c r="F2455" t="str">
        <f t="shared" si="153"/>
        <v>sep</v>
      </c>
      <c r="G2455">
        <v>20</v>
      </c>
      <c r="H2455">
        <v>23</v>
      </c>
      <c r="I2455" t="str">
        <f t="shared" si="152"/>
        <v>1-sep-2023</v>
      </c>
      <c r="K2455" s="49">
        <f t="shared" si="154"/>
        <v>45170</v>
      </c>
      <c r="M2455" t="b">
        <f t="shared" si="155"/>
        <v>1</v>
      </c>
    </row>
    <row r="2456" spans="1:13" x14ac:dyDescent="0.3">
      <c r="A2456" s="49">
        <v>45261</v>
      </c>
      <c r="D2456" t="s">
        <v>3586</v>
      </c>
      <c r="E2456">
        <v>1</v>
      </c>
      <c r="F2456" t="str">
        <f t="shared" si="153"/>
        <v>---</v>
      </c>
      <c r="G2456">
        <v>20</v>
      </c>
      <c r="H2456" t="s">
        <v>3911</v>
      </c>
      <c r="I2456" t="str">
        <f t="shared" si="152"/>
        <v>1-----20--</v>
      </c>
      <c r="K2456" s="49" t="e">
        <f t="shared" si="154"/>
        <v>#VALUE!</v>
      </c>
      <c r="M2456" t="e">
        <f t="shared" si="155"/>
        <v>#VALUE!</v>
      </c>
    </row>
    <row r="2457" spans="1:13" x14ac:dyDescent="0.3">
      <c r="A2457" s="49">
        <v>45261</v>
      </c>
      <c r="D2457" t="s">
        <v>7368</v>
      </c>
      <c r="E2457">
        <v>1</v>
      </c>
      <c r="F2457" t="str">
        <f t="shared" si="153"/>
        <v>mar</v>
      </c>
      <c r="G2457">
        <v>20</v>
      </c>
      <c r="H2457">
        <v>24</v>
      </c>
      <c r="I2457" t="str">
        <f t="shared" si="152"/>
        <v>1-mar-2024</v>
      </c>
      <c r="K2457" s="49">
        <f t="shared" si="154"/>
        <v>45352</v>
      </c>
      <c r="M2457" t="b">
        <f t="shared" si="155"/>
        <v>0</v>
      </c>
    </row>
    <row r="2458" spans="1:13" x14ac:dyDescent="0.3">
      <c r="A2458" s="49">
        <v>45261</v>
      </c>
      <c r="D2458" t="s">
        <v>7362</v>
      </c>
      <c r="E2458">
        <v>1</v>
      </c>
      <c r="F2458" t="str">
        <f t="shared" si="153"/>
        <v>ago</v>
      </c>
      <c r="G2458">
        <v>20</v>
      </c>
      <c r="H2458">
        <v>21</v>
      </c>
      <c r="I2458" t="str">
        <f t="shared" si="152"/>
        <v>1-ago-2021</v>
      </c>
      <c r="K2458" s="49">
        <f t="shared" si="154"/>
        <v>44409</v>
      </c>
      <c r="M2458" t="b">
        <f t="shared" si="155"/>
        <v>1</v>
      </c>
    </row>
    <row r="2459" spans="1:13" x14ac:dyDescent="0.3">
      <c r="A2459" s="49">
        <v>45261</v>
      </c>
      <c r="D2459" t="s">
        <v>7363</v>
      </c>
      <c r="E2459">
        <v>1</v>
      </c>
      <c r="F2459" t="str">
        <f t="shared" si="153"/>
        <v>feb</v>
      </c>
      <c r="G2459">
        <v>20</v>
      </c>
      <c r="H2459">
        <v>23</v>
      </c>
      <c r="I2459" t="str">
        <f t="shared" si="152"/>
        <v>1-feb-2023</v>
      </c>
      <c r="K2459" s="49">
        <f t="shared" si="154"/>
        <v>44958</v>
      </c>
      <c r="M2459" t="b">
        <f t="shared" si="155"/>
        <v>1</v>
      </c>
    </row>
    <row r="2460" spans="1:13" x14ac:dyDescent="0.3">
      <c r="A2460" s="49">
        <v>45261</v>
      </c>
      <c r="D2460" t="s">
        <v>7357</v>
      </c>
      <c r="E2460">
        <v>1</v>
      </c>
      <c r="F2460" t="str">
        <f t="shared" si="153"/>
        <v>oct</v>
      </c>
      <c r="G2460">
        <v>20</v>
      </c>
      <c r="H2460">
        <v>22</v>
      </c>
      <c r="I2460" t="str">
        <f t="shared" si="152"/>
        <v>1-oct-2022</v>
      </c>
      <c r="K2460" s="49">
        <f t="shared" si="154"/>
        <v>44835</v>
      </c>
      <c r="M2460" t="b">
        <f t="shared" si="155"/>
        <v>1</v>
      </c>
    </row>
    <row r="2461" spans="1:13" x14ac:dyDescent="0.3">
      <c r="A2461" s="49">
        <v>45261</v>
      </c>
      <c r="D2461" t="s">
        <v>7366</v>
      </c>
      <c r="E2461">
        <v>1</v>
      </c>
      <c r="F2461" t="str">
        <f t="shared" si="153"/>
        <v>dic</v>
      </c>
      <c r="G2461">
        <v>20</v>
      </c>
      <c r="H2461">
        <v>21</v>
      </c>
      <c r="I2461" t="str">
        <f t="shared" si="152"/>
        <v>1-dic-2021</v>
      </c>
      <c r="K2461" s="49">
        <f t="shared" si="154"/>
        <v>44531</v>
      </c>
      <c r="M2461" t="b">
        <f t="shared" si="155"/>
        <v>1</v>
      </c>
    </row>
    <row r="2462" spans="1:13" x14ac:dyDescent="0.3">
      <c r="A2462" s="49">
        <v>45261</v>
      </c>
      <c r="D2462" t="s">
        <v>7360</v>
      </c>
      <c r="E2462">
        <v>1</v>
      </c>
      <c r="F2462" t="str">
        <f t="shared" si="153"/>
        <v>nov</v>
      </c>
      <c r="G2462">
        <v>20</v>
      </c>
      <c r="H2462">
        <v>22</v>
      </c>
      <c r="I2462" t="str">
        <f t="shared" si="152"/>
        <v>1-nov-2022</v>
      </c>
      <c r="K2462" s="49">
        <f t="shared" si="154"/>
        <v>44866</v>
      </c>
      <c r="M2462" t="b">
        <f t="shared" si="155"/>
        <v>1</v>
      </c>
    </row>
    <row r="2463" spans="1:13" x14ac:dyDescent="0.3">
      <c r="A2463" s="49">
        <v>45261</v>
      </c>
      <c r="D2463" t="s">
        <v>7367</v>
      </c>
      <c r="E2463">
        <v>1</v>
      </c>
      <c r="F2463" t="str">
        <f t="shared" si="153"/>
        <v>jun</v>
      </c>
      <c r="G2463">
        <v>20</v>
      </c>
      <c r="H2463">
        <v>22</v>
      </c>
      <c r="I2463" t="str">
        <f t="shared" si="152"/>
        <v>1-jun-2022</v>
      </c>
      <c r="K2463" s="49">
        <f t="shared" si="154"/>
        <v>44713</v>
      </c>
      <c r="M2463" t="b">
        <f t="shared" si="155"/>
        <v>1</v>
      </c>
    </row>
    <row r="2464" spans="1:13" x14ac:dyDescent="0.3">
      <c r="A2464" s="49">
        <v>45261</v>
      </c>
      <c r="D2464" t="s">
        <v>7367</v>
      </c>
      <c r="E2464">
        <v>1</v>
      </c>
      <c r="F2464" t="str">
        <f t="shared" si="153"/>
        <v>jun</v>
      </c>
      <c r="G2464">
        <v>20</v>
      </c>
      <c r="H2464">
        <v>16</v>
      </c>
      <c r="I2464" t="str">
        <f t="shared" si="152"/>
        <v>1-jun-2016</v>
      </c>
      <c r="K2464" s="49">
        <f t="shared" si="154"/>
        <v>42522</v>
      </c>
      <c r="M2464" t="b">
        <f t="shared" si="155"/>
        <v>1</v>
      </c>
    </row>
    <row r="2465" spans="1:13" x14ac:dyDescent="0.3">
      <c r="A2465" s="49">
        <v>45261</v>
      </c>
      <c r="D2465" t="s">
        <v>7355</v>
      </c>
      <c r="E2465">
        <v>1</v>
      </c>
      <c r="F2465" t="str">
        <f t="shared" si="153"/>
        <v>sep</v>
      </c>
      <c r="G2465">
        <v>20</v>
      </c>
      <c r="H2465">
        <v>23</v>
      </c>
      <c r="I2465" t="str">
        <f t="shared" si="152"/>
        <v>1-sep-2023</v>
      </c>
      <c r="K2465" s="49">
        <f t="shared" si="154"/>
        <v>45170</v>
      </c>
      <c r="M2465" t="b">
        <f t="shared" si="155"/>
        <v>1</v>
      </c>
    </row>
    <row r="2466" spans="1:13" x14ac:dyDescent="0.3">
      <c r="A2466" s="49">
        <v>45261</v>
      </c>
      <c r="D2466" t="s">
        <v>7355</v>
      </c>
      <c r="E2466">
        <v>1</v>
      </c>
      <c r="F2466" t="str">
        <f t="shared" si="153"/>
        <v>sep</v>
      </c>
      <c r="G2466">
        <v>20</v>
      </c>
      <c r="H2466">
        <v>23</v>
      </c>
      <c r="I2466" t="str">
        <f t="shared" si="152"/>
        <v>1-sep-2023</v>
      </c>
      <c r="K2466" s="49">
        <f t="shared" si="154"/>
        <v>45170</v>
      </c>
      <c r="M2466" t="b">
        <f t="shared" si="155"/>
        <v>1</v>
      </c>
    </row>
    <row r="2467" spans="1:13" x14ac:dyDescent="0.3">
      <c r="A2467" s="49">
        <v>45261</v>
      </c>
      <c r="D2467" t="s">
        <v>7355</v>
      </c>
      <c r="E2467">
        <v>1</v>
      </c>
      <c r="F2467" t="str">
        <f t="shared" si="153"/>
        <v>sep</v>
      </c>
      <c r="G2467">
        <v>20</v>
      </c>
      <c r="H2467">
        <v>23</v>
      </c>
      <c r="I2467" t="str">
        <f t="shared" si="152"/>
        <v>1-sep-2023</v>
      </c>
      <c r="K2467" s="49">
        <f t="shared" si="154"/>
        <v>45170</v>
      </c>
      <c r="M2467" t="b">
        <f t="shared" si="155"/>
        <v>1</v>
      </c>
    </row>
    <row r="2468" spans="1:13" x14ac:dyDescent="0.3">
      <c r="A2468" s="49">
        <v>45261</v>
      </c>
      <c r="D2468" t="s">
        <v>7355</v>
      </c>
      <c r="E2468">
        <v>1</v>
      </c>
      <c r="F2468" t="str">
        <f t="shared" si="153"/>
        <v>sep</v>
      </c>
      <c r="G2468">
        <v>20</v>
      </c>
      <c r="H2468">
        <v>23</v>
      </c>
      <c r="I2468" t="str">
        <f t="shared" si="152"/>
        <v>1-sep-2023</v>
      </c>
      <c r="K2468" s="49">
        <f t="shared" si="154"/>
        <v>45170</v>
      </c>
      <c r="M2468" t="b">
        <f t="shared" si="155"/>
        <v>1</v>
      </c>
    </row>
    <row r="2469" spans="1:13" x14ac:dyDescent="0.3">
      <c r="A2469" s="49">
        <v>45261</v>
      </c>
      <c r="D2469" t="s">
        <v>7355</v>
      </c>
      <c r="E2469">
        <v>1</v>
      </c>
      <c r="F2469" t="str">
        <f t="shared" si="153"/>
        <v>sep</v>
      </c>
      <c r="G2469">
        <v>20</v>
      </c>
      <c r="H2469">
        <v>23</v>
      </c>
      <c r="I2469" t="str">
        <f t="shared" si="152"/>
        <v>1-sep-2023</v>
      </c>
      <c r="K2469" s="49">
        <f t="shared" si="154"/>
        <v>45170</v>
      </c>
      <c r="M2469" t="b">
        <f t="shared" si="155"/>
        <v>1</v>
      </c>
    </row>
    <row r="2470" spans="1:13" x14ac:dyDescent="0.3">
      <c r="A2470" s="49">
        <v>45261</v>
      </c>
      <c r="D2470" t="s">
        <v>7368</v>
      </c>
      <c r="E2470">
        <v>1</v>
      </c>
      <c r="F2470" t="str">
        <f t="shared" si="153"/>
        <v>mar</v>
      </c>
      <c r="G2470">
        <v>20</v>
      </c>
      <c r="H2470">
        <v>25</v>
      </c>
      <c r="I2470" t="str">
        <f t="shared" si="152"/>
        <v>1-mar-2025</v>
      </c>
      <c r="K2470" s="49">
        <f t="shared" si="154"/>
        <v>45717</v>
      </c>
      <c r="M2470" t="b">
        <f t="shared" si="155"/>
        <v>0</v>
      </c>
    </row>
    <row r="2471" spans="1:13" x14ac:dyDescent="0.3">
      <c r="A2471" s="49">
        <v>45261</v>
      </c>
      <c r="D2471" t="s">
        <v>7360</v>
      </c>
      <c r="E2471">
        <v>1</v>
      </c>
      <c r="F2471" t="str">
        <f t="shared" si="153"/>
        <v>nov</v>
      </c>
      <c r="G2471">
        <v>20</v>
      </c>
      <c r="H2471">
        <v>23</v>
      </c>
      <c r="I2471" t="str">
        <f t="shared" si="152"/>
        <v>1-nov-2023</v>
      </c>
      <c r="K2471" s="49">
        <f t="shared" si="154"/>
        <v>45231</v>
      </c>
      <c r="M2471" t="b">
        <f t="shared" si="155"/>
        <v>1</v>
      </c>
    </row>
    <row r="2472" spans="1:13" x14ac:dyDescent="0.3">
      <c r="A2472" s="49">
        <v>45261</v>
      </c>
      <c r="D2472" t="s">
        <v>7360</v>
      </c>
      <c r="E2472">
        <v>1</v>
      </c>
      <c r="F2472" t="str">
        <f t="shared" si="153"/>
        <v>nov</v>
      </c>
      <c r="G2472">
        <v>20</v>
      </c>
      <c r="H2472">
        <v>23</v>
      </c>
      <c r="I2472" t="str">
        <f t="shared" si="152"/>
        <v>1-nov-2023</v>
      </c>
      <c r="K2472" s="49">
        <f t="shared" si="154"/>
        <v>45231</v>
      </c>
      <c r="M2472" t="b">
        <f t="shared" si="155"/>
        <v>1</v>
      </c>
    </row>
    <row r="2473" spans="1:13" x14ac:dyDescent="0.3">
      <c r="A2473" s="49">
        <v>45261</v>
      </c>
      <c r="D2473" t="s">
        <v>7368</v>
      </c>
      <c r="E2473">
        <v>1</v>
      </c>
      <c r="F2473" t="str">
        <f t="shared" si="153"/>
        <v>mar</v>
      </c>
      <c r="G2473">
        <v>20</v>
      </c>
      <c r="H2473">
        <v>25</v>
      </c>
      <c r="I2473" t="str">
        <f t="shared" si="152"/>
        <v>1-mar-2025</v>
      </c>
      <c r="K2473" s="49">
        <f t="shared" si="154"/>
        <v>45717</v>
      </c>
      <c r="M2473" t="b">
        <f t="shared" si="155"/>
        <v>0</v>
      </c>
    </row>
    <row r="2474" spans="1:13" x14ac:dyDescent="0.3">
      <c r="A2474" s="49">
        <v>45261</v>
      </c>
      <c r="D2474" t="s">
        <v>7360</v>
      </c>
      <c r="E2474">
        <v>1</v>
      </c>
      <c r="F2474" t="str">
        <f t="shared" si="153"/>
        <v>nov</v>
      </c>
      <c r="G2474">
        <v>20</v>
      </c>
      <c r="H2474">
        <v>23</v>
      </c>
      <c r="I2474" t="str">
        <f t="shared" si="152"/>
        <v>1-nov-2023</v>
      </c>
      <c r="K2474" s="49">
        <f t="shared" si="154"/>
        <v>45231</v>
      </c>
      <c r="M2474" t="b">
        <f t="shared" si="155"/>
        <v>1</v>
      </c>
    </row>
    <row r="2475" spans="1:13" x14ac:dyDescent="0.3">
      <c r="A2475" s="49">
        <v>45261</v>
      </c>
      <c r="D2475" t="s">
        <v>7360</v>
      </c>
      <c r="E2475">
        <v>1</v>
      </c>
      <c r="F2475" t="str">
        <f t="shared" si="153"/>
        <v>nov</v>
      </c>
      <c r="G2475">
        <v>20</v>
      </c>
      <c r="H2475">
        <v>23</v>
      </c>
      <c r="I2475" t="str">
        <f t="shared" si="152"/>
        <v>1-nov-2023</v>
      </c>
      <c r="K2475" s="49">
        <f t="shared" si="154"/>
        <v>45231</v>
      </c>
      <c r="M2475" t="b">
        <f t="shared" si="155"/>
        <v>1</v>
      </c>
    </row>
    <row r="2476" spans="1:13" x14ac:dyDescent="0.3">
      <c r="A2476" s="49">
        <v>45261</v>
      </c>
      <c r="D2476" t="s">
        <v>7359</v>
      </c>
      <c r="E2476">
        <v>1</v>
      </c>
      <c r="F2476" t="str">
        <f t="shared" si="153"/>
        <v>jul</v>
      </c>
      <c r="G2476">
        <v>20</v>
      </c>
      <c r="H2476">
        <v>23</v>
      </c>
      <c r="I2476" t="str">
        <f t="shared" si="152"/>
        <v>1-jul-2023</v>
      </c>
      <c r="K2476" s="49">
        <f t="shared" si="154"/>
        <v>45108</v>
      </c>
      <c r="M2476" t="b">
        <f t="shared" si="155"/>
        <v>1</v>
      </c>
    </row>
    <row r="2477" spans="1:13" x14ac:dyDescent="0.3">
      <c r="A2477" s="49">
        <v>45261</v>
      </c>
      <c r="D2477" t="s">
        <v>7370</v>
      </c>
      <c r="E2477">
        <v>1</v>
      </c>
      <c r="F2477" t="str">
        <f t="shared" si="153"/>
        <v>may</v>
      </c>
      <c r="G2477">
        <v>20</v>
      </c>
      <c r="H2477">
        <v>23</v>
      </c>
      <c r="I2477" t="str">
        <f t="shared" si="152"/>
        <v>1-may-2023</v>
      </c>
      <c r="K2477" s="49">
        <f t="shared" si="154"/>
        <v>45047</v>
      </c>
      <c r="M2477" t="b">
        <f t="shared" si="155"/>
        <v>1</v>
      </c>
    </row>
    <row r="2478" spans="1:13" x14ac:dyDescent="0.3">
      <c r="A2478" s="49">
        <v>45261</v>
      </c>
      <c r="D2478" t="s">
        <v>7360</v>
      </c>
      <c r="E2478">
        <v>1</v>
      </c>
      <c r="F2478" t="str">
        <f t="shared" si="153"/>
        <v>nov</v>
      </c>
      <c r="G2478">
        <v>20</v>
      </c>
      <c r="H2478">
        <v>22</v>
      </c>
      <c r="I2478" t="str">
        <f t="shared" si="152"/>
        <v>1-nov-2022</v>
      </c>
      <c r="K2478" s="49">
        <f t="shared" si="154"/>
        <v>44866</v>
      </c>
      <c r="M2478" t="b">
        <f t="shared" si="155"/>
        <v>1</v>
      </c>
    </row>
    <row r="2479" spans="1:13" x14ac:dyDescent="0.3">
      <c r="A2479" s="49">
        <v>45261</v>
      </c>
      <c r="D2479" t="s">
        <v>7368</v>
      </c>
      <c r="E2479">
        <v>1</v>
      </c>
      <c r="F2479" t="str">
        <f t="shared" si="153"/>
        <v>mar</v>
      </c>
      <c r="G2479">
        <v>20</v>
      </c>
      <c r="H2479">
        <v>23</v>
      </c>
      <c r="I2479" t="str">
        <f t="shared" si="152"/>
        <v>1-mar-2023</v>
      </c>
      <c r="K2479" s="49">
        <f t="shared" si="154"/>
        <v>44986</v>
      </c>
      <c r="M2479" t="b">
        <f t="shared" si="155"/>
        <v>1</v>
      </c>
    </row>
    <row r="2480" spans="1:13" x14ac:dyDescent="0.3">
      <c r="A2480" s="49">
        <v>45261</v>
      </c>
      <c r="D2480" t="s">
        <v>7370</v>
      </c>
      <c r="E2480">
        <v>1</v>
      </c>
      <c r="F2480" t="str">
        <f t="shared" si="153"/>
        <v>may</v>
      </c>
      <c r="G2480">
        <v>20</v>
      </c>
      <c r="H2480">
        <v>22</v>
      </c>
      <c r="I2480" t="str">
        <f t="shared" si="152"/>
        <v>1-may-2022</v>
      </c>
      <c r="K2480" s="49">
        <f t="shared" si="154"/>
        <v>44682</v>
      </c>
      <c r="M2480" t="b">
        <f t="shared" si="155"/>
        <v>1</v>
      </c>
    </row>
    <row r="2481" spans="1:13" x14ac:dyDescent="0.3">
      <c r="A2481" s="49">
        <v>45261</v>
      </c>
      <c r="D2481" t="s">
        <v>7355</v>
      </c>
      <c r="E2481">
        <v>1</v>
      </c>
      <c r="F2481" t="str">
        <f t="shared" si="153"/>
        <v>sep</v>
      </c>
      <c r="G2481">
        <v>20</v>
      </c>
      <c r="H2481">
        <v>22</v>
      </c>
      <c r="I2481" t="str">
        <f t="shared" si="152"/>
        <v>1-sep-2022</v>
      </c>
      <c r="K2481" s="49">
        <f t="shared" si="154"/>
        <v>44805</v>
      </c>
      <c r="M2481" t="b">
        <f t="shared" si="155"/>
        <v>1</v>
      </c>
    </row>
    <row r="2482" spans="1:13" x14ac:dyDescent="0.3">
      <c r="A2482" s="49">
        <v>45261</v>
      </c>
      <c r="D2482" t="s">
        <v>7355</v>
      </c>
      <c r="E2482">
        <v>1</v>
      </c>
      <c r="F2482" t="str">
        <f t="shared" si="153"/>
        <v>sep</v>
      </c>
      <c r="G2482">
        <v>20</v>
      </c>
      <c r="H2482">
        <v>22</v>
      </c>
      <c r="I2482" t="str">
        <f t="shared" si="152"/>
        <v>1-sep-2022</v>
      </c>
      <c r="K2482" s="49">
        <f t="shared" si="154"/>
        <v>44805</v>
      </c>
      <c r="M2482" t="b">
        <f t="shared" si="155"/>
        <v>1</v>
      </c>
    </row>
    <row r="2483" spans="1:13" x14ac:dyDescent="0.3">
      <c r="A2483" s="49">
        <v>45261</v>
      </c>
      <c r="D2483" t="s">
        <v>7357</v>
      </c>
      <c r="E2483">
        <v>1</v>
      </c>
      <c r="F2483" t="str">
        <f t="shared" si="153"/>
        <v>oct</v>
      </c>
      <c r="G2483">
        <v>20</v>
      </c>
      <c r="H2483">
        <v>22</v>
      </c>
      <c r="I2483" t="str">
        <f t="shared" si="152"/>
        <v>1-oct-2022</v>
      </c>
      <c r="K2483" s="49">
        <f t="shared" si="154"/>
        <v>44835</v>
      </c>
      <c r="M2483" t="b">
        <f t="shared" si="155"/>
        <v>1</v>
      </c>
    </row>
    <row r="2484" spans="1:13" x14ac:dyDescent="0.3">
      <c r="A2484" s="49">
        <v>45261</v>
      </c>
      <c r="D2484" t="s">
        <v>7359</v>
      </c>
      <c r="E2484">
        <v>1</v>
      </c>
      <c r="F2484" t="str">
        <f t="shared" si="153"/>
        <v>jul</v>
      </c>
      <c r="G2484">
        <v>20</v>
      </c>
      <c r="H2484">
        <v>19</v>
      </c>
      <c r="I2484" t="str">
        <f t="shared" si="152"/>
        <v>1-jul-2019</v>
      </c>
      <c r="K2484" s="49">
        <f t="shared" si="154"/>
        <v>43647</v>
      </c>
      <c r="M2484" t="b">
        <f t="shared" si="155"/>
        <v>1</v>
      </c>
    </row>
    <row r="2485" spans="1:13" x14ac:dyDescent="0.3">
      <c r="A2485" s="49">
        <v>45261</v>
      </c>
      <c r="D2485" t="s">
        <v>7367</v>
      </c>
      <c r="E2485">
        <v>1</v>
      </c>
      <c r="F2485" t="str">
        <f t="shared" si="153"/>
        <v>jun</v>
      </c>
      <c r="G2485">
        <v>20</v>
      </c>
      <c r="H2485">
        <v>23</v>
      </c>
      <c r="I2485" t="str">
        <f t="shared" si="152"/>
        <v>1-jun-2023</v>
      </c>
      <c r="K2485" s="49">
        <f t="shared" si="154"/>
        <v>45078</v>
      </c>
      <c r="M2485" t="b">
        <f t="shared" si="155"/>
        <v>1</v>
      </c>
    </row>
    <row r="2486" spans="1:13" x14ac:dyDescent="0.3">
      <c r="A2486" s="49">
        <v>45261</v>
      </c>
      <c r="D2486" t="s">
        <v>7367</v>
      </c>
      <c r="E2486">
        <v>1</v>
      </c>
      <c r="F2486" t="str">
        <f t="shared" si="153"/>
        <v>jun</v>
      </c>
      <c r="G2486">
        <v>20</v>
      </c>
      <c r="H2486">
        <v>22</v>
      </c>
      <c r="I2486" t="str">
        <f t="shared" si="152"/>
        <v>1-jun-2022</v>
      </c>
      <c r="K2486" s="49">
        <f t="shared" si="154"/>
        <v>44713</v>
      </c>
      <c r="M2486" t="b">
        <f t="shared" si="155"/>
        <v>1</v>
      </c>
    </row>
    <row r="2487" spans="1:13" x14ac:dyDescent="0.3">
      <c r="A2487" s="49">
        <v>45261</v>
      </c>
      <c r="D2487" t="s">
        <v>7368</v>
      </c>
      <c r="E2487">
        <v>1</v>
      </c>
      <c r="F2487" t="str">
        <f t="shared" si="153"/>
        <v>mar</v>
      </c>
      <c r="G2487">
        <v>20</v>
      </c>
      <c r="H2487">
        <v>24</v>
      </c>
      <c r="I2487" t="str">
        <f t="shared" si="152"/>
        <v>1-mar-2024</v>
      </c>
      <c r="K2487" s="49">
        <f t="shared" si="154"/>
        <v>45352</v>
      </c>
      <c r="M2487" t="b">
        <f t="shared" si="155"/>
        <v>0</v>
      </c>
    </row>
    <row r="2488" spans="1:13" x14ac:dyDescent="0.3">
      <c r="A2488" s="49">
        <v>45261</v>
      </c>
      <c r="D2488" t="s">
        <v>7355</v>
      </c>
      <c r="E2488">
        <v>1</v>
      </c>
      <c r="F2488" t="str">
        <f t="shared" si="153"/>
        <v>sep</v>
      </c>
      <c r="G2488">
        <v>20</v>
      </c>
      <c r="H2488">
        <v>22</v>
      </c>
      <c r="I2488" t="str">
        <f t="shared" si="152"/>
        <v>1-sep-2022</v>
      </c>
      <c r="K2488" s="49">
        <f t="shared" si="154"/>
        <v>44805</v>
      </c>
      <c r="M2488" t="b">
        <f t="shared" si="155"/>
        <v>1</v>
      </c>
    </row>
    <row r="2489" spans="1:13" x14ac:dyDescent="0.3">
      <c r="A2489" s="49">
        <v>45261</v>
      </c>
      <c r="D2489" t="s">
        <v>7368</v>
      </c>
      <c r="E2489">
        <v>1</v>
      </c>
      <c r="F2489" t="str">
        <f t="shared" si="153"/>
        <v>mar</v>
      </c>
      <c r="G2489">
        <v>20</v>
      </c>
      <c r="H2489">
        <v>23</v>
      </c>
      <c r="I2489" t="str">
        <f t="shared" si="152"/>
        <v>1-mar-2023</v>
      </c>
      <c r="K2489" s="49">
        <f t="shared" si="154"/>
        <v>44986</v>
      </c>
      <c r="M2489" t="b">
        <f t="shared" si="155"/>
        <v>1</v>
      </c>
    </row>
    <row r="2490" spans="1:13" x14ac:dyDescent="0.3">
      <c r="A2490" s="49">
        <v>45261</v>
      </c>
      <c r="D2490" t="s">
        <v>7359</v>
      </c>
      <c r="E2490">
        <v>1</v>
      </c>
      <c r="F2490" t="str">
        <f t="shared" si="153"/>
        <v>jul</v>
      </c>
      <c r="G2490">
        <v>20</v>
      </c>
      <c r="H2490">
        <v>23</v>
      </c>
      <c r="I2490" t="str">
        <f t="shared" si="152"/>
        <v>1-jul-2023</v>
      </c>
      <c r="K2490" s="49">
        <f t="shared" si="154"/>
        <v>45108</v>
      </c>
      <c r="M2490" t="b">
        <f t="shared" si="155"/>
        <v>1</v>
      </c>
    </row>
    <row r="2491" spans="1:13" x14ac:dyDescent="0.3">
      <c r="A2491" s="49">
        <v>45261</v>
      </c>
      <c r="D2491" t="s">
        <v>7363</v>
      </c>
      <c r="E2491">
        <v>1</v>
      </c>
      <c r="F2491" t="str">
        <f t="shared" si="153"/>
        <v>feb</v>
      </c>
      <c r="G2491">
        <v>20</v>
      </c>
      <c r="H2491">
        <v>25</v>
      </c>
      <c r="I2491" t="str">
        <f t="shared" si="152"/>
        <v>1-feb-2025</v>
      </c>
      <c r="K2491" s="49">
        <f t="shared" si="154"/>
        <v>45689</v>
      </c>
      <c r="M2491" t="b">
        <f t="shared" si="155"/>
        <v>0</v>
      </c>
    </row>
    <row r="2492" spans="1:13" x14ac:dyDescent="0.3">
      <c r="A2492" s="49">
        <v>45261</v>
      </c>
      <c r="D2492" t="s">
        <v>7360</v>
      </c>
      <c r="E2492">
        <v>1</v>
      </c>
      <c r="F2492" t="str">
        <f t="shared" si="153"/>
        <v>nov</v>
      </c>
      <c r="G2492">
        <v>20</v>
      </c>
      <c r="H2492">
        <v>22</v>
      </c>
      <c r="I2492" t="str">
        <f t="shared" si="152"/>
        <v>1-nov-2022</v>
      </c>
      <c r="K2492" s="49">
        <f t="shared" si="154"/>
        <v>44866</v>
      </c>
      <c r="M2492" t="b">
        <f t="shared" si="155"/>
        <v>1</v>
      </c>
    </row>
    <row r="2493" spans="1:13" x14ac:dyDescent="0.3">
      <c r="A2493" s="49">
        <v>45261</v>
      </c>
      <c r="D2493" t="s">
        <v>7363</v>
      </c>
      <c r="E2493">
        <v>1</v>
      </c>
      <c r="F2493" t="str">
        <f t="shared" si="153"/>
        <v>feb</v>
      </c>
      <c r="G2493">
        <v>20</v>
      </c>
      <c r="H2493">
        <v>23</v>
      </c>
      <c r="I2493" t="str">
        <f t="shared" si="152"/>
        <v>1-feb-2023</v>
      </c>
      <c r="K2493" s="49">
        <f t="shared" si="154"/>
        <v>44958</v>
      </c>
      <c r="M2493" t="b">
        <f t="shared" si="155"/>
        <v>1</v>
      </c>
    </row>
    <row r="2494" spans="1:13" x14ac:dyDescent="0.3">
      <c r="A2494" s="49">
        <v>45261</v>
      </c>
      <c r="D2494" t="s">
        <v>7355</v>
      </c>
      <c r="E2494">
        <v>1</v>
      </c>
      <c r="F2494" t="str">
        <f t="shared" si="153"/>
        <v>sep</v>
      </c>
      <c r="G2494">
        <v>20</v>
      </c>
      <c r="H2494">
        <v>23</v>
      </c>
      <c r="I2494" t="str">
        <f t="shared" si="152"/>
        <v>1-sep-2023</v>
      </c>
      <c r="K2494" s="49">
        <f t="shared" si="154"/>
        <v>45170</v>
      </c>
      <c r="M2494" t="b">
        <f t="shared" si="155"/>
        <v>1</v>
      </c>
    </row>
    <row r="2495" spans="1:13" x14ac:dyDescent="0.3">
      <c r="A2495" s="49">
        <v>45261</v>
      </c>
      <c r="D2495" t="s">
        <v>7355</v>
      </c>
      <c r="E2495">
        <v>1</v>
      </c>
      <c r="F2495" t="str">
        <f t="shared" si="153"/>
        <v>sep</v>
      </c>
      <c r="G2495">
        <v>20</v>
      </c>
      <c r="H2495">
        <v>23</v>
      </c>
      <c r="I2495" t="str">
        <f t="shared" si="152"/>
        <v>1-sep-2023</v>
      </c>
      <c r="K2495" s="49">
        <f t="shared" si="154"/>
        <v>45170</v>
      </c>
      <c r="M2495" t="b">
        <f t="shared" si="155"/>
        <v>1</v>
      </c>
    </row>
    <row r="2496" spans="1:13" x14ac:dyDescent="0.3">
      <c r="A2496" s="49">
        <v>45261</v>
      </c>
      <c r="D2496" t="s">
        <v>7355</v>
      </c>
      <c r="E2496">
        <v>1</v>
      </c>
      <c r="F2496" t="str">
        <f t="shared" si="153"/>
        <v>sep</v>
      </c>
      <c r="G2496">
        <v>20</v>
      </c>
      <c r="H2496">
        <v>23</v>
      </c>
      <c r="I2496" t="str">
        <f t="shared" si="152"/>
        <v>1-sep-2023</v>
      </c>
      <c r="K2496" s="49">
        <f t="shared" si="154"/>
        <v>45170</v>
      </c>
      <c r="M2496" t="b">
        <f t="shared" si="155"/>
        <v>1</v>
      </c>
    </row>
    <row r="2497" spans="1:13" x14ac:dyDescent="0.3">
      <c r="A2497" s="49">
        <v>45261</v>
      </c>
      <c r="D2497" t="s">
        <v>7355</v>
      </c>
      <c r="E2497">
        <v>1</v>
      </c>
      <c r="F2497" t="str">
        <f t="shared" si="153"/>
        <v>sep</v>
      </c>
      <c r="G2497">
        <v>20</v>
      </c>
      <c r="H2497">
        <v>23</v>
      </c>
      <c r="I2497" t="str">
        <f t="shared" ref="I2497:I2560" si="156">_xlfn.CONCAT(E2497,"-",F2497,"-",G2497,H2497)</f>
        <v>1-sep-2023</v>
      </c>
      <c r="K2497" s="49">
        <f t="shared" si="154"/>
        <v>45170</v>
      </c>
      <c r="M2497" t="b">
        <f t="shared" si="155"/>
        <v>1</v>
      </c>
    </row>
    <row r="2498" spans="1:13" x14ac:dyDescent="0.3">
      <c r="A2498" s="49">
        <v>45261</v>
      </c>
      <c r="D2498" t="s">
        <v>7355</v>
      </c>
      <c r="E2498">
        <v>1</v>
      </c>
      <c r="F2498" t="str">
        <f t="shared" ref="F2498:F2561" si="157">LOWER(D2498)</f>
        <v>sep</v>
      </c>
      <c r="G2498">
        <v>20</v>
      </c>
      <c r="H2498">
        <v>23</v>
      </c>
      <c r="I2498" t="str">
        <f t="shared" si="156"/>
        <v>1-sep-2023</v>
      </c>
      <c r="K2498" s="49">
        <f t="shared" ref="K2498:K2561" si="158">DATEVALUE(I2498)</f>
        <v>45170</v>
      </c>
      <c r="M2498" t="b">
        <f t="shared" si="155"/>
        <v>1</v>
      </c>
    </row>
    <row r="2499" spans="1:13" x14ac:dyDescent="0.3">
      <c r="A2499" s="49">
        <v>45261</v>
      </c>
      <c r="D2499" t="s">
        <v>7355</v>
      </c>
      <c r="E2499">
        <v>1</v>
      </c>
      <c r="F2499" t="str">
        <f t="shared" si="157"/>
        <v>sep</v>
      </c>
      <c r="G2499">
        <v>20</v>
      </c>
      <c r="H2499">
        <v>23</v>
      </c>
      <c r="I2499" t="str">
        <f t="shared" si="156"/>
        <v>1-sep-2023</v>
      </c>
      <c r="K2499" s="49">
        <f t="shared" si="158"/>
        <v>45170</v>
      </c>
      <c r="M2499" t="b">
        <f t="shared" ref="M2499:M2562" si="159">K2499&lt;A2499</f>
        <v>1</v>
      </c>
    </row>
    <row r="2500" spans="1:13" x14ac:dyDescent="0.3">
      <c r="A2500" s="49">
        <v>45261</v>
      </c>
      <c r="D2500" t="s">
        <v>7355</v>
      </c>
      <c r="E2500">
        <v>1</v>
      </c>
      <c r="F2500" t="str">
        <f t="shared" si="157"/>
        <v>sep</v>
      </c>
      <c r="G2500">
        <v>20</v>
      </c>
      <c r="H2500">
        <v>23</v>
      </c>
      <c r="I2500" t="str">
        <f t="shared" si="156"/>
        <v>1-sep-2023</v>
      </c>
      <c r="K2500" s="49">
        <f t="shared" si="158"/>
        <v>45170</v>
      </c>
      <c r="M2500" t="b">
        <f t="shared" si="159"/>
        <v>1</v>
      </c>
    </row>
    <row r="2501" spans="1:13" x14ac:dyDescent="0.3">
      <c r="A2501" s="49">
        <v>45261</v>
      </c>
      <c r="D2501" t="s">
        <v>7355</v>
      </c>
      <c r="E2501">
        <v>1</v>
      </c>
      <c r="F2501" t="str">
        <f t="shared" si="157"/>
        <v>sep</v>
      </c>
      <c r="G2501">
        <v>20</v>
      </c>
      <c r="H2501">
        <v>23</v>
      </c>
      <c r="I2501" t="str">
        <f t="shared" si="156"/>
        <v>1-sep-2023</v>
      </c>
      <c r="K2501" s="49">
        <f t="shared" si="158"/>
        <v>45170</v>
      </c>
      <c r="M2501" t="b">
        <f t="shared" si="159"/>
        <v>1</v>
      </c>
    </row>
    <row r="2502" spans="1:13" x14ac:dyDescent="0.3">
      <c r="A2502" s="49">
        <v>45261</v>
      </c>
      <c r="D2502" t="s">
        <v>7360</v>
      </c>
      <c r="E2502">
        <v>1</v>
      </c>
      <c r="F2502" t="str">
        <f t="shared" si="157"/>
        <v>nov</v>
      </c>
      <c r="G2502">
        <v>20</v>
      </c>
      <c r="H2502">
        <v>24</v>
      </c>
      <c r="I2502" t="str">
        <f t="shared" si="156"/>
        <v>1-nov-2024</v>
      </c>
      <c r="K2502" s="49">
        <f t="shared" si="158"/>
        <v>45597</v>
      </c>
      <c r="M2502" t="b">
        <f t="shared" si="159"/>
        <v>0</v>
      </c>
    </row>
    <row r="2503" spans="1:13" x14ac:dyDescent="0.3">
      <c r="A2503" s="49">
        <v>45261</v>
      </c>
      <c r="D2503" t="s">
        <v>7366</v>
      </c>
      <c r="E2503">
        <v>1</v>
      </c>
      <c r="F2503" t="str">
        <f t="shared" si="157"/>
        <v>dic</v>
      </c>
      <c r="G2503">
        <v>20</v>
      </c>
      <c r="H2503">
        <v>22</v>
      </c>
      <c r="I2503" t="str">
        <f t="shared" si="156"/>
        <v>1-dic-2022</v>
      </c>
      <c r="K2503" s="49">
        <f t="shared" si="158"/>
        <v>44896</v>
      </c>
      <c r="M2503" t="b">
        <f t="shared" si="159"/>
        <v>1</v>
      </c>
    </row>
    <row r="2504" spans="1:13" x14ac:dyDescent="0.3">
      <c r="A2504" s="49">
        <v>45261</v>
      </c>
      <c r="D2504" t="s">
        <v>7369</v>
      </c>
      <c r="E2504">
        <v>1</v>
      </c>
      <c r="F2504" t="str">
        <f t="shared" si="157"/>
        <v>abr</v>
      </c>
      <c r="G2504">
        <v>20</v>
      </c>
      <c r="H2504">
        <v>23</v>
      </c>
      <c r="I2504" t="str">
        <f t="shared" si="156"/>
        <v>1-abr-2023</v>
      </c>
      <c r="K2504" s="49">
        <f t="shared" si="158"/>
        <v>45017</v>
      </c>
      <c r="M2504" t="b">
        <f t="shared" si="159"/>
        <v>1</v>
      </c>
    </row>
    <row r="2505" spans="1:13" x14ac:dyDescent="0.3">
      <c r="A2505" s="49">
        <v>45261</v>
      </c>
      <c r="D2505" t="s">
        <v>7369</v>
      </c>
      <c r="E2505">
        <v>1</v>
      </c>
      <c r="F2505" t="str">
        <f t="shared" si="157"/>
        <v>abr</v>
      </c>
      <c r="G2505">
        <v>20</v>
      </c>
      <c r="H2505">
        <v>23</v>
      </c>
      <c r="I2505" t="str">
        <f t="shared" si="156"/>
        <v>1-abr-2023</v>
      </c>
      <c r="K2505" s="49">
        <f t="shared" si="158"/>
        <v>45017</v>
      </c>
      <c r="M2505" t="b">
        <f t="shared" si="159"/>
        <v>1</v>
      </c>
    </row>
    <row r="2506" spans="1:13" x14ac:dyDescent="0.3">
      <c r="A2506" s="49">
        <v>45261</v>
      </c>
      <c r="D2506" t="s">
        <v>7369</v>
      </c>
      <c r="E2506">
        <v>1</v>
      </c>
      <c r="F2506" t="str">
        <f t="shared" si="157"/>
        <v>abr</v>
      </c>
      <c r="G2506">
        <v>20</v>
      </c>
      <c r="H2506">
        <v>23</v>
      </c>
      <c r="I2506" t="str">
        <f t="shared" si="156"/>
        <v>1-abr-2023</v>
      </c>
      <c r="K2506" s="49">
        <f t="shared" si="158"/>
        <v>45017</v>
      </c>
      <c r="M2506" t="b">
        <f t="shared" si="159"/>
        <v>1</v>
      </c>
    </row>
    <row r="2507" spans="1:13" x14ac:dyDescent="0.3">
      <c r="A2507" s="49">
        <v>45261</v>
      </c>
      <c r="D2507" t="s">
        <v>7369</v>
      </c>
      <c r="E2507">
        <v>1</v>
      </c>
      <c r="F2507" t="str">
        <f t="shared" si="157"/>
        <v>abr</v>
      </c>
      <c r="G2507">
        <v>20</v>
      </c>
      <c r="H2507">
        <v>23</v>
      </c>
      <c r="I2507" t="str">
        <f t="shared" si="156"/>
        <v>1-abr-2023</v>
      </c>
      <c r="K2507" s="49">
        <f t="shared" si="158"/>
        <v>45017</v>
      </c>
      <c r="M2507" t="b">
        <f t="shared" si="159"/>
        <v>1</v>
      </c>
    </row>
    <row r="2508" spans="1:13" x14ac:dyDescent="0.3">
      <c r="A2508" s="49">
        <v>45261</v>
      </c>
      <c r="D2508" t="s">
        <v>7369</v>
      </c>
      <c r="E2508">
        <v>1</v>
      </c>
      <c r="F2508" t="str">
        <f t="shared" si="157"/>
        <v>abr</v>
      </c>
      <c r="G2508">
        <v>20</v>
      </c>
      <c r="H2508">
        <v>23</v>
      </c>
      <c r="I2508" t="str">
        <f t="shared" si="156"/>
        <v>1-abr-2023</v>
      </c>
      <c r="K2508" s="49">
        <f t="shared" si="158"/>
        <v>45017</v>
      </c>
      <c r="M2508" t="b">
        <f t="shared" si="159"/>
        <v>1</v>
      </c>
    </row>
    <row r="2509" spans="1:13" x14ac:dyDescent="0.3">
      <c r="A2509" s="49">
        <v>45261</v>
      </c>
      <c r="D2509" t="s">
        <v>7369</v>
      </c>
      <c r="E2509">
        <v>1</v>
      </c>
      <c r="F2509" t="str">
        <f t="shared" si="157"/>
        <v>abr</v>
      </c>
      <c r="G2509">
        <v>20</v>
      </c>
      <c r="H2509">
        <v>23</v>
      </c>
      <c r="I2509" t="str">
        <f t="shared" si="156"/>
        <v>1-abr-2023</v>
      </c>
      <c r="K2509" s="49">
        <f t="shared" si="158"/>
        <v>45017</v>
      </c>
      <c r="M2509" t="b">
        <f t="shared" si="159"/>
        <v>1</v>
      </c>
    </row>
    <row r="2510" spans="1:13" x14ac:dyDescent="0.3">
      <c r="A2510" s="49">
        <v>45261</v>
      </c>
      <c r="D2510" t="s">
        <v>7369</v>
      </c>
      <c r="E2510">
        <v>1</v>
      </c>
      <c r="F2510" t="str">
        <f t="shared" si="157"/>
        <v>abr</v>
      </c>
      <c r="G2510">
        <v>20</v>
      </c>
      <c r="H2510">
        <v>23</v>
      </c>
      <c r="I2510" t="str">
        <f t="shared" si="156"/>
        <v>1-abr-2023</v>
      </c>
      <c r="K2510" s="49">
        <f t="shared" si="158"/>
        <v>45017</v>
      </c>
      <c r="M2510" t="b">
        <f t="shared" si="159"/>
        <v>1</v>
      </c>
    </row>
    <row r="2511" spans="1:13" x14ac:dyDescent="0.3">
      <c r="A2511" s="49">
        <v>45261</v>
      </c>
      <c r="D2511" t="s">
        <v>7369</v>
      </c>
      <c r="E2511">
        <v>1</v>
      </c>
      <c r="F2511" t="str">
        <f t="shared" si="157"/>
        <v>abr</v>
      </c>
      <c r="G2511">
        <v>20</v>
      </c>
      <c r="H2511">
        <v>23</v>
      </c>
      <c r="I2511" t="str">
        <f t="shared" si="156"/>
        <v>1-abr-2023</v>
      </c>
      <c r="K2511" s="49">
        <f t="shared" si="158"/>
        <v>45017</v>
      </c>
      <c r="M2511" t="b">
        <f t="shared" si="159"/>
        <v>1</v>
      </c>
    </row>
    <row r="2512" spans="1:13" x14ac:dyDescent="0.3">
      <c r="A2512" s="49">
        <v>45261</v>
      </c>
      <c r="D2512" t="s">
        <v>7362</v>
      </c>
      <c r="E2512">
        <v>1</v>
      </c>
      <c r="F2512" t="str">
        <f t="shared" si="157"/>
        <v>ago</v>
      </c>
      <c r="G2512">
        <v>20</v>
      </c>
      <c r="H2512">
        <v>23</v>
      </c>
      <c r="I2512" t="str">
        <f t="shared" si="156"/>
        <v>1-ago-2023</v>
      </c>
      <c r="K2512" s="49">
        <f t="shared" si="158"/>
        <v>45139</v>
      </c>
      <c r="M2512" t="b">
        <f t="shared" si="159"/>
        <v>1</v>
      </c>
    </row>
    <row r="2513" spans="1:13" x14ac:dyDescent="0.3">
      <c r="A2513" s="49">
        <v>45261</v>
      </c>
      <c r="D2513" t="s">
        <v>7362</v>
      </c>
      <c r="E2513">
        <v>1</v>
      </c>
      <c r="F2513" t="str">
        <f t="shared" si="157"/>
        <v>ago</v>
      </c>
      <c r="G2513">
        <v>20</v>
      </c>
      <c r="H2513">
        <v>23</v>
      </c>
      <c r="I2513" t="str">
        <f t="shared" si="156"/>
        <v>1-ago-2023</v>
      </c>
      <c r="K2513" s="49">
        <f t="shared" si="158"/>
        <v>45139</v>
      </c>
      <c r="M2513" t="b">
        <f t="shared" si="159"/>
        <v>1</v>
      </c>
    </row>
    <row r="2514" spans="1:13" x14ac:dyDescent="0.3">
      <c r="A2514" s="49">
        <v>45261</v>
      </c>
      <c r="D2514" t="s">
        <v>7362</v>
      </c>
      <c r="E2514">
        <v>1</v>
      </c>
      <c r="F2514" t="str">
        <f t="shared" si="157"/>
        <v>ago</v>
      </c>
      <c r="G2514">
        <v>20</v>
      </c>
      <c r="H2514">
        <v>22</v>
      </c>
      <c r="I2514" t="str">
        <f t="shared" si="156"/>
        <v>1-ago-2022</v>
      </c>
      <c r="K2514" s="49">
        <f t="shared" si="158"/>
        <v>44774</v>
      </c>
      <c r="M2514" t="b">
        <f t="shared" si="159"/>
        <v>1</v>
      </c>
    </row>
    <row r="2515" spans="1:13" x14ac:dyDescent="0.3">
      <c r="A2515" s="49">
        <v>45261</v>
      </c>
      <c r="D2515" t="s">
        <v>7362</v>
      </c>
      <c r="E2515">
        <v>1</v>
      </c>
      <c r="F2515" t="str">
        <f t="shared" si="157"/>
        <v>ago</v>
      </c>
      <c r="G2515">
        <v>20</v>
      </c>
      <c r="H2515">
        <v>23</v>
      </c>
      <c r="I2515" t="str">
        <f t="shared" si="156"/>
        <v>1-ago-2023</v>
      </c>
      <c r="K2515" s="49">
        <f t="shared" si="158"/>
        <v>45139</v>
      </c>
      <c r="M2515" t="b">
        <f t="shared" si="159"/>
        <v>1</v>
      </c>
    </row>
    <row r="2516" spans="1:13" x14ac:dyDescent="0.3">
      <c r="A2516" s="49">
        <v>45261</v>
      </c>
      <c r="D2516" t="s">
        <v>7362</v>
      </c>
      <c r="E2516">
        <v>1</v>
      </c>
      <c r="F2516" t="str">
        <f t="shared" si="157"/>
        <v>ago</v>
      </c>
      <c r="G2516">
        <v>20</v>
      </c>
      <c r="H2516">
        <v>23</v>
      </c>
      <c r="I2516" t="str">
        <f t="shared" si="156"/>
        <v>1-ago-2023</v>
      </c>
      <c r="K2516" s="49">
        <f t="shared" si="158"/>
        <v>45139</v>
      </c>
      <c r="M2516" t="b">
        <f t="shared" si="159"/>
        <v>1</v>
      </c>
    </row>
    <row r="2517" spans="1:13" x14ac:dyDescent="0.3">
      <c r="A2517" s="49">
        <v>45261</v>
      </c>
      <c r="D2517" t="s">
        <v>7362</v>
      </c>
      <c r="E2517">
        <v>1</v>
      </c>
      <c r="F2517" t="str">
        <f t="shared" si="157"/>
        <v>ago</v>
      </c>
      <c r="G2517">
        <v>20</v>
      </c>
      <c r="H2517">
        <v>23</v>
      </c>
      <c r="I2517" t="str">
        <f t="shared" si="156"/>
        <v>1-ago-2023</v>
      </c>
      <c r="K2517" s="49">
        <f t="shared" si="158"/>
        <v>45139</v>
      </c>
      <c r="M2517" t="b">
        <f t="shared" si="159"/>
        <v>1</v>
      </c>
    </row>
    <row r="2518" spans="1:13" x14ac:dyDescent="0.3">
      <c r="A2518" s="49">
        <v>45261</v>
      </c>
      <c r="D2518" t="s">
        <v>7356</v>
      </c>
      <c r="E2518">
        <v>1</v>
      </c>
      <c r="F2518" t="str">
        <f t="shared" si="157"/>
        <v>ene</v>
      </c>
      <c r="G2518">
        <v>20</v>
      </c>
      <c r="H2518">
        <v>18</v>
      </c>
      <c r="I2518" t="str">
        <f t="shared" si="156"/>
        <v>1-ene-2018</v>
      </c>
      <c r="K2518" s="49">
        <f t="shared" si="158"/>
        <v>43101</v>
      </c>
      <c r="M2518" t="b">
        <f t="shared" si="159"/>
        <v>1</v>
      </c>
    </row>
    <row r="2519" spans="1:13" x14ac:dyDescent="0.3">
      <c r="A2519" s="49">
        <v>45261</v>
      </c>
      <c r="D2519" t="s">
        <v>7356</v>
      </c>
      <c r="E2519">
        <v>1</v>
      </c>
      <c r="F2519" t="str">
        <f t="shared" si="157"/>
        <v>ene</v>
      </c>
      <c r="G2519">
        <v>20</v>
      </c>
      <c r="H2519">
        <v>22</v>
      </c>
      <c r="I2519" t="str">
        <f t="shared" si="156"/>
        <v>1-ene-2022</v>
      </c>
      <c r="K2519" s="49">
        <f t="shared" si="158"/>
        <v>44562</v>
      </c>
      <c r="M2519" t="b">
        <f t="shared" si="159"/>
        <v>1</v>
      </c>
    </row>
    <row r="2520" spans="1:13" x14ac:dyDescent="0.3">
      <c r="A2520" s="49">
        <v>45261</v>
      </c>
      <c r="D2520" t="s">
        <v>7356</v>
      </c>
      <c r="E2520">
        <v>1</v>
      </c>
      <c r="F2520" t="str">
        <f t="shared" si="157"/>
        <v>ene</v>
      </c>
      <c r="G2520">
        <v>20</v>
      </c>
      <c r="H2520">
        <v>24</v>
      </c>
      <c r="I2520" t="str">
        <f t="shared" si="156"/>
        <v>1-ene-2024</v>
      </c>
      <c r="K2520" s="49">
        <f t="shared" si="158"/>
        <v>45292</v>
      </c>
      <c r="M2520" t="b">
        <f t="shared" si="159"/>
        <v>0</v>
      </c>
    </row>
    <row r="2521" spans="1:13" x14ac:dyDescent="0.3">
      <c r="A2521" s="49">
        <v>45261</v>
      </c>
      <c r="D2521" t="s">
        <v>7367</v>
      </c>
      <c r="E2521">
        <v>1</v>
      </c>
      <c r="F2521" t="str">
        <f t="shared" si="157"/>
        <v>jun</v>
      </c>
      <c r="G2521">
        <v>20</v>
      </c>
      <c r="H2521">
        <v>22</v>
      </c>
      <c r="I2521" t="str">
        <f t="shared" si="156"/>
        <v>1-jun-2022</v>
      </c>
      <c r="K2521" s="49">
        <f t="shared" si="158"/>
        <v>44713</v>
      </c>
      <c r="M2521" t="b">
        <f t="shared" si="159"/>
        <v>1</v>
      </c>
    </row>
    <row r="2522" spans="1:13" x14ac:dyDescent="0.3">
      <c r="A2522" s="49">
        <v>45261</v>
      </c>
      <c r="D2522" t="s">
        <v>7356</v>
      </c>
      <c r="E2522">
        <v>1</v>
      </c>
      <c r="F2522" t="str">
        <f t="shared" si="157"/>
        <v>ene</v>
      </c>
      <c r="G2522">
        <v>20</v>
      </c>
      <c r="H2522">
        <v>18</v>
      </c>
      <c r="I2522" t="str">
        <f t="shared" si="156"/>
        <v>1-ene-2018</v>
      </c>
      <c r="K2522" s="49">
        <f t="shared" si="158"/>
        <v>43101</v>
      </c>
      <c r="M2522" t="b">
        <f t="shared" si="159"/>
        <v>1</v>
      </c>
    </row>
    <row r="2523" spans="1:13" x14ac:dyDescent="0.3">
      <c r="A2523" s="49">
        <v>45261</v>
      </c>
      <c r="D2523" t="s">
        <v>7362</v>
      </c>
      <c r="E2523">
        <v>1</v>
      </c>
      <c r="F2523" t="str">
        <f t="shared" si="157"/>
        <v>ago</v>
      </c>
      <c r="G2523">
        <v>20</v>
      </c>
      <c r="H2523">
        <v>23</v>
      </c>
      <c r="I2523" t="str">
        <f t="shared" si="156"/>
        <v>1-ago-2023</v>
      </c>
      <c r="K2523" s="49">
        <f t="shared" si="158"/>
        <v>45139</v>
      </c>
      <c r="M2523" t="b">
        <f t="shared" si="159"/>
        <v>1</v>
      </c>
    </row>
    <row r="2524" spans="1:13" x14ac:dyDescent="0.3">
      <c r="A2524" s="49">
        <v>45261</v>
      </c>
      <c r="D2524" t="s">
        <v>7362</v>
      </c>
      <c r="E2524">
        <v>1</v>
      </c>
      <c r="F2524" t="str">
        <f t="shared" si="157"/>
        <v>ago</v>
      </c>
      <c r="G2524">
        <v>20</v>
      </c>
      <c r="H2524">
        <v>23</v>
      </c>
      <c r="I2524" t="str">
        <f t="shared" si="156"/>
        <v>1-ago-2023</v>
      </c>
      <c r="K2524" s="49">
        <f t="shared" si="158"/>
        <v>45139</v>
      </c>
      <c r="M2524" t="b">
        <f t="shared" si="159"/>
        <v>1</v>
      </c>
    </row>
    <row r="2525" spans="1:13" x14ac:dyDescent="0.3">
      <c r="A2525" s="49">
        <v>45261</v>
      </c>
      <c r="D2525" t="s">
        <v>7357</v>
      </c>
      <c r="E2525">
        <v>1</v>
      </c>
      <c r="F2525" t="str">
        <f t="shared" si="157"/>
        <v>oct</v>
      </c>
      <c r="G2525">
        <v>20</v>
      </c>
      <c r="H2525">
        <v>18</v>
      </c>
      <c r="I2525" t="str">
        <f t="shared" si="156"/>
        <v>1-oct-2018</v>
      </c>
      <c r="K2525" s="49">
        <f t="shared" si="158"/>
        <v>43374</v>
      </c>
      <c r="M2525" t="b">
        <f t="shared" si="159"/>
        <v>1</v>
      </c>
    </row>
    <row r="2526" spans="1:13" x14ac:dyDescent="0.3">
      <c r="A2526" s="49">
        <v>45261</v>
      </c>
      <c r="D2526" t="s">
        <v>7366</v>
      </c>
      <c r="E2526">
        <v>1</v>
      </c>
      <c r="F2526" t="str">
        <f t="shared" si="157"/>
        <v>dic</v>
      </c>
      <c r="G2526">
        <v>20</v>
      </c>
      <c r="H2526">
        <v>15</v>
      </c>
      <c r="I2526" t="str">
        <f t="shared" si="156"/>
        <v>1-dic-2015</v>
      </c>
      <c r="K2526" s="49">
        <f t="shared" si="158"/>
        <v>42339</v>
      </c>
      <c r="M2526" t="b">
        <f t="shared" si="159"/>
        <v>1</v>
      </c>
    </row>
    <row r="2527" spans="1:13" x14ac:dyDescent="0.3">
      <c r="A2527" s="49">
        <v>45261</v>
      </c>
      <c r="D2527" t="s">
        <v>7355</v>
      </c>
      <c r="E2527">
        <v>1</v>
      </c>
      <c r="F2527" t="str">
        <f t="shared" si="157"/>
        <v>sep</v>
      </c>
      <c r="G2527">
        <v>20</v>
      </c>
      <c r="H2527">
        <v>22</v>
      </c>
      <c r="I2527" t="str">
        <f t="shared" si="156"/>
        <v>1-sep-2022</v>
      </c>
      <c r="K2527" s="49">
        <f t="shared" si="158"/>
        <v>44805</v>
      </c>
      <c r="M2527" t="b">
        <f t="shared" si="159"/>
        <v>1</v>
      </c>
    </row>
    <row r="2528" spans="1:13" x14ac:dyDescent="0.3">
      <c r="A2528" s="49">
        <v>45261</v>
      </c>
      <c r="D2528" t="s">
        <v>7368</v>
      </c>
      <c r="E2528">
        <v>1</v>
      </c>
      <c r="F2528" t="str">
        <f t="shared" si="157"/>
        <v>mar</v>
      </c>
      <c r="G2528">
        <v>20</v>
      </c>
      <c r="H2528">
        <v>21</v>
      </c>
      <c r="I2528" t="str">
        <f t="shared" si="156"/>
        <v>1-mar-2021</v>
      </c>
      <c r="K2528" s="49">
        <f t="shared" si="158"/>
        <v>44256</v>
      </c>
      <c r="M2528" t="b">
        <f t="shared" si="159"/>
        <v>1</v>
      </c>
    </row>
    <row r="2529" spans="1:13" x14ac:dyDescent="0.3">
      <c r="A2529" s="49">
        <v>45261</v>
      </c>
      <c r="D2529" t="s">
        <v>7368</v>
      </c>
      <c r="E2529">
        <v>1</v>
      </c>
      <c r="F2529" t="str">
        <f t="shared" si="157"/>
        <v>mar</v>
      </c>
      <c r="G2529">
        <v>20</v>
      </c>
      <c r="H2529">
        <v>23</v>
      </c>
      <c r="I2529" t="str">
        <f t="shared" si="156"/>
        <v>1-mar-2023</v>
      </c>
      <c r="K2529" s="49">
        <f t="shared" si="158"/>
        <v>44986</v>
      </c>
      <c r="M2529" t="b">
        <f t="shared" si="159"/>
        <v>1</v>
      </c>
    </row>
    <row r="2530" spans="1:13" x14ac:dyDescent="0.3">
      <c r="A2530" s="49">
        <v>45261</v>
      </c>
      <c r="D2530" t="s">
        <v>7359</v>
      </c>
      <c r="E2530">
        <v>1</v>
      </c>
      <c r="F2530" t="str">
        <f t="shared" si="157"/>
        <v>jul</v>
      </c>
      <c r="G2530">
        <v>20</v>
      </c>
      <c r="H2530">
        <v>23</v>
      </c>
      <c r="I2530" t="str">
        <f t="shared" si="156"/>
        <v>1-jul-2023</v>
      </c>
      <c r="K2530" s="49">
        <f t="shared" si="158"/>
        <v>45108</v>
      </c>
      <c r="M2530" t="b">
        <f t="shared" si="159"/>
        <v>1</v>
      </c>
    </row>
    <row r="2531" spans="1:13" x14ac:dyDescent="0.3">
      <c r="A2531" s="49">
        <v>45261</v>
      </c>
      <c r="D2531" t="s">
        <v>7359</v>
      </c>
      <c r="E2531">
        <v>1</v>
      </c>
      <c r="F2531" t="str">
        <f t="shared" si="157"/>
        <v>jul</v>
      </c>
      <c r="G2531">
        <v>20</v>
      </c>
      <c r="H2531">
        <v>23</v>
      </c>
      <c r="I2531" t="str">
        <f t="shared" si="156"/>
        <v>1-jul-2023</v>
      </c>
      <c r="K2531" s="49">
        <f t="shared" si="158"/>
        <v>45108</v>
      </c>
      <c r="M2531" t="b">
        <f t="shared" si="159"/>
        <v>1</v>
      </c>
    </row>
    <row r="2532" spans="1:13" x14ac:dyDescent="0.3">
      <c r="A2532" s="49">
        <v>45261</v>
      </c>
      <c r="D2532" t="s">
        <v>7369</v>
      </c>
      <c r="E2532">
        <v>1</v>
      </c>
      <c r="F2532" t="str">
        <f t="shared" si="157"/>
        <v>abr</v>
      </c>
      <c r="G2532">
        <v>20</v>
      </c>
      <c r="H2532">
        <v>23</v>
      </c>
      <c r="I2532" t="str">
        <f t="shared" si="156"/>
        <v>1-abr-2023</v>
      </c>
      <c r="K2532" s="49">
        <f t="shared" si="158"/>
        <v>45017</v>
      </c>
      <c r="M2532" t="b">
        <f t="shared" si="159"/>
        <v>1</v>
      </c>
    </row>
    <row r="2533" spans="1:13" x14ac:dyDescent="0.3">
      <c r="A2533" s="49">
        <v>45261</v>
      </c>
      <c r="D2533" t="s">
        <v>7368</v>
      </c>
      <c r="E2533">
        <v>1</v>
      </c>
      <c r="F2533" t="str">
        <f t="shared" si="157"/>
        <v>mar</v>
      </c>
      <c r="G2533">
        <v>20</v>
      </c>
      <c r="H2533">
        <v>23</v>
      </c>
      <c r="I2533" t="str">
        <f t="shared" si="156"/>
        <v>1-mar-2023</v>
      </c>
      <c r="K2533" s="49">
        <f t="shared" si="158"/>
        <v>44986</v>
      </c>
      <c r="M2533" t="b">
        <f t="shared" si="159"/>
        <v>1</v>
      </c>
    </row>
    <row r="2534" spans="1:13" x14ac:dyDescent="0.3">
      <c r="A2534" s="49">
        <v>45261</v>
      </c>
      <c r="D2534" t="s">
        <v>7359</v>
      </c>
      <c r="E2534">
        <v>1</v>
      </c>
      <c r="F2534" t="str">
        <f t="shared" si="157"/>
        <v>jul</v>
      </c>
      <c r="G2534">
        <v>20</v>
      </c>
      <c r="H2534">
        <v>23</v>
      </c>
      <c r="I2534" t="str">
        <f t="shared" si="156"/>
        <v>1-jul-2023</v>
      </c>
      <c r="K2534" s="49">
        <f t="shared" si="158"/>
        <v>45108</v>
      </c>
      <c r="M2534" t="b">
        <f t="shared" si="159"/>
        <v>1</v>
      </c>
    </row>
    <row r="2535" spans="1:13" x14ac:dyDescent="0.3">
      <c r="A2535" s="49">
        <v>45261</v>
      </c>
      <c r="D2535" t="s">
        <v>7359</v>
      </c>
      <c r="E2535">
        <v>1</v>
      </c>
      <c r="F2535" t="str">
        <f t="shared" si="157"/>
        <v>jul</v>
      </c>
      <c r="G2535">
        <v>20</v>
      </c>
      <c r="H2535">
        <v>23</v>
      </c>
      <c r="I2535" t="str">
        <f t="shared" si="156"/>
        <v>1-jul-2023</v>
      </c>
      <c r="K2535" s="49">
        <f t="shared" si="158"/>
        <v>45108</v>
      </c>
      <c r="M2535" t="b">
        <f t="shared" si="159"/>
        <v>1</v>
      </c>
    </row>
    <row r="2536" spans="1:13" x14ac:dyDescent="0.3">
      <c r="A2536" s="49">
        <v>45261</v>
      </c>
      <c r="D2536" t="s">
        <v>7355</v>
      </c>
      <c r="E2536">
        <v>1</v>
      </c>
      <c r="F2536" t="str">
        <f t="shared" si="157"/>
        <v>sep</v>
      </c>
      <c r="G2536">
        <v>20</v>
      </c>
      <c r="H2536">
        <v>23</v>
      </c>
      <c r="I2536" t="str">
        <f t="shared" si="156"/>
        <v>1-sep-2023</v>
      </c>
      <c r="K2536" s="49">
        <f t="shared" si="158"/>
        <v>45170</v>
      </c>
      <c r="M2536" t="b">
        <f t="shared" si="159"/>
        <v>1</v>
      </c>
    </row>
    <row r="2537" spans="1:13" x14ac:dyDescent="0.3">
      <c r="A2537" s="49">
        <v>45261</v>
      </c>
      <c r="D2537" t="s">
        <v>7370</v>
      </c>
      <c r="E2537">
        <v>1</v>
      </c>
      <c r="F2537" t="str">
        <f t="shared" si="157"/>
        <v>may</v>
      </c>
      <c r="G2537">
        <v>20</v>
      </c>
      <c r="H2537">
        <v>22</v>
      </c>
      <c r="I2537" t="str">
        <f t="shared" si="156"/>
        <v>1-may-2022</v>
      </c>
      <c r="K2537" s="49">
        <f t="shared" si="158"/>
        <v>44682</v>
      </c>
      <c r="M2537" t="b">
        <f t="shared" si="159"/>
        <v>1</v>
      </c>
    </row>
    <row r="2538" spans="1:13" x14ac:dyDescent="0.3">
      <c r="A2538" s="49">
        <v>45261</v>
      </c>
      <c r="D2538" t="s">
        <v>7355</v>
      </c>
      <c r="E2538">
        <v>1</v>
      </c>
      <c r="F2538" t="str">
        <f t="shared" si="157"/>
        <v>sep</v>
      </c>
      <c r="G2538">
        <v>20</v>
      </c>
      <c r="H2538">
        <v>22</v>
      </c>
      <c r="I2538" t="str">
        <f t="shared" si="156"/>
        <v>1-sep-2022</v>
      </c>
      <c r="K2538" s="49">
        <f t="shared" si="158"/>
        <v>44805</v>
      </c>
      <c r="M2538" t="b">
        <f t="shared" si="159"/>
        <v>1</v>
      </c>
    </row>
    <row r="2539" spans="1:13" x14ac:dyDescent="0.3">
      <c r="A2539" s="49">
        <v>45261</v>
      </c>
      <c r="D2539" t="s">
        <v>7363</v>
      </c>
      <c r="E2539">
        <v>1</v>
      </c>
      <c r="F2539" t="str">
        <f t="shared" si="157"/>
        <v>feb</v>
      </c>
      <c r="G2539">
        <v>20</v>
      </c>
      <c r="H2539">
        <v>25</v>
      </c>
      <c r="I2539" t="str">
        <f t="shared" si="156"/>
        <v>1-feb-2025</v>
      </c>
      <c r="K2539" s="49">
        <f t="shared" si="158"/>
        <v>45689</v>
      </c>
      <c r="M2539" t="b">
        <f t="shared" si="159"/>
        <v>0</v>
      </c>
    </row>
    <row r="2540" spans="1:13" x14ac:dyDescent="0.3">
      <c r="A2540" s="49">
        <v>45261</v>
      </c>
      <c r="D2540" t="s">
        <v>7370</v>
      </c>
      <c r="E2540">
        <v>1</v>
      </c>
      <c r="F2540" t="str">
        <f t="shared" si="157"/>
        <v>may</v>
      </c>
      <c r="G2540">
        <v>20</v>
      </c>
      <c r="H2540">
        <v>26</v>
      </c>
      <c r="I2540" t="str">
        <f t="shared" si="156"/>
        <v>1-may-2026</v>
      </c>
      <c r="K2540" s="49">
        <f t="shared" si="158"/>
        <v>46143</v>
      </c>
      <c r="M2540" t="b">
        <f t="shared" si="159"/>
        <v>0</v>
      </c>
    </row>
    <row r="2541" spans="1:13" x14ac:dyDescent="0.3">
      <c r="A2541" s="49">
        <v>45261</v>
      </c>
      <c r="D2541" t="s">
        <v>7356</v>
      </c>
      <c r="E2541">
        <v>1</v>
      </c>
      <c r="F2541" t="str">
        <f t="shared" si="157"/>
        <v>ene</v>
      </c>
      <c r="G2541">
        <v>20</v>
      </c>
      <c r="H2541">
        <v>23</v>
      </c>
      <c r="I2541" t="str">
        <f t="shared" si="156"/>
        <v>1-ene-2023</v>
      </c>
      <c r="K2541" s="49">
        <f t="shared" si="158"/>
        <v>44927</v>
      </c>
      <c r="M2541" t="b">
        <f t="shared" si="159"/>
        <v>1</v>
      </c>
    </row>
    <row r="2542" spans="1:13" x14ac:dyDescent="0.3">
      <c r="A2542" s="49">
        <v>45261</v>
      </c>
      <c r="D2542" t="s">
        <v>7359</v>
      </c>
      <c r="E2542">
        <v>1</v>
      </c>
      <c r="F2542" t="str">
        <f t="shared" si="157"/>
        <v>jul</v>
      </c>
      <c r="G2542">
        <v>20</v>
      </c>
      <c r="H2542">
        <v>23</v>
      </c>
      <c r="I2542" t="str">
        <f t="shared" si="156"/>
        <v>1-jul-2023</v>
      </c>
      <c r="K2542" s="49">
        <f t="shared" si="158"/>
        <v>45108</v>
      </c>
      <c r="M2542" t="b">
        <f t="shared" si="159"/>
        <v>1</v>
      </c>
    </row>
    <row r="2543" spans="1:13" x14ac:dyDescent="0.3">
      <c r="A2543" s="49">
        <v>45261</v>
      </c>
      <c r="D2543" t="s">
        <v>7369</v>
      </c>
      <c r="E2543">
        <v>1</v>
      </c>
      <c r="F2543" t="str">
        <f t="shared" si="157"/>
        <v>abr</v>
      </c>
      <c r="G2543">
        <v>20</v>
      </c>
      <c r="H2543">
        <v>15</v>
      </c>
      <c r="I2543" t="str">
        <f t="shared" si="156"/>
        <v>1-abr-2015</v>
      </c>
      <c r="K2543" s="49">
        <f t="shared" si="158"/>
        <v>42095</v>
      </c>
      <c r="M2543" t="b">
        <f t="shared" si="159"/>
        <v>1</v>
      </c>
    </row>
    <row r="2544" spans="1:13" x14ac:dyDescent="0.3">
      <c r="A2544" s="49">
        <v>45261</v>
      </c>
      <c r="D2544" t="s">
        <v>7369</v>
      </c>
      <c r="E2544">
        <v>1</v>
      </c>
      <c r="F2544" t="str">
        <f t="shared" si="157"/>
        <v>abr</v>
      </c>
      <c r="G2544">
        <v>20</v>
      </c>
      <c r="H2544">
        <v>15</v>
      </c>
      <c r="I2544" t="str">
        <f t="shared" si="156"/>
        <v>1-abr-2015</v>
      </c>
      <c r="K2544" s="49">
        <f t="shared" si="158"/>
        <v>42095</v>
      </c>
      <c r="M2544" t="b">
        <f t="shared" si="159"/>
        <v>1</v>
      </c>
    </row>
    <row r="2545" spans="1:13" x14ac:dyDescent="0.3">
      <c r="A2545" s="49">
        <v>45261</v>
      </c>
      <c r="D2545" t="s">
        <v>7369</v>
      </c>
      <c r="E2545">
        <v>1</v>
      </c>
      <c r="F2545" t="str">
        <f t="shared" si="157"/>
        <v>abr</v>
      </c>
      <c r="G2545">
        <v>20</v>
      </c>
      <c r="H2545">
        <v>15</v>
      </c>
      <c r="I2545" t="str">
        <f t="shared" si="156"/>
        <v>1-abr-2015</v>
      </c>
      <c r="K2545" s="49">
        <f t="shared" si="158"/>
        <v>42095</v>
      </c>
      <c r="M2545" t="b">
        <f t="shared" si="159"/>
        <v>1</v>
      </c>
    </row>
    <row r="2546" spans="1:13" x14ac:dyDescent="0.3">
      <c r="A2546" s="49">
        <v>45261</v>
      </c>
      <c r="D2546" t="s">
        <v>7368</v>
      </c>
      <c r="E2546">
        <v>1</v>
      </c>
      <c r="F2546" t="str">
        <f t="shared" si="157"/>
        <v>mar</v>
      </c>
      <c r="G2546">
        <v>20</v>
      </c>
      <c r="H2546">
        <v>14</v>
      </c>
      <c r="I2546" t="str">
        <f t="shared" si="156"/>
        <v>1-mar-2014</v>
      </c>
      <c r="K2546" s="49">
        <f t="shared" si="158"/>
        <v>41699</v>
      </c>
      <c r="M2546" t="b">
        <f t="shared" si="159"/>
        <v>1</v>
      </c>
    </row>
    <row r="2547" spans="1:13" x14ac:dyDescent="0.3">
      <c r="A2547" s="49">
        <v>45261</v>
      </c>
      <c r="D2547" t="s">
        <v>7362</v>
      </c>
      <c r="E2547">
        <v>1</v>
      </c>
      <c r="F2547" t="str">
        <f t="shared" si="157"/>
        <v>ago</v>
      </c>
      <c r="G2547">
        <v>20</v>
      </c>
      <c r="H2547">
        <v>23</v>
      </c>
      <c r="I2547" t="str">
        <f t="shared" si="156"/>
        <v>1-ago-2023</v>
      </c>
      <c r="K2547" s="49">
        <f t="shared" si="158"/>
        <v>45139</v>
      </c>
      <c r="M2547" t="b">
        <f t="shared" si="159"/>
        <v>1</v>
      </c>
    </row>
    <row r="2548" spans="1:13" x14ac:dyDescent="0.3">
      <c r="A2548" s="49">
        <v>45261</v>
      </c>
      <c r="D2548" t="s">
        <v>7367</v>
      </c>
      <c r="E2548">
        <v>1</v>
      </c>
      <c r="F2548" t="str">
        <f t="shared" si="157"/>
        <v>jun</v>
      </c>
      <c r="G2548">
        <v>20</v>
      </c>
      <c r="H2548">
        <v>21</v>
      </c>
      <c r="I2548" t="str">
        <f t="shared" si="156"/>
        <v>1-jun-2021</v>
      </c>
      <c r="K2548" s="49">
        <f t="shared" si="158"/>
        <v>44348</v>
      </c>
      <c r="M2548" t="b">
        <f t="shared" si="159"/>
        <v>1</v>
      </c>
    </row>
    <row r="2549" spans="1:13" x14ac:dyDescent="0.3">
      <c r="A2549" s="49">
        <v>45261</v>
      </c>
      <c r="D2549" t="s">
        <v>7359</v>
      </c>
      <c r="E2549">
        <v>1</v>
      </c>
      <c r="F2549" t="str">
        <f t="shared" si="157"/>
        <v>jul</v>
      </c>
      <c r="G2549">
        <v>20</v>
      </c>
      <c r="H2549">
        <v>23</v>
      </c>
      <c r="I2549" t="str">
        <f t="shared" si="156"/>
        <v>1-jul-2023</v>
      </c>
      <c r="K2549" s="49">
        <f t="shared" si="158"/>
        <v>45108</v>
      </c>
      <c r="M2549" t="b">
        <f t="shared" si="159"/>
        <v>1</v>
      </c>
    </row>
    <row r="2550" spans="1:13" x14ac:dyDescent="0.3">
      <c r="A2550" s="49">
        <v>45261</v>
      </c>
      <c r="D2550" t="s">
        <v>7367</v>
      </c>
      <c r="E2550">
        <v>1</v>
      </c>
      <c r="F2550" t="str">
        <f t="shared" si="157"/>
        <v>jun</v>
      </c>
      <c r="G2550">
        <v>20</v>
      </c>
      <c r="H2550">
        <v>26</v>
      </c>
      <c r="I2550" t="str">
        <f t="shared" si="156"/>
        <v>1-jun-2026</v>
      </c>
      <c r="K2550" s="49">
        <f t="shared" si="158"/>
        <v>46174</v>
      </c>
      <c r="M2550" t="b">
        <f t="shared" si="159"/>
        <v>0</v>
      </c>
    </row>
    <row r="2551" spans="1:13" x14ac:dyDescent="0.3">
      <c r="A2551" s="49">
        <v>45261</v>
      </c>
      <c r="D2551" t="s">
        <v>7368</v>
      </c>
      <c r="E2551">
        <v>1</v>
      </c>
      <c r="F2551" t="str">
        <f t="shared" si="157"/>
        <v>mar</v>
      </c>
      <c r="G2551">
        <v>20</v>
      </c>
      <c r="H2551">
        <v>23</v>
      </c>
      <c r="I2551" t="str">
        <f t="shared" si="156"/>
        <v>1-mar-2023</v>
      </c>
      <c r="K2551" s="49">
        <f t="shared" si="158"/>
        <v>44986</v>
      </c>
      <c r="M2551" t="b">
        <f t="shared" si="159"/>
        <v>1</v>
      </c>
    </row>
    <row r="2552" spans="1:13" x14ac:dyDescent="0.3">
      <c r="A2552" s="49">
        <v>45261</v>
      </c>
      <c r="D2552" t="s">
        <v>7362</v>
      </c>
      <c r="E2552">
        <v>1</v>
      </c>
      <c r="F2552" t="str">
        <f t="shared" si="157"/>
        <v>ago</v>
      </c>
      <c r="G2552">
        <v>20</v>
      </c>
      <c r="H2552">
        <v>21</v>
      </c>
      <c r="I2552" t="str">
        <f t="shared" si="156"/>
        <v>1-ago-2021</v>
      </c>
      <c r="K2552" s="49">
        <f t="shared" si="158"/>
        <v>44409</v>
      </c>
      <c r="M2552" t="b">
        <f t="shared" si="159"/>
        <v>1</v>
      </c>
    </row>
    <row r="2553" spans="1:13" x14ac:dyDescent="0.3">
      <c r="A2553" s="49">
        <v>45261</v>
      </c>
      <c r="D2553" t="s">
        <v>7362</v>
      </c>
      <c r="E2553">
        <v>1</v>
      </c>
      <c r="F2553" t="str">
        <f t="shared" si="157"/>
        <v>ago</v>
      </c>
      <c r="G2553">
        <v>20</v>
      </c>
      <c r="H2553">
        <v>22</v>
      </c>
      <c r="I2553" t="str">
        <f t="shared" si="156"/>
        <v>1-ago-2022</v>
      </c>
      <c r="K2553" s="49">
        <f t="shared" si="158"/>
        <v>44774</v>
      </c>
      <c r="M2553" t="b">
        <f t="shared" si="159"/>
        <v>1</v>
      </c>
    </row>
    <row r="2554" spans="1:13" x14ac:dyDescent="0.3">
      <c r="A2554" s="49">
        <v>45261</v>
      </c>
      <c r="D2554" t="s">
        <v>7363</v>
      </c>
      <c r="E2554">
        <v>1</v>
      </c>
      <c r="F2554" t="str">
        <f t="shared" si="157"/>
        <v>feb</v>
      </c>
      <c r="G2554">
        <v>20</v>
      </c>
      <c r="H2554">
        <v>22</v>
      </c>
      <c r="I2554" t="str">
        <f t="shared" si="156"/>
        <v>1-feb-2022</v>
      </c>
      <c r="K2554" s="49">
        <f t="shared" si="158"/>
        <v>44593</v>
      </c>
      <c r="M2554" t="b">
        <f t="shared" si="159"/>
        <v>1</v>
      </c>
    </row>
    <row r="2555" spans="1:13" x14ac:dyDescent="0.3">
      <c r="A2555" s="49">
        <v>45261</v>
      </c>
      <c r="D2555" t="s">
        <v>7355</v>
      </c>
      <c r="E2555">
        <v>1</v>
      </c>
      <c r="F2555" t="str">
        <f t="shared" si="157"/>
        <v>sep</v>
      </c>
      <c r="G2555">
        <v>20</v>
      </c>
      <c r="H2555">
        <v>22</v>
      </c>
      <c r="I2555" t="str">
        <f t="shared" si="156"/>
        <v>1-sep-2022</v>
      </c>
      <c r="K2555" s="49">
        <f t="shared" si="158"/>
        <v>44805</v>
      </c>
      <c r="M2555" t="b">
        <f t="shared" si="159"/>
        <v>1</v>
      </c>
    </row>
    <row r="2556" spans="1:13" x14ac:dyDescent="0.3">
      <c r="A2556" s="49">
        <v>45261</v>
      </c>
      <c r="D2556" t="s">
        <v>7359</v>
      </c>
      <c r="E2556">
        <v>1</v>
      </c>
      <c r="F2556" t="str">
        <f t="shared" si="157"/>
        <v>jul</v>
      </c>
      <c r="G2556">
        <v>20</v>
      </c>
      <c r="H2556">
        <v>22</v>
      </c>
      <c r="I2556" t="str">
        <f t="shared" si="156"/>
        <v>1-jul-2022</v>
      </c>
      <c r="K2556" s="49">
        <f t="shared" si="158"/>
        <v>44743</v>
      </c>
      <c r="M2556" t="b">
        <f t="shared" si="159"/>
        <v>1</v>
      </c>
    </row>
    <row r="2557" spans="1:13" x14ac:dyDescent="0.3">
      <c r="A2557" s="49">
        <v>45261</v>
      </c>
      <c r="D2557" t="s">
        <v>7362</v>
      </c>
      <c r="E2557">
        <v>1</v>
      </c>
      <c r="F2557" t="str">
        <f t="shared" si="157"/>
        <v>ago</v>
      </c>
      <c r="G2557">
        <v>20</v>
      </c>
      <c r="H2557">
        <v>23</v>
      </c>
      <c r="I2557" t="str">
        <f t="shared" si="156"/>
        <v>1-ago-2023</v>
      </c>
      <c r="K2557" s="49">
        <f t="shared" si="158"/>
        <v>45139</v>
      </c>
      <c r="M2557" t="b">
        <f t="shared" si="159"/>
        <v>1</v>
      </c>
    </row>
    <row r="2558" spans="1:13" x14ac:dyDescent="0.3">
      <c r="A2558" s="49">
        <v>45261</v>
      </c>
      <c r="D2558" t="s">
        <v>7362</v>
      </c>
      <c r="E2558">
        <v>1</v>
      </c>
      <c r="F2558" t="str">
        <f t="shared" si="157"/>
        <v>ago</v>
      </c>
      <c r="G2558">
        <v>20</v>
      </c>
      <c r="H2558">
        <v>23</v>
      </c>
      <c r="I2558" t="str">
        <f t="shared" si="156"/>
        <v>1-ago-2023</v>
      </c>
      <c r="K2558" s="49">
        <f t="shared" si="158"/>
        <v>45139</v>
      </c>
      <c r="M2558" t="b">
        <f t="shared" si="159"/>
        <v>1</v>
      </c>
    </row>
    <row r="2559" spans="1:13" x14ac:dyDescent="0.3">
      <c r="A2559" s="49">
        <v>45261</v>
      </c>
      <c r="D2559" t="s">
        <v>7362</v>
      </c>
      <c r="E2559">
        <v>1</v>
      </c>
      <c r="F2559" t="str">
        <f t="shared" si="157"/>
        <v>ago</v>
      </c>
      <c r="G2559">
        <v>20</v>
      </c>
      <c r="H2559">
        <v>23</v>
      </c>
      <c r="I2559" t="str">
        <f t="shared" si="156"/>
        <v>1-ago-2023</v>
      </c>
      <c r="K2559" s="49">
        <f t="shared" si="158"/>
        <v>45139</v>
      </c>
      <c r="M2559" t="b">
        <f t="shared" si="159"/>
        <v>1</v>
      </c>
    </row>
    <row r="2560" spans="1:13" x14ac:dyDescent="0.3">
      <c r="A2560" s="49">
        <v>45261</v>
      </c>
      <c r="D2560" t="s">
        <v>7362</v>
      </c>
      <c r="E2560">
        <v>1</v>
      </c>
      <c r="F2560" t="str">
        <f t="shared" si="157"/>
        <v>ago</v>
      </c>
      <c r="G2560">
        <v>20</v>
      </c>
      <c r="H2560">
        <v>23</v>
      </c>
      <c r="I2560" t="str">
        <f t="shared" si="156"/>
        <v>1-ago-2023</v>
      </c>
      <c r="K2560" s="49">
        <f t="shared" si="158"/>
        <v>45139</v>
      </c>
      <c r="M2560" t="b">
        <f t="shared" si="159"/>
        <v>1</v>
      </c>
    </row>
    <row r="2561" spans="1:13" x14ac:dyDescent="0.3">
      <c r="A2561" s="49">
        <v>45261</v>
      </c>
      <c r="D2561" t="s">
        <v>7362</v>
      </c>
      <c r="E2561">
        <v>1</v>
      </c>
      <c r="F2561" t="str">
        <f t="shared" si="157"/>
        <v>ago</v>
      </c>
      <c r="G2561">
        <v>20</v>
      </c>
      <c r="H2561">
        <v>23</v>
      </c>
      <c r="I2561" t="str">
        <f t="shared" ref="I2561:I2624" si="160">_xlfn.CONCAT(E2561,"-",F2561,"-",G2561,H2561)</f>
        <v>1-ago-2023</v>
      </c>
      <c r="K2561" s="49">
        <f t="shared" si="158"/>
        <v>45139</v>
      </c>
      <c r="M2561" t="b">
        <f t="shared" si="159"/>
        <v>1</v>
      </c>
    </row>
    <row r="2562" spans="1:13" x14ac:dyDescent="0.3">
      <c r="A2562" s="49">
        <v>45261</v>
      </c>
      <c r="D2562" t="s">
        <v>7357</v>
      </c>
      <c r="E2562">
        <v>1</v>
      </c>
      <c r="F2562" t="str">
        <f t="shared" ref="F2562:F2625" si="161">LOWER(D2562)</f>
        <v>oct</v>
      </c>
      <c r="G2562">
        <v>20</v>
      </c>
      <c r="H2562">
        <v>23</v>
      </c>
      <c r="I2562" t="str">
        <f t="shared" si="160"/>
        <v>1-oct-2023</v>
      </c>
      <c r="K2562" s="49">
        <f t="shared" ref="K2562:K2625" si="162">DATEVALUE(I2562)</f>
        <v>45200</v>
      </c>
      <c r="M2562" t="b">
        <f t="shared" si="159"/>
        <v>1</v>
      </c>
    </row>
    <row r="2563" spans="1:13" x14ac:dyDescent="0.3">
      <c r="A2563" s="49">
        <v>45261</v>
      </c>
      <c r="D2563" t="s">
        <v>7366</v>
      </c>
      <c r="E2563">
        <v>1</v>
      </c>
      <c r="F2563" t="str">
        <f t="shared" si="161"/>
        <v>dic</v>
      </c>
      <c r="G2563">
        <v>20</v>
      </c>
      <c r="H2563">
        <v>22</v>
      </c>
      <c r="I2563" t="str">
        <f t="shared" si="160"/>
        <v>1-dic-2022</v>
      </c>
      <c r="K2563" s="49">
        <f t="shared" si="162"/>
        <v>44896</v>
      </c>
      <c r="M2563" t="b">
        <f t="shared" ref="M2563:M2626" si="163">K2563&lt;A2563</f>
        <v>1</v>
      </c>
    </row>
    <row r="2564" spans="1:13" x14ac:dyDescent="0.3">
      <c r="A2564" s="49">
        <v>45261</v>
      </c>
      <c r="D2564" t="s">
        <v>7367</v>
      </c>
      <c r="E2564">
        <v>1</v>
      </c>
      <c r="F2564" t="str">
        <f t="shared" si="161"/>
        <v>jun</v>
      </c>
      <c r="G2564">
        <v>20</v>
      </c>
      <c r="H2564">
        <v>22</v>
      </c>
      <c r="I2564" t="str">
        <f t="shared" si="160"/>
        <v>1-jun-2022</v>
      </c>
      <c r="K2564" s="49">
        <f t="shared" si="162"/>
        <v>44713</v>
      </c>
      <c r="M2564" t="b">
        <f t="shared" si="163"/>
        <v>1</v>
      </c>
    </row>
    <row r="2565" spans="1:13" x14ac:dyDescent="0.3">
      <c r="A2565" s="49">
        <v>45261</v>
      </c>
      <c r="D2565" t="s">
        <v>7369</v>
      </c>
      <c r="E2565">
        <v>1</v>
      </c>
      <c r="F2565" t="str">
        <f t="shared" si="161"/>
        <v>abr</v>
      </c>
      <c r="G2565">
        <v>20</v>
      </c>
      <c r="H2565">
        <v>20</v>
      </c>
      <c r="I2565" t="str">
        <f t="shared" si="160"/>
        <v>1-abr-2020</v>
      </c>
      <c r="K2565" s="49">
        <f t="shared" si="162"/>
        <v>43922</v>
      </c>
      <c r="M2565" t="b">
        <f t="shared" si="163"/>
        <v>1</v>
      </c>
    </row>
    <row r="2566" spans="1:13" x14ac:dyDescent="0.3">
      <c r="A2566" s="49">
        <v>45261</v>
      </c>
      <c r="D2566" t="s">
        <v>7362</v>
      </c>
      <c r="E2566">
        <v>1</v>
      </c>
      <c r="F2566" t="str">
        <f t="shared" si="161"/>
        <v>ago</v>
      </c>
      <c r="G2566">
        <v>20</v>
      </c>
      <c r="H2566">
        <v>23</v>
      </c>
      <c r="I2566" t="str">
        <f t="shared" si="160"/>
        <v>1-ago-2023</v>
      </c>
      <c r="K2566" s="49">
        <f t="shared" si="162"/>
        <v>45139</v>
      </c>
      <c r="M2566" t="b">
        <f t="shared" si="163"/>
        <v>1</v>
      </c>
    </row>
    <row r="2567" spans="1:13" x14ac:dyDescent="0.3">
      <c r="A2567" s="49">
        <v>45261</v>
      </c>
      <c r="D2567" t="s">
        <v>3586</v>
      </c>
      <c r="E2567">
        <v>1</v>
      </c>
      <c r="F2567" t="str">
        <f t="shared" si="161"/>
        <v>---</v>
      </c>
      <c r="G2567">
        <v>20</v>
      </c>
      <c r="H2567" t="s">
        <v>3911</v>
      </c>
      <c r="I2567" t="str">
        <f t="shared" si="160"/>
        <v>1-----20--</v>
      </c>
      <c r="K2567" s="49" t="e">
        <f t="shared" si="162"/>
        <v>#VALUE!</v>
      </c>
      <c r="M2567" t="e">
        <f t="shared" si="163"/>
        <v>#VALUE!</v>
      </c>
    </row>
    <row r="2568" spans="1:13" x14ac:dyDescent="0.3">
      <c r="A2568" s="49">
        <v>45261</v>
      </c>
      <c r="D2568" t="s">
        <v>7359</v>
      </c>
      <c r="E2568">
        <v>1</v>
      </c>
      <c r="F2568" t="str">
        <f t="shared" si="161"/>
        <v>jul</v>
      </c>
      <c r="G2568">
        <v>20</v>
      </c>
      <c r="H2568">
        <v>22</v>
      </c>
      <c r="I2568" t="str">
        <f t="shared" si="160"/>
        <v>1-jul-2022</v>
      </c>
      <c r="K2568" s="49">
        <f t="shared" si="162"/>
        <v>44743</v>
      </c>
      <c r="M2568" t="b">
        <f t="shared" si="163"/>
        <v>1</v>
      </c>
    </row>
    <row r="2569" spans="1:13" x14ac:dyDescent="0.3">
      <c r="A2569" s="49">
        <v>45261</v>
      </c>
      <c r="D2569" t="s">
        <v>7359</v>
      </c>
      <c r="E2569">
        <v>1</v>
      </c>
      <c r="F2569" t="str">
        <f t="shared" si="161"/>
        <v>jul</v>
      </c>
      <c r="G2569">
        <v>20</v>
      </c>
      <c r="H2569">
        <v>21</v>
      </c>
      <c r="I2569" t="str">
        <f t="shared" si="160"/>
        <v>1-jul-2021</v>
      </c>
      <c r="K2569" s="49">
        <f t="shared" si="162"/>
        <v>44378</v>
      </c>
      <c r="M2569" t="b">
        <f t="shared" si="163"/>
        <v>1</v>
      </c>
    </row>
    <row r="2570" spans="1:13" x14ac:dyDescent="0.3">
      <c r="A2570" s="49">
        <v>45261</v>
      </c>
      <c r="D2570" t="s">
        <v>7356</v>
      </c>
      <c r="E2570">
        <v>1</v>
      </c>
      <c r="F2570" t="str">
        <f t="shared" si="161"/>
        <v>ene</v>
      </c>
      <c r="G2570">
        <v>20</v>
      </c>
      <c r="H2570">
        <v>25</v>
      </c>
      <c r="I2570" t="str">
        <f t="shared" si="160"/>
        <v>1-ene-2025</v>
      </c>
      <c r="K2570" s="49">
        <f t="shared" si="162"/>
        <v>45658</v>
      </c>
      <c r="M2570" t="b">
        <f t="shared" si="163"/>
        <v>0</v>
      </c>
    </row>
    <row r="2571" spans="1:13" x14ac:dyDescent="0.3">
      <c r="A2571" s="49">
        <v>45261</v>
      </c>
      <c r="D2571" t="s">
        <v>7355</v>
      </c>
      <c r="E2571">
        <v>1</v>
      </c>
      <c r="F2571" t="str">
        <f t="shared" si="161"/>
        <v>sep</v>
      </c>
      <c r="G2571">
        <v>20</v>
      </c>
      <c r="H2571">
        <v>22</v>
      </c>
      <c r="I2571" t="str">
        <f t="shared" si="160"/>
        <v>1-sep-2022</v>
      </c>
      <c r="K2571" s="49">
        <f t="shared" si="162"/>
        <v>44805</v>
      </c>
      <c r="M2571" t="b">
        <f t="shared" si="163"/>
        <v>1</v>
      </c>
    </row>
    <row r="2572" spans="1:13" x14ac:dyDescent="0.3">
      <c r="A2572" s="49">
        <v>45261</v>
      </c>
      <c r="D2572" t="s">
        <v>7355</v>
      </c>
      <c r="E2572">
        <v>1</v>
      </c>
      <c r="F2572" t="str">
        <f t="shared" si="161"/>
        <v>sep</v>
      </c>
      <c r="G2572">
        <v>20</v>
      </c>
      <c r="H2572">
        <v>22</v>
      </c>
      <c r="I2572" t="str">
        <f t="shared" si="160"/>
        <v>1-sep-2022</v>
      </c>
      <c r="K2572" s="49">
        <f t="shared" si="162"/>
        <v>44805</v>
      </c>
      <c r="M2572" t="b">
        <f t="shared" si="163"/>
        <v>1</v>
      </c>
    </row>
    <row r="2573" spans="1:13" x14ac:dyDescent="0.3">
      <c r="A2573" s="49">
        <v>45261</v>
      </c>
      <c r="D2573" t="s">
        <v>7355</v>
      </c>
      <c r="E2573">
        <v>1</v>
      </c>
      <c r="F2573" t="str">
        <f t="shared" si="161"/>
        <v>sep</v>
      </c>
      <c r="G2573">
        <v>20</v>
      </c>
      <c r="H2573">
        <v>22</v>
      </c>
      <c r="I2573" t="str">
        <f t="shared" si="160"/>
        <v>1-sep-2022</v>
      </c>
      <c r="K2573" s="49">
        <f t="shared" si="162"/>
        <v>44805</v>
      </c>
      <c r="M2573" t="b">
        <f t="shared" si="163"/>
        <v>1</v>
      </c>
    </row>
    <row r="2574" spans="1:13" x14ac:dyDescent="0.3">
      <c r="A2574" s="49">
        <v>45261</v>
      </c>
      <c r="D2574" t="s">
        <v>7355</v>
      </c>
      <c r="E2574">
        <v>1</v>
      </c>
      <c r="F2574" t="str">
        <f t="shared" si="161"/>
        <v>sep</v>
      </c>
      <c r="G2574">
        <v>20</v>
      </c>
      <c r="H2574">
        <v>22</v>
      </c>
      <c r="I2574" t="str">
        <f t="shared" si="160"/>
        <v>1-sep-2022</v>
      </c>
      <c r="K2574" s="49">
        <f t="shared" si="162"/>
        <v>44805</v>
      </c>
      <c r="M2574" t="b">
        <f t="shared" si="163"/>
        <v>1</v>
      </c>
    </row>
    <row r="2575" spans="1:13" x14ac:dyDescent="0.3">
      <c r="A2575" s="49">
        <v>45261</v>
      </c>
      <c r="D2575" t="s">
        <v>7355</v>
      </c>
      <c r="E2575">
        <v>1</v>
      </c>
      <c r="F2575" t="str">
        <f t="shared" si="161"/>
        <v>sep</v>
      </c>
      <c r="G2575">
        <v>20</v>
      </c>
      <c r="H2575">
        <v>22</v>
      </c>
      <c r="I2575" t="str">
        <f t="shared" si="160"/>
        <v>1-sep-2022</v>
      </c>
      <c r="K2575" s="49">
        <f t="shared" si="162"/>
        <v>44805</v>
      </c>
      <c r="M2575" t="b">
        <f t="shared" si="163"/>
        <v>1</v>
      </c>
    </row>
    <row r="2576" spans="1:13" x14ac:dyDescent="0.3">
      <c r="A2576" s="49">
        <v>45261</v>
      </c>
      <c r="D2576" t="s">
        <v>7355</v>
      </c>
      <c r="E2576">
        <v>1</v>
      </c>
      <c r="F2576" t="str">
        <f t="shared" si="161"/>
        <v>sep</v>
      </c>
      <c r="G2576">
        <v>20</v>
      </c>
      <c r="H2576">
        <v>22</v>
      </c>
      <c r="I2576" t="str">
        <f t="shared" si="160"/>
        <v>1-sep-2022</v>
      </c>
      <c r="K2576" s="49">
        <f t="shared" si="162"/>
        <v>44805</v>
      </c>
      <c r="M2576" t="b">
        <f t="shared" si="163"/>
        <v>1</v>
      </c>
    </row>
    <row r="2577" spans="1:13" x14ac:dyDescent="0.3">
      <c r="A2577" s="49">
        <v>45261</v>
      </c>
      <c r="D2577" t="s">
        <v>7355</v>
      </c>
      <c r="E2577">
        <v>1</v>
      </c>
      <c r="F2577" t="str">
        <f t="shared" si="161"/>
        <v>sep</v>
      </c>
      <c r="G2577">
        <v>20</v>
      </c>
      <c r="H2577">
        <v>22</v>
      </c>
      <c r="I2577" t="str">
        <f t="shared" si="160"/>
        <v>1-sep-2022</v>
      </c>
      <c r="K2577" s="49">
        <f t="shared" si="162"/>
        <v>44805</v>
      </c>
      <c r="M2577" t="b">
        <f t="shared" si="163"/>
        <v>1</v>
      </c>
    </row>
    <row r="2578" spans="1:13" x14ac:dyDescent="0.3">
      <c r="A2578" s="49">
        <v>45261</v>
      </c>
      <c r="D2578" t="s">
        <v>7355</v>
      </c>
      <c r="E2578">
        <v>1</v>
      </c>
      <c r="F2578" t="str">
        <f t="shared" si="161"/>
        <v>sep</v>
      </c>
      <c r="G2578">
        <v>20</v>
      </c>
      <c r="H2578">
        <v>22</v>
      </c>
      <c r="I2578" t="str">
        <f t="shared" si="160"/>
        <v>1-sep-2022</v>
      </c>
      <c r="K2578" s="49">
        <f t="shared" si="162"/>
        <v>44805</v>
      </c>
      <c r="M2578" t="b">
        <f t="shared" si="163"/>
        <v>1</v>
      </c>
    </row>
    <row r="2579" spans="1:13" x14ac:dyDescent="0.3">
      <c r="A2579" s="49">
        <v>45261</v>
      </c>
      <c r="D2579" t="s">
        <v>7355</v>
      </c>
      <c r="E2579">
        <v>1</v>
      </c>
      <c r="F2579" t="str">
        <f t="shared" si="161"/>
        <v>sep</v>
      </c>
      <c r="G2579">
        <v>20</v>
      </c>
      <c r="H2579">
        <v>22</v>
      </c>
      <c r="I2579" t="str">
        <f t="shared" si="160"/>
        <v>1-sep-2022</v>
      </c>
      <c r="K2579" s="49">
        <f t="shared" si="162"/>
        <v>44805</v>
      </c>
      <c r="M2579" t="b">
        <f t="shared" si="163"/>
        <v>1</v>
      </c>
    </row>
    <row r="2580" spans="1:13" x14ac:dyDescent="0.3">
      <c r="A2580" s="49">
        <v>45261</v>
      </c>
      <c r="D2580" t="s">
        <v>7355</v>
      </c>
      <c r="E2580">
        <v>1</v>
      </c>
      <c r="F2580" t="str">
        <f t="shared" si="161"/>
        <v>sep</v>
      </c>
      <c r="G2580">
        <v>20</v>
      </c>
      <c r="H2580">
        <v>22</v>
      </c>
      <c r="I2580" t="str">
        <f t="shared" si="160"/>
        <v>1-sep-2022</v>
      </c>
      <c r="K2580" s="49">
        <f t="shared" si="162"/>
        <v>44805</v>
      </c>
      <c r="M2580" t="b">
        <f t="shared" si="163"/>
        <v>1</v>
      </c>
    </row>
    <row r="2581" spans="1:13" x14ac:dyDescent="0.3">
      <c r="A2581" s="49">
        <v>45261</v>
      </c>
      <c r="D2581" t="s">
        <v>7359</v>
      </c>
      <c r="E2581">
        <v>1</v>
      </c>
      <c r="F2581" t="str">
        <f t="shared" si="161"/>
        <v>jul</v>
      </c>
      <c r="G2581">
        <v>20</v>
      </c>
      <c r="H2581">
        <v>21</v>
      </c>
      <c r="I2581" t="str">
        <f t="shared" si="160"/>
        <v>1-jul-2021</v>
      </c>
      <c r="K2581" s="49">
        <f t="shared" si="162"/>
        <v>44378</v>
      </c>
      <c r="M2581" t="b">
        <f t="shared" si="163"/>
        <v>1</v>
      </c>
    </row>
    <row r="2582" spans="1:13" x14ac:dyDescent="0.3">
      <c r="A2582" s="49">
        <v>45261</v>
      </c>
      <c r="D2582" t="s">
        <v>7362</v>
      </c>
      <c r="E2582">
        <v>1</v>
      </c>
      <c r="F2582" t="str">
        <f t="shared" si="161"/>
        <v>ago</v>
      </c>
      <c r="G2582">
        <v>20</v>
      </c>
      <c r="H2582">
        <v>23</v>
      </c>
      <c r="I2582" t="str">
        <f t="shared" si="160"/>
        <v>1-ago-2023</v>
      </c>
      <c r="K2582" s="49">
        <f t="shared" si="162"/>
        <v>45139</v>
      </c>
      <c r="M2582" t="b">
        <f t="shared" si="163"/>
        <v>1</v>
      </c>
    </row>
    <row r="2583" spans="1:13" x14ac:dyDescent="0.3">
      <c r="A2583" s="49">
        <v>45261</v>
      </c>
      <c r="D2583" t="s">
        <v>7362</v>
      </c>
      <c r="E2583">
        <v>1</v>
      </c>
      <c r="F2583" t="str">
        <f t="shared" si="161"/>
        <v>ago</v>
      </c>
      <c r="G2583">
        <v>20</v>
      </c>
      <c r="H2583">
        <v>22</v>
      </c>
      <c r="I2583" t="str">
        <f t="shared" si="160"/>
        <v>1-ago-2022</v>
      </c>
      <c r="K2583" s="49">
        <f t="shared" si="162"/>
        <v>44774</v>
      </c>
      <c r="M2583" t="b">
        <f t="shared" si="163"/>
        <v>1</v>
      </c>
    </row>
    <row r="2584" spans="1:13" x14ac:dyDescent="0.3">
      <c r="A2584" s="49">
        <v>45261</v>
      </c>
      <c r="D2584" t="s">
        <v>7370</v>
      </c>
      <c r="E2584">
        <v>1</v>
      </c>
      <c r="F2584" t="str">
        <f t="shared" si="161"/>
        <v>may</v>
      </c>
      <c r="G2584">
        <v>20</v>
      </c>
      <c r="H2584">
        <v>23</v>
      </c>
      <c r="I2584" t="str">
        <f t="shared" si="160"/>
        <v>1-may-2023</v>
      </c>
      <c r="K2584" s="49">
        <f t="shared" si="162"/>
        <v>45047</v>
      </c>
      <c r="M2584" t="b">
        <f t="shared" si="163"/>
        <v>1</v>
      </c>
    </row>
    <row r="2585" spans="1:13" x14ac:dyDescent="0.3">
      <c r="A2585" s="49">
        <v>45261</v>
      </c>
      <c r="D2585" t="s">
        <v>7367</v>
      </c>
      <c r="E2585">
        <v>1</v>
      </c>
      <c r="F2585" t="str">
        <f t="shared" si="161"/>
        <v>jun</v>
      </c>
      <c r="G2585">
        <v>20</v>
      </c>
      <c r="H2585">
        <v>14</v>
      </c>
      <c r="I2585" t="str">
        <f t="shared" si="160"/>
        <v>1-jun-2014</v>
      </c>
      <c r="K2585" s="49">
        <f t="shared" si="162"/>
        <v>41791</v>
      </c>
      <c r="M2585" t="b">
        <f t="shared" si="163"/>
        <v>1</v>
      </c>
    </row>
    <row r="2586" spans="1:13" x14ac:dyDescent="0.3">
      <c r="A2586" s="49">
        <v>45261</v>
      </c>
      <c r="D2586" t="s">
        <v>7359</v>
      </c>
      <c r="E2586">
        <v>1</v>
      </c>
      <c r="F2586" t="str">
        <f t="shared" si="161"/>
        <v>jul</v>
      </c>
      <c r="G2586">
        <v>20</v>
      </c>
      <c r="H2586">
        <v>23</v>
      </c>
      <c r="I2586" t="str">
        <f t="shared" si="160"/>
        <v>1-jul-2023</v>
      </c>
      <c r="K2586" s="49">
        <f t="shared" si="162"/>
        <v>45108</v>
      </c>
      <c r="M2586" t="b">
        <f t="shared" si="163"/>
        <v>1</v>
      </c>
    </row>
    <row r="2587" spans="1:13" x14ac:dyDescent="0.3">
      <c r="A2587" s="49">
        <v>45261</v>
      </c>
      <c r="D2587" t="s">
        <v>7359</v>
      </c>
      <c r="E2587">
        <v>1</v>
      </c>
      <c r="F2587" t="str">
        <f t="shared" si="161"/>
        <v>jul</v>
      </c>
      <c r="G2587">
        <v>20</v>
      </c>
      <c r="H2587">
        <v>23</v>
      </c>
      <c r="I2587" t="str">
        <f t="shared" si="160"/>
        <v>1-jul-2023</v>
      </c>
      <c r="K2587" s="49">
        <f t="shared" si="162"/>
        <v>45108</v>
      </c>
      <c r="M2587" t="b">
        <f t="shared" si="163"/>
        <v>1</v>
      </c>
    </row>
    <row r="2588" spans="1:13" x14ac:dyDescent="0.3">
      <c r="A2588" s="49">
        <v>45261</v>
      </c>
      <c r="D2588" t="s">
        <v>7366</v>
      </c>
      <c r="E2588">
        <v>1</v>
      </c>
      <c r="F2588" t="str">
        <f t="shared" si="161"/>
        <v>dic</v>
      </c>
      <c r="G2588">
        <v>20</v>
      </c>
      <c r="H2588">
        <v>21</v>
      </c>
      <c r="I2588" t="str">
        <f t="shared" si="160"/>
        <v>1-dic-2021</v>
      </c>
      <c r="K2588" s="49">
        <f t="shared" si="162"/>
        <v>44531</v>
      </c>
      <c r="M2588" t="b">
        <f t="shared" si="163"/>
        <v>1</v>
      </c>
    </row>
    <row r="2589" spans="1:13" x14ac:dyDescent="0.3">
      <c r="A2589" s="49">
        <v>45261</v>
      </c>
      <c r="D2589" t="s">
        <v>7357</v>
      </c>
      <c r="E2589">
        <v>1</v>
      </c>
      <c r="F2589" t="str">
        <f t="shared" si="161"/>
        <v>oct</v>
      </c>
      <c r="G2589">
        <v>20</v>
      </c>
      <c r="H2589">
        <v>23</v>
      </c>
      <c r="I2589" t="str">
        <f t="shared" si="160"/>
        <v>1-oct-2023</v>
      </c>
      <c r="K2589" s="49">
        <f t="shared" si="162"/>
        <v>45200</v>
      </c>
      <c r="M2589" t="b">
        <f t="shared" si="163"/>
        <v>1</v>
      </c>
    </row>
    <row r="2590" spans="1:13" x14ac:dyDescent="0.3">
      <c r="A2590" s="49">
        <v>45261</v>
      </c>
      <c r="D2590" t="s">
        <v>7368</v>
      </c>
      <c r="E2590">
        <v>1</v>
      </c>
      <c r="F2590" t="str">
        <f t="shared" si="161"/>
        <v>mar</v>
      </c>
      <c r="G2590">
        <v>20</v>
      </c>
      <c r="H2590">
        <v>22</v>
      </c>
      <c r="I2590" t="str">
        <f t="shared" si="160"/>
        <v>1-mar-2022</v>
      </c>
      <c r="K2590" s="49">
        <f t="shared" si="162"/>
        <v>44621</v>
      </c>
      <c r="M2590" t="b">
        <f t="shared" si="163"/>
        <v>1</v>
      </c>
    </row>
    <row r="2591" spans="1:13" x14ac:dyDescent="0.3">
      <c r="A2591" s="49">
        <v>45261</v>
      </c>
      <c r="D2591" t="s">
        <v>7369</v>
      </c>
      <c r="E2591">
        <v>1</v>
      </c>
      <c r="F2591" t="str">
        <f t="shared" si="161"/>
        <v>abr</v>
      </c>
      <c r="G2591">
        <v>20</v>
      </c>
      <c r="H2591">
        <v>23</v>
      </c>
      <c r="I2591" t="str">
        <f t="shared" si="160"/>
        <v>1-abr-2023</v>
      </c>
      <c r="K2591" s="49">
        <f t="shared" si="162"/>
        <v>45017</v>
      </c>
      <c r="M2591" t="b">
        <f t="shared" si="163"/>
        <v>1</v>
      </c>
    </row>
    <row r="2592" spans="1:13" x14ac:dyDescent="0.3">
      <c r="A2592" s="49">
        <v>45261</v>
      </c>
      <c r="D2592" t="s">
        <v>7366</v>
      </c>
      <c r="E2592">
        <v>1</v>
      </c>
      <c r="F2592" t="str">
        <f t="shared" si="161"/>
        <v>dic</v>
      </c>
      <c r="G2592">
        <v>20</v>
      </c>
      <c r="H2592">
        <v>22</v>
      </c>
      <c r="I2592" t="str">
        <f t="shared" si="160"/>
        <v>1-dic-2022</v>
      </c>
      <c r="K2592" s="49">
        <f t="shared" si="162"/>
        <v>44896</v>
      </c>
      <c r="M2592" t="b">
        <f t="shared" si="163"/>
        <v>1</v>
      </c>
    </row>
    <row r="2593" spans="1:13" x14ac:dyDescent="0.3">
      <c r="A2593" s="49">
        <v>45261</v>
      </c>
      <c r="D2593" t="s">
        <v>7367</v>
      </c>
      <c r="E2593">
        <v>1</v>
      </c>
      <c r="F2593" t="str">
        <f t="shared" si="161"/>
        <v>jun</v>
      </c>
      <c r="G2593">
        <v>20</v>
      </c>
      <c r="H2593">
        <v>20</v>
      </c>
      <c r="I2593" t="str">
        <f t="shared" si="160"/>
        <v>1-jun-2020</v>
      </c>
      <c r="K2593" s="49">
        <f t="shared" si="162"/>
        <v>43983</v>
      </c>
      <c r="M2593" t="b">
        <f t="shared" si="163"/>
        <v>1</v>
      </c>
    </row>
    <row r="2594" spans="1:13" x14ac:dyDescent="0.3">
      <c r="A2594" s="49">
        <v>45261</v>
      </c>
      <c r="D2594" t="s">
        <v>7356</v>
      </c>
      <c r="E2594">
        <v>1</v>
      </c>
      <c r="F2594" t="str">
        <f t="shared" si="161"/>
        <v>ene</v>
      </c>
      <c r="G2594">
        <v>20</v>
      </c>
      <c r="H2594">
        <v>23</v>
      </c>
      <c r="I2594" t="str">
        <f t="shared" si="160"/>
        <v>1-ene-2023</v>
      </c>
      <c r="K2594" s="49">
        <f t="shared" si="162"/>
        <v>44927</v>
      </c>
      <c r="M2594" t="b">
        <f t="shared" si="163"/>
        <v>1</v>
      </c>
    </row>
    <row r="2595" spans="1:13" x14ac:dyDescent="0.3">
      <c r="A2595" s="49">
        <v>45261</v>
      </c>
      <c r="D2595" t="s">
        <v>7368</v>
      </c>
      <c r="E2595">
        <v>1</v>
      </c>
      <c r="F2595" t="str">
        <f t="shared" si="161"/>
        <v>mar</v>
      </c>
      <c r="G2595">
        <v>20</v>
      </c>
      <c r="H2595">
        <v>24</v>
      </c>
      <c r="I2595" t="str">
        <f t="shared" si="160"/>
        <v>1-mar-2024</v>
      </c>
      <c r="K2595" s="49">
        <f t="shared" si="162"/>
        <v>45352</v>
      </c>
      <c r="M2595" t="b">
        <f t="shared" si="163"/>
        <v>0</v>
      </c>
    </row>
    <row r="2596" spans="1:13" x14ac:dyDescent="0.3">
      <c r="A2596" s="49">
        <v>45261</v>
      </c>
      <c r="D2596" t="s">
        <v>7359</v>
      </c>
      <c r="E2596">
        <v>1</v>
      </c>
      <c r="F2596" t="str">
        <f t="shared" si="161"/>
        <v>jul</v>
      </c>
      <c r="G2596">
        <v>20</v>
      </c>
      <c r="H2596">
        <v>23</v>
      </c>
      <c r="I2596" t="str">
        <f t="shared" si="160"/>
        <v>1-jul-2023</v>
      </c>
      <c r="K2596" s="49">
        <f t="shared" si="162"/>
        <v>45108</v>
      </c>
      <c r="M2596" t="b">
        <f t="shared" si="163"/>
        <v>1</v>
      </c>
    </row>
    <row r="2597" spans="1:13" x14ac:dyDescent="0.3">
      <c r="A2597" s="49">
        <v>45261</v>
      </c>
      <c r="D2597" t="s">
        <v>7359</v>
      </c>
      <c r="E2597">
        <v>1</v>
      </c>
      <c r="F2597" t="str">
        <f t="shared" si="161"/>
        <v>jul</v>
      </c>
      <c r="G2597">
        <v>20</v>
      </c>
      <c r="H2597">
        <v>23</v>
      </c>
      <c r="I2597" t="str">
        <f t="shared" si="160"/>
        <v>1-jul-2023</v>
      </c>
      <c r="K2597" s="49">
        <f t="shared" si="162"/>
        <v>45108</v>
      </c>
      <c r="M2597" t="b">
        <f t="shared" si="163"/>
        <v>1</v>
      </c>
    </row>
    <row r="2598" spans="1:13" x14ac:dyDescent="0.3">
      <c r="A2598" s="49">
        <v>45261</v>
      </c>
      <c r="D2598" t="s">
        <v>7359</v>
      </c>
      <c r="E2598">
        <v>1</v>
      </c>
      <c r="F2598" t="str">
        <f t="shared" si="161"/>
        <v>jul</v>
      </c>
      <c r="G2598">
        <v>20</v>
      </c>
      <c r="H2598">
        <v>23</v>
      </c>
      <c r="I2598" t="str">
        <f t="shared" si="160"/>
        <v>1-jul-2023</v>
      </c>
      <c r="K2598" s="49">
        <f t="shared" si="162"/>
        <v>45108</v>
      </c>
      <c r="M2598" t="b">
        <f t="shared" si="163"/>
        <v>1</v>
      </c>
    </row>
    <row r="2599" spans="1:13" x14ac:dyDescent="0.3">
      <c r="A2599" s="49">
        <v>45261</v>
      </c>
      <c r="D2599" t="s">
        <v>7359</v>
      </c>
      <c r="E2599">
        <v>1</v>
      </c>
      <c r="F2599" t="str">
        <f t="shared" si="161"/>
        <v>jul</v>
      </c>
      <c r="G2599">
        <v>20</v>
      </c>
      <c r="H2599">
        <v>23</v>
      </c>
      <c r="I2599" t="str">
        <f t="shared" si="160"/>
        <v>1-jul-2023</v>
      </c>
      <c r="K2599" s="49">
        <f t="shared" si="162"/>
        <v>45108</v>
      </c>
      <c r="M2599" t="b">
        <f t="shared" si="163"/>
        <v>1</v>
      </c>
    </row>
    <row r="2600" spans="1:13" x14ac:dyDescent="0.3">
      <c r="A2600" s="49">
        <v>45261</v>
      </c>
      <c r="D2600" t="s">
        <v>7359</v>
      </c>
      <c r="E2600">
        <v>1</v>
      </c>
      <c r="F2600" t="str">
        <f t="shared" si="161"/>
        <v>jul</v>
      </c>
      <c r="G2600">
        <v>20</v>
      </c>
      <c r="H2600">
        <v>23</v>
      </c>
      <c r="I2600" t="str">
        <f t="shared" si="160"/>
        <v>1-jul-2023</v>
      </c>
      <c r="K2600" s="49">
        <f t="shared" si="162"/>
        <v>45108</v>
      </c>
      <c r="M2600" t="b">
        <f t="shared" si="163"/>
        <v>1</v>
      </c>
    </row>
    <row r="2601" spans="1:13" x14ac:dyDescent="0.3">
      <c r="A2601" s="49">
        <v>45261</v>
      </c>
      <c r="D2601" t="s">
        <v>7359</v>
      </c>
      <c r="E2601">
        <v>1</v>
      </c>
      <c r="F2601" t="str">
        <f t="shared" si="161"/>
        <v>jul</v>
      </c>
      <c r="G2601">
        <v>20</v>
      </c>
      <c r="H2601">
        <v>23</v>
      </c>
      <c r="I2601" t="str">
        <f t="shared" si="160"/>
        <v>1-jul-2023</v>
      </c>
      <c r="K2601" s="49">
        <f t="shared" si="162"/>
        <v>45108</v>
      </c>
      <c r="M2601" t="b">
        <f t="shared" si="163"/>
        <v>1</v>
      </c>
    </row>
    <row r="2602" spans="1:13" x14ac:dyDescent="0.3">
      <c r="A2602" s="49">
        <v>45261</v>
      </c>
      <c r="D2602" t="s">
        <v>7362</v>
      </c>
      <c r="E2602">
        <v>1</v>
      </c>
      <c r="F2602" t="str">
        <f t="shared" si="161"/>
        <v>ago</v>
      </c>
      <c r="G2602">
        <v>20</v>
      </c>
      <c r="H2602">
        <v>23</v>
      </c>
      <c r="I2602" t="str">
        <f t="shared" si="160"/>
        <v>1-ago-2023</v>
      </c>
      <c r="K2602" s="49">
        <f t="shared" si="162"/>
        <v>45139</v>
      </c>
      <c r="M2602" t="b">
        <f t="shared" si="163"/>
        <v>1</v>
      </c>
    </row>
    <row r="2603" spans="1:13" x14ac:dyDescent="0.3">
      <c r="A2603" s="49">
        <v>45261</v>
      </c>
      <c r="D2603" t="s">
        <v>7355</v>
      </c>
      <c r="E2603">
        <v>1</v>
      </c>
      <c r="F2603" t="str">
        <f t="shared" si="161"/>
        <v>sep</v>
      </c>
      <c r="G2603">
        <v>20</v>
      </c>
      <c r="H2603">
        <v>23</v>
      </c>
      <c r="I2603" t="str">
        <f t="shared" si="160"/>
        <v>1-sep-2023</v>
      </c>
      <c r="K2603" s="49">
        <f t="shared" si="162"/>
        <v>45170</v>
      </c>
      <c r="M2603" t="b">
        <f t="shared" si="163"/>
        <v>1</v>
      </c>
    </row>
    <row r="2604" spans="1:13" x14ac:dyDescent="0.3">
      <c r="A2604" s="49">
        <v>45261</v>
      </c>
      <c r="D2604" t="s">
        <v>7356</v>
      </c>
      <c r="E2604">
        <v>1</v>
      </c>
      <c r="F2604" t="str">
        <f t="shared" si="161"/>
        <v>ene</v>
      </c>
      <c r="G2604">
        <v>20</v>
      </c>
      <c r="H2604">
        <v>25</v>
      </c>
      <c r="I2604" t="str">
        <f t="shared" si="160"/>
        <v>1-ene-2025</v>
      </c>
      <c r="K2604" s="49">
        <f t="shared" si="162"/>
        <v>45658</v>
      </c>
      <c r="M2604" t="b">
        <f t="shared" si="163"/>
        <v>0</v>
      </c>
    </row>
    <row r="2605" spans="1:13" x14ac:dyDescent="0.3">
      <c r="A2605" s="49">
        <v>45261</v>
      </c>
      <c r="D2605" t="s">
        <v>7356</v>
      </c>
      <c r="E2605">
        <v>1</v>
      </c>
      <c r="F2605" t="str">
        <f t="shared" si="161"/>
        <v>ene</v>
      </c>
      <c r="G2605">
        <v>20</v>
      </c>
      <c r="H2605">
        <v>23</v>
      </c>
      <c r="I2605" t="str">
        <f t="shared" si="160"/>
        <v>1-ene-2023</v>
      </c>
      <c r="K2605" s="49">
        <f t="shared" si="162"/>
        <v>44927</v>
      </c>
      <c r="M2605" t="b">
        <f t="shared" si="163"/>
        <v>1</v>
      </c>
    </row>
    <row r="2606" spans="1:13" x14ac:dyDescent="0.3">
      <c r="A2606" s="49">
        <v>45261</v>
      </c>
      <c r="D2606" t="s">
        <v>7359</v>
      </c>
      <c r="E2606">
        <v>1</v>
      </c>
      <c r="F2606" t="str">
        <f t="shared" si="161"/>
        <v>jul</v>
      </c>
      <c r="G2606">
        <v>20</v>
      </c>
      <c r="H2606">
        <v>23</v>
      </c>
      <c r="I2606" t="str">
        <f t="shared" si="160"/>
        <v>1-jul-2023</v>
      </c>
      <c r="K2606" s="49">
        <f t="shared" si="162"/>
        <v>45108</v>
      </c>
      <c r="M2606" t="b">
        <f t="shared" si="163"/>
        <v>1</v>
      </c>
    </row>
    <row r="2607" spans="1:13" x14ac:dyDescent="0.3">
      <c r="A2607" s="49">
        <v>45261</v>
      </c>
      <c r="D2607" t="s">
        <v>7366</v>
      </c>
      <c r="E2607">
        <v>1</v>
      </c>
      <c r="F2607" t="str">
        <f t="shared" si="161"/>
        <v>dic</v>
      </c>
      <c r="G2607">
        <v>20</v>
      </c>
      <c r="H2607">
        <v>22</v>
      </c>
      <c r="I2607" t="str">
        <f t="shared" si="160"/>
        <v>1-dic-2022</v>
      </c>
      <c r="K2607" s="49">
        <f t="shared" si="162"/>
        <v>44896</v>
      </c>
      <c r="M2607" t="b">
        <f t="shared" si="163"/>
        <v>1</v>
      </c>
    </row>
    <row r="2608" spans="1:13" x14ac:dyDescent="0.3">
      <c r="A2608" s="49">
        <v>45261</v>
      </c>
      <c r="D2608" t="s">
        <v>7367</v>
      </c>
      <c r="E2608">
        <v>1</v>
      </c>
      <c r="F2608" t="str">
        <f t="shared" si="161"/>
        <v>jun</v>
      </c>
      <c r="G2608">
        <v>20</v>
      </c>
      <c r="H2608">
        <v>23</v>
      </c>
      <c r="I2608" t="str">
        <f t="shared" si="160"/>
        <v>1-jun-2023</v>
      </c>
      <c r="K2608" s="49">
        <f t="shared" si="162"/>
        <v>45078</v>
      </c>
      <c r="M2608" t="b">
        <f t="shared" si="163"/>
        <v>1</v>
      </c>
    </row>
    <row r="2609" spans="1:13" x14ac:dyDescent="0.3">
      <c r="A2609" s="49">
        <v>45261</v>
      </c>
      <c r="D2609" t="s">
        <v>7367</v>
      </c>
      <c r="E2609">
        <v>1</v>
      </c>
      <c r="F2609" t="str">
        <f t="shared" si="161"/>
        <v>jun</v>
      </c>
      <c r="G2609">
        <v>20</v>
      </c>
      <c r="H2609">
        <v>23</v>
      </c>
      <c r="I2609" t="str">
        <f t="shared" si="160"/>
        <v>1-jun-2023</v>
      </c>
      <c r="K2609" s="49">
        <f t="shared" si="162"/>
        <v>45078</v>
      </c>
      <c r="M2609" t="b">
        <f t="shared" si="163"/>
        <v>1</v>
      </c>
    </row>
    <row r="2610" spans="1:13" x14ac:dyDescent="0.3">
      <c r="A2610" s="49">
        <v>45261</v>
      </c>
      <c r="D2610" t="s">
        <v>7367</v>
      </c>
      <c r="E2610">
        <v>1</v>
      </c>
      <c r="F2610" t="str">
        <f t="shared" si="161"/>
        <v>jun</v>
      </c>
      <c r="G2610">
        <v>20</v>
      </c>
      <c r="H2610">
        <v>23</v>
      </c>
      <c r="I2610" t="str">
        <f t="shared" si="160"/>
        <v>1-jun-2023</v>
      </c>
      <c r="K2610" s="49">
        <f t="shared" si="162"/>
        <v>45078</v>
      </c>
      <c r="M2610" t="b">
        <f t="shared" si="163"/>
        <v>1</v>
      </c>
    </row>
    <row r="2611" spans="1:13" x14ac:dyDescent="0.3">
      <c r="A2611" s="49">
        <v>45261</v>
      </c>
      <c r="D2611" t="s">
        <v>7367</v>
      </c>
      <c r="E2611">
        <v>1</v>
      </c>
      <c r="F2611" t="str">
        <f t="shared" si="161"/>
        <v>jun</v>
      </c>
      <c r="G2611">
        <v>20</v>
      </c>
      <c r="H2611">
        <v>23</v>
      </c>
      <c r="I2611" t="str">
        <f t="shared" si="160"/>
        <v>1-jun-2023</v>
      </c>
      <c r="K2611" s="49">
        <f t="shared" si="162"/>
        <v>45078</v>
      </c>
      <c r="M2611" t="b">
        <f t="shared" si="163"/>
        <v>1</v>
      </c>
    </row>
    <row r="2612" spans="1:13" x14ac:dyDescent="0.3">
      <c r="A2612" s="49">
        <v>45261</v>
      </c>
      <c r="D2612" t="s">
        <v>7367</v>
      </c>
      <c r="E2612">
        <v>1</v>
      </c>
      <c r="F2612" t="str">
        <f t="shared" si="161"/>
        <v>jun</v>
      </c>
      <c r="G2612">
        <v>20</v>
      </c>
      <c r="H2612">
        <v>23</v>
      </c>
      <c r="I2612" t="str">
        <f t="shared" si="160"/>
        <v>1-jun-2023</v>
      </c>
      <c r="K2612" s="49">
        <f t="shared" si="162"/>
        <v>45078</v>
      </c>
      <c r="M2612" t="b">
        <f t="shared" si="163"/>
        <v>1</v>
      </c>
    </row>
    <row r="2613" spans="1:13" x14ac:dyDescent="0.3">
      <c r="A2613" s="49">
        <v>45261</v>
      </c>
      <c r="D2613" t="s">
        <v>7367</v>
      </c>
      <c r="E2613">
        <v>1</v>
      </c>
      <c r="F2613" t="str">
        <f t="shared" si="161"/>
        <v>jun</v>
      </c>
      <c r="G2613">
        <v>20</v>
      </c>
      <c r="H2613">
        <v>23</v>
      </c>
      <c r="I2613" t="str">
        <f t="shared" si="160"/>
        <v>1-jun-2023</v>
      </c>
      <c r="K2613" s="49">
        <f t="shared" si="162"/>
        <v>45078</v>
      </c>
      <c r="M2613" t="b">
        <f t="shared" si="163"/>
        <v>1</v>
      </c>
    </row>
    <row r="2614" spans="1:13" x14ac:dyDescent="0.3">
      <c r="A2614" s="49">
        <v>45261</v>
      </c>
      <c r="D2614" t="s">
        <v>7367</v>
      </c>
      <c r="E2614">
        <v>1</v>
      </c>
      <c r="F2614" t="str">
        <f t="shared" si="161"/>
        <v>jun</v>
      </c>
      <c r="G2614">
        <v>20</v>
      </c>
      <c r="H2614">
        <v>23</v>
      </c>
      <c r="I2614" t="str">
        <f t="shared" si="160"/>
        <v>1-jun-2023</v>
      </c>
      <c r="K2614" s="49">
        <f t="shared" si="162"/>
        <v>45078</v>
      </c>
      <c r="M2614" t="b">
        <f t="shared" si="163"/>
        <v>1</v>
      </c>
    </row>
    <row r="2615" spans="1:13" x14ac:dyDescent="0.3">
      <c r="A2615" s="49">
        <v>45261</v>
      </c>
      <c r="D2615" t="s">
        <v>7367</v>
      </c>
      <c r="E2615">
        <v>1</v>
      </c>
      <c r="F2615" t="str">
        <f t="shared" si="161"/>
        <v>jun</v>
      </c>
      <c r="G2615">
        <v>20</v>
      </c>
      <c r="H2615">
        <v>23</v>
      </c>
      <c r="I2615" t="str">
        <f t="shared" si="160"/>
        <v>1-jun-2023</v>
      </c>
      <c r="K2615" s="49">
        <f t="shared" si="162"/>
        <v>45078</v>
      </c>
      <c r="M2615" t="b">
        <f t="shared" si="163"/>
        <v>1</v>
      </c>
    </row>
    <row r="2616" spans="1:13" x14ac:dyDescent="0.3">
      <c r="A2616" s="49">
        <v>45261</v>
      </c>
      <c r="D2616" t="s">
        <v>7368</v>
      </c>
      <c r="E2616">
        <v>1</v>
      </c>
      <c r="F2616" t="str">
        <f t="shared" si="161"/>
        <v>mar</v>
      </c>
      <c r="G2616">
        <v>20</v>
      </c>
      <c r="H2616">
        <v>23</v>
      </c>
      <c r="I2616" t="str">
        <f t="shared" si="160"/>
        <v>1-mar-2023</v>
      </c>
      <c r="K2616" s="49">
        <f t="shared" si="162"/>
        <v>44986</v>
      </c>
      <c r="M2616" t="b">
        <f t="shared" si="163"/>
        <v>1</v>
      </c>
    </row>
    <row r="2617" spans="1:13" x14ac:dyDescent="0.3">
      <c r="A2617" s="49">
        <v>45261</v>
      </c>
      <c r="D2617" t="s">
        <v>7360</v>
      </c>
      <c r="E2617">
        <v>1</v>
      </c>
      <c r="F2617" t="str">
        <f t="shared" si="161"/>
        <v>nov</v>
      </c>
      <c r="G2617">
        <v>20</v>
      </c>
      <c r="H2617">
        <v>23</v>
      </c>
      <c r="I2617" t="str">
        <f t="shared" si="160"/>
        <v>1-nov-2023</v>
      </c>
      <c r="K2617" s="49">
        <f t="shared" si="162"/>
        <v>45231</v>
      </c>
      <c r="M2617" t="b">
        <f t="shared" si="163"/>
        <v>1</v>
      </c>
    </row>
    <row r="2618" spans="1:13" x14ac:dyDescent="0.3">
      <c r="A2618" s="49">
        <v>45261</v>
      </c>
      <c r="D2618" t="s">
        <v>7355</v>
      </c>
      <c r="E2618">
        <v>1</v>
      </c>
      <c r="F2618" t="str">
        <f t="shared" si="161"/>
        <v>sep</v>
      </c>
      <c r="G2618">
        <v>20</v>
      </c>
      <c r="H2618">
        <v>23</v>
      </c>
      <c r="I2618" t="str">
        <f t="shared" si="160"/>
        <v>1-sep-2023</v>
      </c>
      <c r="K2618" s="49">
        <f t="shared" si="162"/>
        <v>45170</v>
      </c>
      <c r="M2618" t="b">
        <f t="shared" si="163"/>
        <v>1</v>
      </c>
    </row>
    <row r="2619" spans="1:13" x14ac:dyDescent="0.3">
      <c r="A2619" s="49">
        <v>45261</v>
      </c>
      <c r="D2619" t="s">
        <v>7368</v>
      </c>
      <c r="E2619">
        <v>1</v>
      </c>
      <c r="F2619" t="str">
        <f t="shared" si="161"/>
        <v>mar</v>
      </c>
      <c r="G2619">
        <v>20</v>
      </c>
      <c r="H2619">
        <v>21</v>
      </c>
      <c r="I2619" t="str">
        <f t="shared" si="160"/>
        <v>1-mar-2021</v>
      </c>
      <c r="K2619" s="49">
        <f t="shared" si="162"/>
        <v>44256</v>
      </c>
      <c r="M2619" t="b">
        <f t="shared" si="163"/>
        <v>1</v>
      </c>
    </row>
    <row r="2620" spans="1:13" x14ac:dyDescent="0.3">
      <c r="A2620" s="49">
        <v>45261</v>
      </c>
      <c r="D2620" t="s">
        <v>3586</v>
      </c>
      <c r="E2620">
        <v>1</v>
      </c>
      <c r="F2620" t="str">
        <f t="shared" si="161"/>
        <v>---</v>
      </c>
      <c r="G2620">
        <v>20</v>
      </c>
      <c r="H2620" t="s">
        <v>3911</v>
      </c>
      <c r="I2620" t="str">
        <f t="shared" si="160"/>
        <v>1-----20--</v>
      </c>
      <c r="K2620" s="49" t="e">
        <f t="shared" si="162"/>
        <v>#VALUE!</v>
      </c>
      <c r="M2620" t="e">
        <f t="shared" si="163"/>
        <v>#VALUE!</v>
      </c>
    </row>
    <row r="2621" spans="1:13" x14ac:dyDescent="0.3">
      <c r="A2621" s="49">
        <v>45261</v>
      </c>
      <c r="D2621" t="s">
        <v>7359</v>
      </c>
      <c r="E2621">
        <v>1</v>
      </c>
      <c r="F2621" t="str">
        <f t="shared" si="161"/>
        <v>jul</v>
      </c>
      <c r="G2621">
        <v>20</v>
      </c>
      <c r="H2621">
        <v>22</v>
      </c>
      <c r="I2621" t="str">
        <f t="shared" si="160"/>
        <v>1-jul-2022</v>
      </c>
      <c r="K2621" s="49">
        <f t="shared" si="162"/>
        <v>44743</v>
      </c>
      <c r="M2621" t="b">
        <f t="shared" si="163"/>
        <v>1</v>
      </c>
    </row>
    <row r="2622" spans="1:13" x14ac:dyDescent="0.3">
      <c r="A2622" s="49">
        <v>45261</v>
      </c>
      <c r="D2622" t="s">
        <v>7366</v>
      </c>
      <c r="E2622">
        <v>1</v>
      </c>
      <c r="F2622" t="str">
        <f t="shared" si="161"/>
        <v>dic</v>
      </c>
      <c r="G2622">
        <v>20</v>
      </c>
      <c r="H2622">
        <v>20</v>
      </c>
      <c r="I2622" t="str">
        <f t="shared" si="160"/>
        <v>1-dic-2020</v>
      </c>
      <c r="K2622" s="49">
        <f t="shared" si="162"/>
        <v>44166</v>
      </c>
      <c r="M2622" t="b">
        <f t="shared" si="163"/>
        <v>1</v>
      </c>
    </row>
    <row r="2623" spans="1:13" x14ac:dyDescent="0.3">
      <c r="A2623" s="49">
        <v>45261</v>
      </c>
      <c r="D2623" t="s">
        <v>7369</v>
      </c>
      <c r="E2623">
        <v>1</v>
      </c>
      <c r="F2623" t="str">
        <f t="shared" si="161"/>
        <v>abr</v>
      </c>
      <c r="G2623">
        <v>20</v>
      </c>
      <c r="H2623">
        <v>23</v>
      </c>
      <c r="I2623" t="str">
        <f t="shared" si="160"/>
        <v>1-abr-2023</v>
      </c>
      <c r="K2623" s="49">
        <f t="shared" si="162"/>
        <v>45017</v>
      </c>
      <c r="M2623" t="b">
        <f t="shared" si="163"/>
        <v>1</v>
      </c>
    </row>
    <row r="2624" spans="1:13" x14ac:dyDescent="0.3">
      <c r="A2624" s="49">
        <v>45261</v>
      </c>
      <c r="D2624" t="s">
        <v>7369</v>
      </c>
      <c r="E2624">
        <v>1</v>
      </c>
      <c r="F2624" t="str">
        <f t="shared" si="161"/>
        <v>abr</v>
      </c>
      <c r="G2624">
        <v>20</v>
      </c>
      <c r="H2624">
        <v>23</v>
      </c>
      <c r="I2624" t="str">
        <f t="shared" si="160"/>
        <v>1-abr-2023</v>
      </c>
      <c r="K2624" s="49">
        <f t="shared" si="162"/>
        <v>45017</v>
      </c>
      <c r="M2624" t="b">
        <f t="shared" si="163"/>
        <v>1</v>
      </c>
    </row>
    <row r="2625" spans="1:13" x14ac:dyDescent="0.3">
      <c r="A2625" s="49">
        <v>45261</v>
      </c>
      <c r="D2625" t="s">
        <v>7369</v>
      </c>
      <c r="E2625">
        <v>1</v>
      </c>
      <c r="F2625" t="str">
        <f t="shared" si="161"/>
        <v>abr</v>
      </c>
      <c r="G2625">
        <v>20</v>
      </c>
      <c r="H2625">
        <v>23</v>
      </c>
      <c r="I2625" t="str">
        <f t="shared" ref="I2625:I2688" si="164">_xlfn.CONCAT(E2625,"-",F2625,"-",G2625,H2625)</f>
        <v>1-abr-2023</v>
      </c>
      <c r="K2625" s="49">
        <f t="shared" si="162"/>
        <v>45017</v>
      </c>
      <c r="M2625" t="b">
        <f t="shared" si="163"/>
        <v>1</v>
      </c>
    </row>
    <row r="2626" spans="1:13" x14ac:dyDescent="0.3">
      <c r="A2626" s="49">
        <v>45261</v>
      </c>
      <c r="D2626" t="s">
        <v>7369</v>
      </c>
      <c r="E2626">
        <v>1</v>
      </c>
      <c r="F2626" t="str">
        <f t="shared" ref="F2626:F2689" si="165">LOWER(D2626)</f>
        <v>abr</v>
      </c>
      <c r="G2626">
        <v>20</v>
      </c>
      <c r="H2626">
        <v>23</v>
      </c>
      <c r="I2626" t="str">
        <f t="shared" si="164"/>
        <v>1-abr-2023</v>
      </c>
      <c r="K2626" s="49">
        <f t="shared" ref="K2626:K2689" si="166">DATEVALUE(I2626)</f>
        <v>45017</v>
      </c>
      <c r="M2626" t="b">
        <f t="shared" si="163"/>
        <v>1</v>
      </c>
    </row>
    <row r="2627" spans="1:13" x14ac:dyDescent="0.3">
      <c r="A2627" s="49">
        <v>45261</v>
      </c>
      <c r="D2627" t="s">
        <v>7369</v>
      </c>
      <c r="E2627">
        <v>1</v>
      </c>
      <c r="F2627" t="str">
        <f t="shared" si="165"/>
        <v>abr</v>
      </c>
      <c r="G2627">
        <v>20</v>
      </c>
      <c r="H2627">
        <v>23</v>
      </c>
      <c r="I2627" t="str">
        <f t="shared" si="164"/>
        <v>1-abr-2023</v>
      </c>
      <c r="K2627" s="49">
        <f t="shared" si="166"/>
        <v>45017</v>
      </c>
      <c r="M2627" t="b">
        <f t="shared" ref="M2627:M2690" si="167">K2627&lt;A2627</f>
        <v>1</v>
      </c>
    </row>
    <row r="2628" spans="1:13" x14ac:dyDescent="0.3">
      <c r="A2628" s="49">
        <v>45261</v>
      </c>
      <c r="D2628" t="s">
        <v>7355</v>
      </c>
      <c r="E2628">
        <v>1</v>
      </c>
      <c r="F2628" t="str">
        <f t="shared" si="165"/>
        <v>sep</v>
      </c>
      <c r="G2628">
        <v>20</v>
      </c>
      <c r="H2628">
        <v>22</v>
      </c>
      <c r="I2628" t="str">
        <f t="shared" si="164"/>
        <v>1-sep-2022</v>
      </c>
      <c r="K2628" s="49">
        <f t="shared" si="166"/>
        <v>44805</v>
      </c>
      <c r="M2628" t="b">
        <f t="shared" si="167"/>
        <v>1</v>
      </c>
    </row>
    <row r="2629" spans="1:13" x14ac:dyDescent="0.3">
      <c r="A2629" s="49">
        <v>45261</v>
      </c>
      <c r="D2629" t="s">
        <v>7362</v>
      </c>
      <c r="E2629">
        <v>1</v>
      </c>
      <c r="F2629" t="str">
        <f t="shared" si="165"/>
        <v>ago</v>
      </c>
      <c r="G2629">
        <v>20</v>
      </c>
      <c r="H2629">
        <v>23</v>
      </c>
      <c r="I2629" t="str">
        <f t="shared" si="164"/>
        <v>1-ago-2023</v>
      </c>
      <c r="K2629" s="49">
        <f t="shared" si="166"/>
        <v>45139</v>
      </c>
      <c r="M2629" t="b">
        <f t="shared" si="167"/>
        <v>1</v>
      </c>
    </row>
    <row r="2630" spans="1:13" x14ac:dyDescent="0.3">
      <c r="A2630" s="49">
        <v>45261</v>
      </c>
      <c r="D2630" t="s">
        <v>7367</v>
      </c>
      <c r="E2630">
        <v>1</v>
      </c>
      <c r="F2630" t="str">
        <f t="shared" si="165"/>
        <v>jun</v>
      </c>
      <c r="G2630">
        <v>20</v>
      </c>
      <c r="H2630">
        <v>17</v>
      </c>
      <c r="I2630" t="str">
        <f t="shared" si="164"/>
        <v>1-jun-2017</v>
      </c>
      <c r="K2630" s="49">
        <f t="shared" si="166"/>
        <v>42887</v>
      </c>
      <c r="M2630" t="b">
        <f t="shared" si="167"/>
        <v>1</v>
      </c>
    </row>
    <row r="2631" spans="1:13" x14ac:dyDescent="0.3">
      <c r="A2631" s="49">
        <v>45261</v>
      </c>
      <c r="D2631" t="s">
        <v>7367</v>
      </c>
      <c r="E2631">
        <v>1</v>
      </c>
      <c r="F2631" t="str">
        <f t="shared" si="165"/>
        <v>jun</v>
      </c>
      <c r="G2631">
        <v>20</v>
      </c>
      <c r="H2631">
        <v>17</v>
      </c>
      <c r="I2631" t="str">
        <f t="shared" si="164"/>
        <v>1-jun-2017</v>
      </c>
      <c r="K2631" s="49">
        <f t="shared" si="166"/>
        <v>42887</v>
      </c>
      <c r="M2631" t="b">
        <f t="shared" si="167"/>
        <v>1</v>
      </c>
    </row>
    <row r="2632" spans="1:13" x14ac:dyDescent="0.3">
      <c r="A2632" s="49">
        <v>45261</v>
      </c>
      <c r="D2632" t="s">
        <v>7367</v>
      </c>
      <c r="E2632">
        <v>1</v>
      </c>
      <c r="F2632" t="str">
        <f t="shared" si="165"/>
        <v>jun</v>
      </c>
      <c r="G2632">
        <v>20</v>
      </c>
      <c r="H2632">
        <v>17</v>
      </c>
      <c r="I2632" t="str">
        <f t="shared" si="164"/>
        <v>1-jun-2017</v>
      </c>
      <c r="K2632" s="49">
        <f t="shared" si="166"/>
        <v>42887</v>
      </c>
      <c r="M2632" t="b">
        <f t="shared" si="167"/>
        <v>1</v>
      </c>
    </row>
    <row r="2633" spans="1:13" x14ac:dyDescent="0.3">
      <c r="A2633" s="49">
        <v>45261</v>
      </c>
      <c r="D2633" t="s">
        <v>7366</v>
      </c>
      <c r="E2633">
        <v>1</v>
      </c>
      <c r="F2633" t="str">
        <f t="shared" si="165"/>
        <v>dic</v>
      </c>
      <c r="G2633">
        <v>20</v>
      </c>
      <c r="H2633">
        <v>22</v>
      </c>
      <c r="I2633" t="str">
        <f t="shared" si="164"/>
        <v>1-dic-2022</v>
      </c>
      <c r="K2633" s="49">
        <f t="shared" si="166"/>
        <v>44896</v>
      </c>
      <c r="M2633" t="b">
        <f t="shared" si="167"/>
        <v>1</v>
      </c>
    </row>
    <row r="2634" spans="1:13" x14ac:dyDescent="0.3">
      <c r="A2634" s="49">
        <v>45261</v>
      </c>
      <c r="D2634" t="s">
        <v>7367</v>
      </c>
      <c r="E2634">
        <v>1</v>
      </c>
      <c r="F2634" t="str">
        <f t="shared" si="165"/>
        <v>jun</v>
      </c>
      <c r="G2634">
        <v>20</v>
      </c>
      <c r="H2634">
        <v>23</v>
      </c>
      <c r="I2634" t="str">
        <f t="shared" si="164"/>
        <v>1-jun-2023</v>
      </c>
      <c r="K2634" s="49">
        <f t="shared" si="166"/>
        <v>45078</v>
      </c>
      <c r="M2634" t="b">
        <f t="shared" si="167"/>
        <v>1</v>
      </c>
    </row>
    <row r="2635" spans="1:13" x14ac:dyDescent="0.3">
      <c r="A2635" s="49">
        <v>45261</v>
      </c>
      <c r="D2635" t="s">
        <v>7370</v>
      </c>
      <c r="E2635">
        <v>1</v>
      </c>
      <c r="F2635" t="str">
        <f t="shared" si="165"/>
        <v>may</v>
      </c>
      <c r="G2635">
        <v>20</v>
      </c>
      <c r="H2635">
        <v>17</v>
      </c>
      <c r="I2635" t="str">
        <f t="shared" si="164"/>
        <v>1-may-2017</v>
      </c>
      <c r="K2635" s="49">
        <f t="shared" si="166"/>
        <v>42856</v>
      </c>
      <c r="M2635" t="b">
        <f t="shared" si="167"/>
        <v>1</v>
      </c>
    </row>
    <row r="2636" spans="1:13" x14ac:dyDescent="0.3">
      <c r="A2636" s="49">
        <v>45261</v>
      </c>
      <c r="D2636" t="s">
        <v>7356</v>
      </c>
      <c r="E2636">
        <v>1</v>
      </c>
      <c r="F2636" t="str">
        <f t="shared" si="165"/>
        <v>ene</v>
      </c>
      <c r="G2636">
        <v>20</v>
      </c>
      <c r="H2636">
        <v>23</v>
      </c>
      <c r="I2636" t="str">
        <f t="shared" si="164"/>
        <v>1-ene-2023</v>
      </c>
      <c r="K2636" s="49">
        <f t="shared" si="166"/>
        <v>44927</v>
      </c>
      <c r="M2636" t="b">
        <f t="shared" si="167"/>
        <v>1</v>
      </c>
    </row>
    <row r="2637" spans="1:13" x14ac:dyDescent="0.3">
      <c r="A2637" s="49">
        <v>45261</v>
      </c>
      <c r="D2637" t="s">
        <v>7369</v>
      </c>
      <c r="E2637">
        <v>1</v>
      </c>
      <c r="F2637" t="str">
        <f t="shared" si="165"/>
        <v>abr</v>
      </c>
      <c r="G2637">
        <v>20</v>
      </c>
      <c r="H2637">
        <v>22</v>
      </c>
      <c r="I2637" t="str">
        <f t="shared" si="164"/>
        <v>1-abr-2022</v>
      </c>
      <c r="K2637" s="49">
        <f t="shared" si="166"/>
        <v>44652</v>
      </c>
      <c r="M2637" t="b">
        <f t="shared" si="167"/>
        <v>1</v>
      </c>
    </row>
    <row r="2638" spans="1:13" x14ac:dyDescent="0.3">
      <c r="A2638" s="49">
        <v>45261</v>
      </c>
      <c r="D2638" t="s">
        <v>7363</v>
      </c>
      <c r="E2638">
        <v>1</v>
      </c>
      <c r="F2638" t="str">
        <f t="shared" si="165"/>
        <v>feb</v>
      </c>
      <c r="G2638">
        <v>20</v>
      </c>
      <c r="H2638">
        <v>22</v>
      </c>
      <c r="I2638" t="str">
        <f t="shared" si="164"/>
        <v>1-feb-2022</v>
      </c>
      <c r="K2638" s="49">
        <f t="shared" si="166"/>
        <v>44593</v>
      </c>
      <c r="M2638" t="b">
        <f t="shared" si="167"/>
        <v>1</v>
      </c>
    </row>
    <row r="2639" spans="1:13" x14ac:dyDescent="0.3">
      <c r="A2639" s="49">
        <v>45261</v>
      </c>
      <c r="D2639" t="s">
        <v>7357</v>
      </c>
      <c r="E2639">
        <v>1</v>
      </c>
      <c r="F2639" t="str">
        <f t="shared" si="165"/>
        <v>oct</v>
      </c>
      <c r="G2639">
        <v>20</v>
      </c>
      <c r="H2639">
        <v>20</v>
      </c>
      <c r="I2639" t="str">
        <f t="shared" si="164"/>
        <v>1-oct-2020</v>
      </c>
      <c r="K2639" s="49">
        <f t="shared" si="166"/>
        <v>44105</v>
      </c>
      <c r="M2639" t="b">
        <f t="shared" si="167"/>
        <v>1</v>
      </c>
    </row>
    <row r="2640" spans="1:13" x14ac:dyDescent="0.3">
      <c r="A2640" s="49">
        <v>45261</v>
      </c>
      <c r="D2640" t="s">
        <v>7356</v>
      </c>
      <c r="E2640">
        <v>1</v>
      </c>
      <c r="F2640" t="str">
        <f t="shared" si="165"/>
        <v>ene</v>
      </c>
      <c r="G2640">
        <v>20</v>
      </c>
      <c r="H2640">
        <v>21</v>
      </c>
      <c r="I2640" t="str">
        <f t="shared" si="164"/>
        <v>1-ene-2021</v>
      </c>
      <c r="K2640" s="49">
        <f t="shared" si="166"/>
        <v>44197</v>
      </c>
      <c r="M2640" t="b">
        <f t="shared" si="167"/>
        <v>1</v>
      </c>
    </row>
    <row r="2641" spans="1:13" x14ac:dyDescent="0.3">
      <c r="A2641" s="49">
        <v>45261</v>
      </c>
      <c r="D2641" t="s">
        <v>7369</v>
      </c>
      <c r="E2641">
        <v>1</v>
      </c>
      <c r="F2641" t="str">
        <f t="shared" si="165"/>
        <v>abr</v>
      </c>
      <c r="G2641">
        <v>20</v>
      </c>
      <c r="H2641">
        <v>23</v>
      </c>
      <c r="I2641" t="str">
        <f t="shared" si="164"/>
        <v>1-abr-2023</v>
      </c>
      <c r="K2641" s="49">
        <f t="shared" si="166"/>
        <v>45017</v>
      </c>
      <c r="M2641" t="b">
        <f t="shared" si="167"/>
        <v>1</v>
      </c>
    </row>
    <row r="2642" spans="1:13" x14ac:dyDescent="0.3">
      <c r="A2642" s="49">
        <v>45261</v>
      </c>
      <c r="D2642" t="s">
        <v>7359</v>
      </c>
      <c r="E2642">
        <v>1</v>
      </c>
      <c r="F2642" t="str">
        <f t="shared" si="165"/>
        <v>jul</v>
      </c>
      <c r="G2642">
        <v>20</v>
      </c>
      <c r="H2642">
        <v>23</v>
      </c>
      <c r="I2642" t="str">
        <f t="shared" si="164"/>
        <v>1-jul-2023</v>
      </c>
      <c r="K2642" s="49">
        <f t="shared" si="166"/>
        <v>45108</v>
      </c>
      <c r="M2642" t="b">
        <f t="shared" si="167"/>
        <v>1</v>
      </c>
    </row>
    <row r="2643" spans="1:13" x14ac:dyDescent="0.3">
      <c r="A2643" s="49">
        <v>45261</v>
      </c>
      <c r="D2643" t="s">
        <v>7356</v>
      </c>
      <c r="E2643">
        <v>1</v>
      </c>
      <c r="F2643" t="str">
        <f t="shared" si="165"/>
        <v>ene</v>
      </c>
      <c r="G2643">
        <v>20</v>
      </c>
      <c r="H2643">
        <v>23</v>
      </c>
      <c r="I2643" t="str">
        <f t="shared" si="164"/>
        <v>1-ene-2023</v>
      </c>
      <c r="K2643" s="49">
        <f t="shared" si="166"/>
        <v>44927</v>
      </c>
      <c r="M2643" t="b">
        <f t="shared" si="167"/>
        <v>1</v>
      </c>
    </row>
    <row r="2644" spans="1:13" x14ac:dyDescent="0.3">
      <c r="A2644" s="49">
        <v>45261</v>
      </c>
      <c r="D2644" t="s">
        <v>7362</v>
      </c>
      <c r="E2644">
        <v>1</v>
      </c>
      <c r="F2644" t="str">
        <f t="shared" si="165"/>
        <v>ago</v>
      </c>
      <c r="G2644">
        <v>20</v>
      </c>
      <c r="H2644">
        <v>22</v>
      </c>
      <c r="I2644" t="str">
        <f t="shared" si="164"/>
        <v>1-ago-2022</v>
      </c>
      <c r="K2644" s="49">
        <f t="shared" si="166"/>
        <v>44774</v>
      </c>
      <c r="M2644" t="b">
        <f t="shared" si="167"/>
        <v>1</v>
      </c>
    </row>
    <row r="2645" spans="1:13" x14ac:dyDescent="0.3">
      <c r="A2645" s="49">
        <v>45261</v>
      </c>
      <c r="D2645" t="s">
        <v>7357</v>
      </c>
      <c r="E2645">
        <v>1</v>
      </c>
      <c r="F2645" t="str">
        <f t="shared" si="165"/>
        <v>oct</v>
      </c>
      <c r="G2645">
        <v>20</v>
      </c>
      <c r="H2645">
        <v>23</v>
      </c>
      <c r="I2645" t="str">
        <f t="shared" si="164"/>
        <v>1-oct-2023</v>
      </c>
      <c r="K2645" s="49">
        <f t="shared" si="166"/>
        <v>45200</v>
      </c>
      <c r="M2645" t="b">
        <f t="shared" si="167"/>
        <v>1</v>
      </c>
    </row>
    <row r="2646" spans="1:13" x14ac:dyDescent="0.3">
      <c r="A2646" s="49">
        <v>45261</v>
      </c>
      <c r="D2646" t="s">
        <v>7355</v>
      </c>
      <c r="E2646">
        <v>1</v>
      </c>
      <c r="F2646" t="str">
        <f t="shared" si="165"/>
        <v>sep</v>
      </c>
      <c r="G2646">
        <v>20</v>
      </c>
      <c r="H2646">
        <v>23</v>
      </c>
      <c r="I2646" t="str">
        <f t="shared" si="164"/>
        <v>1-sep-2023</v>
      </c>
      <c r="K2646" s="49">
        <f t="shared" si="166"/>
        <v>45170</v>
      </c>
      <c r="M2646" t="b">
        <f t="shared" si="167"/>
        <v>1</v>
      </c>
    </row>
    <row r="2647" spans="1:13" x14ac:dyDescent="0.3">
      <c r="A2647" s="49">
        <v>45261</v>
      </c>
      <c r="D2647" t="s">
        <v>7368</v>
      </c>
      <c r="E2647">
        <v>1</v>
      </c>
      <c r="F2647" t="str">
        <f t="shared" si="165"/>
        <v>mar</v>
      </c>
      <c r="G2647">
        <v>20</v>
      </c>
      <c r="H2647">
        <v>17</v>
      </c>
      <c r="I2647" t="str">
        <f t="shared" si="164"/>
        <v>1-mar-2017</v>
      </c>
      <c r="K2647" s="49">
        <f t="shared" si="166"/>
        <v>42795</v>
      </c>
      <c r="M2647" t="b">
        <f t="shared" si="167"/>
        <v>1</v>
      </c>
    </row>
    <row r="2648" spans="1:13" x14ac:dyDescent="0.3">
      <c r="A2648" s="49">
        <v>45261</v>
      </c>
      <c r="D2648" t="s">
        <v>7363</v>
      </c>
      <c r="E2648">
        <v>1</v>
      </c>
      <c r="F2648" t="str">
        <f t="shared" si="165"/>
        <v>feb</v>
      </c>
      <c r="G2648">
        <v>20</v>
      </c>
      <c r="H2648">
        <v>25</v>
      </c>
      <c r="I2648" t="str">
        <f t="shared" si="164"/>
        <v>1-feb-2025</v>
      </c>
      <c r="K2648" s="49">
        <f t="shared" si="166"/>
        <v>45689</v>
      </c>
      <c r="M2648" t="b">
        <f t="shared" si="167"/>
        <v>0</v>
      </c>
    </row>
    <row r="2649" spans="1:13" x14ac:dyDescent="0.3">
      <c r="A2649" s="49">
        <v>45261</v>
      </c>
      <c r="D2649" t="s">
        <v>7362</v>
      </c>
      <c r="E2649">
        <v>1</v>
      </c>
      <c r="F2649" t="str">
        <f t="shared" si="165"/>
        <v>ago</v>
      </c>
      <c r="G2649">
        <v>20</v>
      </c>
      <c r="H2649">
        <v>22</v>
      </c>
      <c r="I2649" t="str">
        <f t="shared" si="164"/>
        <v>1-ago-2022</v>
      </c>
      <c r="K2649" s="49">
        <f t="shared" si="166"/>
        <v>44774</v>
      </c>
      <c r="M2649" t="b">
        <f t="shared" si="167"/>
        <v>1</v>
      </c>
    </row>
    <row r="2650" spans="1:13" x14ac:dyDescent="0.3">
      <c r="A2650" s="49">
        <v>45261</v>
      </c>
      <c r="D2650" t="s">
        <v>7363</v>
      </c>
      <c r="E2650">
        <v>1</v>
      </c>
      <c r="F2650" t="str">
        <f t="shared" si="165"/>
        <v>feb</v>
      </c>
      <c r="G2650">
        <v>20</v>
      </c>
      <c r="H2650">
        <v>25</v>
      </c>
      <c r="I2650" t="str">
        <f t="shared" si="164"/>
        <v>1-feb-2025</v>
      </c>
      <c r="K2650" s="49">
        <f t="shared" si="166"/>
        <v>45689</v>
      </c>
      <c r="M2650" t="b">
        <f t="shared" si="167"/>
        <v>0</v>
      </c>
    </row>
    <row r="2651" spans="1:13" x14ac:dyDescent="0.3">
      <c r="A2651" s="49">
        <v>45261</v>
      </c>
      <c r="D2651" t="s">
        <v>7355</v>
      </c>
      <c r="E2651">
        <v>1</v>
      </c>
      <c r="F2651" t="str">
        <f t="shared" si="165"/>
        <v>sep</v>
      </c>
      <c r="G2651">
        <v>20</v>
      </c>
      <c r="H2651">
        <v>23</v>
      </c>
      <c r="I2651" t="str">
        <f t="shared" si="164"/>
        <v>1-sep-2023</v>
      </c>
      <c r="K2651" s="49">
        <f t="shared" si="166"/>
        <v>45170</v>
      </c>
      <c r="M2651" t="b">
        <f t="shared" si="167"/>
        <v>1</v>
      </c>
    </row>
    <row r="2652" spans="1:13" x14ac:dyDescent="0.3">
      <c r="A2652" s="49">
        <v>45261</v>
      </c>
      <c r="D2652" t="s">
        <v>7356</v>
      </c>
      <c r="E2652">
        <v>1</v>
      </c>
      <c r="F2652" t="str">
        <f t="shared" si="165"/>
        <v>ene</v>
      </c>
      <c r="G2652">
        <v>20</v>
      </c>
      <c r="H2652">
        <v>25</v>
      </c>
      <c r="I2652" t="str">
        <f t="shared" si="164"/>
        <v>1-ene-2025</v>
      </c>
      <c r="K2652" s="49">
        <f t="shared" si="166"/>
        <v>45658</v>
      </c>
      <c r="M2652" t="b">
        <f t="shared" si="167"/>
        <v>0</v>
      </c>
    </row>
    <row r="2653" spans="1:13" x14ac:dyDescent="0.3">
      <c r="A2653" s="49">
        <v>45261</v>
      </c>
      <c r="D2653" t="s">
        <v>7357</v>
      </c>
      <c r="E2653">
        <v>1</v>
      </c>
      <c r="F2653" t="str">
        <f t="shared" si="165"/>
        <v>oct</v>
      </c>
      <c r="G2653">
        <v>20</v>
      </c>
      <c r="H2653">
        <v>23</v>
      </c>
      <c r="I2653" t="str">
        <f t="shared" si="164"/>
        <v>1-oct-2023</v>
      </c>
      <c r="K2653" s="49">
        <f t="shared" si="166"/>
        <v>45200</v>
      </c>
      <c r="M2653" t="b">
        <f t="shared" si="167"/>
        <v>1</v>
      </c>
    </row>
    <row r="2654" spans="1:13" x14ac:dyDescent="0.3">
      <c r="A2654" s="49">
        <v>45261</v>
      </c>
      <c r="D2654" t="s">
        <v>7359</v>
      </c>
      <c r="E2654">
        <v>1</v>
      </c>
      <c r="F2654" t="str">
        <f t="shared" si="165"/>
        <v>jul</v>
      </c>
      <c r="G2654">
        <v>20</v>
      </c>
      <c r="H2654">
        <v>23</v>
      </c>
      <c r="I2654" t="str">
        <f t="shared" si="164"/>
        <v>1-jul-2023</v>
      </c>
      <c r="K2654" s="49">
        <f t="shared" si="166"/>
        <v>45108</v>
      </c>
      <c r="M2654" t="b">
        <f t="shared" si="167"/>
        <v>1</v>
      </c>
    </row>
    <row r="2655" spans="1:13" x14ac:dyDescent="0.3">
      <c r="A2655" s="49">
        <v>45261</v>
      </c>
      <c r="D2655" t="s">
        <v>7356</v>
      </c>
      <c r="E2655">
        <v>1</v>
      </c>
      <c r="F2655" t="str">
        <f t="shared" si="165"/>
        <v>ene</v>
      </c>
      <c r="G2655">
        <v>20</v>
      </c>
      <c r="H2655">
        <v>20</v>
      </c>
      <c r="I2655" t="str">
        <f t="shared" si="164"/>
        <v>1-ene-2020</v>
      </c>
      <c r="K2655" s="49">
        <f t="shared" si="166"/>
        <v>43831</v>
      </c>
      <c r="M2655" t="b">
        <f t="shared" si="167"/>
        <v>1</v>
      </c>
    </row>
    <row r="2656" spans="1:13" x14ac:dyDescent="0.3">
      <c r="A2656" s="49">
        <v>45261</v>
      </c>
      <c r="D2656" t="s">
        <v>7368</v>
      </c>
      <c r="E2656">
        <v>1</v>
      </c>
      <c r="F2656" t="str">
        <f t="shared" si="165"/>
        <v>mar</v>
      </c>
      <c r="G2656">
        <v>20</v>
      </c>
      <c r="H2656">
        <v>23</v>
      </c>
      <c r="I2656" t="str">
        <f t="shared" si="164"/>
        <v>1-mar-2023</v>
      </c>
      <c r="K2656" s="49">
        <f t="shared" si="166"/>
        <v>44986</v>
      </c>
      <c r="M2656" t="b">
        <f t="shared" si="167"/>
        <v>1</v>
      </c>
    </row>
    <row r="2657" spans="1:13" x14ac:dyDescent="0.3">
      <c r="A2657" s="49">
        <v>45261</v>
      </c>
      <c r="D2657" t="s">
        <v>7362</v>
      </c>
      <c r="E2657">
        <v>1</v>
      </c>
      <c r="F2657" t="str">
        <f t="shared" si="165"/>
        <v>ago</v>
      </c>
      <c r="G2657">
        <v>20</v>
      </c>
      <c r="H2657">
        <v>22</v>
      </c>
      <c r="I2657" t="str">
        <f t="shared" si="164"/>
        <v>1-ago-2022</v>
      </c>
      <c r="K2657" s="49">
        <f t="shared" si="166"/>
        <v>44774</v>
      </c>
      <c r="M2657" t="b">
        <f t="shared" si="167"/>
        <v>1</v>
      </c>
    </row>
    <row r="2658" spans="1:13" x14ac:dyDescent="0.3">
      <c r="A2658" s="49">
        <v>45261</v>
      </c>
      <c r="D2658" t="s">
        <v>7370</v>
      </c>
      <c r="E2658">
        <v>1</v>
      </c>
      <c r="F2658" t="str">
        <f t="shared" si="165"/>
        <v>may</v>
      </c>
      <c r="G2658">
        <v>20</v>
      </c>
      <c r="H2658">
        <v>22</v>
      </c>
      <c r="I2658" t="str">
        <f t="shared" si="164"/>
        <v>1-may-2022</v>
      </c>
      <c r="K2658" s="49">
        <f t="shared" si="166"/>
        <v>44682</v>
      </c>
      <c r="M2658" t="b">
        <f t="shared" si="167"/>
        <v>1</v>
      </c>
    </row>
    <row r="2659" spans="1:13" x14ac:dyDescent="0.3">
      <c r="A2659" s="49">
        <v>45261</v>
      </c>
      <c r="D2659" t="s">
        <v>7369</v>
      </c>
      <c r="E2659">
        <v>1</v>
      </c>
      <c r="F2659" t="str">
        <f t="shared" si="165"/>
        <v>abr</v>
      </c>
      <c r="G2659">
        <v>20</v>
      </c>
      <c r="H2659">
        <v>23</v>
      </c>
      <c r="I2659" t="str">
        <f t="shared" si="164"/>
        <v>1-abr-2023</v>
      </c>
      <c r="K2659" s="49">
        <f t="shared" si="166"/>
        <v>45017</v>
      </c>
      <c r="M2659" t="b">
        <f t="shared" si="167"/>
        <v>1</v>
      </c>
    </row>
    <row r="2660" spans="1:13" x14ac:dyDescent="0.3">
      <c r="A2660" s="49">
        <v>45261</v>
      </c>
      <c r="D2660" t="s">
        <v>7356</v>
      </c>
      <c r="E2660">
        <v>1</v>
      </c>
      <c r="F2660" t="str">
        <f t="shared" si="165"/>
        <v>ene</v>
      </c>
      <c r="G2660">
        <v>20</v>
      </c>
      <c r="H2660">
        <v>23</v>
      </c>
      <c r="I2660" t="str">
        <f t="shared" si="164"/>
        <v>1-ene-2023</v>
      </c>
      <c r="K2660" s="49">
        <f t="shared" si="166"/>
        <v>44927</v>
      </c>
      <c r="M2660" t="b">
        <f t="shared" si="167"/>
        <v>1</v>
      </c>
    </row>
    <row r="2661" spans="1:13" x14ac:dyDescent="0.3">
      <c r="A2661" s="49">
        <v>45261</v>
      </c>
      <c r="D2661" t="s">
        <v>7356</v>
      </c>
      <c r="E2661">
        <v>1</v>
      </c>
      <c r="F2661" t="str">
        <f t="shared" si="165"/>
        <v>ene</v>
      </c>
      <c r="G2661">
        <v>20</v>
      </c>
      <c r="H2661">
        <v>23</v>
      </c>
      <c r="I2661" t="str">
        <f t="shared" si="164"/>
        <v>1-ene-2023</v>
      </c>
      <c r="K2661" s="49">
        <f t="shared" si="166"/>
        <v>44927</v>
      </c>
      <c r="M2661" t="b">
        <f t="shared" si="167"/>
        <v>1</v>
      </c>
    </row>
    <row r="2662" spans="1:13" x14ac:dyDescent="0.3">
      <c r="A2662" s="49">
        <v>45261</v>
      </c>
      <c r="D2662" t="s">
        <v>7357</v>
      </c>
      <c r="E2662">
        <v>1</v>
      </c>
      <c r="F2662" t="str">
        <f t="shared" si="165"/>
        <v>oct</v>
      </c>
      <c r="G2662">
        <v>20</v>
      </c>
      <c r="H2662">
        <v>22</v>
      </c>
      <c r="I2662" t="str">
        <f t="shared" si="164"/>
        <v>1-oct-2022</v>
      </c>
      <c r="K2662" s="49">
        <f t="shared" si="166"/>
        <v>44835</v>
      </c>
      <c r="M2662" t="b">
        <f t="shared" si="167"/>
        <v>1</v>
      </c>
    </row>
    <row r="2663" spans="1:13" x14ac:dyDescent="0.3">
      <c r="A2663" s="49">
        <v>45261</v>
      </c>
      <c r="D2663" t="s">
        <v>7366</v>
      </c>
      <c r="E2663">
        <v>1</v>
      </c>
      <c r="F2663" t="str">
        <f t="shared" si="165"/>
        <v>dic</v>
      </c>
      <c r="G2663">
        <v>20</v>
      </c>
      <c r="H2663">
        <v>21</v>
      </c>
      <c r="I2663" t="str">
        <f t="shared" si="164"/>
        <v>1-dic-2021</v>
      </c>
      <c r="K2663" s="49">
        <f t="shared" si="166"/>
        <v>44531</v>
      </c>
      <c r="M2663" t="b">
        <f t="shared" si="167"/>
        <v>1</v>
      </c>
    </row>
    <row r="2664" spans="1:13" x14ac:dyDescent="0.3">
      <c r="A2664" s="49">
        <v>45261</v>
      </c>
      <c r="D2664" t="s">
        <v>7362</v>
      </c>
      <c r="E2664">
        <v>1</v>
      </c>
      <c r="F2664" t="str">
        <f t="shared" si="165"/>
        <v>ago</v>
      </c>
      <c r="G2664">
        <v>20</v>
      </c>
      <c r="H2664">
        <v>22</v>
      </c>
      <c r="I2664" t="str">
        <f t="shared" si="164"/>
        <v>1-ago-2022</v>
      </c>
      <c r="K2664" s="49">
        <f t="shared" si="166"/>
        <v>44774</v>
      </c>
      <c r="M2664" t="b">
        <f t="shared" si="167"/>
        <v>1</v>
      </c>
    </row>
    <row r="2665" spans="1:13" x14ac:dyDescent="0.3">
      <c r="A2665" s="49">
        <v>45261</v>
      </c>
      <c r="D2665" t="s">
        <v>7363</v>
      </c>
      <c r="E2665">
        <v>1</v>
      </c>
      <c r="F2665" t="str">
        <f t="shared" si="165"/>
        <v>feb</v>
      </c>
      <c r="G2665">
        <v>20</v>
      </c>
      <c r="H2665">
        <v>22</v>
      </c>
      <c r="I2665" t="str">
        <f t="shared" si="164"/>
        <v>1-feb-2022</v>
      </c>
      <c r="K2665" s="49">
        <f t="shared" si="166"/>
        <v>44593</v>
      </c>
      <c r="M2665" t="b">
        <f t="shared" si="167"/>
        <v>1</v>
      </c>
    </row>
    <row r="2666" spans="1:13" x14ac:dyDescent="0.3">
      <c r="A2666" s="49">
        <v>45261</v>
      </c>
      <c r="D2666" t="s">
        <v>7362</v>
      </c>
      <c r="E2666">
        <v>1</v>
      </c>
      <c r="F2666" t="str">
        <f t="shared" si="165"/>
        <v>ago</v>
      </c>
      <c r="G2666">
        <v>20</v>
      </c>
      <c r="H2666">
        <v>23</v>
      </c>
      <c r="I2666" t="str">
        <f t="shared" si="164"/>
        <v>1-ago-2023</v>
      </c>
      <c r="K2666" s="49">
        <f t="shared" si="166"/>
        <v>45139</v>
      </c>
      <c r="M2666" t="b">
        <f t="shared" si="167"/>
        <v>1</v>
      </c>
    </row>
    <row r="2667" spans="1:13" x14ac:dyDescent="0.3">
      <c r="A2667" s="49">
        <v>45261</v>
      </c>
      <c r="D2667" t="s">
        <v>7362</v>
      </c>
      <c r="E2667">
        <v>1</v>
      </c>
      <c r="F2667" t="str">
        <f t="shared" si="165"/>
        <v>ago</v>
      </c>
      <c r="G2667">
        <v>20</v>
      </c>
      <c r="H2667">
        <v>21</v>
      </c>
      <c r="I2667" t="str">
        <f t="shared" si="164"/>
        <v>1-ago-2021</v>
      </c>
      <c r="K2667" s="49">
        <f t="shared" si="166"/>
        <v>44409</v>
      </c>
      <c r="M2667" t="b">
        <f t="shared" si="167"/>
        <v>1</v>
      </c>
    </row>
    <row r="2668" spans="1:13" x14ac:dyDescent="0.3">
      <c r="A2668" s="49">
        <v>45261</v>
      </c>
      <c r="D2668" t="s">
        <v>7362</v>
      </c>
      <c r="E2668">
        <v>1</v>
      </c>
      <c r="F2668" t="str">
        <f t="shared" si="165"/>
        <v>ago</v>
      </c>
      <c r="G2668">
        <v>20</v>
      </c>
      <c r="H2668">
        <v>21</v>
      </c>
      <c r="I2668" t="str">
        <f t="shared" si="164"/>
        <v>1-ago-2021</v>
      </c>
      <c r="K2668" s="49">
        <f t="shared" si="166"/>
        <v>44409</v>
      </c>
      <c r="M2668" t="b">
        <f t="shared" si="167"/>
        <v>1</v>
      </c>
    </row>
    <row r="2669" spans="1:13" x14ac:dyDescent="0.3">
      <c r="A2669" s="49">
        <v>45261</v>
      </c>
      <c r="D2669" t="s">
        <v>7362</v>
      </c>
      <c r="E2669">
        <v>1</v>
      </c>
      <c r="F2669" t="str">
        <f t="shared" si="165"/>
        <v>ago</v>
      </c>
      <c r="G2669">
        <v>20</v>
      </c>
      <c r="H2669">
        <v>21</v>
      </c>
      <c r="I2669" t="str">
        <f t="shared" si="164"/>
        <v>1-ago-2021</v>
      </c>
      <c r="K2669" s="49">
        <f t="shared" si="166"/>
        <v>44409</v>
      </c>
      <c r="M2669" t="b">
        <f t="shared" si="167"/>
        <v>1</v>
      </c>
    </row>
    <row r="2670" spans="1:13" x14ac:dyDescent="0.3">
      <c r="A2670" s="49">
        <v>45261</v>
      </c>
      <c r="D2670" t="s">
        <v>7357</v>
      </c>
      <c r="E2670">
        <v>1</v>
      </c>
      <c r="F2670" t="str">
        <f t="shared" si="165"/>
        <v>oct</v>
      </c>
      <c r="G2670">
        <v>20</v>
      </c>
      <c r="H2670">
        <v>23</v>
      </c>
      <c r="I2670" t="str">
        <f t="shared" si="164"/>
        <v>1-oct-2023</v>
      </c>
      <c r="K2670" s="49">
        <f t="shared" si="166"/>
        <v>45200</v>
      </c>
      <c r="M2670" t="b">
        <f t="shared" si="167"/>
        <v>1</v>
      </c>
    </row>
    <row r="2671" spans="1:13" x14ac:dyDescent="0.3">
      <c r="A2671" s="49">
        <v>45261</v>
      </c>
      <c r="D2671" t="s">
        <v>7359</v>
      </c>
      <c r="E2671">
        <v>1</v>
      </c>
      <c r="F2671" t="str">
        <f t="shared" si="165"/>
        <v>jul</v>
      </c>
      <c r="G2671">
        <v>20</v>
      </c>
      <c r="H2671">
        <v>23</v>
      </c>
      <c r="I2671" t="str">
        <f t="shared" si="164"/>
        <v>1-jul-2023</v>
      </c>
      <c r="K2671" s="49">
        <f t="shared" si="166"/>
        <v>45108</v>
      </c>
      <c r="M2671" t="b">
        <f t="shared" si="167"/>
        <v>1</v>
      </c>
    </row>
    <row r="2672" spans="1:13" x14ac:dyDescent="0.3">
      <c r="A2672" s="49">
        <v>45261</v>
      </c>
      <c r="D2672" t="s">
        <v>7357</v>
      </c>
      <c r="E2672">
        <v>1</v>
      </c>
      <c r="F2672" t="str">
        <f t="shared" si="165"/>
        <v>oct</v>
      </c>
      <c r="G2672">
        <v>20</v>
      </c>
      <c r="H2672">
        <v>23</v>
      </c>
      <c r="I2672" t="str">
        <f t="shared" si="164"/>
        <v>1-oct-2023</v>
      </c>
      <c r="K2672" s="49">
        <f t="shared" si="166"/>
        <v>45200</v>
      </c>
      <c r="M2672" t="b">
        <f t="shared" si="167"/>
        <v>1</v>
      </c>
    </row>
    <row r="2673" spans="1:13" x14ac:dyDescent="0.3">
      <c r="A2673" s="49">
        <v>45261</v>
      </c>
      <c r="D2673" t="s">
        <v>7355</v>
      </c>
      <c r="E2673">
        <v>1</v>
      </c>
      <c r="F2673" t="str">
        <f t="shared" si="165"/>
        <v>sep</v>
      </c>
      <c r="G2673">
        <v>20</v>
      </c>
      <c r="H2673">
        <v>20</v>
      </c>
      <c r="I2673" t="str">
        <f t="shared" si="164"/>
        <v>1-sep-2020</v>
      </c>
      <c r="K2673" s="49">
        <f t="shared" si="166"/>
        <v>44075</v>
      </c>
      <c r="M2673" t="b">
        <f t="shared" si="167"/>
        <v>1</v>
      </c>
    </row>
    <row r="2674" spans="1:13" x14ac:dyDescent="0.3">
      <c r="A2674" s="49">
        <v>45261</v>
      </c>
      <c r="D2674" t="s">
        <v>7368</v>
      </c>
      <c r="E2674">
        <v>1</v>
      </c>
      <c r="F2674" t="str">
        <f t="shared" si="165"/>
        <v>mar</v>
      </c>
      <c r="G2674">
        <v>20</v>
      </c>
      <c r="H2674">
        <v>21</v>
      </c>
      <c r="I2674" t="str">
        <f t="shared" si="164"/>
        <v>1-mar-2021</v>
      </c>
      <c r="K2674" s="49">
        <f t="shared" si="166"/>
        <v>44256</v>
      </c>
      <c r="M2674" t="b">
        <f t="shared" si="167"/>
        <v>1</v>
      </c>
    </row>
    <row r="2675" spans="1:13" x14ac:dyDescent="0.3">
      <c r="A2675" s="49">
        <v>45261</v>
      </c>
      <c r="D2675" t="s">
        <v>7370</v>
      </c>
      <c r="E2675">
        <v>1</v>
      </c>
      <c r="F2675" t="str">
        <f t="shared" si="165"/>
        <v>may</v>
      </c>
      <c r="G2675">
        <v>20</v>
      </c>
      <c r="H2675">
        <v>23</v>
      </c>
      <c r="I2675" t="str">
        <f t="shared" si="164"/>
        <v>1-may-2023</v>
      </c>
      <c r="K2675" s="49">
        <f t="shared" si="166"/>
        <v>45047</v>
      </c>
      <c r="M2675" t="b">
        <f t="shared" si="167"/>
        <v>1</v>
      </c>
    </row>
    <row r="2676" spans="1:13" x14ac:dyDescent="0.3">
      <c r="A2676" s="49">
        <v>45261</v>
      </c>
      <c r="D2676" t="s">
        <v>7370</v>
      </c>
      <c r="E2676">
        <v>1</v>
      </c>
      <c r="F2676" t="str">
        <f t="shared" si="165"/>
        <v>may</v>
      </c>
      <c r="G2676">
        <v>20</v>
      </c>
      <c r="H2676">
        <v>20</v>
      </c>
      <c r="I2676" t="str">
        <f t="shared" si="164"/>
        <v>1-may-2020</v>
      </c>
      <c r="K2676" s="49">
        <f t="shared" si="166"/>
        <v>43952</v>
      </c>
      <c r="M2676" t="b">
        <f t="shared" si="167"/>
        <v>1</v>
      </c>
    </row>
    <row r="2677" spans="1:13" x14ac:dyDescent="0.3">
      <c r="A2677" s="49">
        <v>45261</v>
      </c>
      <c r="D2677" t="s">
        <v>7369</v>
      </c>
      <c r="E2677">
        <v>1</v>
      </c>
      <c r="F2677" t="str">
        <f t="shared" si="165"/>
        <v>abr</v>
      </c>
      <c r="G2677">
        <v>20</v>
      </c>
      <c r="H2677">
        <v>22</v>
      </c>
      <c r="I2677" t="str">
        <f t="shared" si="164"/>
        <v>1-abr-2022</v>
      </c>
      <c r="K2677" s="49">
        <f t="shared" si="166"/>
        <v>44652</v>
      </c>
      <c r="M2677" t="b">
        <f t="shared" si="167"/>
        <v>1</v>
      </c>
    </row>
    <row r="2678" spans="1:13" x14ac:dyDescent="0.3">
      <c r="A2678" s="49">
        <v>45261</v>
      </c>
      <c r="D2678" t="s">
        <v>7368</v>
      </c>
      <c r="E2678">
        <v>1</v>
      </c>
      <c r="F2678" t="str">
        <f t="shared" si="165"/>
        <v>mar</v>
      </c>
      <c r="G2678">
        <v>20</v>
      </c>
      <c r="H2678">
        <v>14</v>
      </c>
      <c r="I2678" t="str">
        <f t="shared" si="164"/>
        <v>1-mar-2014</v>
      </c>
      <c r="K2678" s="49">
        <f t="shared" si="166"/>
        <v>41699</v>
      </c>
      <c r="M2678" t="b">
        <f t="shared" si="167"/>
        <v>1</v>
      </c>
    </row>
    <row r="2679" spans="1:13" x14ac:dyDescent="0.3">
      <c r="A2679" s="49">
        <v>45261</v>
      </c>
      <c r="D2679" t="s">
        <v>7368</v>
      </c>
      <c r="E2679">
        <v>1</v>
      </c>
      <c r="F2679" t="str">
        <f t="shared" si="165"/>
        <v>mar</v>
      </c>
      <c r="G2679">
        <v>20</v>
      </c>
      <c r="H2679">
        <v>14</v>
      </c>
      <c r="I2679" t="str">
        <f t="shared" si="164"/>
        <v>1-mar-2014</v>
      </c>
      <c r="K2679" s="49">
        <f t="shared" si="166"/>
        <v>41699</v>
      </c>
      <c r="M2679" t="b">
        <f t="shared" si="167"/>
        <v>1</v>
      </c>
    </row>
    <row r="2680" spans="1:13" x14ac:dyDescent="0.3">
      <c r="A2680" s="49">
        <v>45261</v>
      </c>
      <c r="D2680" t="s">
        <v>7368</v>
      </c>
      <c r="E2680">
        <v>1</v>
      </c>
      <c r="F2680" t="str">
        <f t="shared" si="165"/>
        <v>mar</v>
      </c>
      <c r="G2680">
        <v>20</v>
      </c>
      <c r="H2680">
        <v>14</v>
      </c>
      <c r="I2680" t="str">
        <f t="shared" si="164"/>
        <v>1-mar-2014</v>
      </c>
      <c r="K2680" s="49">
        <f t="shared" si="166"/>
        <v>41699</v>
      </c>
      <c r="M2680" t="b">
        <f t="shared" si="167"/>
        <v>1</v>
      </c>
    </row>
    <row r="2681" spans="1:13" x14ac:dyDescent="0.3">
      <c r="A2681" s="49">
        <v>45261</v>
      </c>
      <c r="D2681" t="s">
        <v>7368</v>
      </c>
      <c r="E2681">
        <v>1</v>
      </c>
      <c r="F2681" t="str">
        <f t="shared" si="165"/>
        <v>mar</v>
      </c>
      <c r="G2681">
        <v>20</v>
      </c>
      <c r="H2681">
        <v>14</v>
      </c>
      <c r="I2681" t="str">
        <f t="shared" si="164"/>
        <v>1-mar-2014</v>
      </c>
      <c r="K2681" s="49">
        <f t="shared" si="166"/>
        <v>41699</v>
      </c>
      <c r="M2681" t="b">
        <f t="shared" si="167"/>
        <v>1</v>
      </c>
    </row>
    <row r="2682" spans="1:13" x14ac:dyDescent="0.3">
      <c r="A2682" s="49">
        <v>45261</v>
      </c>
      <c r="D2682" t="s">
        <v>7368</v>
      </c>
      <c r="E2682">
        <v>1</v>
      </c>
      <c r="F2682" t="str">
        <f t="shared" si="165"/>
        <v>mar</v>
      </c>
      <c r="G2682">
        <v>20</v>
      </c>
      <c r="H2682">
        <v>14</v>
      </c>
      <c r="I2682" t="str">
        <f t="shared" si="164"/>
        <v>1-mar-2014</v>
      </c>
      <c r="K2682" s="49">
        <f t="shared" si="166"/>
        <v>41699</v>
      </c>
      <c r="M2682" t="b">
        <f t="shared" si="167"/>
        <v>1</v>
      </c>
    </row>
    <row r="2683" spans="1:13" x14ac:dyDescent="0.3">
      <c r="A2683" s="49">
        <v>45261</v>
      </c>
      <c r="D2683" t="s">
        <v>7368</v>
      </c>
      <c r="E2683">
        <v>1</v>
      </c>
      <c r="F2683" t="str">
        <f t="shared" si="165"/>
        <v>mar</v>
      </c>
      <c r="G2683">
        <v>20</v>
      </c>
      <c r="H2683">
        <v>14</v>
      </c>
      <c r="I2683" t="str">
        <f t="shared" si="164"/>
        <v>1-mar-2014</v>
      </c>
      <c r="K2683" s="49">
        <f t="shared" si="166"/>
        <v>41699</v>
      </c>
      <c r="M2683" t="b">
        <f t="shared" si="167"/>
        <v>1</v>
      </c>
    </row>
    <row r="2684" spans="1:13" x14ac:dyDescent="0.3">
      <c r="A2684" s="49">
        <v>45261</v>
      </c>
      <c r="D2684" t="s">
        <v>7368</v>
      </c>
      <c r="E2684">
        <v>1</v>
      </c>
      <c r="F2684" t="str">
        <f t="shared" si="165"/>
        <v>mar</v>
      </c>
      <c r="G2684">
        <v>20</v>
      </c>
      <c r="H2684">
        <v>14</v>
      </c>
      <c r="I2684" t="str">
        <f t="shared" si="164"/>
        <v>1-mar-2014</v>
      </c>
      <c r="K2684" s="49">
        <f t="shared" si="166"/>
        <v>41699</v>
      </c>
      <c r="M2684" t="b">
        <f t="shared" si="167"/>
        <v>1</v>
      </c>
    </row>
    <row r="2685" spans="1:13" x14ac:dyDescent="0.3">
      <c r="A2685" s="49">
        <v>45261</v>
      </c>
      <c r="D2685" t="s">
        <v>7368</v>
      </c>
      <c r="E2685">
        <v>1</v>
      </c>
      <c r="F2685" t="str">
        <f t="shared" si="165"/>
        <v>mar</v>
      </c>
      <c r="G2685">
        <v>20</v>
      </c>
      <c r="H2685">
        <v>14</v>
      </c>
      <c r="I2685" t="str">
        <f t="shared" si="164"/>
        <v>1-mar-2014</v>
      </c>
      <c r="K2685" s="49">
        <f t="shared" si="166"/>
        <v>41699</v>
      </c>
      <c r="M2685" t="b">
        <f t="shared" si="167"/>
        <v>1</v>
      </c>
    </row>
    <row r="2686" spans="1:13" x14ac:dyDescent="0.3">
      <c r="A2686" s="49">
        <v>45261</v>
      </c>
      <c r="D2686" t="s">
        <v>7368</v>
      </c>
      <c r="E2686">
        <v>1</v>
      </c>
      <c r="F2686" t="str">
        <f t="shared" si="165"/>
        <v>mar</v>
      </c>
      <c r="G2686">
        <v>20</v>
      </c>
      <c r="H2686">
        <v>14</v>
      </c>
      <c r="I2686" t="str">
        <f t="shared" si="164"/>
        <v>1-mar-2014</v>
      </c>
      <c r="K2686" s="49">
        <f t="shared" si="166"/>
        <v>41699</v>
      </c>
      <c r="M2686" t="b">
        <f t="shared" si="167"/>
        <v>1</v>
      </c>
    </row>
    <row r="2687" spans="1:13" x14ac:dyDescent="0.3">
      <c r="A2687" s="49">
        <v>45261</v>
      </c>
      <c r="D2687" t="s">
        <v>7368</v>
      </c>
      <c r="E2687">
        <v>1</v>
      </c>
      <c r="F2687" t="str">
        <f t="shared" si="165"/>
        <v>mar</v>
      </c>
      <c r="G2687">
        <v>20</v>
      </c>
      <c r="H2687">
        <v>14</v>
      </c>
      <c r="I2687" t="str">
        <f t="shared" si="164"/>
        <v>1-mar-2014</v>
      </c>
      <c r="K2687" s="49">
        <f t="shared" si="166"/>
        <v>41699</v>
      </c>
      <c r="M2687" t="b">
        <f t="shared" si="167"/>
        <v>1</v>
      </c>
    </row>
    <row r="2688" spans="1:13" x14ac:dyDescent="0.3">
      <c r="A2688" s="49">
        <v>45261</v>
      </c>
      <c r="D2688" t="s">
        <v>7368</v>
      </c>
      <c r="E2688">
        <v>1</v>
      </c>
      <c r="F2688" t="str">
        <f t="shared" si="165"/>
        <v>mar</v>
      </c>
      <c r="G2688">
        <v>20</v>
      </c>
      <c r="H2688">
        <v>14</v>
      </c>
      <c r="I2688" t="str">
        <f t="shared" si="164"/>
        <v>1-mar-2014</v>
      </c>
      <c r="K2688" s="49">
        <f t="shared" si="166"/>
        <v>41699</v>
      </c>
      <c r="M2688" t="b">
        <f t="shared" si="167"/>
        <v>1</v>
      </c>
    </row>
    <row r="2689" spans="1:13" x14ac:dyDescent="0.3">
      <c r="A2689" s="49">
        <v>45261</v>
      </c>
      <c r="D2689" t="s">
        <v>7368</v>
      </c>
      <c r="E2689">
        <v>1</v>
      </c>
      <c r="F2689" t="str">
        <f t="shared" si="165"/>
        <v>mar</v>
      </c>
      <c r="G2689">
        <v>20</v>
      </c>
      <c r="H2689">
        <v>14</v>
      </c>
      <c r="I2689" t="str">
        <f t="shared" ref="I2689:I2752" si="168">_xlfn.CONCAT(E2689,"-",F2689,"-",G2689,H2689)</f>
        <v>1-mar-2014</v>
      </c>
      <c r="K2689" s="49">
        <f t="shared" si="166"/>
        <v>41699</v>
      </c>
      <c r="M2689" t="b">
        <f t="shared" si="167"/>
        <v>1</v>
      </c>
    </row>
    <row r="2690" spans="1:13" x14ac:dyDescent="0.3">
      <c r="A2690" s="49">
        <v>45261</v>
      </c>
      <c r="D2690" t="s">
        <v>7367</v>
      </c>
      <c r="E2690">
        <v>1</v>
      </c>
      <c r="F2690" t="str">
        <f t="shared" ref="F2690:F2753" si="169">LOWER(D2690)</f>
        <v>jun</v>
      </c>
      <c r="G2690">
        <v>20</v>
      </c>
      <c r="H2690">
        <v>24</v>
      </c>
      <c r="I2690" t="str">
        <f t="shared" si="168"/>
        <v>1-jun-2024</v>
      </c>
      <c r="K2690" s="49">
        <f t="shared" ref="K2690:K2753" si="170">DATEVALUE(I2690)</f>
        <v>45444</v>
      </c>
      <c r="M2690" t="b">
        <f t="shared" si="167"/>
        <v>0</v>
      </c>
    </row>
    <row r="2691" spans="1:13" x14ac:dyDescent="0.3">
      <c r="A2691" s="49">
        <v>45261</v>
      </c>
      <c r="D2691" t="s">
        <v>7368</v>
      </c>
      <c r="E2691">
        <v>1</v>
      </c>
      <c r="F2691" t="str">
        <f t="shared" si="169"/>
        <v>mar</v>
      </c>
      <c r="G2691">
        <v>20</v>
      </c>
      <c r="H2691">
        <v>22</v>
      </c>
      <c r="I2691" t="str">
        <f t="shared" si="168"/>
        <v>1-mar-2022</v>
      </c>
      <c r="K2691" s="49">
        <f t="shared" si="170"/>
        <v>44621</v>
      </c>
      <c r="M2691" t="b">
        <f t="shared" ref="M2691:M2754" si="171">K2691&lt;A2691</f>
        <v>1</v>
      </c>
    </row>
    <row r="2692" spans="1:13" x14ac:dyDescent="0.3">
      <c r="A2692" s="49">
        <v>45261</v>
      </c>
      <c r="D2692" t="s">
        <v>7356</v>
      </c>
      <c r="E2692">
        <v>1</v>
      </c>
      <c r="F2692" t="str">
        <f t="shared" si="169"/>
        <v>ene</v>
      </c>
      <c r="G2692">
        <v>20</v>
      </c>
      <c r="H2692">
        <v>22</v>
      </c>
      <c r="I2692" t="str">
        <f t="shared" si="168"/>
        <v>1-ene-2022</v>
      </c>
      <c r="K2692" s="49">
        <f t="shared" si="170"/>
        <v>44562</v>
      </c>
      <c r="M2692" t="b">
        <f t="shared" si="171"/>
        <v>1</v>
      </c>
    </row>
    <row r="2693" spans="1:13" x14ac:dyDescent="0.3">
      <c r="A2693" s="49">
        <v>45261</v>
      </c>
      <c r="D2693" t="s">
        <v>7360</v>
      </c>
      <c r="E2693">
        <v>1</v>
      </c>
      <c r="F2693" t="str">
        <f t="shared" si="169"/>
        <v>nov</v>
      </c>
      <c r="G2693">
        <v>20</v>
      </c>
      <c r="H2693">
        <v>23</v>
      </c>
      <c r="I2693" t="str">
        <f t="shared" si="168"/>
        <v>1-nov-2023</v>
      </c>
      <c r="K2693" s="49">
        <f t="shared" si="170"/>
        <v>45231</v>
      </c>
      <c r="M2693" t="b">
        <f t="shared" si="171"/>
        <v>1</v>
      </c>
    </row>
    <row r="2694" spans="1:13" x14ac:dyDescent="0.3">
      <c r="A2694" s="49">
        <v>45261</v>
      </c>
      <c r="D2694" t="s">
        <v>7370</v>
      </c>
      <c r="E2694">
        <v>1</v>
      </c>
      <c r="F2694" t="str">
        <f t="shared" si="169"/>
        <v>may</v>
      </c>
      <c r="G2694">
        <v>20</v>
      </c>
      <c r="H2694">
        <v>23</v>
      </c>
      <c r="I2694" t="str">
        <f t="shared" si="168"/>
        <v>1-may-2023</v>
      </c>
      <c r="K2694" s="49">
        <f t="shared" si="170"/>
        <v>45047</v>
      </c>
      <c r="M2694" t="b">
        <f t="shared" si="171"/>
        <v>1</v>
      </c>
    </row>
    <row r="2695" spans="1:13" x14ac:dyDescent="0.3">
      <c r="A2695" s="49">
        <v>45261</v>
      </c>
      <c r="D2695" t="s">
        <v>7356</v>
      </c>
      <c r="E2695">
        <v>1</v>
      </c>
      <c r="F2695" t="str">
        <f t="shared" si="169"/>
        <v>ene</v>
      </c>
      <c r="G2695">
        <v>20</v>
      </c>
      <c r="H2695">
        <v>24</v>
      </c>
      <c r="I2695" t="str">
        <f t="shared" si="168"/>
        <v>1-ene-2024</v>
      </c>
      <c r="K2695" s="49">
        <f t="shared" si="170"/>
        <v>45292</v>
      </c>
      <c r="M2695" t="b">
        <f t="shared" si="171"/>
        <v>0</v>
      </c>
    </row>
    <row r="2696" spans="1:13" x14ac:dyDescent="0.3">
      <c r="A2696" s="49">
        <v>45261</v>
      </c>
      <c r="D2696" t="s">
        <v>7369</v>
      </c>
      <c r="E2696">
        <v>1</v>
      </c>
      <c r="F2696" t="str">
        <f t="shared" si="169"/>
        <v>abr</v>
      </c>
      <c r="G2696">
        <v>20</v>
      </c>
      <c r="H2696">
        <v>22</v>
      </c>
      <c r="I2696" t="str">
        <f t="shared" si="168"/>
        <v>1-abr-2022</v>
      </c>
      <c r="K2696" s="49">
        <f t="shared" si="170"/>
        <v>44652</v>
      </c>
      <c r="M2696" t="b">
        <f t="shared" si="171"/>
        <v>1</v>
      </c>
    </row>
    <row r="2697" spans="1:13" x14ac:dyDescent="0.3">
      <c r="A2697" s="49">
        <v>45261</v>
      </c>
      <c r="D2697" t="s">
        <v>7355</v>
      </c>
      <c r="E2697">
        <v>1</v>
      </c>
      <c r="F2697" t="str">
        <f t="shared" si="169"/>
        <v>sep</v>
      </c>
      <c r="G2697">
        <v>20</v>
      </c>
      <c r="H2697">
        <v>24</v>
      </c>
      <c r="I2697" t="str">
        <f t="shared" si="168"/>
        <v>1-sep-2024</v>
      </c>
      <c r="K2697" s="49">
        <f t="shared" si="170"/>
        <v>45536</v>
      </c>
      <c r="M2697" t="b">
        <f t="shared" si="171"/>
        <v>0</v>
      </c>
    </row>
    <row r="2698" spans="1:13" x14ac:dyDescent="0.3">
      <c r="A2698" s="49">
        <v>45261</v>
      </c>
      <c r="D2698" t="s">
        <v>7355</v>
      </c>
      <c r="E2698">
        <v>1</v>
      </c>
      <c r="F2698" t="str">
        <f t="shared" si="169"/>
        <v>sep</v>
      </c>
      <c r="G2698">
        <v>20</v>
      </c>
      <c r="H2698">
        <v>23</v>
      </c>
      <c r="I2698" t="str">
        <f t="shared" si="168"/>
        <v>1-sep-2023</v>
      </c>
      <c r="K2698" s="49">
        <f t="shared" si="170"/>
        <v>45170</v>
      </c>
      <c r="M2698" t="b">
        <f t="shared" si="171"/>
        <v>1</v>
      </c>
    </row>
    <row r="2699" spans="1:13" x14ac:dyDescent="0.3">
      <c r="A2699" s="49">
        <v>45261</v>
      </c>
      <c r="D2699" t="s">
        <v>7355</v>
      </c>
      <c r="E2699">
        <v>1</v>
      </c>
      <c r="F2699" t="str">
        <f t="shared" si="169"/>
        <v>sep</v>
      </c>
      <c r="G2699">
        <v>20</v>
      </c>
      <c r="H2699">
        <v>23</v>
      </c>
      <c r="I2699" t="str">
        <f t="shared" si="168"/>
        <v>1-sep-2023</v>
      </c>
      <c r="K2699" s="49">
        <f t="shared" si="170"/>
        <v>45170</v>
      </c>
      <c r="M2699" t="b">
        <f t="shared" si="171"/>
        <v>1</v>
      </c>
    </row>
    <row r="2700" spans="1:13" x14ac:dyDescent="0.3">
      <c r="A2700" s="49">
        <v>45261</v>
      </c>
      <c r="D2700" t="s">
        <v>7368</v>
      </c>
      <c r="E2700">
        <v>1</v>
      </c>
      <c r="F2700" t="str">
        <f t="shared" si="169"/>
        <v>mar</v>
      </c>
      <c r="G2700">
        <v>20</v>
      </c>
      <c r="H2700">
        <v>22</v>
      </c>
      <c r="I2700" t="str">
        <f t="shared" si="168"/>
        <v>1-mar-2022</v>
      </c>
      <c r="K2700" s="49">
        <f t="shared" si="170"/>
        <v>44621</v>
      </c>
      <c r="M2700" t="b">
        <f t="shared" si="171"/>
        <v>1</v>
      </c>
    </row>
    <row r="2701" spans="1:13" x14ac:dyDescent="0.3">
      <c r="A2701" s="49">
        <v>45261</v>
      </c>
      <c r="D2701" t="s">
        <v>7368</v>
      </c>
      <c r="E2701">
        <v>1</v>
      </c>
      <c r="F2701" t="str">
        <f t="shared" si="169"/>
        <v>mar</v>
      </c>
      <c r="G2701">
        <v>20</v>
      </c>
      <c r="H2701">
        <v>23</v>
      </c>
      <c r="I2701" t="str">
        <f t="shared" si="168"/>
        <v>1-mar-2023</v>
      </c>
      <c r="K2701" s="49">
        <f t="shared" si="170"/>
        <v>44986</v>
      </c>
      <c r="M2701" t="b">
        <f t="shared" si="171"/>
        <v>1</v>
      </c>
    </row>
    <row r="2702" spans="1:13" x14ac:dyDescent="0.3">
      <c r="A2702" s="49">
        <v>45261</v>
      </c>
      <c r="D2702" t="s">
        <v>7369</v>
      </c>
      <c r="E2702">
        <v>1</v>
      </c>
      <c r="F2702" t="str">
        <f t="shared" si="169"/>
        <v>abr</v>
      </c>
      <c r="G2702">
        <v>20</v>
      </c>
      <c r="H2702">
        <v>22</v>
      </c>
      <c r="I2702" t="str">
        <f t="shared" si="168"/>
        <v>1-abr-2022</v>
      </c>
      <c r="K2702" s="49">
        <f t="shared" si="170"/>
        <v>44652</v>
      </c>
      <c r="M2702" t="b">
        <f t="shared" si="171"/>
        <v>1</v>
      </c>
    </row>
    <row r="2703" spans="1:13" x14ac:dyDescent="0.3">
      <c r="A2703" s="49">
        <v>45261</v>
      </c>
      <c r="D2703" t="s">
        <v>7369</v>
      </c>
      <c r="E2703">
        <v>1</v>
      </c>
      <c r="F2703" t="str">
        <f t="shared" si="169"/>
        <v>abr</v>
      </c>
      <c r="G2703">
        <v>20</v>
      </c>
      <c r="H2703">
        <v>23</v>
      </c>
      <c r="I2703" t="str">
        <f t="shared" si="168"/>
        <v>1-abr-2023</v>
      </c>
      <c r="K2703" s="49">
        <f t="shared" si="170"/>
        <v>45017</v>
      </c>
      <c r="M2703" t="b">
        <f t="shared" si="171"/>
        <v>1</v>
      </c>
    </row>
    <row r="2704" spans="1:13" x14ac:dyDescent="0.3">
      <c r="A2704" s="49">
        <v>45261</v>
      </c>
      <c r="D2704" t="s">
        <v>7362</v>
      </c>
      <c r="E2704">
        <v>1</v>
      </c>
      <c r="F2704" t="str">
        <f t="shared" si="169"/>
        <v>ago</v>
      </c>
      <c r="G2704">
        <v>20</v>
      </c>
      <c r="H2704">
        <v>23</v>
      </c>
      <c r="I2704" t="str">
        <f t="shared" si="168"/>
        <v>1-ago-2023</v>
      </c>
      <c r="K2704" s="49">
        <f t="shared" si="170"/>
        <v>45139</v>
      </c>
      <c r="M2704" t="b">
        <f t="shared" si="171"/>
        <v>1</v>
      </c>
    </row>
    <row r="2705" spans="1:13" x14ac:dyDescent="0.3">
      <c r="A2705" s="49">
        <v>45261</v>
      </c>
      <c r="D2705" t="s">
        <v>7367</v>
      </c>
      <c r="E2705">
        <v>1</v>
      </c>
      <c r="F2705" t="str">
        <f t="shared" si="169"/>
        <v>jun</v>
      </c>
      <c r="G2705">
        <v>20</v>
      </c>
      <c r="H2705">
        <v>18</v>
      </c>
      <c r="I2705" t="str">
        <f t="shared" si="168"/>
        <v>1-jun-2018</v>
      </c>
      <c r="K2705" s="49">
        <f t="shared" si="170"/>
        <v>43252</v>
      </c>
      <c r="M2705" t="b">
        <f t="shared" si="171"/>
        <v>1</v>
      </c>
    </row>
    <row r="2706" spans="1:13" x14ac:dyDescent="0.3">
      <c r="A2706" s="49">
        <v>45261</v>
      </c>
      <c r="D2706" t="s">
        <v>7357</v>
      </c>
      <c r="E2706">
        <v>1</v>
      </c>
      <c r="F2706" t="str">
        <f t="shared" si="169"/>
        <v>oct</v>
      </c>
      <c r="G2706">
        <v>20</v>
      </c>
      <c r="H2706">
        <v>23</v>
      </c>
      <c r="I2706" t="str">
        <f t="shared" si="168"/>
        <v>1-oct-2023</v>
      </c>
      <c r="K2706" s="49">
        <f t="shared" si="170"/>
        <v>45200</v>
      </c>
      <c r="M2706" t="b">
        <f t="shared" si="171"/>
        <v>1</v>
      </c>
    </row>
    <row r="2707" spans="1:13" x14ac:dyDescent="0.3">
      <c r="A2707" s="49">
        <v>45261</v>
      </c>
      <c r="D2707" t="s">
        <v>7369</v>
      </c>
      <c r="E2707">
        <v>1</v>
      </c>
      <c r="F2707" t="str">
        <f t="shared" si="169"/>
        <v>abr</v>
      </c>
      <c r="G2707">
        <v>20</v>
      </c>
      <c r="H2707">
        <v>23</v>
      </c>
      <c r="I2707" t="str">
        <f t="shared" si="168"/>
        <v>1-abr-2023</v>
      </c>
      <c r="K2707" s="49">
        <f t="shared" si="170"/>
        <v>45017</v>
      </c>
      <c r="M2707" t="b">
        <f t="shared" si="171"/>
        <v>1</v>
      </c>
    </row>
    <row r="2708" spans="1:13" x14ac:dyDescent="0.3">
      <c r="A2708" s="49">
        <v>45261</v>
      </c>
      <c r="D2708" t="s">
        <v>7359</v>
      </c>
      <c r="E2708">
        <v>1</v>
      </c>
      <c r="F2708" t="str">
        <f t="shared" si="169"/>
        <v>jul</v>
      </c>
      <c r="G2708">
        <v>20</v>
      </c>
      <c r="H2708">
        <v>22</v>
      </c>
      <c r="I2708" t="str">
        <f t="shared" si="168"/>
        <v>1-jul-2022</v>
      </c>
      <c r="K2708" s="49">
        <f t="shared" si="170"/>
        <v>44743</v>
      </c>
      <c r="M2708" t="b">
        <f t="shared" si="171"/>
        <v>1</v>
      </c>
    </row>
    <row r="2709" spans="1:13" x14ac:dyDescent="0.3">
      <c r="A2709" s="49">
        <v>45261</v>
      </c>
      <c r="D2709" t="s">
        <v>7359</v>
      </c>
      <c r="E2709">
        <v>1</v>
      </c>
      <c r="F2709" t="str">
        <f t="shared" si="169"/>
        <v>jul</v>
      </c>
      <c r="G2709">
        <v>20</v>
      </c>
      <c r="H2709">
        <v>23</v>
      </c>
      <c r="I2709" t="str">
        <f t="shared" si="168"/>
        <v>1-jul-2023</v>
      </c>
      <c r="K2709" s="49">
        <f t="shared" si="170"/>
        <v>45108</v>
      </c>
      <c r="M2709" t="b">
        <f t="shared" si="171"/>
        <v>1</v>
      </c>
    </row>
    <row r="2710" spans="1:13" x14ac:dyDescent="0.3">
      <c r="A2710" s="49">
        <v>45261</v>
      </c>
      <c r="D2710" t="s">
        <v>7360</v>
      </c>
      <c r="E2710">
        <v>1</v>
      </c>
      <c r="F2710" t="str">
        <f t="shared" si="169"/>
        <v>nov</v>
      </c>
      <c r="G2710">
        <v>20</v>
      </c>
      <c r="H2710">
        <v>23</v>
      </c>
      <c r="I2710" t="str">
        <f t="shared" si="168"/>
        <v>1-nov-2023</v>
      </c>
      <c r="K2710" s="49">
        <f t="shared" si="170"/>
        <v>45231</v>
      </c>
      <c r="M2710" t="b">
        <f t="shared" si="171"/>
        <v>1</v>
      </c>
    </row>
    <row r="2711" spans="1:13" x14ac:dyDescent="0.3">
      <c r="A2711" s="49">
        <v>45261</v>
      </c>
      <c r="D2711" t="s">
        <v>7359</v>
      </c>
      <c r="E2711">
        <v>1</v>
      </c>
      <c r="F2711" t="str">
        <f t="shared" si="169"/>
        <v>jul</v>
      </c>
      <c r="G2711">
        <v>20</v>
      </c>
      <c r="H2711">
        <v>23</v>
      </c>
      <c r="I2711" t="str">
        <f t="shared" si="168"/>
        <v>1-jul-2023</v>
      </c>
      <c r="K2711" s="49">
        <f t="shared" si="170"/>
        <v>45108</v>
      </c>
      <c r="M2711" t="b">
        <f t="shared" si="171"/>
        <v>1</v>
      </c>
    </row>
    <row r="2712" spans="1:13" x14ac:dyDescent="0.3">
      <c r="A2712" s="49">
        <v>45261</v>
      </c>
      <c r="D2712" t="s">
        <v>7359</v>
      </c>
      <c r="E2712">
        <v>1</v>
      </c>
      <c r="F2712" t="str">
        <f t="shared" si="169"/>
        <v>jul</v>
      </c>
      <c r="G2712">
        <v>20</v>
      </c>
      <c r="H2712">
        <v>22</v>
      </c>
      <c r="I2712" t="str">
        <f t="shared" si="168"/>
        <v>1-jul-2022</v>
      </c>
      <c r="K2712" s="49">
        <f t="shared" si="170"/>
        <v>44743</v>
      </c>
      <c r="M2712" t="b">
        <f t="shared" si="171"/>
        <v>1</v>
      </c>
    </row>
    <row r="2713" spans="1:13" x14ac:dyDescent="0.3">
      <c r="A2713" s="49">
        <v>45261</v>
      </c>
      <c r="D2713" t="s">
        <v>7366</v>
      </c>
      <c r="E2713">
        <v>1</v>
      </c>
      <c r="F2713" t="str">
        <f t="shared" si="169"/>
        <v>dic</v>
      </c>
      <c r="G2713">
        <v>20</v>
      </c>
      <c r="H2713">
        <v>21</v>
      </c>
      <c r="I2713" t="str">
        <f t="shared" si="168"/>
        <v>1-dic-2021</v>
      </c>
      <c r="K2713" s="49">
        <f t="shared" si="170"/>
        <v>44531</v>
      </c>
      <c r="M2713" t="b">
        <f t="shared" si="171"/>
        <v>1</v>
      </c>
    </row>
    <row r="2714" spans="1:13" x14ac:dyDescent="0.3">
      <c r="A2714" s="49">
        <v>45261</v>
      </c>
      <c r="D2714" t="s">
        <v>7362</v>
      </c>
      <c r="E2714">
        <v>1</v>
      </c>
      <c r="F2714" t="str">
        <f t="shared" si="169"/>
        <v>ago</v>
      </c>
      <c r="G2714">
        <v>20</v>
      </c>
      <c r="H2714">
        <v>23</v>
      </c>
      <c r="I2714" t="str">
        <f t="shared" si="168"/>
        <v>1-ago-2023</v>
      </c>
      <c r="K2714" s="49">
        <f t="shared" si="170"/>
        <v>45139</v>
      </c>
      <c r="M2714" t="b">
        <f t="shared" si="171"/>
        <v>1</v>
      </c>
    </row>
    <row r="2715" spans="1:13" x14ac:dyDescent="0.3">
      <c r="A2715" s="49">
        <v>45261</v>
      </c>
      <c r="D2715" t="s">
        <v>7368</v>
      </c>
      <c r="E2715">
        <v>1</v>
      </c>
      <c r="F2715" t="str">
        <f t="shared" si="169"/>
        <v>mar</v>
      </c>
      <c r="G2715">
        <v>20</v>
      </c>
      <c r="H2715">
        <v>23</v>
      </c>
      <c r="I2715" t="str">
        <f t="shared" si="168"/>
        <v>1-mar-2023</v>
      </c>
      <c r="K2715" s="49">
        <f t="shared" si="170"/>
        <v>44986</v>
      </c>
      <c r="M2715" t="b">
        <f t="shared" si="171"/>
        <v>1</v>
      </c>
    </row>
    <row r="2716" spans="1:13" x14ac:dyDescent="0.3">
      <c r="A2716" s="49">
        <v>45261</v>
      </c>
      <c r="D2716" t="s">
        <v>7363</v>
      </c>
      <c r="E2716">
        <v>1</v>
      </c>
      <c r="F2716" t="str">
        <f t="shared" si="169"/>
        <v>feb</v>
      </c>
      <c r="G2716">
        <v>20</v>
      </c>
      <c r="H2716">
        <v>22</v>
      </c>
      <c r="I2716" t="str">
        <f t="shared" si="168"/>
        <v>1-feb-2022</v>
      </c>
      <c r="K2716" s="49">
        <f t="shared" si="170"/>
        <v>44593</v>
      </c>
      <c r="M2716" t="b">
        <f t="shared" si="171"/>
        <v>1</v>
      </c>
    </row>
    <row r="2717" spans="1:13" x14ac:dyDescent="0.3">
      <c r="A2717" s="49">
        <v>45261</v>
      </c>
      <c r="D2717" t="s">
        <v>7356</v>
      </c>
      <c r="E2717">
        <v>1</v>
      </c>
      <c r="F2717" t="str">
        <f t="shared" si="169"/>
        <v>ene</v>
      </c>
      <c r="G2717">
        <v>20</v>
      </c>
      <c r="H2717">
        <v>25</v>
      </c>
      <c r="I2717" t="str">
        <f t="shared" si="168"/>
        <v>1-ene-2025</v>
      </c>
      <c r="K2717" s="49">
        <f t="shared" si="170"/>
        <v>45658</v>
      </c>
      <c r="M2717" t="b">
        <f t="shared" si="171"/>
        <v>0</v>
      </c>
    </row>
    <row r="2718" spans="1:13" x14ac:dyDescent="0.3">
      <c r="A2718" s="49">
        <v>45261</v>
      </c>
      <c r="D2718" t="s">
        <v>7356</v>
      </c>
      <c r="E2718">
        <v>1</v>
      </c>
      <c r="F2718" t="str">
        <f t="shared" si="169"/>
        <v>ene</v>
      </c>
      <c r="G2718">
        <v>20</v>
      </c>
      <c r="H2718">
        <v>21</v>
      </c>
      <c r="I2718" t="str">
        <f t="shared" si="168"/>
        <v>1-ene-2021</v>
      </c>
      <c r="K2718" s="49">
        <f t="shared" si="170"/>
        <v>44197</v>
      </c>
      <c r="M2718" t="b">
        <f t="shared" si="171"/>
        <v>1</v>
      </c>
    </row>
    <row r="2719" spans="1:13" x14ac:dyDescent="0.3">
      <c r="A2719" s="49">
        <v>45261</v>
      </c>
      <c r="D2719" t="s">
        <v>7357</v>
      </c>
      <c r="E2719">
        <v>1</v>
      </c>
      <c r="F2719" t="str">
        <f t="shared" si="169"/>
        <v>oct</v>
      </c>
      <c r="G2719">
        <v>20</v>
      </c>
      <c r="H2719">
        <v>22</v>
      </c>
      <c r="I2719" t="str">
        <f t="shared" si="168"/>
        <v>1-oct-2022</v>
      </c>
      <c r="K2719" s="49">
        <f t="shared" si="170"/>
        <v>44835</v>
      </c>
      <c r="M2719" t="b">
        <f t="shared" si="171"/>
        <v>1</v>
      </c>
    </row>
    <row r="2720" spans="1:13" x14ac:dyDescent="0.3">
      <c r="A2720" s="49">
        <v>45261</v>
      </c>
      <c r="D2720" t="s">
        <v>7366</v>
      </c>
      <c r="E2720">
        <v>1</v>
      </c>
      <c r="F2720" t="str">
        <f t="shared" si="169"/>
        <v>dic</v>
      </c>
      <c r="G2720">
        <v>20</v>
      </c>
      <c r="H2720">
        <v>24</v>
      </c>
      <c r="I2720" t="str">
        <f t="shared" si="168"/>
        <v>1-dic-2024</v>
      </c>
      <c r="K2720" s="49">
        <f t="shared" si="170"/>
        <v>45627</v>
      </c>
      <c r="M2720" t="b">
        <f t="shared" si="171"/>
        <v>0</v>
      </c>
    </row>
    <row r="2721" spans="1:13" x14ac:dyDescent="0.3">
      <c r="A2721" s="49">
        <v>45261</v>
      </c>
      <c r="D2721" t="s">
        <v>7362</v>
      </c>
      <c r="E2721">
        <v>1</v>
      </c>
      <c r="F2721" t="str">
        <f t="shared" si="169"/>
        <v>ago</v>
      </c>
      <c r="G2721">
        <v>20</v>
      </c>
      <c r="H2721">
        <v>23</v>
      </c>
      <c r="I2721" t="str">
        <f t="shared" si="168"/>
        <v>1-ago-2023</v>
      </c>
      <c r="K2721" s="49">
        <f t="shared" si="170"/>
        <v>45139</v>
      </c>
      <c r="M2721" t="b">
        <f t="shared" si="171"/>
        <v>1</v>
      </c>
    </row>
    <row r="2722" spans="1:13" x14ac:dyDescent="0.3">
      <c r="A2722" s="49">
        <v>45261</v>
      </c>
      <c r="D2722" t="s">
        <v>7359</v>
      </c>
      <c r="E2722">
        <v>1</v>
      </c>
      <c r="F2722" t="str">
        <f t="shared" si="169"/>
        <v>jul</v>
      </c>
      <c r="G2722">
        <v>20</v>
      </c>
      <c r="H2722">
        <v>23</v>
      </c>
      <c r="I2722" t="str">
        <f t="shared" si="168"/>
        <v>1-jul-2023</v>
      </c>
      <c r="K2722" s="49">
        <f t="shared" si="170"/>
        <v>45108</v>
      </c>
      <c r="M2722" t="b">
        <f t="shared" si="171"/>
        <v>1</v>
      </c>
    </row>
    <row r="2723" spans="1:13" x14ac:dyDescent="0.3">
      <c r="A2723" s="49">
        <v>45261</v>
      </c>
      <c r="D2723" t="s">
        <v>7359</v>
      </c>
      <c r="E2723">
        <v>1</v>
      </c>
      <c r="F2723" t="str">
        <f t="shared" si="169"/>
        <v>jul</v>
      </c>
      <c r="G2723">
        <v>20</v>
      </c>
      <c r="H2723">
        <v>23</v>
      </c>
      <c r="I2723" t="str">
        <f t="shared" si="168"/>
        <v>1-jul-2023</v>
      </c>
      <c r="K2723" s="49">
        <f t="shared" si="170"/>
        <v>45108</v>
      </c>
      <c r="M2723" t="b">
        <f t="shared" si="171"/>
        <v>1</v>
      </c>
    </row>
    <row r="2724" spans="1:13" x14ac:dyDescent="0.3">
      <c r="A2724" s="49">
        <v>45261</v>
      </c>
      <c r="D2724" t="s">
        <v>7359</v>
      </c>
      <c r="E2724">
        <v>1</v>
      </c>
      <c r="F2724" t="str">
        <f t="shared" si="169"/>
        <v>jul</v>
      </c>
      <c r="G2724">
        <v>20</v>
      </c>
      <c r="H2724">
        <v>23</v>
      </c>
      <c r="I2724" t="str">
        <f t="shared" si="168"/>
        <v>1-jul-2023</v>
      </c>
      <c r="K2724" s="49">
        <f t="shared" si="170"/>
        <v>45108</v>
      </c>
      <c r="M2724" t="b">
        <f t="shared" si="171"/>
        <v>1</v>
      </c>
    </row>
    <row r="2725" spans="1:13" x14ac:dyDescent="0.3">
      <c r="A2725" s="49">
        <v>45261</v>
      </c>
      <c r="D2725" t="s">
        <v>7355</v>
      </c>
      <c r="E2725">
        <v>1</v>
      </c>
      <c r="F2725" t="str">
        <f t="shared" si="169"/>
        <v>sep</v>
      </c>
      <c r="G2725">
        <v>20</v>
      </c>
      <c r="H2725">
        <v>23</v>
      </c>
      <c r="I2725" t="str">
        <f t="shared" si="168"/>
        <v>1-sep-2023</v>
      </c>
      <c r="K2725" s="49">
        <f t="shared" si="170"/>
        <v>45170</v>
      </c>
      <c r="M2725" t="b">
        <f t="shared" si="171"/>
        <v>1</v>
      </c>
    </row>
    <row r="2726" spans="1:13" x14ac:dyDescent="0.3">
      <c r="A2726" s="49">
        <v>45261</v>
      </c>
      <c r="D2726" t="s">
        <v>7370</v>
      </c>
      <c r="E2726">
        <v>1</v>
      </c>
      <c r="F2726" t="str">
        <f t="shared" si="169"/>
        <v>may</v>
      </c>
      <c r="G2726">
        <v>20</v>
      </c>
      <c r="H2726">
        <v>16</v>
      </c>
      <c r="I2726" t="str">
        <f t="shared" si="168"/>
        <v>1-may-2016</v>
      </c>
      <c r="K2726" s="49">
        <f t="shared" si="170"/>
        <v>42491</v>
      </c>
      <c r="M2726" t="b">
        <f t="shared" si="171"/>
        <v>1</v>
      </c>
    </row>
    <row r="2727" spans="1:13" x14ac:dyDescent="0.3">
      <c r="A2727" s="49">
        <v>45261</v>
      </c>
      <c r="D2727" t="s">
        <v>7370</v>
      </c>
      <c r="E2727">
        <v>1</v>
      </c>
      <c r="F2727" t="str">
        <f t="shared" si="169"/>
        <v>may</v>
      </c>
      <c r="G2727">
        <v>20</v>
      </c>
      <c r="H2727">
        <v>16</v>
      </c>
      <c r="I2727" t="str">
        <f t="shared" si="168"/>
        <v>1-may-2016</v>
      </c>
      <c r="K2727" s="49">
        <f t="shared" si="170"/>
        <v>42491</v>
      </c>
      <c r="M2727" t="b">
        <f t="shared" si="171"/>
        <v>1</v>
      </c>
    </row>
    <row r="2728" spans="1:13" x14ac:dyDescent="0.3">
      <c r="A2728" s="49">
        <v>45261</v>
      </c>
      <c r="D2728" t="s">
        <v>7369</v>
      </c>
      <c r="E2728">
        <v>1</v>
      </c>
      <c r="F2728" t="str">
        <f t="shared" si="169"/>
        <v>abr</v>
      </c>
      <c r="G2728">
        <v>20</v>
      </c>
      <c r="H2728">
        <v>24</v>
      </c>
      <c r="I2728" t="str">
        <f t="shared" si="168"/>
        <v>1-abr-2024</v>
      </c>
      <c r="K2728" s="49">
        <f t="shared" si="170"/>
        <v>45383</v>
      </c>
      <c r="M2728" t="b">
        <f t="shared" si="171"/>
        <v>0</v>
      </c>
    </row>
    <row r="2729" spans="1:13" x14ac:dyDescent="0.3">
      <c r="A2729" s="49">
        <v>45261</v>
      </c>
      <c r="D2729" t="s">
        <v>7366</v>
      </c>
      <c r="E2729">
        <v>1</v>
      </c>
      <c r="F2729" t="str">
        <f t="shared" si="169"/>
        <v>dic</v>
      </c>
      <c r="G2729">
        <v>20</v>
      </c>
      <c r="H2729">
        <v>22</v>
      </c>
      <c r="I2729" t="str">
        <f t="shared" si="168"/>
        <v>1-dic-2022</v>
      </c>
      <c r="K2729" s="49">
        <f t="shared" si="170"/>
        <v>44896</v>
      </c>
      <c r="M2729" t="b">
        <f t="shared" si="171"/>
        <v>1</v>
      </c>
    </row>
    <row r="2730" spans="1:13" x14ac:dyDescent="0.3">
      <c r="A2730" s="49">
        <v>45261</v>
      </c>
      <c r="D2730" t="s">
        <v>7362</v>
      </c>
      <c r="E2730">
        <v>1</v>
      </c>
      <c r="F2730" t="str">
        <f t="shared" si="169"/>
        <v>ago</v>
      </c>
      <c r="G2730">
        <v>20</v>
      </c>
      <c r="H2730">
        <v>23</v>
      </c>
      <c r="I2730" t="str">
        <f t="shared" si="168"/>
        <v>1-ago-2023</v>
      </c>
      <c r="K2730" s="49">
        <f t="shared" si="170"/>
        <v>45139</v>
      </c>
      <c r="M2730" t="b">
        <f t="shared" si="171"/>
        <v>1</v>
      </c>
    </row>
    <row r="2731" spans="1:13" x14ac:dyDescent="0.3">
      <c r="A2731" s="49">
        <v>45261</v>
      </c>
      <c r="D2731" t="s">
        <v>7359</v>
      </c>
      <c r="E2731">
        <v>1</v>
      </c>
      <c r="F2731" t="str">
        <f t="shared" si="169"/>
        <v>jul</v>
      </c>
      <c r="G2731">
        <v>20</v>
      </c>
      <c r="H2731">
        <v>23</v>
      </c>
      <c r="I2731" t="str">
        <f t="shared" si="168"/>
        <v>1-jul-2023</v>
      </c>
      <c r="K2731" s="49">
        <f t="shared" si="170"/>
        <v>45108</v>
      </c>
      <c r="M2731" t="b">
        <f t="shared" si="171"/>
        <v>1</v>
      </c>
    </row>
    <row r="2732" spans="1:13" x14ac:dyDescent="0.3">
      <c r="A2732" s="49">
        <v>45261</v>
      </c>
      <c r="D2732" t="s">
        <v>7362</v>
      </c>
      <c r="E2732">
        <v>1</v>
      </c>
      <c r="F2732" t="str">
        <f t="shared" si="169"/>
        <v>ago</v>
      </c>
      <c r="G2732">
        <v>20</v>
      </c>
      <c r="H2732">
        <v>22</v>
      </c>
      <c r="I2732" t="str">
        <f t="shared" si="168"/>
        <v>1-ago-2022</v>
      </c>
      <c r="K2732" s="49">
        <f t="shared" si="170"/>
        <v>44774</v>
      </c>
      <c r="M2732" t="b">
        <f t="shared" si="171"/>
        <v>1</v>
      </c>
    </row>
    <row r="2733" spans="1:13" x14ac:dyDescent="0.3">
      <c r="A2733" s="49">
        <v>45261</v>
      </c>
      <c r="D2733" t="s">
        <v>7369</v>
      </c>
      <c r="E2733">
        <v>1</v>
      </c>
      <c r="F2733" t="str">
        <f t="shared" si="169"/>
        <v>abr</v>
      </c>
      <c r="G2733">
        <v>20</v>
      </c>
      <c r="H2733">
        <v>22</v>
      </c>
      <c r="I2733" t="str">
        <f t="shared" si="168"/>
        <v>1-abr-2022</v>
      </c>
      <c r="K2733" s="49">
        <f t="shared" si="170"/>
        <v>44652</v>
      </c>
      <c r="M2733" t="b">
        <f t="shared" si="171"/>
        <v>1</v>
      </c>
    </row>
    <row r="2734" spans="1:13" x14ac:dyDescent="0.3">
      <c r="A2734" s="49">
        <v>45261</v>
      </c>
      <c r="D2734" t="s">
        <v>7362</v>
      </c>
      <c r="E2734">
        <v>1</v>
      </c>
      <c r="F2734" t="str">
        <f t="shared" si="169"/>
        <v>ago</v>
      </c>
      <c r="G2734">
        <v>20</v>
      </c>
      <c r="H2734">
        <v>23</v>
      </c>
      <c r="I2734" t="str">
        <f t="shared" si="168"/>
        <v>1-ago-2023</v>
      </c>
      <c r="K2734" s="49">
        <f t="shared" si="170"/>
        <v>45139</v>
      </c>
      <c r="M2734" t="b">
        <f t="shared" si="171"/>
        <v>1</v>
      </c>
    </row>
    <row r="2735" spans="1:13" x14ac:dyDescent="0.3">
      <c r="A2735" s="49">
        <v>45261</v>
      </c>
      <c r="D2735" t="s">
        <v>7370</v>
      </c>
      <c r="E2735">
        <v>1</v>
      </c>
      <c r="F2735" t="str">
        <f t="shared" si="169"/>
        <v>may</v>
      </c>
      <c r="G2735">
        <v>20</v>
      </c>
      <c r="H2735">
        <v>23</v>
      </c>
      <c r="I2735" t="str">
        <f t="shared" si="168"/>
        <v>1-may-2023</v>
      </c>
      <c r="K2735" s="49">
        <f t="shared" si="170"/>
        <v>45047</v>
      </c>
      <c r="M2735" t="b">
        <f t="shared" si="171"/>
        <v>1</v>
      </c>
    </row>
    <row r="2736" spans="1:13" x14ac:dyDescent="0.3">
      <c r="A2736" s="49">
        <v>45261</v>
      </c>
      <c r="D2736" t="s">
        <v>7363</v>
      </c>
      <c r="E2736">
        <v>1</v>
      </c>
      <c r="F2736" t="str">
        <f t="shared" si="169"/>
        <v>feb</v>
      </c>
      <c r="G2736">
        <v>20</v>
      </c>
      <c r="H2736">
        <v>15</v>
      </c>
      <c r="I2736" t="str">
        <f t="shared" si="168"/>
        <v>1-feb-2015</v>
      </c>
      <c r="K2736" s="49">
        <f t="shared" si="170"/>
        <v>42036</v>
      </c>
      <c r="M2736" t="b">
        <f t="shared" si="171"/>
        <v>1</v>
      </c>
    </row>
    <row r="2737" spans="1:13" x14ac:dyDescent="0.3">
      <c r="A2737" s="49">
        <v>45261</v>
      </c>
      <c r="D2737" t="s">
        <v>7363</v>
      </c>
      <c r="E2737">
        <v>1</v>
      </c>
      <c r="F2737" t="str">
        <f t="shared" si="169"/>
        <v>feb</v>
      </c>
      <c r="G2737">
        <v>20</v>
      </c>
      <c r="H2737">
        <v>22</v>
      </c>
      <c r="I2737" t="str">
        <f t="shared" si="168"/>
        <v>1-feb-2022</v>
      </c>
      <c r="K2737" s="49">
        <f t="shared" si="170"/>
        <v>44593</v>
      </c>
      <c r="M2737" t="b">
        <f t="shared" si="171"/>
        <v>1</v>
      </c>
    </row>
    <row r="2738" spans="1:13" x14ac:dyDescent="0.3">
      <c r="A2738" s="49">
        <v>45261</v>
      </c>
      <c r="D2738" t="s">
        <v>7368</v>
      </c>
      <c r="E2738">
        <v>1</v>
      </c>
      <c r="F2738" t="str">
        <f t="shared" si="169"/>
        <v>mar</v>
      </c>
      <c r="G2738">
        <v>20</v>
      </c>
      <c r="H2738">
        <v>24</v>
      </c>
      <c r="I2738" t="str">
        <f t="shared" si="168"/>
        <v>1-mar-2024</v>
      </c>
      <c r="K2738" s="49">
        <f t="shared" si="170"/>
        <v>45352</v>
      </c>
      <c r="M2738" t="b">
        <f t="shared" si="171"/>
        <v>0</v>
      </c>
    </row>
    <row r="2739" spans="1:13" x14ac:dyDescent="0.3">
      <c r="A2739" s="49">
        <v>45261</v>
      </c>
      <c r="D2739" t="s">
        <v>7369</v>
      </c>
      <c r="E2739">
        <v>1</v>
      </c>
      <c r="F2739" t="str">
        <f t="shared" si="169"/>
        <v>abr</v>
      </c>
      <c r="G2739">
        <v>20</v>
      </c>
      <c r="H2739">
        <v>22</v>
      </c>
      <c r="I2739" t="str">
        <f t="shared" si="168"/>
        <v>1-abr-2022</v>
      </c>
      <c r="K2739" s="49">
        <f t="shared" si="170"/>
        <v>44652</v>
      </c>
      <c r="M2739" t="b">
        <f t="shared" si="171"/>
        <v>1</v>
      </c>
    </row>
    <row r="2740" spans="1:13" x14ac:dyDescent="0.3">
      <c r="A2740" s="49">
        <v>45261</v>
      </c>
      <c r="D2740" t="s">
        <v>7369</v>
      </c>
      <c r="E2740">
        <v>1</v>
      </c>
      <c r="F2740" t="str">
        <f t="shared" si="169"/>
        <v>abr</v>
      </c>
      <c r="G2740">
        <v>20</v>
      </c>
      <c r="H2740">
        <v>22</v>
      </c>
      <c r="I2740" t="str">
        <f t="shared" si="168"/>
        <v>1-abr-2022</v>
      </c>
      <c r="K2740" s="49">
        <f t="shared" si="170"/>
        <v>44652</v>
      </c>
      <c r="M2740" t="b">
        <f t="shared" si="171"/>
        <v>1</v>
      </c>
    </row>
    <row r="2741" spans="1:13" x14ac:dyDescent="0.3">
      <c r="A2741" s="49">
        <v>45261</v>
      </c>
      <c r="D2741" t="s">
        <v>7369</v>
      </c>
      <c r="E2741">
        <v>1</v>
      </c>
      <c r="F2741" t="str">
        <f t="shared" si="169"/>
        <v>abr</v>
      </c>
      <c r="G2741">
        <v>20</v>
      </c>
      <c r="H2741">
        <v>22</v>
      </c>
      <c r="I2741" t="str">
        <f t="shared" si="168"/>
        <v>1-abr-2022</v>
      </c>
      <c r="K2741" s="49">
        <f t="shared" si="170"/>
        <v>44652</v>
      </c>
      <c r="M2741" t="b">
        <f t="shared" si="171"/>
        <v>1</v>
      </c>
    </row>
    <row r="2742" spans="1:13" x14ac:dyDescent="0.3">
      <c r="A2742" s="49">
        <v>45261</v>
      </c>
      <c r="D2742" t="s">
        <v>7369</v>
      </c>
      <c r="E2742">
        <v>1</v>
      </c>
      <c r="F2742" t="str">
        <f t="shared" si="169"/>
        <v>abr</v>
      </c>
      <c r="G2742">
        <v>20</v>
      </c>
      <c r="H2742">
        <v>22</v>
      </c>
      <c r="I2742" t="str">
        <f t="shared" si="168"/>
        <v>1-abr-2022</v>
      </c>
      <c r="K2742" s="49">
        <f t="shared" si="170"/>
        <v>44652</v>
      </c>
      <c r="M2742" t="b">
        <f t="shared" si="171"/>
        <v>1</v>
      </c>
    </row>
    <row r="2743" spans="1:13" x14ac:dyDescent="0.3">
      <c r="A2743" s="49">
        <v>45261</v>
      </c>
      <c r="D2743" t="s">
        <v>7369</v>
      </c>
      <c r="E2743">
        <v>1</v>
      </c>
      <c r="F2743" t="str">
        <f t="shared" si="169"/>
        <v>abr</v>
      </c>
      <c r="G2743">
        <v>20</v>
      </c>
      <c r="H2743">
        <v>22</v>
      </c>
      <c r="I2743" t="str">
        <f t="shared" si="168"/>
        <v>1-abr-2022</v>
      </c>
      <c r="K2743" s="49">
        <f t="shared" si="170"/>
        <v>44652</v>
      </c>
      <c r="M2743" t="b">
        <f t="shared" si="171"/>
        <v>1</v>
      </c>
    </row>
    <row r="2744" spans="1:13" x14ac:dyDescent="0.3">
      <c r="A2744" s="49">
        <v>45261</v>
      </c>
      <c r="D2744" t="s">
        <v>7369</v>
      </c>
      <c r="E2744">
        <v>1</v>
      </c>
      <c r="F2744" t="str">
        <f t="shared" si="169"/>
        <v>abr</v>
      </c>
      <c r="G2744">
        <v>20</v>
      </c>
      <c r="H2744">
        <v>22</v>
      </c>
      <c r="I2744" t="str">
        <f t="shared" si="168"/>
        <v>1-abr-2022</v>
      </c>
      <c r="K2744" s="49">
        <f t="shared" si="170"/>
        <v>44652</v>
      </c>
      <c r="M2744" t="b">
        <f t="shared" si="171"/>
        <v>1</v>
      </c>
    </row>
    <row r="2745" spans="1:13" x14ac:dyDescent="0.3">
      <c r="A2745" s="49">
        <v>45261</v>
      </c>
      <c r="D2745" t="s">
        <v>7366</v>
      </c>
      <c r="E2745">
        <v>1</v>
      </c>
      <c r="F2745" t="str">
        <f t="shared" si="169"/>
        <v>dic</v>
      </c>
      <c r="G2745">
        <v>20</v>
      </c>
      <c r="H2745">
        <v>23</v>
      </c>
      <c r="I2745" t="str">
        <f t="shared" si="168"/>
        <v>1-dic-2023</v>
      </c>
      <c r="K2745" s="49">
        <f t="shared" si="170"/>
        <v>45261</v>
      </c>
      <c r="M2745" t="b">
        <f t="shared" si="171"/>
        <v>0</v>
      </c>
    </row>
    <row r="2746" spans="1:13" x14ac:dyDescent="0.3">
      <c r="A2746" s="49">
        <v>45261</v>
      </c>
      <c r="D2746" t="s">
        <v>7357</v>
      </c>
      <c r="E2746">
        <v>1</v>
      </c>
      <c r="F2746" t="str">
        <f t="shared" si="169"/>
        <v>oct</v>
      </c>
      <c r="G2746">
        <v>20</v>
      </c>
      <c r="H2746">
        <v>23</v>
      </c>
      <c r="I2746" t="str">
        <f t="shared" si="168"/>
        <v>1-oct-2023</v>
      </c>
      <c r="K2746" s="49">
        <f t="shared" si="170"/>
        <v>45200</v>
      </c>
      <c r="M2746" t="b">
        <f t="shared" si="171"/>
        <v>1</v>
      </c>
    </row>
    <row r="2747" spans="1:13" x14ac:dyDescent="0.3">
      <c r="A2747" s="49">
        <v>45261</v>
      </c>
      <c r="D2747" t="s">
        <v>7357</v>
      </c>
      <c r="E2747">
        <v>1</v>
      </c>
      <c r="F2747" t="str">
        <f t="shared" si="169"/>
        <v>oct</v>
      </c>
      <c r="G2747">
        <v>20</v>
      </c>
      <c r="H2747">
        <v>23</v>
      </c>
      <c r="I2747" t="str">
        <f t="shared" si="168"/>
        <v>1-oct-2023</v>
      </c>
      <c r="K2747" s="49">
        <f t="shared" si="170"/>
        <v>45200</v>
      </c>
      <c r="M2747" t="b">
        <f t="shared" si="171"/>
        <v>1</v>
      </c>
    </row>
    <row r="2748" spans="1:13" x14ac:dyDescent="0.3">
      <c r="A2748" s="49">
        <v>45261</v>
      </c>
      <c r="D2748" t="s">
        <v>7357</v>
      </c>
      <c r="E2748">
        <v>1</v>
      </c>
      <c r="F2748" t="str">
        <f t="shared" si="169"/>
        <v>oct</v>
      </c>
      <c r="G2748">
        <v>20</v>
      </c>
      <c r="H2748">
        <v>23</v>
      </c>
      <c r="I2748" t="str">
        <f t="shared" si="168"/>
        <v>1-oct-2023</v>
      </c>
      <c r="K2748" s="49">
        <f t="shared" si="170"/>
        <v>45200</v>
      </c>
      <c r="M2748" t="b">
        <f t="shared" si="171"/>
        <v>1</v>
      </c>
    </row>
    <row r="2749" spans="1:13" x14ac:dyDescent="0.3">
      <c r="A2749" s="49">
        <v>45261</v>
      </c>
      <c r="D2749" t="s">
        <v>7357</v>
      </c>
      <c r="E2749">
        <v>1</v>
      </c>
      <c r="F2749" t="str">
        <f t="shared" si="169"/>
        <v>oct</v>
      </c>
      <c r="G2749">
        <v>20</v>
      </c>
      <c r="H2749">
        <v>23</v>
      </c>
      <c r="I2749" t="str">
        <f t="shared" si="168"/>
        <v>1-oct-2023</v>
      </c>
      <c r="K2749" s="49">
        <f t="shared" si="170"/>
        <v>45200</v>
      </c>
      <c r="M2749" t="b">
        <f t="shared" si="171"/>
        <v>1</v>
      </c>
    </row>
    <row r="2750" spans="1:13" x14ac:dyDescent="0.3">
      <c r="A2750" s="49">
        <v>45261</v>
      </c>
      <c r="D2750" t="s">
        <v>7366</v>
      </c>
      <c r="E2750">
        <v>1</v>
      </c>
      <c r="F2750" t="str">
        <f t="shared" si="169"/>
        <v>dic</v>
      </c>
      <c r="G2750">
        <v>20</v>
      </c>
      <c r="H2750">
        <v>23</v>
      </c>
      <c r="I2750" t="str">
        <f t="shared" si="168"/>
        <v>1-dic-2023</v>
      </c>
      <c r="K2750" s="49">
        <f t="shared" si="170"/>
        <v>45261</v>
      </c>
      <c r="M2750" t="b">
        <f t="shared" si="171"/>
        <v>0</v>
      </c>
    </row>
    <row r="2751" spans="1:13" x14ac:dyDescent="0.3">
      <c r="A2751" s="49">
        <v>45261</v>
      </c>
      <c r="D2751" t="s">
        <v>7366</v>
      </c>
      <c r="E2751">
        <v>1</v>
      </c>
      <c r="F2751" t="str">
        <f t="shared" si="169"/>
        <v>dic</v>
      </c>
      <c r="G2751">
        <v>20</v>
      </c>
      <c r="H2751">
        <v>23</v>
      </c>
      <c r="I2751" t="str">
        <f t="shared" si="168"/>
        <v>1-dic-2023</v>
      </c>
      <c r="K2751" s="49">
        <f t="shared" si="170"/>
        <v>45261</v>
      </c>
      <c r="M2751" t="b">
        <f t="shared" si="171"/>
        <v>0</v>
      </c>
    </row>
    <row r="2752" spans="1:13" x14ac:dyDescent="0.3">
      <c r="A2752" s="49">
        <v>45261</v>
      </c>
      <c r="D2752" t="s">
        <v>7366</v>
      </c>
      <c r="E2752">
        <v>1</v>
      </c>
      <c r="F2752" t="str">
        <f t="shared" si="169"/>
        <v>dic</v>
      </c>
      <c r="G2752">
        <v>20</v>
      </c>
      <c r="H2752">
        <v>23</v>
      </c>
      <c r="I2752" t="str">
        <f t="shared" si="168"/>
        <v>1-dic-2023</v>
      </c>
      <c r="K2752" s="49">
        <f t="shared" si="170"/>
        <v>45261</v>
      </c>
      <c r="M2752" t="b">
        <f t="shared" si="171"/>
        <v>0</v>
      </c>
    </row>
    <row r="2753" spans="1:13" x14ac:dyDescent="0.3">
      <c r="A2753" s="49">
        <v>45261</v>
      </c>
      <c r="D2753" t="s">
        <v>7355</v>
      </c>
      <c r="E2753">
        <v>1</v>
      </c>
      <c r="F2753" t="str">
        <f t="shared" si="169"/>
        <v>sep</v>
      </c>
      <c r="G2753">
        <v>20</v>
      </c>
      <c r="H2753">
        <v>21</v>
      </c>
      <c r="I2753" t="str">
        <f t="shared" ref="I2753:I2816" si="172">_xlfn.CONCAT(E2753,"-",F2753,"-",G2753,H2753)</f>
        <v>1-sep-2021</v>
      </c>
      <c r="K2753" s="49">
        <f t="shared" si="170"/>
        <v>44440</v>
      </c>
      <c r="M2753" t="b">
        <f t="shared" si="171"/>
        <v>1</v>
      </c>
    </row>
    <row r="2754" spans="1:13" x14ac:dyDescent="0.3">
      <c r="A2754" s="49">
        <v>45261</v>
      </c>
      <c r="D2754" t="s">
        <v>7359</v>
      </c>
      <c r="E2754">
        <v>1</v>
      </c>
      <c r="F2754" t="str">
        <f t="shared" ref="F2754:F2817" si="173">LOWER(D2754)</f>
        <v>jul</v>
      </c>
      <c r="G2754">
        <v>20</v>
      </c>
      <c r="H2754">
        <v>23</v>
      </c>
      <c r="I2754" t="str">
        <f t="shared" si="172"/>
        <v>1-jul-2023</v>
      </c>
      <c r="K2754" s="49">
        <f t="shared" ref="K2754:K2817" si="174">DATEVALUE(I2754)</f>
        <v>45108</v>
      </c>
      <c r="M2754" t="b">
        <f t="shared" si="171"/>
        <v>1</v>
      </c>
    </row>
    <row r="2755" spans="1:13" x14ac:dyDescent="0.3">
      <c r="A2755" s="49">
        <v>45261</v>
      </c>
      <c r="D2755" t="s">
        <v>7370</v>
      </c>
      <c r="E2755">
        <v>1</v>
      </c>
      <c r="F2755" t="str">
        <f t="shared" si="173"/>
        <v>may</v>
      </c>
      <c r="G2755">
        <v>20</v>
      </c>
      <c r="H2755">
        <v>23</v>
      </c>
      <c r="I2755" t="str">
        <f t="shared" si="172"/>
        <v>1-may-2023</v>
      </c>
      <c r="K2755" s="49">
        <f t="shared" si="174"/>
        <v>45047</v>
      </c>
      <c r="M2755" t="b">
        <f t="shared" ref="M2755:M2818" si="175">K2755&lt;A2755</f>
        <v>1</v>
      </c>
    </row>
    <row r="2756" spans="1:13" x14ac:dyDescent="0.3">
      <c r="A2756" s="49">
        <v>45261</v>
      </c>
      <c r="D2756" t="s">
        <v>7370</v>
      </c>
      <c r="E2756">
        <v>1</v>
      </c>
      <c r="F2756" t="str">
        <f t="shared" si="173"/>
        <v>may</v>
      </c>
      <c r="G2756">
        <v>20</v>
      </c>
      <c r="H2756">
        <v>23</v>
      </c>
      <c r="I2756" t="str">
        <f t="shared" si="172"/>
        <v>1-may-2023</v>
      </c>
      <c r="K2756" s="49">
        <f t="shared" si="174"/>
        <v>45047</v>
      </c>
      <c r="M2756" t="b">
        <f t="shared" si="175"/>
        <v>1</v>
      </c>
    </row>
    <row r="2757" spans="1:13" x14ac:dyDescent="0.3">
      <c r="A2757" s="49">
        <v>45261</v>
      </c>
      <c r="D2757" t="s">
        <v>7359</v>
      </c>
      <c r="E2757">
        <v>1</v>
      </c>
      <c r="F2757" t="str">
        <f t="shared" si="173"/>
        <v>jul</v>
      </c>
      <c r="G2757">
        <v>20</v>
      </c>
      <c r="H2757">
        <v>21</v>
      </c>
      <c r="I2757" t="str">
        <f t="shared" si="172"/>
        <v>1-jul-2021</v>
      </c>
      <c r="K2757" s="49">
        <f t="shared" si="174"/>
        <v>44378</v>
      </c>
      <c r="M2757" t="b">
        <f t="shared" si="175"/>
        <v>1</v>
      </c>
    </row>
    <row r="2758" spans="1:13" x14ac:dyDescent="0.3">
      <c r="A2758" s="49">
        <v>45261</v>
      </c>
      <c r="D2758" t="s">
        <v>7363</v>
      </c>
      <c r="E2758">
        <v>1</v>
      </c>
      <c r="F2758" t="str">
        <f t="shared" si="173"/>
        <v>feb</v>
      </c>
      <c r="G2758">
        <v>20</v>
      </c>
      <c r="H2758">
        <v>23</v>
      </c>
      <c r="I2758" t="str">
        <f t="shared" si="172"/>
        <v>1-feb-2023</v>
      </c>
      <c r="K2758" s="49">
        <f t="shared" si="174"/>
        <v>44958</v>
      </c>
      <c r="M2758" t="b">
        <f t="shared" si="175"/>
        <v>1</v>
      </c>
    </row>
    <row r="2759" spans="1:13" x14ac:dyDescent="0.3">
      <c r="A2759" s="49">
        <v>45261</v>
      </c>
      <c r="D2759" t="s">
        <v>7355</v>
      </c>
      <c r="E2759">
        <v>1</v>
      </c>
      <c r="F2759" t="str">
        <f t="shared" si="173"/>
        <v>sep</v>
      </c>
      <c r="G2759">
        <v>20</v>
      </c>
      <c r="H2759">
        <v>23</v>
      </c>
      <c r="I2759" t="str">
        <f t="shared" si="172"/>
        <v>1-sep-2023</v>
      </c>
      <c r="K2759" s="49">
        <f t="shared" si="174"/>
        <v>45170</v>
      </c>
      <c r="M2759" t="b">
        <f t="shared" si="175"/>
        <v>1</v>
      </c>
    </row>
    <row r="2760" spans="1:13" x14ac:dyDescent="0.3">
      <c r="A2760" s="49">
        <v>45261</v>
      </c>
      <c r="D2760" t="s">
        <v>7357</v>
      </c>
      <c r="E2760">
        <v>1</v>
      </c>
      <c r="F2760" t="str">
        <f t="shared" si="173"/>
        <v>oct</v>
      </c>
      <c r="G2760">
        <v>20</v>
      </c>
      <c r="H2760">
        <v>22</v>
      </c>
      <c r="I2760" t="str">
        <f t="shared" si="172"/>
        <v>1-oct-2022</v>
      </c>
      <c r="K2760" s="49">
        <f t="shared" si="174"/>
        <v>44835</v>
      </c>
      <c r="M2760" t="b">
        <f t="shared" si="175"/>
        <v>1</v>
      </c>
    </row>
    <row r="2761" spans="1:13" x14ac:dyDescent="0.3">
      <c r="A2761" s="49">
        <v>45261</v>
      </c>
      <c r="D2761" t="s">
        <v>7368</v>
      </c>
      <c r="E2761">
        <v>1</v>
      </c>
      <c r="F2761" t="str">
        <f t="shared" si="173"/>
        <v>mar</v>
      </c>
      <c r="G2761">
        <v>20</v>
      </c>
      <c r="H2761">
        <v>22</v>
      </c>
      <c r="I2761" t="str">
        <f t="shared" si="172"/>
        <v>1-mar-2022</v>
      </c>
      <c r="K2761" s="49">
        <f t="shared" si="174"/>
        <v>44621</v>
      </c>
      <c r="M2761" t="b">
        <f t="shared" si="175"/>
        <v>1</v>
      </c>
    </row>
    <row r="2762" spans="1:13" x14ac:dyDescent="0.3">
      <c r="A2762" s="49">
        <v>45261</v>
      </c>
      <c r="D2762" t="s">
        <v>7357</v>
      </c>
      <c r="E2762">
        <v>1</v>
      </c>
      <c r="F2762" t="str">
        <f t="shared" si="173"/>
        <v>oct</v>
      </c>
      <c r="G2762">
        <v>20</v>
      </c>
      <c r="H2762">
        <v>21</v>
      </c>
      <c r="I2762" t="str">
        <f t="shared" si="172"/>
        <v>1-oct-2021</v>
      </c>
      <c r="K2762" s="49">
        <f t="shared" si="174"/>
        <v>44470</v>
      </c>
      <c r="M2762" t="b">
        <f t="shared" si="175"/>
        <v>1</v>
      </c>
    </row>
    <row r="2763" spans="1:13" x14ac:dyDescent="0.3">
      <c r="A2763" s="49">
        <v>45261</v>
      </c>
      <c r="D2763" t="s">
        <v>7369</v>
      </c>
      <c r="E2763">
        <v>1</v>
      </c>
      <c r="F2763" t="str">
        <f t="shared" si="173"/>
        <v>abr</v>
      </c>
      <c r="G2763">
        <v>20</v>
      </c>
      <c r="H2763">
        <v>23</v>
      </c>
      <c r="I2763" t="str">
        <f t="shared" si="172"/>
        <v>1-abr-2023</v>
      </c>
      <c r="K2763" s="49">
        <f t="shared" si="174"/>
        <v>45017</v>
      </c>
      <c r="M2763" t="b">
        <f t="shared" si="175"/>
        <v>1</v>
      </c>
    </row>
    <row r="2764" spans="1:13" x14ac:dyDescent="0.3">
      <c r="A2764" s="49">
        <v>45261</v>
      </c>
      <c r="D2764" t="s">
        <v>7362</v>
      </c>
      <c r="E2764">
        <v>1</v>
      </c>
      <c r="F2764" t="str">
        <f t="shared" si="173"/>
        <v>ago</v>
      </c>
      <c r="G2764">
        <v>20</v>
      </c>
      <c r="H2764">
        <v>23</v>
      </c>
      <c r="I2764" t="str">
        <f t="shared" si="172"/>
        <v>1-ago-2023</v>
      </c>
      <c r="K2764" s="49">
        <f t="shared" si="174"/>
        <v>45139</v>
      </c>
      <c r="M2764" t="b">
        <f t="shared" si="175"/>
        <v>1</v>
      </c>
    </row>
    <row r="2765" spans="1:13" x14ac:dyDescent="0.3">
      <c r="A2765" s="49">
        <v>45261</v>
      </c>
      <c r="D2765" t="s">
        <v>7363</v>
      </c>
      <c r="E2765">
        <v>1</v>
      </c>
      <c r="F2765" t="str">
        <f t="shared" si="173"/>
        <v>feb</v>
      </c>
      <c r="G2765">
        <v>20</v>
      </c>
      <c r="H2765">
        <v>24</v>
      </c>
      <c r="I2765" t="str">
        <f t="shared" si="172"/>
        <v>1-feb-2024</v>
      </c>
      <c r="K2765" s="49">
        <f t="shared" si="174"/>
        <v>45323</v>
      </c>
      <c r="M2765" t="b">
        <f t="shared" si="175"/>
        <v>0</v>
      </c>
    </row>
    <row r="2766" spans="1:13" x14ac:dyDescent="0.3">
      <c r="A2766" s="49">
        <v>45261</v>
      </c>
      <c r="D2766" t="s">
        <v>7367</v>
      </c>
      <c r="E2766">
        <v>1</v>
      </c>
      <c r="F2766" t="str">
        <f t="shared" si="173"/>
        <v>jun</v>
      </c>
      <c r="G2766">
        <v>20</v>
      </c>
      <c r="H2766">
        <v>23</v>
      </c>
      <c r="I2766" t="str">
        <f t="shared" si="172"/>
        <v>1-jun-2023</v>
      </c>
      <c r="K2766" s="49">
        <f t="shared" si="174"/>
        <v>45078</v>
      </c>
      <c r="M2766" t="b">
        <f t="shared" si="175"/>
        <v>1</v>
      </c>
    </row>
    <row r="2767" spans="1:13" x14ac:dyDescent="0.3">
      <c r="A2767" s="49">
        <v>45261</v>
      </c>
      <c r="D2767" t="s">
        <v>7367</v>
      </c>
      <c r="E2767">
        <v>1</v>
      </c>
      <c r="F2767" t="str">
        <f t="shared" si="173"/>
        <v>jun</v>
      </c>
      <c r="G2767">
        <v>20</v>
      </c>
      <c r="H2767">
        <v>23</v>
      </c>
      <c r="I2767" t="str">
        <f t="shared" si="172"/>
        <v>1-jun-2023</v>
      </c>
      <c r="K2767" s="49">
        <f t="shared" si="174"/>
        <v>45078</v>
      </c>
      <c r="M2767" t="b">
        <f t="shared" si="175"/>
        <v>1</v>
      </c>
    </row>
    <row r="2768" spans="1:13" x14ac:dyDescent="0.3">
      <c r="A2768" s="49">
        <v>45261</v>
      </c>
      <c r="D2768" t="s">
        <v>7367</v>
      </c>
      <c r="E2768">
        <v>1</v>
      </c>
      <c r="F2768" t="str">
        <f t="shared" si="173"/>
        <v>jun</v>
      </c>
      <c r="G2768">
        <v>20</v>
      </c>
      <c r="H2768">
        <v>23</v>
      </c>
      <c r="I2768" t="str">
        <f t="shared" si="172"/>
        <v>1-jun-2023</v>
      </c>
      <c r="K2768" s="49">
        <f t="shared" si="174"/>
        <v>45078</v>
      </c>
      <c r="M2768" t="b">
        <f t="shared" si="175"/>
        <v>1</v>
      </c>
    </row>
    <row r="2769" spans="1:13" x14ac:dyDescent="0.3">
      <c r="A2769" s="49">
        <v>45261</v>
      </c>
      <c r="D2769" t="s">
        <v>7369</v>
      </c>
      <c r="E2769">
        <v>1</v>
      </c>
      <c r="F2769" t="str">
        <f t="shared" si="173"/>
        <v>abr</v>
      </c>
      <c r="G2769">
        <v>20</v>
      </c>
      <c r="H2769">
        <v>22</v>
      </c>
      <c r="I2769" t="str">
        <f t="shared" si="172"/>
        <v>1-abr-2022</v>
      </c>
      <c r="K2769" s="49">
        <f t="shared" si="174"/>
        <v>44652</v>
      </c>
      <c r="M2769" t="b">
        <f t="shared" si="175"/>
        <v>1</v>
      </c>
    </row>
    <row r="2770" spans="1:13" x14ac:dyDescent="0.3">
      <c r="A2770" s="49">
        <v>45261</v>
      </c>
      <c r="D2770" t="s">
        <v>7360</v>
      </c>
      <c r="E2770">
        <v>1</v>
      </c>
      <c r="F2770" t="str">
        <f t="shared" si="173"/>
        <v>nov</v>
      </c>
      <c r="G2770">
        <v>20</v>
      </c>
      <c r="H2770">
        <v>20</v>
      </c>
      <c r="I2770" t="str">
        <f t="shared" si="172"/>
        <v>1-nov-2020</v>
      </c>
      <c r="K2770" s="49">
        <f t="shared" si="174"/>
        <v>44136</v>
      </c>
      <c r="M2770" t="b">
        <f t="shared" si="175"/>
        <v>1</v>
      </c>
    </row>
    <row r="2771" spans="1:13" x14ac:dyDescent="0.3">
      <c r="A2771" s="49">
        <v>45261</v>
      </c>
      <c r="D2771" t="s">
        <v>7368</v>
      </c>
      <c r="E2771">
        <v>1</v>
      </c>
      <c r="F2771" t="str">
        <f t="shared" si="173"/>
        <v>mar</v>
      </c>
      <c r="G2771">
        <v>20</v>
      </c>
      <c r="H2771">
        <v>23</v>
      </c>
      <c r="I2771" t="str">
        <f t="shared" si="172"/>
        <v>1-mar-2023</v>
      </c>
      <c r="K2771" s="49">
        <f t="shared" si="174"/>
        <v>44986</v>
      </c>
      <c r="M2771" t="b">
        <f t="shared" si="175"/>
        <v>1</v>
      </c>
    </row>
    <row r="2772" spans="1:13" x14ac:dyDescent="0.3">
      <c r="A2772" s="49">
        <v>45261</v>
      </c>
      <c r="D2772" t="s">
        <v>7357</v>
      </c>
      <c r="E2772">
        <v>1</v>
      </c>
      <c r="F2772" t="str">
        <f t="shared" si="173"/>
        <v>oct</v>
      </c>
      <c r="G2772">
        <v>20</v>
      </c>
      <c r="H2772">
        <v>22</v>
      </c>
      <c r="I2772" t="str">
        <f t="shared" si="172"/>
        <v>1-oct-2022</v>
      </c>
      <c r="K2772" s="49">
        <f t="shared" si="174"/>
        <v>44835</v>
      </c>
      <c r="M2772" t="b">
        <f t="shared" si="175"/>
        <v>1</v>
      </c>
    </row>
    <row r="2773" spans="1:13" x14ac:dyDescent="0.3">
      <c r="A2773" s="49">
        <v>45261</v>
      </c>
      <c r="D2773" t="s">
        <v>7368</v>
      </c>
      <c r="E2773">
        <v>1</v>
      </c>
      <c r="F2773" t="str">
        <f t="shared" si="173"/>
        <v>mar</v>
      </c>
      <c r="G2773">
        <v>20</v>
      </c>
      <c r="H2773">
        <v>22</v>
      </c>
      <c r="I2773" t="str">
        <f t="shared" si="172"/>
        <v>1-mar-2022</v>
      </c>
      <c r="K2773" s="49">
        <f t="shared" si="174"/>
        <v>44621</v>
      </c>
      <c r="M2773" t="b">
        <f t="shared" si="175"/>
        <v>1</v>
      </c>
    </row>
    <row r="2774" spans="1:13" x14ac:dyDescent="0.3">
      <c r="A2774" s="49">
        <v>45261</v>
      </c>
      <c r="D2774" t="s">
        <v>7360</v>
      </c>
      <c r="E2774">
        <v>1</v>
      </c>
      <c r="F2774" t="str">
        <f t="shared" si="173"/>
        <v>nov</v>
      </c>
      <c r="G2774">
        <v>20</v>
      </c>
      <c r="H2774">
        <v>22</v>
      </c>
      <c r="I2774" t="str">
        <f t="shared" si="172"/>
        <v>1-nov-2022</v>
      </c>
      <c r="K2774" s="49">
        <f t="shared" si="174"/>
        <v>44866</v>
      </c>
      <c r="M2774" t="b">
        <f t="shared" si="175"/>
        <v>1</v>
      </c>
    </row>
    <row r="2775" spans="1:13" x14ac:dyDescent="0.3">
      <c r="A2775" s="49">
        <v>45261</v>
      </c>
      <c r="D2775" t="s">
        <v>7368</v>
      </c>
      <c r="E2775">
        <v>1</v>
      </c>
      <c r="F2775" t="str">
        <f t="shared" si="173"/>
        <v>mar</v>
      </c>
      <c r="G2775">
        <v>20</v>
      </c>
      <c r="H2775">
        <v>25</v>
      </c>
      <c r="I2775" t="str">
        <f t="shared" si="172"/>
        <v>1-mar-2025</v>
      </c>
      <c r="K2775" s="49">
        <f t="shared" si="174"/>
        <v>45717</v>
      </c>
      <c r="M2775" t="b">
        <f t="shared" si="175"/>
        <v>0</v>
      </c>
    </row>
    <row r="2776" spans="1:13" x14ac:dyDescent="0.3">
      <c r="A2776" s="49">
        <v>45261</v>
      </c>
      <c r="D2776" t="s">
        <v>7369</v>
      </c>
      <c r="E2776">
        <v>1</v>
      </c>
      <c r="F2776" t="str">
        <f t="shared" si="173"/>
        <v>abr</v>
      </c>
      <c r="G2776">
        <v>20</v>
      </c>
      <c r="H2776">
        <v>23</v>
      </c>
      <c r="I2776" t="str">
        <f t="shared" si="172"/>
        <v>1-abr-2023</v>
      </c>
      <c r="K2776" s="49">
        <f t="shared" si="174"/>
        <v>45017</v>
      </c>
      <c r="M2776" t="b">
        <f t="shared" si="175"/>
        <v>1</v>
      </c>
    </row>
    <row r="2777" spans="1:13" x14ac:dyDescent="0.3">
      <c r="A2777" s="49">
        <v>45261</v>
      </c>
      <c r="D2777" t="s">
        <v>7370</v>
      </c>
      <c r="E2777">
        <v>1</v>
      </c>
      <c r="F2777" t="str">
        <f t="shared" si="173"/>
        <v>may</v>
      </c>
      <c r="G2777">
        <v>20</v>
      </c>
      <c r="H2777">
        <v>23</v>
      </c>
      <c r="I2777" t="str">
        <f t="shared" si="172"/>
        <v>1-may-2023</v>
      </c>
      <c r="K2777" s="49">
        <f t="shared" si="174"/>
        <v>45047</v>
      </c>
      <c r="M2777" t="b">
        <f t="shared" si="175"/>
        <v>1</v>
      </c>
    </row>
    <row r="2778" spans="1:13" x14ac:dyDescent="0.3">
      <c r="A2778" s="49">
        <v>45261</v>
      </c>
      <c r="D2778" t="s">
        <v>7370</v>
      </c>
      <c r="E2778">
        <v>1</v>
      </c>
      <c r="F2778" t="str">
        <f t="shared" si="173"/>
        <v>may</v>
      </c>
      <c r="G2778">
        <v>20</v>
      </c>
      <c r="H2778">
        <v>23</v>
      </c>
      <c r="I2778" t="str">
        <f t="shared" si="172"/>
        <v>1-may-2023</v>
      </c>
      <c r="K2778" s="49">
        <f t="shared" si="174"/>
        <v>45047</v>
      </c>
      <c r="M2778" t="b">
        <f t="shared" si="175"/>
        <v>1</v>
      </c>
    </row>
    <row r="2779" spans="1:13" x14ac:dyDescent="0.3">
      <c r="A2779" s="49">
        <v>45261</v>
      </c>
      <c r="D2779" t="s">
        <v>7370</v>
      </c>
      <c r="E2779">
        <v>1</v>
      </c>
      <c r="F2779" t="str">
        <f t="shared" si="173"/>
        <v>may</v>
      </c>
      <c r="G2779">
        <v>20</v>
      </c>
      <c r="H2779">
        <v>23</v>
      </c>
      <c r="I2779" t="str">
        <f t="shared" si="172"/>
        <v>1-may-2023</v>
      </c>
      <c r="K2779" s="49">
        <f t="shared" si="174"/>
        <v>45047</v>
      </c>
      <c r="M2779" t="b">
        <f t="shared" si="175"/>
        <v>1</v>
      </c>
    </row>
    <row r="2780" spans="1:13" x14ac:dyDescent="0.3">
      <c r="A2780" s="49">
        <v>45261</v>
      </c>
      <c r="D2780" t="s">
        <v>7370</v>
      </c>
      <c r="E2780">
        <v>1</v>
      </c>
      <c r="F2780" t="str">
        <f t="shared" si="173"/>
        <v>may</v>
      </c>
      <c r="G2780">
        <v>20</v>
      </c>
      <c r="H2780">
        <v>23</v>
      </c>
      <c r="I2780" t="str">
        <f t="shared" si="172"/>
        <v>1-may-2023</v>
      </c>
      <c r="K2780" s="49">
        <f t="shared" si="174"/>
        <v>45047</v>
      </c>
      <c r="M2780" t="b">
        <f t="shared" si="175"/>
        <v>1</v>
      </c>
    </row>
    <row r="2781" spans="1:13" x14ac:dyDescent="0.3">
      <c r="A2781" s="49">
        <v>45261</v>
      </c>
      <c r="D2781" t="s">
        <v>7355</v>
      </c>
      <c r="E2781">
        <v>1</v>
      </c>
      <c r="F2781" t="str">
        <f t="shared" si="173"/>
        <v>sep</v>
      </c>
      <c r="G2781">
        <v>20</v>
      </c>
      <c r="H2781">
        <v>23</v>
      </c>
      <c r="I2781" t="str">
        <f t="shared" si="172"/>
        <v>1-sep-2023</v>
      </c>
      <c r="K2781" s="49">
        <f t="shared" si="174"/>
        <v>45170</v>
      </c>
      <c r="M2781" t="b">
        <f t="shared" si="175"/>
        <v>1</v>
      </c>
    </row>
    <row r="2782" spans="1:13" x14ac:dyDescent="0.3">
      <c r="A2782" s="49">
        <v>45261</v>
      </c>
      <c r="D2782" t="s">
        <v>7355</v>
      </c>
      <c r="E2782">
        <v>1</v>
      </c>
      <c r="F2782" t="str">
        <f t="shared" si="173"/>
        <v>sep</v>
      </c>
      <c r="G2782">
        <v>20</v>
      </c>
      <c r="H2782">
        <v>23</v>
      </c>
      <c r="I2782" t="str">
        <f t="shared" si="172"/>
        <v>1-sep-2023</v>
      </c>
      <c r="K2782" s="49">
        <f t="shared" si="174"/>
        <v>45170</v>
      </c>
      <c r="M2782" t="b">
        <f t="shared" si="175"/>
        <v>1</v>
      </c>
    </row>
    <row r="2783" spans="1:13" x14ac:dyDescent="0.3">
      <c r="A2783" s="49">
        <v>45261</v>
      </c>
      <c r="D2783" t="s">
        <v>7355</v>
      </c>
      <c r="E2783">
        <v>1</v>
      </c>
      <c r="F2783" t="str">
        <f t="shared" si="173"/>
        <v>sep</v>
      </c>
      <c r="G2783">
        <v>20</v>
      </c>
      <c r="H2783">
        <v>23</v>
      </c>
      <c r="I2783" t="str">
        <f t="shared" si="172"/>
        <v>1-sep-2023</v>
      </c>
      <c r="K2783" s="49">
        <f t="shared" si="174"/>
        <v>45170</v>
      </c>
      <c r="M2783" t="b">
        <f t="shared" si="175"/>
        <v>1</v>
      </c>
    </row>
    <row r="2784" spans="1:13" x14ac:dyDescent="0.3">
      <c r="A2784" s="49">
        <v>45261</v>
      </c>
      <c r="D2784" t="s">
        <v>7363</v>
      </c>
      <c r="E2784">
        <v>1</v>
      </c>
      <c r="F2784" t="str">
        <f t="shared" si="173"/>
        <v>feb</v>
      </c>
      <c r="G2784">
        <v>20</v>
      </c>
      <c r="H2784">
        <v>24</v>
      </c>
      <c r="I2784" t="str">
        <f t="shared" si="172"/>
        <v>1-feb-2024</v>
      </c>
      <c r="K2784" s="49">
        <f t="shared" si="174"/>
        <v>45323</v>
      </c>
      <c r="M2784" t="b">
        <f t="shared" si="175"/>
        <v>0</v>
      </c>
    </row>
    <row r="2785" spans="1:13" x14ac:dyDescent="0.3">
      <c r="A2785" s="49">
        <v>45261</v>
      </c>
      <c r="D2785" t="s">
        <v>7355</v>
      </c>
      <c r="E2785">
        <v>1</v>
      </c>
      <c r="F2785" t="str">
        <f t="shared" si="173"/>
        <v>sep</v>
      </c>
      <c r="G2785">
        <v>20</v>
      </c>
      <c r="H2785">
        <v>21</v>
      </c>
      <c r="I2785" t="str">
        <f t="shared" si="172"/>
        <v>1-sep-2021</v>
      </c>
      <c r="K2785" s="49">
        <f t="shared" si="174"/>
        <v>44440</v>
      </c>
      <c r="M2785" t="b">
        <f t="shared" si="175"/>
        <v>1</v>
      </c>
    </row>
    <row r="2786" spans="1:13" x14ac:dyDescent="0.3">
      <c r="A2786" s="49">
        <v>45261</v>
      </c>
      <c r="D2786" t="s">
        <v>7363</v>
      </c>
      <c r="E2786">
        <v>1</v>
      </c>
      <c r="F2786" t="str">
        <f t="shared" si="173"/>
        <v>feb</v>
      </c>
      <c r="G2786">
        <v>20</v>
      </c>
      <c r="H2786">
        <v>22</v>
      </c>
      <c r="I2786" t="str">
        <f t="shared" si="172"/>
        <v>1-feb-2022</v>
      </c>
      <c r="K2786" s="49">
        <f t="shared" si="174"/>
        <v>44593</v>
      </c>
      <c r="M2786" t="b">
        <f t="shared" si="175"/>
        <v>1</v>
      </c>
    </row>
    <row r="2787" spans="1:13" x14ac:dyDescent="0.3">
      <c r="A2787" s="49">
        <v>45261</v>
      </c>
      <c r="D2787" t="s">
        <v>7366</v>
      </c>
      <c r="E2787">
        <v>1</v>
      </c>
      <c r="F2787" t="str">
        <f t="shared" si="173"/>
        <v>dic</v>
      </c>
      <c r="G2787">
        <v>20</v>
      </c>
      <c r="H2787">
        <v>22</v>
      </c>
      <c r="I2787" t="str">
        <f t="shared" si="172"/>
        <v>1-dic-2022</v>
      </c>
      <c r="K2787" s="49">
        <f t="shared" si="174"/>
        <v>44896</v>
      </c>
      <c r="M2787" t="b">
        <f t="shared" si="175"/>
        <v>1</v>
      </c>
    </row>
    <row r="2788" spans="1:13" x14ac:dyDescent="0.3">
      <c r="A2788" s="49">
        <v>45261</v>
      </c>
      <c r="D2788" t="s">
        <v>7355</v>
      </c>
      <c r="E2788">
        <v>1</v>
      </c>
      <c r="F2788" t="str">
        <f t="shared" si="173"/>
        <v>sep</v>
      </c>
      <c r="G2788">
        <v>20</v>
      </c>
      <c r="H2788">
        <v>22</v>
      </c>
      <c r="I2788" t="str">
        <f t="shared" si="172"/>
        <v>1-sep-2022</v>
      </c>
      <c r="K2788" s="49">
        <f t="shared" si="174"/>
        <v>44805</v>
      </c>
      <c r="M2788" t="b">
        <f t="shared" si="175"/>
        <v>1</v>
      </c>
    </row>
    <row r="2789" spans="1:13" x14ac:dyDescent="0.3">
      <c r="A2789" s="49">
        <v>45261</v>
      </c>
      <c r="D2789" t="s">
        <v>7366</v>
      </c>
      <c r="E2789">
        <v>1</v>
      </c>
      <c r="F2789" t="str">
        <f t="shared" si="173"/>
        <v>dic</v>
      </c>
      <c r="G2789">
        <v>20</v>
      </c>
      <c r="H2789">
        <v>22</v>
      </c>
      <c r="I2789" t="str">
        <f t="shared" si="172"/>
        <v>1-dic-2022</v>
      </c>
      <c r="K2789" s="49">
        <f t="shared" si="174"/>
        <v>44896</v>
      </c>
      <c r="M2789" t="b">
        <f t="shared" si="175"/>
        <v>1</v>
      </c>
    </row>
    <row r="2790" spans="1:13" x14ac:dyDescent="0.3">
      <c r="A2790" s="49">
        <v>45261</v>
      </c>
      <c r="D2790" t="s">
        <v>7360</v>
      </c>
      <c r="E2790">
        <v>1</v>
      </c>
      <c r="F2790" t="str">
        <f t="shared" si="173"/>
        <v>nov</v>
      </c>
      <c r="G2790">
        <v>20</v>
      </c>
      <c r="H2790">
        <v>22</v>
      </c>
      <c r="I2790" t="str">
        <f t="shared" si="172"/>
        <v>1-nov-2022</v>
      </c>
      <c r="K2790" s="49">
        <f t="shared" si="174"/>
        <v>44866</v>
      </c>
      <c r="M2790" t="b">
        <f t="shared" si="175"/>
        <v>1</v>
      </c>
    </row>
    <row r="2791" spans="1:13" x14ac:dyDescent="0.3">
      <c r="A2791" s="49">
        <v>45261</v>
      </c>
      <c r="D2791" t="s">
        <v>7366</v>
      </c>
      <c r="E2791">
        <v>1</v>
      </c>
      <c r="F2791" t="str">
        <f t="shared" si="173"/>
        <v>dic</v>
      </c>
      <c r="G2791">
        <v>20</v>
      </c>
      <c r="H2791">
        <v>21</v>
      </c>
      <c r="I2791" t="str">
        <f t="shared" si="172"/>
        <v>1-dic-2021</v>
      </c>
      <c r="K2791" s="49">
        <f t="shared" si="174"/>
        <v>44531</v>
      </c>
      <c r="M2791" t="b">
        <f t="shared" si="175"/>
        <v>1</v>
      </c>
    </row>
    <row r="2792" spans="1:13" x14ac:dyDescent="0.3">
      <c r="A2792" s="49">
        <v>45261</v>
      </c>
      <c r="D2792" t="s">
        <v>7367</v>
      </c>
      <c r="E2792">
        <v>1</v>
      </c>
      <c r="F2792" t="str">
        <f t="shared" si="173"/>
        <v>jun</v>
      </c>
      <c r="G2792">
        <v>20</v>
      </c>
      <c r="H2792">
        <v>23</v>
      </c>
      <c r="I2792" t="str">
        <f t="shared" si="172"/>
        <v>1-jun-2023</v>
      </c>
      <c r="K2792" s="49">
        <f t="shared" si="174"/>
        <v>45078</v>
      </c>
      <c r="M2792" t="b">
        <f t="shared" si="175"/>
        <v>1</v>
      </c>
    </row>
    <row r="2793" spans="1:13" x14ac:dyDescent="0.3">
      <c r="A2793" s="49">
        <v>45261</v>
      </c>
      <c r="D2793" t="s">
        <v>7367</v>
      </c>
      <c r="E2793">
        <v>1</v>
      </c>
      <c r="F2793" t="str">
        <f t="shared" si="173"/>
        <v>jun</v>
      </c>
      <c r="G2793">
        <v>20</v>
      </c>
      <c r="H2793">
        <v>23</v>
      </c>
      <c r="I2793" t="str">
        <f t="shared" si="172"/>
        <v>1-jun-2023</v>
      </c>
      <c r="K2793" s="49">
        <f t="shared" si="174"/>
        <v>45078</v>
      </c>
      <c r="M2793" t="b">
        <f t="shared" si="175"/>
        <v>1</v>
      </c>
    </row>
    <row r="2794" spans="1:13" x14ac:dyDescent="0.3">
      <c r="A2794" s="49">
        <v>45261</v>
      </c>
      <c r="D2794" t="s">
        <v>7367</v>
      </c>
      <c r="E2794">
        <v>1</v>
      </c>
      <c r="F2794" t="str">
        <f t="shared" si="173"/>
        <v>jun</v>
      </c>
      <c r="G2794">
        <v>20</v>
      </c>
      <c r="H2794">
        <v>23</v>
      </c>
      <c r="I2794" t="str">
        <f t="shared" si="172"/>
        <v>1-jun-2023</v>
      </c>
      <c r="K2794" s="49">
        <f t="shared" si="174"/>
        <v>45078</v>
      </c>
      <c r="M2794" t="b">
        <f t="shared" si="175"/>
        <v>1</v>
      </c>
    </row>
    <row r="2795" spans="1:13" x14ac:dyDescent="0.3">
      <c r="A2795" s="49">
        <v>45261</v>
      </c>
      <c r="D2795" t="s">
        <v>7367</v>
      </c>
      <c r="E2795">
        <v>1</v>
      </c>
      <c r="F2795" t="str">
        <f t="shared" si="173"/>
        <v>jun</v>
      </c>
      <c r="G2795">
        <v>20</v>
      </c>
      <c r="H2795">
        <v>23</v>
      </c>
      <c r="I2795" t="str">
        <f t="shared" si="172"/>
        <v>1-jun-2023</v>
      </c>
      <c r="K2795" s="49">
        <f t="shared" si="174"/>
        <v>45078</v>
      </c>
      <c r="M2795" t="b">
        <f t="shared" si="175"/>
        <v>1</v>
      </c>
    </row>
    <row r="2796" spans="1:13" x14ac:dyDescent="0.3">
      <c r="A2796" s="49">
        <v>45261</v>
      </c>
      <c r="D2796" t="s">
        <v>7366</v>
      </c>
      <c r="E2796">
        <v>1</v>
      </c>
      <c r="F2796" t="str">
        <f t="shared" si="173"/>
        <v>dic</v>
      </c>
      <c r="G2796">
        <v>20</v>
      </c>
      <c r="H2796">
        <v>20</v>
      </c>
      <c r="I2796" t="str">
        <f t="shared" si="172"/>
        <v>1-dic-2020</v>
      </c>
      <c r="K2796" s="49">
        <f t="shared" si="174"/>
        <v>44166</v>
      </c>
      <c r="M2796" t="b">
        <f t="shared" si="175"/>
        <v>1</v>
      </c>
    </row>
    <row r="2797" spans="1:13" x14ac:dyDescent="0.3">
      <c r="A2797" s="49">
        <v>45261</v>
      </c>
      <c r="D2797" t="s">
        <v>7363</v>
      </c>
      <c r="E2797">
        <v>1</v>
      </c>
      <c r="F2797" t="str">
        <f t="shared" si="173"/>
        <v>feb</v>
      </c>
      <c r="G2797">
        <v>20</v>
      </c>
      <c r="H2797">
        <v>21</v>
      </c>
      <c r="I2797" t="str">
        <f t="shared" si="172"/>
        <v>1-feb-2021</v>
      </c>
      <c r="K2797" s="49">
        <f t="shared" si="174"/>
        <v>44228</v>
      </c>
      <c r="M2797" t="b">
        <f t="shared" si="175"/>
        <v>1</v>
      </c>
    </row>
    <row r="2798" spans="1:13" x14ac:dyDescent="0.3">
      <c r="A2798" s="49">
        <v>45261</v>
      </c>
      <c r="D2798" t="s">
        <v>7363</v>
      </c>
      <c r="E2798">
        <v>1</v>
      </c>
      <c r="F2798" t="str">
        <f t="shared" si="173"/>
        <v>feb</v>
      </c>
      <c r="G2798">
        <v>20</v>
      </c>
      <c r="H2798">
        <v>21</v>
      </c>
      <c r="I2798" t="str">
        <f t="shared" si="172"/>
        <v>1-feb-2021</v>
      </c>
      <c r="K2798" s="49">
        <f t="shared" si="174"/>
        <v>44228</v>
      </c>
      <c r="M2798" t="b">
        <f t="shared" si="175"/>
        <v>1</v>
      </c>
    </row>
    <row r="2799" spans="1:13" x14ac:dyDescent="0.3">
      <c r="A2799" s="49">
        <v>45261</v>
      </c>
      <c r="D2799" t="s">
        <v>7363</v>
      </c>
      <c r="E2799">
        <v>1</v>
      </c>
      <c r="F2799" t="str">
        <f t="shared" si="173"/>
        <v>feb</v>
      </c>
      <c r="G2799">
        <v>20</v>
      </c>
      <c r="H2799">
        <v>21</v>
      </c>
      <c r="I2799" t="str">
        <f t="shared" si="172"/>
        <v>1-feb-2021</v>
      </c>
      <c r="K2799" s="49">
        <f t="shared" si="174"/>
        <v>44228</v>
      </c>
      <c r="M2799" t="b">
        <f t="shared" si="175"/>
        <v>1</v>
      </c>
    </row>
    <row r="2800" spans="1:13" x14ac:dyDescent="0.3">
      <c r="A2800" s="49">
        <v>45261</v>
      </c>
      <c r="D2800" t="s">
        <v>7369</v>
      </c>
      <c r="E2800">
        <v>1</v>
      </c>
      <c r="F2800" t="str">
        <f t="shared" si="173"/>
        <v>abr</v>
      </c>
      <c r="G2800">
        <v>20</v>
      </c>
      <c r="H2800">
        <v>22</v>
      </c>
      <c r="I2800" t="str">
        <f t="shared" si="172"/>
        <v>1-abr-2022</v>
      </c>
      <c r="K2800" s="49">
        <f t="shared" si="174"/>
        <v>44652</v>
      </c>
      <c r="M2800" t="b">
        <f t="shared" si="175"/>
        <v>1</v>
      </c>
    </row>
    <row r="2801" spans="1:13" x14ac:dyDescent="0.3">
      <c r="A2801" s="49">
        <v>45261</v>
      </c>
      <c r="D2801" t="s">
        <v>7368</v>
      </c>
      <c r="E2801">
        <v>1</v>
      </c>
      <c r="F2801" t="str">
        <f t="shared" si="173"/>
        <v>mar</v>
      </c>
      <c r="G2801">
        <v>20</v>
      </c>
      <c r="H2801">
        <v>17</v>
      </c>
      <c r="I2801" t="str">
        <f t="shared" si="172"/>
        <v>1-mar-2017</v>
      </c>
      <c r="K2801" s="49">
        <f t="shared" si="174"/>
        <v>42795</v>
      </c>
      <c r="M2801" t="b">
        <f t="shared" si="175"/>
        <v>1</v>
      </c>
    </row>
    <row r="2802" spans="1:13" x14ac:dyDescent="0.3">
      <c r="A2802" s="49">
        <v>45261</v>
      </c>
      <c r="D2802" t="s">
        <v>7355</v>
      </c>
      <c r="E2802">
        <v>1</v>
      </c>
      <c r="F2802" t="str">
        <f t="shared" si="173"/>
        <v>sep</v>
      </c>
      <c r="G2802">
        <v>20</v>
      </c>
      <c r="H2802">
        <v>23</v>
      </c>
      <c r="I2802" t="str">
        <f t="shared" si="172"/>
        <v>1-sep-2023</v>
      </c>
      <c r="K2802" s="49">
        <f t="shared" si="174"/>
        <v>45170</v>
      </c>
      <c r="M2802" t="b">
        <f t="shared" si="175"/>
        <v>1</v>
      </c>
    </row>
    <row r="2803" spans="1:13" x14ac:dyDescent="0.3">
      <c r="A2803" s="49">
        <v>45261</v>
      </c>
      <c r="D2803" t="s">
        <v>7355</v>
      </c>
      <c r="E2803">
        <v>1</v>
      </c>
      <c r="F2803" t="str">
        <f t="shared" si="173"/>
        <v>sep</v>
      </c>
      <c r="G2803">
        <v>20</v>
      </c>
      <c r="H2803">
        <v>23</v>
      </c>
      <c r="I2803" t="str">
        <f t="shared" si="172"/>
        <v>1-sep-2023</v>
      </c>
      <c r="K2803" s="49">
        <f t="shared" si="174"/>
        <v>45170</v>
      </c>
      <c r="M2803" t="b">
        <f t="shared" si="175"/>
        <v>1</v>
      </c>
    </row>
    <row r="2804" spans="1:13" x14ac:dyDescent="0.3">
      <c r="A2804" s="49">
        <v>45261</v>
      </c>
      <c r="D2804" t="s">
        <v>7355</v>
      </c>
      <c r="E2804">
        <v>1</v>
      </c>
      <c r="F2804" t="str">
        <f t="shared" si="173"/>
        <v>sep</v>
      </c>
      <c r="G2804">
        <v>20</v>
      </c>
      <c r="H2804">
        <v>23</v>
      </c>
      <c r="I2804" t="str">
        <f t="shared" si="172"/>
        <v>1-sep-2023</v>
      </c>
      <c r="K2804" s="49">
        <f t="shared" si="174"/>
        <v>45170</v>
      </c>
      <c r="M2804" t="b">
        <f t="shared" si="175"/>
        <v>1</v>
      </c>
    </row>
    <row r="2805" spans="1:13" x14ac:dyDescent="0.3">
      <c r="A2805" s="49">
        <v>45261</v>
      </c>
      <c r="D2805" t="s">
        <v>7355</v>
      </c>
      <c r="E2805">
        <v>1</v>
      </c>
      <c r="F2805" t="str">
        <f t="shared" si="173"/>
        <v>sep</v>
      </c>
      <c r="G2805">
        <v>20</v>
      </c>
      <c r="H2805">
        <v>23</v>
      </c>
      <c r="I2805" t="str">
        <f t="shared" si="172"/>
        <v>1-sep-2023</v>
      </c>
      <c r="K2805" s="49">
        <f t="shared" si="174"/>
        <v>45170</v>
      </c>
      <c r="M2805" t="b">
        <f t="shared" si="175"/>
        <v>1</v>
      </c>
    </row>
    <row r="2806" spans="1:13" x14ac:dyDescent="0.3">
      <c r="A2806" s="49">
        <v>45261</v>
      </c>
      <c r="D2806" t="s">
        <v>7355</v>
      </c>
      <c r="E2806">
        <v>1</v>
      </c>
      <c r="F2806" t="str">
        <f t="shared" si="173"/>
        <v>sep</v>
      </c>
      <c r="G2806">
        <v>20</v>
      </c>
      <c r="H2806">
        <v>22</v>
      </c>
      <c r="I2806" t="str">
        <f t="shared" si="172"/>
        <v>1-sep-2022</v>
      </c>
      <c r="K2806" s="49">
        <f t="shared" si="174"/>
        <v>44805</v>
      </c>
      <c r="M2806" t="b">
        <f t="shared" si="175"/>
        <v>1</v>
      </c>
    </row>
    <row r="2807" spans="1:13" x14ac:dyDescent="0.3">
      <c r="A2807" s="49">
        <v>45261</v>
      </c>
      <c r="D2807" t="s">
        <v>7363</v>
      </c>
      <c r="E2807">
        <v>1</v>
      </c>
      <c r="F2807" t="str">
        <f t="shared" si="173"/>
        <v>feb</v>
      </c>
      <c r="G2807">
        <v>20</v>
      </c>
      <c r="H2807">
        <v>23</v>
      </c>
      <c r="I2807" t="str">
        <f t="shared" si="172"/>
        <v>1-feb-2023</v>
      </c>
      <c r="K2807" s="49">
        <f t="shared" si="174"/>
        <v>44958</v>
      </c>
      <c r="M2807" t="b">
        <f t="shared" si="175"/>
        <v>1</v>
      </c>
    </row>
    <row r="2808" spans="1:13" x14ac:dyDescent="0.3">
      <c r="A2808" s="49">
        <v>45261</v>
      </c>
      <c r="D2808" t="s">
        <v>7367</v>
      </c>
      <c r="E2808">
        <v>1</v>
      </c>
      <c r="F2808" t="str">
        <f t="shared" si="173"/>
        <v>jun</v>
      </c>
      <c r="G2808">
        <v>20</v>
      </c>
      <c r="H2808">
        <v>23</v>
      </c>
      <c r="I2808" t="str">
        <f t="shared" si="172"/>
        <v>1-jun-2023</v>
      </c>
      <c r="K2808" s="49">
        <f t="shared" si="174"/>
        <v>45078</v>
      </c>
      <c r="M2808" t="b">
        <f t="shared" si="175"/>
        <v>1</v>
      </c>
    </row>
    <row r="2809" spans="1:13" x14ac:dyDescent="0.3">
      <c r="A2809" s="49">
        <v>45261</v>
      </c>
      <c r="D2809" t="s">
        <v>7369</v>
      </c>
      <c r="E2809">
        <v>1</v>
      </c>
      <c r="F2809" t="str">
        <f t="shared" si="173"/>
        <v>abr</v>
      </c>
      <c r="G2809">
        <v>20</v>
      </c>
      <c r="H2809">
        <v>23</v>
      </c>
      <c r="I2809" t="str">
        <f t="shared" si="172"/>
        <v>1-abr-2023</v>
      </c>
      <c r="K2809" s="49">
        <f t="shared" si="174"/>
        <v>45017</v>
      </c>
      <c r="M2809" t="b">
        <f t="shared" si="175"/>
        <v>1</v>
      </c>
    </row>
    <row r="2810" spans="1:13" x14ac:dyDescent="0.3">
      <c r="A2810" s="49">
        <v>45261</v>
      </c>
      <c r="D2810" t="s">
        <v>7367</v>
      </c>
      <c r="E2810">
        <v>1</v>
      </c>
      <c r="F2810" t="str">
        <f t="shared" si="173"/>
        <v>jun</v>
      </c>
      <c r="G2810">
        <v>20</v>
      </c>
      <c r="H2810">
        <v>23</v>
      </c>
      <c r="I2810" t="str">
        <f t="shared" si="172"/>
        <v>1-jun-2023</v>
      </c>
      <c r="K2810" s="49">
        <f t="shared" si="174"/>
        <v>45078</v>
      </c>
      <c r="M2810" t="b">
        <f t="shared" si="175"/>
        <v>1</v>
      </c>
    </row>
    <row r="2811" spans="1:13" x14ac:dyDescent="0.3">
      <c r="A2811" s="49">
        <v>45261</v>
      </c>
      <c r="D2811" t="s">
        <v>7367</v>
      </c>
      <c r="E2811">
        <v>1</v>
      </c>
      <c r="F2811" t="str">
        <f t="shared" si="173"/>
        <v>jun</v>
      </c>
      <c r="G2811">
        <v>20</v>
      </c>
      <c r="H2811">
        <v>23</v>
      </c>
      <c r="I2811" t="str">
        <f t="shared" si="172"/>
        <v>1-jun-2023</v>
      </c>
      <c r="K2811" s="49">
        <f t="shared" si="174"/>
        <v>45078</v>
      </c>
      <c r="M2811" t="b">
        <f t="shared" si="175"/>
        <v>1</v>
      </c>
    </row>
    <row r="2812" spans="1:13" x14ac:dyDescent="0.3">
      <c r="A2812" s="49">
        <v>45261</v>
      </c>
      <c r="D2812" t="s">
        <v>7367</v>
      </c>
      <c r="E2812">
        <v>1</v>
      </c>
      <c r="F2812" t="str">
        <f t="shared" si="173"/>
        <v>jun</v>
      </c>
      <c r="G2812">
        <v>20</v>
      </c>
      <c r="H2812">
        <v>23</v>
      </c>
      <c r="I2812" t="str">
        <f t="shared" si="172"/>
        <v>1-jun-2023</v>
      </c>
      <c r="K2812" s="49">
        <f t="shared" si="174"/>
        <v>45078</v>
      </c>
      <c r="M2812" t="b">
        <f t="shared" si="175"/>
        <v>1</v>
      </c>
    </row>
    <row r="2813" spans="1:13" x14ac:dyDescent="0.3">
      <c r="A2813" s="49">
        <v>45261</v>
      </c>
      <c r="D2813" t="s">
        <v>7367</v>
      </c>
      <c r="E2813">
        <v>1</v>
      </c>
      <c r="F2813" t="str">
        <f t="shared" si="173"/>
        <v>jun</v>
      </c>
      <c r="G2813">
        <v>20</v>
      </c>
      <c r="H2813">
        <v>23</v>
      </c>
      <c r="I2813" t="str">
        <f t="shared" si="172"/>
        <v>1-jun-2023</v>
      </c>
      <c r="K2813" s="49">
        <f t="shared" si="174"/>
        <v>45078</v>
      </c>
      <c r="M2813" t="b">
        <f t="shared" si="175"/>
        <v>1</v>
      </c>
    </row>
    <row r="2814" spans="1:13" x14ac:dyDescent="0.3">
      <c r="A2814" s="49">
        <v>45261</v>
      </c>
      <c r="D2814" t="s">
        <v>7367</v>
      </c>
      <c r="E2814">
        <v>1</v>
      </c>
      <c r="F2814" t="str">
        <f t="shared" si="173"/>
        <v>jun</v>
      </c>
      <c r="G2814">
        <v>20</v>
      </c>
      <c r="H2814">
        <v>23</v>
      </c>
      <c r="I2814" t="str">
        <f t="shared" si="172"/>
        <v>1-jun-2023</v>
      </c>
      <c r="K2814" s="49">
        <f t="shared" si="174"/>
        <v>45078</v>
      </c>
      <c r="M2814" t="b">
        <f t="shared" si="175"/>
        <v>1</v>
      </c>
    </row>
    <row r="2815" spans="1:13" x14ac:dyDescent="0.3">
      <c r="A2815" s="49">
        <v>45261</v>
      </c>
      <c r="D2815" t="s">
        <v>7367</v>
      </c>
      <c r="E2815">
        <v>1</v>
      </c>
      <c r="F2815" t="str">
        <f t="shared" si="173"/>
        <v>jun</v>
      </c>
      <c r="G2815">
        <v>20</v>
      </c>
      <c r="H2815">
        <v>23</v>
      </c>
      <c r="I2815" t="str">
        <f t="shared" si="172"/>
        <v>1-jun-2023</v>
      </c>
      <c r="K2815" s="49">
        <f t="shared" si="174"/>
        <v>45078</v>
      </c>
      <c r="M2815" t="b">
        <f t="shared" si="175"/>
        <v>1</v>
      </c>
    </row>
    <row r="2816" spans="1:13" x14ac:dyDescent="0.3">
      <c r="A2816" s="49">
        <v>45261</v>
      </c>
      <c r="D2816" t="s">
        <v>7363</v>
      </c>
      <c r="E2816">
        <v>1</v>
      </c>
      <c r="F2816" t="str">
        <f t="shared" si="173"/>
        <v>feb</v>
      </c>
      <c r="G2816">
        <v>20</v>
      </c>
      <c r="H2816">
        <v>24</v>
      </c>
      <c r="I2816" t="str">
        <f t="shared" si="172"/>
        <v>1-feb-2024</v>
      </c>
      <c r="K2816" s="49">
        <f t="shared" si="174"/>
        <v>45323</v>
      </c>
      <c r="M2816" t="b">
        <f t="shared" si="175"/>
        <v>0</v>
      </c>
    </row>
    <row r="2817" spans="1:13" x14ac:dyDescent="0.3">
      <c r="A2817" s="49">
        <v>45261</v>
      </c>
      <c r="D2817" t="s">
        <v>7369</v>
      </c>
      <c r="E2817">
        <v>1</v>
      </c>
      <c r="F2817" t="str">
        <f t="shared" si="173"/>
        <v>abr</v>
      </c>
      <c r="G2817">
        <v>20</v>
      </c>
      <c r="H2817">
        <v>23</v>
      </c>
      <c r="I2817" t="str">
        <f t="shared" ref="I2817:I2880" si="176">_xlfn.CONCAT(E2817,"-",F2817,"-",G2817,H2817)</f>
        <v>1-abr-2023</v>
      </c>
      <c r="K2817" s="49">
        <f t="shared" si="174"/>
        <v>45017</v>
      </c>
      <c r="M2817" t="b">
        <f t="shared" si="175"/>
        <v>1</v>
      </c>
    </row>
    <row r="2818" spans="1:13" x14ac:dyDescent="0.3">
      <c r="A2818" s="49">
        <v>45261</v>
      </c>
      <c r="D2818" t="s">
        <v>7363</v>
      </c>
      <c r="E2818">
        <v>1</v>
      </c>
      <c r="F2818" t="str">
        <f t="shared" ref="F2818:F2881" si="177">LOWER(D2818)</f>
        <v>feb</v>
      </c>
      <c r="G2818">
        <v>20</v>
      </c>
      <c r="H2818">
        <v>24</v>
      </c>
      <c r="I2818" t="str">
        <f t="shared" si="176"/>
        <v>1-feb-2024</v>
      </c>
      <c r="K2818" s="49">
        <f t="shared" ref="K2818:K2881" si="178">DATEVALUE(I2818)</f>
        <v>45323</v>
      </c>
      <c r="M2818" t="b">
        <f t="shared" si="175"/>
        <v>0</v>
      </c>
    </row>
    <row r="2819" spans="1:13" x14ac:dyDescent="0.3">
      <c r="A2819" s="49">
        <v>45261</v>
      </c>
      <c r="D2819" t="s">
        <v>7359</v>
      </c>
      <c r="E2819">
        <v>1</v>
      </c>
      <c r="F2819" t="str">
        <f t="shared" si="177"/>
        <v>jul</v>
      </c>
      <c r="G2819">
        <v>20</v>
      </c>
      <c r="H2819">
        <v>20</v>
      </c>
      <c r="I2819" t="str">
        <f t="shared" si="176"/>
        <v>1-jul-2020</v>
      </c>
      <c r="K2819" s="49">
        <f t="shared" si="178"/>
        <v>44013</v>
      </c>
      <c r="M2819" t="b">
        <f t="shared" ref="M2819:M2882" si="179">K2819&lt;A2819</f>
        <v>1</v>
      </c>
    </row>
    <row r="2820" spans="1:13" x14ac:dyDescent="0.3">
      <c r="A2820" s="49">
        <v>45261</v>
      </c>
      <c r="D2820" t="s">
        <v>7370</v>
      </c>
      <c r="E2820">
        <v>1</v>
      </c>
      <c r="F2820" t="str">
        <f t="shared" si="177"/>
        <v>may</v>
      </c>
      <c r="G2820">
        <v>20</v>
      </c>
      <c r="H2820">
        <v>23</v>
      </c>
      <c r="I2820" t="str">
        <f t="shared" si="176"/>
        <v>1-may-2023</v>
      </c>
      <c r="K2820" s="49">
        <f t="shared" si="178"/>
        <v>45047</v>
      </c>
      <c r="M2820" t="b">
        <f t="shared" si="179"/>
        <v>1</v>
      </c>
    </row>
    <row r="2821" spans="1:13" x14ac:dyDescent="0.3">
      <c r="A2821" s="49">
        <v>45261</v>
      </c>
      <c r="D2821" t="s">
        <v>7363</v>
      </c>
      <c r="E2821">
        <v>1</v>
      </c>
      <c r="F2821" t="str">
        <f t="shared" si="177"/>
        <v>feb</v>
      </c>
      <c r="G2821">
        <v>20</v>
      </c>
      <c r="H2821">
        <v>22</v>
      </c>
      <c r="I2821" t="str">
        <f t="shared" si="176"/>
        <v>1-feb-2022</v>
      </c>
      <c r="K2821" s="49">
        <f t="shared" si="178"/>
        <v>44593</v>
      </c>
      <c r="M2821" t="b">
        <f t="shared" si="179"/>
        <v>1</v>
      </c>
    </row>
    <row r="2822" spans="1:13" x14ac:dyDescent="0.3">
      <c r="A2822" s="49">
        <v>45261</v>
      </c>
      <c r="D2822" t="s">
        <v>7370</v>
      </c>
      <c r="E2822">
        <v>1</v>
      </c>
      <c r="F2822" t="str">
        <f t="shared" si="177"/>
        <v>may</v>
      </c>
      <c r="G2822">
        <v>20</v>
      </c>
      <c r="H2822">
        <v>23</v>
      </c>
      <c r="I2822" t="str">
        <f t="shared" si="176"/>
        <v>1-may-2023</v>
      </c>
      <c r="K2822" s="49">
        <f t="shared" si="178"/>
        <v>45047</v>
      </c>
      <c r="M2822" t="b">
        <f t="shared" si="179"/>
        <v>1</v>
      </c>
    </row>
    <row r="2823" spans="1:13" x14ac:dyDescent="0.3">
      <c r="A2823" s="49">
        <v>45261</v>
      </c>
      <c r="D2823" t="s">
        <v>7370</v>
      </c>
      <c r="E2823">
        <v>1</v>
      </c>
      <c r="F2823" t="str">
        <f t="shared" si="177"/>
        <v>may</v>
      </c>
      <c r="G2823">
        <v>20</v>
      </c>
      <c r="H2823">
        <v>21</v>
      </c>
      <c r="I2823" t="str">
        <f t="shared" si="176"/>
        <v>1-may-2021</v>
      </c>
      <c r="K2823" s="49">
        <f t="shared" si="178"/>
        <v>44317</v>
      </c>
      <c r="M2823" t="b">
        <f t="shared" si="179"/>
        <v>1</v>
      </c>
    </row>
    <row r="2824" spans="1:13" x14ac:dyDescent="0.3">
      <c r="A2824" s="49">
        <v>45261</v>
      </c>
      <c r="D2824" t="s">
        <v>7369</v>
      </c>
      <c r="E2824">
        <v>1</v>
      </c>
      <c r="F2824" t="str">
        <f t="shared" si="177"/>
        <v>abr</v>
      </c>
      <c r="G2824">
        <v>20</v>
      </c>
      <c r="H2824">
        <v>21</v>
      </c>
      <c r="I2824" t="str">
        <f t="shared" si="176"/>
        <v>1-abr-2021</v>
      </c>
      <c r="K2824" s="49">
        <f t="shared" si="178"/>
        <v>44287</v>
      </c>
      <c r="M2824" t="b">
        <f t="shared" si="179"/>
        <v>1</v>
      </c>
    </row>
    <row r="2825" spans="1:13" x14ac:dyDescent="0.3">
      <c r="A2825" s="49">
        <v>45261</v>
      </c>
      <c r="D2825" t="s">
        <v>7366</v>
      </c>
      <c r="E2825">
        <v>1</v>
      </c>
      <c r="F2825" t="str">
        <f t="shared" si="177"/>
        <v>dic</v>
      </c>
      <c r="G2825">
        <v>20</v>
      </c>
      <c r="H2825">
        <v>22</v>
      </c>
      <c r="I2825" t="str">
        <f t="shared" si="176"/>
        <v>1-dic-2022</v>
      </c>
      <c r="K2825" s="49">
        <f t="shared" si="178"/>
        <v>44896</v>
      </c>
      <c r="M2825" t="b">
        <f t="shared" si="179"/>
        <v>1</v>
      </c>
    </row>
    <row r="2826" spans="1:13" x14ac:dyDescent="0.3">
      <c r="A2826" s="49">
        <v>45261</v>
      </c>
      <c r="D2826" t="s">
        <v>7355</v>
      </c>
      <c r="E2826">
        <v>1</v>
      </c>
      <c r="F2826" t="str">
        <f t="shared" si="177"/>
        <v>sep</v>
      </c>
      <c r="G2826">
        <v>20</v>
      </c>
      <c r="H2826">
        <v>21</v>
      </c>
      <c r="I2826" t="str">
        <f t="shared" si="176"/>
        <v>1-sep-2021</v>
      </c>
      <c r="K2826" s="49">
        <f t="shared" si="178"/>
        <v>44440</v>
      </c>
      <c r="M2826" t="b">
        <f t="shared" si="179"/>
        <v>1</v>
      </c>
    </row>
    <row r="2827" spans="1:13" x14ac:dyDescent="0.3">
      <c r="A2827" s="49">
        <v>45261</v>
      </c>
      <c r="D2827" t="s">
        <v>7376</v>
      </c>
      <c r="E2827">
        <v>1</v>
      </c>
      <c r="F2827" t="str">
        <f t="shared" si="177"/>
        <v>sep</v>
      </c>
      <c r="G2827">
        <v>20</v>
      </c>
      <c r="H2827">
        <v>23</v>
      </c>
      <c r="I2827" t="str">
        <f t="shared" si="176"/>
        <v>1-sep-2023</v>
      </c>
      <c r="K2827" s="49">
        <f t="shared" si="178"/>
        <v>45170</v>
      </c>
      <c r="M2827" t="b">
        <f t="shared" si="179"/>
        <v>1</v>
      </c>
    </row>
    <row r="2828" spans="1:13" x14ac:dyDescent="0.3">
      <c r="A2828" s="49">
        <v>45261</v>
      </c>
      <c r="D2828" t="s">
        <v>3586</v>
      </c>
      <c r="E2828">
        <v>1</v>
      </c>
      <c r="F2828" t="str">
        <f t="shared" si="177"/>
        <v>---</v>
      </c>
      <c r="G2828">
        <v>20</v>
      </c>
      <c r="H2828" t="s">
        <v>3911</v>
      </c>
      <c r="I2828" t="str">
        <f t="shared" si="176"/>
        <v>1-----20--</v>
      </c>
      <c r="K2828" s="49" t="e">
        <f t="shared" si="178"/>
        <v>#VALUE!</v>
      </c>
      <c r="M2828" t="e">
        <f t="shared" si="179"/>
        <v>#VALUE!</v>
      </c>
    </row>
    <row r="2829" spans="1:13" x14ac:dyDescent="0.3">
      <c r="A2829" s="49">
        <v>45261</v>
      </c>
      <c r="D2829" t="s">
        <v>7360</v>
      </c>
      <c r="E2829">
        <v>1</v>
      </c>
      <c r="F2829" t="str">
        <f t="shared" si="177"/>
        <v>nov</v>
      </c>
      <c r="G2829">
        <v>20</v>
      </c>
      <c r="H2829">
        <v>16</v>
      </c>
      <c r="I2829" t="str">
        <f t="shared" si="176"/>
        <v>1-nov-2016</v>
      </c>
      <c r="K2829" s="49">
        <f t="shared" si="178"/>
        <v>42675</v>
      </c>
      <c r="M2829" t="b">
        <f t="shared" si="179"/>
        <v>1</v>
      </c>
    </row>
    <row r="2830" spans="1:13" x14ac:dyDescent="0.3">
      <c r="A2830" s="49">
        <v>45261</v>
      </c>
      <c r="D2830" t="s">
        <v>7366</v>
      </c>
      <c r="E2830">
        <v>1</v>
      </c>
      <c r="F2830" t="str">
        <f t="shared" si="177"/>
        <v>dic</v>
      </c>
      <c r="G2830">
        <v>20</v>
      </c>
      <c r="H2830">
        <v>21</v>
      </c>
      <c r="I2830" t="str">
        <f t="shared" si="176"/>
        <v>1-dic-2021</v>
      </c>
      <c r="K2830" s="49">
        <f t="shared" si="178"/>
        <v>44531</v>
      </c>
      <c r="M2830" t="b">
        <f t="shared" si="179"/>
        <v>1</v>
      </c>
    </row>
    <row r="2831" spans="1:13" x14ac:dyDescent="0.3">
      <c r="A2831" s="49">
        <v>45261</v>
      </c>
      <c r="D2831" t="s">
        <v>7366</v>
      </c>
      <c r="E2831">
        <v>1</v>
      </c>
      <c r="F2831" t="str">
        <f t="shared" si="177"/>
        <v>dic</v>
      </c>
      <c r="G2831">
        <v>20</v>
      </c>
      <c r="H2831">
        <v>23</v>
      </c>
      <c r="I2831" t="str">
        <f t="shared" si="176"/>
        <v>1-dic-2023</v>
      </c>
      <c r="K2831" s="49">
        <f t="shared" si="178"/>
        <v>45261</v>
      </c>
      <c r="M2831" t="b">
        <f t="shared" si="179"/>
        <v>0</v>
      </c>
    </row>
    <row r="2832" spans="1:13" x14ac:dyDescent="0.3">
      <c r="A2832" s="49">
        <v>45261</v>
      </c>
      <c r="D2832" t="s">
        <v>7366</v>
      </c>
      <c r="E2832">
        <v>1</v>
      </c>
      <c r="F2832" t="str">
        <f t="shared" si="177"/>
        <v>dic</v>
      </c>
      <c r="G2832">
        <v>20</v>
      </c>
      <c r="H2832">
        <v>23</v>
      </c>
      <c r="I2832" t="str">
        <f t="shared" si="176"/>
        <v>1-dic-2023</v>
      </c>
      <c r="K2832" s="49">
        <f t="shared" si="178"/>
        <v>45261</v>
      </c>
      <c r="M2832" t="b">
        <f t="shared" si="179"/>
        <v>0</v>
      </c>
    </row>
    <row r="2833" spans="1:13" x14ac:dyDescent="0.3">
      <c r="A2833" s="49">
        <v>45261</v>
      </c>
      <c r="D2833" t="s">
        <v>7367</v>
      </c>
      <c r="E2833">
        <v>1</v>
      </c>
      <c r="F2833" t="str">
        <f t="shared" si="177"/>
        <v>jun</v>
      </c>
      <c r="G2833">
        <v>20</v>
      </c>
      <c r="H2833">
        <v>21</v>
      </c>
      <c r="I2833" t="str">
        <f t="shared" si="176"/>
        <v>1-jun-2021</v>
      </c>
      <c r="K2833" s="49">
        <f t="shared" si="178"/>
        <v>44348</v>
      </c>
      <c r="M2833" t="b">
        <f t="shared" si="179"/>
        <v>1</v>
      </c>
    </row>
    <row r="2834" spans="1:13" x14ac:dyDescent="0.3">
      <c r="A2834" s="49">
        <v>45261</v>
      </c>
      <c r="D2834" t="s">
        <v>7359</v>
      </c>
      <c r="E2834">
        <v>1</v>
      </c>
      <c r="F2834" t="str">
        <f t="shared" si="177"/>
        <v>jul</v>
      </c>
      <c r="G2834">
        <v>20</v>
      </c>
      <c r="H2834">
        <v>19</v>
      </c>
      <c r="I2834" t="str">
        <f t="shared" si="176"/>
        <v>1-jul-2019</v>
      </c>
      <c r="K2834" s="49">
        <f t="shared" si="178"/>
        <v>43647</v>
      </c>
      <c r="M2834" t="b">
        <f t="shared" si="179"/>
        <v>1</v>
      </c>
    </row>
    <row r="2835" spans="1:13" x14ac:dyDescent="0.3">
      <c r="A2835" s="49">
        <v>45261</v>
      </c>
      <c r="D2835" t="s">
        <v>7367</v>
      </c>
      <c r="E2835">
        <v>1</v>
      </c>
      <c r="F2835" t="str">
        <f t="shared" si="177"/>
        <v>jun</v>
      </c>
      <c r="G2835">
        <v>20</v>
      </c>
      <c r="H2835">
        <v>20</v>
      </c>
      <c r="I2835" t="str">
        <f t="shared" si="176"/>
        <v>1-jun-2020</v>
      </c>
      <c r="K2835" s="49">
        <f t="shared" si="178"/>
        <v>43983</v>
      </c>
      <c r="M2835" t="b">
        <f t="shared" si="179"/>
        <v>1</v>
      </c>
    </row>
    <row r="2836" spans="1:13" x14ac:dyDescent="0.3">
      <c r="A2836" s="49">
        <v>45261</v>
      </c>
      <c r="D2836" t="s">
        <v>7355</v>
      </c>
      <c r="E2836">
        <v>1</v>
      </c>
      <c r="F2836" t="str">
        <f t="shared" si="177"/>
        <v>sep</v>
      </c>
      <c r="G2836">
        <v>20</v>
      </c>
      <c r="H2836">
        <v>23</v>
      </c>
      <c r="I2836" t="str">
        <f t="shared" si="176"/>
        <v>1-sep-2023</v>
      </c>
      <c r="K2836" s="49">
        <f t="shared" si="178"/>
        <v>45170</v>
      </c>
      <c r="M2836" t="b">
        <f t="shared" si="179"/>
        <v>1</v>
      </c>
    </row>
    <row r="2837" spans="1:13" x14ac:dyDescent="0.3">
      <c r="A2837" s="49">
        <v>45261</v>
      </c>
      <c r="D2837" t="s">
        <v>7362</v>
      </c>
      <c r="E2837">
        <v>1</v>
      </c>
      <c r="F2837" t="str">
        <f t="shared" si="177"/>
        <v>ago</v>
      </c>
      <c r="G2837">
        <v>20</v>
      </c>
      <c r="H2837">
        <v>23</v>
      </c>
      <c r="I2837" t="str">
        <f t="shared" si="176"/>
        <v>1-ago-2023</v>
      </c>
      <c r="K2837" s="49">
        <f t="shared" si="178"/>
        <v>45139</v>
      </c>
      <c r="M2837" t="b">
        <f t="shared" si="179"/>
        <v>1</v>
      </c>
    </row>
    <row r="2838" spans="1:13" x14ac:dyDescent="0.3">
      <c r="A2838" s="49">
        <v>45261</v>
      </c>
      <c r="D2838" t="s">
        <v>7362</v>
      </c>
      <c r="E2838">
        <v>1</v>
      </c>
      <c r="F2838" t="str">
        <f t="shared" si="177"/>
        <v>ago</v>
      </c>
      <c r="G2838">
        <v>20</v>
      </c>
      <c r="H2838">
        <v>23</v>
      </c>
      <c r="I2838" t="str">
        <f t="shared" si="176"/>
        <v>1-ago-2023</v>
      </c>
      <c r="K2838" s="49">
        <f t="shared" si="178"/>
        <v>45139</v>
      </c>
      <c r="M2838" t="b">
        <f t="shared" si="179"/>
        <v>1</v>
      </c>
    </row>
    <row r="2839" spans="1:13" x14ac:dyDescent="0.3">
      <c r="A2839" s="49">
        <v>45261</v>
      </c>
      <c r="D2839" t="s">
        <v>7362</v>
      </c>
      <c r="E2839">
        <v>1</v>
      </c>
      <c r="F2839" t="str">
        <f t="shared" si="177"/>
        <v>ago</v>
      </c>
      <c r="G2839">
        <v>20</v>
      </c>
      <c r="H2839">
        <v>23</v>
      </c>
      <c r="I2839" t="str">
        <f t="shared" si="176"/>
        <v>1-ago-2023</v>
      </c>
      <c r="K2839" s="49">
        <f t="shared" si="178"/>
        <v>45139</v>
      </c>
      <c r="M2839" t="b">
        <f t="shared" si="179"/>
        <v>1</v>
      </c>
    </row>
    <row r="2840" spans="1:13" x14ac:dyDescent="0.3">
      <c r="A2840" s="49">
        <v>45261</v>
      </c>
      <c r="D2840" t="s">
        <v>7362</v>
      </c>
      <c r="E2840">
        <v>1</v>
      </c>
      <c r="F2840" t="str">
        <f t="shared" si="177"/>
        <v>ago</v>
      </c>
      <c r="G2840">
        <v>20</v>
      </c>
      <c r="H2840">
        <v>23</v>
      </c>
      <c r="I2840" t="str">
        <f t="shared" si="176"/>
        <v>1-ago-2023</v>
      </c>
      <c r="K2840" s="49">
        <f t="shared" si="178"/>
        <v>45139</v>
      </c>
      <c r="M2840" t="b">
        <f t="shared" si="179"/>
        <v>1</v>
      </c>
    </row>
    <row r="2841" spans="1:13" x14ac:dyDescent="0.3">
      <c r="A2841" s="49">
        <v>45261</v>
      </c>
      <c r="D2841" t="s">
        <v>7362</v>
      </c>
      <c r="E2841">
        <v>1</v>
      </c>
      <c r="F2841" t="str">
        <f t="shared" si="177"/>
        <v>ago</v>
      </c>
      <c r="G2841">
        <v>20</v>
      </c>
      <c r="H2841">
        <v>23</v>
      </c>
      <c r="I2841" t="str">
        <f t="shared" si="176"/>
        <v>1-ago-2023</v>
      </c>
      <c r="K2841" s="49">
        <f t="shared" si="178"/>
        <v>45139</v>
      </c>
      <c r="M2841" t="b">
        <f t="shared" si="179"/>
        <v>1</v>
      </c>
    </row>
    <row r="2842" spans="1:13" x14ac:dyDescent="0.3">
      <c r="A2842" s="49">
        <v>45261</v>
      </c>
      <c r="D2842" t="s">
        <v>7362</v>
      </c>
      <c r="E2842">
        <v>1</v>
      </c>
      <c r="F2842" t="str">
        <f t="shared" si="177"/>
        <v>ago</v>
      </c>
      <c r="G2842">
        <v>20</v>
      </c>
      <c r="H2842">
        <v>23</v>
      </c>
      <c r="I2842" t="str">
        <f t="shared" si="176"/>
        <v>1-ago-2023</v>
      </c>
      <c r="K2842" s="49">
        <f t="shared" si="178"/>
        <v>45139</v>
      </c>
      <c r="M2842" t="b">
        <f t="shared" si="179"/>
        <v>1</v>
      </c>
    </row>
    <row r="2843" spans="1:13" x14ac:dyDescent="0.3">
      <c r="A2843" s="49">
        <v>45261</v>
      </c>
      <c r="D2843" t="s">
        <v>7362</v>
      </c>
      <c r="E2843">
        <v>1</v>
      </c>
      <c r="F2843" t="str">
        <f t="shared" si="177"/>
        <v>ago</v>
      </c>
      <c r="G2843">
        <v>20</v>
      </c>
      <c r="H2843">
        <v>23</v>
      </c>
      <c r="I2843" t="str">
        <f t="shared" si="176"/>
        <v>1-ago-2023</v>
      </c>
      <c r="K2843" s="49">
        <f t="shared" si="178"/>
        <v>45139</v>
      </c>
      <c r="M2843" t="b">
        <f t="shared" si="179"/>
        <v>1</v>
      </c>
    </row>
    <row r="2844" spans="1:13" x14ac:dyDescent="0.3">
      <c r="A2844" s="49">
        <v>45261</v>
      </c>
      <c r="D2844" t="s">
        <v>7362</v>
      </c>
      <c r="E2844">
        <v>1</v>
      </c>
      <c r="F2844" t="str">
        <f t="shared" si="177"/>
        <v>ago</v>
      </c>
      <c r="G2844">
        <v>20</v>
      </c>
      <c r="H2844">
        <v>23</v>
      </c>
      <c r="I2844" t="str">
        <f t="shared" si="176"/>
        <v>1-ago-2023</v>
      </c>
      <c r="K2844" s="49">
        <f t="shared" si="178"/>
        <v>45139</v>
      </c>
      <c r="M2844" t="b">
        <f t="shared" si="179"/>
        <v>1</v>
      </c>
    </row>
    <row r="2845" spans="1:13" x14ac:dyDescent="0.3">
      <c r="A2845" s="49">
        <v>45261</v>
      </c>
      <c r="D2845" t="s">
        <v>7362</v>
      </c>
      <c r="E2845">
        <v>1</v>
      </c>
      <c r="F2845" t="str">
        <f t="shared" si="177"/>
        <v>ago</v>
      </c>
      <c r="G2845">
        <v>20</v>
      </c>
      <c r="H2845">
        <v>23</v>
      </c>
      <c r="I2845" t="str">
        <f t="shared" si="176"/>
        <v>1-ago-2023</v>
      </c>
      <c r="K2845" s="49">
        <f t="shared" si="178"/>
        <v>45139</v>
      </c>
      <c r="M2845" t="b">
        <f t="shared" si="179"/>
        <v>1</v>
      </c>
    </row>
    <row r="2846" spans="1:13" x14ac:dyDescent="0.3">
      <c r="A2846" s="49">
        <v>45261</v>
      </c>
      <c r="D2846" t="s">
        <v>7362</v>
      </c>
      <c r="E2846">
        <v>1</v>
      </c>
      <c r="F2846" t="str">
        <f t="shared" si="177"/>
        <v>ago</v>
      </c>
      <c r="G2846">
        <v>20</v>
      </c>
      <c r="H2846">
        <v>23</v>
      </c>
      <c r="I2846" t="str">
        <f t="shared" si="176"/>
        <v>1-ago-2023</v>
      </c>
      <c r="K2846" s="49">
        <f t="shared" si="178"/>
        <v>45139</v>
      </c>
      <c r="M2846" t="b">
        <f t="shared" si="179"/>
        <v>1</v>
      </c>
    </row>
    <row r="2847" spans="1:13" x14ac:dyDescent="0.3">
      <c r="A2847" s="49">
        <v>45261</v>
      </c>
      <c r="D2847" t="s">
        <v>7362</v>
      </c>
      <c r="E2847">
        <v>1</v>
      </c>
      <c r="F2847" t="str">
        <f t="shared" si="177"/>
        <v>ago</v>
      </c>
      <c r="G2847">
        <v>20</v>
      </c>
      <c r="H2847">
        <v>23</v>
      </c>
      <c r="I2847" t="str">
        <f t="shared" si="176"/>
        <v>1-ago-2023</v>
      </c>
      <c r="K2847" s="49">
        <f t="shared" si="178"/>
        <v>45139</v>
      </c>
      <c r="M2847" t="b">
        <f t="shared" si="179"/>
        <v>1</v>
      </c>
    </row>
    <row r="2848" spans="1:13" x14ac:dyDescent="0.3">
      <c r="A2848" s="49">
        <v>45261</v>
      </c>
      <c r="D2848" t="s">
        <v>7362</v>
      </c>
      <c r="E2848">
        <v>1</v>
      </c>
      <c r="F2848" t="str">
        <f t="shared" si="177"/>
        <v>ago</v>
      </c>
      <c r="G2848">
        <v>20</v>
      </c>
      <c r="H2848">
        <v>23</v>
      </c>
      <c r="I2848" t="str">
        <f t="shared" si="176"/>
        <v>1-ago-2023</v>
      </c>
      <c r="K2848" s="49">
        <f t="shared" si="178"/>
        <v>45139</v>
      </c>
      <c r="M2848" t="b">
        <f t="shared" si="179"/>
        <v>1</v>
      </c>
    </row>
    <row r="2849" spans="1:13" x14ac:dyDescent="0.3">
      <c r="A2849" s="49">
        <v>45261</v>
      </c>
      <c r="D2849" t="s">
        <v>7362</v>
      </c>
      <c r="E2849">
        <v>1</v>
      </c>
      <c r="F2849" t="str">
        <f t="shared" si="177"/>
        <v>ago</v>
      </c>
      <c r="G2849">
        <v>20</v>
      </c>
      <c r="H2849">
        <v>23</v>
      </c>
      <c r="I2849" t="str">
        <f t="shared" si="176"/>
        <v>1-ago-2023</v>
      </c>
      <c r="K2849" s="49">
        <f t="shared" si="178"/>
        <v>45139</v>
      </c>
      <c r="M2849" t="b">
        <f t="shared" si="179"/>
        <v>1</v>
      </c>
    </row>
    <row r="2850" spans="1:13" x14ac:dyDescent="0.3">
      <c r="A2850" s="49">
        <v>45261</v>
      </c>
      <c r="D2850" t="s">
        <v>7362</v>
      </c>
      <c r="E2850">
        <v>1</v>
      </c>
      <c r="F2850" t="str">
        <f t="shared" si="177"/>
        <v>ago</v>
      </c>
      <c r="G2850">
        <v>20</v>
      </c>
      <c r="H2850">
        <v>23</v>
      </c>
      <c r="I2850" t="str">
        <f t="shared" si="176"/>
        <v>1-ago-2023</v>
      </c>
      <c r="K2850" s="49">
        <f t="shared" si="178"/>
        <v>45139</v>
      </c>
      <c r="M2850" t="b">
        <f t="shared" si="179"/>
        <v>1</v>
      </c>
    </row>
    <row r="2851" spans="1:13" x14ac:dyDescent="0.3">
      <c r="A2851" s="49">
        <v>45261</v>
      </c>
      <c r="D2851" t="s">
        <v>7362</v>
      </c>
      <c r="E2851">
        <v>1</v>
      </c>
      <c r="F2851" t="str">
        <f t="shared" si="177"/>
        <v>ago</v>
      </c>
      <c r="G2851">
        <v>20</v>
      </c>
      <c r="H2851">
        <v>23</v>
      </c>
      <c r="I2851" t="str">
        <f t="shared" si="176"/>
        <v>1-ago-2023</v>
      </c>
      <c r="K2851" s="49">
        <f t="shared" si="178"/>
        <v>45139</v>
      </c>
      <c r="M2851" t="b">
        <f t="shared" si="179"/>
        <v>1</v>
      </c>
    </row>
    <row r="2852" spans="1:13" x14ac:dyDescent="0.3">
      <c r="A2852" s="49">
        <v>45261</v>
      </c>
      <c r="D2852" t="s">
        <v>7362</v>
      </c>
      <c r="E2852">
        <v>1</v>
      </c>
      <c r="F2852" t="str">
        <f t="shared" si="177"/>
        <v>ago</v>
      </c>
      <c r="G2852">
        <v>20</v>
      </c>
      <c r="H2852">
        <v>23</v>
      </c>
      <c r="I2852" t="str">
        <f t="shared" si="176"/>
        <v>1-ago-2023</v>
      </c>
      <c r="K2852" s="49">
        <f t="shared" si="178"/>
        <v>45139</v>
      </c>
      <c r="M2852" t="b">
        <f t="shared" si="179"/>
        <v>1</v>
      </c>
    </row>
    <row r="2853" spans="1:13" x14ac:dyDescent="0.3">
      <c r="A2853" s="49">
        <v>45261</v>
      </c>
      <c r="D2853" t="s">
        <v>7362</v>
      </c>
      <c r="E2853">
        <v>1</v>
      </c>
      <c r="F2853" t="str">
        <f t="shared" si="177"/>
        <v>ago</v>
      </c>
      <c r="G2853">
        <v>20</v>
      </c>
      <c r="H2853">
        <v>23</v>
      </c>
      <c r="I2853" t="str">
        <f t="shared" si="176"/>
        <v>1-ago-2023</v>
      </c>
      <c r="K2853" s="49">
        <f t="shared" si="178"/>
        <v>45139</v>
      </c>
      <c r="M2853" t="b">
        <f t="shared" si="179"/>
        <v>1</v>
      </c>
    </row>
    <row r="2854" spans="1:13" x14ac:dyDescent="0.3">
      <c r="A2854" s="49">
        <v>45261</v>
      </c>
      <c r="D2854" t="s">
        <v>7362</v>
      </c>
      <c r="E2854">
        <v>1</v>
      </c>
      <c r="F2854" t="str">
        <f t="shared" si="177"/>
        <v>ago</v>
      </c>
      <c r="G2854">
        <v>20</v>
      </c>
      <c r="H2854">
        <v>23</v>
      </c>
      <c r="I2854" t="str">
        <f t="shared" si="176"/>
        <v>1-ago-2023</v>
      </c>
      <c r="K2854" s="49">
        <f t="shared" si="178"/>
        <v>45139</v>
      </c>
      <c r="M2854" t="b">
        <f t="shared" si="179"/>
        <v>1</v>
      </c>
    </row>
    <row r="2855" spans="1:13" x14ac:dyDescent="0.3">
      <c r="A2855" s="49">
        <v>45261</v>
      </c>
      <c r="D2855" t="s">
        <v>7355</v>
      </c>
      <c r="E2855">
        <v>1</v>
      </c>
      <c r="F2855" t="str">
        <f t="shared" si="177"/>
        <v>sep</v>
      </c>
      <c r="G2855">
        <v>20</v>
      </c>
      <c r="H2855">
        <v>23</v>
      </c>
      <c r="I2855" t="str">
        <f t="shared" si="176"/>
        <v>1-sep-2023</v>
      </c>
      <c r="K2855" s="49">
        <f t="shared" si="178"/>
        <v>45170</v>
      </c>
      <c r="M2855" t="b">
        <f t="shared" si="179"/>
        <v>1</v>
      </c>
    </row>
    <row r="2856" spans="1:13" x14ac:dyDescent="0.3">
      <c r="A2856" s="49">
        <v>45261</v>
      </c>
      <c r="D2856" t="s">
        <v>7366</v>
      </c>
      <c r="E2856">
        <v>1</v>
      </c>
      <c r="F2856" t="str">
        <f t="shared" si="177"/>
        <v>dic</v>
      </c>
      <c r="G2856">
        <v>20</v>
      </c>
      <c r="H2856">
        <v>20</v>
      </c>
      <c r="I2856" t="str">
        <f t="shared" si="176"/>
        <v>1-dic-2020</v>
      </c>
      <c r="K2856" s="49">
        <f t="shared" si="178"/>
        <v>44166</v>
      </c>
      <c r="M2856" t="b">
        <f t="shared" si="179"/>
        <v>1</v>
      </c>
    </row>
    <row r="2857" spans="1:13" x14ac:dyDescent="0.3">
      <c r="A2857" s="49">
        <v>45261</v>
      </c>
      <c r="D2857" t="s">
        <v>7355</v>
      </c>
      <c r="E2857">
        <v>1</v>
      </c>
      <c r="F2857" t="str">
        <f t="shared" si="177"/>
        <v>sep</v>
      </c>
      <c r="G2857">
        <v>20</v>
      </c>
      <c r="H2857">
        <v>23</v>
      </c>
      <c r="I2857" t="str">
        <f t="shared" si="176"/>
        <v>1-sep-2023</v>
      </c>
      <c r="K2857" s="49">
        <f t="shared" si="178"/>
        <v>45170</v>
      </c>
      <c r="M2857" t="b">
        <f t="shared" si="179"/>
        <v>1</v>
      </c>
    </row>
    <row r="2858" spans="1:13" x14ac:dyDescent="0.3">
      <c r="A2858" s="49">
        <v>45261</v>
      </c>
      <c r="D2858" t="s">
        <v>7366</v>
      </c>
      <c r="E2858">
        <v>1</v>
      </c>
      <c r="F2858" t="str">
        <f t="shared" si="177"/>
        <v>dic</v>
      </c>
      <c r="G2858">
        <v>20</v>
      </c>
      <c r="H2858">
        <v>23</v>
      </c>
      <c r="I2858" t="str">
        <f t="shared" si="176"/>
        <v>1-dic-2023</v>
      </c>
      <c r="K2858" s="49">
        <f t="shared" si="178"/>
        <v>45261</v>
      </c>
      <c r="M2858" t="b">
        <f t="shared" si="179"/>
        <v>0</v>
      </c>
    </row>
    <row r="2859" spans="1:13" x14ac:dyDescent="0.3">
      <c r="A2859" s="49">
        <v>45261</v>
      </c>
      <c r="D2859" t="s">
        <v>7366</v>
      </c>
      <c r="E2859">
        <v>1</v>
      </c>
      <c r="F2859" t="str">
        <f t="shared" si="177"/>
        <v>dic</v>
      </c>
      <c r="G2859">
        <v>20</v>
      </c>
      <c r="H2859">
        <v>23</v>
      </c>
      <c r="I2859" t="str">
        <f t="shared" si="176"/>
        <v>1-dic-2023</v>
      </c>
      <c r="K2859" s="49">
        <f t="shared" si="178"/>
        <v>45261</v>
      </c>
      <c r="M2859" t="b">
        <f t="shared" si="179"/>
        <v>0</v>
      </c>
    </row>
    <row r="2860" spans="1:13" x14ac:dyDescent="0.3">
      <c r="A2860" s="49">
        <v>45261</v>
      </c>
      <c r="D2860" t="s">
        <v>7366</v>
      </c>
      <c r="E2860">
        <v>1</v>
      </c>
      <c r="F2860" t="str">
        <f t="shared" si="177"/>
        <v>dic</v>
      </c>
      <c r="G2860">
        <v>20</v>
      </c>
      <c r="H2860">
        <v>23</v>
      </c>
      <c r="I2860" t="str">
        <f t="shared" si="176"/>
        <v>1-dic-2023</v>
      </c>
      <c r="K2860" s="49">
        <f t="shared" si="178"/>
        <v>45261</v>
      </c>
      <c r="M2860" t="b">
        <f t="shared" si="179"/>
        <v>0</v>
      </c>
    </row>
    <row r="2861" spans="1:13" x14ac:dyDescent="0.3">
      <c r="A2861" s="49">
        <v>45261</v>
      </c>
      <c r="D2861" t="s">
        <v>7360</v>
      </c>
      <c r="E2861">
        <v>1</v>
      </c>
      <c r="F2861" t="str">
        <f t="shared" si="177"/>
        <v>nov</v>
      </c>
      <c r="G2861">
        <v>20</v>
      </c>
      <c r="H2861">
        <v>21</v>
      </c>
      <c r="I2861" t="str">
        <f t="shared" si="176"/>
        <v>1-nov-2021</v>
      </c>
      <c r="K2861" s="49">
        <f t="shared" si="178"/>
        <v>44501</v>
      </c>
      <c r="M2861" t="b">
        <f t="shared" si="179"/>
        <v>1</v>
      </c>
    </row>
    <row r="2862" spans="1:13" x14ac:dyDescent="0.3">
      <c r="A2862" s="49">
        <v>45261</v>
      </c>
      <c r="D2862" t="s">
        <v>7360</v>
      </c>
      <c r="E2862">
        <v>1</v>
      </c>
      <c r="F2862" t="str">
        <f t="shared" si="177"/>
        <v>nov</v>
      </c>
      <c r="G2862">
        <v>20</v>
      </c>
      <c r="H2862">
        <v>21</v>
      </c>
      <c r="I2862" t="str">
        <f t="shared" si="176"/>
        <v>1-nov-2021</v>
      </c>
      <c r="K2862" s="49">
        <f t="shared" si="178"/>
        <v>44501</v>
      </c>
      <c r="M2862" t="b">
        <f t="shared" si="179"/>
        <v>1</v>
      </c>
    </row>
    <row r="2863" spans="1:13" x14ac:dyDescent="0.3">
      <c r="A2863" s="49">
        <v>45261</v>
      </c>
      <c r="D2863" t="s">
        <v>7366</v>
      </c>
      <c r="E2863">
        <v>1</v>
      </c>
      <c r="F2863" t="str">
        <f t="shared" si="177"/>
        <v>dic</v>
      </c>
      <c r="G2863">
        <v>20</v>
      </c>
      <c r="H2863">
        <v>23</v>
      </c>
      <c r="I2863" t="str">
        <f t="shared" si="176"/>
        <v>1-dic-2023</v>
      </c>
      <c r="K2863" s="49">
        <f t="shared" si="178"/>
        <v>45261</v>
      </c>
      <c r="M2863" t="b">
        <f t="shared" si="179"/>
        <v>0</v>
      </c>
    </row>
    <row r="2864" spans="1:13" x14ac:dyDescent="0.3">
      <c r="A2864" s="49">
        <v>45261</v>
      </c>
      <c r="D2864" t="s">
        <v>7368</v>
      </c>
      <c r="E2864">
        <v>1</v>
      </c>
      <c r="F2864" t="str">
        <f t="shared" si="177"/>
        <v>mar</v>
      </c>
      <c r="G2864">
        <v>20</v>
      </c>
      <c r="H2864">
        <v>23</v>
      </c>
      <c r="I2864" t="str">
        <f t="shared" si="176"/>
        <v>1-mar-2023</v>
      </c>
      <c r="K2864" s="49">
        <f t="shared" si="178"/>
        <v>44986</v>
      </c>
      <c r="M2864" t="b">
        <f t="shared" si="179"/>
        <v>1</v>
      </c>
    </row>
    <row r="2865" spans="1:13" x14ac:dyDescent="0.3">
      <c r="A2865" s="49">
        <v>45261</v>
      </c>
      <c r="D2865" t="s">
        <v>7366</v>
      </c>
      <c r="E2865">
        <v>1</v>
      </c>
      <c r="F2865" t="str">
        <f t="shared" si="177"/>
        <v>dic</v>
      </c>
      <c r="G2865">
        <v>20</v>
      </c>
      <c r="H2865">
        <v>23</v>
      </c>
      <c r="I2865" t="str">
        <f t="shared" si="176"/>
        <v>1-dic-2023</v>
      </c>
      <c r="K2865" s="49">
        <f t="shared" si="178"/>
        <v>45261</v>
      </c>
      <c r="M2865" t="b">
        <f t="shared" si="179"/>
        <v>0</v>
      </c>
    </row>
    <row r="2866" spans="1:13" x14ac:dyDescent="0.3">
      <c r="A2866" s="49">
        <v>45261</v>
      </c>
      <c r="D2866" t="s">
        <v>7367</v>
      </c>
      <c r="E2866">
        <v>1</v>
      </c>
      <c r="F2866" t="str">
        <f t="shared" si="177"/>
        <v>jun</v>
      </c>
      <c r="G2866">
        <v>20</v>
      </c>
      <c r="H2866">
        <v>23</v>
      </c>
      <c r="I2866" t="str">
        <f t="shared" si="176"/>
        <v>1-jun-2023</v>
      </c>
      <c r="K2866" s="49">
        <f t="shared" si="178"/>
        <v>45078</v>
      </c>
      <c r="M2866" t="b">
        <f t="shared" si="179"/>
        <v>1</v>
      </c>
    </row>
    <row r="2867" spans="1:13" x14ac:dyDescent="0.3">
      <c r="A2867" s="49">
        <v>45261</v>
      </c>
      <c r="D2867" t="s">
        <v>7369</v>
      </c>
      <c r="E2867">
        <v>1</v>
      </c>
      <c r="F2867" t="str">
        <f t="shared" si="177"/>
        <v>abr</v>
      </c>
      <c r="G2867">
        <v>20</v>
      </c>
      <c r="H2867">
        <v>23</v>
      </c>
      <c r="I2867" t="str">
        <f t="shared" si="176"/>
        <v>1-abr-2023</v>
      </c>
      <c r="K2867" s="49">
        <f t="shared" si="178"/>
        <v>45017</v>
      </c>
      <c r="M2867" t="b">
        <f t="shared" si="179"/>
        <v>1</v>
      </c>
    </row>
    <row r="2868" spans="1:13" x14ac:dyDescent="0.3">
      <c r="A2868" s="49">
        <v>45261</v>
      </c>
      <c r="D2868" t="s">
        <v>7367</v>
      </c>
      <c r="E2868">
        <v>1</v>
      </c>
      <c r="F2868" t="str">
        <f t="shared" si="177"/>
        <v>jun</v>
      </c>
      <c r="G2868">
        <v>20</v>
      </c>
      <c r="H2868">
        <v>22</v>
      </c>
      <c r="I2868" t="str">
        <f t="shared" si="176"/>
        <v>1-jun-2022</v>
      </c>
      <c r="K2868" s="49">
        <f t="shared" si="178"/>
        <v>44713</v>
      </c>
      <c r="M2868" t="b">
        <f t="shared" si="179"/>
        <v>1</v>
      </c>
    </row>
    <row r="2869" spans="1:13" x14ac:dyDescent="0.3">
      <c r="A2869" s="49">
        <v>45261</v>
      </c>
      <c r="D2869" t="s">
        <v>7366</v>
      </c>
      <c r="E2869">
        <v>1</v>
      </c>
      <c r="F2869" t="str">
        <f t="shared" si="177"/>
        <v>dic</v>
      </c>
      <c r="G2869">
        <v>20</v>
      </c>
      <c r="H2869">
        <v>21</v>
      </c>
      <c r="I2869" t="str">
        <f t="shared" si="176"/>
        <v>1-dic-2021</v>
      </c>
      <c r="K2869" s="49">
        <f t="shared" si="178"/>
        <v>44531</v>
      </c>
      <c r="M2869" t="b">
        <f t="shared" si="179"/>
        <v>1</v>
      </c>
    </row>
    <row r="2870" spans="1:13" x14ac:dyDescent="0.3">
      <c r="A2870" s="49">
        <v>45261</v>
      </c>
      <c r="D2870" t="s">
        <v>7366</v>
      </c>
      <c r="E2870">
        <v>1</v>
      </c>
      <c r="F2870" t="str">
        <f t="shared" si="177"/>
        <v>dic</v>
      </c>
      <c r="G2870">
        <v>20</v>
      </c>
      <c r="H2870">
        <v>22</v>
      </c>
      <c r="I2870" t="str">
        <f t="shared" si="176"/>
        <v>1-dic-2022</v>
      </c>
      <c r="K2870" s="49">
        <f t="shared" si="178"/>
        <v>44896</v>
      </c>
      <c r="M2870" t="b">
        <f t="shared" si="179"/>
        <v>1</v>
      </c>
    </row>
    <row r="2871" spans="1:13" x14ac:dyDescent="0.3">
      <c r="A2871" s="49">
        <v>45261</v>
      </c>
      <c r="D2871" t="s">
        <v>7368</v>
      </c>
      <c r="E2871">
        <v>1</v>
      </c>
      <c r="F2871" t="str">
        <f t="shared" si="177"/>
        <v>mar</v>
      </c>
      <c r="G2871">
        <v>20</v>
      </c>
      <c r="H2871">
        <v>24</v>
      </c>
      <c r="I2871" t="str">
        <f t="shared" si="176"/>
        <v>1-mar-2024</v>
      </c>
      <c r="K2871" s="49">
        <f t="shared" si="178"/>
        <v>45352</v>
      </c>
      <c r="M2871" t="b">
        <f t="shared" si="179"/>
        <v>0</v>
      </c>
    </row>
    <row r="2872" spans="1:13" x14ac:dyDescent="0.3">
      <c r="A2872" s="49">
        <v>45261</v>
      </c>
      <c r="D2872" t="s">
        <v>7367</v>
      </c>
      <c r="E2872">
        <v>1</v>
      </c>
      <c r="F2872" t="str">
        <f t="shared" si="177"/>
        <v>jun</v>
      </c>
      <c r="G2872">
        <v>20</v>
      </c>
      <c r="H2872">
        <v>22</v>
      </c>
      <c r="I2872" t="str">
        <f t="shared" si="176"/>
        <v>1-jun-2022</v>
      </c>
      <c r="K2872" s="49">
        <f t="shared" si="178"/>
        <v>44713</v>
      </c>
      <c r="M2872" t="b">
        <f t="shared" si="179"/>
        <v>1</v>
      </c>
    </row>
    <row r="2873" spans="1:13" x14ac:dyDescent="0.3">
      <c r="A2873" s="49">
        <v>45261</v>
      </c>
      <c r="D2873" t="s">
        <v>7362</v>
      </c>
      <c r="E2873">
        <v>1</v>
      </c>
      <c r="F2873" t="str">
        <f t="shared" si="177"/>
        <v>ago</v>
      </c>
      <c r="G2873">
        <v>20</v>
      </c>
      <c r="H2873">
        <v>24</v>
      </c>
      <c r="I2873" t="str">
        <f t="shared" si="176"/>
        <v>1-ago-2024</v>
      </c>
      <c r="K2873" s="49">
        <f t="shared" si="178"/>
        <v>45505</v>
      </c>
      <c r="M2873" t="b">
        <f t="shared" si="179"/>
        <v>0</v>
      </c>
    </row>
    <row r="2874" spans="1:13" x14ac:dyDescent="0.3">
      <c r="A2874" s="49">
        <v>45261</v>
      </c>
      <c r="D2874" t="s">
        <v>7357</v>
      </c>
      <c r="E2874">
        <v>1</v>
      </c>
      <c r="F2874" t="str">
        <f t="shared" si="177"/>
        <v>oct</v>
      </c>
      <c r="G2874">
        <v>20</v>
      </c>
      <c r="H2874">
        <v>23</v>
      </c>
      <c r="I2874" t="str">
        <f t="shared" si="176"/>
        <v>1-oct-2023</v>
      </c>
      <c r="K2874" s="49">
        <f t="shared" si="178"/>
        <v>45200</v>
      </c>
      <c r="M2874" t="b">
        <f t="shared" si="179"/>
        <v>1</v>
      </c>
    </row>
    <row r="2875" spans="1:13" x14ac:dyDescent="0.3">
      <c r="A2875" s="49">
        <v>45261</v>
      </c>
      <c r="D2875" t="s">
        <v>7360</v>
      </c>
      <c r="E2875">
        <v>1</v>
      </c>
      <c r="F2875" t="str">
        <f t="shared" si="177"/>
        <v>nov</v>
      </c>
      <c r="G2875">
        <v>20</v>
      </c>
      <c r="H2875">
        <v>24</v>
      </c>
      <c r="I2875" t="str">
        <f t="shared" si="176"/>
        <v>1-nov-2024</v>
      </c>
      <c r="K2875" s="49">
        <f t="shared" si="178"/>
        <v>45597</v>
      </c>
      <c r="M2875" t="b">
        <f t="shared" si="179"/>
        <v>0</v>
      </c>
    </row>
    <row r="2876" spans="1:13" x14ac:dyDescent="0.3">
      <c r="A2876" s="49">
        <v>45261</v>
      </c>
      <c r="D2876" t="s">
        <v>7360</v>
      </c>
      <c r="E2876">
        <v>1</v>
      </c>
      <c r="F2876" t="str">
        <f t="shared" si="177"/>
        <v>nov</v>
      </c>
      <c r="G2876">
        <v>20</v>
      </c>
      <c r="H2876">
        <v>24</v>
      </c>
      <c r="I2876" t="str">
        <f t="shared" si="176"/>
        <v>1-nov-2024</v>
      </c>
      <c r="K2876" s="49">
        <f t="shared" si="178"/>
        <v>45597</v>
      </c>
      <c r="M2876" t="b">
        <f t="shared" si="179"/>
        <v>0</v>
      </c>
    </row>
    <row r="2877" spans="1:13" x14ac:dyDescent="0.3">
      <c r="A2877" s="49">
        <v>45261</v>
      </c>
      <c r="D2877" t="s">
        <v>7368</v>
      </c>
      <c r="E2877">
        <v>1</v>
      </c>
      <c r="F2877" t="str">
        <f t="shared" si="177"/>
        <v>mar</v>
      </c>
      <c r="G2877">
        <v>20</v>
      </c>
      <c r="H2877">
        <v>22</v>
      </c>
      <c r="I2877" t="str">
        <f t="shared" si="176"/>
        <v>1-mar-2022</v>
      </c>
      <c r="K2877" s="49">
        <f t="shared" si="178"/>
        <v>44621</v>
      </c>
      <c r="M2877" t="b">
        <f t="shared" si="179"/>
        <v>1</v>
      </c>
    </row>
    <row r="2878" spans="1:13" x14ac:dyDescent="0.3">
      <c r="A2878" s="49">
        <v>45261</v>
      </c>
      <c r="D2878" t="s">
        <v>7360</v>
      </c>
      <c r="E2878">
        <v>1</v>
      </c>
      <c r="F2878" t="str">
        <f t="shared" si="177"/>
        <v>nov</v>
      </c>
      <c r="G2878">
        <v>20</v>
      </c>
      <c r="H2878">
        <v>22</v>
      </c>
      <c r="I2878" t="str">
        <f t="shared" si="176"/>
        <v>1-nov-2022</v>
      </c>
      <c r="K2878" s="49">
        <f t="shared" si="178"/>
        <v>44866</v>
      </c>
      <c r="M2878" t="b">
        <f t="shared" si="179"/>
        <v>1</v>
      </c>
    </row>
    <row r="2879" spans="1:13" x14ac:dyDescent="0.3">
      <c r="A2879" s="49">
        <v>45261</v>
      </c>
      <c r="D2879" t="s">
        <v>7368</v>
      </c>
      <c r="E2879">
        <v>1</v>
      </c>
      <c r="F2879" t="str">
        <f t="shared" si="177"/>
        <v>mar</v>
      </c>
      <c r="G2879">
        <v>20</v>
      </c>
      <c r="H2879">
        <v>23</v>
      </c>
      <c r="I2879" t="str">
        <f t="shared" si="176"/>
        <v>1-mar-2023</v>
      </c>
      <c r="K2879" s="49">
        <f t="shared" si="178"/>
        <v>44986</v>
      </c>
      <c r="M2879" t="b">
        <f t="shared" si="179"/>
        <v>1</v>
      </c>
    </row>
    <row r="2880" spans="1:13" x14ac:dyDescent="0.3">
      <c r="A2880" s="49">
        <v>45261</v>
      </c>
      <c r="D2880" t="s">
        <v>7369</v>
      </c>
      <c r="E2880">
        <v>1</v>
      </c>
      <c r="F2880" t="str">
        <f t="shared" si="177"/>
        <v>abr</v>
      </c>
      <c r="G2880">
        <v>20</v>
      </c>
      <c r="H2880">
        <v>23</v>
      </c>
      <c r="I2880" t="str">
        <f t="shared" si="176"/>
        <v>1-abr-2023</v>
      </c>
      <c r="K2880" s="49">
        <f t="shared" si="178"/>
        <v>45017</v>
      </c>
      <c r="M2880" t="b">
        <f t="shared" si="179"/>
        <v>1</v>
      </c>
    </row>
    <row r="2881" spans="1:13" x14ac:dyDescent="0.3">
      <c r="A2881" s="49">
        <v>45261</v>
      </c>
      <c r="D2881" t="s">
        <v>7369</v>
      </c>
      <c r="E2881">
        <v>1</v>
      </c>
      <c r="F2881" t="str">
        <f t="shared" si="177"/>
        <v>abr</v>
      </c>
      <c r="G2881">
        <v>20</v>
      </c>
      <c r="H2881">
        <v>17</v>
      </c>
      <c r="I2881" t="str">
        <f t="shared" ref="I2881:I2942" si="180">_xlfn.CONCAT(E2881,"-",F2881,"-",G2881,H2881)</f>
        <v>1-abr-2017</v>
      </c>
      <c r="K2881" s="49">
        <f t="shared" si="178"/>
        <v>42826</v>
      </c>
      <c r="M2881" t="b">
        <f t="shared" si="179"/>
        <v>1</v>
      </c>
    </row>
    <row r="2882" spans="1:13" x14ac:dyDescent="0.3">
      <c r="A2882" s="49">
        <v>45261</v>
      </c>
      <c r="D2882" t="s">
        <v>7368</v>
      </c>
      <c r="E2882">
        <v>1</v>
      </c>
      <c r="F2882" t="str">
        <f t="shared" ref="F2882:F2943" si="181">LOWER(D2882)</f>
        <v>mar</v>
      </c>
      <c r="G2882">
        <v>20</v>
      </c>
      <c r="H2882">
        <v>22</v>
      </c>
      <c r="I2882" t="str">
        <f t="shared" si="180"/>
        <v>1-mar-2022</v>
      </c>
      <c r="K2882" s="49">
        <f t="shared" ref="K2882:K2943" si="182">DATEVALUE(I2882)</f>
        <v>44621</v>
      </c>
      <c r="M2882" t="b">
        <f t="shared" si="179"/>
        <v>1</v>
      </c>
    </row>
    <row r="2883" spans="1:13" x14ac:dyDescent="0.3">
      <c r="A2883" s="49">
        <v>45261</v>
      </c>
      <c r="D2883" t="s">
        <v>7355</v>
      </c>
      <c r="E2883">
        <v>1</v>
      </c>
      <c r="F2883" t="str">
        <f t="shared" si="181"/>
        <v>sep</v>
      </c>
      <c r="G2883">
        <v>20</v>
      </c>
      <c r="H2883">
        <v>23</v>
      </c>
      <c r="I2883" t="str">
        <f t="shared" si="180"/>
        <v>1-sep-2023</v>
      </c>
      <c r="K2883" s="49">
        <f t="shared" si="182"/>
        <v>45170</v>
      </c>
      <c r="M2883" t="b">
        <f t="shared" ref="M2883:M2946" si="183">K2883&lt;A2883</f>
        <v>1</v>
      </c>
    </row>
    <row r="2884" spans="1:13" x14ac:dyDescent="0.3">
      <c r="A2884" s="49">
        <v>45261</v>
      </c>
      <c r="D2884" t="s">
        <v>7355</v>
      </c>
      <c r="E2884">
        <v>1</v>
      </c>
      <c r="F2884" t="str">
        <f t="shared" si="181"/>
        <v>sep</v>
      </c>
      <c r="G2884">
        <v>20</v>
      </c>
      <c r="H2884">
        <v>22</v>
      </c>
      <c r="I2884" t="str">
        <f t="shared" si="180"/>
        <v>1-sep-2022</v>
      </c>
      <c r="K2884" s="49">
        <f t="shared" si="182"/>
        <v>44805</v>
      </c>
      <c r="M2884" t="b">
        <f t="shared" si="183"/>
        <v>1</v>
      </c>
    </row>
    <row r="2885" spans="1:13" x14ac:dyDescent="0.3">
      <c r="A2885" s="49">
        <v>45261</v>
      </c>
      <c r="D2885" t="s">
        <v>7355</v>
      </c>
      <c r="E2885">
        <v>1</v>
      </c>
      <c r="F2885" t="str">
        <f t="shared" si="181"/>
        <v>sep</v>
      </c>
      <c r="G2885">
        <v>20</v>
      </c>
      <c r="H2885">
        <v>23</v>
      </c>
      <c r="I2885" t="str">
        <f t="shared" si="180"/>
        <v>1-sep-2023</v>
      </c>
      <c r="K2885" s="49">
        <f t="shared" si="182"/>
        <v>45170</v>
      </c>
      <c r="M2885" t="b">
        <f t="shared" si="183"/>
        <v>1</v>
      </c>
    </row>
    <row r="2886" spans="1:13" x14ac:dyDescent="0.3">
      <c r="A2886" s="49">
        <v>45261</v>
      </c>
      <c r="D2886" t="s">
        <v>7355</v>
      </c>
      <c r="E2886">
        <v>1</v>
      </c>
      <c r="F2886" t="str">
        <f t="shared" si="181"/>
        <v>sep</v>
      </c>
      <c r="G2886">
        <v>20</v>
      </c>
      <c r="H2886">
        <v>23</v>
      </c>
      <c r="I2886" t="str">
        <f t="shared" si="180"/>
        <v>1-sep-2023</v>
      </c>
      <c r="K2886" s="49">
        <f t="shared" si="182"/>
        <v>45170</v>
      </c>
      <c r="M2886" t="b">
        <f t="shared" si="183"/>
        <v>1</v>
      </c>
    </row>
    <row r="2887" spans="1:13" x14ac:dyDescent="0.3">
      <c r="A2887" s="49">
        <v>45261</v>
      </c>
      <c r="D2887" t="s">
        <v>7369</v>
      </c>
      <c r="E2887">
        <v>1</v>
      </c>
      <c r="F2887" t="str">
        <f t="shared" si="181"/>
        <v>abr</v>
      </c>
      <c r="G2887">
        <v>20</v>
      </c>
      <c r="H2887">
        <v>22</v>
      </c>
      <c r="I2887" t="str">
        <f t="shared" si="180"/>
        <v>1-abr-2022</v>
      </c>
      <c r="K2887" s="49">
        <f t="shared" si="182"/>
        <v>44652</v>
      </c>
      <c r="M2887" t="b">
        <f t="shared" si="183"/>
        <v>1</v>
      </c>
    </row>
    <row r="2888" spans="1:13" x14ac:dyDescent="0.3">
      <c r="A2888" s="49">
        <v>45261</v>
      </c>
      <c r="D2888" t="s">
        <v>7369</v>
      </c>
      <c r="E2888">
        <v>1</v>
      </c>
      <c r="F2888" t="str">
        <f t="shared" si="181"/>
        <v>abr</v>
      </c>
      <c r="G2888">
        <v>20</v>
      </c>
      <c r="H2888">
        <v>23</v>
      </c>
      <c r="I2888" t="str">
        <f t="shared" si="180"/>
        <v>1-abr-2023</v>
      </c>
      <c r="K2888" s="49">
        <f t="shared" si="182"/>
        <v>45017</v>
      </c>
      <c r="M2888" t="b">
        <f t="shared" si="183"/>
        <v>1</v>
      </c>
    </row>
    <row r="2889" spans="1:13" x14ac:dyDescent="0.3">
      <c r="A2889" s="49">
        <v>45261</v>
      </c>
      <c r="D2889" t="s">
        <v>7369</v>
      </c>
      <c r="E2889">
        <v>1</v>
      </c>
      <c r="F2889" t="str">
        <f t="shared" si="181"/>
        <v>abr</v>
      </c>
      <c r="G2889">
        <v>20</v>
      </c>
      <c r="H2889">
        <v>23</v>
      </c>
      <c r="I2889" t="str">
        <f t="shared" si="180"/>
        <v>1-abr-2023</v>
      </c>
      <c r="K2889" s="49">
        <f t="shared" si="182"/>
        <v>45017</v>
      </c>
      <c r="M2889" t="b">
        <f t="shared" si="183"/>
        <v>1</v>
      </c>
    </row>
    <row r="2890" spans="1:13" x14ac:dyDescent="0.3">
      <c r="A2890" s="49">
        <v>45261</v>
      </c>
      <c r="D2890" t="s">
        <v>7367</v>
      </c>
      <c r="E2890">
        <v>1</v>
      </c>
      <c r="F2890" t="str">
        <f t="shared" si="181"/>
        <v>jun</v>
      </c>
      <c r="G2890">
        <v>20</v>
      </c>
      <c r="H2890">
        <v>15</v>
      </c>
      <c r="I2890" t="str">
        <f t="shared" si="180"/>
        <v>1-jun-2015</v>
      </c>
      <c r="K2890" s="49">
        <f t="shared" si="182"/>
        <v>42156</v>
      </c>
      <c r="M2890" t="b">
        <f t="shared" si="183"/>
        <v>1</v>
      </c>
    </row>
    <row r="2891" spans="1:13" x14ac:dyDescent="0.3">
      <c r="A2891" s="49">
        <v>45261</v>
      </c>
      <c r="D2891" t="s">
        <v>7367</v>
      </c>
      <c r="E2891">
        <v>1</v>
      </c>
      <c r="F2891" t="str">
        <f t="shared" si="181"/>
        <v>jun</v>
      </c>
      <c r="G2891">
        <v>20</v>
      </c>
      <c r="H2891">
        <v>22</v>
      </c>
      <c r="I2891" t="str">
        <f t="shared" si="180"/>
        <v>1-jun-2022</v>
      </c>
      <c r="K2891" s="49">
        <f t="shared" si="182"/>
        <v>44713</v>
      </c>
      <c r="M2891" t="b">
        <f t="shared" si="183"/>
        <v>1</v>
      </c>
    </row>
    <row r="2892" spans="1:13" x14ac:dyDescent="0.3">
      <c r="A2892" s="49">
        <v>45261</v>
      </c>
      <c r="D2892" t="s">
        <v>7360</v>
      </c>
      <c r="E2892">
        <v>1</v>
      </c>
      <c r="F2892" t="str">
        <f t="shared" si="181"/>
        <v>nov</v>
      </c>
      <c r="G2892">
        <v>20</v>
      </c>
      <c r="H2892">
        <v>22</v>
      </c>
      <c r="I2892" t="str">
        <f t="shared" si="180"/>
        <v>1-nov-2022</v>
      </c>
      <c r="K2892" s="49">
        <f t="shared" si="182"/>
        <v>44866</v>
      </c>
      <c r="M2892" t="b">
        <f t="shared" si="183"/>
        <v>1</v>
      </c>
    </row>
    <row r="2893" spans="1:13" x14ac:dyDescent="0.3">
      <c r="A2893" s="49">
        <v>45261</v>
      </c>
      <c r="D2893" t="s">
        <v>7357</v>
      </c>
      <c r="E2893">
        <v>1</v>
      </c>
      <c r="F2893" t="str">
        <f t="shared" si="181"/>
        <v>oct</v>
      </c>
      <c r="G2893">
        <v>20</v>
      </c>
      <c r="H2893">
        <v>22</v>
      </c>
      <c r="I2893" t="str">
        <f t="shared" si="180"/>
        <v>1-oct-2022</v>
      </c>
      <c r="K2893" s="49">
        <f t="shared" si="182"/>
        <v>44835</v>
      </c>
      <c r="M2893" t="b">
        <f t="shared" si="183"/>
        <v>1</v>
      </c>
    </row>
    <row r="2894" spans="1:13" x14ac:dyDescent="0.3">
      <c r="A2894" s="49">
        <v>45261</v>
      </c>
      <c r="D2894" t="s">
        <v>7368</v>
      </c>
      <c r="E2894">
        <v>1</v>
      </c>
      <c r="F2894" t="str">
        <f t="shared" si="181"/>
        <v>mar</v>
      </c>
      <c r="G2894">
        <v>20</v>
      </c>
      <c r="H2894">
        <v>19</v>
      </c>
      <c r="I2894" t="str">
        <f t="shared" si="180"/>
        <v>1-mar-2019</v>
      </c>
      <c r="K2894" s="49">
        <f t="shared" si="182"/>
        <v>43525</v>
      </c>
      <c r="M2894" t="b">
        <f t="shared" si="183"/>
        <v>1</v>
      </c>
    </row>
    <row r="2895" spans="1:13" x14ac:dyDescent="0.3">
      <c r="A2895" s="49">
        <v>45261</v>
      </c>
      <c r="D2895" t="s">
        <v>7356</v>
      </c>
      <c r="E2895">
        <v>1</v>
      </c>
      <c r="F2895" t="str">
        <f t="shared" si="181"/>
        <v>ene</v>
      </c>
      <c r="G2895">
        <v>20</v>
      </c>
      <c r="H2895">
        <v>23</v>
      </c>
      <c r="I2895" t="str">
        <f t="shared" si="180"/>
        <v>1-ene-2023</v>
      </c>
      <c r="K2895" s="49">
        <f t="shared" si="182"/>
        <v>44927</v>
      </c>
      <c r="M2895" t="b">
        <f t="shared" si="183"/>
        <v>1</v>
      </c>
    </row>
    <row r="2896" spans="1:13" x14ac:dyDescent="0.3">
      <c r="A2896" s="49">
        <v>45261</v>
      </c>
      <c r="D2896" t="s">
        <v>7362</v>
      </c>
      <c r="E2896">
        <v>1</v>
      </c>
      <c r="F2896" t="str">
        <f t="shared" si="181"/>
        <v>ago</v>
      </c>
      <c r="G2896">
        <v>20</v>
      </c>
      <c r="H2896">
        <v>22</v>
      </c>
      <c r="I2896" t="str">
        <f t="shared" si="180"/>
        <v>1-ago-2022</v>
      </c>
      <c r="K2896" s="49">
        <f t="shared" si="182"/>
        <v>44774</v>
      </c>
      <c r="M2896" t="b">
        <f t="shared" si="183"/>
        <v>1</v>
      </c>
    </row>
    <row r="2897" spans="1:13" x14ac:dyDescent="0.3">
      <c r="A2897" s="49">
        <v>45261</v>
      </c>
      <c r="D2897" t="s">
        <v>7369</v>
      </c>
      <c r="E2897">
        <v>1</v>
      </c>
      <c r="F2897" t="str">
        <f t="shared" si="181"/>
        <v>abr</v>
      </c>
      <c r="G2897">
        <v>20</v>
      </c>
      <c r="H2897">
        <v>23</v>
      </c>
      <c r="I2897" t="str">
        <f t="shared" si="180"/>
        <v>1-abr-2023</v>
      </c>
      <c r="K2897" s="49">
        <f t="shared" si="182"/>
        <v>45017</v>
      </c>
      <c r="M2897" t="b">
        <f t="shared" si="183"/>
        <v>1</v>
      </c>
    </row>
    <row r="2898" spans="1:13" x14ac:dyDescent="0.3">
      <c r="A2898" s="49">
        <v>45261</v>
      </c>
      <c r="D2898" t="s">
        <v>7363</v>
      </c>
      <c r="E2898">
        <v>1</v>
      </c>
      <c r="F2898" t="str">
        <f t="shared" si="181"/>
        <v>feb</v>
      </c>
      <c r="G2898">
        <v>20</v>
      </c>
      <c r="H2898">
        <v>21</v>
      </c>
      <c r="I2898" t="str">
        <f t="shared" si="180"/>
        <v>1-feb-2021</v>
      </c>
      <c r="K2898" s="49">
        <f t="shared" si="182"/>
        <v>44228</v>
      </c>
      <c r="M2898" t="b">
        <f t="shared" si="183"/>
        <v>1</v>
      </c>
    </row>
    <row r="2899" spans="1:13" x14ac:dyDescent="0.3">
      <c r="A2899" s="49">
        <v>45261</v>
      </c>
      <c r="D2899" t="s">
        <v>7356</v>
      </c>
      <c r="E2899">
        <v>1</v>
      </c>
      <c r="F2899" t="str">
        <f t="shared" si="181"/>
        <v>ene</v>
      </c>
      <c r="G2899">
        <v>20</v>
      </c>
      <c r="H2899">
        <v>25</v>
      </c>
      <c r="I2899" t="str">
        <f t="shared" si="180"/>
        <v>1-ene-2025</v>
      </c>
      <c r="K2899" s="49">
        <f t="shared" si="182"/>
        <v>45658</v>
      </c>
      <c r="M2899" t="b">
        <f t="shared" si="183"/>
        <v>0</v>
      </c>
    </row>
    <row r="2900" spans="1:13" x14ac:dyDescent="0.3">
      <c r="A2900" s="49">
        <v>45261</v>
      </c>
      <c r="D2900" t="s">
        <v>7359</v>
      </c>
      <c r="E2900">
        <v>1</v>
      </c>
      <c r="F2900" t="str">
        <f t="shared" si="181"/>
        <v>jul</v>
      </c>
      <c r="G2900">
        <v>20</v>
      </c>
      <c r="H2900">
        <v>22</v>
      </c>
      <c r="I2900" t="str">
        <f t="shared" si="180"/>
        <v>1-jul-2022</v>
      </c>
      <c r="K2900" s="49">
        <f t="shared" si="182"/>
        <v>44743</v>
      </c>
      <c r="M2900" t="b">
        <f t="shared" si="183"/>
        <v>1</v>
      </c>
    </row>
    <row r="2901" spans="1:13" x14ac:dyDescent="0.3">
      <c r="A2901" s="49">
        <v>45261</v>
      </c>
      <c r="D2901" t="s">
        <v>7357</v>
      </c>
      <c r="E2901">
        <v>1</v>
      </c>
      <c r="F2901" t="str">
        <f t="shared" si="181"/>
        <v>oct</v>
      </c>
      <c r="G2901">
        <v>20</v>
      </c>
      <c r="H2901">
        <v>23</v>
      </c>
      <c r="I2901" t="str">
        <f t="shared" si="180"/>
        <v>1-oct-2023</v>
      </c>
      <c r="K2901" s="49">
        <f t="shared" si="182"/>
        <v>45200</v>
      </c>
      <c r="M2901" t="b">
        <f t="shared" si="183"/>
        <v>1</v>
      </c>
    </row>
    <row r="2902" spans="1:13" x14ac:dyDescent="0.3">
      <c r="A2902" s="49">
        <v>45261</v>
      </c>
      <c r="D2902" t="s">
        <v>7366</v>
      </c>
      <c r="E2902">
        <v>1</v>
      </c>
      <c r="F2902" t="str">
        <f t="shared" si="181"/>
        <v>dic</v>
      </c>
      <c r="G2902">
        <v>20</v>
      </c>
      <c r="H2902">
        <v>23</v>
      </c>
      <c r="I2902" t="str">
        <f t="shared" si="180"/>
        <v>1-dic-2023</v>
      </c>
      <c r="K2902" s="49">
        <f t="shared" si="182"/>
        <v>45261</v>
      </c>
      <c r="M2902" t="b">
        <f t="shared" si="183"/>
        <v>0</v>
      </c>
    </row>
    <row r="2903" spans="1:13" x14ac:dyDescent="0.3">
      <c r="A2903" s="49">
        <v>45261</v>
      </c>
      <c r="D2903" t="s">
        <v>7366</v>
      </c>
      <c r="E2903">
        <v>1</v>
      </c>
      <c r="F2903" t="str">
        <f t="shared" si="181"/>
        <v>dic</v>
      </c>
      <c r="G2903">
        <v>20</v>
      </c>
      <c r="H2903">
        <v>23</v>
      </c>
      <c r="I2903" t="str">
        <f t="shared" si="180"/>
        <v>1-dic-2023</v>
      </c>
      <c r="K2903" s="49">
        <f t="shared" si="182"/>
        <v>45261</v>
      </c>
      <c r="M2903" t="b">
        <f t="shared" si="183"/>
        <v>0</v>
      </c>
    </row>
    <row r="2904" spans="1:13" x14ac:dyDescent="0.3">
      <c r="A2904" s="49">
        <v>45261</v>
      </c>
      <c r="D2904" t="s">
        <v>7362</v>
      </c>
      <c r="E2904">
        <v>1</v>
      </c>
      <c r="F2904" t="str">
        <f t="shared" si="181"/>
        <v>ago</v>
      </c>
      <c r="G2904">
        <v>20</v>
      </c>
      <c r="H2904">
        <v>23</v>
      </c>
      <c r="I2904" t="str">
        <f t="shared" si="180"/>
        <v>1-ago-2023</v>
      </c>
      <c r="K2904" s="49">
        <f t="shared" si="182"/>
        <v>45139</v>
      </c>
      <c r="M2904" t="b">
        <f t="shared" si="183"/>
        <v>1</v>
      </c>
    </row>
    <row r="2905" spans="1:13" x14ac:dyDescent="0.3">
      <c r="A2905" s="49">
        <v>45261</v>
      </c>
      <c r="D2905" t="s">
        <v>7362</v>
      </c>
      <c r="E2905">
        <v>1</v>
      </c>
      <c r="F2905" t="str">
        <f t="shared" si="181"/>
        <v>ago</v>
      </c>
      <c r="G2905">
        <v>20</v>
      </c>
      <c r="H2905">
        <v>23</v>
      </c>
      <c r="I2905" t="str">
        <f t="shared" si="180"/>
        <v>1-ago-2023</v>
      </c>
      <c r="K2905" s="49">
        <f t="shared" si="182"/>
        <v>45139</v>
      </c>
      <c r="M2905" t="b">
        <f t="shared" si="183"/>
        <v>1</v>
      </c>
    </row>
    <row r="2906" spans="1:13" x14ac:dyDescent="0.3">
      <c r="A2906" s="49">
        <v>45261</v>
      </c>
      <c r="D2906" t="s">
        <v>7369</v>
      </c>
      <c r="E2906">
        <v>1</v>
      </c>
      <c r="F2906" t="str">
        <f t="shared" si="181"/>
        <v>abr</v>
      </c>
      <c r="G2906">
        <v>20</v>
      </c>
      <c r="H2906">
        <v>22</v>
      </c>
      <c r="I2906" t="str">
        <f t="shared" si="180"/>
        <v>1-abr-2022</v>
      </c>
      <c r="K2906" s="49">
        <f t="shared" si="182"/>
        <v>44652</v>
      </c>
      <c r="M2906" t="b">
        <f t="shared" si="183"/>
        <v>1</v>
      </c>
    </row>
    <row r="2907" spans="1:13" x14ac:dyDescent="0.3">
      <c r="A2907" s="49">
        <v>45261</v>
      </c>
      <c r="D2907" t="s">
        <v>7355</v>
      </c>
      <c r="E2907">
        <v>1</v>
      </c>
      <c r="F2907" t="str">
        <f t="shared" si="181"/>
        <v>sep</v>
      </c>
      <c r="G2907">
        <v>20</v>
      </c>
      <c r="H2907">
        <v>23</v>
      </c>
      <c r="I2907" t="str">
        <f t="shared" si="180"/>
        <v>1-sep-2023</v>
      </c>
      <c r="K2907" s="49">
        <f t="shared" si="182"/>
        <v>45170</v>
      </c>
      <c r="M2907" t="b">
        <f t="shared" si="183"/>
        <v>1</v>
      </c>
    </row>
    <row r="2908" spans="1:13" x14ac:dyDescent="0.3">
      <c r="A2908" s="49">
        <v>45261</v>
      </c>
      <c r="D2908" t="s">
        <v>7367</v>
      </c>
      <c r="E2908">
        <v>1</v>
      </c>
      <c r="F2908" t="str">
        <f t="shared" si="181"/>
        <v>jun</v>
      </c>
      <c r="G2908">
        <v>20</v>
      </c>
      <c r="H2908">
        <v>22</v>
      </c>
      <c r="I2908" t="str">
        <f t="shared" si="180"/>
        <v>1-jun-2022</v>
      </c>
      <c r="K2908" s="49">
        <f t="shared" si="182"/>
        <v>44713</v>
      </c>
      <c r="M2908" t="b">
        <f t="shared" si="183"/>
        <v>1</v>
      </c>
    </row>
    <row r="2909" spans="1:13" x14ac:dyDescent="0.3">
      <c r="A2909" s="49">
        <v>45261</v>
      </c>
      <c r="D2909" t="s">
        <v>7367</v>
      </c>
      <c r="E2909">
        <v>1</v>
      </c>
      <c r="F2909" t="str">
        <f t="shared" si="181"/>
        <v>jun</v>
      </c>
      <c r="G2909">
        <v>20</v>
      </c>
      <c r="H2909">
        <v>23</v>
      </c>
      <c r="I2909" t="str">
        <f t="shared" si="180"/>
        <v>1-jun-2023</v>
      </c>
      <c r="K2909" s="49">
        <f t="shared" si="182"/>
        <v>45078</v>
      </c>
      <c r="M2909" t="b">
        <f t="shared" si="183"/>
        <v>1</v>
      </c>
    </row>
    <row r="2910" spans="1:13" x14ac:dyDescent="0.3">
      <c r="A2910" s="49">
        <v>45261</v>
      </c>
      <c r="D2910" t="s">
        <v>7366</v>
      </c>
      <c r="E2910">
        <v>1</v>
      </c>
      <c r="F2910" t="str">
        <f t="shared" si="181"/>
        <v>dic</v>
      </c>
      <c r="G2910">
        <v>20</v>
      </c>
      <c r="H2910">
        <v>23</v>
      </c>
      <c r="I2910" t="str">
        <f t="shared" si="180"/>
        <v>1-dic-2023</v>
      </c>
      <c r="K2910" s="49">
        <f t="shared" si="182"/>
        <v>45261</v>
      </c>
      <c r="M2910" t="b">
        <f t="shared" si="183"/>
        <v>0</v>
      </c>
    </row>
    <row r="2911" spans="1:13" x14ac:dyDescent="0.3">
      <c r="A2911" s="49">
        <v>45261</v>
      </c>
      <c r="D2911" t="s">
        <v>7357</v>
      </c>
      <c r="E2911">
        <v>1</v>
      </c>
      <c r="F2911" t="str">
        <f t="shared" si="181"/>
        <v>oct</v>
      </c>
      <c r="G2911">
        <v>20</v>
      </c>
      <c r="H2911">
        <v>23</v>
      </c>
      <c r="I2911" t="str">
        <f t="shared" si="180"/>
        <v>1-oct-2023</v>
      </c>
      <c r="K2911" s="49">
        <f t="shared" si="182"/>
        <v>45200</v>
      </c>
      <c r="M2911" t="b">
        <f t="shared" si="183"/>
        <v>1</v>
      </c>
    </row>
    <row r="2912" spans="1:13" x14ac:dyDescent="0.3">
      <c r="A2912" s="49">
        <v>45261</v>
      </c>
      <c r="D2912" t="s">
        <v>7362</v>
      </c>
      <c r="E2912">
        <v>1</v>
      </c>
      <c r="F2912" t="str">
        <f t="shared" si="181"/>
        <v>ago</v>
      </c>
      <c r="G2912">
        <v>20</v>
      </c>
      <c r="H2912">
        <v>19</v>
      </c>
      <c r="I2912" t="str">
        <f t="shared" si="180"/>
        <v>1-ago-2019</v>
      </c>
      <c r="K2912" s="49">
        <f t="shared" si="182"/>
        <v>43678</v>
      </c>
      <c r="M2912" t="b">
        <f t="shared" si="183"/>
        <v>1</v>
      </c>
    </row>
    <row r="2913" spans="1:13" x14ac:dyDescent="0.3">
      <c r="A2913" s="49">
        <v>45261</v>
      </c>
      <c r="D2913" t="s">
        <v>7369</v>
      </c>
      <c r="E2913">
        <v>1</v>
      </c>
      <c r="F2913" t="str">
        <f t="shared" si="181"/>
        <v>abr</v>
      </c>
      <c r="G2913">
        <v>20</v>
      </c>
      <c r="H2913">
        <v>23</v>
      </c>
      <c r="I2913" t="str">
        <f t="shared" si="180"/>
        <v>1-abr-2023</v>
      </c>
      <c r="K2913" s="49">
        <f t="shared" si="182"/>
        <v>45017</v>
      </c>
      <c r="M2913" t="b">
        <f t="shared" si="183"/>
        <v>1</v>
      </c>
    </row>
    <row r="2914" spans="1:13" x14ac:dyDescent="0.3">
      <c r="A2914" s="49">
        <v>45261</v>
      </c>
      <c r="D2914" t="s">
        <v>7369</v>
      </c>
      <c r="E2914">
        <v>1</v>
      </c>
      <c r="F2914" t="str">
        <f t="shared" si="181"/>
        <v>abr</v>
      </c>
      <c r="G2914">
        <v>20</v>
      </c>
      <c r="H2914">
        <v>23</v>
      </c>
      <c r="I2914" t="str">
        <f t="shared" si="180"/>
        <v>1-abr-2023</v>
      </c>
      <c r="K2914" s="49">
        <f t="shared" si="182"/>
        <v>45017</v>
      </c>
      <c r="M2914" t="b">
        <f t="shared" si="183"/>
        <v>1</v>
      </c>
    </row>
    <row r="2915" spans="1:13" x14ac:dyDescent="0.3">
      <c r="A2915" s="49">
        <v>45261</v>
      </c>
      <c r="D2915" t="s">
        <v>7369</v>
      </c>
      <c r="E2915">
        <v>1</v>
      </c>
      <c r="F2915" t="str">
        <f t="shared" si="181"/>
        <v>abr</v>
      </c>
      <c r="G2915">
        <v>20</v>
      </c>
      <c r="H2915">
        <v>23</v>
      </c>
      <c r="I2915" t="str">
        <f t="shared" si="180"/>
        <v>1-abr-2023</v>
      </c>
      <c r="K2915" s="49">
        <f t="shared" si="182"/>
        <v>45017</v>
      </c>
      <c r="M2915" t="b">
        <f t="shared" si="183"/>
        <v>1</v>
      </c>
    </row>
    <row r="2916" spans="1:13" x14ac:dyDescent="0.3">
      <c r="A2916" s="49">
        <v>45261</v>
      </c>
      <c r="D2916" t="s">
        <v>7369</v>
      </c>
      <c r="E2916">
        <v>1</v>
      </c>
      <c r="F2916" t="str">
        <f t="shared" si="181"/>
        <v>abr</v>
      </c>
      <c r="G2916">
        <v>20</v>
      </c>
      <c r="H2916">
        <v>23</v>
      </c>
      <c r="I2916" t="str">
        <f t="shared" si="180"/>
        <v>1-abr-2023</v>
      </c>
      <c r="K2916" s="49">
        <f t="shared" si="182"/>
        <v>45017</v>
      </c>
      <c r="M2916" t="b">
        <f t="shared" si="183"/>
        <v>1</v>
      </c>
    </row>
    <row r="2917" spans="1:13" x14ac:dyDescent="0.3">
      <c r="A2917" s="49">
        <v>45261</v>
      </c>
      <c r="D2917" t="s">
        <v>7369</v>
      </c>
      <c r="E2917">
        <v>1</v>
      </c>
      <c r="F2917" t="str">
        <f t="shared" si="181"/>
        <v>abr</v>
      </c>
      <c r="G2917">
        <v>20</v>
      </c>
      <c r="H2917">
        <v>23</v>
      </c>
      <c r="I2917" t="str">
        <f t="shared" si="180"/>
        <v>1-abr-2023</v>
      </c>
      <c r="K2917" s="49">
        <f t="shared" si="182"/>
        <v>45017</v>
      </c>
      <c r="M2917" t="b">
        <f t="shared" si="183"/>
        <v>1</v>
      </c>
    </row>
    <row r="2918" spans="1:13" x14ac:dyDescent="0.3">
      <c r="A2918" s="49">
        <v>45261</v>
      </c>
      <c r="D2918" t="s">
        <v>7369</v>
      </c>
      <c r="E2918">
        <v>1</v>
      </c>
      <c r="F2918" t="str">
        <f t="shared" si="181"/>
        <v>abr</v>
      </c>
      <c r="G2918">
        <v>20</v>
      </c>
      <c r="H2918">
        <v>23</v>
      </c>
      <c r="I2918" t="str">
        <f t="shared" si="180"/>
        <v>1-abr-2023</v>
      </c>
      <c r="K2918" s="49">
        <f t="shared" si="182"/>
        <v>45017</v>
      </c>
      <c r="M2918" t="b">
        <f t="shared" si="183"/>
        <v>1</v>
      </c>
    </row>
    <row r="2919" spans="1:13" x14ac:dyDescent="0.3">
      <c r="A2919" s="49">
        <v>45261</v>
      </c>
      <c r="D2919" t="s">
        <v>7355</v>
      </c>
      <c r="E2919">
        <v>1</v>
      </c>
      <c r="F2919" t="str">
        <f t="shared" si="181"/>
        <v>sep</v>
      </c>
      <c r="G2919">
        <v>20</v>
      </c>
      <c r="H2919">
        <v>22</v>
      </c>
      <c r="I2919" t="str">
        <f t="shared" si="180"/>
        <v>1-sep-2022</v>
      </c>
      <c r="K2919" s="49">
        <f t="shared" si="182"/>
        <v>44805</v>
      </c>
      <c r="M2919" t="b">
        <f t="shared" si="183"/>
        <v>1</v>
      </c>
    </row>
    <row r="2920" spans="1:13" x14ac:dyDescent="0.3">
      <c r="A2920" s="49">
        <v>45261</v>
      </c>
      <c r="D2920" t="s">
        <v>7355</v>
      </c>
      <c r="E2920">
        <v>1</v>
      </c>
      <c r="F2920" t="str">
        <f t="shared" si="181"/>
        <v>sep</v>
      </c>
      <c r="G2920">
        <v>20</v>
      </c>
      <c r="H2920">
        <v>22</v>
      </c>
      <c r="I2920" t="str">
        <f t="shared" si="180"/>
        <v>1-sep-2022</v>
      </c>
      <c r="K2920" s="49">
        <f t="shared" si="182"/>
        <v>44805</v>
      </c>
      <c r="M2920" t="b">
        <f t="shared" si="183"/>
        <v>1</v>
      </c>
    </row>
    <row r="2921" spans="1:13" x14ac:dyDescent="0.3">
      <c r="A2921" s="49">
        <v>45261</v>
      </c>
      <c r="D2921" t="s">
        <v>7367</v>
      </c>
      <c r="E2921">
        <v>1</v>
      </c>
      <c r="F2921" t="str">
        <f t="shared" si="181"/>
        <v>jun</v>
      </c>
      <c r="G2921">
        <v>20</v>
      </c>
      <c r="H2921">
        <v>17</v>
      </c>
      <c r="I2921" t="str">
        <f t="shared" si="180"/>
        <v>1-jun-2017</v>
      </c>
      <c r="K2921" s="49">
        <f t="shared" si="182"/>
        <v>42887</v>
      </c>
      <c r="M2921" t="b">
        <f t="shared" si="183"/>
        <v>1</v>
      </c>
    </row>
    <row r="2922" spans="1:13" x14ac:dyDescent="0.3">
      <c r="A2922" s="49">
        <v>45261</v>
      </c>
      <c r="D2922" t="s">
        <v>7367</v>
      </c>
      <c r="E2922">
        <v>1</v>
      </c>
      <c r="F2922" t="str">
        <f t="shared" si="181"/>
        <v>jun</v>
      </c>
      <c r="G2922">
        <v>20</v>
      </c>
      <c r="H2922">
        <v>17</v>
      </c>
      <c r="I2922" t="str">
        <f t="shared" si="180"/>
        <v>1-jun-2017</v>
      </c>
      <c r="K2922" s="49">
        <f t="shared" si="182"/>
        <v>42887</v>
      </c>
      <c r="M2922" t="b">
        <f t="shared" si="183"/>
        <v>1</v>
      </c>
    </row>
    <row r="2923" spans="1:13" x14ac:dyDescent="0.3">
      <c r="A2923" s="49">
        <v>45261</v>
      </c>
      <c r="D2923" t="s">
        <v>7366</v>
      </c>
      <c r="E2923">
        <v>1</v>
      </c>
      <c r="F2923" t="str">
        <f t="shared" si="181"/>
        <v>dic</v>
      </c>
      <c r="G2923">
        <v>20</v>
      </c>
      <c r="H2923">
        <v>22</v>
      </c>
      <c r="I2923" t="str">
        <f t="shared" si="180"/>
        <v>1-dic-2022</v>
      </c>
      <c r="K2923" s="49">
        <f t="shared" si="182"/>
        <v>44896</v>
      </c>
      <c r="M2923" t="b">
        <f t="shared" si="183"/>
        <v>1</v>
      </c>
    </row>
    <row r="2924" spans="1:13" x14ac:dyDescent="0.3">
      <c r="A2924" s="49">
        <v>45261</v>
      </c>
      <c r="D2924" t="s">
        <v>7363</v>
      </c>
      <c r="E2924">
        <v>1</v>
      </c>
      <c r="F2924" t="str">
        <f t="shared" si="181"/>
        <v>feb</v>
      </c>
      <c r="G2924">
        <v>20</v>
      </c>
      <c r="H2924">
        <v>25</v>
      </c>
      <c r="I2924" t="str">
        <f t="shared" si="180"/>
        <v>1-feb-2025</v>
      </c>
      <c r="K2924" s="49">
        <f t="shared" si="182"/>
        <v>45689</v>
      </c>
      <c r="M2924" t="b">
        <f t="shared" si="183"/>
        <v>0</v>
      </c>
    </row>
    <row r="2925" spans="1:13" x14ac:dyDescent="0.3">
      <c r="A2925" s="49">
        <v>45261</v>
      </c>
      <c r="D2925" t="s">
        <v>7357</v>
      </c>
      <c r="E2925">
        <v>1</v>
      </c>
      <c r="F2925" t="str">
        <f t="shared" si="181"/>
        <v>oct</v>
      </c>
      <c r="G2925">
        <v>20</v>
      </c>
      <c r="H2925">
        <v>22</v>
      </c>
      <c r="I2925" t="str">
        <f t="shared" si="180"/>
        <v>1-oct-2022</v>
      </c>
      <c r="K2925" s="49">
        <f t="shared" si="182"/>
        <v>44835</v>
      </c>
      <c r="M2925" t="b">
        <f t="shared" si="183"/>
        <v>1</v>
      </c>
    </row>
    <row r="2926" spans="1:13" x14ac:dyDescent="0.3">
      <c r="A2926" s="49">
        <v>45261</v>
      </c>
      <c r="D2926" t="s">
        <v>7356</v>
      </c>
      <c r="E2926">
        <v>1</v>
      </c>
      <c r="F2926" t="str">
        <f t="shared" si="181"/>
        <v>ene</v>
      </c>
      <c r="G2926">
        <v>20</v>
      </c>
      <c r="H2926">
        <v>24</v>
      </c>
      <c r="I2926" t="str">
        <f t="shared" si="180"/>
        <v>1-ene-2024</v>
      </c>
      <c r="K2926" s="49">
        <f t="shared" si="182"/>
        <v>45292</v>
      </c>
      <c r="M2926" t="b">
        <f t="shared" si="183"/>
        <v>0</v>
      </c>
    </row>
    <row r="2927" spans="1:13" x14ac:dyDescent="0.3">
      <c r="A2927" s="49">
        <v>45261</v>
      </c>
      <c r="D2927" t="s">
        <v>7357</v>
      </c>
      <c r="E2927">
        <v>1</v>
      </c>
      <c r="F2927" t="str">
        <f t="shared" si="181"/>
        <v>oct</v>
      </c>
      <c r="G2927">
        <v>20</v>
      </c>
      <c r="H2927">
        <v>20</v>
      </c>
      <c r="I2927" t="str">
        <f t="shared" si="180"/>
        <v>1-oct-2020</v>
      </c>
      <c r="K2927" s="49">
        <f t="shared" si="182"/>
        <v>44105</v>
      </c>
      <c r="M2927" t="b">
        <f t="shared" si="183"/>
        <v>1</v>
      </c>
    </row>
    <row r="2928" spans="1:13" x14ac:dyDescent="0.3">
      <c r="A2928" s="49">
        <v>45261</v>
      </c>
      <c r="D2928" t="s">
        <v>7363</v>
      </c>
      <c r="E2928">
        <v>1</v>
      </c>
      <c r="F2928" t="str">
        <f t="shared" si="181"/>
        <v>feb</v>
      </c>
      <c r="G2928">
        <v>20</v>
      </c>
      <c r="H2928">
        <v>21</v>
      </c>
      <c r="I2928" t="str">
        <f t="shared" si="180"/>
        <v>1-feb-2021</v>
      </c>
      <c r="K2928" s="49">
        <f t="shared" si="182"/>
        <v>44228</v>
      </c>
      <c r="M2928" t="b">
        <f t="shared" si="183"/>
        <v>1</v>
      </c>
    </row>
    <row r="2929" spans="1:13" x14ac:dyDescent="0.3">
      <c r="A2929" s="49">
        <v>45261</v>
      </c>
      <c r="D2929" t="s">
        <v>7359</v>
      </c>
      <c r="E2929">
        <v>1</v>
      </c>
      <c r="F2929" t="str">
        <f t="shared" si="181"/>
        <v>jul</v>
      </c>
      <c r="G2929">
        <v>20</v>
      </c>
      <c r="H2929">
        <v>23</v>
      </c>
      <c r="I2929" t="str">
        <f t="shared" si="180"/>
        <v>1-jul-2023</v>
      </c>
      <c r="K2929" s="49">
        <f t="shared" si="182"/>
        <v>45108</v>
      </c>
      <c r="M2929" t="b">
        <f t="shared" si="183"/>
        <v>1</v>
      </c>
    </row>
    <row r="2930" spans="1:13" x14ac:dyDescent="0.3">
      <c r="A2930" s="49">
        <v>45261</v>
      </c>
      <c r="D2930" t="s">
        <v>7359</v>
      </c>
      <c r="E2930">
        <v>1</v>
      </c>
      <c r="F2930" t="str">
        <f t="shared" si="181"/>
        <v>jul</v>
      </c>
      <c r="G2930">
        <v>20</v>
      </c>
      <c r="H2930">
        <v>23</v>
      </c>
      <c r="I2930" t="str">
        <f t="shared" si="180"/>
        <v>1-jul-2023</v>
      </c>
      <c r="K2930" s="49">
        <f t="shared" si="182"/>
        <v>45108</v>
      </c>
      <c r="M2930" t="b">
        <f t="shared" si="183"/>
        <v>1</v>
      </c>
    </row>
    <row r="2931" spans="1:13" x14ac:dyDescent="0.3">
      <c r="A2931" s="49">
        <v>45261</v>
      </c>
      <c r="D2931" t="s">
        <v>7357</v>
      </c>
      <c r="E2931">
        <v>1</v>
      </c>
      <c r="F2931" t="str">
        <f t="shared" si="181"/>
        <v>oct</v>
      </c>
      <c r="G2931">
        <v>20</v>
      </c>
      <c r="H2931">
        <v>22</v>
      </c>
      <c r="I2931" t="str">
        <f t="shared" si="180"/>
        <v>1-oct-2022</v>
      </c>
      <c r="K2931" s="49">
        <f t="shared" si="182"/>
        <v>44835</v>
      </c>
      <c r="M2931" t="b">
        <f t="shared" si="183"/>
        <v>1</v>
      </c>
    </row>
    <row r="2932" spans="1:13" x14ac:dyDescent="0.3">
      <c r="A2932" s="49">
        <v>45261</v>
      </c>
      <c r="D2932" t="s">
        <v>7362</v>
      </c>
      <c r="E2932">
        <v>1</v>
      </c>
      <c r="F2932" t="str">
        <f t="shared" si="181"/>
        <v>ago</v>
      </c>
      <c r="G2932">
        <v>20</v>
      </c>
      <c r="H2932">
        <v>21</v>
      </c>
      <c r="I2932" t="str">
        <f t="shared" si="180"/>
        <v>1-ago-2021</v>
      </c>
      <c r="K2932" s="49">
        <f t="shared" si="182"/>
        <v>44409</v>
      </c>
      <c r="M2932" t="b">
        <f t="shared" si="183"/>
        <v>1</v>
      </c>
    </row>
    <row r="2933" spans="1:13" x14ac:dyDescent="0.3">
      <c r="A2933" s="49">
        <v>45261</v>
      </c>
      <c r="D2933" t="s">
        <v>7363</v>
      </c>
      <c r="E2933">
        <v>1</v>
      </c>
      <c r="F2933" t="str">
        <f t="shared" si="181"/>
        <v>feb</v>
      </c>
      <c r="G2933">
        <v>20</v>
      </c>
      <c r="H2933">
        <v>22</v>
      </c>
      <c r="I2933" t="str">
        <f t="shared" si="180"/>
        <v>1-feb-2022</v>
      </c>
      <c r="K2933" s="49">
        <f t="shared" si="182"/>
        <v>44593</v>
      </c>
      <c r="M2933" t="b">
        <f t="shared" si="183"/>
        <v>1</v>
      </c>
    </row>
    <row r="2934" spans="1:13" x14ac:dyDescent="0.3">
      <c r="A2934" s="49">
        <v>45261</v>
      </c>
      <c r="D2934" t="s">
        <v>7360</v>
      </c>
      <c r="E2934">
        <v>1</v>
      </c>
      <c r="F2934" t="str">
        <f t="shared" si="181"/>
        <v>nov</v>
      </c>
      <c r="G2934">
        <v>20</v>
      </c>
      <c r="H2934">
        <v>11</v>
      </c>
      <c r="I2934" t="str">
        <f t="shared" si="180"/>
        <v>1-nov-2011</v>
      </c>
      <c r="K2934" s="49">
        <f t="shared" si="182"/>
        <v>40848</v>
      </c>
      <c r="M2934" t="b">
        <f t="shared" si="183"/>
        <v>1</v>
      </c>
    </row>
    <row r="2935" spans="1:13" x14ac:dyDescent="0.3">
      <c r="A2935" s="49">
        <v>45261</v>
      </c>
      <c r="D2935" t="s">
        <v>7362</v>
      </c>
      <c r="E2935">
        <v>1</v>
      </c>
      <c r="F2935" t="str">
        <f t="shared" si="181"/>
        <v>ago</v>
      </c>
      <c r="G2935">
        <v>20</v>
      </c>
      <c r="H2935">
        <v>23</v>
      </c>
      <c r="I2935" t="str">
        <f t="shared" si="180"/>
        <v>1-ago-2023</v>
      </c>
      <c r="K2935" s="49">
        <f t="shared" si="182"/>
        <v>45139</v>
      </c>
      <c r="M2935" t="b">
        <f t="shared" si="183"/>
        <v>1</v>
      </c>
    </row>
    <row r="2936" spans="1:13" x14ac:dyDescent="0.3">
      <c r="A2936" s="49">
        <v>45261</v>
      </c>
      <c r="D2936" t="s">
        <v>7360</v>
      </c>
      <c r="E2936">
        <v>1</v>
      </c>
      <c r="F2936" t="str">
        <f t="shared" si="181"/>
        <v>nov</v>
      </c>
      <c r="G2936">
        <v>20</v>
      </c>
      <c r="H2936">
        <v>23</v>
      </c>
      <c r="I2936" t="str">
        <f t="shared" si="180"/>
        <v>1-nov-2023</v>
      </c>
      <c r="K2936" s="49">
        <f t="shared" si="182"/>
        <v>45231</v>
      </c>
      <c r="M2936" t="b">
        <f t="shared" si="183"/>
        <v>1</v>
      </c>
    </row>
    <row r="2937" spans="1:13" x14ac:dyDescent="0.3">
      <c r="A2937" s="49">
        <v>45261</v>
      </c>
      <c r="D2937" t="s">
        <v>7363</v>
      </c>
      <c r="E2937">
        <v>1</v>
      </c>
      <c r="F2937" t="str">
        <f t="shared" si="181"/>
        <v>feb</v>
      </c>
      <c r="G2937">
        <v>20</v>
      </c>
      <c r="H2937">
        <v>24</v>
      </c>
      <c r="I2937" t="str">
        <f t="shared" si="180"/>
        <v>1-feb-2024</v>
      </c>
      <c r="K2937" s="49">
        <f t="shared" si="182"/>
        <v>45323</v>
      </c>
      <c r="M2937" t="b">
        <f t="shared" si="183"/>
        <v>0</v>
      </c>
    </row>
    <row r="2938" spans="1:13" x14ac:dyDescent="0.3">
      <c r="A2938" s="49">
        <v>45261</v>
      </c>
      <c r="D2938" t="s">
        <v>7369</v>
      </c>
      <c r="E2938">
        <v>1</v>
      </c>
      <c r="F2938" t="str">
        <f t="shared" si="181"/>
        <v>abr</v>
      </c>
      <c r="G2938">
        <v>20</v>
      </c>
      <c r="H2938">
        <v>22</v>
      </c>
      <c r="I2938" t="str">
        <f t="shared" si="180"/>
        <v>1-abr-2022</v>
      </c>
      <c r="K2938" s="49">
        <f t="shared" si="182"/>
        <v>44652</v>
      </c>
      <c r="M2938" t="b">
        <f t="shared" si="183"/>
        <v>1</v>
      </c>
    </row>
    <row r="2939" spans="1:13" x14ac:dyDescent="0.3">
      <c r="A2939" s="49">
        <v>45261</v>
      </c>
      <c r="D2939" t="s">
        <v>7367</v>
      </c>
      <c r="E2939">
        <v>1</v>
      </c>
      <c r="F2939" t="str">
        <f t="shared" si="181"/>
        <v>jun</v>
      </c>
      <c r="G2939">
        <v>20</v>
      </c>
      <c r="H2939">
        <v>23</v>
      </c>
      <c r="I2939" t="str">
        <f t="shared" si="180"/>
        <v>1-jun-2023</v>
      </c>
      <c r="K2939" s="49">
        <f t="shared" si="182"/>
        <v>45078</v>
      </c>
      <c r="M2939" t="b">
        <f t="shared" si="183"/>
        <v>1</v>
      </c>
    </row>
    <row r="2940" spans="1:13" x14ac:dyDescent="0.3">
      <c r="A2940" s="49">
        <v>45261</v>
      </c>
      <c r="D2940" t="s">
        <v>7362</v>
      </c>
      <c r="E2940">
        <v>1</v>
      </c>
      <c r="F2940" t="str">
        <f t="shared" si="181"/>
        <v>ago</v>
      </c>
      <c r="G2940">
        <v>20</v>
      </c>
      <c r="H2940">
        <v>23</v>
      </c>
      <c r="I2940" t="str">
        <f t="shared" si="180"/>
        <v>1-ago-2023</v>
      </c>
      <c r="K2940" s="49">
        <f t="shared" si="182"/>
        <v>45139</v>
      </c>
      <c r="M2940" t="b">
        <f t="shared" si="183"/>
        <v>1</v>
      </c>
    </row>
    <row r="2941" spans="1:13" x14ac:dyDescent="0.3">
      <c r="A2941" s="49">
        <v>45261</v>
      </c>
      <c r="D2941" t="s">
        <v>7366</v>
      </c>
      <c r="E2941">
        <v>1</v>
      </c>
      <c r="F2941" t="str">
        <f t="shared" si="181"/>
        <v>dic</v>
      </c>
      <c r="G2941">
        <v>20</v>
      </c>
      <c r="H2941">
        <v>19</v>
      </c>
      <c r="I2941" t="str">
        <f t="shared" si="180"/>
        <v>1-dic-2019</v>
      </c>
      <c r="K2941" s="49">
        <f t="shared" si="182"/>
        <v>43800</v>
      </c>
      <c r="M2941" t="b">
        <f t="shared" si="183"/>
        <v>1</v>
      </c>
    </row>
    <row r="2942" spans="1:13" x14ac:dyDescent="0.3">
      <c r="A2942" s="49">
        <v>45261</v>
      </c>
      <c r="D2942" t="s">
        <v>7355</v>
      </c>
      <c r="E2942">
        <v>1</v>
      </c>
      <c r="F2942" t="str">
        <f t="shared" si="181"/>
        <v>sep</v>
      </c>
      <c r="G2942">
        <v>20</v>
      </c>
      <c r="H2942">
        <v>23</v>
      </c>
      <c r="I2942" t="str">
        <f t="shared" si="180"/>
        <v>1-sep-2023</v>
      </c>
      <c r="K2942" s="49">
        <f t="shared" si="182"/>
        <v>45170</v>
      </c>
      <c r="M2942" t="b">
        <f t="shared" si="183"/>
        <v>1</v>
      </c>
    </row>
    <row r="2943" spans="1:13" x14ac:dyDescent="0.3">
      <c r="A2943" s="49">
        <v>45261</v>
      </c>
      <c r="D2943" t="s">
        <v>7355</v>
      </c>
      <c r="E2943">
        <v>1</v>
      </c>
      <c r="F2943" t="str">
        <f t="shared" si="181"/>
        <v>sep</v>
      </c>
      <c r="G2943">
        <v>20</v>
      </c>
      <c r="H2943">
        <v>22</v>
      </c>
      <c r="I2943" t="str">
        <f t="shared" ref="I2943:I2978" si="184">_xlfn.CONCAT(E2943,"-",F2943,"-",G2943,H2943)</f>
        <v>1-sep-2022</v>
      </c>
      <c r="K2943" s="49">
        <f t="shared" si="182"/>
        <v>44805</v>
      </c>
      <c r="M2943" t="b">
        <f t="shared" si="183"/>
        <v>1</v>
      </c>
    </row>
    <row r="2944" spans="1:13" x14ac:dyDescent="0.3">
      <c r="A2944" s="49">
        <v>45261</v>
      </c>
      <c r="D2944" t="s">
        <v>7355</v>
      </c>
      <c r="E2944">
        <v>1</v>
      </c>
      <c r="F2944" t="str">
        <f t="shared" ref="F2944:F2979" si="185">LOWER(D2944)</f>
        <v>sep</v>
      </c>
      <c r="G2944">
        <v>20</v>
      </c>
      <c r="H2944">
        <v>22</v>
      </c>
      <c r="I2944" t="str">
        <f t="shared" si="184"/>
        <v>1-sep-2022</v>
      </c>
      <c r="K2944" s="49">
        <f t="shared" ref="K2944:K2979" si="186">DATEVALUE(I2944)</f>
        <v>44805</v>
      </c>
      <c r="M2944" t="b">
        <f t="shared" si="183"/>
        <v>1</v>
      </c>
    </row>
    <row r="2945" spans="1:13" x14ac:dyDescent="0.3">
      <c r="A2945" s="49">
        <v>45261</v>
      </c>
      <c r="D2945" t="s">
        <v>7355</v>
      </c>
      <c r="E2945">
        <v>1</v>
      </c>
      <c r="F2945" t="str">
        <f t="shared" si="185"/>
        <v>sep</v>
      </c>
      <c r="G2945">
        <v>20</v>
      </c>
      <c r="H2945">
        <v>22</v>
      </c>
      <c r="I2945" t="str">
        <f t="shared" si="184"/>
        <v>1-sep-2022</v>
      </c>
      <c r="K2945" s="49">
        <f t="shared" si="186"/>
        <v>44805</v>
      </c>
      <c r="M2945" t="b">
        <f t="shared" si="183"/>
        <v>1</v>
      </c>
    </row>
    <row r="2946" spans="1:13" x14ac:dyDescent="0.3">
      <c r="A2946" s="49">
        <v>45261</v>
      </c>
      <c r="D2946" t="s">
        <v>7355</v>
      </c>
      <c r="E2946">
        <v>1</v>
      </c>
      <c r="F2946" t="str">
        <f t="shared" si="185"/>
        <v>sep</v>
      </c>
      <c r="G2946">
        <v>20</v>
      </c>
      <c r="H2946">
        <v>22</v>
      </c>
      <c r="I2946" t="str">
        <f t="shared" si="184"/>
        <v>1-sep-2022</v>
      </c>
      <c r="K2946" s="49">
        <f t="shared" si="186"/>
        <v>44805</v>
      </c>
      <c r="M2946" t="b">
        <f t="shared" si="183"/>
        <v>1</v>
      </c>
    </row>
    <row r="2947" spans="1:13" x14ac:dyDescent="0.3">
      <c r="A2947" s="49">
        <v>45261</v>
      </c>
      <c r="D2947" t="s">
        <v>7355</v>
      </c>
      <c r="E2947">
        <v>1</v>
      </c>
      <c r="F2947" t="str">
        <f t="shared" si="185"/>
        <v>sep</v>
      </c>
      <c r="G2947">
        <v>20</v>
      </c>
      <c r="H2947">
        <v>22</v>
      </c>
      <c r="I2947" t="str">
        <f t="shared" si="184"/>
        <v>1-sep-2022</v>
      </c>
      <c r="K2947" s="49">
        <f t="shared" si="186"/>
        <v>44805</v>
      </c>
      <c r="M2947" t="b">
        <f t="shared" ref="M2947:M2979" si="187">K2947&lt;A2947</f>
        <v>1</v>
      </c>
    </row>
    <row r="2948" spans="1:13" x14ac:dyDescent="0.3">
      <c r="A2948" s="49">
        <v>45261</v>
      </c>
      <c r="D2948" t="s">
        <v>7355</v>
      </c>
      <c r="E2948">
        <v>1</v>
      </c>
      <c r="F2948" t="str">
        <f t="shared" si="185"/>
        <v>sep</v>
      </c>
      <c r="G2948">
        <v>20</v>
      </c>
      <c r="H2948">
        <v>22</v>
      </c>
      <c r="I2948" t="str">
        <f t="shared" si="184"/>
        <v>1-sep-2022</v>
      </c>
      <c r="K2948" s="49">
        <f t="shared" si="186"/>
        <v>44805</v>
      </c>
      <c r="M2948" t="b">
        <f t="shared" si="187"/>
        <v>1</v>
      </c>
    </row>
    <row r="2949" spans="1:13" x14ac:dyDescent="0.3">
      <c r="A2949" s="49">
        <v>45261</v>
      </c>
      <c r="D2949" t="s">
        <v>7355</v>
      </c>
      <c r="E2949">
        <v>1</v>
      </c>
      <c r="F2949" t="str">
        <f t="shared" si="185"/>
        <v>sep</v>
      </c>
      <c r="G2949">
        <v>20</v>
      </c>
      <c r="H2949">
        <v>22</v>
      </c>
      <c r="I2949" t="str">
        <f t="shared" si="184"/>
        <v>1-sep-2022</v>
      </c>
      <c r="K2949" s="49">
        <f t="shared" si="186"/>
        <v>44805</v>
      </c>
      <c r="M2949" t="b">
        <f t="shared" si="187"/>
        <v>1</v>
      </c>
    </row>
    <row r="2950" spans="1:13" x14ac:dyDescent="0.3">
      <c r="A2950" s="49">
        <v>45261</v>
      </c>
      <c r="D2950" t="s">
        <v>7355</v>
      </c>
      <c r="E2950">
        <v>1</v>
      </c>
      <c r="F2950" t="str">
        <f t="shared" si="185"/>
        <v>sep</v>
      </c>
      <c r="G2950">
        <v>20</v>
      </c>
      <c r="H2950">
        <v>22</v>
      </c>
      <c r="I2950" t="str">
        <f t="shared" si="184"/>
        <v>1-sep-2022</v>
      </c>
      <c r="K2950" s="49">
        <f t="shared" si="186"/>
        <v>44805</v>
      </c>
      <c r="M2950" t="b">
        <f t="shared" si="187"/>
        <v>1</v>
      </c>
    </row>
    <row r="2951" spans="1:13" x14ac:dyDescent="0.3">
      <c r="A2951" s="49">
        <v>45261</v>
      </c>
      <c r="D2951" t="s">
        <v>7355</v>
      </c>
      <c r="E2951">
        <v>1</v>
      </c>
      <c r="F2951" t="str">
        <f t="shared" si="185"/>
        <v>sep</v>
      </c>
      <c r="G2951">
        <v>20</v>
      </c>
      <c r="H2951">
        <v>22</v>
      </c>
      <c r="I2951" t="str">
        <f t="shared" si="184"/>
        <v>1-sep-2022</v>
      </c>
      <c r="K2951" s="49">
        <f t="shared" si="186"/>
        <v>44805</v>
      </c>
      <c r="M2951" t="b">
        <f t="shared" si="187"/>
        <v>1</v>
      </c>
    </row>
    <row r="2952" spans="1:13" x14ac:dyDescent="0.3">
      <c r="A2952" s="49">
        <v>45261</v>
      </c>
      <c r="D2952" t="s">
        <v>7355</v>
      </c>
      <c r="E2952">
        <v>1</v>
      </c>
      <c r="F2952" t="str">
        <f t="shared" si="185"/>
        <v>sep</v>
      </c>
      <c r="G2952">
        <v>20</v>
      </c>
      <c r="H2952">
        <v>22</v>
      </c>
      <c r="I2952" t="str">
        <f t="shared" si="184"/>
        <v>1-sep-2022</v>
      </c>
      <c r="K2952" s="49">
        <f t="shared" si="186"/>
        <v>44805</v>
      </c>
      <c r="M2952" t="b">
        <f t="shared" si="187"/>
        <v>1</v>
      </c>
    </row>
    <row r="2953" spans="1:13" x14ac:dyDescent="0.3">
      <c r="A2953" s="49">
        <v>45261</v>
      </c>
      <c r="D2953" t="s">
        <v>7355</v>
      </c>
      <c r="E2953">
        <v>1</v>
      </c>
      <c r="F2953" t="str">
        <f t="shared" si="185"/>
        <v>sep</v>
      </c>
      <c r="G2953">
        <v>20</v>
      </c>
      <c r="H2953">
        <v>22</v>
      </c>
      <c r="I2953" t="str">
        <f t="shared" si="184"/>
        <v>1-sep-2022</v>
      </c>
      <c r="K2953" s="49">
        <f t="shared" si="186"/>
        <v>44805</v>
      </c>
      <c r="M2953" t="b">
        <f t="shared" si="187"/>
        <v>1</v>
      </c>
    </row>
    <row r="2954" spans="1:13" x14ac:dyDescent="0.3">
      <c r="A2954" s="49">
        <v>45261</v>
      </c>
      <c r="D2954" t="s">
        <v>7360</v>
      </c>
      <c r="E2954">
        <v>1</v>
      </c>
      <c r="F2954" t="str">
        <f t="shared" si="185"/>
        <v>nov</v>
      </c>
      <c r="G2954">
        <v>20</v>
      </c>
      <c r="H2954">
        <v>21</v>
      </c>
      <c r="I2954" t="str">
        <f t="shared" si="184"/>
        <v>1-nov-2021</v>
      </c>
      <c r="K2954" s="49">
        <f t="shared" si="186"/>
        <v>44501</v>
      </c>
      <c r="M2954" t="b">
        <f t="shared" si="187"/>
        <v>1</v>
      </c>
    </row>
    <row r="2955" spans="1:13" x14ac:dyDescent="0.3">
      <c r="A2955" s="49">
        <v>45261</v>
      </c>
      <c r="D2955" t="s">
        <v>7359</v>
      </c>
      <c r="E2955">
        <v>1</v>
      </c>
      <c r="F2955" t="str">
        <f t="shared" si="185"/>
        <v>jul</v>
      </c>
      <c r="G2955">
        <v>20</v>
      </c>
      <c r="H2955">
        <v>23</v>
      </c>
      <c r="I2955" t="str">
        <f t="shared" si="184"/>
        <v>1-jul-2023</v>
      </c>
      <c r="K2955" s="49">
        <f t="shared" si="186"/>
        <v>45108</v>
      </c>
      <c r="M2955" t="b">
        <f t="shared" si="187"/>
        <v>1</v>
      </c>
    </row>
    <row r="2956" spans="1:13" x14ac:dyDescent="0.3">
      <c r="A2956" s="49">
        <v>45261</v>
      </c>
      <c r="D2956" t="s">
        <v>7359</v>
      </c>
      <c r="E2956">
        <v>1</v>
      </c>
      <c r="F2956" t="str">
        <f t="shared" si="185"/>
        <v>jul</v>
      </c>
      <c r="G2956">
        <v>20</v>
      </c>
      <c r="H2956">
        <v>23</v>
      </c>
      <c r="I2956" t="str">
        <f t="shared" si="184"/>
        <v>1-jul-2023</v>
      </c>
      <c r="K2956" s="49">
        <f t="shared" si="186"/>
        <v>45108</v>
      </c>
      <c r="M2956" t="b">
        <f t="shared" si="187"/>
        <v>1</v>
      </c>
    </row>
    <row r="2957" spans="1:13" x14ac:dyDescent="0.3">
      <c r="A2957" s="49">
        <v>45261</v>
      </c>
      <c r="D2957" t="s">
        <v>7359</v>
      </c>
      <c r="E2957">
        <v>1</v>
      </c>
      <c r="F2957" t="str">
        <f t="shared" si="185"/>
        <v>jul</v>
      </c>
      <c r="G2957">
        <v>20</v>
      </c>
      <c r="H2957">
        <v>23</v>
      </c>
      <c r="I2957" t="str">
        <f t="shared" si="184"/>
        <v>1-jul-2023</v>
      </c>
      <c r="K2957" s="49">
        <f t="shared" si="186"/>
        <v>45108</v>
      </c>
      <c r="M2957" t="b">
        <f t="shared" si="187"/>
        <v>1</v>
      </c>
    </row>
    <row r="2958" spans="1:13" x14ac:dyDescent="0.3">
      <c r="A2958" s="49">
        <v>45261</v>
      </c>
      <c r="D2958" t="s">
        <v>7359</v>
      </c>
      <c r="E2958">
        <v>1</v>
      </c>
      <c r="F2958" t="str">
        <f t="shared" si="185"/>
        <v>jul</v>
      </c>
      <c r="G2958">
        <v>20</v>
      </c>
      <c r="H2958">
        <v>23</v>
      </c>
      <c r="I2958" t="str">
        <f t="shared" si="184"/>
        <v>1-jul-2023</v>
      </c>
      <c r="K2958" s="49">
        <f t="shared" si="186"/>
        <v>45108</v>
      </c>
      <c r="M2958" t="b">
        <f t="shared" si="187"/>
        <v>1</v>
      </c>
    </row>
    <row r="2959" spans="1:13" x14ac:dyDescent="0.3">
      <c r="A2959" s="49">
        <v>45261</v>
      </c>
      <c r="D2959" t="s">
        <v>7360</v>
      </c>
      <c r="E2959">
        <v>1</v>
      </c>
      <c r="F2959" t="str">
        <f t="shared" si="185"/>
        <v>nov</v>
      </c>
      <c r="G2959">
        <v>20</v>
      </c>
      <c r="H2959">
        <v>21</v>
      </c>
      <c r="I2959" t="str">
        <f t="shared" si="184"/>
        <v>1-nov-2021</v>
      </c>
      <c r="K2959" s="49">
        <f t="shared" si="186"/>
        <v>44501</v>
      </c>
      <c r="M2959" t="b">
        <f t="shared" si="187"/>
        <v>1</v>
      </c>
    </row>
    <row r="2960" spans="1:13" x14ac:dyDescent="0.3">
      <c r="A2960" s="49">
        <v>45261</v>
      </c>
      <c r="D2960" t="s">
        <v>7381</v>
      </c>
      <c r="E2960">
        <v>1</v>
      </c>
      <c r="F2960" t="str">
        <f t="shared" si="185"/>
        <v>nov</v>
      </c>
      <c r="G2960">
        <v>20</v>
      </c>
      <c r="H2960">
        <v>24</v>
      </c>
      <c r="I2960" t="str">
        <f t="shared" si="184"/>
        <v>1-nov-2024</v>
      </c>
      <c r="K2960" s="49">
        <f t="shared" si="186"/>
        <v>45597</v>
      </c>
      <c r="M2960" t="b">
        <f t="shared" si="187"/>
        <v>0</v>
      </c>
    </row>
    <row r="2961" spans="1:13" x14ac:dyDescent="0.3">
      <c r="A2961" s="49">
        <v>45261</v>
      </c>
      <c r="D2961" t="s">
        <v>7356</v>
      </c>
      <c r="E2961">
        <v>1</v>
      </c>
      <c r="F2961" t="str">
        <f t="shared" si="185"/>
        <v>ene</v>
      </c>
      <c r="G2961">
        <v>20</v>
      </c>
      <c r="H2961">
        <v>24</v>
      </c>
      <c r="I2961" t="str">
        <f t="shared" si="184"/>
        <v>1-ene-2024</v>
      </c>
      <c r="K2961" s="49">
        <f t="shared" si="186"/>
        <v>45292</v>
      </c>
      <c r="M2961" t="b">
        <f t="shared" si="187"/>
        <v>0</v>
      </c>
    </row>
    <row r="2962" spans="1:13" x14ac:dyDescent="0.3">
      <c r="A2962" s="49">
        <v>45261</v>
      </c>
      <c r="D2962" t="s">
        <v>7363</v>
      </c>
      <c r="E2962">
        <v>1</v>
      </c>
      <c r="F2962" t="str">
        <f t="shared" si="185"/>
        <v>feb</v>
      </c>
      <c r="G2962">
        <v>20</v>
      </c>
      <c r="H2962">
        <v>23</v>
      </c>
      <c r="I2962" t="str">
        <f t="shared" si="184"/>
        <v>1-feb-2023</v>
      </c>
      <c r="K2962" s="49">
        <f t="shared" si="186"/>
        <v>44958</v>
      </c>
      <c r="M2962" t="b">
        <f t="shared" si="187"/>
        <v>1</v>
      </c>
    </row>
    <row r="2963" spans="1:13" x14ac:dyDescent="0.3">
      <c r="A2963" s="49">
        <v>45261</v>
      </c>
      <c r="D2963" t="s">
        <v>7362</v>
      </c>
      <c r="E2963">
        <v>1</v>
      </c>
      <c r="F2963" t="str">
        <f t="shared" si="185"/>
        <v>ago</v>
      </c>
      <c r="G2963">
        <v>20</v>
      </c>
      <c r="H2963">
        <v>22</v>
      </c>
      <c r="I2963" t="str">
        <f t="shared" si="184"/>
        <v>1-ago-2022</v>
      </c>
      <c r="K2963" s="49">
        <f t="shared" si="186"/>
        <v>44774</v>
      </c>
      <c r="M2963" t="b">
        <f t="shared" si="187"/>
        <v>1</v>
      </c>
    </row>
    <row r="2964" spans="1:13" x14ac:dyDescent="0.3">
      <c r="A2964" s="49">
        <v>45261</v>
      </c>
      <c r="D2964" t="s">
        <v>7375</v>
      </c>
      <c r="E2964">
        <v>1</v>
      </c>
      <c r="F2964" t="str">
        <f t="shared" si="185"/>
        <v>jun</v>
      </c>
      <c r="G2964">
        <v>20</v>
      </c>
      <c r="H2964">
        <v>18</v>
      </c>
      <c r="I2964" t="str">
        <f t="shared" si="184"/>
        <v>1-jun-2018</v>
      </c>
      <c r="K2964" s="49">
        <f t="shared" si="186"/>
        <v>43252</v>
      </c>
      <c r="M2964" t="b">
        <f t="shared" si="187"/>
        <v>1</v>
      </c>
    </row>
    <row r="2965" spans="1:13" x14ac:dyDescent="0.3">
      <c r="A2965" s="49">
        <v>45261</v>
      </c>
      <c r="D2965" t="s">
        <v>7355</v>
      </c>
      <c r="E2965">
        <v>1</v>
      </c>
      <c r="F2965" t="str">
        <f t="shared" si="185"/>
        <v>sep</v>
      </c>
      <c r="G2965">
        <v>20</v>
      </c>
      <c r="H2965">
        <v>23</v>
      </c>
      <c r="I2965" t="str">
        <f t="shared" si="184"/>
        <v>1-sep-2023</v>
      </c>
      <c r="K2965" s="49">
        <f t="shared" si="186"/>
        <v>45170</v>
      </c>
      <c r="M2965" t="b">
        <f t="shared" si="187"/>
        <v>1</v>
      </c>
    </row>
    <row r="2966" spans="1:13" x14ac:dyDescent="0.3">
      <c r="A2966" s="49">
        <v>45261</v>
      </c>
      <c r="D2966" t="s">
        <v>7355</v>
      </c>
      <c r="E2966">
        <v>1</v>
      </c>
      <c r="F2966" t="str">
        <f t="shared" si="185"/>
        <v>sep</v>
      </c>
      <c r="G2966">
        <v>20</v>
      </c>
      <c r="H2966">
        <v>23</v>
      </c>
      <c r="I2966" t="str">
        <f t="shared" si="184"/>
        <v>1-sep-2023</v>
      </c>
      <c r="K2966" s="49">
        <f t="shared" si="186"/>
        <v>45170</v>
      </c>
      <c r="M2966" t="b">
        <f t="shared" si="187"/>
        <v>1</v>
      </c>
    </row>
    <row r="2967" spans="1:13" x14ac:dyDescent="0.3">
      <c r="A2967" s="49">
        <v>45261</v>
      </c>
      <c r="D2967" t="s">
        <v>7355</v>
      </c>
      <c r="E2967">
        <v>1</v>
      </c>
      <c r="F2967" t="str">
        <f t="shared" si="185"/>
        <v>sep</v>
      </c>
      <c r="G2967">
        <v>20</v>
      </c>
      <c r="H2967">
        <v>23</v>
      </c>
      <c r="I2967" t="str">
        <f t="shared" si="184"/>
        <v>1-sep-2023</v>
      </c>
      <c r="K2967" s="49">
        <f t="shared" si="186"/>
        <v>45170</v>
      </c>
      <c r="M2967" t="b">
        <f t="shared" si="187"/>
        <v>1</v>
      </c>
    </row>
    <row r="2968" spans="1:13" x14ac:dyDescent="0.3">
      <c r="A2968" s="49">
        <v>45261</v>
      </c>
      <c r="D2968" t="s">
        <v>7359</v>
      </c>
      <c r="E2968">
        <v>1</v>
      </c>
      <c r="F2968" t="str">
        <f t="shared" si="185"/>
        <v>jul</v>
      </c>
      <c r="G2968">
        <v>20</v>
      </c>
      <c r="H2968">
        <v>23</v>
      </c>
      <c r="I2968" t="str">
        <f t="shared" si="184"/>
        <v>1-jul-2023</v>
      </c>
      <c r="K2968" s="49">
        <f t="shared" si="186"/>
        <v>45108</v>
      </c>
      <c r="M2968" t="b">
        <f t="shared" si="187"/>
        <v>1</v>
      </c>
    </row>
    <row r="2969" spans="1:13" x14ac:dyDescent="0.3">
      <c r="A2969" s="49">
        <v>45261</v>
      </c>
      <c r="D2969" t="s">
        <v>7367</v>
      </c>
      <c r="E2969">
        <v>1</v>
      </c>
      <c r="F2969" t="str">
        <f t="shared" si="185"/>
        <v>jun</v>
      </c>
      <c r="G2969">
        <v>20</v>
      </c>
      <c r="H2969">
        <v>23</v>
      </c>
      <c r="I2969" t="str">
        <f t="shared" si="184"/>
        <v>1-jun-2023</v>
      </c>
      <c r="K2969" s="49">
        <f t="shared" si="186"/>
        <v>45078</v>
      </c>
      <c r="M2969" t="b">
        <f t="shared" si="187"/>
        <v>1</v>
      </c>
    </row>
    <row r="2970" spans="1:13" x14ac:dyDescent="0.3">
      <c r="A2970" s="49">
        <v>45261</v>
      </c>
      <c r="D2970" t="s">
        <v>7360</v>
      </c>
      <c r="E2970">
        <v>1</v>
      </c>
      <c r="F2970" t="str">
        <f t="shared" si="185"/>
        <v>nov</v>
      </c>
      <c r="G2970">
        <v>20</v>
      </c>
      <c r="H2970">
        <v>23</v>
      </c>
      <c r="I2970" t="str">
        <f t="shared" si="184"/>
        <v>1-nov-2023</v>
      </c>
      <c r="K2970" s="49">
        <f t="shared" si="186"/>
        <v>45231</v>
      </c>
      <c r="M2970" t="b">
        <f t="shared" si="187"/>
        <v>1</v>
      </c>
    </row>
    <row r="2971" spans="1:13" x14ac:dyDescent="0.3">
      <c r="A2971" s="49">
        <v>45261</v>
      </c>
      <c r="D2971" t="s">
        <v>7356</v>
      </c>
      <c r="E2971">
        <v>1</v>
      </c>
      <c r="F2971" t="str">
        <f t="shared" si="185"/>
        <v>ene</v>
      </c>
      <c r="G2971">
        <v>20</v>
      </c>
      <c r="H2971">
        <v>25</v>
      </c>
      <c r="I2971" t="str">
        <f t="shared" si="184"/>
        <v>1-ene-2025</v>
      </c>
      <c r="K2971" s="49">
        <f t="shared" si="186"/>
        <v>45658</v>
      </c>
      <c r="M2971" t="b">
        <f t="shared" si="187"/>
        <v>0</v>
      </c>
    </row>
    <row r="2972" spans="1:13" x14ac:dyDescent="0.3">
      <c r="A2972" s="49">
        <v>45261</v>
      </c>
      <c r="D2972" t="s">
        <v>7366</v>
      </c>
      <c r="E2972">
        <v>1</v>
      </c>
      <c r="F2972" t="str">
        <f t="shared" si="185"/>
        <v>dic</v>
      </c>
      <c r="G2972">
        <v>20</v>
      </c>
      <c r="H2972">
        <v>19</v>
      </c>
      <c r="I2972" t="str">
        <f t="shared" si="184"/>
        <v>1-dic-2019</v>
      </c>
      <c r="K2972" s="49">
        <f t="shared" si="186"/>
        <v>43800</v>
      </c>
      <c r="M2972" t="b">
        <f t="shared" si="187"/>
        <v>1</v>
      </c>
    </row>
    <row r="2973" spans="1:13" x14ac:dyDescent="0.3">
      <c r="A2973" s="49">
        <v>45261</v>
      </c>
      <c r="D2973" t="s">
        <v>7367</v>
      </c>
      <c r="E2973">
        <v>1</v>
      </c>
      <c r="F2973" t="str">
        <f t="shared" si="185"/>
        <v>jun</v>
      </c>
      <c r="G2973">
        <v>20</v>
      </c>
      <c r="H2973">
        <v>24</v>
      </c>
      <c r="I2973" t="str">
        <f t="shared" si="184"/>
        <v>1-jun-2024</v>
      </c>
      <c r="K2973" s="49">
        <f t="shared" si="186"/>
        <v>45444</v>
      </c>
      <c r="M2973" t="b">
        <f t="shared" si="187"/>
        <v>0</v>
      </c>
    </row>
    <row r="2974" spans="1:13" x14ac:dyDescent="0.3">
      <c r="A2974" s="49">
        <v>45261</v>
      </c>
      <c r="D2974" t="s">
        <v>7369</v>
      </c>
      <c r="E2974">
        <v>1</v>
      </c>
      <c r="F2974" t="str">
        <f t="shared" si="185"/>
        <v>abr</v>
      </c>
      <c r="G2974">
        <v>20</v>
      </c>
      <c r="H2974">
        <v>23</v>
      </c>
      <c r="I2974" t="str">
        <f t="shared" si="184"/>
        <v>1-abr-2023</v>
      </c>
      <c r="K2974" s="49">
        <f t="shared" si="186"/>
        <v>45017</v>
      </c>
      <c r="M2974" t="b">
        <f t="shared" si="187"/>
        <v>1</v>
      </c>
    </row>
    <row r="2975" spans="1:13" x14ac:dyDescent="0.3">
      <c r="A2975" s="49">
        <v>45261</v>
      </c>
      <c r="D2975" t="s">
        <v>7369</v>
      </c>
      <c r="E2975">
        <v>1</v>
      </c>
      <c r="F2975" t="str">
        <f t="shared" si="185"/>
        <v>abr</v>
      </c>
      <c r="G2975">
        <v>20</v>
      </c>
      <c r="H2975">
        <v>23</v>
      </c>
      <c r="I2975" t="str">
        <f t="shared" si="184"/>
        <v>1-abr-2023</v>
      </c>
      <c r="K2975" s="49">
        <f t="shared" si="186"/>
        <v>45017</v>
      </c>
      <c r="M2975" t="b">
        <f t="shared" si="187"/>
        <v>1</v>
      </c>
    </row>
    <row r="2976" spans="1:13" x14ac:dyDescent="0.3">
      <c r="A2976" s="49">
        <v>45261</v>
      </c>
      <c r="D2976" t="s">
        <v>7363</v>
      </c>
      <c r="E2976">
        <v>1</v>
      </c>
      <c r="F2976" t="str">
        <f t="shared" si="185"/>
        <v>feb</v>
      </c>
      <c r="G2976">
        <v>20</v>
      </c>
      <c r="H2976">
        <v>25</v>
      </c>
      <c r="I2976" t="str">
        <f t="shared" si="184"/>
        <v>1-feb-2025</v>
      </c>
      <c r="K2976" s="49">
        <f t="shared" si="186"/>
        <v>45689</v>
      </c>
      <c r="M2976" t="b">
        <f t="shared" si="187"/>
        <v>0</v>
      </c>
    </row>
    <row r="2977" spans="1:13" x14ac:dyDescent="0.3">
      <c r="A2977" s="49">
        <v>45261</v>
      </c>
      <c r="D2977" t="s">
        <v>7355</v>
      </c>
      <c r="E2977">
        <v>1</v>
      </c>
      <c r="F2977" t="str">
        <f t="shared" si="185"/>
        <v>sep</v>
      </c>
      <c r="G2977">
        <v>20</v>
      </c>
      <c r="H2977">
        <v>23</v>
      </c>
      <c r="I2977" t="str">
        <f t="shared" si="184"/>
        <v>1-sep-2023</v>
      </c>
      <c r="K2977" s="49">
        <f t="shared" si="186"/>
        <v>45170</v>
      </c>
      <c r="M2977" t="b">
        <f t="shared" si="187"/>
        <v>1</v>
      </c>
    </row>
    <row r="2978" spans="1:13" x14ac:dyDescent="0.3">
      <c r="A2978" s="49">
        <v>45261</v>
      </c>
      <c r="D2978" t="s">
        <v>7367</v>
      </c>
      <c r="E2978">
        <v>1</v>
      </c>
      <c r="F2978" t="str">
        <f t="shared" si="185"/>
        <v>jun</v>
      </c>
      <c r="G2978">
        <v>20</v>
      </c>
      <c r="H2978">
        <v>23</v>
      </c>
      <c r="I2978" t="str">
        <f t="shared" si="184"/>
        <v>1-jun-2023</v>
      </c>
      <c r="K2978" s="49">
        <f t="shared" si="186"/>
        <v>45078</v>
      </c>
      <c r="M2978" t="b">
        <f t="shared" si="187"/>
        <v>1</v>
      </c>
    </row>
    <row r="2979" spans="1:13" x14ac:dyDescent="0.3">
      <c r="A2979" s="49">
        <v>45261</v>
      </c>
      <c r="D2979" t="s">
        <v>7362</v>
      </c>
      <c r="E2979">
        <v>1</v>
      </c>
      <c r="F2979" t="str">
        <f t="shared" si="185"/>
        <v>ago</v>
      </c>
      <c r="G2979">
        <v>20</v>
      </c>
      <c r="H2979">
        <v>19</v>
      </c>
      <c r="I2979" t="str">
        <f>_xlfn.CONCAT(E2979,"-",F2979,"-",G2979,H2979)</f>
        <v>1-ago-2019</v>
      </c>
      <c r="K2979" s="49">
        <f t="shared" si="186"/>
        <v>43678</v>
      </c>
      <c r="M2979" t="b">
        <f t="shared" si="18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0A2F-59BD-4E4E-9B36-87A1F73AD330}">
  <dimension ref="A1:G4322"/>
  <sheetViews>
    <sheetView topLeftCell="A91" workbookViewId="0">
      <selection activeCell="F20" sqref="F1:G20"/>
    </sheetView>
  </sheetViews>
  <sheetFormatPr baseColWidth="10" defaultRowHeight="14.4" x14ac:dyDescent="0.3"/>
  <cols>
    <col min="1" max="1" width="62.5546875" bestFit="1" customWidth="1"/>
  </cols>
  <sheetData>
    <row r="1" spans="1:7" x14ac:dyDescent="0.3">
      <c r="A1" t="s">
        <v>7050</v>
      </c>
      <c r="C1" t="str" cm="1">
        <f t="array" ref="C1:C971">_xlfn.UNIQUE(A1:A4322)</f>
        <v>17-beta-estradiol</v>
      </c>
      <c r="D1">
        <f>COUNTIF(A$1:A$4322,C1)</f>
        <v>5</v>
      </c>
      <c r="F1" t="s">
        <v>377</v>
      </c>
      <c r="G1">
        <v>138</v>
      </c>
    </row>
    <row r="2" spans="1:7" x14ac:dyDescent="0.3">
      <c r="A2" t="s">
        <v>7050</v>
      </c>
      <c r="C2" t="str">
        <v>acarbosa</v>
      </c>
      <c r="D2">
        <f t="shared" ref="D2:D65" si="0">COUNTIF(A$1:A$4322,C2)</f>
        <v>9</v>
      </c>
      <c r="F2" t="s">
        <v>6656</v>
      </c>
      <c r="G2">
        <v>63</v>
      </c>
    </row>
    <row r="3" spans="1:7" x14ac:dyDescent="0.3">
      <c r="A3" t="s">
        <v>7050</v>
      </c>
      <c r="C3" t="str">
        <v>aceclofenaco</v>
      </c>
      <c r="D3">
        <f t="shared" si="0"/>
        <v>1</v>
      </c>
      <c r="F3" t="s">
        <v>6808</v>
      </c>
      <c r="G3">
        <v>57</v>
      </c>
    </row>
    <row r="4" spans="1:7" x14ac:dyDescent="0.3">
      <c r="A4" t="s">
        <v>7050</v>
      </c>
      <c r="C4" t="str">
        <v>acemetacina</v>
      </c>
      <c r="D4">
        <f t="shared" si="0"/>
        <v>2</v>
      </c>
      <c r="F4" t="s">
        <v>6816</v>
      </c>
      <c r="G4">
        <v>48</v>
      </c>
    </row>
    <row r="5" spans="1:7" x14ac:dyDescent="0.3">
      <c r="A5" t="s">
        <v>7050</v>
      </c>
      <c r="C5" t="str">
        <v>acetato de clormadinona</v>
      </c>
      <c r="D5">
        <f t="shared" si="0"/>
        <v>1</v>
      </c>
      <c r="F5" t="s">
        <v>6642</v>
      </c>
      <c r="G5">
        <v>44</v>
      </c>
    </row>
    <row r="6" spans="1:7" x14ac:dyDescent="0.3">
      <c r="A6" t="s">
        <v>6637</v>
      </c>
      <c r="C6" t="str">
        <v>acetilcisteína</v>
      </c>
      <c r="D6">
        <f t="shared" si="0"/>
        <v>15</v>
      </c>
      <c r="F6" t="s">
        <v>6818</v>
      </c>
      <c r="G6">
        <v>38</v>
      </c>
    </row>
    <row r="7" spans="1:7" x14ac:dyDescent="0.3">
      <c r="A7" t="s">
        <v>6637</v>
      </c>
      <c r="C7" t="str">
        <v>acetilsalicilato de lisina</v>
      </c>
      <c r="D7">
        <f t="shared" si="0"/>
        <v>4</v>
      </c>
      <c r="F7" t="s">
        <v>6705</v>
      </c>
      <c r="G7">
        <v>35</v>
      </c>
    </row>
    <row r="8" spans="1:7" x14ac:dyDescent="0.3">
      <c r="A8" t="s">
        <v>6637</v>
      </c>
      <c r="C8" t="str">
        <v>acetónido de fluocinolona</v>
      </c>
      <c r="D8">
        <f t="shared" si="0"/>
        <v>5</v>
      </c>
      <c r="F8" t="s">
        <v>6815</v>
      </c>
      <c r="G8">
        <v>35</v>
      </c>
    </row>
    <row r="9" spans="1:7" x14ac:dyDescent="0.3">
      <c r="A9" t="s">
        <v>6637</v>
      </c>
      <c r="C9" t="str">
        <v>aciclovir</v>
      </c>
      <c r="D9">
        <f t="shared" si="0"/>
        <v>23</v>
      </c>
      <c r="F9" t="s">
        <v>7054</v>
      </c>
      <c r="G9">
        <v>35</v>
      </c>
    </row>
    <row r="10" spans="1:7" x14ac:dyDescent="0.3">
      <c r="A10" t="s">
        <v>6637</v>
      </c>
      <c r="C10" t="str">
        <v>ácido acetilsalicílico</v>
      </c>
      <c r="D10">
        <f t="shared" si="0"/>
        <v>44</v>
      </c>
      <c r="F10" t="s">
        <v>6881</v>
      </c>
      <c r="G10">
        <v>34</v>
      </c>
    </row>
    <row r="11" spans="1:7" x14ac:dyDescent="0.3">
      <c r="A11" t="s">
        <v>6637</v>
      </c>
      <c r="C11" t="str">
        <v>ácido acexámico</v>
      </c>
      <c r="D11">
        <f t="shared" si="0"/>
        <v>3</v>
      </c>
      <c r="F11" t="s">
        <v>6780</v>
      </c>
      <c r="G11">
        <v>33</v>
      </c>
    </row>
    <row r="12" spans="1:7" x14ac:dyDescent="0.3">
      <c r="A12" t="s">
        <v>6637</v>
      </c>
      <c r="C12" t="str">
        <v>ácido alendrónico</v>
      </c>
      <c r="D12">
        <f t="shared" si="0"/>
        <v>27</v>
      </c>
      <c r="F12" t="s">
        <v>6770</v>
      </c>
      <c r="G12">
        <v>32</v>
      </c>
    </row>
    <row r="13" spans="1:7" x14ac:dyDescent="0.3">
      <c r="A13" t="s">
        <v>6637</v>
      </c>
      <c r="C13" t="str">
        <v>ácido ascórbico</v>
      </c>
      <c r="D13">
        <f t="shared" si="0"/>
        <v>16</v>
      </c>
      <c r="F13" t="s">
        <v>6777</v>
      </c>
      <c r="G13">
        <v>32</v>
      </c>
    </row>
    <row r="14" spans="1:7" x14ac:dyDescent="0.3">
      <c r="A14" t="s">
        <v>6637</v>
      </c>
      <c r="C14" t="str">
        <v>ácido bórico</v>
      </c>
      <c r="D14">
        <f t="shared" si="0"/>
        <v>1</v>
      </c>
      <c r="F14" t="s">
        <v>6778</v>
      </c>
      <c r="G14">
        <v>32</v>
      </c>
    </row>
    <row r="15" spans="1:7" x14ac:dyDescent="0.3">
      <c r="A15" t="s">
        <v>6638</v>
      </c>
      <c r="C15" t="str">
        <v>ácido cítrico</v>
      </c>
      <c r="D15">
        <f t="shared" si="0"/>
        <v>5</v>
      </c>
      <c r="F15" t="s">
        <v>6857</v>
      </c>
      <c r="G15">
        <v>32</v>
      </c>
    </row>
    <row r="16" spans="1:7" x14ac:dyDescent="0.3">
      <c r="A16" t="s">
        <v>6639</v>
      </c>
      <c r="C16" t="str">
        <v>ácido clavulánico</v>
      </c>
      <c r="D16">
        <f t="shared" si="0"/>
        <v>15</v>
      </c>
      <c r="F16" t="s">
        <v>7125</v>
      </c>
      <c r="G16">
        <v>30</v>
      </c>
    </row>
    <row r="17" spans="1:7" x14ac:dyDescent="0.3">
      <c r="A17" t="s">
        <v>6639</v>
      </c>
      <c r="C17" t="str">
        <v>ácido fólico</v>
      </c>
      <c r="D17">
        <f t="shared" si="0"/>
        <v>21</v>
      </c>
      <c r="F17" t="s">
        <v>6722</v>
      </c>
      <c r="G17">
        <v>30</v>
      </c>
    </row>
    <row r="18" spans="1:7" x14ac:dyDescent="0.3">
      <c r="A18" t="s">
        <v>7227</v>
      </c>
      <c r="C18" t="str">
        <v>ácido fusídico</v>
      </c>
      <c r="D18">
        <f t="shared" si="0"/>
        <v>6</v>
      </c>
      <c r="F18" t="s">
        <v>7126</v>
      </c>
      <c r="G18">
        <v>30</v>
      </c>
    </row>
    <row r="19" spans="1:7" x14ac:dyDescent="0.3">
      <c r="A19" t="s">
        <v>6640</v>
      </c>
      <c r="C19" t="str">
        <v>ácido nalidixico</v>
      </c>
      <c r="D19">
        <f t="shared" si="0"/>
        <v>1</v>
      </c>
      <c r="F19" t="s">
        <v>435</v>
      </c>
      <c r="G19">
        <v>29</v>
      </c>
    </row>
    <row r="20" spans="1:7" x14ac:dyDescent="0.3">
      <c r="A20" t="s">
        <v>6640</v>
      </c>
      <c r="C20" t="str">
        <v>ácido nalidíxico</v>
      </c>
      <c r="D20">
        <f t="shared" si="0"/>
        <v>2</v>
      </c>
      <c r="F20" t="s">
        <v>7173</v>
      </c>
      <c r="G20">
        <v>29</v>
      </c>
    </row>
    <row r="21" spans="1:7" x14ac:dyDescent="0.3">
      <c r="A21" t="s">
        <v>6640</v>
      </c>
      <c r="C21" t="str">
        <v>acido sorbico</v>
      </c>
      <c r="D21">
        <f t="shared" si="0"/>
        <v>1</v>
      </c>
      <c r="F21" t="s">
        <v>7172</v>
      </c>
      <c r="G21">
        <v>29</v>
      </c>
    </row>
    <row r="22" spans="1:7" x14ac:dyDescent="0.3">
      <c r="A22" t="s">
        <v>6640</v>
      </c>
      <c r="C22" t="str">
        <v>ácido tartárico</v>
      </c>
      <c r="D22">
        <f t="shared" si="0"/>
        <v>2</v>
      </c>
      <c r="F22" t="s">
        <v>6712</v>
      </c>
      <c r="G22">
        <v>28</v>
      </c>
    </row>
    <row r="23" spans="1:7" x14ac:dyDescent="0.3">
      <c r="A23" t="s">
        <v>6640</v>
      </c>
      <c r="C23" t="str">
        <v>ácido undecilénico</v>
      </c>
      <c r="D23">
        <f t="shared" si="0"/>
        <v>1</v>
      </c>
      <c r="F23" t="s">
        <v>6824</v>
      </c>
      <c r="G23">
        <v>28</v>
      </c>
    </row>
    <row r="24" spans="1:7" x14ac:dyDescent="0.3">
      <c r="A24" t="s">
        <v>6640</v>
      </c>
      <c r="C24" t="str">
        <v>ácido ursodeoxicólico</v>
      </c>
      <c r="D24">
        <f t="shared" si="0"/>
        <v>2</v>
      </c>
      <c r="F24" t="s">
        <v>6644</v>
      </c>
      <c r="G24">
        <v>27</v>
      </c>
    </row>
    <row r="25" spans="1:7" x14ac:dyDescent="0.3">
      <c r="A25" t="s">
        <v>6640</v>
      </c>
      <c r="C25" t="str">
        <v>acido ursodeoxicolico 250 mg</v>
      </c>
      <c r="D25">
        <f t="shared" si="0"/>
        <v>1</v>
      </c>
      <c r="F25" t="s">
        <v>6838</v>
      </c>
      <c r="G25">
        <v>27</v>
      </c>
    </row>
    <row r="26" spans="1:7" x14ac:dyDescent="0.3">
      <c r="A26" t="s">
        <v>6640</v>
      </c>
      <c r="C26" t="str">
        <v>ácido valproico</v>
      </c>
      <c r="D26">
        <f t="shared" si="0"/>
        <v>13</v>
      </c>
      <c r="F26" t="s">
        <v>6832</v>
      </c>
      <c r="G26">
        <v>26</v>
      </c>
    </row>
    <row r="27" spans="1:7" x14ac:dyDescent="0.3">
      <c r="A27" t="s">
        <v>6640</v>
      </c>
      <c r="C27" t="str">
        <v>adapalene</v>
      </c>
      <c r="D27">
        <f t="shared" si="0"/>
        <v>5</v>
      </c>
      <c r="F27" t="s">
        <v>7056</v>
      </c>
      <c r="G27">
        <v>25</v>
      </c>
    </row>
    <row r="28" spans="1:7" x14ac:dyDescent="0.3">
      <c r="A28" t="s">
        <v>6640</v>
      </c>
      <c r="C28" t="str">
        <v>adapaleno</v>
      </c>
      <c r="D28">
        <f t="shared" si="0"/>
        <v>5</v>
      </c>
      <c r="F28" t="s">
        <v>6755</v>
      </c>
      <c r="G28">
        <v>25</v>
      </c>
    </row>
    <row r="29" spans="1:7" x14ac:dyDescent="0.3">
      <c r="A29" t="s">
        <v>6640</v>
      </c>
      <c r="C29" t="str">
        <v>adapaleno 0</v>
      </c>
      <c r="D29">
        <f t="shared" si="0"/>
        <v>1</v>
      </c>
      <c r="F29" t="s">
        <v>6790</v>
      </c>
      <c r="G29">
        <v>25</v>
      </c>
    </row>
    <row r="30" spans="1:7" x14ac:dyDescent="0.3">
      <c r="A30" t="s">
        <v>6640</v>
      </c>
      <c r="C30" t="str">
        <v>ademetionine </v>
      </c>
      <c r="D30">
        <f t="shared" si="0"/>
        <v>1</v>
      </c>
      <c r="F30" t="s">
        <v>6668</v>
      </c>
      <c r="G30">
        <v>24</v>
      </c>
    </row>
    <row r="31" spans="1:7" x14ac:dyDescent="0.3">
      <c r="A31" t="s">
        <v>6640</v>
      </c>
      <c r="C31" t="str">
        <v xml:space="preserve">aesculos hippocastanum </v>
      </c>
      <c r="D31">
        <f t="shared" si="0"/>
        <v>1</v>
      </c>
      <c r="F31" t="s">
        <v>7057</v>
      </c>
      <c r="G31">
        <v>24</v>
      </c>
    </row>
    <row r="32" spans="1:7" x14ac:dyDescent="0.3">
      <c r="A32" t="s">
        <v>6640</v>
      </c>
      <c r="C32" t="str">
        <v>aesculus</v>
      </c>
      <c r="D32">
        <f t="shared" si="0"/>
        <v>1</v>
      </c>
      <c r="F32" t="s">
        <v>2202</v>
      </c>
      <c r="G32">
        <v>24</v>
      </c>
    </row>
    <row r="33" spans="1:7" x14ac:dyDescent="0.3">
      <c r="A33" t="s">
        <v>6640</v>
      </c>
      <c r="C33" t="str">
        <v>agents against amoebiasis and other protozoal diseases</v>
      </c>
      <c r="D33">
        <f t="shared" si="0"/>
        <v>7</v>
      </c>
      <c r="F33" t="s">
        <v>392</v>
      </c>
      <c r="G33">
        <v>24</v>
      </c>
    </row>
    <row r="34" spans="1:7" x14ac:dyDescent="0.3">
      <c r="A34" t="s">
        <v>7052</v>
      </c>
      <c r="C34" t="str">
        <v>agents used for adhd and nootropics</v>
      </c>
      <c r="D34">
        <f t="shared" si="0"/>
        <v>1</v>
      </c>
      <c r="F34" t="s">
        <v>6792</v>
      </c>
      <c r="G34">
        <v>24</v>
      </c>
    </row>
    <row r="35" spans="1:7" x14ac:dyDescent="0.3">
      <c r="A35" t="s">
        <v>7052</v>
      </c>
      <c r="C35" t="str">
        <v>agua de mar</v>
      </c>
      <c r="D35">
        <f t="shared" si="0"/>
        <v>2</v>
      </c>
      <c r="F35" t="s">
        <v>7094</v>
      </c>
      <c r="G35">
        <v>24</v>
      </c>
    </row>
    <row r="36" spans="1:7" x14ac:dyDescent="0.3">
      <c r="A36" t="s">
        <v>7052</v>
      </c>
      <c r="C36" t="str">
        <v>albenazol 2g</v>
      </c>
      <c r="D36">
        <f t="shared" si="0"/>
        <v>8</v>
      </c>
      <c r="F36" t="s">
        <v>1992</v>
      </c>
      <c r="G36">
        <v>23</v>
      </c>
    </row>
    <row r="37" spans="1:7" x14ac:dyDescent="0.3">
      <c r="A37" t="s">
        <v>7052</v>
      </c>
      <c r="C37" t="str">
        <v>albendazol</v>
      </c>
      <c r="D37">
        <f t="shared" si="0"/>
        <v>19</v>
      </c>
      <c r="F37" t="s">
        <v>6660</v>
      </c>
      <c r="G37">
        <v>23</v>
      </c>
    </row>
    <row r="38" spans="1:7" x14ac:dyDescent="0.3">
      <c r="A38" t="s">
        <v>6641</v>
      </c>
      <c r="C38" t="str">
        <v>albendazol 2g</v>
      </c>
      <c r="D38">
        <f t="shared" si="0"/>
        <v>1</v>
      </c>
      <c r="F38" t="s">
        <v>1137</v>
      </c>
      <c r="G38">
        <v>23</v>
      </c>
    </row>
    <row r="39" spans="1:7" x14ac:dyDescent="0.3">
      <c r="A39" t="s">
        <v>6641</v>
      </c>
      <c r="C39" t="str">
        <v>albendazole</v>
      </c>
      <c r="D39">
        <f t="shared" si="0"/>
        <v>18</v>
      </c>
      <c r="F39" t="s">
        <v>6698</v>
      </c>
      <c r="G39">
        <v>22</v>
      </c>
    </row>
    <row r="40" spans="1:7" x14ac:dyDescent="0.3">
      <c r="A40" t="s">
        <v>6641</v>
      </c>
      <c r="C40" t="str">
        <v>alcohol polivinilico 14mg</v>
      </c>
      <c r="D40">
        <f t="shared" si="0"/>
        <v>1</v>
      </c>
      <c r="F40" t="s">
        <v>1193</v>
      </c>
      <c r="G40">
        <v>22</v>
      </c>
    </row>
    <row r="41" spans="1:7" x14ac:dyDescent="0.3">
      <c r="A41" t="s">
        <v>6641</v>
      </c>
      <c r="C41" t="str">
        <v>alendronic acid</v>
      </c>
      <c r="D41">
        <f t="shared" si="0"/>
        <v>1</v>
      </c>
      <c r="F41" t="s">
        <v>6646</v>
      </c>
      <c r="G41">
        <v>21</v>
      </c>
    </row>
    <row r="42" spans="1:7" x14ac:dyDescent="0.3">
      <c r="A42" t="s">
        <v>6641</v>
      </c>
      <c r="C42" t="str">
        <v>alfa cetoanálogos de aminoácidos</v>
      </c>
      <c r="D42">
        <f t="shared" si="0"/>
        <v>1</v>
      </c>
      <c r="F42" t="s">
        <v>348</v>
      </c>
      <c r="G42">
        <v>21</v>
      </c>
    </row>
    <row r="43" spans="1:7" x14ac:dyDescent="0.3">
      <c r="A43" t="s">
        <v>1992</v>
      </c>
      <c r="C43" t="str">
        <v>alfa-ceteanálogo de fenilanina de calcio 68mg</v>
      </c>
      <c r="D43">
        <f t="shared" si="0"/>
        <v>4</v>
      </c>
      <c r="F43" t="s">
        <v>6702</v>
      </c>
      <c r="G43">
        <v>20</v>
      </c>
    </row>
    <row r="44" spans="1:7" x14ac:dyDescent="0.3">
      <c r="A44" t="s">
        <v>1992</v>
      </c>
      <c r="C44" t="str">
        <v>alfa-ceteanálogo de isoleucina de calcio 67mg</v>
      </c>
      <c r="D44">
        <f t="shared" si="0"/>
        <v>4</v>
      </c>
      <c r="F44" t="s">
        <v>6820</v>
      </c>
      <c r="G44">
        <v>20</v>
      </c>
    </row>
    <row r="45" spans="1:7" x14ac:dyDescent="0.3">
      <c r="A45" t="s">
        <v>1992</v>
      </c>
      <c r="C45" t="str">
        <v>alfa-ceteanálogo de leucina de calcio 101mg</v>
      </c>
      <c r="D45">
        <f t="shared" si="0"/>
        <v>4</v>
      </c>
      <c r="F45" t="s">
        <v>6845</v>
      </c>
      <c r="G45">
        <v>20</v>
      </c>
    </row>
    <row r="46" spans="1:7" x14ac:dyDescent="0.3">
      <c r="A46" t="s">
        <v>1992</v>
      </c>
      <c r="C46" t="str">
        <v>alfa-ceteanálogo de valina de calcio 86 mg</v>
      </c>
      <c r="D46">
        <f t="shared" si="0"/>
        <v>4</v>
      </c>
      <c r="F46" t="s">
        <v>6895</v>
      </c>
      <c r="G46">
        <v>20</v>
      </c>
    </row>
    <row r="47" spans="1:7" x14ac:dyDescent="0.3">
      <c r="A47" t="s">
        <v>1992</v>
      </c>
      <c r="C47" t="str">
        <v>algestona</v>
      </c>
      <c r="D47">
        <f t="shared" si="0"/>
        <v>1</v>
      </c>
      <c r="F47" t="s">
        <v>6651</v>
      </c>
      <c r="G47">
        <v>19</v>
      </c>
    </row>
    <row r="48" spans="1:7" x14ac:dyDescent="0.3">
      <c r="A48" t="s">
        <v>1992</v>
      </c>
      <c r="C48" t="str">
        <v>alogliptin </v>
      </c>
      <c r="D48">
        <f t="shared" si="0"/>
        <v>1</v>
      </c>
      <c r="F48" t="s">
        <v>1673</v>
      </c>
      <c r="G48">
        <v>18</v>
      </c>
    </row>
    <row r="49" spans="1:7" x14ac:dyDescent="0.3">
      <c r="A49" t="s">
        <v>1992</v>
      </c>
      <c r="C49" t="str">
        <v>alogliptina</v>
      </c>
      <c r="D49">
        <f t="shared" si="0"/>
        <v>5</v>
      </c>
      <c r="F49" t="s">
        <v>6768</v>
      </c>
      <c r="G49">
        <v>18</v>
      </c>
    </row>
    <row r="50" spans="1:7" x14ac:dyDescent="0.3">
      <c r="A50" t="s">
        <v>1992</v>
      </c>
      <c r="C50" t="str">
        <v>alogliptina 25mg</v>
      </c>
      <c r="D50">
        <f t="shared" si="0"/>
        <v>1</v>
      </c>
      <c r="F50" t="s">
        <v>208</v>
      </c>
      <c r="G50">
        <v>18</v>
      </c>
    </row>
    <row r="51" spans="1:7" x14ac:dyDescent="0.3">
      <c r="A51" t="s">
        <v>1992</v>
      </c>
      <c r="C51" t="str">
        <v>alopurinol</v>
      </c>
      <c r="D51">
        <f t="shared" si="0"/>
        <v>2</v>
      </c>
      <c r="F51" t="s">
        <v>6677</v>
      </c>
      <c r="G51">
        <v>17</v>
      </c>
    </row>
    <row r="52" spans="1:7" x14ac:dyDescent="0.3">
      <c r="A52" t="s">
        <v>1992</v>
      </c>
      <c r="C52" t="str">
        <v>alprazolam</v>
      </c>
      <c r="D52">
        <f t="shared" si="0"/>
        <v>4</v>
      </c>
      <c r="F52" t="s">
        <v>6689</v>
      </c>
      <c r="G52">
        <v>17</v>
      </c>
    </row>
    <row r="53" spans="1:7" x14ac:dyDescent="0.3">
      <c r="A53" t="s">
        <v>1992</v>
      </c>
      <c r="C53" t="str">
        <v>alprazolam 0</v>
      </c>
      <c r="D53">
        <f t="shared" si="0"/>
        <v>1</v>
      </c>
      <c r="F53" t="s">
        <v>6767</v>
      </c>
      <c r="G53">
        <v>17</v>
      </c>
    </row>
    <row r="54" spans="1:7" x14ac:dyDescent="0.3">
      <c r="A54" t="s">
        <v>1992</v>
      </c>
      <c r="C54" t="str">
        <v>alprazolam 75 mg</v>
      </c>
      <c r="D54">
        <f t="shared" si="0"/>
        <v>1</v>
      </c>
      <c r="F54" t="s">
        <v>6645</v>
      </c>
      <c r="G54">
        <v>16</v>
      </c>
    </row>
    <row r="55" spans="1:7" x14ac:dyDescent="0.3">
      <c r="A55" t="s">
        <v>1992</v>
      </c>
      <c r="C55" t="str">
        <v>aluminio</v>
      </c>
      <c r="D55">
        <f t="shared" si="0"/>
        <v>8</v>
      </c>
      <c r="F55" t="s">
        <v>6661</v>
      </c>
      <c r="G55">
        <v>16</v>
      </c>
    </row>
    <row r="56" spans="1:7" x14ac:dyDescent="0.3">
      <c r="A56" t="s">
        <v>1992</v>
      </c>
      <c r="C56" t="str">
        <v>alverina</v>
      </c>
      <c r="D56">
        <f t="shared" si="0"/>
        <v>1</v>
      </c>
      <c r="F56" t="s">
        <v>6700</v>
      </c>
      <c r="G56">
        <v>16</v>
      </c>
    </row>
    <row r="57" spans="1:7" x14ac:dyDescent="0.3">
      <c r="A57" t="s">
        <v>1992</v>
      </c>
      <c r="C57" t="str">
        <v>amantadina</v>
      </c>
      <c r="D57">
        <f t="shared" si="0"/>
        <v>12</v>
      </c>
      <c r="F57" t="s">
        <v>6730</v>
      </c>
      <c r="G57">
        <v>16</v>
      </c>
    </row>
    <row r="58" spans="1:7" x14ac:dyDescent="0.3">
      <c r="A58" t="s">
        <v>1992</v>
      </c>
      <c r="C58" t="str">
        <v xml:space="preserve">amantadina </v>
      </c>
      <c r="D58">
        <f t="shared" si="0"/>
        <v>1</v>
      </c>
      <c r="F58" t="s">
        <v>6731</v>
      </c>
      <c r="G58">
        <v>16</v>
      </c>
    </row>
    <row r="59" spans="1:7" x14ac:dyDescent="0.3">
      <c r="A59" t="s">
        <v>1992</v>
      </c>
      <c r="C59" t="str">
        <v>amantadine</v>
      </c>
      <c r="D59">
        <f t="shared" si="0"/>
        <v>1</v>
      </c>
      <c r="F59" t="s">
        <v>6804</v>
      </c>
      <c r="G59">
        <v>16</v>
      </c>
    </row>
    <row r="60" spans="1:7" x14ac:dyDescent="0.3">
      <c r="A60" t="s">
        <v>1992</v>
      </c>
      <c r="C60" t="str">
        <v>ambroxol</v>
      </c>
      <c r="D60">
        <f t="shared" si="0"/>
        <v>29</v>
      </c>
      <c r="F60" t="s">
        <v>6809</v>
      </c>
      <c r="G60">
        <v>16</v>
      </c>
    </row>
    <row r="61" spans="1:7" x14ac:dyDescent="0.3">
      <c r="A61" t="s">
        <v>1992</v>
      </c>
      <c r="C61" t="str">
        <v>ambroxol 0</v>
      </c>
      <c r="D61">
        <f t="shared" si="0"/>
        <v>1</v>
      </c>
      <c r="F61" t="s">
        <v>81</v>
      </c>
      <c r="G61">
        <v>16</v>
      </c>
    </row>
    <row r="62" spans="1:7" x14ac:dyDescent="0.3">
      <c r="A62" t="s">
        <v>1992</v>
      </c>
      <c r="C62" t="str">
        <v>ambroxol 150 mg</v>
      </c>
      <c r="D62">
        <f t="shared" si="0"/>
        <v>3</v>
      </c>
      <c r="F62" t="s">
        <v>6819</v>
      </c>
      <c r="G62">
        <v>16</v>
      </c>
    </row>
    <row r="63" spans="1:7" x14ac:dyDescent="0.3">
      <c r="A63" t="s">
        <v>1992</v>
      </c>
      <c r="C63" t="str">
        <v>ambroxol 30 mg</v>
      </c>
      <c r="D63">
        <f t="shared" si="0"/>
        <v>2</v>
      </c>
      <c r="F63" t="s">
        <v>6640</v>
      </c>
      <c r="G63">
        <v>15</v>
      </c>
    </row>
    <row r="64" spans="1:7" x14ac:dyDescent="0.3">
      <c r="A64" t="s">
        <v>1992</v>
      </c>
      <c r="C64" t="str">
        <v>ambroxol 7</v>
      </c>
      <c r="D64">
        <f t="shared" si="0"/>
        <v>2</v>
      </c>
      <c r="F64" t="s">
        <v>7077</v>
      </c>
      <c r="G64">
        <v>15</v>
      </c>
    </row>
    <row r="65" spans="1:7" x14ac:dyDescent="0.3">
      <c r="A65" t="s">
        <v>1992</v>
      </c>
      <c r="C65" t="str">
        <v>ambroxol 9</v>
      </c>
      <c r="D65">
        <f t="shared" si="0"/>
        <v>1</v>
      </c>
      <c r="F65" t="s">
        <v>6719</v>
      </c>
      <c r="G65">
        <v>15</v>
      </c>
    </row>
    <row r="66" spans="1:7" x14ac:dyDescent="0.3">
      <c r="A66" t="s">
        <v>6642</v>
      </c>
      <c r="C66" t="str">
        <v>amikacin</v>
      </c>
      <c r="D66">
        <f t="shared" ref="D66:D129" si="1">COUNTIF(A$1:A$4322,C66)</f>
        <v>1</v>
      </c>
      <c r="F66" t="s">
        <v>6726</v>
      </c>
      <c r="G66">
        <v>15</v>
      </c>
    </row>
    <row r="67" spans="1:7" x14ac:dyDescent="0.3">
      <c r="A67" t="s">
        <v>6642</v>
      </c>
      <c r="C67" t="str">
        <v>amikacina</v>
      </c>
      <c r="D67">
        <f t="shared" si="1"/>
        <v>2</v>
      </c>
      <c r="F67" t="s">
        <v>7107</v>
      </c>
      <c r="G67">
        <v>15</v>
      </c>
    </row>
    <row r="68" spans="1:7" x14ac:dyDescent="0.3">
      <c r="A68" t="s">
        <v>6642</v>
      </c>
      <c r="C68" t="str">
        <v>amino acids</v>
      </c>
      <c r="D68">
        <f t="shared" si="1"/>
        <v>4</v>
      </c>
      <c r="F68" t="s">
        <v>1987</v>
      </c>
      <c r="G68">
        <v>15</v>
      </c>
    </row>
    <row r="69" spans="1:7" x14ac:dyDescent="0.3">
      <c r="A69" t="s">
        <v>6642</v>
      </c>
      <c r="C69" t="str">
        <v>amiodarone </v>
      </c>
      <c r="D69">
        <f t="shared" si="1"/>
        <v>2</v>
      </c>
      <c r="F69" t="s">
        <v>7071</v>
      </c>
      <c r="G69">
        <v>15</v>
      </c>
    </row>
    <row r="70" spans="1:7" x14ac:dyDescent="0.3">
      <c r="A70" t="s">
        <v>6642</v>
      </c>
      <c r="C70" t="str">
        <v>amitriptilina</v>
      </c>
      <c r="D70">
        <f t="shared" si="1"/>
        <v>2</v>
      </c>
      <c r="F70" t="s">
        <v>6669</v>
      </c>
      <c r="G70">
        <v>14</v>
      </c>
    </row>
    <row r="71" spans="1:7" x14ac:dyDescent="0.3">
      <c r="A71" t="s">
        <v>6642</v>
      </c>
      <c r="C71" t="str">
        <v>amlodipine and diuretics </v>
      </c>
      <c r="D71">
        <f t="shared" si="1"/>
        <v>3</v>
      </c>
      <c r="F71" t="s">
        <v>7055</v>
      </c>
      <c r="G71">
        <v>14</v>
      </c>
    </row>
    <row r="72" spans="1:7" x14ac:dyDescent="0.3">
      <c r="A72" t="s">
        <v>6642</v>
      </c>
      <c r="C72" t="str">
        <v>amlodipine and hydrochlorothiazide </v>
      </c>
      <c r="D72">
        <f t="shared" si="1"/>
        <v>2</v>
      </c>
      <c r="F72" t="s">
        <v>1623</v>
      </c>
      <c r="G72">
        <v>14</v>
      </c>
    </row>
    <row r="73" spans="1:7" x14ac:dyDescent="0.3">
      <c r="A73" t="s">
        <v>6642</v>
      </c>
      <c r="C73" t="str">
        <v>amlodipine and indapamide </v>
      </c>
      <c r="D73">
        <f t="shared" si="1"/>
        <v>6</v>
      </c>
      <c r="F73" t="s">
        <v>6723</v>
      </c>
      <c r="G73">
        <v>14</v>
      </c>
    </row>
    <row r="74" spans="1:7" x14ac:dyDescent="0.3">
      <c r="A74" t="s">
        <v>6642</v>
      </c>
      <c r="C74" t="str">
        <v>amlodipine </v>
      </c>
      <c r="D74">
        <f t="shared" si="1"/>
        <v>4</v>
      </c>
      <c r="F74" t="s">
        <v>6729</v>
      </c>
      <c r="G74">
        <v>14</v>
      </c>
    </row>
    <row r="75" spans="1:7" x14ac:dyDescent="0.3">
      <c r="A75" t="s">
        <v>6642</v>
      </c>
      <c r="C75" t="str">
        <v>amlodipino</v>
      </c>
      <c r="D75">
        <f t="shared" si="1"/>
        <v>7</v>
      </c>
      <c r="F75" t="s">
        <v>6800</v>
      </c>
      <c r="G75">
        <v>14</v>
      </c>
    </row>
    <row r="76" spans="1:7" x14ac:dyDescent="0.3">
      <c r="A76" t="s">
        <v>6642</v>
      </c>
      <c r="C76" t="str">
        <v>amlodipino 10 mg</v>
      </c>
      <c r="D76">
        <f t="shared" si="1"/>
        <v>1</v>
      </c>
      <c r="F76" t="s">
        <v>6649</v>
      </c>
      <c r="G76">
        <v>13</v>
      </c>
    </row>
    <row r="77" spans="1:7" x14ac:dyDescent="0.3">
      <c r="A77" t="s">
        <v>6642</v>
      </c>
      <c r="C77" t="str">
        <v>amlodipino 10mg</v>
      </c>
      <c r="D77">
        <f t="shared" si="1"/>
        <v>2</v>
      </c>
      <c r="F77" t="s">
        <v>6797</v>
      </c>
      <c r="G77">
        <v>13</v>
      </c>
    </row>
    <row r="78" spans="1:7" x14ac:dyDescent="0.3">
      <c r="A78" t="s">
        <v>6642</v>
      </c>
      <c r="C78" t="str">
        <v>amlodipino 2</v>
      </c>
      <c r="D78">
        <f t="shared" si="1"/>
        <v>2</v>
      </c>
      <c r="F78" t="s">
        <v>6875</v>
      </c>
      <c r="G78">
        <v>13</v>
      </c>
    </row>
    <row r="79" spans="1:7" x14ac:dyDescent="0.3">
      <c r="A79" t="s">
        <v>6642</v>
      </c>
      <c r="C79" t="str">
        <v>amlodipino 5mg</v>
      </c>
      <c r="D79">
        <f t="shared" si="1"/>
        <v>7</v>
      </c>
      <c r="F79" t="s">
        <v>7073</v>
      </c>
      <c r="G79">
        <v>12</v>
      </c>
    </row>
    <row r="80" spans="1:7" x14ac:dyDescent="0.3">
      <c r="A80" t="s">
        <v>6642</v>
      </c>
      <c r="C80" t="str">
        <v>amoxicilina</v>
      </c>
      <c r="D80">
        <f t="shared" si="1"/>
        <v>63</v>
      </c>
      <c r="F80" t="s">
        <v>6741</v>
      </c>
      <c r="G80">
        <v>12</v>
      </c>
    </row>
    <row r="81" spans="1:7" x14ac:dyDescent="0.3">
      <c r="A81" t="s">
        <v>6642</v>
      </c>
      <c r="C81" t="str">
        <v>amoxicilina 500 mg</v>
      </c>
      <c r="D81">
        <f t="shared" si="1"/>
        <v>1</v>
      </c>
      <c r="F81" t="s">
        <v>362</v>
      </c>
      <c r="G81">
        <v>12</v>
      </c>
    </row>
    <row r="82" spans="1:7" x14ac:dyDescent="0.3">
      <c r="A82" t="s">
        <v>6642</v>
      </c>
      <c r="C82" t="str">
        <v>amoxicilina 875mg</v>
      </c>
      <c r="D82">
        <f t="shared" si="1"/>
        <v>1</v>
      </c>
      <c r="F82" t="s">
        <v>6894</v>
      </c>
      <c r="G82">
        <v>12</v>
      </c>
    </row>
    <row r="83" spans="1:7" x14ac:dyDescent="0.3">
      <c r="A83" t="s">
        <v>6642</v>
      </c>
      <c r="C83" t="str">
        <v xml:space="preserve">amoxicilina 875mg </v>
      </c>
      <c r="D83">
        <f t="shared" si="1"/>
        <v>1</v>
      </c>
      <c r="F83" t="s">
        <v>6683</v>
      </c>
      <c r="G83">
        <v>11</v>
      </c>
    </row>
    <row r="84" spans="1:7" x14ac:dyDescent="0.3">
      <c r="A84" t="s">
        <v>6642</v>
      </c>
      <c r="C84" t="str">
        <v>amoxicilina trihidratada</v>
      </c>
      <c r="D84">
        <f t="shared" si="1"/>
        <v>1</v>
      </c>
      <c r="F84" t="s">
        <v>6684</v>
      </c>
      <c r="G84">
        <v>11</v>
      </c>
    </row>
    <row r="85" spans="1:7" x14ac:dyDescent="0.3">
      <c r="A85" t="s">
        <v>6642</v>
      </c>
      <c r="C85" t="str">
        <v>amoxicillin</v>
      </c>
      <c r="D85">
        <f t="shared" si="1"/>
        <v>10</v>
      </c>
      <c r="F85" t="s">
        <v>1574</v>
      </c>
      <c r="G85">
        <v>11</v>
      </c>
    </row>
    <row r="86" spans="1:7" x14ac:dyDescent="0.3">
      <c r="A86" t="s">
        <v>6642</v>
      </c>
      <c r="C86" t="str">
        <v>amoxicillin and beta-lactamase inhibitor</v>
      </c>
      <c r="D86">
        <f t="shared" si="1"/>
        <v>3</v>
      </c>
      <c r="F86" t="s">
        <v>6740</v>
      </c>
      <c r="G86">
        <v>11</v>
      </c>
    </row>
    <row r="87" spans="1:7" x14ac:dyDescent="0.3">
      <c r="A87" t="s">
        <v>6642</v>
      </c>
      <c r="C87" t="str">
        <v>ampicilina</v>
      </c>
      <c r="D87">
        <f t="shared" si="1"/>
        <v>2</v>
      </c>
      <c r="F87" t="s">
        <v>6753</v>
      </c>
      <c r="G87">
        <v>11</v>
      </c>
    </row>
    <row r="88" spans="1:7" x14ac:dyDescent="0.3">
      <c r="A88" t="s">
        <v>6642</v>
      </c>
      <c r="C88" t="str">
        <v>analgesics</v>
      </c>
      <c r="D88">
        <f t="shared" si="1"/>
        <v>1</v>
      </c>
      <c r="F88" t="s">
        <v>6762</v>
      </c>
      <c r="G88">
        <v>11</v>
      </c>
    </row>
    <row r="89" spans="1:7" x14ac:dyDescent="0.3">
      <c r="A89" t="s">
        <v>6642</v>
      </c>
      <c r="C89" t="str">
        <v>anesthetics</v>
      </c>
      <c r="D89">
        <f t="shared" si="1"/>
        <v>1</v>
      </c>
      <c r="F89" t="s">
        <v>1370</v>
      </c>
      <c r="G89">
        <v>11</v>
      </c>
    </row>
    <row r="90" spans="1:7" x14ac:dyDescent="0.3">
      <c r="A90" t="s">
        <v>6642</v>
      </c>
      <c r="C90" t="str">
        <v>angiotensin ii receptor blockers (arbs)</v>
      </c>
      <c r="D90">
        <f t="shared" si="1"/>
        <v>2</v>
      </c>
      <c r="F90" t="s">
        <v>6834</v>
      </c>
      <c r="G90">
        <v>11</v>
      </c>
    </row>
    <row r="91" spans="1:7" x14ac:dyDescent="0.3">
      <c r="A91" t="s">
        <v>6642</v>
      </c>
      <c r="C91" t="str">
        <v>antibiotics and corticosteroids</v>
      </c>
      <c r="D91">
        <f t="shared" si="1"/>
        <v>1</v>
      </c>
      <c r="F91" t="s">
        <v>6860</v>
      </c>
      <c r="G91">
        <v>11</v>
      </c>
    </row>
    <row r="92" spans="1:7" x14ac:dyDescent="0.3">
      <c r="A92" t="s">
        <v>6642</v>
      </c>
      <c r="C92" t="str">
        <v>antidiarrheal microorganisms</v>
      </c>
      <c r="D92">
        <f t="shared" si="1"/>
        <v>2</v>
      </c>
      <c r="F92" t="s">
        <v>6901</v>
      </c>
      <c r="G92">
        <v>11</v>
      </c>
    </row>
    <row r="93" spans="1:7" x14ac:dyDescent="0.3">
      <c r="A93" t="s">
        <v>6642</v>
      </c>
      <c r="C93" t="str">
        <v>antifungals for topical use</v>
      </c>
      <c r="D93">
        <f t="shared" si="1"/>
        <v>1</v>
      </c>
      <c r="F93" t="s">
        <v>325</v>
      </c>
      <c r="G93">
        <v>10</v>
      </c>
    </row>
    <row r="94" spans="1:7" x14ac:dyDescent="0.3">
      <c r="A94" t="s">
        <v>6642</v>
      </c>
      <c r="C94" t="str">
        <v>apixabán</v>
      </c>
      <c r="D94">
        <f t="shared" si="1"/>
        <v>1</v>
      </c>
      <c r="F94" t="s">
        <v>6662</v>
      </c>
      <c r="G94">
        <v>10</v>
      </c>
    </row>
    <row r="95" spans="1:7" x14ac:dyDescent="0.3">
      <c r="A95" t="s">
        <v>6642</v>
      </c>
      <c r="C95" t="str">
        <v>apixaban 5 mg</v>
      </c>
      <c r="D95">
        <f t="shared" si="1"/>
        <v>1</v>
      </c>
      <c r="F95" t="s">
        <v>6678</v>
      </c>
      <c r="G95">
        <v>10</v>
      </c>
    </row>
    <row r="96" spans="1:7" x14ac:dyDescent="0.3">
      <c r="A96" t="s">
        <v>6642</v>
      </c>
      <c r="C96" t="str">
        <v>apixaban </v>
      </c>
      <c r="D96">
        <f t="shared" si="1"/>
        <v>5</v>
      </c>
      <c r="F96" t="s">
        <v>6686</v>
      </c>
      <c r="G96">
        <v>10</v>
      </c>
    </row>
    <row r="97" spans="1:7" x14ac:dyDescent="0.3">
      <c r="A97" t="s">
        <v>6642</v>
      </c>
      <c r="C97" t="str">
        <v>artificial tears and other indifferent preparations</v>
      </c>
      <c r="D97">
        <f t="shared" si="1"/>
        <v>3</v>
      </c>
      <c r="F97" t="s">
        <v>6692</v>
      </c>
      <c r="G97">
        <v>10</v>
      </c>
    </row>
    <row r="98" spans="1:7" x14ac:dyDescent="0.3">
      <c r="A98" t="s">
        <v>6642</v>
      </c>
      <c r="C98" t="str">
        <v>ascorbic acid (vit c)</v>
      </c>
      <c r="D98">
        <f t="shared" si="1"/>
        <v>6</v>
      </c>
      <c r="F98" t="s">
        <v>6958</v>
      </c>
      <c r="G98">
        <v>10</v>
      </c>
    </row>
    <row r="99" spans="1:7" x14ac:dyDescent="0.3">
      <c r="A99" t="s">
        <v>6642</v>
      </c>
      <c r="C99" t="str">
        <v>atenolol</v>
      </c>
      <c r="D99">
        <f t="shared" si="1"/>
        <v>8</v>
      </c>
      <c r="F99" t="s">
        <v>7183</v>
      </c>
      <c r="G99">
        <v>10</v>
      </c>
    </row>
    <row r="100" spans="1:7" x14ac:dyDescent="0.3">
      <c r="A100" t="s">
        <v>6642</v>
      </c>
      <c r="C100" t="str">
        <v>atenolol and nifedipine </v>
      </c>
      <c r="D100">
        <f t="shared" si="1"/>
        <v>5</v>
      </c>
      <c r="F100" t="s">
        <v>6847</v>
      </c>
      <c r="G100">
        <v>10</v>
      </c>
    </row>
    <row r="101" spans="1:7" x14ac:dyDescent="0.3">
      <c r="A101" t="s">
        <v>6642</v>
      </c>
      <c r="C101" t="str">
        <v>atomoxetina</v>
      </c>
      <c r="D101">
        <f t="shared" si="1"/>
        <v>23</v>
      </c>
      <c r="F101" t="s">
        <v>6851</v>
      </c>
      <c r="G101">
        <v>10</v>
      </c>
    </row>
    <row r="102" spans="1:7" x14ac:dyDescent="0.3">
      <c r="A102" t="s">
        <v>6642</v>
      </c>
      <c r="C102" t="str">
        <v>atorvastatin and ezetimibe </v>
      </c>
      <c r="D102">
        <f t="shared" si="1"/>
        <v>1</v>
      </c>
      <c r="F102" t="s">
        <v>6862</v>
      </c>
      <c r="G102">
        <v>10</v>
      </c>
    </row>
    <row r="103" spans="1:7" x14ac:dyDescent="0.3">
      <c r="A103" t="s">
        <v>6642</v>
      </c>
      <c r="C103" t="str">
        <v>atorvastatin </v>
      </c>
      <c r="D103">
        <f t="shared" si="1"/>
        <v>7</v>
      </c>
      <c r="F103" t="s">
        <v>6863</v>
      </c>
      <c r="G103">
        <v>10</v>
      </c>
    </row>
    <row r="104" spans="1:7" x14ac:dyDescent="0.3">
      <c r="A104" t="s">
        <v>6642</v>
      </c>
      <c r="C104" t="str">
        <v>atorvastatina</v>
      </c>
      <c r="D104">
        <f t="shared" si="1"/>
        <v>16</v>
      </c>
      <c r="F104" t="s">
        <v>2587</v>
      </c>
      <c r="G104">
        <v>10</v>
      </c>
    </row>
    <row r="105" spans="1:7" x14ac:dyDescent="0.3">
      <c r="A105" t="s">
        <v>6642</v>
      </c>
      <c r="C105" t="str">
        <v>atorvastatina 20mg</v>
      </c>
      <c r="D105">
        <f t="shared" si="1"/>
        <v>4</v>
      </c>
      <c r="F105" t="s">
        <v>7039</v>
      </c>
      <c r="G105">
        <v>10</v>
      </c>
    </row>
    <row r="106" spans="1:7" x14ac:dyDescent="0.3">
      <c r="A106" t="s">
        <v>6642</v>
      </c>
      <c r="C106" t="str">
        <v>atorvastatina 40 mg</v>
      </c>
      <c r="D106">
        <f t="shared" si="1"/>
        <v>1</v>
      </c>
      <c r="F106" t="s">
        <v>6872</v>
      </c>
      <c r="G106">
        <v>10</v>
      </c>
    </row>
    <row r="107" spans="1:7" x14ac:dyDescent="0.3">
      <c r="A107" t="s">
        <v>6642</v>
      </c>
      <c r="C107" t="str">
        <v>azithromycin</v>
      </c>
      <c r="D107">
        <f t="shared" si="1"/>
        <v>2</v>
      </c>
      <c r="F107" t="s">
        <v>1535</v>
      </c>
      <c r="G107">
        <v>10</v>
      </c>
    </row>
    <row r="108" spans="1:7" x14ac:dyDescent="0.3">
      <c r="A108" t="s">
        <v>6642</v>
      </c>
      <c r="C108" t="str">
        <v>azitromicina</v>
      </c>
      <c r="D108">
        <f t="shared" si="1"/>
        <v>10</v>
      </c>
      <c r="F108" t="s">
        <v>6900</v>
      </c>
      <c r="G108">
        <v>10</v>
      </c>
    </row>
    <row r="109" spans="1:7" x14ac:dyDescent="0.3">
      <c r="A109" t="s">
        <v>6642</v>
      </c>
      <c r="C109" t="str">
        <v>bacitracina</v>
      </c>
      <c r="D109">
        <f t="shared" si="1"/>
        <v>1</v>
      </c>
      <c r="F109" t="s">
        <v>6637</v>
      </c>
      <c r="G109">
        <v>9</v>
      </c>
    </row>
    <row r="110" spans="1:7" x14ac:dyDescent="0.3">
      <c r="A110" t="s">
        <v>6643</v>
      </c>
      <c r="C110" t="str">
        <v>bencidamina</v>
      </c>
      <c r="D110">
        <f t="shared" si="1"/>
        <v>1</v>
      </c>
      <c r="F110" t="s">
        <v>6680</v>
      </c>
      <c r="G110">
        <v>9</v>
      </c>
    </row>
    <row r="111" spans="1:7" x14ac:dyDescent="0.3">
      <c r="A111" t="s">
        <v>6643</v>
      </c>
      <c r="C111" t="str">
        <v>bencidamina 150 mg</v>
      </c>
      <c r="D111">
        <f t="shared" si="1"/>
        <v>1</v>
      </c>
      <c r="F111" t="s">
        <v>398</v>
      </c>
      <c r="G111">
        <v>9</v>
      </c>
    </row>
    <row r="112" spans="1:7" x14ac:dyDescent="0.3">
      <c r="A112" t="s">
        <v>6643</v>
      </c>
      <c r="C112" t="str">
        <v>bencilpenicilina cristalina</v>
      </c>
      <c r="D112">
        <f t="shared" si="1"/>
        <v>1</v>
      </c>
      <c r="F112" t="s">
        <v>6937</v>
      </c>
      <c r="G112">
        <v>9</v>
      </c>
    </row>
    <row r="113" spans="1:7" x14ac:dyDescent="0.3">
      <c r="A113" t="s">
        <v>6644</v>
      </c>
      <c r="C113" t="str">
        <v>bencilpenicilina procaína</v>
      </c>
      <c r="D113">
        <f t="shared" si="1"/>
        <v>1</v>
      </c>
      <c r="F113" t="s">
        <v>6703</v>
      </c>
      <c r="G113">
        <v>9</v>
      </c>
    </row>
    <row r="114" spans="1:7" x14ac:dyDescent="0.3">
      <c r="A114" t="s">
        <v>6644</v>
      </c>
      <c r="C114" t="str">
        <v>benserazida</v>
      </c>
      <c r="D114">
        <f t="shared" si="1"/>
        <v>5</v>
      </c>
      <c r="F114" t="s">
        <v>6717</v>
      </c>
      <c r="G114">
        <v>9</v>
      </c>
    </row>
    <row r="115" spans="1:7" x14ac:dyDescent="0.3">
      <c r="A115" t="s">
        <v>6644</v>
      </c>
      <c r="C115" t="str">
        <v>benzalconio 0</v>
      </c>
      <c r="D115">
        <f t="shared" si="1"/>
        <v>1</v>
      </c>
      <c r="F115" t="s">
        <v>7296</v>
      </c>
      <c r="G115">
        <v>9</v>
      </c>
    </row>
    <row r="116" spans="1:7" x14ac:dyDescent="0.3">
      <c r="A116" t="s">
        <v>6644</v>
      </c>
      <c r="C116" t="str">
        <v>benzalkonium</v>
      </c>
      <c r="D116">
        <f t="shared" si="1"/>
        <v>2</v>
      </c>
      <c r="F116" t="s">
        <v>1132</v>
      </c>
      <c r="G116">
        <v>9</v>
      </c>
    </row>
    <row r="117" spans="1:7" x14ac:dyDescent="0.3">
      <c r="A117" t="s">
        <v>6644</v>
      </c>
      <c r="C117" t="str">
        <v>benzoato de bencilo</v>
      </c>
      <c r="D117">
        <f t="shared" si="1"/>
        <v>2</v>
      </c>
      <c r="F117" t="s">
        <v>6763</v>
      </c>
      <c r="G117">
        <v>9</v>
      </c>
    </row>
    <row r="118" spans="1:7" x14ac:dyDescent="0.3">
      <c r="A118" t="s">
        <v>6644</v>
      </c>
      <c r="C118" t="str">
        <v>benzocaina</v>
      </c>
      <c r="D118">
        <f t="shared" si="1"/>
        <v>2</v>
      </c>
      <c r="F118" t="s">
        <v>662</v>
      </c>
      <c r="G118">
        <v>9</v>
      </c>
    </row>
    <row r="119" spans="1:7" x14ac:dyDescent="0.3">
      <c r="A119" t="s">
        <v>6644</v>
      </c>
      <c r="C119" t="str">
        <v>benzocaína</v>
      </c>
      <c r="D119">
        <f t="shared" si="1"/>
        <v>2</v>
      </c>
      <c r="F119" t="s">
        <v>6787</v>
      </c>
      <c r="G119">
        <v>9</v>
      </c>
    </row>
    <row r="120" spans="1:7" x14ac:dyDescent="0.3">
      <c r="A120" t="s">
        <v>6644</v>
      </c>
      <c r="C120" t="str">
        <v>benzocaína 20 mg</v>
      </c>
      <c r="D120">
        <f t="shared" si="1"/>
        <v>1</v>
      </c>
      <c r="F120" t="s">
        <v>7206</v>
      </c>
      <c r="G120">
        <v>9</v>
      </c>
    </row>
    <row r="121" spans="1:7" x14ac:dyDescent="0.3">
      <c r="A121" t="s">
        <v>6644</v>
      </c>
      <c r="C121" t="str">
        <v>benzocaine</v>
      </c>
      <c r="D121">
        <f t="shared" si="1"/>
        <v>1</v>
      </c>
      <c r="F121" t="s">
        <v>6807</v>
      </c>
      <c r="G121">
        <v>9</v>
      </c>
    </row>
    <row r="122" spans="1:7" x14ac:dyDescent="0.3">
      <c r="A122" t="s">
        <v>6644</v>
      </c>
      <c r="C122" t="str">
        <v>benzonatate</v>
      </c>
      <c r="D122">
        <f t="shared" si="1"/>
        <v>5</v>
      </c>
      <c r="F122" t="s">
        <v>7147</v>
      </c>
      <c r="G122">
        <v>9</v>
      </c>
    </row>
    <row r="123" spans="1:7" x14ac:dyDescent="0.3">
      <c r="A123" t="s">
        <v>6644</v>
      </c>
      <c r="C123" t="str">
        <v>benzonatato</v>
      </c>
      <c r="D123">
        <f t="shared" si="1"/>
        <v>7</v>
      </c>
      <c r="F123" t="s">
        <v>7001</v>
      </c>
      <c r="G123">
        <v>9</v>
      </c>
    </row>
    <row r="124" spans="1:7" x14ac:dyDescent="0.3">
      <c r="A124" t="s">
        <v>6644</v>
      </c>
      <c r="C124" t="str">
        <v>benzonatato 100 mg</v>
      </c>
      <c r="D124">
        <f t="shared" si="1"/>
        <v>3</v>
      </c>
      <c r="F124" t="s">
        <v>6842</v>
      </c>
      <c r="G124">
        <v>9</v>
      </c>
    </row>
    <row r="125" spans="1:7" x14ac:dyDescent="0.3">
      <c r="A125" t="s">
        <v>6644</v>
      </c>
      <c r="C125" t="str">
        <v>benzonato 100mg</v>
      </c>
      <c r="D125">
        <f t="shared" si="1"/>
        <v>1</v>
      </c>
      <c r="F125" t="s">
        <v>7160</v>
      </c>
      <c r="G125">
        <v>9</v>
      </c>
    </row>
    <row r="126" spans="1:7" x14ac:dyDescent="0.3">
      <c r="A126" t="s">
        <v>6644</v>
      </c>
      <c r="C126" t="str">
        <v>benzydamine</v>
      </c>
      <c r="D126">
        <f t="shared" si="1"/>
        <v>1</v>
      </c>
      <c r="F126" t="s">
        <v>6870</v>
      </c>
      <c r="G126">
        <v>9</v>
      </c>
    </row>
    <row r="127" spans="1:7" x14ac:dyDescent="0.3">
      <c r="A127" t="s">
        <v>6644</v>
      </c>
      <c r="C127" t="str">
        <v>betahistina</v>
      </c>
      <c r="D127">
        <f t="shared" si="1"/>
        <v>3</v>
      </c>
      <c r="F127" t="s">
        <v>6873</v>
      </c>
      <c r="G127">
        <v>9</v>
      </c>
    </row>
    <row r="128" spans="1:7" x14ac:dyDescent="0.3">
      <c r="A128" t="s">
        <v>6644</v>
      </c>
      <c r="C128" t="str">
        <v>betahistina 24 mfg</v>
      </c>
      <c r="D128">
        <f t="shared" si="1"/>
        <v>1</v>
      </c>
      <c r="F128" t="s">
        <v>6882</v>
      </c>
      <c r="G128">
        <v>9</v>
      </c>
    </row>
    <row r="129" spans="1:7" x14ac:dyDescent="0.3">
      <c r="A129" t="s">
        <v>6644</v>
      </c>
      <c r="C129" t="str">
        <v>betahistine</v>
      </c>
      <c r="D129">
        <f t="shared" si="1"/>
        <v>2</v>
      </c>
      <c r="F129" t="s">
        <v>6887</v>
      </c>
      <c r="G129">
        <v>9</v>
      </c>
    </row>
    <row r="130" spans="1:7" x14ac:dyDescent="0.3">
      <c r="A130" t="s">
        <v>6644</v>
      </c>
      <c r="C130" t="str">
        <v>beta-lactamase sensitive penicillins</v>
      </c>
      <c r="D130">
        <f t="shared" ref="D130:D193" si="2">COUNTIF(A$1:A$4322,C130)</f>
        <v>1</v>
      </c>
      <c r="F130" t="s">
        <v>6888</v>
      </c>
      <c r="G130">
        <v>9</v>
      </c>
    </row>
    <row r="131" spans="1:7" x14ac:dyDescent="0.3">
      <c r="A131" t="s">
        <v>6644</v>
      </c>
      <c r="C131" t="str">
        <v>betametasona</v>
      </c>
      <c r="D131">
        <f t="shared" si="2"/>
        <v>24</v>
      </c>
      <c r="F131" t="s">
        <v>7176</v>
      </c>
      <c r="G131">
        <v>8</v>
      </c>
    </row>
    <row r="132" spans="1:7" x14ac:dyDescent="0.3">
      <c r="A132" t="s">
        <v>6644</v>
      </c>
      <c r="C132" t="str">
        <v>betametasona 50 mg</v>
      </c>
      <c r="D132">
        <f t="shared" si="2"/>
        <v>1</v>
      </c>
      <c r="F132" t="s">
        <v>7069</v>
      </c>
      <c r="G132">
        <v>8</v>
      </c>
    </row>
    <row r="133" spans="1:7" x14ac:dyDescent="0.3">
      <c r="A133" t="s">
        <v>6644</v>
      </c>
      <c r="C133" t="str">
        <v>betametasona 8mg</v>
      </c>
      <c r="D133">
        <f t="shared" si="2"/>
        <v>1</v>
      </c>
      <c r="F133" t="s">
        <v>6659</v>
      </c>
      <c r="G133">
        <v>8</v>
      </c>
    </row>
    <row r="134" spans="1:7" x14ac:dyDescent="0.3">
      <c r="A134" t="s">
        <v>6644</v>
      </c>
      <c r="C134" t="str">
        <v>betamethasone</v>
      </c>
      <c r="D134">
        <f t="shared" si="2"/>
        <v>2</v>
      </c>
      <c r="F134" t="s">
        <v>6695</v>
      </c>
      <c r="G134">
        <v>8</v>
      </c>
    </row>
    <row r="135" spans="1:7" x14ac:dyDescent="0.3">
      <c r="A135" t="s">
        <v>6644</v>
      </c>
      <c r="C135" t="str">
        <v>betamethasone and antibiotics</v>
      </c>
      <c r="D135">
        <f t="shared" si="2"/>
        <v>2</v>
      </c>
      <c r="F135" t="s">
        <v>1806</v>
      </c>
      <c r="G135">
        <v>8</v>
      </c>
    </row>
    <row r="136" spans="1:7" x14ac:dyDescent="0.3">
      <c r="A136" t="s">
        <v>6644</v>
      </c>
      <c r="C136" t="str">
        <v>bezafibrate </v>
      </c>
      <c r="D136">
        <f t="shared" si="2"/>
        <v>1</v>
      </c>
      <c r="F136" t="s">
        <v>624</v>
      </c>
      <c r="G136">
        <v>8</v>
      </c>
    </row>
    <row r="137" spans="1:7" x14ac:dyDescent="0.3">
      <c r="A137" t="s">
        <v>6644</v>
      </c>
      <c r="C137" t="str">
        <v>bezafibrato</v>
      </c>
      <c r="D137">
        <f t="shared" si="2"/>
        <v>14</v>
      </c>
      <c r="F137" t="s">
        <v>6786</v>
      </c>
      <c r="G137">
        <v>8</v>
      </c>
    </row>
    <row r="138" spans="1:7" x14ac:dyDescent="0.3">
      <c r="A138" t="s">
        <v>6644</v>
      </c>
      <c r="C138" t="str">
        <v>bezafibrato 200mg</v>
      </c>
      <c r="D138">
        <f t="shared" si="2"/>
        <v>1</v>
      </c>
      <c r="F138" t="s">
        <v>6803</v>
      </c>
      <c r="G138">
        <v>8</v>
      </c>
    </row>
    <row r="139" spans="1:7" x14ac:dyDescent="0.3">
      <c r="A139" t="s">
        <v>6644</v>
      </c>
      <c r="C139" t="str">
        <v>bicarbonato de potasio</v>
      </c>
      <c r="D139">
        <f t="shared" si="2"/>
        <v>1</v>
      </c>
      <c r="F139" t="s">
        <v>1223</v>
      </c>
      <c r="G139">
        <v>8</v>
      </c>
    </row>
    <row r="140" spans="1:7" x14ac:dyDescent="0.3">
      <c r="A140" t="s">
        <v>6645</v>
      </c>
      <c r="C140" t="str">
        <v>bicarbonato de sodio</v>
      </c>
      <c r="D140">
        <f t="shared" si="2"/>
        <v>3</v>
      </c>
      <c r="F140" t="s">
        <v>7070</v>
      </c>
      <c r="G140">
        <v>8</v>
      </c>
    </row>
    <row r="141" spans="1:7" x14ac:dyDescent="0.3">
      <c r="A141" t="s">
        <v>6645</v>
      </c>
      <c r="C141" t="str">
        <v>bifonazol 1 g</v>
      </c>
      <c r="D141">
        <f t="shared" si="2"/>
        <v>1</v>
      </c>
      <c r="F141" t="s">
        <v>7133</v>
      </c>
      <c r="G141">
        <v>8</v>
      </c>
    </row>
    <row r="142" spans="1:7" x14ac:dyDescent="0.3">
      <c r="A142" t="s">
        <v>6645</v>
      </c>
      <c r="C142" t="str">
        <v>bifonazol 1g</v>
      </c>
      <c r="D142">
        <f t="shared" si="2"/>
        <v>1</v>
      </c>
      <c r="F142" t="s">
        <v>6827</v>
      </c>
      <c r="G142">
        <v>8</v>
      </c>
    </row>
    <row r="143" spans="1:7" x14ac:dyDescent="0.3">
      <c r="A143" t="s">
        <v>6645</v>
      </c>
      <c r="C143" t="str">
        <v>bifonazole</v>
      </c>
      <c r="D143">
        <f t="shared" si="2"/>
        <v>2</v>
      </c>
      <c r="F143" t="s">
        <v>6837</v>
      </c>
      <c r="G143">
        <v>8</v>
      </c>
    </row>
    <row r="144" spans="1:7" x14ac:dyDescent="0.3">
      <c r="A144" t="s">
        <v>6645</v>
      </c>
      <c r="C144" t="str">
        <v>bimatoprost</v>
      </c>
      <c r="D144">
        <f t="shared" si="2"/>
        <v>4</v>
      </c>
      <c r="F144" t="s">
        <v>460</v>
      </c>
      <c r="G144">
        <v>8</v>
      </c>
    </row>
    <row r="145" spans="1:7" x14ac:dyDescent="0.3">
      <c r="A145" t="s">
        <v>6645</v>
      </c>
      <c r="C145" t="str">
        <v xml:space="preserve">bimatropost </v>
      </c>
      <c r="D145">
        <f t="shared" si="2"/>
        <v>4</v>
      </c>
      <c r="F145" t="s">
        <v>6610</v>
      </c>
      <c r="G145">
        <v>7</v>
      </c>
    </row>
    <row r="146" spans="1:7" x14ac:dyDescent="0.3">
      <c r="A146" t="s">
        <v>6645</v>
      </c>
      <c r="C146" t="str">
        <v>biperiden</v>
      </c>
      <c r="D146">
        <f t="shared" si="2"/>
        <v>3</v>
      </c>
      <c r="F146" t="s">
        <v>6655</v>
      </c>
      <c r="G146">
        <v>7</v>
      </c>
    </row>
    <row r="147" spans="1:7" x14ac:dyDescent="0.3">
      <c r="A147" t="s">
        <v>6645</v>
      </c>
      <c r="C147" t="str">
        <v>biperideno</v>
      </c>
      <c r="D147">
        <f t="shared" si="2"/>
        <v>1</v>
      </c>
      <c r="F147" t="s">
        <v>6909</v>
      </c>
      <c r="G147">
        <v>7</v>
      </c>
    </row>
    <row r="148" spans="1:7" x14ac:dyDescent="0.3">
      <c r="A148" t="s">
        <v>6645</v>
      </c>
      <c r="C148" t="str">
        <v>biperideno 2 mg</v>
      </c>
      <c r="D148">
        <f t="shared" si="2"/>
        <v>2</v>
      </c>
      <c r="F148" t="s">
        <v>235</v>
      </c>
      <c r="G148">
        <v>7</v>
      </c>
    </row>
    <row r="149" spans="1:7" x14ac:dyDescent="0.3">
      <c r="A149" t="s">
        <v>6645</v>
      </c>
      <c r="C149" t="str">
        <v>biperideno 2mg</v>
      </c>
      <c r="D149">
        <f t="shared" si="2"/>
        <v>1</v>
      </c>
      <c r="F149" t="s">
        <v>6666</v>
      </c>
      <c r="G149">
        <v>7</v>
      </c>
    </row>
    <row r="150" spans="1:7" x14ac:dyDescent="0.3">
      <c r="A150" t="s">
        <v>6645</v>
      </c>
      <c r="C150" t="str">
        <v>bisacodilo</v>
      </c>
      <c r="D150">
        <f t="shared" si="2"/>
        <v>2</v>
      </c>
      <c r="F150" t="s">
        <v>6675</v>
      </c>
      <c r="G150">
        <v>7</v>
      </c>
    </row>
    <row r="151" spans="1:7" x14ac:dyDescent="0.3">
      <c r="A151" t="s">
        <v>6645</v>
      </c>
      <c r="C151" t="str">
        <v>bisoprolol</v>
      </c>
      <c r="D151">
        <f t="shared" si="2"/>
        <v>5</v>
      </c>
      <c r="F151" t="s">
        <v>2898</v>
      </c>
      <c r="G151">
        <v>7</v>
      </c>
    </row>
    <row r="152" spans="1:7" x14ac:dyDescent="0.3">
      <c r="A152" t="s">
        <v>6645</v>
      </c>
      <c r="C152" t="str">
        <v>bisoprolol </v>
      </c>
      <c r="D152">
        <f t="shared" si="2"/>
        <v>2</v>
      </c>
      <c r="F152" t="s">
        <v>6706</v>
      </c>
      <c r="G152">
        <v>7</v>
      </c>
    </row>
    <row r="153" spans="1:7" x14ac:dyDescent="0.3">
      <c r="A153" t="s">
        <v>6645</v>
      </c>
      <c r="C153" t="str">
        <v>bisulfito sódico de menadiona</v>
      </c>
      <c r="D153">
        <f t="shared" si="2"/>
        <v>1</v>
      </c>
      <c r="F153" t="s">
        <v>6710</v>
      </c>
      <c r="G153">
        <v>7</v>
      </c>
    </row>
    <row r="154" spans="1:7" x14ac:dyDescent="0.3">
      <c r="A154" t="s">
        <v>6645</v>
      </c>
      <c r="C154" t="str">
        <v>bitartrato de potasio</v>
      </c>
      <c r="D154">
        <f t="shared" si="2"/>
        <v>1</v>
      </c>
      <c r="F154" t="s">
        <v>576</v>
      </c>
      <c r="G154">
        <v>7</v>
      </c>
    </row>
    <row r="155" spans="1:7" x14ac:dyDescent="0.3">
      <c r="A155" t="s">
        <v>6645</v>
      </c>
      <c r="C155" t="str">
        <v>brimonidina</v>
      </c>
      <c r="D155">
        <f t="shared" si="2"/>
        <v>2</v>
      </c>
      <c r="F155" t="s">
        <v>7113</v>
      </c>
      <c r="G155">
        <v>7</v>
      </c>
    </row>
    <row r="156" spans="1:7" x14ac:dyDescent="0.3">
      <c r="A156" t="s">
        <v>7059</v>
      </c>
      <c r="C156" t="str">
        <v>bromfenaco</v>
      </c>
      <c r="D156">
        <f t="shared" si="2"/>
        <v>3</v>
      </c>
      <c r="F156" t="s">
        <v>6738</v>
      </c>
      <c r="G156">
        <v>7</v>
      </c>
    </row>
    <row r="157" spans="1:7" x14ac:dyDescent="0.3">
      <c r="A157" t="s">
        <v>7082</v>
      </c>
      <c r="C157" t="str">
        <v>bromhexina</v>
      </c>
      <c r="D157">
        <f t="shared" si="2"/>
        <v>7</v>
      </c>
      <c r="F157" t="s">
        <v>7114</v>
      </c>
      <c r="G157">
        <v>7</v>
      </c>
    </row>
    <row r="158" spans="1:7" x14ac:dyDescent="0.3">
      <c r="A158" t="s">
        <v>7082</v>
      </c>
      <c r="C158" t="str">
        <v>bromhexina 160 mg</v>
      </c>
      <c r="D158">
        <f t="shared" si="2"/>
        <v>1</v>
      </c>
      <c r="F158" t="s">
        <v>2463</v>
      </c>
      <c r="G158">
        <v>7</v>
      </c>
    </row>
    <row r="159" spans="1:7" x14ac:dyDescent="0.3">
      <c r="A159" t="s">
        <v>7082</v>
      </c>
      <c r="C159" t="str">
        <v>bromhexina 160mg</v>
      </c>
      <c r="D159">
        <f t="shared" si="2"/>
        <v>2</v>
      </c>
      <c r="F159" t="s">
        <v>6754</v>
      </c>
      <c r="G159">
        <v>7</v>
      </c>
    </row>
    <row r="160" spans="1:7" x14ac:dyDescent="0.3">
      <c r="A160" t="s">
        <v>7082</v>
      </c>
      <c r="C160" t="str">
        <v>bromhexine</v>
      </c>
      <c r="D160">
        <f t="shared" si="2"/>
        <v>3</v>
      </c>
      <c r="F160" t="s">
        <v>6772</v>
      </c>
      <c r="G160">
        <v>7</v>
      </c>
    </row>
    <row r="161" spans="1:7" x14ac:dyDescent="0.3">
      <c r="A161" t="s">
        <v>7082</v>
      </c>
      <c r="C161" t="str">
        <v>bromuro de ipratropio</v>
      </c>
      <c r="D161">
        <f t="shared" si="2"/>
        <v>4</v>
      </c>
      <c r="F161" t="s">
        <v>6788</v>
      </c>
      <c r="G161">
        <v>7</v>
      </c>
    </row>
    <row r="162" spans="1:7" x14ac:dyDescent="0.3">
      <c r="A162" t="s">
        <v>7077</v>
      </c>
      <c r="C162" t="str">
        <v>bromuro de ipratropio 0</v>
      </c>
      <c r="D162">
        <f t="shared" si="2"/>
        <v>1</v>
      </c>
      <c r="F162" t="s">
        <v>6828</v>
      </c>
      <c r="G162">
        <v>7</v>
      </c>
    </row>
    <row r="163" spans="1:7" x14ac:dyDescent="0.3">
      <c r="A163" t="s">
        <v>7077</v>
      </c>
      <c r="C163" t="str">
        <v>bromuro de otilonio</v>
      </c>
      <c r="D163">
        <f t="shared" si="2"/>
        <v>2</v>
      </c>
      <c r="F163" t="s">
        <v>2841</v>
      </c>
      <c r="G163">
        <v>7</v>
      </c>
    </row>
    <row r="164" spans="1:7" x14ac:dyDescent="0.3">
      <c r="A164" t="s">
        <v>7077</v>
      </c>
      <c r="C164" t="str">
        <v>bromuro de pinaverio</v>
      </c>
      <c r="D164">
        <f t="shared" si="2"/>
        <v>17</v>
      </c>
      <c r="F164" t="s">
        <v>1504</v>
      </c>
      <c r="G164">
        <v>7</v>
      </c>
    </row>
    <row r="165" spans="1:7" x14ac:dyDescent="0.3">
      <c r="A165" t="s">
        <v>7077</v>
      </c>
      <c r="C165" t="str">
        <v>budesonida</v>
      </c>
      <c r="D165">
        <f t="shared" si="2"/>
        <v>10</v>
      </c>
      <c r="F165" t="s">
        <v>7053</v>
      </c>
      <c r="G165">
        <v>7</v>
      </c>
    </row>
    <row r="166" spans="1:7" x14ac:dyDescent="0.3">
      <c r="A166" t="s">
        <v>7077</v>
      </c>
      <c r="C166" t="str">
        <v>budesonida 0</v>
      </c>
      <c r="D166">
        <f t="shared" si="2"/>
        <v>1</v>
      </c>
      <c r="F166" t="s">
        <v>7115</v>
      </c>
      <c r="G166">
        <v>7</v>
      </c>
    </row>
    <row r="167" spans="1:7" x14ac:dyDescent="0.3">
      <c r="A167" t="s">
        <v>7077</v>
      </c>
      <c r="C167" t="str">
        <v>budesonide</v>
      </c>
      <c r="D167">
        <f t="shared" si="2"/>
        <v>2</v>
      </c>
      <c r="F167" t="s">
        <v>6647</v>
      </c>
      <c r="G167">
        <v>6</v>
      </c>
    </row>
    <row r="168" spans="1:7" x14ac:dyDescent="0.3">
      <c r="A168" t="s">
        <v>7077</v>
      </c>
      <c r="C168" t="str">
        <v>bumetadina 1mg</v>
      </c>
      <c r="D168">
        <f t="shared" si="2"/>
        <v>3</v>
      </c>
      <c r="F168" t="s">
        <v>7301</v>
      </c>
      <c r="G168">
        <v>6</v>
      </c>
    </row>
    <row r="169" spans="1:7" x14ac:dyDescent="0.3">
      <c r="A169" t="s">
        <v>7077</v>
      </c>
      <c r="C169" t="str">
        <v>bumetanida</v>
      </c>
      <c r="D169">
        <f t="shared" si="2"/>
        <v>5</v>
      </c>
      <c r="F169" t="s">
        <v>6615</v>
      </c>
      <c r="G169">
        <v>6</v>
      </c>
    </row>
    <row r="170" spans="1:7" x14ac:dyDescent="0.3">
      <c r="A170" t="s">
        <v>7077</v>
      </c>
      <c r="C170" t="str">
        <v>bumetanide </v>
      </c>
      <c r="D170">
        <f t="shared" si="2"/>
        <v>3</v>
      </c>
      <c r="F170" t="s">
        <v>6690</v>
      </c>
      <c r="G170">
        <v>6</v>
      </c>
    </row>
    <row r="171" spans="1:7" x14ac:dyDescent="0.3">
      <c r="A171" t="s">
        <v>7077</v>
      </c>
      <c r="C171" t="str">
        <v>buprenorfina 20 mg</v>
      </c>
      <c r="D171">
        <f t="shared" si="2"/>
        <v>1</v>
      </c>
      <c r="F171" t="s">
        <v>6697</v>
      </c>
      <c r="G171">
        <v>6</v>
      </c>
    </row>
    <row r="172" spans="1:7" x14ac:dyDescent="0.3">
      <c r="A172" t="s">
        <v>7077</v>
      </c>
      <c r="C172" t="str">
        <v>buprenorfina 35 ug</v>
      </c>
      <c r="D172">
        <f t="shared" si="2"/>
        <v>1</v>
      </c>
      <c r="F172" t="s">
        <v>6714</v>
      </c>
      <c r="G172">
        <v>6</v>
      </c>
    </row>
    <row r="173" spans="1:7" x14ac:dyDescent="0.3">
      <c r="A173" t="s">
        <v>7077</v>
      </c>
      <c r="C173" t="str">
        <v>buprenorphine</v>
      </c>
      <c r="D173">
        <f t="shared" si="2"/>
        <v>2</v>
      </c>
      <c r="F173" t="s">
        <v>2396</v>
      </c>
      <c r="G173">
        <v>6</v>
      </c>
    </row>
    <row r="174" spans="1:7" x14ac:dyDescent="0.3">
      <c r="A174" t="s">
        <v>7077</v>
      </c>
      <c r="C174" t="str">
        <v>butilhioscina</v>
      </c>
      <c r="D174">
        <f t="shared" si="2"/>
        <v>9</v>
      </c>
      <c r="F174" t="s">
        <v>6749</v>
      </c>
      <c r="G174">
        <v>6</v>
      </c>
    </row>
    <row r="175" spans="1:7" x14ac:dyDescent="0.3">
      <c r="A175" t="s">
        <v>7077</v>
      </c>
      <c r="C175" t="str">
        <v>butylscopolamine and analgesics</v>
      </c>
      <c r="D175">
        <f t="shared" si="2"/>
        <v>2</v>
      </c>
      <c r="F175" t="s">
        <v>6766</v>
      </c>
      <c r="G175">
        <v>6</v>
      </c>
    </row>
    <row r="176" spans="1:7" x14ac:dyDescent="0.3">
      <c r="A176" t="s">
        <v>7077</v>
      </c>
      <c r="C176" t="str">
        <v>butylscopolamine </v>
      </c>
      <c r="D176">
        <f t="shared" si="2"/>
        <v>3</v>
      </c>
      <c r="F176" t="s">
        <v>7106</v>
      </c>
      <c r="G176">
        <v>6</v>
      </c>
    </row>
    <row r="177" spans="1:7" x14ac:dyDescent="0.3">
      <c r="A177" t="s">
        <v>6646</v>
      </c>
      <c r="C177" t="str">
        <v>cafeína</v>
      </c>
      <c r="D177">
        <f t="shared" si="2"/>
        <v>14</v>
      </c>
      <c r="F177" t="s">
        <v>142</v>
      </c>
      <c r="G177">
        <v>6</v>
      </c>
    </row>
    <row r="178" spans="1:7" x14ac:dyDescent="0.3">
      <c r="A178" t="s">
        <v>6646</v>
      </c>
      <c r="C178" t="str">
        <v>calcio</v>
      </c>
      <c r="D178">
        <f t="shared" si="2"/>
        <v>4</v>
      </c>
      <c r="F178" t="s">
        <v>688</v>
      </c>
      <c r="G178">
        <v>6</v>
      </c>
    </row>
    <row r="179" spans="1:7" x14ac:dyDescent="0.3">
      <c r="A179" t="s">
        <v>6646</v>
      </c>
      <c r="C179" t="str">
        <v>calcio 600 mg</v>
      </c>
      <c r="D179">
        <f t="shared" si="2"/>
        <v>2</v>
      </c>
      <c r="F179" t="s">
        <v>7145</v>
      </c>
      <c r="G179">
        <v>6</v>
      </c>
    </row>
    <row r="180" spans="1:7" x14ac:dyDescent="0.3">
      <c r="A180" t="s">
        <v>6646</v>
      </c>
      <c r="C180" t="str">
        <v>calcitriol</v>
      </c>
      <c r="D180">
        <f t="shared" si="2"/>
        <v>1</v>
      </c>
      <c r="F180" t="s">
        <v>870</v>
      </c>
      <c r="G180">
        <v>6</v>
      </c>
    </row>
    <row r="181" spans="1:7" x14ac:dyDescent="0.3">
      <c r="A181" t="s">
        <v>6646</v>
      </c>
      <c r="C181" t="str">
        <v>calcitriol 0</v>
      </c>
      <c r="D181">
        <f t="shared" si="2"/>
        <v>4</v>
      </c>
      <c r="F181" t="s">
        <v>7269</v>
      </c>
      <c r="G181">
        <v>6</v>
      </c>
    </row>
    <row r="182" spans="1:7" x14ac:dyDescent="0.3">
      <c r="A182" t="s">
        <v>6646</v>
      </c>
      <c r="C182" t="str">
        <v>calcitriol </v>
      </c>
      <c r="D182">
        <f t="shared" si="2"/>
        <v>5</v>
      </c>
      <c r="F182" t="s">
        <v>1259</v>
      </c>
      <c r="G182">
        <v>6</v>
      </c>
    </row>
    <row r="183" spans="1:7" x14ac:dyDescent="0.3">
      <c r="A183" t="s">
        <v>6646</v>
      </c>
      <c r="C183" t="str">
        <v>calcium</v>
      </c>
      <c r="D183">
        <f t="shared" si="2"/>
        <v>1</v>
      </c>
      <c r="F183" t="s">
        <v>419</v>
      </c>
      <c r="G183">
        <v>6</v>
      </c>
    </row>
    <row r="184" spans="1:7" x14ac:dyDescent="0.3">
      <c r="A184" t="s">
        <v>6646</v>
      </c>
      <c r="C184" t="str">
        <v>calcium (different salts in combination) </v>
      </c>
      <c r="D184">
        <f t="shared" si="2"/>
        <v>1</v>
      </c>
      <c r="F184" t="s">
        <v>1126</v>
      </c>
      <c r="G184">
        <v>6</v>
      </c>
    </row>
    <row r="185" spans="1:7" x14ac:dyDescent="0.3">
      <c r="A185" t="s">
        <v>6646</v>
      </c>
      <c r="C185" t="str">
        <v>calcium lactate gluconate </v>
      </c>
      <c r="D185">
        <f t="shared" si="2"/>
        <v>1</v>
      </c>
      <c r="F185" t="s">
        <v>6829</v>
      </c>
      <c r="G185">
        <v>6</v>
      </c>
    </row>
    <row r="186" spans="1:7" x14ac:dyDescent="0.3">
      <c r="A186" t="s">
        <v>6646</v>
      </c>
      <c r="C186" t="str">
        <v>candesartán</v>
      </c>
      <c r="D186">
        <f t="shared" si="2"/>
        <v>11</v>
      </c>
      <c r="F186" t="s">
        <v>7279</v>
      </c>
      <c r="G186">
        <v>6</v>
      </c>
    </row>
    <row r="187" spans="1:7" x14ac:dyDescent="0.3">
      <c r="A187" t="s">
        <v>6646</v>
      </c>
      <c r="C187" t="str">
        <v>candesartán cilexetilo</v>
      </c>
      <c r="D187">
        <f t="shared" si="2"/>
        <v>11</v>
      </c>
      <c r="F187" t="s">
        <v>7028</v>
      </c>
      <c r="G187">
        <v>6</v>
      </c>
    </row>
    <row r="188" spans="1:7" x14ac:dyDescent="0.3">
      <c r="A188" t="s">
        <v>6646</v>
      </c>
      <c r="C188" t="str">
        <v>caolín</v>
      </c>
      <c r="D188">
        <f t="shared" si="2"/>
        <v>30</v>
      </c>
      <c r="F188" t="s">
        <v>7032</v>
      </c>
      <c r="G188">
        <v>6</v>
      </c>
    </row>
    <row r="189" spans="1:7" x14ac:dyDescent="0.3">
      <c r="A189" t="s">
        <v>6646</v>
      </c>
      <c r="C189" t="str">
        <v>capecitabina 500 mg</v>
      </c>
      <c r="D189">
        <f t="shared" si="2"/>
        <v>1</v>
      </c>
      <c r="F189" t="s">
        <v>385</v>
      </c>
      <c r="G189">
        <v>6</v>
      </c>
    </row>
    <row r="190" spans="1:7" x14ac:dyDescent="0.3">
      <c r="A190" t="s">
        <v>6646</v>
      </c>
      <c r="C190" t="str">
        <v>capecitabine</v>
      </c>
      <c r="D190">
        <f t="shared" si="2"/>
        <v>1</v>
      </c>
      <c r="F190" t="s">
        <v>7066</v>
      </c>
      <c r="G190">
        <v>6</v>
      </c>
    </row>
    <row r="191" spans="1:7" x14ac:dyDescent="0.3">
      <c r="A191" t="s">
        <v>6646</v>
      </c>
      <c r="C191" t="str">
        <v>captopril</v>
      </c>
      <c r="D191">
        <f t="shared" si="2"/>
        <v>3</v>
      </c>
      <c r="F191" t="s">
        <v>6897</v>
      </c>
      <c r="G191">
        <v>6</v>
      </c>
    </row>
    <row r="192" spans="1:7" x14ac:dyDescent="0.3">
      <c r="A192" t="s">
        <v>6646</v>
      </c>
      <c r="C192" t="str">
        <v>captopril 25mg</v>
      </c>
      <c r="D192">
        <f t="shared" si="2"/>
        <v>1</v>
      </c>
      <c r="F192" t="s">
        <v>6898</v>
      </c>
      <c r="G192">
        <v>6</v>
      </c>
    </row>
    <row r="193" spans="1:7" x14ac:dyDescent="0.3">
      <c r="A193" t="s">
        <v>6646</v>
      </c>
      <c r="C193" t="str">
        <v>captopril </v>
      </c>
      <c r="D193">
        <f t="shared" si="2"/>
        <v>1</v>
      </c>
      <c r="F193" t="s">
        <v>6903</v>
      </c>
      <c r="G193">
        <v>6</v>
      </c>
    </row>
    <row r="194" spans="1:7" x14ac:dyDescent="0.3">
      <c r="A194" t="s">
        <v>6646</v>
      </c>
      <c r="C194" t="str">
        <v>carbamazepina</v>
      </c>
      <c r="D194">
        <f t="shared" ref="D194:D257" si="3">COUNTIF(A$1:A$4322,C194)</f>
        <v>10</v>
      </c>
      <c r="F194" t="s">
        <v>7050</v>
      </c>
      <c r="G194">
        <v>5</v>
      </c>
    </row>
    <row r="195" spans="1:7" x14ac:dyDescent="0.3">
      <c r="A195" t="s">
        <v>6646</v>
      </c>
      <c r="C195" t="str">
        <v>carbamazepine</v>
      </c>
      <c r="D195">
        <f t="shared" si="3"/>
        <v>7</v>
      </c>
      <c r="F195" t="s">
        <v>6641</v>
      </c>
      <c r="G195">
        <v>5</v>
      </c>
    </row>
    <row r="196" spans="1:7" x14ac:dyDescent="0.3">
      <c r="A196" t="s">
        <v>6646</v>
      </c>
      <c r="C196" t="str">
        <v>carbazocromo</v>
      </c>
      <c r="D196">
        <f t="shared" si="3"/>
        <v>1</v>
      </c>
      <c r="F196" t="s">
        <v>7082</v>
      </c>
      <c r="G196">
        <v>5</v>
      </c>
    </row>
    <row r="197" spans="1:7" x14ac:dyDescent="0.3">
      <c r="A197" t="s">
        <v>6646</v>
      </c>
      <c r="C197" t="str">
        <v>carbidopa 25mg</v>
      </c>
      <c r="D197">
        <f t="shared" si="3"/>
        <v>1</v>
      </c>
      <c r="F197" t="s">
        <v>7229</v>
      </c>
      <c r="G197">
        <v>5</v>
      </c>
    </row>
    <row r="198" spans="1:7" x14ac:dyDescent="0.3">
      <c r="A198" t="s">
        <v>6647</v>
      </c>
      <c r="C198" t="str">
        <v>carbocisteina</v>
      </c>
      <c r="D198">
        <f t="shared" si="3"/>
        <v>1</v>
      </c>
      <c r="F198" t="s">
        <v>7231</v>
      </c>
      <c r="G198">
        <v>5</v>
      </c>
    </row>
    <row r="199" spans="1:7" x14ac:dyDescent="0.3">
      <c r="A199" t="s">
        <v>6647</v>
      </c>
      <c r="C199" t="str">
        <v>carbonato de calcio</v>
      </c>
      <c r="D199">
        <f t="shared" si="3"/>
        <v>1</v>
      </c>
      <c r="F199" t="s">
        <v>7232</v>
      </c>
      <c r="G199">
        <v>5</v>
      </c>
    </row>
    <row r="200" spans="1:7" x14ac:dyDescent="0.3">
      <c r="A200" t="s">
        <v>6647</v>
      </c>
      <c r="C200" t="str">
        <v>carboplatino</v>
      </c>
      <c r="D200">
        <f t="shared" si="3"/>
        <v>1</v>
      </c>
      <c r="F200" t="s">
        <v>1288</v>
      </c>
      <c r="G200">
        <v>5</v>
      </c>
    </row>
    <row r="201" spans="1:7" x14ac:dyDescent="0.3">
      <c r="A201" t="s">
        <v>6647</v>
      </c>
      <c r="C201" t="str">
        <v>carmelosa</v>
      </c>
      <c r="D201">
        <f t="shared" si="3"/>
        <v>1</v>
      </c>
      <c r="F201" t="s">
        <v>189</v>
      </c>
      <c r="G201">
        <v>5</v>
      </c>
    </row>
    <row r="202" spans="1:7" x14ac:dyDescent="0.3">
      <c r="A202" t="s">
        <v>6647</v>
      </c>
      <c r="C202" t="str">
        <v>carnitina</v>
      </c>
      <c r="D202">
        <f t="shared" si="3"/>
        <v>1</v>
      </c>
      <c r="F202" t="s">
        <v>7137</v>
      </c>
      <c r="G202">
        <v>5</v>
      </c>
    </row>
    <row r="203" spans="1:7" x14ac:dyDescent="0.3">
      <c r="A203" t="s">
        <v>6647</v>
      </c>
      <c r="C203" t="str">
        <v>carvedilol and ivabradine</v>
      </c>
      <c r="D203">
        <f t="shared" si="3"/>
        <v>1</v>
      </c>
      <c r="F203" t="s">
        <v>932</v>
      </c>
      <c r="G203">
        <v>5</v>
      </c>
    </row>
    <row r="204" spans="1:7" x14ac:dyDescent="0.3">
      <c r="A204" t="s">
        <v>7228</v>
      </c>
      <c r="C204" t="str">
        <v>cefaclor</v>
      </c>
      <c r="D204">
        <f t="shared" si="3"/>
        <v>3</v>
      </c>
      <c r="F204" t="s">
        <v>6672</v>
      </c>
      <c r="G204">
        <v>5</v>
      </c>
    </row>
    <row r="205" spans="1:7" x14ac:dyDescent="0.3">
      <c r="A205" t="s">
        <v>7062</v>
      </c>
      <c r="C205" t="str">
        <v>cefaclor 250mg</v>
      </c>
      <c r="D205">
        <f t="shared" si="3"/>
        <v>1</v>
      </c>
      <c r="F205" t="s">
        <v>6679</v>
      </c>
      <c r="G205">
        <v>5</v>
      </c>
    </row>
    <row r="206" spans="1:7" x14ac:dyDescent="0.3">
      <c r="A206" t="s">
        <v>7062</v>
      </c>
      <c r="C206" t="str">
        <v>cefadroxil</v>
      </c>
      <c r="D206">
        <f t="shared" si="3"/>
        <v>1</v>
      </c>
      <c r="F206" t="s">
        <v>95</v>
      </c>
      <c r="G206">
        <v>5</v>
      </c>
    </row>
    <row r="207" spans="1:7" x14ac:dyDescent="0.3">
      <c r="A207" t="s">
        <v>7312</v>
      </c>
      <c r="C207" t="str">
        <v>cefadroxilo</v>
      </c>
      <c r="D207">
        <f t="shared" si="3"/>
        <v>1</v>
      </c>
      <c r="F207" t="s">
        <v>6699</v>
      </c>
      <c r="G207">
        <v>5</v>
      </c>
    </row>
    <row r="208" spans="1:7" x14ac:dyDescent="0.3">
      <c r="A208" t="s">
        <v>7084</v>
      </c>
      <c r="C208" t="str">
        <v>cefalexin</v>
      </c>
      <c r="D208">
        <f t="shared" si="3"/>
        <v>2</v>
      </c>
      <c r="F208" t="s">
        <v>117</v>
      </c>
      <c r="G208">
        <v>5</v>
      </c>
    </row>
    <row r="209" spans="1:7" x14ac:dyDescent="0.3">
      <c r="A209" t="s">
        <v>7084</v>
      </c>
      <c r="C209" t="str">
        <v>cefalexina</v>
      </c>
      <c r="D209">
        <f t="shared" si="3"/>
        <v>17</v>
      </c>
      <c r="F209" t="s">
        <v>7158</v>
      </c>
      <c r="G209">
        <v>5</v>
      </c>
    </row>
    <row r="210" spans="1:7" x14ac:dyDescent="0.3">
      <c r="A210" t="s">
        <v>7063</v>
      </c>
      <c r="C210" t="str">
        <v>cefalexina 500 mg</v>
      </c>
      <c r="D210">
        <f t="shared" si="3"/>
        <v>1</v>
      </c>
      <c r="F210" t="s">
        <v>7108</v>
      </c>
      <c r="G210">
        <v>5</v>
      </c>
    </row>
    <row r="211" spans="1:7" x14ac:dyDescent="0.3">
      <c r="A211" t="s">
        <v>6648</v>
      </c>
      <c r="C211" t="str">
        <v>cefixima</v>
      </c>
      <c r="D211">
        <f t="shared" si="3"/>
        <v>6</v>
      </c>
      <c r="F211" t="s">
        <v>2290</v>
      </c>
      <c r="G211">
        <v>5</v>
      </c>
    </row>
    <row r="212" spans="1:7" x14ac:dyDescent="0.3">
      <c r="A212" t="s">
        <v>6648</v>
      </c>
      <c r="C212" t="str">
        <v>cefotaxima</v>
      </c>
      <c r="D212">
        <f t="shared" si="3"/>
        <v>1</v>
      </c>
      <c r="F212" t="s">
        <v>1893</v>
      </c>
      <c r="G212">
        <v>5</v>
      </c>
    </row>
    <row r="213" spans="1:7" x14ac:dyDescent="0.3">
      <c r="A213" t="s">
        <v>6904</v>
      </c>
      <c r="C213" t="str">
        <v>ceftriaxona</v>
      </c>
      <c r="D213">
        <f t="shared" si="3"/>
        <v>10</v>
      </c>
      <c r="F213" t="s">
        <v>6760</v>
      </c>
      <c r="G213">
        <v>5</v>
      </c>
    </row>
    <row r="214" spans="1:7" x14ac:dyDescent="0.3">
      <c r="A214" t="s">
        <v>6649</v>
      </c>
      <c r="C214" t="str">
        <v>ceftriaxona 1g</v>
      </c>
      <c r="D214">
        <f t="shared" si="3"/>
        <v>3</v>
      </c>
      <c r="F214" t="s">
        <v>6764</v>
      </c>
      <c r="G214">
        <v>5</v>
      </c>
    </row>
    <row r="215" spans="1:7" x14ac:dyDescent="0.3">
      <c r="A215" t="s">
        <v>6649</v>
      </c>
      <c r="C215" t="str">
        <v>ceftriaxone</v>
      </c>
      <c r="D215">
        <f t="shared" si="3"/>
        <v>4</v>
      </c>
      <c r="F215" t="s">
        <v>6765</v>
      </c>
      <c r="G215">
        <v>5</v>
      </c>
    </row>
    <row r="216" spans="1:7" x14ac:dyDescent="0.3">
      <c r="A216" t="s">
        <v>6649</v>
      </c>
      <c r="C216" t="str">
        <v>cefuroxima</v>
      </c>
      <c r="D216">
        <f t="shared" si="3"/>
        <v>3</v>
      </c>
      <c r="F216" t="s">
        <v>6773</v>
      </c>
      <c r="G216">
        <v>5</v>
      </c>
    </row>
    <row r="217" spans="1:7" x14ac:dyDescent="0.3">
      <c r="A217" t="s">
        <v>6649</v>
      </c>
      <c r="C217" t="str">
        <v>cefuroxime</v>
      </c>
      <c r="D217">
        <f t="shared" si="3"/>
        <v>1</v>
      </c>
      <c r="F217" t="s">
        <v>6775</v>
      </c>
      <c r="G217">
        <v>5</v>
      </c>
    </row>
    <row r="218" spans="1:7" x14ac:dyDescent="0.3">
      <c r="A218" t="s">
        <v>6649</v>
      </c>
      <c r="C218" t="str">
        <v>cefuroxina</v>
      </c>
      <c r="D218">
        <f t="shared" si="3"/>
        <v>1</v>
      </c>
      <c r="F218" t="s">
        <v>7136</v>
      </c>
      <c r="G218">
        <v>5</v>
      </c>
    </row>
    <row r="219" spans="1:7" x14ac:dyDescent="0.3">
      <c r="A219" t="s">
        <v>6649</v>
      </c>
      <c r="C219" t="str">
        <v>celecoxib</v>
      </c>
      <c r="D219">
        <f t="shared" si="3"/>
        <v>14</v>
      </c>
      <c r="F219" t="s">
        <v>6991</v>
      </c>
      <c r="G219">
        <v>5</v>
      </c>
    </row>
    <row r="220" spans="1:7" x14ac:dyDescent="0.3">
      <c r="A220" t="s">
        <v>6649</v>
      </c>
      <c r="C220" t="str">
        <v>celecoxib 200 mg</v>
      </c>
      <c r="D220">
        <f t="shared" si="3"/>
        <v>1</v>
      </c>
      <c r="F220" t="s">
        <v>6814</v>
      </c>
      <c r="G220">
        <v>5</v>
      </c>
    </row>
    <row r="221" spans="1:7" x14ac:dyDescent="0.3">
      <c r="A221" t="s">
        <v>6649</v>
      </c>
      <c r="C221" t="str">
        <v>celulasa de aspergillus niger</v>
      </c>
      <c r="D221">
        <f t="shared" si="3"/>
        <v>1</v>
      </c>
      <c r="F221" t="s">
        <v>2253</v>
      </c>
      <c r="G221">
        <v>5</v>
      </c>
    </row>
    <row r="222" spans="1:7" x14ac:dyDescent="0.3">
      <c r="A222" t="s">
        <v>6649</v>
      </c>
      <c r="C222" t="str">
        <v>cetirizina</v>
      </c>
      <c r="D222">
        <f t="shared" si="3"/>
        <v>8</v>
      </c>
      <c r="F222" t="s">
        <v>6821</v>
      </c>
      <c r="G222">
        <v>5</v>
      </c>
    </row>
    <row r="223" spans="1:7" x14ac:dyDescent="0.3">
      <c r="A223" t="s">
        <v>6649</v>
      </c>
      <c r="C223" t="str">
        <v>cetirizine</v>
      </c>
      <c r="D223">
        <f t="shared" si="3"/>
        <v>3</v>
      </c>
      <c r="F223" t="s">
        <v>7349</v>
      </c>
      <c r="G223">
        <v>5</v>
      </c>
    </row>
    <row r="224" spans="1:7" x14ac:dyDescent="0.3">
      <c r="A224" t="s">
        <v>6649</v>
      </c>
      <c r="C224" t="str">
        <v>cetrizina 100mg</v>
      </c>
      <c r="D224">
        <f t="shared" si="3"/>
        <v>1</v>
      </c>
      <c r="F224" t="s">
        <v>1253</v>
      </c>
      <c r="G224">
        <v>5</v>
      </c>
    </row>
    <row r="225" spans="1:7" x14ac:dyDescent="0.3">
      <c r="A225" t="s">
        <v>6649</v>
      </c>
      <c r="C225" t="str">
        <v>chloramphenicol</v>
      </c>
      <c r="D225">
        <f t="shared" si="3"/>
        <v>2</v>
      </c>
      <c r="F225" t="s">
        <v>540</v>
      </c>
      <c r="G225">
        <v>5</v>
      </c>
    </row>
    <row r="226" spans="1:7" x14ac:dyDescent="0.3">
      <c r="A226" t="s">
        <v>6649</v>
      </c>
      <c r="C226" t="str">
        <v>chlormadinone and ethinylestradiol</v>
      </c>
      <c r="D226">
        <f t="shared" si="3"/>
        <v>1</v>
      </c>
      <c r="F226" t="s">
        <v>1388</v>
      </c>
      <c r="G226">
        <v>5</v>
      </c>
    </row>
    <row r="227" spans="1:7" x14ac:dyDescent="0.3">
      <c r="A227" t="s">
        <v>7229</v>
      </c>
      <c r="C227" t="str">
        <v>chloroquine</v>
      </c>
      <c r="D227">
        <f t="shared" si="3"/>
        <v>1</v>
      </c>
      <c r="F227" t="s">
        <v>6886</v>
      </c>
      <c r="G227">
        <v>5</v>
      </c>
    </row>
    <row r="228" spans="1:7" x14ac:dyDescent="0.3">
      <c r="A228" t="s">
        <v>7229</v>
      </c>
      <c r="C228" t="str">
        <v>chlorphenamine</v>
      </c>
      <c r="D228">
        <f t="shared" si="3"/>
        <v>4</v>
      </c>
      <c r="F228" t="s">
        <v>7074</v>
      </c>
      <c r="G228">
        <v>5</v>
      </c>
    </row>
    <row r="229" spans="1:7" x14ac:dyDescent="0.3">
      <c r="A229" t="s">
        <v>7229</v>
      </c>
      <c r="C229" t="str">
        <v>cianocobalamina</v>
      </c>
      <c r="D229">
        <f t="shared" si="3"/>
        <v>24</v>
      </c>
      <c r="F229" t="s">
        <v>6893</v>
      </c>
      <c r="G229">
        <v>5</v>
      </c>
    </row>
    <row r="230" spans="1:7" x14ac:dyDescent="0.3">
      <c r="A230" t="s">
        <v>7229</v>
      </c>
      <c r="C230" t="str">
        <v>cianocobalamina 0</v>
      </c>
      <c r="D230">
        <f t="shared" si="3"/>
        <v>1</v>
      </c>
      <c r="F230" t="s">
        <v>470</v>
      </c>
      <c r="G230">
        <v>5</v>
      </c>
    </row>
    <row r="231" spans="1:7" x14ac:dyDescent="0.3">
      <c r="A231" t="s">
        <v>7229</v>
      </c>
      <c r="C231" t="str">
        <v>cianocobalamina 50 mcg</v>
      </c>
      <c r="D231">
        <f t="shared" si="3"/>
        <v>1</v>
      </c>
      <c r="F231" t="s">
        <v>7051</v>
      </c>
      <c r="G231">
        <v>5</v>
      </c>
    </row>
    <row r="232" spans="1:7" x14ac:dyDescent="0.3">
      <c r="A232" t="s">
        <v>7231</v>
      </c>
      <c r="C232" t="str">
        <v>cianocobalamina 50mg</v>
      </c>
      <c r="D232">
        <f t="shared" si="3"/>
        <v>1</v>
      </c>
      <c r="F232" t="s">
        <v>7052</v>
      </c>
      <c r="G232">
        <v>4</v>
      </c>
    </row>
    <row r="233" spans="1:7" x14ac:dyDescent="0.3">
      <c r="A233" t="s">
        <v>7231</v>
      </c>
      <c r="C233" t="str">
        <v>cimicifugae rhizoma</v>
      </c>
      <c r="D233">
        <f t="shared" si="3"/>
        <v>1</v>
      </c>
      <c r="F233" t="s">
        <v>7311</v>
      </c>
      <c r="G233">
        <v>4</v>
      </c>
    </row>
    <row r="234" spans="1:7" x14ac:dyDescent="0.3">
      <c r="A234" t="s">
        <v>7231</v>
      </c>
      <c r="C234" t="str">
        <v>cinarizina</v>
      </c>
      <c r="D234">
        <f t="shared" si="3"/>
        <v>4</v>
      </c>
      <c r="F234" t="s">
        <v>7178</v>
      </c>
      <c r="G234">
        <v>4</v>
      </c>
    </row>
    <row r="235" spans="1:7" x14ac:dyDescent="0.3">
      <c r="A235" t="s">
        <v>7231</v>
      </c>
      <c r="C235" t="str">
        <v>cinitaprida</v>
      </c>
      <c r="D235">
        <f t="shared" si="3"/>
        <v>1</v>
      </c>
      <c r="F235" t="s">
        <v>7313</v>
      </c>
      <c r="G235">
        <v>4</v>
      </c>
    </row>
    <row r="236" spans="1:7" x14ac:dyDescent="0.3">
      <c r="A236" t="s">
        <v>7231</v>
      </c>
      <c r="C236" t="str">
        <v>cinitaprida 1 mg</v>
      </c>
      <c r="D236">
        <f t="shared" si="3"/>
        <v>2</v>
      </c>
      <c r="F236" t="s">
        <v>7314</v>
      </c>
      <c r="G236">
        <v>4</v>
      </c>
    </row>
    <row r="237" spans="1:7" x14ac:dyDescent="0.3">
      <c r="A237" t="s">
        <v>7230</v>
      </c>
      <c r="C237" t="str">
        <v>cinitapride </v>
      </c>
      <c r="D237">
        <f t="shared" si="3"/>
        <v>3</v>
      </c>
      <c r="F237" t="s">
        <v>1777</v>
      </c>
      <c r="G237">
        <v>4</v>
      </c>
    </row>
    <row r="238" spans="1:7" x14ac:dyDescent="0.3">
      <c r="A238" t="s">
        <v>2943</v>
      </c>
      <c r="C238" t="str">
        <v>cinitrapida</v>
      </c>
      <c r="D238">
        <f t="shared" si="3"/>
        <v>6</v>
      </c>
      <c r="F238" t="s">
        <v>7236</v>
      </c>
      <c r="G238">
        <v>4</v>
      </c>
    </row>
    <row r="239" spans="1:7" x14ac:dyDescent="0.3">
      <c r="A239" t="s">
        <v>7065</v>
      </c>
      <c r="C239" t="str">
        <v>cinnarizine</v>
      </c>
      <c r="D239">
        <f t="shared" si="3"/>
        <v>1</v>
      </c>
      <c r="F239" t="s">
        <v>2283</v>
      </c>
      <c r="G239">
        <v>4</v>
      </c>
    </row>
    <row r="240" spans="1:7" x14ac:dyDescent="0.3">
      <c r="A240" t="s">
        <v>7105</v>
      </c>
      <c r="C240" t="str">
        <v>ciprofibrate </v>
      </c>
      <c r="D240">
        <f t="shared" si="3"/>
        <v>1</v>
      </c>
      <c r="F240" t="s">
        <v>6912</v>
      </c>
      <c r="G240">
        <v>4</v>
      </c>
    </row>
    <row r="241" spans="1:7" x14ac:dyDescent="0.3">
      <c r="A241" t="s">
        <v>6610</v>
      </c>
      <c r="C241" t="str">
        <v>ciprofibrato 100 mg</v>
      </c>
      <c r="D241">
        <f t="shared" si="3"/>
        <v>1</v>
      </c>
      <c r="F241" t="s">
        <v>630</v>
      </c>
      <c r="G241">
        <v>4</v>
      </c>
    </row>
    <row r="242" spans="1:7" x14ac:dyDescent="0.3">
      <c r="A242" t="s">
        <v>6610</v>
      </c>
      <c r="C242" t="str">
        <v>ciprofibrato 100mg</v>
      </c>
      <c r="D242">
        <f t="shared" si="3"/>
        <v>1</v>
      </c>
      <c r="F242" t="s">
        <v>7242</v>
      </c>
      <c r="G242">
        <v>4</v>
      </c>
    </row>
    <row r="243" spans="1:7" x14ac:dyDescent="0.3">
      <c r="A243" t="s">
        <v>6610</v>
      </c>
      <c r="C243" t="str">
        <v>ciprofloxacino</v>
      </c>
      <c r="D243">
        <f t="shared" si="3"/>
        <v>22</v>
      </c>
      <c r="F243" t="s">
        <v>7087</v>
      </c>
      <c r="G243">
        <v>4</v>
      </c>
    </row>
    <row r="244" spans="1:7" x14ac:dyDescent="0.3">
      <c r="A244" t="s">
        <v>6610</v>
      </c>
      <c r="C244" t="str">
        <v>cisaprida</v>
      </c>
      <c r="D244">
        <f t="shared" si="3"/>
        <v>5</v>
      </c>
      <c r="F244" t="s">
        <v>6681</v>
      </c>
      <c r="G244">
        <v>4</v>
      </c>
    </row>
    <row r="245" spans="1:7" x14ac:dyDescent="0.3">
      <c r="A245" t="s">
        <v>6610</v>
      </c>
      <c r="C245" t="str">
        <v>cisaprida 1 mg</v>
      </c>
      <c r="D245">
        <f t="shared" si="3"/>
        <v>2</v>
      </c>
      <c r="F245" t="s">
        <v>7245</v>
      </c>
      <c r="G245">
        <v>4</v>
      </c>
    </row>
    <row r="246" spans="1:7" x14ac:dyDescent="0.3">
      <c r="A246" t="s">
        <v>6610</v>
      </c>
      <c r="C246" t="str">
        <v>cisapride </v>
      </c>
      <c r="D246">
        <f t="shared" si="3"/>
        <v>3</v>
      </c>
      <c r="F246" t="s">
        <v>562</v>
      </c>
      <c r="G246">
        <v>4</v>
      </c>
    </row>
    <row r="247" spans="1:7" x14ac:dyDescent="0.3">
      <c r="A247" t="s">
        <v>6610</v>
      </c>
      <c r="C247" t="str">
        <v>citalopram</v>
      </c>
      <c r="D247">
        <f t="shared" si="3"/>
        <v>9</v>
      </c>
      <c r="F247" t="s">
        <v>1218</v>
      </c>
      <c r="G247">
        <v>4</v>
      </c>
    </row>
    <row r="248" spans="1:7" x14ac:dyDescent="0.3">
      <c r="A248" t="s">
        <v>7298</v>
      </c>
      <c r="C248" t="str">
        <v>citalopram 20 mg</v>
      </c>
      <c r="D248">
        <f t="shared" si="3"/>
        <v>9</v>
      </c>
      <c r="F248" t="s">
        <v>6696</v>
      </c>
      <c r="G248">
        <v>4</v>
      </c>
    </row>
    <row r="249" spans="1:7" x14ac:dyDescent="0.3">
      <c r="A249" t="s">
        <v>6650</v>
      </c>
      <c r="C249" t="str">
        <v>citidín-5-monofosfato</v>
      </c>
      <c r="D249">
        <f t="shared" si="3"/>
        <v>1</v>
      </c>
      <c r="F249" t="s">
        <v>334</v>
      </c>
      <c r="G249">
        <v>4</v>
      </c>
    </row>
    <row r="250" spans="1:7" x14ac:dyDescent="0.3">
      <c r="A250" t="s">
        <v>6650</v>
      </c>
      <c r="C250" t="str">
        <v>citrato de potasio</v>
      </c>
      <c r="D250">
        <f t="shared" si="3"/>
        <v>1</v>
      </c>
      <c r="F250" t="s">
        <v>6701</v>
      </c>
      <c r="G250">
        <v>4</v>
      </c>
    </row>
    <row r="251" spans="1:7" x14ac:dyDescent="0.3">
      <c r="A251" t="s">
        <v>7176</v>
      </c>
      <c r="C251" t="str">
        <v>citrato de sodio</v>
      </c>
      <c r="D251">
        <f t="shared" si="3"/>
        <v>2</v>
      </c>
      <c r="F251" t="s">
        <v>6704</v>
      </c>
      <c r="G251">
        <v>4</v>
      </c>
    </row>
    <row r="252" spans="1:7" x14ac:dyDescent="0.3">
      <c r="A252" t="s">
        <v>7176</v>
      </c>
      <c r="C252" t="str">
        <v>clarithromycin</v>
      </c>
      <c r="D252">
        <f t="shared" si="3"/>
        <v>4</v>
      </c>
      <c r="F252" t="s">
        <v>202</v>
      </c>
      <c r="G252">
        <v>4</v>
      </c>
    </row>
    <row r="253" spans="1:7" x14ac:dyDescent="0.3">
      <c r="A253" t="s">
        <v>7176</v>
      </c>
      <c r="C253" t="str">
        <v>claritromicina</v>
      </c>
      <c r="D253">
        <f t="shared" si="3"/>
        <v>16</v>
      </c>
      <c r="F253" t="s">
        <v>6728</v>
      </c>
      <c r="G253">
        <v>4</v>
      </c>
    </row>
    <row r="254" spans="1:7" x14ac:dyDescent="0.3">
      <c r="A254" t="s">
        <v>7176</v>
      </c>
      <c r="C254" t="str">
        <v>claritromicina 250 mg</v>
      </c>
      <c r="D254">
        <f t="shared" si="3"/>
        <v>1</v>
      </c>
      <c r="F254" t="s">
        <v>7253</v>
      </c>
      <c r="G254">
        <v>4</v>
      </c>
    </row>
    <row r="255" spans="1:7" x14ac:dyDescent="0.3">
      <c r="A255" t="s">
        <v>7176</v>
      </c>
      <c r="C255" t="str">
        <v>clembuterol 100mcg</v>
      </c>
      <c r="D255">
        <f t="shared" si="3"/>
        <v>1</v>
      </c>
      <c r="F255" t="s">
        <v>6733</v>
      </c>
      <c r="G255">
        <v>4</v>
      </c>
    </row>
    <row r="256" spans="1:7" x14ac:dyDescent="0.3">
      <c r="A256" t="s">
        <v>7176</v>
      </c>
      <c r="C256" t="str">
        <v>clindamicina</v>
      </c>
      <c r="D256">
        <f t="shared" si="3"/>
        <v>4</v>
      </c>
      <c r="F256" t="s">
        <v>6734</v>
      </c>
      <c r="G256">
        <v>4</v>
      </c>
    </row>
    <row r="257" spans="1:7" x14ac:dyDescent="0.3">
      <c r="A257" t="s">
        <v>7176</v>
      </c>
      <c r="C257" t="str">
        <v>clindamicina 1g</v>
      </c>
      <c r="D257">
        <f t="shared" si="3"/>
        <v>1</v>
      </c>
      <c r="F257" t="s">
        <v>7089</v>
      </c>
      <c r="G257">
        <v>4</v>
      </c>
    </row>
    <row r="258" spans="1:7" x14ac:dyDescent="0.3">
      <c r="A258" t="s">
        <v>7176</v>
      </c>
      <c r="C258" t="str">
        <v>clindamycin</v>
      </c>
      <c r="D258">
        <f t="shared" ref="D258:D321" si="4">COUNTIF(A$1:A$4322,C258)</f>
        <v>2</v>
      </c>
      <c r="F258" t="s">
        <v>7111</v>
      </c>
      <c r="G258">
        <v>4</v>
      </c>
    </row>
    <row r="259" spans="1:7" x14ac:dyDescent="0.3">
      <c r="A259" t="s">
        <v>6651</v>
      </c>
      <c r="C259" t="str">
        <v>clioquinol</v>
      </c>
      <c r="D259">
        <f t="shared" si="4"/>
        <v>3</v>
      </c>
      <c r="F259" t="s">
        <v>7117</v>
      </c>
      <c r="G259">
        <v>4</v>
      </c>
    </row>
    <row r="260" spans="1:7" x14ac:dyDescent="0.3">
      <c r="A260" t="s">
        <v>6651</v>
      </c>
      <c r="C260" t="str">
        <v>clioquinol 3 g</v>
      </c>
      <c r="D260">
        <f t="shared" si="4"/>
        <v>1</v>
      </c>
      <c r="F260" t="s">
        <v>6756</v>
      </c>
      <c r="G260">
        <v>4</v>
      </c>
    </row>
    <row r="261" spans="1:7" x14ac:dyDescent="0.3">
      <c r="A261" t="s">
        <v>6651</v>
      </c>
      <c r="C261" t="str">
        <v>clofenamina 50mg</v>
      </c>
      <c r="D261">
        <f t="shared" si="4"/>
        <v>1</v>
      </c>
      <c r="F261" t="s">
        <v>704</v>
      </c>
      <c r="G261">
        <v>4</v>
      </c>
    </row>
    <row r="262" spans="1:7" x14ac:dyDescent="0.3">
      <c r="A262" t="s">
        <v>6651</v>
      </c>
      <c r="C262" t="str">
        <v>clohidrato de fenilefrina</v>
      </c>
      <c r="D262">
        <f t="shared" si="4"/>
        <v>1</v>
      </c>
      <c r="F262" t="s">
        <v>7138</v>
      </c>
      <c r="G262">
        <v>4</v>
      </c>
    </row>
    <row r="263" spans="1:7" x14ac:dyDescent="0.3">
      <c r="A263" t="s">
        <v>6651</v>
      </c>
      <c r="C263" t="str">
        <v>clonixinato de lisina</v>
      </c>
      <c r="D263">
        <f t="shared" si="4"/>
        <v>20</v>
      </c>
      <c r="F263" t="s">
        <v>7132</v>
      </c>
      <c r="G263">
        <v>4</v>
      </c>
    </row>
    <row r="264" spans="1:7" x14ac:dyDescent="0.3">
      <c r="A264" t="s">
        <v>6651</v>
      </c>
      <c r="C264" t="str">
        <v>clopidogrel</v>
      </c>
      <c r="D264">
        <f t="shared" si="4"/>
        <v>9</v>
      </c>
      <c r="F264" t="s">
        <v>152</v>
      </c>
      <c r="G264">
        <v>4</v>
      </c>
    </row>
    <row r="265" spans="1:7" x14ac:dyDescent="0.3">
      <c r="A265" t="s">
        <v>6651</v>
      </c>
      <c r="C265" t="str">
        <v>clopidogrel 75 mg</v>
      </c>
      <c r="D265">
        <f t="shared" si="4"/>
        <v>1</v>
      </c>
      <c r="F265" t="s">
        <v>6779</v>
      </c>
      <c r="G265">
        <v>4</v>
      </c>
    </row>
    <row r="266" spans="1:7" x14ac:dyDescent="0.3">
      <c r="A266" t="s">
        <v>6651</v>
      </c>
      <c r="C266" t="str">
        <v>clopidogrel </v>
      </c>
      <c r="D266">
        <f t="shared" si="4"/>
        <v>5</v>
      </c>
      <c r="F266" t="s">
        <v>2480</v>
      </c>
      <c r="G266">
        <v>4</v>
      </c>
    </row>
    <row r="267" spans="1:7" x14ac:dyDescent="0.3">
      <c r="A267" t="s">
        <v>6651</v>
      </c>
      <c r="C267" t="str">
        <v>cloramfenicol 5 mg</v>
      </c>
      <c r="D267">
        <f t="shared" si="4"/>
        <v>1</v>
      </c>
      <c r="F267" t="s">
        <v>6785</v>
      </c>
      <c r="G267">
        <v>4</v>
      </c>
    </row>
    <row r="268" spans="1:7" x14ac:dyDescent="0.3">
      <c r="A268" t="s">
        <v>6651</v>
      </c>
      <c r="C268" t="str">
        <v>cloranfenicol</v>
      </c>
      <c r="D268">
        <f t="shared" si="4"/>
        <v>4</v>
      </c>
      <c r="F268" t="s">
        <v>1345</v>
      </c>
      <c r="G268">
        <v>4</v>
      </c>
    </row>
    <row r="269" spans="1:7" x14ac:dyDescent="0.3">
      <c r="A269" t="s">
        <v>6651</v>
      </c>
      <c r="C269" t="str">
        <v>cloranfenicol 25mg</v>
      </c>
      <c r="D269">
        <f t="shared" si="4"/>
        <v>1</v>
      </c>
      <c r="F269" t="s">
        <v>6986</v>
      </c>
      <c r="G269">
        <v>4</v>
      </c>
    </row>
    <row r="270" spans="1:7" x14ac:dyDescent="0.3">
      <c r="A270" t="s">
        <v>6651</v>
      </c>
      <c r="C270" t="str">
        <v>clorfenamina</v>
      </c>
      <c r="D270">
        <f t="shared" si="4"/>
        <v>35</v>
      </c>
      <c r="F270" t="s">
        <v>733</v>
      </c>
      <c r="G270">
        <v>4</v>
      </c>
    </row>
    <row r="271" spans="1:7" x14ac:dyDescent="0.3">
      <c r="A271" t="s">
        <v>6651</v>
      </c>
      <c r="C271" t="str">
        <v>clorfenamina 2mg</v>
      </c>
      <c r="D271">
        <f t="shared" si="4"/>
        <v>1</v>
      </c>
      <c r="F271" t="s">
        <v>6798</v>
      </c>
      <c r="G271">
        <v>4</v>
      </c>
    </row>
    <row r="272" spans="1:7" x14ac:dyDescent="0.3">
      <c r="A272" t="s">
        <v>6651</v>
      </c>
      <c r="C272" t="str">
        <v xml:space="preserve">clorhidrato de fexofenadina </v>
      </c>
      <c r="D272">
        <f t="shared" si="4"/>
        <v>1</v>
      </c>
      <c r="F272" t="s">
        <v>175</v>
      </c>
      <c r="G272">
        <v>4</v>
      </c>
    </row>
    <row r="273" spans="1:7" x14ac:dyDescent="0.3">
      <c r="A273" t="s">
        <v>6651</v>
      </c>
      <c r="C273" t="str">
        <v>clorpenamina</v>
      </c>
      <c r="D273">
        <f t="shared" si="4"/>
        <v>1</v>
      </c>
      <c r="F273" t="s">
        <v>6822</v>
      </c>
      <c r="G273">
        <v>4</v>
      </c>
    </row>
    <row r="274" spans="1:7" x14ac:dyDescent="0.3">
      <c r="A274" t="s">
        <v>6651</v>
      </c>
      <c r="C274" t="str">
        <v>clortalidona</v>
      </c>
      <c r="D274">
        <f t="shared" si="4"/>
        <v>7</v>
      </c>
      <c r="F274" t="s">
        <v>6823</v>
      </c>
      <c r="G274">
        <v>4</v>
      </c>
    </row>
    <row r="275" spans="1:7" x14ac:dyDescent="0.3">
      <c r="A275" t="s">
        <v>6651</v>
      </c>
      <c r="C275" t="str">
        <v>cloruro de benzalconio</v>
      </c>
      <c r="D275">
        <f t="shared" si="4"/>
        <v>3</v>
      </c>
      <c r="F275" t="s">
        <v>7119</v>
      </c>
      <c r="G275">
        <v>4</v>
      </c>
    </row>
    <row r="276" spans="1:7" x14ac:dyDescent="0.3">
      <c r="A276" t="s">
        <v>6651</v>
      </c>
      <c r="C276" t="str">
        <v>cloruro de etilo</v>
      </c>
      <c r="D276">
        <f t="shared" si="4"/>
        <v>3</v>
      </c>
      <c r="F276" t="s">
        <v>7346</v>
      </c>
      <c r="G276">
        <v>4</v>
      </c>
    </row>
    <row r="277" spans="1:7" x14ac:dyDescent="0.3">
      <c r="A277" t="s">
        <v>6651</v>
      </c>
      <c r="C277" t="str">
        <v>cloruro de sodio</v>
      </c>
      <c r="D277">
        <f t="shared" si="4"/>
        <v>2</v>
      </c>
      <c r="F277" t="s">
        <v>7153</v>
      </c>
      <c r="G277">
        <v>4</v>
      </c>
    </row>
    <row r="278" spans="1:7" x14ac:dyDescent="0.3">
      <c r="A278" t="s">
        <v>6905</v>
      </c>
      <c r="C278" t="str">
        <v>clorzoxazona</v>
      </c>
      <c r="D278">
        <f t="shared" si="4"/>
        <v>5</v>
      </c>
      <c r="F278" t="s">
        <v>1724</v>
      </c>
      <c r="G278">
        <v>4</v>
      </c>
    </row>
    <row r="279" spans="1:7" x14ac:dyDescent="0.3">
      <c r="A279" t="s">
        <v>1673</v>
      </c>
      <c r="C279" t="str">
        <v>clotrimazol</v>
      </c>
      <c r="D279">
        <f t="shared" si="4"/>
        <v>7</v>
      </c>
      <c r="F279" t="s">
        <v>6843</v>
      </c>
      <c r="G279">
        <v>4</v>
      </c>
    </row>
    <row r="280" spans="1:7" x14ac:dyDescent="0.3">
      <c r="A280" t="s">
        <v>1673</v>
      </c>
      <c r="C280" t="str">
        <v>clotrimazol 1g</v>
      </c>
      <c r="D280">
        <f t="shared" si="4"/>
        <v>1</v>
      </c>
      <c r="F280" t="s">
        <v>7286</v>
      </c>
      <c r="G280">
        <v>4</v>
      </c>
    </row>
    <row r="281" spans="1:7" x14ac:dyDescent="0.3">
      <c r="A281" t="s">
        <v>1673</v>
      </c>
      <c r="C281" t="str">
        <v>clotrimazole</v>
      </c>
      <c r="D281">
        <f t="shared" si="4"/>
        <v>1</v>
      </c>
      <c r="F281" t="s">
        <v>6864</v>
      </c>
      <c r="G281">
        <v>4</v>
      </c>
    </row>
    <row r="282" spans="1:7" x14ac:dyDescent="0.3">
      <c r="A282" t="s">
        <v>1673</v>
      </c>
      <c r="C282" t="str">
        <v>cloxinato de lisina 250mg</v>
      </c>
      <c r="D282">
        <f t="shared" si="4"/>
        <v>1</v>
      </c>
      <c r="F282" t="s">
        <v>43</v>
      </c>
      <c r="G282">
        <v>4</v>
      </c>
    </row>
    <row r="283" spans="1:7" x14ac:dyDescent="0.3">
      <c r="A283" t="s">
        <v>1673</v>
      </c>
      <c r="C283" t="str">
        <v>colchicina</v>
      </c>
      <c r="D283">
        <f t="shared" si="4"/>
        <v>1</v>
      </c>
      <c r="F283" t="s">
        <v>7041</v>
      </c>
      <c r="G283">
        <v>4</v>
      </c>
    </row>
    <row r="284" spans="1:7" x14ac:dyDescent="0.3">
      <c r="A284" t="s">
        <v>1673</v>
      </c>
      <c r="C284" t="str">
        <v>colchicina 1mg</v>
      </c>
      <c r="D284">
        <f t="shared" si="4"/>
        <v>2</v>
      </c>
      <c r="F284" t="s">
        <v>6899</v>
      </c>
      <c r="G284">
        <v>4</v>
      </c>
    </row>
    <row r="285" spans="1:7" x14ac:dyDescent="0.3">
      <c r="A285" t="s">
        <v>1673</v>
      </c>
      <c r="C285" t="str">
        <v>colchicine</v>
      </c>
      <c r="D285">
        <f t="shared" si="4"/>
        <v>2</v>
      </c>
      <c r="F285" t="s">
        <v>6643</v>
      </c>
      <c r="G285">
        <v>3</v>
      </c>
    </row>
    <row r="286" spans="1:7" x14ac:dyDescent="0.3">
      <c r="A286" t="s">
        <v>1673</v>
      </c>
      <c r="C286" t="str">
        <v>colecalciferol</v>
      </c>
      <c r="D286">
        <f t="shared" si="4"/>
        <v>28</v>
      </c>
      <c r="F286" t="s">
        <v>7179</v>
      </c>
      <c r="G286">
        <v>3</v>
      </c>
    </row>
    <row r="287" spans="1:7" x14ac:dyDescent="0.3">
      <c r="A287" t="s">
        <v>1673</v>
      </c>
      <c r="C287" t="str">
        <v>colecalciferol 4 mg</v>
      </c>
      <c r="D287">
        <f t="shared" si="4"/>
        <v>1</v>
      </c>
      <c r="F287" t="s">
        <v>2452</v>
      </c>
      <c r="G287">
        <v>3</v>
      </c>
    </row>
    <row r="288" spans="1:7" x14ac:dyDescent="0.3">
      <c r="A288" t="s">
        <v>1673</v>
      </c>
      <c r="C288" t="str">
        <v>collinsonia</v>
      </c>
      <c r="D288">
        <f t="shared" si="4"/>
        <v>1</v>
      </c>
      <c r="F288" t="s">
        <v>1327</v>
      </c>
      <c r="G288">
        <v>3</v>
      </c>
    </row>
    <row r="289" spans="1:7" x14ac:dyDescent="0.3">
      <c r="A289" t="s">
        <v>1673</v>
      </c>
      <c r="C289" t="str">
        <v>combinations</v>
      </c>
      <c r="D289">
        <f t="shared" si="4"/>
        <v>1</v>
      </c>
      <c r="F289" t="s">
        <v>638</v>
      </c>
      <c r="G289">
        <v>3</v>
      </c>
    </row>
    <row r="290" spans="1:7" x14ac:dyDescent="0.3">
      <c r="A290" t="s">
        <v>1673</v>
      </c>
      <c r="C290" t="str">
        <v>combinations of antihistamines</v>
      </c>
      <c r="D290">
        <f t="shared" si="4"/>
        <v>1</v>
      </c>
      <c r="F290" t="s">
        <v>6915</v>
      </c>
      <c r="G290">
        <v>3</v>
      </c>
    </row>
    <row r="291" spans="1:7" x14ac:dyDescent="0.3">
      <c r="A291" t="s">
        <v>1673</v>
      </c>
      <c r="C291" t="str">
        <v>combinations </v>
      </c>
      <c r="D291">
        <f t="shared" si="4"/>
        <v>2</v>
      </c>
      <c r="F291" t="s">
        <v>6667</v>
      </c>
      <c r="G291">
        <v>3</v>
      </c>
    </row>
    <row r="292" spans="1:7" x14ac:dyDescent="0.3">
      <c r="A292" t="s">
        <v>1673</v>
      </c>
      <c r="C292" t="str">
        <v>corticosteroids for systemic use</v>
      </c>
      <c r="D292">
        <f t="shared" si="4"/>
        <v>1</v>
      </c>
      <c r="F292" t="s">
        <v>7083</v>
      </c>
      <c r="G292">
        <v>3</v>
      </c>
    </row>
    <row r="293" spans="1:7" x14ac:dyDescent="0.3">
      <c r="A293" t="s">
        <v>1673</v>
      </c>
      <c r="C293" t="str">
        <v>cough suppressants and expectorants</v>
      </c>
      <c r="D293">
        <f t="shared" si="4"/>
        <v>2</v>
      </c>
      <c r="F293" t="s">
        <v>1402</v>
      </c>
      <c r="G293">
        <v>3</v>
      </c>
    </row>
    <row r="294" spans="1:7" x14ac:dyDescent="0.3">
      <c r="A294" t="s">
        <v>1673</v>
      </c>
      <c r="C294" t="str">
        <v>cough suppressants and mucolytics</v>
      </c>
      <c r="D294">
        <f t="shared" si="4"/>
        <v>2</v>
      </c>
      <c r="F294" t="s">
        <v>6674</v>
      </c>
      <c r="G294">
        <v>3</v>
      </c>
    </row>
    <row r="295" spans="1:7" x14ac:dyDescent="0.3">
      <c r="A295" t="s">
        <v>1673</v>
      </c>
      <c r="C295" t="str">
        <v>d-alfa-tocoferol</v>
      </c>
      <c r="D295">
        <f t="shared" si="4"/>
        <v>1</v>
      </c>
      <c r="F295" t="s">
        <v>2112</v>
      </c>
      <c r="G295">
        <v>3</v>
      </c>
    </row>
    <row r="296" spans="1:7" x14ac:dyDescent="0.3">
      <c r="A296" t="s">
        <v>1673</v>
      </c>
      <c r="C296" t="str">
        <v>dapagliflozina</v>
      </c>
      <c r="D296">
        <f t="shared" si="4"/>
        <v>1</v>
      </c>
      <c r="F296" t="s">
        <v>6924</v>
      </c>
      <c r="G296">
        <v>3</v>
      </c>
    </row>
    <row r="297" spans="1:7" x14ac:dyDescent="0.3">
      <c r="A297" t="s">
        <v>7177</v>
      </c>
      <c r="C297" t="str">
        <v>deflazacort</v>
      </c>
      <c r="D297">
        <f t="shared" si="4"/>
        <v>6</v>
      </c>
      <c r="F297" t="s">
        <v>2273</v>
      </c>
      <c r="G297">
        <v>3</v>
      </c>
    </row>
    <row r="298" spans="1:7" x14ac:dyDescent="0.3">
      <c r="A298" t="s">
        <v>1749</v>
      </c>
      <c r="C298" t="str">
        <v>deslanoside </v>
      </c>
      <c r="D298">
        <f t="shared" si="4"/>
        <v>1</v>
      </c>
      <c r="F298" t="s">
        <v>1805</v>
      </c>
      <c r="G298">
        <v>3</v>
      </c>
    </row>
    <row r="299" spans="1:7" x14ac:dyDescent="0.3">
      <c r="A299" t="s">
        <v>6652</v>
      </c>
      <c r="C299" t="str">
        <v>desloratadina</v>
      </c>
      <c r="D299">
        <f t="shared" si="4"/>
        <v>3</v>
      </c>
      <c r="F299" t="s">
        <v>6685</v>
      </c>
      <c r="G299">
        <v>3</v>
      </c>
    </row>
    <row r="300" spans="1:7" x14ac:dyDescent="0.3">
      <c r="A300" t="s">
        <v>7311</v>
      </c>
      <c r="C300" t="str">
        <v>desloratadina 5mg</v>
      </c>
      <c r="D300">
        <f t="shared" si="4"/>
        <v>1</v>
      </c>
      <c r="F300" t="s">
        <v>2101</v>
      </c>
      <c r="G300">
        <v>3</v>
      </c>
    </row>
    <row r="301" spans="1:7" x14ac:dyDescent="0.3">
      <c r="A301" t="s">
        <v>7311</v>
      </c>
      <c r="C301" t="str">
        <v>desloratadine</v>
      </c>
      <c r="D301">
        <f t="shared" si="4"/>
        <v>1</v>
      </c>
      <c r="F301" t="s">
        <v>6932</v>
      </c>
      <c r="G301">
        <v>3</v>
      </c>
    </row>
    <row r="302" spans="1:7" x14ac:dyDescent="0.3">
      <c r="A302" t="s">
        <v>7311</v>
      </c>
      <c r="C302" t="str">
        <v>desonida</v>
      </c>
      <c r="D302">
        <f t="shared" si="4"/>
        <v>1</v>
      </c>
      <c r="F302" t="s">
        <v>6693</v>
      </c>
      <c r="G302">
        <v>3</v>
      </c>
    </row>
    <row r="303" spans="1:7" x14ac:dyDescent="0.3">
      <c r="A303" t="s">
        <v>7311</v>
      </c>
      <c r="C303" t="str">
        <v>desvenlafaxina</v>
      </c>
      <c r="D303">
        <f t="shared" si="4"/>
        <v>1</v>
      </c>
      <c r="F303" t="s">
        <v>939</v>
      </c>
      <c r="G303">
        <v>3</v>
      </c>
    </row>
    <row r="304" spans="1:7" x14ac:dyDescent="0.3">
      <c r="A304" t="s">
        <v>7178</v>
      </c>
      <c r="C304" t="str">
        <v>desvenlafaxine</v>
      </c>
      <c r="D304">
        <f t="shared" si="4"/>
        <v>1</v>
      </c>
      <c r="F304" t="s">
        <v>1478</v>
      </c>
      <c r="G304">
        <v>3</v>
      </c>
    </row>
    <row r="305" spans="1:7" x14ac:dyDescent="0.3">
      <c r="A305" t="s">
        <v>7178</v>
      </c>
      <c r="C305" t="str">
        <v>dexametasona</v>
      </c>
      <c r="D305">
        <f t="shared" si="4"/>
        <v>9</v>
      </c>
      <c r="F305" t="s">
        <v>494</v>
      </c>
      <c r="G305">
        <v>3</v>
      </c>
    </row>
    <row r="306" spans="1:7" x14ac:dyDescent="0.3">
      <c r="A306" t="s">
        <v>7178</v>
      </c>
      <c r="C306" t="str">
        <v>dexametasona 0</v>
      </c>
      <c r="D306">
        <f t="shared" si="4"/>
        <v>1</v>
      </c>
      <c r="F306" t="s">
        <v>1965</v>
      </c>
      <c r="G306">
        <v>3</v>
      </c>
    </row>
    <row r="307" spans="1:7" x14ac:dyDescent="0.3">
      <c r="A307" t="s">
        <v>7178</v>
      </c>
      <c r="C307" t="str">
        <v>dexamethasone</v>
      </c>
      <c r="D307">
        <f t="shared" si="4"/>
        <v>2</v>
      </c>
      <c r="F307" t="s">
        <v>6707</v>
      </c>
      <c r="G307">
        <v>3</v>
      </c>
    </row>
    <row r="308" spans="1:7" x14ac:dyDescent="0.3">
      <c r="A308" t="s">
        <v>7313</v>
      </c>
      <c r="C308" t="str">
        <v>dexketoprofen</v>
      </c>
      <c r="D308">
        <f t="shared" si="4"/>
        <v>1</v>
      </c>
      <c r="F308" t="s">
        <v>6708</v>
      </c>
      <c r="G308">
        <v>3</v>
      </c>
    </row>
    <row r="309" spans="1:7" x14ac:dyDescent="0.3">
      <c r="A309" t="s">
        <v>7313</v>
      </c>
      <c r="C309" t="str">
        <v>dexketoprofeno</v>
      </c>
      <c r="D309">
        <f t="shared" si="4"/>
        <v>3</v>
      </c>
      <c r="F309" t="s">
        <v>6715</v>
      </c>
      <c r="G309">
        <v>3</v>
      </c>
    </row>
    <row r="310" spans="1:7" x14ac:dyDescent="0.3">
      <c r="A310" t="s">
        <v>7313</v>
      </c>
      <c r="C310" t="str">
        <v>dexketoprofeno 50mg</v>
      </c>
      <c r="D310">
        <f t="shared" si="4"/>
        <v>1</v>
      </c>
      <c r="F310" t="s">
        <v>6718</v>
      </c>
      <c r="G310">
        <v>3</v>
      </c>
    </row>
    <row r="311" spans="1:7" x14ac:dyDescent="0.3">
      <c r="A311" t="s">
        <v>7313</v>
      </c>
      <c r="C311" t="str">
        <v>dexpantenol 5%</v>
      </c>
      <c r="D311">
        <f t="shared" si="4"/>
        <v>2</v>
      </c>
      <c r="F311" t="s">
        <v>6720</v>
      </c>
      <c r="G311">
        <v>3</v>
      </c>
    </row>
    <row r="312" spans="1:7" x14ac:dyDescent="0.3">
      <c r="A312" t="s">
        <v>7314</v>
      </c>
      <c r="C312" t="str">
        <v>dexpanthenol</v>
      </c>
      <c r="D312">
        <f t="shared" si="4"/>
        <v>2</v>
      </c>
      <c r="F312" t="s">
        <v>6721</v>
      </c>
      <c r="G312">
        <v>3</v>
      </c>
    </row>
    <row r="313" spans="1:7" x14ac:dyDescent="0.3">
      <c r="A313" t="s">
        <v>7314</v>
      </c>
      <c r="C313" t="str">
        <v>dextrometorfano</v>
      </c>
      <c r="D313">
        <f t="shared" si="4"/>
        <v>15</v>
      </c>
      <c r="F313" t="s">
        <v>1083</v>
      </c>
      <c r="G313">
        <v>3</v>
      </c>
    </row>
    <row r="314" spans="1:7" x14ac:dyDescent="0.3">
      <c r="A314" t="s">
        <v>7314</v>
      </c>
      <c r="C314" t="str">
        <v>dextrometorfano 10mg</v>
      </c>
      <c r="D314">
        <f t="shared" si="4"/>
        <v>1</v>
      </c>
      <c r="F314" t="s">
        <v>6725</v>
      </c>
      <c r="G314">
        <v>3</v>
      </c>
    </row>
    <row r="315" spans="1:7" x14ac:dyDescent="0.3">
      <c r="A315" t="s">
        <v>7314</v>
      </c>
      <c r="C315" t="str">
        <v>dextrometorfano 113 mg</v>
      </c>
      <c r="D315">
        <f t="shared" si="4"/>
        <v>2</v>
      </c>
      <c r="F315" t="s">
        <v>2815</v>
      </c>
      <c r="G315">
        <v>3</v>
      </c>
    </row>
    <row r="316" spans="1:7" x14ac:dyDescent="0.3">
      <c r="A316" t="s">
        <v>7067</v>
      </c>
      <c r="C316" t="str">
        <v>dextrometorfano 15 mg</v>
      </c>
      <c r="D316">
        <f t="shared" si="4"/>
        <v>1</v>
      </c>
      <c r="F316" t="s">
        <v>6727</v>
      </c>
      <c r="G316">
        <v>3</v>
      </c>
    </row>
    <row r="317" spans="1:7" x14ac:dyDescent="0.3">
      <c r="A317" t="s">
        <v>2260</v>
      </c>
      <c r="C317" t="str">
        <v>diacerein</v>
      </c>
      <c r="D317">
        <f t="shared" si="4"/>
        <v>1</v>
      </c>
      <c r="F317" t="s">
        <v>6957</v>
      </c>
      <c r="G317">
        <v>3</v>
      </c>
    </row>
    <row r="318" spans="1:7" x14ac:dyDescent="0.3">
      <c r="A318" t="s">
        <v>7232</v>
      </c>
      <c r="C318" t="str">
        <v>diacereína</v>
      </c>
      <c r="D318">
        <f t="shared" si="4"/>
        <v>3</v>
      </c>
      <c r="F318" t="s">
        <v>7191</v>
      </c>
      <c r="G318">
        <v>3</v>
      </c>
    </row>
    <row r="319" spans="1:7" x14ac:dyDescent="0.3">
      <c r="A319" t="s">
        <v>7232</v>
      </c>
      <c r="C319" t="str">
        <v>diazepam</v>
      </c>
      <c r="D319">
        <f t="shared" si="4"/>
        <v>3</v>
      </c>
      <c r="F319" t="s">
        <v>6735</v>
      </c>
      <c r="G319">
        <v>3</v>
      </c>
    </row>
    <row r="320" spans="1:7" x14ac:dyDescent="0.3">
      <c r="A320" t="s">
        <v>7232</v>
      </c>
      <c r="C320" t="str">
        <v>dicicloverina 10mg</v>
      </c>
      <c r="D320">
        <f t="shared" si="4"/>
        <v>2</v>
      </c>
      <c r="F320" t="s">
        <v>6742</v>
      </c>
      <c r="G320">
        <v>3</v>
      </c>
    </row>
    <row r="321" spans="1:7" x14ac:dyDescent="0.3">
      <c r="A321" t="s">
        <v>7232</v>
      </c>
      <c r="C321" t="str">
        <v>diclofenac</v>
      </c>
      <c r="D321">
        <f t="shared" si="4"/>
        <v>7</v>
      </c>
      <c r="F321" t="s">
        <v>648</v>
      </c>
      <c r="G321">
        <v>3</v>
      </c>
    </row>
    <row r="322" spans="1:7" x14ac:dyDescent="0.3">
      <c r="A322" t="s">
        <v>7232</v>
      </c>
      <c r="C322" t="str">
        <v>diclofenaco</v>
      </c>
      <c r="D322">
        <f t="shared" ref="D322:D385" si="5">COUNTIF(A$1:A$4322,C322)</f>
        <v>30</v>
      </c>
      <c r="F322" t="s">
        <v>7068</v>
      </c>
      <c r="G322">
        <v>3</v>
      </c>
    </row>
    <row r="323" spans="1:7" x14ac:dyDescent="0.3">
      <c r="A323" t="s">
        <v>6906</v>
      </c>
      <c r="C323" t="str">
        <v>diclofenaco 100 mg</v>
      </c>
      <c r="D323">
        <f t="shared" si="5"/>
        <v>1</v>
      </c>
      <c r="F323" t="s">
        <v>7118</v>
      </c>
      <c r="G323">
        <v>3</v>
      </c>
    </row>
    <row r="324" spans="1:7" x14ac:dyDescent="0.3">
      <c r="A324" t="s">
        <v>6653</v>
      </c>
      <c r="C324" t="str">
        <v>diclofenaco 50 mg</v>
      </c>
      <c r="D324">
        <f t="shared" si="5"/>
        <v>1</v>
      </c>
      <c r="F324" t="s">
        <v>302</v>
      </c>
      <c r="G324">
        <v>3</v>
      </c>
    </row>
    <row r="325" spans="1:7" x14ac:dyDescent="0.3">
      <c r="A325" t="s">
        <v>6653</v>
      </c>
      <c r="C325" t="str">
        <v>diclofenaco 50mg</v>
      </c>
      <c r="D325">
        <f t="shared" si="5"/>
        <v>1</v>
      </c>
      <c r="F325" t="s">
        <v>7122</v>
      </c>
      <c r="G325">
        <v>3</v>
      </c>
    </row>
    <row r="326" spans="1:7" x14ac:dyDescent="0.3">
      <c r="A326" t="s">
        <v>1777</v>
      </c>
      <c r="C326" t="str">
        <v>diclofenaco 60g</v>
      </c>
      <c r="D326">
        <f t="shared" si="5"/>
        <v>1</v>
      </c>
      <c r="F326" t="s">
        <v>7088</v>
      </c>
      <c r="G326">
        <v>3</v>
      </c>
    </row>
    <row r="327" spans="1:7" x14ac:dyDescent="0.3">
      <c r="A327" t="s">
        <v>1777</v>
      </c>
      <c r="C327" t="str">
        <v>dicloxacilina</v>
      </c>
      <c r="D327">
        <f t="shared" si="5"/>
        <v>14</v>
      </c>
      <c r="F327" t="s">
        <v>6758</v>
      </c>
      <c r="G327">
        <v>3</v>
      </c>
    </row>
    <row r="328" spans="1:7" x14ac:dyDescent="0.3">
      <c r="A328" t="s">
        <v>1777</v>
      </c>
      <c r="C328" t="str">
        <v>dicloxacilina 500mg</v>
      </c>
      <c r="D328">
        <f t="shared" si="5"/>
        <v>1</v>
      </c>
      <c r="F328" t="s">
        <v>819</v>
      </c>
      <c r="G328">
        <v>3</v>
      </c>
    </row>
    <row r="329" spans="1:7" x14ac:dyDescent="0.3">
      <c r="A329" t="s">
        <v>1777</v>
      </c>
      <c r="C329" t="str">
        <v>dicloxacillin</v>
      </c>
      <c r="D329">
        <f t="shared" si="5"/>
        <v>3</v>
      </c>
      <c r="F329" t="s">
        <v>1658</v>
      </c>
      <c r="G329">
        <v>3</v>
      </c>
    </row>
    <row r="330" spans="1:7" x14ac:dyDescent="0.3">
      <c r="A330" t="s">
        <v>7233</v>
      </c>
      <c r="C330" t="str">
        <v>dicycloverine </v>
      </c>
      <c r="D330">
        <f t="shared" si="5"/>
        <v>2</v>
      </c>
      <c r="F330" t="s">
        <v>7336</v>
      </c>
      <c r="G330">
        <v>3</v>
      </c>
    </row>
    <row r="331" spans="1:7" x14ac:dyDescent="0.3">
      <c r="A331" t="s">
        <v>6907</v>
      </c>
      <c r="C331" t="str">
        <v>didrogesterona</v>
      </c>
      <c r="D331">
        <f t="shared" si="5"/>
        <v>2</v>
      </c>
      <c r="F331" t="s">
        <v>679</v>
      </c>
      <c r="G331">
        <v>3</v>
      </c>
    </row>
    <row r="332" spans="1:7" x14ac:dyDescent="0.3">
      <c r="A332" t="s">
        <v>7069</v>
      </c>
      <c r="C332" t="str">
        <v>dienogest</v>
      </c>
      <c r="D332">
        <f t="shared" si="5"/>
        <v>2</v>
      </c>
      <c r="F332" t="s">
        <v>6795</v>
      </c>
      <c r="G332">
        <v>3</v>
      </c>
    </row>
    <row r="333" spans="1:7" x14ac:dyDescent="0.3">
      <c r="A333" t="s">
        <v>7069</v>
      </c>
      <c r="C333" t="str">
        <v>difenhidramina</v>
      </c>
      <c r="D333">
        <f t="shared" si="5"/>
        <v>3</v>
      </c>
      <c r="F333" t="s">
        <v>6796</v>
      </c>
      <c r="G333">
        <v>3</v>
      </c>
    </row>
    <row r="334" spans="1:7" x14ac:dyDescent="0.3">
      <c r="A334" t="s">
        <v>7069</v>
      </c>
      <c r="C334" t="str">
        <v>difenidol</v>
      </c>
      <c r="D334">
        <f t="shared" si="5"/>
        <v>15</v>
      </c>
      <c r="F334" t="s">
        <v>808</v>
      </c>
      <c r="G334">
        <v>3</v>
      </c>
    </row>
    <row r="335" spans="1:7" x14ac:dyDescent="0.3">
      <c r="A335" t="s">
        <v>7069</v>
      </c>
      <c r="C335" t="str">
        <v>difenidol 25 mg</v>
      </c>
      <c r="D335">
        <f t="shared" si="5"/>
        <v>1</v>
      </c>
      <c r="F335" t="s">
        <v>1077</v>
      </c>
      <c r="G335">
        <v>3</v>
      </c>
    </row>
    <row r="336" spans="1:7" x14ac:dyDescent="0.3">
      <c r="A336" t="s">
        <v>7069</v>
      </c>
      <c r="C336" t="str">
        <v>digitalis glycosides</v>
      </c>
      <c r="D336">
        <f t="shared" si="5"/>
        <v>1</v>
      </c>
      <c r="F336" t="s">
        <v>6805</v>
      </c>
      <c r="G336">
        <v>3</v>
      </c>
    </row>
    <row r="337" spans="1:7" x14ac:dyDescent="0.3">
      <c r="A337" t="s">
        <v>7069</v>
      </c>
      <c r="C337" t="str">
        <v>digoxin </v>
      </c>
      <c r="D337">
        <f t="shared" si="5"/>
        <v>3</v>
      </c>
      <c r="F337" t="s">
        <v>1771</v>
      </c>
      <c r="G337">
        <v>3</v>
      </c>
    </row>
    <row r="338" spans="1:7" x14ac:dyDescent="0.3">
      <c r="A338" t="s">
        <v>7069</v>
      </c>
      <c r="C338" t="str">
        <v>dihidroergocristina</v>
      </c>
      <c r="D338">
        <f t="shared" si="5"/>
        <v>1</v>
      </c>
      <c r="F338" t="s">
        <v>525</v>
      </c>
      <c r="G338">
        <v>3</v>
      </c>
    </row>
    <row r="339" spans="1:7" x14ac:dyDescent="0.3">
      <c r="A339" t="s">
        <v>7069</v>
      </c>
      <c r="C339" t="str">
        <v>dihydroergocristine</v>
      </c>
      <c r="D339">
        <f t="shared" si="5"/>
        <v>1</v>
      </c>
      <c r="F339" t="s">
        <v>6811</v>
      </c>
      <c r="G339">
        <v>3</v>
      </c>
    </row>
    <row r="340" spans="1:7" x14ac:dyDescent="0.3">
      <c r="A340" t="s">
        <v>7072</v>
      </c>
      <c r="C340" t="str">
        <v>diltiazem</v>
      </c>
      <c r="D340">
        <f t="shared" si="5"/>
        <v>3</v>
      </c>
      <c r="F340" t="s">
        <v>7268</v>
      </c>
      <c r="G340">
        <v>3</v>
      </c>
    </row>
    <row r="341" spans="1:7" x14ac:dyDescent="0.3">
      <c r="A341" t="s">
        <v>7073</v>
      </c>
      <c r="C341" t="str">
        <v>diltiazem 120mg</v>
      </c>
      <c r="D341">
        <f t="shared" si="5"/>
        <v>2</v>
      </c>
      <c r="F341" t="s">
        <v>7016</v>
      </c>
      <c r="G341">
        <v>3</v>
      </c>
    </row>
    <row r="342" spans="1:7" x14ac:dyDescent="0.3">
      <c r="A342" t="s">
        <v>7073</v>
      </c>
      <c r="C342" t="str">
        <v>diltiazem </v>
      </c>
      <c r="D342">
        <f t="shared" si="5"/>
        <v>4</v>
      </c>
      <c r="F342" t="s">
        <v>6825</v>
      </c>
      <c r="G342">
        <v>3</v>
      </c>
    </row>
    <row r="343" spans="1:7" x14ac:dyDescent="0.3">
      <c r="A343" t="s">
        <v>7073</v>
      </c>
      <c r="C343" t="str">
        <v>dimenhidrinato</v>
      </c>
      <c r="D343">
        <f t="shared" si="5"/>
        <v>4</v>
      </c>
      <c r="F343" t="s">
        <v>813</v>
      </c>
      <c r="G343">
        <v>3</v>
      </c>
    </row>
    <row r="344" spans="1:7" x14ac:dyDescent="0.3">
      <c r="A344" t="s">
        <v>7073</v>
      </c>
      <c r="C344" t="str">
        <v>dimeticona</v>
      </c>
      <c r="D344">
        <f t="shared" si="5"/>
        <v>14</v>
      </c>
      <c r="F344" t="s">
        <v>7141</v>
      </c>
      <c r="G344">
        <v>3</v>
      </c>
    </row>
    <row r="345" spans="1:7" x14ac:dyDescent="0.3">
      <c r="A345" t="s">
        <v>7073</v>
      </c>
      <c r="C345" t="str">
        <v>dimeticona 10mg</v>
      </c>
      <c r="D345">
        <f t="shared" si="5"/>
        <v>1</v>
      </c>
      <c r="F345" t="s">
        <v>6836</v>
      </c>
      <c r="G345">
        <v>3</v>
      </c>
    </row>
    <row r="346" spans="1:7" x14ac:dyDescent="0.3">
      <c r="A346" t="s">
        <v>7073</v>
      </c>
      <c r="C346" t="str">
        <v>dimeticona 20mg</v>
      </c>
      <c r="D346">
        <f t="shared" si="5"/>
        <v>1</v>
      </c>
      <c r="F346" t="s">
        <v>7023</v>
      </c>
      <c r="G346">
        <v>3</v>
      </c>
    </row>
    <row r="347" spans="1:7" x14ac:dyDescent="0.3">
      <c r="A347" t="s">
        <v>7073</v>
      </c>
      <c r="C347" t="str">
        <v>dinhidrato de isosorbida</v>
      </c>
      <c r="D347">
        <f t="shared" si="5"/>
        <v>16</v>
      </c>
      <c r="F347" t="s">
        <v>6626</v>
      </c>
      <c r="G347">
        <v>3</v>
      </c>
    </row>
    <row r="348" spans="1:7" x14ac:dyDescent="0.3">
      <c r="A348" t="s">
        <v>7073</v>
      </c>
      <c r="C348" t="str">
        <v>dinitrato isoborbida 20 mg</v>
      </c>
      <c r="D348">
        <f t="shared" si="5"/>
        <v>1</v>
      </c>
      <c r="F348" t="s">
        <v>7130</v>
      </c>
      <c r="G348">
        <v>3</v>
      </c>
    </row>
    <row r="349" spans="1:7" x14ac:dyDescent="0.3">
      <c r="A349" t="s">
        <v>7073</v>
      </c>
      <c r="C349" t="str">
        <v>dinitrato isoborbida 40 mg</v>
      </c>
      <c r="D349">
        <f t="shared" si="5"/>
        <v>3</v>
      </c>
      <c r="F349" t="s">
        <v>7156</v>
      </c>
      <c r="G349">
        <v>3</v>
      </c>
    </row>
    <row r="350" spans="1:7" x14ac:dyDescent="0.3">
      <c r="A350" t="s">
        <v>7073</v>
      </c>
      <c r="C350" t="str">
        <v>diosmin</v>
      </c>
      <c r="D350">
        <f t="shared" si="5"/>
        <v>4</v>
      </c>
      <c r="F350" t="s">
        <v>6855</v>
      </c>
      <c r="G350">
        <v>3</v>
      </c>
    </row>
    <row r="351" spans="1:7" x14ac:dyDescent="0.3">
      <c r="A351" t="s">
        <v>7073</v>
      </c>
      <c r="C351" t="str">
        <v>diosmin </v>
      </c>
      <c r="D351">
        <f t="shared" si="5"/>
        <v>2</v>
      </c>
      <c r="F351" t="s">
        <v>228</v>
      </c>
      <c r="G351">
        <v>3</v>
      </c>
    </row>
    <row r="352" spans="1:7" x14ac:dyDescent="0.3">
      <c r="A352" t="s">
        <v>7073</v>
      </c>
      <c r="C352" t="str">
        <v>diosmina</v>
      </c>
      <c r="D352">
        <f t="shared" si="5"/>
        <v>16</v>
      </c>
      <c r="F352" t="s">
        <v>1812</v>
      </c>
      <c r="G352">
        <v>3</v>
      </c>
    </row>
    <row r="353" spans="1:7" x14ac:dyDescent="0.3">
      <c r="A353" t="s">
        <v>7234</v>
      </c>
      <c r="C353" t="str">
        <v>diosmina 450 mg</v>
      </c>
      <c r="D353">
        <f t="shared" si="5"/>
        <v>1</v>
      </c>
      <c r="F353" t="s">
        <v>6866</v>
      </c>
      <c r="G353">
        <v>3</v>
      </c>
    </row>
    <row r="354" spans="1:7" x14ac:dyDescent="0.3">
      <c r="A354" t="s">
        <v>2721</v>
      </c>
      <c r="C354" t="str">
        <v>diosmina 450mg</v>
      </c>
      <c r="D354">
        <f t="shared" si="5"/>
        <v>3</v>
      </c>
      <c r="F354" t="s">
        <v>7162</v>
      </c>
      <c r="G354">
        <v>3</v>
      </c>
    </row>
    <row r="355" spans="1:7" x14ac:dyDescent="0.3">
      <c r="A355" t="s">
        <v>435</v>
      </c>
      <c r="C355" t="str">
        <v xml:space="preserve">diosmina 900mg </v>
      </c>
      <c r="D355">
        <f t="shared" si="5"/>
        <v>1</v>
      </c>
      <c r="F355" t="s">
        <v>2949</v>
      </c>
      <c r="G355">
        <v>3</v>
      </c>
    </row>
    <row r="356" spans="1:7" x14ac:dyDescent="0.3">
      <c r="A356" t="s">
        <v>435</v>
      </c>
      <c r="C356" t="str">
        <v>disopyramide </v>
      </c>
      <c r="D356">
        <f t="shared" si="5"/>
        <v>6</v>
      </c>
      <c r="F356" t="s">
        <v>6871</v>
      </c>
      <c r="G356">
        <v>3</v>
      </c>
    </row>
    <row r="357" spans="1:7" x14ac:dyDescent="0.3">
      <c r="A357" t="s">
        <v>435</v>
      </c>
      <c r="C357" t="str">
        <v>diyodohidroxiquinoleína</v>
      </c>
      <c r="D357">
        <f t="shared" si="5"/>
        <v>5</v>
      </c>
      <c r="F357" t="s">
        <v>7217</v>
      </c>
      <c r="G357">
        <v>3</v>
      </c>
    </row>
    <row r="358" spans="1:7" x14ac:dyDescent="0.3">
      <c r="A358" t="s">
        <v>435</v>
      </c>
      <c r="C358" t="str">
        <v>dobesilato de calcio</v>
      </c>
      <c r="D358">
        <f t="shared" si="5"/>
        <v>1</v>
      </c>
      <c r="F358" t="s">
        <v>6634</v>
      </c>
      <c r="G358">
        <v>3</v>
      </c>
    </row>
    <row r="359" spans="1:7" x14ac:dyDescent="0.3">
      <c r="A359" t="s">
        <v>435</v>
      </c>
      <c r="C359" t="str">
        <v>domperidone </v>
      </c>
      <c r="D359">
        <f t="shared" si="5"/>
        <v>1</v>
      </c>
      <c r="F359" t="s">
        <v>6878</v>
      </c>
      <c r="G359">
        <v>3</v>
      </c>
    </row>
    <row r="360" spans="1:7" x14ac:dyDescent="0.3">
      <c r="A360" t="s">
        <v>435</v>
      </c>
      <c r="C360" t="str">
        <v>dopa and dopa derivatives</v>
      </c>
      <c r="D360">
        <f t="shared" si="5"/>
        <v>1</v>
      </c>
      <c r="F360" t="s">
        <v>340</v>
      </c>
      <c r="G360">
        <v>3</v>
      </c>
    </row>
    <row r="361" spans="1:7" x14ac:dyDescent="0.3">
      <c r="A361" t="s">
        <v>435</v>
      </c>
      <c r="C361" t="str">
        <v>dorsolamida</v>
      </c>
      <c r="D361">
        <f t="shared" si="5"/>
        <v>1</v>
      </c>
      <c r="F361" t="s">
        <v>7040</v>
      </c>
      <c r="G361">
        <v>3</v>
      </c>
    </row>
    <row r="362" spans="1:7" x14ac:dyDescent="0.3">
      <c r="A362" t="s">
        <v>435</v>
      </c>
      <c r="C362" t="str">
        <v>dorzolamida 20 mg</v>
      </c>
      <c r="D362">
        <f t="shared" si="5"/>
        <v>1</v>
      </c>
      <c r="F362" t="s">
        <v>6884</v>
      </c>
      <c r="G362">
        <v>3</v>
      </c>
    </row>
    <row r="363" spans="1:7" x14ac:dyDescent="0.3">
      <c r="A363" t="s">
        <v>435</v>
      </c>
      <c r="C363" t="str">
        <v>dorzolamide</v>
      </c>
      <c r="D363">
        <f t="shared" si="5"/>
        <v>1</v>
      </c>
      <c r="F363" t="s">
        <v>7043</v>
      </c>
      <c r="G363">
        <v>3</v>
      </c>
    </row>
    <row r="364" spans="1:7" x14ac:dyDescent="0.3">
      <c r="A364" t="s">
        <v>435</v>
      </c>
      <c r="C364" t="str">
        <v>doxiciclina</v>
      </c>
      <c r="D364">
        <f t="shared" si="5"/>
        <v>4</v>
      </c>
      <c r="F364" t="s">
        <v>1035</v>
      </c>
      <c r="G364">
        <v>3</v>
      </c>
    </row>
    <row r="365" spans="1:7" x14ac:dyDescent="0.3">
      <c r="A365" t="s">
        <v>435</v>
      </c>
      <c r="C365" t="str">
        <v>doxicilina 100mg</v>
      </c>
      <c r="D365">
        <f t="shared" si="5"/>
        <v>10</v>
      </c>
      <c r="F365" t="s">
        <v>7290</v>
      </c>
      <c r="G365">
        <v>3</v>
      </c>
    </row>
    <row r="366" spans="1:7" x14ac:dyDescent="0.3">
      <c r="A366" t="s">
        <v>435</v>
      </c>
      <c r="C366" t="str">
        <v>doxycycline</v>
      </c>
      <c r="D366">
        <f t="shared" si="5"/>
        <v>11</v>
      </c>
      <c r="F366" t="s">
        <v>7123</v>
      </c>
      <c r="G366">
        <v>3</v>
      </c>
    </row>
    <row r="367" spans="1:7" x14ac:dyDescent="0.3">
      <c r="A367" t="s">
        <v>435</v>
      </c>
      <c r="C367" t="str">
        <v>doxycycline </v>
      </c>
      <c r="D367">
        <f t="shared" si="5"/>
        <v>1</v>
      </c>
      <c r="F367" t="s">
        <v>1490</v>
      </c>
      <c r="G367">
        <v>3</v>
      </c>
    </row>
    <row r="368" spans="1:7" x14ac:dyDescent="0.3">
      <c r="A368" t="s">
        <v>435</v>
      </c>
      <c r="C368" t="str">
        <v>dropropizina</v>
      </c>
      <c r="D368">
        <f t="shared" si="5"/>
        <v>4</v>
      </c>
      <c r="F368" t="s">
        <v>6902</v>
      </c>
      <c r="G368">
        <v>3</v>
      </c>
    </row>
    <row r="369" spans="1:7" x14ac:dyDescent="0.3">
      <c r="A369" t="s">
        <v>435</v>
      </c>
      <c r="C369" t="str">
        <v>dropropizuina 300 mg</v>
      </c>
      <c r="D369">
        <f t="shared" si="5"/>
        <v>1</v>
      </c>
      <c r="F369" t="s">
        <v>6639</v>
      </c>
      <c r="G369">
        <v>2</v>
      </c>
    </row>
    <row r="370" spans="1:7" x14ac:dyDescent="0.3">
      <c r="A370" t="s">
        <v>435</v>
      </c>
      <c r="C370" t="str">
        <v>drospirenona</v>
      </c>
      <c r="D370">
        <f t="shared" si="5"/>
        <v>1</v>
      </c>
      <c r="F370" t="s">
        <v>7062</v>
      </c>
      <c r="G370">
        <v>2</v>
      </c>
    </row>
    <row r="371" spans="1:7" x14ac:dyDescent="0.3">
      <c r="A371" t="s">
        <v>435</v>
      </c>
      <c r="C371" t="str">
        <v>drospirenona 3</v>
      </c>
      <c r="D371">
        <f t="shared" si="5"/>
        <v>1</v>
      </c>
      <c r="F371" t="s">
        <v>7084</v>
      </c>
      <c r="G371">
        <v>2</v>
      </c>
    </row>
    <row r="372" spans="1:7" x14ac:dyDescent="0.3">
      <c r="A372" t="s">
        <v>435</v>
      </c>
      <c r="C372" t="str">
        <v>drugs for functional gastrointestinal disorders</v>
      </c>
      <c r="D372">
        <f t="shared" si="5"/>
        <v>1</v>
      </c>
      <c r="F372" t="s">
        <v>6648</v>
      </c>
      <c r="G372">
        <v>2</v>
      </c>
    </row>
    <row r="373" spans="1:7" x14ac:dyDescent="0.3">
      <c r="A373" t="s">
        <v>435</v>
      </c>
      <c r="C373" t="str">
        <v>duloxetina</v>
      </c>
      <c r="D373">
        <f t="shared" si="5"/>
        <v>3</v>
      </c>
      <c r="F373" t="s">
        <v>6650</v>
      </c>
      <c r="G373">
        <v>2</v>
      </c>
    </row>
    <row r="374" spans="1:7" x14ac:dyDescent="0.3">
      <c r="A374" t="s">
        <v>435</v>
      </c>
      <c r="C374" t="str">
        <v>dutasterida</v>
      </c>
      <c r="D374">
        <f t="shared" si="5"/>
        <v>1</v>
      </c>
      <c r="F374" t="s">
        <v>6653</v>
      </c>
      <c r="G374">
        <v>2</v>
      </c>
    </row>
    <row r="375" spans="1:7" x14ac:dyDescent="0.3">
      <c r="A375" t="s">
        <v>435</v>
      </c>
      <c r="C375" t="str">
        <v xml:space="preserve">edetato disodico </v>
      </c>
      <c r="D375">
        <f t="shared" si="5"/>
        <v>1</v>
      </c>
      <c r="F375" t="s">
        <v>6908</v>
      </c>
      <c r="G375">
        <v>2</v>
      </c>
    </row>
    <row r="376" spans="1:7" x14ac:dyDescent="0.3">
      <c r="A376" t="s">
        <v>435</v>
      </c>
      <c r="C376" t="str">
        <v>edoxaban</v>
      </c>
      <c r="D376">
        <f t="shared" si="5"/>
        <v>1</v>
      </c>
      <c r="F376" t="s">
        <v>7299</v>
      </c>
      <c r="G376">
        <v>2</v>
      </c>
    </row>
    <row r="377" spans="1:7" x14ac:dyDescent="0.3">
      <c r="A377" t="s">
        <v>435</v>
      </c>
      <c r="C377" t="str">
        <v>edoxabán</v>
      </c>
      <c r="D377">
        <f t="shared" si="5"/>
        <v>1</v>
      </c>
      <c r="F377" t="s">
        <v>6654</v>
      </c>
      <c r="G377">
        <v>2</v>
      </c>
    </row>
    <row r="378" spans="1:7" x14ac:dyDescent="0.3">
      <c r="A378" t="s">
        <v>435</v>
      </c>
      <c r="C378" t="str">
        <v>edoxaban </v>
      </c>
      <c r="D378">
        <f t="shared" si="5"/>
        <v>1</v>
      </c>
      <c r="F378" t="s">
        <v>2968</v>
      </c>
      <c r="G378">
        <v>2</v>
      </c>
    </row>
    <row r="379" spans="1:7" x14ac:dyDescent="0.3">
      <c r="A379" t="s">
        <v>435</v>
      </c>
      <c r="C379" t="str">
        <v>efavirenz</v>
      </c>
      <c r="D379">
        <f t="shared" si="5"/>
        <v>7</v>
      </c>
      <c r="F379" t="s">
        <v>7075</v>
      </c>
      <c r="G379">
        <v>2</v>
      </c>
    </row>
    <row r="380" spans="1:7" x14ac:dyDescent="0.3">
      <c r="A380" t="s">
        <v>435</v>
      </c>
      <c r="C380" t="str">
        <v>electrolitos orales</v>
      </c>
      <c r="D380">
        <f t="shared" si="5"/>
        <v>7</v>
      </c>
      <c r="F380" t="s">
        <v>7300</v>
      </c>
      <c r="G380">
        <v>2</v>
      </c>
    </row>
    <row r="381" spans="1:7" x14ac:dyDescent="0.3">
      <c r="A381" t="s">
        <v>435</v>
      </c>
      <c r="C381" t="str">
        <v>empagliflozin </v>
      </c>
      <c r="D381">
        <f t="shared" si="5"/>
        <v>1</v>
      </c>
      <c r="F381" t="s">
        <v>7317</v>
      </c>
      <c r="G381">
        <v>2</v>
      </c>
    </row>
    <row r="382" spans="1:7" x14ac:dyDescent="0.3">
      <c r="A382" t="s">
        <v>435</v>
      </c>
      <c r="C382" t="str">
        <v>empagliflozina</v>
      </c>
      <c r="D382">
        <f t="shared" si="5"/>
        <v>1</v>
      </c>
      <c r="F382" t="s">
        <v>7318</v>
      </c>
      <c r="G382">
        <v>2</v>
      </c>
    </row>
    <row r="383" spans="1:7" x14ac:dyDescent="0.3">
      <c r="A383" t="s">
        <v>435</v>
      </c>
      <c r="C383" t="str">
        <v>empaglifozina</v>
      </c>
      <c r="D383">
        <f t="shared" si="5"/>
        <v>1</v>
      </c>
      <c r="F383" t="s">
        <v>6657</v>
      </c>
      <c r="G383">
        <v>2</v>
      </c>
    </row>
    <row r="384" spans="1:7" x14ac:dyDescent="0.3">
      <c r="A384" t="s">
        <v>7235</v>
      </c>
      <c r="C384" t="str">
        <v>emtricitabina</v>
      </c>
      <c r="D384">
        <f t="shared" si="5"/>
        <v>7</v>
      </c>
      <c r="F384" t="s">
        <v>7239</v>
      </c>
      <c r="G384">
        <v>2</v>
      </c>
    </row>
    <row r="385" spans="1:7" x14ac:dyDescent="0.3">
      <c r="A385" t="s">
        <v>7179</v>
      </c>
      <c r="C385" t="str">
        <v>enalapril</v>
      </c>
      <c r="D385">
        <f t="shared" si="5"/>
        <v>11</v>
      </c>
      <c r="F385" t="s">
        <v>6613</v>
      </c>
      <c r="G385">
        <v>2</v>
      </c>
    </row>
    <row r="386" spans="1:7" x14ac:dyDescent="0.3">
      <c r="A386" t="s">
        <v>7179</v>
      </c>
      <c r="C386" t="str">
        <v>enalapril 5mg</v>
      </c>
      <c r="D386">
        <f t="shared" ref="D386:D449" si="6">COUNTIF(A$1:A$4322,C386)</f>
        <v>2</v>
      </c>
      <c r="F386" t="s">
        <v>2631</v>
      </c>
      <c r="G386">
        <v>2</v>
      </c>
    </row>
    <row r="387" spans="1:7" x14ac:dyDescent="0.3">
      <c r="A387" t="s">
        <v>7179</v>
      </c>
      <c r="C387" t="str">
        <v>enalapril and diuretics </v>
      </c>
      <c r="D387">
        <f t="shared" si="6"/>
        <v>7</v>
      </c>
      <c r="F387" t="s">
        <v>1558</v>
      </c>
      <c r="G387">
        <v>2</v>
      </c>
    </row>
    <row r="388" spans="1:7" x14ac:dyDescent="0.3">
      <c r="A388" t="s">
        <v>6908</v>
      </c>
      <c r="C388" t="str">
        <v>enalapril and lercanidipine </v>
      </c>
      <c r="D388">
        <f t="shared" si="6"/>
        <v>5</v>
      </c>
      <c r="F388" t="s">
        <v>6664</v>
      </c>
      <c r="G388">
        <v>2</v>
      </c>
    </row>
    <row r="389" spans="1:7" x14ac:dyDescent="0.3">
      <c r="A389" t="s">
        <v>6908</v>
      </c>
      <c r="C389" t="str">
        <v>enalapril </v>
      </c>
      <c r="D389">
        <f t="shared" si="6"/>
        <v>24</v>
      </c>
      <c r="F389" t="s">
        <v>7102</v>
      </c>
      <c r="G389">
        <v>2</v>
      </c>
    </row>
    <row r="390" spans="1:7" x14ac:dyDescent="0.3">
      <c r="A390" t="s">
        <v>7299</v>
      </c>
      <c r="C390" t="str">
        <v>enoxaparina sódica</v>
      </c>
      <c r="D390">
        <f t="shared" si="6"/>
        <v>12</v>
      </c>
      <c r="F390" t="s">
        <v>6665</v>
      </c>
      <c r="G390">
        <v>2</v>
      </c>
    </row>
    <row r="391" spans="1:7" x14ac:dyDescent="0.3">
      <c r="A391" t="s">
        <v>7299</v>
      </c>
      <c r="C391" t="str">
        <v>epinastina</v>
      </c>
      <c r="D391">
        <f t="shared" si="6"/>
        <v>3</v>
      </c>
      <c r="F391" t="s">
        <v>1156</v>
      </c>
      <c r="G391">
        <v>2</v>
      </c>
    </row>
    <row r="392" spans="1:7" x14ac:dyDescent="0.3">
      <c r="A392" t="s">
        <v>7315</v>
      </c>
      <c r="C392" t="str">
        <v xml:space="preserve">epinefrina </v>
      </c>
      <c r="D392">
        <f t="shared" si="6"/>
        <v>9</v>
      </c>
      <c r="F392" t="s">
        <v>2317</v>
      </c>
      <c r="G392">
        <v>2</v>
      </c>
    </row>
    <row r="393" spans="1:7" x14ac:dyDescent="0.3">
      <c r="A393" t="s">
        <v>1980</v>
      </c>
      <c r="C393" t="str">
        <v>epinefrina 0</v>
      </c>
      <c r="D393">
        <f t="shared" si="6"/>
        <v>2</v>
      </c>
      <c r="F393" t="s">
        <v>271</v>
      </c>
      <c r="G393">
        <v>2</v>
      </c>
    </row>
    <row r="394" spans="1:7" x14ac:dyDescent="0.3">
      <c r="A394" t="s">
        <v>6654</v>
      </c>
      <c r="C394" t="str">
        <v>ergocalciferol</v>
      </c>
      <c r="D394">
        <f t="shared" si="6"/>
        <v>4</v>
      </c>
      <c r="F394" t="s">
        <v>261</v>
      </c>
      <c r="G394">
        <v>2</v>
      </c>
    </row>
    <row r="395" spans="1:7" x14ac:dyDescent="0.3">
      <c r="A395" t="s">
        <v>6654</v>
      </c>
      <c r="C395" t="str">
        <v>eritromicina</v>
      </c>
      <c r="D395">
        <f t="shared" si="6"/>
        <v>2</v>
      </c>
      <c r="F395" t="s">
        <v>6921</v>
      </c>
      <c r="G395">
        <v>2</v>
      </c>
    </row>
    <row r="396" spans="1:7" x14ac:dyDescent="0.3">
      <c r="A396" t="s">
        <v>7236</v>
      </c>
      <c r="C396" t="str">
        <v>escitalopram</v>
      </c>
      <c r="D396">
        <f t="shared" si="6"/>
        <v>2</v>
      </c>
      <c r="F396" t="s">
        <v>6671</v>
      </c>
      <c r="G396">
        <v>2</v>
      </c>
    </row>
    <row r="397" spans="1:7" x14ac:dyDescent="0.3">
      <c r="A397" t="s">
        <v>7236</v>
      </c>
      <c r="C397" t="str">
        <v>esomeprazol</v>
      </c>
      <c r="D397">
        <f t="shared" si="6"/>
        <v>2</v>
      </c>
      <c r="F397" t="s">
        <v>2428</v>
      </c>
      <c r="G397">
        <v>2</v>
      </c>
    </row>
    <row r="398" spans="1:7" x14ac:dyDescent="0.3">
      <c r="A398" t="s">
        <v>7236</v>
      </c>
      <c r="C398" t="str">
        <v>esomeprazol 40 mg</v>
      </c>
      <c r="D398">
        <f t="shared" si="6"/>
        <v>2</v>
      </c>
      <c r="F398" t="s">
        <v>6673</v>
      </c>
      <c r="G398">
        <v>2</v>
      </c>
    </row>
    <row r="399" spans="1:7" x14ac:dyDescent="0.3">
      <c r="A399" t="s">
        <v>7236</v>
      </c>
      <c r="C399" t="str">
        <v>esomeprazole </v>
      </c>
      <c r="D399">
        <f t="shared" si="6"/>
        <v>3</v>
      </c>
      <c r="F399" t="s">
        <v>6923</v>
      </c>
      <c r="G399">
        <v>2</v>
      </c>
    </row>
    <row r="400" spans="1:7" x14ac:dyDescent="0.3">
      <c r="A400" t="s">
        <v>2968</v>
      </c>
      <c r="C400" t="str">
        <v>espironolactona</v>
      </c>
      <c r="D400">
        <f t="shared" si="6"/>
        <v>1</v>
      </c>
      <c r="F400" t="s">
        <v>6676</v>
      </c>
      <c r="G400">
        <v>2</v>
      </c>
    </row>
    <row r="401" spans="1:7" x14ac:dyDescent="0.3">
      <c r="A401" t="s">
        <v>2968</v>
      </c>
      <c r="C401" t="str">
        <v>esporas de bacillus clausii</v>
      </c>
      <c r="D401">
        <f t="shared" si="6"/>
        <v>2</v>
      </c>
      <c r="F401" t="s">
        <v>917</v>
      </c>
      <c r="G401">
        <v>2</v>
      </c>
    </row>
    <row r="402" spans="1:7" x14ac:dyDescent="0.3">
      <c r="A402" t="s">
        <v>7075</v>
      </c>
      <c r="C402" t="str">
        <v>esporas de bacillus clausii 5ml</v>
      </c>
      <c r="D402">
        <f t="shared" si="6"/>
        <v>2</v>
      </c>
      <c r="F402" t="s">
        <v>1754</v>
      </c>
      <c r="G402">
        <v>2</v>
      </c>
    </row>
    <row r="403" spans="1:7" x14ac:dyDescent="0.3">
      <c r="A403" t="s">
        <v>7075</v>
      </c>
      <c r="C403" t="str">
        <v>estradiol</v>
      </c>
      <c r="D403">
        <f t="shared" si="6"/>
        <v>3</v>
      </c>
      <c r="F403" t="s">
        <v>1933</v>
      </c>
      <c r="G403">
        <v>2</v>
      </c>
    </row>
    <row r="404" spans="1:7" x14ac:dyDescent="0.3">
      <c r="A404" t="s">
        <v>2452</v>
      </c>
      <c r="C404" t="str">
        <v>estrógenos conjugados</v>
      </c>
      <c r="D404">
        <f t="shared" si="6"/>
        <v>1</v>
      </c>
      <c r="F404" t="s">
        <v>6927</v>
      </c>
      <c r="G404">
        <v>2</v>
      </c>
    </row>
    <row r="405" spans="1:7" x14ac:dyDescent="0.3">
      <c r="A405" t="s">
        <v>2452</v>
      </c>
      <c r="C405" t="str">
        <v>etinilestradiol</v>
      </c>
      <c r="D405">
        <f t="shared" si="6"/>
        <v>4</v>
      </c>
      <c r="F405" t="s">
        <v>1590</v>
      </c>
      <c r="G405">
        <v>2</v>
      </c>
    </row>
    <row r="406" spans="1:7" x14ac:dyDescent="0.3">
      <c r="A406" t="s">
        <v>2452</v>
      </c>
      <c r="C406" t="str">
        <v>etinilestradiol 0</v>
      </c>
      <c r="D406">
        <f t="shared" si="6"/>
        <v>1</v>
      </c>
      <c r="F406" t="s">
        <v>450</v>
      </c>
      <c r="G406">
        <v>2</v>
      </c>
    </row>
    <row r="407" spans="1:7" x14ac:dyDescent="0.3">
      <c r="A407" t="s">
        <v>7300</v>
      </c>
      <c r="C407" t="str">
        <v>etoricoxib</v>
      </c>
      <c r="D407">
        <f t="shared" si="6"/>
        <v>9</v>
      </c>
      <c r="F407" t="s">
        <v>6934</v>
      </c>
      <c r="G407">
        <v>2</v>
      </c>
    </row>
    <row r="408" spans="1:7" x14ac:dyDescent="0.3">
      <c r="A408" t="s">
        <v>7300</v>
      </c>
      <c r="C408" t="str">
        <v>etoricoxib 90mg</v>
      </c>
      <c r="D408">
        <f t="shared" si="6"/>
        <v>1</v>
      </c>
      <c r="F408" t="s">
        <v>7185</v>
      </c>
      <c r="G408">
        <v>2</v>
      </c>
    </row>
    <row r="409" spans="1:7" x14ac:dyDescent="0.3">
      <c r="A409" t="s">
        <v>7301</v>
      </c>
      <c r="C409" t="str">
        <v>extracto seco de bilis de buey</v>
      </c>
      <c r="D409">
        <f t="shared" si="6"/>
        <v>2</v>
      </c>
      <c r="F409" t="s">
        <v>7099</v>
      </c>
      <c r="G409">
        <v>2</v>
      </c>
    </row>
    <row r="410" spans="1:7" x14ac:dyDescent="0.3">
      <c r="A410" t="s">
        <v>7301</v>
      </c>
      <c r="C410" t="str">
        <v>ezetimiba</v>
      </c>
      <c r="D410">
        <f t="shared" si="6"/>
        <v>4</v>
      </c>
      <c r="F410" t="s">
        <v>2641</v>
      </c>
      <c r="G410">
        <v>2</v>
      </c>
    </row>
    <row r="411" spans="1:7" x14ac:dyDescent="0.3">
      <c r="A411" t="s">
        <v>7301</v>
      </c>
      <c r="C411" t="str">
        <v>fenazopiridina</v>
      </c>
      <c r="D411">
        <f t="shared" si="6"/>
        <v>6</v>
      </c>
      <c r="F411" t="s">
        <v>6709</v>
      </c>
      <c r="G411">
        <v>2</v>
      </c>
    </row>
    <row r="412" spans="1:7" x14ac:dyDescent="0.3">
      <c r="A412" t="s">
        <v>7301</v>
      </c>
      <c r="C412" t="str">
        <v>fenazopiridina 100 mg</v>
      </c>
      <c r="D412">
        <f t="shared" si="6"/>
        <v>1</v>
      </c>
      <c r="F412" t="s">
        <v>6946</v>
      </c>
      <c r="G412">
        <v>2</v>
      </c>
    </row>
    <row r="413" spans="1:7" x14ac:dyDescent="0.3">
      <c r="A413" t="s">
        <v>7301</v>
      </c>
      <c r="C413" t="str">
        <v>fenielfrina</v>
      </c>
      <c r="D413">
        <f t="shared" si="6"/>
        <v>1</v>
      </c>
      <c r="F413" t="s">
        <v>1635</v>
      </c>
      <c r="G413">
        <v>2</v>
      </c>
    </row>
    <row r="414" spans="1:7" x14ac:dyDescent="0.3">
      <c r="A414" t="s">
        <v>7301</v>
      </c>
      <c r="C414" t="str">
        <v>fenilefrina</v>
      </c>
      <c r="D414">
        <f t="shared" si="6"/>
        <v>25</v>
      </c>
      <c r="F414" t="s">
        <v>961</v>
      </c>
      <c r="G414">
        <v>2</v>
      </c>
    </row>
    <row r="415" spans="1:7" x14ac:dyDescent="0.3">
      <c r="A415" t="s">
        <v>2283</v>
      </c>
      <c r="C415" t="str">
        <v>fenilefrina 30 mg</v>
      </c>
      <c r="D415">
        <f t="shared" si="6"/>
        <v>1</v>
      </c>
      <c r="F415" t="s">
        <v>1213</v>
      </c>
      <c r="G415">
        <v>2</v>
      </c>
    </row>
    <row r="416" spans="1:7" x14ac:dyDescent="0.3">
      <c r="A416" t="s">
        <v>2283</v>
      </c>
      <c r="C416" t="str">
        <v>fenilefrina 33</v>
      </c>
      <c r="D416">
        <f t="shared" si="6"/>
        <v>1</v>
      </c>
      <c r="F416" t="s">
        <v>1206</v>
      </c>
      <c r="G416">
        <v>2</v>
      </c>
    </row>
    <row r="417" spans="1:7" x14ac:dyDescent="0.3">
      <c r="A417" t="s">
        <v>2283</v>
      </c>
      <c r="C417" t="str">
        <v>fenilefrina 5 mg</v>
      </c>
      <c r="D417">
        <f t="shared" si="6"/>
        <v>1</v>
      </c>
      <c r="F417" t="s">
        <v>1900</v>
      </c>
      <c r="G417">
        <v>2</v>
      </c>
    </row>
    <row r="418" spans="1:7" x14ac:dyDescent="0.3">
      <c r="A418" t="s">
        <v>2283</v>
      </c>
      <c r="C418" t="str">
        <v>fenilefrina 5mg</v>
      </c>
      <c r="D418">
        <f t="shared" si="6"/>
        <v>1</v>
      </c>
      <c r="F418" t="s">
        <v>6948</v>
      </c>
      <c r="G418">
        <v>2</v>
      </c>
    </row>
    <row r="419" spans="1:7" x14ac:dyDescent="0.3">
      <c r="A419" t="s">
        <v>6655</v>
      </c>
      <c r="C419" t="str">
        <v>feniramina</v>
      </c>
      <c r="D419">
        <f t="shared" si="6"/>
        <v>3</v>
      </c>
      <c r="F419" t="s">
        <v>777</v>
      </c>
      <c r="G419">
        <v>2</v>
      </c>
    </row>
    <row r="420" spans="1:7" x14ac:dyDescent="0.3">
      <c r="A420" t="s">
        <v>6655</v>
      </c>
      <c r="C420" t="str">
        <v>fenitoina</v>
      </c>
      <c r="D420">
        <f t="shared" si="6"/>
        <v>1</v>
      </c>
      <c r="F420" t="s">
        <v>7251</v>
      </c>
      <c r="G420">
        <v>2</v>
      </c>
    </row>
    <row r="421" spans="1:7" x14ac:dyDescent="0.3">
      <c r="A421" t="s">
        <v>6655</v>
      </c>
      <c r="C421" t="str">
        <v>fenofibrato</v>
      </c>
      <c r="D421">
        <f t="shared" si="6"/>
        <v>1</v>
      </c>
      <c r="F421" t="s">
        <v>6949</v>
      </c>
      <c r="G421">
        <v>2</v>
      </c>
    </row>
    <row r="422" spans="1:7" x14ac:dyDescent="0.3">
      <c r="A422" t="s">
        <v>6655</v>
      </c>
      <c r="C422" t="str">
        <v>fentermina</v>
      </c>
      <c r="D422">
        <f t="shared" si="6"/>
        <v>1</v>
      </c>
      <c r="F422" t="s">
        <v>2091</v>
      </c>
      <c r="G422">
        <v>2</v>
      </c>
    </row>
    <row r="423" spans="1:7" x14ac:dyDescent="0.3">
      <c r="A423" t="s">
        <v>6655</v>
      </c>
      <c r="C423" t="str">
        <v>ferrous sulfate </v>
      </c>
      <c r="D423">
        <f t="shared" si="6"/>
        <v>1</v>
      </c>
      <c r="F423" t="s">
        <v>6724</v>
      </c>
      <c r="G423">
        <v>2</v>
      </c>
    </row>
    <row r="424" spans="1:7" x14ac:dyDescent="0.3">
      <c r="A424" t="s">
        <v>6655</v>
      </c>
      <c r="C424" t="str">
        <v>fexofenadina</v>
      </c>
      <c r="D424">
        <f t="shared" si="6"/>
        <v>11</v>
      </c>
      <c r="F424" t="s">
        <v>3050</v>
      </c>
      <c r="G424">
        <v>2</v>
      </c>
    </row>
    <row r="425" spans="1:7" x14ac:dyDescent="0.3">
      <c r="A425" t="s">
        <v>6655</v>
      </c>
      <c r="C425" t="str">
        <v>fexofenadine</v>
      </c>
      <c r="D425">
        <f t="shared" si="6"/>
        <v>2</v>
      </c>
      <c r="F425" t="s">
        <v>6955</v>
      </c>
      <c r="G425">
        <v>2</v>
      </c>
    </row>
    <row r="426" spans="1:7" x14ac:dyDescent="0.3">
      <c r="A426" t="s">
        <v>7316</v>
      </c>
      <c r="C426" t="str">
        <v>fexonadina 120 mg</v>
      </c>
      <c r="D426">
        <f t="shared" si="6"/>
        <v>1</v>
      </c>
      <c r="F426" t="s">
        <v>159</v>
      </c>
      <c r="G426">
        <v>2</v>
      </c>
    </row>
    <row r="427" spans="1:7" x14ac:dyDescent="0.3">
      <c r="A427" t="s">
        <v>7317</v>
      </c>
      <c r="C427" t="str">
        <v>fimasartan and amlodipine</v>
      </c>
      <c r="D427">
        <f t="shared" si="6"/>
        <v>1</v>
      </c>
      <c r="F427" t="s">
        <v>6960</v>
      </c>
      <c r="G427">
        <v>2</v>
      </c>
    </row>
    <row r="428" spans="1:7" x14ac:dyDescent="0.3">
      <c r="A428" t="s">
        <v>7317</v>
      </c>
      <c r="C428" t="str">
        <v>finasterida</v>
      </c>
      <c r="D428">
        <f t="shared" si="6"/>
        <v>1</v>
      </c>
      <c r="F428" t="s">
        <v>7297</v>
      </c>
      <c r="G428">
        <v>2</v>
      </c>
    </row>
    <row r="429" spans="1:7" x14ac:dyDescent="0.3">
      <c r="A429" t="s">
        <v>7318</v>
      </c>
      <c r="C429" t="str">
        <v>finasterida 5 mg</v>
      </c>
      <c r="D429">
        <f t="shared" si="6"/>
        <v>1</v>
      </c>
      <c r="F429" t="s">
        <v>6743</v>
      </c>
      <c r="G429">
        <v>2</v>
      </c>
    </row>
    <row r="430" spans="1:7" x14ac:dyDescent="0.3">
      <c r="A430" t="s">
        <v>7318</v>
      </c>
      <c r="C430" t="str">
        <v>finasterida 5mg</v>
      </c>
      <c r="D430">
        <f t="shared" si="6"/>
        <v>1</v>
      </c>
      <c r="F430" t="s">
        <v>6744</v>
      </c>
      <c r="G430">
        <v>2</v>
      </c>
    </row>
    <row r="431" spans="1:7" x14ac:dyDescent="0.3">
      <c r="A431" t="s">
        <v>6909</v>
      </c>
      <c r="C431" t="str">
        <v>finasteride</v>
      </c>
      <c r="D431">
        <f t="shared" si="6"/>
        <v>3</v>
      </c>
      <c r="F431" t="s">
        <v>6745</v>
      </c>
      <c r="G431">
        <v>2</v>
      </c>
    </row>
    <row r="432" spans="1:7" x14ac:dyDescent="0.3">
      <c r="A432" t="s">
        <v>6909</v>
      </c>
      <c r="C432" t="str">
        <v>finerenone </v>
      </c>
      <c r="D432">
        <f t="shared" si="6"/>
        <v>1</v>
      </c>
      <c r="F432" t="s">
        <v>6961</v>
      </c>
      <c r="G432">
        <v>2</v>
      </c>
    </row>
    <row r="433" spans="1:7" x14ac:dyDescent="0.3">
      <c r="A433" t="s">
        <v>6909</v>
      </c>
      <c r="C433" t="str">
        <v>florgucinol</v>
      </c>
      <c r="D433">
        <f t="shared" si="6"/>
        <v>1</v>
      </c>
      <c r="F433" t="s">
        <v>6747</v>
      </c>
      <c r="G433">
        <v>2</v>
      </c>
    </row>
    <row r="434" spans="1:7" x14ac:dyDescent="0.3">
      <c r="A434" t="s">
        <v>6909</v>
      </c>
      <c r="C434" t="str">
        <v>floroglucinol</v>
      </c>
      <c r="D434">
        <f t="shared" si="6"/>
        <v>3</v>
      </c>
      <c r="F434" t="s">
        <v>6962</v>
      </c>
      <c r="G434">
        <v>2</v>
      </c>
    </row>
    <row r="435" spans="1:7" x14ac:dyDescent="0.3">
      <c r="A435" t="s">
        <v>6909</v>
      </c>
      <c r="C435" t="str">
        <v>floroglucinol 80mg</v>
      </c>
      <c r="D435">
        <f t="shared" si="6"/>
        <v>1</v>
      </c>
      <c r="F435" t="s">
        <v>7157</v>
      </c>
      <c r="G435">
        <v>2</v>
      </c>
    </row>
    <row r="436" spans="1:7" x14ac:dyDescent="0.3">
      <c r="A436" t="s">
        <v>6909</v>
      </c>
      <c r="C436" t="str">
        <v>fluconazol</v>
      </c>
      <c r="D436">
        <f t="shared" si="6"/>
        <v>7</v>
      </c>
      <c r="F436" t="s">
        <v>442</v>
      </c>
      <c r="G436">
        <v>2</v>
      </c>
    </row>
    <row r="437" spans="1:7" x14ac:dyDescent="0.3">
      <c r="A437" t="s">
        <v>6909</v>
      </c>
      <c r="C437" t="str">
        <v>fluocinolona</v>
      </c>
      <c r="D437">
        <f t="shared" si="6"/>
        <v>2</v>
      </c>
      <c r="F437" t="s">
        <v>7101</v>
      </c>
      <c r="G437">
        <v>2</v>
      </c>
    </row>
    <row r="438" spans="1:7" x14ac:dyDescent="0.3">
      <c r="A438" t="s">
        <v>6656</v>
      </c>
      <c r="C438" t="str">
        <v>fluocinolone acetonide</v>
      </c>
      <c r="D438">
        <f t="shared" si="6"/>
        <v>1</v>
      </c>
      <c r="F438" t="s">
        <v>2015</v>
      </c>
      <c r="G438">
        <v>2</v>
      </c>
    </row>
    <row r="439" spans="1:7" x14ac:dyDescent="0.3">
      <c r="A439" t="s">
        <v>6656</v>
      </c>
      <c r="C439" t="str">
        <v>fluoxetina</v>
      </c>
      <c r="D439">
        <f t="shared" si="6"/>
        <v>25</v>
      </c>
      <c r="F439" t="s">
        <v>6761</v>
      </c>
      <c r="G439">
        <v>2</v>
      </c>
    </row>
    <row r="440" spans="1:7" x14ac:dyDescent="0.3">
      <c r="A440" t="s">
        <v>6656</v>
      </c>
      <c r="C440" t="str">
        <v>fluoxetina 20 mg</v>
      </c>
      <c r="D440">
        <f t="shared" si="6"/>
        <v>1</v>
      </c>
      <c r="F440" t="s">
        <v>2580</v>
      </c>
      <c r="G440">
        <v>2</v>
      </c>
    </row>
    <row r="441" spans="1:7" x14ac:dyDescent="0.3">
      <c r="A441" t="s">
        <v>6656</v>
      </c>
      <c r="C441" t="str">
        <v>fluoxetine</v>
      </c>
      <c r="D441">
        <f t="shared" si="6"/>
        <v>24</v>
      </c>
      <c r="F441" t="s">
        <v>6969</v>
      </c>
      <c r="G441">
        <v>2</v>
      </c>
    </row>
    <row r="442" spans="1:7" x14ac:dyDescent="0.3">
      <c r="A442" t="s">
        <v>6656</v>
      </c>
      <c r="C442" t="str">
        <v>flurbiprofen</v>
      </c>
      <c r="D442">
        <f t="shared" si="6"/>
        <v>2</v>
      </c>
      <c r="F442" t="s">
        <v>6970</v>
      </c>
      <c r="G442">
        <v>2</v>
      </c>
    </row>
    <row r="443" spans="1:7" x14ac:dyDescent="0.3">
      <c r="A443" t="s">
        <v>6656</v>
      </c>
      <c r="C443" t="str">
        <v>fluticasona</v>
      </c>
      <c r="D443">
        <f t="shared" si="6"/>
        <v>4</v>
      </c>
      <c r="F443" t="s">
        <v>7171</v>
      </c>
      <c r="G443">
        <v>2</v>
      </c>
    </row>
    <row r="444" spans="1:7" x14ac:dyDescent="0.3">
      <c r="A444" t="s">
        <v>6656</v>
      </c>
      <c r="C444" t="str">
        <v>fluvastatina</v>
      </c>
      <c r="D444">
        <f t="shared" si="6"/>
        <v>1</v>
      </c>
      <c r="F444" t="s">
        <v>131</v>
      </c>
      <c r="G444">
        <v>2</v>
      </c>
    </row>
    <row r="445" spans="1:7" x14ac:dyDescent="0.3">
      <c r="A445" t="s">
        <v>6656</v>
      </c>
      <c r="C445" t="str">
        <v>folic acid</v>
      </c>
      <c r="D445">
        <f t="shared" si="6"/>
        <v>1</v>
      </c>
      <c r="F445" t="s">
        <v>6622</v>
      </c>
      <c r="G445">
        <v>2</v>
      </c>
    </row>
    <row r="446" spans="1:7" x14ac:dyDescent="0.3">
      <c r="A446" t="s">
        <v>6656</v>
      </c>
      <c r="C446" t="str">
        <v>folic acid </v>
      </c>
      <c r="D446">
        <f t="shared" si="6"/>
        <v>5</v>
      </c>
      <c r="F446" t="s">
        <v>7335</v>
      </c>
      <c r="G446">
        <v>2</v>
      </c>
    </row>
    <row r="447" spans="1:7" x14ac:dyDescent="0.3">
      <c r="A447" t="s">
        <v>6656</v>
      </c>
      <c r="C447" t="str">
        <v>formoterol</v>
      </c>
      <c r="D447">
        <f t="shared" si="6"/>
        <v>3</v>
      </c>
      <c r="F447" t="s">
        <v>7305</v>
      </c>
      <c r="G447">
        <v>2</v>
      </c>
    </row>
    <row r="448" spans="1:7" x14ac:dyDescent="0.3">
      <c r="A448" t="s">
        <v>6656</v>
      </c>
      <c r="C448" t="str">
        <v>fosfomicina</v>
      </c>
      <c r="D448">
        <f t="shared" si="6"/>
        <v>3</v>
      </c>
      <c r="F448" t="s">
        <v>6975</v>
      </c>
      <c r="G448">
        <v>2</v>
      </c>
    </row>
    <row r="449" spans="1:7" x14ac:dyDescent="0.3">
      <c r="A449" t="s">
        <v>6656</v>
      </c>
      <c r="C449" t="str">
        <v>fosfomycin</v>
      </c>
      <c r="D449">
        <f t="shared" si="6"/>
        <v>3</v>
      </c>
      <c r="F449" t="s">
        <v>6776</v>
      </c>
      <c r="G449">
        <v>2</v>
      </c>
    </row>
    <row r="450" spans="1:7" x14ac:dyDescent="0.3">
      <c r="A450" t="s">
        <v>6656</v>
      </c>
      <c r="C450" t="str">
        <v>fragmentos f(ab´)2 de inmunoglobulina polivalente antiofídico</v>
      </c>
      <c r="D450">
        <f t="shared" ref="D450:D513" si="7">COUNTIF(A$1:A$4322,C450)</f>
        <v>1</v>
      </c>
      <c r="F450" t="s">
        <v>6978</v>
      </c>
      <c r="G450">
        <v>2</v>
      </c>
    </row>
    <row r="451" spans="1:7" x14ac:dyDescent="0.3">
      <c r="A451" t="s">
        <v>6656</v>
      </c>
      <c r="C451" t="str">
        <v>fumarato de bisoprolol</v>
      </c>
      <c r="D451">
        <f t="shared" si="7"/>
        <v>5</v>
      </c>
      <c r="F451" t="s">
        <v>786</v>
      </c>
      <c r="G451">
        <v>2</v>
      </c>
    </row>
    <row r="452" spans="1:7" x14ac:dyDescent="0.3">
      <c r="A452" t="s">
        <v>6656</v>
      </c>
      <c r="C452" t="str">
        <v>fumarato ferroso</v>
      </c>
      <c r="D452">
        <f t="shared" si="7"/>
        <v>2</v>
      </c>
      <c r="F452" t="s">
        <v>7201</v>
      </c>
      <c r="G452">
        <v>2</v>
      </c>
    </row>
    <row r="453" spans="1:7" x14ac:dyDescent="0.3">
      <c r="A453" t="s">
        <v>6656</v>
      </c>
      <c r="C453" t="str">
        <v>furazolidona</v>
      </c>
      <c r="D453">
        <f t="shared" si="7"/>
        <v>1</v>
      </c>
      <c r="F453" t="s">
        <v>7200</v>
      </c>
      <c r="G453">
        <v>2</v>
      </c>
    </row>
    <row r="454" spans="1:7" x14ac:dyDescent="0.3">
      <c r="A454" t="s">
        <v>6656</v>
      </c>
      <c r="C454" t="str">
        <v>furosemida</v>
      </c>
      <c r="D454">
        <f t="shared" si="7"/>
        <v>11</v>
      </c>
      <c r="F454" t="s">
        <v>7161</v>
      </c>
      <c r="G454">
        <v>2</v>
      </c>
    </row>
    <row r="455" spans="1:7" x14ac:dyDescent="0.3">
      <c r="A455" t="s">
        <v>6656</v>
      </c>
      <c r="C455" t="str">
        <v>furosemide </v>
      </c>
      <c r="D455">
        <f t="shared" si="7"/>
        <v>2</v>
      </c>
      <c r="F455" t="s">
        <v>7338</v>
      </c>
      <c r="G455">
        <v>2</v>
      </c>
    </row>
    <row r="456" spans="1:7" x14ac:dyDescent="0.3">
      <c r="A456" t="s">
        <v>6656</v>
      </c>
      <c r="C456" t="str">
        <v>gabapentin</v>
      </c>
      <c r="D456">
        <f t="shared" si="7"/>
        <v>3</v>
      </c>
      <c r="F456" t="s">
        <v>6983</v>
      </c>
      <c r="G456">
        <v>2</v>
      </c>
    </row>
    <row r="457" spans="1:7" x14ac:dyDescent="0.3">
      <c r="A457" t="s">
        <v>6656</v>
      </c>
      <c r="C457" t="str">
        <v>gabapentina</v>
      </c>
      <c r="D457">
        <f t="shared" si="7"/>
        <v>9</v>
      </c>
      <c r="F457" t="s">
        <v>6782</v>
      </c>
      <c r="G457">
        <v>2</v>
      </c>
    </row>
    <row r="458" spans="1:7" x14ac:dyDescent="0.3">
      <c r="A458" t="s">
        <v>6656</v>
      </c>
      <c r="C458" t="str">
        <v>gabapentina 300 mg</v>
      </c>
      <c r="D458">
        <f t="shared" si="7"/>
        <v>2</v>
      </c>
      <c r="F458" t="s">
        <v>7264</v>
      </c>
      <c r="G458">
        <v>2</v>
      </c>
    </row>
    <row r="459" spans="1:7" x14ac:dyDescent="0.3">
      <c r="A459" t="s">
        <v>6656</v>
      </c>
      <c r="C459" t="str">
        <v>gabapentina 300mg</v>
      </c>
      <c r="D459">
        <f t="shared" si="7"/>
        <v>2</v>
      </c>
      <c r="F459" t="s">
        <v>6791</v>
      </c>
      <c r="G459">
        <v>2</v>
      </c>
    </row>
    <row r="460" spans="1:7" x14ac:dyDescent="0.3">
      <c r="A460" t="s">
        <v>6656</v>
      </c>
      <c r="C460" t="str">
        <v>galactosidasa</v>
      </c>
      <c r="D460">
        <f t="shared" si="7"/>
        <v>2</v>
      </c>
      <c r="F460" t="s">
        <v>7100</v>
      </c>
      <c r="G460">
        <v>2</v>
      </c>
    </row>
    <row r="461" spans="1:7" x14ac:dyDescent="0.3">
      <c r="A461" t="s">
        <v>6656</v>
      </c>
      <c r="C461" t="str">
        <v>galantamina</v>
      </c>
      <c r="D461">
        <f t="shared" si="7"/>
        <v>5</v>
      </c>
      <c r="F461" t="s">
        <v>2435</v>
      </c>
      <c r="G461">
        <v>2</v>
      </c>
    </row>
    <row r="462" spans="1:7" x14ac:dyDescent="0.3">
      <c r="A462" t="s">
        <v>6656</v>
      </c>
      <c r="C462" t="str">
        <v>gemfibrozil </v>
      </c>
      <c r="D462">
        <f t="shared" si="7"/>
        <v>1</v>
      </c>
      <c r="F462" t="s">
        <v>7203</v>
      </c>
      <c r="G462">
        <v>2</v>
      </c>
    </row>
    <row r="463" spans="1:7" x14ac:dyDescent="0.3">
      <c r="A463" t="s">
        <v>6656</v>
      </c>
      <c r="C463" t="str">
        <v>gemfibrozilo</v>
      </c>
      <c r="D463">
        <f t="shared" si="7"/>
        <v>5</v>
      </c>
      <c r="F463" t="s">
        <v>6987</v>
      </c>
      <c r="G463">
        <v>2</v>
      </c>
    </row>
    <row r="464" spans="1:7" x14ac:dyDescent="0.3">
      <c r="A464" t="s">
        <v>6656</v>
      </c>
      <c r="C464" t="str">
        <v>gentamicin</v>
      </c>
      <c r="D464">
        <f t="shared" si="7"/>
        <v>1</v>
      </c>
      <c r="F464" t="s">
        <v>6806</v>
      </c>
      <c r="G464">
        <v>2</v>
      </c>
    </row>
    <row r="465" spans="1:7" x14ac:dyDescent="0.3">
      <c r="A465" t="s">
        <v>6656</v>
      </c>
      <c r="C465" t="str">
        <v>gentamicina</v>
      </c>
      <c r="D465">
        <f t="shared" si="7"/>
        <v>6</v>
      </c>
      <c r="F465" t="s">
        <v>6992</v>
      </c>
      <c r="G465">
        <v>2</v>
      </c>
    </row>
    <row r="466" spans="1:7" x14ac:dyDescent="0.3">
      <c r="A466" t="s">
        <v>6656</v>
      </c>
      <c r="C466" t="str">
        <v>gentamicina 0</v>
      </c>
      <c r="D466">
        <f t="shared" si="7"/>
        <v>1</v>
      </c>
      <c r="F466" t="s">
        <v>7267</v>
      </c>
      <c r="G466">
        <v>2</v>
      </c>
    </row>
    <row r="467" spans="1:7" x14ac:dyDescent="0.3">
      <c r="A467" t="s">
        <v>6656</v>
      </c>
      <c r="C467" t="str">
        <v>gentamicina 160 mg</v>
      </c>
      <c r="D467">
        <f t="shared" si="7"/>
        <v>1</v>
      </c>
      <c r="F467" t="s">
        <v>2486</v>
      </c>
      <c r="G467">
        <v>2</v>
      </c>
    </row>
    <row r="468" spans="1:7" x14ac:dyDescent="0.3">
      <c r="A468" t="s">
        <v>6656</v>
      </c>
      <c r="C468" t="str">
        <v>glibenclamida</v>
      </c>
      <c r="D468">
        <f t="shared" si="7"/>
        <v>17</v>
      </c>
      <c r="F468" t="s">
        <v>7146</v>
      </c>
      <c r="G468">
        <v>2</v>
      </c>
    </row>
    <row r="469" spans="1:7" x14ac:dyDescent="0.3">
      <c r="A469" t="s">
        <v>6656</v>
      </c>
      <c r="C469" t="str">
        <v>glicerol 1478 mg</v>
      </c>
      <c r="D469">
        <f t="shared" si="7"/>
        <v>1</v>
      </c>
      <c r="F469" t="s">
        <v>886</v>
      </c>
      <c r="G469">
        <v>2</v>
      </c>
    </row>
    <row r="470" spans="1:7" x14ac:dyDescent="0.3">
      <c r="A470" t="s">
        <v>6656</v>
      </c>
      <c r="C470" t="str">
        <v>glimepirida</v>
      </c>
      <c r="D470">
        <f t="shared" si="7"/>
        <v>18</v>
      </c>
      <c r="F470" t="s">
        <v>6812</v>
      </c>
      <c r="G470">
        <v>2</v>
      </c>
    </row>
    <row r="471" spans="1:7" x14ac:dyDescent="0.3">
      <c r="A471" t="s">
        <v>6656</v>
      </c>
      <c r="C471" t="str">
        <v>glimepiride </v>
      </c>
      <c r="D471">
        <f t="shared" si="7"/>
        <v>4</v>
      </c>
      <c r="F471" t="s">
        <v>7000</v>
      </c>
      <c r="G471">
        <v>2</v>
      </c>
    </row>
    <row r="472" spans="1:7" x14ac:dyDescent="0.3">
      <c r="A472" t="s">
        <v>6656</v>
      </c>
      <c r="C472" t="str">
        <v>gluconolactado de calcio</v>
      </c>
      <c r="D472">
        <f t="shared" si="7"/>
        <v>1</v>
      </c>
      <c r="F472" t="s">
        <v>7343</v>
      </c>
      <c r="G472">
        <v>2</v>
      </c>
    </row>
    <row r="473" spans="1:7" x14ac:dyDescent="0.3">
      <c r="A473" t="s">
        <v>6656</v>
      </c>
      <c r="C473" t="str">
        <v>gluconolactato de calcio 380 mg</v>
      </c>
      <c r="D473">
        <f t="shared" si="7"/>
        <v>1</v>
      </c>
      <c r="F473" t="s">
        <v>7212</v>
      </c>
      <c r="G473">
        <v>2</v>
      </c>
    </row>
    <row r="474" spans="1:7" x14ac:dyDescent="0.3">
      <c r="A474" t="s">
        <v>6656</v>
      </c>
      <c r="C474" t="str">
        <v>glycerol </v>
      </c>
      <c r="D474">
        <f t="shared" si="7"/>
        <v>1</v>
      </c>
      <c r="F474" t="s">
        <v>1544</v>
      </c>
      <c r="G474">
        <v>2</v>
      </c>
    </row>
    <row r="475" spans="1:7" x14ac:dyDescent="0.3">
      <c r="A475" t="s">
        <v>6656</v>
      </c>
      <c r="C475" t="str">
        <v>glyceryl trinitrate </v>
      </c>
      <c r="D475">
        <f t="shared" si="7"/>
        <v>2</v>
      </c>
      <c r="F475" t="s">
        <v>1416</v>
      </c>
      <c r="G475">
        <v>2</v>
      </c>
    </row>
    <row r="476" spans="1:7" x14ac:dyDescent="0.3">
      <c r="A476" t="s">
        <v>6656</v>
      </c>
      <c r="C476" t="str">
        <v>glycogenolytic hormones</v>
      </c>
      <c r="D476">
        <f t="shared" si="7"/>
        <v>2</v>
      </c>
      <c r="F476" t="s">
        <v>7274</v>
      </c>
      <c r="G476">
        <v>2</v>
      </c>
    </row>
    <row r="477" spans="1:7" x14ac:dyDescent="0.3">
      <c r="A477" t="s">
        <v>6656</v>
      </c>
      <c r="C477" t="str">
        <v>gramicidina</v>
      </c>
      <c r="D477">
        <f t="shared" si="7"/>
        <v>1</v>
      </c>
      <c r="F477" t="s">
        <v>7273</v>
      </c>
      <c r="G477">
        <v>2</v>
      </c>
    </row>
    <row r="478" spans="1:7" x14ac:dyDescent="0.3">
      <c r="A478" t="s">
        <v>6656</v>
      </c>
      <c r="C478" t="str">
        <v>guaifenesina</v>
      </c>
      <c r="D478">
        <f t="shared" si="7"/>
        <v>6</v>
      </c>
      <c r="F478" t="s">
        <v>795</v>
      </c>
      <c r="G478">
        <v>2</v>
      </c>
    </row>
    <row r="479" spans="1:7" x14ac:dyDescent="0.3">
      <c r="A479" t="s">
        <v>6656</v>
      </c>
      <c r="C479" t="str">
        <v>guayacol</v>
      </c>
      <c r="D479">
        <f t="shared" si="7"/>
        <v>1</v>
      </c>
      <c r="F479" t="s">
        <v>6826</v>
      </c>
      <c r="G479">
        <v>2</v>
      </c>
    </row>
    <row r="480" spans="1:7" x14ac:dyDescent="0.3">
      <c r="A480" t="s">
        <v>6656</v>
      </c>
      <c r="C480" t="str">
        <v>guayafenesina</v>
      </c>
      <c r="D480">
        <f t="shared" si="7"/>
        <v>1</v>
      </c>
      <c r="F480" t="s">
        <v>181</v>
      </c>
      <c r="G480">
        <v>2</v>
      </c>
    </row>
    <row r="481" spans="1:7" x14ac:dyDescent="0.3">
      <c r="A481" t="s">
        <v>6656</v>
      </c>
      <c r="C481" t="str">
        <v>guifenesina</v>
      </c>
      <c r="D481">
        <f t="shared" si="7"/>
        <v>1</v>
      </c>
      <c r="F481" t="s">
        <v>7275</v>
      </c>
      <c r="G481">
        <v>2</v>
      </c>
    </row>
    <row r="482" spans="1:7" x14ac:dyDescent="0.3">
      <c r="A482" t="s">
        <v>6656</v>
      </c>
      <c r="C482" t="str">
        <v>hamamelis</v>
      </c>
      <c r="D482">
        <f t="shared" si="7"/>
        <v>1</v>
      </c>
      <c r="F482" t="s">
        <v>7276</v>
      </c>
      <c r="G482">
        <v>2</v>
      </c>
    </row>
    <row r="483" spans="1:7" x14ac:dyDescent="0.3">
      <c r="A483" t="s">
        <v>6656</v>
      </c>
      <c r="C483" t="str">
        <v>hesperedina 100mg</v>
      </c>
      <c r="D483">
        <f t="shared" si="7"/>
        <v>1</v>
      </c>
      <c r="F483" t="s">
        <v>1028</v>
      </c>
      <c r="G483">
        <v>2</v>
      </c>
    </row>
    <row r="484" spans="1:7" x14ac:dyDescent="0.3">
      <c r="A484" t="s">
        <v>6656</v>
      </c>
      <c r="C484" t="str">
        <v>hesperidina</v>
      </c>
      <c r="D484">
        <f t="shared" si="7"/>
        <v>15</v>
      </c>
      <c r="F484" t="s">
        <v>7018</v>
      </c>
      <c r="G484">
        <v>2</v>
      </c>
    </row>
    <row r="485" spans="1:7" x14ac:dyDescent="0.3">
      <c r="A485" t="s">
        <v>6656</v>
      </c>
      <c r="C485" t="str">
        <v>hesperidina 50 mg</v>
      </c>
      <c r="D485">
        <f t="shared" si="7"/>
        <v>2</v>
      </c>
      <c r="F485" t="s">
        <v>983</v>
      </c>
      <c r="G485">
        <v>2</v>
      </c>
    </row>
    <row r="486" spans="1:7" x14ac:dyDescent="0.3">
      <c r="A486" t="s">
        <v>6656</v>
      </c>
      <c r="C486" t="str">
        <v>hesperidina 50mg</v>
      </c>
      <c r="D486">
        <f t="shared" si="7"/>
        <v>2</v>
      </c>
      <c r="F486" t="s">
        <v>6830</v>
      </c>
      <c r="G486">
        <v>2</v>
      </c>
    </row>
    <row r="487" spans="1:7" x14ac:dyDescent="0.3">
      <c r="A487" t="s">
        <v>6656</v>
      </c>
      <c r="C487" t="str">
        <v>hialuro d sodio 4mg</v>
      </c>
      <c r="D487">
        <f t="shared" si="7"/>
        <v>1</v>
      </c>
      <c r="F487" t="s">
        <v>7152</v>
      </c>
      <c r="G487">
        <v>2</v>
      </c>
    </row>
    <row r="488" spans="1:7" x14ac:dyDescent="0.3">
      <c r="A488" t="s">
        <v>6656</v>
      </c>
      <c r="C488" t="str">
        <v>hialuronato de sodio</v>
      </c>
      <c r="D488">
        <f t="shared" si="7"/>
        <v>1</v>
      </c>
      <c r="F488" t="s">
        <v>6835</v>
      </c>
      <c r="G488">
        <v>2</v>
      </c>
    </row>
    <row r="489" spans="1:7" x14ac:dyDescent="0.3">
      <c r="A489" t="s">
        <v>6656</v>
      </c>
      <c r="C489" t="str">
        <v>hialuronato de sodio 4mg</v>
      </c>
      <c r="D489">
        <f t="shared" si="7"/>
        <v>1</v>
      </c>
      <c r="F489" t="s">
        <v>6839</v>
      </c>
      <c r="G489">
        <v>2</v>
      </c>
    </row>
    <row r="490" spans="1:7" x14ac:dyDescent="0.3">
      <c r="A490" t="s">
        <v>6656</v>
      </c>
      <c r="C490" t="str">
        <v>hidroclorotiazida</v>
      </c>
      <c r="D490">
        <f t="shared" si="7"/>
        <v>32</v>
      </c>
      <c r="F490" t="s">
        <v>6840</v>
      </c>
      <c r="G490">
        <v>2</v>
      </c>
    </row>
    <row r="491" spans="1:7" x14ac:dyDescent="0.3">
      <c r="A491" t="s">
        <v>6656</v>
      </c>
      <c r="C491" t="str">
        <v>hidroclorotiazida 10mg</v>
      </c>
      <c r="D491">
        <f t="shared" si="7"/>
        <v>1</v>
      </c>
      <c r="F491" t="s">
        <v>6627</v>
      </c>
      <c r="G491">
        <v>2</v>
      </c>
    </row>
    <row r="492" spans="1:7" x14ac:dyDescent="0.3">
      <c r="A492" t="s">
        <v>6656</v>
      </c>
      <c r="C492" t="str">
        <v>hidroclorotiazida 12</v>
      </c>
      <c r="D492">
        <f t="shared" si="7"/>
        <v>3</v>
      </c>
      <c r="F492" t="s">
        <v>6628</v>
      </c>
      <c r="G492">
        <v>2</v>
      </c>
    </row>
    <row r="493" spans="1:7" x14ac:dyDescent="0.3">
      <c r="A493" t="s">
        <v>6656</v>
      </c>
      <c r="C493" t="str">
        <v>hidroclorotiazida 25 mg</v>
      </c>
      <c r="D493">
        <f t="shared" si="7"/>
        <v>2</v>
      </c>
      <c r="F493" t="s">
        <v>6629</v>
      </c>
      <c r="G493">
        <v>2</v>
      </c>
    </row>
    <row r="494" spans="1:7" x14ac:dyDescent="0.3">
      <c r="A494" t="s">
        <v>6656</v>
      </c>
      <c r="C494" t="str">
        <v>hidroclorotiazida 25mg</v>
      </c>
      <c r="D494">
        <f t="shared" si="7"/>
        <v>1</v>
      </c>
      <c r="F494" t="s">
        <v>7086</v>
      </c>
      <c r="G494">
        <v>2</v>
      </c>
    </row>
    <row r="495" spans="1:7" x14ac:dyDescent="0.3">
      <c r="A495" t="s">
        <v>6656</v>
      </c>
      <c r="C495" t="str">
        <v>hidrocortisona</v>
      </c>
      <c r="D495">
        <f t="shared" si="7"/>
        <v>4</v>
      </c>
      <c r="F495" t="s">
        <v>7060</v>
      </c>
      <c r="G495">
        <v>2</v>
      </c>
    </row>
    <row r="496" spans="1:7" x14ac:dyDescent="0.3">
      <c r="A496" t="s">
        <v>6656</v>
      </c>
      <c r="C496" t="str">
        <v>hidrocortizona</v>
      </c>
      <c r="D496">
        <f t="shared" si="7"/>
        <v>1</v>
      </c>
      <c r="F496" t="s">
        <v>7155</v>
      </c>
      <c r="G496">
        <v>2</v>
      </c>
    </row>
    <row r="497" spans="1:7" x14ac:dyDescent="0.3">
      <c r="A497" t="s">
        <v>6656</v>
      </c>
      <c r="C497" t="str">
        <v>hidroxicloroquina</v>
      </c>
      <c r="D497">
        <f t="shared" si="7"/>
        <v>1</v>
      </c>
      <c r="F497" t="s">
        <v>7280</v>
      </c>
      <c r="G497">
        <v>2</v>
      </c>
    </row>
    <row r="498" spans="1:7" x14ac:dyDescent="0.3">
      <c r="A498" t="s">
        <v>6656</v>
      </c>
      <c r="C498" t="str">
        <v>hidróxido de aluminio</v>
      </c>
      <c r="D498">
        <f t="shared" si="7"/>
        <v>4</v>
      </c>
      <c r="F498" t="s">
        <v>7348</v>
      </c>
      <c r="G498">
        <v>2</v>
      </c>
    </row>
    <row r="499" spans="1:7" x14ac:dyDescent="0.3">
      <c r="A499" t="s">
        <v>6656</v>
      </c>
      <c r="C499" t="str">
        <v>hidroxido de aluminio 2</v>
      </c>
      <c r="D499">
        <f t="shared" si="7"/>
        <v>1</v>
      </c>
      <c r="F499" t="s">
        <v>7030</v>
      </c>
      <c r="G499">
        <v>2</v>
      </c>
    </row>
    <row r="500" spans="1:7" x14ac:dyDescent="0.3">
      <c r="A500" t="s">
        <v>6656</v>
      </c>
      <c r="C500" t="str">
        <v>hidroxido de aluminio 200mg</v>
      </c>
      <c r="D500">
        <f t="shared" si="7"/>
        <v>1</v>
      </c>
      <c r="F500" t="s">
        <v>7159</v>
      </c>
      <c r="G500">
        <v>2</v>
      </c>
    </row>
    <row r="501" spans="1:7" x14ac:dyDescent="0.3">
      <c r="A501" t="s">
        <v>6910</v>
      </c>
      <c r="C501" t="str">
        <v>hidróxido de magnesio</v>
      </c>
      <c r="D501">
        <f t="shared" si="7"/>
        <v>7</v>
      </c>
      <c r="F501" t="s">
        <v>7076</v>
      </c>
      <c r="G501">
        <v>2</v>
      </c>
    </row>
    <row r="502" spans="1:7" x14ac:dyDescent="0.3">
      <c r="A502" t="s">
        <v>7181</v>
      </c>
      <c r="C502" t="str">
        <v>hidroxido de magnesio 4 g</v>
      </c>
      <c r="D502">
        <f t="shared" si="7"/>
        <v>1</v>
      </c>
      <c r="F502" t="s">
        <v>7216</v>
      </c>
      <c r="G502">
        <v>2</v>
      </c>
    </row>
    <row r="503" spans="1:7" x14ac:dyDescent="0.3">
      <c r="A503" t="s">
        <v>7180</v>
      </c>
      <c r="C503" t="str">
        <v>hidroxido de mg 200mg</v>
      </c>
      <c r="D503">
        <f t="shared" si="7"/>
        <v>1</v>
      </c>
      <c r="F503" t="s">
        <v>7282</v>
      </c>
      <c r="G503">
        <v>2</v>
      </c>
    </row>
    <row r="504" spans="1:7" x14ac:dyDescent="0.3">
      <c r="A504" t="s">
        <v>7237</v>
      </c>
      <c r="C504" t="str">
        <v>hidroxizina</v>
      </c>
      <c r="D504">
        <f t="shared" si="7"/>
        <v>5</v>
      </c>
      <c r="F504" t="s">
        <v>6850</v>
      </c>
      <c r="G504">
        <v>2</v>
      </c>
    </row>
    <row r="505" spans="1:7" x14ac:dyDescent="0.3">
      <c r="A505" t="s">
        <v>325</v>
      </c>
      <c r="C505" t="str">
        <v>hidroxocobalamina</v>
      </c>
      <c r="D505">
        <f t="shared" si="7"/>
        <v>1</v>
      </c>
      <c r="F505" t="s">
        <v>2893</v>
      </c>
      <c r="G505">
        <v>2</v>
      </c>
    </row>
    <row r="506" spans="1:7" x14ac:dyDescent="0.3">
      <c r="A506" t="s">
        <v>325</v>
      </c>
      <c r="C506" t="str">
        <v>hidroxocobalamina 100 mcg</v>
      </c>
      <c r="D506">
        <f t="shared" si="7"/>
        <v>1</v>
      </c>
      <c r="F506" t="s">
        <v>6852</v>
      </c>
      <c r="G506">
        <v>2</v>
      </c>
    </row>
    <row r="507" spans="1:7" x14ac:dyDescent="0.3">
      <c r="A507" t="s">
        <v>325</v>
      </c>
      <c r="C507" t="str">
        <v>hierro</v>
      </c>
      <c r="D507">
        <f t="shared" si="7"/>
        <v>5</v>
      </c>
      <c r="F507" t="s">
        <v>6853</v>
      </c>
      <c r="G507">
        <v>2</v>
      </c>
    </row>
    <row r="508" spans="1:7" x14ac:dyDescent="0.3">
      <c r="A508" t="s">
        <v>325</v>
      </c>
      <c r="C508" t="str">
        <v>hierro polimatosado</v>
      </c>
      <c r="D508">
        <f t="shared" si="7"/>
        <v>2</v>
      </c>
      <c r="F508" t="s">
        <v>7031</v>
      </c>
      <c r="G508">
        <v>2</v>
      </c>
    </row>
    <row r="509" spans="1:7" x14ac:dyDescent="0.3">
      <c r="A509" t="s">
        <v>325</v>
      </c>
      <c r="C509" t="str">
        <v>hioscina</v>
      </c>
      <c r="D509">
        <f t="shared" si="7"/>
        <v>32</v>
      </c>
      <c r="F509" t="s">
        <v>411</v>
      </c>
      <c r="G509">
        <v>2</v>
      </c>
    </row>
    <row r="510" spans="1:7" x14ac:dyDescent="0.3">
      <c r="A510" t="s">
        <v>325</v>
      </c>
      <c r="C510" t="str">
        <v>hioscina 10 mg</v>
      </c>
      <c r="D510">
        <f t="shared" si="7"/>
        <v>8</v>
      </c>
      <c r="F510" t="s">
        <v>7310</v>
      </c>
      <c r="G510">
        <v>2</v>
      </c>
    </row>
    <row r="511" spans="1:7" x14ac:dyDescent="0.3">
      <c r="A511" t="s">
        <v>325</v>
      </c>
      <c r="C511" t="str">
        <v>hioscina 20 mg</v>
      </c>
      <c r="D511">
        <f t="shared" si="7"/>
        <v>1</v>
      </c>
      <c r="F511" t="s">
        <v>6858</v>
      </c>
      <c r="G511">
        <v>2</v>
      </c>
    </row>
    <row r="512" spans="1:7" x14ac:dyDescent="0.3">
      <c r="A512" t="s">
        <v>325</v>
      </c>
      <c r="C512" t="str">
        <v>hipromelosa</v>
      </c>
      <c r="D512">
        <f t="shared" si="7"/>
        <v>2</v>
      </c>
      <c r="F512" t="s">
        <v>6859</v>
      </c>
      <c r="G512">
        <v>2</v>
      </c>
    </row>
    <row r="513" spans="1:7" x14ac:dyDescent="0.3">
      <c r="A513" t="s">
        <v>325</v>
      </c>
      <c r="C513" t="str">
        <v>hormonal contraceptives for systemic use</v>
      </c>
      <c r="D513">
        <f t="shared" si="7"/>
        <v>1</v>
      </c>
      <c r="F513" t="s">
        <v>7035</v>
      </c>
      <c r="G513">
        <v>2</v>
      </c>
    </row>
    <row r="514" spans="1:7" x14ac:dyDescent="0.3">
      <c r="A514" t="s">
        <v>325</v>
      </c>
      <c r="C514" t="str">
        <v>hyaluronic acid</v>
      </c>
      <c r="D514">
        <f t="shared" ref="D514:D577" si="8">COUNTIF(A$1:A$4322,C514)</f>
        <v>2</v>
      </c>
      <c r="F514" t="s">
        <v>7036</v>
      </c>
      <c r="G514">
        <v>2</v>
      </c>
    </row>
    <row r="515" spans="1:7" x14ac:dyDescent="0.3">
      <c r="A515" t="s">
        <v>1327</v>
      </c>
      <c r="C515" t="str">
        <v>hydrochlorothiazide </v>
      </c>
      <c r="D515">
        <f t="shared" si="8"/>
        <v>4</v>
      </c>
      <c r="F515" t="s">
        <v>7142</v>
      </c>
      <c r="G515">
        <v>2</v>
      </c>
    </row>
    <row r="516" spans="1:7" x14ac:dyDescent="0.3">
      <c r="A516" t="s">
        <v>1327</v>
      </c>
      <c r="C516" t="str">
        <v>hydrocortisone and antiinfectives</v>
      </c>
      <c r="D516">
        <f t="shared" si="8"/>
        <v>1</v>
      </c>
      <c r="F516" t="s">
        <v>3088</v>
      </c>
      <c r="G516">
        <v>2</v>
      </c>
    </row>
    <row r="517" spans="1:7" x14ac:dyDescent="0.3">
      <c r="A517" t="s">
        <v>1327</v>
      </c>
      <c r="C517" t="str">
        <v>hydroxocobalamin </v>
      </c>
      <c r="D517">
        <f t="shared" si="8"/>
        <v>1</v>
      </c>
      <c r="F517" t="s">
        <v>7175</v>
      </c>
      <c r="G517">
        <v>2</v>
      </c>
    </row>
    <row r="518" spans="1:7" x14ac:dyDescent="0.3">
      <c r="A518" t="s">
        <v>6657</v>
      </c>
      <c r="C518" t="str">
        <v>hyoscyamine </v>
      </c>
      <c r="D518">
        <f t="shared" si="8"/>
        <v>9</v>
      </c>
      <c r="F518" t="s">
        <v>7038</v>
      </c>
      <c r="G518">
        <v>2</v>
      </c>
    </row>
    <row r="519" spans="1:7" x14ac:dyDescent="0.3">
      <c r="A519" t="s">
        <v>6657</v>
      </c>
      <c r="C519" t="str">
        <v>ibesartán 300mg</v>
      </c>
      <c r="D519">
        <f t="shared" si="8"/>
        <v>2</v>
      </c>
      <c r="F519" t="s">
        <v>1446</v>
      </c>
      <c r="G519">
        <v>2</v>
      </c>
    </row>
    <row r="520" spans="1:7" x14ac:dyDescent="0.3">
      <c r="A520" t="s">
        <v>6611</v>
      </c>
      <c r="C520" t="str">
        <v>ibuprofen</v>
      </c>
      <c r="D520">
        <f t="shared" si="8"/>
        <v>12</v>
      </c>
      <c r="F520" t="s">
        <v>6868</v>
      </c>
      <c r="G520">
        <v>2</v>
      </c>
    </row>
    <row r="521" spans="1:7" x14ac:dyDescent="0.3">
      <c r="A521" t="s">
        <v>7238</v>
      </c>
      <c r="C521" t="str">
        <v>ibuprofeno</v>
      </c>
      <c r="D521">
        <f t="shared" si="8"/>
        <v>32</v>
      </c>
      <c r="F521" t="s">
        <v>6869</v>
      </c>
      <c r="G521">
        <v>2</v>
      </c>
    </row>
    <row r="522" spans="1:7" x14ac:dyDescent="0.3">
      <c r="A522" t="s">
        <v>7239</v>
      </c>
      <c r="C522" t="str">
        <v xml:space="preserve">ibuprofeno </v>
      </c>
      <c r="D522">
        <f t="shared" si="8"/>
        <v>1</v>
      </c>
      <c r="F522" t="s">
        <v>7164</v>
      </c>
      <c r="G522">
        <v>2</v>
      </c>
    </row>
    <row r="523" spans="1:7" x14ac:dyDescent="0.3">
      <c r="A523" t="s">
        <v>7239</v>
      </c>
      <c r="C523" t="str">
        <v>ibuprofeno 200 mg</v>
      </c>
      <c r="D523">
        <f t="shared" si="8"/>
        <v>1</v>
      </c>
      <c r="F523" t="s">
        <v>7166</v>
      </c>
      <c r="G523">
        <v>2</v>
      </c>
    </row>
    <row r="524" spans="1:7" x14ac:dyDescent="0.3">
      <c r="A524" t="s">
        <v>6612</v>
      </c>
      <c r="C524" t="str">
        <v>ibuprofeno 2g</v>
      </c>
      <c r="D524">
        <f t="shared" si="8"/>
        <v>1</v>
      </c>
      <c r="F524" t="s">
        <v>6874</v>
      </c>
      <c r="G524">
        <v>2</v>
      </c>
    </row>
    <row r="525" spans="1:7" x14ac:dyDescent="0.3">
      <c r="A525" t="s">
        <v>6613</v>
      </c>
      <c r="C525" t="str">
        <v>ibuprofeno 400 mg</v>
      </c>
      <c r="D525">
        <f t="shared" si="8"/>
        <v>2</v>
      </c>
      <c r="F525" t="s">
        <v>2187</v>
      </c>
      <c r="G525">
        <v>2</v>
      </c>
    </row>
    <row r="526" spans="1:7" x14ac:dyDescent="0.3">
      <c r="A526" t="s">
        <v>6613</v>
      </c>
      <c r="C526" t="str">
        <v>ibuprogeno 2g</v>
      </c>
      <c r="D526">
        <f t="shared" si="8"/>
        <v>1</v>
      </c>
      <c r="F526" t="s">
        <v>6876</v>
      </c>
      <c r="G526">
        <v>2</v>
      </c>
    </row>
    <row r="527" spans="1:7" x14ac:dyDescent="0.3">
      <c r="A527" t="s">
        <v>6614</v>
      </c>
      <c r="C527" t="str">
        <v>imipramina</v>
      </c>
      <c r="D527">
        <f t="shared" si="8"/>
        <v>4</v>
      </c>
      <c r="F527" t="s">
        <v>1321</v>
      </c>
      <c r="G527">
        <v>2</v>
      </c>
    </row>
    <row r="528" spans="1:7" x14ac:dyDescent="0.3">
      <c r="A528" t="s">
        <v>6658</v>
      </c>
      <c r="C528" t="str">
        <v>indapamida</v>
      </c>
      <c r="D528">
        <f t="shared" si="8"/>
        <v>2</v>
      </c>
      <c r="F528" t="s">
        <v>7139</v>
      </c>
      <c r="G528">
        <v>2</v>
      </c>
    </row>
    <row r="529" spans="1:7" x14ac:dyDescent="0.3">
      <c r="A529" t="s">
        <v>6911</v>
      </c>
      <c r="C529" t="str">
        <v>indapamida 2</v>
      </c>
      <c r="D529">
        <f t="shared" si="8"/>
        <v>2</v>
      </c>
      <c r="F529" t="s">
        <v>6883</v>
      </c>
      <c r="G529">
        <v>2</v>
      </c>
    </row>
    <row r="530" spans="1:7" x14ac:dyDescent="0.3">
      <c r="A530" t="s">
        <v>1288</v>
      </c>
      <c r="C530" t="str">
        <v>indapamide </v>
      </c>
      <c r="D530">
        <f t="shared" si="8"/>
        <v>1</v>
      </c>
      <c r="F530" t="s">
        <v>7220</v>
      </c>
      <c r="G530">
        <v>2</v>
      </c>
    </row>
    <row r="531" spans="1:7" x14ac:dyDescent="0.3">
      <c r="A531" t="s">
        <v>1288</v>
      </c>
      <c r="C531" t="str">
        <v>indometacin</v>
      </c>
      <c r="D531">
        <f t="shared" si="8"/>
        <v>8</v>
      </c>
      <c r="F531" t="s">
        <v>7085</v>
      </c>
      <c r="G531">
        <v>2</v>
      </c>
    </row>
    <row r="532" spans="1:7" x14ac:dyDescent="0.3">
      <c r="A532" t="s">
        <v>1288</v>
      </c>
      <c r="C532" t="str">
        <v>indometacina</v>
      </c>
      <c r="D532">
        <f t="shared" si="8"/>
        <v>33</v>
      </c>
      <c r="F532" t="s">
        <v>6891</v>
      </c>
      <c r="G532">
        <v>2</v>
      </c>
    </row>
    <row r="533" spans="1:7" x14ac:dyDescent="0.3">
      <c r="A533" t="s">
        <v>1288</v>
      </c>
      <c r="C533" t="str">
        <v>indometacina 100mg</v>
      </c>
      <c r="D533">
        <f t="shared" si="8"/>
        <v>1</v>
      </c>
      <c r="F533" t="s">
        <v>6892</v>
      </c>
      <c r="G533">
        <v>2</v>
      </c>
    </row>
    <row r="534" spans="1:7" x14ac:dyDescent="0.3">
      <c r="A534" t="s">
        <v>1288</v>
      </c>
      <c r="C534" t="str">
        <v>indometacina 25mg</v>
      </c>
      <c r="D534">
        <f t="shared" si="8"/>
        <v>1</v>
      </c>
      <c r="F534" t="s">
        <v>1867</v>
      </c>
      <c r="G534">
        <v>2</v>
      </c>
    </row>
    <row r="535" spans="1:7" x14ac:dyDescent="0.3">
      <c r="A535" t="s">
        <v>638</v>
      </c>
      <c r="C535" t="str">
        <v>indometacina 50 mg</v>
      </c>
      <c r="D535">
        <f t="shared" si="8"/>
        <v>2</v>
      </c>
      <c r="F535" t="s">
        <v>369</v>
      </c>
      <c r="G535">
        <v>2</v>
      </c>
    </row>
    <row r="536" spans="1:7" x14ac:dyDescent="0.3">
      <c r="A536" t="s">
        <v>638</v>
      </c>
      <c r="C536" t="str">
        <v>insulin detemir </v>
      </c>
      <c r="D536">
        <f t="shared" si="8"/>
        <v>1</v>
      </c>
      <c r="F536" t="s">
        <v>7291</v>
      </c>
      <c r="G536">
        <v>2</v>
      </c>
    </row>
    <row r="537" spans="1:7" x14ac:dyDescent="0.3">
      <c r="A537" t="s">
        <v>638</v>
      </c>
      <c r="C537" t="str">
        <v>insulina detemir</v>
      </c>
      <c r="D537">
        <f t="shared" si="8"/>
        <v>1</v>
      </c>
      <c r="F537" t="s">
        <v>7174</v>
      </c>
      <c r="G537">
        <v>2</v>
      </c>
    </row>
    <row r="538" spans="1:7" x14ac:dyDescent="0.3">
      <c r="A538" t="s">
        <v>6615</v>
      </c>
      <c r="C538" t="str">
        <v>insulina humana</v>
      </c>
      <c r="D538">
        <f t="shared" si="8"/>
        <v>1</v>
      </c>
      <c r="F538" t="s">
        <v>7226</v>
      </c>
      <c r="G538">
        <v>2</v>
      </c>
    </row>
    <row r="539" spans="1:7" x14ac:dyDescent="0.3">
      <c r="A539" t="s">
        <v>6615</v>
      </c>
      <c r="C539" t="str">
        <v>iodopovidona</v>
      </c>
      <c r="D539">
        <f t="shared" si="8"/>
        <v>2</v>
      </c>
      <c r="F539" t="s">
        <v>6638</v>
      </c>
      <c r="G539">
        <v>1</v>
      </c>
    </row>
    <row r="540" spans="1:7" x14ac:dyDescent="0.3">
      <c r="A540" t="s">
        <v>6615</v>
      </c>
      <c r="C540" t="str">
        <v xml:space="preserve">irbersartán </v>
      </c>
      <c r="D540">
        <f t="shared" si="8"/>
        <v>1</v>
      </c>
      <c r="F540" t="s">
        <v>7227</v>
      </c>
      <c r="G540">
        <v>1</v>
      </c>
    </row>
    <row r="541" spans="1:7" x14ac:dyDescent="0.3">
      <c r="A541" t="s">
        <v>6615</v>
      </c>
      <c r="C541" t="str">
        <v>irbesartán</v>
      </c>
      <c r="D541">
        <f t="shared" si="8"/>
        <v>1</v>
      </c>
      <c r="F541" t="s">
        <v>7059</v>
      </c>
      <c r="G541">
        <v>1</v>
      </c>
    </row>
    <row r="542" spans="1:7" x14ac:dyDescent="0.3">
      <c r="A542" t="s">
        <v>6615</v>
      </c>
      <c r="C542" t="str">
        <v>irbesartan and amlodipine </v>
      </c>
      <c r="D542">
        <f t="shared" si="8"/>
        <v>4</v>
      </c>
      <c r="F542" t="s">
        <v>7228</v>
      </c>
      <c r="G542">
        <v>1</v>
      </c>
    </row>
    <row r="543" spans="1:7" x14ac:dyDescent="0.3">
      <c r="A543" t="s">
        <v>6615</v>
      </c>
      <c r="C543" t="str">
        <v>irbesartan </v>
      </c>
      <c r="D543">
        <f t="shared" si="8"/>
        <v>1</v>
      </c>
      <c r="F543" t="s">
        <v>7312</v>
      </c>
      <c r="G543">
        <v>1</v>
      </c>
    </row>
    <row r="544" spans="1:7" x14ac:dyDescent="0.3">
      <c r="A544" t="s">
        <v>6659</v>
      </c>
      <c r="C544" t="str">
        <v>iron</v>
      </c>
      <c r="D544">
        <f t="shared" si="8"/>
        <v>2</v>
      </c>
      <c r="F544" t="s">
        <v>7063</v>
      </c>
      <c r="G544">
        <v>1</v>
      </c>
    </row>
    <row r="545" spans="1:7" x14ac:dyDescent="0.3">
      <c r="A545" t="s">
        <v>6659</v>
      </c>
      <c r="C545" t="str">
        <v>isoconazol</v>
      </c>
      <c r="D545">
        <f t="shared" si="8"/>
        <v>1</v>
      </c>
      <c r="F545" t="s">
        <v>6904</v>
      </c>
      <c r="G545">
        <v>1</v>
      </c>
    </row>
    <row r="546" spans="1:7" x14ac:dyDescent="0.3">
      <c r="A546" t="s">
        <v>6659</v>
      </c>
      <c r="C546" t="str">
        <v>isosorbide dinitrate </v>
      </c>
      <c r="D546">
        <f t="shared" si="8"/>
        <v>6</v>
      </c>
      <c r="F546" t="s">
        <v>7230</v>
      </c>
      <c r="G546">
        <v>1</v>
      </c>
    </row>
    <row r="547" spans="1:7" x14ac:dyDescent="0.3">
      <c r="A547" t="s">
        <v>6659</v>
      </c>
      <c r="C547" t="str">
        <v>isosorbide mononitrate </v>
      </c>
      <c r="D547">
        <f t="shared" si="8"/>
        <v>1</v>
      </c>
      <c r="F547" t="s">
        <v>2943</v>
      </c>
      <c r="G547">
        <v>1</v>
      </c>
    </row>
    <row r="548" spans="1:7" x14ac:dyDescent="0.3">
      <c r="A548" t="s">
        <v>6659</v>
      </c>
      <c r="C548" t="str">
        <v>itoprida</v>
      </c>
      <c r="D548">
        <f t="shared" si="8"/>
        <v>4</v>
      </c>
      <c r="F548" t="s">
        <v>7065</v>
      </c>
      <c r="G548">
        <v>1</v>
      </c>
    </row>
    <row r="549" spans="1:7" x14ac:dyDescent="0.3">
      <c r="A549" t="s">
        <v>6659</v>
      </c>
      <c r="C549" t="str">
        <v>itopride </v>
      </c>
      <c r="D549">
        <f t="shared" si="8"/>
        <v>3</v>
      </c>
      <c r="F549" t="s">
        <v>7105</v>
      </c>
      <c r="G549">
        <v>1</v>
      </c>
    </row>
    <row r="550" spans="1:7" x14ac:dyDescent="0.3">
      <c r="A550" t="s">
        <v>6659</v>
      </c>
      <c r="C550" t="str">
        <v>itraconazol</v>
      </c>
      <c r="D550">
        <f t="shared" si="8"/>
        <v>8</v>
      </c>
      <c r="F550" t="s">
        <v>7298</v>
      </c>
      <c r="G550">
        <v>1</v>
      </c>
    </row>
    <row r="551" spans="1:7" x14ac:dyDescent="0.3">
      <c r="A551" t="s">
        <v>6659</v>
      </c>
      <c r="C551" t="str">
        <v>itraconazole</v>
      </c>
      <c r="D551">
        <f t="shared" si="8"/>
        <v>1</v>
      </c>
      <c r="F551" t="s">
        <v>6905</v>
      </c>
      <c r="G551">
        <v>1</v>
      </c>
    </row>
    <row r="552" spans="1:7" x14ac:dyDescent="0.3">
      <c r="A552" t="s">
        <v>189</v>
      </c>
      <c r="C552" t="str">
        <v>ivabradine </v>
      </c>
      <c r="D552">
        <f t="shared" si="8"/>
        <v>1</v>
      </c>
      <c r="F552" t="s">
        <v>7177</v>
      </c>
      <c r="G552">
        <v>1</v>
      </c>
    </row>
    <row r="553" spans="1:7" x14ac:dyDescent="0.3">
      <c r="A553" t="s">
        <v>189</v>
      </c>
      <c r="C553" t="str">
        <v>ivermectina</v>
      </c>
      <c r="D553">
        <f t="shared" si="8"/>
        <v>9</v>
      </c>
      <c r="F553" t="s">
        <v>1749</v>
      </c>
      <c r="G553">
        <v>1</v>
      </c>
    </row>
    <row r="554" spans="1:7" x14ac:dyDescent="0.3">
      <c r="A554" t="s">
        <v>189</v>
      </c>
      <c r="C554" t="str">
        <v>ketaconazol 800 mg</v>
      </c>
      <c r="D554">
        <f t="shared" si="8"/>
        <v>1</v>
      </c>
      <c r="F554" t="s">
        <v>6652</v>
      </c>
      <c r="G554">
        <v>1</v>
      </c>
    </row>
    <row r="555" spans="1:7" x14ac:dyDescent="0.3">
      <c r="A555" t="s">
        <v>189</v>
      </c>
      <c r="C555" t="str">
        <v>keterolaco</v>
      </c>
      <c r="D555">
        <f t="shared" si="8"/>
        <v>7</v>
      </c>
      <c r="F555" t="s">
        <v>7067</v>
      </c>
      <c r="G555">
        <v>1</v>
      </c>
    </row>
    <row r="556" spans="1:7" x14ac:dyDescent="0.3">
      <c r="A556" t="s">
        <v>189</v>
      </c>
      <c r="C556" t="str">
        <v>keterolaco trometamina</v>
      </c>
      <c r="D556">
        <f t="shared" si="8"/>
        <v>1</v>
      </c>
      <c r="F556" t="s">
        <v>2260</v>
      </c>
      <c r="G556">
        <v>1</v>
      </c>
    </row>
    <row r="557" spans="1:7" x14ac:dyDescent="0.3">
      <c r="A557" t="s">
        <v>6660</v>
      </c>
      <c r="C557" t="str">
        <v>ketoconazol</v>
      </c>
      <c r="D557">
        <f t="shared" si="8"/>
        <v>25</v>
      </c>
      <c r="F557" t="s">
        <v>6906</v>
      </c>
      <c r="G557">
        <v>1</v>
      </c>
    </row>
    <row r="558" spans="1:7" x14ac:dyDescent="0.3">
      <c r="A558" t="s">
        <v>6660</v>
      </c>
      <c r="C558" t="str">
        <v>ketoconazole</v>
      </c>
      <c r="D558">
        <f t="shared" si="8"/>
        <v>1</v>
      </c>
      <c r="F558" t="s">
        <v>7233</v>
      </c>
      <c r="G558">
        <v>1</v>
      </c>
    </row>
    <row r="559" spans="1:7" x14ac:dyDescent="0.3">
      <c r="A559" t="s">
        <v>6660</v>
      </c>
      <c r="C559" t="str">
        <v>ketoprofeno</v>
      </c>
      <c r="D559">
        <f t="shared" si="8"/>
        <v>2</v>
      </c>
      <c r="F559" t="s">
        <v>6907</v>
      </c>
      <c r="G559">
        <v>1</v>
      </c>
    </row>
    <row r="560" spans="1:7" x14ac:dyDescent="0.3">
      <c r="A560" t="s">
        <v>6660</v>
      </c>
      <c r="C560" t="str">
        <v>ketorolac</v>
      </c>
      <c r="D560">
        <f t="shared" si="8"/>
        <v>4</v>
      </c>
      <c r="F560" t="s">
        <v>7072</v>
      </c>
      <c r="G560">
        <v>1</v>
      </c>
    </row>
    <row r="561" spans="1:7" x14ac:dyDescent="0.3">
      <c r="A561" t="s">
        <v>6660</v>
      </c>
      <c r="C561" t="str">
        <v>ketorolaco</v>
      </c>
      <c r="D561">
        <f t="shared" si="8"/>
        <v>24</v>
      </c>
      <c r="F561" t="s">
        <v>7234</v>
      </c>
      <c r="G561">
        <v>1</v>
      </c>
    </row>
    <row r="562" spans="1:7" x14ac:dyDescent="0.3">
      <c r="A562" t="s">
        <v>6660</v>
      </c>
      <c r="C562" t="str">
        <v>ketorolaco 30 mg</v>
      </c>
      <c r="D562">
        <f t="shared" si="8"/>
        <v>1</v>
      </c>
      <c r="F562" t="s">
        <v>2721</v>
      </c>
      <c r="G562">
        <v>1</v>
      </c>
    </row>
    <row r="563" spans="1:7" x14ac:dyDescent="0.3">
      <c r="A563" t="s">
        <v>6660</v>
      </c>
      <c r="C563" t="str">
        <v>ketorolaco trometamina</v>
      </c>
      <c r="D563">
        <f t="shared" si="8"/>
        <v>1</v>
      </c>
      <c r="F563" t="s">
        <v>7235</v>
      </c>
      <c r="G563">
        <v>1</v>
      </c>
    </row>
    <row r="564" spans="1:7" x14ac:dyDescent="0.3">
      <c r="A564" t="s">
        <v>6660</v>
      </c>
      <c r="C564" t="str">
        <v>ketotifeno</v>
      </c>
      <c r="D564">
        <f t="shared" si="8"/>
        <v>1</v>
      </c>
      <c r="F564" t="s">
        <v>7315</v>
      </c>
      <c r="G564">
        <v>1</v>
      </c>
    </row>
    <row r="565" spans="1:7" x14ac:dyDescent="0.3">
      <c r="A565" t="s">
        <v>6660</v>
      </c>
      <c r="C565" t="str">
        <v>lacosamida</v>
      </c>
      <c r="D565">
        <f t="shared" si="8"/>
        <v>1</v>
      </c>
      <c r="F565" t="s">
        <v>1980</v>
      </c>
      <c r="G565">
        <v>1</v>
      </c>
    </row>
    <row r="566" spans="1:7" x14ac:dyDescent="0.3">
      <c r="A566" t="s">
        <v>6660</v>
      </c>
      <c r="C566" t="str">
        <v>lactobacillus sporogenes</v>
      </c>
      <c r="D566">
        <f t="shared" si="8"/>
        <v>1</v>
      </c>
      <c r="F566" t="s">
        <v>7316</v>
      </c>
      <c r="G566">
        <v>1</v>
      </c>
    </row>
    <row r="567" spans="1:7" x14ac:dyDescent="0.3">
      <c r="A567" t="s">
        <v>6660</v>
      </c>
      <c r="C567" t="str">
        <v>lansoprazol</v>
      </c>
      <c r="D567">
        <f t="shared" si="8"/>
        <v>1</v>
      </c>
      <c r="F567" t="s">
        <v>6910</v>
      </c>
      <c r="G567">
        <v>1</v>
      </c>
    </row>
    <row r="568" spans="1:7" x14ac:dyDescent="0.3">
      <c r="A568" t="s">
        <v>6660</v>
      </c>
      <c r="C568" t="str">
        <v>latanoprost</v>
      </c>
      <c r="D568">
        <f t="shared" si="8"/>
        <v>3</v>
      </c>
      <c r="F568" t="s">
        <v>7181</v>
      </c>
      <c r="G568">
        <v>1</v>
      </c>
    </row>
    <row r="569" spans="1:7" x14ac:dyDescent="0.3">
      <c r="A569" t="s">
        <v>6660</v>
      </c>
      <c r="C569" t="str">
        <v>laurilsulfato</v>
      </c>
      <c r="D569">
        <f t="shared" si="8"/>
        <v>2</v>
      </c>
      <c r="F569" t="s">
        <v>7180</v>
      </c>
      <c r="G569">
        <v>1</v>
      </c>
    </row>
    <row r="570" spans="1:7" x14ac:dyDescent="0.3">
      <c r="A570" t="s">
        <v>6660</v>
      </c>
      <c r="C570" t="str">
        <v>lercanidipine </v>
      </c>
      <c r="D570">
        <f t="shared" si="8"/>
        <v>2</v>
      </c>
      <c r="F570" t="s">
        <v>7237</v>
      </c>
      <c r="G570">
        <v>1</v>
      </c>
    </row>
    <row r="571" spans="1:7" x14ac:dyDescent="0.3">
      <c r="A571" t="s">
        <v>6660</v>
      </c>
      <c r="C571" t="str">
        <v>lercanidipino</v>
      </c>
      <c r="D571">
        <f t="shared" si="8"/>
        <v>2</v>
      </c>
      <c r="F571" t="s">
        <v>6611</v>
      </c>
      <c r="G571">
        <v>1</v>
      </c>
    </row>
    <row r="572" spans="1:7" x14ac:dyDescent="0.3">
      <c r="A572" t="s">
        <v>6660</v>
      </c>
      <c r="C572" t="str">
        <v>levetiracetam</v>
      </c>
      <c r="D572">
        <f t="shared" si="8"/>
        <v>3</v>
      </c>
      <c r="F572" t="s">
        <v>7238</v>
      </c>
      <c r="G572">
        <v>1</v>
      </c>
    </row>
    <row r="573" spans="1:7" x14ac:dyDescent="0.3">
      <c r="A573" t="s">
        <v>6660</v>
      </c>
      <c r="C573" t="str">
        <v>levocarnitina 1g</v>
      </c>
      <c r="D573">
        <f t="shared" si="8"/>
        <v>4</v>
      </c>
      <c r="F573" t="s">
        <v>6612</v>
      </c>
      <c r="G573">
        <v>1</v>
      </c>
    </row>
    <row r="574" spans="1:7" x14ac:dyDescent="0.3">
      <c r="A574" t="s">
        <v>6660</v>
      </c>
      <c r="C574" t="str">
        <v>levocarnitine </v>
      </c>
      <c r="D574">
        <f t="shared" si="8"/>
        <v>4</v>
      </c>
      <c r="F574" t="s">
        <v>6614</v>
      </c>
      <c r="G574">
        <v>1</v>
      </c>
    </row>
    <row r="575" spans="1:7" x14ac:dyDescent="0.3">
      <c r="A575" t="s">
        <v>6660</v>
      </c>
      <c r="C575" t="str">
        <v>levocetirizina</v>
      </c>
      <c r="D575">
        <f t="shared" si="8"/>
        <v>13</v>
      </c>
      <c r="F575" t="s">
        <v>6658</v>
      </c>
      <c r="G575">
        <v>1</v>
      </c>
    </row>
    <row r="576" spans="1:7" x14ac:dyDescent="0.3">
      <c r="A576" t="s">
        <v>6660</v>
      </c>
      <c r="C576" t="str">
        <v>levocetirizine</v>
      </c>
      <c r="D576">
        <f t="shared" si="8"/>
        <v>1</v>
      </c>
      <c r="F576" t="s">
        <v>6911</v>
      </c>
      <c r="G576">
        <v>1</v>
      </c>
    </row>
    <row r="577" spans="1:7" x14ac:dyDescent="0.3">
      <c r="A577" t="s">
        <v>6660</v>
      </c>
      <c r="C577" t="str">
        <v>levocitirizina</v>
      </c>
      <c r="D577">
        <f t="shared" si="8"/>
        <v>4</v>
      </c>
      <c r="F577" t="s">
        <v>2501</v>
      </c>
      <c r="G577">
        <v>1</v>
      </c>
    </row>
    <row r="578" spans="1:7" x14ac:dyDescent="0.3">
      <c r="A578" t="s">
        <v>6660</v>
      </c>
      <c r="C578" t="str">
        <v>levodopa</v>
      </c>
      <c r="D578">
        <f t="shared" ref="D578:D641" si="9">COUNTIF(A$1:A$4322,C578)</f>
        <v>5</v>
      </c>
      <c r="F578" t="s">
        <v>6913</v>
      </c>
      <c r="G578">
        <v>1</v>
      </c>
    </row>
    <row r="579" spans="1:7" x14ac:dyDescent="0.3">
      <c r="A579" t="s">
        <v>6660</v>
      </c>
      <c r="C579" t="str">
        <v>levodopa250mg</v>
      </c>
      <c r="D579">
        <f t="shared" si="9"/>
        <v>1</v>
      </c>
      <c r="F579" t="s">
        <v>7150</v>
      </c>
      <c r="G579">
        <v>1</v>
      </c>
    </row>
    <row r="580" spans="1:7" x14ac:dyDescent="0.3">
      <c r="A580" t="s">
        <v>2501</v>
      </c>
      <c r="C580" t="str">
        <v>levodropropizina</v>
      </c>
      <c r="D580">
        <f t="shared" si="9"/>
        <v>1</v>
      </c>
      <c r="F580" t="s">
        <v>6663</v>
      </c>
      <c r="G580">
        <v>1</v>
      </c>
    </row>
    <row r="581" spans="1:7" x14ac:dyDescent="0.3">
      <c r="A581" t="s">
        <v>235</v>
      </c>
      <c r="C581" t="str">
        <v>levofloxacin</v>
      </c>
      <c r="D581">
        <f t="shared" si="9"/>
        <v>3</v>
      </c>
      <c r="F581" t="s">
        <v>6914</v>
      </c>
      <c r="G581">
        <v>1</v>
      </c>
    </row>
    <row r="582" spans="1:7" x14ac:dyDescent="0.3">
      <c r="A582" t="s">
        <v>235</v>
      </c>
      <c r="C582" t="str">
        <v>levofloxacino</v>
      </c>
      <c r="D582">
        <f t="shared" si="9"/>
        <v>14</v>
      </c>
      <c r="F582" t="s">
        <v>7079</v>
      </c>
      <c r="G582">
        <v>1</v>
      </c>
    </row>
    <row r="583" spans="1:7" x14ac:dyDescent="0.3">
      <c r="A583" t="s">
        <v>235</v>
      </c>
      <c r="C583" t="str">
        <v>levofloxacino 750 mg</v>
      </c>
      <c r="D583">
        <f t="shared" si="9"/>
        <v>2</v>
      </c>
      <c r="F583" t="s">
        <v>7078</v>
      </c>
      <c r="G583">
        <v>1</v>
      </c>
    </row>
    <row r="584" spans="1:7" x14ac:dyDescent="0.3">
      <c r="A584" t="s">
        <v>235</v>
      </c>
      <c r="C584" t="str">
        <v>levonorgestrel</v>
      </c>
      <c r="D584">
        <f t="shared" si="9"/>
        <v>1</v>
      </c>
      <c r="F584" t="s">
        <v>7240</v>
      </c>
      <c r="G584">
        <v>1</v>
      </c>
    </row>
    <row r="585" spans="1:7" x14ac:dyDescent="0.3">
      <c r="A585" t="s">
        <v>235</v>
      </c>
      <c r="C585" t="str">
        <v>levopantoprazol</v>
      </c>
      <c r="D585">
        <f t="shared" si="9"/>
        <v>1</v>
      </c>
      <c r="F585" t="s">
        <v>7319</v>
      </c>
      <c r="G585">
        <v>1</v>
      </c>
    </row>
    <row r="586" spans="1:7" x14ac:dyDescent="0.3">
      <c r="A586" t="s">
        <v>235</v>
      </c>
      <c r="C586" t="str">
        <v>levothyroxine sodium</v>
      </c>
      <c r="D586">
        <f t="shared" si="9"/>
        <v>3</v>
      </c>
      <c r="F586" t="s">
        <v>846</v>
      </c>
      <c r="G586">
        <v>1</v>
      </c>
    </row>
    <row r="587" spans="1:7" x14ac:dyDescent="0.3">
      <c r="A587" t="s">
        <v>235</v>
      </c>
      <c r="C587" t="str">
        <v>levotiroxina sódica</v>
      </c>
      <c r="D587">
        <f t="shared" si="9"/>
        <v>8</v>
      </c>
      <c r="F587" t="s">
        <v>6916</v>
      </c>
      <c r="G587">
        <v>1</v>
      </c>
    </row>
    <row r="588" spans="1:7" x14ac:dyDescent="0.3">
      <c r="A588" t="s">
        <v>6661</v>
      </c>
      <c r="C588" t="str">
        <v>levotiroxina sodica 25 mcg</v>
      </c>
      <c r="D588">
        <f t="shared" si="9"/>
        <v>1</v>
      </c>
      <c r="F588" t="s">
        <v>1178</v>
      </c>
      <c r="G588">
        <v>1</v>
      </c>
    </row>
    <row r="589" spans="1:7" x14ac:dyDescent="0.3">
      <c r="A589" t="s">
        <v>6661</v>
      </c>
      <c r="C589" t="str">
        <v>levotiroxina sodica 50 mcg</v>
      </c>
      <c r="D589">
        <f t="shared" si="9"/>
        <v>1</v>
      </c>
      <c r="F589" t="s">
        <v>6917</v>
      </c>
      <c r="G589">
        <v>1</v>
      </c>
    </row>
    <row r="590" spans="1:7" x14ac:dyDescent="0.3">
      <c r="A590" t="s">
        <v>6661</v>
      </c>
      <c r="C590" t="str">
        <v>lidocaina</v>
      </c>
      <c r="D590">
        <f t="shared" si="9"/>
        <v>1</v>
      </c>
      <c r="F590" t="s">
        <v>6616</v>
      </c>
      <c r="G590">
        <v>1</v>
      </c>
    </row>
    <row r="591" spans="1:7" x14ac:dyDescent="0.3">
      <c r="A591" t="s">
        <v>6661</v>
      </c>
      <c r="C591" t="str">
        <v>lidocaína</v>
      </c>
      <c r="D591">
        <f t="shared" si="9"/>
        <v>16</v>
      </c>
      <c r="F591" t="s">
        <v>7241</v>
      </c>
      <c r="G591">
        <v>1</v>
      </c>
    </row>
    <row r="592" spans="1:7" x14ac:dyDescent="0.3">
      <c r="A592" t="s">
        <v>6661</v>
      </c>
      <c r="C592" t="str">
        <v>lidocaina 10 g</v>
      </c>
      <c r="D592">
        <f t="shared" si="9"/>
        <v>1</v>
      </c>
      <c r="F592" t="s">
        <v>6918</v>
      </c>
      <c r="G592">
        <v>1</v>
      </c>
    </row>
    <row r="593" spans="1:7" x14ac:dyDescent="0.3">
      <c r="A593" t="s">
        <v>6661</v>
      </c>
      <c r="C593" t="str">
        <v>lidocaina 1g</v>
      </c>
      <c r="D593">
        <f t="shared" si="9"/>
        <v>1</v>
      </c>
      <c r="F593" t="s">
        <v>241</v>
      </c>
      <c r="G593">
        <v>1</v>
      </c>
    </row>
    <row r="594" spans="1:7" x14ac:dyDescent="0.3">
      <c r="A594" t="s">
        <v>6661</v>
      </c>
      <c r="C594" t="str">
        <v>lidocaína 20mg</v>
      </c>
      <c r="D594">
        <f t="shared" si="9"/>
        <v>9</v>
      </c>
      <c r="F594" t="s">
        <v>6919</v>
      </c>
      <c r="G594">
        <v>1</v>
      </c>
    </row>
    <row r="595" spans="1:7" x14ac:dyDescent="0.3">
      <c r="A595" t="s">
        <v>6661</v>
      </c>
      <c r="C595" t="str">
        <v xml:space="preserve">lidocaina 20mg </v>
      </c>
      <c r="D595">
        <f t="shared" si="9"/>
        <v>1</v>
      </c>
      <c r="F595" t="s">
        <v>7080</v>
      </c>
      <c r="G595">
        <v>1</v>
      </c>
    </row>
    <row r="596" spans="1:7" x14ac:dyDescent="0.3">
      <c r="A596" t="s">
        <v>6661</v>
      </c>
      <c r="C596" t="str">
        <v>lidocaine</v>
      </c>
      <c r="D596">
        <f t="shared" si="9"/>
        <v>11</v>
      </c>
      <c r="F596" t="s">
        <v>6920</v>
      </c>
      <c r="G596">
        <v>1</v>
      </c>
    </row>
    <row r="597" spans="1:7" x14ac:dyDescent="0.3">
      <c r="A597" t="s">
        <v>6661</v>
      </c>
      <c r="C597" t="str">
        <v>linagliptina</v>
      </c>
      <c r="D597">
        <f t="shared" si="9"/>
        <v>3</v>
      </c>
      <c r="F597" t="s">
        <v>7182</v>
      </c>
      <c r="G597">
        <v>1</v>
      </c>
    </row>
    <row r="598" spans="1:7" x14ac:dyDescent="0.3">
      <c r="A598" t="s">
        <v>6661</v>
      </c>
      <c r="C598" t="str">
        <v>lincomicina</v>
      </c>
      <c r="D598">
        <f t="shared" si="9"/>
        <v>2</v>
      </c>
      <c r="F598" t="s">
        <v>6670</v>
      </c>
      <c r="G598">
        <v>1</v>
      </c>
    </row>
    <row r="599" spans="1:7" x14ac:dyDescent="0.3">
      <c r="A599" t="s">
        <v>6661</v>
      </c>
      <c r="C599" t="str">
        <v>lodopovidona 8mg</v>
      </c>
      <c r="D599">
        <f t="shared" si="9"/>
        <v>1</v>
      </c>
      <c r="F599" t="s">
        <v>6922</v>
      </c>
      <c r="G599">
        <v>1</v>
      </c>
    </row>
    <row r="600" spans="1:7" x14ac:dyDescent="0.3">
      <c r="A600" t="s">
        <v>6661</v>
      </c>
      <c r="C600" t="str">
        <v>lomifilina</v>
      </c>
      <c r="D600">
        <f t="shared" si="9"/>
        <v>1</v>
      </c>
      <c r="F600" t="s">
        <v>7091</v>
      </c>
      <c r="G600">
        <v>1</v>
      </c>
    </row>
    <row r="601" spans="1:7" x14ac:dyDescent="0.3">
      <c r="A601" t="s">
        <v>6661</v>
      </c>
      <c r="C601" t="str">
        <v>loperamida</v>
      </c>
      <c r="D601">
        <f t="shared" si="9"/>
        <v>9</v>
      </c>
      <c r="F601" t="s">
        <v>7081</v>
      </c>
      <c r="G601">
        <v>1</v>
      </c>
    </row>
    <row r="602" spans="1:7" x14ac:dyDescent="0.3">
      <c r="A602" t="s">
        <v>6661</v>
      </c>
      <c r="C602" t="str">
        <v>loperamida 2mg</v>
      </c>
      <c r="D602">
        <f t="shared" si="9"/>
        <v>5</v>
      </c>
      <c r="F602" t="s">
        <v>7302</v>
      </c>
      <c r="G602">
        <v>1</v>
      </c>
    </row>
    <row r="603" spans="1:7" x14ac:dyDescent="0.3">
      <c r="A603" t="s">
        <v>6661</v>
      </c>
      <c r="C603" t="str">
        <v>loperamide </v>
      </c>
      <c r="D603">
        <f t="shared" si="9"/>
        <v>6</v>
      </c>
      <c r="F603" t="s">
        <v>7243</v>
      </c>
      <c r="G603">
        <v>1</v>
      </c>
    </row>
    <row r="604" spans="1:7" x14ac:dyDescent="0.3">
      <c r="A604" t="s">
        <v>6912</v>
      </c>
      <c r="C604" t="str">
        <v>loratadina</v>
      </c>
      <c r="D604">
        <f t="shared" si="9"/>
        <v>57</v>
      </c>
      <c r="F604" t="s">
        <v>7244</v>
      </c>
      <c r="G604">
        <v>1</v>
      </c>
    </row>
    <row r="605" spans="1:7" x14ac:dyDescent="0.3">
      <c r="A605" t="s">
        <v>6912</v>
      </c>
      <c r="C605" t="str">
        <v>loratadina 10 mg</v>
      </c>
      <c r="D605">
        <f t="shared" si="9"/>
        <v>2</v>
      </c>
      <c r="F605" t="s">
        <v>6925</v>
      </c>
      <c r="G605">
        <v>1</v>
      </c>
    </row>
    <row r="606" spans="1:7" x14ac:dyDescent="0.3">
      <c r="A606" t="s">
        <v>6912</v>
      </c>
      <c r="C606" t="str">
        <v>loratadina 100 mg</v>
      </c>
      <c r="D606">
        <f t="shared" si="9"/>
        <v>1</v>
      </c>
      <c r="F606" t="s">
        <v>6926</v>
      </c>
      <c r="G606">
        <v>1</v>
      </c>
    </row>
    <row r="607" spans="1:7" x14ac:dyDescent="0.3">
      <c r="A607" t="s">
        <v>6912</v>
      </c>
      <c r="C607" t="str">
        <v>loratadina 16mg</v>
      </c>
      <c r="D607">
        <f t="shared" si="9"/>
        <v>1</v>
      </c>
      <c r="F607" t="s">
        <v>6682</v>
      </c>
      <c r="G607">
        <v>1</v>
      </c>
    </row>
    <row r="608" spans="1:7" x14ac:dyDescent="0.3">
      <c r="A608" t="s">
        <v>6913</v>
      </c>
      <c r="C608" t="str">
        <v>loratadina 2mg</v>
      </c>
      <c r="D608">
        <f t="shared" si="9"/>
        <v>1</v>
      </c>
      <c r="F608" t="s">
        <v>7246</v>
      </c>
      <c r="G608">
        <v>1</v>
      </c>
    </row>
    <row r="609" spans="1:7" x14ac:dyDescent="0.3">
      <c r="A609" t="s">
        <v>2631</v>
      </c>
      <c r="C609" t="str">
        <v>loratadina 5 mg</v>
      </c>
      <c r="D609">
        <f t="shared" si="9"/>
        <v>2</v>
      </c>
      <c r="F609" t="s">
        <v>1003</v>
      </c>
      <c r="G609">
        <v>1</v>
      </c>
    </row>
    <row r="610" spans="1:7" x14ac:dyDescent="0.3">
      <c r="A610" t="s">
        <v>2631</v>
      </c>
      <c r="C610" t="str">
        <v>loratadina 5mg</v>
      </c>
      <c r="D610">
        <f t="shared" si="9"/>
        <v>1</v>
      </c>
      <c r="F610" t="s">
        <v>2551</v>
      </c>
      <c r="G610">
        <v>1</v>
      </c>
    </row>
    <row r="611" spans="1:7" x14ac:dyDescent="0.3">
      <c r="A611" t="s">
        <v>6662</v>
      </c>
      <c r="C611" t="str">
        <v>loratadine</v>
      </c>
      <c r="D611">
        <f t="shared" si="9"/>
        <v>8</v>
      </c>
      <c r="F611" t="s">
        <v>6928</v>
      </c>
      <c r="G611">
        <v>1</v>
      </c>
    </row>
    <row r="612" spans="1:7" x14ac:dyDescent="0.3">
      <c r="A612" t="s">
        <v>6662</v>
      </c>
      <c r="C612" t="str">
        <v>lorazepam</v>
      </c>
      <c r="D612">
        <f t="shared" si="9"/>
        <v>3</v>
      </c>
      <c r="F612" t="s">
        <v>2142</v>
      </c>
      <c r="G612">
        <v>1</v>
      </c>
    </row>
    <row r="613" spans="1:7" x14ac:dyDescent="0.3">
      <c r="A613" t="s">
        <v>6662</v>
      </c>
      <c r="C613" t="str">
        <v>lorazepam 1 mg</v>
      </c>
      <c r="D613">
        <f t="shared" si="9"/>
        <v>1</v>
      </c>
      <c r="F613" t="s">
        <v>6929</v>
      </c>
      <c r="G613">
        <v>1</v>
      </c>
    </row>
    <row r="614" spans="1:7" x14ac:dyDescent="0.3">
      <c r="A614" t="s">
        <v>6662</v>
      </c>
      <c r="C614" t="str">
        <v>losartán</v>
      </c>
      <c r="D614">
        <f t="shared" si="9"/>
        <v>16</v>
      </c>
      <c r="F614" t="s">
        <v>1519</v>
      </c>
      <c r="G614">
        <v>1</v>
      </c>
    </row>
    <row r="615" spans="1:7" x14ac:dyDescent="0.3">
      <c r="A615" t="s">
        <v>6662</v>
      </c>
      <c r="C615" t="str">
        <v>losartan  50mg</v>
      </c>
      <c r="D615">
        <f t="shared" si="9"/>
        <v>1</v>
      </c>
      <c r="F615" t="s">
        <v>7090</v>
      </c>
      <c r="G615">
        <v>1</v>
      </c>
    </row>
    <row r="616" spans="1:7" x14ac:dyDescent="0.3">
      <c r="A616" t="s">
        <v>6662</v>
      </c>
      <c r="C616" t="str">
        <v>losartán 50 mg</v>
      </c>
      <c r="D616">
        <f t="shared" si="9"/>
        <v>1</v>
      </c>
      <c r="F616" t="s">
        <v>7320</v>
      </c>
      <c r="G616">
        <v>1</v>
      </c>
    </row>
    <row r="617" spans="1:7" x14ac:dyDescent="0.3">
      <c r="A617" t="s">
        <v>6662</v>
      </c>
      <c r="C617" t="str">
        <v>losartan 60 mg</v>
      </c>
      <c r="D617">
        <f t="shared" si="9"/>
        <v>1</v>
      </c>
      <c r="F617" t="s">
        <v>6687</v>
      </c>
      <c r="G617">
        <v>1</v>
      </c>
    </row>
    <row r="618" spans="1:7" x14ac:dyDescent="0.3">
      <c r="A618" t="s">
        <v>6662</v>
      </c>
      <c r="C618" t="str">
        <v>losartan and amlodipine </v>
      </c>
      <c r="D618">
        <f t="shared" si="9"/>
        <v>2</v>
      </c>
      <c r="F618" t="s">
        <v>7129</v>
      </c>
      <c r="G618">
        <v>1</v>
      </c>
    </row>
    <row r="619" spans="1:7" x14ac:dyDescent="0.3">
      <c r="A619" t="s">
        <v>6662</v>
      </c>
      <c r="C619" t="str">
        <v>losartan and diuretics </v>
      </c>
      <c r="D619">
        <f t="shared" si="9"/>
        <v>1</v>
      </c>
      <c r="F619" t="s">
        <v>6688</v>
      </c>
      <c r="G619">
        <v>1</v>
      </c>
    </row>
    <row r="620" spans="1:7" x14ac:dyDescent="0.3">
      <c r="A620" t="s">
        <v>6662</v>
      </c>
      <c r="C620" t="str">
        <v>losartan </v>
      </c>
      <c r="D620">
        <f t="shared" si="9"/>
        <v>3</v>
      </c>
      <c r="F620" t="s">
        <v>7154</v>
      </c>
      <c r="G620">
        <v>1</v>
      </c>
    </row>
    <row r="621" spans="1:7" x14ac:dyDescent="0.3">
      <c r="A621" t="s">
        <v>7150</v>
      </c>
      <c r="C621" t="str">
        <v>loxoprofeno</v>
      </c>
      <c r="D621">
        <f t="shared" si="9"/>
        <v>1</v>
      </c>
      <c r="F621" t="s">
        <v>7092</v>
      </c>
      <c r="G621">
        <v>1</v>
      </c>
    </row>
    <row r="622" spans="1:7" x14ac:dyDescent="0.3">
      <c r="A622" t="s">
        <v>6663</v>
      </c>
      <c r="C622" t="str">
        <v>magaldrate and antiflatulents </v>
      </c>
      <c r="D622">
        <f t="shared" si="9"/>
        <v>1</v>
      </c>
      <c r="F622" t="s">
        <v>2986</v>
      </c>
      <c r="G622">
        <v>1</v>
      </c>
    </row>
    <row r="623" spans="1:7" x14ac:dyDescent="0.3">
      <c r="A623" t="s">
        <v>6914</v>
      </c>
      <c r="C623" t="str">
        <v>magaldrato</v>
      </c>
      <c r="D623">
        <f t="shared" si="9"/>
        <v>6</v>
      </c>
      <c r="F623" t="s">
        <v>6930</v>
      </c>
      <c r="G623">
        <v>1</v>
      </c>
    </row>
    <row r="624" spans="1:7" x14ac:dyDescent="0.3">
      <c r="A624" t="s">
        <v>7079</v>
      </c>
      <c r="C624" t="str">
        <v>magnesio</v>
      </c>
      <c r="D624">
        <f t="shared" si="9"/>
        <v>8</v>
      </c>
      <c r="F624" t="s">
        <v>547</v>
      </c>
      <c r="G624">
        <v>1</v>
      </c>
    </row>
    <row r="625" spans="1:7" x14ac:dyDescent="0.3">
      <c r="A625" t="s">
        <v>7078</v>
      </c>
      <c r="C625" t="str">
        <v>malagrato 80mg</v>
      </c>
      <c r="D625">
        <f t="shared" si="9"/>
        <v>1</v>
      </c>
      <c r="F625" t="s">
        <v>6931</v>
      </c>
      <c r="G625">
        <v>1</v>
      </c>
    </row>
    <row r="626" spans="1:7" x14ac:dyDescent="0.3">
      <c r="A626" t="s">
        <v>7137</v>
      </c>
      <c r="C626" t="str">
        <v>maleato de clorfenamina</v>
      </c>
      <c r="D626">
        <f t="shared" si="9"/>
        <v>1</v>
      </c>
      <c r="F626" t="s">
        <v>1970</v>
      </c>
      <c r="G626">
        <v>1</v>
      </c>
    </row>
    <row r="627" spans="1:7" x14ac:dyDescent="0.3">
      <c r="A627" t="s">
        <v>7137</v>
      </c>
      <c r="C627" t="str">
        <v>mebendazol</v>
      </c>
      <c r="D627">
        <f t="shared" si="9"/>
        <v>2</v>
      </c>
      <c r="F627" t="s">
        <v>6691</v>
      </c>
      <c r="G627">
        <v>1</v>
      </c>
    </row>
    <row r="628" spans="1:7" x14ac:dyDescent="0.3">
      <c r="A628" t="s">
        <v>7137</v>
      </c>
      <c r="C628" t="str">
        <v>meclizina</v>
      </c>
      <c r="D628">
        <f t="shared" si="9"/>
        <v>9</v>
      </c>
      <c r="F628" t="s">
        <v>554</v>
      </c>
      <c r="G628">
        <v>1</v>
      </c>
    </row>
    <row r="629" spans="1:7" x14ac:dyDescent="0.3">
      <c r="A629" t="s">
        <v>7137</v>
      </c>
      <c r="C629" t="str">
        <v>medroxiprogesterona</v>
      </c>
      <c r="D629">
        <f t="shared" si="9"/>
        <v>3</v>
      </c>
      <c r="F629" t="s">
        <v>6694</v>
      </c>
      <c r="G629">
        <v>1</v>
      </c>
    </row>
    <row r="630" spans="1:7" x14ac:dyDescent="0.3">
      <c r="A630" t="s">
        <v>7137</v>
      </c>
      <c r="C630" t="str">
        <v>melatonin</v>
      </c>
      <c r="D630">
        <f t="shared" si="9"/>
        <v>2</v>
      </c>
      <c r="F630" t="s">
        <v>6933</v>
      </c>
      <c r="G630">
        <v>1</v>
      </c>
    </row>
    <row r="631" spans="1:7" x14ac:dyDescent="0.3">
      <c r="A631" t="s">
        <v>7240</v>
      </c>
      <c r="C631" t="str">
        <v>melatonina</v>
      </c>
      <c r="D631">
        <f t="shared" si="9"/>
        <v>2</v>
      </c>
      <c r="F631" t="s">
        <v>7167</v>
      </c>
      <c r="G631">
        <v>1</v>
      </c>
    </row>
    <row r="632" spans="1:7" x14ac:dyDescent="0.3">
      <c r="A632" t="s">
        <v>1558</v>
      </c>
      <c r="C632" t="str">
        <v>melatonina 5 mg</v>
      </c>
      <c r="D632">
        <f t="shared" si="9"/>
        <v>1</v>
      </c>
      <c r="F632" t="s">
        <v>7184</v>
      </c>
      <c r="G632">
        <v>1</v>
      </c>
    </row>
    <row r="633" spans="1:7" x14ac:dyDescent="0.3">
      <c r="A633" t="s">
        <v>1558</v>
      </c>
      <c r="C633" t="str">
        <v>meloxicam</v>
      </c>
      <c r="D633">
        <f t="shared" si="9"/>
        <v>21</v>
      </c>
      <c r="F633" t="s">
        <v>310</v>
      </c>
      <c r="G633">
        <v>1</v>
      </c>
    </row>
    <row r="634" spans="1:7" x14ac:dyDescent="0.3">
      <c r="A634" t="s">
        <v>6664</v>
      </c>
      <c r="C634" t="str">
        <v>meloxicam 7</v>
      </c>
      <c r="D634">
        <f t="shared" si="9"/>
        <v>3</v>
      </c>
      <c r="F634" t="s">
        <v>3095</v>
      </c>
      <c r="G634">
        <v>1</v>
      </c>
    </row>
    <row r="635" spans="1:7" x14ac:dyDescent="0.3">
      <c r="A635" t="s">
        <v>6664</v>
      </c>
      <c r="C635" t="str">
        <v>memantina</v>
      </c>
      <c r="D635">
        <f t="shared" si="9"/>
        <v>1</v>
      </c>
      <c r="F635" t="s">
        <v>7321</v>
      </c>
      <c r="G635">
        <v>1</v>
      </c>
    </row>
    <row r="636" spans="1:7" x14ac:dyDescent="0.3">
      <c r="A636" t="s">
        <v>7102</v>
      </c>
      <c r="C636" t="str">
        <v>mesalazina</v>
      </c>
      <c r="D636">
        <f t="shared" si="9"/>
        <v>5</v>
      </c>
      <c r="F636" t="s">
        <v>7322</v>
      </c>
      <c r="G636">
        <v>1</v>
      </c>
    </row>
    <row r="637" spans="1:7" x14ac:dyDescent="0.3">
      <c r="A637" t="s">
        <v>7102</v>
      </c>
      <c r="C637" t="str">
        <v>mesalazine </v>
      </c>
      <c r="D637">
        <f t="shared" si="9"/>
        <v>1</v>
      </c>
      <c r="F637" t="s">
        <v>7323</v>
      </c>
      <c r="G637">
        <v>1</v>
      </c>
    </row>
    <row r="638" spans="1:7" x14ac:dyDescent="0.3">
      <c r="A638" t="s">
        <v>6665</v>
      </c>
      <c r="C638" t="str">
        <v xml:space="preserve">metamizol </v>
      </c>
      <c r="D638">
        <f t="shared" si="9"/>
        <v>1</v>
      </c>
      <c r="F638" t="s">
        <v>6617</v>
      </c>
      <c r="G638">
        <v>1</v>
      </c>
    </row>
    <row r="639" spans="1:7" x14ac:dyDescent="0.3">
      <c r="A639" t="s">
        <v>6665</v>
      </c>
      <c r="C639" t="str">
        <v>metamizol sódico</v>
      </c>
      <c r="D639">
        <f t="shared" si="9"/>
        <v>35</v>
      </c>
      <c r="F639" t="s">
        <v>7247</v>
      </c>
      <c r="G639">
        <v>1</v>
      </c>
    </row>
    <row r="640" spans="1:7" x14ac:dyDescent="0.3">
      <c r="A640" t="s">
        <v>7319</v>
      </c>
      <c r="C640" t="str">
        <v>metamizol sòdico</v>
      </c>
      <c r="D640">
        <f t="shared" si="9"/>
        <v>1</v>
      </c>
      <c r="F640" t="s">
        <v>894</v>
      </c>
      <c r="G640">
        <v>1</v>
      </c>
    </row>
    <row r="641" spans="1:7" x14ac:dyDescent="0.3">
      <c r="A641" t="s">
        <v>846</v>
      </c>
      <c r="C641" t="str">
        <v>metamizol sodico 1 g</v>
      </c>
      <c r="D641">
        <f t="shared" si="9"/>
        <v>1</v>
      </c>
      <c r="F641" t="s">
        <v>254</v>
      </c>
      <c r="G641">
        <v>1</v>
      </c>
    </row>
    <row r="642" spans="1:7" x14ac:dyDescent="0.3">
      <c r="A642" t="s">
        <v>932</v>
      </c>
      <c r="C642" t="str">
        <v>metamizol sodico 250mg</v>
      </c>
      <c r="D642">
        <f t="shared" ref="D642:D705" si="10">COUNTIF(A$1:A$4322,C642)</f>
        <v>1</v>
      </c>
      <c r="F642" t="s">
        <v>6935</v>
      </c>
      <c r="G642">
        <v>1</v>
      </c>
    </row>
    <row r="643" spans="1:7" x14ac:dyDescent="0.3">
      <c r="A643" t="s">
        <v>932</v>
      </c>
      <c r="C643" t="str">
        <v>metamizol sódico 500 mg</v>
      </c>
      <c r="D643">
        <f t="shared" si="10"/>
        <v>1</v>
      </c>
      <c r="F643" t="s">
        <v>6936</v>
      </c>
      <c r="G643">
        <v>1</v>
      </c>
    </row>
    <row r="644" spans="1:7" x14ac:dyDescent="0.3">
      <c r="A644" t="s">
        <v>932</v>
      </c>
      <c r="C644" t="str">
        <v>metamizole sodium</v>
      </c>
      <c r="D644">
        <f t="shared" si="10"/>
        <v>6</v>
      </c>
      <c r="F644" t="s">
        <v>7095</v>
      </c>
      <c r="G644">
        <v>1</v>
      </c>
    </row>
    <row r="645" spans="1:7" x14ac:dyDescent="0.3">
      <c r="A645" t="s">
        <v>932</v>
      </c>
      <c r="C645" t="str">
        <v>metformin 750mg</v>
      </c>
      <c r="D645">
        <f t="shared" si="10"/>
        <v>1</v>
      </c>
      <c r="F645" t="s">
        <v>7098</v>
      </c>
      <c r="G645">
        <v>1</v>
      </c>
    </row>
    <row r="646" spans="1:7" x14ac:dyDescent="0.3">
      <c r="A646" t="s">
        <v>932</v>
      </c>
      <c r="C646" t="str">
        <v>metformin and alogliptin </v>
      </c>
      <c r="D646">
        <f t="shared" si="10"/>
        <v>5</v>
      </c>
      <c r="F646" t="s">
        <v>6938</v>
      </c>
      <c r="G646">
        <v>1</v>
      </c>
    </row>
    <row r="647" spans="1:7" x14ac:dyDescent="0.3">
      <c r="A647" t="s">
        <v>6666</v>
      </c>
      <c r="C647" t="str">
        <v>metformin </v>
      </c>
      <c r="D647">
        <f t="shared" si="10"/>
        <v>16</v>
      </c>
      <c r="F647" t="s">
        <v>7324</v>
      </c>
      <c r="G647">
        <v>1</v>
      </c>
    </row>
    <row r="648" spans="1:7" x14ac:dyDescent="0.3">
      <c r="A648" t="s">
        <v>6666</v>
      </c>
      <c r="C648" t="str">
        <v>metformina</v>
      </c>
      <c r="D648">
        <f t="shared" si="10"/>
        <v>48</v>
      </c>
      <c r="F648" t="s">
        <v>6939</v>
      </c>
      <c r="G648">
        <v>1</v>
      </c>
    </row>
    <row r="649" spans="1:7" x14ac:dyDescent="0.3">
      <c r="A649" t="s">
        <v>6666</v>
      </c>
      <c r="C649" t="str">
        <v>metformina 850  mg</v>
      </c>
      <c r="D649">
        <f t="shared" si="10"/>
        <v>2</v>
      </c>
      <c r="F649" t="s">
        <v>6940</v>
      </c>
      <c r="G649">
        <v>1</v>
      </c>
    </row>
    <row r="650" spans="1:7" x14ac:dyDescent="0.3">
      <c r="A650" t="s">
        <v>6666</v>
      </c>
      <c r="C650" t="str">
        <v>metformina 850mg</v>
      </c>
      <c r="D650">
        <f t="shared" si="10"/>
        <v>9</v>
      </c>
      <c r="F650" t="s">
        <v>6941</v>
      </c>
      <c r="G650">
        <v>1</v>
      </c>
    </row>
    <row r="651" spans="1:7" x14ac:dyDescent="0.3">
      <c r="A651" t="s">
        <v>6666</v>
      </c>
      <c r="C651" t="str">
        <v>methocarbamol</v>
      </c>
      <c r="D651">
        <f t="shared" si="10"/>
        <v>6</v>
      </c>
      <c r="F651" t="s">
        <v>7295</v>
      </c>
      <c r="G651">
        <v>1</v>
      </c>
    </row>
    <row r="652" spans="1:7" x14ac:dyDescent="0.3">
      <c r="A652" t="s">
        <v>6666</v>
      </c>
      <c r="C652" t="str">
        <v>methotrexate</v>
      </c>
      <c r="D652">
        <f t="shared" si="10"/>
        <v>1</v>
      </c>
      <c r="F652" t="s">
        <v>6942</v>
      </c>
      <c r="G652">
        <v>1</v>
      </c>
    </row>
    <row r="653" spans="1:7" x14ac:dyDescent="0.3">
      <c r="A653" t="s">
        <v>6666</v>
      </c>
      <c r="C653" t="str">
        <v>methylprednisolone</v>
      </c>
      <c r="D653">
        <f t="shared" si="10"/>
        <v>1</v>
      </c>
      <c r="F653" t="s">
        <v>6943</v>
      </c>
      <c r="G653">
        <v>1</v>
      </c>
    </row>
    <row r="654" spans="1:7" x14ac:dyDescent="0.3">
      <c r="A654" t="s">
        <v>6915</v>
      </c>
      <c r="C654" t="str">
        <v>metilbromuro de homatropina</v>
      </c>
      <c r="D654">
        <f t="shared" si="10"/>
        <v>1</v>
      </c>
      <c r="F654" t="s">
        <v>7325</v>
      </c>
      <c r="G654">
        <v>1</v>
      </c>
    </row>
    <row r="655" spans="1:7" x14ac:dyDescent="0.3">
      <c r="A655" t="s">
        <v>6915</v>
      </c>
      <c r="C655" t="str">
        <v>metilprednisolona</v>
      </c>
      <c r="D655">
        <f t="shared" si="10"/>
        <v>1</v>
      </c>
      <c r="F655" t="s">
        <v>7186</v>
      </c>
      <c r="G655">
        <v>1</v>
      </c>
    </row>
    <row r="656" spans="1:7" x14ac:dyDescent="0.3">
      <c r="A656" t="s">
        <v>6915</v>
      </c>
      <c r="C656" t="str">
        <v>metilprednisona 40mg</v>
      </c>
      <c r="D656">
        <f t="shared" si="10"/>
        <v>1</v>
      </c>
      <c r="F656" t="s">
        <v>7187</v>
      </c>
      <c r="G656">
        <v>1</v>
      </c>
    </row>
    <row r="657" spans="1:7" x14ac:dyDescent="0.3">
      <c r="A657" t="s">
        <v>6916</v>
      </c>
      <c r="C657" t="str">
        <v>metionina</v>
      </c>
      <c r="D657">
        <f t="shared" si="10"/>
        <v>1</v>
      </c>
      <c r="F657" t="s">
        <v>6944</v>
      </c>
      <c r="G657">
        <v>1</v>
      </c>
    </row>
    <row r="658" spans="1:7" x14ac:dyDescent="0.3">
      <c r="A658" t="s">
        <v>1178</v>
      </c>
      <c r="C658" t="str">
        <v>metocarbamol</v>
      </c>
      <c r="D658">
        <f t="shared" si="10"/>
        <v>8</v>
      </c>
      <c r="F658" t="s">
        <v>7303</v>
      </c>
      <c r="G658">
        <v>1</v>
      </c>
    </row>
    <row r="659" spans="1:7" x14ac:dyDescent="0.3">
      <c r="A659" t="s">
        <v>6667</v>
      </c>
      <c r="C659" t="str">
        <v xml:space="preserve">metocarbamol </v>
      </c>
      <c r="D659">
        <f t="shared" si="10"/>
        <v>1</v>
      </c>
      <c r="F659" t="s">
        <v>2212</v>
      </c>
      <c r="G659">
        <v>1</v>
      </c>
    </row>
    <row r="660" spans="1:7" x14ac:dyDescent="0.3">
      <c r="A660" t="s">
        <v>6667</v>
      </c>
      <c r="C660" t="str">
        <v>metocarbamol 215 mg</v>
      </c>
      <c r="D660">
        <f t="shared" si="10"/>
        <v>2</v>
      </c>
      <c r="F660" t="s">
        <v>6945</v>
      </c>
      <c r="G660">
        <v>1</v>
      </c>
    </row>
    <row r="661" spans="1:7" x14ac:dyDescent="0.3">
      <c r="A661" t="s">
        <v>6667</v>
      </c>
      <c r="C661" t="str">
        <v>metocarbamol 375 mg</v>
      </c>
      <c r="D661">
        <f t="shared" si="10"/>
        <v>1</v>
      </c>
      <c r="F661" t="s">
        <v>6711</v>
      </c>
      <c r="G661">
        <v>1</v>
      </c>
    </row>
    <row r="662" spans="1:7" x14ac:dyDescent="0.3">
      <c r="A662" t="s">
        <v>6917</v>
      </c>
      <c r="C662" t="str">
        <v>metocarbamol 400 mg</v>
      </c>
      <c r="D662">
        <f t="shared" si="10"/>
        <v>2</v>
      </c>
      <c r="F662" t="s">
        <v>7304</v>
      </c>
      <c r="G662">
        <v>1</v>
      </c>
    </row>
    <row r="663" spans="1:7" x14ac:dyDescent="0.3">
      <c r="A663" t="s">
        <v>1156</v>
      </c>
      <c r="C663" t="str">
        <v>metoclopramida</v>
      </c>
      <c r="D663">
        <f t="shared" si="10"/>
        <v>38</v>
      </c>
      <c r="F663" t="s">
        <v>7103</v>
      </c>
      <c r="G663">
        <v>1</v>
      </c>
    </row>
    <row r="664" spans="1:7" x14ac:dyDescent="0.3">
      <c r="A664" t="s">
        <v>1156</v>
      </c>
      <c r="C664" t="str">
        <v>metoclopramida 10 mg</v>
      </c>
      <c r="D664">
        <f t="shared" si="10"/>
        <v>1</v>
      </c>
      <c r="F664" t="s">
        <v>1582</v>
      </c>
      <c r="G664">
        <v>1</v>
      </c>
    </row>
    <row r="665" spans="1:7" x14ac:dyDescent="0.3">
      <c r="A665" t="s">
        <v>6616</v>
      </c>
      <c r="C665" t="str">
        <v>metoclopramida 10mg</v>
      </c>
      <c r="D665">
        <f t="shared" si="10"/>
        <v>1</v>
      </c>
      <c r="F665" t="s">
        <v>6618</v>
      </c>
      <c r="G665">
        <v>1</v>
      </c>
    </row>
    <row r="666" spans="1:7" x14ac:dyDescent="0.3">
      <c r="A666" t="s">
        <v>6668</v>
      </c>
      <c r="C666" t="str">
        <v>metoclopramide </v>
      </c>
      <c r="D666">
        <f t="shared" si="10"/>
        <v>6</v>
      </c>
      <c r="F666" t="s">
        <v>7248</v>
      </c>
      <c r="G666">
        <v>1</v>
      </c>
    </row>
    <row r="667" spans="1:7" x14ac:dyDescent="0.3">
      <c r="A667" t="s">
        <v>6668</v>
      </c>
      <c r="C667" t="str">
        <v>metocrbamol 215 mg</v>
      </c>
      <c r="D667">
        <f t="shared" si="10"/>
        <v>1</v>
      </c>
      <c r="F667" t="s">
        <v>7058</v>
      </c>
      <c r="G667">
        <v>1</v>
      </c>
    </row>
    <row r="668" spans="1:7" x14ac:dyDescent="0.3">
      <c r="A668" t="s">
        <v>6668</v>
      </c>
      <c r="C668" t="str">
        <v>metoprolol</v>
      </c>
      <c r="D668">
        <f t="shared" si="10"/>
        <v>16</v>
      </c>
      <c r="F668" t="s">
        <v>6713</v>
      </c>
      <c r="G668">
        <v>1</v>
      </c>
    </row>
    <row r="669" spans="1:7" x14ac:dyDescent="0.3">
      <c r="A669" t="s">
        <v>6668</v>
      </c>
      <c r="C669" t="str">
        <v>metoprolol 100 mg</v>
      </c>
      <c r="D669">
        <f t="shared" si="10"/>
        <v>1</v>
      </c>
      <c r="F669" t="s">
        <v>2963</v>
      </c>
      <c r="G669">
        <v>1</v>
      </c>
    </row>
    <row r="670" spans="1:7" x14ac:dyDescent="0.3">
      <c r="A670" t="s">
        <v>6668</v>
      </c>
      <c r="C670" t="str">
        <v>metoprolol 100mg</v>
      </c>
      <c r="D670">
        <f t="shared" si="10"/>
        <v>1</v>
      </c>
      <c r="F670" t="s">
        <v>6947</v>
      </c>
      <c r="G670">
        <v>1</v>
      </c>
    </row>
    <row r="671" spans="1:7" x14ac:dyDescent="0.3">
      <c r="A671" t="s">
        <v>6668</v>
      </c>
      <c r="C671" t="str">
        <v>metoprolol </v>
      </c>
      <c r="D671">
        <f t="shared" si="10"/>
        <v>4</v>
      </c>
      <c r="F671" t="s">
        <v>617</v>
      </c>
      <c r="G671">
        <v>1</v>
      </c>
    </row>
    <row r="672" spans="1:7" x14ac:dyDescent="0.3">
      <c r="A672" t="s">
        <v>6668</v>
      </c>
      <c r="C672" t="str">
        <v>metronidazol</v>
      </c>
      <c r="D672">
        <f t="shared" si="10"/>
        <v>20</v>
      </c>
      <c r="F672" t="s">
        <v>6716</v>
      </c>
      <c r="G672">
        <v>1</v>
      </c>
    </row>
    <row r="673" spans="1:7" x14ac:dyDescent="0.3">
      <c r="A673" t="s">
        <v>6668</v>
      </c>
      <c r="C673" t="str">
        <v>metronidazol 500mg</v>
      </c>
      <c r="D673">
        <f t="shared" si="10"/>
        <v>1</v>
      </c>
      <c r="F673" t="s">
        <v>7249</v>
      </c>
      <c r="G673">
        <v>1</v>
      </c>
    </row>
    <row r="674" spans="1:7" x14ac:dyDescent="0.3">
      <c r="A674" t="s">
        <v>6668</v>
      </c>
      <c r="C674" t="str">
        <v>metronidazole</v>
      </c>
      <c r="D674">
        <f t="shared" si="10"/>
        <v>15</v>
      </c>
      <c r="F674" t="s">
        <v>403</v>
      </c>
      <c r="G674">
        <v>1</v>
      </c>
    </row>
    <row r="675" spans="1:7" x14ac:dyDescent="0.3">
      <c r="A675" t="s">
        <v>6668</v>
      </c>
      <c r="C675" t="str">
        <v>miconazol</v>
      </c>
      <c r="D675">
        <f t="shared" si="10"/>
        <v>5</v>
      </c>
      <c r="F675" t="s">
        <v>7250</v>
      </c>
      <c r="G675">
        <v>1</v>
      </c>
    </row>
    <row r="676" spans="1:7" x14ac:dyDescent="0.3">
      <c r="A676" t="s">
        <v>6668</v>
      </c>
      <c r="C676" t="str">
        <v>miconazol 20 g</v>
      </c>
      <c r="D676">
        <f t="shared" si="10"/>
        <v>1</v>
      </c>
      <c r="F676" t="s">
        <v>1608</v>
      </c>
      <c r="G676">
        <v>1</v>
      </c>
    </row>
    <row r="677" spans="1:7" x14ac:dyDescent="0.3">
      <c r="A677" t="s">
        <v>6668</v>
      </c>
      <c r="C677" t="str">
        <v>miconazol 20g</v>
      </c>
      <c r="D677">
        <f t="shared" si="10"/>
        <v>1</v>
      </c>
      <c r="F677" t="s">
        <v>7188</v>
      </c>
      <c r="G677">
        <v>1</v>
      </c>
    </row>
    <row r="678" spans="1:7" x14ac:dyDescent="0.3">
      <c r="A678" t="s">
        <v>6668</v>
      </c>
      <c r="C678" t="str">
        <v>miconazol 2g</v>
      </c>
      <c r="D678">
        <f t="shared" si="10"/>
        <v>1</v>
      </c>
      <c r="F678" t="s">
        <v>7326</v>
      </c>
      <c r="G678">
        <v>1</v>
      </c>
    </row>
    <row r="679" spans="1:7" x14ac:dyDescent="0.3">
      <c r="A679" t="s">
        <v>6668</v>
      </c>
      <c r="C679" t="str">
        <v>miconazole</v>
      </c>
      <c r="D679">
        <f t="shared" si="10"/>
        <v>2</v>
      </c>
      <c r="F679" t="s">
        <v>7327</v>
      </c>
      <c r="G679">
        <v>1</v>
      </c>
    </row>
    <row r="680" spans="1:7" x14ac:dyDescent="0.3">
      <c r="A680" t="s">
        <v>6668</v>
      </c>
      <c r="C680" t="str">
        <v>miconazole </v>
      </c>
      <c r="D680">
        <f t="shared" si="10"/>
        <v>1</v>
      </c>
      <c r="F680" t="s">
        <v>2062</v>
      </c>
      <c r="G680">
        <v>1</v>
      </c>
    </row>
    <row r="681" spans="1:7" x14ac:dyDescent="0.3">
      <c r="A681" t="s">
        <v>6668</v>
      </c>
      <c r="C681" t="str">
        <v>mirabegron</v>
      </c>
      <c r="D681">
        <f t="shared" si="10"/>
        <v>1</v>
      </c>
      <c r="F681" t="s">
        <v>6950</v>
      </c>
      <c r="G681">
        <v>1</v>
      </c>
    </row>
    <row r="682" spans="1:7" x14ac:dyDescent="0.3">
      <c r="A682" t="s">
        <v>6668</v>
      </c>
      <c r="C682" t="str">
        <v>mitoxantrona</v>
      </c>
      <c r="D682">
        <f t="shared" si="10"/>
        <v>1</v>
      </c>
      <c r="F682" t="s">
        <v>6951</v>
      </c>
      <c r="G682">
        <v>1</v>
      </c>
    </row>
    <row r="683" spans="1:7" x14ac:dyDescent="0.3">
      <c r="A683" t="s">
        <v>6668</v>
      </c>
      <c r="C683" t="str">
        <v>mitoxantrone</v>
      </c>
      <c r="D683">
        <f t="shared" si="10"/>
        <v>1</v>
      </c>
      <c r="F683" t="s">
        <v>7189</v>
      </c>
      <c r="G683">
        <v>1</v>
      </c>
    </row>
    <row r="684" spans="1:7" x14ac:dyDescent="0.3">
      <c r="A684" t="s">
        <v>6668</v>
      </c>
      <c r="C684" t="str">
        <v>ml</v>
      </c>
      <c r="D684">
        <f t="shared" si="10"/>
        <v>10</v>
      </c>
      <c r="F684" t="s">
        <v>6952</v>
      </c>
      <c r="G684">
        <v>1</v>
      </c>
    </row>
    <row r="685" spans="1:7" x14ac:dyDescent="0.3">
      <c r="A685" t="s">
        <v>6668</v>
      </c>
      <c r="C685" t="str">
        <v>modafinil</v>
      </c>
      <c r="D685">
        <f t="shared" si="10"/>
        <v>2</v>
      </c>
      <c r="F685" t="s">
        <v>6953</v>
      </c>
      <c r="G685">
        <v>1</v>
      </c>
    </row>
    <row r="686" spans="1:7" x14ac:dyDescent="0.3">
      <c r="A686" t="s">
        <v>6668</v>
      </c>
      <c r="C686" t="str">
        <v>modafinilo 200mg</v>
      </c>
      <c r="D686">
        <f t="shared" si="10"/>
        <v>1</v>
      </c>
      <c r="F686" t="s">
        <v>6954</v>
      </c>
      <c r="G686">
        <v>1</v>
      </c>
    </row>
    <row r="687" spans="1:7" x14ac:dyDescent="0.3">
      <c r="A687" t="s">
        <v>6668</v>
      </c>
      <c r="C687" t="str">
        <v>mometasona</v>
      </c>
      <c r="D687">
        <f t="shared" si="10"/>
        <v>4</v>
      </c>
      <c r="F687" t="s">
        <v>6619</v>
      </c>
      <c r="G687">
        <v>1</v>
      </c>
    </row>
    <row r="688" spans="1:7" x14ac:dyDescent="0.3">
      <c r="A688" t="s">
        <v>6668</v>
      </c>
      <c r="C688" t="str">
        <v xml:space="preserve">mometasona </v>
      </c>
      <c r="D688">
        <f t="shared" si="10"/>
        <v>1</v>
      </c>
      <c r="F688" t="s">
        <v>7328</v>
      </c>
      <c r="G688">
        <v>1</v>
      </c>
    </row>
    <row r="689" spans="1:7" x14ac:dyDescent="0.3">
      <c r="A689" t="s">
        <v>6668</v>
      </c>
      <c r="C689" t="str">
        <v>mometasona  50ug</v>
      </c>
      <c r="D689">
        <f t="shared" si="10"/>
        <v>1</v>
      </c>
      <c r="F689" t="s">
        <v>7252</v>
      </c>
      <c r="G689">
        <v>1</v>
      </c>
    </row>
    <row r="690" spans="1:7" x14ac:dyDescent="0.3">
      <c r="A690" t="s">
        <v>7241</v>
      </c>
      <c r="C690" t="str">
        <v>mometasona 50mg</v>
      </c>
      <c r="D690">
        <f t="shared" si="10"/>
        <v>1</v>
      </c>
      <c r="F690" t="s">
        <v>7329</v>
      </c>
      <c r="G690">
        <v>1</v>
      </c>
    </row>
    <row r="691" spans="1:7" x14ac:dyDescent="0.3">
      <c r="A691" t="s">
        <v>6918</v>
      </c>
      <c r="C691" t="str">
        <v>mometasona 50ug</v>
      </c>
      <c r="D691">
        <f t="shared" si="10"/>
        <v>1</v>
      </c>
      <c r="F691" t="s">
        <v>7330</v>
      </c>
      <c r="G691">
        <v>1</v>
      </c>
    </row>
    <row r="692" spans="1:7" x14ac:dyDescent="0.3">
      <c r="A692" t="s">
        <v>2317</v>
      </c>
      <c r="C692" t="str">
        <v>mometasone</v>
      </c>
      <c r="D692">
        <f t="shared" si="10"/>
        <v>6</v>
      </c>
      <c r="F692" t="s">
        <v>6956</v>
      </c>
      <c r="G692">
        <v>1</v>
      </c>
    </row>
    <row r="693" spans="1:7" x14ac:dyDescent="0.3">
      <c r="A693" t="s">
        <v>2317</v>
      </c>
      <c r="C693" t="str">
        <v>montelukast</v>
      </c>
      <c r="D693">
        <f t="shared" si="10"/>
        <v>22</v>
      </c>
      <c r="F693" t="s">
        <v>7190</v>
      </c>
      <c r="G693">
        <v>1</v>
      </c>
    </row>
    <row r="694" spans="1:7" x14ac:dyDescent="0.3">
      <c r="A694" t="s">
        <v>271</v>
      </c>
      <c r="C694" t="str">
        <v>montelukast 10 mg</v>
      </c>
      <c r="D694">
        <f t="shared" si="10"/>
        <v>1</v>
      </c>
      <c r="F694" t="s">
        <v>7192</v>
      </c>
      <c r="G694">
        <v>1</v>
      </c>
    </row>
    <row r="695" spans="1:7" x14ac:dyDescent="0.3">
      <c r="A695" t="s">
        <v>271</v>
      </c>
      <c r="C695" t="str">
        <v>montelukast 4 mg</v>
      </c>
      <c r="D695">
        <f t="shared" si="10"/>
        <v>1</v>
      </c>
      <c r="F695" t="s">
        <v>7109</v>
      </c>
      <c r="G695">
        <v>1</v>
      </c>
    </row>
    <row r="696" spans="1:7" x14ac:dyDescent="0.3">
      <c r="A696" t="s">
        <v>241</v>
      </c>
      <c r="C696" t="str">
        <v>multivitaminicos 2000mg</v>
      </c>
      <c r="D696">
        <f t="shared" si="10"/>
        <v>1</v>
      </c>
      <c r="F696" t="s">
        <v>2930</v>
      </c>
      <c r="G696">
        <v>1</v>
      </c>
    </row>
    <row r="697" spans="1:7" x14ac:dyDescent="0.3">
      <c r="A697" t="s">
        <v>6669</v>
      </c>
      <c r="C697" t="str">
        <v>multivitamins</v>
      </c>
      <c r="D697">
        <f t="shared" si="10"/>
        <v>2</v>
      </c>
      <c r="F697" t="s">
        <v>6620</v>
      </c>
      <c r="G697">
        <v>1</v>
      </c>
    </row>
    <row r="698" spans="1:7" x14ac:dyDescent="0.3">
      <c r="A698" t="s">
        <v>6669</v>
      </c>
      <c r="C698" t="str">
        <v>multivitamins and folic acid </v>
      </c>
      <c r="D698">
        <f t="shared" si="10"/>
        <v>1</v>
      </c>
      <c r="F698" t="s">
        <v>6732</v>
      </c>
      <c r="G698">
        <v>1</v>
      </c>
    </row>
    <row r="699" spans="1:7" x14ac:dyDescent="0.3">
      <c r="A699" t="s">
        <v>6669</v>
      </c>
      <c r="C699" t="str">
        <v>multivitamins and iron </v>
      </c>
      <c r="D699">
        <f t="shared" si="10"/>
        <v>1</v>
      </c>
      <c r="F699" t="s">
        <v>7194</v>
      </c>
      <c r="G699">
        <v>1</v>
      </c>
    </row>
    <row r="700" spans="1:7" x14ac:dyDescent="0.3">
      <c r="A700" t="s">
        <v>6669</v>
      </c>
      <c r="C700" t="str">
        <v>multivitamins and other minerals</v>
      </c>
      <c r="D700">
        <f t="shared" si="10"/>
        <v>2</v>
      </c>
      <c r="F700" t="s">
        <v>2156</v>
      </c>
      <c r="G700">
        <v>1</v>
      </c>
    </row>
    <row r="701" spans="1:7" x14ac:dyDescent="0.3">
      <c r="A701" t="s">
        <v>6669</v>
      </c>
      <c r="C701" t="str">
        <v>mupirocin</v>
      </c>
      <c r="D701">
        <f t="shared" si="10"/>
        <v>2</v>
      </c>
      <c r="F701" t="s">
        <v>1246</v>
      </c>
      <c r="G701">
        <v>1</v>
      </c>
    </row>
    <row r="702" spans="1:7" x14ac:dyDescent="0.3">
      <c r="A702" t="s">
        <v>6669</v>
      </c>
      <c r="C702" t="str">
        <v>mupirocina</v>
      </c>
      <c r="D702">
        <f t="shared" si="10"/>
        <v>4</v>
      </c>
      <c r="F702" t="s">
        <v>7254</v>
      </c>
      <c r="G702">
        <v>1</v>
      </c>
    </row>
    <row r="703" spans="1:7" x14ac:dyDescent="0.3">
      <c r="A703" t="s">
        <v>6669</v>
      </c>
      <c r="C703" t="str">
        <v>mupirocina 15 g</v>
      </c>
      <c r="D703">
        <f t="shared" si="10"/>
        <v>1</v>
      </c>
      <c r="F703" t="s">
        <v>7110</v>
      </c>
      <c r="G703">
        <v>1</v>
      </c>
    </row>
    <row r="704" spans="1:7" x14ac:dyDescent="0.3">
      <c r="A704" t="s">
        <v>6669</v>
      </c>
      <c r="C704" t="str">
        <v>nafazolina</v>
      </c>
      <c r="D704">
        <f t="shared" si="10"/>
        <v>4</v>
      </c>
      <c r="F704" t="s">
        <v>7255</v>
      </c>
      <c r="G704">
        <v>1</v>
      </c>
    </row>
    <row r="705" spans="1:7" x14ac:dyDescent="0.3">
      <c r="A705" t="s">
        <v>6669</v>
      </c>
      <c r="C705" t="str">
        <v>nalidixic acid</v>
      </c>
      <c r="D705">
        <f t="shared" si="10"/>
        <v>1</v>
      </c>
      <c r="F705" t="s">
        <v>6621</v>
      </c>
      <c r="G705">
        <v>1</v>
      </c>
    </row>
    <row r="706" spans="1:7" x14ac:dyDescent="0.3">
      <c r="A706" t="s">
        <v>6669</v>
      </c>
      <c r="C706" t="str">
        <v>naphazoline</v>
      </c>
      <c r="D706">
        <f t="shared" ref="D706:D769" si="11">COUNTIF(A$1:A$4322,C706)</f>
        <v>1</v>
      </c>
      <c r="F706" t="s">
        <v>6736</v>
      </c>
      <c r="G706">
        <v>1</v>
      </c>
    </row>
    <row r="707" spans="1:7" x14ac:dyDescent="0.3">
      <c r="A707" t="s">
        <v>6669</v>
      </c>
      <c r="C707" t="str">
        <v>naproxen</v>
      </c>
      <c r="D707">
        <f t="shared" si="11"/>
        <v>6</v>
      </c>
      <c r="F707" t="s">
        <v>7112</v>
      </c>
      <c r="G707">
        <v>1</v>
      </c>
    </row>
    <row r="708" spans="1:7" x14ac:dyDescent="0.3">
      <c r="A708" t="s">
        <v>6669</v>
      </c>
      <c r="C708" t="str">
        <v>naproxeno</v>
      </c>
      <c r="D708">
        <f t="shared" si="11"/>
        <v>28</v>
      </c>
      <c r="F708" t="s">
        <v>6959</v>
      </c>
      <c r="G708">
        <v>1</v>
      </c>
    </row>
    <row r="709" spans="1:7" x14ac:dyDescent="0.3">
      <c r="A709" t="s">
        <v>6669</v>
      </c>
      <c r="C709" t="str">
        <v>naproxeno 250 mg</v>
      </c>
      <c r="D709">
        <f t="shared" si="11"/>
        <v>3</v>
      </c>
      <c r="F709" t="s">
        <v>6737</v>
      </c>
      <c r="G709">
        <v>1</v>
      </c>
    </row>
    <row r="710" spans="1:7" x14ac:dyDescent="0.3">
      <c r="A710" t="s">
        <v>6669</v>
      </c>
      <c r="C710" t="str">
        <v>naproxeno sódico</v>
      </c>
      <c r="D710">
        <f t="shared" si="11"/>
        <v>3</v>
      </c>
      <c r="F710" t="s">
        <v>1296</v>
      </c>
      <c r="G710">
        <v>1</v>
      </c>
    </row>
    <row r="711" spans="1:7" x14ac:dyDescent="0.3">
      <c r="A711" t="s">
        <v>6919</v>
      </c>
      <c r="C711" t="str">
        <v>nebivolol</v>
      </c>
      <c r="D711">
        <f t="shared" si="11"/>
        <v>2</v>
      </c>
      <c r="F711" t="s">
        <v>2386</v>
      </c>
      <c r="G711">
        <v>1</v>
      </c>
    </row>
    <row r="712" spans="1:7" x14ac:dyDescent="0.3">
      <c r="A712" t="s">
        <v>7080</v>
      </c>
      <c r="C712" t="str">
        <v>nebivolol </v>
      </c>
      <c r="D712">
        <f t="shared" si="11"/>
        <v>2</v>
      </c>
      <c r="F712" t="s">
        <v>6739</v>
      </c>
      <c r="G712">
        <v>1</v>
      </c>
    </row>
    <row r="713" spans="1:7" x14ac:dyDescent="0.3">
      <c r="A713" t="s">
        <v>7083</v>
      </c>
      <c r="C713" t="str">
        <v>nefazolina 1mg</v>
      </c>
      <c r="D713">
        <f t="shared" si="11"/>
        <v>1</v>
      </c>
      <c r="F713" t="s">
        <v>7116</v>
      </c>
      <c r="G713">
        <v>1</v>
      </c>
    </row>
    <row r="714" spans="1:7" x14ac:dyDescent="0.3">
      <c r="A714" t="s">
        <v>7083</v>
      </c>
      <c r="C714" t="str">
        <v>neomicina</v>
      </c>
      <c r="D714">
        <f t="shared" si="11"/>
        <v>35</v>
      </c>
      <c r="F714" t="s">
        <v>6746</v>
      </c>
      <c r="G714">
        <v>1</v>
      </c>
    </row>
    <row r="715" spans="1:7" x14ac:dyDescent="0.3">
      <c r="A715" t="s">
        <v>7083</v>
      </c>
      <c r="C715" t="str">
        <v>neomicina 129 mg</v>
      </c>
      <c r="D715">
        <f t="shared" si="11"/>
        <v>2</v>
      </c>
      <c r="F715" t="s">
        <v>6748</v>
      </c>
      <c r="G715">
        <v>1</v>
      </c>
    </row>
    <row r="716" spans="1:7" x14ac:dyDescent="0.3">
      <c r="A716" t="s">
        <v>6920</v>
      </c>
      <c r="C716" t="str">
        <v>neomycin</v>
      </c>
      <c r="D716">
        <f t="shared" si="11"/>
        <v>2</v>
      </c>
      <c r="F716" t="s">
        <v>7331</v>
      </c>
      <c r="G716">
        <v>1</v>
      </c>
    </row>
    <row r="717" spans="1:7" x14ac:dyDescent="0.3">
      <c r="A717" t="s">
        <v>7182</v>
      </c>
      <c r="C717" t="str">
        <v>nifedipine </v>
      </c>
      <c r="D717">
        <f t="shared" si="11"/>
        <v>2</v>
      </c>
      <c r="F717" t="s">
        <v>6963</v>
      </c>
      <c r="G717">
        <v>1</v>
      </c>
    </row>
    <row r="718" spans="1:7" x14ac:dyDescent="0.3">
      <c r="A718" t="s">
        <v>261</v>
      </c>
      <c r="C718" t="str">
        <v>nifedipino</v>
      </c>
      <c r="D718">
        <f t="shared" si="11"/>
        <v>8</v>
      </c>
      <c r="F718" t="s">
        <v>6964</v>
      </c>
      <c r="G718">
        <v>1</v>
      </c>
    </row>
    <row r="719" spans="1:7" x14ac:dyDescent="0.3">
      <c r="A719" t="s">
        <v>261</v>
      </c>
      <c r="C719" t="str">
        <v>nifedipino 20 mg</v>
      </c>
      <c r="D719">
        <f t="shared" si="11"/>
        <v>4</v>
      </c>
      <c r="F719" t="s">
        <v>7144</v>
      </c>
      <c r="G719">
        <v>1</v>
      </c>
    </row>
    <row r="720" spans="1:7" x14ac:dyDescent="0.3">
      <c r="A720" t="s">
        <v>630</v>
      </c>
      <c r="C720" t="str">
        <v>nifedipino 30mg</v>
      </c>
      <c r="D720">
        <f t="shared" si="11"/>
        <v>2</v>
      </c>
      <c r="F720" t="s">
        <v>7195</v>
      </c>
      <c r="G720">
        <v>1</v>
      </c>
    </row>
    <row r="721" spans="1:7" x14ac:dyDescent="0.3">
      <c r="A721" t="s">
        <v>630</v>
      </c>
      <c r="C721" t="str">
        <v>nifuroxazida</v>
      </c>
      <c r="D721">
        <f t="shared" si="11"/>
        <v>7</v>
      </c>
      <c r="F721" t="s">
        <v>7256</v>
      </c>
      <c r="G721">
        <v>1</v>
      </c>
    </row>
    <row r="722" spans="1:7" x14ac:dyDescent="0.3">
      <c r="A722" t="s">
        <v>630</v>
      </c>
      <c r="C722" t="str">
        <v>nifuroxazida 400 mg</v>
      </c>
      <c r="D722">
        <f t="shared" si="11"/>
        <v>1</v>
      </c>
      <c r="F722" t="s">
        <v>7332</v>
      </c>
      <c r="G722">
        <v>1</v>
      </c>
    </row>
    <row r="723" spans="1:7" x14ac:dyDescent="0.3">
      <c r="A723" t="s">
        <v>630</v>
      </c>
      <c r="C723" t="str">
        <v>nifuroxazide </v>
      </c>
      <c r="D723">
        <f t="shared" si="11"/>
        <v>2</v>
      </c>
      <c r="F723" t="s">
        <v>7333</v>
      </c>
      <c r="G723">
        <v>1</v>
      </c>
    </row>
    <row r="724" spans="1:7" x14ac:dyDescent="0.3">
      <c r="A724" t="s">
        <v>7242</v>
      </c>
      <c r="C724" t="str">
        <v>nimesulida</v>
      </c>
      <c r="D724">
        <f t="shared" si="11"/>
        <v>6</v>
      </c>
      <c r="F724" t="s">
        <v>6750</v>
      </c>
      <c r="G724">
        <v>1</v>
      </c>
    </row>
    <row r="725" spans="1:7" x14ac:dyDescent="0.3">
      <c r="A725" t="s">
        <v>7242</v>
      </c>
      <c r="C725" t="str">
        <v>nistatina</v>
      </c>
      <c r="D725">
        <f t="shared" si="11"/>
        <v>2</v>
      </c>
      <c r="F725" t="s">
        <v>6751</v>
      </c>
      <c r="G725">
        <v>1</v>
      </c>
    </row>
    <row r="726" spans="1:7" x14ac:dyDescent="0.3">
      <c r="A726" t="s">
        <v>7242</v>
      </c>
      <c r="C726" t="str">
        <v>nistatina 100000ui</v>
      </c>
      <c r="D726">
        <f t="shared" si="11"/>
        <v>1</v>
      </c>
      <c r="F726" t="s">
        <v>6752</v>
      </c>
      <c r="G726">
        <v>1</v>
      </c>
    </row>
    <row r="727" spans="1:7" x14ac:dyDescent="0.3">
      <c r="A727" t="s">
        <v>7242</v>
      </c>
      <c r="C727" t="str">
        <v>nitazoxadina</v>
      </c>
      <c r="D727">
        <f t="shared" si="11"/>
        <v>1</v>
      </c>
      <c r="F727" t="s">
        <v>2558</v>
      </c>
      <c r="G727">
        <v>1</v>
      </c>
    </row>
    <row r="728" spans="1:7" x14ac:dyDescent="0.3">
      <c r="A728" t="s">
        <v>1402</v>
      </c>
      <c r="C728" t="str">
        <v>nitazoxanida</v>
      </c>
      <c r="D728">
        <f t="shared" si="11"/>
        <v>26</v>
      </c>
      <c r="F728" t="s">
        <v>6965</v>
      </c>
      <c r="G728">
        <v>1</v>
      </c>
    </row>
    <row r="729" spans="1:7" x14ac:dyDescent="0.3">
      <c r="A729" t="s">
        <v>1402</v>
      </c>
      <c r="C729" t="str">
        <v>nitazoxanide</v>
      </c>
      <c r="D729">
        <f t="shared" si="11"/>
        <v>1</v>
      </c>
      <c r="F729" t="s">
        <v>2493</v>
      </c>
      <c r="G729">
        <v>1</v>
      </c>
    </row>
    <row r="730" spans="1:7" x14ac:dyDescent="0.3">
      <c r="A730" t="s">
        <v>1402</v>
      </c>
      <c r="C730" t="str">
        <v>nitrofural</v>
      </c>
      <c r="D730">
        <f t="shared" si="11"/>
        <v>1</v>
      </c>
      <c r="F730" t="s">
        <v>7257</v>
      </c>
      <c r="G730">
        <v>1</v>
      </c>
    </row>
    <row r="731" spans="1:7" x14ac:dyDescent="0.3">
      <c r="A731" t="s">
        <v>6670</v>
      </c>
      <c r="C731" t="str">
        <v>nitrofurantoin</v>
      </c>
      <c r="D731">
        <f t="shared" si="11"/>
        <v>3</v>
      </c>
      <c r="F731" t="s">
        <v>6966</v>
      </c>
      <c r="G731">
        <v>1</v>
      </c>
    </row>
    <row r="732" spans="1:7" x14ac:dyDescent="0.3">
      <c r="A732" t="s">
        <v>6921</v>
      </c>
      <c r="C732" t="str">
        <v>nitrofurantoina</v>
      </c>
      <c r="D732">
        <f t="shared" si="11"/>
        <v>1</v>
      </c>
      <c r="F732" t="s">
        <v>6967</v>
      </c>
      <c r="G732">
        <v>1</v>
      </c>
    </row>
    <row r="733" spans="1:7" x14ac:dyDescent="0.3">
      <c r="A733" t="s">
        <v>6921</v>
      </c>
      <c r="C733" t="str">
        <v>nitrofurantoína</v>
      </c>
      <c r="D733">
        <f t="shared" si="11"/>
        <v>11</v>
      </c>
      <c r="F733" t="s">
        <v>2412</v>
      </c>
      <c r="G733">
        <v>1</v>
      </c>
    </row>
    <row r="734" spans="1:7" x14ac:dyDescent="0.3">
      <c r="A734" t="s">
        <v>6922</v>
      </c>
      <c r="C734" t="str">
        <v>nitrofurantoina 100 mg</v>
      </c>
      <c r="D734">
        <f t="shared" si="11"/>
        <v>1</v>
      </c>
      <c r="F734" t="s">
        <v>7120</v>
      </c>
      <c r="G734">
        <v>1</v>
      </c>
    </row>
    <row r="735" spans="1:7" x14ac:dyDescent="0.3">
      <c r="A735" t="s">
        <v>6671</v>
      </c>
      <c r="C735" t="str">
        <v>norelgestromina</v>
      </c>
      <c r="D735">
        <f t="shared" si="11"/>
        <v>2</v>
      </c>
      <c r="F735" t="s">
        <v>7196</v>
      </c>
      <c r="G735">
        <v>1</v>
      </c>
    </row>
    <row r="736" spans="1:7" x14ac:dyDescent="0.3">
      <c r="A736" t="s">
        <v>6671</v>
      </c>
      <c r="C736" t="str">
        <v>norfenefrina</v>
      </c>
      <c r="D736">
        <f t="shared" si="11"/>
        <v>2</v>
      </c>
      <c r="F736" t="s">
        <v>1550</v>
      </c>
      <c r="G736">
        <v>1</v>
      </c>
    </row>
    <row r="737" spans="1:7" x14ac:dyDescent="0.3">
      <c r="A737" t="s">
        <v>6672</v>
      </c>
      <c r="C737" t="str">
        <v>nystatin</v>
      </c>
      <c r="D737">
        <f t="shared" si="11"/>
        <v>7</v>
      </c>
      <c r="F737" t="s">
        <v>6968</v>
      </c>
      <c r="G737">
        <v>1</v>
      </c>
    </row>
    <row r="738" spans="1:7" x14ac:dyDescent="0.3">
      <c r="A738" t="s">
        <v>6672</v>
      </c>
      <c r="C738" t="str">
        <v>ofloxacino</v>
      </c>
      <c r="D738">
        <f t="shared" si="11"/>
        <v>3</v>
      </c>
      <c r="F738" t="s">
        <v>6757</v>
      </c>
      <c r="G738">
        <v>1</v>
      </c>
    </row>
    <row r="739" spans="1:7" x14ac:dyDescent="0.3">
      <c r="A739" t="s">
        <v>6672</v>
      </c>
      <c r="C739" t="str">
        <v>olanzapina</v>
      </c>
      <c r="D739">
        <f t="shared" si="11"/>
        <v>3</v>
      </c>
      <c r="F739" t="s">
        <v>7258</v>
      </c>
      <c r="G739">
        <v>1</v>
      </c>
    </row>
    <row r="740" spans="1:7" x14ac:dyDescent="0.3">
      <c r="A740" t="s">
        <v>6672</v>
      </c>
      <c r="C740" t="str">
        <v>olmesartan medoxomil</v>
      </c>
      <c r="D740">
        <f t="shared" si="11"/>
        <v>1</v>
      </c>
      <c r="F740" t="s">
        <v>6759</v>
      </c>
      <c r="G740">
        <v>1</v>
      </c>
    </row>
    <row r="741" spans="1:7" x14ac:dyDescent="0.3">
      <c r="A741" t="s">
        <v>6672</v>
      </c>
      <c r="C741" t="str">
        <v>olmesartan medoxomil and diuretics </v>
      </c>
      <c r="D741">
        <f t="shared" si="11"/>
        <v>1</v>
      </c>
      <c r="F741" t="s">
        <v>7124</v>
      </c>
      <c r="G741">
        <v>1</v>
      </c>
    </row>
    <row r="742" spans="1:7" x14ac:dyDescent="0.3">
      <c r="A742" t="s">
        <v>2428</v>
      </c>
      <c r="C742" t="str">
        <v>olmesartán medoxomilo</v>
      </c>
      <c r="D742">
        <f t="shared" si="11"/>
        <v>8</v>
      </c>
      <c r="F742" t="s">
        <v>247</v>
      </c>
      <c r="G742">
        <v>1</v>
      </c>
    </row>
    <row r="743" spans="1:7" x14ac:dyDescent="0.3">
      <c r="A743" t="s">
        <v>2428</v>
      </c>
      <c r="C743" t="str">
        <v>olmesartán metoxomilo</v>
      </c>
      <c r="D743">
        <f t="shared" si="11"/>
        <v>4</v>
      </c>
      <c r="F743" t="s">
        <v>1710</v>
      </c>
      <c r="G743">
        <v>1</v>
      </c>
    </row>
    <row r="744" spans="1:7" x14ac:dyDescent="0.3">
      <c r="A744" t="s">
        <v>7091</v>
      </c>
      <c r="C744" t="str">
        <v>omega-3-triglycerides incl</v>
      </c>
      <c r="D744">
        <f t="shared" si="11"/>
        <v>1</v>
      </c>
      <c r="F744" t="s">
        <v>7334</v>
      </c>
      <c r="G744">
        <v>1</v>
      </c>
    </row>
    <row r="745" spans="1:7" x14ac:dyDescent="0.3">
      <c r="A745" t="s">
        <v>7081</v>
      </c>
      <c r="C745" t="str">
        <v>omeprazol</v>
      </c>
      <c r="D745">
        <f t="shared" si="11"/>
        <v>27</v>
      </c>
      <c r="F745" t="s">
        <v>6971</v>
      </c>
      <c r="G745">
        <v>1</v>
      </c>
    </row>
    <row r="746" spans="1:7" x14ac:dyDescent="0.3">
      <c r="A746" t="s">
        <v>6673</v>
      </c>
      <c r="C746" t="str">
        <v>omeprazol 20 mg</v>
      </c>
      <c r="D746">
        <f t="shared" si="11"/>
        <v>1</v>
      </c>
      <c r="F746" t="s">
        <v>6972</v>
      </c>
      <c r="G746">
        <v>1</v>
      </c>
    </row>
    <row r="747" spans="1:7" x14ac:dyDescent="0.3">
      <c r="A747" t="s">
        <v>6673</v>
      </c>
      <c r="C747" t="str">
        <v>omeprazol 20mg</v>
      </c>
      <c r="D747">
        <f t="shared" si="11"/>
        <v>3</v>
      </c>
      <c r="F747" t="s">
        <v>7128</v>
      </c>
      <c r="G747">
        <v>1</v>
      </c>
    </row>
    <row r="748" spans="1:7" x14ac:dyDescent="0.3">
      <c r="A748" t="s">
        <v>6674</v>
      </c>
      <c r="C748" t="str">
        <v>omeprazole </v>
      </c>
      <c r="D748">
        <f t="shared" si="11"/>
        <v>8</v>
      </c>
      <c r="F748" t="s">
        <v>6973</v>
      </c>
      <c r="G748">
        <v>1</v>
      </c>
    </row>
    <row r="749" spans="1:7" x14ac:dyDescent="0.3">
      <c r="A749" t="s">
        <v>6674</v>
      </c>
      <c r="C749" t="str">
        <v>ondansetrón</v>
      </c>
      <c r="D749">
        <f t="shared" si="11"/>
        <v>2</v>
      </c>
      <c r="F749" t="s">
        <v>1266</v>
      </c>
      <c r="G749">
        <v>1</v>
      </c>
    </row>
    <row r="750" spans="1:7" x14ac:dyDescent="0.3">
      <c r="A750" t="s">
        <v>6674</v>
      </c>
      <c r="C750" t="str">
        <v>orlistat</v>
      </c>
      <c r="D750">
        <f t="shared" si="11"/>
        <v>2</v>
      </c>
      <c r="F750" t="s">
        <v>7151</v>
      </c>
      <c r="G750">
        <v>1</v>
      </c>
    </row>
    <row r="751" spans="1:7" x14ac:dyDescent="0.3">
      <c r="A751" t="s">
        <v>6675</v>
      </c>
      <c r="C751" t="str">
        <v>orlistat resveratrol</v>
      </c>
      <c r="D751">
        <f t="shared" si="11"/>
        <v>1</v>
      </c>
      <c r="F751" t="s">
        <v>6769</v>
      </c>
      <c r="G751">
        <v>1</v>
      </c>
    </row>
    <row r="752" spans="1:7" x14ac:dyDescent="0.3">
      <c r="A752" t="s">
        <v>6675</v>
      </c>
      <c r="C752" t="str">
        <v>oseltamivir</v>
      </c>
      <c r="D752">
        <f t="shared" si="11"/>
        <v>4</v>
      </c>
      <c r="F752" t="s">
        <v>7143</v>
      </c>
      <c r="G752">
        <v>1</v>
      </c>
    </row>
    <row r="753" spans="1:7" x14ac:dyDescent="0.3">
      <c r="A753" t="s">
        <v>6675</v>
      </c>
      <c r="C753" t="str">
        <v>oseltamivir 75 mg</v>
      </c>
      <c r="D753">
        <f t="shared" si="11"/>
        <v>1</v>
      </c>
      <c r="F753" t="s">
        <v>7131</v>
      </c>
      <c r="G753">
        <v>1</v>
      </c>
    </row>
    <row r="754" spans="1:7" x14ac:dyDescent="0.3">
      <c r="A754" t="s">
        <v>6675</v>
      </c>
      <c r="C754" t="str">
        <v>other analgesics and antipyretics</v>
      </c>
      <c r="D754">
        <f t="shared" si="11"/>
        <v>1</v>
      </c>
      <c r="F754" t="s">
        <v>7104</v>
      </c>
      <c r="G754">
        <v>1</v>
      </c>
    </row>
    <row r="755" spans="1:7" x14ac:dyDescent="0.3">
      <c r="A755" t="s">
        <v>6675</v>
      </c>
      <c r="C755" t="str">
        <v>other anti-dementia drugs</v>
      </c>
      <c r="D755">
        <f t="shared" si="11"/>
        <v>1</v>
      </c>
      <c r="F755" t="s">
        <v>7193</v>
      </c>
      <c r="G755">
        <v>1</v>
      </c>
    </row>
    <row r="756" spans="1:7" x14ac:dyDescent="0.3">
      <c r="A756" t="s">
        <v>6675</v>
      </c>
      <c r="C756" t="str">
        <v>other antiemetics</v>
      </c>
      <c r="D756">
        <f t="shared" si="11"/>
        <v>3</v>
      </c>
      <c r="F756" t="s">
        <v>6974</v>
      </c>
      <c r="G756">
        <v>1</v>
      </c>
    </row>
    <row r="757" spans="1:7" x14ac:dyDescent="0.3">
      <c r="A757" t="s">
        <v>6675</v>
      </c>
      <c r="C757" t="str">
        <v>other antiepileptics</v>
      </c>
      <c r="D757">
        <f t="shared" si="11"/>
        <v>2</v>
      </c>
      <c r="F757" t="s">
        <v>7259</v>
      </c>
      <c r="G757">
        <v>1</v>
      </c>
    </row>
    <row r="758" spans="1:7" x14ac:dyDescent="0.3">
      <c r="A758" t="s">
        <v>7302</v>
      </c>
      <c r="C758" t="str">
        <v>other antiinfectives and antiseptics</v>
      </c>
      <c r="D758">
        <f t="shared" si="11"/>
        <v>2</v>
      </c>
      <c r="F758" t="s">
        <v>7198</v>
      </c>
      <c r="G758">
        <v>1</v>
      </c>
    </row>
    <row r="759" spans="1:7" x14ac:dyDescent="0.3">
      <c r="A759" t="s">
        <v>6923</v>
      </c>
      <c r="C759" t="str">
        <v>other antiinflammatory antirheumatic agents in combination with other drugs</v>
      </c>
      <c r="D759">
        <f t="shared" si="11"/>
        <v>1</v>
      </c>
      <c r="F759" t="s">
        <v>7199</v>
      </c>
      <c r="G759">
        <v>1</v>
      </c>
    </row>
    <row r="760" spans="1:7" x14ac:dyDescent="0.3">
      <c r="A760" t="s">
        <v>6923</v>
      </c>
      <c r="C760" t="str">
        <v>other antispasmodics in combination with analgesics</v>
      </c>
      <c r="D760">
        <f t="shared" si="11"/>
        <v>2</v>
      </c>
      <c r="F760" t="s">
        <v>6976</v>
      </c>
      <c r="G760">
        <v>1</v>
      </c>
    </row>
    <row r="761" spans="1:7" x14ac:dyDescent="0.3">
      <c r="A761" t="s">
        <v>2112</v>
      </c>
      <c r="C761" t="str">
        <v>other antispasmodics in combination with psycholeptics</v>
      </c>
      <c r="D761">
        <f t="shared" si="11"/>
        <v>1</v>
      </c>
      <c r="F761" t="s">
        <v>7140</v>
      </c>
      <c r="G761">
        <v>1</v>
      </c>
    </row>
    <row r="762" spans="1:7" x14ac:dyDescent="0.3">
      <c r="A762" t="s">
        <v>2112</v>
      </c>
      <c r="C762" t="str">
        <v>oxcarbazepina</v>
      </c>
      <c r="D762">
        <f t="shared" si="11"/>
        <v>9</v>
      </c>
      <c r="F762" t="s">
        <v>6771</v>
      </c>
      <c r="G762">
        <v>1</v>
      </c>
    </row>
    <row r="763" spans="1:7" x14ac:dyDescent="0.3">
      <c r="A763" t="s">
        <v>2112</v>
      </c>
      <c r="C763" t="str">
        <v>oxeladina</v>
      </c>
      <c r="D763">
        <f t="shared" si="11"/>
        <v>2</v>
      </c>
      <c r="F763" t="s">
        <v>7260</v>
      </c>
      <c r="G763">
        <v>1</v>
      </c>
    </row>
    <row r="764" spans="1:7" x14ac:dyDescent="0.3">
      <c r="A764" t="s">
        <v>7087</v>
      </c>
      <c r="C764" t="str">
        <v>óxido de zinc</v>
      </c>
      <c r="D764">
        <f t="shared" si="11"/>
        <v>2</v>
      </c>
      <c r="F764" t="s">
        <v>7261</v>
      </c>
      <c r="G764">
        <v>1</v>
      </c>
    </row>
    <row r="765" spans="1:7" x14ac:dyDescent="0.3">
      <c r="A765" t="s">
        <v>7087</v>
      </c>
      <c r="C765" t="str">
        <v>oximetazolina</v>
      </c>
      <c r="D765">
        <f t="shared" si="11"/>
        <v>4</v>
      </c>
      <c r="F765" t="s">
        <v>7337</v>
      </c>
      <c r="G765">
        <v>1</v>
      </c>
    </row>
    <row r="766" spans="1:7" x14ac:dyDescent="0.3">
      <c r="A766" t="s">
        <v>7087</v>
      </c>
      <c r="C766" t="str">
        <v>oximetazolina 25 mg</v>
      </c>
      <c r="D766">
        <f t="shared" si="11"/>
        <v>1</v>
      </c>
      <c r="F766" t="s">
        <v>7306</v>
      </c>
      <c r="G766">
        <v>1</v>
      </c>
    </row>
    <row r="767" spans="1:7" x14ac:dyDescent="0.3">
      <c r="A767" t="s">
        <v>7087</v>
      </c>
      <c r="C767" t="str">
        <v>oxitetraciclina</v>
      </c>
      <c r="D767">
        <f t="shared" si="11"/>
        <v>2</v>
      </c>
      <c r="F767" t="s">
        <v>6774</v>
      </c>
      <c r="G767">
        <v>1</v>
      </c>
    </row>
    <row r="768" spans="1:7" x14ac:dyDescent="0.3">
      <c r="A768" t="s">
        <v>7243</v>
      </c>
      <c r="C768" t="str">
        <v>oxolamina</v>
      </c>
      <c r="D768">
        <f t="shared" si="11"/>
        <v>3</v>
      </c>
      <c r="F768" t="s">
        <v>6977</v>
      </c>
      <c r="G768">
        <v>1</v>
      </c>
    </row>
    <row r="769" spans="1:7" x14ac:dyDescent="0.3">
      <c r="A769" t="s">
        <v>6676</v>
      </c>
      <c r="C769" t="str">
        <v>oxymetazoline</v>
      </c>
      <c r="D769">
        <f t="shared" si="11"/>
        <v>1</v>
      </c>
      <c r="F769" t="s">
        <v>7262</v>
      </c>
      <c r="G769">
        <v>1</v>
      </c>
    </row>
    <row r="770" spans="1:7" x14ac:dyDescent="0.3">
      <c r="A770" t="s">
        <v>6676</v>
      </c>
      <c r="C770" t="str">
        <v>p´rimidona</v>
      </c>
      <c r="D770">
        <f t="shared" ref="D770:D833" si="12">COUNTIF(A$1:A$4322,C770)</f>
        <v>6</v>
      </c>
      <c r="F770" t="s">
        <v>6623</v>
      </c>
      <c r="G770">
        <v>1</v>
      </c>
    </row>
    <row r="771" spans="1:7" x14ac:dyDescent="0.3">
      <c r="A771" t="s">
        <v>6677</v>
      </c>
      <c r="C771" t="str">
        <v>palonosetrón</v>
      </c>
      <c r="D771">
        <f t="shared" si="12"/>
        <v>1</v>
      </c>
      <c r="F771" t="s">
        <v>1688</v>
      </c>
      <c r="G771">
        <v>1</v>
      </c>
    </row>
    <row r="772" spans="1:7" x14ac:dyDescent="0.3">
      <c r="A772" t="s">
        <v>6677</v>
      </c>
      <c r="C772" t="str">
        <v>pancreatina</v>
      </c>
      <c r="D772">
        <f t="shared" si="12"/>
        <v>3</v>
      </c>
      <c r="F772" t="s">
        <v>1887</v>
      </c>
      <c r="G772">
        <v>1</v>
      </c>
    </row>
    <row r="773" spans="1:7" x14ac:dyDescent="0.3">
      <c r="A773" t="s">
        <v>6677</v>
      </c>
      <c r="C773" t="str">
        <v>pantoprazol</v>
      </c>
      <c r="D773">
        <f t="shared" si="12"/>
        <v>20</v>
      </c>
      <c r="F773" t="s">
        <v>7202</v>
      </c>
      <c r="G773">
        <v>1</v>
      </c>
    </row>
    <row r="774" spans="1:7" x14ac:dyDescent="0.3">
      <c r="A774" t="s">
        <v>6677</v>
      </c>
      <c r="C774" t="str">
        <v>paracetamol</v>
      </c>
      <c r="D774">
        <f t="shared" si="12"/>
        <v>138</v>
      </c>
      <c r="F774" t="s">
        <v>7307</v>
      </c>
      <c r="G774">
        <v>1</v>
      </c>
    </row>
    <row r="775" spans="1:7" x14ac:dyDescent="0.3">
      <c r="A775" t="s">
        <v>6677</v>
      </c>
      <c r="C775" t="str">
        <v>paracetamol  500mg</v>
      </c>
      <c r="D775">
        <f t="shared" si="12"/>
        <v>1</v>
      </c>
      <c r="F775" t="s">
        <v>6979</v>
      </c>
      <c r="G775">
        <v>1</v>
      </c>
    </row>
    <row r="776" spans="1:7" x14ac:dyDescent="0.3">
      <c r="A776" t="s">
        <v>6677</v>
      </c>
      <c r="C776" t="str">
        <v>paracetamol 250mg</v>
      </c>
      <c r="D776">
        <f t="shared" si="12"/>
        <v>1</v>
      </c>
      <c r="F776" t="s">
        <v>6980</v>
      </c>
      <c r="G776">
        <v>1</v>
      </c>
    </row>
    <row r="777" spans="1:7" x14ac:dyDescent="0.3">
      <c r="A777" t="s">
        <v>6677</v>
      </c>
      <c r="C777" t="str">
        <v>paracetamol 3</v>
      </c>
      <c r="D777">
        <f t="shared" si="12"/>
        <v>2</v>
      </c>
      <c r="F777" t="s">
        <v>2979</v>
      </c>
      <c r="G777">
        <v>1</v>
      </c>
    </row>
    <row r="778" spans="1:7" x14ac:dyDescent="0.3">
      <c r="A778" t="s">
        <v>6677</v>
      </c>
      <c r="C778" t="str">
        <v>paracetamol 300mg</v>
      </c>
      <c r="D778">
        <f t="shared" si="12"/>
        <v>1</v>
      </c>
      <c r="F778" t="s">
        <v>6981</v>
      </c>
      <c r="G778">
        <v>1</v>
      </c>
    </row>
    <row r="779" spans="1:7" x14ac:dyDescent="0.3">
      <c r="A779" t="s">
        <v>6677</v>
      </c>
      <c r="C779" t="str">
        <v>paracetamol 350 mg</v>
      </c>
      <c r="D779">
        <f t="shared" si="12"/>
        <v>1</v>
      </c>
      <c r="F779" t="s">
        <v>6982</v>
      </c>
      <c r="G779">
        <v>1</v>
      </c>
    </row>
    <row r="780" spans="1:7" x14ac:dyDescent="0.3">
      <c r="A780" t="s">
        <v>6677</v>
      </c>
      <c r="C780" t="str">
        <v>paracetamol 3g</v>
      </c>
      <c r="D780">
        <f t="shared" si="12"/>
        <v>2</v>
      </c>
      <c r="F780" t="s">
        <v>695</v>
      </c>
      <c r="G780">
        <v>1</v>
      </c>
    </row>
    <row r="781" spans="1:7" x14ac:dyDescent="0.3">
      <c r="A781" t="s">
        <v>6677</v>
      </c>
      <c r="C781" t="str">
        <v>paracetamol 500 mg</v>
      </c>
      <c r="D781">
        <f t="shared" si="12"/>
        <v>6</v>
      </c>
      <c r="F781" t="s">
        <v>7263</v>
      </c>
      <c r="G781">
        <v>1</v>
      </c>
    </row>
    <row r="782" spans="1:7" x14ac:dyDescent="0.3">
      <c r="A782" t="s">
        <v>6677</v>
      </c>
      <c r="C782" t="str">
        <v>paracetamol 500mg</v>
      </c>
      <c r="D782">
        <f t="shared" si="12"/>
        <v>1</v>
      </c>
      <c r="F782" t="s">
        <v>6781</v>
      </c>
      <c r="G782">
        <v>1</v>
      </c>
    </row>
    <row r="783" spans="1:7" x14ac:dyDescent="0.3">
      <c r="A783" t="s">
        <v>6677</v>
      </c>
      <c r="C783" t="str">
        <v>paracetamol 650 mg</v>
      </c>
      <c r="D783">
        <f t="shared" si="12"/>
        <v>2</v>
      </c>
      <c r="F783" t="s">
        <v>7134</v>
      </c>
      <c r="G783">
        <v>1</v>
      </c>
    </row>
    <row r="784" spans="1:7" x14ac:dyDescent="0.3">
      <c r="A784" t="s">
        <v>6677</v>
      </c>
      <c r="C784" t="str">
        <v>pargeverina</v>
      </c>
      <c r="D784">
        <f t="shared" si="12"/>
        <v>2</v>
      </c>
      <c r="F784" t="s">
        <v>6783</v>
      </c>
      <c r="G784">
        <v>1</v>
      </c>
    </row>
    <row r="785" spans="1:7" x14ac:dyDescent="0.3">
      <c r="A785" t="s">
        <v>6677</v>
      </c>
      <c r="C785" t="str">
        <v>paroxetina</v>
      </c>
      <c r="D785">
        <f t="shared" si="12"/>
        <v>1</v>
      </c>
      <c r="F785" t="s">
        <v>1529</v>
      </c>
      <c r="G785">
        <v>1</v>
      </c>
    </row>
    <row r="786" spans="1:7" x14ac:dyDescent="0.3">
      <c r="A786" t="s">
        <v>6677</v>
      </c>
      <c r="C786" t="str">
        <v>pectina</v>
      </c>
      <c r="D786">
        <f t="shared" si="12"/>
        <v>30</v>
      </c>
      <c r="F786" t="s">
        <v>6784</v>
      </c>
      <c r="G786">
        <v>1</v>
      </c>
    </row>
    <row r="787" spans="1:7" x14ac:dyDescent="0.3">
      <c r="A787" t="s">
        <v>6677</v>
      </c>
      <c r="C787" t="str">
        <v>pentoxifilina</v>
      </c>
      <c r="D787">
        <f t="shared" si="12"/>
        <v>10</v>
      </c>
      <c r="F787" t="s">
        <v>2407</v>
      </c>
      <c r="G787">
        <v>1</v>
      </c>
    </row>
    <row r="788" spans="1:7" x14ac:dyDescent="0.3">
      <c r="A788" t="s">
        <v>6678</v>
      </c>
      <c r="C788" t="str">
        <v>pentoxifylline </v>
      </c>
      <c r="D788">
        <f t="shared" si="12"/>
        <v>1</v>
      </c>
      <c r="F788" t="s">
        <v>1600</v>
      </c>
      <c r="G788">
        <v>1</v>
      </c>
    </row>
    <row r="789" spans="1:7" x14ac:dyDescent="0.3">
      <c r="A789" t="s">
        <v>6678</v>
      </c>
      <c r="C789" t="str">
        <v>perfenazina</v>
      </c>
      <c r="D789">
        <f t="shared" si="12"/>
        <v>2</v>
      </c>
      <c r="F789" t="s">
        <v>2974</v>
      </c>
      <c r="G789">
        <v>1</v>
      </c>
    </row>
    <row r="790" spans="1:7" x14ac:dyDescent="0.3">
      <c r="A790" t="s">
        <v>6678</v>
      </c>
      <c r="C790" t="str">
        <v>perindopril</v>
      </c>
      <c r="D790">
        <f t="shared" si="12"/>
        <v>9</v>
      </c>
      <c r="F790" t="s">
        <v>6984</v>
      </c>
      <c r="G790">
        <v>1</v>
      </c>
    </row>
    <row r="791" spans="1:7" x14ac:dyDescent="0.3">
      <c r="A791" t="s">
        <v>6678</v>
      </c>
      <c r="C791" t="str">
        <v>perindopril 10mg</v>
      </c>
      <c r="D791">
        <f t="shared" si="12"/>
        <v>2</v>
      </c>
      <c r="F791" t="s">
        <v>6789</v>
      </c>
      <c r="G791">
        <v>1</v>
      </c>
    </row>
    <row r="792" spans="1:7" x14ac:dyDescent="0.3">
      <c r="A792" t="s">
        <v>6678</v>
      </c>
      <c r="C792" t="str">
        <v>perindopril and amlodipine </v>
      </c>
      <c r="D792">
        <f t="shared" si="12"/>
        <v>18</v>
      </c>
      <c r="F792" t="s">
        <v>1098</v>
      </c>
      <c r="G792">
        <v>1</v>
      </c>
    </row>
    <row r="793" spans="1:7" x14ac:dyDescent="0.3">
      <c r="A793" t="s">
        <v>6678</v>
      </c>
      <c r="C793" t="str">
        <v>perindopril arginina</v>
      </c>
      <c r="D793">
        <f t="shared" si="12"/>
        <v>1</v>
      </c>
      <c r="F793" t="s">
        <v>6985</v>
      </c>
      <c r="G793">
        <v>1</v>
      </c>
    </row>
    <row r="794" spans="1:7" x14ac:dyDescent="0.3">
      <c r="A794" t="s">
        <v>6678</v>
      </c>
      <c r="C794" t="str">
        <v>perindropil 3</v>
      </c>
      <c r="D794">
        <f t="shared" si="12"/>
        <v>2</v>
      </c>
      <c r="F794" t="s">
        <v>7339</v>
      </c>
      <c r="G794">
        <v>1</v>
      </c>
    </row>
    <row r="795" spans="1:7" x14ac:dyDescent="0.3">
      <c r="A795" t="s">
        <v>6678</v>
      </c>
      <c r="C795" t="str">
        <v>permetrina</v>
      </c>
      <c r="D795">
        <f t="shared" si="12"/>
        <v>1</v>
      </c>
      <c r="F795" t="s">
        <v>6793</v>
      </c>
      <c r="G795">
        <v>1</v>
      </c>
    </row>
    <row r="796" spans="1:7" x14ac:dyDescent="0.3">
      <c r="A796" t="s">
        <v>6678</v>
      </c>
      <c r="C796" t="str">
        <v>peroxido de benzoilo</v>
      </c>
      <c r="D796">
        <f t="shared" si="12"/>
        <v>5</v>
      </c>
      <c r="F796" t="s">
        <v>6794</v>
      </c>
      <c r="G796">
        <v>1</v>
      </c>
    </row>
    <row r="797" spans="1:7" x14ac:dyDescent="0.3">
      <c r="A797" t="s">
        <v>6678</v>
      </c>
      <c r="C797" t="str">
        <v>peróxido de benzoilo</v>
      </c>
      <c r="D797">
        <f t="shared" si="12"/>
        <v>1</v>
      </c>
      <c r="F797" t="s">
        <v>7165</v>
      </c>
      <c r="G797">
        <v>1</v>
      </c>
    </row>
    <row r="798" spans="1:7" x14ac:dyDescent="0.3">
      <c r="A798" t="s">
        <v>7244</v>
      </c>
      <c r="C798" t="str">
        <v>peroxido de benzoilo 2</v>
      </c>
      <c r="D798">
        <f t="shared" si="12"/>
        <v>1</v>
      </c>
      <c r="F798" t="s">
        <v>7135</v>
      </c>
      <c r="G798">
        <v>1</v>
      </c>
    </row>
    <row r="799" spans="1:7" x14ac:dyDescent="0.3">
      <c r="A799" t="s">
        <v>917</v>
      </c>
      <c r="C799" t="str">
        <v>peróxido de hidrógeno</v>
      </c>
      <c r="D799">
        <f t="shared" si="12"/>
        <v>2</v>
      </c>
      <c r="F799" t="s">
        <v>945</v>
      </c>
      <c r="G799">
        <v>1</v>
      </c>
    </row>
    <row r="800" spans="1:7" x14ac:dyDescent="0.3">
      <c r="A800" t="s">
        <v>917</v>
      </c>
      <c r="C800" t="str">
        <v>phenazopyridine</v>
      </c>
      <c r="D800">
        <f t="shared" si="12"/>
        <v>1</v>
      </c>
      <c r="F800" t="s">
        <v>7204</v>
      </c>
      <c r="G800">
        <v>1</v>
      </c>
    </row>
    <row r="801" spans="1:7" x14ac:dyDescent="0.3">
      <c r="A801" t="s">
        <v>6924</v>
      </c>
      <c r="C801" t="str">
        <v>phenylephrine</v>
      </c>
      <c r="D801">
        <f t="shared" si="12"/>
        <v>1</v>
      </c>
      <c r="F801" t="s">
        <v>6799</v>
      </c>
      <c r="G801">
        <v>1</v>
      </c>
    </row>
    <row r="802" spans="1:7" x14ac:dyDescent="0.3">
      <c r="A802" t="s">
        <v>6924</v>
      </c>
      <c r="C802" t="str">
        <v>phenytoin</v>
      </c>
      <c r="D802">
        <f t="shared" si="12"/>
        <v>2</v>
      </c>
      <c r="F802" t="s">
        <v>6801</v>
      </c>
      <c r="G802">
        <v>1</v>
      </c>
    </row>
    <row r="803" spans="1:7" x14ac:dyDescent="0.3">
      <c r="A803" t="s">
        <v>6924</v>
      </c>
      <c r="C803" t="str">
        <v>phloroglucinol </v>
      </c>
      <c r="D803">
        <f t="shared" si="12"/>
        <v>1</v>
      </c>
      <c r="F803" t="s">
        <v>6802</v>
      </c>
      <c r="G803">
        <v>1</v>
      </c>
    </row>
    <row r="804" spans="1:7" x14ac:dyDescent="0.3">
      <c r="A804" t="s">
        <v>6679</v>
      </c>
      <c r="C804" t="str">
        <v>picosulfato de sodio</v>
      </c>
      <c r="D804">
        <f t="shared" si="12"/>
        <v>10</v>
      </c>
      <c r="F804" t="s">
        <v>6988</v>
      </c>
      <c r="G804">
        <v>1</v>
      </c>
    </row>
    <row r="805" spans="1:7" x14ac:dyDescent="0.3">
      <c r="A805" t="s">
        <v>6679</v>
      </c>
      <c r="C805" t="str">
        <v>picosulfato sódico</v>
      </c>
      <c r="D805">
        <f t="shared" si="12"/>
        <v>2</v>
      </c>
      <c r="F805" t="s">
        <v>6989</v>
      </c>
      <c r="G805">
        <v>1</v>
      </c>
    </row>
    <row r="806" spans="1:7" x14ac:dyDescent="0.3">
      <c r="A806" t="s">
        <v>6679</v>
      </c>
      <c r="C806" t="str">
        <v>pidotimod</v>
      </c>
      <c r="D806">
        <f t="shared" si="12"/>
        <v>2</v>
      </c>
      <c r="F806" t="s">
        <v>7169</v>
      </c>
      <c r="G806">
        <v>1</v>
      </c>
    </row>
    <row r="807" spans="1:7" x14ac:dyDescent="0.3">
      <c r="A807" t="s">
        <v>6679</v>
      </c>
      <c r="C807" t="str">
        <v>pimecrolimus</v>
      </c>
      <c r="D807">
        <f t="shared" si="12"/>
        <v>1</v>
      </c>
      <c r="F807" t="s">
        <v>6990</v>
      </c>
      <c r="G807">
        <v>1</v>
      </c>
    </row>
    <row r="808" spans="1:7" x14ac:dyDescent="0.3">
      <c r="A808" t="s">
        <v>6679</v>
      </c>
      <c r="C808" t="str">
        <v>pinaverio 100 mg</v>
      </c>
      <c r="D808">
        <f t="shared" si="12"/>
        <v>2</v>
      </c>
      <c r="F808" t="s">
        <v>7265</v>
      </c>
      <c r="G808">
        <v>1</v>
      </c>
    </row>
    <row r="809" spans="1:7" x14ac:dyDescent="0.3">
      <c r="A809" t="s">
        <v>2273</v>
      </c>
      <c r="C809" t="str">
        <v>pinaverium </v>
      </c>
      <c r="D809">
        <f t="shared" si="12"/>
        <v>5</v>
      </c>
      <c r="F809" t="s">
        <v>7205</v>
      </c>
      <c r="G809">
        <v>1</v>
      </c>
    </row>
    <row r="810" spans="1:7" x14ac:dyDescent="0.3">
      <c r="A810" t="s">
        <v>2273</v>
      </c>
      <c r="C810" t="str">
        <v>pioglitazona</v>
      </c>
      <c r="D810">
        <f t="shared" si="12"/>
        <v>3</v>
      </c>
      <c r="F810" t="s">
        <v>7207</v>
      </c>
      <c r="G810">
        <v>1</v>
      </c>
    </row>
    <row r="811" spans="1:7" x14ac:dyDescent="0.3">
      <c r="A811" t="s">
        <v>2273</v>
      </c>
      <c r="C811" t="str">
        <v>pioglitazona 15mg</v>
      </c>
      <c r="D811">
        <f t="shared" si="12"/>
        <v>6</v>
      </c>
      <c r="F811" t="s">
        <v>7266</v>
      </c>
      <c r="G811">
        <v>1</v>
      </c>
    </row>
    <row r="812" spans="1:7" x14ac:dyDescent="0.3">
      <c r="A812" t="s">
        <v>6925</v>
      </c>
      <c r="C812" t="str">
        <v>pioglitazone </v>
      </c>
      <c r="D812">
        <f t="shared" si="12"/>
        <v>7</v>
      </c>
      <c r="F812" t="s">
        <v>6993</v>
      </c>
      <c r="G812">
        <v>1</v>
      </c>
    </row>
    <row r="813" spans="1:7" x14ac:dyDescent="0.3">
      <c r="A813" t="s">
        <v>6926</v>
      </c>
      <c r="C813" t="str">
        <v>piracetam</v>
      </c>
      <c r="D813">
        <f t="shared" si="12"/>
        <v>2</v>
      </c>
      <c r="F813" t="s">
        <v>7340</v>
      </c>
      <c r="G813">
        <v>1</v>
      </c>
    </row>
    <row r="814" spans="1:7" x14ac:dyDescent="0.3">
      <c r="A814" t="s">
        <v>1754</v>
      </c>
      <c r="C814" t="str">
        <v>piracetam 800 mg</v>
      </c>
      <c r="D814">
        <f t="shared" si="12"/>
        <v>1</v>
      </c>
      <c r="F814" t="s">
        <v>7341</v>
      </c>
      <c r="G814">
        <v>1</v>
      </c>
    </row>
    <row r="815" spans="1:7" x14ac:dyDescent="0.3">
      <c r="A815" t="s">
        <v>1754</v>
      </c>
      <c r="C815" t="str">
        <v>pirantel</v>
      </c>
      <c r="D815">
        <f t="shared" si="12"/>
        <v>1</v>
      </c>
      <c r="F815" t="s">
        <v>7208</v>
      </c>
      <c r="G815">
        <v>1</v>
      </c>
    </row>
    <row r="816" spans="1:7" x14ac:dyDescent="0.3">
      <c r="A816" t="s">
        <v>6680</v>
      </c>
      <c r="C816" t="str">
        <v>piridoxina</v>
      </c>
      <c r="D816">
        <f t="shared" si="12"/>
        <v>32</v>
      </c>
      <c r="F816" t="s">
        <v>6994</v>
      </c>
      <c r="G816">
        <v>1</v>
      </c>
    </row>
    <row r="817" spans="1:7" x14ac:dyDescent="0.3">
      <c r="A817" t="s">
        <v>6680</v>
      </c>
      <c r="C817" t="str">
        <v>piridoxina 5 mg</v>
      </c>
      <c r="D817">
        <f t="shared" si="12"/>
        <v>2</v>
      </c>
      <c r="F817" t="s">
        <v>6995</v>
      </c>
      <c r="G817">
        <v>1</v>
      </c>
    </row>
    <row r="818" spans="1:7" x14ac:dyDescent="0.3">
      <c r="A818" t="s">
        <v>6680</v>
      </c>
      <c r="C818" t="str">
        <v>piridoxina 5mg</v>
      </c>
      <c r="D818">
        <f t="shared" si="12"/>
        <v>1</v>
      </c>
      <c r="F818" t="s">
        <v>7209</v>
      </c>
      <c r="G818">
        <v>1</v>
      </c>
    </row>
    <row r="819" spans="1:7" x14ac:dyDescent="0.3">
      <c r="A819" t="s">
        <v>6680</v>
      </c>
      <c r="C819" t="str">
        <v>piroxicam</v>
      </c>
      <c r="D819">
        <f t="shared" si="12"/>
        <v>23</v>
      </c>
      <c r="F819" t="s">
        <v>531</v>
      </c>
      <c r="G819">
        <v>1</v>
      </c>
    </row>
    <row r="820" spans="1:7" x14ac:dyDescent="0.3">
      <c r="A820" t="s">
        <v>6680</v>
      </c>
      <c r="C820" t="str">
        <v xml:space="preserve">piroxicam </v>
      </c>
      <c r="D820">
        <f t="shared" si="12"/>
        <v>1</v>
      </c>
      <c r="F820" t="s">
        <v>221</v>
      </c>
      <c r="G820">
        <v>1</v>
      </c>
    </row>
    <row r="821" spans="1:7" x14ac:dyDescent="0.3">
      <c r="A821" t="s">
        <v>6680</v>
      </c>
      <c r="C821" t="str">
        <v>piroxicam 0</v>
      </c>
      <c r="D821">
        <f t="shared" si="12"/>
        <v>1</v>
      </c>
      <c r="F821" t="s">
        <v>6810</v>
      </c>
      <c r="G821">
        <v>1</v>
      </c>
    </row>
    <row r="822" spans="1:7" x14ac:dyDescent="0.3">
      <c r="A822" t="s">
        <v>6680</v>
      </c>
      <c r="C822" t="str">
        <v>piroxicam 20mg</v>
      </c>
      <c r="D822">
        <f t="shared" si="12"/>
        <v>1</v>
      </c>
      <c r="F822" t="s">
        <v>26</v>
      </c>
      <c r="G822">
        <v>1</v>
      </c>
    </row>
    <row r="823" spans="1:7" x14ac:dyDescent="0.3">
      <c r="A823" t="s">
        <v>6680</v>
      </c>
      <c r="C823" t="str">
        <v>polimixina b</v>
      </c>
      <c r="D823">
        <f t="shared" si="12"/>
        <v>7</v>
      </c>
      <c r="F823" t="s">
        <v>7210</v>
      </c>
      <c r="G823">
        <v>1</v>
      </c>
    </row>
    <row r="824" spans="1:7" x14ac:dyDescent="0.3">
      <c r="A824" t="s">
        <v>6680</v>
      </c>
      <c r="C824" t="str">
        <v>polividona</v>
      </c>
      <c r="D824">
        <f t="shared" si="12"/>
        <v>2</v>
      </c>
      <c r="F824" t="s">
        <v>7294</v>
      </c>
      <c r="G824">
        <v>1</v>
      </c>
    </row>
    <row r="825" spans="1:7" x14ac:dyDescent="0.3">
      <c r="A825" t="s">
        <v>1933</v>
      </c>
      <c r="C825" t="str">
        <v>povidone-iodine</v>
      </c>
      <c r="D825">
        <f t="shared" si="12"/>
        <v>1</v>
      </c>
      <c r="F825" t="s">
        <v>6996</v>
      </c>
      <c r="G825">
        <v>1</v>
      </c>
    </row>
    <row r="826" spans="1:7" x14ac:dyDescent="0.3">
      <c r="A826" t="s">
        <v>1933</v>
      </c>
      <c r="C826" t="str">
        <v>pramipexol</v>
      </c>
      <c r="D826">
        <f t="shared" si="12"/>
        <v>2</v>
      </c>
      <c r="F826" t="s">
        <v>6813</v>
      </c>
      <c r="G826">
        <v>1</v>
      </c>
    </row>
    <row r="827" spans="1:7" x14ac:dyDescent="0.3">
      <c r="A827" t="s">
        <v>1805</v>
      </c>
      <c r="C827" t="str">
        <v>pravastatin </v>
      </c>
      <c r="D827">
        <f t="shared" si="12"/>
        <v>3</v>
      </c>
      <c r="F827" t="s">
        <v>2193</v>
      </c>
      <c r="G827">
        <v>1</v>
      </c>
    </row>
    <row r="828" spans="1:7" x14ac:dyDescent="0.3">
      <c r="A828" t="s">
        <v>1805</v>
      </c>
      <c r="C828" t="str">
        <v>pravastatina</v>
      </c>
      <c r="D828">
        <f t="shared" si="12"/>
        <v>11</v>
      </c>
      <c r="F828" t="s">
        <v>7148</v>
      </c>
      <c r="G828">
        <v>1</v>
      </c>
    </row>
    <row r="829" spans="1:7" x14ac:dyDescent="0.3">
      <c r="A829" t="s">
        <v>1805</v>
      </c>
      <c r="C829" t="str">
        <v>pravastatina 10mg</v>
      </c>
      <c r="D829">
        <f t="shared" si="12"/>
        <v>2</v>
      </c>
      <c r="F829" t="s">
        <v>7342</v>
      </c>
      <c r="G829">
        <v>1</v>
      </c>
    </row>
    <row r="830" spans="1:7" x14ac:dyDescent="0.3">
      <c r="A830" t="s">
        <v>7055</v>
      </c>
      <c r="C830" t="str">
        <v>prazosin </v>
      </c>
      <c r="D830">
        <f t="shared" si="12"/>
        <v>3</v>
      </c>
      <c r="F830" t="s">
        <v>6997</v>
      </c>
      <c r="G830">
        <v>1</v>
      </c>
    </row>
    <row r="831" spans="1:7" x14ac:dyDescent="0.3">
      <c r="A831" t="s">
        <v>7055</v>
      </c>
      <c r="C831" t="str">
        <v>prazosina</v>
      </c>
      <c r="D831">
        <f t="shared" si="12"/>
        <v>1</v>
      </c>
      <c r="F831" t="s">
        <v>7211</v>
      </c>
      <c r="G831">
        <v>1</v>
      </c>
    </row>
    <row r="832" spans="1:7" x14ac:dyDescent="0.3">
      <c r="A832" t="s">
        <v>7055</v>
      </c>
      <c r="C832" t="str">
        <v>prednisona</v>
      </c>
      <c r="D832">
        <f t="shared" si="12"/>
        <v>10</v>
      </c>
      <c r="F832" t="s">
        <v>6998</v>
      </c>
      <c r="G832">
        <v>1</v>
      </c>
    </row>
    <row r="833" spans="1:7" x14ac:dyDescent="0.3">
      <c r="A833" t="s">
        <v>7055</v>
      </c>
      <c r="C833" t="str">
        <v xml:space="preserve">prednisona </v>
      </c>
      <c r="D833">
        <f t="shared" si="12"/>
        <v>4</v>
      </c>
      <c r="F833" t="s">
        <v>6999</v>
      </c>
      <c r="G833">
        <v>1</v>
      </c>
    </row>
    <row r="834" spans="1:7" x14ac:dyDescent="0.3">
      <c r="A834" t="s">
        <v>7055</v>
      </c>
      <c r="C834" t="str">
        <v>prednisone</v>
      </c>
      <c r="D834">
        <f t="shared" ref="D834:D897" si="13">COUNTIF(A$1:A$4322,C834)</f>
        <v>5</v>
      </c>
      <c r="F834" t="s">
        <v>2652</v>
      </c>
      <c r="G834">
        <v>1</v>
      </c>
    </row>
    <row r="835" spans="1:7" x14ac:dyDescent="0.3">
      <c r="A835" t="s">
        <v>7055</v>
      </c>
      <c r="C835" t="str">
        <v>pregabalin</v>
      </c>
      <c r="D835">
        <f t="shared" si="13"/>
        <v>5</v>
      </c>
      <c r="F835" t="s">
        <v>2610</v>
      </c>
      <c r="G835">
        <v>1</v>
      </c>
    </row>
    <row r="836" spans="1:7" x14ac:dyDescent="0.3">
      <c r="A836" t="s">
        <v>7055</v>
      </c>
      <c r="C836" t="str">
        <v>pregabalina</v>
      </c>
      <c r="D836">
        <f t="shared" si="13"/>
        <v>10</v>
      </c>
      <c r="F836" t="s">
        <v>7127</v>
      </c>
      <c r="G836">
        <v>1</v>
      </c>
    </row>
    <row r="837" spans="1:7" x14ac:dyDescent="0.3">
      <c r="A837" t="s">
        <v>7055</v>
      </c>
      <c r="C837" t="str">
        <v>pregabalina 75 mg</v>
      </c>
      <c r="D837">
        <f t="shared" si="13"/>
        <v>2</v>
      </c>
      <c r="F837" t="s">
        <v>6817</v>
      </c>
      <c r="G837">
        <v>1</v>
      </c>
    </row>
    <row r="838" spans="1:7" x14ac:dyDescent="0.3">
      <c r="A838" t="s">
        <v>7055</v>
      </c>
      <c r="C838" t="str">
        <v>prilocaína</v>
      </c>
      <c r="D838">
        <f t="shared" si="13"/>
        <v>2</v>
      </c>
      <c r="F838" t="s">
        <v>7002</v>
      </c>
      <c r="G838">
        <v>1</v>
      </c>
    </row>
    <row r="839" spans="1:7" x14ac:dyDescent="0.3">
      <c r="A839" t="s">
        <v>7055</v>
      </c>
      <c r="C839" t="str">
        <v>primidone</v>
      </c>
      <c r="D839">
        <f t="shared" si="13"/>
        <v>6</v>
      </c>
      <c r="F839" t="s">
        <v>7093</v>
      </c>
      <c r="G839">
        <v>1</v>
      </c>
    </row>
    <row r="840" spans="1:7" x14ac:dyDescent="0.3">
      <c r="A840" t="s">
        <v>7055</v>
      </c>
      <c r="C840" t="str">
        <v>progesterona</v>
      </c>
      <c r="D840">
        <f t="shared" si="13"/>
        <v>4</v>
      </c>
      <c r="F840" t="s">
        <v>7149</v>
      </c>
      <c r="G840">
        <v>1</v>
      </c>
    </row>
    <row r="841" spans="1:7" x14ac:dyDescent="0.3">
      <c r="A841" t="s">
        <v>7055</v>
      </c>
      <c r="C841" t="str">
        <v>propulsives</v>
      </c>
      <c r="D841">
        <f t="shared" si="13"/>
        <v>1</v>
      </c>
      <c r="F841" t="s">
        <v>7270</v>
      </c>
      <c r="G841">
        <v>1</v>
      </c>
    </row>
    <row r="842" spans="1:7" x14ac:dyDescent="0.3">
      <c r="A842" t="s">
        <v>7055</v>
      </c>
      <c r="C842" t="str">
        <v>proton pump inhibitors</v>
      </c>
      <c r="D842">
        <f t="shared" si="13"/>
        <v>1</v>
      </c>
      <c r="F842" t="s">
        <v>7003</v>
      </c>
      <c r="G842">
        <v>1</v>
      </c>
    </row>
    <row r="843" spans="1:7" x14ac:dyDescent="0.3">
      <c r="A843" t="s">
        <v>7055</v>
      </c>
      <c r="C843" t="str">
        <v>psychostimulants</v>
      </c>
      <c r="D843">
        <f t="shared" si="13"/>
        <v>1</v>
      </c>
      <c r="F843" t="s">
        <v>7213</v>
      </c>
      <c r="G843">
        <v>1</v>
      </c>
    </row>
    <row r="844" spans="1:7" x14ac:dyDescent="0.3">
      <c r="A844" t="s">
        <v>6681</v>
      </c>
      <c r="C844" t="str">
        <v>quetiapina</v>
      </c>
      <c r="D844">
        <f t="shared" si="13"/>
        <v>1</v>
      </c>
      <c r="F844" t="s">
        <v>7344</v>
      </c>
      <c r="G844">
        <v>1</v>
      </c>
    </row>
    <row r="845" spans="1:7" x14ac:dyDescent="0.3">
      <c r="A845" t="s">
        <v>6681</v>
      </c>
      <c r="C845" t="str">
        <v>quetiapine</v>
      </c>
      <c r="D845">
        <f t="shared" si="13"/>
        <v>2</v>
      </c>
      <c r="F845" t="s">
        <v>7004</v>
      </c>
      <c r="G845">
        <v>1</v>
      </c>
    </row>
    <row r="846" spans="1:7" x14ac:dyDescent="0.3">
      <c r="A846" t="s">
        <v>6681</v>
      </c>
      <c r="C846" t="str">
        <v>quimotripsina</v>
      </c>
      <c r="D846">
        <f t="shared" si="13"/>
        <v>2</v>
      </c>
      <c r="F846" t="s">
        <v>7005</v>
      </c>
      <c r="G846">
        <v>1</v>
      </c>
    </row>
    <row r="847" spans="1:7" x14ac:dyDescent="0.3">
      <c r="A847" t="s">
        <v>6681</v>
      </c>
      <c r="C847" t="str">
        <v>quinfamida</v>
      </c>
      <c r="D847">
        <f t="shared" si="13"/>
        <v>6</v>
      </c>
      <c r="F847" t="s">
        <v>7345</v>
      </c>
      <c r="G847">
        <v>1</v>
      </c>
    </row>
    <row r="848" spans="1:7" x14ac:dyDescent="0.3">
      <c r="A848" t="s">
        <v>6927</v>
      </c>
      <c r="C848" t="str">
        <v>raloxifene</v>
      </c>
      <c r="D848">
        <f t="shared" si="13"/>
        <v>1</v>
      </c>
      <c r="F848" t="s">
        <v>7006</v>
      </c>
      <c r="G848">
        <v>1</v>
      </c>
    </row>
    <row r="849" spans="1:7" x14ac:dyDescent="0.3">
      <c r="A849" t="s">
        <v>6927</v>
      </c>
      <c r="C849" t="str">
        <v>raloxifeno 60 mg</v>
      </c>
      <c r="D849">
        <f t="shared" si="13"/>
        <v>1</v>
      </c>
      <c r="F849" t="s">
        <v>7007</v>
      </c>
      <c r="G849">
        <v>1</v>
      </c>
    </row>
    <row r="850" spans="1:7" x14ac:dyDescent="0.3">
      <c r="A850" t="s">
        <v>6682</v>
      </c>
      <c r="C850" t="str">
        <v>ranitidina</v>
      </c>
      <c r="D850">
        <f t="shared" si="13"/>
        <v>3</v>
      </c>
      <c r="F850" t="s">
        <v>7008</v>
      </c>
      <c r="G850">
        <v>1</v>
      </c>
    </row>
    <row r="851" spans="1:7" x14ac:dyDescent="0.3">
      <c r="A851" t="s">
        <v>7245</v>
      </c>
      <c r="C851" t="str">
        <v>ranitidina 150mg</v>
      </c>
      <c r="D851">
        <f t="shared" si="13"/>
        <v>2</v>
      </c>
      <c r="F851" t="s">
        <v>1436</v>
      </c>
      <c r="G851">
        <v>1</v>
      </c>
    </row>
    <row r="852" spans="1:7" x14ac:dyDescent="0.3">
      <c r="A852" t="s">
        <v>7245</v>
      </c>
      <c r="C852" t="str">
        <v>ranitidine </v>
      </c>
      <c r="D852">
        <f t="shared" si="13"/>
        <v>2</v>
      </c>
      <c r="F852" t="s">
        <v>3056</v>
      </c>
      <c r="G852">
        <v>1</v>
      </c>
    </row>
    <row r="853" spans="1:7" x14ac:dyDescent="0.3">
      <c r="A853" t="s">
        <v>7245</v>
      </c>
      <c r="C853" t="str">
        <v>retinoids for topical use in acne</v>
      </c>
      <c r="D853">
        <f t="shared" si="13"/>
        <v>1</v>
      </c>
      <c r="F853" t="s">
        <v>7271</v>
      </c>
      <c r="G853">
        <v>1</v>
      </c>
    </row>
    <row r="854" spans="1:7" x14ac:dyDescent="0.3">
      <c r="A854" t="s">
        <v>7245</v>
      </c>
      <c r="C854" t="str">
        <v>retinol</v>
      </c>
      <c r="D854">
        <f t="shared" si="13"/>
        <v>3</v>
      </c>
      <c r="F854" t="s">
        <v>825</v>
      </c>
      <c r="G854">
        <v>1</v>
      </c>
    </row>
    <row r="855" spans="1:7" x14ac:dyDescent="0.3">
      <c r="A855" t="s">
        <v>95</v>
      </c>
      <c r="C855" t="str">
        <v>retinol 3</v>
      </c>
      <c r="D855">
        <f t="shared" si="13"/>
        <v>1</v>
      </c>
      <c r="F855" t="s">
        <v>7009</v>
      </c>
      <c r="G855">
        <v>1</v>
      </c>
    </row>
    <row r="856" spans="1:7" x14ac:dyDescent="0.3">
      <c r="A856" t="s">
        <v>95</v>
      </c>
      <c r="C856" t="str">
        <v>ribavirina</v>
      </c>
      <c r="D856">
        <f t="shared" si="13"/>
        <v>1</v>
      </c>
      <c r="F856" t="s">
        <v>7272</v>
      </c>
      <c r="G856">
        <v>1</v>
      </c>
    </row>
    <row r="857" spans="1:7" x14ac:dyDescent="0.3">
      <c r="A857" t="s">
        <v>95</v>
      </c>
      <c r="C857" t="str">
        <v>rifaximin </v>
      </c>
      <c r="D857">
        <f t="shared" si="13"/>
        <v>1</v>
      </c>
      <c r="F857" t="s">
        <v>7010</v>
      </c>
      <c r="G857">
        <v>1</v>
      </c>
    </row>
    <row r="858" spans="1:7" x14ac:dyDescent="0.3">
      <c r="A858" t="s">
        <v>95</v>
      </c>
      <c r="C858" t="str">
        <v>rifaximina</v>
      </c>
      <c r="D858">
        <f t="shared" si="13"/>
        <v>2</v>
      </c>
      <c r="F858" t="s">
        <v>7011</v>
      </c>
      <c r="G858">
        <v>1</v>
      </c>
    </row>
    <row r="859" spans="1:7" x14ac:dyDescent="0.3">
      <c r="A859" t="s">
        <v>95</v>
      </c>
      <c r="C859" t="str">
        <v>rimantadine</v>
      </c>
      <c r="D859">
        <f t="shared" si="13"/>
        <v>1</v>
      </c>
      <c r="F859" t="s">
        <v>7012</v>
      </c>
      <c r="G859">
        <v>1</v>
      </c>
    </row>
    <row r="860" spans="1:7" x14ac:dyDescent="0.3">
      <c r="A860" t="s">
        <v>7246</v>
      </c>
      <c r="C860" t="str">
        <v>risperidona</v>
      </c>
      <c r="D860">
        <f t="shared" si="13"/>
        <v>2</v>
      </c>
      <c r="F860" t="s">
        <v>7013</v>
      </c>
      <c r="G860">
        <v>1</v>
      </c>
    </row>
    <row r="861" spans="1:7" x14ac:dyDescent="0.3">
      <c r="A861" t="s">
        <v>1003</v>
      </c>
      <c r="C861" t="str">
        <v>rivaroxabán</v>
      </c>
      <c r="D861">
        <f t="shared" si="13"/>
        <v>9</v>
      </c>
      <c r="F861" t="s">
        <v>7014</v>
      </c>
      <c r="G861">
        <v>1</v>
      </c>
    </row>
    <row r="862" spans="1:7" x14ac:dyDescent="0.3">
      <c r="A862" t="s">
        <v>2551</v>
      </c>
      <c r="C862" t="str">
        <v>rivaroxaban </v>
      </c>
      <c r="D862">
        <f t="shared" si="13"/>
        <v>3</v>
      </c>
      <c r="F862" t="s">
        <v>7214</v>
      </c>
      <c r="G862">
        <v>1</v>
      </c>
    </row>
    <row r="863" spans="1:7" x14ac:dyDescent="0.3">
      <c r="A863" t="s">
        <v>6683</v>
      </c>
      <c r="C863" t="str">
        <v>rosiglitazona</v>
      </c>
      <c r="D863">
        <f t="shared" si="13"/>
        <v>1</v>
      </c>
      <c r="F863" t="s">
        <v>7308</v>
      </c>
      <c r="G863">
        <v>1</v>
      </c>
    </row>
    <row r="864" spans="1:7" x14ac:dyDescent="0.3">
      <c r="A864" t="s">
        <v>6683</v>
      </c>
      <c r="C864" t="str">
        <v>rosuvastatin </v>
      </c>
      <c r="D864">
        <f t="shared" si="13"/>
        <v>10</v>
      </c>
      <c r="F864" t="s">
        <v>711</v>
      </c>
      <c r="G864">
        <v>1</v>
      </c>
    </row>
    <row r="865" spans="1:7" x14ac:dyDescent="0.3">
      <c r="A865" t="s">
        <v>6683</v>
      </c>
      <c r="C865" t="str">
        <v>rosuvastatina</v>
      </c>
      <c r="D865">
        <f t="shared" si="13"/>
        <v>3</v>
      </c>
      <c r="F865" t="s">
        <v>7015</v>
      </c>
      <c r="G865">
        <v>1</v>
      </c>
    </row>
    <row r="866" spans="1:7" x14ac:dyDescent="0.3">
      <c r="A866" t="s">
        <v>6683</v>
      </c>
      <c r="C866" t="str">
        <v>rosuvastatina 10 mg</v>
      </c>
      <c r="D866">
        <f t="shared" si="13"/>
        <v>10</v>
      </c>
      <c r="F866" t="s">
        <v>1717</v>
      </c>
      <c r="G866">
        <v>1</v>
      </c>
    </row>
    <row r="867" spans="1:7" x14ac:dyDescent="0.3">
      <c r="A867" t="s">
        <v>6683</v>
      </c>
      <c r="C867" t="str">
        <v>rupatadina</v>
      </c>
      <c r="D867">
        <f t="shared" si="13"/>
        <v>10</v>
      </c>
      <c r="F867" t="s">
        <v>1681</v>
      </c>
      <c r="G867">
        <v>1</v>
      </c>
    </row>
    <row r="868" spans="1:7" x14ac:dyDescent="0.3">
      <c r="A868" t="s">
        <v>6683</v>
      </c>
      <c r="C868" t="str">
        <v>ruscus aculeatus</v>
      </c>
      <c r="D868">
        <f t="shared" si="13"/>
        <v>2</v>
      </c>
      <c r="F868" t="s">
        <v>7017</v>
      </c>
      <c r="G868">
        <v>1</v>
      </c>
    </row>
    <row r="869" spans="1:7" x14ac:dyDescent="0.3">
      <c r="A869" t="s">
        <v>6683</v>
      </c>
      <c r="C869" t="str">
        <v>salbutamol</v>
      </c>
      <c r="D869">
        <f t="shared" si="13"/>
        <v>9</v>
      </c>
      <c r="F869" t="s">
        <v>7019</v>
      </c>
      <c r="G869">
        <v>1</v>
      </c>
    </row>
    <row r="870" spans="1:7" x14ac:dyDescent="0.3">
      <c r="A870" t="s">
        <v>6683</v>
      </c>
      <c r="C870" t="str">
        <v>salbutamol 2</v>
      </c>
      <c r="D870">
        <f t="shared" si="13"/>
        <v>1</v>
      </c>
      <c r="F870" t="s">
        <v>7347</v>
      </c>
      <c r="G870">
        <v>1</v>
      </c>
    </row>
    <row r="871" spans="1:7" x14ac:dyDescent="0.3">
      <c r="A871" t="s">
        <v>6683</v>
      </c>
      <c r="C871" t="str">
        <v>salbutamol 2mg</v>
      </c>
      <c r="D871">
        <f t="shared" si="13"/>
        <v>3</v>
      </c>
      <c r="F871" t="s">
        <v>6831</v>
      </c>
      <c r="G871">
        <v>1</v>
      </c>
    </row>
    <row r="872" spans="1:7" x14ac:dyDescent="0.3">
      <c r="A872" t="s">
        <v>6683</v>
      </c>
      <c r="C872" t="str">
        <v>salbutamol and ipratropium bromide</v>
      </c>
      <c r="D872">
        <f t="shared" si="13"/>
        <v>1</v>
      </c>
      <c r="F872" t="s">
        <v>900</v>
      </c>
      <c r="G872">
        <v>1</v>
      </c>
    </row>
    <row r="873" spans="1:7" x14ac:dyDescent="0.3">
      <c r="A873" t="s">
        <v>6683</v>
      </c>
      <c r="C873" t="str">
        <v>salmeterol</v>
      </c>
      <c r="D873">
        <f t="shared" si="13"/>
        <v>2</v>
      </c>
      <c r="F873" t="s">
        <v>6833</v>
      </c>
      <c r="G873">
        <v>1</v>
      </c>
    </row>
    <row r="874" spans="1:7" x14ac:dyDescent="0.3">
      <c r="A874" t="s">
        <v>6684</v>
      </c>
      <c r="C874" t="str">
        <v>salmeterol and fluticasone</v>
      </c>
      <c r="D874">
        <f t="shared" si="13"/>
        <v>1</v>
      </c>
      <c r="F874" t="s">
        <v>7020</v>
      </c>
      <c r="G874">
        <v>1</v>
      </c>
    </row>
    <row r="875" spans="1:7" x14ac:dyDescent="0.3">
      <c r="A875" t="s">
        <v>6684</v>
      </c>
      <c r="C875" t="str">
        <v>secnidazol</v>
      </c>
      <c r="D875">
        <f t="shared" si="13"/>
        <v>2</v>
      </c>
      <c r="F875" t="s">
        <v>7021</v>
      </c>
      <c r="G875">
        <v>1</v>
      </c>
    </row>
    <row r="876" spans="1:7" x14ac:dyDescent="0.3">
      <c r="A876" t="s">
        <v>6684</v>
      </c>
      <c r="C876" t="str">
        <v>selective beta-2-adrenoreceptor agonists</v>
      </c>
      <c r="D876">
        <f t="shared" si="13"/>
        <v>3</v>
      </c>
      <c r="F876" t="s">
        <v>7277</v>
      </c>
      <c r="G876">
        <v>1</v>
      </c>
    </row>
    <row r="877" spans="1:7" x14ac:dyDescent="0.3">
      <c r="A877" t="s">
        <v>6684</v>
      </c>
      <c r="C877" t="str">
        <v>senna glycosides </v>
      </c>
      <c r="D877">
        <f t="shared" si="13"/>
        <v>2</v>
      </c>
      <c r="F877" t="s">
        <v>3006</v>
      </c>
      <c r="G877">
        <v>1</v>
      </c>
    </row>
    <row r="878" spans="1:7" x14ac:dyDescent="0.3">
      <c r="A878" t="s">
        <v>6684</v>
      </c>
      <c r="C878" t="str">
        <v>senósidos a-b</v>
      </c>
      <c r="D878">
        <f t="shared" si="13"/>
        <v>13</v>
      </c>
      <c r="F878" t="s">
        <v>7278</v>
      </c>
      <c r="G878">
        <v>1</v>
      </c>
    </row>
    <row r="879" spans="1:7" x14ac:dyDescent="0.3">
      <c r="A879" t="s">
        <v>6684</v>
      </c>
      <c r="C879" t="str">
        <v>senosidos a-b 8</v>
      </c>
      <c r="D879">
        <f t="shared" si="13"/>
        <v>1</v>
      </c>
      <c r="F879" t="s">
        <v>7022</v>
      </c>
      <c r="G879">
        <v>1</v>
      </c>
    </row>
    <row r="880" spans="1:7" x14ac:dyDescent="0.3">
      <c r="A880" t="s">
        <v>6684</v>
      </c>
      <c r="C880" t="str">
        <v>sertralina</v>
      </c>
      <c r="D880">
        <f t="shared" si="13"/>
        <v>2</v>
      </c>
      <c r="F880" t="s">
        <v>6841</v>
      </c>
      <c r="G880">
        <v>1</v>
      </c>
    </row>
    <row r="881" spans="1:7" x14ac:dyDescent="0.3">
      <c r="A881" t="s">
        <v>6684</v>
      </c>
      <c r="C881" t="str">
        <v>sildenafil</v>
      </c>
      <c r="D881">
        <f t="shared" si="13"/>
        <v>2</v>
      </c>
      <c r="F881" t="s">
        <v>7024</v>
      </c>
      <c r="G881">
        <v>1</v>
      </c>
    </row>
    <row r="882" spans="1:7" x14ac:dyDescent="0.3">
      <c r="A882" t="s">
        <v>6684</v>
      </c>
      <c r="C882" t="str">
        <v>simeticona</v>
      </c>
      <c r="D882">
        <f t="shared" si="13"/>
        <v>15</v>
      </c>
      <c r="F882" t="s">
        <v>6624</v>
      </c>
      <c r="G882">
        <v>1</v>
      </c>
    </row>
    <row r="883" spans="1:7" x14ac:dyDescent="0.3">
      <c r="A883" t="s">
        <v>6684</v>
      </c>
      <c r="C883" t="str">
        <v>simeticona metoclopramida</v>
      </c>
      <c r="D883">
        <f t="shared" si="13"/>
        <v>1</v>
      </c>
      <c r="F883" t="s">
        <v>6625</v>
      </c>
      <c r="G883">
        <v>1</v>
      </c>
    </row>
    <row r="884" spans="1:7" x14ac:dyDescent="0.3">
      <c r="A884" t="s">
        <v>6684</v>
      </c>
      <c r="C884" t="str">
        <v>simeticona75mg</v>
      </c>
      <c r="D884">
        <f t="shared" si="13"/>
        <v>1</v>
      </c>
      <c r="F884" t="s">
        <v>7225</v>
      </c>
      <c r="G884">
        <v>1</v>
      </c>
    </row>
    <row r="885" spans="1:7" x14ac:dyDescent="0.3">
      <c r="A885" t="s">
        <v>7125</v>
      </c>
      <c r="C885" t="str">
        <v>simvastatina</v>
      </c>
      <c r="D885">
        <f t="shared" si="13"/>
        <v>3</v>
      </c>
      <c r="F885" t="s">
        <v>6630</v>
      </c>
      <c r="G885">
        <v>1</v>
      </c>
    </row>
    <row r="886" spans="1:7" x14ac:dyDescent="0.3">
      <c r="A886" t="s">
        <v>7125</v>
      </c>
      <c r="C886" t="str">
        <v>sirolimus</v>
      </c>
      <c r="D886">
        <f t="shared" si="13"/>
        <v>3</v>
      </c>
      <c r="F886" t="s">
        <v>7025</v>
      </c>
      <c r="G886">
        <v>1</v>
      </c>
    </row>
    <row r="887" spans="1:7" x14ac:dyDescent="0.3">
      <c r="A887" t="s">
        <v>7125</v>
      </c>
      <c r="C887" t="str">
        <v>sirolimus 1 mg</v>
      </c>
      <c r="D887">
        <f t="shared" si="13"/>
        <v>3</v>
      </c>
      <c r="F887" t="s">
        <v>1163</v>
      </c>
      <c r="G887">
        <v>1</v>
      </c>
    </row>
    <row r="888" spans="1:7" x14ac:dyDescent="0.3">
      <c r="A888" t="s">
        <v>7125</v>
      </c>
      <c r="C888" t="str">
        <v>sitagliptina</v>
      </c>
      <c r="D888">
        <f t="shared" si="13"/>
        <v>1</v>
      </c>
      <c r="F888" t="s">
        <v>6844</v>
      </c>
      <c r="G888">
        <v>1</v>
      </c>
    </row>
    <row r="889" spans="1:7" x14ac:dyDescent="0.3">
      <c r="A889" t="s">
        <v>7125</v>
      </c>
      <c r="C889" t="str">
        <v>snake venom antiserum</v>
      </c>
      <c r="D889">
        <f t="shared" si="13"/>
        <v>1</v>
      </c>
      <c r="F889" t="s">
        <v>7026</v>
      </c>
      <c r="G889">
        <v>1</v>
      </c>
    </row>
    <row r="890" spans="1:7" x14ac:dyDescent="0.3">
      <c r="A890" t="s">
        <v>7125</v>
      </c>
      <c r="C890" t="str">
        <v>solución electrolizada de superoxidación</v>
      </c>
      <c r="D890">
        <f t="shared" si="13"/>
        <v>1</v>
      </c>
      <c r="F890" t="s">
        <v>7027</v>
      </c>
      <c r="G890">
        <v>1</v>
      </c>
    </row>
    <row r="891" spans="1:7" x14ac:dyDescent="0.3">
      <c r="A891" t="s">
        <v>7125</v>
      </c>
      <c r="C891" t="str">
        <v>solución hartmann</v>
      </c>
      <c r="D891">
        <f t="shared" si="13"/>
        <v>1</v>
      </c>
      <c r="F891" t="s">
        <v>7215</v>
      </c>
      <c r="G891">
        <v>1</v>
      </c>
    </row>
    <row r="892" spans="1:7" x14ac:dyDescent="0.3">
      <c r="A892" t="s">
        <v>7125</v>
      </c>
      <c r="C892" t="str">
        <v>spironolactone </v>
      </c>
      <c r="D892">
        <f t="shared" si="13"/>
        <v>1</v>
      </c>
      <c r="F892" t="s">
        <v>7309</v>
      </c>
      <c r="G892">
        <v>1</v>
      </c>
    </row>
    <row r="893" spans="1:7" x14ac:dyDescent="0.3">
      <c r="A893" t="s">
        <v>7125</v>
      </c>
      <c r="C893" t="str">
        <v>subacetato de aluminio</v>
      </c>
      <c r="D893">
        <f t="shared" si="13"/>
        <v>2</v>
      </c>
      <c r="F893" t="s">
        <v>7029</v>
      </c>
      <c r="G893">
        <v>1</v>
      </c>
    </row>
    <row r="894" spans="1:7" x14ac:dyDescent="0.3">
      <c r="A894" t="s">
        <v>7125</v>
      </c>
      <c r="C894" t="str">
        <v>subsalicilato de bismuto</v>
      </c>
      <c r="D894">
        <f t="shared" si="13"/>
        <v>34</v>
      </c>
      <c r="F894" t="s">
        <v>6846</v>
      </c>
      <c r="G894">
        <v>1</v>
      </c>
    </row>
    <row r="895" spans="1:7" x14ac:dyDescent="0.3">
      <c r="A895" t="s">
        <v>7125</v>
      </c>
      <c r="C895" t="str">
        <v>sucralfate </v>
      </c>
      <c r="D895">
        <f t="shared" si="13"/>
        <v>4</v>
      </c>
      <c r="F895" t="s">
        <v>747</v>
      </c>
      <c r="G895">
        <v>1</v>
      </c>
    </row>
    <row r="896" spans="1:7" x14ac:dyDescent="0.3">
      <c r="A896" t="s">
        <v>7125</v>
      </c>
      <c r="C896" t="str">
        <v>sucralfato</v>
      </c>
      <c r="D896">
        <f t="shared" si="13"/>
        <v>9</v>
      </c>
      <c r="F896" t="s">
        <v>7281</v>
      </c>
      <c r="G896">
        <v>1</v>
      </c>
    </row>
    <row r="897" spans="1:7" x14ac:dyDescent="0.3">
      <c r="A897" t="s">
        <v>7125</v>
      </c>
      <c r="C897" t="str">
        <v>sucralfato 1 g</v>
      </c>
      <c r="D897">
        <f t="shared" si="13"/>
        <v>4</v>
      </c>
      <c r="F897" t="s">
        <v>6848</v>
      </c>
      <c r="G897">
        <v>1</v>
      </c>
    </row>
    <row r="898" spans="1:7" x14ac:dyDescent="0.3">
      <c r="A898" t="s">
        <v>7125</v>
      </c>
      <c r="C898" t="str">
        <v>sufametoxazol 4g</v>
      </c>
      <c r="D898">
        <f t="shared" ref="D898:D961" si="14">COUNTIF(A$1:A$4322,C898)</f>
        <v>1</v>
      </c>
      <c r="F898" t="s">
        <v>6849</v>
      </c>
      <c r="G898">
        <v>1</v>
      </c>
    </row>
    <row r="899" spans="1:7" x14ac:dyDescent="0.3">
      <c r="A899" t="s">
        <v>7125</v>
      </c>
      <c r="C899" t="str">
        <v>sulbutiamine </v>
      </c>
      <c r="D899">
        <f t="shared" si="14"/>
        <v>1</v>
      </c>
      <c r="F899" t="s">
        <v>7350</v>
      </c>
      <c r="G899">
        <v>1</v>
      </c>
    </row>
    <row r="900" spans="1:7" x14ac:dyDescent="0.3">
      <c r="A900" t="s">
        <v>7125</v>
      </c>
      <c r="C900" t="str">
        <v>sulfamethoxazole and trimethoprim</v>
      </c>
      <c r="D900">
        <f t="shared" si="14"/>
        <v>1</v>
      </c>
      <c r="F900" t="s">
        <v>1072</v>
      </c>
      <c r="G900">
        <v>1</v>
      </c>
    </row>
    <row r="901" spans="1:7" x14ac:dyDescent="0.3">
      <c r="A901" t="s">
        <v>7125</v>
      </c>
      <c r="C901" t="str">
        <v>sulfametoxazol</v>
      </c>
      <c r="D901">
        <f t="shared" si="14"/>
        <v>29</v>
      </c>
      <c r="F901" t="s">
        <v>7283</v>
      </c>
      <c r="G901">
        <v>1</v>
      </c>
    </row>
    <row r="902" spans="1:7" x14ac:dyDescent="0.3">
      <c r="A902" t="s">
        <v>7125</v>
      </c>
      <c r="C902" t="str">
        <v>sulfatiazol</v>
      </c>
      <c r="D902">
        <f t="shared" si="14"/>
        <v>1</v>
      </c>
      <c r="F902" t="s">
        <v>972</v>
      </c>
      <c r="G902">
        <v>1</v>
      </c>
    </row>
    <row r="903" spans="1:7" x14ac:dyDescent="0.3">
      <c r="A903" t="s">
        <v>7125</v>
      </c>
      <c r="C903" t="str">
        <v>sulfato ferroso</v>
      </c>
      <c r="D903">
        <f t="shared" si="14"/>
        <v>2</v>
      </c>
      <c r="F903" t="s">
        <v>6854</v>
      </c>
      <c r="G903">
        <v>1</v>
      </c>
    </row>
    <row r="904" spans="1:7" x14ac:dyDescent="0.3">
      <c r="A904" t="s">
        <v>7125</v>
      </c>
      <c r="C904" t="str">
        <v>sulfonamides and trimethoprim</v>
      </c>
      <c r="D904">
        <f t="shared" si="14"/>
        <v>1</v>
      </c>
      <c r="F904" t="s">
        <v>7033</v>
      </c>
      <c r="G904">
        <v>1</v>
      </c>
    </row>
    <row r="905" spans="1:7" x14ac:dyDescent="0.3">
      <c r="A905" t="s">
        <v>7125</v>
      </c>
      <c r="C905" t="str">
        <v>sulindaco</v>
      </c>
      <c r="D905">
        <f t="shared" si="14"/>
        <v>3</v>
      </c>
      <c r="F905" t="s">
        <v>6856</v>
      </c>
      <c r="G905">
        <v>1</v>
      </c>
    </row>
    <row r="906" spans="1:7" x14ac:dyDescent="0.3">
      <c r="A906" t="s">
        <v>7125</v>
      </c>
      <c r="C906" t="str">
        <v>tadalafil</v>
      </c>
      <c r="D906">
        <f t="shared" si="14"/>
        <v>1</v>
      </c>
      <c r="F906" t="s">
        <v>7351</v>
      </c>
      <c r="G906">
        <v>1</v>
      </c>
    </row>
    <row r="907" spans="1:7" x14ac:dyDescent="0.3">
      <c r="A907" t="s">
        <v>7125</v>
      </c>
      <c r="C907" t="str">
        <v>tamsulosina</v>
      </c>
      <c r="D907">
        <f t="shared" si="14"/>
        <v>5</v>
      </c>
      <c r="F907" t="s">
        <v>7284</v>
      </c>
      <c r="G907">
        <v>1</v>
      </c>
    </row>
    <row r="908" spans="1:7" x14ac:dyDescent="0.3">
      <c r="A908" t="s">
        <v>7125</v>
      </c>
      <c r="C908" t="str">
        <v>telmisartán</v>
      </c>
      <c r="D908">
        <f t="shared" si="14"/>
        <v>9</v>
      </c>
      <c r="F908" t="s">
        <v>7285</v>
      </c>
      <c r="G908">
        <v>1</v>
      </c>
    </row>
    <row r="909" spans="1:7" x14ac:dyDescent="0.3">
      <c r="A909" t="s">
        <v>7125</v>
      </c>
      <c r="C909" t="str">
        <v>telmisartan 40 mg</v>
      </c>
      <c r="D909">
        <f t="shared" si="14"/>
        <v>1</v>
      </c>
      <c r="F909" t="s">
        <v>7034</v>
      </c>
      <c r="G909">
        <v>1</v>
      </c>
    </row>
    <row r="910" spans="1:7" x14ac:dyDescent="0.3">
      <c r="A910" t="s">
        <v>7125</v>
      </c>
      <c r="C910" t="str">
        <v>telmisartan 80mg</v>
      </c>
      <c r="D910">
        <f t="shared" si="14"/>
        <v>1</v>
      </c>
      <c r="F910" t="s">
        <v>534</v>
      </c>
      <c r="G910">
        <v>1</v>
      </c>
    </row>
    <row r="911" spans="1:7" x14ac:dyDescent="0.3">
      <c r="A911" t="s">
        <v>7125</v>
      </c>
      <c r="C911" t="str">
        <v>telmisartán 80mg</v>
      </c>
      <c r="D911">
        <f t="shared" si="14"/>
        <v>3</v>
      </c>
      <c r="F911" t="s">
        <v>6861</v>
      </c>
      <c r="G911">
        <v>1</v>
      </c>
    </row>
    <row r="912" spans="1:7" x14ac:dyDescent="0.3">
      <c r="A912" t="s">
        <v>7125</v>
      </c>
      <c r="C912" t="str">
        <v>telmisartan and diuretics </v>
      </c>
      <c r="D912">
        <f t="shared" si="14"/>
        <v>10</v>
      </c>
      <c r="F912" t="s">
        <v>6631</v>
      </c>
      <c r="G912">
        <v>1</v>
      </c>
    </row>
    <row r="913" spans="1:7" x14ac:dyDescent="0.3">
      <c r="A913" t="s">
        <v>7125</v>
      </c>
      <c r="C913" t="str">
        <v>telmisartan </v>
      </c>
      <c r="D913">
        <f t="shared" si="14"/>
        <v>3</v>
      </c>
      <c r="F913" t="s">
        <v>6632</v>
      </c>
      <c r="G913">
        <v>1</v>
      </c>
    </row>
    <row r="914" spans="1:7" x14ac:dyDescent="0.3">
      <c r="A914" t="s">
        <v>7125</v>
      </c>
      <c r="C914" t="str">
        <v>tenofovir</v>
      </c>
      <c r="D914">
        <f t="shared" si="14"/>
        <v>7</v>
      </c>
      <c r="F914" t="s">
        <v>7287</v>
      </c>
      <c r="G914">
        <v>1</v>
      </c>
    </row>
    <row r="915" spans="1:7" x14ac:dyDescent="0.3">
      <c r="A915" t="s">
        <v>6928</v>
      </c>
      <c r="C915" t="str">
        <v>teofilina</v>
      </c>
      <c r="D915">
        <f t="shared" si="14"/>
        <v>5</v>
      </c>
      <c r="F915" t="s">
        <v>6865</v>
      </c>
      <c r="G915">
        <v>1</v>
      </c>
    </row>
    <row r="916" spans="1:7" x14ac:dyDescent="0.3">
      <c r="A916" t="s">
        <v>2142</v>
      </c>
      <c r="C916" t="str">
        <v>teofilina 0</v>
      </c>
      <c r="D916">
        <f t="shared" si="14"/>
        <v>1</v>
      </c>
      <c r="F916" t="s">
        <v>1315</v>
      </c>
      <c r="G916">
        <v>1</v>
      </c>
    </row>
    <row r="917" spans="1:7" x14ac:dyDescent="0.3">
      <c r="A917" t="s">
        <v>6685</v>
      </c>
      <c r="C917" t="str">
        <v>terbinafina</v>
      </c>
      <c r="D917">
        <f t="shared" si="14"/>
        <v>9</v>
      </c>
      <c r="F917" t="s">
        <v>7037</v>
      </c>
      <c r="G917">
        <v>1</v>
      </c>
    </row>
    <row r="918" spans="1:7" x14ac:dyDescent="0.3">
      <c r="A918" t="s">
        <v>6685</v>
      </c>
      <c r="C918" t="str">
        <v>tetracilina</v>
      </c>
      <c r="D918">
        <f t="shared" si="14"/>
        <v>1</v>
      </c>
      <c r="F918" t="s">
        <v>6633</v>
      </c>
      <c r="G918">
        <v>1</v>
      </c>
    </row>
    <row r="919" spans="1:7" x14ac:dyDescent="0.3">
      <c r="A919" t="s">
        <v>6685</v>
      </c>
      <c r="C919" t="str">
        <v>theophylline</v>
      </c>
      <c r="D919">
        <f t="shared" si="14"/>
        <v>3</v>
      </c>
      <c r="F919" t="s">
        <v>7288</v>
      </c>
      <c r="G919">
        <v>1</v>
      </c>
    </row>
    <row r="920" spans="1:7" x14ac:dyDescent="0.3">
      <c r="A920" t="s">
        <v>6929</v>
      </c>
      <c r="C920" t="str">
        <v>tiamina</v>
      </c>
      <c r="D920">
        <f t="shared" si="14"/>
        <v>24</v>
      </c>
      <c r="F920" t="s">
        <v>6867</v>
      </c>
      <c r="G920">
        <v>1</v>
      </c>
    </row>
    <row r="921" spans="1:7" x14ac:dyDescent="0.3">
      <c r="A921" t="s">
        <v>1519</v>
      </c>
      <c r="C921" t="str">
        <v>tiamina 100 mg</v>
      </c>
      <c r="D921">
        <f t="shared" si="14"/>
        <v>2</v>
      </c>
      <c r="F921" t="s">
        <v>1275</v>
      </c>
      <c r="G921">
        <v>1</v>
      </c>
    </row>
    <row r="922" spans="1:7" x14ac:dyDescent="0.3">
      <c r="A922" t="s">
        <v>6686</v>
      </c>
      <c r="C922" t="str">
        <v>tiamina 10mg</v>
      </c>
      <c r="D922">
        <f t="shared" si="14"/>
        <v>1</v>
      </c>
      <c r="F922" t="s">
        <v>3073</v>
      </c>
      <c r="G922">
        <v>1</v>
      </c>
    </row>
    <row r="923" spans="1:7" x14ac:dyDescent="0.3">
      <c r="A923" t="s">
        <v>6686</v>
      </c>
      <c r="C923" t="str">
        <v>ticarcillin and beta-lactamase inhibitor</v>
      </c>
      <c r="D923">
        <f t="shared" si="14"/>
        <v>1</v>
      </c>
      <c r="F923" t="s">
        <v>7163</v>
      </c>
      <c r="G923">
        <v>1</v>
      </c>
    </row>
    <row r="924" spans="1:7" x14ac:dyDescent="0.3">
      <c r="A924" t="s">
        <v>6686</v>
      </c>
      <c r="C924" t="str">
        <v>timolol</v>
      </c>
      <c r="D924">
        <f t="shared" si="14"/>
        <v>2</v>
      </c>
      <c r="F924" t="s">
        <v>7352</v>
      </c>
      <c r="G924">
        <v>1</v>
      </c>
    </row>
    <row r="925" spans="1:7" x14ac:dyDescent="0.3">
      <c r="A925" t="s">
        <v>6686</v>
      </c>
      <c r="C925" t="str">
        <v>tiotropio</v>
      </c>
      <c r="D925">
        <f t="shared" si="14"/>
        <v>1</v>
      </c>
      <c r="F925" t="s">
        <v>1429</v>
      </c>
      <c r="G925">
        <v>1</v>
      </c>
    </row>
    <row r="926" spans="1:7" x14ac:dyDescent="0.3">
      <c r="A926" t="s">
        <v>6686</v>
      </c>
      <c r="C926" t="str">
        <v>tizanidina</v>
      </c>
      <c r="D926">
        <f t="shared" si="14"/>
        <v>2</v>
      </c>
      <c r="F926" t="s">
        <v>908</v>
      </c>
      <c r="G926">
        <v>1</v>
      </c>
    </row>
    <row r="927" spans="1:7" x14ac:dyDescent="0.3">
      <c r="A927" t="s">
        <v>6686</v>
      </c>
      <c r="C927" t="str">
        <v>tizanidine</v>
      </c>
      <c r="D927">
        <f t="shared" si="14"/>
        <v>1</v>
      </c>
      <c r="F927" t="s">
        <v>7289</v>
      </c>
      <c r="G927">
        <v>1</v>
      </c>
    </row>
    <row r="928" spans="1:7" x14ac:dyDescent="0.3">
      <c r="A928" t="s">
        <v>6686</v>
      </c>
      <c r="C928" t="str">
        <v>tobramacina</v>
      </c>
      <c r="D928">
        <f t="shared" si="14"/>
        <v>2</v>
      </c>
      <c r="F928" t="s">
        <v>6877</v>
      </c>
      <c r="G928">
        <v>1</v>
      </c>
    </row>
    <row r="929" spans="1:7" x14ac:dyDescent="0.3">
      <c r="A929" t="s">
        <v>6686</v>
      </c>
      <c r="C929" t="str">
        <v>tobramycin</v>
      </c>
      <c r="D929">
        <f t="shared" si="14"/>
        <v>2</v>
      </c>
      <c r="F929" t="s">
        <v>7223</v>
      </c>
      <c r="G929">
        <v>1</v>
      </c>
    </row>
    <row r="930" spans="1:7" x14ac:dyDescent="0.3">
      <c r="A930" t="s">
        <v>6686</v>
      </c>
      <c r="C930" t="str">
        <v>tocofersolán</v>
      </c>
      <c r="D930">
        <f t="shared" si="14"/>
        <v>5</v>
      </c>
      <c r="F930" t="s">
        <v>7168</v>
      </c>
      <c r="G930">
        <v>1</v>
      </c>
    </row>
    <row r="931" spans="1:7" x14ac:dyDescent="0.3">
      <c r="A931" t="s">
        <v>6686</v>
      </c>
      <c r="C931" t="str">
        <v>tolperisona</v>
      </c>
      <c r="D931">
        <f t="shared" si="14"/>
        <v>1</v>
      </c>
      <c r="F931" t="s">
        <v>2885</v>
      </c>
      <c r="G931">
        <v>1</v>
      </c>
    </row>
    <row r="932" spans="1:7" x14ac:dyDescent="0.3">
      <c r="A932" t="s">
        <v>2898</v>
      </c>
      <c r="C932" t="str">
        <v>tolterodina</v>
      </c>
      <c r="D932">
        <f t="shared" si="14"/>
        <v>1</v>
      </c>
      <c r="F932" t="s">
        <v>6879</v>
      </c>
      <c r="G932">
        <v>1</v>
      </c>
    </row>
    <row r="933" spans="1:7" x14ac:dyDescent="0.3">
      <c r="A933" t="s">
        <v>2898</v>
      </c>
      <c r="C933" t="str">
        <v>tolterodine</v>
      </c>
      <c r="D933">
        <f t="shared" si="14"/>
        <v>1</v>
      </c>
      <c r="F933" t="s">
        <v>6880</v>
      </c>
      <c r="G933">
        <v>1</v>
      </c>
    </row>
    <row r="934" spans="1:7" x14ac:dyDescent="0.3">
      <c r="A934" t="s">
        <v>2898</v>
      </c>
      <c r="C934" t="str">
        <v>topiramate</v>
      </c>
      <c r="D934">
        <f t="shared" si="14"/>
        <v>1</v>
      </c>
      <c r="F934" t="s">
        <v>1819</v>
      </c>
      <c r="G934">
        <v>1</v>
      </c>
    </row>
    <row r="935" spans="1:7" x14ac:dyDescent="0.3">
      <c r="A935" t="s">
        <v>2898</v>
      </c>
      <c r="C935" t="str">
        <v>topiramato 25mg</v>
      </c>
      <c r="D935">
        <f t="shared" si="14"/>
        <v>1</v>
      </c>
      <c r="F935" t="s">
        <v>7218</v>
      </c>
      <c r="G935">
        <v>1</v>
      </c>
    </row>
    <row r="936" spans="1:7" x14ac:dyDescent="0.3">
      <c r="A936" t="s">
        <v>2898</v>
      </c>
      <c r="C936" t="str">
        <v>tramadol</v>
      </c>
      <c r="D936">
        <f t="shared" si="14"/>
        <v>12</v>
      </c>
      <c r="F936" t="s">
        <v>2937</v>
      </c>
      <c r="G936">
        <v>1</v>
      </c>
    </row>
    <row r="937" spans="1:7" x14ac:dyDescent="0.3">
      <c r="A937" t="s">
        <v>2898</v>
      </c>
      <c r="C937" t="str">
        <v>tramadol and other non-opioid analgesics</v>
      </c>
      <c r="D937">
        <f t="shared" si="14"/>
        <v>2</v>
      </c>
      <c r="F937" t="s">
        <v>1089</v>
      </c>
      <c r="G937">
        <v>1</v>
      </c>
    </row>
    <row r="938" spans="1:7" x14ac:dyDescent="0.3">
      <c r="A938" t="s">
        <v>2898</v>
      </c>
      <c r="C938" t="str">
        <v>tretinoin</v>
      </c>
      <c r="D938">
        <f t="shared" si="14"/>
        <v>1</v>
      </c>
      <c r="F938" t="s">
        <v>7061</v>
      </c>
      <c r="G938">
        <v>1</v>
      </c>
    </row>
    <row r="939" spans="1:7" x14ac:dyDescent="0.3">
      <c r="A939" t="s">
        <v>7090</v>
      </c>
      <c r="C939" t="str">
        <v>tretinoina</v>
      </c>
      <c r="D939">
        <f t="shared" si="14"/>
        <v>1</v>
      </c>
      <c r="F939" t="s">
        <v>6635</v>
      </c>
      <c r="G939">
        <v>1</v>
      </c>
    </row>
    <row r="940" spans="1:7" x14ac:dyDescent="0.3">
      <c r="A940" t="s">
        <v>7320</v>
      </c>
      <c r="C940" t="str">
        <v>trimebutina</v>
      </c>
      <c r="D940">
        <f t="shared" si="14"/>
        <v>20</v>
      </c>
      <c r="F940" t="s">
        <v>6885</v>
      </c>
      <c r="G940">
        <v>1</v>
      </c>
    </row>
    <row r="941" spans="1:7" x14ac:dyDescent="0.3">
      <c r="A941" t="s">
        <v>6687</v>
      </c>
      <c r="C941" t="str">
        <v xml:space="preserve">trimebutina 200mg </v>
      </c>
      <c r="D941">
        <f t="shared" si="14"/>
        <v>1</v>
      </c>
      <c r="F941" t="s">
        <v>7042</v>
      </c>
      <c r="G941">
        <v>1</v>
      </c>
    </row>
    <row r="942" spans="1:7" x14ac:dyDescent="0.3">
      <c r="A942" t="s">
        <v>7129</v>
      </c>
      <c r="C942" t="str">
        <v>trimebutina 2g</v>
      </c>
      <c r="D942">
        <f t="shared" si="14"/>
        <v>1</v>
      </c>
      <c r="F942" t="s">
        <v>7219</v>
      </c>
      <c r="G942">
        <v>1</v>
      </c>
    </row>
    <row r="943" spans="1:7" x14ac:dyDescent="0.3">
      <c r="A943" t="s">
        <v>6688</v>
      </c>
      <c r="C943" t="str">
        <v>trimebutina 300mg</v>
      </c>
      <c r="D943">
        <f t="shared" si="14"/>
        <v>1</v>
      </c>
      <c r="F943" t="s">
        <v>7353</v>
      </c>
      <c r="G943">
        <v>1</v>
      </c>
    </row>
    <row r="944" spans="1:7" x14ac:dyDescent="0.3">
      <c r="A944" t="s">
        <v>7154</v>
      </c>
      <c r="C944" t="str">
        <v>trimebutine </v>
      </c>
      <c r="D944">
        <f t="shared" si="14"/>
        <v>5</v>
      </c>
      <c r="F944" t="s">
        <v>6889</v>
      </c>
      <c r="G944">
        <v>1</v>
      </c>
    </row>
    <row r="945" spans="1:7" x14ac:dyDescent="0.3">
      <c r="A945" t="s">
        <v>7092</v>
      </c>
      <c r="C945" t="str">
        <v>trimegestona</v>
      </c>
      <c r="D945">
        <f t="shared" si="14"/>
        <v>5</v>
      </c>
      <c r="F945" t="s">
        <v>7221</v>
      </c>
      <c r="G945">
        <v>1</v>
      </c>
    </row>
    <row r="946" spans="1:7" x14ac:dyDescent="0.3">
      <c r="A946" t="s">
        <v>2986</v>
      </c>
      <c r="C946" t="str">
        <v>trimethyldiphenylpropylamine </v>
      </c>
      <c r="D946">
        <f t="shared" si="14"/>
        <v>1</v>
      </c>
      <c r="F946" t="s">
        <v>2219</v>
      </c>
      <c r="G946">
        <v>1</v>
      </c>
    </row>
    <row r="947" spans="1:7" x14ac:dyDescent="0.3">
      <c r="A947" t="s">
        <v>2101</v>
      </c>
      <c r="C947" t="str">
        <v>trimetilflorgucinol</v>
      </c>
      <c r="D947">
        <f t="shared" si="14"/>
        <v>1</v>
      </c>
      <c r="F947" t="s">
        <v>6890</v>
      </c>
      <c r="G947">
        <v>1</v>
      </c>
    </row>
    <row r="948" spans="1:7" x14ac:dyDescent="0.3">
      <c r="A948" t="s">
        <v>2101</v>
      </c>
      <c r="C948" t="str">
        <v>trimetilfloroglucinol</v>
      </c>
      <c r="D948">
        <f t="shared" si="14"/>
        <v>3</v>
      </c>
      <c r="F948" t="s">
        <v>1852</v>
      </c>
      <c r="G948">
        <v>1</v>
      </c>
    </row>
    <row r="949" spans="1:7" x14ac:dyDescent="0.3">
      <c r="A949" t="s">
        <v>2101</v>
      </c>
      <c r="C949" t="str">
        <v>trimetilfloroglucinol 80mg</v>
      </c>
      <c r="D949">
        <f t="shared" si="14"/>
        <v>1</v>
      </c>
      <c r="F949" t="s">
        <v>7170</v>
      </c>
      <c r="G949">
        <v>1</v>
      </c>
    </row>
    <row r="950" spans="1:7" x14ac:dyDescent="0.3">
      <c r="A950" t="s">
        <v>6930</v>
      </c>
      <c r="C950" t="str">
        <v>trimetoprim</v>
      </c>
      <c r="D950">
        <f t="shared" si="14"/>
        <v>29</v>
      </c>
      <c r="F950" t="s">
        <v>7044</v>
      </c>
      <c r="G950">
        <v>1</v>
      </c>
    </row>
    <row r="951" spans="1:7" x14ac:dyDescent="0.3">
      <c r="A951" t="s">
        <v>547</v>
      </c>
      <c r="C951" t="str">
        <v>trimetoprima</v>
      </c>
      <c r="D951">
        <f t="shared" si="14"/>
        <v>1</v>
      </c>
      <c r="F951" t="s">
        <v>319</v>
      </c>
      <c r="G951">
        <v>1</v>
      </c>
    </row>
    <row r="952" spans="1:7" x14ac:dyDescent="0.3">
      <c r="A952" t="s">
        <v>6931</v>
      </c>
      <c r="C952" t="str">
        <v>trinitrato de glicerilo</v>
      </c>
      <c r="D952">
        <f t="shared" si="14"/>
        <v>2</v>
      </c>
      <c r="F952" t="s">
        <v>599</v>
      </c>
      <c r="G952">
        <v>1</v>
      </c>
    </row>
    <row r="953" spans="1:7" x14ac:dyDescent="0.3">
      <c r="A953" t="s">
        <v>1590</v>
      </c>
      <c r="C953" t="str">
        <v>tripsina</v>
      </c>
      <c r="D953">
        <f t="shared" si="14"/>
        <v>2</v>
      </c>
      <c r="F953" t="s">
        <v>7045</v>
      </c>
      <c r="G953">
        <v>1</v>
      </c>
    </row>
    <row r="954" spans="1:7" x14ac:dyDescent="0.3">
      <c r="A954" t="s">
        <v>1590</v>
      </c>
      <c r="C954" t="str">
        <v>undecilenato de zinc</v>
      </c>
      <c r="D954">
        <f t="shared" si="14"/>
        <v>1</v>
      </c>
      <c r="F954" t="s">
        <v>1059</v>
      </c>
      <c r="G954">
        <v>1</v>
      </c>
    </row>
    <row r="955" spans="1:7" x14ac:dyDescent="0.3">
      <c r="A955" t="s">
        <v>6689</v>
      </c>
      <c r="C955" t="str">
        <v>uridin-5-monofosfato disódico</v>
      </c>
      <c r="D955">
        <f t="shared" si="14"/>
        <v>1</v>
      </c>
      <c r="F955" t="s">
        <v>7046</v>
      </c>
      <c r="G955">
        <v>1</v>
      </c>
    </row>
    <row r="956" spans="1:7" x14ac:dyDescent="0.3">
      <c r="A956" t="s">
        <v>6689</v>
      </c>
      <c r="C956" t="str">
        <v>uridín-5-trifosfato trisódico</v>
      </c>
      <c r="D956">
        <f t="shared" si="14"/>
        <v>1</v>
      </c>
      <c r="F956" t="s">
        <v>7222</v>
      </c>
      <c r="G956">
        <v>1</v>
      </c>
    </row>
    <row r="957" spans="1:7" x14ac:dyDescent="0.3">
      <c r="A957" t="s">
        <v>6689</v>
      </c>
      <c r="C957" t="str">
        <v>ursodeoxycholic acid </v>
      </c>
      <c r="D957">
        <f t="shared" si="14"/>
        <v>3</v>
      </c>
      <c r="F957" t="s">
        <v>7047</v>
      </c>
      <c r="G957">
        <v>1</v>
      </c>
    </row>
    <row r="958" spans="1:7" x14ac:dyDescent="0.3">
      <c r="A958" t="s">
        <v>6689</v>
      </c>
      <c r="C958" t="str">
        <v>valproato de magensio</v>
      </c>
      <c r="D958">
        <f t="shared" si="14"/>
        <v>1</v>
      </c>
      <c r="F958" t="s">
        <v>7048</v>
      </c>
      <c r="G958">
        <v>1</v>
      </c>
    </row>
    <row r="959" spans="1:7" x14ac:dyDescent="0.3">
      <c r="A959" t="s">
        <v>6689</v>
      </c>
      <c r="C959" t="str">
        <v>valsartan</v>
      </c>
      <c r="D959">
        <f t="shared" si="14"/>
        <v>1</v>
      </c>
      <c r="F959" t="s">
        <v>60</v>
      </c>
      <c r="G959">
        <v>1</v>
      </c>
    </row>
    <row r="960" spans="1:7" x14ac:dyDescent="0.3">
      <c r="A960" t="s">
        <v>6689</v>
      </c>
      <c r="C960" t="str">
        <v>valsartán</v>
      </c>
      <c r="D960">
        <f t="shared" si="14"/>
        <v>6</v>
      </c>
      <c r="F960" t="s">
        <v>7121</v>
      </c>
      <c r="G960">
        <v>1</v>
      </c>
    </row>
    <row r="961" spans="1:7" x14ac:dyDescent="0.3">
      <c r="A961" t="s">
        <v>6689</v>
      </c>
      <c r="C961" t="str">
        <v>venlafaxina</v>
      </c>
      <c r="D961">
        <f t="shared" si="14"/>
        <v>6</v>
      </c>
      <c r="F961" t="s">
        <v>7197</v>
      </c>
      <c r="G961">
        <v>1</v>
      </c>
    </row>
    <row r="962" spans="1:7" x14ac:dyDescent="0.3">
      <c r="A962" t="s">
        <v>6689</v>
      </c>
      <c r="C962" t="str">
        <v>verapamilo</v>
      </c>
      <c r="D962">
        <f t="shared" ref="D962:D971" si="15">COUNTIF(A$1:A$4322,C962)</f>
        <v>4</v>
      </c>
      <c r="F962" t="s">
        <v>7354</v>
      </c>
      <c r="G962">
        <v>1</v>
      </c>
    </row>
    <row r="963" spans="1:7" x14ac:dyDescent="0.3">
      <c r="A963" t="s">
        <v>6689</v>
      </c>
      <c r="C963" t="str">
        <v>vildagliptina</v>
      </c>
      <c r="D963">
        <f t="shared" si="15"/>
        <v>10</v>
      </c>
      <c r="F963" t="s">
        <v>7064</v>
      </c>
      <c r="G963">
        <v>1</v>
      </c>
    </row>
    <row r="964" spans="1:7" x14ac:dyDescent="0.3">
      <c r="A964" t="s">
        <v>6689</v>
      </c>
      <c r="C964" t="str">
        <v>vitamin a and d in combination</v>
      </c>
      <c r="D964">
        <f t="shared" si="15"/>
        <v>1</v>
      </c>
      <c r="F964" t="s">
        <v>7096</v>
      </c>
      <c r="G964">
        <v>1</v>
      </c>
    </row>
    <row r="965" spans="1:7" x14ac:dyDescent="0.3">
      <c r="A965" t="s">
        <v>6689</v>
      </c>
      <c r="C965" t="str">
        <v>vitamin b1 in combination with vitamin b6 and or vitamin b12</v>
      </c>
      <c r="D965">
        <f t="shared" si="15"/>
        <v>2</v>
      </c>
      <c r="F965" t="s">
        <v>7097</v>
      </c>
      <c r="G965">
        <v>1</v>
      </c>
    </row>
    <row r="966" spans="1:7" x14ac:dyDescent="0.3">
      <c r="A966" t="s">
        <v>6689</v>
      </c>
      <c r="C966" t="str">
        <v>vitamin b-complex</v>
      </c>
      <c r="D966">
        <f t="shared" si="15"/>
        <v>1</v>
      </c>
      <c r="F966" t="s">
        <v>6896</v>
      </c>
      <c r="G966">
        <v>1</v>
      </c>
    </row>
    <row r="967" spans="1:7" x14ac:dyDescent="0.3">
      <c r="A967" t="s">
        <v>6689</v>
      </c>
      <c r="C967" t="str">
        <v>vitamina c 2000 mg</v>
      </c>
      <c r="D967">
        <f t="shared" si="15"/>
        <v>1</v>
      </c>
      <c r="F967" t="s">
        <v>7292</v>
      </c>
      <c r="G967">
        <v>1</v>
      </c>
    </row>
    <row r="968" spans="1:7" x14ac:dyDescent="0.3">
      <c r="A968" t="s">
        <v>6689</v>
      </c>
      <c r="C968" t="str">
        <v>vitaminas</v>
      </c>
      <c r="D968">
        <f t="shared" si="15"/>
        <v>1</v>
      </c>
      <c r="F968" t="s">
        <v>6636</v>
      </c>
      <c r="G968">
        <v>1</v>
      </c>
    </row>
    <row r="969" spans="1:7" x14ac:dyDescent="0.3">
      <c r="A969" t="s">
        <v>6689</v>
      </c>
      <c r="C969" t="str">
        <v>zolmitriptano</v>
      </c>
      <c r="D969">
        <f t="shared" si="15"/>
        <v>11</v>
      </c>
      <c r="F969" t="s">
        <v>7293</v>
      </c>
      <c r="G969">
        <v>1</v>
      </c>
    </row>
    <row r="970" spans="1:7" x14ac:dyDescent="0.3">
      <c r="A970" t="s">
        <v>6689</v>
      </c>
      <c r="C970" t="str">
        <v>zolpidem</v>
      </c>
      <c r="D970">
        <f t="shared" si="15"/>
        <v>3</v>
      </c>
      <c r="F970" t="s">
        <v>7049</v>
      </c>
      <c r="G970">
        <v>1</v>
      </c>
    </row>
    <row r="971" spans="1:7" x14ac:dyDescent="0.3">
      <c r="A971" t="s">
        <v>6689</v>
      </c>
      <c r="C971" t="str">
        <v>zuclopentixol</v>
      </c>
      <c r="D971">
        <f t="shared" si="15"/>
        <v>6</v>
      </c>
      <c r="F971" t="s">
        <v>7224</v>
      </c>
      <c r="G971">
        <v>1</v>
      </c>
    </row>
    <row r="972" spans="1:7" x14ac:dyDescent="0.3">
      <c r="A972" t="s">
        <v>1970</v>
      </c>
    </row>
    <row r="973" spans="1:7" x14ac:dyDescent="0.3">
      <c r="A973" t="s">
        <v>6690</v>
      </c>
    </row>
    <row r="974" spans="1:7" x14ac:dyDescent="0.3">
      <c r="A974" t="s">
        <v>6690</v>
      </c>
    </row>
    <row r="975" spans="1:7" x14ac:dyDescent="0.3">
      <c r="A975" t="s">
        <v>6690</v>
      </c>
    </row>
    <row r="976" spans="1:7" x14ac:dyDescent="0.3">
      <c r="A976" t="s">
        <v>6690</v>
      </c>
    </row>
    <row r="977" spans="1:1" x14ac:dyDescent="0.3">
      <c r="A977" t="s">
        <v>6690</v>
      </c>
    </row>
    <row r="978" spans="1:1" x14ac:dyDescent="0.3">
      <c r="A978" t="s">
        <v>6690</v>
      </c>
    </row>
    <row r="979" spans="1:1" x14ac:dyDescent="0.3">
      <c r="A979" t="s">
        <v>6691</v>
      </c>
    </row>
    <row r="980" spans="1:1" x14ac:dyDescent="0.3">
      <c r="A980" t="s">
        <v>6692</v>
      </c>
    </row>
    <row r="981" spans="1:1" x14ac:dyDescent="0.3">
      <c r="A981" t="s">
        <v>6692</v>
      </c>
    </row>
    <row r="982" spans="1:1" x14ac:dyDescent="0.3">
      <c r="A982" t="s">
        <v>6692</v>
      </c>
    </row>
    <row r="983" spans="1:1" x14ac:dyDescent="0.3">
      <c r="A983" t="s">
        <v>6692</v>
      </c>
    </row>
    <row r="984" spans="1:1" x14ac:dyDescent="0.3">
      <c r="A984" t="s">
        <v>6692</v>
      </c>
    </row>
    <row r="985" spans="1:1" x14ac:dyDescent="0.3">
      <c r="A985" t="s">
        <v>6692</v>
      </c>
    </row>
    <row r="986" spans="1:1" x14ac:dyDescent="0.3">
      <c r="A986" t="s">
        <v>6692</v>
      </c>
    </row>
    <row r="987" spans="1:1" x14ac:dyDescent="0.3">
      <c r="A987" t="s">
        <v>6692</v>
      </c>
    </row>
    <row r="988" spans="1:1" x14ac:dyDescent="0.3">
      <c r="A988" t="s">
        <v>6692</v>
      </c>
    </row>
    <row r="989" spans="1:1" x14ac:dyDescent="0.3">
      <c r="A989" t="s">
        <v>6692</v>
      </c>
    </row>
    <row r="990" spans="1:1" x14ac:dyDescent="0.3">
      <c r="A990" t="s">
        <v>6932</v>
      </c>
    </row>
    <row r="991" spans="1:1" x14ac:dyDescent="0.3">
      <c r="A991" t="s">
        <v>6932</v>
      </c>
    </row>
    <row r="992" spans="1:1" x14ac:dyDescent="0.3">
      <c r="A992" t="s">
        <v>6932</v>
      </c>
    </row>
    <row r="993" spans="1:1" x14ac:dyDescent="0.3">
      <c r="A993" t="s">
        <v>562</v>
      </c>
    </row>
    <row r="994" spans="1:1" x14ac:dyDescent="0.3">
      <c r="A994" t="s">
        <v>562</v>
      </c>
    </row>
    <row r="995" spans="1:1" x14ac:dyDescent="0.3">
      <c r="A995" t="s">
        <v>562</v>
      </c>
    </row>
    <row r="996" spans="1:1" x14ac:dyDescent="0.3">
      <c r="A996" t="s">
        <v>562</v>
      </c>
    </row>
    <row r="997" spans="1:1" x14ac:dyDescent="0.3">
      <c r="A997" t="s">
        <v>6693</v>
      </c>
    </row>
    <row r="998" spans="1:1" x14ac:dyDescent="0.3">
      <c r="A998" t="s">
        <v>6693</v>
      </c>
    </row>
    <row r="999" spans="1:1" x14ac:dyDescent="0.3">
      <c r="A999" t="s">
        <v>6693</v>
      </c>
    </row>
    <row r="1000" spans="1:1" x14ac:dyDescent="0.3">
      <c r="A1000" t="s">
        <v>554</v>
      </c>
    </row>
    <row r="1001" spans="1:1" x14ac:dyDescent="0.3">
      <c r="A1001" t="s">
        <v>6694</v>
      </c>
    </row>
    <row r="1002" spans="1:1" x14ac:dyDescent="0.3">
      <c r="A1002" t="s">
        <v>1623</v>
      </c>
    </row>
    <row r="1003" spans="1:1" x14ac:dyDescent="0.3">
      <c r="A1003" t="s">
        <v>1623</v>
      </c>
    </row>
    <row r="1004" spans="1:1" x14ac:dyDescent="0.3">
      <c r="A1004" t="s">
        <v>1623</v>
      </c>
    </row>
    <row r="1005" spans="1:1" x14ac:dyDescent="0.3">
      <c r="A1005" t="s">
        <v>1623</v>
      </c>
    </row>
    <row r="1006" spans="1:1" x14ac:dyDescent="0.3">
      <c r="A1006" t="s">
        <v>1623</v>
      </c>
    </row>
    <row r="1007" spans="1:1" x14ac:dyDescent="0.3">
      <c r="A1007" t="s">
        <v>1623</v>
      </c>
    </row>
    <row r="1008" spans="1:1" x14ac:dyDescent="0.3">
      <c r="A1008" t="s">
        <v>1623</v>
      </c>
    </row>
    <row r="1009" spans="1:1" x14ac:dyDescent="0.3">
      <c r="A1009" t="s">
        <v>1623</v>
      </c>
    </row>
    <row r="1010" spans="1:1" x14ac:dyDescent="0.3">
      <c r="A1010" t="s">
        <v>1623</v>
      </c>
    </row>
    <row r="1011" spans="1:1" x14ac:dyDescent="0.3">
      <c r="A1011" t="s">
        <v>1623</v>
      </c>
    </row>
    <row r="1012" spans="1:1" x14ac:dyDescent="0.3">
      <c r="A1012" t="s">
        <v>1623</v>
      </c>
    </row>
    <row r="1013" spans="1:1" x14ac:dyDescent="0.3">
      <c r="A1013" t="s">
        <v>1623</v>
      </c>
    </row>
    <row r="1014" spans="1:1" x14ac:dyDescent="0.3">
      <c r="A1014" t="s">
        <v>1623</v>
      </c>
    </row>
    <row r="1015" spans="1:1" x14ac:dyDescent="0.3">
      <c r="A1015" t="s">
        <v>1623</v>
      </c>
    </row>
    <row r="1016" spans="1:1" x14ac:dyDescent="0.3">
      <c r="A1016" t="s">
        <v>6933</v>
      </c>
    </row>
    <row r="1017" spans="1:1" x14ac:dyDescent="0.3">
      <c r="A1017" t="s">
        <v>7167</v>
      </c>
    </row>
    <row r="1018" spans="1:1" x14ac:dyDescent="0.3">
      <c r="A1018" t="s">
        <v>6695</v>
      </c>
    </row>
    <row r="1019" spans="1:1" x14ac:dyDescent="0.3">
      <c r="A1019" t="s">
        <v>6695</v>
      </c>
    </row>
    <row r="1020" spans="1:1" x14ac:dyDescent="0.3">
      <c r="A1020" t="s">
        <v>6695</v>
      </c>
    </row>
    <row r="1021" spans="1:1" x14ac:dyDescent="0.3">
      <c r="A1021" t="s">
        <v>6695</v>
      </c>
    </row>
    <row r="1022" spans="1:1" x14ac:dyDescent="0.3">
      <c r="A1022" t="s">
        <v>6695</v>
      </c>
    </row>
    <row r="1023" spans="1:1" x14ac:dyDescent="0.3">
      <c r="A1023" t="s">
        <v>6695</v>
      </c>
    </row>
    <row r="1024" spans="1:1" x14ac:dyDescent="0.3">
      <c r="A1024" t="s">
        <v>6695</v>
      </c>
    </row>
    <row r="1025" spans="1:1" x14ac:dyDescent="0.3">
      <c r="A1025" t="s">
        <v>6695</v>
      </c>
    </row>
    <row r="1026" spans="1:1" x14ac:dyDescent="0.3">
      <c r="A1026" t="s">
        <v>939</v>
      </c>
    </row>
    <row r="1027" spans="1:1" x14ac:dyDescent="0.3">
      <c r="A1027" t="s">
        <v>939</v>
      </c>
    </row>
    <row r="1028" spans="1:1" x14ac:dyDescent="0.3">
      <c r="A1028" t="s">
        <v>939</v>
      </c>
    </row>
    <row r="1029" spans="1:1" x14ac:dyDescent="0.3">
      <c r="A1029" t="s">
        <v>7184</v>
      </c>
    </row>
    <row r="1030" spans="1:1" x14ac:dyDescent="0.3">
      <c r="A1030" t="s">
        <v>450</v>
      </c>
    </row>
    <row r="1031" spans="1:1" x14ac:dyDescent="0.3">
      <c r="A1031" t="s">
        <v>450</v>
      </c>
    </row>
    <row r="1032" spans="1:1" x14ac:dyDescent="0.3">
      <c r="A1032" t="s">
        <v>310</v>
      </c>
    </row>
    <row r="1033" spans="1:1" x14ac:dyDescent="0.3">
      <c r="A1033" t="s">
        <v>3095</v>
      </c>
    </row>
    <row r="1034" spans="1:1" x14ac:dyDescent="0.3">
      <c r="A1034" t="s">
        <v>1218</v>
      </c>
    </row>
    <row r="1035" spans="1:1" x14ac:dyDescent="0.3">
      <c r="A1035" t="s">
        <v>1218</v>
      </c>
    </row>
    <row r="1036" spans="1:1" x14ac:dyDescent="0.3">
      <c r="A1036" t="s">
        <v>1218</v>
      </c>
    </row>
    <row r="1037" spans="1:1" x14ac:dyDescent="0.3">
      <c r="A1037" t="s">
        <v>1218</v>
      </c>
    </row>
    <row r="1038" spans="1:1" x14ac:dyDescent="0.3">
      <c r="A1038" t="s">
        <v>7057</v>
      </c>
    </row>
    <row r="1039" spans="1:1" x14ac:dyDescent="0.3">
      <c r="A1039" t="s">
        <v>7057</v>
      </c>
    </row>
    <row r="1040" spans="1:1" x14ac:dyDescent="0.3">
      <c r="A1040" t="s">
        <v>7057</v>
      </c>
    </row>
    <row r="1041" spans="1:1" x14ac:dyDescent="0.3">
      <c r="A1041" t="s">
        <v>7057</v>
      </c>
    </row>
    <row r="1042" spans="1:1" x14ac:dyDescent="0.3">
      <c r="A1042" t="s">
        <v>7057</v>
      </c>
    </row>
    <row r="1043" spans="1:1" x14ac:dyDescent="0.3">
      <c r="A1043" t="s">
        <v>7057</v>
      </c>
    </row>
    <row r="1044" spans="1:1" x14ac:dyDescent="0.3">
      <c r="A1044" t="s">
        <v>7057</v>
      </c>
    </row>
    <row r="1045" spans="1:1" x14ac:dyDescent="0.3">
      <c r="A1045" t="s">
        <v>7057</v>
      </c>
    </row>
    <row r="1046" spans="1:1" x14ac:dyDescent="0.3">
      <c r="A1046" t="s">
        <v>7057</v>
      </c>
    </row>
    <row r="1047" spans="1:1" x14ac:dyDescent="0.3">
      <c r="A1047" t="s">
        <v>7057</v>
      </c>
    </row>
    <row r="1048" spans="1:1" x14ac:dyDescent="0.3">
      <c r="A1048" t="s">
        <v>7057</v>
      </c>
    </row>
    <row r="1049" spans="1:1" x14ac:dyDescent="0.3">
      <c r="A1049" t="s">
        <v>7057</v>
      </c>
    </row>
    <row r="1050" spans="1:1" x14ac:dyDescent="0.3">
      <c r="A1050" t="s">
        <v>7057</v>
      </c>
    </row>
    <row r="1051" spans="1:1" x14ac:dyDescent="0.3">
      <c r="A1051" t="s">
        <v>7057</v>
      </c>
    </row>
    <row r="1052" spans="1:1" x14ac:dyDescent="0.3">
      <c r="A1052" t="s">
        <v>7057</v>
      </c>
    </row>
    <row r="1053" spans="1:1" x14ac:dyDescent="0.3">
      <c r="A1053" t="s">
        <v>7057</v>
      </c>
    </row>
    <row r="1054" spans="1:1" x14ac:dyDescent="0.3">
      <c r="A1054" t="s">
        <v>7057</v>
      </c>
    </row>
    <row r="1055" spans="1:1" x14ac:dyDescent="0.3">
      <c r="A1055" t="s">
        <v>7057</v>
      </c>
    </row>
    <row r="1056" spans="1:1" x14ac:dyDescent="0.3">
      <c r="A1056" t="s">
        <v>7057</v>
      </c>
    </row>
    <row r="1057" spans="1:1" x14ac:dyDescent="0.3">
      <c r="A1057" t="s">
        <v>7057</v>
      </c>
    </row>
    <row r="1058" spans="1:1" x14ac:dyDescent="0.3">
      <c r="A1058" t="s">
        <v>7057</v>
      </c>
    </row>
    <row r="1059" spans="1:1" x14ac:dyDescent="0.3">
      <c r="A1059" t="s">
        <v>7057</v>
      </c>
    </row>
    <row r="1060" spans="1:1" x14ac:dyDescent="0.3">
      <c r="A1060" t="s">
        <v>7057</v>
      </c>
    </row>
    <row r="1061" spans="1:1" x14ac:dyDescent="0.3">
      <c r="A1061" t="s">
        <v>7057</v>
      </c>
    </row>
    <row r="1062" spans="1:1" x14ac:dyDescent="0.3">
      <c r="A1062" t="s">
        <v>7321</v>
      </c>
    </row>
    <row r="1063" spans="1:1" x14ac:dyDescent="0.3">
      <c r="A1063" t="s">
        <v>7322</v>
      </c>
    </row>
    <row r="1064" spans="1:1" x14ac:dyDescent="0.3">
      <c r="A1064" t="s">
        <v>7323</v>
      </c>
    </row>
    <row r="1065" spans="1:1" x14ac:dyDescent="0.3">
      <c r="A1065" t="s">
        <v>6617</v>
      </c>
    </row>
    <row r="1066" spans="1:1" x14ac:dyDescent="0.3">
      <c r="A1066" t="s">
        <v>6696</v>
      </c>
    </row>
    <row r="1067" spans="1:1" x14ac:dyDescent="0.3">
      <c r="A1067" t="s">
        <v>6696</v>
      </c>
    </row>
    <row r="1068" spans="1:1" x14ac:dyDescent="0.3">
      <c r="A1068" t="s">
        <v>6696</v>
      </c>
    </row>
    <row r="1069" spans="1:1" x14ac:dyDescent="0.3">
      <c r="A1069" t="s">
        <v>6696</v>
      </c>
    </row>
    <row r="1070" spans="1:1" x14ac:dyDescent="0.3">
      <c r="A1070" t="s">
        <v>7247</v>
      </c>
    </row>
    <row r="1071" spans="1:1" x14ac:dyDescent="0.3">
      <c r="A1071" t="s">
        <v>6934</v>
      </c>
    </row>
    <row r="1072" spans="1:1" x14ac:dyDescent="0.3">
      <c r="A1072" t="s">
        <v>6934</v>
      </c>
    </row>
    <row r="1073" spans="1:1" x14ac:dyDescent="0.3">
      <c r="A1073" t="s">
        <v>1478</v>
      </c>
    </row>
    <row r="1074" spans="1:1" x14ac:dyDescent="0.3">
      <c r="A1074" t="s">
        <v>1478</v>
      </c>
    </row>
    <row r="1075" spans="1:1" x14ac:dyDescent="0.3">
      <c r="A1075" t="s">
        <v>1478</v>
      </c>
    </row>
    <row r="1076" spans="1:1" x14ac:dyDescent="0.3">
      <c r="A1076" t="s">
        <v>6697</v>
      </c>
    </row>
    <row r="1077" spans="1:1" x14ac:dyDescent="0.3">
      <c r="A1077" t="s">
        <v>6697</v>
      </c>
    </row>
    <row r="1078" spans="1:1" x14ac:dyDescent="0.3">
      <c r="A1078" t="s">
        <v>6697</v>
      </c>
    </row>
    <row r="1079" spans="1:1" x14ac:dyDescent="0.3">
      <c r="A1079" t="s">
        <v>6697</v>
      </c>
    </row>
    <row r="1080" spans="1:1" x14ac:dyDescent="0.3">
      <c r="A1080" t="s">
        <v>6697</v>
      </c>
    </row>
    <row r="1081" spans="1:1" x14ac:dyDescent="0.3">
      <c r="A1081" t="s">
        <v>6697</v>
      </c>
    </row>
    <row r="1082" spans="1:1" x14ac:dyDescent="0.3">
      <c r="A1082" t="s">
        <v>894</v>
      </c>
    </row>
    <row r="1083" spans="1:1" x14ac:dyDescent="0.3">
      <c r="A1083" t="s">
        <v>254</v>
      </c>
    </row>
    <row r="1084" spans="1:1" x14ac:dyDescent="0.3">
      <c r="A1084" t="s">
        <v>6935</v>
      </c>
    </row>
    <row r="1085" spans="1:1" x14ac:dyDescent="0.3">
      <c r="A1085" t="s">
        <v>6936</v>
      </c>
    </row>
    <row r="1086" spans="1:1" x14ac:dyDescent="0.3">
      <c r="A1086" t="s">
        <v>6698</v>
      </c>
    </row>
    <row r="1087" spans="1:1" x14ac:dyDescent="0.3">
      <c r="A1087" t="s">
        <v>6698</v>
      </c>
    </row>
    <row r="1088" spans="1:1" x14ac:dyDescent="0.3">
      <c r="A1088" t="s">
        <v>6698</v>
      </c>
    </row>
    <row r="1089" spans="1:1" x14ac:dyDescent="0.3">
      <c r="A1089" t="s">
        <v>6698</v>
      </c>
    </row>
    <row r="1090" spans="1:1" x14ac:dyDescent="0.3">
      <c r="A1090" t="s">
        <v>6698</v>
      </c>
    </row>
    <row r="1091" spans="1:1" x14ac:dyDescent="0.3">
      <c r="A1091" t="s">
        <v>6698</v>
      </c>
    </row>
    <row r="1092" spans="1:1" x14ac:dyDescent="0.3">
      <c r="A1092" t="s">
        <v>6698</v>
      </c>
    </row>
    <row r="1093" spans="1:1" x14ac:dyDescent="0.3">
      <c r="A1093" t="s">
        <v>6698</v>
      </c>
    </row>
    <row r="1094" spans="1:1" x14ac:dyDescent="0.3">
      <c r="A1094" t="s">
        <v>6698</v>
      </c>
    </row>
    <row r="1095" spans="1:1" x14ac:dyDescent="0.3">
      <c r="A1095" t="s">
        <v>6698</v>
      </c>
    </row>
    <row r="1096" spans="1:1" x14ac:dyDescent="0.3">
      <c r="A1096" t="s">
        <v>6698</v>
      </c>
    </row>
    <row r="1097" spans="1:1" x14ac:dyDescent="0.3">
      <c r="A1097" t="s">
        <v>6698</v>
      </c>
    </row>
    <row r="1098" spans="1:1" x14ac:dyDescent="0.3">
      <c r="A1098" t="s">
        <v>6698</v>
      </c>
    </row>
    <row r="1099" spans="1:1" x14ac:dyDescent="0.3">
      <c r="A1099" t="s">
        <v>6698</v>
      </c>
    </row>
    <row r="1100" spans="1:1" x14ac:dyDescent="0.3">
      <c r="A1100" t="s">
        <v>6698</v>
      </c>
    </row>
    <row r="1101" spans="1:1" x14ac:dyDescent="0.3">
      <c r="A1101" t="s">
        <v>6698</v>
      </c>
    </row>
    <row r="1102" spans="1:1" x14ac:dyDescent="0.3">
      <c r="A1102" t="s">
        <v>6698</v>
      </c>
    </row>
    <row r="1103" spans="1:1" x14ac:dyDescent="0.3">
      <c r="A1103" t="s">
        <v>6698</v>
      </c>
    </row>
    <row r="1104" spans="1:1" x14ac:dyDescent="0.3">
      <c r="A1104" t="s">
        <v>6698</v>
      </c>
    </row>
    <row r="1105" spans="1:1" x14ac:dyDescent="0.3">
      <c r="A1105" t="s">
        <v>6698</v>
      </c>
    </row>
    <row r="1106" spans="1:1" x14ac:dyDescent="0.3">
      <c r="A1106" t="s">
        <v>6698</v>
      </c>
    </row>
    <row r="1107" spans="1:1" x14ac:dyDescent="0.3">
      <c r="A1107" t="s">
        <v>6698</v>
      </c>
    </row>
    <row r="1108" spans="1:1" x14ac:dyDescent="0.3">
      <c r="A1108" t="s">
        <v>6699</v>
      </c>
    </row>
    <row r="1109" spans="1:1" x14ac:dyDescent="0.3">
      <c r="A1109" t="s">
        <v>6699</v>
      </c>
    </row>
    <row r="1110" spans="1:1" x14ac:dyDescent="0.3">
      <c r="A1110" t="s">
        <v>6699</v>
      </c>
    </row>
    <row r="1111" spans="1:1" x14ac:dyDescent="0.3">
      <c r="A1111" t="s">
        <v>6699</v>
      </c>
    </row>
    <row r="1112" spans="1:1" x14ac:dyDescent="0.3">
      <c r="A1112" t="s">
        <v>6699</v>
      </c>
    </row>
    <row r="1113" spans="1:1" x14ac:dyDescent="0.3">
      <c r="A1113" t="s">
        <v>7185</v>
      </c>
    </row>
    <row r="1114" spans="1:1" x14ac:dyDescent="0.3">
      <c r="A1114" t="s">
        <v>7185</v>
      </c>
    </row>
    <row r="1115" spans="1:1" x14ac:dyDescent="0.3">
      <c r="A1115" t="s">
        <v>494</v>
      </c>
    </row>
    <row r="1116" spans="1:1" x14ac:dyDescent="0.3">
      <c r="A1116" t="s">
        <v>494</v>
      </c>
    </row>
    <row r="1117" spans="1:1" x14ac:dyDescent="0.3">
      <c r="A1117" t="s">
        <v>494</v>
      </c>
    </row>
    <row r="1118" spans="1:1" x14ac:dyDescent="0.3">
      <c r="A1118" t="s">
        <v>398</v>
      </c>
    </row>
    <row r="1119" spans="1:1" x14ac:dyDescent="0.3">
      <c r="A1119" t="s">
        <v>398</v>
      </c>
    </row>
    <row r="1120" spans="1:1" x14ac:dyDescent="0.3">
      <c r="A1120" t="s">
        <v>398</v>
      </c>
    </row>
    <row r="1121" spans="1:1" x14ac:dyDescent="0.3">
      <c r="A1121" t="s">
        <v>398</v>
      </c>
    </row>
    <row r="1122" spans="1:1" x14ac:dyDescent="0.3">
      <c r="A1122" t="s">
        <v>398</v>
      </c>
    </row>
    <row r="1123" spans="1:1" x14ac:dyDescent="0.3">
      <c r="A1123" t="s">
        <v>398</v>
      </c>
    </row>
    <row r="1124" spans="1:1" x14ac:dyDescent="0.3">
      <c r="A1124" t="s">
        <v>398</v>
      </c>
    </row>
    <row r="1125" spans="1:1" x14ac:dyDescent="0.3">
      <c r="A1125" t="s">
        <v>398</v>
      </c>
    </row>
    <row r="1126" spans="1:1" x14ac:dyDescent="0.3">
      <c r="A1126" t="s">
        <v>398</v>
      </c>
    </row>
    <row r="1127" spans="1:1" x14ac:dyDescent="0.3">
      <c r="A1127" t="s">
        <v>6937</v>
      </c>
    </row>
    <row r="1128" spans="1:1" x14ac:dyDescent="0.3">
      <c r="A1128" t="s">
        <v>6937</v>
      </c>
    </row>
    <row r="1129" spans="1:1" x14ac:dyDescent="0.3">
      <c r="A1129" t="s">
        <v>6937</v>
      </c>
    </row>
    <row r="1130" spans="1:1" x14ac:dyDescent="0.3">
      <c r="A1130" t="s">
        <v>6937</v>
      </c>
    </row>
    <row r="1131" spans="1:1" x14ac:dyDescent="0.3">
      <c r="A1131" t="s">
        <v>6937</v>
      </c>
    </row>
    <row r="1132" spans="1:1" x14ac:dyDescent="0.3">
      <c r="A1132" t="s">
        <v>6937</v>
      </c>
    </row>
    <row r="1133" spans="1:1" x14ac:dyDescent="0.3">
      <c r="A1133" t="s">
        <v>6937</v>
      </c>
    </row>
    <row r="1134" spans="1:1" x14ac:dyDescent="0.3">
      <c r="A1134" t="s">
        <v>6937</v>
      </c>
    </row>
    <row r="1135" spans="1:1" x14ac:dyDescent="0.3">
      <c r="A1135" t="s">
        <v>6937</v>
      </c>
    </row>
    <row r="1136" spans="1:1" x14ac:dyDescent="0.3">
      <c r="A1136" t="s">
        <v>7095</v>
      </c>
    </row>
    <row r="1137" spans="1:1" x14ac:dyDescent="0.3">
      <c r="A1137" t="s">
        <v>7098</v>
      </c>
    </row>
    <row r="1138" spans="1:1" x14ac:dyDescent="0.3">
      <c r="A1138" t="s">
        <v>7099</v>
      </c>
    </row>
    <row r="1139" spans="1:1" x14ac:dyDescent="0.3">
      <c r="A1139" t="s">
        <v>7099</v>
      </c>
    </row>
    <row r="1140" spans="1:1" x14ac:dyDescent="0.3">
      <c r="A1140" t="s">
        <v>334</v>
      </c>
    </row>
    <row r="1141" spans="1:1" x14ac:dyDescent="0.3">
      <c r="A1141" t="s">
        <v>334</v>
      </c>
    </row>
    <row r="1142" spans="1:1" x14ac:dyDescent="0.3">
      <c r="A1142" t="s">
        <v>334</v>
      </c>
    </row>
    <row r="1143" spans="1:1" x14ac:dyDescent="0.3">
      <c r="A1143" t="s">
        <v>334</v>
      </c>
    </row>
    <row r="1144" spans="1:1" x14ac:dyDescent="0.3">
      <c r="A1144" t="s">
        <v>6700</v>
      </c>
    </row>
    <row r="1145" spans="1:1" x14ac:dyDescent="0.3">
      <c r="A1145" t="s">
        <v>6700</v>
      </c>
    </row>
    <row r="1146" spans="1:1" x14ac:dyDescent="0.3">
      <c r="A1146" t="s">
        <v>6700</v>
      </c>
    </row>
    <row r="1147" spans="1:1" x14ac:dyDescent="0.3">
      <c r="A1147" t="s">
        <v>6700</v>
      </c>
    </row>
    <row r="1148" spans="1:1" x14ac:dyDescent="0.3">
      <c r="A1148" t="s">
        <v>6700</v>
      </c>
    </row>
    <row r="1149" spans="1:1" x14ac:dyDescent="0.3">
      <c r="A1149" t="s">
        <v>6700</v>
      </c>
    </row>
    <row r="1150" spans="1:1" x14ac:dyDescent="0.3">
      <c r="A1150" t="s">
        <v>6700</v>
      </c>
    </row>
    <row r="1151" spans="1:1" x14ac:dyDescent="0.3">
      <c r="A1151" t="s">
        <v>6700</v>
      </c>
    </row>
    <row r="1152" spans="1:1" x14ac:dyDescent="0.3">
      <c r="A1152" t="s">
        <v>6700</v>
      </c>
    </row>
    <row r="1153" spans="1:1" x14ac:dyDescent="0.3">
      <c r="A1153" t="s">
        <v>6700</v>
      </c>
    </row>
    <row r="1154" spans="1:1" x14ac:dyDescent="0.3">
      <c r="A1154" t="s">
        <v>6700</v>
      </c>
    </row>
    <row r="1155" spans="1:1" x14ac:dyDescent="0.3">
      <c r="A1155" t="s">
        <v>6700</v>
      </c>
    </row>
    <row r="1156" spans="1:1" x14ac:dyDescent="0.3">
      <c r="A1156" t="s">
        <v>6700</v>
      </c>
    </row>
    <row r="1157" spans="1:1" x14ac:dyDescent="0.3">
      <c r="A1157" t="s">
        <v>6700</v>
      </c>
    </row>
    <row r="1158" spans="1:1" x14ac:dyDescent="0.3">
      <c r="A1158" t="s">
        <v>6700</v>
      </c>
    </row>
    <row r="1159" spans="1:1" x14ac:dyDescent="0.3">
      <c r="A1159" t="s">
        <v>6700</v>
      </c>
    </row>
    <row r="1160" spans="1:1" x14ac:dyDescent="0.3">
      <c r="A1160" t="s">
        <v>6938</v>
      </c>
    </row>
    <row r="1161" spans="1:1" x14ac:dyDescent="0.3">
      <c r="A1161" t="s">
        <v>7324</v>
      </c>
    </row>
    <row r="1162" spans="1:1" x14ac:dyDescent="0.3">
      <c r="A1162" t="s">
        <v>6701</v>
      </c>
    </row>
    <row r="1163" spans="1:1" x14ac:dyDescent="0.3">
      <c r="A1163" t="s">
        <v>6701</v>
      </c>
    </row>
    <row r="1164" spans="1:1" x14ac:dyDescent="0.3">
      <c r="A1164" t="s">
        <v>6701</v>
      </c>
    </row>
    <row r="1165" spans="1:1" x14ac:dyDescent="0.3">
      <c r="A1165" t="s">
        <v>6701</v>
      </c>
    </row>
    <row r="1166" spans="1:1" x14ac:dyDescent="0.3">
      <c r="A1166" t="s">
        <v>6939</v>
      </c>
    </row>
    <row r="1167" spans="1:1" x14ac:dyDescent="0.3">
      <c r="A1167" t="s">
        <v>2641</v>
      </c>
    </row>
    <row r="1168" spans="1:1" x14ac:dyDescent="0.3">
      <c r="A1168" t="s">
        <v>2641</v>
      </c>
    </row>
    <row r="1169" spans="1:1" x14ac:dyDescent="0.3">
      <c r="A1169" t="s">
        <v>1965</v>
      </c>
    </row>
    <row r="1170" spans="1:1" x14ac:dyDescent="0.3">
      <c r="A1170" t="s">
        <v>1965</v>
      </c>
    </row>
    <row r="1171" spans="1:1" x14ac:dyDescent="0.3">
      <c r="A1171" t="s">
        <v>1965</v>
      </c>
    </row>
    <row r="1172" spans="1:1" x14ac:dyDescent="0.3">
      <c r="A1172" t="s">
        <v>6940</v>
      </c>
    </row>
    <row r="1173" spans="1:1" x14ac:dyDescent="0.3">
      <c r="A1173" t="s">
        <v>6941</v>
      </c>
    </row>
    <row r="1174" spans="1:1" x14ac:dyDescent="0.3">
      <c r="A1174" t="s">
        <v>7295</v>
      </c>
    </row>
    <row r="1175" spans="1:1" x14ac:dyDescent="0.3">
      <c r="A1175" t="s">
        <v>6702</v>
      </c>
    </row>
    <row r="1176" spans="1:1" x14ac:dyDescent="0.3">
      <c r="A1176" t="s">
        <v>6702</v>
      </c>
    </row>
    <row r="1177" spans="1:1" x14ac:dyDescent="0.3">
      <c r="A1177" t="s">
        <v>6702</v>
      </c>
    </row>
    <row r="1178" spans="1:1" x14ac:dyDescent="0.3">
      <c r="A1178" t="s">
        <v>6702</v>
      </c>
    </row>
    <row r="1179" spans="1:1" x14ac:dyDescent="0.3">
      <c r="A1179" t="s">
        <v>6702</v>
      </c>
    </row>
    <row r="1180" spans="1:1" x14ac:dyDescent="0.3">
      <c r="A1180" t="s">
        <v>6702</v>
      </c>
    </row>
    <row r="1181" spans="1:1" x14ac:dyDescent="0.3">
      <c r="A1181" t="s">
        <v>6702</v>
      </c>
    </row>
    <row r="1182" spans="1:1" x14ac:dyDescent="0.3">
      <c r="A1182" t="s">
        <v>6702</v>
      </c>
    </row>
    <row r="1183" spans="1:1" x14ac:dyDescent="0.3">
      <c r="A1183" t="s">
        <v>6702</v>
      </c>
    </row>
    <row r="1184" spans="1:1" x14ac:dyDescent="0.3">
      <c r="A1184" t="s">
        <v>6702</v>
      </c>
    </row>
    <row r="1185" spans="1:1" x14ac:dyDescent="0.3">
      <c r="A1185" t="s">
        <v>6702</v>
      </c>
    </row>
    <row r="1186" spans="1:1" x14ac:dyDescent="0.3">
      <c r="A1186" t="s">
        <v>6702</v>
      </c>
    </row>
    <row r="1187" spans="1:1" x14ac:dyDescent="0.3">
      <c r="A1187" t="s">
        <v>6702</v>
      </c>
    </row>
    <row r="1188" spans="1:1" x14ac:dyDescent="0.3">
      <c r="A1188" t="s">
        <v>6702</v>
      </c>
    </row>
    <row r="1189" spans="1:1" x14ac:dyDescent="0.3">
      <c r="A1189" t="s">
        <v>6702</v>
      </c>
    </row>
    <row r="1190" spans="1:1" x14ac:dyDescent="0.3">
      <c r="A1190" t="s">
        <v>6702</v>
      </c>
    </row>
    <row r="1191" spans="1:1" x14ac:dyDescent="0.3">
      <c r="A1191" t="s">
        <v>6702</v>
      </c>
    </row>
    <row r="1192" spans="1:1" x14ac:dyDescent="0.3">
      <c r="A1192" t="s">
        <v>6702</v>
      </c>
    </row>
    <row r="1193" spans="1:1" x14ac:dyDescent="0.3">
      <c r="A1193" t="s">
        <v>6702</v>
      </c>
    </row>
    <row r="1194" spans="1:1" x14ac:dyDescent="0.3">
      <c r="A1194" t="s">
        <v>6702</v>
      </c>
    </row>
    <row r="1195" spans="1:1" x14ac:dyDescent="0.3">
      <c r="A1195" t="s">
        <v>6703</v>
      </c>
    </row>
    <row r="1196" spans="1:1" x14ac:dyDescent="0.3">
      <c r="A1196" t="s">
        <v>6703</v>
      </c>
    </row>
    <row r="1197" spans="1:1" x14ac:dyDescent="0.3">
      <c r="A1197" t="s">
        <v>6703</v>
      </c>
    </row>
    <row r="1198" spans="1:1" x14ac:dyDescent="0.3">
      <c r="A1198" t="s">
        <v>6703</v>
      </c>
    </row>
    <row r="1199" spans="1:1" x14ac:dyDescent="0.3">
      <c r="A1199" t="s">
        <v>6703</v>
      </c>
    </row>
    <row r="1200" spans="1:1" x14ac:dyDescent="0.3">
      <c r="A1200" t="s">
        <v>6703</v>
      </c>
    </row>
    <row r="1201" spans="1:1" x14ac:dyDescent="0.3">
      <c r="A1201" t="s">
        <v>6703</v>
      </c>
    </row>
    <row r="1202" spans="1:1" x14ac:dyDescent="0.3">
      <c r="A1202" t="s">
        <v>6703</v>
      </c>
    </row>
    <row r="1203" spans="1:1" x14ac:dyDescent="0.3">
      <c r="A1203" t="s">
        <v>6703</v>
      </c>
    </row>
    <row r="1204" spans="1:1" x14ac:dyDescent="0.3">
      <c r="A1204" t="s">
        <v>6942</v>
      </c>
    </row>
    <row r="1205" spans="1:1" x14ac:dyDescent="0.3">
      <c r="A1205" t="s">
        <v>117</v>
      </c>
    </row>
    <row r="1206" spans="1:1" x14ac:dyDescent="0.3">
      <c r="A1206" t="s">
        <v>117</v>
      </c>
    </row>
    <row r="1207" spans="1:1" x14ac:dyDescent="0.3">
      <c r="A1207" t="s">
        <v>117</v>
      </c>
    </row>
    <row r="1208" spans="1:1" x14ac:dyDescent="0.3">
      <c r="A1208" t="s">
        <v>117</v>
      </c>
    </row>
    <row r="1209" spans="1:1" x14ac:dyDescent="0.3">
      <c r="A1209" t="s">
        <v>117</v>
      </c>
    </row>
    <row r="1210" spans="1:1" x14ac:dyDescent="0.3">
      <c r="A1210" t="s">
        <v>6943</v>
      </c>
    </row>
    <row r="1211" spans="1:1" x14ac:dyDescent="0.3">
      <c r="A1211" t="s">
        <v>6704</v>
      </c>
    </row>
    <row r="1212" spans="1:1" x14ac:dyDescent="0.3">
      <c r="A1212" t="s">
        <v>6704</v>
      </c>
    </row>
    <row r="1213" spans="1:1" x14ac:dyDescent="0.3">
      <c r="A1213" t="s">
        <v>6704</v>
      </c>
    </row>
    <row r="1214" spans="1:1" x14ac:dyDescent="0.3">
      <c r="A1214" t="s">
        <v>6704</v>
      </c>
    </row>
    <row r="1215" spans="1:1" x14ac:dyDescent="0.3">
      <c r="A1215" t="s">
        <v>7325</v>
      </c>
    </row>
    <row r="1216" spans="1:1" x14ac:dyDescent="0.3">
      <c r="A1216" t="s">
        <v>6705</v>
      </c>
    </row>
    <row r="1217" spans="1:1" x14ac:dyDescent="0.3">
      <c r="A1217" t="s">
        <v>6705</v>
      </c>
    </row>
    <row r="1218" spans="1:1" x14ac:dyDescent="0.3">
      <c r="A1218" t="s">
        <v>6705</v>
      </c>
    </row>
    <row r="1219" spans="1:1" x14ac:dyDescent="0.3">
      <c r="A1219" t="s">
        <v>6705</v>
      </c>
    </row>
    <row r="1220" spans="1:1" x14ac:dyDescent="0.3">
      <c r="A1220" t="s">
        <v>6705</v>
      </c>
    </row>
    <row r="1221" spans="1:1" x14ac:dyDescent="0.3">
      <c r="A1221" t="s">
        <v>6705</v>
      </c>
    </row>
    <row r="1222" spans="1:1" x14ac:dyDescent="0.3">
      <c r="A1222" t="s">
        <v>6705</v>
      </c>
    </row>
    <row r="1223" spans="1:1" x14ac:dyDescent="0.3">
      <c r="A1223" t="s">
        <v>6705</v>
      </c>
    </row>
    <row r="1224" spans="1:1" x14ac:dyDescent="0.3">
      <c r="A1224" t="s">
        <v>6705</v>
      </c>
    </row>
    <row r="1225" spans="1:1" x14ac:dyDescent="0.3">
      <c r="A1225" t="s">
        <v>6705</v>
      </c>
    </row>
    <row r="1226" spans="1:1" x14ac:dyDescent="0.3">
      <c r="A1226" t="s">
        <v>6705</v>
      </c>
    </row>
    <row r="1227" spans="1:1" x14ac:dyDescent="0.3">
      <c r="A1227" t="s">
        <v>6705</v>
      </c>
    </row>
    <row r="1228" spans="1:1" x14ac:dyDescent="0.3">
      <c r="A1228" t="s">
        <v>6705</v>
      </c>
    </row>
    <row r="1229" spans="1:1" x14ac:dyDescent="0.3">
      <c r="A1229" t="s">
        <v>6705</v>
      </c>
    </row>
    <row r="1230" spans="1:1" x14ac:dyDescent="0.3">
      <c r="A1230" t="s">
        <v>6705</v>
      </c>
    </row>
    <row r="1231" spans="1:1" x14ac:dyDescent="0.3">
      <c r="A1231" t="s">
        <v>6705</v>
      </c>
    </row>
    <row r="1232" spans="1:1" x14ac:dyDescent="0.3">
      <c r="A1232" t="s">
        <v>6705</v>
      </c>
    </row>
    <row r="1233" spans="1:1" x14ac:dyDescent="0.3">
      <c r="A1233" t="s">
        <v>6705</v>
      </c>
    </row>
    <row r="1234" spans="1:1" x14ac:dyDescent="0.3">
      <c r="A1234" t="s">
        <v>6705</v>
      </c>
    </row>
    <row r="1235" spans="1:1" x14ac:dyDescent="0.3">
      <c r="A1235" t="s">
        <v>6705</v>
      </c>
    </row>
    <row r="1236" spans="1:1" x14ac:dyDescent="0.3">
      <c r="A1236" t="s">
        <v>6705</v>
      </c>
    </row>
    <row r="1237" spans="1:1" x14ac:dyDescent="0.3">
      <c r="A1237" t="s">
        <v>6705</v>
      </c>
    </row>
    <row r="1238" spans="1:1" x14ac:dyDescent="0.3">
      <c r="A1238" t="s">
        <v>6705</v>
      </c>
    </row>
    <row r="1239" spans="1:1" x14ac:dyDescent="0.3">
      <c r="A1239" t="s">
        <v>6705</v>
      </c>
    </row>
    <row r="1240" spans="1:1" x14ac:dyDescent="0.3">
      <c r="A1240" t="s">
        <v>6705</v>
      </c>
    </row>
    <row r="1241" spans="1:1" x14ac:dyDescent="0.3">
      <c r="A1241" t="s">
        <v>6705</v>
      </c>
    </row>
    <row r="1242" spans="1:1" x14ac:dyDescent="0.3">
      <c r="A1242" t="s">
        <v>6705</v>
      </c>
    </row>
    <row r="1243" spans="1:1" x14ac:dyDescent="0.3">
      <c r="A1243" t="s">
        <v>6705</v>
      </c>
    </row>
    <row r="1244" spans="1:1" x14ac:dyDescent="0.3">
      <c r="A1244" t="s">
        <v>6705</v>
      </c>
    </row>
    <row r="1245" spans="1:1" x14ac:dyDescent="0.3">
      <c r="A1245" t="s">
        <v>6705</v>
      </c>
    </row>
    <row r="1246" spans="1:1" x14ac:dyDescent="0.3">
      <c r="A1246" t="s">
        <v>6705</v>
      </c>
    </row>
    <row r="1247" spans="1:1" x14ac:dyDescent="0.3">
      <c r="A1247" t="s">
        <v>6705</v>
      </c>
    </row>
    <row r="1248" spans="1:1" x14ac:dyDescent="0.3">
      <c r="A1248" t="s">
        <v>6705</v>
      </c>
    </row>
    <row r="1249" spans="1:1" x14ac:dyDescent="0.3">
      <c r="A1249" t="s">
        <v>6705</v>
      </c>
    </row>
    <row r="1250" spans="1:1" x14ac:dyDescent="0.3">
      <c r="A1250" t="s">
        <v>6705</v>
      </c>
    </row>
    <row r="1251" spans="1:1" x14ac:dyDescent="0.3">
      <c r="A1251" t="s">
        <v>7186</v>
      </c>
    </row>
    <row r="1252" spans="1:1" x14ac:dyDescent="0.3">
      <c r="A1252" t="s">
        <v>7187</v>
      </c>
    </row>
    <row r="1253" spans="1:1" x14ac:dyDescent="0.3">
      <c r="A1253" t="s">
        <v>6944</v>
      </c>
    </row>
    <row r="1254" spans="1:1" x14ac:dyDescent="0.3">
      <c r="A1254" t="s">
        <v>6706</v>
      </c>
    </row>
    <row r="1255" spans="1:1" x14ac:dyDescent="0.3">
      <c r="A1255" t="s">
        <v>6706</v>
      </c>
    </row>
    <row r="1256" spans="1:1" x14ac:dyDescent="0.3">
      <c r="A1256" t="s">
        <v>6706</v>
      </c>
    </row>
    <row r="1257" spans="1:1" x14ac:dyDescent="0.3">
      <c r="A1257" t="s">
        <v>6706</v>
      </c>
    </row>
    <row r="1258" spans="1:1" x14ac:dyDescent="0.3">
      <c r="A1258" t="s">
        <v>6706</v>
      </c>
    </row>
    <row r="1259" spans="1:1" x14ac:dyDescent="0.3">
      <c r="A1259" t="s">
        <v>6706</v>
      </c>
    </row>
    <row r="1260" spans="1:1" x14ac:dyDescent="0.3">
      <c r="A1260" t="s">
        <v>6706</v>
      </c>
    </row>
    <row r="1261" spans="1:1" x14ac:dyDescent="0.3">
      <c r="A1261" t="s">
        <v>6707</v>
      </c>
    </row>
    <row r="1262" spans="1:1" x14ac:dyDescent="0.3">
      <c r="A1262" t="s">
        <v>6707</v>
      </c>
    </row>
    <row r="1263" spans="1:1" x14ac:dyDescent="0.3">
      <c r="A1263" t="s">
        <v>6707</v>
      </c>
    </row>
    <row r="1264" spans="1:1" x14ac:dyDescent="0.3">
      <c r="A1264" t="s">
        <v>6708</v>
      </c>
    </row>
    <row r="1265" spans="1:1" x14ac:dyDescent="0.3">
      <c r="A1265" t="s">
        <v>6708</v>
      </c>
    </row>
    <row r="1266" spans="1:1" x14ac:dyDescent="0.3">
      <c r="A1266" t="s">
        <v>6708</v>
      </c>
    </row>
    <row r="1267" spans="1:1" x14ac:dyDescent="0.3">
      <c r="A1267" t="s">
        <v>6709</v>
      </c>
    </row>
    <row r="1268" spans="1:1" x14ac:dyDescent="0.3">
      <c r="A1268" t="s">
        <v>6709</v>
      </c>
    </row>
    <row r="1269" spans="1:1" x14ac:dyDescent="0.3">
      <c r="A1269" t="s">
        <v>7158</v>
      </c>
    </row>
    <row r="1270" spans="1:1" x14ac:dyDescent="0.3">
      <c r="A1270" t="s">
        <v>7158</v>
      </c>
    </row>
    <row r="1271" spans="1:1" x14ac:dyDescent="0.3">
      <c r="A1271" t="s">
        <v>7158</v>
      </c>
    </row>
    <row r="1272" spans="1:1" x14ac:dyDescent="0.3">
      <c r="A1272" t="s">
        <v>7158</v>
      </c>
    </row>
    <row r="1273" spans="1:1" x14ac:dyDescent="0.3">
      <c r="A1273" t="s">
        <v>7158</v>
      </c>
    </row>
    <row r="1274" spans="1:1" x14ac:dyDescent="0.3">
      <c r="A1274" t="s">
        <v>6710</v>
      </c>
    </row>
    <row r="1275" spans="1:1" x14ac:dyDescent="0.3">
      <c r="A1275" t="s">
        <v>6710</v>
      </c>
    </row>
    <row r="1276" spans="1:1" x14ac:dyDescent="0.3">
      <c r="A1276" t="s">
        <v>6710</v>
      </c>
    </row>
    <row r="1277" spans="1:1" x14ac:dyDescent="0.3">
      <c r="A1277" t="s">
        <v>6710</v>
      </c>
    </row>
    <row r="1278" spans="1:1" x14ac:dyDescent="0.3">
      <c r="A1278" t="s">
        <v>6710</v>
      </c>
    </row>
    <row r="1279" spans="1:1" x14ac:dyDescent="0.3">
      <c r="A1279" t="s">
        <v>6710</v>
      </c>
    </row>
    <row r="1280" spans="1:1" x14ac:dyDescent="0.3">
      <c r="A1280" t="s">
        <v>6710</v>
      </c>
    </row>
    <row r="1281" spans="1:1" x14ac:dyDescent="0.3">
      <c r="A1281" t="s">
        <v>7303</v>
      </c>
    </row>
    <row r="1282" spans="1:1" x14ac:dyDescent="0.3">
      <c r="A1282" t="s">
        <v>2212</v>
      </c>
    </row>
    <row r="1283" spans="1:1" x14ac:dyDescent="0.3">
      <c r="A1283" t="s">
        <v>6945</v>
      </c>
    </row>
    <row r="1284" spans="1:1" x14ac:dyDescent="0.3">
      <c r="A1284" t="s">
        <v>6711</v>
      </c>
    </row>
    <row r="1285" spans="1:1" x14ac:dyDescent="0.3">
      <c r="A1285" t="s">
        <v>6946</v>
      </c>
    </row>
    <row r="1286" spans="1:1" x14ac:dyDescent="0.3">
      <c r="A1286" t="s">
        <v>6946</v>
      </c>
    </row>
    <row r="1287" spans="1:1" x14ac:dyDescent="0.3">
      <c r="A1287" t="s">
        <v>1635</v>
      </c>
    </row>
    <row r="1288" spans="1:1" x14ac:dyDescent="0.3">
      <c r="A1288" t="s">
        <v>1635</v>
      </c>
    </row>
    <row r="1289" spans="1:1" x14ac:dyDescent="0.3">
      <c r="A1289" t="s">
        <v>6712</v>
      </c>
    </row>
    <row r="1290" spans="1:1" x14ac:dyDescent="0.3">
      <c r="A1290" t="s">
        <v>6712</v>
      </c>
    </row>
    <row r="1291" spans="1:1" x14ac:dyDescent="0.3">
      <c r="A1291" t="s">
        <v>6712</v>
      </c>
    </row>
    <row r="1292" spans="1:1" x14ac:dyDescent="0.3">
      <c r="A1292" t="s">
        <v>6712</v>
      </c>
    </row>
    <row r="1293" spans="1:1" x14ac:dyDescent="0.3">
      <c r="A1293" t="s">
        <v>6712</v>
      </c>
    </row>
    <row r="1294" spans="1:1" x14ac:dyDescent="0.3">
      <c r="A1294" t="s">
        <v>6712</v>
      </c>
    </row>
    <row r="1295" spans="1:1" x14ac:dyDescent="0.3">
      <c r="A1295" t="s">
        <v>6712</v>
      </c>
    </row>
    <row r="1296" spans="1:1" x14ac:dyDescent="0.3">
      <c r="A1296" t="s">
        <v>6712</v>
      </c>
    </row>
    <row r="1297" spans="1:1" x14ac:dyDescent="0.3">
      <c r="A1297" t="s">
        <v>6712</v>
      </c>
    </row>
    <row r="1298" spans="1:1" x14ac:dyDescent="0.3">
      <c r="A1298" t="s">
        <v>6712</v>
      </c>
    </row>
    <row r="1299" spans="1:1" x14ac:dyDescent="0.3">
      <c r="A1299" t="s">
        <v>6712</v>
      </c>
    </row>
    <row r="1300" spans="1:1" x14ac:dyDescent="0.3">
      <c r="A1300" t="s">
        <v>6712</v>
      </c>
    </row>
    <row r="1301" spans="1:1" x14ac:dyDescent="0.3">
      <c r="A1301" t="s">
        <v>6712</v>
      </c>
    </row>
    <row r="1302" spans="1:1" x14ac:dyDescent="0.3">
      <c r="A1302" t="s">
        <v>6712</v>
      </c>
    </row>
    <row r="1303" spans="1:1" x14ac:dyDescent="0.3">
      <c r="A1303" t="s">
        <v>6712</v>
      </c>
    </row>
    <row r="1304" spans="1:1" x14ac:dyDescent="0.3">
      <c r="A1304" t="s">
        <v>6712</v>
      </c>
    </row>
    <row r="1305" spans="1:1" x14ac:dyDescent="0.3">
      <c r="A1305" t="s">
        <v>6712</v>
      </c>
    </row>
    <row r="1306" spans="1:1" x14ac:dyDescent="0.3">
      <c r="A1306" t="s">
        <v>6712</v>
      </c>
    </row>
    <row r="1307" spans="1:1" x14ac:dyDescent="0.3">
      <c r="A1307" t="s">
        <v>6712</v>
      </c>
    </row>
    <row r="1308" spans="1:1" x14ac:dyDescent="0.3">
      <c r="A1308" t="s">
        <v>6712</v>
      </c>
    </row>
    <row r="1309" spans="1:1" x14ac:dyDescent="0.3">
      <c r="A1309" t="s">
        <v>6712</v>
      </c>
    </row>
    <row r="1310" spans="1:1" x14ac:dyDescent="0.3">
      <c r="A1310" t="s">
        <v>6712</v>
      </c>
    </row>
    <row r="1311" spans="1:1" x14ac:dyDescent="0.3">
      <c r="A1311" t="s">
        <v>6712</v>
      </c>
    </row>
    <row r="1312" spans="1:1" x14ac:dyDescent="0.3">
      <c r="A1312" t="s">
        <v>6712</v>
      </c>
    </row>
    <row r="1313" spans="1:1" x14ac:dyDescent="0.3">
      <c r="A1313" t="s">
        <v>6712</v>
      </c>
    </row>
    <row r="1314" spans="1:1" x14ac:dyDescent="0.3">
      <c r="A1314" t="s">
        <v>6712</v>
      </c>
    </row>
    <row r="1315" spans="1:1" x14ac:dyDescent="0.3">
      <c r="A1315" t="s">
        <v>6712</v>
      </c>
    </row>
    <row r="1316" spans="1:1" x14ac:dyDescent="0.3">
      <c r="A1316" t="s">
        <v>6712</v>
      </c>
    </row>
    <row r="1317" spans="1:1" x14ac:dyDescent="0.3">
      <c r="A1317" t="s">
        <v>7304</v>
      </c>
    </row>
    <row r="1318" spans="1:1" x14ac:dyDescent="0.3">
      <c r="A1318" t="s">
        <v>7103</v>
      </c>
    </row>
    <row r="1319" spans="1:1" x14ac:dyDescent="0.3">
      <c r="A1319" t="s">
        <v>1582</v>
      </c>
    </row>
    <row r="1320" spans="1:1" x14ac:dyDescent="0.3">
      <c r="A1320" t="s">
        <v>6618</v>
      </c>
    </row>
    <row r="1321" spans="1:1" x14ac:dyDescent="0.3">
      <c r="A1321" t="s">
        <v>961</v>
      </c>
    </row>
    <row r="1322" spans="1:1" x14ac:dyDescent="0.3">
      <c r="A1322" t="s">
        <v>961</v>
      </c>
    </row>
    <row r="1323" spans="1:1" x14ac:dyDescent="0.3">
      <c r="A1323" t="s">
        <v>7248</v>
      </c>
    </row>
    <row r="1324" spans="1:1" x14ac:dyDescent="0.3">
      <c r="A1324" t="s">
        <v>1213</v>
      </c>
    </row>
    <row r="1325" spans="1:1" x14ac:dyDescent="0.3">
      <c r="A1325" t="s">
        <v>1213</v>
      </c>
    </row>
    <row r="1326" spans="1:1" x14ac:dyDescent="0.3">
      <c r="A1326" t="s">
        <v>1206</v>
      </c>
    </row>
    <row r="1327" spans="1:1" x14ac:dyDescent="0.3">
      <c r="A1327" t="s">
        <v>1206</v>
      </c>
    </row>
    <row r="1328" spans="1:1" x14ac:dyDescent="0.3">
      <c r="A1328" t="s">
        <v>7058</v>
      </c>
    </row>
    <row r="1329" spans="1:1" x14ac:dyDescent="0.3">
      <c r="A1329" t="s">
        <v>6713</v>
      </c>
    </row>
    <row r="1330" spans="1:1" x14ac:dyDescent="0.3">
      <c r="A1330" t="s">
        <v>6714</v>
      </c>
    </row>
    <row r="1331" spans="1:1" x14ac:dyDescent="0.3">
      <c r="A1331" t="s">
        <v>6714</v>
      </c>
    </row>
    <row r="1332" spans="1:1" x14ac:dyDescent="0.3">
      <c r="A1332" t="s">
        <v>6714</v>
      </c>
    </row>
    <row r="1333" spans="1:1" x14ac:dyDescent="0.3">
      <c r="A1333" t="s">
        <v>6714</v>
      </c>
    </row>
    <row r="1334" spans="1:1" x14ac:dyDescent="0.3">
      <c r="A1334" t="s">
        <v>6714</v>
      </c>
    </row>
    <row r="1335" spans="1:1" x14ac:dyDescent="0.3">
      <c r="A1335" t="s">
        <v>6714</v>
      </c>
    </row>
    <row r="1336" spans="1:1" x14ac:dyDescent="0.3">
      <c r="A1336" t="s">
        <v>2963</v>
      </c>
    </row>
    <row r="1337" spans="1:1" x14ac:dyDescent="0.3">
      <c r="A1337" t="s">
        <v>6715</v>
      </c>
    </row>
    <row r="1338" spans="1:1" x14ac:dyDescent="0.3">
      <c r="A1338" t="s">
        <v>6715</v>
      </c>
    </row>
    <row r="1339" spans="1:1" x14ac:dyDescent="0.3">
      <c r="A1339" t="s">
        <v>6715</v>
      </c>
    </row>
    <row r="1340" spans="1:1" x14ac:dyDescent="0.3">
      <c r="A1340" t="s">
        <v>6947</v>
      </c>
    </row>
    <row r="1341" spans="1:1" x14ac:dyDescent="0.3">
      <c r="A1341" t="s">
        <v>617</v>
      </c>
    </row>
    <row r="1342" spans="1:1" x14ac:dyDescent="0.3">
      <c r="A1342" t="s">
        <v>6716</v>
      </c>
    </row>
    <row r="1343" spans="1:1" x14ac:dyDescent="0.3">
      <c r="A1343" t="s">
        <v>7249</v>
      </c>
    </row>
    <row r="1344" spans="1:1" x14ac:dyDescent="0.3">
      <c r="A1344" t="s">
        <v>403</v>
      </c>
    </row>
    <row r="1345" spans="1:1" x14ac:dyDescent="0.3">
      <c r="A1345" t="s">
        <v>6717</v>
      </c>
    </row>
    <row r="1346" spans="1:1" x14ac:dyDescent="0.3">
      <c r="A1346" t="s">
        <v>6717</v>
      </c>
    </row>
    <row r="1347" spans="1:1" x14ac:dyDescent="0.3">
      <c r="A1347" t="s">
        <v>6717</v>
      </c>
    </row>
    <row r="1348" spans="1:1" x14ac:dyDescent="0.3">
      <c r="A1348" t="s">
        <v>6717</v>
      </c>
    </row>
    <row r="1349" spans="1:1" x14ac:dyDescent="0.3">
      <c r="A1349" t="s">
        <v>6717</v>
      </c>
    </row>
    <row r="1350" spans="1:1" x14ac:dyDescent="0.3">
      <c r="A1350" t="s">
        <v>6717</v>
      </c>
    </row>
    <row r="1351" spans="1:1" x14ac:dyDescent="0.3">
      <c r="A1351" t="s">
        <v>6717</v>
      </c>
    </row>
    <row r="1352" spans="1:1" x14ac:dyDescent="0.3">
      <c r="A1352" t="s">
        <v>6717</v>
      </c>
    </row>
    <row r="1353" spans="1:1" x14ac:dyDescent="0.3">
      <c r="A1353" t="s">
        <v>6717</v>
      </c>
    </row>
    <row r="1354" spans="1:1" x14ac:dyDescent="0.3">
      <c r="A1354" t="s">
        <v>7250</v>
      </c>
    </row>
    <row r="1355" spans="1:1" x14ac:dyDescent="0.3">
      <c r="A1355" t="s">
        <v>1900</v>
      </c>
    </row>
    <row r="1356" spans="1:1" x14ac:dyDescent="0.3">
      <c r="A1356" t="s">
        <v>1900</v>
      </c>
    </row>
    <row r="1357" spans="1:1" x14ac:dyDescent="0.3">
      <c r="A1357" t="s">
        <v>1608</v>
      </c>
    </row>
    <row r="1358" spans="1:1" x14ac:dyDescent="0.3">
      <c r="A1358" t="s">
        <v>6718</v>
      </c>
    </row>
    <row r="1359" spans="1:1" x14ac:dyDescent="0.3">
      <c r="A1359" t="s">
        <v>6718</v>
      </c>
    </row>
    <row r="1360" spans="1:1" x14ac:dyDescent="0.3">
      <c r="A1360" t="s">
        <v>6718</v>
      </c>
    </row>
    <row r="1361" spans="1:1" x14ac:dyDescent="0.3">
      <c r="A1361" t="s">
        <v>7188</v>
      </c>
    </row>
    <row r="1362" spans="1:1" x14ac:dyDescent="0.3">
      <c r="A1362" t="s">
        <v>6948</v>
      </c>
    </row>
    <row r="1363" spans="1:1" x14ac:dyDescent="0.3">
      <c r="A1363" t="s">
        <v>6948</v>
      </c>
    </row>
    <row r="1364" spans="1:1" x14ac:dyDescent="0.3">
      <c r="A1364" t="s">
        <v>777</v>
      </c>
    </row>
    <row r="1365" spans="1:1" x14ac:dyDescent="0.3">
      <c r="A1365" t="s">
        <v>777</v>
      </c>
    </row>
    <row r="1366" spans="1:1" x14ac:dyDescent="0.3">
      <c r="A1366" t="s">
        <v>6719</v>
      </c>
    </row>
    <row r="1367" spans="1:1" x14ac:dyDescent="0.3">
      <c r="A1367" t="s">
        <v>6719</v>
      </c>
    </row>
    <row r="1368" spans="1:1" x14ac:dyDescent="0.3">
      <c r="A1368" t="s">
        <v>6719</v>
      </c>
    </row>
    <row r="1369" spans="1:1" x14ac:dyDescent="0.3">
      <c r="A1369" t="s">
        <v>6719</v>
      </c>
    </row>
    <row r="1370" spans="1:1" x14ac:dyDescent="0.3">
      <c r="A1370" t="s">
        <v>6719</v>
      </c>
    </row>
    <row r="1371" spans="1:1" x14ac:dyDescent="0.3">
      <c r="A1371" t="s">
        <v>6719</v>
      </c>
    </row>
    <row r="1372" spans="1:1" x14ac:dyDescent="0.3">
      <c r="A1372" t="s">
        <v>6719</v>
      </c>
    </row>
    <row r="1373" spans="1:1" x14ac:dyDescent="0.3">
      <c r="A1373" t="s">
        <v>6719</v>
      </c>
    </row>
    <row r="1374" spans="1:1" x14ac:dyDescent="0.3">
      <c r="A1374" t="s">
        <v>6719</v>
      </c>
    </row>
    <row r="1375" spans="1:1" x14ac:dyDescent="0.3">
      <c r="A1375" t="s">
        <v>6719</v>
      </c>
    </row>
    <row r="1376" spans="1:1" x14ac:dyDescent="0.3">
      <c r="A1376" t="s">
        <v>6719</v>
      </c>
    </row>
    <row r="1377" spans="1:1" x14ac:dyDescent="0.3">
      <c r="A1377" t="s">
        <v>6719</v>
      </c>
    </row>
    <row r="1378" spans="1:1" x14ac:dyDescent="0.3">
      <c r="A1378" t="s">
        <v>6719</v>
      </c>
    </row>
    <row r="1379" spans="1:1" x14ac:dyDescent="0.3">
      <c r="A1379" t="s">
        <v>6719</v>
      </c>
    </row>
    <row r="1380" spans="1:1" x14ac:dyDescent="0.3">
      <c r="A1380" t="s">
        <v>6719</v>
      </c>
    </row>
    <row r="1381" spans="1:1" x14ac:dyDescent="0.3">
      <c r="A1381" t="s">
        <v>7326</v>
      </c>
    </row>
    <row r="1382" spans="1:1" x14ac:dyDescent="0.3">
      <c r="A1382" t="s">
        <v>7251</v>
      </c>
    </row>
    <row r="1383" spans="1:1" x14ac:dyDescent="0.3">
      <c r="A1383" t="s">
        <v>7251</v>
      </c>
    </row>
    <row r="1384" spans="1:1" x14ac:dyDescent="0.3">
      <c r="A1384" t="s">
        <v>7327</v>
      </c>
    </row>
    <row r="1385" spans="1:1" x14ac:dyDescent="0.3">
      <c r="A1385" t="s">
        <v>2062</v>
      </c>
    </row>
    <row r="1386" spans="1:1" x14ac:dyDescent="0.3">
      <c r="A1386" t="s">
        <v>6720</v>
      </c>
    </row>
    <row r="1387" spans="1:1" x14ac:dyDescent="0.3">
      <c r="A1387" t="s">
        <v>6720</v>
      </c>
    </row>
    <row r="1388" spans="1:1" x14ac:dyDescent="0.3">
      <c r="A1388" t="s">
        <v>6720</v>
      </c>
    </row>
    <row r="1389" spans="1:1" x14ac:dyDescent="0.3">
      <c r="A1389" t="s">
        <v>6721</v>
      </c>
    </row>
    <row r="1390" spans="1:1" x14ac:dyDescent="0.3">
      <c r="A1390" t="s">
        <v>6721</v>
      </c>
    </row>
    <row r="1391" spans="1:1" x14ac:dyDescent="0.3">
      <c r="A1391" t="s">
        <v>6721</v>
      </c>
    </row>
    <row r="1392" spans="1:1" x14ac:dyDescent="0.3">
      <c r="A1392" t="s">
        <v>6949</v>
      </c>
    </row>
    <row r="1393" spans="1:1" x14ac:dyDescent="0.3">
      <c r="A1393" t="s">
        <v>6949</v>
      </c>
    </row>
    <row r="1394" spans="1:1" x14ac:dyDescent="0.3">
      <c r="A1394" t="s">
        <v>576</v>
      </c>
    </row>
    <row r="1395" spans="1:1" x14ac:dyDescent="0.3">
      <c r="A1395" t="s">
        <v>576</v>
      </c>
    </row>
    <row r="1396" spans="1:1" x14ac:dyDescent="0.3">
      <c r="A1396" t="s">
        <v>576</v>
      </c>
    </row>
    <row r="1397" spans="1:1" x14ac:dyDescent="0.3">
      <c r="A1397" t="s">
        <v>576</v>
      </c>
    </row>
    <row r="1398" spans="1:1" x14ac:dyDescent="0.3">
      <c r="A1398" t="s">
        <v>576</v>
      </c>
    </row>
    <row r="1399" spans="1:1" x14ac:dyDescent="0.3">
      <c r="A1399" t="s">
        <v>576</v>
      </c>
    </row>
    <row r="1400" spans="1:1" x14ac:dyDescent="0.3">
      <c r="A1400" t="s">
        <v>576</v>
      </c>
    </row>
    <row r="1401" spans="1:1" x14ac:dyDescent="0.3">
      <c r="A1401" t="s">
        <v>6722</v>
      </c>
    </row>
    <row r="1402" spans="1:1" x14ac:dyDescent="0.3">
      <c r="A1402" t="s">
        <v>6722</v>
      </c>
    </row>
    <row r="1403" spans="1:1" x14ac:dyDescent="0.3">
      <c r="A1403" t="s">
        <v>6722</v>
      </c>
    </row>
    <row r="1404" spans="1:1" x14ac:dyDescent="0.3">
      <c r="A1404" t="s">
        <v>6722</v>
      </c>
    </row>
    <row r="1405" spans="1:1" x14ac:dyDescent="0.3">
      <c r="A1405" t="s">
        <v>6722</v>
      </c>
    </row>
    <row r="1406" spans="1:1" x14ac:dyDescent="0.3">
      <c r="A1406" t="s">
        <v>6722</v>
      </c>
    </row>
    <row r="1407" spans="1:1" x14ac:dyDescent="0.3">
      <c r="A1407" t="s">
        <v>6722</v>
      </c>
    </row>
    <row r="1408" spans="1:1" x14ac:dyDescent="0.3">
      <c r="A1408" t="s">
        <v>6722</v>
      </c>
    </row>
    <row r="1409" spans="1:1" x14ac:dyDescent="0.3">
      <c r="A1409" t="s">
        <v>6722</v>
      </c>
    </row>
    <row r="1410" spans="1:1" x14ac:dyDescent="0.3">
      <c r="A1410" t="s">
        <v>6722</v>
      </c>
    </row>
    <row r="1411" spans="1:1" x14ac:dyDescent="0.3">
      <c r="A1411" t="s">
        <v>6722</v>
      </c>
    </row>
    <row r="1412" spans="1:1" x14ac:dyDescent="0.3">
      <c r="A1412" t="s">
        <v>6722</v>
      </c>
    </row>
    <row r="1413" spans="1:1" x14ac:dyDescent="0.3">
      <c r="A1413" t="s">
        <v>6722</v>
      </c>
    </row>
    <row r="1414" spans="1:1" x14ac:dyDescent="0.3">
      <c r="A1414" t="s">
        <v>6722</v>
      </c>
    </row>
    <row r="1415" spans="1:1" x14ac:dyDescent="0.3">
      <c r="A1415" t="s">
        <v>6722</v>
      </c>
    </row>
    <row r="1416" spans="1:1" x14ac:dyDescent="0.3">
      <c r="A1416" t="s">
        <v>6722</v>
      </c>
    </row>
    <row r="1417" spans="1:1" x14ac:dyDescent="0.3">
      <c r="A1417" t="s">
        <v>6722</v>
      </c>
    </row>
    <row r="1418" spans="1:1" x14ac:dyDescent="0.3">
      <c r="A1418" t="s">
        <v>6722</v>
      </c>
    </row>
    <row r="1419" spans="1:1" x14ac:dyDescent="0.3">
      <c r="A1419" t="s">
        <v>6722</v>
      </c>
    </row>
    <row r="1420" spans="1:1" x14ac:dyDescent="0.3">
      <c r="A1420" t="s">
        <v>6722</v>
      </c>
    </row>
    <row r="1421" spans="1:1" x14ac:dyDescent="0.3">
      <c r="A1421" t="s">
        <v>6722</v>
      </c>
    </row>
    <row r="1422" spans="1:1" x14ac:dyDescent="0.3">
      <c r="A1422" t="s">
        <v>6722</v>
      </c>
    </row>
    <row r="1423" spans="1:1" x14ac:dyDescent="0.3">
      <c r="A1423" t="s">
        <v>6722</v>
      </c>
    </row>
    <row r="1424" spans="1:1" x14ac:dyDescent="0.3">
      <c r="A1424" t="s">
        <v>6722</v>
      </c>
    </row>
    <row r="1425" spans="1:1" x14ac:dyDescent="0.3">
      <c r="A1425" t="s">
        <v>6722</v>
      </c>
    </row>
    <row r="1426" spans="1:1" x14ac:dyDescent="0.3">
      <c r="A1426" t="s">
        <v>6722</v>
      </c>
    </row>
    <row r="1427" spans="1:1" x14ac:dyDescent="0.3">
      <c r="A1427" t="s">
        <v>6722</v>
      </c>
    </row>
    <row r="1428" spans="1:1" x14ac:dyDescent="0.3">
      <c r="A1428" t="s">
        <v>6722</v>
      </c>
    </row>
    <row r="1429" spans="1:1" x14ac:dyDescent="0.3">
      <c r="A1429" t="s">
        <v>6722</v>
      </c>
    </row>
    <row r="1430" spans="1:1" x14ac:dyDescent="0.3">
      <c r="A1430" t="s">
        <v>6722</v>
      </c>
    </row>
    <row r="1431" spans="1:1" x14ac:dyDescent="0.3">
      <c r="A1431" t="s">
        <v>6950</v>
      </c>
    </row>
    <row r="1432" spans="1:1" x14ac:dyDescent="0.3">
      <c r="A1432" t="s">
        <v>6951</v>
      </c>
    </row>
    <row r="1433" spans="1:1" x14ac:dyDescent="0.3">
      <c r="A1433" t="s">
        <v>7189</v>
      </c>
    </row>
    <row r="1434" spans="1:1" x14ac:dyDescent="0.3">
      <c r="A1434" t="s">
        <v>6952</v>
      </c>
    </row>
    <row r="1435" spans="1:1" x14ac:dyDescent="0.3">
      <c r="A1435" t="s">
        <v>6723</v>
      </c>
    </row>
    <row r="1436" spans="1:1" x14ac:dyDescent="0.3">
      <c r="A1436" t="s">
        <v>6723</v>
      </c>
    </row>
    <row r="1437" spans="1:1" x14ac:dyDescent="0.3">
      <c r="A1437" t="s">
        <v>6723</v>
      </c>
    </row>
    <row r="1438" spans="1:1" x14ac:dyDescent="0.3">
      <c r="A1438" t="s">
        <v>6723</v>
      </c>
    </row>
    <row r="1439" spans="1:1" x14ac:dyDescent="0.3">
      <c r="A1439" t="s">
        <v>6723</v>
      </c>
    </row>
    <row r="1440" spans="1:1" x14ac:dyDescent="0.3">
      <c r="A1440" t="s">
        <v>6723</v>
      </c>
    </row>
    <row r="1441" spans="1:1" x14ac:dyDescent="0.3">
      <c r="A1441" t="s">
        <v>6723</v>
      </c>
    </row>
    <row r="1442" spans="1:1" x14ac:dyDescent="0.3">
      <c r="A1442" t="s">
        <v>6723</v>
      </c>
    </row>
    <row r="1443" spans="1:1" x14ac:dyDescent="0.3">
      <c r="A1443" t="s">
        <v>6723</v>
      </c>
    </row>
    <row r="1444" spans="1:1" x14ac:dyDescent="0.3">
      <c r="A1444" t="s">
        <v>6723</v>
      </c>
    </row>
    <row r="1445" spans="1:1" x14ac:dyDescent="0.3">
      <c r="A1445" t="s">
        <v>6723</v>
      </c>
    </row>
    <row r="1446" spans="1:1" x14ac:dyDescent="0.3">
      <c r="A1446" t="s">
        <v>6723</v>
      </c>
    </row>
    <row r="1447" spans="1:1" x14ac:dyDescent="0.3">
      <c r="A1447" t="s">
        <v>6723</v>
      </c>
    </row>
    <row r="1448" spans="1:1" x14ac:dyDescent="0.3">
      <c r="A1448" t="s">
        <v>6723</v>
      </c>
    </row>
    <row r="1449" spans="1:1" x14ac:dyDescent="0.3">
      <c r="A1449" t="s">
        <v>6953</v>
      </c>
    </row>
    <row r="1450" spans="1:1" x14ac:dyDescent="0.3">
      <c r="A1450" t="s">
        <v>1083</v>
      </c>
    </row>
    <row r="1451" spans="1:1" x14ac:dyDescent="0.3">
      <c r="A1451" t="s">
        <v>1083</v>
      </c>
    </row>
    <row r="1452" spans="1:1" x14ac:dyDescent="0.3">
      <c r="A1452" t="s">
        <v>1083</v>
      </c>
    </row>
    <row r="1453" spans="1:1" x14ac:dyDescent="0.3">
      <c r="A1453" t="s">
        <v>2091</v>
      </c>
    </row>
    <row r="1454" spans="1:1" x14ac:dyDescent="0.3">
      <c r="A1454" t="s">
        <v>2091</v>
      </c>
    </row>
    <row r="1455" spans="1:1" x14ac:dyDescent="0.3">
      <c r="A1455" t="s">
        <v>6724</v>
      </c>
    </row>
    <row r="1456" spans="1:1" x14ac:dyDescent="0.3">
      <c r="A1456" t="s">
        <v>6724</v>
      </c>
    </row>
    <row r="1457" spans="1:1" x14ac:dyDescent="0.3">
      <c r="A1457" t="s">
        <v>3050</v>
      </c>
    </row>
    <row r="1458" spans="1:1" x14ac:dyDescent="0.3">
      <c r="A1458" t="s">
        <v>3050</v>
      </c>
    </row>
    <row r="1459" spans="1:1" x14ac:dyDescent="0.3">
      <c r="A1459" t="s">
        <v>6725</v>
      </c>
    </row>
    <row r="1460" spans="1:1" x14ac:dyDescent="0.3">
      <c r="A1460" t="s">
        <v>6725</v>
      </c>
    </row>
    <row r="1461" spans="1:1" x14ac:dyDescent="0.3">
      <c r="A1461" t="s">
        <v>6725</v>
      </c>
    </row>
    <row r="1462" spans="1:1" x14ac:dyDescent="0.3">
      <c r="A1462" t="s">
        <v>6726</v>
      </c>
    </row>
    <row r="1463" spans="1:1" x14ac:dyDescent="0.3">
      <c r="A1463" t="s">
        <v>6726</v>
      </c>
    </row>
    <row r="1464" spans="1:1" x14ac:dyDescent="0.3">
      <c r="A1464" t="s">
        <v>6726</v>
      </c>
    </row>
    <row r="1465" spans="1:1" x14ac:dyDescent="0.3">
      <c r="A1465" t="s">
        <v>6726</v>
      </c>
    </row>
    <row r="1466" spans="1:1" x14ac:dyDescent="0.3">
      <c r="A1466" t="s">
        <v>6726</v>
      </c>
    </row>
    <row r="1467" spans="1:1" x14ac:dyDescent="0.3">
      <c r="A1467" t="s">
        <v>6726</v>
      </c>
    </row>
    <row r="1468" spans="1:1" x14ac:dyDescent="0.3">
      <c r="A1468" t="s">
        <v>6726</v>
      </c>
    </row>
    <row r="1469" spans="1:1" x14ac:dyDescent="0.3">
      <c r="A1469" t="s">
        <v>6726</v>
      </c>
    </row>
    <row r="1470" spans="1:1" x14ac:dyDescent="0.3">
      <c r="A1470" t="s">
        <v>6726</v>
      </c>
    </row>
    <row r="1471" spans="1:1" x14ac:dyDescent="0.3">
      <c r="A1471" t="s">
        <v>6726</v>
      </c>
    </row>
    <row r="1472" spans="1:1" x14ac:dyDescent="0.3">
      <c r="A1472" t="s">
        <v>6726</v>
      </c>
    </row>
    <row r="1473" spans="1:1" x14ac:dyDescent="0.3">
      <c r="A1473" t="s">
        <v>6726</v>
      </c>
    </row>
    <row r="1474" spans="1:1" x14ac:dyDescent="0.3">
      <c r="A1474" t="s">
        <v>6726</v>
      </c>
    </row>
    <row r="1475" spans="1:1" x14ac:dyDescent="0.3">
      <c r="A1475" t="s">
        <v>6726</v>
      </c>
    </row>
    <row r="1476" spans="1:1" x14ac:dyDescent="0.3">
      <c r="A1476" t="s">
        <v>6726</v>
      </c>
    </row>
    <row r="1477" spans="1:1" x14ac:dyDescent="0.3">
      <c r="A1477" t="s">
        <v>6954</v>
      </c>
    </row>
    <row r="1478" spans="1:1" x14ac:dyDescent="0.3">
      <c r="A1478" t="s">
        <v>6619</v>
      </c>
    </row>
    <row r="1479" spans="1:1" x14ac:dyDescent="0.3">
      <c r="A1479" t="s">
        <v>2815</v>
      </c>
    </row>
    <row r="1480" spans="1:1" x14ac:dyDescent="0.3">
      <c r="A1480" t="s">
        <v>2815</v>
      </c>
    </row>
    <row r="1481" spans="1:1" x14ac:dyDescent="0.3">
      <c r="A1481" t="s">
        <v>2815</v>
      </c>
    </row>
    <row r="1482" spans="1:1" x14ac:dyDescent="0.3">
      <c r="A1482" t="s">
        <v>7328</v>
      </c>
    </row>
    <row r="1483" spans="1:1" x14ac:dyDescent="0.3">
      <c r="A1483" t="s">
        <v>7252</v>
      </c>
    </row>
    <row r="1484" spans="1:1" x14ac:dyDescent="0.3">
      <c r="A1484" t="s">
        <v>6727</v>
      </c>
    </row>
    <row r="1485" spans="1:1" x14ac:dyDescent="0.3">
      <c r="A1485" t="s">
        <v>6727</v>
      </c>
    </row>
    <row r="1486" spans="1:1" x14ac:dyDescent="0.3">
      <c r="A1486" t="s">
        <v>6727</v>
      </c>
    </row>
    <row r="1487" spans="1:1" x14ac:dyDescent="0.3">
      <c r="A1487" t="s">
        <v>6955</v>
      </c>
    </row>
    <row r="1488" spans="1:1" x14ac:dyDescent="0.3">
      <c r="A1488" t="s">
        <v>6955</v>
      </c>
    </row>
    <row r="1489" spans="1:1" x14ac:dyDescent="0.3">
      <c r="A1489" t="s">
        <v>202</v>
      </c>
    </row>
    <row r="1490" spans="1:1" x14ac:dyDescent="0.3">
      <c r="A1490" t="s">
        <v>202</v>
      </c>
    </row>
    <row r="1491" spans="1:1" x14ac:dyDescent="0.3">
      <c r="A1491" t="s">
        <v>202</v>
      </c>
    </row>
    <row r="1492" spans="1:1" x14ac:dyDescent="0.3">
      <c r="A1492" t="s">
        <v>202</v>
      </c>
    </row>
    <row r="1493" spans="1:1" x14ac:dyDescent="0.3">
      <c r="A1493" t="s">
        <v>6728</v>
      </c>
    </row>
    <row r="1494" spans="1:1" x14ac:dyDescent="0.3">
      <c r="A1494" t="s">
        <v>6728</v>
      </c>
    </row>
    <row r="1495" spans="1:1" x14ac:dyDescent="0.3">
      <c r="A1495" t="s">
        <v>6728</v>
      </c>
    </row>
    <row r="1496" spans="1:1" x14ac:dyDescent="0.3">
      <c r="A1496" t="s">
        <v>6728</v>
      </c>
    </row>
    <row r="1497" spans="1:1" x14ac:dyDescent="0.3">
      <c r="A1497" t="s">
        <v>6729</v>
      </c>
    </row>
    <row r="1498" spans="1:1" x14ac:dyDescent="0.3">
      <c r="A1498" t="s">
        <v>6729</v>
      </c>
    </row>
    <row r="1499" spans="1:1" x14ac:dyDescent="0.3">
      <c r="A1499" t="s">
        <v>6729</v>
      </c>
    </row>
    <row r="1500" spans="1:1" x14ac:dyDescent="0.3">
      <c r="A1500" t="s">
        <v>6729</v>
      </c>
    </row>
    <row r="1501" spans="1:1" x14ac:dyDescent="0.3">
      <c r="A1501" t="s">
        <v>6729</v>
      </c>
    </row>
    <row r="1502" spans="1:1" x14ac:dyDescent="0.3">
      <c r="A1502" t="s">
        <v>6729</v>
      </c>
    </row>
    <row r="1503" spans="1:1" x14ac:dyDescent="0.3">
      <c r="A1503" t="s">
        <v>6729</v>
      </c>
    </row>
    <row r="1504" spans="1:1" x14ac:dyDescent="0.3">
      <c r="A1504" t="s">
        <v>6729</v>
      </c>
    </row>
    <row r="1505" spans="1:1" x14ac:dyDescent="0.3">
      <c r="A1505" t="s">
        <v>6729</v>
      </c>
    </row>
    <row r="1506" spans="1:1" x14ac:dyDescent="0.3">
      <c r="A1506" t="s">
        <v>6729</v>
      </c>
    </row>
    <row r="1507" spans="1:1" x14ac:dyDescent="0.3">
      <c r="A1507" t="s">
        <v>6729</v>
      </c>
    </row>
    <row r="1508" spans="1:1" x14ac:dyDescent="0.3">
      <c r="A1508" t="s">
        <v>6729</v>
      </c>
    </row>
    <row r="1509" spans="1:1" x14ac:dyDescent="0.3">
      <c r="A1509" t="s">
        <v>6729</v>
      </c>
    </row>
    <row r="1510" spans="1:1" x14ac:dyDescent="0.3">
      <c r="A1510" t="s">
        <v>6729</v>
      </c>
    </row>
    <row r="1511" spans="1:1" x14ac:dyDescent="0.3">
      <c r="A1511" t="s">
        <v>7329</v>
      </c>
    </row>
    <row r="1512" spans="1:1" x14ac:dyDescent="0.3">
      <c r="A1512" t="s">
        <v>7330</v>
      </c>
    </row>
    <row r="1513" spans="1:1" x14ac:dyDescent="0.3">
      <c r="A1513" t="s">
        <v>6730</v>
      </c>
    </row>
    <row r="1514" spans="1:1" x14ac:dyDescent="0.3">
      <c r="A1514" t="s">
        <v>6730</v>
      </c>
    </row>
    <row r="1515" spans="1:1" x14ac:dyDescent="0.3">
      <c r="A1515" t="s">
        <v>6730</v>
      </c>
    </row>
    <row r="1516" spans="1:1" x14ac:dyDescent="0.3">
      <c r="A1516" t="s">
        <v>6730</v>
      </c>
    </row>
    <row r="1517" spans="1:1" x14ac:dyDescent="0.3">
      <c r="A1517" t="s">
        <v>6730</v>
      </c>
    </row>
    <row r="1518" spans="1:1" x14ac:dyDescent="0.3">
      <c r="A1518" t="s">
        <v>6730</v>
      </c>
    </row>
    <row r="1519" spans="1:1" x14ac:dyDescent="0.3">
      <c r="A1519" t="s">
        <v>6730</v>
      </c>
    </row>
    <row r="1520" spans="1:1" x14ac:dyDescent="0.3">
      <c r="A1520" t="s">
        <v>6730</v>
      </c>
    </row>
    <row r="1521" spans="1:1" x14ac:dyDescent="0.3">
      <c r="A1521" t="s">
        <v>6730</v>
      </c>
    </row>
    <row r="1522" spans="1:1" x14ac:dyDescent="0.3">
      <c r="A1522" t="s">
        <v>6730</v>
      </c>
    </row>
    <row r="1523" spans="1:1" x14ac:dyDescent="0.3">
      <c r="A1523" t="s">
        <v>6730</v>
      </c>
    </row>
    <row r="1524" spans="1:1" x14ac:dyDescent="0.3">
      <c r="A1524" t="s">
        <v>6730</v>
      </c>
    </row>
    <row r="1525" spans="1:1" x14ac:dyDescent="0.3">
      <c r="A1525" t="s">
        <v>6730</v>
      </c>
    </row>
    <row r="1526" spans="1:1" x14ac:dyDescent="0.3">
      <c r="A1526" t="s">
        <v>6730</v>
      </c>
    </row>
    <row r="1527" spans="1:1" x14ac:dyDescent="0.3">
      <c r="A1527" t="s">
        <v>6730</v>
      </c>
    </row>
    <row r="1528" spans="1:1" x14ac:dyDescent="0.3">
      <c r="A1528" t="s">
        <v>6730</v>
      </c>
    </row>
    <row r="1529" spans="1:1" x14ac:dyDescent="0.3">
      <c r="A1529" t="s">
        <v>6956</v>
      </c>
    </row>
    <row r="1530" spans="1:1" x14ac:dyDescent="0.3">
      <c r="A1530" t="s">
        <v>6957</v>
      </c>
    </row>
    <row r="1531" spans="1:1" x14ac:dyDescent="0.3">
      <c r="A1531" t="s">
        <v>6957</v>
      </c>
    </row>
    <row r="1532" spans="1:1" x14ac:dyDescent="0.3">
      <c r="A1532" t="s">
        <v>6957</v>
      </c>
    </row>
    <row r="1533" spans="1:1" x14ac:dyDescent="0.3">
      <c r="A1533" t="s">
        <v>7253</v>
      </c>
    </row>
    <row r="1534" spans="1:1" x14ac:dyDescent="0.3">
      <c r="A1534" t="s">
        <v>7253</v>
      </c>
    </row>
    <row r="1535" spans="1:1" x14ac:dyDescent="0.3">
      <c r="A1535" t="s">
        <v>7253</v>
      </c>
    </row>
    <row r="1536" spans="1:1" x14ac:dyDescent="0.3">
      <c r="A1536" t="s">
        <v>7253</v>
      </c>
    </row>
    <row r="1537" spans="1:1" x14ac:dyDescent="0.3">
      <c r="A1537" t="s">
        <v>159</v>
      </c>
    </row>
    <row r="1538" spans="1:1" x14ac:dyDescent="0.3">
      <c r="A1538" t="s">
        <v>159</v>
      </c>
    </row>
    <row r="1539" spans="1:1" x14ac:dyDescent="0.3">
      <c r="A1539" t="s">
        <v>6731</v>
      </c>
    </row>
    <row r="1540" spans="1:1" x14ac:dyDescent="0.3">
      <c r="A1540" t="s">
        <v>6731</v>
      </c>
    </row>
    <row r="1541" spans="1:1" x14ac:dyDescent="0.3">
      <c r="A1541" t="s">
        <v>6731</v>
      </c>
    </row>
    <row r="1542" spans="1:1" x14ac:dyDescent="0.3">
      <c r="A1542" t="s">
        <v>6731</v>
      </c>
    </row>
    <row r="1543" spans="1:1" x14ac:dyDescent="0.3">
      <c r="A1543" t="s">
        <v>6731</v>
      </c>
    </row>
    <row r="1544" spans="1:1" x14ac:dyDescent="0.3">
      <c r="A1544" t="s">
        <v>6731</v>
      </c>
    </row>
    <row r="1545" spans="1:1" x14ac:dyDescent="0.3">
      <c r="A1545" t="s">
        <v>6731</v>
      </c>
    </row>
    <row r="1546" spans="1:1" x14ac:dyDescent="0.3">
      <c r="A1546" t="s">
        <v>6731</v>
      </c>
    </row>
    <row r="1547" spans="1:1" x14ac:dyDescent="0.3">
      <c r="A1547" t="s">
        <v>6731</v>
      </c>
    </row>
    <row r="1548" spans="1:1" x14ac:dyDescent="0.3">
      <c r="A1548" t="s">
        <v>6731</v>
      </c>
    </row>
    <row r="1549" spans="1:1" x14ac:dyDescent="0.3">
      <c r="A1549" t="s">
        <v>6731</v>
      </c>
    </row>
    <row r="1550" spans="1:1" x14ac:dyDescent="0.3">
      <c r="A1550" t="s">
        <v>6731</v>
      </c>
    </row>
    <row r="1551" spans="1:1" x14ac:dyDescent="0.3">
      <c r="A1551" t="s">
        <v>6731</v>
      </c>
    </row>
    <row r="1552" spans="1:1" x14ac:dyDescent="0.3">
      <c r="A1552" t="s">
        <v>6731</v>
      </c>
    </row>
    <row r="1553" spans="1:1" x14ac:dyDescent="0.3">
      <c r="A1553" t="s">
        <v>6731</v>
      </c>
    </row>
    <row r="1554" spans="1:1" x14ac:dyDescent="0.3">
      <c r="A1554" t="s">
        <v>6731</v>
      </c>
    </row>
    <row r="1555" spans="1:1" x14ac:dyDescent="0.3">
      <c r="A1555" t="s">
        <v>7190</v>
      </c>
    </row>
    <row r="1556" spans="1:1" x14ac:dyDescent="0.3">
      <c r="A1556" t="s">
        <v>7191</v>
      </c>
    </row>
    <row r="1557" spans="1:1" x14ac:dyDescent="0.3">
      <c r="A1557" t="s">
        <v>7191</v>
      </c>
    </row>
    <row r="1558" spans="1:1" x14ac:dyDescent="0.3">
      <c r="A1558" t="s">
        <v>7191</v>
      </c>
    </row>
    <row r="1559" spans="1:1" x14ac:dyDescent="0.3">
      <c r="A1559" t="s">
        <v>7192</v>
      </c>
    </row>
    <row r="1560" spans="1:1" x14ac:dyDescent="0.3">
      <c r="A1560" t="s">
        <v>2396</v>
      </c>
    </row>
    <row r="1561" spans="1:1" x14ac:dyDescent="0.3">
      <c r="A1561" t="s">
        <v>2396</v>
      </c>
    </row>
    <row r="1562" spans="1:1" x14ac:dyDescent="0.3">
      <c r="A1562" t="s">
        <v>2396</v>
      </c>
    </row>
    <row r="1563" spans="1:1" x14ac:dyDescent="0.3">
      <c r="A1563" t="s">
        <v>2396</v>
      </c>
    </row>
    <row r="1564" spans="1:1" x14ac:dyDescent="0.3">
      <c r="A1564" t="s">
        <v>2396</v>
      </c>
    </row>
    <row r="1565" spans="1:1" x14ac:dyDescent="0.3">
      <c r="A1565" t="s">
        <v>2396</v>
      </c>
    </row>
    <row r="1566" spans="1:1" x14ac:dyDescent="0.3">
      <c r="A1566" t="s">
        <v>7108</v>
      </c>
    </row>
    <row r="1567" spans="1:1" x14ac:dyDescent="0.3">
      <c r="A1567" t="s">
        <v>7108</v>
      </c>
    </row>
    <row r="1568" spans="1:1" x14ac:dyDescent="0.3">
      <c r="A1568" t="s">
        <v>7108</v>
      </c>
    </row>
    <row r="1569" spans="1:1" x14ac:dyDescent="0.3">
      <c r="A1569" t="s">
        <v>7108</v>
      </c>
    </row>
    <row r="1570" spans="1:1" x14ac:dyDescent="0.3">
      <c r="A1570" t="s">
        <v>7108</v>
      </c>
    </row>
    <row r="1571" spans="1:1" x14ac:dyDescent="0.3">
      <c r="A1571" t="s">
        <v>7109</v>
      </c>
    </row>
    <row r="1572" spans="1:1" x14ac:dyDescent="0.3">
      <c r="A1572" t="s">
        <v>2930</v>
      </c>
    </row>
    <row r="1573" spans="1:1" x14ac:dyDescent="0.3">
      <c r="A1573" t="s">
        <v>6620</v>
      </c>
    </row>
    <row r="1574" spans="1:1" x14ac:dyDescent="0.3">
      <c r="A1574" t="s">
        <v>6732</v>
      </c>
    </row>
    <row r="1575" spans="1:1" x14ac:dyDescent="0.3">
      <c r="A1575" t="s">
        <v>7194</v>
      </c>
    </row>
    <row r="1576" spans="1:1" x14ac:dyDescent="0.3">
      <c r="A1576" t="s">
        <v>2156</v>
      </c>
    </row>
    <row r="1577" spans="1:1" x14ac:dyDescent="0.3">
      <c r="A1577" t="s">
        <v>6733</v>
      </c>
    </row>
    <row r="1578" spans="1:1" x14ac:dyDescent="0.3">
      <c r="A1578" t="s">
        <v>6733</v>
      </c>
    </row>
    <row r="1579" spans="1:1" x14ac:dyDescent="0.3">
      <c r="A1579" t="s">
        <v>6733</v>
      </c>
    </row>
    <row r="1580" spans="1:1" x14ac:dyDescent="0.3">
      <c r="A1580" t="s">
        <v>6733</v>
      </c>
    </row>
    <row r="1581" spans="1:1" x14ac:dyDescent="0.3">
      <c r="A1581" t="s">
        <v>6958</v>
      </c>
    </row>
    <row r="1582" spans="1:1" x14ac:dyDescent="0.3">
      <c r="A1582" t="s">
        <v>6958</v>
      </c>
    </row>
    <row r="1583" spans="1:1" x14ac:dyDescent="0.3">
      <c r="A1583" t="s">
        <v>6958</v>
      </c>
    </row>
    <row r="1584" spans="1:1" x14ac:dyDescent="0.3">
      <c r="A1584" t="s">
        <v>6958</v>
      </c>
    </row>
    <row r="1585" spans="1:1" x14ac:dyDescent="0.3">
      <c r="A1585" t="s">
        <v>6958</v>
      </c>
    </row>
    <row r="1586" spans="1:1" x14ac:dyDescent="0.3">
      <c r="A1586" t="s">
        <v>6958</v>
      </c>
    </row>
    <row r="1587" spans="1:1" x14ac:dyDescent="0.3">
      <c r="A1587" t="s">
        <v>6958</v>
      </c>
    </row>
    <row r="1588" spans="1:1" x14ac:dyDescent="0.3">
      <c r="A1588" t="s">
        <v>6958</v>
      </c>
    </row>
    <row r="1589" spans="1:1" x14ac:dyDescent="0.3">
      <c r="A1589" t="s">
        <v>6958</v>
      </c>
    </row>
    <row r="1590" spans="1:1" x14ac:dyDescent="0.3">
      <c r="A1590" t="s">
        <v>6958</v>
      </c>
    </row>
    <row r="1591" spans="1:1" x14ac:dyDescent="0.3">
      <c r="A1591" t="s">
        <v>1574</v>
      </c>
    </row>
    <row r="1592" spans="1:1" x14ac:dyDescent="0.3">
      <c r="A1592" t="s">
        <v>1574</v>
      </c>
    </row>
    <row r="1593" spans="1:1" x14ac:dyDescent="0.3">
      <c r="A1593" t="s">
        <v>1574</v>
      </c>
    </row>
    <row r="1594" spans="1:1" x14ac:dyDescent="0.3">
      <c r="A1594" t="s">
        <v>1574</v>
      </c>
    </row>
    <row r="1595" spans="1:1" x14ac:dyDescent="0.3">
      <c r="A1595" t="s">
        <v>1574</v>
      </c>
    </row>
    <row r="1596" spans="1:1" x14ac:dyDescent="0.3">
      <c r="A1596" t="s">
        <v>1574</v>
      </c>
    </row>
    <row r="1597" spans="1:1" x14ac:dyDescent="0.3">
      <c r="A1597" t="s">
        <v>1574</v>
      </c>
    </row>
    <row r="1598" spans="1:1" x14ac:dyDescent="0.3">
      <c r="A1598" t="s">
        <v>1574</v>
      </c>
    </row>
    <row r="1599" spans="1:1" x14ac:dyDescent="0.3">
      <c r="A1599" t="s">
        <v>1574</v>
      </c>
    </row>
    <row r="1600" spans="1:1" x14ac:dyDescent="0.3">
      <c r="A1600" t="s">
        <v>1574</v>
      </c>
    </row>
    <row r="1601" spans="1:1" x14ac:dyDescent="0.3">
      <c r="A1601" t="s">
        <v>1574</v>
      </c>
    </row>
    <row r="1602" spans="1:1" x14ac:dyDescent="0.3">
      <c r="A1602" t="s">
        <v>1246</v>
      </c>
    </row>
    <row r="1603" spans="1:1" x14ac:dyDescent="0.3">
      <c r="A1603" t="s">
        <v>6734</v>
      </c>
    </row>
    <row r="1604" spans="1:1" x14ac:dyDescent="0.3">
      <c r="A1604" t="s">
        <v>6734</v>
      </c>
    </row>
    <row r="1605" spans="1:1" x14ac:dyDescent="0.3">
      <c r="A1605" t="s">
        <v>6734</v>
      </c>
    </row>
    <row r="1606" spans="1:1" x14ac:dyDescent="0.3">
      <c r="A1606" t="s">
        <v>6734</v>
      </c>
    </row>
    <row r="1607" spans="1:1" x14ac:dyDescent="0.3">
      <c r="A1607" t="s">
        <v>7254</v>
      </c>
    </row>
    <row r="1608" spans="1:1" x14ac:dyDescent="0.3">
      <c r="A1608" t="s">
        <v>7110</v>
      </c>
    </row>
    <row r="1609" spans="1:1" x14ac:dyDescent="0.3">
      <c r="A1609" t="s">
        <v>7255</v>
      </c>
    </row>
    <row r="1610" spans="1:1" x14ac:dyDescent="0.3">
      <c r="A1610" t="s">
        <v>6621</v>
      </c>
    </row>
    <row r="1611" spans="1:1" x14ac:dyDescent="0.3">
      <c r="A1611" t="s">
        <v>6735</v>
      </c>
    </row>
    <row r="1612" spans="1:1" x14ac:dyDescent="0.3">
      <c r="A1612" t="s">
        <v>6735</v>
      </c>
    </row>
    <row r="1613" spans="1:1" x14ac:dyDescent="0.3">
      <c r="A1613" t="s">
        <v>6735</v>
      </c>
    </row>
    <row r="1614" spans="1:1" x14ac:dyDescent="0.3">
      <c r="A1614" t="s">
        <v>6736</v>
      </c>
    </row>
    <row r="1615" spans="1:1" x14ac:dyDescent="0.3">
      <c r="A1615" t="s">
        <v>7112</v>
      </c>
    </row>
    <row r="1616" spans="1:1" x14ac:dyDescent="0.3">
      <c r="A1616" t="s">
        <v>6959</v>
      </c>
    </row>
    <row r="1617" spans="1:1" x14ac:dyDescent="0.3">
      <c r="A1617" t="s">
        <v>6737</v>
      </c>
    </row>
    <row r="1618" spans="1:1" x14ac:dyDescent="0.3">
      <c r="A1618" t="s">
        <v>1296</v>
      </c>
    </row>
    <row r="1619" spans="1:1" x14ac:dyDescent="0.3">
      <c r="A1619" t="s">
        <v>7113</v>
      </c>
    </row>
    <row r="1620" spans="1:1" x14ac:dyDescent="0.3">
      <c r="A1620" t="s">
        <v>7113</v>
      </c>
    </row>
    <row r="1621" spans="1:1" x14ac:dyDescent="0.3">
      <c r="A1621" t="s">
        <v>7113</v>
      </c>
    </row>
    <row r="1622" spans="1:1" x14ac:dyDescent="0.3">
      <c r="A1622" t="s">
        <v>7113</v>
      </c>
    </row>
    <row r="1623" spans="1:1" x14ac:dyDescent="0.3">
      <c r="A1623" t="s">
        <v>7113</v>
      </c>
    </row>
    <row r="1624" spans="1:1" x14ac:dyDescent="0.3">
      <c r="A1624" t="s">
        <v>7113</v>
      </c>
    </row>
    <row r="1625" spans="1:1" x14ac:dyDescent="0.3">
      <c r="A1625" t="s">
        <v>7113</v>
      </c>
    </row>
    <row r="1626" spans="1:1" x14ac:dyDescent="0.3">
      <c r="A1626" t="s">
        <v>6738</v>
      </c>
    </row>
    <row r="1627" spans="1:1" x14ac:dyDescent="0.3">
      <c r="A1627" t="s">
        <v>6738</v>
      </c>
    </row>
    <row r="1628" spans="1:1" x14ac:dyDescent="0.3">
      <c r="A1628" t="s">
        <v>6738</v>
      </c>
    </row>
    <row r="1629" spans="1:1" x14ac:dyDescent="0.3">
      <c r="A1629" t="s">
        <v>6738</v>
      </c>
    </row>
    <row r="1630" spans="1:1" x14ac:dyDescent="0.3">
      <c r="A1630" t="s">
        <v>6738</v>
      </c>
    </row>
    <row r="1631" spans="1:1" x14ac:dyDescent="0.3">
      <c r="A1631" t="s">
        <v>6738</v>
      </c>
    </row>
    <row r="1632" spans="1:1" x14ac:dyDescent="0.3">
      <c r="A1632" t="s">
        <v>6738</v>
      </c>
    </row>
    <row r="1633" spans="1:1" x14ac:dyDescent="0.3">
      <c r="A1633" t="s">
        <v>2386</v>
      </c>
    </row>
    <row r="1634" spans="1:1" x14ac:dyDescent="0.3">
      <c r="A1634" t="s">
        <v>6739</v>
      </c>
    </row>
    <row r="1635" spans="1:1" x14ac:dyDescent="0.3">
      <c r="A1635" t="s">
        <v>7116</v>
      </c>
    </row>
    <row r="1636" spans="1:1" x14ac:dyDescent="0.3">
      <c r="A1636" t="s">
        <v>7114</v>
      </c>
    </row>
    <row r="1637" spans="1:1" x14ac:dyDescent="0.3">
      <c r="A1637" t="s">
        <v>7114</v>
      </c>
    </row>
    <row r="1638" spans="1:1" x14ac:dyDescent="0.3">
      <c r="A1638" t="s">
        <v>7114</v>
      </c>
    </row>
    <row r="1639" spans="1:1" x14ac:dyDescent="0.3">
      <c r="A1639" t="s">
        <v>7114</v>
      </c>
    </row>
    <row r="1640" spans="1:1" x14ac:dyDescent="0.3">
      <c r="A1640" t="s">
        <v>7114</v>
      </c>
    </row>
    <row r="1641" spans="1:1" x14ac:dyDescent="0.3">
      <c r="A1641" t="s">
        <v>7114</v>
      </c>
    </row>
    <row r="1642" spans="1:1" x14ac:dyDescent="0.3">
      <c r="A1642" t="s">
        <v>7114</v>
      </c>
    </row>
    <row r="1643" spans="1:1" x14ac:dyDescent="0.3">
      <c r="A1643" t="s">
        <v>6740</v>
      </c>
    </row>
    <row r="1644" spans="1:1" x14ac:dyDescent="0.3">
      <c r="A1644" t="s">
        <v>6740</v>
      </c>
    </row>
    <row r="1645" spans="1:1" x14ac:dyDescent="0.3">
      <c r="A1645" t="s">
        <v>6740</v>
      </c>
    </row>
    <row r="1646" spans="1:1" x14ac:dyDescent="0.3">
      <c r="A1646" t="s">
        <v>6740</v>
      </c>
    </row>
    <row r="1647" spans="1:1" x14ac:dyDescent="0.3">
      <c r="A1647" t="s">
        <v>6740</v>
      </c>
    </row>
    <row r="1648" spans="1:1" x14ac:dyDescent="0.3">
      <c r="A1648" t="s">
        <v>6740</v>
      </c>
    </row>
    <row r="1649" spans="1:1" x14ac:dyDescent="0.3">
      <c r="A1649" t="s">
        <v>6740</v>
      </c>
    </row>
    <row r="1650" spans="1:1" x14ac:dyDescent="0.3">
      <c r="A1650" t="s">
        <v>6740</v>
      </c>
    </row>
    <row r="1651" spans="1:1" x14ac:dyDescent="0.3">
      <c r="A1651" t="s">
        <v>6740</v>
      </c>
    </row>
    <row r="1652" spans="1:1" x14ac:dyDescent="0.3">
      <c r="A1652" t="s">
        <v>6740</v>
      </c>
    </row>
    <row r="1653" spans="1:1" x14ac:dyDescent="0.3">
      <c r="A1653" t="s">
        <v>6740</v>
      </c>
    </row>
    <row r="1654" spans="1:1" x14ac:dyDescent="0.3">
      <c r="A1654" t="s">
        <v>6960</v>
      </c>
    </row>
    <row r="1655" spans="1:1" x14ac:dyDescent="0.3">
      <c r="A1655" t="s">
        <v>6960</v>
      </c>
    </row>
    <row r="1656" spans="1:1" x14ac:dyDescent="0.3">
      <c r="A1656" t="s">
        <v>2463</v>
      </c>
    </row>
    <row r="1657" spans="1:1" x14ac:dyDescent="0.3">
      <c r="A1657" t="s">
        <v>2463</v>
      </c>
    </row>
    <row r="1658" spans="1:1" x14ac:dyDescent="0.3">
      <c r="A1658" t="s">
        <v>2463</v>
      </c>
    </row>
    <row r="1659" spans="1:1" x14ac:dyDescent="0.3">
      <c r="A1659" t="s">
        <v>2463</v>
      </c>
    </row>
    <row r="1660" spans="1:1" x14ac:dyDescent="0.3">
      <c r="A1660" t="s">
        <v>2463</v>
      </c>
    </row>
    <row r="1661" spans="1:1" x14ac:dyDescent="0.3">
      <c r="A1661" t="s">
        <v>2463</v>
      </c>
    </row>
    <row r="1662" spans="1:1" x14ac:dyDescent="0.3">
      <c r="A1662" t="s">
        <v>2463</v>
      </c>
    </row>
    <row r="1663" spans="1:1" x14ac:dyDescent="0.3">
      <c r="A1663" t="s">
        <v>2290</v>
      </c>
    </row>
    <row r="1664" spans="1:1" x14ac:dyDescent="0.3">
      <c r="A1664" t="s">
        <v>2290</v>
      </c>
    </row>
    <row r="1665" spans="1:1" x14ac:dyDescent="0.3">
      <c r="A1665" t="s">
        <v>2290</v>
      </c>
    </row>
    <row r="1666" spans="1:1" x14ac:dyDescent="0.3">
      <c r="A1666" t="s">
        <v>2290</v>
      </c>
    </row>
    <row r="1667" spans="1:1" x14ac:dyDescent="0.3">
      <c r="A1667" t="s">
        <v>2290</v>
      </c>
    </row>
    <row r="1668" spans="1:1" x14ac:dyDescent="0.3">
      <c r="A1668" t="s">
        <v>2202</v>
      </c>
    </row>
    <row r="1669" spans="1:1" x14ac:dyDescent="0.3">
      <c r="A1669" t="s">
        <v>2202</v>
      </c>
    </row>
    <row r="1670" spans="1:1" x14ac:dyDescent="0.3">
      <c r="A1670" t="s">
        <v>2202</v>
      </c>
    </row>
    <row r="1671" spans="1:1" x14ac:dyDescent="0.3">
      <c r="A1671" t="s">
        <v>2202</v>
      </c>
    </row>
    <row r="1672" spans="1:1" x14ac:dyDescent="0.3">
      <c r="A1672" t="s">
        <v>2202</v>
      </c>
    </row>
    <row r="1673" spans="1:1" x14ac:dyDescent="0.3">
      <c r="A1673" t="s">
        <v>2202</v>
      </c>
    </row>
    <row r="1674" spans="1:1" x14ac:dyDescent="0.3">
      <c r="A1674" t="s">
        <v>2202</v>
      </c>
    </row>
    <row r="1675" spans="1:1" x14ac:dyDescent="0.3">
      <c r="A1675" t="s">
        <v>2202</v>
      </c>
    </row>
    <row r="1676" spans="1:1" x14ac:dyDescent="0.3">
      <c r="A1676" t="s">
        <v>2202</v>
      </c>
    </row>
    <row r="1677" spans="1:1" x14ac:dyDescent="0.3">
      <c r="A1677" t="s">
        <v>2202</v>
      </c>
    </row>
    <row r="1678" spans="1:1" x14ac:dyDescent="0.3">
      <c r="A1678" t="s">
        <v>2202</v>
      </c>
    </row>
    <row r="1679" spans="1:1" x14ac:dyDescent="0.3">
      <c r="A1679" t="s">
        <v>2202</v>
      </c>
    </row>
    <row r="1680" spans="1:1" x14ac:dyDescent="0.3">
      <c r="A1680" t="s">
        <v>2202</v>
      </c>
    </row>
    <row r="1681" spans="1:1" x14ac:dyDescent="0.3">
      <c r="A1681" t="s">
        <v>2202</v>
      </c>
    </row>
    <row r="1682" spans="1:1" x14ac:dyDescent="0.3">
      <c r="A1682" t="s">
        <v>2202</v>
      </c>
    </row>
    <row r="1683" spans="1:1" x14ac:dyDescent="0.3">
      <c r="A1683" t="s">
        <v>2202</v>
      </c>
    </row>
    <row r="1684" spans="1:1" x14ac:dyDescent="0.3">
      <c r="A1684" t="s">
        <v>2202</v>
      </c>
    </row>
    <row r="1685" spans="1:1" x14ac:dyDescent="0.3">
      <c r="A1685" t="s">
        <v>2202</v>
      </c>
    </row>
    <row r="1686" spans="1:1" x14ac:dyDescent="0.3">
      <c r="A1686" t="s">
        <v>2202</v>
      </c>
    </row>
    <row r="1687" spans="1:1" x14ac:dyDescent="0.3">
      <c r="A1687" t="s">
        <v>2202</v>
      </c>
    </row>
    <row r="1688" spans="1:1" x14ac:dyDescent="0.3">
      <c r="A1688" t="s">
        <v>2202</v>
      </c>
    </row>
    <row r="1689" spans="1:1" x14ac:dyDescent="0.3">
      <c r="A1689" t="s">
        <v>2202</v>
      </c>
    </row>
    <row r="1690" spans="1:1" x14ac:dyDescent="0.3">
      <c r="A1690" t="s">
        <v>2202</v>
      </c>
    </row>
    <row r="1691" spans="1:1" x14ac:dyDescent="0.3">
      <c r="A1691" t="s">
        <v>2202</v>
      </c>
    </row>
    <row r="1692" spans="1:1" x14ac:dyDescent="0.3">
      <c r="A1692" t="s">
        <v>6741</v>
      </c>
    </row>
    <row r="1693" spans="1:1" x14ac:dyDescent="0.3">
      <c r="A1693" t="s">
        <v>6741</v>
      </c>
    </row>
    <row r="1694" spans="1:1" x14ac:dyDescent="0.3">
      <c r="A1694" t="s">
        <v>6741</v>
      </c>
    </row>
    <row r="1695" spans="1:1" x14ac:dyDescent="0.3">
      <c r="A1695" t="s">
        <v>6741</v>
      </c>
    </row>
    <row r="1696" spans="1:1" x14ac:dyDescent="0.3">
      <c r="A1696" t="s">
        <v>6741</v>
      </c>
    </row>
    <row r="1697" spans="1:1" x14ac:dyDescent="0.3">
      <c r="A1697" t="s">
        <v>6741</v>
      </c>
    </row>
    <row r="1698" spans="1:1" x14ac:dyDescent="0.3">
      <c r="A1698" t="s">
        <v>6741</v>
      </c>
    </row>
    <row r="1699" spans="1:1" x14ac:dyDescent="0.3">
      <c r="A1699" t="s">
        <v>6741</v>
      </c>
    </row>
    <row r="1700" spans="1:1" x14ac:dyDescent="0.3">
      <c r="A1700" t="s">
        <v>6741</v>
      </c>
    </row>
    <row r="1701" spans="1:1" x14ac:dyDescent="0.3">
      <c r="A1701" t="s">
        <v>6741</v>
      </c>
    </row>
    <row r="1702" spans="1:1" x14ac:dyDescent="0.3">
      <c r="A1702" t="s">
        <v>6741</v>
      </c>
    </row>
    <row r="1703" spans="1:1" x14ac:dyDescent="0.3">
      <c r="A1703" t="s">
        <v>6741</v>
      </c>
    </row>
    <row r="1704" spans="1:1" x14ac:dyDescent="0.3">
      <c r="A1704" t="s">
        <v>6742</v>
      </c>
    </row>
    <row r="1705" spans="1:1" x14ac:dyDescent="0.3">
      <c r="A1705" t="s">
        <v>6742</v>
      </c>
    </row>
    <row r="1706" spans="1:1" x14ac:dyDescent="0.3">
      <c r="A1706" t="s">
        <v>6742</v>
      </c>
    </row>
    <row r="1707" spans="1:1" x14ac:dyDescent="0.3">
      <c r="A1707" t="s">
        <v>7296</v>
      </c>
    </row>
    <row r="1708" spans="1:1" x14ac:dyDescent="0.3">
      <c r="A1708" t="s">
        <v>7296</v>
      </c>
    </row>
    <row r="1709" spans="1:1" x14ac:dyDescent="0.3">
      <c r="A1709" t="s">
        <v>7296</v>
      </c>
    </row>
    <row r="1710" spans="1:1" x14ac:dyDescent="0.3">
      <c r="A1710" t="s">
        <v>7296</v>
      </c>
    </row>
    <row r="1711" spans="1:1" x14ac:dyDescent="0.3">
      <c r="A1711" t="s">
        <v>7296</v>
      </c>
    </row>
    <row r="1712" spans="1:1" x14ac:dyDescent="0.3">
      <c r="A1712" t="s">
        <v>7296</v>
      </c>
    </row>
    <row r="1713" spans="1:1" x14ac:dyDescent="0.3">
      <c r="A1713" t="s">
        <v>7296</v>
      </c>
    </row>
    <row r="1714" spans="1:1" x14ac:dyDescent="0.3">
      <c r="A1714" t="s">
        <v>7296</v>
      </c>
    </row>
    <row r="1715" spans="1:1" x14ac:dyDescent="0.3">
      <c r="A1715" t="s">
        <v>7296</v>
      </c>
    </row>
    <row r="1716" spans="1:1" x14ac:dyDescent="0.3">
      <c r="A1716" t="s">
        <v>7297</v>
      </c>
    </row>
    <row r="1717" spans="1:1" x14ac:dyDescent="0.3">
      <c r="A1717" t="s">
        <v>7297</v>
      </c>
    </row>
    <row r="1718" spans="1:1" x14ac:dyDescent="0.3">
      <c r="A1718" t="s">
        <v>7089</v>
      </c>
    </row>
    <row r="1719" spans="1:1" x14ac:dyDescent="0.3">
      <c r="A1719" t="s">
        <v>7089</v>
      </c>
    </row>
    <row r="1720" spans="1:1" x14ac:dyDescent="0.3">
      <c r="A1720" t="s">
        <v>7089</v>
      </c>
    </row>
    <row r="1721" spans="1:1" x14ac:dyDescent="0.3">
      <c r="A1721" t="s">
        <v>7089</v>
      </c>
    </row>
    <row r="1722" spans="1:1" x14ac:dyDescent="0.3">
      <c r="A1722" t="s">
        <v>6743</v>
      </c>
    </row>
    <row r="1723" spans="1:1" x14ac:dyDescent="0.3">
      <c r="A1723" t="s">
        <v>6743</v>
      </c>
    </row>
    <row r="1724" spans="1:1" x14ac:dyDescent="0.3">
      <c r="A1724" t="s">
        <v>6744</v>
      </c>
    </row>
    <row r="1725" spans="1:1" x14ac:dyDescent="0.3">
      <c r="A1725" t="s">
        <v>6744</v>
      </c>
    </row>
    <row r="1726" spans="1:1" x14ac:dyDescent="0.3">
      <c r="A1726" t="s">
        <v>6745</v>
      </c>
    </row>
    <row r="1727" spans="1:1" x14ac:dyDescent="0.3">
      <c r="A1727" t="s">
        <v>6745</v>
      </c>
    </row>
    <row r="1728" spans="1:1" x14ac:dyDescent="0.3">
      <c r="A1728" t="s">
        <v>6961</v>
      </c>
    </row>
    <row r="1729" spans="1:1" x14ac:dyDescent="0.3">
      <c r="A1729" t="s">
        <v>6961</v>
      </c>
    </row>
    <row r="1730" spans="1:1" x14ac:dyDescent="0.3">
      <c r="A1730" t="s">
        <v>648</v>
      </c>
    </row>
    <row r="1731" spans="1:1" x14ac:dyDescent="0.3">
      <c r="A1731" t="s">
        <v>648</v>
      </c>
    </row>
    <row r="1732" spans="1:1" x14ac:dyDescent="0.3">
      <c r="A1732" t="s">
        <v>648</v>
      </c>
    </row>
    <row r="1733" spans="1:1" x14ac:dyDescent="0.3">
      <c r="A1733" t="s">
        <v>6746</v>
      </c>
    </row>
    <row r="1734" spans="1:1" x14ac:dyDescent="0.3">
      <c r="A1734" t="s">
        <v>6747</v>
      </c>
    </row>
    <row r="1735" spans="1:1" x14ac:dyDescent="0.3">
      <c r="A1735" t="s">
        <v>6747</v>
      </c>
    </row>
    <row r="1736" spans="1:1" x14ac:dyDescent="0.3">
      <c r="A1736" t="s">
        <v>6962</v>
      </c>
    </row>
    <row r="1737" spans="1:1" x14ac:dyDescent="0.3">
      <c r="A1737" t="s">
        <v>6962</v>
      </c>
    </row>
    <row r="1738" spans="1:1" x14ac:dyDescent="0.3">
      <c r="A1738" t="s">
        <v>7068</v>
      </c>
    </row>
    <row r="1739" spans="1:1" x14ac:dyDescent="0.3">
      <c r="A1739" t="s">
        <v>7068</v>
      </c>
    </row>
    <row r="1740" spans="1:1" x14ac:dyDescent="0.3">
      <c r="A1740" t="s">
        <v>7068</v>
      </c>
    </row>
    <row r="1741" spans="1:1" x14ac:dyDescent="0.3">
      <c r="A1741" t="s">
        <v>6748</v>
      </c>
    </row>
    <row r="1742" spans="1:1" x14ac:dyDescent="0.3">
      <c r="A1742" t="s">
        <v>7111</v>
      </c>
    </row>
    <row r="1743" spans="1:1" x14ac:dyDescent="0.3">
      <c r="A1743" t="s">
        <v>7111</v>
      </c>
    </row>
    <row r="1744" spans="1:1" x14ac:dyDescent="0.3">
      <c r="A1744" t="s">
        <v>7111</v>
      </c>
    </row>
    <row r="1745" spans="1:1" x14ac:dyDescent="0.3">
      <c r="A1745" t="s">
        <v>7111</v>
      </c>
    </row>
    <row r="1746" spans="1:1" x14ac:dyDescent="0.3">
      <c r="A1746" t="s">
        <v>7331</v>
      </c>
    </row>
    <row r="1747" spans="1:1" x14ac:dyDescent="0.3">
      <c r="A1747" t="s">
        <v>1132</v>
      </c>
    </row>
    <row r="1748" spans="1:1" x14ac:dyDescent="0.3">
      <c r="A1748" t="s">
        <v>1132</v>
      </c>
    </row>
    <row r="1749" spans="1:1" x14ac:dyDescent="0.3">
      <c r="A1749" t="s">
        <v>1132</v>
      </c>
    </row>
    <row r="1750" spans="1:1" x14ac:dyDescent="0.3">
      <c r="A1750" t="s">
        <v>1132</v>
      </c>
    </row>
    <row r="1751" spans="1:1" x14ac:dyDescent="0.3">
      <c r="A1751" t="s">
        <v>1132</v>
      </c>
    </row>
    <row r="1752" spans="1:1" x14ac:dyDescent="0.3">
      <c r="A1752" t="s">
        <v>1132</v>
      </c>
    </row>
    <row r="1753" spans="1:1" x14ac:dyDescent="0.3">
      <c r="A1753" t="s">
        <v>1132</v>
      </c>
    </row>
    <row r="1754" spans="1:1" x14ac:dyDescent="0.3">
      <c r="A1754" t="s">
        <v>1132</v>
      </c>
    </row>
    <row r="1755" spans="1:1" x14ac:dyDescent="0.3">
      <c r="A1755" t="s">
        <v>1132</v>
      </c>
    </row>
    <row r="1756" spans="1:1" x14ac:dyDescent="0.3">
      <c r="A1756" t="s">
        <v>6963</v>
      </c>
    </row>
    <row r="1757" spans="1:1" x14ac:dyDescent="0.3">
      <c r="A1757" t="s">
        <v>7157</v>
      </c>
    </row>
    <row r="1758" spans="1:1" x14ac:dyDescent="0.3">
      <c r="A1758" t="s">
        <v>7157</v>
      </c>
    </row>
    <row r="1759" spans="1:1" x14ac:dyDescent="0.3">
      <c r="A1759" t="s">
        <v>7117</v>
      </c>
    </row>
    <row r="1760" spans="1:1" x14ac:dyDescent="0.3">
      <c r="A1760" t="s">
        <v>7117</v>
      </c>
    </row>
    <row r="1761" spans="1:1" x14ac:dyDescent="0.3">
      <c r="A1761" t="s">
        <v>7117</v>
      </c>
    </row>
    <row r="1762" spans="1:1" x14ac:dyDescent="0.3">
      <c r="A1762" t="s">
        <v>7117</v>
      </c>
    </row>
    <row r="1763" spans="1:1" x14ac:dyDescent="0.3">
      <c r="A1763" t="s">
        <v>6749</v>
      </c>
    </row>
    <row r="1764" spans="1:1" x14ac:dyDescent="0.3">
      <c r="A1764" t="s">
        <v>6749</v>
      </c>
    </row>
    <row r="1765" spans="1:1" x14ac:dyDescent="0.3">
      <c r="A1765" t="s">
        <v>6749</v>
      </c>
    </row>
    <row r="1766" spans="1:1" x14ac:dyDescent="0.3">
      <c r="A1766" t="s">
        <v>6749</v>
      </c>
    </row>
    <row r="1767" spans="1:1" x14ac:dyDescent="0.3">
      <c r="A1767" t="s">
        <v>6749</v>
      </c>
    </row>
    <row r="1768" spans="1:1" x14ac:dyDescent="0.3">
      <c r="A1768" t="s">
        <v>6749</v>
      </c>
    </row>
    <row r="1769" spans="1:1" x14ac:dyDescent="0.3">
      <c r="A1769" t="s">
        <v>6964</v>
      </c>
    </row>
    <row r="1770" spans="1:1" x14ac:dyDescent="0.3">
      <c r="A1770" t="s">
        <v>7144</v>
      </c>
    </row>
    <row r="1771" spans="1:1" x14ac:dyDescent="0.3">
      <c r="A1771" t="s">
        <v>7056</v>
      </c>
    </row>
    <row r="1772" spans="1:1" x14ac:dyDescent="0.3">
      <c r="A1772" t="s">
        <v>7056</v>
      </c>
    </row>
    <row r="1773" spans="1:1" x14ac:dyDescent="0.3">
      <c r="A1773" t="s">
        <v>7056</v>
      </c>
    </row>
    <row r="1774" spans="1:1" x14ac:dyDescent="0.3">
      <c r="A1774" t="s">
        <v>7056</v>
      </c>
    </row>
    <row r="1775" spans="1:1" x14ac:dyDescent="0.3">
      <c r="A1775" t="s">
        <v>7056</v>
      </c>
    </row>
    <row r="1776" spans="1:1" x14ac:dyDescent="0.3">
      <c r="A1776" t="s">
        <v>7056</v>
      </c>
    </row>
    <row r="1777" spans="1:1" x14ac:dyDescent="0.3">
      <c r="A1777" t="s">
        <v>7056</v>
      </c>
    </row>
    <row r="1778" spans="1:1" x14ac:dyDescent="0.3">
      <c r="A1778" t="s">
        <v>7056</v>
      </c>
    </row>
    <row r="1779" spans="1:1" x14ac:dyDescent="0.3">
      <c r="A1779" t="s">
        <v>7056</v>
      </c>
    </row>
    <row r="1780" spans="1:1" x14ac:dyDescent="0.3">
      <c r="A1780" t="s">
        <v>7056</v>
      </c>
    </row>
    <row r="1781" spans="1:1" x14ac:dyDescent="0.3">
      <c r="A1781" t="s">
        <v>7056</v>
      </c>
    </row>
    <row r="1782" spans="1:1" x14ac:dyDescent="0.3">
      <c r="A1782" t="s">
        <v>7056</v>
      </c>
    </row>
    <row r="1783" spans="1:1" x14ac:dyDescent="0.3">
      <c r="A1783" t="s">
        <v>7056</v>
      </c>
    </row>
    <row r="1784" spans="1:1" x14ac:dyDescent="0.3">
      <c r="A1784" t="s">
        <v>7056</v>
      </c>
    </row>
    <row r="1785" spans="1:1" x14ac:dyDescent="0.3">
      <c r="A1785" t="s">
        <v>7056</v>
      </c>
    </row>
    <row r="1786" spans="1:1" x14ac:dyDescent="0.3">
      <c r="A1786" t="s">
        <v>7056</v>
      </c>
    </row>
    <row r="1787" spans="1:1" x14ac:dyDescent="0.3">
      <c r="A1787" t="s">
        <v>7056</v>
      </c>
    </row>
    <row r="1788" spans="1:1" x14ac:dyDescent="0.3">
      <c r="A1788" t="s">
        <v>7056</v>
      </c>
    </row>
    <row r="1789" spans="1:1" x14ac:dyDescent="0.3">
      <c r="A1789" t="s">
        <v>7056</v>
      </c>
    </row>
    <row r="1790" spans="1:1" x14ac:dyDescent="0.3">
      <c r="A1790" t="s">
        <v>7056</v>
      </c>
    </row>
    <row r="1791" spans="1:1" x14ac:dyDescent="0.3">
      <c r="A1791" t="s">
        <v>7056</v>
      </c>
    </row>
    <row r="1792" spans="1:1" x14ac:dyDescent="0.3">
      <c r="A1792" t="s">
        <v>7056</v>
      </c>
    </row>
    <row r="1793" spans="1:1" x14ac:dyDescent="0.3">
      <c r="A1793" t="s">
        <v>7056</v>
      </c>
    </row>
    <row r="1794" spans="1:1" x14ac:dyDescent="0.3">
      <c r="A1794" t="s">
        <v>7056</v>
      </c>
    </row>
    <row r="1795" spans="1:1" x14ac:dyDescent="0.3">
      <c r="A1795" t="s">
        <v>7056</v>
      </c>
    </row>
    <row r="1796" spans="1:1" x14ac:dyDescent="0.3">
      <c r="A1796" t="s">
        <v>7195</v>
      </c>
    </row>
    <row r="1797" spans="1:1" x14ac:dyDescent="0.3">
      <c r="A1797" t="s">
        <v>7256</v>
      </c>
    </row>
    <row r="1798" spans="1:1" x14ac:dyDescent="0.3">
      <c r="A1798" t="s">
        <v>7332</v>
      </c>
    </row>
    <row r="1799" spans="1:1" x14ac:dyDescent="0.3">
      <c r="A1799" t="s">
        <v>7333</v>
      </c>
    </row>
    <row r="1800" spans="1:1" x14ac:dyDescent="0.3">
      <c r="A1800" t="s">
        <v>7118</v>
      </c>
    </row>
    <row r="1801" spans="1:1" x14ac:dyDescent="0.3">
      <c r="A1801" t="s">
        <v>7118</v>
      </c>
    </row>
    <row r="1802" spans="1:1" x14ac:dyDescent="0.3">
      <c r="A1802" t="s">
        <v>7118</v>
      </c>
    </row>
    <row r="1803" spans="1:1" x14ac:dyDescent="0.3">
      <c r="A1803" t="s">
        <v>6750</v>
      </c>
    </row>
    <row r="1804" spans="1:1" x14ac:dyDescent="0.3">
      <c r="A1804" t="s">
        <v>6751</v>
      </c>
    </row>
    <row r="1805" spans="1:1" x14ac:dyDescent="0.3">
      <c r="A1805" t="s">
        <v>6752</v>
      </c>
    </row>
    <row r="1806" spans="1:1" x14ac:dyDescent="0.3">
      <c r="A1806" t="s">
        <v>2558</v>
      </c>
    </row>
    <row r="1807" spans="1:1" x14ac:dyDescent="0.3">
      <c r="A1807" t="s">
        <v>6753</v>
      </c>
    </row>
    <row r="1808" spans="1:1" x14ac:dyDescent="0.3">
      <c r="A1808" t="s">
        <v>6753</v>
      </c>
    </row>
    <row r="1809" spans="1:1" x14ac:dyDescent="0.3">
      <c r="A1809" t="s">
        <v>6753</v>
      </c>
    </row>
    <row r="1810" spans="1:1" x14ac:dyDescent="0.3">
      <c r="A1810" t="s">
        <v>6753</v>
      </c>
    </row>
    <row r="1811" spans="1:1" x14ac:dyDescent="0.3">
      <c r="A1811" t="s">
        <v>6753</v>
      </c>
    </row>
    <row r="1812" spans="1:1" x14ac:dyDescent="0.3">
      <c r="A1812" t="s">
        <v>6753</v>
      </c>
    </row>
    <row r="1813" spans="1:1" x14ac:dyDescent="0.3">
      <c r="A1813" t="s">
        <v>6753</v>
      </c>
    </row>
    <row r="1814" spans="1:1" x14ac:dyDescent="0.3">
      <c r="A1814" t="s">
        <v>6753</v>
      </c>
    </row>
    <row r="1815" spans="1:1" x14ac:dyDescent="0.3">
      <c r="A1815" t="s">
        <v>6753</v>
      </c>
    </row>
    <row r="1816" spans="1:1" x14ac:dyDescent="0.3">
      <c r="A1816" t="s">
        <v>6753</v>
      </c>
    </row>
    <row r="1817" spans="1:1" x14ac:dyDescent="0.3">
      <c r="A1817" t="s">
        <v>6753</v>
      </c>
    </row>
    <row r="1818" spans="1:1" x14ac:dyDescent="0.3">
      <c r="A1818" t="s">
        <v>442</v>
      </c>
    </row>
    <row r="1819" spans="1:1" x14ac:dyDescent="0.3">
      <c r="A1819" t="s">
        <v>442</v>
      </c>
    </row>
    <row r="1820" spans="1:1" x14ac:dyDescent="0.3">
      <c r="A1820" t="s">
        <v>6965</v>
      </c>
    </row>
    <row r="1821" spans="1:1" x14ac:dyDescent="0.3">
      <c r="A1821" t="s">
        <v>2493</v>
      </c>
    </row>
    <row r="1822" spans="1:1" x14ac:dyDescent="0.3">
      <c r="A1822" t="s">
        <v>7257</v>
      </c>
    </row>
    <row r="1823" spans="1:1" x14ac:dyDescent="0.3">
      <c r="A1823" t="s">
        <v>6966</v>
      </c>
    </row>
    <row r="1824" spans="1:1" x14ac:dyDescent="0.3">
      <c r="A1824" t="s">
        <v>6967</v>
      </c>
    </row>
    <row r="1825" spans="1:1" x14ac:dyDescent="0.3">
      <c r="A1825" t="s">
        <v>302</v>
      </c>
    </row>
    <row r="1826" spans="1:1" x14ac:dyDescent="0.3">
      <c r="A1826" t="s">
        <v>302</v>
      </c>
    </row>
    <row r="1827" spans="1:1" x14ac:dyDescent="0.3">
      <c r="A1827" t="s">
        <v>302</v>
      </c>
    </row>
    <row r="1828" spans="1:1" x14ac:dyDescent="0.3">
      <c r="A1828" t="s">
        <v>2412</v>
      </c>
    </row>
    <row r="1829" spans="1:1" x14ac:dyDescent="0.3">
      <c r="A1829" t="s">
        <v>7120</v>
      </c>
    </row>
    <row r="1830" spans="1:1" x14ac:dyDescent="0.3">
      <c r="A1830" t="s">
        <v>7122</v>
      </c>
    </row>
    <row r="1831" spans="1:1" x14ac:dyDescent="0.3">
      <c r="A1831" t="s">
        <v>7122</v>
      </c>
    </row>
    <row r="1832" spans="1:1" x14ac:dyDescent="0.3">
      <c r="A1832" t="s">
        <v>7122</v>
      </c>
    </row>
    <row r="1833" spans="1:1" x14ac:dyDescent="0.3">
      <c r="A1833" t="s">
        <v>7196</v>
      </c>
    </row>
    <row r="1834" spans="1:1" x14ac:dyDescent="0.3">
      <c r="A1834" t="s">
        <v>6754</v>
      </c>
    </row>
    <row r="1835" spans="1:1" x14ac:dyDescent="0.3">
      <c r="A1835" t="s">
        <v>6754</v>
      </c>
    </row>
    <row r="1836" spans="1:1" x14ac:dyDescent="0.3">
      <c r="A1836" t="s">
        <v>6754</v>
      </c>
    </row>
    <row r="1837" spans="1:1" x14ac:dyDescent="0.3">
      <c r="A1837" t="s">
        <v>6754</v>
      </c>
    </row>
    <row r="1838" spans="1:1" x14ac:dyDescent="0.3">
      <c r="A1838" t="s">
        <v>6754</v>
      </c>
    </row>
    <row r="1839" spans="1:1" x14ac:dyDescent="0.3">
      <c r="A1839" t="s">
        <v>6754</v>
      </c>
    </row>
    <row r="1840" spans="1:1" x14ac:dyDescent="0.3">
      <c r="A1840" t="s">
        <v>6754</v>
      </c>
    </row>
    <row r="1841" spans="1:1" x14ac:dyDescent="0.3">
      <c r="A1841" t="s">
        <v>7101</v>
      </c>
    </row>
    <row r="1842" spans="1:1" x14ac:dyDescent="0.3">
      <c r="A1842" t="s">
        <v>7101</v>
      </c>
    </row>
    <row r="1843" spans="1:1" x14ac:dyDescent="0.3">
      <c r="A1843" t="s">
        <v>1550</v>
      </c>
    </row>
    <row r="1844" spans="1:1" x14ac:dyDescent="0.3">
      <c r="A1844" t="s">
        <v>6755</v>
      </c>
    </row>
    <row r="1845" spans="1:1" x14ac:dyDescent="0.3">
      <c r="A1845" t="s">
        <v>6755</v>
      </c>
    </row>
    <row r="1846" spans="1:1" x14ac:dyDescent="0.3">
      <c r="A1846" t="s">
        <v>6755</v>
      </c>
    </row>
    <row r="1847" spans="1:1" x14ac:dyDescent="0.3">
      <c r="A1847" t="s">
        <v>6755</v>
      </c>
    </row>
    <row r="1848" spans="1:1" x14ac:dyDescent="0.3">
      <c r="A1848" t="s">
        <v>6755</v>
      </c>
    </row>
    <row r="1849" spans="1:1" x14ac:dyDescent="0.3">
      <c r="A1849" t="s">
        <v>6755</v>
      </c>
    </row>
    <row r="1850" spans="1:1" x14ac:dyDescent="0.3">
      <c r="A1850" t="s">
        <v>6755</v>
      </c>
    </row>
    <row r="1851" spans="1:1" x14ac:dyDescent="0.3">
      <c r="A1851" t="s">
        <v>6755</v>
      </c>
    </row>
    <row r="1852" spans="1:1" x14ac:dyDescent="0.3">
      <c r="A1852" t="s">
        <v>6755</v>
      </c>
    </row>
    <row r="1853" spans="1:1" x14ac:dyDescent="0.3">
      <c r="A1853" t="s">
        <v>6755</v>
      </c>
    </row>
    <row r="1854" spans="1:1" x14ac:dyDescent="0.3">
      <c r="A1854" t="s">
        <v>6755</v>
      </c>
    </row>
    <row r="1855" spans="1:1" x14ac:dyDescent="0.3">
      <c r="A1855" t="s">
        <v>6755</v>
      </c>
    </row>
    <row r="1856" spans="1:1" x14ac:dyDescent="0.3">
      <c r="A1856" t="s">
        <v>6755</v>
      </c>
    </row>
    <row r="1857" spans="1:1" x14ac:dyDescent="0.3">
      <c r="A1857" t="s">
        <v>6755</v>
      </c>
    </row>
    <row r="1858" spans="1:1" x14ac:dyDescent="0.3">
      <c r="A1858" t="s">
        <v>6755</v>
      </c>
    </row>
    <row r="1859" spans="1:1" x14ac:dyDescent="0.3">
      <c r="A1859" t="s">
        <v>6755</v>
      </c>
    </row>
    <row r="1860" spans="1:1" x14ac:dyDescent="0.3">
      <c r="A1860" t="s">
        <v>6755</v>
      </c>
    </row>
    <row r="1861" spans="1:1" x14ac:dyDescent="0.3">
      <c r="A1861" t="s">
        <v>6755</v>
      </c>
    </row>
    <row r="1862" spans="1:1" x14ac:dyDescent="0.3">
      <c r="A1862" t="s">
        <v>6755</v>
      </c>
    </row>
    <row r="1863" spans="1:1" x14ac:dyDescent="0.3">
      <c r="A1863" t="s">
        <v>6755</v>
      </c>
    </row>
    <row r="1864" spans="1:1" x14ac:dyDescent="0.3">
      <c r="A1864" t="s">
        <v>6755</v>
      </c>
    </row>
    <row r="1865" spans="1:1" x14ac:dyDescent="0.3">
      <c r="A1865" t="s">
        <v>6755</v>
      </c>
    </row>
    <row r="1866" spans="1:1" x14ac:dyDescent="0.3">
      <c r="A1866" t="s">
        <v>6755</v>
      </c>
    </row>
    <row r="1867" spans="1:1" x14ac:dyDescent="0.3">
      <c r="A1867" t="s">
        <v>6755</v>
      </c>
    </row>
    <row r="1868" spans="1:1" x14ac:dyDescent="0.3">
      <c r="A1868" t="s">
        <v>6755</v>
      </c>
    </row>
    <row r="1869" spans="1:1" x14ac:dyDescent="0.3">
      <c r="A1869" t="s">
        <v>6968</v>
      </c>
    </row>
    <row r="1870" spans="1:1" x14ac:dyDescent="0.3">
      <c r="A1870" t="s">
        <v>392</v>
      </c>
    </row>
    <row r="1871" spans="1:1" x14ac:dyDescent="0.3">
      <c r="A1871" t="s">
        <v>392</v>
      </c>
    </row>
    <row r="1872" spans="1:1" x14ac:dyDescent="0.3">
      <c r="A1872" t="s">
        <v>392</v>
      </c>
    </row>
    <row r="1873" spans="1:1" x14ac:dyDescent="0.3">
      <c r="A1873" t="s">
        <v>392</v>
      </c>
    </row>
    <row r="1874" spans="1:1" x14ac:dyDescent="0.3">
      <c r="A1874" t="s">
        <v>392</v>
      </c>
    </row>
    <row r="1875" spans="1:1" x14ac:dyDescent="0.3">
      <c r="A1875" t="s">
        <v>392</v>
      </c>
    </row>
    <row r="1876" spans="1:1" x14ac:dyDescent="0.3">
      <c r="A1876" t="s">
        <v>392</v>
      </c>
    </row>
    <row r="1877" spans="1:1" x14ac:dyDescent="0.3">
      <c r="A1877" t="s">
        <v>392</v>
      </c>
    </row>
    <row r="1878" spans="1:1" x14ac:dyDescent="0.3">
      <c r="A1878" t="s">
        <v>392</v>
      </c>
    </row>
    <row r="1879" spans="1:1" x14ac:dyDescent="0.3">
      <c r="A1879" t="s">
        <v>392</v>
      </c>
    </row>
    <row r="1880" spans="1:1" x14ac:dyDescent="0.3">
      <c r="A1880" t="s">
        <v>392</v>
      </c>
    </row>
    <row r="1881" spans="1:1" x14ac:dyDescent="0.3">
      <c r="A1881" t="s">
        <v>392</v>
      </c>
    </row>
    <row r="1882" spans="1:1" x14ac:dyDescent="0.3">
      <c r="A1882" t="s">
        <v>392</v>
      </c>
    </row>
    <row r="1883" spans="1:1" x14ac:dyDescent="0.3">
      <c r="A1883" t="s">
        <v>392</v>
      </c>
    </row>
    <row r="1884" spans="1:1" x14ac:dyDescent="0.3">
      <c r="A1884" t="s">
        <v>392</v>
      </c>
    </row>
    <row r="1885" spans="1:1" x14ac:dyDescent="0.3">
      <c r="A1885" t="s">
        <v>392</v>
      </c>
    </row>
    <row r="1886" spans="1:1" x14ac:dyDescent="0.3">
      <c r="A1886" t="s">
        <v>392</v>
      </c>
    </row>
    <row r="1887" spans="1:1" x14ac:dyDescent="0.3">
      <c r="A1887" t="s">
        <v>392</v>
      </c>
    </row>
    <row r="1888" spans="1:1" x14ac:dyDescent="0.3">
      <c r="A1888" t="s">
        <v>392</v>
      </c>
    </row>
    <row r="1889" spans="1:1" x14ac:dyDescent="0.3">
      <c r="A1889" t="s">
        <v>392</v>
      </c>
    </row>
    <row r="1890" spans="1:1" x14ac:dyDescent="0.3">
      <c r="A1890" t="s">
        <v>392</v>
      </c>
    </row>
    <row r="1891" spans="1:1" x14ac:dyDescent="0.3">
      <c r="A1891" t="s">
        <v>392</v>
      </c>
    </row>
    <row r="1892" spans="1:1" x14ac:dyDescent="0.3">
      <c r="A1892" t="s">
        <v>392</v>
      </c>
    </row>
    <row r="1893" spans="1:1" x14ac:dyDescent="0.3">
      <c r="A1893" t="s">
        <v>392</v>
      </c>
    </row>
    <row r="1894" spans="1:1" x14ac:dyDescent="0.3">
      <c r="A1894" t="s">
        <v>2015</v>
      </c>
    </row>
    <row r="1895" spans="1:1" x14ac:dyDescent="0.3">
      <c r="A1895" t="s">
        <v>2015</v>
      </c>
    </row>
    <row r="1896" spans="1:1" x14ac:dyDescent="0.3">
      <c r="A1896" t="s">
        <v>6756</v>
      </c>
    </row>
    <row r="1897" spans="1:1" x14ac:dyDescent="0.3">
      <c r="A1897" t="s">
        <v>6756</v>
      </c>
    </row>
    <row r="1898" spans="1:1" x14ac:dyDescent="0.3">
      <c r="A1898" t="s">
        <v>6756</v>
      </c>
    </row>
    <row r="1899" spans="1:1" x14ac:dyDescent="0.3">
      <c r="A1899" t="s">
        <v>6756</v>
      </c>
    </row>
    <row r="1900" spans="1:1" x14ac:dyDescent="0.3">
      <c r="A1900" t="s">
        <v>6757</v>
      </c>
    </row>
    <row r="1901" spans="1:1" x14ac:dyDescent="0.3">
      <c r="A1901" t="s">
        <v>7258</v>
      </c>
    </row>
    <row r="1902" spans="1:1" x14ac:dyDescent="0.3">
      <c r="A1902" t="s">
        <v>1893</v>
      </c>
    </row>
    <row r="1903" spans="1:1" x14ac:dyDescent="0.3">
      <c r="A1903" t="s">
        <v>1893</v>
      </c>
    </row>
    <row r="1904" spans="1:1" x14ac:dyDescent="0.3">
      <c r="A1904" t="s">
        <v>1893</v>
      </c>
    </row>
    <row r="1905" spans="1:1" x14ac:dyDescent="0.3">
      <c r="A1905" t="s">
        <v>1893</v>
      </c>
    </row>
    <row r="1906" spans="1:1" x14ac:dyDescent="0.3">
      <c r="A1906" t="s">
        <v>1893</v>
      </c>
    </row>
    <row r="1907" spans="1:1" x14ac:dyDescent="0.3">
      <c r="A1907" t="s">
        <v>7088</v>
      </c>
    </row>
    <row r="1908" spans="1:1" x14ac:dyDescent="0.3">
      <c r="A1908" t="s">
        <v>7088</v>
      </c>
    </row>
    <row r="1909" spans="1:1" x14ac:dyDescent="0.3">
      <c r="A1909" t="s">
        <v>7088</v>
      </c>
    </row>
    <row r="1910" spans="1:1" x14ac:dyDescent="0.3">
      <c r="A1910" t="s">
        <v>6758</v>
      </c>
    </row>
    <row r="1911" spans="1:1" x14ac:dyDescent="0.3">
      <c r="A1911" t="s">
        <v>6758</v>
      </c>
    </row>
    <row r="1912" spans="1:1" x14ac:dyDescent="0.3">
      <c r="A1912" t="s">
        <v>6758</v>
      </c>
    </row>
    <row r="1913" spans="1:1" x14ac:dyDescent="0.3">
      <c r="A1913" t="s">
        <v>819</v>
      </c>
    </row>
    <row r="1914" spans="1:1" x14ac:dyDescent="0.3">
      <c r="A1914" t="s">
        <v>819</v>
      </c>
    </row>
    <row r="1915" spans="1:1" x14ac:dyDescent="0.3">
      <c r="A1915" t="s">
        <v>819</v>
      </c>
    </row>
    <row r="1916" spans="1:1" x14ac:dyDescent="0.3">
      <c r="A1916" t="s">
        <v>6759</v>
      </c>
    </row>
    <row r="1917" spans="1:1" x14ac:dyDescent="0.3">
      <c r="A1917" t="s">
        <v>6760</v>
      </c>
    </row>
    <row r="1918" spans="1:1" x14ac:dyDescent="0.3">
      <c r="A1918" t="s">
        <v>6760</v>
      </c>
    </row>
    <row r="1919" spans="1:1" x14ac:dyDescent="0.3">
      <c r="A1919" t="s">
        <v>6760</v>
      </c>
    </row>
    <row r="1920" spans="1:1" x14ac:dyDescent="0.3">
      <c r="A1920" t="s">
        <v>6760</v>
      </c>
    </row>
    <row r="1921" spans="1:1" x14ac:dyDescent="0.3">
      <c r="A1921" t="s">
        <v>6760</v>
      </c>
    </row>
    <row r="1922" spans="1:1" x14ac:dyDescent="0.3">
      <c r="A1922" t="s">
        <v>6761</v>
      </c>
    </row>
    <row r="1923" spans="1:1" x14ac:dyDescent="0.3">
      <c r="A1923" t="s">
        <v>6761</v>
      </c>
    </row>
    <row r="1924" spans="1:1" x14ac:dyDescent="0.3">
      <c r="A1924" t="s">
        <v>7124</v>
      </c>
    </row>
    <row r="1925" spans="1:1" x14ac:dyDescent="0.3">
      <c r="A1925" t="s">
        <v>6762</v>
      </c>
    </row>
    <row r="1926" spans="1:1" x14ac:dyDescent="0.3">
      <c r="A1926" t="s">
        <v>6762</v>
      </c>
    </row>
    <row r="1927" spans="1:1" x14ac:dyDescent="0.3">
      <c r="A1927" t="s">
        <v>6762</v>
      </c>
    </row>
    <row r="1928" spans="1:1" x14ac:dyDescent="0.3">
      <c r="A1928" t="s">
        <v>6762</v>
      </c>
    </row>
    <row r="1929" spans="1:1" x14ac:dyDescent="0.3">
      <c r="A1929" t="s">
        <v>6762</v>
      </c>
    </row>
    <row r="1930" spans="1:1" x14ac:dyDescent="0.3">
      <c r="A1930" t="s">
        <v>6762</v>
      </c>
    </row>
    <row r="1931" spans="1:1" x14ac:dyDescent="0.3">
      <c r="A1931" t="s">
        <v>6762</v>
      </c>
    </row>
    <row r="1932" spans="1:1" x14ac:dyDescent="0.3">
      <c r="A1932" t="s">
        <v>6762</v>
      </c>
    </row>
    <row r="1933" spans="1:1" x14ac:dyDescent="0.3">
      <c r="A1933" t="s">
        <v>6762</v>
      </c>
    </row>
    <row r="1934" spans="1:1" x14ac:dyDescent="0.3">
      <c r="A1934" t="s">
        <v>6762</v>
      </c>
    </row>
    <row r="1935" spans="1:1" x14ac:dyDescent="0.3">
      <c r="A1935" t="s">
        <v>6762</v>
      </c>
    </row>
    <row r="1936" spans="1:1" x14ac:dyDescent="0.3">
      <c r="A1936" t="s">
        <v>2580</v>
      </c>
    </row>
    <row r="1937" spans="1:1" x14ac:dyDescent="0.3">
      <c r="A1937" t="s">
        <v>2580</v>
      </c>
    </row>
    <row r="1938" spans="1:1" x14ac:dyDescent="0.3">
      <c r="A1938" t="s">
        <v>1658</v>
      </c>
    </row>
    <row r="1939" spans="1:1" x14ac:dyDescent="0.3">
      <c r="A1939" t="s">
        <v>1658</v>
      </c>
    </row>
    <row r="1940" spans="1:1" x14ac:dyDescent="0.3">
      <c r="A1940" t="s">
        <v>1658</v>
      </c>
    </row>
    <row r="1941" spans="1:1" x14ac:dyDescent="0.3">
      <c r="A1941" t="s">
        <v>6763</v>
      </c>
    </row>
    <row r="1942" spans="1:1" x14ac:dyDescent="0.3">
      <c r="A1942" t="s">
        <v>6763</v>
      </c>
    </row>
    <row r="1943" spans="1:1" x14ac:dyDescent="0.3">
      <c r="A1943" t="s">
        <v>6763</v>
      </c>
    </row>
    <row r="1944" spans="1:1" x14ac:dyDescent="0.3">
      <c r="A1944" t="s">
        <v>6763</v>
      </c>
    </row>
    <row r="1945" spans="1:1" x14ac:dyDescent="0.3">
      <c r="A1945" t="s">
        <v>6763</v>
      </c>
    </row>
    <row r="1946" spans="1:1" x14ac:dyDescent="0.3">
      <c r="A1946" t="s">
        <v>6763</v>
      </c>
    </row>
    <row r="1947" spans="1:1" x14ac:dyDescent="0.3">
      <c r="A1947" t="s">
        <v>6763</v>
      </c>
    </row>
    <row r="1948" spans="1:1" x14ac:dyDescent="0.3">
      <c r="A1948" t="s">
        <v>6763</v>
      </c>
    </row>
    <row r="1949" spans="1:1" x14ac:dyDescent="0.3">
      <c r="A1949" t="s">
        <v>6763</v>
      </c>
    </row>
    <row r="1950" spans="1:1" x14ac:dyDescent="0.3">
      <c r="A1950" t="s">
        <v>6969</v>
      </c>
    </row>
    <row r="1951" spans="1:1" x14ac:dyDescent="0.3">
      <c r="A1951" t="s">
        <v>6969</v>
      </c>
    </row>
    <row r="1952" spans="1:1" x14ac:dyDescent="0.3">
      <c r="A1952" t="s">
        <v>6970</v>
      </c>
    </row>
    <row r="1953" spans="1:1" x14ac:dyDescent="0.3">
      <c r="A1953" t="s">
        <v>6970</v>
      </c>
    </row>
    <row r="1954" spans="1:1" x14ac:dyDescent="0.3">
      <c r="A1954" t="s">
        <v>7171</v>
      </c>
    </row>
    <row r="1955" spans="1:1" x14ac:dyDescent="0.3">
      <c r="A1955" t="s">
        <v>7171</v>
      </c>
    </row>
    <row r="1956" spans="1:1" x14ac:dyDescent="0.3">
      <c r="A1956" t="s">
        <v>6764</v>
      </c>
    </row>
    <row r="1957" spans="1:1" x14ac:dyDescent="0.3">
      <c r="A1957" t="s">
        <v>6764</v>
      </c>
    </row>
    <row r="1958" spans="1:1" x14ac:dyDescent="0.3">
      <c r="A1958" t="s">
        <v>6764</v>
      </c>
    </row>
    <row r="1959" spans="1:1" x14ac:dyDescent="0.3">
      <c r="A1959" t="s">
        <v>6764</v>
      </c>
    </row>
    <row r="1960" spans="1:1" x14ac:dyDescent="0.3">
      <c r="A1960" t="s">
        <v>6764</v>
      </c>
    </row>
    <row r="1961" spans="1:1" x14ac:dyDescent="0.3">
      <c r="A1961" t="s">
        <v>247</v>
      </c>
    </row>
    <row r="1962" spans="1:1" x14ac:dyDescent="0.3">
      <c r="A1962" t="s">
        <v>6765</v>
      </c>
    </row>
    <row r="1963" spans="1:1" x14ac:dyDescent="0.3">
      <c r="A1963" t="s">
        <v>6765</v>
      </c>
    </row>
    <row r="1964" spans="1:1" x14ac:dyDescent="0.3">
      <c r="A1964" t="s">
        <v>6765</v>
      </c>
    </row>
    <row r="1965" spans="1:1" x14ac:dyDescent="0.3">
      <c r="A1965" t="s">
        <v>6765</v>
      </c>
    </row>
    <row r="1966" spans="1:1" x14ac:dyDescent="0.3">
      <c r="A1966" t="s">
        <v>6765</v>
      </c>
    </row>
    <row r="1967" spans="1:1" x14ac:dyDescent="0.3">
      <c r="A1967" t="s">
        <v>1710</v>
      </c>
    </row>
    <row r="1968" spans="1:1" x14ac:dyDescent="0.3">
      <c r="A1968" t="s">
        <v>6766</v>
      </c>
    </row>
    <row r="1969" spans="1:1" x14ac:dyDescent="0.3">
      <c r="A1969" t="s">
        <v>6766</v>
      </c>
    </row>
    <row r="1970" spans="1:1" x14ac:dyDescent="0.3">
      <c r="A1970" t="s">
        <v>6766</v>
      </c>
    </row>
    <row r="1971" spans="1:1" x14ac:dyDescent="0.3">
      <c r="A1971" t="s">
        <v>6766</v>
      </c>
    </row>
    <row r="1972" spans="1:1" x14ac:dyDescent="0.3">
      <c r="A1972" t="s">
        <v>6766</v>
      </c>
    </row>
    <row r="1973" spans="1:1" x14ac:dyDescent="0.3">
      <c r="A1973" t="s">
        <v>6766</v>
      </c>
    </row>
    <row r="1974" spans="1:1" x14ac:dyDescent="0.3">
      <c r="A1974" t="s">
        <v>7334</v>
      </c>
    </row>
    <row r="1975" spans="1:1" x14ac:dyDescent="0.3">
      <c r="A1975" t="s">
        <v>6971</v>
      </c>
    </row>
    <row r="1976" spans="1:1" x14ac:dyDescent="0.3">
      <c r="A1976" t="s">
        <v>6767</v>
      </c>
    </row>
    <row r="1977" spans="1:1" x14ac:dyDescent="0.3">
      <c r="A1977" t="s">
        <v>6767</v>
      </c>
    </row>
    <row r="1978" spans="1:1" x14ac:dyDescent="0.3">
      <c r="A1978" t="s">
        <v>6767</v>
      </c>
    </row>
    <row r="1979" spans="1:1" x14ac:dyDescent="0.3">
      <c r="A1979" t="s">
        <v>6767</v>
      </c>
    </row>
    <row r="1980" spans="1:1" x14ac:dyDescent="0.3">
      <c r="A1980" t="s">
        <v>6767</v>
      </c>
    </row>
    <row r="1981" spans="1:1" x14ac:dyDescent="0.3">
      <c r="A1981" t="s">
        <v>6767</v>
      </c>
    </row>
    <row r="1982" spans="1:1" x14ac:dyDescent="0.3">
      <c r="A1982" t="s">
        <v>6767</v>
      </c>
    </row>
    <row r="1983" spans="1:1" x14ac:dyDescent="0.3">
      <c r="A1983" t="s">
        <v>6767</v>
      </c>
    </row>
    <row r="1984" spans="1:1" x14ac:dyDescent="0.3">
      <c r="A1984" t="s">
        <v>6767</v>
      </c>
    </row>
    <row r="1985" spans="1:1" x14ac:dyDescent="0.3">
      <c r="A1985" t="s">
        <v>6767</v>
      </c>
    </row>
    <row r="1986" spans="1:1" x14ac:dyDescent="0.3">
      <c r="A1986" t="s">
        <v>6767</v>
      </c>
    </row>
    <row r="1987" spans="1:1" x14ac:dyDescent="0.3">
      <c r="A1987" t="s">
        <v>6767</v>
      </c>
    </row>
    <row r="1988" spans="1:1" x14ac:dyDescent="0.3">
      <c r="A1988" t="s">
        <v>6767</v>
      </c>
    </row>
    <row r="1989" spans="1:1" x14ac:dyDescent="0.3">
      <c r="A1989" t="s">
        <v>6767</v>
      </c>
    </row>
    <row r="1990" spans="1:1" x14ac:dyDescent="0.3">
      <c r="A1990" t="s">
        <v>6767</v>
      </c>
    </row>
    <row r="1991" spans="1:1" x14ac:dyDescent="0.3">
      <c r="A1991" t="s">
        <v>6767</v>
      </c>
    </row>
    <row r="1992" spans="1:1" x14ac:dyDescent="0.3">
      <c r="A1992" t="s">
        <v>6767</v>
      </c>
    </row>
    <row r="1993" spans="1:1" x14ac:dyDescent="0.3">
      <c r="A1993" t="s">
        <v>6972</v>
      </c>
    </row>
    <row r="1994" spans="1:1" x14ac:dyDescent="0.3">
      <c r="A1994" t="s">
        <v>6768</v>
      </c>
    </row>
    <row r="1995" spans="1:1" x14ac:dyDescent="0.3">
      <c r="A1995" t="s">
        <v>6768</v>
      </c>
    </row>
    <row r="1996" spans="1:1" x14ac:dyDescent="0.3">
      <c r="A1996" t="s">
        <v>6768</v>
      </c>
    </row>
    <row r="1997" spans="1:1" x14ac:dyDescent="0.3">
      <c r="A1997" t="s">
        <v>6768</v>
      </c>
    </row>
    <row r="1998" spans="1:1" x14ac:dyDescent="0.3">
      <c r="A1998" t="s">
        <v>6768</v>
      </c>
    </row>
    <row r="1999" spans="1:1" x14ac:dyDescent="0.3">
      <c r="A1999" t="s">
        <v>6768</v>
      </c>
    </row>
    <row r="2000" spans="1:1" x14ac:dyDescent="0.3">
      <c r="A2000" t="s">
        <v>6768</v>
      </c>
    </row>
    <row r="2001" spans="1:1" x14ac:dyDescent="0.3">
      <c r="A2001" t="s">
        <v>6768</v>
      </c>
    </row>
    <row r="2002" spans="1:1" x14ac:dyDescent="0.3">
      <c r="A2002" t="s">
        <v>6768</v>
      </c>
    </row>
    <row r="2003" spans="1:1" x14ac:dyDescent="0.3">
      <c r="A2003" t="s">
        <v>6768</v>
      </c>
    </row>
    <row r="2004" spans="1:1" x14ac:dyDescent="0.3">
      <c r="A2004" t="s">
        <v>6768</v>
      </c>
    </row>
    <row r="2005" spans="1:1" x14ac:dyDescent="0.3">
      <c r="A2005" t="s">
        <v>6768</v>
      </c>
    </row>
    <row r="2006" spans="1:1" x14ac:dyDescent="0.3">
      <c r="A2006" t="s">
        <v>6768</v>
      </c>
    </row>
    <row r="2007" spans="1:1" x14ac:dyDescent="0.3">
      <c r="A2007" t="s">
        <v>6768</v>
      </c>
    </row>
    <row r="2008" spans="1:1" x14ac:dyDescent="0.3">
      <c r="A2008" t="s">
        <v>6768</v>
      </c>
    </row>
    <row r="2009" spans="1:1" x14ac:dyDescent="0.3">
      <c r="A2009" t="s">
        <v>6768</v>
      </c>
    </row>
    <row r="2010" spans="1:1" x14ac:dyDescent="0.3">
      <c r="A2010" t="s">
        <v>6768</v>
      </c>
    </row>
    <row r="2011" spans="1:1" x14ac:dyDescent="0.3">
      <c r="A2011" t="s">
        <v>6768</v>
      </c>
    </row>
    <row r="2012" spans="1:1" x14ac:dyDescent="0.3">
      <c r="A2012" t="s">
        <v>704</v>
      </c>
    </row>
    <row r="2013" spans="1:1" x14ac:dyDescent="0.3">
      <c r="A2013" t="s">
        <v>704</v>
      </c>
    </row>
    <row r="2014" spans="1:1" x14ac:dyDescent="0.3">
      <c r="A2014" t="s">
        <v>704</v>
      </c>
    </row>
    <row r="2015" spans="1:1" x14ac:dyDescent="0.3">
      <c r="A2015" t="s">
        <v>704</v>
      </c>
    </row>
    <row r="2016" spans="1:1" x14ac:dyDescent="0.3">
      <c r="A2016" t="s">
        <v>7128</v>
      </c>
    </row>
    <row r="2017" spans="1:1" x14ac:dyDescent="0.3">
      <c r="A2017" t="s">
        <v>6973</v>
      </c>
    </row>
    <row r="2018" spans="1:1" x14ac:dyDescent="0.3">
      <c r="A2018" t="s">
        <v>1266</v>
      </c>
    </row>
    <row r="2019" spans="1:1" x14ac:dyDescent="0.3">
      <c r="A2019" t="s">
        <v>131</v>
      </c>
    </row>
    <row r="2020" spans="1:1" x14ac:dyDescent="0.3">
      <c r="A2020" t="s">
        <v>131</v>
      </c>
    </row>
    <row r="2021" spans="1:1" x14ac:dyDescent="0.3">
      <c r="A2021" t="s">
        <v>6622</v>
      </c>
    </row>
    <row r="2022" spans="1:1" x14ac:dyDescent="0.3">
      <c r="A2022" t="s">
        <v>6622</v>
      </c>
    </row>
    <row r="2023" spans="1:1" x14ac:dyDescent="0.3">
      <c r="A2023" t="s">
        <v>7151</v>
      </c>
    </row>
    <row r="2024" spans="1:1" x14ac:dyDescent="0.3">
      <c r="A2024" t="s">
        <v>7106</v>
      </c>
    </row>
    <row r="2025" spans="1:1" x14ac:dyDescent="0.3">
      <c r="A2025" t="s">
        <v>7106</v>
      </c>
    </row>
    <row r="2026" spans="1:1" x14ac:dyDescent="0.3">
      <c r="A2026" t="s">
        <v>7106</v>
      </c>
    </row>
    <row r="2027" spans="1:1" x14ac:dyDescent="0.3">
      <c r="A2027" t="s">
        <v>7106</v>
      </c>
    </row>
    <row r="2028" spans="1:1" x14ac:dyDescent="0.3">
      <c r="A2028" t="s">
        <v>7106</v>
      </c>
    </row>
    <row r="2029" spans="1:1" x14ac:dyDescent="0.3">
      <c r="A2029" t="s">
        <v>7106</v>
      </c>
    </row>
    <row r="2030" spans="1:1" x14ac:dyDescent="0.3">
      <c r="A2030" t="s">
        <v>6769</v>
      </c>
    </row>
    <row r="2031" spans="1:1" x14ac:dyDescent="0.3">
      <c r="A2031" t="s">
        <v>7143</v>
      </c>
    </row>
    <row r="2032" spans="1:1" x14ac:dyDescent="0.3">
      <c r="A2032" t="s">
        <v>7131</v>
      </c>
    </row>
    <row r="2033" spans="1:1" x14ac:dyDescent="0.3">
      <c r="A2033" t="s">
        <v>7104</v>
      </c>
    </row>
    <row r="2034" spans="1:1" x14ac:dyDescent="0.3">
      <c r="A2034" t="s">
        <v>7193</v>
      </c>
    </row>
    <row r="2035" spans="1:1" x14ac:dyDescent="0.3">
      <c r="A2035" t="s">
        <v>7107</v>
      </c>
    </row>
    <row r="2036" spans="1:1" x14ac:dyDescent="0.3">
      <c r="A2036" t="s">
        <v>7107</v>
      </c>
    </row>
    <row r="2037" spans="1:1" x14ac:dyDescent="0.3">
      <c r="A2037" t="s">
        <v>7107</v>
      </c>
    </row>
    <row r="2038" spans="1:1" x14ac:dyDescent="0.3">
      <c r="A2038" t="s">
        <v>7107</v>
      </c>
    </row>
    <row r="2039" spans="1:1" x14ac:dyDescent="0.3">
      <c r="A2039" t="s">
        <v>7107</v>
      </c>
    </row>
    <row r="2040" spans="1:1" x14ac:dyDescent="0.3">
      <c r="A2040" t="s">
        <v>7107</v>
      </c>
    </row>
    <row r="2041" spans="1:1" x14ac:dyDescent="0.3">
      <c r="A2041" t="s">
        <v>7107</v>
      </c>
    </row>
    <row r="2042" spans="1:1" x14ac:dyDescent="0.3">
      <c r="A2042" t="s">
        <v>7107</v>
      </c>
    </row>
    <row r="2043" spans="1:1" x14ac:dyDescent="0.3">
      <c r="A2043" t="s">
        <v>7107</v>
      </c>
    </row>
    <row r="2044" spans="1:1" x14ac:dyDescent="0.3">
      <c r="A2044" t="s">
        <v>7107</v>
      </c>
    </row>
    <row r="2045" spans="1:1" x14ac:dyDescent="0.3">
      <c r="A2045" t="s">
        <v>7107</v>
      </c>
    </row>
    <row r="2046" spans="1:1" x14ac:dyDescent="0.3">
      <c r="A2046" t="s">
        <v>7107</v>
      </c>
    </row>
    <row r="2047" spans="1:1" x14ac:dyDescent="0.3">
      <c r="A2047" t="s">
        <v>7107</v>
      </c>
    </row>
    <row r="2048" spans="1:1" x14ac:dyDescent="0.3">
      <c r="A2048" t="s">
        <v>7107</v>
      </c>
    </row>
    <row r="2049" spans="1:1" x14ac:dyDescent="0.3">
      <c r="A2049" t="s">
        <v>7107</v>
      </c>
    </row>
    <row r="2050" spans="1:1" x14ac:dyDescent="0.3">
      <c r="A2050" t="s">
        <v>7335</v>
      </c>
    </row>
    <row r="2051" spans="1:1" x14ac:dyDescent="0.3">
      <c r="A2051" t="s">
        <v>7335</v>
      </c>
    </row>
    <row r="2052" spans="1:1" x14ac:dyDescent="0.3">
      <c r="A2052" t="s">
        <v>7305</v>
      </c>
    </row>
    <row r="2053" spans="1:1" x14ac:dyDescent="0.3">
      <c r="A2053" t="s">
        <v>7305</v>
      </c>
    </row>
    <row r="2054" spans="1:1" x14ac:dyDescent="0.3">
      <c r="A2054" t="s">
        <v>6974</v>
      </c>
    </row>
    <row r="2055" spans="1:1" x14ac:dyDescent="0.3">
      <c r="A2055" t="s">
        <v>7259</v>
      </c>
    </row>
    <row r="2056" spans="1:1" x14ac:dyDescent="0.3">
      <c r="A2056" t="s">
        <v>7198</v>
      </c>
    </row>
    <row r="2057" spans="1:1" x14ac:dyDescent="0.3">
      <c r="A2057" t="s">
        <v>6770</v>
      </c>
    </row>
    <row r="2058" spans="1:1" x14ac:dyDescent="0.3">
      <c r="A2058" t="s">
        <v>6770</v>
      </c>
    </row>
    <row r="2059" spans="1:1" x14ac:dyDescent="0.3">
      <c r="A2059" t="s">
        <v>6770</v>
      </c>
    </row>
    <row r="2060" spans="1:1" x14ac:dyDescent="0.3">
      <c r="A2060" t="s">
        <v>6770</v>
      </c>
    </row>
    <row r="2061" spans="1:1" x14ac:dyDescent="0.3">
      <c r="A2061" t="s">
        <v>6770</v>
      </c>
    </row>
    <row r="2062" spans="1:1" x14ac:dyDescent="0.3">
      <c r="A2062" t="s">
        <v>6770</v>
      </c>
    </row>
    <row r="2063" spans="1:1" x14ac:dyDescent="0.3">
      <c r="A2063" t="s">
        <v>6770</v>
      </c>
    </row>
    <row r="2064" spans="1:1" x14ac:dyDescent="0.3">
      <c r="A2064" t="s">
        <v>6770</v>
      </c>
    </row>
    <row r="2065" spans="1:1" x14ac:dyDescent="0.3">
      <c r="A2065" t="s">
        <v>6770</v>
      </c>
    </row>
    <row r="2066" spans="1:1" x14ac:dyDescent="0.3">
      <c r="A2066" t="s">
        <v>6770</v>
      </c>
    </row>
    <row r="2067" spans="1:1" x14ac:dyDescent="0.3">
      <c r="A2067" t="s">
        <v>6770</v>
      </c>
    </row>
    <row r="2068" spans="1:1" x14ac:dyDescent="0.3">
      <c r="A2068" t="s">
        <v>6770</v>
      </c>
    </row>
    <row r="2069" spans="1:1" x14ac:dyDescent="0.3">
      <c r="A2069" t="s">
        <v>6770</v>
      </c>
    </row>
    <row r="2070" spans="1:1" x14ac:dyDescent="0.3">
      <c r="A2070" t="s">
        <v>6770</v>
      </c>
    </row>
    <row r="2071" spans="1:1" x14ac:dyDescent="0.3">
      <c r="A2071" t="s">
        <v>6770</v>
      </c>
    </row>
    <row r="2072" spans="1:1" x14ac:dyDescent="0.3">
      <c r="A2072" t="s">
        <v>6770</v>
      </c>
    </row>
    <row r="2073" spans="1:1" x14ac:dyDescent="0.3">
      <c r="A2073" t="s">
        <v>6770</v>
      </c>
    </row>
    <row r="2074" spans="1:1" x14ac:dyDescent="0.3">
      <c r="A2074" t="s">
        <v>6770</v>
      </c>
    </row>
    <row r="2075" spans="1:1" x14ac:dyDescent="0.3">
      <c r="A2075" t="s">
        <v>6770</v>
      </c>
    </row>
    <row r="2076" spans="1:1" x14ac:dyDescent="0.3">
      <c r="A2076" t="s">
        <v>6770</v>
      </c>
    </row>
    <row r="2077" spans="1:1" x14ac:dyDescent="0.3">
      <c r="A2077" t="s">
        <v>6770</v>
      </c>
    </row>
    <row r="2078" spans="1:1" x14ac:dyDescent="0.3">
      <c r="A2078" t="s">
        <v>6770</v>
      </c>
    </row>
    <row r="2079" spans="1:1" x14ac:dyDescent="0.3">
      <c r="A2079" t="s">
        <v>6770</v>
      </c>
    </row>
    <row r="2080" spans="1:1" x14ac:dyDescent="0.3">
      <c r="A2080" t="s">
        <v>6770</v>
      </c>
    </row>
    <row r="2081" spans="1:1" x14ac:dyDescent="0.3">
      <c r="A2081" t="s">
        <v>6770</v>
      </c>
    </row>
    <row r="2082" spans="1:1" x14ac:dyDescent="0.3">
      <c r="A2082" t="s">
        <v>6770</v>
      </c>
    </row>
    <row r="2083" spans="1:1" x14ac:dyDescent="0.3">
      <c r="A2083" t="s">
        <v>6770</v>
      </c>
    </row>
    <row r="2084" spans="1:1" x14ac:dyDescent="0.3">
      <c r="A2084" t="s">
        <v>6770</v>
      </c>
    </row>
    <row r="2085" spans="1:1" x14ac:dyDescent="0.3">
      <c r="A2085" t="s">
        <v>6770</v>
      </c>
    </row>
    <row r="2086" spans="1:1" x14ac:dyDescent="0.3">
      <c r="A2086" t="s">
        <v>6770</v>
      </c>
    </row>
    <row r="2087" spans="1:1" x14ac:dyDescent="0.3">
      <c r="A2087" t="s">
        <v>6770</v>
      </c>
    </row>
    <row r="2088" spans="1:1" x14ac:dyDescent="0.3">
      <c r="A2088" t="s">
        <v>6770</v>
      </c>
    </row>
    <row r="2089" spans="1:1" x14ac:dyDescent="0.3">
      <c r="A2089" t="s">
        <v>7199</v>
      </c>
    </row>
    <row r="2090" spans="1:1" x14ac:dyDescent="0.3">
      <c r="A2090" t="s">
        <v>7336</v>
      </c>
    </row>
    <row r="2091" spans="1:1" x14ac:dyDescent="0.3">
      <c r="A2091" t="s">
        <v>7336</v>
      </c>
    </row>
    <row r="2092" spans="1:1" x14ac:dyDescent="0.3">
      <c r="A2092" t="s">
        <v>7336</v>
      </c>
    </row>
    <row r="2093" spans="1:1" x14ac:dyDescent="0.3">
      <c r="A2093" t="s">
        <v>6975</v>
      </c>
    </row>
    <row r="2094" spans="1:1" x14ac:dyDescent="0.3">
      <c r="A2094" t="s">
        <v>6975</v>
      </c>
    </row>
    <row r="2095" spans="1:1" x14ac:dyDescent="0.3">
      <c r="A2095" t="s">
        <v>6976</v>
      </c>
    </row>
    <row r="2096" spans="1:1" x14ac:dyDescent="0.3">
      <c r="A2096" t="s">
        <v>7138</v>
      </c>
    </row>
    <row r="2097" spans="1:1" x14ac:dyDescent="0.3">
      <c r="A2097" t="s">
        <v>7138</v>
      </c>
    </row>
    <row r="2098" spans="1:1" x14ac:dyDescent="0.3">
      <c r="A2098" t="s">
        <v>7138</v>
      </c>
    </row>
    <row r="2099" spans="1:1" x14ac:dyDescent="0.3">
      <c r="A2099" t="s">
        <v>7138</v>
      </c>
    </row>
    <row r="2100" spans="1:1" x14ac:dyDescent="0.3">
      <c r="A2100" t="s">
        <v>7140</v>
      </c>
    </row>
    <row r="2101" spans="1:1" x14ac:dyDescent="0.3">
      <c r="A2101" t="s">
        <v>6771</v>
      </c>
    </row>
    <row r="2102" spans="1:1" x14ac:dyDescent="0.3">
      <c r="A2102" t="s">
        <v>7132</v>
      </c>
    </row>
    <row r="2103" spans="1:1" x14ac:dyDescent="0.3">
      <c r="A2103" t="s">
        <v>7132</v>
      </c>
    </row>
    <row r="2104" spans="1:1" x14ac:dyDescent="0.3">
      <c r="A2104" t="s">
        <v>7132</v>
      </c>
    </row>
    <row r="2105" spans="1:1" x14ac:dyDescent="0.3">
      <c r="A2105" t="s">
        <v>7132</v>
      </c>
    </row>
    <row r="2106" spans="1:1" x14ac:dyDescent="0.3">
      <c r="A2106" t="s">
        <v>7260</v>
      </c>
    </row>
    <row r="2107" spans="1:1" x14ac:dyDescent="0.3">
      <c r="A2107" t="s">
        <v>7261</v>
      </c>
    </row>
    <row r="2108" spans="1:1" x14ac:dyDescent="0.3">
      <c r="A2108" t="s">
        <v>6772</v>
      </c>
    </row>
    <row r="2109" spans="1:1" x14ac:dyDescent="0.3">
      <c r="A2109" t="s">
        <v>6772</v>
      </c>
    </row>
    <row r="2110" spans="1:1" x14ac:dyDescent="0.3">
      <c r="A2110" t="s">
        <v>6772</v>
      </c>
    </row>
    <row r="2111" spans="1:1" x14ac:dyDescent="0.3">
      <c r="A2111" t="s">
        <v>6772</v>
      </c>
    </row>
    <row r="2112" spans="1:1" x14ac:dyDescent="0.3">
      <c r="A2112" t="s">
        <v>6772</v>
      </c>
    </row>
    <row r="2113" spans="1:1" x14ac:dyDescent="0.3">
      <c r="A2113" t="s">
        <v>6772</v>
      </c>
    </row>
    <row r="2114" spans="1:1" x14ac:dyDescent="0.3">
      <c r="A2114" t="s">
        <v>6772</v>
      </c>
    </row>
    <row r="2115" spans="1:1" x14ac:dyDescent="0.3">
      <c r="A2115" t="s">
        <v>7337</v>
      </c>
    </row>
    <row r="2116" spans="1:1" x14ac:dyDescent="0.3">
      <c r="A2116" t="s">
        <v>7306</v>
      </c>
    </row>
    <row r="2117" spans="1:1" x14ac:dyDescent="0.3">
      <c r="A2117" t="s">
        <v>6773</v>
      </c>
    </row>
    <row r="2118" spans="1:1" x14ac:dyDescent="0.3">
      <c r="A2118" t="s">
        <v>6773</v>
      </c>
    </row>
    <row r="2119" spans="1:1" x14ac:dyDescent="0.3">
      <c r="A2119" t="s">
        <v>6773</v>
      </c>
    </row>
    <row r="2120" spans="1:1" x14ac:dyDescent="0.3">
      <c r="A2120" t="s">
        <v>6773</v>
      </c>
    </row>
    <row r="2121" spans="1:1" x14ac:dyDescent="0.3">
      <c r="A2121" t="s">
        <v>6773</v>
      </c>
    </row>
    <row r="2122" spans="1:1" x14ac:dyDescent="0.3">
      <c r="A2122" t="s">
        <v>6774</v>
      </c>
    </row>
    <row r="2123" spans="1:1" x14ac:dyDescent="0.3">
      <c r="A2123" t="s">
        <v>6977</v>
      </c>
    </row>
    <row r="2124" spans="1:1" x14ac:dyDescent="0.3">
      <c r="A2124" t="s">
        <v>6775</v>
      </c>
    </row>
    <row r="2125" spans="1:1" x14ac:dyDescent="0.3">
      <c r="A2125" t="s">
        <v>6775</v>
      </c>
    </row>
    <row r="2126" spans="1:1" x14ac:dyDescent="0.3">
      <c r="A2126" t="s">
        <v>6775</v>
      </c>
    </row>
    <row r="2127" spans="1:1" x14ac:dyDescent="0.3">
      <c r="A2127" t="s">
        <v>6775</v>
      </c>
    </row>
    <row r="2128" spans="1:1" x14ac:dyDescent="0.3">
      <c r="A2128" t="s">
        <v>6775</v>
      </c>
    </row>
    <row r="2129" spans="1:1" x14ac:dyDescent="0.3">
      <c r="A2129" t="s">
        <v>6776</v>
      </c>
    </row>
    <row r="2130" spans="1:1" x14ac:dyDescent="0.3">
      <c r="A2130" t="s">
        <v>6776</v>
      </c>
    </row>
    <row r="2131" spans="1:1" x14ac:dyDescent="0.3">
      <c r="A2131" t="s">
        <v>6777</v>
      </c>
    </row>
    <row r="2132" spans="1:1" x14ac:dyDescent="0.3">
      <c r="A2132" t="s">
        <v>6777</v>
      </c>
    </row>
    <row r="2133" spans="1:1" x14ac:dyDescent="0.3">
      <c r="A2133" t="s">
        <v>6777</v>
      </c>
    </row>
    <row r="2134" spans="1:1" x14ac:dyDescent="0.3">
      <c r="A2134" t="s">
        <v>6777</v>
      </c>
    </row>
    <row r="2135" spans="1:1" x14ac:dyDescent="0.3">
      <c r="A2135" t="s">
        <v>6777</v>
      </c>
    </row>
    <row r="2136" spans="1:1" x14ac:dyDescent="0.3">
      <c r="A2136" t="s">
        <v>6777</v>
      </c>
    </row>
    <row r="2137" spans="1:1" x14ac:dyDescent="0.3">
      <c r="A2137" t="s">
        <v>6777</v>
      </c>
    </row>
    <row r="2138" spans="1:1" x14ac:dyDescent="0.3">
      <c r="A2138" t="s">
        <v>6777</v>
      </c>
    </row>
    <row r="2139" spans="1:1" x14ac:dyDescent="0.3">
      <c r="A2139" t="s">
        <v>6777</v>
      </c>
    </row>
    <row r="2140" spans="1:1" x14ac:dyDescent="0.3">
      <c r="A2140" t="s">
        <v>6777</v>
      </c>
    </row>
    <row r="2141" spans="1:1" x14ac:dyDescent="0.3">
      <c r="A2141" t="s">
        <v>6777</v>
      </c>
    </row>
    <row r="2142" spans="1:1" x14ac:dyDescent="0.3">
      <c r="A2142" t="s">
        <v>6777</v>
      </c>
    </row>
    <row r="2143" spans="1:1" x14ac:dyDescent="0.3">
      <c r="A2143" t="s">
        <v>6777</v>
      </c>
    </row>
    <row r="2144" spans="1:1" x14ac:dyDescent="0.3">
      <c r="A2144" t="s">
        <v>6777</v>
      </c>
    </row>
    <row r="2145" spans="1:1" x14ac:dyDescent="0.3">
      <c r="A2145" t="s">
        <v>6777</v>
      </c>
    </row>
    <row r="2146" spans="1:1" x14ac:dyDescent="0.3">
      <c r="A2146" t="s">
        <v>6777</v>
      </c>
    </row>
    <row r="2147" spans="1:1" x14ac:dyDescent="0.3">
      <c r="A2147" t="s">
        <v>6777</v>
      </c>
    </row>
    <row r="2148" spans="1:1" x14ac:dyDescent="0.3">
      <c r="A2148" t="s">
        <v>6777</v>
      </c>
    </row>
    <row r="2149" spans="1:1" x14ac:dyDescent="0.3">
      <c r="A2149" t="s">
        <v>6777</v>
      </c>
    </row>
    <row r="2150" spans="1:1" x14ac:dyDescent="0.3">
      <c r="A2150" t="s">
        <v>6777</v>
      </c>
    </row>
    <row r="2151" spans="1:1" x14ac:dyDescent="0.3">
      <c r="A2151" t="s">
        <v>6777</v>
      </c>
    </row>
    <row r="2152" spans="1:1" x14ac:dyDescent="0.3">
      <c r="A2152" t="s">
        <v>6777</v>
      </c>
    </row>
    <row r="2153" spans="1:1" x14ac:dyDescent="0.3">
      <c r="A2153" t="s">
        <v>6777</v>
      </c>
    </row>
    <row r="2154" spans="1:1" x14ac:dyDescent="0.3">
      <c r="A2154" t="s">
        <v>6777</v>
      </c>
    </row>
    <row r="2155" spans="1:1" x14ac:dyDescent="0.3">
      <c r="A2155" t="s">
        <v>6777</v>
      </c>
    </row>
    <row r="2156" spans="1:1" x14ac:dyDescent="0.3">
      <c r="A2156" t="s">
        <v>6777</v>
      </c>
    </row>
    <row r="2157" spans="1:1" x14ac:dyDescent="0.3">
      <c r="A2157" t="s">
        <v>6777</v>
      </c>
    </row>
    <row r="2158" spans="1:1" x14ac:dyDescent="0.3">
      <c r="A2158" t="s">
        <v>6777</v>
      </c>
    </row>
    <row r="2159" spans="1:1" x14ac:dyDescent="0.3">
      <c r="A2159" t="s">
        <v>6777</v>
      </c>
    </row>
    <row r="2160" spans="1:1" x14ac:dyDescent="0.3">
      <c r="A2160" t="s">
        <v>6777</v>
      </c>
    </row>
    <row r="2161" spans="1:1" x14ac:dyDescent="0.3">
      <c r="A2161" t="s">
        <v>6777</v>
      </c>
    </row>
    <row r="2162" spans="1:1" x14ac:dyDescent="0.3">
      <c r="A2162" t="s">
        <v>6777</v>
      </c>
    </row>
    <row r="2163" spans="1:1" x14ac:dyDescent="0.3">
      <c r="A2163" t="s">
        <v>1806</v>
      </c>
    </row>
    <row r="2164" spans="1:1" x14ac:dyDescent="0.3">
      <c r="A2164" t="s">
        <v>1806</v>
      </c>
    </row>
    <row r="2165" spans="1:1" x14ac:dyDescent="0.3">
      <c r="A2165" t="s">
        <v>1806</v>
      </c>
    </row>
    <row r="2166" spans="1:1" x14ac:dyDescent="0.3">
      <c r="A2166" t="s">
        <v>1806</v>
      </c>
    </row>
    <row r="2167" spans="1:1" x14ac:dyDescent="0.3">
      <c r="A2167" t="s">
        <v>1806</v>
      </c>
    </row>
    <row r="2168" spans="1:1" x14ac:dyDescent="0.3">
      <c r="A2168" t="s">
        <v>1806</v>
      </c>
    </row>
    <row r="2169" spans="1:1" x14ac:dyDescent="0.3">
      <c r="A2169" t="s">
        <v>1806</v>
      </c>
    </row>
    <row r="2170" spans="1:1" x14ac:dyDescent="0.3">
      <c r="A2170" t="s">
        <v>1806</v>
      </c>
    </row>
    <row r="2171" spans="1:1" x14ac:dyDescent="0.3">
      <c r="A2171" t="s">
        <v>7262</v>
      </c>
    </row>
    <row r="2172" spans="1:1" x14ac:dyDescent="0.3">
      <c r="A2172" t="s">
        <v>6978</v>
      </c>
    </row>
    <row r="2173" spans="1:1" x14ac:dyDescent="0.3">
      <c r="A2173" t="s">
        <v>6978</v>
      </c>
    </row>
    <row r="2174" spans="1:1" x14ac:dyDescent="0.3">
      <c r="A2174" t="s">
        <v>6623</v>
      </c>
    </row>
    <row r="2175" spans="1:1" x14ac:dyDescent="0.3">
      <c r="A2175" t="s">
        <v>786</v>
      </c>
    </row>
    <row r="2176" spans="1:1" x14ac:dyDescent="0.3">
      <c r="A2176" t="s">
        <v>786</v>
      </c>
    </row>
    <row r="2177" spans="1:1" x14ac:dyDescent="0.3">
      <c r="A2177" t="s">
        <v>152</v>
      </c>
    </row>
    <row r="2178" spans="1:1" x14ac:dyDescent="0.3">
      <c r="A2178" t="s">
        <v>152</v>
      </c>
    </row>
    <row r="2179" spans="1:1" x14ac:dyDescent="0.3">
      <c r="A2179" t="s">
        <v>152</v>
      </c>
    </row>
    <row r="2180" spans="1:1" x14ac:dyDescent="0.3">
      <c r="A2180" t="s">
        <v>152</v>
      </c>
    </row>
    <row r="2181" spans="1:1" x14ac:dyDescent="0.3">
      <c r="A2181" t="s">
        <v>1688</v>
      </c>
    </row>
    <row r="2182" spans="1:1" x14ac:dyDescent="0.3">
      <c r="A2182" t="s">
        <v>1887</v>
      </c>
    </row>
    <row r="2183" spans="1:1" x14ac:dyDescent="0.3">
      <c r="A2183" t="s">
        <v>662</v>
      </c>
    </row>
    <row r="2184" spans="1:1" x14ac:dyDescent="0.3">
      <c r="A2184" t="s">
        <v>662</v>
      </c>
    </row>
    <row r="2185" spans="1:1" x14ac:dyDescent="0.3">
      <c r="A2185" t="s">
        <v>662</v>
      </c>
    </row>
    <row r="2186" spans="1:1" x14ac:dyDescent="0.3">
      <c r="A2186" t="s">
        <v>662</v>
      </c>
    </row>
    <row r="2187" spans="1:1" x14ac:dyDescent="0.3">
      <c r="A2187" t="s">
        <v>662</v>
      </c>
    </row>
    <row r="2188" spans="1:1" x14ac:dyDescent="0.3">
      <c r="A2188" t="s">
        <v>662</v>
      </c>
    </row>
    <row r="2189" spans="1:1" x14ac:dyDescent="0.3">
      <c r="A2189" t="s">
        <v>662</v>
      </c>
    </row>
    <row r="2190" spans="1:1" x14ac:dyDescent="0.3">
      <c r="A2190" t="s">
        <v>662</v>
      </c>
    </row>
    <row r="2191" spans="1:1" x14ac:dyDescent="0.3">
      <c r="A2191" t="s">
        <v>662</v>
      </c>
    </row>
    <row r="2192" spans="1:1" x14ac:dyDescent="0.3">
      <c r="A2192" t="s">
        <v>7201</v>
      </c>
    </row>
    <row r="2193" spans="1:1" x14ac:dyDescent="0.3">
      <c r="A2193" t="s">
        <v>7201</v>
      </c>
    </row>
    <row r="2194" spans="1:1" x14ac:dyDescent="0.3">
      <c r="A2194" t="s">
        <v>362</v>
      </c>
    </row>
    <row r="2195" spans="1:1" x14ac:dyDescent="0.3">
      <c r="A2195" t="s">
        <v>362</v>
      </c>
    </row>
    <row r="2196" spans="1:1" x14ac:dyDescent="0.3">
      <c r="A2196" t="s">
        <v>362</v>
      </c>
    </row>
    <row r="2197" spans="1:1" x14ac:dyDescent="0.3">
      <c r="A2197" t="s">
        <v>362</v>
      </c>
    </row>
    <row r="2198" spans="1:1" x14ac:dyDescent="0.3">
      <c r="A2198" t="s">
        <v>362</v>
      </c>
    </row>
    <row r="2199" spans="1:1" x14ac:dyDescent="0.3">
      <c r="A2199" t="s">
        <v>362</v>
      </c>
    </row>
    <row r="2200" spans="1:1" x14ac:dyDescent="0.3">
      <c r="A2200" t="s">
        <v>362</v>
      </c>
    </row>
    <row r="2201" spans="1:1" x14ac:dyDescent="0.3">
      <c r="A2201" t="s">
        <v>362</v>
      </c>
    </row>
    <row r="2202" spans="1:1" x14ac:dyDescent="0.3">
      <c r="A2202" t="s">
        <v>362</v>
      </c>
    </row>
    <row r="2203" spans="1:1" x14ac:dyDescent="0.3">
      <c r="A2203" t="s">
        <v>362</v>
      </c>
    </row>
    <row r="2204" spans="1:1" x14ac:dyDescent="0.3">
      <c r="A2204" t="s">
        <v>362</v>
      </c>
    </row>
    <row r="2205" spans="1:1" x14ac:dyDescent="0.3">
      <c r="A2205" t="s">
        <v>362</v>
      </c>
    </row>
    <row r="2206" spans="1:1" x14ac:dyDescent="0.3">
      <c r="A2206" t="s">
        <v>6778</v>
      </c>
    </row>
    <row r="2207" spans="1:1" x14ac:dyDescent="0.3">
      <c r="A2207" t="s">
        <v>6778</v>
      </c>
    </row>
    <row r="2208" spans="1:1" x14ac:dyDescent="0.3">
      <c r="A2208" t="s">
        <v>6778</v>
      </c>
    </row>
    <row r="2209" spans="1:1" x14ac:dyDescent="0.3">
      <c r="A2209" t="s">
        <v>6778</v>
      </c>
    </row>
    <row r="2210" spans="1:1" x14ac:dyDescent="0.3">
      <c r="A2210" t="s">
        <v>6778</v>
      </c>
    </row>
    <row r="2211" spans="1:1" x14ac:dyDescent="0.3">
      <c r="A2211" t="s">
        <v>6778</v>
      </c>
    </row>
    <row r="2212" spans="1:1" x14ac:dyDescent="0.3">
      <c r="A2212" t="s">
        <v>6778</v>
      </c>
    </row>
    <row r="2213" spans="1:1" x14ac:dyDescent="0.3">
      <c r="A2213" t="s">
        <v>6778</v>
      </c>
    </row>
    <row r="2214" spans="1:1" x14ac:dyDescent="0.3">
      <c r="A2214" t="s">
        <v>6778</v>
      </c>
    </row>
    <row r="2215" spans="1:1" x14ac:dyDescent="0.3">
      <c r="A2215" t="s">
        <v>6778</v>
      </c>
    </row>
    <row r="2216" spans="1:1" x14ac:dyDescent="0.3">
      <c r="A2216" t="s">
        <v>6778</v>
      </c>
    </row>
    <row r="2217" spans="1:1" x14ac:dyDescent="0.3">
      <c r="A2217" t="s">
        <v>6778</v>
      </c>
    </row>
    <row r="2218" spans="1:1" x14ac:dyDescent="0.3">
      <c r="A2218" t="s">
        <v>6778</v>
      </c>
    </row>
    <row r="2219" spans="1:1" x14ac:dyDescent="0.3">
      <c r="A2219" t="s">
        <v>6778</v>
      </c>
    </row>
    <row r="2220" spans="1:1" x14ac:dyDescent="0.3">
      <c r="A2220" t="s">
        <v>6778</v>
      </c>
    </row>
    <row r="2221" spans="1:1" x14ac:dyDescent="0.3">
      <c r="A2221" t="s">
        <v>6778</v>
      </c>
    </row>
    <row r="2222" spans="1:1" x14ac:dyDescent="0.3">
      <c r="A2222" t="s">
        <v>6778</v>
      </c>
    </row>
    <row r="2223" spans="1:1" x14ac:dyDescent="0.3">
      <c r="A2223" t="s">
        <v>6778</v>
      </c>
    </row>
    <row r="2224" spans="1:1" x14ac:dyDescent="0.3">
      <c r="A2224" t="s">
        <v>6778</v>
      </c>
    </row>
    <row r="2225" spans="1:1" x14ac:dyDescent="0.3">
      <c r="A2225" t="s">
        <v>6778</v>
      </c>
    </row>
    <row r="2226" spans="1:1" x14ac:dyDescent="0.3">
      <c r="A2226" t="s">
        <v>6778</v>
      </c>
    </row>
    <row r="2227" spans="1:1" x14ac:dyDescent="0.3">
      <c r="A2227" t="s">
        <v>6778</v>
      </c>
    </row>
    <row r="2228" spans="1:1" x14ac:dyDescent="0.3">
      <c r="A2228" t="s">
        <v>6778</v>
      </c>
    </row>
    <row r="2229" spans="1:1" x14ac:dyDescent="0.3">
      <c r="A2229" t="s">
        <v>6778</v>
      </c>
    </row>
    <row r="2230" spans="1:1" x14ac:dyDescent="0.3">
      <c r="A2230" t="s">
        <v>6778</v>
      </c>
    </row>
    <row r="2231" spans="1:1" x14ac:dyDescent="0.3">
      <c r="A2231" t="s">
        <v>6778</v>
      </c>
    </row>
    <row r="2232" spans="1:1" x14ac:dyDescent="0.3">
      <c r="A2232" t="s">
        <v>6778</v>
      </c>
    </row>
    <row r="2233" spans="1:1" x14ac:dyDescent="0.3">
      <c r="A2233" t="s">
        <v>6778</v>
      </c>
    </row>
    <row r="2234" spans="1:1" x14ac:dyDescent="0.3">
      <c r="A2234" t="s">
        <v>6778</v>
      </c>
    </row>
    <row r="2235" spans="1:1" x14ac:dyDescent="0.3">
      <c r="A2235" t="s">
        <v>6778</v>
      </c>
    </row>
    <row r="2236" spans="1:1" x14ac:dyDescent="0.3">
      <c r="A2236" t="s">
        <v>6778</v>
      </c>
    </row>
    <row r="2237" spans="1:1" x14ac:dyDescent="0.3">
      <c r="A2237" t="s">
        <v>6778</v>
      </c>
    </row>
    <row r="2238" spans="1:1" x14ac:dyDescent="0.3">
      <c r="A2238" t="s">
        <v>7202</v>
      </c>
    </row>
    <row r="2239" spans="1:1" x14ac:dyDescent="0.3">
      <c r="A2239" t="s">
        <v>7307</v>
      </c>
    </row>
    <row r="2240" spans="1:1" x14ac:dyDescent="0.3">
      <c r="A2240" t="s">
        <v>6979</v>
      </c>
    </row>
    <row r="2241" spans="1:1" x14ac:dyDescent="0.3">
      <c r="A2241" t="s">
        <v>7200</v>
      </c>
    </row>
    <row r="2242" spans="1:1" x14ac:dyDescent="0.3">
      <c r="A2242" t="s">
        <v>7200</v>
      </c>
    </row>
    <row r="2243" spans="1:1" x14ac:dyDescent="0.3">
      <c r="A2243" t="s">
        <v>6980</v>
      </c>
    </row>
    <row r="2244" spans="1:1" x14ac:dyDescent="0.3">
      <c r="A2244" t="s">
        <v>6779</v>
      </c>
    </row>
    <row r="2245" spans="1:1" x14ac:dyDescent="0.3">
      <c r="A2245" t="s">
        <v>6779</v>
      </c>
    </row>
    <row r="2246" spans="1:1" x14ac:dyDescent="0.3">
      <c r="A2246" t="s">
        <v>6779</v>
      </c>
    </row>
    <row r="2247" spans="1:1" x14ac:dyDescent="0.3">
      <c r="A2247" t="s">
        <v>6779</v>
      </c>
    </row>
    <row r="2248" spans="1:1" x14ac:dyDescent="0.3">
      <c r="A2248" t="s">
        <v>7161</v>
      </c>
    </row>
    <row r="2249" spans="1:1" x14ac:dyDescent="0.3">
      <c r="A2249" t="s">
        <v>7161</v>
      </c>
    </row>
    <row r="2250" spans="1:1" x14ac:dyDescent="0.3">
      <c r="A2250" t="s">
        <v>7338</v>
      </c>
    </row>
    <row r="2251" spans="1:1" x14ac:dyDescent="0.3">
      <c r="A2251" t="s">
        <v>7338</v>
      </c>
    </row>
    <row r="2252" spans="1:1" x14ac:dyDescent="0.3">
      <c r="A2252" t="s">
        <v>2979</v>
      </c>
    </row>
    <row r="2253" spans="1:1" x14ac:dyDescent="0.3">
      <c r="A2253" t="s">
        <v>624</v>
      </c>
    </row>
    <row r="2254" spans="1:1" x14ac:dyDescent="0.3">
      <c r="A2254" t="s">
        <v>624</v>
      </c>
    </row>
    <row r="2255" spans="1:1" x14ac:dyDescent="0.3">
      <c r="A2255" t="s">
        <v>624</v>
      </c>
    </row>
    <row r="2256" spans="1:1" x14ac:dyDescent="0.3">
      <c r="A2256" t="s">
        <v>624</v>
      </c>
    </row>
    <row r="2257" spans="1:1" x14ac:dyDescent="0.3">
      <c r="A2257" t="s">
        <v>624</v>
      </c>
    </row>
    <row r="2258" spans="1:1" x14ac:dyDescent="0.3">
      <c r="A2258" t="s">
        <v>624</v>
      </c>
    </row>
    <row r="2259" spans="1:1" x14ac:dyDescent="0.3">
      <c r="A2259" t="s">
        <v>624</v>
      </c>
    </row>
    <row r="2260" spans="1:1" x14ac:dyDescent="0.3">
      <c r="A2260" t="s">
        <v>624</v>
      </c>
    </row>
    <row r="2261" spans="1:1" x14ac:dyDescent="0.3">
      <c r="A2261" t="s">
        <v>6780</v>
      </c>
    </row>
    <row r="2262" spans="1:1" x14ac:dyDescent="0.3">
      <c r="A2262" t="s">
        <v>6780</v>
      </c>
    </row>
    <row r="2263" spans="1:1" x14ac:dyDescent="0.3">
      <c r="A2263" t="s">
        <v>6780</v>
      </c>
    </row>
    <row r="2264" spans="1:1" x14ac:dyDescent="0.3">
      <c r="A2264" t="s">
        <v>6780</v>
      </c>
    </row>
    <row r="2265" spans="1:1" x14ac:dyDescent="0.3">
      <c r="A2265" t="s">
        <v>6780</v>
      </c>
    </row>
    <row r="2266" spans="1:1" x14ac:dyDescent="0.3">
      <c r="A2266" t="s">
        <v>6780</v>
      </c>
    </row>
    <row r="2267" spans="1:1" x14ac:dyDescent="0.3">
      <c r="A2267" t="s">
        <v>6780</v>
      </c>
    </row>
    <row r="2268" spans="1:1" x14ac:dyDescent="0.3">
      <c r="A2268" t="s">
        <v>6780</v>
      </c>
    </row>
    <row r="2269" spans="1:1" x14ac:dyDescent="0.3">
      <c r="A2269" t="s">
        <v>6780</v>
      </c>
    </row>
    <row r="2270" spans="1:1" x14ac:dyDescent="0.3">
      <c r="A2270" t="s">
        <v>6780</v>
      </c>
    </row>
    <row r="2271" spans="1:1" x14ac:dyDescent="0.3">
      <c r="A2271" t="s">
        <v>6780</v>
      </c>
    </row>
    <row r="2272" spans="1:1" x14ac:dyDescent="0.3">
      <c r="A2272" t="s">
        <v>6780</v>
      </c>
    </row>
    <row r="2273" spans="1:1" x14ac:dyDescent="0.3">
      <c r="A2273" t="s">
        <v>6780</v>
      </c>
    </row>
    <row r="2274" spans="1:1" x14ac:dyDescent="0.3">
      <c r="A2274" t="s">
        <v>6780</v>
      </c>
    </row>
    <row r="2275" spans="1:1" x14ac:dyDescent="0.3">
      <c r="A2275" t="s">
        <v>6780</v>
      </c>
    </row>
    <row r="2276" spans="1:1" x14ac:dyDescent="0.3">
      <c r="A2276" t="s">
        <v>6780</v>
      </c>
    </row>
    <row r="2277" spans="1:1" x14ac:dyDescent="0.3">
      <c r="A2277" t="s">
        <v>6780</v>
      </c>
    </row>
    <row r="2278" spans="1:1" x14ac:dyDescent="0.3">
      <c r="A2278" t="s">
        <v>6780</v>
      </c>
    </row>
    <row r="2279" spans="1:1" x14ac:dyDescent="0.3">
      <c r="A2279" t="s">
        <v>6780</v>
      </c>
    </row>
    <row r="2280" spans="1:1" x14ac:dyDescent="0.3">
      <c r="A2280" t="s">
        <v>6780</v>
      </c>
    </row>
    <row r="2281" spans="1:1" x14ac:dyDescent="0.3">
      <c r="A2281" t="s">
        <v>6780</v>
      </c>
    </row>
    <row r="2282" spans="1:1" x14ac:dyDescent="0.3">
      <c r="A2282" t="s">
        <v>6780</v>
      </c>
    </row>
    <row r="2283" spans="1:1" x14ac:dyDescent="0.3">
      <c r="A2283" t="s">
        <v>6780</v>
      </c>
    </row>
    <row r="2284" spans="1:1" x14ac:dyDescent="0.3">
      <c r="A2284" t="s">
        <v>6780</v>
      </c>
    </row>
    <row r="2285" spans="1:1" x14ac:dyDescent="0.3">
      <c r="A2285" t="s">
        <v>6780</v>
      </c>
    </row>
    <row r="2286" spans="1:1" x14ac:dyDescent="0.3">
      <c r="A2286" t="s">
        <v>6780</v>
      </c>
    </row>
    <row r="2287" spans="1:1" x14ac:dyDescent="0.3">
      <c r="A2287" t="s">
        <v>6780</v>
      </c>
    </row>
    <row r="2288" spans="1:1" x14ac:dyDescent="0.3">
      <c r="A2288" t="s">
        <v>6780</v>
      </c>
    </row>
    <row r="2289" spans="1:1" x14ac:dyDescent="0.3">
      <c r="A2289" t="s">
        <v>6780</v>
      </c>
    </row>
    <row r="2290" spans="1:1" x14ac:dyDescent="0.3">
      <c r="A2290" t="s">
        <v>6780</v>
      </c>
    </row>
    <row r="2291" spans="1:1" x14ac:dyDescent="0.3">
      <c r="A2291" t="s">
        <v>6780</v>
      </c>
    </row>
    <row r="2292" spans="1:1" x14ac:dyDescent="0.3">
      <c r="A2292" t="s">
        <v>6780</v>
      </c>
    </row>
    <row r="2293" spans="1:1" x14ac:dyDescent="0.3">
      <c r="A2293" t="s">
        <v>6780</v>
      </c>
    </row>
    <row r="2294" spans="1:1" x14ac:dyDescent="0.3">
      <c r="A2294" t="s">
        <v>6981</v>
      </c>
    </row>
    <row r="2295" spans="1:1" x14ac:dyDescent="0.3">
      <c r="A2295" t="s">
        <v>6982</v>
      </c>
    </row>
    <row r="2296" spans="1:1" x14ac:dyDescent="0.3">
      <c r="A2296" t="s">
        <v>6983</v>
      </c>
    </row>
    <row r="2297" spans="1:1" x14ac:dyDescent="0.3">
      <c r="A2297" t="s">
        <v>6983</v>
      </c>
    </row>
    <row r="2298" spans="1:1" x14ac:dyDescent="0.3">
      <c r="A2298" t="s">
        <v>695</v>
      </c>
    </row>
    <row r="2299" spans="1:1" x14ac:dyDescent="0.3">
      <c r="A2299" t="s">
        <v>7263</v>
      </c>
    </row>
    <row r="2300" spans="1:1" x14ac:dyDescent="0.3">
      <c r="A2300" t="s">
        <v>6781</v>
      </c>
    </row>
    <row r="2301" spans="1:1" x14ac:dyDescent="0.3">
      <c r="A2301" t="s">
        <v>6782</v>
      </c>
    </row>
    <row r="2302" spans="1:1" x14ac:dyDescent="0.3">
      <c r="A2302" t="s">
        <v>6782</v>
      </c>
    </row>
    <row r="2303" spans="1:1" x14ac:dyDescent="0.3">
      <c r="A2303" t="s">
        <v>7134</v>
      </c>
    </row>
    <row r="2304" spans="1:1" x14ac:dyDescent="0.3">
      <c r="A2304" t="s">
        <v>6783</v>
      </c>
    </row>
    <row r="2305" spans="1:1" x14ac:dyDescent="0.3">
      <c r="A2305" t="s">
        <v>2480</v>
      </c>
    </row>
    <row r="2306" spans="1:1" x14ac:dyDescent="0.3">
      <c r="A2306" t="s">
        <v>2480</v>
      </c>
    </row>
    <row r="2307" spans="1:1" x14ac:dyDescent="0.3">
      <c r="A2307" t="s">
        <v>2480</v>
      </c>
    </row>
    <row r="2308" spans="1:1" x14ac:dyDescent="0.3">
      <c r="A2308" t="s">
        <v>2480</v>
      </c>
    </row>
    <row r="2309" spans="1:1" x14ac:dyDescent="0.3">
      <c r="A2309" t="s">
        <v>1529</v>
      </c>
    </row>
    <row r="2310" spans="1:1" x14ac:dyDescent="0.3">
      <c r="A2310" t="s">
        <v>7264</v>
      </c>
    </row>
    <row r="2311" spans="1:1" x14ac:dyDescent="0.3">
      <c r="A2311" t="s">
        <v>7264</v>
      </c>
    </row>
    <row r="2312" spans="1:1" x14ac:dyDescent="0.3">
      <c r="A2312" t="s">
        <v>6784</v>
      </c>
    </row>
    <row r="2313" spans="1:1" x14ac:dyDescent="0.3">
      <c r="A2313" t="s">
        <v>142</v>
      </c>
    </row>
    <row r="2314" spans="1:1" x14ac:dyDescent="0.3">
      <c r="A2314" t="s">
        <v>142</v>
      </c>
    </row>
    <row r="2315" spans="1:1" x14ac:dyDescent="0.3">
      <c r="A2315" t="s">
        <v>142</v>
      </c>
    </row>
    <row r="2316" spans="1:1" x14ac:dyDescent="0.3">
      <c r="A2316" t="s">
        <v>142</v>
      </c>
    </row>
    <row r="2317" spans="1:1" x14ac:dyDescent="0.3">
      <c r="A2317" t="s">
        <v>142</v>
      </c>
    </row>
    <row r="2318" spans="1:1" x14ac:dyDescent="0.3">
      <c r="A2318" t="s">
        <v>142</v>
      </c>
    </row>
    <row r="2319" spans="1:1" x14ac:dyDescent="0.3">
      <c r="A2319" t="s">
        <v>2407</v>
      </c>
    </row>
    <row r="2320" spans="1:1" x14ac:dyDescent="0.3">
      <c r="A2320" t="s">
        <v>6785</v>
      </c>
    </row>
    <row r="2321" spans="1:1" x14ac:dyDescent="0.3">
      <c r="A2321" t="s">
        <v>6785</v>
      </c>
    </row>
    <row r="2322" spans="1:1" x14ac:dyDescent="0.3">
      <c r="A2322" t="s">
        <v>6785</v>
      </c>
    </row>
    <row r="2323" spans="1:1" x14ac:dyDescent="0.3">
      <c r="A2323" t="s">
        <v>6785</v>
      </c>
    </row>
    <row r="2324" spans="1:1" x14ac:dyDescent="0.3">
      <c r="A2324" t="s">
        <v>679</v>
      </c>
    </row>
    <row r="2325" spans="1:1" x14ac:dyDescent="0.3">
      <c r="A2325" t="s">
        <v>679</v>
      </c>
    </row>
    <row r="2326" spans="1:1" x14ac:dyDescent="0.3">
      <c r="A2326" t="s">
        <v>679</v>
      </c>
    </row>
    <row r="2327" spans="1:1" x14ac:dyDescent="0.3">
      <c r="A2327" t="s">
        <v>6786</v>
      </c>
    </row>
    <row r="2328" spans="1:1" x14ac:dyDescent="0.3">
      <c r="A2328" t="s">
        <v>6786</v>
      </c>
    </row>
    <row r="2329" spans="1:1" x14ac:dyDescent="0.3">
      <c r="A2329" t="s">
        <v>6786</v>
      </c>
    </row>
    <row r="2330" spans="1:1" x14ac:dyDescent="0.3">
      <c r="A2330" t="s">
        <v>6786</v>
      </c>
    </row>
    <row r="2331" spans="1:1" x14ac:dyDescent="0.3">
      <c r="A2331" t="s">
        <v>6786</v>
      </c>
    </row>
    <row r="2332" spans="1:1" x14ac:dyDescent="0.3">
      <c r="A2332" t="s">
        <v>6786</v>
      </c>
    </row>
    <row r="2333" spans="1:1" x14ac:dyDescent="0.3">
      <c r="A2333" t="s">
        <v>6786</v>
      </c>
    </row>
    <row r="2334" spans="1:1" x14ac:dyDescent="0.3">
      <c r="A2334" t="s">
        <v>6786</v>
      </c>
    </row>
    <row r="2335" spans="1:1" x14ac:dyDescent="0.3">
      <c r="A2335" t="s">
        <v>1600</v>
      </c>
    </row>
    <row r="2336" spans="1:1" x14ac:dyDescent="0.3">
      <c r="A2336" t="s">
        <v>2974</v>
      </c>
    </row>
    <row r="2337" spans="1:1" x14ac:dyDescent="0.3">
      <c r="A2337" t="s">
        <v>6787</v>
      </c>
    </row>
    <row r="2338" spans="1:1" x14ac:dyDescent="0.3">
      <c r="A2338" t="s">
        <v>6787</v>
      </c>
    </row>
    <row r="2339" spans="1:1" x14ac:dyDescent="0.3">
      <c r="A2339" t="s">
        <v>6787</v>
      </c>
    </row>
    <row r="2340" spans="1:1" x14ac:dyDescent="0.3">
      <c r="A2340" t="s">
        <v>6787</v>
      </c>
    </row>
    <row r="2341" spans="1:1" x14ac:dyDescent="0.3">
      <c r="A2341" t="s">
        <v>6787</v>
      </c>
    </row>
    <row r="2342" spans="1:1" x14ac:dyDescent="0.3">
      <c r="A2342" t="s">
        <v>6787</v>
      </c>
    </row>
    <row r="2343" spans="1:1" x14ac:dyDescent="0.3">
      <c r="A2343" t="s">
        <v>6787</v>
      </c>
    </row>
    <row r="2344" spans="1:1" x14ac:dyDescent="0.3">
      <c r="A2344" t="s">
        <v>6787</v>
      </c>
    </row>
    <row r="2345" spans="1:1" x14ac:dyDescent="0.3">
      <c r="A2345" t="s">
        <v>6787</v>
      </c>
    </row>
    <row r="2346" spans="1:1" x14ac:dyDescent="0.3">
      <c r="A2346" t="s">
        <v>6984</v>
      </c>
    </row>
    <row r="2347" spans="1:1" x14ac:dyDescent="0.3">
      <c r="A2347" t="s">
        <v>6788</v>
      </c>
    </row>
    <row r="2348" spans="1:1" x14ac:dyDescent="0.3">
      <c r="A2348" t="s">
        <v>6788</v>
      </c>
    </row>
    <row r="2349" spans="1:1" x14ac:dyDescent="0.3">
      <c r="A2349" t="s">
        <v>6788</v>
      </c>
    </row>
    <row r="2350" spans="1:1" x14ac:dyDescent="0.3">
      <c r="A2350" t="s">
        <v>6788</v>
      </c>
    </row>
    <row r="2351" spans="1:1" x14ac:dyDescent="0.3">
      <c r="A2351" t="s">
        <v>6788</v>
      </c>
    </row>
    <row r="2352" spans="1:1" x14ac:dyDescent="0.3">
      <c r="A2352" t="s">
        <v>6788</v>
      </c>
    </row>
    <row r="2353" spans="1:1" x14ac:dyDescent="0.3">
      <c r="A2353" t="s">
        <v>6788</v>
      </c>
    </row>
    <row r="2354" spans="1:1" x14ac:dyDescent="0.3">
      <c r="A2354" t="s">
        <v>6789</v>
      </c>
    </row>
    <row r="2355" spans="1:1" x14ac:dyDescent="0.3">
      <c r="A2355" t="s">
        <v>6790</v>
      </c>
    </row>
    <row r="2356" spans="1:1" x14ac:dyDescent="0.3">
      <c r="A2356" t="s">
        <v>6790</v>
      </c>
    </row>
    <row r="2357" spans="1:1" x14ac:dyDescent="0.3">
      <c r="A2357" t="s">
        <v>6790</v>
      </c>
    </row>
    <row r="2358" spans="1:1" x14ac:dyDescent="0.3">
      <c r="A2358" t="s">
        <v>6790</v>
      </c>
    </row>
    <row r="2359" spans="1:1" x14ac:dyDescent="0.3">
      <c r="A2359" t="s">
        <v>6790</v>
      </c>
    </row>
    <row r="2360" spans="1:1" x14ac:dyDescent="0.3">
      <c r="A2360" t="s">
        <v>6790</v>
      </c>
    </row>
    <row r="2361" spans="1:1" x14ac:dyDescent="0.3">
      <c r="A2361" t="s">
        <v>6790</v>
      </c>
    </row>
    <row r="2362" spans="1:1" x14ac:dyDescent="0.3">
      <c r="A2362" t="s">
        <v>6790</v>
      </c>
    </row>
    <row r="2363" spans="1:1" x14ac:dyDescent="0.3">
      <c r="A2363" t="s">
        <v>6790</v>
      </c>
    </row>
    <row r="2364" spans="1:1" x14ac:dyDescent="0.3">
      <c r="A2364" t="s">
        <v>6790</v>
      </c>
    </row>
    <row r="2365" spans="1:1" x14ac:dyDescent="0.3">
      <c r="A2365" t="s">
        <v>6790</v>
      </c>
    </row>
    <row r="2366" spans="1:1" x14ac:dyDescent="0.3">
      <c r="A2366" t="s">
        <v>6790</v>
      </c>
    </row>
    <row r="2367" spans="1:1" x14ac:dyDescent="0.3">
      <c r="A2367" t="s">
        <v>6790</v>
      </c>
    </row>
    <row r="2368" spans="1:1" x14ac:dyDescent="0.3">
      <c r="A2368" t="s">
        <v>6790</v>
      </c>
    </row>
    <row r="2369" spans="1:1" x14ac:dyDescent="0.3">
      <c r="A2369" t="s">
        <v>6790</v>
      </c>
    </row>
    <row r="2370" spans="1:1" x14ac:dyDescent="0.3">
      <c r="A2370" t="s">
        <v>6790</v>
      </c>
    </row>
    <row r="2371" spans="1:1" x14ac:dyDescent="0.3">
      <c r="A2371" t="s">
        <v>6790</v>
      </c>
    </row>
    <row r="2372" spans="1:1" x14ac:dyDescent="0.3">
      <c r="A2372" t="s">
        <v>6790</v>
      </c>
    </row>
    <row r="2373" spans="1:1" x14ac:dyDescent="0.3">
      <c r="A2373" t="s">
        <v>6790</v>
      </c>
    </row>
    <row r="2374" spans="1:1" x14ac:dyDescent="0.3">
      <c r="A2374" t="s">
        <v>6790</v>
      </c>
    </row>
    <row r="2375" spans="1:1" x14ac:dyDescent="0.3">
      <c r="A2375" t="s">
        <v>6790</v>
      </c>
    </row>
    <row r="2376" spans="1:1" x14ac:dyDescent="0.3">
      <c r="A2376" t="s">
        <v>6790</v>
      </c>
    </row>
    <row r="2377" spans="1:1" x14ac:dyDescent="0.3">
      <c r="A2377" t="s">
        <v>6790</v>
      </c>
    </row>
    <row r="2378" spans="1:1" x14ac:dyDescent="0.3">
      <c r="A2378" t="s">
        <v>6790</v>
      </c>
    </row>
    <row r="2379" spans="1:1" x14ac:dyDescent="0.3">
      <c r="A2379" t="s">
        <v>6790</v>
      </c>
    </row>
    <row r="2380" spans="1:1" x14ac:dyDescent="0.3">
      <c r="A2380" t="s">
        <v>1098</v>
      </c>
    </row>
    <row r="2381" spans="1:1" x14ac:dyDescent="0.3">
      <c r="A2381" t="s">
        <v>6791</v>
      </c>
    </row>
    <row r="2382" spans="1:1" x14ac:dyDescent="0.3">
      <c r="A2382" t="s">
        <v>6791</v>
      </c>
    </row>
    <row r="2383" spans="1:1" x14ac:dyDescent="0.3">
      <c r="A2383" t="s">
        <v>1345</v>
      </c>
    </row>
    <row r="2384" spans="1:1" x14ac:dyDescent="0.3">
      <c r="A2384" t="s">
        <v>1345</v>
      </c>
    </row>
    <row r="2385" spans="1:1" x14ac:dyDescent="0.3">
      <c r="A2385" t="s">
        <v>1345</v>
      </c>
    </row>
    <row r="2386" spans="1:1" x14ac:dyDescent="0.3">
      <c r="A2386" t="s">
        <v>1345</v>
      </c>
    </row>
    <row r="2387" spans="1:1" x14ac:dyDescent="0.3">
      <c r="A2387" t="s">
        <v>6792</v>
      </c>
    </row>
    <row r="2388" spans="1:1" x14ac:dyDescent="0.3">
      <c r="A2388" t="s">
        <v>6792</v>
      </c>
    </row>
    <row r="2389" spans="1:1" x14ac:dyDescent="0.3">
      <c r="A2389" t="s">
        <v>6792</v>
      </c>
    </row>
    <row r="2390" spans="1:1" x14ac:dyDescent="0.3">
      <c r="A2390" t="s">
        <v>6792</v>
      </c>
    </row>
    <row r="2391" spans="1:1" x14ac:dyDescent="0.3">
      <c r="A2391" t="s">
        <v>6792</v>
      </c>
    </row>
    <row r="2392" spans="1:1" x14ac:dyDescent="0.3">
      <c r="A2392" t="s">
        <v>6792</v>
      </c>
    </row>
    <row r="2393" spans="1:1" x14ac:dyDescent="0.3">
      <c r="A2393" t="s">
        <v>6792</v>
      </c>
    </row>
    <row r="2394" spans="1:1" x14ac:dyDescent="0.3">
      <c r="A2394" t="s">
        <v>6792</v>
      </c>
    </row>
    <row r="2395" spans="1:1" x14ac:dyDescent="0.3">
      <c r="A2395" t="s">
        <v>6792</v>
      </c>
    </row>
    <row r="2396" spans="1:1" x14ac:dyDescent="0.3">
      <c r="A2396" t="s">
        <v>6792</v>
      </c>
    </row>
    <row r="2397" spans="1:1" x14ac:dyDescent="0.3">
      <c r="A2397" t="s">
        <v>6792</v>
      </c>
    </row>
    <row r="2398" spans="1:1" x14ac:dyDescent="0.3">
      <c r="A2398" t="s">
        <v>6792</v>
      </c>
    </row>
    <row r="2399" spans="1:1" x14ac:dyDescent="0.3">
      <c r="A2399" t="s">
        <v>6792</v>
      </c>
    </row>
    <row r="2400" spans="1:1" x14ac:dyDescent="0.3">
      <c r="A2400" t="s">
        <v>6792</v>
      </c>
    </row>
    <row r="2401" spans="1:1" x14ac:dyDescent="0.3">
      <c r="A2401" t="s">
        <v>6792</v>
      </c>
    </row>
    <row r="2402" spans="1:1" x14ac:dyDescent="0.3">
      <c r="A2402" t="s">
        <v>6792</v>
      </c>
    </row>
    <row r="2403" spans="1:1" x14ac:dyDescent="0.3">
      <c r="A2403" t="s">
        <v>6792</v>
      </c>
    </row>
    <row r="2404" spans="1:1" x14ac:dyDescent="0.3">
      <c r="A2404" t="s">
        <v>6792</v>
      </c>
    </row>
    <row r="2405" spans="1:1" x14ac:dyDescent="0.3">
      <c r="A2405" t="s">
        <v>6792</v>
      </c>
    </row>
    <row r="2406" spans="1:1" x14ac:dyDescent="0.3">
      <c r="A2406" t="s">
        <v>6792</v>
      </c>
    </row>
    <row r="2407" spans="1:1" x14ac:dyDescent="0.3">
      <c r="A2407" t="s">
        <v>6792</v>
      </c>
    </row>
    <row r="2408" spans="1:1" x14ac:dyDescent="0.3">
      <c r="A2408" t="s">
        <v>6792</v>
      </c>
    </row>
    <row r="2409" spans="1:1" x14ac:dyDescent="0.3">
      <c r="A2409" t="s">
        <v>6792</v>
      </c>
    </row>
    <row r="2410" spans="1:1" x14ac:dyDescent="0.3">
      <c r="A2410" t="s">
        <v>6792</v>
      </c>
    </row>
    <row r="2411" spans="1:1" x14ac:dyDescent="0.3">
      <c r="A2411" t="s">
        <v>6985</v>
      </c>
    </row>
    <row r="2412" spans="1:1" x14ac:dyDescent="0.3">
      <c r="A2412" t="s">
        <v>7339</v>
      </c>
    </row>
    <row r="2413" spans="1:1" x14ac:dyDescent="0.3">
      <c r="A2413" t="s">
        <v>6793</v>
      </c>
    </row>
    <row r="2414" spans="1:1" x14ac:dyDescent="0.3">
      <c r="A2414" t="s">
        <v>6794</v>
      </c>
    </row>
    <row r="2415" spans="1:1" x14ac:dyDescent="0.3">
      <c r="A2415" t="s">
        <v>7165</v>
      </c>
    </row>
    <row r="2416" spans="1:1" x14ac:dyDescent="0.3">
      <c r="A2416" t="s">
        <v>7135</v>
      </c>
    </row>
    <row r="2417" spans="1:1" x14ac:dyDescent="0.3">
      <c r="A2417" t="s">
        <v>6795</v>
      </c>
    </row>
    <row r="2418" spans="1:1" x14ac:dyDescent="0.3">
      <c r="A2418" t="s">
        <v>6795</v>
      </c>
    </row>
    <row r="2419" spans="1:1" x14ac:dyDescent="0.3">
      <c r="A2419" t="s">
        <v>6795</v>
      </c>
    </row>
    <row r="2420" spans="1:1" x14ac:dyDescent="0.3">
      <c r="A2420" t="s">
        <v>7100</v>
      </c>
    </row>
    <row r="2421" spans="1:1" x14ac:dyDescent="0.3">
      <c r="A2421" t="s">
        <v>7100</v>
      </c>
    </row>
    <row r="2422" spans="1:1" x14ac:dyDescent="0.3">
      <c r="A2422" t="s">
        <v>2435</v>
      </c>
    </row>
    <row r="2423" spans="1:1" x14ac:dyDescent="0.3">
      <c r="A2423" t="s">
        <v>2435</v>
      </c>
    </row>
    <row r="2424" spans="1:1" x14ac:dyDescent="0.3">
      <c r="A2424" t="s">
        <v>7203</v>
      </c>
    </row>
    <row r="2425" spans="1:1" x14ac:dyDescent="0.3">
      <c r="A2425" t="s">
        <v>7203</v>
      </c>
    </row>
    <row r="2426" spans="1:1" x14ac:dyDescent="0.3">
      <c r="A2426" t="s">
        <v>6796</v>
      </c>
    </row>
    <row r="2427" spans="1:1" x14ac:dyDescent="0.3">
      <c r="A2427" t="s">
        <v>6796</v>
      </c>
    </row>
    <row r="2428" spans="1:1" x14ac:dyDescent="0.3">
      <c r="A2428" t="s">
        <v>6796</v>
      </c>
    </row>
    <row r="2429" spans="1:1" x14ac:dyDescent="0.3">
      <c r="A2429" t="s">
        <v>6986</v>
      </c>
    </row>
    <row r="2430" spans="1:1" x14ac:dyDescent="0.3">
      <c r="A2430" t="s">
        <v>6986</v>
      </c>
    </row>
    <row r="2431" spans="1:1" x14ac:dyDescent="0.3">
      <c r="A2431" t="s">
        <v>6986</v>
      </c>
    </row>
    <row r="2432" spans="1:1" x14ac:dyDescent="0.3">
      <c r="A2432" t="s">
        <v>6986</v>
      </c>
    </row>
    <row r="2433" spans="1:1" x14ac:dyDescent="0.3">
      <c r="A2433" t="s">
        <v>733</v>
      </c>
    </row>
    <row r="2434" spans="1:1" x14ac:dyDescent="0.3">
      <c r="A2434" t="s">
        <v>733</v>
      </c>
    </row>
    <row r="2435" spans="1:1" x14ac:dyDescent="0.3">
      <c r="A2435" t="s">
        <v>733</v>
      </c>
    </row>
    <row r="2436" spans="1:1" x14ac:dyDescent="0.3">
      <c r="A2436" t="s">
        <v>733</v>
      </c>
    </row>
    <row r="2437" spans="1:1" x14ac:dyDescent="0.3">
      <c r="A2437" t="s">
        <v>6797</v>
      </c>
    </row>
    <row r="2438" spans="1:1" x14ac:dyDescent="0.3">
      <c r="A2438" t="s">
        <v>6797</v>
      </c>
    </row>
    <row r="2439" spans="1:1" x14ac:dyDescent="0.3">
      <c r="A2439" t="s">
        <v>6797</v>
      </c>
    </row>
    <row r="2440" spans="1:1" x14ac:dyDescent="0.3">
      <c r="A2440" t="s">
        <v>6797</v>
      </c>
    </row>
    <row r="2441" spans="1:1" x14ac:dyDescent="0.3">
      <c r="A2441" t="s">
        <v>6797</v>
      </c>
    </row>
    <row r="2442" spans="1:1" x14ac:dyDescent="0.3">
      <c r="A2442" t="s">
        <v>6797</v>
      </c>
    </row>
    <row r="2443" spans="1:1" x14ac:dyDescent="0.3">
      <c r="A2443" t="s">
        <v>6797</v>
      </c>
    </row>
    <row r="2444" spans="1:1" x14ac:dyDescent="0.3">
      <c r="A2444" t="s">
        <v>6797</v>
      </c>
    </row>
    <row r="2445" spans="1:1" x14ac:dyDescent="0.3">
      <c r="A2445" t="s">
        <v>6797</v>
      </c>
    </row>
    <row r="2446" spans="1:1" x14ac:dyDescent="0.3">
      <c r="A2446" t="s">
        <v>6797</v>
      </c>
    </row>
    <row r="2447" spans="1:1" x14ac:dyDescent="0.3">
      <c r="A2447" t="s">
        <v>6797</v>
      </c>
    </row>
    <row r="2448" spans="1:1" x14ac:dyDescent="0.3">
      <c r="A2448" t="s">
        <v>6797</v>
      </c>
    </row>
    <row r="2449" spans="1:1" x14ac:dyDescent="0.3">
      <c r="A2449" t="s">
        <v>6797</v>
      </c>
    </row>
    <row r="2450" spans="1:1" x14ac:dyDescent="0.3">
      <c r="A2450" t="s">
        <v>945</v>
      </c>
    </row>
    <row r="2451" spans="1:1" x14ac:dyDescent="0.3">
      <c r="A2451" t="s">
        <v>6798</v>
      </c>
    </row>
    <row r="2452" spans="1:1" x14ac:dyDescent="0.3">
      <c r="A2452" t="s">
        <v>6798</v>
      </c>
    </row>
    <row r="2453" spans="1:1" x14ac:dyDescent="0.3">
      <c r="A2453" t="s">
        <v>6798</v>
      </c>
    </row>
    <row r="2454" spans="1:1" x14ac:dyDescent="0.3">
      <c r="A2454" t="s">
        <v>6798</v>
      </c>
    </row>
    <row r="2455" spans="1:1" x14ac:dyDescent="0.3">
      <c r="A2455" t="s">
        <v>7136</v>
      </c>
    </row>
    <row r="2456" spans="1:1" x14ac:dyDescent="0.3">
      <c r="A2456" t="s">
        <v>7136</v>
      </c>
    </row>
    <row r="2457" spans="1:1" x14ac:dyDescent="0.3">
      <c r="A2457" t="s">
        <v>7136</v>
      </c>
    </row>
    <row r="2458" spans="1:1" x14ac:dyDescent="0.3">
      <c r="A2458" t="s">
        <v>7136</v>
      </c>
    </row>
    <row r="2459" spans="1:1" x14ac:dyDescent="0.3">
      <c r="A2459" t="s">
        <v>7136</v>
      </c>
    </row>
    <row r="2460" spans="1:1" x14ac:dyDescent="0.3">
      <c r="A2460" t="s">
        <v>7204</v>
      </c>
    </row>
    <row r="2461" spans="1:1" x14ac:dyDescent="0.3">
      <c r="A2461" t="s">
        <v>6799</v>
      </c>
    </row>
    <row r="2462" spans="1:1" x14ac:dyDescent="0.3">
      <c r="A2462" t="s">
        <v>808</v>
      </c>
    </row>
    <row r="2463" spans="1:1" x14ac:dyDescent="0.3">
      <c r="A2463" t="s">
        <v>808</v>
      </c>
    </row>
    <row r="2464" spans="1:1" x14ac:dyDescent="0.3">
      <c r="A2464" t="s">
        <v>808</v>
      </c>
    </row>
    <row r="2465" spans="1:1" x14ac:dyDescent="0.3">
      <c r="A2465" t="s">
        <v>6800</v>
      </c>
    </row>
    <row r="2466" spans="1:1" x14ac:dyDescent="0.3">
      <c r="A2466" t="s">
        <v>6800</v>
      </c>
    </row>
    <row r="2467" spans="1:1" x14ac:dyDescent="0.3">
      <c r="A2467" t="s">
        <v>6800</v>
      </c>
    </row>
    <row r="2468" spans="1:1" x14ac:dyDescent="0.3">
      <c r="A2468" t="s">
        <v>6800</v>
      </c>
    </row>
    <row r="2469" spans="1:1" x14ac:dyDescent="0.3">
      <c r="A2469" t="s">
        <v>6800</v>
      </c>
    </row>
    <row r="2470" spans="1:1" x14ac:dyDescent="0.3">
      <c r="A2470" t="s">
        <v>6800</v>
      </c>
    </row>
    <row r="2471" spans="1:1" x14ac:dyDescent="0.3">
      <c r="A2471" t="s">
        <v>6800</v>
      </c>
    </row>
    <row r="2472" spans="1:1" x14ac:dyDescent="0.3">
      <c r="A2472" t="s">
        <v>6800</v>
      </c>
    </row>
    <row r="2473" spans="1:1" x14ac:dyDescent="0.3">
      <c r="A2473" t="s">
        <v>6800</v>
      </c>
    </row>
    <row r="2474" spans="1:1" x14ac:dyDescent="0.3">
      <c r="A2474" t="s">
        <v>6800</v>
      </c>
    </row>
    <row r="2475" spans="1:1" x14ac:dyDescent="0.3">
      <c r="A2475" t="s">
        <v>6800</v>
      </c>
    </row>
    <row r="2476" spans="1:1" x14ac:dyDescent="0.3">
      <c r="A2476" t="s">
        <v>6800</v>
      </c>
    </row>
    <row r="2477" spans="1:1" x14ac:dyDescent="0.3">
      <c r="A2477" t="s">
        <v>6800</v>
      </c>
    </row>
    <row r="2478" spans="1:1" x14ac:dyDescent="0.3">
      <c r="A2478" t="s">
        <v>6800</v>
      </c>
    </row>
    <row r="2479" spans="1:1" x14ac:dyDescent="0.3">
      <c r="A2479" t="s">
        <v>6987</v>
      </c>
    </row>
    <row r="2480" spans="1:1" x14ac:dyDescent="0.3">
      <c r="A2480" t="s">
        <v>6987</v>
      </c>
    </row>
    <row r="2481" spans="1:1" x14ac:dyDescent="0.3">
      <c r="A2481" t="s">
        <v>6801</v>
      </c>
    </row>
    <row r="2482" spans="1:1" x14ac:dyDescent="0.3">
      <c r="A2482" t="s">
        <v>6802</v>
      </c>
    </row>
    <row r="2483" spans="1:1" x14ac:dyDescent="0.3">
      <c r="A2483" t="s">
        <v>1077</v>
      </c>
    </row>
    <row r="2484" spans="1:1" x14ac:dyDescent="0.3">
      <c r="A2484" t="s">
        <v>1077</v>
      </c>
    </row>
    <row r="2485" spans="1:1" x14ac:dyDescent="0.3">
      <c r="A2485" t="s">
        <v>1077</v>
      </c>
    </row>
    <row r="2486" spans="1:1" x14ac:dyDescent="0.3">
      <c r="A2486" t="s">
        <v>6803</v>
      </c>
    </row>
    <row r="2487" spans="1:1" x14ac:dyDescent="0.3">
      <c r="A2487" t="s">
        <v>6803</v>
      </c>
    </row>
    <row r="2488" spans="1:1" x14ac:dyDescent="0.3">
      <c r="A2488" t="s">
        <v>6803</v>
      </c>
    </row>
    <row r="2489" spans="1:1" x14ac:dyDescent="0.3">
      <c r="A2489" t="s">
        <v>6803</v>
      </c>
    </row>
    <row r="2490" spans="1:1" x14ac:dyDescent="0.3">
      <c r="A2490" t="s">
        <v>6803</v>
      </c>
    </row>
    <row r="2491" spans="1:1" x14ac:dyDescent="0.3">
      <c r="A2491" t="s">
        <v>6803</v>
      </c>
    </row>
    <row r="2492" spans="1:1" x14ac:dyDescent="0.3">
      <c r="A2492" t="s">
        <v>6803</v>
      </c>
    </row>
    <row r="2493" spans="1:1" x14ac:dyDescent="0.3">
      <c r="A2493" t="s">
        <v>6803</v>
      </c>
    </row>
    <row r="2494" spans="1:1" x14ac:dyDescent="0.3">
      <c r="A2494" t="s">
        <v>6988</v>
      </c>
    </row>
    <row r="2495" spans="1:1" x14ac:dyDescent="0.3">
      <c r="A2495" t="s">
        <v>6989</v>
      </c>
    </row>
    <row r="2496" spans="1:1" x14ac:dyDescent="0.3">
      <c r="A2496" t="s">
        <v>7169</v>
      </c>
    </row>
    <row r="2497" spans="1:1" x14ac:dyDescent="0.3">
      <c r="A2497" t="s">
        <v>6804</v>
      </c>
    </row>
    <row r="2498" spans="1:1" x14ac:dyDescent="0.3">
      <c r="A2498" t="s">
        <v>6804</v>
      </c>
    </row>
    <row r="2499" spans="1:1" x14ac:dyDescent="0.3">
      <c r="A2499" t="s">
        <v>6804</v>
      </c>
    </row>
    <row r="2500" spans="1:1" x14ac:dyDescent="0.3">
      <c r="A2500" t="s">
        <v>6804</v>
      </c>
    </row>
    <row r="2501" spans="1:1" x14ac:dyDescent="0.3">
      <c r="A2501" t="s">
        <v>6804</v>
      </c>
    </row>
    <row r="2502" spans="1:1" x14ac:dyDescent="0.3">
      <c r="A2502" t="s">
        <v>6804</v>
      </c>
    </row>
    <row r="2503" spans="1:1" x14ac:dyDescent="0.3">
      <c r="A2503" t="s">
        <v>6804</v>
      </c>
    </row>
    <row r="2504" spans="1:1" x14ac:dyDescent="0.3">
      <c r="A2504" t="s">
        <v>6804</v>
      </c>
    </row>
    <row r="2505" spans="1:1" x14ac:dyDescent="0.3">
      <c r="A2505" t="s">
        <v>6804</v>
      </c>
    </row>
    <row r="2506" spans="1:1" x14ac:dyDescent="0.3">
      <c r="A2506" t="s">
        <v>6804</v>
      </c>
    </row>
    <row r="2507" spans="1:1" x14ac:dyDescent="0.3">
      <c r="A2507" t="s">
        <v>6804</v>
      </c>
    </row>
    <row r="2508" spans="1:1" x14ac:dyDescent="0.3">
      <c r="A2508" t="s">
        <v>6804</v>
      </c>
    </row>
    <row r="2509" spans="1:1" x14ac:dyDescent="0.3">
      <c r="A2509" t="s">
        <v>6804</v>
      </c>
    </row>
    <row r="2510" spans="1:1" x14ac:dyDescent="0.3">
      <c r="A2510" t="s">
        <v>6804</v>
      </c>
    </row>
    <row r="2511" spans="1:1" x14ac:dyDescent="0.3">
      <c r="A2511" t="s">
        <v>6804</v>
      </c>
    </row>
    <row r="2512" spans="1:1" x14ac:dyDescent="0.3">
      <c r="A2512" t="s">
        <v>6804</v>
      </c>
    </row>
    <row r="2513" spans="1:1" x14ac:dyDescent="0.3">
      <c r="A2513" t="s">
        <v>6990</v>
      </c>
    </row>
    <row r="2514" spans="1:1" x14ac:dyDescent="0.3">
      <c r="A2514" t="s">
        <v>7265</v>
      </c>
    </row>
    <row r="2515" spans="1:1" x14ac:dyDescent="0.3">
      <c r="A2515" t="s">
        <v>7206</v>
      </c>
    </row>
    <row r="2516" spans="1:1" x14ac:dyDescent="0.3">
      <c r="A2516" t="s">
        <v>7206</v>
      </c>
    </row>
    <row r="2517" spans="1:1" x14ac:dyDescent="0.3">
      <c r="A2517" t="s">
        <v>7206</v>
      </c>
    </row>
    <row r="2518" spans="1:1" x14ac:dyDescent="0.3">
      <c r="A2518" t="s">
        <v>7206</v>
      </c>
    </row>
    <row r="2519" spans="1:1" x14ac:dyDescent="0.3">
      <c r="A2519" t="s">
        <v>7206</v>
      </c>
    </row>
    <row r="2520" spans="1:1" x14ac:dyDescent="0.3">
      <c r="A2520" t="s">
        <v>7206</v>
      </c>
    </row>
    <row r="2521" spans="1:1" x14ac:dyDescent="0.3">
      <c r="A2521" t="s">
        <v>7206</v>
      </c>
    </row>
    <row r="2522" spans="1:1" x14ac:dyDescent="0.3">
      <c r="A2522" t="s">
        <v>7206</v>
      </c>
    </row>
    <row r="2523" spans="1:1" x14ac:dyDescent="0.3">
      <c r="A2523" t="s">
        <v>7206</v>
      </c>
    </row>
    <row r="2524" spans="1:1" x14ac:dyDescent="0.3">
      <c r="A2524" t="s">
        <v>7205</v>
      </c>
    </row>
    <row r="2525" spans="1:1" x14ac:dyDescent="0.3">
      <c r="A2525" t="s">
        <v>1370</v>
      </c>
    </row>
    <row r="2526" spans="1:1" x14ac:dyDescent="0.3">
      <c r="A2526" t="s">
        <v>1370</v>
      </c>
    </row>
    <row r="2527" spans="1:1" x14ac:dyDescent="0.3">
      <c r="A2527" t="s">
        <v>1370</v>
      </c>
    </row>
    <row r="2528" spans="1:1" x14ac:dyDescent="0.3">
      <c r="A2528" t="s">
        <v>1370</v>
      </c>
    </row>
    <row r="2529" spans="1:1" x14ac:dyDescent="0.3">
      <c r="A2529" t="s">
        <v>1370</v>
      </c>
    </row>
    <row r="2530" spans="1:1" x14ac:dyDescent="0.3">
      <c r="A2530" t="s">
        <v>1370</v>
      </c>
    </row>
    <row r="2531" spans="1:1" x14ac:dyDescent="0.3">
      <c r="A2531" t="s">
        <v>1370</v>
      </c>
    </row>
    <row r="2532" spans="1:1" x14ac:dyDescent="0.3">
      <c r="A2532" t="s">
        <v>1370</v>
      </c>
    </row>
    <row r="2533" spans="1:1" x14ac:dyDescent="0.3">
      <c r="A2533" t="s">
        <v>1370</v>
      </c>
    </row>
    <row r="2534" spans="1:1" x14ac:dyDescent="0.3">
      <c r="A2534" t="s">
        <v>1370</v>
      </c>
    </row>
    <row r="2535" spans="1:1" x14ac:dyDescent="0.3">
      <c r="A2535" t="s">
        <v>1370</v>
      </c>
    </row>
    <row r="2536" spans="1:1" x14ac:dyDescent="0.3">
      <c r="A2536" t="s">
        <v>6805</v>
      </c>
    </row>
    <row r="2537" spans="1:1" x14ac:dyDescent="0.3">
      <c r="A2537" t="s">
        <v>6805</v>
      </c>
    </row>
    <row r="2538" spans="1:1" x14ac:dyDescent="0.3">
      <c r="A2538" t="s">
        <v>6805</v>
      </c>
    </row>
    <row r="2539" spans="1:1" x14ac:dyDescent="0.3">
      <c r="A2539" t="s">
        <v>6806</v>
      </c>
    </row>
    <row r="2540" spans="1:1" x14ac:dyDescent="0.3">
      <c r="A2540" t="s">
        <v>6806</v>
      </c>
    </row>
    <row r="2541" spans="1:1" x14ac:dyDescent="0.3">
      <c r="A2541" t="s">
        <v>7207</v>
      </c>
    </row>
    <row r="2542" spans="1:1" x14ac:dyDescent="0.3">
      <c r="A2542" t="s">
        <v>7266</v>
      </c>
    </row>
    <row r="2543" spans="1:1" x14ac:dyDescent="0.3">
      <c r="A2543" t="s">
        <v>6807</v>
      </c>
    </row>
    <row r="2544" spans="1:1" x14ac:dyDescent="0.3">
      <c r="A2544" t="s">
        <v>6807</v>
      </c>
    </row>
    <row r="2545" spans="1:1" x14ac:dyDescent="0.3">
      <c r="A2545" t="s">
        <v>6807</v>
      </c>
    </row>
    <row r="2546" spans="1:1" x14ac:dyDescent="0.3">
      <c r="A2546" t="s">
        <v>6807</v>
      </c>
    </row>
    <row r="2547" spans="1:1" x14ac:dyDescent="0.3">
      <c r="A2547" t="s">
        <v>6807</v>
      </c>
    </row>
    <row r="2548" spans="1:1" x14ac:dyDescent="0.3">
      <c r="A2548" t="s">
        <v>6807</v>
      </c>
    </row>
    <row r="2549" spans="1:1" x14ac:dyDescent="0.3">
      <c r="A2549" t="s">
        <v>6807</v>
      </c>
    </row>
    <row r="2550" spans="1:1" x14ac:dyDescent="0.3">
      <c r="A2550" t="s">
        <v>6807</v>
      </c>
    </row>
    <row r="2551" spans="1:1" x14ac:dyDescent="0.3">
      <c r="A2551" t="s">
        <v>6807</v>
      </c>
    </row>
    <row r="2552" spans="1:1" x14ac:dyDescent="0.3">
      <c r="A2552" t="s">
        <v>6991</v>
      </c>
    </row>
    <row r="2553" spans="1:1" x14ac:dyDescent="0.3">
      <c r="A2553" t="s">
        <v>6991</v>
      </c>
    </row>
    <row r="2554" spans="1:1" x14ac:dyDescent="0.3">
      <c r="A2554" t="s">
        <v>6991</v>
      </c>
    </row>
    <row r="2555" spans="1:1" x14ac:dyDescent="0.3">
      <c r="A2555" t="s">
        <v>6991</v>
      </c>
    </row>
    <row r="2556" spans="1:1" x14ac:dyDescent="0.3">
      <c r="A2556" t="s">
        <v>6991</v>
      </c>
    </row>
    <row r="2557" spans="1:1" x14ac:dyDescent="0.3">
      <c r="A2557" t="s">
        <v>688</v>
      </c>
    </row>
    <row r="2558" spans="1:1" x14ac:dyDescent="0.3">
      <c r="A2558" t="s">
        <v>688</v>
      </c>
    </row>
    <row r="2559" spans="1:1" x14ac:dyDescent="0.3">
      <c r="A2559" t="s">
        <v>688</v>
      </c>
    </row>
    <row r="2560" spans="1:1" x14ac:dyDescent="0.3">
      <c r="A2560" t="s">
        <v>688</v>
      </c>
    </row>
    <row r="2561" spans="1:1" x14ac:dyDescent="0.3">
      <c r="A2561" t="s">
        <v>688</v>
      </c>
    </row>
    <row r="2562" spans="1:1" x14ac:dyDescent="0.3">
      <c r="A2562" t="s">
        <v>688</v>
      </c>
    </row>
    <row r="2563" spans="1:1" x14ac:dyDescent="0.3">
      <c r="A2563" t="s">
        <v>6808</v>
      </c>
    </row>
    <row r="2564" spans="1:1" x14ac:dyDescent="0.3">
      <c r="A2564" t="s">
        <v>6808</v>
      </c>
    </row>
    <row r="2565" spans="1:1" x14ac:dyDescent="0.3">
      <c r="A2565" t="s">
        <v>6808</v>
      </c>
    </row>
    <row r="2566" spans="1:1" x14ac:dyDescent="0.3">
      <c r="A2566" t="s">
        <v>6808</v>
      </c>
    </row>
    <row r="2567" spans="1:1" x14ac:dyDescent="0.3">
      <c r="A2567" t="s">
        <v>6808</v>
      </c>
    </row>
    <row r="2568" spans="1:1" x14ac:dyDescent="0.3">
      <c r="A2568" t="s">
        <v>6808</v>
      </c>
    </row>
    <row r="2569" spans="1:1" x14ac:dyDescent="0.3">
      <c r="A2569" t="s">
        <v>6808</v>
      </c>
    </row>
    <row r="2570" spans="1:1" x14ac:dyDescent="0.3">
      <c r="A2570" t="s">
        <v>6808</v>
      </c>
    </row>
    <row r="2571" spans="1:1" x14ac:dyDescent="0.3">
      <c r="A2571" t="s">
        <v>6808</v>
      </c>
    </row>
    <row r="2572" spans="1:1" x14ac:dyDescent="0.3">
      <c r="A2572" t="s">
        <v>6808</v>
      </c>
    </row>
    <row r="2573" spans="1:1" x14ac:dyDescent="0.3">
      <c r="A2573" t="s">
        <v>6808</v>
      </c>
    </row>
    <row r="2574" spans="1:1" x14ac:dyDescent="0.3">
      <c r="A2574" t="s">
        <v>6808</v>
      </c>
    </row>
    <row r="2575" spans="1:1" x14ac:dyDescent="0.3">
      <c r="A2575" t="s">
        <v>6808</v>
      </c>
    </row>
    <row r="2576" spans="1:1" x14ac:dyDescent="0.3">
      <c r="A2576" t="s">
        <v>6808</v>
      </c>
    </row>
    <row r="2577" spans="1:1" x14ac:dyDescent="0.3">
      <c r="A2577" t="s">
        <v>6808</v>
      </c>
    </row>
    <row r="2578" spans="1:1" x14ac:dyDescent="0.3">
      <c r="A2578" t="s">
        <v>6808</v>
      </c>
    </row>
    <row r="2579" spans="1:1" x14ac:dyDescent="0.3">
      <c r="A2579" t="s">
        <v>6808</v>
      </c>
    </row>
    <row r="2580" spans="1:1" x14ac:dyDescent="0.3">
      <c r="A2580" t="s">
        <v>6808</v>
      </c>
    </row>
    <row r="2581" spans="1:1" x14ac:dyDescent="0.3">
      <c r="A2581" t="s">
        <v>6808</v>
      </c>
    </row>
    <row r="2582" spans="1:1" x14ac:dyDescent="0.3">
      <c r="A2582" t="s">
        <v>6808</v>
      </c>
    </row>
    <row r="2583" spans="1:1" x14ac:dyDescent="0.3">
      <c r="A2583" t="s">
        <v>6808</v>
      </c>
    </row>
    <row r="2584" spans="1:1" x14ac:dyDescent="0.3">
      <c r="A2584" t="s">
        <v>6808</v>
      </c>
    </row>
    <row r="2585" spans="1:1" x14ac:dyDescent="0.3">
      <c r="A2585" t="s">
        <v>6808</v>
      </c>
    </row>
    <row r="2586" spans="1:1" x14ac:dyDescent="0.3">
      <c r="A2586" t="s">
        <v>6808</v>
      </c>
    </row>
    <row r="2587" spans="1:1" x14ac:dyDescent="0.3">
      <c r="A2587" t="s">
        <v>6808</v>
      </c>
    </row>
    <row r="2588" spans="1:1" x14ac:dyDescent="0.3">
      <c r="A2588" t="s">
        <v>6808</v>
      </c>
    </row>
    <row r="2589" spans="1:1" x14ac:dyDescent="0.3">
      <c r="A2589" t="s">
        <v>6808</v>
      </c>
    </row>
    <row r="2590" spans="1:1" x14ac:dyDescent="0.3">
      <c r="A2590" t="s">
        <v>6808</v>
      </c>
    </row>
    <row r="2591" spans="1:1" x14ac:dyDescent="0.3">
      <c r="A2591" t="s">
        <v>6808</v>
      </c>
    </row>
    <row r="2592" spans="1:1" x14ac:dyDescent="0.3">
      <c r="A2592" t="s">
        <v>6808</v>
      </c>
    </row>
    <row r="2593" spans="1:1" x14ac:dyDescent="0.3">
      <c r="A2593" t="s">
        <v>6808</v>
      </c>
    </row>
    <row r="2594" spans="1:1" x14ac:dyDescent="0.3">
      <c r="A2594" t="s">
        <v>6808</v>
      </c>
    </row>
    <row r="2595" spans="1:1" x14ac:dyDescent="0.3">
      <c r="A2595" t="s">
        <v>6808</v>
      </c>
    </row>
    <row r="2596" spans="1:1" x14ac:dyDescent="0.3">
      <c r="A2596" t="s">
        <v>6808</v>
      </c>
    </row>
    <row r="2597" spans="1:1" x14ac:dyDescent="0.3">
      <c r="A2597" t="s">
        <v>6808</v>
      </c>
    </row>
    <row r="2598" spans="1:1" x14ac:dyDescent="0.3">
      <c r="A2598" t="s">
        <v>6808</v>
      </c>
    </row>
    <row r="2599" spans="1:1" x14ac:dyDescent="0.3">
      <c r="A2599" t="s">
        <v>6808</v>
      </c>
    </row>
    <row r="2600" spans="1:1" x14ac:dyDescent="0.3">
      <c r="A2600" t="s">
        <v>6808</v>
      </c>
    </row>
    <row r="2601" spans="1:1" x14ac:dyDescent="0.3">
      <c r="A2601" t="s">
        <v>6808</v>
      </c>
    </row>
    <row r="2602" spans="1:1" x14ac:dyDescent="0.3">
      <c r="A2602" t="s">
        <v>6808</v>
      </c>
    </row>
    <row r="2603" spans="1:1" x14ac:dyDescent="0.3">
      <c r="A2603" t="s">
        <v>6808</v>
      </c>
    </row>
    <row r="2604" spans="1:1" x14ac:dyDescent="0.3">
      <c r="A2604" t="s">
        <v>6808</v>
      </c>
    </row>
    <row r="2605" spans="1:1" x14ac:dyDescent="0.3">
      <c r="A2605" t="s">
        <v>6808</v>
      </c>
    </row>
    <row r="2606" spans="1:1" x14ac:dyDescent="0.3">
      <c r="A2606" t="s">
        <v>6808</v>
      </c>
    </row>
    <row r="2607" spans="1:1" x14ac:dyDescent="0.3">
      <c r="A2607" t="s">
        <v>6808</v>
      </c>
    </row>
    <row r="2608" spans="1:1" x14ac:dyDescent="0.3">
      <c r="A2608" t="s">
        <v>6808</v>
      </c>
    </row>
    <row r="2609" spans="1:1" x14ac:dyDescent="0.3">
      <c r="A2609" t="s">
        <v>6808</v>
      </c>
    </row>
    <row r="2610" spans="1:1" x14ac:dyDescent="0.3">
      <c r="A2610" t="s">
        <v>6808</v>
      </c>
    </row>
    <row r="2611" spans="1:1" x14ac:dyDescent="0.3">
      <c r="A2611" t="s">
        <v>6808</v>
      </c>
    </row>
    <row r="2612" spans="1:1" x14ac:dyDescent="0.3">
      <c r="A2612" t="s">
        <v>6808</v>
      </c>
    </row>
    <row r="2613" spans="1:1" x14ac:dyDescent="0.3">
      <c r="A2613" t="s">
        <v>6808</v>
      </c>
    </row>
    <row r="2614" spans="1:1" x14ac:dyDescent="0.3">
      <c r="A2614" t="s">
        <v>6808</v>
      </c>
    </row>
    <row r="2615" spans="1:1" x14ac:dyDescent="0.3">
      <c r="A2615" t="s">
        <v>6808</v>
      </c>
    </row>
    <row r="2616" spans="1:1" x14ac:dyDescent="0.3">
      <c r="A2616" t="s">
        <v>6808</v>
      </c>
    </row>
    <row r="2617" spans="1:1" x14ac:dyDescent="0.3">
      <c r="A2617" t="s">
        <v>6808</v>
      </c>
    </row>
    <row r="2618" spans="1:1" x14ac:dyDescent="0.3">
      <c r="A2618" t="s">
        <v>6808</v>
      </c>
    </row>
    <row r="2619" spans="1:1" x14ac:dyDescent="0.3">
      <c r="A2619" t="s">
        <v>6808</v>
      </c>
    </row>
    <row r="2620" spans="1:1" x14ac:dyDescent="0.3">
      <c r="A2620" t="s">
        <v>6992</v>
      </c>
    </row>
    <row r="2621" spans="1:1" x14ac:dyDescent="0.3">
      <c r="A2621" t="s">
        <v>6992</v>
      </c>
    </row>
    <row r="2622" spans="1:1" x14ac:dyDescent="0.3">
      <c r="A2622" t="s">
        <v>6993</v>
      </c>
    </row>
    <row r="2623" spans="1:1" x14ac:dyDescent="0.3">
      <c r="A2623" t="s">
        <v>7340</v>
      </c>
    </row>
    <row r="2624" spans="1:1" x14ac:dyDescent="0.3">
      <c r="A2624" t="s">
        <v>7341</v>
      </c>
    </row>
    <row r="2625" spans="1:1" x14ac:dyDescent="0.3">
      <c r="A2625" t="s">
        <v>7267</v>
      </c>
    </row>
    <row r="2626" spans="1:1" x14ac:dyDescent="0.3">
      <c r="A2626" t="s">
        <v>7267</v>
      </c>
    </row>
    <row r="2627" spans="1:1" x14ac:dyDescent="0.3">
      <c r="A2627" t="s">
        <v>7208</v>
      </c>
    </row>
    <row r="2628" spans="1:1" x14ac:dyDescent="0.3">
      <c r="A2628" t="s">
        <v>1223</v>
      </c>
    </row>
    <row r="2629" spans="1:1" x14ac:dyDescent="0.3">
      <c r="A2629" t="s">
        <v>1223</v>
      </c>
    </row>
    <row r="2630" spans="1:1" x14ac:dyDescent="0.3">
      <c r="A2630" t="s">
        <v>1223</v>
      </c>
    </row>
    <row r="2631" spans="1:1" x14ac:dyDescent="0.3">
      <c r="A2631" t="s">
        <v>1223</v>
      </c>
    </row>
    <row r="2632" spans="1:1" x14ac:dyDescent="0.3">
      <c r="A2632" t="s">
        <v>1223</v>
      </c>
    </row>
    <row r="2633" spans="1:1" x14ac:dyDescent="0.3">
      <c r="A2633" t="s">
        <v>1223</v>
      </c>
    </row>
    <row r="2634" spans="1:1" x14ac:dyDescent="0.3">
      <c r="A2634" t="s">
        <v>1223</v>
      </c>
    </row>
    <row r="2635" spans="1:1" x14ac:dyDescent="0.3">
      <c r="A2635" t="s">
        <v>1223</v>
      </c>
    </row>
    <row r="2636" spans="1:1" x14ac:dyDescent="0.3">
      <c r="A2636" t="s">
        <v>1771</v>
      </c>
    </row>
    <row r="2637" spans="1:1" x14ac:dyDescent="0.3">
      <c r="A2637" t="s">
        <v>1771</v>
      </c>
    </row>
    <row r="2638" spans="1:1" x14ac:dyDescent="0.3">
      <c r="A2638" t="s">
        <v>1771</v>
      </c>
    </row>
    <row r="2639" spans="1:1" x14ac:dyDescent="0.3">
      <c r="A2639" t="s">
        <v>6994</v>
      </c>
    </row>
    <row r="2640" spans="1:1" x14ac:dyDescent="0.3">
      <c r="A2640" t="s">
        <v>6809</v>
      </c>
    </row>
    <row r="2641" spans="1:1" x14ac:dyDescent="0.3">
      <c r="A2641" t="s">
        <v>6809</v>
      </c>
    </row>
    <row r="2642" spans="1:1" x14ac:dyDescent="0.3">
      <c r="A2642" t="s">
        <v>6809</v>
      </c>
    </row>
    <row r="2643" spans="1:1" x14ac:dyDescent="0.3">
      <c r="A2643" t="s">
        <v>6809</v>
      </c>
    </row>
    <row r="2644" spans="1:1" x14ac:dyDescent="0.3">
      <c r="A2644" t="s">
        <v>6809</v>
      </c>
    </row>
    <row r="2645" spans="1:1" x14ac:dyDescent="0.3">
      <c r="A2645" t="s">
        <v>6809</v>
      </c>
    </row>
    <row r="2646" spans="1:1" x14ac:dyDescent="0.3">
      <c r="A2646" t="s">
        <v>6809</v>
      </c>
    </row>
    <row r="2647" spans="1:1" x14ac:dyDescent="0.3">
      <c r="A2647" t="s">
        <v>6809</v>
      </c>
    </row>
    <row r="2648" spans="1:1" x14ac:dyDescent="0.3">
      <c r="A2648" t="s">
        <v>6809</v>
      </c>
    </row>
    <row r="2649" spans="1:1" x14ac:dyDescent="0.3">
      <c r="A2649" t="s">
        <v>6809</v>
      </c>
    </row>
    <row r="2650" spans="1:1" x14ac:dyDescent="0.3">
      <c r="A2650" t="s">
        <v>6809</v>
      </c>
    </row>
    <row r="2651" spans="1:1" x14ac:dyDescent="0.3">
      <c r="A2651" t="s">
        <v>6809</v>
      </c>
    </row>
    <row r="2652" spans="1:1" x14ac:dyDescent="0.3">
      <c r="A2652" t="s">
        <v>6809</v>
      </c>
    </row>
    <row r="2653" spans="1:1" x14ac:dyDescent="0.3">
      <c r="A2653" t="s">
        <v>6809</v>
      </c>
    </row>
    <row r="2654" spans="1:1" x14ac:dyDescent="0.3">
      <c r="A2654" t="s">
        <v>6809</v>
      </c>
    </row>
    <row r="2655" spans="1:1" x14ac:dyDescent="0.3">
      <c r="A2655" t="s">
        <v>6809</v>
      </c>
    </row>
    <row r="2656" spans="1:1" x14ac:dyDescent="0.3">
      <c r="A2656" t="s">
        <v>6995</v>
      </c>
    </row>
    <row r="2657" spans="1:1" x14ac:dyDescent="0.3">
      <c r="A2657" t="s">
        <v>7209</v>
      </c>
    </row>
    <row r="2658" spans="1:1" x14ac:dyDescent="0.3">
      <c r="A2658" t="s">
        <v>531</v>
      </c>
    </row>
    <row r="2659" spans="1:1" x14ac:dyDescent="0.3">
      <c r="A2659" t="s">
        <v>2486</v>
      </c>
    </row>
    <row r="2660" spans="1:1" x14ac:dyDescent="0.3">
      <c r="A2660" t="s">
        <v>2486</v>
      </c>
    </row>
    <row r="2661" spans="1:1" x14ac:dyDescent="0.3">
      <c r="A2661" t="s">
        <v>221</v>
      </c>
    </row>
    <row r="2662" spans="1:1" x14ac:dyDescent="0.3">
      <c r="A2662" t="s">
        <v>525</v>
      </c>
    </row>
    <row r="2663" spans="1:1" x14ac:dyDescent="0.3">
      <c r="A2663" t="s">
        <v>525</v>
      </c>
    </row>
    <row r="2664" spans="1:1" x14ac:dyDescent="0.3">
      <c r="A2664" t="s">
        <v>525</v>
      </c>
    </row>
    <row r="2665" spans="1:1" x14ac:dyDescent="0.3">
      <c r="A2665" t="s">
        <v>6810</v>
      </c>
    </row>
    <row r="2666" spans="1:1" x14ac:dyDescent="0.3">
      <c r="A2666" t="s">
        <v>26</v>
      </c>
    </row>
    <row r="2667" spans="1:1" x14ac:dyDescent="0.3">
      <c r="A2667" t="s">
        <v>7145</v>
      </c>
    </row>
    <row r="2668" spans="1:1" x14ac:dyDescent="0.3">
      <c r="A2668" t="s">
        <v>7145</v>
      </c>
    </row>
    <row r="2669" spans="1:1" x14ac:dyDescent="0.3">
      <c r="A2669" t="s">
        <v>7145</v>
      </c>
    </row>
    <row r="2670" spans="1:1" x14ac:dyDescent="0.3">
      <c r="A2670" t="s">
        <v>7145</v>
      </c>
    </row>
    <row r="2671" spans="1:1" x14ac:dyDescent="0.3">
      <c r="A2671" t="s">
        <v>7145</v>
      </c>
    </row>
    <row r="2672" spans="1:1" x14ac:dyDescent="0.3">
      <c r="A2672" t="s">
        <v>7145</v>
      </c>
    </row>
    <row r="2673" spans="1:1" x14ac:dyDescent="0.3">
      <c r="A2673" t="s">
        <v>7070</v>
      </c>
    </row>
    <row r="2674" spans="1:1" x14ac:dyDescent="0.3">
      <c r="A2674" t="s">
        <v>7070</v>
      </c>
    </row>
    <row r="2675" spans="1:1" x14ac:dyDescent="0.3">
      <c r="A2675" t="s">
        <v>7070</v>
      </c>
    </row>
    <row r="2676" spans="1:1" x14ac:dyDescent="0.3">
      <c r="A2676" t="s">
        <v>7070</v>
      </c>
    </row>
    <row r="2677" spans="1:1" x14ac:dyDescent="0.3">
      <c r="A2677" t="s">
        <v>7070</v>
      </c>
    </row>
    <row r="2678" spans="1:1" x14ac:dyDescent="0.3">
      <c r="A2678" t="s">
        <v>7070</v>
      </c>
    </row>
    <row r="2679" spans="1:1" x14ac:dyDescent="0.3">
      <c r="A2679" t="s">
        <v>7070</v>
      </c>
    </row>
    <row r="2680" spans="1:1" x14ac:dyDescent="0.3">
      <c r="A2680" t="s">
        <v>7070</v>
      </c>
    </row>
    <row r="2681" spans="1:1" x14ac:dyDescent="0.3">
      <c r="A2681" t="s">
        <v>7210</v>
      </c>
    </row>
    <row r="2682" spans="1:1" x14ac:dyDescent="0.3">
      <c r="A2682" t="s">
        <v>7294</v>
      </c>
    </row>
    <row r="2683" spans="1:1" x14ac:dyDescent="0.3">
      <c r="A2683" t="s">
        <v>7146</v>
      </c>
    </row>
    <row r="2684" spans="1:1" x14ac:dyDescent="0.3">
      <c r="A2684" t="s">
        <v>7146</v>
      </c>
    </row>
    <row r="2685" spans="1:1" x14ac:dyDescent="0.3">
      <c r="A2685" t="s">
        <v>7147</v>
      </c>
    </row>
    <row r="2686" spans="1:1" x14ac:dyDescent="0.3">
      <c r="A2686" t="s">
        <v>7147</v>
      </c>
    </row>
    <row r="2687" spans="1:1" x14ac:dyDescent="0.3">
      <c r="A2687" t="s">
        <v>7147</v>
      </c>
    </row>
    <row r="2688" spans="1:1" x14ac:dyDescent="0.3">
      <c r="A2688" t="s">
        <v>7147</v>
      </c>
    </row>
    <row r="2689" spans="1:1" x14ac:dyDescent="0.3">
      <c r="A2689" t="s">
        <v>7147</v>
      </c>
    </row>
    <row r="2690" spans="1:1" x14ac:dyDescent="0.3">
      <c r="A2690" t="s">
        <v>7147</v>
      </c>
    </row>
    <row r="2691" spans="1:1" x14ac:dyDescent="0.3">
      <c r="A2691" t="s">
        <v>7147</v>
      </c>
    </row>
    <row r="2692" spans="1:1" x14ac:dyDescent="0.3">
      <c r="A2692" t="s">
        <v>7147</v>
      </c>
    </row>
    <row r="2693" spans="1:1" x14ac:dyDescent="0.3">
      <c r="A2693" t="s">
        <v>7147</v>
      </c>
    </row>
    <row r="2694" spans="1:1" x14ac:dyDescent="0.3">
      <c r="A2694" t="s">
        <v>6811</v>
      </c>
    </row>
    <row r="2695" spans="1:1" x14ac:dyDescent="0.3">
      <c r="A2695" t="s">
        <v>6811</v>
      </c>
    </row>
    <row r="2696" spans="1:1" x14ac:dyDescent="0.3">
      <c r="A2696" t="s">
        <v>6811</v>
      </c>
    </row>
    <row r="2697" spans="1:1" x14ac:dyDescent="0.3">
      <c r="A2697" t="s">
        <v>886</v>
      </c>
    </row>
    <row r="2698" spans="1:1" x14ac:dyDescent="0.3">
      <c r="A2698" t="s">
        <v>886</v>
      </c>
    </row>
    <row r="2699" spans="1:1" x14ac:dyDescent="0.3">
      <c r="A2699" t="s">
        <v>6812</v>
      </c>
    </row>
    <row r="2700" spans="1:1" x14ac:dyDescent="0.3">
      <c r="A2700" t="s">
        <v>6812</v>
      </c>
    </row>
    <row r="2701" spans="1:1" x14ac:dyDescent="0.3">
      <c r="A2701" t="s">
        <v>6996</v>
      </c>
    </row>
    <row r="2702" spans="1:1" x14ac:dyDescent="0.3">
      <c r="A2702" t="s">
        <v>348</v>
      </c>
    </row>
    <row r="2703" spans="1:1" x14ac:dyDescent="0.3">
      <c r="A2703" t="s">
        <v>348</v>
      </c>
    </row>
    <row r="2704" spans="1:1" x14ac:dyDescent="0.3">
      <c r="A2704" t="s">
        <v>348</v>
      </c>
    </row>
    <row r="2705" spans="1:1" x14ac:dyDescent="0.3">
      <c r="A2705" t="s">
        <v>348</v>
      </c>
    </row>
    <row r="2706" spans="1:1" x14ac:dyDescent="0.3">
      <c r="A2706" t="s">
        <v>348</v>
      </c>
    </row>
    <row r="2707" spans="1:1" x14ac:dyDescent="0.3">
      <c r="A2707" t="s">
        <v>348</v>
      </c>
    </row>
    <row r="2708" spans="1:1" x14ac:dyDescent="0.3">
      <c r="A2708" t="s">
        <v>348</v>
      </c>
    </row>
    <row r="2709" spans="1:1" x14ac:dyDescent="0.3">
      <c r="A2709" t="s">
        <v>348</v>
      </c>
    </row>
    <row r="2710" spans="1:1" x14ac:dyDescent="0.3">
      <c r="A2710" t="s">
        <v>348</v>
      </c>
    </row>
    <row r="2711" spans="1:1" x14ac:dyDescent="0.3">
      <c r="A2711" t="s">
        <v>348</v>
      </c>
    </row>
    <row r="2712" spans="1:1" x14ac:dyDescent="0.3">
      <c r="A2712" t="s">
        <v>348</v>
      </c>
    </row>
    <row r="2713" spans="1:1" x14ac:dyDescent="0.3">
      <c r="A2713" t="s">
        <v>348</v>
      </c>
    </row>
    <row r="2714" spans="1:1" x14ac:dyDescent="0.3">
      <c r="A2714" t="s">
        <v>348</v>
      </c>
    </row>
    <row r="2715" spans="1:1" x14ac:dyDescent="0.3">
      <c r="A2715" t="s">
        <v>348</v>
      </c>
    </row>
    <row r="2716" spans="1:1" x14ac:dyDescent="0.3">
      <c r="A2716" t="s">
        <v>348</v>
      </c>
    </row>
    <row r="2717" spans="1:1" x14ac:dyDescent="0.3">
      <c r="A2717" t="s">
        <v>348</v>
      </c>
    </row>
    <row r="2718" spans="1:1" x14ac:dyDescent="0.3">
      <c r="A2718" t="s">
        <v>348</v>
      </c>
    </row>
    <row r="2719" spans="1:1" x14ac:dyDescent="0.3">
      <c r="A2719" t="s">
        <v>348</v>
      </c>
    </row>
    <row r="2720" spans="1:1" x14ac:dyDescent="0.3">
      <c r="A2720" t="s">
        <v>348</v>
      </c>
    </row>
    <row r="2721" spans="1:1" x14ac:dyDescent="0.3">
      <c r="A2721" t="s">
        <v>348</v>
      </c>
    </row>
    <row r="2722" spans="1:1" x14ac:dyDescent="0.3">
      <c r="A2722" t="s">
        <v>348</v>
      </c>
    </row>
    <row r="2723" spans="1:1" x14ac:dyDescent="0.3">
      <c r="A2723" t="s">
        <v>7268</v>
      </c>
    </row>
    <row r="2724" spans="1:1" x14ac:dyDescent="0.3">
      <c r="A2724" t="s">
        <v>7268</v>
      </c>
    </row>
    <row r="2725" spans="1:1" x14ac:dyDescent="0.3">
      <c r="A2725" t="s">
        <v>7268</v>
      </c>
    </row>
    <row r="2726" spans="1:1" x14ac:dyDescent="0.3">
      <c r="A2726" t="s">
        <v>6813</v>
      </c>
    </row>
    <row r="2727" spans="1:1" x14ac:dyDescent="0.3">
      <c r="A2727" t="s">
        <v>6814</v>
      </c>
    </row>
    <row r="2728" spans="1:1" x14ac:dyDescent="0.3">
      <c r="A2728" t="s">
        <v>6814</v>
      </c>
    </row>
    <row r="2729" spans="1:1" x14ac:dyDescent="0.3">
      <c r="A2729" t="s">
        <v>6814</v>
      </c>
    </row>
    <row r="2730" spans="1:1" x14ac:dyDescent="0.3">
      <c r="A2730" t="s">
        <v>6814</v>
      </c>
    </row>
    <row r="2731" spans="1:1" x14ac:dyDescent="0.3">
      <c r="A2731" t="s">
        <v>6814</v>
      </c>
    </row>
    <row r="2732" spans="1:1" x14ac:dyDescent="0.3">
      <c r="A2732" t="s">
        <v>2193</v>
      </c>
    </row>
    <row r="2733" spans="1:1" x14ac:dyDescent="0.3">
      <c r="A2733" t="s">
        <v>7148</v>
      </c>
    </row>
    <row r="2734" spans="1:1" x14ac:dyDescent="0.3">
      <c r="A2734" t="s">
        <v>6815</v>
      </c>
    </row>
    <row r="2735" spans="1:1" x14ac:dyDescent="0.3">
      <c r="A2735" t="s">
        <v>6815</v>
      </c>
    </row>
    <row r="2736" spans="1:1" x14ac:dyDescent="0.3">
      <c r="A2736" t="s">
        <v>6815</v>
      </c>
    </row>
    <row r="2737" spans="1:1" x14ac:dyDescent="0.3">
      <c r="A2737" t="s">
        <v>6815</v>
      </c>
    </row>
    <row r="2738" spans="1:1" x14ac:dyDescent="0.3">
      <c r="A2738" t="s">
        <v>6815</v>
      </c>
    </row>
    <row r="2739" spans="1:1" x14ac:dyDescent="0.3">
      <c r="A2739" t="s">
        <v>6815</v>
      </c>
    </row>
    <row r="2740" spans="1:1" x14ac:dyDescent="0.3">
      <c r="A2740" t="s">
        <v>6815</v>
      </c>
    </row>
    <row r="2741" spans="1:1" x14ac:dyDescent="0.3">
      <c r="A2741" t="s">
        <v>6815</v>
      </c>
    </row>
    <row r="2742" spans="1:1" x14ac:dyDescent="0.3">
      <c r="A2742" t="s">
        <v>6815</v>
      </c>
    </row>
    <row r="2743" spans="1:1" x14ac:dyDescent="0.3">
      <c r="A2743" t="s">
        <v>6815</v>
      </c>
    </row>
    <row r="2744" spans="1:1" x14ac:dyDescent="0.3">
      <c r="A2744" t="s">
        <v>6815</v>
      </c>
    </row>
    <row r="2745" spans="1:1" x14ac:dyDescent="0.3">
      <c r="A2745" t="s">
        <v>6815</v>
      </c>
    </row>
    <row r="2746" spans="1:1" x14ac:dyDescent="0.3">
      <c r="A2746" t="s">
        <v>6815</v>
      </c>
    </row>
    <row r="2747" spans="1:1" x14ac:dyDescent="0.3">
      <c r="A2747" t="s">
        <v>6815</v>
      </c>
    </row>
    <row r="2748" spans="1:1" x14ac:dyDescent="0.3">
      <c r="A2748" t="s">
        <v>6815</v>
      </c>
    </row>
    <row r="2749" spans="1:1" x14ac:dyDescent="0.3">
      <c r="A2749" t="s">
        <v>6815</v>
      </c>
    </row>
    <row r="2750" spans="1:1" x14ac:dyDescent="0.3">
      <c r="A2750" t="s">
        <v>6815</v>
      </c>
    </row>
    <row r="2751" spans="1:1" x14ac:dyDescent="0.3">
      <c r="A2751" t="s">
        <v>6815</v>
      </c>
    </row>
    <row r="2752" spans="1:1" x14ac:dyDescent="0.3">
      <c r="A2752" t="s">
        <v>6815</v>
      </c>
    </row>
    <row r="2753" spans="1:1" x14ac:dyDescent="0.3">
      <c r="A2753" t="s">
        <v>6815</v>
      </c>
    </row>
    <row r="2754" spans="1:1" x14ac:dyDescent="0.3">
      <c r="A2754" t="s">
        <v>6815</v>
      </c>
    </row>
    <row r="2755" spans="1:1" x14ac:dyDescent="0.3">
      <c r="A2755" t="s">
        <v>6815</v>
      </c>
    </row>
    <row r="2756" spans="1:1" x14ac:dyDescent="0.3">
      <c r="A2756" t="s">
        <v>6815</v>
      </c>
    </row>
    <row r="2757" spans="1:1" x14ac:dyDescent="0.3">
      <c r="A2757" t="s">
        <v>6815</v>
      </c>
    </row>
    <row r="2758" spans="1:1" x14ac:dyDescent="0.3">
      <c r="A2758" t="s">
        <v>6815</v>
      </c>
    </row>
    <row r="2759" spans="1:1" x14ac:dyDescent="0.3">
      <c r="A2759" t="s">
        <v>6815</v>
      </c>
    </row>
    <row r="2760" spans="1:1" x14ac:dyDescent="0.3">
      <c r="A2760" t="s">
        <v>6815</v>
      </c>
    </row>
    <row r="2761" spans="1:1" x14ac:dyDescent="0.3">
      <c r="A2761" t="s">
        <v>6815</v>
      </c>
    </row>
    <row r="2762" spans="1:1" x14ac:dyDescent="0.3">
      <c r="A2762" t="s">
        <v>6815</v>
      </c>
    </row>
    <row r="2763" spans="1:1" x14ac:dyDescent="0.3">
      <c r="A2763" t="s">
        <v>6815</v>
      </c>
    </row>
    <row r="2764" spans="1:1" x14ac:dyDescent="0.3">
      <c r="A2764" t="s">
        <v>6815</v>
      </c>
    </row>
    <row r="2765" spans="1:1" x14ac:dyDescent="0.3">
      <c r="A2765" t="s">
        <v>6815</v>
      </c>
    </row>
    <row r="2766" spans="1:1" x14ac:dyDescent="0.3">
      <c r="A2766" t="s">
        <v>6815</v>
      </c>
    </row>
    <row r="2767" spans="1:1" x14ac:dyDescent="0.3">
      <c r="A2767" t="s">
        <v>6815</v>
      </c>
    </row>
    <row r="2768" spans="1:1" x14ac:dyDescent="0.3">
      <c r="A2768" t="s">
        <v>6815</v>
      </c>
    </row>
    <row r="2769" spans="1:1" x14ac:dyDescent="0.3">
      <c r="A2769" t="s">
        <v>7342</v>
      </c>
    </row>
    <row r="2770" spans="1:1" x14ac:dyDescent="0.3">
      <c r="A2770" t="s">
        <v>6997</v>
      </c>
    </row>
    <row r="2771" spans="1:1" x14ac:dyDescent="0.3">
      <c r="A2771" t="s">
        <v>7211</v>
      </c>
    </row>
    <row r="2772" spans="1:1" x14ac:dyDescent="0.3">
      <c r="A2772" t="s">
        <v>6998</v>
      </c>
    </row>
    <row r="2773" spans="1:1" x14ac:dyDescent="0.3">
      <c r="A2773" t="s">
        <v>870</v>
      </c>
    </row>
    <row r="2774" spans="1:1" x14ac:dyDescent="0.3">
      <c r="A2774" t="s">
        <v>870</v>
      </c>
    </row>
    <row r="2775" spans="1:1" x14ac:dyDescent="0.3">
      <c r="A2775" t="s">
        <v>870</v>
      </c>
    </row>
    <row r="2776" spans="1:1" x14ac:dyDescent="0.3">
      <c r="A2776" t="s">
        <v>870</v>
      </c>
    </row>
    <row r="2777" spans="1:1" x14ac:dyDescent="0.3">
      <c r="A2777" t="s">
        <v>870</v>
      </c>
    </row>
    <row r="2778" spans="1:1" x14ac:dyDescent="0.3">
      <c r="A2778" t="s">
        <v>870</v>
      </c>
    </row>
    <row r="2779" spans="1:1" x14ac:dyDescent="0.3">
      <c r="A2779" t="s">
        <v>6999</v>
      </c>
    </row>
    <row r="2780" spans="1:1" x14ac:dyDescent="0.3">
      <c r="A2780" t="s">
        <v>2253</v>
      </c>
    </row>
    <row r="2781" spans="1:1" x14ac:dyDescent="0.3">
      <c r="A2781" t="s">
        <v>2253</v>
      </c>
    </row>
    <row r="2782" spans="1:1" x14ac:dyDescent="0.3">
      <c r="A2782" t="s">
        <v>2253</v>
      </c>
    </row>
    <row r="2783" spans="1:1" x14ac:dyDescent="0.3">
      <c r="A2783" t="s">
        <v>2253</v>
      </c>
    </row>
    <row r="2784" spans="1:1" x14ac:dyDescent="0.3">
      <c r="A2784" t="s">
        <v>2253</v>
      </c>
    </row>
    <row r="2785" spans="1:1" x14ac:dyDescent="0.3">
      <c r="A2785" t="s">
        <v>81</v>
      </c>
    </row>
    <row r="2786" spans="1:1" x14ac:dyDescent="0.3">
      <c r="A2786" t="s">
        <v>81</v>
      </c>
    </row>
    <row r="2787" spans="1:1" x14ac:dyDescent="0.3">
      <c r="A2787" t="s">
        <v>81</v>
      </c>
    </row>
    <row r="2788" spans="1:1" x14ac:dyDescent="0.3">
      <c r="A2788" t="s">
        <v>81</v>
      </c>
    </row>
    <row r="2789" spans="1:1" x14ac:dyDescent="0.3">
      <c r="A2789" t="s">
        <v>81</v>
      </c>
    </row>
    <row r="2790" spans="1:1" x14ac:dyDescent="0.3">
      <c r="A2790" t="s">
        <v>81</v>
      </c>
    </row>
    <row r="2791" spans="1:1" x14ac:dyDescent="0.3">
      <c r="A2791" t="s">
        <v>81</v>
      </c>
    </row>
    <row r="2792" spans="1:1" x14ac:dyDescent="0.3">
      <c r="A2792" t="s">
        <v>81</v>
      </c>
    </row>
    <row r="2793" spans="1:1" x14ac:dyDescent="0.3">
      <c r="A2793" t="s">
        <v>81</v>
      </c>
    </row>
    <row r="2794" spans="1:1" x14ac:dyDescent="0.3">
      <c r="A2794" t="s">
        <v>81</v>
      </c>
    </row>
    <row r="2795" spans="1:1" x14ac:dyDescent="0.3">
      <c r="A2795" t="s">
        <v>81</v>
      </c>
    </row>
    <row r="2796" spans="1:1" x14ac:dyDescent="0.3">
      <c r="A2796" t="s">
        <v>81</v>
      </c>
    </row>
    <row r="2797" spans="1:1" x14ac:dyDescent="0.3">
      <c r="A2797" t="s">
        <v>81</v>
      </c>
    </row>
    <row r="2798" spans="1:1" x14ac:dyDescent="0.3">
      <c r="A2798" t="s">
        <v>81</v>
      </c>
    </row>
    <row r="2799" spans="1:1" x14ac:dyDescent="0.3">
      <c r="A2799" t="s">
        <v>81</v>
      </c>
    </row>
    <row r="2800" spans="1:1" x14ac:dyDescent="0.3">
      <c r="A2800" t="s">
        <v>81</v>
      </c>
    </row>
    <row r="2801" spans="1:1" x14ac:dyDescent="0.3">
      <c r="A2801" t="s">
        <v>6816</v>
      </c>
    </row>
    <row r="2802" spans="1:1" x14ac:dyDescent="0.3">
      <c r="A2802" t="s">
        <v>6816</v>
      </c>
    </row>
    <row r="2803" spans="1:1" x14ac:dyDescent="0.3">
      <c r="A2803" t="s">
        <v>6816</v>
      </c>
    </row>
    <row r="2804" spans="1:1" x14ac:dyDescent="0.3">
      <c r="A2804" t="s">
        <v>6816</v>
      </c>
    </row>
    <row r="2805" spans="1:1" x14ac:dyDescent="0.3">
      <c r="A2805" t="s">
        <v>6816</v>
      </c>
    </row>
    <row r="2806" spans="1:1" x14ac:dyDescent="0.3">
      <c r="A2806" t="s">
        <v>6816</v>
      </c>
    </row>
    <row r="2807" spans="1:1" x14ac:dyDescent="0.3">
      <c r="A2807" t="s">
        <v>6816</v>
      </c>
    </row>
    <row r="2808" spans="1:1" x14ac:dyDescent="0.3">
      <c r="A2808" t="s">
        <v>6816</v>
      </c>
    </row>
    <row r="2809" spans="1:1" x14ac:dyDescent="0.3">
      <c r="A2809" t="s">
        <v>6816</v>
      </c>
    </row>
    <row r="2810" spans="1:1" x14ac:dyDescent="0.3">
      <c r="A2810" t="s">
        <v>6816</v>
      </c>
    </row>
    <row r="2811" spans="1:1" x14ac:dyDescent="0.3">
      <c r="A2811" t="s">
        <v>6816</v>
      </c>
    </row>
    <row r="2812" spans="1:1" x14ac:dyDescent="0.3">
      <c r="A2812" t="s">
        <v>6816</v>
      </c>
    </row>
    <row r="2813" spans="1:1" x14ac:dyDescent="0.3">
      <c r="A2813" t="s">
        <v>6816</v>
      </c>
    </row>
    <row r="2814" spans="1:1" x14ac:dyDescent="0.3">
      <c r="A2814" t="s">
        <v>6816</v>
      </c>
    </row>
    <row r="2815" spans="1:1" x14ac:dyDescent="0.3">
      <c r="A2815" t="s">
        <v>6816</v>
      </c>
    </row>
    <row r="2816" spans="1:1" x14ac:dyDescent="0.3">
      <c r="A2816" t="s">
        <v>6816</v>
      </c>
    </row>
    <row r="2817" spans="1:1" x14ac:dyDescent="0.3">
      <c r="A2817" t="s">
        <v>6816</v>
      </c>
    </row>
    <row r="2818" spans="1:1" x14ac:dyDescent="0.3">
      <c r="A2818" t="s">
        <v>6816</v>
      </c>
    </row>
    <row r="2819" spans="1:1" x14ac:dyDescent="0.3">
      <c r="A2819" t="s">
        <v>6816</v>
      </c>
    </row>
    <row r="2820" spans="1:1" x14ac:dyDescent="0.3">
      <c r="A2820" t="s">
        <v>6816</v>
      </c>
    </row>
    <row r="2821" spans="1:1" x14ac:dyDescent="0.3">
      <c r="A2821" t="s">
        <v>6816</v>
      </c>
    </row>
    <row r="2822" spans="1:1" x14ac:dyDescent="0.3">
      <c r="A2822" t="s">
        <v>6816</v>
      </c>
    </row>
    <row r="2823" spans="1:1" x14ac:dyDescent="0.3">
      <c r="A2823" t="s">
        <v>6816</v>
      </c>
    </row>
    <row r="2824" spans="1:1" x14ac:dyDescent="0.3">
      <c r="A2824" t="s">
        <v>6816</v>
      </c>
    </row>
    <row r="2825" spans="1:1" x14ac:dyDescent="0.3">
      <c r="A2825" t="s">
        <v>6816</v>
      </c>
    </row>
    <row r="2826" spans="1:1" x14ac:dyDescent="0.3">
      <c r="A2826" t="s">
        <v>6816</v>
      </c>
    </row>
    <row r="2827" spans="1:1" x14ac:dyDescent="0.3">
      <c r="A2827" t="s">
        <v>6816</v>
      </c>
    </row>
    <row r="2828" spans="1:1" x14ac:dyDescent="0.3">
      <c r="A2828" t="s">
        <v>6816</v>
      </c>
    </row>
    <row r="2829" spans="1:1" x14ac:dyDescent="0.3">
      <c r="A2829" t="s">
        <v>6816</v>
      </c>
    </row>
    <row r="2830" spans="1:1" x14ac:dyDescent="0.3">
      <c r="A2830" t="s">
        <v>6816</v>
      </c>
    </row>
    <row r="2831" spans="1:1" x14ac:dyDescent="0.3">
      <c r="A2831" t="s">
        <v>6816</v>
      </c>
    </row>
    <row r="2832" spans="1:1" x14ac:dyDescent="0.3">
      <c r="A2832" t="s">
        <v>6816</v>
      </c>
    </row>
    <row r="2833" spans="1:1" x14ac:dyDescent="0.3">
      <c r="A2833" t="s">
        <v>6816</v>
      </c>
    </row>
    <row r="2834" spans="1:1" x14ac:dyDescent="0.3">
      <c r="A2834" t="s">
        <v>6816</v>
      </c>
    </row>
    <row r="2835" spans="1:1" x14ac:dyDescent="0.3">
      <c r="A2835" t="s">
        <v>6816</v>
      </c>
    </row>
    <row r="2836" spans="1:1" x14ac:dyDescent="0.3">
      <c r="A2836" t="s">
        <v>6816</v>
      </c>
    </row>
    <row r="2837" spans="1:1" x14ac:dyDescent="0.3">
      <c r="A2837" t="s">
        <v>6816</v>
      </c>
    </row>
    <row r="2838" spans="1:1" x14ac:dyDescent="0.3">
      <c r="A2838" t="s">
        <v>6816</v>
      </c>
    </row>
    <row r="2839" spans="1:1" x14ac:dyDescent="0.3">
      <c r="A2839" t="s">
        <v>6816</v>
      </c>
    </row>
    <row r="2840" spans="1:1" x14ac:dyDescent="0.3">
      <c r="A2840" t="s">
        <v>6816</v>
      </c>
    </row>
    <row r="2841" spans="1:1" x14ac:dyDescent="0.3">
      <c r="A2841" t="s">
        <v>6816</v>
      </c>
    </row>
    <row r="2842" spans="1:1" x14ac:dyDescent="0.3">
      <c r="A2842" t="s">
        <v>6816</v>
      </c>
    </row>
    <row r="2843" spans="1:1" x14ac:dyDescent="0.3">
      <c r="A2843" t="s">
        <v>6816</v>
      </c>
    </row>
    <row r="2844" spans="1:1" x14ac:dyDescent="0.3">
      <c r="A2844" t="s">
        <v>6816</v>
      </c>
    </row>
    <row r="2845" spans="1:1" x14ac:dyDescent="0.3">
      <c r="A2845" t="s">
        <v>6816</v>
      </c>
    </row>
    <row r="2846" spans="1:1" x14ac:dyDescent="0.3">
      <c r="A2846" t="s">
        <v>6816</v>
      </c>
    </row>
    <row r="2847" spans="1:1" x14ac:dyDescent="0.3">
      <c r="A2847" t="s">
        <v>6816</v>
      </c>
    </row>
    <row r="2848" spans="1:1" x14ac:dyDescent="0.3">
      <c r="A2848" t="s">
        <v>6816</v>
      </c>
    </row>
    <row r="2849" spans="1:1" x14ac:dyDescent="0.3">
      <c r="A2849" t="s">
        <v>7000</v>
      </c>
    </row>
    <row r="2850" spans="1:1" x14ac:dyDescent="0.3">
      <c r="A2850" t="s">
        <v>7000</v>
      </c>
    </row>
    <row r="2851" spans="1:1" x14ac:dyDescent="0.3">
      <c r="A2851" t="s">
        <v>7001</v>
      </c>
    </row>
    <row r="2852" spans="1:1" x14ac:dyDescent="0.3">
      <c r="A2852" t="s">
        <v>7001</v>
      </c>
    </row>
    <row r="2853" spans="1:1" x14ac:dyDescent="0.3">
      <c r="A2853" t="s">
        <v>7001</v>
      </c>
    </row>
    <row r="2854" spans="1:1" x14ac:dyDescent="0.3">
      <c r="A2854" t="s">
        <v>7001</v>
      </c>
    </row>
    <row r="2855" spans="1:1" x14ac:dyDescent="0.3">
      <c r="A2855" t="s">
        <v>7001</v>
      </c>
    </row>
    <row r="2856" spans="1:1" x14ac:dyDescent="0.3">
      <c r="A2856" t="s">
        <v>7001</v>
      </c>
    </row>
    <row r="2857" spans="1:1" x14ac:dyDescent="0.3">
      <c r="A2857" t="s">
        <v>7001</v>
      </c>
    </row>
    <row r="2858" spans="1:1" x14ac:dyDescent="0.3">
      <c r="A2858" t="s">
        <v>7001</v>
      </c>
    </row>
    <row r="2859" spans="1:1" x14ac:dyDescent="0.3">
      <c r="A2859" t="s">
        <v>7001</v>
      </c>
    </row>
    <row r="2860" spans="1:1" x14ac:dyDescent="0.3">
      <c r="A2860" t="s">
        <v>7269</v>
      </c>
    </row>
    <row r="2861" spans="1:1" x14ac:dyDescent="0.3">
      <c r="A2861" t="s">
        <v>7269</v>
      </c>
    </row>
    <row r="2862" spans="1:1" x14ac:dyDescent="0.3">
      <c r="A2862" t="s">
        <v>7269</v>
      </c>
    </row>
    <row r="2863" spans="1:1" x14ac:dyDescent="0.3">
      <c r="A2863" t="s">
        <v>7269</v>
      </c>
    </row>
    <row r="2864" spans="1:1" x14ac:dyDescent="0.3">
      <c r="A2864" t="s">
        <v>7269</v>
      </c>
    </row>
    <row r="2865" spans="1:1" x14ac:dyDescent="0.3">
      <c r="A2865" t="s">
        <v>7269</v>
      </c>
    </row>
    <row r="2866" spans="1:1" x14ac:dyDescent="0.3">
      <c r="A2866" t="s">
        <v>2652</v>
      </c>
    </row>
    <row r="2867" spans="1:1" x14ac:dyDescent="0.3">
      <c r="A2867" t="s">
        <v>2610</v>
      </c>
    </row>
    <row r="2868" spans="1:1" x14ac:dyDescent="0.3">
      <c r="A2868" t="s">
        <v>7127</v>
      </c>
    </row>
    <row r="2869" spans="1:1" x14ac:dyDescent="0.3">
      <c r="A2869" t="s">
        <v>6817</v>
      </c>
    </row>
    <row r="2870" spans="1:1" x14ac:dyDescent="0.3">
      <c r="A2870" t="s">
        <v>7002</v>
      </c>
    </row>
    <row r="2871" spans="1:1" x14ac:dyDescent="0.3">
      <c r="A2871" t="s">
        <v>7093</v>
      </c>
    </row>
    <row r="2872" spans="1:1" x14ac:dyDescent="0.3">
      <c r="A2872" t="s">
        <v>7133</v>
      </c>
    </row>
    <row r="2873" spans="1:1" x14ac:dyDescent="0.3">
      <c r="A2873" t="s">
        <v>7133</v>
      </c>
    </row>
    <row r="2874" spans="1:1" x14ac:dyDescent="0.3">
      <c r="A2874" t="s">
        <v>7133</v>
      </c>
    </row>
    <row r="2875" spans="1:1" x14ac:dyDescent="0.3">
      <c r="A2875" t="s">
        <v>7133</v>
      </c>
    </row>
    <row r="2876" spans="1:1" x14ac:dyDescent="0.3">
      <c r="A2876" t="s">
        <v>7133</v>
      </c>
    </row>
    <row r="2877" spans="1:1" x14ac:dyDescent="0.3">
      <c r="A2877" t="s">
        <v>7133</v>
      </c>
    </row>
    <row r="2878" spans="1:1" x14ac:dyDescent="0.3">
      <c r="A2878" t="s">
        <v>7133</v>
      </c>
    </row>
    <row r="2879" spans="1:1" x14ac:dyDescent="0.3">
      <c r="A2879" t="s">
        <v>7133</v>
      </c>
    </row>
    <row r="2880" spans="1:1" x14ac:dyDescent="0.3">
      <c r="A2880" t="s">
        <v>7149</v>
      </c>
    </row>
    <row r="2881" spans="1:1" x14ac:dyDescent="0.3">
      <c r="A2881" t="s">
        <v>7343</v>
      </c>
    </row>
    <row r="2882" spans="1:1" x14ac:dyDescent="0.3">
      <c r="A2882" t="s">
        <v>7343</v>
      </c>
    </row>
    <row r="2883" spans="1:1" x14ac:dyDescent="0.3">
      <c r="A2883" t="s">
        <v>7270</v>
      </c>
    </row>
    <row r="2884" spans="1:1" x14ac:dyDescent="0.3">
      <c r="A2884" t="s">
        <v>7212</v>
      </c>
    </row>
    <row r="2885" spans="1:1" x14ac:dyDescent="0.3">
      <c r="A2885" t="s">
        <v>7212</v>
      </c>
    </row>
    <row r="2886" spans="1:1" x14ac:dyDescent="0.3">
      <c r="A2886" t="s">
        <v>6818</v>
      </c>
    </row>
    <row r="2887" spans="1:1" x14ac:dyDescent="0.3">
      <c r="A2887" t="s">
        <v>6818</v>
      </c>
    </row>
    <row r="2888" spans="1:1" x14ac:dyDescent="0.3">
      <c r="A2888" t="s">
        <v>6818</v>
      </c>
    </row>
    <row r="2889" spans="1:1" x14ac:dyDescent="0.3">
      <c r="A2889" t="s">
        <v>6818</v>
      </c>
    </row>
    <row r="2890" spans="1:1" x14ac:dyDescent="0.3">
      <c r="A2890" t="s">
        <v>6818</v>
      </c>
    </row>
    <row r="2891" spans="1:1" x14ac:dyDescent="0.3">
      <c r="A2891" t="s">
        <v>6818</v>
      </c>
    </row>
    <row r="2892" spans="1:1" x14ac:dyDescent="0.3">
      <c r="A2892" t="s">
        <v>6818</v>
      </c>
    </row>
    <row r="2893" spans="1:1" x14ac:dyDescent="0.3">
      <c r="A2893" t="s">
        <v>6818</v>
      </c>
    </row>
    <row r="2894" spans="1:1" x14ac:dyDescent="0.3">
      <c r="A2894" t="s">
        <v>6818</v>
      </c>
    </row>
    <row r="2895" spans="1:1" x14ac:dyDescent="0.3">
      <c r="A2895" t="s">
        <v>6818</v>
      </c>
    </row>
    <row r="2896" spans="1:1" x14ac:dyDescent="0.3">
      <c r="A2896" t="s">
        <v>6818</v>
      </c>
    </row>
    <row r="2897" spans="1:1" x14ac:dyDescent="0.3">
      <c r="A2897" t="s">
        <v>6818</v>
      </c>
    </row>
    <row r="2898" spans="1:1" x14ac:dyDescent="0.3">
      <c r="A2898" t="s">
        <v>6818</v>
      </c>
    </row>
    <row r="2899" spans="1:1" x14ac:dyDescent="0.3">
      <c r="A2899" t="s">
        <v>6818</v>
      </c>
    </row>
    <row r="2900" spans="1:1" x14ac:dyDescent="0.3">
      <c r="A2900" t="s">
        <v>6818</v>
      </c>
    </row>
    <row r="2901" spans="1:1" x14ac:dyDescent="0.3">
      <c r="A2901" t="s">
        <v>6818</v>
      </c>
    </row>
    <row r="2902" spans="1:1" x14ac:dyDescent="0.3">
      <c r="A2902" t="s">
        <v>6818</v>
      </c>
    </row>
    <row r="2903" spans="1:1" x14ac:dyDescent="0.3">
      <c r="A2903" t="s">
        <v>6818</v>
      </c>
    </row>
    <row r="2904" spans="1:1" x14ac:dyDescent="0.3">
      <c r="A2904" t="s">
        <v>6818</v>
      </c>
    </row>
    <row r="2905" spans="1:1" x14ac:dyDescent="0.3">
      <c r="A2905" t="s">
        <v>6818</v>
      </c>
    </row>
    <row r="2906" spans="1:1" x14ac:dyDescent="0.3">
      <c r="A2906" t="s">
        <v>6818</v>
      </c>
    </row>
    <row r="2907" spans="1:1" x14ac:dyDescent="0.3">
      <c r="A2907" t="s">
        <v>6818</v>
      </c>
    </row>
    <row r="2908" spans="1:1" x14ac:dyDescent="0.3">
      <c r="A2908" t="s">
        <v>6818</v>
      </c>
    </row>
    <row r="2909" spans="1:1" x14ac:dyDescent="0.3">
      <c r="A2909" t="s">
        <v>6818</v>
      </c>
    </row>
    <row r="2910" spans="1:1" x14ac:dyDescent="0.3">
      <c r="A2910" t="s">
        <v>6818</v>
      </c>
    </row>
    <row r="2911" spans="1:1" x14ac:dyDescent="0.3">
      <c r="A2911" t="s">
        <v>6818</v>
      </c>
    </row>
    <row r="2912" spans="1:1" x14ac:dyDescent="0.3">
      <c r="A2912" t="s">
        <v>6818</v>
      </c>
    </row>
    <row r="2913" spans="1:1" x14ac:dyDescent="0.3">
      <c r="A2913" t="s">
        <v>6818</v>
      </c>
    </row>
    <row r="2914" spans="1:1" x14ac:dyDescent="0.3">
      <c r="A2914" t="s">
        <v>6818</v>
      </c>
    </row>
    <row r="2915" spans="1:1" x14ac:dyDescent="0.3">
      <c r="A2915" t="s">
        <v>6818</v>
      </c>
    </row>
    <row r="2916" spans="1:1" x14ac:dyDescent="0.3">
      <c r="A2916" t="s">
        <v>6818</v>
      </c>
    </row>
    <row r="2917" spans="1:1" x14ac:dyDescent="0.3">
      <c r="A2917" t="s">
        <v>6818</v>
      </c>
    </row>
    <row r="2918" spans="1:1" x14ac:dyDescent="0.3">
      <c r="A2918" t="s">
        <v>6818</v>
      </c>
    </row>
    <row r="2919" spans="1:1" x14ac:dyDescent="0.3">
      <c r="A2919" t="s">
        <v>6818</v>
      </c>
    </row>
    <row r="2920" spans="1:1" x14ac:dyDescent="0.3">
      <c r="A2920" t="s">
        <v>6818</v>
      </c>
    </row>
    <row r="2921" spans="1:1" x14ac:dyDescent="0.3">
      <c r="A2921" t="s">
        <v>6818</v>
      </c>
    </row>
    <row r="2922" spans="1:1" x14ac:dyDescent="0.3">
      <c r="A2922" t="s">
        <v>6818</v>
      </c>
    </row>
    <row r="2923" spans="1:1" x14ac:dyDescent="0.3">
      <c r="A2923" t="s">
        <v>6818</v>
      </c>
    </row>
    <row r="2924" spans="1:1" x14ac:dyDescent="0.3">
      <c r="A2924" t="s">
        <v>7003</v>
      </c>
    </row>
    <row r="2925" spans="1:1" x14ac:dyDescent="0.3">
      <c r="A2925" t="s">
        <v>7213</v>
      </c>
    </row>
    <row r="2926" spans="1:1" x14ac:dyDescent="0.3">
      <c r="A2926" t="s">
        <v>1259</v>
      </c>
    </row>
    <row r="2927" spans="1:1" x14ac:dyDescent="0.3">
      <c r="A2927" t="s">
        <v>1259</v>
      </c>
    </row>
    <row r="2928" spans="1:1" x14ac:dyDescent="0.3">
      <c r="A2928" t="s">
        <v>1259</v>
      </c>
    </row>
    <row r="2929" spans="1:1" x14ac:dyDescent="0.3">
      <c r="A2929" t="s">
        <v>1259</v>
      </c>
    </row>
    <row r="2930" spans="1:1" x14ac:dyDescent="0.3">
      <c r="A2930" t="s">
        <v>1259</v>
      </c>
    </row>
    <row r="2931" spans="1:1" x14ac:dyDescent="0.3">
      <c r="A2931" t="s">
        <v>1259</v>
      </c>
    </row>
    <row r="2932" spans="1:1" x14ac:dyDescent="0.3">
      <c r="A2932" t="s">
        <v>7344</v>
      </c>
    </row>
    <row r="2933" spans="1:1" x14ac:dyDescent="0.3">
      <c r="A2933" t="s">
        <v>6819</v>
      </c>
    </row>
    <row r="2934" spans="1:1" x14ac:dyDescent="0.3">
      <c r="A2934" t="s">
        <v>6819</v>
      </c>
    </row>
    <row r="2935" spans="1:1" x14ac:dyDescent="0.3">
      <c r="A2935" t="s">
        <v>6819</v>
      </c>
    </row>
    <row r="2936" spans="1:1" x14ac:dyDescent="0.3">
      <c r="A2936" t="s">
        <v>6819</v>
      </c>
    </row>
    <row r="2937" spans="1:1" x14ac:dyDescent="0.3">
      <c r="A2937" t="s">
        <v>6819</v>
      </c>
    </row>
    <row r="2938" spans="1:1" x14ac:dyDescent="0.3">
      <c r="A2938" t="s">
        <v>6819</v>
      </c>
    </row>
    <row r="2939" spans="1:1" x14ac:dyDescent="0.3">
      <c r="A2939" t="s">
        <v>6819</v>
      </c>
    </row>
    <row r="2940" spans="1:1" x14ac:dyDescent="0.3">
      <c r="A2940" t="s">
        <v>6819</v>
      </c>
    </row>
    <row r="2941" spans="1:1" x14ac:dyDescent="0.3">
      <c r="A2941" t="s">
        <v>6819</v>
      </c>
    </row>
    <row r="2942" spans="1:1" x14ac:dyDescent="0.3">
      <c r="A2942" t="s">
        <v>6819</v>
      </c>
    </row>
    <row r="2943" spans="1:1" x14ac:dyDescent="0.3">
      <c r="A2943" t="s">
        <v>6819</v>
      </c>
    </row>
    <row r="2944" spans="1:1" x14ac:dyDescent="0.3">
      <c r="A2944" t="s">
        <v>6819</v>
      </c>
    </row>
    <row r="2945" spans="1:1" x14ac:dyDescent="0.3">
      <c r="A2945" t="s">
        <v>6819</v>
      </c>
    </row>
    <row r="2946" spans="1:1" x14ac:dyDescent="0.3">
      <c r="A2946" t="s">
        <v>6819</v>
      </c>
    </row>
    <row r="2947" spans="1:1" x14ac:dyDescent="0.3">
      <c r="A2947" t="s">
        <v>6819</v>
      </c>
    </row>
    <row r="2948" spans="1:1" x14ac:dyDescent="0.3">
      <c r="A2948" t="s">
        <v>6819</v>
      </c>
    </row>
    <row r="2949" spans="1:1" x14ac:dyDescent="0.3">
      <c r="A2949" t="s">
        <v>7004</v>
      </c>
    </row>
    <row r="2950" spans="1:1" x14ac:dyDescent="0.3">
      <c r="A2950" t="s">
        <v>7005</v>
      </c>
    </row>
    <row r="2951" spans="1:1" x14ac:dyDescent="0.3">
      <c r="A2951" t="s">
        <v>175</v>
      </c>
    </row>
    <row r="2952" spans="1:1" x14ac:dyDescent="0.3">
      <c r="A2952" t="s">
        <v>175</v>
      </c>
    </row>
    <row r="2953" spans="1:1" x14ac:dyDescent="0.3">
      <c r="A2953" t="s">
        <v>175</v>
      </c>
    </row>
    <row r="2954" spans="1:1" x14ac:dyDescent="0.3">
      <c r="A2954" t="s">
        <v>175</v>
      </c>
    </row>
    <row r="2955" spans="1:1" x14ac:dyDescent="0.3">
      <c r="A2955" t="s">
        <v>6820</v>
      </c>
    </row>
    <row r="2956" spans="1:1" x14ac:dyDescent="0.3">
      <c r="A2956" t="s">
        <v>6820</v>
      </c>
    </row>
    <row r="2957" spans="1:1" x14ac:dyDescent="0.3">
      <c r="A2957" t="s">
        <v>6820</v>
      </c>
    </row>
    <row r="2958" spans="1:1" x14ac:dyDescent="0.3">
      <c r="A2958" t="s">
        <v>6820</v>
      </c>
    </row>
    <row r="2959" spans="1:1" x14ac:dyDescent="0.3">
      <c r="A2959" t="s">
        <v>6820</v>
      </c>
    </row>
    <row r="2960" spans="1:1" x14ac:dyDescent="0.3">
      <c r="A2960" t="s">
        <v>6820</v>
      </c>
    </row>
    <row r="2961" spans="1:1" x14ac:dyDescent="0.3">
      <c r="A2961" t="s">
        <v>6820</v>
      </c>
    </row>
    <row r="2962" spans="1:1" x14ac:dyDescent="0.3">
      <c r="A2962" t="s">
        <v>6820</v>
      </c>
    </row>
    <row r="2963" spans="1:1" x14ac:dyDescent="0.3">
      <c r="A2963" t="s">
        <v>6820</v>
      </c>
    </row>
    <row r="2964" spans="1:1" x14ac:dyDescent="0.3">
      <c r="A2964" t="s">
        <v>6820</v>
      </c>
    </row>
    <row r="2965" spans="1:1" x14ac:dyDescent="0.3">
      <c r="A2965" t="s">
        <v>6820</v>
      </c>
    </row>
    <row r="2966" spans="1:1" x14ac:dyDescent="0.3">
      <c r="A2966" t="s">
        <v>6820</v>
      </c>
    </row>
    <row r="2967" spans="1:1" x14ac:dyDescent="0.3">
      <c r="A2967" t="s">
        <v>6820</v>
      </c>
    </row>
    <row r="2968" spans="1:1" x14ac:dyDescent="0.3">
      <c r="A2968" t="s">
        <v>6820</v>
      </c>
    </row>
    <row r="2969" spans="1:1" x14ac:dyDescent="0.3">
      <c r="A2969" t="s">
        <v>6820</v>
      </c>
    </row>
    <row r="2970" spans="1:1" x14ac:dyDescent="0.3">
      <c r="A2970" t="s">
        <v>6820</v>
      </c>
    </row>
    <row r="2971" spans="1:1" x14ac:dyDescent="0.3">
      <c r="A2971" t="s">
        <v>6820</v>
      </c>
    </row>
    <row r="2972" spans="1:1" x14ac:dyDescent="0.3">
      <c r="A2972" t="s">
        <v>6820</v>
      </c>
    </row>
    <row r="2973" spans="1:1" x14ac:dyDescent="0.3">
      <c r="A2973" t="s">
        <v>6820</v>
      </c>
    </row>
    <row r="2974" spans="1:1" x14ac:dyDescent="0.3">
      <c r="A2974" t="s">
        <v>6820</v>
      </c>
    </row>
    <row r="2975" spans="1:1" x14ac:dyDescent="0.3">
      <c r="A2975" t="s">
        <v>7345</v>
      </c>
    </row>
    <row r="2976" spans="1:1" x14ac:dyDescent="0.3">
      <c r="A2976" t="s">
        <v>1987</v>
      </c>
    </row>
    <row r="2977" spans="1:1" x14ac:dyDescent="0.3">
      <c r="A2977" t="s">
        <v>1987</v>
      </c>
    </row>
    <row r="2978" spans="1:1" x14ac:dyDescent="0.3">
      <c r="A2978" t="s">
        <v>1987</v>
      </c>
    </row>
    <row r="2979" spans="1:1" x14ac:dyDescent="0.3">
      <c r="A2979" t="s">
        <v>1987</v>
      </c>
    </row>
    <row r="2980" spans="1:1" x14ac:dyDescent="0.3">
      <c r="A2980" t="s">
        <v>1987</v>
      </c>
    </row>
    <row r="2981" spans="1:1" x14ac:dyDescent="0.3">
      <c r="A2981" t="s">
        <v>1987</v>
      </c>
    </row>
    <row r="2982" spans="1:1" x14ac:dyDescent="0.3">
      <c r="A2982" t="s">
        <v>1987</v>
      </c>
    </row>
    <row r="2983" spans="1:1" x14ac:dyDescent="0.3">
      <c r="A2983" t="s">
        <v>1987</v>
      </c>
    </row>
    <row r="2984" spans="1:1" x14ac:dyDescent="0.3">
      <c r="A2984" t="s">
        <v>1987</v>
      </c>
    </row>
    <row r="2985" spans="1:1" x14ac:dyDescent="0.3">
      <c r="A2985" t="s">
        <v>1987</v>
      </c>
    </row>
    <row r="2986" spans="1:1" x14ac:dyDescent="0.3">
      <c r="A2986" t="s">
        <v>1987</v>
      </c>
    </row>
    <row r="2987" spans="1:1" x14ac:dyDescent="0.3">
      <c r="A2987" t="s">
        <v>1987</v>
      </c>
    </row>
    <row r="2988" spans="1:1" x14ac:dyDescent="0.3">
      <c r="A2988" t="s">
        <v>1987</v>
      </c>
    </row>
    <row r="2989" spans="1:1" x14ac:dyDescent="0.3">
      <c r="A2989" t="s">
        <v>1987</v>
      </c>
    </row>
    <row r="2990" spans="1:1" x14ac:dyDescent="0.3">
      <c r="A2990" t="s">
        <v>1987</v>
      </c>
    </row>
    <row r="2991" spans="1:1" x14ac:dyDescent="0.3">
      <c r="A2991" t="s">
        <v>6821</v>
      </c>
    </row>
    <row r="2992" spans="1:1" x14ac:dyDescent="0.3">
      <c r="A2992" t="s">
        <v>6821</v>
      </c>
    </row>
    <row r="2993" spans="1:1" x14ac:dyDescent="0.3">
      <c r="A2993" t="s">
        <v>6821</v>
      </c>
    </row>
    <row r="2994" spans="1:1" x14ac:dyDescent="0.3">
      <c r="A2994" t="s">
        <v>6821</v>
      </c>
    </row>
    <row r="2995" spans="1:1" x14ac:dyDescent="0.3">
      <c r="A2995" t="s">
        <v>6821</v>
      </c>
    </row>
    <row r="2996" spans="1:1" x14ac:dyDescent="0.3">
      <c r="A2996" t="s">
        <v>7006</v>
      </c>
    </row>
    <row r="2997" spans="1:1" x14ac:dyDescent="0.3">
      <c r="A2997" t="s">
        <v>7007</v>
      </c>
    </row>
    <row r="2998" spans="1:1" x14ac:dyDescent="0.3">
      <c r="A2998" t="s">
        <v>7008</v>
      </c>
    </row>
    <row r="2999" spans="1:1" x14ac:dyDescent="0.3">
      <c r="A2999" t="s">
        <v>1544</v>
      </c>
    </row>
    <row r="3000" spans="1:1" x14ac:dyDescent="0.3">
      <c r="A3000" t="s">
        <v>1544</v>
      </c>
    </row>
    <row r="3001" spans="1:1" x14ac:dyDescent="0.3">
      <c r="A3001" t="s">
        <v>1436</v>
      </c>
    </row>
    <row r="3002" spans="1:1" x14ac:dyDescent="0.3">
      <c r="A3002" t="s">
        <v>3056</v>
      </c>
    </row>
    <row r="3003" spans="1:1" x14ac:dyDescent="0.3">
      <c r="A3003" t="s">
        <v>7271</v>
      </c>
    </row>
    <row r="3004" spans="1:1" x14ac:dyDescent="0.3">
      <c r="A3004" t="s">
        <v>825</v>
      </c>
    </row>
    <row r="3005" spans="1:1" x14ac:dyDescent="0.3">
      <c r="A3005" t="s">
        <v>7183</v>
      </c>
    </row>
    <row r="3006" spans="1:1" x14ac:dyDescent="0.3">
      <c r="A3006" t="s">
        <v>7183</v>
      </c>
    </row>
    <row r="3007" spans="1:1" x14ac:dyDescent="0.3">
      <c r="A3007" t="s">
        <v>7183</v>
      </c>
    </row>
    <row r="3008" spans="1:1" x14ac:dyDescent="0.3">
      <c r="A3008" t="s">
        <v>7183</v>
      </c>
    </row>
    <row r="3009" spans="1:1" x14ac:dyDescent="0.3">
      <c r="A3009" t="s">
        <v>7183</v>
      </c>
    </row>
    <row r="3010" spans="1:1" x14ac:dyDescent="0.3">
      <c r="A3010" t="s">
        <v>7183</v>
      </c>
    </row>
    <row r="3011" spans="1:1" x14ac:dyDescent="0.3">
      <c r="A3011" t="s">
        <v>7183</v>
      </c>
    </row>
    <row r="3012" spans="1:1" x14ac:dyDescent="0.3">
      <c r="A3012" t="s">
        <v>7183</v>
      </c>
    </row>
    <row r="3013" spans="1:1" x14ac:dyDescent="0.3">
      <c r="A3013" t="s">
        <v>7183</v>
      </c>
    </row>
    <row r="3014" spans="1:1" x14ac:dyDescent="0.3">
      <c r="A3014" t="s">
        <v>7183</v>
      </c>
    </row>
    <row r="3015" spans="1:1" x14ac:dyDescent="0.3">
      <c r="A3015" t="s">
        <v>1416</v>
      </c>
    </row>
    <row r="3016" spans="1:1" x14ac:dyDescent="0.3">
      <c r="A3016" t="s">
        <v>1416</v>
      </c>
    </row>
    <row r="3017" spans="1:1" x14ac:dyDescent="0.3">
      <c r="A3017" t="s">
        <v>7009</v>
      </c>
    </row>
    <row r="3018" spans="1:1" x14ac:dyDescent="0.3">
      <c r="A3018" t="s">
        <v>6822</v>
      </c>
    </row>
    <row r="3019" spans="1:1" x14ac:dyDescent="0.3">
      <c r="A3019" t="s">
        <v>6822</v>
      </c>
    </row>
    <row r="3020" spans="1:1" x14ac:dyDescent="0.3">
      <c r="A3020" t="s">
        <v>6822</v>
      </c>
    </row>
    <row r="3021" spans="1:1" x14ac:dyDescent="0.3">
      <c r="A3021" t="s">
        <v>6822</v>
      </c>
    </row>
    <row r="3022" spans="1:1" x14ac:dyDescent="0.3">
      <c r="A3022" t="s">
        <v>7272</v>
      </c>
    </row>
    <row r="3023" spans="1:1" x14ac:dyDescent="0.3">
      <c r="A3023" t="s">
        <v>7010</v>
      </c>
    </row>
    <row r="3024" spans="1:1" x14ac:dyDescent="0.3">
      <c r="A3024" t="s">
        <v>7011</v>
      </c>
    </row>
    <row r="3025" spans="1:1" x14ac:dyDescent="0.3">
      <c r="A3025" t="s">
        <v>7012</v>
      </c>
    </row>
    <row r="3026" spans="1:1" x14ac:dyDescent="0.3">
      <c r="A3026" t="s">
        <v>419</v>
      </c>
    </row>
    <row r="3027" spans="1:1" x14ac:dyDescent="0.3">
      <c r="A3027" t="s">
        <v>419</v>
      </c>
    </row>
    <row r="3028" spans="1:1" x14ac:dyDescent="0.3">
      <c r="A3028" t="s">
        <v>419</v>
      </c>
    </row>
    <row r="3029" spans="1:1" x14ac:dyDescent="0.3">
      <c r="A3029" t="s">
        <v>419</v>
      </c>
    </row>
    <row r="3030" spans="1:1" x14ac:dyDescent="0.3">
      <c r="A3030" t="s">
        <v>419</v>
      </c>
    </row>
    <row r="3031" spans="1:1" x14ac:dyDescent="0.3">
      <c r="A3031" t="s">
        <v>419</v>
      </c>
    </row>
    <row r="3032" spans="1:1" x14ac:dyDescent="0.3">
      <c r="A3032" t="s">
        <v>1193</v>
      </c>
    </row>
    <row r="3033" spans="1:1" x14ac:dyDescent="0.3">
      <c r="A3033" t="s">
        <v>1193</v>
      </c>
    </row>
    <row r="3034" spans="1:1" x14ac:dyDescent="0.3">
      <c r="A3034" t="s">
        <v>1193</v>
      </c>
    </row>
    <row r="3035" spans="1:1" x14ac:dyDescent="0.3">
      <c r="A3035" t="s">
        <v>1193</v>
      </c>
    </row>
    <row r="3036" spans="1:1" x14ac:dyDescent="0.3">
      <c r="A3036" t="s">
        <v>1193</v>
      </c>
    </row>
    <row r="3037" spans="1:1" x14ac:dyDescent="0.3">
      <c r="A3037" t="s">
        <v>1193</v>
      </c>
    </row>
    <row r="3038" spans="1:1" x14ac:dyDescent="0.3">
      <c r="A3038" t="s">
        <v>1193</v>
      </c>
    </row>
    <row r="3039" spans="1:1" x14ac:dyDescent="0.3">
      <c r="A3039" t="s">
        <v>1193</v>
      </c>
    </row>
    <row r="3040" spans="1:1" x14ac:dyDescent="0.3">
      <c r="A3040" t="s">
        <v>1193</v>
      </c>
    </row>
    <row r="3041" spans="1:1" x14ac:dyDescent="0.3">
      <c r="A3041" t="s">
        <v>1193</v>
      </c>
    </row>
    <row r="3042" spans="1:1" x14ac:dyDescent="0.3">
      <c r="A3042" t="s">
        <v>1193</v>
      </c>
    </row>
    <row r="3043" spans="1:1" x14ac:dyDescent="0.3">
      <c r="A3043" t="s">
        <v>1193</v>
      </c>
    </row>
    <row r="3044" spans="1:1" x14ac:dyDescent="0.3">
      <c r="A3044" t="s">
        <v>1193</v>
      </c>
    </row>
    <row r="3045" spans="1:1" x14ac:dyDescent="0.3">
      <c r="A3045" t="s">
        <v>1193</v>
      </c>
    </row>
    <row r="3046" spans="1:1" x14ac:dyDescent="0.3">
      <c r="A3046" t="s">
        <v>1193</v>
      </c>
    </row>
    <row r="3047" spans="1:1" x14ac:dyDescent="0.3">
      <c r="A3047" t="s">
        <v>1193</v>
      </c>
    </row>
    <row r="3048" spans="1:1" x14ac:dyDescent="0.3">
      <c r="A3048" t="s">
        <v>1193</v>
      </c>
    </row>
    <row r="3049" spans="1:1" x14ac:dyDescent="0.3">
      <c r="A3049" t="s">
        <v>1193</v>
      </c>
    </row>
    <row r="3050" spans="1:1" x14ac:dyDescent="0.3">
      <c r="A3050" t="s">
        <v>1193</v>
      </c>
    </row>
    <row r="3051" spans="1:1" x14ac:dyDescent="0.3">
      <c r="A3051" t="s">
        <v>1193</v>
      </c>
    </row>
    <row r="3052" spans="1:1" x14ac:dyDescent="0.3">
      <c r="A3052" t="s">
        <v>1193</v>
      </c>
    </row>
    <row r="3053" spans="1:1" x14ac:dyDescent="0.3">
      <c r="A3053" t="s">
        <v>1193</v>
      </c>
    </row>
    <row r="3054" spans="1:1" x14ac:dyDescent="0.3">
      <c r="A3054" t="s">
        <v>7013</v>
      </c>
    </row>
    <row r="3055" spans="1:1" x14ac:dyDescent="0.3">
      <c r="A3055" t="s">
        <v>7014</v>
      </c>
    </row>
    <row r="3056" spans="1:1" x14ac:dyDescent="0.3">
      <c r="A3056" t="s">
        <v>7214</v>
      </c>
    </row>
    <row r="3057" spans="1:1" x14ac:dyDescent="0.3">
      <c r="A3057" t="s">
        <v>7274</v>
      </c>
    </row>
    <row r="3058" spans="1:1" x14ac:dyDescent="0.3">
      <c r="A3058" t="s">
        <v>7274</v>
      </c>
    </row>
    <row r="3059" spans="1:1" x14ac:dyDescent="0.3">
      <c r="A3059" t="s">
        <v>7308</v>
      </c>
    </row>
    <row r="3060" spans="1:1" x14ac:dyDescent="0.3">
      <c r="A3060" t="s">
        <v>711</v>
      </c>
    </row>
    <row r="3061" spans="1:1" x14ac:dyDescent="0.3">
      <c r="A3061" t="s">
        <v>7273</v>
      </c>
    </row>
    <row r="3062" spans="1:1" x14ac:dyDescent="0.3">
      <c r="A3062" t="s">
        <v>7273</v>
      </c>
    </row>
    <row r="3063" spans="1:1" x14ac:dyDescent="0.3">
      <c r="A3063" t="s">
        <v>795</v>
      </c>
    </row>
    <row r="3064" spans="1:1" x14ac:dyDescent="0.3">
      <c r="A3064" t="s">
        <v>795</v>
      </c>
    </row>
    <row r="3065" spans="1:1" x14ac:dyDescent="0.3">
      <c r="A3065" t="s">
        <v>6823</v>
      </c>
    </row>
    <row r="3066" spans="1:1" x14ac:dyDescent="0.3">
      <c r="A3066" t="s">
        <v>6823</v>
      </c>
    </row>
    <row r="3067" spans="1:1" x14ac:dyDescent="0.3">
      <c r="A3067" t="s">
        <v>6823</v>
      </c>
    </row>
    <row r="3068" spans="1:1" x14ac:dyDescent="0.3">
      <c r="A3068" t="s">
        <v>6823</v>
      </c>
    </row>
    <row r="3069" spans="1:1" x14ac:dyDescent="0.3">
      <c r="A3069" t="s">
        <v>7015</v>
      </c>
    </row>
    <row r="3070" spans="1:1" x14ac:dyDescent="0.3">
      <c r="A3070" t="s">
        <v>7119</v>
      </c>
    </row>
    <row r="3071" spans="1:1" x14ac:dyDescent="0.3">
      <c r="A3071" t="s">
        <v>7119</v>
      </c>
    </row>
    <row r="3072" spans="1:1" x14ac:dyDescent="0.3">
      <c r="A3072" t="s">
        <v>7119</v>
      </c>
    </row>
    <row r="3073" spans="1:1" x14ac:dyDescent="0.3">
      <c r="A3073" t="s">
        <v>7119</v>
      </c>
    </row>
    <row r="3074" spans="1:1" x14ac:dyDescent="0.3">
      <c r="A3074" t="s">
        <v>1717</v>
      </c>
    </row>
    <row r="3075" spans="1:1" x14ac:dyDescent="0.3">
      <c r="A3075" t="s">
        <v>1681</v>
      </c>
    </row>
    <row r="3076" spans="1:1" x14ac:dyDescent="0.3">
      <c r="A3076" t="s">
        <v>1126</v>
      </c>
    </row>
    <row r="3077" spans="1:1" x14ac:dyDescent="0.3">
      <c r="A3077" t="s">
        <v>1126</v>
      </c>
    </row>
    <row r="3078" spans="1:1" x14ac:dyDescent="0.3">
      <c r="A3078" t="s">
        <v>1126</v>
      </c>
    </row>
    <row r="3079" spans="1:1" x14ac:dyDescent="0.3">
      <c r="A3079" t="s">
        <v>1126</v>
      </c>
    </row>
    <row r="3080" spans="1:1" x14ac:dyDescent="0.3">
      <c r="A3080" t="s">
        <v>1126</v>
      </c>
    </row>
    <row r="3081" spans="1:1" x14ac:dyDescent="0.3">
      <c r="A3081" t="s">
        <v>1126</v>
      </c>
    </row>
    <row r="3082" spans="1:1" x14ac:dyDescent="0.3">
      <c r="A3082" t="s">
        <v>6824</v>
      </c>
    </row>
    <row r="3083" spans="1:1" x14ac:dyDescent="0.3">
      <c r="A3083" t="s">
        <v>6824</v>
      </c>
    </row>
    <row r="3084" spans="1:1" x14ac:dyDescent="0.3">
      <c r="A3084" t="s">
        <v>6824</v>
      </c>
    </row>
    <row r="3085" spans="1:1" x14ac:dyDescent="0.3">
      <c r="A3085" t="s">
        <v>6824</v>
      </c>
    </row>
    <row r="3086" spans="1:1" x14ac:dyDescent="0.3">
      <c r="A3086" t="s">
        <v>6824</v>
      </c>
    </row>
    <row r="3087" spans="1:1" x14ac:dyDescent="0.3">
      <c r="A3087" t="s">
        <v>6824</v>
      </c>
    </row>
    <row r="3088" spans="1:1" x14ac:dyDescent="0.3">
      <c r="A3088" t="s">
        <v>6824</v>
      </c>
    </row>
    <row r="3089" spans="1:1" x14ac:dyDescent="0.3">
      <c r="A3089" t="s">
        <v>6824</v>
      </c>
    </row>
    <row r="3090" spans="1:1" x14ac:dyDescent="0.3">
      <c r="A3090" t="s">
        <v>6824</v>
      </c>
    </row>
    <row r="3091" spans="1:1" x14ac:dyDescent="0.3">
      <c r="A3091" t="s">
        <v>6824</v>
      </c>
    </row>
    <row r="3092" spans="1:1" x14ac:dyDescent="0.3">
      <c r="A3092" t="s">
        <v>6824</v>
      </c>
    </row>
    <row r="3093" spans="1:1" x14ac:dyDescent="0.3">
      <c r="A3093" t="s">
        <v>6824</v>
      </c>
    </row>
    <row r="3094" spans="1:1" x14ac:dyDescent="0.3">
      <c r="A3094" t="s">
        <v>6824</v>
      </c>
    </row>
    <row r="3095" spans="1:1" x14ac:dyDescent="0.3">
      <c r="A3095" t="s">
        <v>6824</v>
      </c>
    </row>
    <row r="3096" spans="1:1" x14ac:dyDescent="0.3">
      <c r="A3096" t="s">
        <v>6824</v>
      </c>
    </row>
    <row r="3097" spans="1:1" x14ac:dyDescent="0.3">
      <c r="A3097" t="s">
        <v>6824</v>
      </c>
    </row>
    <row r="3098" spans="1:1" x14ac:dyDescent="0.3">
      <c r="A3098" t="s">
        <v>6824</v>
      </c>
    </row>
    <row r="3099" spans="1:1" x14ac:dyDescent="0.3">
      <c r="A3099" t="s">
        <v>6824</v>
      </c>
    </row>
    <row r="3100" spans="1:1" x14ac:dyDescent="0.3">
      <c r="A3100" t="s">
        <v>6824</v>
      </c>
    </row>
    <row r="3101" spans="1:1" x14ac:dyDescent="0.3">
      <c r="A3101" t="s">
        <v>6824</v>
      </c>
    </row>
    <row r="3102" spans="1:1" x14ac:dyDescent="0.3">
      <c r="A3102" t="s">
        <v>6824</v>
      </c>
    </row>
    <row r="3103" spans="1:1" x14ac:dyDescent="0.3">
      <c r="A3103" t="s">
        <v>6824</v>
      </c>
    </row>
    <row r="3104" spans="1:1" x14ac:dyDescent="0.3">
      <c r="A3104" t="s">
        <v>6824</v>
      </c>
    </row>
    <row r="3105" spans="1:1" x14ac:dyDescent="0.3">
      <c r="A3105" t="s">
        <v>6824</v>
      </c>
    </row>
    <row r="3106" spans="1:1" x14ac:dyDescent="0.3">
      <c r="A3106" t="s">
        <v>6824</v>
      </c>
    </row>
    <row r="3107" spans="1:1" x14ac:dyDescent="0.3">
      <c r="A3107" t="s">
        <v>6824</v>
      </c>
    </row>
    <row r="3108" spans="1:1" x14ac:dyDescent="0.3">
      <c r="A3108" t="s">
        <v>6824</v>
      </c>
    </row>
    <row r="3109" spans="1:1" x14ac:dyDescent="0.3">
      <c r="A3109" t="s">
        <v>6824</v>
      </c>
    </row>
    <row r="3110" spans="1:1" x14ac:dyDescent="0.3">
      <c r="A3110" t="s">
        <v>7016</v>
      </c>
    </row>
    <row r="3111" spans="1:1" x14ac:dyDescent="0.3">
      <c r="A3111" t="s">
        <v>7016</v>
      </c>
    </row>
    <row r="3112" spans="1:1" x14ac:dyDescent="0.3">
      <c r="A3112" t="s">
        <v>7016</v>
      </c>
    </row>
    <row r="3113" spans="1:1" x14ac:dyDescent="0.3">
      <c r="A3113" t="s">
        <v>6825</v>
      </c>
    </row>
    <row r="3114" spans="1:1" x14ac:dyDescent="0.3">
      <c r="A3114" t="s">
        <v>6825</v>
      </c>
    </row>
    <row r="3115" spans="1:1" x14ac:dyDescent="0.3">
      <c r="A3115" t="s">
        <v>6825</v>
      </c>
    </row>
    <row r="3116" spans="1:1" x14ac:dyDescent="0.3">
      <c r="A3116" t="s">
        <v>6826</v>
      </c>
    </row>
    <row r="3117" spans="1:1" x14ac:dyDescent="0.3">
      <c r="A3117" t="s">
        <v>6826</v>
      </c>
    </row>
    <row r="3118" spans="1:1" x14ac:dyDescent="0.3">
      <c r="A3118" t="s">
        <v>181</v>
      </c>
    </row>
    <row r="3119" spans="1:1" x14ac:dyDescent="0.3">
      <c r="A3119" t="s">
        <v>181</v>
      </c>
    </row>
    <row r="3120" spans="1:1" x14ac:dyDescent="0.3">
      <c r="A3120" t="s">
        <v>7017</v>
      </c>
    </row>
    <row r="3121" spans="1:1" x14ac:dyDescent="0.3">
      <c r="A3121" t="s">
        <v>7054</v>
      </c>
    </row>
    <row r="3122" spans="1:1" x14ac:dyDescent="0.3">
      <c r="A3122" t="s">
        <v>7054</v>
      </c>
    </row>
    <row r="3123" spans="1:1" x14ac:dyDescent="0.3">
      <c r="A3123" t="s">
        <v>7054</v>
      </c>
    </row>
    <row r="3124" spans="1:1" x14ac:dyDescent="0.3">
      <c r="A3124" t="s">
        <v>7054</v>
      </c>
    </row>
    <row r="3125" spans="1:1" x14ac:dyDescent="0.3">
      <c r="A3125" t="s">
        <v>7054</v>
      </c>
    </row>
    <row r="3126" spans="1:1" x14ac:dyDescent="0.3">
      <c r="A3126" t="s">
        <v>7054</v>
      </c>
    </row>
    <row r="3127" spans="1:1" x14ac:dyDescent="0.3">
      <c r="A3127" t="s">
        <v>7054</v>
      </c>
    </row>
    <row r="3128" spans="1:1" x14ac:dyDescent="0.3">
      <c r="A3128" t="s">
        <v>7054</v>
      </c>
    </row>
    <row r="3129" spans="1:1" x14ac:dyDescent="0.3">
      <c r="A3129" t="s">
        <v>7054</v>
      </c>
    </row>
    <row r="3130" spans="1:1" x14ac:dyDescent="0.3">
      <c r="A3130" t="s">
        <v>7054</v>
      </c>
    </row>
    <row r="3131" spans="1:1" x14ac:dyDescent="0.3">
      <c r="A3131" t="s">
        <v>7054</v>
      </c>
    </row>
    <row r="3132" spans="1:1" x14ac:dyDescent="0.3">
      <c r="A3132" t="s">
        <v>7054</v>
      </c>
    </row>
    <row r="3133" spans="1:1" x14ac:dyDescent="0.3">
      <c r="A3133" t="s">
        <v>7054</v>
      </c>
    </row>
    <row r="3134" spans="1:1" x14ac:dyDescent="0.3">
      <c r="A3134" t="s">
        <v>7054</v>
      </c>
    </row>
    <row r="3135" spans="1:1" x14ac:dyDescent="0.3">
      <c r="A3135" t="s">
        <v>7054</v>
      </c>
    </row>
    <row r="3136" spans="1:1" x14ac:dyDescent="0.3">
      <c r="A3136" t="s">
        <v>7054</v>
      </c>
    </row>
    <row r="3137" spans="1:1" x14ac:dyDescent="0.3">
      <c r="A3137" t="s">
        <v>7054</v>
      </c>
    </row>
    <row r="3138" spans="1:1" x14ac:dyDescent="0.3">
      <c r="A3138" t="s">
        <v>7054</v>
      </c>
    </row>
    <row r="3139" spans="1:1" x14ac:dyDescent="0.3">
      <c r="A3139" t="s">
        <v>7054</v>
      </c>
    </row>
    <row r="3140" spans="1:1" x14ac:dyDescent="0.3">
      <c r="A3140" t="s">
        <v>7054</v>
      </c>
    </row>
    <row r="3141" spans="1:1" x14ac:dyDescent="0.3">
      <c r="A3141" t="s">
        <v>7054</v>
      </c>
    </row>
    <row r="3142" spans="1:1" x14ac:dyDescent="0.3">
      <c r="A3142" t="s">
        <v>7054</v>
      </c>
    </row>
    <row r="3143" spans="1:1" x14ac:dyDescent="0.3">
      <c r="A3143" t="s">
        <v>7054</v>
      </c>
    </row>
    <row r="3144" spans="1:1" x14ac:dyDescent="0.3">
      <c r="A3144" t="s">
        <v>7054</v>
      </c>
    </row>
    <row r="3145" spans="1:1" x14ac:dyDescent="0.3">
      <c r="A3145" t="s">
        <v>7054</v>
      </c>
    </row>
    <row r="3146" spans="1:1" x14ac:dyDescent="0.3">
      <c r="A3146" t="s">
        <v>7054</v>
      </c>
    </row>
    <row r="3147" spans="1:1" x14ac:dyDescent="0.3">
      <c r="A3147" t="s">
        <v>7054</v>
      </c>
    </row>
    <row r="3148" spans="1:1" x14ac:dyDescent="0.3">
      <c r="A3148" t="s">
        <v>7054</v>
      </c>
    </row>
    <row r="3149" spans="1:1" x14ac:dyDescent="0.3">
      <c r="A3149" t="s">
        <v>7054</v>
      </c>
    </row>
    <row r="3150" spans="1:1" x14ac:dyDescent="0.3">
      <c r="A3150" t="s">
        <v>7054</v>
      </c>
    </row>
    <row r="3151" spans="1:1" x14ac:dyDescent="0.3">
      <c r="A3151" t="s">
        <v>7054</v>
      </c>
    </row>
    <row r="3152" spans="1:1" x14ac:dyDescent="0.3">
      <c r="A3152" t="s">
        <v>7054</v>
      </c>
    </row>
    <row r="3153" spans="1:1" x14ac:dyDescent="0.3">
      <c r="A3153" t="s">
        <v>7054</v>
      </c>
    </row>
    <row r="3154" spans="1:1" x14ac:dyDescent="0.3">
      <c r="A3154" t="s">
        <v>7054</v>
      </c>
    </row>
    <row r="3155" spans="1:1" x14ac:dyDescent="0.3">
      <c r="A3155" t="s">
        <v>7054</v>
      </c>
    </row>
    <row r="3156" spans="1:1" x14ac:dyDescent="0.3">
      <c r="A3156" t="s">
        <v>7275</v>
      </c>
    </row>
    <row r="3157" spans="1:1" x14ac:dyDescent="0.3">
      <c r="A3157" t="s">
        <v>7275</v>
      </c>
    </row>
    <row r="3158" spans="1:1" x14ac:dyDescent="0.3">
      <c r="A3158" t="s">
        <v>7276</v>
      </c>
    </row>
    <row r="3159" spans="1:1" x14ac:dyDescent="0.3">
      <c r="A3159" t="s">
        <v>7276</v>
      </c>
    </row>
    <row r="3160" spans="1:1" x14ac:dyDescent="0.3">
      <c r="A3160" t="s">
        <v>1028</v>
      </c>
    </row>
    <row r="3161" spans="1:1" x14ac:dyDescent="0.3">
      <c r="A3161" t="s">
        <v>1028</v>
      </c>
    </row>
    <row r="3162" spans="1:1" x14ac:dyDescent="0.3">
      <c r="A3162" t="s">
        <v>6827</v>
      </c>
    </row>
    <row r="3163" spans="1:1" x14ac:dyDescent="0.3">
      <c r="A3163" t="s">
        <v>6827</v>
      </c>
    </row>
    <row r="3164" spans="1:1" x14ac:dyDescent="0.3">
      <c r="A3164" t="s">
        <v>6827</v>
      </c>
    </row>
    <row r="3165" spans="1:1" x14ac:dyDescent="0.3">
      <c r="A3165" t="s">
        <v>6827</v>
      </c>
    </row>
    <row r="3166" spans="1:1" x14ac:dyDescent="0.3">
      <c r="A3166" t="s">
        <v>6827</v>
      </c>
    </row>
    <row r="3167" spans="1:1" x14ac:dyDescent="0.3">
      <c r="A3167" t="s">
        <v>6827</v>
      </c>
    </row>
    <row r="3168" spans="1:1" x14ac:dyDescent="0.3">
      <c r="A3168" t="s">
        <v>6827</v>
      </c>
    </row>
    <row r="3169" spans="1:1" x14ac:dyDescent="0.3">
      <c r="A3169" t="s">
        <v>6827</v>
      </c>
    </row>
    <row r="3170" spans="1:1" x14ac:dyDescent="0.3">
      <c r="A3170" t="s">
        <v>7346</v>
      </c>
    </row>
    <row r="3171" spans="1:1" x14ac:dyDescent="0.3">
      <c r="A3171" t="s">
        <v>7346</v>
      </c>
    </row>
    <row r="3172" spans="1:1" x14ac:dyDescent="0.3">
      <c r="A3172" t="s">
        <v>7346</v>
      </c>
    </row>
    <row r="3173" spans="1:1" x14ac:dyDescent="0.3">
      <c r="A3173" t="s">
        <v>7346</v>
      </c>
    </row>
    <row r="3174" spans="1:1" x14ac:dyDescent="0.3">
      <c r="A3174" t="s">
        <v>7018</v>
      </c>
    </row>
    <row r="3175" spans="1:1" x14ac:dyDescent="0.3">
      <c r="A3175" t="s">
        <v>7018</v>
      </c>
    </row>
    <row r="3176" spans="1:1" x14ac:dyDescent="0.3">
      <c r="A3176" t="s">
        <v>6828</v>
      </c>
    </row>
    <row r="3177" spans="1:1" x14ac:dyDescent="0.3">
      <c r="A3177" t="s">
        <v>6828</v>
      </c>
    </row>
    <row r="3178" spans="1:1" x14ac:dyDescent="0.3">
      <c r="A3178" t="s">
        <v>6828</v>
      </c>
    </row>
    <row r="3179" spans="1:1" x14ac:dyDescent="0.3">
      <c r="A3179" t="s">
        <v>6828</v>
      </c>
    </row>
    <row r="3180" spans="1:1" x14ac:dyDescent="0.3">
      <c r="A3180" t="s">
        <v>6828</v>
      </c>
    </row>
    <row r="3181" spans="1:1" x14ac:dyDescent="0.3">
      <c r="A3181" t="s">
        <v>6828</v>
      </c>
    </row>
    <row r="3182" spans="1:1" x14ac:dyDescent="0.3">
      <c r="A3182" t="s">
        <v>6828</v>
      </c>
    </row>
    <row r="3183" spans="1:1" x14ac:dyDescent="0.3">
      <c r="A3183" t="s">
        <v>7019</v>
      </c>
    </row>
    <row r="3184" spans="1:1" x14ac:dyDescent="0.3">
      <c r="A3184" t="s">
        <v>983</v>
      </c>
    </row>
    <row r="3185" spans="1:1" x14ac:dyDescent="0.3">
      <c r="A3185" t="s">
        <v>983</v>
      </c>
    </row>
    <row r="3186" spans="1:1" x14ac:dyDescent="0.3">
      <c r="A3186" t="s">
        <v>6829</v>
      </c>
    </row>
    <row r="3187" spans="1:1" x14ac:dyDescent="0.3">
      <c r="A3187" t="s">
        <v>6829</v>
      </c>
    </row>
    <row r="3188" spans="1:1" x14ac:dyDescent="0.3">
      <c r="A3188" t="s">
        <v>6829</v>
      </c>
    </row>
    <row r="3189" spans="1:1" x14ac:dyDescent="0.3">
      <c r="A3189" t="s">
        <v>6829</v>
      </c>
    </row>
    <row r="3190" spans="1:1" x14ac:dyDescent="0.3">
      <c r="A3190" t="s">
        <v>6829</v>
      </c>
    </row>
    <row r="3191" spans="1:1" x14ac:dyDescent="0.3">
      <c r="A3191" t="s">
        <v>6829</v>
      </c>
    </row>
    <row r="3192" spans="1:1" x14ac:dyDescent="0.3">
      <c r="A3192" t="s">
        <v>6830</v>
      </c>
    </row>
    <row r="3193" spans="1:1" x14ac:dyDescent="0.3">
      <c r="A3193" t="s">
        <v>6830</v>
      </c>
    </row>
    <row r="3194" spans="1:1" x14ac:dyDescent="0.3">
      <c r="A3194" t="s">
        <v>7347</v>
      </c>
    </row>
    <row r="3195" spans="1:1" x14ac:dyDescent="0.3">
      <c r="A3195" t="s">
        <v>6831</v>
      </c>
    </row>
    <row r="3196" spans="1:1" x14ac:dyDescent="0.3">
      <c r="A3196" t="s">
        <v>6832</v>
      </c>
    </row>
    <row r="3197" spans="1:1" x14ac:dyDescent="0.3">
      <c r="A3197" t="s">
        <v>6832</v>
      </c>
    </row>
    <row r="3198" spans="1:1" x14ac:dyDescent="0.3">
      <c r="A3198" t="s">
        <v>6832</v>
      </c>
    </row>
    <row r="3199" spans="1:1" x14ac:dyDescent="0.3">
      <c r="A3199" t="s">
        <v>6832</v>
      </c>
    </row>
    <row r="3200" spans="1:1" x14ac:dyDescent="0.3">
      <c r="A3200" t="s">
        <v>6832</v>
      </c>
    </row>
    <row r="3201" spans="1:1" x14ac:dyDescent="0.3">
      <c r="A3201" t="s">
        <v>6832</v>
      </c>
    </row>
    <row r="3202" spans="1:1" x14ac:dyDescent="0.3">
      <c r="A3202" t="s">
        <v>6832</v>
      </c>
    </row>
    <row r="3203" spans="1:1" x14ac:dyDescent="0.3">
      <c r="A3203" t="s">
        <v>6832</v>
      </c>
    </row>
    <row r="3204" spans="1:1" x14ac:dyDescent="0.3">
      <c r="A3204" t="s">
        <v>6832</v>
      </c>
    </row>
    <row r="3205" spans="1:1" x14ac:dyDescent="0.3">
      <c r="A3205" t="s">
        <v>6832</v>
      </c>
    </row>
    <row r="3206" spans="1:1" x14ac:dyDescent="0.3">
      <c r="A3206" t="s">
        <v>6832</v>
      </c>
    </row>
    <row r="3207" spans="1:1" x14ac:dyDescent="0.3">
      <c r="A3207" t="s">
        <v>6832</v>
      </c>
    </row>
    <row r="3208" spans="1:1" x14ac:dyDescent="0.3">
      <c r="A3208" t="s">
        <v>6832</v>
      </c>
    </row>
    <row r="3209" spans="1:1" x14ac:dyDescent="0.3">
      <c r="A3209" t="s">
        <v>6832</v>
      </c>
    </row>
    <row r="3210" spans="1:1" x14ac:dyDescent="0.3">
      <c r="A3210" t="s">
        <v>6832</v>
      </c>
    </row>
    <row r="3211" spans="1:1" x14ac:dyDescent="0.3">
      <c r="A3211" t="s">
        <v>6832</v>
      </c>
    </row>
    <row r="3212" spans="1:1" x14ac:dyDescent="0.3">
      <c r="A3212" t="s">
        <v>6832</v>
      </c>
    </row>
    <row r="3213" spans="1:1" x14ac:dyDescent="0.3">
      <c r="A3213" t="s">
        <v>6832</v>
      </c>
    </row>
    <row r="3214" spans="1:1" x14ac:dyDescent="0.3">
      <c r="A3214" t="s">
        <v>6832</v>
      </c>
    </row>
    <row r="3215" spans="1:1" x14ac:dyDescent="0.3">
      <c r="A3215" t="s">
        <v>6832</v>
      </c>
    </row>
    <row r="3216" spans="1:1" x14ac:dyDescent="0.3">
      <c r="A3216" t="s">
        <v>6832</v>
      </c>
    </row>
    <row r="3217" spans="1:1" x14ac:dyDescent="0.3">
      <c r="A3217" t="s">
        <v>6832</v>
      </c>
    </row>
    <row r="3218" spans="1:1" x14ac:dyDescent="0.3">
      <c r="A3218" t="s">
        <v>6832</v>
      </c>
    </row>
    <row r="3219" spans="1:1" x14ac:dyDescent="0.3">
      <c r="A3219" t="s">
        <v>6832</v>
      </c>
    </row>
    <row r="3220" spans="1:1" x14ac:dyDescent="0.3">
      <c r="A3220" t="s">
        <v>6832</v>
      </c>
    </row>
    <row r="3221" spans="1:1" x14ac:dyDescent="0.3">
      <c r="A3221" t="s">
        <v>6832</v>
      </c>
    </row>
    <row r="3222" spans="1:1" x14ac:dyDescent="0.3">
      <c r="A3222" t="s">
        <v>900</v>
      </c>
    </row>
    <row r="3223" spans="1:1" x14ac:dyDescent="0.3">
      <c r="A3223" t="s">
        <v>6833</v>
      </c>
    </row>
    <row r="3224" spans="1:1" x14ac:dyDescent="0.3">
      <c r="A3224" t="s">
        <v>813</v>
      </c>
    </row>
    <row r="3225" spans="1:1" x14ac:dyDescent="0.3">
      <c r="A3225" t="s">
        <v>813</v>
      </c>
    </row>
    <row r="3226" spans="1:1" x14ac:dyDescent="0.3">
      <c r="A3226" t="s">
        <v>813</v>
      </c>
    </row>
    <row r="3227" spans="1:1" x14ac:dyDescent="0.3">
      <c r="A3227" t="s">
        <v>7020</v>
      </c>
    </row>
    <row r="3228" spans="1:1" x14ac:dyDescent="0.3">
      <c r="A3228" t="s">
        <v>6834</v>
      </c>
    </row>
    <row r="3229" spans="1:1" x14ac:dyDescent="0.3">
      <c r="A3229" t="s">
        <v>6834</v>
      </c>
    </row>
    <row r="3230" spans="1:1" x14ac:dyDescent="0.3">
      <c r="A3230" t="s">
        <v>6834</v>
      </c>
    </row>
    <row r="3231" spans="1:1" x14ac:dyDescent="0.3">
      <c r="A3231" t="s">
        <v>6834</v>
      </c>
    </row>
    <row r="3232" spans="1:1" x14ac:dyDescent="0.3">
      <c r="A3232" t="s">
        <v>6834</v>
      </c>
    </row>
    <row r="3233" spans="1:1" x14ac:dyDescent="0.3">
      <c r="A3233" t="s">
        <v>6834</v>
      </c>
    </row>
    <row r="3234" spans="1:1" x14ac:dyDescent="0.3">
      <c r="A3234" t="s">
        <v>6834</v>
      </c>
    </row>
    <row r="3235" spans="1:1" x14ac:dyDescent="0.3">
      <c r="A3235" t="s">
        <v>6834</v>
      </c>
    </row>
    <row r="3236" spans="1:1" x14ac:dyDescent="0.3">
      <c r="A3236" t="s">
        <v>6834</v>
      </c>
    </row>
    <row r="3237" spans="1:1" x14ac:dyDescent="0.3">
      <c r="A3237" t="s">
        <v>6834</v>
      </c>
    </row>
    <row r="3238" spans="1:1" x14ac:dyDescent="0.3">
      <c r="A3238" t="s">
        <v>6834</v>
      </c>
    </row>
    <row r="3239" spans="1:1" x14ac:dyDescent="0.3">
      <c r="A3239" t="s">
        <v>7021</v>
      </c>
    </row>
    <row r="3240" spans="1:1" x14ac:dyDescent="0.3">
      <c r="A3240" t="s">
        <v>7152</v>
      </c>
    </row>
    <row r="3241" spans="1:1" x14ac:dyDescent="0.3">
      <c r="A3241" t="s">
        <v>7152</v>
      </c>
    </row>
    <row r="3242" spans="1:1" x14ac:dyDescent="0.3">
      <c r="A3242" t="s">
        <v>6835</v>
      </c>
    </row>
    <row r="3243" spans="1:1" x14ac:dyDescent="0.3">
      <c r="A3243" t="s">
        <v>6835</v>
      </c>
    </row>
    <row r="3244" spans="1:1" x14ac:dyDescent="0.3">
      <c r="A3244" t="s">
        <v>2841</v>
      </c>
    </row>
    <row r="3245" spans="1:1" x14ac:dyDescent="0.3">
      <c r="A3245" t="s">
        <v>2841</v>
      </c>
    </row>
    <row r="3246" spans="1:1" x14ac:dyDescent="0.3">
      <c r="A3246" t="s">
        <v>2841</v>
      </c>
    </row>
    <row r="3247" spans="1:1" x14ac:dyDescent="0.3">
      <c r="A3247" t="s">
        <v>2841</v>
      </c>
    </row>
    <row r="3248" spans="1:1" x14ac:dyDescent="0.3">
      <c r="A3248" t="s">
        <v>2841</v>
      </c>
    </row>
    <row r="3249" spans="1:1" x14ac:dyDescent="0.3">
      <c r="A3249" t="s">
        <v>2841</v>
      </c>
    </row>
    <row r="3250" spans="1:1" x14ac:dyDescent="0.3">
      <c r="A3250" t="s">
        <v>2841</v>
      </c>
    </row>
    <row r="3251" spans="1:1" x14ac:dyDescent="0.3">
      <c r="A3251" t="s">
        <v>7141</v>
      </c>
    </row>
    <row r="3252" spans="1:1" x14ac:dyDescent="0.3">
      <c r="A3252" t="s">
        <v>7141</v>
      </c>
    </row>
    <row r="3253" spans="1:1" x14ac:dyDescent="0.3">
      <c r="A3253" t="s">
        <v>7141</v>
      </c>
    </row>
    <row r="3254" spans="1:1" x14ac:dyDescent="0.3">
      <c r="A3254" t="s">
        <v>6836</v>
      </c>
    </row>
    <row r="3255" spans="1:1" x14ac:dyDescent="0.3">
      <c r="A3255" t="s">
        <v>6836</v>
      </c>
    </row>
    <row r="3256" spans="1:1" x14ac:dyDescent="0.3">
      <c r="A3256" t="s">
        <v>6836</v>
      </c>
    </row>
    <row r="3257" spans="1:1" x14ac:dyDescent="0.3">
      <c r="A3257" t="s">
        <v>7277</v>
      </c>
    </row>
    <row r="3258" spans="1:1" x14ac:dyDescent="0.3">
      <c r="A3258" t="s">
        <v>3006</v>
      </c>
    </row>
    <row r="3259" spans="1:1" x14ac:dyDescent="0.3">
      <c r="A3259" t="s">
        <v>6837</v>
      </c>
    </row>
    <row r="3260" spans="1:1" x14ac:dyDescent="0.3">
      <c r="A3260" t="s">
        <v>6837</v>
      </c>
    </row>
    <row r="3261" spans="1:1" x14ac:dyDescent="0.3">
      <c r="A3261" t="s">
        <v>6837</v>
      </c>
    </row>
    <row r="3262" spans="1:1" x14ac:dyDescent="0.3">
      <c r="A3262" t="s">
        <v>6837</v>
      </c>
    </row>
    <row r="3263" spans="1:1" x14ac:dyDescent="0.3">
      <c r="A3263" t="s">
        <v>6837</v>
      </c>
    </row>
    <row r="3264" spans="1:1" x14ac:dyDescent="0.3">
      <c r="A3264" t="s">
        <v>6837</v>
      </c>
    </row>
    <row r="3265" spans="1:1" x14ac:dyDescent="0.3">
      <c r="A3265" t="s">
        <v>6837</v>
      </c>
    </row>
    <row r="3266" spans="1:1" x14ac:dyDescent="0.3">
      <c r="A3266" t="s">
        <v>6837</v>
      </c>
    </row>
    <row r="3267" spans="1:1" x14ac:dyDescent="0.3">
      <c r="A3267" t="s">
        <v>7153</v>
      </c>
    </row>
    <row r="3268" spans="1:1" x14ac:dyDescent="0.3">
      <c r="A3268" t="s">
        <v>7153</v>
      </c>
    </row>
    <row r="3269" spans="1:1" x14ac:dyDescent="0.3">
      <c r="A3269" t="s">
        <v>7153</v>
      </c>
    </row>
    <row r="3270" spans="1:1" x14ac:dyDescent="0.3">
      <c r="A3270" t="s">
        <v>7153</v>
      </c>
    </row>
    <row r="3271" spans="1:1" x14ac:dyDescent="0.3">
      <c r="A3271" t="s">
        <v>7278</v>
      </c>
    </row>
    <row r="3272" spans="1:1" x14ac:dyDescent="0.3">
      <c r="A3272" t="s">
        <v>6838</v>
      </c>
    </row>
    <row r="3273" spans="1:1" x14ac:dyDescent="0.3">
      <c r="A3273" t="s">
        <v>6838</v>
      </c>
    </row>
    <row r="3274" spans="1:1" x14ac:dyDescent="0.3">
      <c r="A3274" t="s">
        <v>6838</v>
      </c>
    </row>
    <row r="3275" spans="1:1" x14ac:dyDescent="0.3">
      <c r="A3275" t="s">
        <v>6838</v>
      </c>
    </row>
    <row r="3276" spans="1:1" x14ac:dyDescent="0.3">
      <c r="A3276" t="s">
        <v>6838</v>
      </c>
    </row>
    <row r="3277" spans="1:1" x14ac:dyDescent="0.3">
      <c r="A3277" t="s">
        <v>6838</v>
      </c>
    </row>
    <row r="3278" spans="1:1" x14ac:dyDescent="0.3">
      <c r="A3278" t="s">
        <v>6838</v>
      </c>
    </row>
    <row r="3279" spans="1:1" x14ac:dyDescent="0.3">
      <c r="A3279" t="s">
        <v>6838</v>
      </c>
    </row>
    <row r="3280" spans="1:1" x14ac:dyDescent="0.3">
      <c r="A3280" t="s">
        <v>6838</v>
      </c>
    </row>
    <row r="3281" spans="1:1" x14ac:dyDescent="0.3">
      <c r="A3281" t="s">
        <v>6838</v>
      </c>
    </row>
    <row r="3282" spans="1:1" x14ac:dyDescent="0.3">
      <c r="A3282" t="s">
        <v>6838</v>
      </c>
    </row>
    <row r="3283" spans="1:1" x14ac:dyDescent="0.3">
      <c r="A3283" t="s">
        <v>6838</v>
      </c>
    </row>
    <row r="3284" spans="1:1" x14ac:dyDescent="0.3">
      <c r="A3284" t="s">
        <v>6838</v>
      </c>
    </row>
    <row r="3285" spans="1:1" x14ac:dyDescent="0.3">
      <c r="A3285" t="s">
        <v>6838</v>
      </c>
    </row>
    <row r="3286" spans="1:1" x14ac:dyDescent="0.3">
      <c r="A3286" t="s">
        <v>6838</v>
      </c>
    </row>
    <row r="3287" spans="1:1" x14ac:dyDescent="0.3">
      <c r="A3287" t="s">
        <v>6838</v>
      </c>
    </row>
    <row r="3288" spans="1:1" x14ac:dyDescent="0.3">
      <c r="A3288" t="s">
        <v>6838</v>
      </c>
    </row>
    <row r="3289" spans="1:1" x14ac:dyDescent="0.3">
      <c r="A3289" t="s">
        <v>6838</v>
      </c>
    </row>
    <row r="3290" spans="1:1" x14ac:dyDescent="0.3">
      <c r="A3290" t="s">
        <v>6838</v>
      </c>
    </row>
    <row r="3291" spans="1:1" x14ac:dyDescent="0.3">
      <c r="A3291" t="s">
        <v>6838</v>
      </c>
    </row>
    <row r="3292" spans="1:1" x14ac:dyDescent="0.3">
      <c r="A3292" t="s">
        <v>6838</v>
      </c>
    </row>
    <row r="3293" spans="1:1" x14ac:dyDescent="0.3">
      <c r="A3293" t="s">
        <v>6838</v>
      </c>
    </row>
    <row r="3294" spans="1:1" x14ac:dyDescent="0.3">
      <c r="A3294" t="s">
        <v>6838</v>
      </c>
    </row>
    <row r="3295" spans="1:1" x14ac:dyDescent="0.3">
      <c r="A3295" t="s">
        <v>6838</v>
      </c>
    </row>
    <row r="3296" spans="1:1" x14ac:dyDescent="0.3">
      <c r="A3296" t="s">
        <v>6838</v>
      </c>
    </row>
    <row r="3297" spans="1:1" x14ac:dyDescent="0.3">
      <c r="A3297" t="s">
        <v>6838</v>
      </c>
    </row>
    <row r="3298" spans="1:1" x14ac:dyDescent="0.3">
      <c r="A3298" t="s">
        <v>6838</v>
      </c>
    </row>
    <row r="3299" spans="1:1" x14ac:dyDescent="0.3">
      <c r="A3299" t="s">
        <v>7022</v>
      </c>
    </row>
    <row r="3300" spans="1:1" x14ac:dyDescent="0.3">
      <c r="A3300" t="s">
        <v>7023</v>
      </c>
    </row>
    <row r="3301" spans="1:1" x14ac:dyDescent="0.3">
      <c r="A3301" t="s">
        <v>7023</v>
      </c>
    </row>
    <row r="3302" spans="1:1" x14ac:dyDescent="0.3">
      <c r="A3302" t="s">
        <v>7023</v>
      </c>
    </row>
    <row r="3303" spans="1:1" x14ac:dyDescent="0.3">
      <c r="A3303" t="s">
        <v>460</v>
      </c>
    </row>
    <row r="3304" spans="1:1" x14ac:dyDescent="0.3">
      <c r="A3304" t="s">
        <v>460</v>
      </c>
    </row>
    <row r="3305" spans="1:1" x14ac:dyDescent="0.3">
      <c r="A3305" t="s">
        <v>460</v>
      </c>
    </row>
    <row r="3306" spans="1:1" x14ac:dyDescent="0.3">
      <c r="A3306" t="s">
        <v>460</v>
      </c>
    </row>
    <row r="3307" spans="1:1" x14ac:dyDescent="0.3">
      <c r="A3307" t="s">
        <v>460</v>
      </c>
    </row>
    <row r="3308" spans="1:1" x14ac:dyDescent="0.3">
      <c r="A3308" t="s">
        <v>460</v>
      </c>
    </row>
    <row r="3309" spans="1:1" x14ac:dyDescent="0.3">
      <c r="A3309" t="s">
        <v>460</v>
      </c>
    </row>
    <row r="3310" spans="1:1" x14ac:dyDescent="0.3">
      <c r="A3310" t="s">
        <v>460</v>
      </c>
    </row>
    <row r="3311" spans="1:1" x14ac:dyDescent="0.3">
      <c r="A3311" t="s">
        <v>6839</v>
      </c>
    </row>
    <row r="3312" spans="1:1" x14ac:dyDescent="0.3">
      <c r="A3312" t="s">
        <v>6839</v>
      </c>
    </row>
    <row r="3313" spans="1:1" x14ac:dyDescent="0.3">
      <c r="A3313" t="s">
        <v>6840</v>
      </c>
    </row>
    <row r="3314" spans="1:1" x14ac:dyDescent="0.3">
      <c r="A3314" t="s">
        <v>6840</v>
      </c>
    </row>
    <row r="3315" spans="1:1" x14ac:dyDescent="0.3">
      <c r="A3315" t="s">
        <v>6841</v>
      </c>
    </row>
    <row r="3316" spans="1:1" x14ac:dyDescent="0.3">
      <c r="A3316" t="s">
        <v>1724</v>
      </c>
    </row>
    <row r="3317" spans="1:1" x14ac:dyDescent="0.3">
      <c r="A3317" t="s">
        <v>1724</v>
      </c>
    </row>
    <row r="3318" spans="1:1" x14ac:dyDescent="0.3">
      <c r="A3318" t="s">
        <v>1724</v>
      </c>
    </row>
    <row r="3319" spans="1:1" x14ac:dyDescent="0.3">
      <c r="A3319" t="s">
        <v>1724</v>
      </c>
    </row>
    <row r="3320" spans="1:1" x14ac:dyDescent="0.3">
      <c r="A3320" t="s">
        <v>7024</v>
      </c>
    </row>
    <row r="3321" spans="1:1" x14ac:dyDescent="0.3">
      <c r="A3321" t="s">
        <v>6624</v>
      </c>
    </row>
    <row r="3322" spans="1:1" x14ac:dyDescent="0.3">
      <c r="A3322" t="s">
        <v>6625</v>
      </c>
    </row>
    <row r="3323" spans="1:1" x14ac:dyDescent="0.3">
      <c r="A3323" t="s">
        <v>6626</v>
      </c>
    </row>
    <row r="3324" spans="1:1" x14ac:dyDescent="0.3">
      <c r="A3324" t="s">
        <v>6626</v>
      </c>
    </row>
    <row r="3325" spans="1:1" x14ac:dyDescent="0.3">
      <c r="A3325" t="s">
        <v>6626</v>
      </c>
    </row>
    <row r="3326" spans="1:1" x14ac:dyDescent="0.3">
      <c r="A3326" t="s">
        <v>6627</v>
      </c>
    </row>
    <row r="3327" spans="1:1" x14ac:dyDescent="0.3">
      <c r="A3327" t="s">
        <v>6627</v>
      </c>
    </row>
    <row r="3328" spans="1:1" x14ac:dyDescent="0.3">
      <c r="A3328" t="s">
        <v>6628</v>
      </c>
    </row>
    <row r="3329" spans="1:1" x14ac:dyDescent="0.3">
      <c r="A3329" t="s">
        <v>6628</v>
      </c>
    </row>
    <row r="3330" spans="1:1" x14ac:dyDescent="0.3">
      <c r="A3330" t="s">
        <v>7225</v>
      </c>
    </row>
    <row r="3331" spans="1:1" x14ac:dyDescent="0.3">
      <c r="A3331" t="s">
        <v>6629</v>
      </c>
    </row>
    <row r="3332" spans="1:1" x14ac:dyDescent="0.3">
      <c r="A3332" t="s">
        <v>6629</v>
      </c>
    </row>
    <row r="3333" spans="1:1" x14ac:dyDescent="0.3">
      <c r="A3333" t="s">
        <v>6630</v>
      </c>
    </row>
    <row r="3334" spans="1:1" x14ac:dyDescent="0.3">
      <c r="A3334" t="s">
        <v>6842</v>
      </c>
    </row>
    <row r="3335" spans="1:1" x14ac:dyDescent="0.3">
      <c r="A3335" t="s">
        <v>6842</v>
      </c>
    </row>
    <row r="3336" spans="1:1" x14ac:dyDescent="0.3">
      <c r="A3336" t="s">
        <v>6842</v>
      </c>
    </row>
    <row r="3337" spans="1:1" x14ac:dyDescent="0.3">
      <c r="A3337" t="s">
        <v>6842</v>
      </c>
    </row>
    <row r="3338" spans="1:1" x14ac:dyDescent="0.3">
      <c r="A3338" t="s">
        <v>6842</v>
      </c>
    </row>
    <row r="3339" spans="1:1" x14ac:dyDescent="0.3">
      <c r="A3339" t="s">
        <v>6842</v>
      </c>
    </row>
    <row r="3340" spans="1:1" x14ac:dyDescent="0.3">
      <c r="A3340" t="s">
        <v>6842</v>
      </c>
    </row>
    <row r="3341" spans="1:1" x14ac:dyDescent="0.3">
      <c r="A3341" t="s">
        <v>6842</v>
      </c>
    </row>
    <row r="3342" spans="1:1" x14ac:dyDescent="0.3">
      <c r="A3342" t="s">
        <v>6842</v>
      </c>
    </row>
    <row r="3343" spans="1:1" x14ac:dyDescent="0.3">
      <c r="A3343" t="s">
        <v>7086</v>
      </c>
    </row>
    <row r="3344" spans="1:1" x14ac:dyDescent="0.3">
      <c r="A3344" t="s">
        <v>7086</v>
      </c>
    </row>
    <row r="3345" spans="1:1" x14ac:dyDescent="0.3">
      <c r="A3345" t="s">
        <v>7060</v>
      </c>
    </row>
    <row r="3346" spans="1:1" x14ac:dyDescent="0.3">
      <c r="A3346" t="s">
        <v>7060</v>
      </c>
    </row>
    <row r="3347" spans="1:1" x14ac:dyDescent="0.3">
      <c r="A3347" t="s">
        <v>6843</v>
      </c>
    </row>
    <row r="3348" spans="1:1" x14ac:dyDescent="0.3">
      <c r="A3348" t="s">
        <v>6843</v>
      </c>
    </row>
    <row r="3349" spans="1:1" x14ac:dyDescent="0.3">
      <c r="A3349" t="s">
        <v>6843</v>
      </c>
    </row>
    <row r="3350" spans="1:1" x14ac:dyDescent="0.3">
      <c r="A3350" t="s">
        <v>6843</v>
      </c>
    </row>
    <row r="3351" spans="1:1" x14ac:dyDescent="0.3">
      <c r="A3351" t="s">
        <v>7025</v>
      </c>
    </row>
    <row r="3352" spans="1:1" x14ac:dyDescent="0.3">
      <c r="A3352" t="s">
        <v>7155</v>
      </c>
    </row>
    <row r="3353" spans="1:1" x14ac:dyDescent="0.3">
      <c r="A3353" t="s">
        <v>7155</v>
      </c>
    </row>
    <row r="3354" spans="1:1" x14ac:dyDescent="0.3">
      <c r="A3354" t="s">
        <v>7130</v>
      </c>
    </row>
    <row r="3355" spans="1:1" x14ac:dyDescent="0.3">
      <c r="A3355" t="s">
        <v>7130</v>
      </c>
    </row>
    <row r="3356" spans="1:1" x14ac:dyDescent="0.3">
      <c r="A3356" t="s">
        <v>7130</v>
      </c>
    </row>
    <row r="3357" spans="1:1" x14ac:dyDescent="0.3">
      <c r="A3357" t="s">
        <v>1163</v>
      </c>
    </row>
    <row r="3358" spans="1:1" x14ac:dyDescent="0.3">
      <c r="A3358" t="s">
        <v>7279</v>
      </c>
    </row>
    <row r="3359" spans="1:1" x14ac:dyDescent="0.3">
      <c r="A3359" t="s">
        <v>7279</v>
      </c>
    </row>
    <row r="3360" spans="1:1" x14ac:dyDescent="0.3">
      <c r="A3360" t="s">
        <v>7279</v>
      </c>
    </row>
    <row r="3361" spans="1:1" x14ac:dyDescent="0.3">
      <c r="A3361" t="s">
        <v>7279</v>
      </c>
    </row>
    <row r="3362" spans="1:1" x14ac:dyDescent="0.3">
      <c r="A3362" t="s">
        <v>7279</v>
      </c>
    </row>
    <row r="3363" spans="1:1" x14ac:dyDescent="0.3">
      <c r="A3363" t="s">
        <v>7279</v>
      </c>
    </row>
    <row r="3364" spans="1:1" x14ac:dyDescent="0.3">
      <c r="A3364" t="s">
        <v>6844</v>
      </c>
    </row>
    <row r="3365" spans="1:1" x14ac:dyDescent="0.3">
      <c r="A3365" t="s">
        <v>7156</v>
      </c>
    </row>
    <row r="3366" spans="1:1" x14ac:dyDescent="0.3">
      <c r="A3366" t="s">
        <v>7156</v>
      </c>
    </row>
    <row r="3367" spans="1:1" x14ac:dyDescent="0.3">
      <c r="A3367" t="s">
        <v>7156</v>
      </c>
    </row>
    <row r="3368" spans="1:1" x14ac:dyDescent="0.3">
      <c r="A3368" t="s">
        <v>6845</v>
      </c>
    </row>
    <row r="3369" spans="1:1" x14ac:dyDescent="0.3">
      <c r="A3369" t="s">
        <v>6845</v>
      </c>
    </row>
    <row r="3370" spans="1:1" x14ac:dyDescent="0.3">
      <c r="A3370" t="s">
        <v>6845</v>
      </c>
    </row>
    <row r="3371" spans="1:1" x14ac:dyDescent="0.3">
      <c r="A3371" t="s">
        <v>6845</v>
      </c>
    </row>
    <row r="3372" spans="1:1" x14ac:dyDescent="0.3">
      <c r="A3372" t="s">
        <v>6845</v>
      </c>
    </row>
    <row r="3373" spans="1:1" x14ac:dyDescent="0.3">
      <c r="A3373" t="s">
        <v>6845</v>
      </c>
    </row>
    <row r="3374" spans="1:1" x14ac:dyDescent="0.3">
      <c r="A3374" t="s">
        <v>6845</v>
      </c>
    </row>
    <row r="3375" spans="1:1" x14ac:dyDescent="0.3">
      <c r="A3375" t="s">
        <v>6845</v>
      </c>
    </row>
    <row r="3376" spans="1:1" x14ac:dyDescent="0.3">
      <c r="A3376" t="s">
        <v>6845</v>
      </c>
    </row>
    <row r="3377" spans="1:1" x14ac:dyDescent="0.3">
      <c r="A3377" t="s">
        <v>6845</v>
      </c>
    </row>
    <row r="3378" spans="1:1" x14ac:dyDescent="0.3">
      <c r="A3378" t="s">
        <v>6845</v>
      </c>
    </row>
    <row r="3379" spans="1:1" x14ac:dyDescent="0.3">
      <c r="A3379" t="s">
        <v>6845</v>
      </c>
    </row>
    <row r="3380" spans="1:1" x14ac:dyDescent="0.3">
      <c r="A3380" t="s">
        <v>6845</v>
      </c>
    </row>
    <row r="3381" spans="1:1" x14ac:dyDescent="0.3">
      <c r="A3381" t="s">
        <v>6845</v>
      </c>
    </row>
    <row r="3382" spans="1:1" x14ac:dyDescent="0.3">
      <c r="A3382" t="s">
        <v>6845</v>
      </c>
    </row>
    <row r="3383" spans="1:1" x14ac:dyDescent="0.3">
      <c r="A3383" t="s">
        <v>6845</v>
      </c>
    </row>
    <row r="3384" spans="1:1" x14ac:dyDescent="0.3">
      <c r="A3384" t="s">
        <v>6845</v>
      </c>
    </row>
    <row r="3385" spans="1:1" x14ac:dyDescent="0.3">
      <c r="A3385" t="s">
        <v>6845</v>
      </c>
    </row>
    <row r="3386" spans="1:1" x14ac:dyDescent="0.3">
      <c r="A3386" t="s">
        <v>6845</v>
      </c>
    </row>
    <row r="3387" spans="1:1" x14ac:dyDescent="0.3">
      <c r="A3387" t="s">
        <v>6845</v>
      </c>
    </row>
    <row r="3388" spans="1:1" x14ac:dyDescent="0.3">
      <c r="A3388" t="s">
        <v>377</v>
      </c>
    </row>
    <row r="3389" spans="1:1" x14ac:dyDescent="0.3">
      <c r="A3389" t="s">
        <v>377</v>
      </c>
    </row>
    <row r="3390" spans="1:1" x14ac:dyDescent="0.3">
      <c r="A3390" t="s">
        <v>377</v>
      </c>
    </row>
    <row r="3391" spans="1:1" x14ac:dyDescent="0.3">
      <c r="A3391" t="s">
        <v>377</v>
      </c>
    </row>
    <row r="3392" spans="1:1" x14ac:dyDescent="0.3">
      <c r="A3392" t="s">
        <v>377</v>
      </c>
    </row>
    <row r="3393" spans="1:1" x14ac:dyDescent="0.3">
      <c r="A3393" t="s">
        <v>377</v>
      </c>
    </row>
    <row r="3394" spans="1:1" x14ac:dyDescent="0.3">
      <c r="A3394" t="s">
        <v>377</v>
      </c>
    </row>
    <row r="3395" spans="1:1" x14ac:dyDescent="0.3">
      <c r="A3395" t="s">
        <v>377</v>
      </c>
    </row>
    <row r="3396" spans="1:1" x14ac:dyDescent="0.3">
      <c r="A3396" t="s">
        <v>377</v>
      </c>
    </row>
    <row r="3397" spans="1:1" x14ac:dyDescent="0.3">
      <c r="A3397" t="s">
        <v>377</v>
      </c>
    </row>
    <row r="3398" spans="1:1" x14ac:dyDescent="0.3">
      <c r="A3398" t="s">
        <v>377</v>
      </c>
    </row>
    <row r="3399" spans="1:1" x14ac:dyDescent="0.3">
      <c r="A3399" t="s">
        <v>377</v>
      </c>
    </row>
    <row r="3400" spans="1:1" x14ac:dyDescent="0.3">
      <c r="A3400" t="s">
        <v>377</v>
      </c>
    </row>
    <row r="3401" spans="1:1" x14ac:dyDescent="0.3">
      <c r="A3401" t="s">
        <v>377</v>
      </c>
    </row>
    <row r="3402" spans="1:1" x14ac:dyDescent="0.3">
      <c r="A3402" t="s">
        <v>377</v>
      </c>
    </row>
    <row r="3403" spans="1:1" x14ac:dyDescent="0.3">
      <c r="A3403" t="s">
        <v>377</v>
      </c>
    </row>
    <row r="3404" spans="1:1" x14ac:dyDescent="0.3">
      <c r="A3404" t="s">
        <v>377</v>
      </c>
    </row>
    <row r="3405" spans="1:1" x14ac:dyDescent="0.3">
      <c r="A3405" t="s">
        <v>377</v>
      </c>
    </row>
    <row r="3406" spans="1:1" x14ac:dyDescent="0.3">
      <c r="A3406" t="s">
        <v>377</v>
      </c>
    </row>
    <row r="3407" spans="1:1" x14ac:dyDescent="0.3">
      <c r="A3407" t="s">
        <v>377</v>
      </c>
    </row>
    <row r="3408" spans="1:1" x14ac:dyDescent="0.3">
      <c r="A3408" t="s">
        <v>377</v>
      </c>
    </row>
    <row r="3409" spans="1:1" x14ac:dyDescent="0.3">
      <c r="A3409" t="s">
        <v>377</v>
      </c>
    </row>
    <row r="3410" spans="1:1" x14ac:dyDescent="0.3">
      <c r="A3410" t="s">
        <v>377</v>
      </c>
    </row>
    <row r="3411" spans="1:1" x14ac:dyDescent="0.3">
      <c r="A3411" t="s">
        <v>377</v>
      </c>
    </row>
    <row r="3412" spans="1:1" x14ac:dyDescent="0.3">
      <c r="A3412" t="s">
        <v>377</v>
      </c>
    </row>
    <row r="3413" spans="1:1" x14ac:dyDescent="0.3">
      <c r="A3413" t="s">
        <v>377</v>
      </c>
    </row>
    <row r="3414" spans="1:1" x14ac:dyDescent="0.3">
      <c r="A3414" t="s">
        <v>377</v>
      </c>
    </row>
    <row r="3415" spans="1:1" x14ac:dyDescent="0.3">
      <c r="A3415" t="s">
        <v>377</v>
      </c>
    </row>
    <row r="3416" spans="1:1" x14ac:dyDescent="0.3">
      <c r="A3416" t="s">
        <v>377</v>
      </c>
    </row>
    <row r="3417" spans="1:1" x14ac:dyDescent="0.3">
      <c r="A3417" t="s">
        <v>377</v>
      </c>
    </row>
    <row r="3418" spans="1:1" x14ac:dyDescent="0.3">
      <c r="A3418" t="s">
        <v>377</v>
      </c>
    </row>
    <row r="3419" spans="1:1" x14ac:dyDescent="0.3">
      <c r="A3419" t="s">
        <v>377</v>
      </c>
    </row>
    <row r="3420" spans="1:1" x14ac:dyDescent="0.3">
      <c r="A3420" t="s">
        <v>377</v>
      </c>
    </row>
    <row r="3421" spans="1:1" x14ac:dyDescent="0.3">
      <c r="A3421" t="s">
        <v>377</v>
      </c>
    </row>
    <row r="3422" spans="1:1" x14ac:dyDescent="0.3">
      <c r="A3422" t="s">
        <v>377</v>
      </c>
    </row>
    <row r="3423" spans="1:1" x14ac:dyDescent="0.3">
      <c r="A3423" t="s">
        <v>377</v>
      </c>
    </row>
    <row r="3424" spans="1:1" x14ac:dyDescent="0.3">
      <c r="A3424" t="s">
        <v>377</v>
      </c>
    </row>
    <row r="3425" spans="1:1" x14ac:dyDescent="0.3">
      <c r="A3425" t="s">
        <v>377</v>
      </c>
    </row>
    <row r="3426" spans="1:1" x14ac:dyDescent="0.3">
      <c r="A3426" t="s">
        <v>377</v>
      </c>
    </row>
    <row r="3427" spans="1:1" x14ac:dyDescent="0.3">
      <c r="A3427" t="s">
        <v>377</v>
      </c>
    </row>
    <row r="3428" spans="1:1" x14ac:dyDescent="0.3">
      <c r="A3428" t="s">
        <v>377</v>
      </c>
    </row>
    <row r="3429" spans="1:1" x14ac:dyDescent="0.3">
      <c r="A3429" t="s">
        <v>377</v>
      </c>
    </row>
    <row r="3430" spans="1:1" x14ac:dyDescent="0.3">
      <c r="A3430" t="s">
        <v>377</v>
      </c>
    </row>
    <row r="3431" spans="1:1" x14ac:dyDescent="0.3">
      <c r="A3431" t="s">
        <v>377</v>
      </c>
    </row>
    <row r="3432" spans="1:1" x14ac:dyDescent="0.3">
      <c r="A3432" t="s">
        <v>377</v>
      </c>
    </row>
    <row r="3433" spans="1:1" x14ac:dyDescent="0.3">
      <c r="A3433" t="s">
        <v>377</v>
      </c>
    </row>
    <row r="3434" spans="1:1" x14ac:dyDescent="0.3">
      <c r="A3434" t="s">
        <v>377</v>
      </c>
    </row>
    <row r="3435" spans="1:1" x14ac:dyDescent="0.3">
      <c r="A3435" t="s">
        <v>377</v>
      </c>
    </row>
    <row r="3436" spans="1:1" x14ac:dyDescent="0.3">
      <c r="A3436" t="s">
        <v>377</v>
      </c>
    </row>
    <row r="3437" spans="1:1" x14ac:dyDescent="0.3">
      <c r="A3437" t="s">
        <v>377</v>
      </c>
    </row>
    <row r="3438" spans="1:1" x14ac:dyDescent="0.3">
      <c r="A3438" t="s">
        <v>377</v>
      </c>
    </row>
    <row r="3439" spans="1:1" x14ac:dyDescent="0.3">
      <c r="A3439" t="s">
        <v>377</v>
      </c>
    </row>
    <row r="3440" spans="1:1" x14ac:dyDescent="0.3">
      <c r="A3440" t="s">
        <v>377</v>
      </c>
    </row>
    <row r="3441" spans="1:1" x14ac:dyDescent="0.3">
      <c r="A3441" t="s">
        <v>377</v>
      </c>
    </row>
    <row r="3442" spans="1:1" x14ac:dyDescent="0.3">
      <c r="A3442" t="s">
        <v>377</v>
      </c>
    </row>
    <row r="3443" spans="1:1" x14ac:dyDescent="0.3">
      <c r="A3443" t="s">
        <v>377</v>
      </c>
    </row>
    <row r="3444" spans="1:1" x14ac:dyDescent="0.3">
      <c r="A3444" t="s">
        <v>377</v>
      </c>
    </row>
    <row r="3445" spans="1:1" x14ac:dyDescent="0.3">
      <c r="A3445" t="s">
        <v>377</v>
      </c>
    </row>
    <row r="3446" spans="1:1" x14ac:dyDescent="0.3">
      <c r="A3446" t="s">
        <v>377</v>
      </c>
    </row>
    <row r="3447" spans="1:1" x14ac:dyDescent="0.3">
      <c r="A3447" t="s">
        <v>377</v>
      </c>
    </row>
    <row r="3448" spans="1:1" x14ac:dyDescent="0.3">
      <c r="A3448" t="s">
        <v>377</v>
      </c>
    </row>
    <row r="3449" spans="1:1" x14ac:dyDescent="0.3">
      <c r="A3449" t="s">
        <v>377</v>
      </c>
    </row>
    <row r="3450" spans="1:1" x14ac:dyDescent="0.3">
      <c r="A3450" t="s">
        <v>377</v>
      </c>
    </row>
    <row r="3451" spans="1:1" x14ac:dyDescent="0.3">
      <c r="A3451" t="s">
        <v>377</v>
      </c>
    </row>
    <row r="3452" spans="1:1" x14ac:dyDescent="0.3">
      <c r="A3452" t="s">
        <v>377</v>
      </c>
    </row>
    <row r="3453" spans="1:1" x14ac:dyDescent="0.3">
      <c r="A3453" t="s">
        <v>377</v>
      </c>
    </row>
    <row r="3454" spans="1:1" x14ac:dyDescent="0.3">
      <c r="A3454" t="s">
        <v>377</v>
      </c>
    </row>
    <row r="3455" spans="1:1" x14ac:dyDescent="0.3">
      <c r="A3455" t="s">
        <v>377</v>
      </c>
    </row>
    <row r="3456" spans="1:1" x14ac:dyDescent="0.3">
      <c r="A3456" t="s">
        <v>377</v>
      </c>
    </row>
    <row r="3457" spans="1:1" x14ac:dyDescent="0.3">
      <c r="A3457" t="s">
        <v>377</v>
      </c>
    </row>
    <row r="3458" spans="1:1" x14ac:dyDescent="0.3">
      <c r="A3458" t="s">
        <v>377</v>
      </c>
    </row>
    <row r="3459" spans="1:1" x14ac:dyDescent="0.3">
      <c r="A3459" t="s">
        <v>377</v>
      </c>
    </row>
    <row r="3460" spans="1:1" x14ac:dyDescent="0.3">
      <c r="A3460" t="s">
        <v>377</v>
      </c>
    </row>
    <row r="3461" spans="1:1" x14ac:dyDescent="0.3">
      <c r="A3461" t="s">
        <v>377</v>
      </c>
    </row>
    <row r="3462" spans="1:1" x14ac:dyDescent="0.3">
      <c r="A3462" t="s">
        <v>377</v>
      </c>
    </row>
    <row r="3463" spans="1:1" x14ac:dyDescent="0.3">
      <c r="A3463" t="s">
        <v>377</v>
      </c>
    </row>
    <row r="3464" spans="1:1" x14ac:dyDescent="0.3">
      <c r="A3464" t="s">
        <v>377</v>
      </c>
    </row>
    <row r="3465" spans="1:1" x14ac:dyDescent="0.3">
      <c r="A3465" t="s">
        <v>377</v>
      </c>
    </row>
    <row r="3466" spans="1:1" x14ac:dyDescent="0.3">
      <c r="A3466" t="s">
        <v>377</v>
      </c>
    </row>
    <row r="3467" spans="1:1" x14ac:dyDescent="0.3">
      <c r="A3467" t="s">
        <v>377</v>
      </c>
    </row>
    <row r="3468" spans="1:1" x14ac:dyDescent="0.3">
      <c r="A3468" t="s">
        <v>377</v>
      </c>
    </row>
    <row r="3469" spans="1:1" x14ac:dyDescent="0.3">
      <c r="A3469" t="s">
        <v>377</v>
      </c>
    </row>
    <row r="3470" spans="1:1" x14ac:dyDescent="0.3">
      <c r="A3470" t="s">
        <v>377</v>
      </c>
    </row>
    <row r="3471" spans="1:1" x14ac:dyDescent="0.3">
      <c r="A3471" t="s">
        <v>377</v>
      </c>
    </row>
    <row r="3472" spans="1:1" x14ac:dyDescent="0.3">
      <c r="A3472" t="s">
        <v>377</v>
      </c>
    </row>
    <row r="3473" spans="1:1" x14ac:dyDescent="0.3">
      <c r="A3473" t="s">
        <v>377</v>
      </c>
    </row>
    <row r="3474" spans="1:1" x14ac:dyDescent="0.3">
      <c r="A3474" t="s">
        <v>377</v>
      </c>
    </row>
    <row r="3475" spans="1:1" x14ac:dyDescent="0.3">
      <c r="A3475" t="s">
        <v>377</v>
      </c>
    </row>
    <row r="3476" spans="1:1" x14ac:dyDescent="0.3">
      <c r="A3476" t="s">
        <v>377</v>
      </c>
    </row>
    <row r="3477" spans="1:1" x14ac:dyDescent="0.3">
      <c r="A3477" t="s">
        <v>377</v>
      </c>
    </row>
    <row r="3478" spans="1:1" x14ac:dyDescent="0.3">
      <c r="A3478" t="s">
        <v>377</v>
      </c>
    </row>
    <row r="3479" spans="1:1" x14ac:dyDescent="0.3">
      <c r="A3479" t="s">
        <v>377</v>
      </c>
    </row>
    <row r="3480" spans="1:1" x14ac:dyDescent="0.3">
      <c r="A3480" t="s">
        <v>377</v>
      </c>
    </row>
    <row r="3481" spans="1:1" x14ac:dyDescent="0.3">
      <c r="A3481" t="s">
        <v>377</v>
      </c>
    </row>
    <row r="3482" spans="1:1" x14ac:dyDescent="0.3">
      <c r="A3482" t="s">
        <v>377</v>
      </c>
    </row>
    <row r="3483" spans="1:1" x14ac:dyDescent="0.3">
      <c r="A3483" t="s">
        <v>377</v>
      </c>
    </row>
    <row r="3484" spans="1:1" x14ac:dyDescent="0.3">
      <c r="A3484" t="s">
        <v>377</v>
      </c>
    </row>
    <row r="3485" spans="1:1" x14ac:dyDescent="0.3">
      <c r="A3485" t="s">
        <v>377</v>
      </c>
    </row>
    <row r="3486" spans="1:1" x14ac:dyDescent="0.3">
      <c r="A3486" t="s">
        <v>377</v>
      </c>
    </row>
    <row r="3487" spans="1:1" x14ac:dyDescent="0.3">
      <c r="A3487" t="s">
        <v>377</v>
      </c>
    </row>
    <row r="3488" spans="1:1" x14ac:dyDescent="0.3">
      <c r="A3488" t="s">
        <v>377</v>
      </c>
    </row>
    <row r="3489" spans="1:1" x14ac:dyDescent="0.3">
      <c r="A3489" t="s">
        <v>377</v>
      </c>
    </row>
    <row r="3490" spans="1:1" x14ac:dyDescent="0.3">
      <c r="A3490" t="s">
        <v>377</v>
      </c>
    </row>
    <row r="3491" spans="1:1" x14ac:dyDescent="0.3">
      <c r="A3491" t="s">
        <v>377</v>
      </c>
    </row>
    <row r="3492" spans="1:1" x14ac:dyDescent="0.3">
      <c r="A3492" t="s">
        <v>377</v>
      </c>
    </row>
    <row r="3493" spans="1:1" x14ac:dyDescent="0.3">
      <c r="A3493" t="s">
        <v>377</v>
      </c>
    </row>
    <row r="3494" spans="1:1" x14ac:dyDescent="0.3">
      <c r="A3494" t="s">
        <v>377</v>
      </c>
    </row>
    <row r="3495" spans="1:1" x14ac:dyDescent="0.3">
      <c r="A3495" t="s">
        <v>377</v>
      </c>
    </row>
    <row r="3496" spans="1:1" x14ac:dyDescent="0.3">
      <c r="A3496" t="s">
        <v>377</v>
      </c>
    </row>
    <row r="3497" spans="1:1" x14ac:dyDescent="0.3">
      <c r="A3497" t="s">
        <v>377</v>
      </c>
    </row>
    <row r="3498" spans="1:1" x14ac:dyDescent="0.3">
      <c r="A3498" t="s">
        <v>377</v>
      </c>
    </row>
    <row r="3499" spans="1:1" x14ac:dyDescent="0.3">
      <c r="A3499" t="s">
        <v>377</v>
      </c>
    </row>
    <row r="3500" spans="1:1" x14ac:dyDescent="0.3">
      <c r="A3500" t="s">
        <v>377</v>
      </c>
    </row>
    <row r="3501" spans="1:1" x14ac:dyDescent="0.3">
      <c r="A3501" t="s">
        <v>377</v>
      </c>
    </row>
    <row r="3502" spans="1:1" x14ac:dyDescent="0.3">
      <c r="A3502" t="s">
        <v>377</v>
      </c>
    </row>
    <row r="3503" spans="1:1" x14ac:dyDescent="0.3">
      <c r="A3503" t="s">
        <v>377</v>
      </c>
    </row>
    <row r="3504" spans="1:1" x14ac:dyDescent="0.3">
      <c r="A3504" t="s">
        <v>377</v>
      </c>
    </row>
    <row r="3505" spans="1:1" x14ac:dyDescent="0.3">
      <c r="A3505" t="s">
        <v>377</v>
      </c>
    </row>
    <row r="3506" spans="1:1" x14ac:dyDescent="0.3">
      <c r="A3506" t="s">
        <v>377</v>
      </c>
    </row>
    <row r="3507" spans="1:1" x14ac:dyDescent="0.3">
      <c r="A3507" t="s">
        <v>377</v>
      </c>
    </row>
    <row r="3508" spans="1:1" x14ac:dyDescent="0.3">
      <c r="A3508" t="s">
        <v>377</v>
      </c>
    </row>
    <row r="3509" spans="1:1" x14ac:dyDescent="0.3">
      <c r="A3509" t="s">
        <v>377</v>
      </c>
    </row>
    <row r="3510" spans="1:1" x14ac:dyDescent="0.3">
      <c r="A3510" t="s">
        <v>377</v>
      </c>
    </row>
    <row r="3511" spans="1:1" x14ac:dyDescent="0.3">
      <c r="A3511" t="s">
        <v>377</v>
      </c>
    </row>
    <row r="3512" spans="1:1" x14ac:dyDescent="0.3">
      <c r="A3512" t="s">
        <v>377</v>
      </c>
    </row>
    <row r="3513" spans="1:1" x14ac:dyDescent="0.3">
      <c r="A3513" t="s">
        <v>377</v>
      </c>
    </row>
    <row r="3514" spans="1:1" x14ac:dyDescent="0.3">
      <c r="A3514" t="s">
        <v>377</v>
      </c>
    </row>
    <row r="3515" spans="1:1" x14ac:dyDescent="0.3">
      <c r="A3515" t="s">
        <v>377</v>
      </c>
    </row>
    <row r="3516" spans="1:1" x14ac:dyDescent="0.3">
      <c r="A3516" t="s">
        <v>377</v>
      </c>
    </row>
    <row r="3517" spans="1:1" x14ac:dyDescent="0.3">
      <c r="A3517" t="s">
        <v>377</v>
      </c>
    </row>
    <row r="3518" spans="1:1" x14ac:dyDescent="0.3">
      <c r="A3518" t="s">
        <v>377</v>
      </c>
    </row>
    <row r="3519" spans="1:1" x14ac:dyDescent="0.3">
      <c r="A3519" t="s">
        <v>377</v>
      </c>
    </row>
    <row r="3520" spans="1:1" x14ac:dyDescent="0.3">
      <c r="A3520" t="s">
        <v>377</v>
      </c>
    </row>
    <row r="3521" spans="1:1" x14ac:dyDescent="0.3">
      <c r="A3521" t="s">
        <v>377</v>
      </c>
    </row>
    <row r="3522" spans="1:1" x14ac:dyDescent="0.3">
      <c r="A3522" t="s">
        <v>377</v>
      </c>
    </row>
    <row r="3523" spans="1:1" x14ac:dyDescent="0.3">
      <c r="A3523" t="s">
        <v>377</v>
      </c>
    </row>
    <row r="3524" spans="1:1" x14ac:dyDescent="0.3">
      <c r="A3524" t="s">
        <v>377</v>
      </c>
    </row>
    <row r="3525" spans="1:1" x14ac:dyDescent="0.3">
      <c r="A3525" t="s">
        <v>377</v>
      </c>
    </row>
    <row r="3526" spans="1:1" x14ac:dyDescent="0.3">
      <c r="A3526" t="s">
        <v>7026</v>
      </c>
    </row>
    <row r="3527" spans="1:1" x14ac:dyDescent="0.3">
      <c r="A3527" t="s">
        <v>7027</v>
      </c>
    </row>
    <row r="3528" spans="1:1" x14ac:dyDescent="0.3">
      <c r="A3528" t="s">
        <v>7280</v>
      </c>
    </row>
    <row r="3529" spans="1:1" x14ac:dyDescent="0.3">
      <c r="A3529" t="s">
        <v>7280</v>
      </c>
    </row>
    <row r="3530" spans="1:1" x14ac:dyDescent="0.3">
      <c r="A3530" t="s">
        <v>7215</v>
      </c>
    </row>
    <row r="3531" spans="1:1" x14ac:dyDescent="0.3">
      <c r="A3531" t="s">
        <v>7309</v>
      </c>
    </row>
    <row r="3532" spans="1:1" x14ac:dyDescent="0.3">
      <c r="A3532" t="s">
        <v>7348</v>
      </c>
    </row>
    <row r="3533" spans="1:1" x14ac:dyDescent="0.3">
      <c r="A3533" t="s">
        <v>7348</v>
      </c>
    </row>
    <row r="3534" spans="1:1" x14ac:dyDescent="0.3">
      <c r="A3534" t="s">
        <v>7028</v>
      </c>
    </row>
    <row r="3535" spans="1:1" x14ac:dyDescent="0.3">
      <c r="A3535" t="s">
        <v>7028</v>
      </c>
    </row>
    <row r="3536" spans="1:1" x14ac:dyDescent="0.3">
      <c r="A3536" t="s">
        <v>7028</v>
      </c>
    </row>
    <row r="3537" spans="1:1" x14ac:dyDescent="0.3">
      <c r="A3537" t="s">
        <v>7028</v>
      </c>
    </row>
    <row r="3538" spans="1:1" x14ac:dyDescent="0.3">
      <c r="A3538" t="s">
        <v>7028</v>
      </c>
    </row>
    <row r="3539" spans="1:1" x14ac:dyDescent="0.3">
      <c r="A3539" t="s">
        <v>7028</v>
      </c>
    </row>
    <row r="3540" spans="1:1" x14ac:dyDescent="0.3">
      <c r="A3540" t="s">
        <v>7029</v>
      </c>
    </row>
    <row r="3541" spans="1:1" x14ac:dyDescent="0.3">
      <c r="A3541" t="s">
        <v>7030</v>
      </c>
    </row>
    <row r="3542" spans="1:1" x14ac:dyDescent="0.3">
      <c r="A3542" t="s">
        <v>7030</v>
      </c>
    </row>
    <row r="3543" spans="1:1" x14ac:dyDescent="0.3">
      <c r="A3543" t="s">
        <v>7159</v>
      </c>
    </row>
    <row r="3544" spans="1:1" x14ac:dyDescent="0.3">
      <c r="A3544" t="s">
        <v>7159</v>
      </c>
    </row>
    <row r="3545" spans="1:1" x14ac:dyDescent="0.3">
      <c r="A3545" t="s">
        <v>6846</v>
      </c>
    </row>
    <row r="3546" spans="1:1" x14ac:dyDescent="0.3">
      <c r="A3546" t="s">
        <v>7126</v>
      </c>
    </row>
    <row r="3547" spans="1:1" x14ac:dyDescent="0.3">
      <c r="A3547" t="s">
        <v>7126</v>
      </c>
    </row>
    <row r="3548" spans="1:1" x14ac:dyDescent="0.3">
      <c r="A3548" t="s">
        <v>7126</v>
      </c>
    </row>
    <row r="3549" spans="1:1" x14ac:dyDescent="0.3">
      <c r="A3549" t="s">
        <v>7126</v>
      </c>
    </row>
    <row r="3550" spans="1:1" x14ac:dyDescent="0.3">
      <c r="A3550" t="s">
        <v>7126</v>
      </c>
    </row>
    <row r="3551" spans="1:1" x14ac:dyDescent="0.3">
      <c r="A3551" t="s">
        <v>7126</v>
      </c>
    </row>
    <row r="3552" spans="1:1" x14ac:dyDescent="0.3">
      <c r="A3552" t="s">
        <v>7126</v>
      </c>
    </row>
    <row r="3553" spans="1:1" x14ac:dyDescent="0.3">
      <c r="A3553" t="s">
        <v>7126</v>
      </c>
    </row>
    <row r="3554" spans="1:1" x14ac:dyDescent="0.3">
      <c r="A3554" t="s">
        <v>7126</v>
      </c>
    </row>
    <row r="3555" spans="1:1" x14ac:dyDescent="0.3">
      <c r="A3555" t="s">
        <v>7126</v>
      </c>
    </row>
    <row r="3556" spans="1:1" x14ac:dyDescent="0.3">
      <c r="A3556" t="s">
        <v>7126</v>
      </c>
    </row>
    <row r="3557" spans="1:1" x14ac:dyDescent="0.3">
      <c r="A3557" t="s">
        <v>7126</v>
      </c>
    </row>
    <row r="3558" spans="1:1" x14ac:dyDescent="0.3">
      <c r="A3558" t="s">
        <v>7126</v>
      </c>
    </row>
    <row r="3559" spans="1:1" x14ac:dyDescent="0.3">
      <c r="A3559" t="s">
        <v>7126</v>
      </c>
    </row>
    <row r="3560" spans="1:1" x14ac:dyDescent="0.3">
      <c r="A3560" t="s">
        <v>7126</v>
      </c>
    </row>
    <row r="3561" spans="1:1" x14ac:dyDescent="0.3">
      <c r="A3561" t="s">
        <v>7126</v>
      </c>
    </row>
    <row r="3562" spans="1:1" x14ac:dyDescent="0.3">
      <c r="A3562" t="s">
        <v>7126</v>
      </c>
    </row>
    <row r="3563" spans="1:1" x14ac:dyDescent="0.3">
      <c r="A3563" t="s">
        <v>7126</v>
      </c>
    </row>
    <row r="3564" spans="1:1" x14ac:dyDescent="0.3">
      <c r="A3564" t="s">
        <v>7126</v>
      </c>
    </row>
    <row r="3565" spans="1:1" x14ac:dyDescent="0.3">
      <c r="A3565" t="s">
        <v>7126</v>
      </c>
    </row>
    <row r="3566" spans="1:1" x14ac:dyDescent="0.3">
      <c r="A3566" t="s">
        <v>7126</v>
      </c>
    </row>
    <row r="3567" spans="1:1" x14ac:dyDescent="0.3">
      <c r="A3567" t="s">
        <v>7126</v>
      </c>
    </row>
    <row r="3568" spans="1:1" x14ac:dyDescent="0.3">
      <c r="A3568" t="s">
        <v>7126</v>
      </c>
    </row>
    <row r="3569" spans="1:1" x14ac:dyDescent="0.3">
      <c r="A3569" t="s">
        <v>7126</v>
      </c>
    </row>
    <row r="3570" spans="1:1" x14ac:dyDescent="0.3">
      <c r="A3570" t="s">
        <v>7126</v>
      </c>
    </row>
    <row r="3571" spans="1:1" x14ac:dyDescent="0.3">
      <c r="A3571" t="s">
        <v>7126</v>
      </c>
    </row>
    <row r="3572" spans="1:1" x14ac:dyDescent="0.3">
      <c r="A3572" t="s">
        <v>7126</v>
      </c>
    </row>
    <row r="3573" spans="1:1" x14ac:dyDescent="0.3">
      <c r="A3573" t="s">
        <v>7126</v>
      </c>
    </row>
    <row r="3574" spans="1:1" x14ac:dyDescent="0.3">
      <c r="A3574" t="s">
        <v>7126</v>
      </c>
    </row>
    <row r="3575" spans="1:1" x14ac:dyDescent="0.3">
      <c r="A3575" t="s">
        <v>7126</v>
      </c>
    </row>
    <row r="3576" spans="1:1" x14ac:dyDescent="0.3">
      <c r="A3576" t="s">
        <v>6847</v>
      </c>
    </row>
    <row r="3577" spans="1:1" x14ac:dyDescent="0.3">
      <c r="A3577" t="s">
        <v>6847</v>
      </c>
    </row>
    <row r="3578" spans="1:1" x14ac:dyDescent="0.3">
      <c r="A3578" t="s">
        <v>6847</v>
      </c>
    </row>
    <row r="3579" spans="1:1" x14ac:dyDescent="0.3">
      <c r="A3579" t="s">
        <v>6847</v>
      </c>
    </row>
    <row r="3580" spans="1:1" x14ac:dyDescent="0.3">
      <c r="A3580" t="s">
        <v>6847</v>
      </c>
    </row>
    <row r="3581" spans="1:1" x14ac:dyDescent="0.3">
      <c r="A3581" t="s">
        <v>6847</v>
      </c>
    </row>
    <row r="3582" spans="1:1" x14ac:dyDescent="0.3">
      <c r="A3582" t="s">
        <v>6847</v>
      </c>
    </row>
    <row r="3583" spans="1:1" x14ac:dyDescent="0.3">
      <c r="A3583" t="s">
        <v>6847</v>
      </c>
    </row>
    <row r="3584" spans="1:1" x14ac:dyDescent="0.3">
      <c r="A3584" t="s">
        <v>6847</v>
      </c>
    </row>
    <row r="3585" spans="1:1" x14ac:dyDescent="0.3">
      <c r="A3585" t="s">
        <v>6847</v>
      </c>
    </row>
    <row r="3586" spans="1:1" x14ac:dyDescent="0.3">
      <c r="A3586" t="s">
        <v>747</v>
      </c>
    </row>
    <row r="3587" spans="1:1" x14ac:dyDescent="0.3">
      <c r="A3587" t="s">
        <v>7076</v>
      </c>
    </row>
    <row r="3588" spans="1:1" x14ac:dyDescent="0.3">
      <c r="A3588" t="s">
        <v>7076</v>
      </c>
    </row>
    <row r="3589" spans="1:1" x14ac:dyDescent="0.3">
      <c r="A3589" t="s">
        <v>7160</v>
      </c>
    </row>
    <row r="3590" spans="1:1" x14ac:dyDescent="0.3">
      <c r="A3590" t="s">
        <v>7160</v>
      </c>
    </row>
    <row r="3591" spans="1:1" x14ac:dyDescent="0.3">
      <c r="A3591" t="s">
        <v>7160</v>
      </c>
    </row>
    <row r="3592" spans="1:1" x14ac:dyDescent="0.3">
      <c r="A3592" t="s">
        <v>7160</v>
      </c>
    </row>
    <row r="3593" spans="1:1" x14ac:dyDescent="0.3">
      <c r="A3593" t="s">
        <v>7160</v>
      </c>
    </row>
    <row r="3594" spans="1:1" x14ac:dyDescent="0.3">
      <c r="A3594" t="s">
        <v>7160</v>
      </c>
    </row>
    <row r="3595" spans="1:1" x14ac:dyDescent="0.3">
      <c r="A3595" t="s">
        <v>7160</v>
      </c>
    </row>
    <row r="3596" spans="1:1" x14ac:dyDescent="0.3">
      <c r="A3596" t="s">
        <v>7160</v>
      </c>
    </row>
    <row r="3597" spans="1:1" x14ac:dyDescent="0.3">
      <c r="A3597" t="s">
        <v>7160</v>
      </c>
    </row>
    <row r="3598" spans="1:1" x14ac:dyDescent="0.3">
      <c r="A3598" t="s">
        <v>7216</v>
      </c>
    </row>
    <row r="3599" spans="1:1" x14ac:dyDescent="0.3">
      <c r="A3599" t="s">
        <v>7216</v>
      </c>
    </row>
    <row r="3600" spans="1:1" x14ac:dyDescent="0.3">
      <c r="A3600" t="s">
        <v>208</v>
      </c>
    </row>
    <row r="3601" spans="1:1" x14ac:dyDescent="0.3">
      <c r="A3601" t="s">
        <v>208</v>
      </c>
    </row>
    <row r="3602" spans="1:1" x14ac:dyDescent="0.3">
      <c r="A3602" t="s">
        <v>208</v>
      </c>
    </row>
    <row r="3603" spans="1:1" x14ac:dyDescent="0.3">
      <c r="A3603" t="s">
        <v>208</v>
      </c>
    </row>
    <row r="3604" spans="1:1" x14ac:dyDescent="0.3">
      <c r="A3604" t="s">
        <v>208</v>
      </c>
    </row>
    <row r="3605" spans="1:1" x14ac:dyDescent="0.3">
      <c r="A3605" t="s">
        <v>208</v>
      </c>
    </row>
    <row r="3606" spans="1:1" x14ac:dyDescent="0.3">
      <c r="A3606" t="s">
        <v>208</v>
      </c>
    </row>
    <row r="3607" spans="1:1" x14ac:dyDescent="0.3">
      <c r="A3607" t="s">
        <v>208</v>
      </c>
    </row>
    <row r="3608" spans="1:1" x14ac:dyDescent="0.3">
      <c r="A3608" t="s">
        <v>208</v>
      </c>
    </row>
    <row r="3609" spans="1:1" x14ac:dyDescent="0.3">
      <c r="A3609" t="s">
        <v>208</v>
      </c>
    </row>
    <row r="3610" spans="1:1" x14ac:dyDescent="0.3">
      <c r="A3610" t="s">
        <v>208</v>
      </c>
    </row>
    <row r="3611" spans="1:1" x14ac:dyDescent="0.3">
      <c r="A3611" t="s">
        <v>208</v>
      </c>
    </row>
    <row r="3612" spans="1:1" x14ac:dyDescent="0.3">
      <c r="A3612" t="s">
        <v>208</v>
      </c>
    </row>
    <row r="3613" spans="1:1" x14ac:dyDescent="0.3">
      <c r="A3613" t="s">
        <v>208</v>
      </c>
    </row>
    <row r="3614" spans="1:1" x14ac:dyDescent="0.3">
      <c r="A3614" t="s">
        <v>208</v>
      </c>
    </row>
    <row r="3615" spans="1:1" x14ac:dyDescent="0.3">
      <c r="A3615" t="s">
        <v>208</v>
      </c>
    </row>
    <row r="3616" spans="1:1" x14ac:dyDescent="0.3">
      <c r="A3616" t="s">
        <v>208</v>
      </c>
    </row>
    <row r="3617" spans="1:1" x14ac:dyDescent="0.3">
      <c r="A3617" t="s">
        <v>208</v>
      </c>
    </row>
    <row r="3618" spans="1:1" x14ac:dyDescent="0.3">
      <c r="A3618" t="s">
        <v>7281</v>
      </c>
    </row>
    <row r="3619" spans="1:1" x14ac:dyDescent="0.3">
      <c r="A3619" t="s">
        <v>7282</v>
      </c>
    </row>
    <row r="3620" spans="1:1" x14ac:dyDescent="0.3">
      <c r="A3620" t="s">
        <v>7282</v>
      </c>
    </row>
    <row r="3621" spans="1:1" x14ac:dyDescent="0.3">
      <c r="A3621" t="s">
        <v>6848</v>
      </c>
    </row>
    <row r="3622" spans="1:1" x14ac:dyDescent="0.3">
      <c r="A3622" t="s">
        <v>7349</v>
      </c>
    </row>
    <row r="3623" spans="1:1" x14ac:dyDescent="0.3">
      <c r="A3623" t="s">
        <v>7349</v>
      </c>
    </row>
    <row r="3624" spans="1:1" x14ac:dyDescent="0.3">
      <c r="A3624" t="s">
        <v>7349</v>
      </c>
    </row>
    <row r="3625" spans="1:1" x14ac:dyDescent="0.3">
      <c r="A3625" t="s">
        <v>7349</v>
      </c>
    </row>
    <row r="3626" spans="1:1" x14ac:dyDescent="0.3">
      <c r="A3626" t="s">
        <v>7349</v>
      </c>
    </row>
    <row r="3627" spans="1:1" x14ac:dyDescent="0.3">
      <c r="A3627" t="s">
        <v>6849</v>
      </c>
    </row>
    <row r="3628" spans="1:1" x14ac:dyDescent="0.3">
      <c r="A3628" t="s">
        <v>7350</v>
      </c>
    </row>
    <row r="3629" spans="1:1" x14ac:dyDescent="0.3">
      <c r="A3629" t="s">
        <v>6850</v>
      </c>
    </row>
    <row r="3630" spans="1:1" x14ac:dyDescent="0.3">
      <c r="A3630" t="s">
        <v>6850</v>
      </c>
    </row>
    <row r="3631" spans="1:1" x14ac:dyDescent="0.3">
      <c r="A3631" t="s">
        <v>1072</v>
      </c>
    </row>
    <row r="3632" spans="1:1" x14ac:dyDescent="0.3">
      <c r="A3632" t="s">
        <v>7283</v>
      </c>
    </row>
    <row r="3633" spans="1:1" x14ac:dyDescent="0.3">
      <c r="A3633" t="s">
        <v>2893</v>
      </c>
    </row>
    <row r="3634" spans="1:1" x14ac:dyDescent="0.3">
      <c r="A3634" t="s">
        <v>2893</v>
      </c>
    </row>
    <row r="3635" spans="1:1" x14ac:dyDescent="0.3">
      <c r="A3635" t="s">
        <v>972</v>
      </c>
    </row>
    <row r="3636" spans="1:1" x14ac:dyDescent="0.3">
      <c r="A3636" t="s">
        <v>6851</v>
      </c>
    </row>
    <row r="3637" spans="1:1" x14ac:dyDescent="0.3">
      <c r="A3637" t="s">
        <v>6851</v>
      </c>
    </row>
    <row r="3638" spans="1:1" x14ac:dyDescent="0.3">
      <c r="A3638" t="s">
        <v>6851</v>
      </c>
    </row>
    <row r="3639" spans="1:1" x14ac:dyDescent="0.3">
      <c r="A3639" t="s">
        <v>6851</v>
      </c>
    </row>
    <row r="3640" spans="1:1" x14ac:dyDescent="0.3">
      <c r="A3640" t="s">
        <v>6851</v>
      </c>
    </row>
    <row r="3641" spans="1:1" x14ac:dyDescent="0.3">
      <c r="A3641" t="s">
        <v>6851</v>
      </c>
    </row>
    <row r="3642" spans="1:1" x14ac:dyDescent="0.3">
      <c r="A3642" t="s">
        <v>6851</v>
      </c>
    </row>
    <row r="3643" spans="1:1" x14ac:dyDescent="0.3">
      <c r="A3643" t="s">
        <v>6851</v>
      </c>
    </row>
    <row r="3644" spans="1:1" x14ac:dyDescent="0.3">
      <c r="A3644" t="s">
        <v>6851</v>
      </c>
    </row>
    <row r="3645" spans="1:1" x14ac:dyDescent="0.3">
      <c r="A3645" t="s">
        <v>6851</v>
      </c>
    </row>
    <row r="3646" spans="1:1" x14ac:dyDescent="0.3">
      <c r="A3646" t="s">
        <v>6852</v>
      </c>
    </row>
    <row r="3647" spans="1:1" x14ac:dyDescent="0.3">
      <c r="A3647" t="s">
        <v>6852</v>
      </c>
    </row>
    <row r="3648" spans="1:1" x14ac:dyDescent="0.3">
      <c r="A3648" t="s">
        <v>6853</v>
      </c>
    </row>
    <row r="3649" spans="1:1" x14ac:dyDescent="0.3">
      <c r="A3649" t="s">
        <v>6853</v>
      </c>
    </row>
    <row r="3650" spans="1:1" x14ac:dyDescent="0.3">
      <c r="A3650" t="s">
        <v>6854</v>
      </c>
    </row>
    <row r="3651" spans="1:1" x14ac:dyDescent="0.3">
      <c r="A3651" t="s">
        <v>7031</v>
      </c>
    </row>
    <row r="3652" spans="1:1" x14ac:dyDescent="0.3">
      <c r="A3652" t="s">
        <v>7031</v>
      </c>
    </row>
    <row r="3653" spans="1:1" x14ac:dyDescent="0.3">
      <c r="A3653" t="s">
        <v>1253</v>
      </c>
    </row>
    <row r="3654" spans="1:1" x14ac:dyDescent="0.3">
      <c r="A3654" t="s">
        <v>1253</v>
      </c>
    </row>
    <row r="3655" spans="1:1" x14ac:dyDescent="0.3">
      <c r="A3655" t="s">
        <v>1253</v>
      </c>
    </row>
    <row r="3656" spans="1:1" x14ac:dyDescent="0.3">
      <c r="A3656" t="s">
        <v>1253</v>
      </c>
    </row>
    <row r="3657" spans="1:1" x14ac:dyDescent="0.3">
      <c r="A3657" t="s">
        <v>1253</v>
      </c>
    </row>
    <row r="3658" spans="1:1" x14ac:dyDescent="0.3">
      <c r="A3658" t="s">
        <v>6855</v>
      </c>
    </row>
    <row r="3659" spans="1:1" x14ac:dyDescent="0.3">
      <c r="A3659" t="s">
        <v>6855</v>
      </c>
    </row>
    <row r="3660" spans="1:1" x14ac:dyDescent="0.3">
      <c r="A3660" t="s">
        <v>6855</v>
      </c>
    </row>
    <row r="3661" spans="1:1" x14ac:dyDescent="0.3">
      <c r="A3661" t="s">
        <v>7032</v>
      </c>
    </row>
    <row r="3662" spans="1:1" x14ac:dyDescent="0.3">
      <c r="A3662" t="s">
        <v>7032</v>
      </c>
    </row>
    <row r="3663" spans="1:1" x14ac:dyDescent="0.3">
      <c r="A3663" t="s">
        <v>7032</v>
      </c>
    </row>
    <row r="3664" spans="1:1" x14ac:dyDescent="0.3">
      <c r="A3664" t="s">
        <v>7032</v>
      </c>
    </row>
    <row r="3665" spans="1:1" x14ac:dyDescent="0.3">
      <c r="A3665" t="s">
        <v>7032</v>
      </c>
    </row>
    <row r="3666" spans="1:1" x14ac:dyDescent="0.3">
      <c r="A3666" t="s">
        <v>7032</v>
      </c>
    </row>
    <row r="3667" spans="1:1" x14ac:dyDescent="0.3">
      <c r="A3667" t="s">
        <v>1504</v>
      </c>
    </row>
    <row r="3668" spans="1:1" x14ac:dyDescent="0.3">
      <c r="A3668" t="s">
        <v>1504</v>
      </c>
    </row>
    <row r="3669" spans="1:1" x14ac:dyDescent="0.3">
      <c r="A3669" t="s">
        <v>1504</v>
      </c>
    </row>
    <row r="3670" spans="1:1" x14ac:dyDescent="0.3">
      <c r="A3670" t="s">
        <v>1504</v>
      </c>
    </row>
    <row r="3671" spans="1:1" x14ac:dyDescent="0.3">
      <c r="A3671" t="s">
        <v>1504</v>
      </c>
    </row>
    <row r="3672" spans="1:1" x14ac:dyDescent="0.3">
      <c r="A3672" t="s">
        <v>1504</v>
      </c>
    </row>
    <row r="3673" spans="1:1" x14ac:dyDescent="0.3">
      <c r="A3673" t="s">
        <v>1504</v>
      </c>
    </row>
    <row r="3674" spans="1:1" x14ac:dyDescent="0.3">
      <c r="A3674" t="s">
        <v>411</v>
      </c>
    </row>
    <row r="3675" spans="1:1" x14ac:dyDescent="0.3">
      <c r="A3675" t="s">
        <v>411</v>
      </c>
    </row>
    <row r="3676" spans="1:1" x14ac:dyDescent="0.3">
      <c r="A3676" t="s">
        <v>7033</v>
      </c>
    </row>
    <row r="3677" spans="1:1" x14ac:dyDescent="0.3">
      <c r="A3677" t="s">
        <v>6856</v>
      </c>
    </row>
    <row r="3678" spans="1:1" x14ac:dyDescent="0.3">
      <c r="A3678" t="s">
        <v>6857</v>
      </c>
    </row>
    <row r="3679" spans="1:1" x14ac:dyDescent="0.3">
      <c r="A3679" t="s">
        <v>6857</v>
      </c>
    </row>
    <row r="3680" spans="1:1" x14ac:dyDescent="0.3">
      <c r="A3680" t="s">
        <v>6857</v>
      </c>
    </row>
    <row r="3681" spans="1:1" x14ac:dyDescent="0.3">
      <c r="A3681" t="s">
        <v>6857</v>
      </c>
    </row>
    <row r="3682" spans="1:1" x14ac:dyDescent="0.3">
      <c r="A3682" t="s">
        <v>6857</v>
      </c>
    </row>
    <row r="3683" spans="1:1" x14ac:dyDescent="0.3">
      <c r="A3683" t="s">
        <v>6857</v>
      </c>
    </row>
    <row r="3684" spans="1:1" x14ac:dyDescent="0.3">
      <c r="A3684" t="s">
        <v>6857</v>
      </c>
    </row>
    <row r="3685" spans="1:1" x14ac:dyDescent="0.3">
      <c r="A3685" t="s">
        <v>6857</v>
      </c>
    </row>
    <row r="3686" spans="1:1" x14ac:dyDescent="0.3">
      <c r="A3686" t="s">
        <v>6857</v>
      </c>
    </row>
    <row r="3687" spans="1:1" x14ac:dyDescent="0.3">
      <c r="A3687" t="s">
        <v>6857</v>
      </c>
    </row>
    <row r="3688" spans="1:1" x14ac:dyDescent="0.3">
      <c r="A3688" t="s">
        <v>6857</v>
      </c>
    </row>
    <row r="3689" spans="1:1" x14ac:dyDescent="0.3">
      <c r="A3689" t="s">
        <v>6857</v>
      </c>
    </row>
    <row r="3690" spans="1:1" x14ac:dyDescent="0.3">
      <c r="A3690" t="s">
        <v>6857</v>
      </c>
    </row>
    <row r="3691" spans="1:1" x14ac:dyDescent="0.3">
      <c r="A3691" t="s">
        <v>6857</v>
      </c>
    </row>
    <row r="3692" spans="1:1" x14ac:dyDescent="0.3">
      <c r="A3692" t="s">
        <v>6857</v>
      </c>
    </row>
    <row r="3693" spans="1:1" x14ac:dyDescent="0.3">
      <c r="A3693" t="s">
        <v>6857</v>
      </c>
    </row>
    <row r="3694" spans="1:1" x14ac:dyDescent="0.3">
      <c r="A3694" t="s">
        <v>6857</v>
      </c>
    </row>
    <row r="3695" spans="1:1" x14ac:dyDescent="0.3">
      <c r="A3695" t="s">
        <v>6857</v>
      </c>
    </row>
    <row r="3696" spans="1:1" x14ac:dyDescent="0.3">
      <c r="A3696" t="s">
        <v>6857</v>
      </c>
    </row>
    <row r="3697" spans="1:1" x14ac:dyDescent="0.3">
      <c r="A3697" t="s">
        <v>6857</v>
      </c>
    </row>
    <row r="3698" spans="1:1" x14ac:dyDescent="0.3">
      <c r="A3698" t="s">
        <v>6857</v>
      </c>
    </row>
    <row r="3699" spans="1:1" x14ac:dyDescent="0.3">
      <c r="A3699" t="s">
        <v>6857</v>
      </c>
    </row>
    <row r="3700" spans="1:1" x14ac:dyDescent="0.3">
      <c r="A3700" t="s">
        <v>6857</v>
      </c>
    </row>
    <row r="3701" spans="1:1" x14ac:dyDescent="0.3">
      <c r="A3701" t="s">
        <v>6857</v>
      </c>
    </row>
    <row r="3702" spans="1:1" x14ac:dyDescent="0.3">
      <c r="A3702" t="s">
        <v>6857</v>
      </c>
    </row>
    <row r="3703" spans="1:1" x14ac:dyDescent="0.3">
      <c r="A3703" t="s">
        <v>6857</v>
      </c>
    </row>
    <row r="3704" spans="1:1" x14ac:dyDescent="0.3">
      <c r="A3704" t="s">
        <v>6857</v>
      </c>
    </row>
    <row r="3705" spans="1:1" x14ac:dyDescent="0.3">
      <c r="A3705" t="s">
        <v>6857</v>
      </c>
    </row>
    <row r="3706" spans="1:1" x14ac:dyDescent="0.3">
      <c r="A3706" t="s">
        <v>6857</v>
      </c>
    </row>
    <row r="3707" spans="1:1" x14ac:dyDescent="0.3">
      <c r="A3707" t="s">
        <v>6857</v>
      </c>
    </row>
    <row r="3708" spans="1:1" x14ac:dyDescent="0.3">
      <c r="A3708" t="s">
        <v>6857</v>
      </c>
    </row>
    <row r="3709" spans="1:1" x14ac:dyDescent="0.3">
      <c r="A3709" t="s">
        <v>6857</v>
      </c>
    </row>
    <row r="3710" spans="1:1" x14ac:dyDescent="0.3">
      <c r="A3710" t="s">
        <v>7310</v>
      </c>
    </row>
    <row r="3711" spans="1:1" x14ac:dyDescent="0.3">
      <c r="A3711" t="s">
        <v>7310</v>
      </c>
    </row>
    <row r="3712" spans="1:1" x14ac:dyDescent="0.3">
      <c r="A3712" t="s">
        <v>7351</v>
      </c>
    </row>
    <row r="3713" spans="1:1" x14ac:dyDescent="0.3">
      <c r="A3713" t="s">
        <v>1137</v>
      </c>
    </row>
    <row r="3714" spans="1:1" x14ac:dyDescent="0.3">
      <c r="A3714" t="s">
        <v>1137</v>
      </c>
    </row>
    <row r="3715" spans="1:1" x14ac:dyDescent="0.3">
      <c r="A3715" t="s">
        <v>1137</v>
      </c>
    </row>
    <row r="3716" spans="1:1" x14ac:dyDescent="0.3">
      <c r="A3716" t="s">
        <v>1137</v>
      </c>
    </row>
    <row r="3717" spans="1:1" x14ac:dyDescent="0.3">
      <c r="A3717" t="s">
        <v>1137</v>
      </c>
    </row>
    <row r="3718" spans="1:1" x14ac:dyDescent="0.3">
      <c r="A3718" t="s">
        <v>1137</v>
      </c>
    </row>
    <row r="3719" spans="1:1" x14ac:dyDescent="0.3">
      <c r="A3719" t="s">
        <v>1137</v>
      </c>
    </row>
    <row r="3720" spans="1:1" x14ac:dyDescent="0.3">
      <c r="A3720" t="s">
        <v>1137</v>
      </c>
    </row>
    <row r="3721" spans="1:1" x14ac:dyDescent="0.3">
      <c r="A3721" t="s">
        <v>1137</v>
      </c>
    </row>
    <row r="3722" spans="1:1" x14ac:dyDescent="0.3">
      <c r="A3722" t="s">
        <v>1137</v>
      </c>
    </row>
    <row r="3723" spans="1:1" x14ac:dyDescent="0.3">
      <c r="A3723" t="s">
        <v>1137</v>
      </c>
    </row>
    <row r="3724" spans="1:1" x14ac:dyDescent="0.3">
      <c r="A3724" t="s">
        <v>1137</v>
      </c>
    </row>
    <row r="3725" spans="1:1" x14ac:dyDescent="0.3">
      <c r="A3725" t="s">
        <v>1137</v>
      </c>
    </row>
    <row r="3726" spans="1:1" x14ac:dyDescent="0.3">
      <c r="A3726" t="s">
        <v>1137</v>
      </c>
    </row>
    <row r="3727" spans="1:1" x14ac:dyDescent="0.3">
      <c r="A3727" t="s">
        <v>1137</v>
      </c>
    </row>
    <row r="3728" spans="1:1" x14ac:dyDescent="0.3">
      <c r="A3728" t="s">
        <v>1137</v>
      </c>
    </row>
    <row r="3729" spans="1:1" x14ac:dyDescent="0.3">
      <c r="A3729" t="s">
        <v>1137</v>
      </c>
    </row>
    <row r="3730" spans="1:1" x14ac:dyDescent="0.3">
      <c r="A3730" t="s">
        <v>1137</v>
      </c>
    </row>
    <row r="3731" spans="1:1" x14ac:dyDescent="0.3">
      <c r="A3731" t="s">
        <v>1137</v>
      </c>
    </row>
    <row r="3732" spans="1:1" x14ac:dyDescent="0.3">
      <c r="A3732" t="s">
        <v>1137</v>
      </c>
    </row>
    <row r="3733" spans="1:1" x14ac:dyDescent="0.3">
      <c r="A3733" t="s">
        <v>1137</v>
      </c>
    </row>
    <row r="3734" spans="1:1" x14ac:dyDescent="0.3">
      <c r="A3734" t="s">
        <v>1137</v>
      </c>
    </row>
    <row r="3735" spans="1:1" x14ac:dyDescent="0.3">
      <c r="A3735" t="s">
        <v>1137</v>
      </c>
    </row>
    <row r="3736" spans="1:1" x14ac:dyDescent="0.3">
      <c r="A3736" t="s">
        <v>7284</v>
      </c>
    </row>
    <row r="3737" spans="1:1" x14ac:dyDescent="0.3">
      <c r="A3737" t="s">
        <v>7285</v>
      </c>
    </row>
    <row r="3738" spans="1:1" x14ac:dyDescent="0.3">
      <c r="A3738" t="s">
        <v>7034</v>
      </c>
    </row>
    <row r="3739" spans="1:1" x14ac:dyDescent="0.3">
      <c r="A3739" t="s">
        <v>7053</v>
      </c>
    </row>
    <row r="3740" spans="1:1" x14ac:dyDescent="0.3">
      <c r="A3740" t="s">
        <v>7053</v>
      </c>
    </row>
    <row r="3741" spans="1:1" x14ac:dyDescent="0.3">
      <c r="A3741" t="s">
        <v>7053</v>
      </c>
    </row>
    <row r="3742" spans="1:1" x14ac:dyDescent="0.3">
      <c r="A3742" t="s">
        <v>7053</v>
      </c>
    </row>
    <row r="3743" spans="1:1" x14ac:dyDescent="0.3">
      <c r="A3743" t="s">
        <v>7053</v>
      </c>
    </row>
    <row r="3744" spans="1:1" x14ac:dyDescent="0.3">
      <c r="A3744" t="s">
        <v>7053</v>
      </c>
    </row>
    <row r="3745" spans="1:1" x14ac:dyDescent="0.3">
      <c r="A3745" t="s">
        <v>7053</v>
      </c>
    </row>
    <row r="3746" spans="1:1" x14ac:dyDescent="0.3">
      <c r="A3746" t="s">
        <v>6858</v>
      </c>
    </row>
    <row r="3747" spans="1:1" x14ac:dyDescent="0.3">
      <c r="A3747" t="s">
        <v>6858</v>
      </c>
    </row>
    <row r="3748" spans="1:1" x14ac:dyDescent="0.3">
      <c r="A3748" t="s">
        <v>534</v>
      </c>
    </row>
    <row r="3749" spans="1:1" x14ac:dyDescent="0.3">
      <c r="A3749" t="s">
        <v>6859</v>
      </c>
    </row>
    <row r="3750" spans="1:1" x14ac:dyDescent="0.3">
      <c r="A3750" t="s">
        <v>6859</v>
      </c>
    </row>
    <row r="3751" spans="1:1" x14ac:dyDescent="0.3">
      <c r="A3751" t="s">
        <v>228</v>
      </c>
    </row>
    <row r="3752" spans="1:1" x14ac:dyDescent="0.3">
      <c r="A3752" t="s">
        <v>228</v>
      </c>
    </row>
    <row r="3753" spans="1:1" x14ac:dyDescent="0.3">
      <c r="A3753" t="s">
        <v>228</v>
      </c>
    </row>
    <row r="3754" spans="1:1" x14ac:dyDescent="0.3">
      <c r="A3754" t="s">
        <v>6860</v>
      </c>
    </row>
    <row r="3755" spans="1:1" x14ac:dyDescent="0.3">
      <c r="A3755" t="s">
        <v>6860</v>
      </c>
    </row>
    <row r="3756" spans="1:1" x14ac:dyDescent="0.3">
      <c r="A3756" t="s">
        <v>6860</v>
      </c>
    </row>
    <row r="3757" spans="1:1" x14ac:dyDescent="0.3">
      <c r="A3757" t="s">
        <v>6860</v>
      </c>
    </row>
    <row r="3758" spans="1:1" x14ac:dyDescent="0.3">
      <c r="A3758" t="s">
        <v>6860</v>
      </c>
    </row>
    <row r="3759" spans="1:1" x14ac:dyDescent="0.3">
      <c r="A3759" t="s">
        <v>6860</v>
      </c>
    </row>
    <row r="3760" spans="1:1" x14ac:dyDescent="0.3">
      <c r="A3760" t="s">
        <v>6860</v>
      </c>
    </row>
    <row r="3761" spans="1:1" x14ac:dyDescent="0.3">
      <c r="A3761" t="s">
        <v>6860</v>
      </c>
    </row>
    <row r="3762" spans="1:1" x14ac:dyDescent="0.3">
      <c r="A3762" t="s">
        <v>6860</v>
      </c>
    </row>
    <row r="3763" spans="1:1" x14ac:dyDescent="0.3">
      <c r="A3763" t="s">
        <v>6860</v>
      </c>
    </row>
    <row r="3764" spans="1:1" x14ac:dyDescent="0.3">
      <c r="A3764" t="s">
        <v>6860</v>
      </c>
    </row>
    <row r="3765" spans="1:1" x14ac:dyDescent="0.3">
      <c r="A3765" t="s">
        <v>7035</v>
      </c>
    </row>
    <row r="3766" spans="1:1" x14ac:dyDescent="0.3">
      <c r="A3766" t="s">
        <v>7035</v>
      </c>
    </row>
    <row r="3767" spans="1:1" x14ac:dyDescent="0.3">
      <c r="A3767" t="s">
        <v>1812</v>
      </c>
    </row>
    <row r="3768" spans="1:1" x14ac:dyDescent="0.3">
      <c r="A3768" t="s">
        <v>1812</v>
      </c>
    </row>
    <row r="3769" spans="1:1" x14ac:dyDescent="0.3">
      <c r="A3769" t="s">
        <v>1812</v>
      </c>
    </row>
    <row r="3770" spans="1:1" x14ac:dyDescent="0.3">
      <c r="A3770" t="s">
        <v>6861</v>
      </c>
    </row>
    <row r="3771" spans="1:1" x14ac:dyDescent="0.3">
      <c r="A3771" t="s">
        <v>6862</v>
      </c>
    </row>
    <row r="3772" spans="1:1" x14ac:dyDescent="0.3">
      <c r="A3772" t="s">
        <v>6862</v>
      </c>
    </row>
    <row r="3773" spans="1:1" x14ac:dyDescent="0.3">
      <c r="A3773" t="s">
        <v>6862</v>
      </c>
    </row>
    <row r="3774" spans="1:1" x14ac:dyDescent="0.3">
      <c r="A3774" t="s">
        <v>6862</v>
      </c>
    </row>
    <row r="3775" spans="1:1" x14ac:dyDescent="0.3">
      <c r="A3775" t="s">
        <v>6862</v>
      </c>
    </row>
    <row r="3776" spans="1:1" x14ac:dyDescent="0.3">
      <c r="A3776" t="s">
        <v>6862</v>
      </c>
    </row>
    <row r="3777" spans="1:1" x14ac:dyDescent="0.3">
      <c r="A3777" t="s">
        <v>6862</v>
      </c>
    </row>
    <row r="3778" spans="1:1" x14ac:dyDescent="0.3">
      <c r="A3778" t="s">
        <v>6862</v>
      </c>
    </row>
    <row r="3779" spans="1:1" x14ac:dyDescent="0.3">
      <c r="A3779" t="s">
        <v>6862</v>
      </c>
    </row>
    <row r="3780" spans="1:1" x14ac:dyDescent="0.3">
      <c r="A3780" t="s">
        <v>6862</v>
      </c>
    </row>
    <row r="3781" spans="1:1" x14ac:dyDescent="0.3">
      <c r="A3781" t="s">
        <v>7286</v>
      </c>
    </row>
    <row r="3782" spans="1:1" x14ac:dyDescent="0.3">
      <c r="A3782" t="s">
        <v>7286</v>
      </c>
    </row>
    <row r="3783" spans="1:1" x14ac:dyDescent="0.3">
      <c r="A3783" t="s">
        <v>7286</v>
      </c>
    </row>
    <row r="3784" spans="1:1" x14ac:dyDescent="0.3">
      <c r="A3784" t="s">
        <v>7286</v>
      </c>
    </row>
    <row r="3785" spans="1:1" x14ac:dyDescent="0.3">
      <c r="A3785" t="s">
        <v>540</v>
      </c>
    </row>
    <row r="3786" spans="1:1" x14ac:dyDescent="0.3">
      <c r="A3786" t="s">
        <v>540</v>
      </c>
    </row>
    <row r="3787" spans="1:1" x14ac:dyDescent="0.3">
      <c r="A3787" t="s">
        <v>540</v>
      </c>
    </row>
    <row r="3788" spans="1:1" x14ac:dyDescent="0.3">
      <c r="A3788" t="s">
        <v>540</v>
      </c>
    </row>
    <row r="3789" spans="1:1" x14ac:dyDescent="0.3">
      <c r="A3789" t="s">
        <v>540</v>
      </c>
    </row>
    <row r="3790" spans="1:1" x14ac:dyDescent="0.3">
      <c r="A3790" t="s">
        <v>1388</v>
      </c>
    </row>
    <row r="3791" spans="1:1" x14ac:dyDescent="0.3">
      <c r="A3791" t="s">
        <v>1388</v>
      </c>
    </row>
    <row r="3792" spans="1:1" x14ac:dyDescent="0.3">
      <c r="A3792" t="s">
        <v>1388</v>
      </c>
    </row>
    <row r="3793" spans="1:1" x14ac:dyDescent="0.3">
      <c r="A3793" t="s">
        <v>1388</v>
      </c>
    </row>
    <row r="3794" spans="1:1" x14ac:dyDescent="0.3">
      <c r="A3794" t="s">
        <v>1388</v>
      </c>
    </row>
    <row r="3795" spans="1:1" x14ac:dyDescent="0.3">
      <c r="A3795" t="s">
        <v>6863</v>
      </c>
    </row>
    <row r="3796" spans="1:1" x14ac:dyDescent="0.3">
      <c r="A3796" t="s">
        <v>6863</v>
      </c>
    </row>
    <row r="3797" spans="1:1" x14ac:dyDescent="0.3">
      <c r="A3797" t="s">
        <v>6863</v>
      </c>
    </row>
    <row r="3798" spans="1:1" x14ac:dyDescent="0.3">
      <c r="A3798" t="s">
        <v>6863</v>
      </c>
    </row>
    <row r="3799" spans="1:1" x14ac:dyDescent="0.3">
      <c r="A3799" t="s">
        <v>6863</v>
      </c>
    </row>
    <row r="3800" spans="1:1" x14ac:dyDescent="0.3">
      <c r="A3800" t="s">
        <v>6863</v>
      </c>
    </row>
    <row r="3801" spans="1:1" x14ac:dyDescent="0.3">
      <c r="A3801" t="s">
        <v>6863</v>
      </c>
    </row>
    <row r="3802" spans="1:1" x14ac:dyDescent="0.3">
      <c r="A3802" t="s">
        <v>6863</v>
      </c>
    </row>
    <row r="3803" spans="1:1" x14ac:dyDescent="0.3">
      <c r="A3803" t="s">
        <v>6863</v>
      </c>
    </row>
    <row r="3804" spans="1:1" x14ac:dyDescent="0.3">
      <c r="A3804" t="s">
        <v>6863</v>
      </c>
    </row>
    <row r="3805" spans="1:1" x14ac:dyDescent="0.3">
      <c r="A3805" t="s">
        <v>7036</v>
      </c>
    </row>
    <row r="3806" spans="1:1" x14ac:dyDescent="0.3">
      <c r="A3806" t="s">
        <v>7036</v>
      </c>
    </row>
    <row r="3807" spans="1:1" x14ac:dyDescent="0.3">
      <c r="A3807" t="s">
        <v>7142</v>
      </c>
    </row>
    <row r="3808" spans="1:1" x14ac:dyDescent="0.3">
      <c r="A3808" t="s">
        <v>7142</v>
      </c>
    </row>
    <row r="3809" spans="1:1" x14ac:dyDescent="0.3">
      <c r="A3809" t="s">
        <v>385</v>
      </c>
    </row>
    <row r="3810" spans="1:1" x14ac:dyDescent="0.3">
      <c r="A3810" t="s">
        <v>385</v>
      </c>
    </row>
    <row r="3811" spans="1:1" x14ac:dyDescent="0.3">
      <c r="A3811" t="s">
        <v>385</v>
      </c>
    </row>
    <row r="3812" spans="1:1" x14ac:dyDescent="0.3">
      <c r="A3812" t="s">
        <v>385</v>
      </c>
    </row>
    <row r="3813" spans="1:1" x14ac:dyDescent="0.3">
      <c r="A3813" t="s">
        <v>385</v>
      </c>
    </row>
    <row r="3814" spans="1:1" x14ac:dyDescent="0.3">
      <c r="A3814" t="s">
        <v>385</v>
      </c>
    </row>
    <row r="3815" spans="1:1" x14ac:dyDescent="0.3">
      <c r="A3815" t="s">
        <v>6864</v>
      </c>
    </row>
    <row r="3816" spans="1:1" x14ac:dyDescent="0.3">
      <c r="A3816" t="s">
        <v>6864</v>
      </c>
    </row>
    <row r="3817" spans="1:1" x14ac:dyDescent="0.3">
      <c r="A3817" t="s">
        <v>6864</v>
      </c>
    </row>
    <row r="3818" spans="1:1" x14ac:dyDescent="0.3">
      <c r="A3818" t="s">
        <v>6864</v>
      </c>
    </row>
    <row r="3819" spans="1:1" x14ac:dyDescent="0.3">
      <c r="A3819" t="s">
        <v>6631</v>
      </c>
    </row>
    <row r="3820" spans="1:1" x14ac:dyDescent="0.3">
      <c r="A3820" t="s">
        <v>6632</v>
      </c>
    </row>
    <row r="3821" spans="1:1" x14ac:dyDescent="0.3">
      <c r="A3821" t="s">
        <v>7287</v>
      </c>
    </row>
    <row r="3822" spans="1:1" x14ac:dyDescent="0.3">
      <c r="A3822" t="s">
        <v>6865</v>
      </c>
    </row>
    <row r="3823" spans="1:1" x14ac:dyDescent="0.3">
      <c r="A3823" t="s">
        <v>3088</v>
      </c>
    </row>
    <row r="3824" spans="1:1" x14ac:dyDescent="0.3">
      <c r="A3824" t="s">
        <v>3088</v>
      </c>
    </row>
    <row r="3825" spans="1:1" x14ac:dyDescent="0.3">
      <c r="A3825" t="s">
        <v>7175</v>
      </c>
    </row>
    <row r="3826" spans="1:1" x14ac:dyDescent="0.3">
      <c r="A3826" t="s">
        <v>7175</v>
      </c>
    </row>
    <row r="3827" spans="1:1" x14ac:dyDescent="0.3">
      <c r="A3827" t="s">
        <v>7066</v>
      </c>
    </row>
    <row r="3828" spans="1:1" x14ac:dyDescent="0.3">
      <c r="A3828" t="s">
        <v>7066</v>
      </c>
    </row>
    <row r="3829" spans="1:1" x14ac:dyDescent="0.3">
      <c r="A3829" t="s">
        <v>7066</v>
      </c>
    </row>
    <row r="3830" spans="1:1" x14ac:dyDescent="0.3">
      <c r="A3830" t="s">
        <v>7066</v>
      </c>
    </row>
    <row r="3831" spans="1:1" x14ac:dyDescent="0.3">
      <c r="A3831" t="s">
        <v>7066</v>
      </c>
    </row>
    <row r="3832" spans="1:1" x14ac:dyDescent="0.3">
      <c r="A3832" t="s">
        <v>7066</v>
      </c>
    </row>
    <row r="3833" spans="1:1" x14ac:dyDescent="0.3">
      <c r="A3833" t="s">
        <v>1315</v>
      </c>
    </row>
    <row r="3834" spans="1:1" x14ac:dyDescent="0.3">
      <c r="A3834" t="s">
        <v>7037</v>
      </c>
    </row>
    <row r="3835" spans="1:1" x14ac:dyDescent="0.3">
      <c r="A3835" t="s">
        <v>6866</v>
      </c>
    </row>
    <row r="3836" spans="1:1" x14ac:dyDescent="0.3">
      <c r="A3836" t="s">
        <v>6866</v>
      </c>
    </row>
    <row r="3837" spans="1:1" x14ac:dyDescent="0.3">
      <c r="A3837" t="s">
        <v>6866</v>
      </c>
    </row>
    <row r="3838" spans="1:1" x14ac:dyDescent="0.3">
      <c r="A3838" t="s">
        <v>7038</v>
      </c>
    </row>
    <row r="3839" spans="1:1" x14ac:dyDescent="0.3">
      <c r="A3839" t="s">
        <v>7038</v>
      </c>
    </row>
    <row r="3840" spans="1:1" x14ac:dyDescent="0.3">
      <c r="A3840" t="s">
        <v>1446</v>
      </c>
    </row>
    <row r="3841" spans="1:1" x14ac:dyDescent="0.3">
      <c r="A3841" t="s">
        <v>1446</v>
      </c>
    </row>
    <row r="3842" spans="1:1" x14ac:dyDescent="0.3">
      <c r="A3842" t="s">
        <v>6633</v>
      </c>
    </row>
    <row r="3843" spans="1:1" x14ac:dyDescent="0.3">
      <c r="A3843" t="s">
        <v>7162</v>
      </c>
    </row>
    <row r="3844" spans="1:1" x14ac:dyDescent="0.3">
      <c r="A3844" t="s">
        <v>7162</v>
      </c>
    </row>
    <row r="3845" spans="1:1" x14ac:dyDescent="0.3">
      <c r="A3845" t="s">
        <v>7162</v>
      </c>
    </row>
    <row r="3846" spans="1:1" x14ac:dyDescent="0.3">
      <c r="A3846" t="s">
        <v>7288</v>
      </c>
    </row>
    <row r="3847" spans="1:1" x14ac:dyDescent="0.3">
      <c r="A3847" t="s">
        <v>6867</v>
      </c>
    </row>
    <row r="3848" spans="1:1" x14ac:dyDescent="0.3">
      <c r="A3848" t="s">
        <v>1275</v>
      </c>
    </row>
    <row r="3849" spans="1:1" x14ac:dyDescent="0.3">
      <c r="A3849" t="s">
        <v>6868</v>
      </c>
    </row>
    <row r="3850" spans="1:1" x14ac:dyDescent="0.3">
      <c r="A3850" t="s">
        <v>6868</v>
      </c>
    </row>
    <row r="3851" spans="1:1" x14ac:dyDescent="0.3">
      <c r="A3851" t="s">
        <v>3073</v>
      </c>
    </row>
    <row r="3852" spans="1:1" x14ac:dyDescent="0.3">
      <c r="A3852" t="s">
        <v>6869</v>
      </c>
    </row>
    <row r="3853" spans="1:1" x14ac:dyDescent="0.3">
      <c r="A3853" t="s">
        <v>6869</v>
      </c>
    </row>
    <row r="3854" spans="1:1" x14ac:dyDescent="0.3">
      <c r="A3854" t="s">
        <v>6870</v>
      </c>
    </row>
    <row r="3855" spans="1:1" x14ac:dyDescent="0.3">
      <c r="A3855" t="s">
        <v>6870</v>
      </c>
    </row>
    <row r="3856" spans="1:1" x14ac:dyDescent="0.3">
      <c r="A3856" t="s">
        <v>6870</v>
      </c>
    </row>
    <row r="3857" spans="1:1" x14ac:dyDescent="0.3">
      <c r="A3857" t="s">
        <v>6870</v>
      </c>
    </row>
    <row r="3858" spans="1:1" x14ac:dyDescent="0.3">
      <c r="A3858" t="s">
        <v>6870</v>
      </c>
    </row>
    <row r="3859" spans="1:1" x14ac:dyDescent="0.3">
      <c r="A3859" t="s">
        <v>6870</v>
      </c>
    </row>
    <row r="3860" spans="1:1" x14ac:dyDescent="0.3">
      <c r="A3860" t="s">
        <v>6870</v>
      </c>
    </row>
    <row r="3861" spans="1:1" x14ac:dyDescent="0.3">
      <c r="A3861" t="s">
        <v>6870</v>
      </c>
    </row>
    <row r="3862" spans="1:1" x14ac:dyDescent="0.3">
      <c r="A3862" t="s">
        <v>6870</v>
      </c>
    </row>
    <row r="3863" spans="1:1" x14ac:dyDescent="0.3">
      <c r="A3863" t="s">
        <v>2949</v>
      </c>
    </row>
    <row r="3864" spans="1:1" x14ac:dyDescent="0.3">
      <c r="A3864" t="s">
        <v>2949</v>
      </c>
    </row>
    <row r="3865" spans="1:1" x14ac:dyDescent="0.3">
      <c r="A3865" t="s">
        <v>2949</v>
      </c>
    </row>
    <row r="3866" spans="1:1" x14ac:dyDescent="0.3">
      <c r="A3866" t="s">
        <v>7163</v>
      </c>
    </row>
    <row r="3867" spans="1:1" x14ac:dyDescent="0.3">
      <c r="A3867" t="s">
        <v>2587</v>
      </c>
    </row>
    <row r="3868" spans="1:1" x14ac:dyDescent="0.3">
      <c r="A3868" t="s">
        <v>2587</v>
      </c>
    </row>
    <row r="3869" spans="1:1" x14ac:dyDescent="0.3">
      <c r="A3869" t="s">
        <v>2587</v>
      </c>
    </row>
    <row r="3870" spans="1:1" x14ac:dyDescent="0.3">
      <c r="A3870" t="s">
        <v>2587</v>
      </c>
    </row>
    <row r="3871" spans="1:1" x14ac:dyDescent="0.3">
      <c r="A3871" t="s">
        <v>2587</v>
      </c>
    </row>
    <row r="3872" spans="1:1" x14ac:dyDescent="0.3">
      <c r="A3872" t="s">
        <v>2587</v>
      </c>
    </row>
    <row r="3873" spans="1:1" x14ac:dyDescent="0.3">
      <c r="A3873" t="s">
        <v>2587</v>
      </c>
    </row>
    <row r="3874" spans="1:1" x14ac:dyDescent="0.3">
      <c r="A3874" t="s">
        <v>2587</v>
      </c>
    </row>
    <row r="3875" spans="1:1" x14ac:dyDescent="0.3">
      <c r="A3875" t="s">
        <v>2587</v>
      </c>
    </row>
    <row r="3876" spans="1:1" x14ac:dyDescent="0.3">
      <c r="A3876" t="s">
        <v>2587</v>
      </c>
    </row>
    <row r="3877" spans="1:1" x14ac:dyDescent="0.3">
      <c r="A3877" t="s">
        <v>6871</v>
      </c>
    </row>
    <row r="3878" spans="1:1" x14ac:dyDescent="0.3">
      <c r="A3878" t="s">
        <v>6871</v>
      </c>
    </row>
    <row r="3879" spans="1:1" x14ac:dyDescent="0.3">
      <c r="A3879" t="s">
        <v>6871</v>
      </c>
    </row>
    <row r="3880" spans="1:1" x14ac:dyDescent="0.3">
      <c r="A3880" t="s">
        <v>7039</v>
      </c>
    </row>
    <row r="3881" spans="1:1" x14ac:dyDescent="0.3">
      <c r="A3881" t="s">
        <v>7039</v>
      </c>
    </row>
    <row r="3882" spans="1:1" x14ac:dyDescent="0.3">
      <c r="A3882" t="s">
        <v>7039</v>
      </c>
    </row>
    <row r="3883" spans="1:1" x14ac:dyDescent="0.3">
      <c r="A3883" t="s">
        <v>7039</v>
      </c>
    </row>
    <row r="3884" spans="1:1" x14ac:dyDescent="0.3">
      <c r="A3884" t="s">
        <v>7039</v>
      </c>
    </row>
    <row r="3885" spans="1:1" x14ac:dyDescent="0.3">
      <c r="A3885" t="s">
        <v>7039</v>
      </c>
    </row>
    <row r="3886" spans="1:1" x14ac:dyDescent="0.3">
      <c r="A3886" t="s">
        <v>7039</v>
      </c>
    </row>
    <row r="3887" spans="1:1" x14ac:dyDescent="0.3">
      <c r="A3887" t="s">
        <v>7039</v>
      </c>
    </row>
    <row r="3888" spans="1:1" x14ac:dyDescent="0.3">
      <c r="A3888" t="s">
        <v>7039</v>
      </c>
    </row>
    <row r="3889" spans="1:1" x14ac:dyDescent="0.3">
      <c r="A3889" t="s">
        <v>7039</v>
      </c>
    </row>
    <row r="3890" spans="1:1" x14ac:dyDescent="0.3">
      <c r="A3890" t="s">
        <v>6872</v>
      </c>
    </row>
    <row r="3891" spans="1:1" x14ac:dyDescent="0.3">
      <c r="A3891" t="s">
        <v>6872</v>
      </c>
    </row>
    <row r="3892" spans="1:1" x14ac:dyDescent="0.3">
      <c r="A3892" t="s">
        <v>6872</v>
      </c>
    </row>
    <row r="3893" spans="1:1" x14ac:dyDescent="0.3">
      <c r="A3893" t="s">
        <v>6872</v>
      </c>
    </row>
    <row r="3894" spans="1:1" x14ac:dyDescent="0.3">
      <c r="A3894" t="s">
        <v>6872</v>
      </c>
    </row>
    <row r="3895" spans="1:1" x14ac:dyDescent="0.3">
      <c r="A3895" t="s">
        <v>6872</v>
      </c>
    </row>
    <row r="3896" spans="1:1" x14ac:dyDescent="0.3">
      <c r="A3896" t="s">
        <v>6872</v>
      </c>
    </row>
    <row r="3897" spans="1:1" x14ac:dyDescent="0.3">
      <c r="A3897" t="s">
        <v>6872</v>
      </c>
    </row>
    <row r="3898" spans="1:1" x14ac:dyDescent="0.3">
      <c r="A3898" t="s">
        <v>6872</v>
      </c>
    </row>
    <row r="3899" spans="1:1" x14ac:dyDescent="0.3">
      <c r="A3899" t="s">
        <v>6872</v>
      </c>
    </row>
    <row r="3900" spans="1:1" x14ac:dyDescent="0.3">
      <c r="A3900" t="s">
        <v>7164</v>
      </c>
    </row>
    <row r="3901" spans="1:1" x14ac:dyDescent="0.3">
      <c r="A3901" t="s">
        <v>7164</v>
      </c>
    </row>
    <row r="3902" spans="1:1" x14ac:dyDescent="0.3">
      <c r="A3902" t="s">
        <v>6873</v>
      </c>
    </row>
    <row r="3903" spans="1:1" x14ac:dyDescent="0.3">
      <c r="A3903" t="s">
        <v>6873</v>
      </c>
    </row>
    <row r="3904" spans="1:1" x14ac:dyDescent="0.3">
      <c r="A3904" t="s">
        <v>6873</v>
      </c>
    </row>
    <row r="3905" spans="1:1" x14ac:dyDescent="0.3">
      <c r="A3905" t="s">
        <v>6873</v>
      </c>
    </row>
    <row r="3906" spans="1:1" x14ac:dyDescent="0.3">
      <c r="A3906" t="s">
        <v>6873</v>
      </c>
    </row>
    <row r="3907" spans="1:1" x14ac:dyDescent="0.3">
      <c r="A3907" t="s">
        <v>6873</v>
      </c>
    </row>
    <row r="3908" spans="1:1" x14ac:dyDescent="0.3">
      <c r="A3908" t="s">
        <v>6873</v>
      </c>
    </row>
    <row r="3909" spans="1:1" x14ac:dyDescent="0.3">
      <c r="A3909" t="s">
        <v>6873</v>
      </c>
    </row>
    <row r="3910" spans="1:1" x14ac:dyDescent="0.3">
      <c r="A3910" t="s">
        <v>6873</v>
      </c>
    </row>
    <row r="3911" spans="1:1" x14ac:dyDescent="0.3">
      <c r="A3911" t="s">
        <v>7352</v>
      </c>
    </row>
    <row r="3912" spans="1:1" x14ac:dyDescent="0.3">
      <c r="A3912" t="s">
        <v>7217</v>
      </c>
    </row>
    <row r="3913" spans="1:1" x14ac:dyDescent="0.3">
      <c r="A3913" t="s">
        <v>7217</v>
      </c>
    </row>
    <row r="3914" spans="1:1" x14ac:dyDescent="0.3">
      <c r="A3914" t="s">
        <v>7217</v>
      </c>
    </row>
    <row r="3915" spans="1:1" x14ac:dyDescent="0.3">
      <c r="A3915" t="s">
        <v>1429</v>
      </c>
    </row>
    <row r="3916" spans="1:1" x14ac:dyDescent="0.3">
      <c r="A3916" t="s">
        <v>7166</v>
      </c>
    </row>
    <row r="3917" spans="1:1" x14ac:dyDescent="0.3">
      <c r="A3917" t="s">
        <v>7166</v>
      </c>
    </row>
    <row r="3918" spans="1:1" x14ac:dyDescent="0.3">
      <c r="A3918" t="s">
        <v>908</v>
      </c>
    </row>
    <row r="3919" spans="1:1" x14ac:dyDescent="0.3">
      <c r="A3919" t="s">
        <v>6874</v>
      </c>
    </row>
    <row r="3920" spans="1:1" x14ac:dyDescent="0.3">
      <c r="A3920" t="s">
        <v>6874</v>
      </c>
    </row>
    <row r="3921" spans="1:1" x14ac:dyDescent="0.3">
      <c r="A3921" t="s">
        <v>6634</v>
      </c>
    </row>
    <row r="3922" spans="1:1" x14ac:dyDescent="0.3">
      <c r="A3922" t="s">
        <v>6634</v>
      </c>
    </row>
    <row r="3923" spans="1:1" x14ac:dyDescent="0.3">
      <c r="A3923" t="s">
        <v>6634</v>
      </c>
    </row>
    <row r="3924" spans="1:1" x14ac:dyDescent="0.3">
      <c r="A3924" t="s">
        <v>2187</v>
      </c>
    </row>
    <row r="3925" spans="1:1" x14ac:dyDescent="0.3">
      <c r="A3925" t="s">
        <v>2187</v>
      </c>
    </row>
    <row r="3926" spans="1:1" x14ac:dyDescent="0.3">
      <c r="A3926" t="s">
        <v>6875</v>
      </c>
    </row>
    <row r="3927" spans="1:1" x14ac:dyDescent="0.3">
      <c r="A3927" t="s">
        <v>6875</v>
      </c>
    </row>
    <row r="3928" spans="1:1" x14ac:dyDescent="0.3">
      <c r="A3928" t="s">
        <v>6875</v>
      </c>
    </row>
    <row r="3929" spans="1:1" x14ac:dyDescent="0.3">
      <c r="A3929" t="s">
        <v>6875</v>
      </c>
    </row>
    <row r="3930" spans="1:1" x14ac:dyDescent="0.3">
      <c r="A3930" t="s">
        <v>6875</v>
      </c>
    </row>
    <row r="3931" spans="1:1" x14ac:dyDescent="0.3">
      <c r="A3931" t="s">
        <v>6875</v>
      </c>
    </row>
    <row r="3932" spans="1:1" x14ac:dyDescent="0.3">
      <c r="A3932" t="s">
        <v>6875</v>
      </c>
    </row>
    <row r="3933" spans="1:1" x14ac:dyDescent="0.3">
      <c r="A3933" t="s">
        <v>6875</v>
      </c>
    </row>
    <row r="3934" spans="1:1" x14ac:dyDescent="0.3">
      <c r="A3934" t="s">
        <v>6875</v>
      </c>
    </row>
    <row r="3935" spans="1:1" x14ac:dyDescent="0.3">
      <c r="A3935" t="s">
        <v>6875</v>
      </c>
    </row>
    <row r="3936" spans="1:1" x14ac:dyDescent="0.3">
      <c r="A3936" t="s">
        <v>6875</v>
      </c>
    </row>
    <row r="3937" spans="1:1" x14ac:dyDescent="0.3">
      <c r="A3937" t="s">
        <v>6875</v>
      </c>
    </row>
    <row r="3938" spans="1:1" x14ac:dyDescent="0.3">
      <c r="A3938" t="s">
        <v>6875</v>
      </c>
    </row>
    <row r="3939" spans="1:1" x14ac:dyDescent="0.3">
      <c r="A3939" t="s">
        <v>7289</v>
      </c>
    </row>
    <row r="3940" spans="1:1" x14ac:dyDescent="0.3">
      <c r="A3940" t="s">
        <v>6876</v>
      </c>
    </row>
    <row r="3941" spans="1:1" x14ac:dyDescent="0.3">
      <c r="A3941" t="s">
        <v>6876</v>
      </c>
    </row>
    <row r="3942" spans="1:1" x14ac:dyDescent="0.3">
      <c r="A3942" t="s">
        <v>1321</v>
      </c>
    </row>
    <row r="3943" spans="1:1" x14ac:dyDescent="0.3">
      <c r="A3943" t="s">
        <v>1321</v>
      </c>
    </row>
    <row r="3944" spans="1:1" x14ac:dyDescent="0.3">
      <c r="A3944" t="s">
        <v>7071</v>
      </c>
    </row>
    <row r="3945" spans="1:1" x14ac:dyDescent="0.3">
      <c r="A3945" t="s">
        <v>7071</v>
      </c>
    </row>
    <row r="3946" spans="1:1" x14ac:dyDescent="0.3">
      <c r="A3946" t="s">
        <v>7071</v>
      </c>
    </row>
    <row r="3947" spans="1:1" x14ac:dyDescent="0.3">
      <c r="A3947" t="s">
        <v>7071</v>
      </c>
    </row>
    <row r="3948" spans="1:1" x14ac:dyDescent="0.3">
      <c r="A3948" t="s">
        <v>7071</v>
      </c>
    </row>
    <row r="3949" spans="1:1" x14ac:dyDescent="0.3">
      <c r="A3949" t="s">
        <v>7071</v>
      </c>
    </row>
    <row r="3950" spans="1:1" x14ac:dyDescent="0.3">
      <c r="A3950" t="s">
        <v>7071</v>
      </c>
    </row>
    <row r="3951" spans="1:1" x14ac:dyDescent="0.3">
      <c r="A3951" t="s">
        <v>7071</v>
      </c>
    </row>
    <row r="3952" spans="1:1" x14ac:dyDescent="0.3">
      <c r="A3952" t="s">
        <v>7071</v>
      </c>
    </row>
    <row r="3953" spans="1:1" x14ac:dyDescent="0.3">
      <c r="A3953" t="s">
        <v>7071</v>
      </c>
    </row>
    <row r="3954" spans="1:1" x14ac:dyDescent="0.3">
      <c r="A3954" t="s">
        <v>7071</v>
      </c>
    </row>
    <row r="3955" spans="1:1" x14ac:dyDescent="0.3">
      <c r="A3955" t="s">
        <v>7071</v>
      </c>
    </row>
    <row r="3956" spans="1:1" x14ac:dyDescent="0.3">
      <c r="A3956" t="s">
        <v>7071</v>
      </c>
    </row>
    <row r="3957" spans="1:1" x14ac:dyDescent="0.3">
      <c r="A3957" t="s">
        <v>7071</v>
      </c>
    </row>
    <row r="3958" spans="1:1" x14ac:dyDescent="0.3">
      <c r="A3958" t="s">
        <v>7071</v>
      </c>
    </row>
    <row r="3959" spans="1:1" x14ac:dyDescent="0.3">
      <c r="A3959" t="s">
        <v>6877</v>
      </c>
    </row>
    <row r="3960" spans="1:1" x14ac:dyDescent="0.3">
      <c r="A3960" t="s">
        <v>7223</v>
      </c>
    </row>
    <row r="3961" spans="1:1" x14ac:dyDescent="0.3">
      <c r="A3961" t="s">
        <v>6878</v>
      </c>
    </row>
    <row r="3962" spans="1:1" x14ac:dyDescent="0.3">
      <c r="A3962" t="s">
        <v>6878</v>
      </c>
    </row>
    <row r="3963" spans="1:1" x14ac:dyDescent="0.3">
      <c r="A3963" t="s">
        <v>6878</v>
      </c>
    </row>
    <row r="3964" spans="1:1" x14ac:dyDescent="0.3">
      <c r="A3964" t="s">
        <v>340</v>
      </c>
    </row>
    <row r="3965" spans="1:1" x14ac:dyDescent="0.3">
      <c r="A3965" t="s">
        <v>340</v>
      </c>
    </row>
    <row r="3966" spans="1:1" x14ac:dyDescent="0.3">
      <c r="A3966" t="s">
        <v>340</v>
      </c>
    </row>
    <row r="3967" spans="1:1" x14ac:dyDescent="0.3">
      <c r="A3967" t="s">
        <v>7040</v>
      </c>
    </row>
    <row r="3968" spans="1:1" x14ac:dyDescent="0.3">
      <c r="A3968" t="s">
        <v>7040</v>
      </c>
    </row>
    <row r="3969" spans="1:1" x14ac:dyDescent="0.3">
      <c r="A3969" t="s">
        <v>7040</v>
      </c>
    </row>
    <row r="3970" spans="1:1" x14ac:dyDescent="0.3">
      <c r="A3970" t="s">
        <v>7168</v>
      </c>
    </row>
    <row r="3971" spans="1:1" x14ac:dyDescent="0.3">
      <c r="A3971" t="s">
        <v>2885</v>
      </c>
    </row>
    <row r="3972" spans="1:1" x14ac:dyDescent="0.3">
      <c r="A3972" t="s">
        <v>6879</v>
      </c>
    </row>
    <row r="3973" spans="1:1" x14ac:dyDescent="0.3">
      <c r="A3973" t="s">
        <v>6880</v>
      </c>
    </row>
    <row r="3974" spans="1:1" x14ac:dyDescent="0.3">
      <c r="A3974" t="s">
        <v>1819</v>
      </c>
    </row>
    <row r="3975" spans="1:1" x14ac:dyDescent="0.3">
      <c r="A3975" t="s">
        <v>7139</v>
      </c>
    </row>
    <row r="3976" spans="1:1" x14ac:dyDescent="0.3">
      <c r="A3976" t="s">
        <v>7139</v>
      </c>
    </row>
    <row r="3977" spans="1:1" x14ac:dyDescent="0.3">
      <c r="A3977" t="s">
        <v>6881</v>
      </c>
    </row>
    <row r="3978" spans="1:1" x14ac:dyDescent="0.3">
      <c r="A3978" t="s">
        <v>6881</v>
      </c>
    </row>
    <row r="3979" spans="1:1" x14ac:dyDescent="0.3">
      <c r="A3979" t="s">
        <v>6881</v>
      </c>
    </row>
    <row r="3980" spans="1:1" x14ac:dyDescent="0.3">
      <c r="A3980" t="s">
        <v>6881</v>
      </c>
    </row>
    <row r="3981" spans="1:1" x14ac:dyDescent="0.3">
      <c r="A3981" t="s">
        <v>6881</v>
      </c>
    </row>
    <row r="3982" spans="1:1" x14ac:dyDescent="0.3">
      <c r="A3982" t="s">
        <v>6881</v>
      </c>
    </row>
    <row r="3983" spans="1:1" x14ac:dyDescent="0.3">
      <c r="A3983" t="s">
        <v>6881</v>
      </c>
    </row>
    <row r="3984" spans="1:1" x14ac:dyDescent="0.3">
      <c r="A3984" t="s">
        <v>6881</v>
      </c>
    </row>
    <row r="3985" spans="1:1" x14ac:dyDescent="0.3">
      <c r="A3985" t="s">
        <v>6881</v>
      </c>
    </row>
    <row r="3986" spans="1:1" x14ac:dyDescent="0.3">
      <c r="A3986" t="s">
        <v>6881</v>
      </c>
    </row>
    <row r="3987" spans="1:1" x14ac:dyDescent="0.3">
      <c r="A3987" t="s">
        <v>6881</v>
      </c>
    </row>
    <row r="3988" spans="1:1" x14ac:dyDescent="0.3">
      <c r="A3988" t="s">
        <v>6881</v>
      </c>
    </row>
    <row r="3989" spans="1:1" x14ac:dyDescent="0.3">
      <c r="A3989" t="s">
        <v>6881</v>
      </c>
    </row>
    <row r="3990" spans="1:1" x14ac:dyDescent="0.3">
      <c r="A3990" t="s">
        <v>6881</v>
      </c>
    </row>
    <row r="3991" spans="1:1" x14ac:dyDescent="0.3">
      <c r="A3991" t="s">
        <v>6881</v>
      </c>
    </row>
    <row r="3992" spans="1:1" x14ac:dyDescent="0.3">
      <c r="A3992" t="s">
        <v>6881</v>
      </c>
    </row>
    <row r="3993" spans="1:1" x14ac:dyDescent="0.3">
      <c r="A3993" t="s">
        <v>6881</v>
      </c>
    </row>
    <row r="3994" spans="1:1" x14ac:dyDescent="0.3">
      <c r="A3994" t="s">
        <v>6881</v>
      </c>
    </row>
    <row r="3995" spans="1:1" x14ac:dyDescent="0.3">
      <c r="A3995" t="s">
        <v>6881</v>
      </c>
    </row>
    <row r="3996" spans="1:1" x14ac:dyDescent="0.3">
      <c r="A3996" t="s">
        <v>6881</v>
      </c>
    </row>
    <row r="3997" spans="1:1" x14ac:dyDescent="0.3">
      <c r="A3997" t="s">
        <v>6881</v>
      </c>
    </row>
    <row r="3998" spans="1:1" x14ac:dyDescent="0.3">
      <c r="A3998" t="s">
        <v>6881</v>
      </c>
    </row>
    <row r="3999" spans="1:1" x14ac:dyDescent="0.3">
      <c r="A3999" t="s">
        <v>6881</v>
      </c>
    </row>
    <row r="4000" spans="1:1" x14ac:dyDescent="0.3">
      <c r="A4000" t="s">
        <v>6881</v>
      </c>
    </row>
    <row r="4001" spans="1:1" x14ac:dyDescent="0.3">
      <c r="A4001" t="s">
        <v>6881</v>
      </c>
    </row>
    <row r="4002" spans="1:1" x14ac:dyDescent="0.3">
      <c r="A4002" t="s">
        <v>6881</v>
      </c>
    </row>
    <row r="4003" spans="1:1" x14ac:dyDescent="0.3">
      <c r="A4003" t="s">
        <v>6881</v>
      </c>
    </row>
    <row r="4004" spans="1:1" x14ac:dyDescent="0.3">
      <c r="A4004" t="s">
        <v>6881</v>
      </c>
    </row>
    <row r="4005" spans="1:1" x14ac:dyDescent="0.3">
      <c r="A4005" t="s">
        <v>6881</v>
      </c>
    </row>
    <row r="4006" spans="1:1" x14ac:dyDescent="0.3">
      <c r="A4006" t="s">
        <v>6881</v>
      </c>
    </row>
    <row r="4007" spans="1:1" x14ac:dyDescent="0.3">
      <c r="A4007" t="s">
        <v>6881</v>
      </c>
    </row>
    <row r="4008" spans="1:1" x14ac:dyDescent="0.3">
      <c r="A4008" t="s">
        <v>6881</v>
      </c>
    </row>
    <row r="4009" spans="1:1" x14ac:dyDescent="0.3">
      <c r="A4009" t="s">
        <v>6881</v>
      </c>
    </row>
    <row r="4010" spans="1:1" x14ac:dyDescent="0.3">
      <c r="A4010" t="s">
        <v>6881</v>
      </c>
    </row>
    <row r="4011" spans="1:1" x14ac:dyDescent="0.3">
      <c r="A4011" t="s">
        <v>43</v>
      </c>
    </row>
    <row r="4012" spans="1:1" x14ac:dyDescent="0.3">
      <c r="A4012" t="s">
        <v>43</v>
      </c>
    </row>
    <row r="4013" spans="1:1" x14ac:dyDescent="0.3">
      <c r="A4013" t="s">
        <v>43</v>
      </c>
    </row>
    <row r="4014" spans="1:1" x14ac:dyDescent="0.3">
      <c r="A4014" t="s">
        <v>43</v>
      </c>
    </row>
    <row r="4015" spans="1:1" x14ac:dyDescent="0.3">
      <c r="A4015" t="s">
        <v>6882</v>
      </c>
    </row>
    <row r="4016" spans="1:1" x14ac:dyDescent="0.3">
      <c r="A4016" t="s">
        <v>6882</v>
      </c>
    </row>
    <row r="4017" spans="1:1" x14ac:dyDescent="0.3">
      <c r="A4017" t="s">
        <v>6882</v>
      </c>
    </row>
    <row r="4018" spans="1:1" x14ac:dyDescent="0.3">
      <c r="A4018" t="s">
        <v>6882</v>
      </c>
    </row>
    <row r="4019" spans="1:1" x14ac:dyDescent="0.3">
      <c r="A4019" t="s">
        <v>6882</v>
      </c>
    </row>
    <row r="4020" spans="1:1" x14ac:dyDescent="0.3">
      <c r="A4020" t="s">
        <v>6882</v>
      </c>
    </row>
    <row r="4021" spans="1:1" x14ac:dyDescent="0.3">
      <c r="A4021" t="s">
        <v>6882</v>
      </c>
    </row>
    <row r="4022" spans="1:1" x14ac:dyDescent="0.3">
      <c r="A4022" t="s">
        <v>6882</v>
      </c>
    </row>
    <row r="4023" spans="1:1" x14ac:dyDescent="0.3">
      <c r="A4023" t="s">
        <v>6882</v>
      </c>
    </row>
    <row r="4024" spans="1:1" x14ac:dyDescent="0.3">
      <c r="A4024" t="s">
        <v>7041</v>
      </c>
    </row>
    <row r="4025" spans="1:1" x14ac:dyDescent="0.3">
      <c r="A4025" t="s">
        <v>7041</v>
      </c>
    </row>
    <row r="4026" spans="1:1" x14ac:dyDescent="0.3">
      <c r="A4026" t="s">
        <v>7041</v>
      </c>
    </row>
    <row r="4027" spans="1:1" x14ac:dyDescent="0.3">
      <c r="A4027" t="s">
        <v>7041</v>
      </c>
    </row>
    <row r="4028" spans="1:1" x14ac:dyDescent="0.3">
      <c r="A4028" t="s">
        <v>7218</v>
      </c>
    </row>
    <row r="4029" spans="1:1" x14ac:dyDescent="0.3">
      <c r="A4029" t="s">
        <v>2937</v>
      </c>
    </row>
    <row r="4030" spans="1:1" x14ac:dyDescent="0.3">
      <c r="A4030" t="s">
        <v>1089</v>
      </c>
    </row>
    <row r="4031" spans="1:1" x14ac:dyDescent="0.3">
      <c r="A4031" t="s">
        <v>7173</v>
      </c>
    </row>
    <row r="4032" spans="1:1" x14ac:dyDescent="0.3">
      <c r="A4032" t="s">
        <v>7173</v>
      </c>
    </row>
    <row r="4033" spans="1:1" x14ac:dyDescent="0.3">
      <c r="A4033" t="s">
        <v>7173</v>
      </c>
    </row>
    <row r="4034" spans="1:1" x14ac:dyDescent="0.3">
      <c r="A4034" t="s">
        <v>7173</v>
      </c>
    </row>
    <row r="4035" spans="1:1" x14ac:dyDescent="0.3">
      <c r="A4035" t="s">
        <v>7173</v>
      </c>
    </row>
    <row r="4036" spans="1:1" x14ac:dyDescent="0.3">
      <c r="A4036" t="s">
        <v>7173</v>
      </c>
    </row>
    <row r="4037" spans="1:1" x14ac:dyDescent="0.3">
      <c r="A4037" t="s">
        <v>7173</v>
      </c>
    </row>
    <row r="4038" spans="1:1" x14ac:dyDescent="0.3">
      <c r="A4038" t="s">
        <v>7173</v>
      </c>
    </row>
    <row r="4039" spans="1:1" x14ac:dyDescent="0.3">
      <c r="A4039" t="s">
        <v>7173</v>
      </c>
    </row>
    <row r="4040" spans="1:1" x14ac:dyDescent="0.3">
      <c r="A4040" t="s">
        <v>7173</v>
      </c>
    </row>
    <row r="4041" spans="1:1" x14ac:dyDescent="0.3">
      <c r="A4041" t="s">
        <v>7173</v>
      </c>
    </row>
    <row r="4042" spans="1:1" x14ac:dyDescent="0.3">
      <c r="A4042" t="s">
        <v>7173</v>
      </c>
    </row>
    <row r="4043" spans="1:1" x14ac:dyDescent="0.3">
      <c r="A4043" t="s">
        <v>7173</v>
      </c>
    </row>
    <row r="4044" spans="1:1" x14ac:dyDescent="0.3">
      <c r="A4044" t="s">
        <v>7173</v>
      </c>
    </row>
    <row r="4045" spans="1:1" x14ac:dyDescent="0.3">
      <c r="A4045" t="s">
        <v>7173</v>
      </c>
    </row>
    <row r="4046" spans="1:1" x14ac:dyDescent="0.3">
      <c r="A4046" t="s">
        <v>7173</v>
      </c>
    </row>
    <row r="4047" spans="1:1" x14ac:dyDescent="0.3">
      <c r="A4047" t="s">
        <v>7173</v>
      </c>
    </row>
    <row r="4048" spans="1:1" x14ac:dyDescent="0.3">
      <c r="A4048" t="s">
        <v>7173</v>
      </c>
    </row>
    <row r="4049" spans="1:1" x14ac:dyDescent="0.3">
      <c r="A4049" t="s">
        <v>7173</v>
      </c>
    </row>
    <row r="4050" spans="1:1" x14ac:dyDescent="0.3">
      <c r="A4050" t="s">
        <v>7173</v>
      </c>
    </row>
    <row r="4051" spans="1:1" x14ac:dyDescent="0.3">
      <c r="A4051" t="s">
        <v>7173</v>
      </c>
    </row>
    <row r="4052" spans="1:1" x14ac:dyDescent="0.3">
      <c r="A4052" t="s">
        <v>7173</v>
      </c>
    </row>
    <row r="4053" spans="1:1" x14ac:dyDescent="0.3">
      <c r="A4053" t="s">
        <v>7173</v>
      </c>
    </row>
    <row r="4054" spans="1:1" x14ac:dyDescent="0.3">
      <c r="A4054" t="s">
        <v>7173</v>
      </c>
    </row>
    <row r="4055" spans="1:1" x14ac:dyDescent="0.3">
      <c r="A4055" t="s">
        <v>7173</v>
      </c>
    </row>
    <row r="4056" spans="1:1" x14ac:dyDescent="0.3">
      <c r="A4056" t="s">
        <v>7173</v>
      </c>
    </row>
    <row r="4057" spans="1:1" x14ac:dyDescent="0.3">
      <c r="A4057" t="s">
        <v>7173</v>
      </c>
    </row>
    <row r="4058" spans="1:1" x14ac:dyDescent="0.3">
      <c r="A4058" t="s">
        <v>7173</v>
      </c>
    </row>
    <row r="4059" spans="1:1" x14ac:dyDescent="0.3">
      <c r="A4059" t="s">
        <v>7173</v>
      </c>
    </row>
    <row r="4060" spans="1:1" x14ac:dyDescent="0.3">
      <c r="A4060" t="s">
        <v>7061</v>
      </c>
    </row>
    <row r="4061" spans="1:1" x14ac:dyDescent="0.3">
      <c r="A4061" t="s">
        <v>6883</v>
      </c>
    </row>
    <row r="4062" spans="1:1" x14ac:dyDescent="0.3">
      <c r="A4062" t="s">
        <v>6883</v>
      </c>
    </row>
    <row r="4063" spans="1:1" x14ac:dyDescent="0.3">
      <c r="A4063" t="s">
        <v>6635</v>
      </c>
    </row>
    <row r="4064" spans="1:1" x14ac:dyDescent="0.3">
      <c r="A4064" t="s">
        <v>6884</v>
      </c>
    </row>
    <row r="4065" spans="1:1" x14ac:dyDescent="0.3">
      <c r="A4065" t="s">
        <v>6884</v>
      </c>
    </row>
    <row r="4066" spans="1:1" x14ac:dyDescent="0.3">
      <c r="A4066" t="s">
        <v>6884</v>
      </c>
    </row>
    <row r="4067" spans="1:1" x14ac:dyDescent="0.3">
      <c r="A4067" t="s">
        <v>6885</v>
      </c>
    </row>
    <row r="4068" spans="1:1" x14ac:dyDescent="0.3">
      <c r="A4068" t="s">
        <v>6886</v>
      </c>
    </row>
    <row r="4069" spans="1:1" x14ac:dyDescent="0.3">
      <c r="A4069" t="s">
        <v>6886</v>
      </c>
    </row>
    <row r="4070" spans="1:1" x14ac:dyDescent="0.3">
      <c r="A4070" t="s">
        <v>6886</v>
      </c>
    </row>
    <row r="4071" spans="1:1" x14ac:dyDescent="0.3">
      <c r="A4071" t="s">
        <v>6886</v>
      </c>
    </row>
    <row r="4072" spans="1:1" x14ac:dyDescent="0.3">
      <c r="A4072" t="s">
        <v>6886</v>
      </c>
    </row>
    <row r="4073" spans="1:1" x14ac:dyDescent="0.3">
      <c r="A4073" t="s">
        <v>6887</v>
      </c>
    </row>
    <row r="4074" spans="1:1" x14ac:dyDescent="0.3">
      <c r="A4074" t="s">
        <v>6887</v>
      </c>
    </row>
    <row r="4075" spans="1:1" x14ac:dyDescent="0.3">
      <c r="A4075" t="s">
        <v>6887</v>
      </c>
    </row>
    <row r="4076" spans="1:1" x14ac:dyDescent="0.3">
      <c r="A4076" t="s">
        <v>6887</v>
      </c>
    </row>
    <row r="4077" spans="1:1" x14ac:dyDescent="0.3">
      <c r="A4077" t="s">
        <v>6887</v>
      </c>
    </row>
    <row r="4078" spans="1:1" x14ac:dyDescent="0.3">
      <c r="A4078" t="s">
        <v>6887</v>
      </c>
    </row>
    <row r="4079" spans="1:1" x14ac:dyDescent="0.3">
      <c r="A4079" t="s">
        <v>6887</v>
      </c>
    </row>
    <row r="4080" spans="1:1" x14ac:dyDescent="0.3">
      <c r="A4080" t="s">
        <v>6887</v>
      </c>
    </row>
    <row r="4081" spans="1:1" x14ac:dyDescent="0.3">
      <c r="A4081" t="s">
        <v>6887</v>
      </c>
    </row>
    <row r="4082" spans="1:1" x14ac:dyDescent="0.3">
      <c r="A4082" t="s">
        <v>7042</v>
      </c>
    </row>
    <row r="4083" spans="1:1" x14ac:dyDescent="0.3">
      <c r="A4083" t="s">
        <v>7219</v>
      </c>
    </row>
    <row r="4084" spans="1:1" x14ac:dyDescent="0.3">
      <c r="A4084" t="s">
        <v>7043</v>
      </c>
    </row>
    <row r="4085" spans="1:1" x14ac:dyDescent="0.3">
      <c r="A4085" t="s">
        <v>7043</v>
      </c>
    </row>
    <row r="4086" spans="1:1" x14ac:dyDescent="0.3">
      <c r="A4086" t="s">
        <v>7043</v>
      </c>
    </row>
    <row r="4087" spans="1:1" x14ac:dyDescent="0.3">
      <c r="A4087" t="s">
        <v>1535</v>
      </c>
    </row>
    <row r="4088" spans="1:1" x14ac:dyDescent="0.3">
      <c r="A4088" t="s">
        <v>1535</v>
      </c>
    </row>
    <row r="4089" spans="1:1" x14ac:dyDescent="0.3">
      <c r="A4089" t="s">
        <v>1535</v>
      </c>
    </row>
    <row r="4090" spans="1:1" x14ac:dyDescent="0.3">
      <c r="A4090" t="s">
        <v>1535</v>
      </c>
    </row>
    <row r="4091" spans="1:1" x14ac:dyDescent="0.3">
      <c r="A4091" t="s">
        <v>1535</v>
      </c>
    </row>
    <row r="4092" spans="1:1" x14ac:dyDescent="0.3">
      <c r="A4092" t="s">
        <v>1535</v>
      </c>
    </row>
    <row r="4093" spans="1:1" x14ac:dyDescent="0.3">
      <c r="A4093" t="s">
        <v>1535</v>
      </c>
    </row>
    <row r="4094" spans="1:1" x14ac:dyDescent="0.3">
      <c r="A4094" t="s">
        <v>1535</v>
      </c>
    </row>
    <row r="4095" spans="1:1" x14ac:dyDescent="0.3">
      <c r="A4095" t="s">
        <v>1535</v>
      </c>
    </row>
    <row r="4096" spans="1:1" x14ac:dyDescent="0.3">
      <c r="A4096" t="s">
        <v>1535</v>
      </c>
    </row>
    <row r="4097" spans="1:1" x14ac:dyDescent="0.3">
      <c r="A4097" t="s">
        <v>1035</v>
      </c>
    </row>
    <row r="4098" spans="1:1" x14ac:dyDescent="0.3">
      <c r="A4098" t="s">
        <v>1035</v>
      </c>
    </row>
    <row r="4099" spans="1:1" x14ac:dyDescent="0.3">
      <c r="A4099" t="s">
        <v>1035</v>
      </c>
    </row>
    <row r="4100" spans="1:1" x14ac:dyDescent="0.3">
      <c r="A4100" t="s">
        <v>7115</v>
      </c>
    </row>
    <row r="4101" spans="1:1" x14ac:dyDescent="0.3">
      <c r="A4101" t="s">
        <v>7115</v>
      </c>
    </row>
    <row r="4102" spans="1:1" x14ac:dyDescent="0.3">
      <c r="A4102" t="s">
        <v>7115</v>
      </c>
    </row>
    <row r="4103" spans="1:1" x14ac:dyDescent="0.3">
      <c r="A4103" t="s">
        <v>7115</v>
      </c>
    </row>
    <row r="4104" spans="1:1" x14ac:dyDescent="0.3">
      <c r="A4104" t="s">
        <v>7115</v>
      </c>
    </row>
    <row r="4105" spans="1:1" x14ac:dyDescent="0.3">
      <c r="A4105" t="s">
        <v>7115</v>
      </c>
    </row>
    <row r="4106" spans="1:1" x14ac:dyDescent="0.3">
      <c r="A4106" t="s">
        <v>7115</v>
      </c>
    </row>
    <row r="4107" spans="1:1" x14ac:dyDescent="0.3">
      <c r="A4107" t="s">
        <v>7074</v>
      </c>
    </row>
    <row r="4108" spans="1:1" x14ac:dyDescent="0.3">
      <c r="A4108" t="s">
        <v>7074</v>
      </c>
    </row>
    <row r="4109" spans="1:1" x14ac:dyDescent="0.3">
      <c r="A4109" t="s">
        <v>7074</v>
      </c>
    </row>
    <row r="4110" spans="1:1" x14ac:dyDescent="0.3">
      <c r="A4110" t="s">
        <v>7074</v>
      </c>
    </row>
    <row r="4111" spans="1:1" x14ac:dyDescent="0.3">
      <c r="A4111" t="s">
        <v>7074</v>
      </c>
    </row>
    <row r="4112" spans="1:1" x14ac:dyDescent="0.3">
      <c r="A4112" t="s">
        <v>7353</v>
      </c>
    </row>
    <row r="4113" spans="1:1" x14ac:dyDescent="0.3">
      <c r="A4113" t="s">
        <v>6888</v>
      </c>
    </row>
    <row r="4114" spans="1:1" x14ac:dyDescent="0.3">
      <c r="A4114" t="s">
        <v>6888</v>
      </c>
    </row>
    <row r="4115" spans="1:1" x14ac:dyDescent="0.3">
      <c r="A4115" t="s">
        <v>6888</v>
      </c>
    </row>
    <row r="4116" spans="1:1" x14ac:dyDescent="0.3">
      <c r="A4116" t="s">
        <v>6888</v>
      </c>
    </row>
    <row r="4117" spans="1:1" x14ac:dyDescent="0.3">
      <c r="A4117" t="s">
        <v>6888</v>
      </c>
    </row>
    <row r="4118" spans="1:1" x14ac:dyDescent="0.3">
      <c r="A4118" t="s">
        <v>6888</v>
      </c>
    </row>
    <row r="4119" spans="1:1" x14ac:dyDescent="0.3">
      <c r="A4119" t="s">
        <v>6888</v>
      </c>
    </row>
    <row r="4120" spans="1:1" x14ac:dyDescent="0.3">
      <c r="A4120" t="s">
        <v>6888</v>
      </c>
    </row>
    <row r="4121" spans="1:1" x14ac:dyDescent="0.3">
      <c r="A4121" t="s">
        <v>6888</v>
      </c>
    </row>
    <row r="4122" spans="1:1" x14ac:dyDescent="0.3">
      <c r="A4122" t="s">
        <v>6889</v>
      </c>
    </row>
    <row r="4123" spans="1:1" x14ac:dyDescent="0.3">
      <c r="A4123" t="s">
        <v>7290</v>
      </c>
    </row>
    <row r="4124" spans="1:1" x14ac:dyDescent="0.3">
      <c r="A4124" t="s">
        <v>7290</v>
      </c>
    </row>
    <row r="4125" spans="1:1" x14ac:dyDescent="0.3">
      <c r="A4125" t="s">
        <v>7290</v>
      </c>
    </row>
    <row r="4126" spans="1:1" x14ac:dyDescent="0.3">
      <c r="A4126" t="s">
        <v>7094</v>
      </c>
    </row>
    <row r="4127" spans="1:1" x14ac:dyDescent="0.3">
      <c r="A4127" t="s">
        <v>7094</v>
      </c>
    </row>
    <row r="4128" spans="1:1" x14ac:dyDescent="0.3">
      <c r="A4128" t="s">
        <v>7094</v>
      </c>
    </row>
    <row r="4129" spans="1:1" x14ac:dyDescent="0.3">
      <c r="A4129" t="s">
        <v>7094</v>
      </c>
    </row>
    <row r="4130" spans="1:1" x14ac:dyDescent="0.3">
      <c r="A4130" t="s">
        <v>7094</v>
      </c>
    </row>
    <row r="4131" spans="1:1" x14ac:dyDescent="0.3">
      <c r="A4131" t="s">
        <v>7094</v>
      </c>
    </row>
    <row r="4132" spans="1:1" x14ac:dyDescent="0.3">
      <c r="A4132" t="s">
        <v>7094</v>
      </c>
    </row>
    <row r="4133" spans="1:1" x14ac:dyDescent="0.3">
      <c r="A4133" t="s">
        <v>7094</v>
      </c>
    </row>
    <row r="4134" spans="1:1" x14ac:dyDescent="0.3">
      <c r="A4134" t="s">
        <v>7094</v>
      </c>
    </row>
    <row r="4135" spans="1:1" x14ac:dyDescent="0.3">
      <c r="A4135" t="s">
        <v>7094</v>
      </c>
    </row>
    <row r="4136" spans="1:1" x14ac:dyDescent="0.3">
      <c r="A4136" t="s">
        <v>7094</v>
      </c>
    </row>
    <row r="4137" spans="1:1" x14ac:dyDescent="0.3">
      <c r="A4137" t="s">
        <v>7094</v>
      </c>
    </row>
    <row r="4138" spans="1:1" x14ac:dyDescent="0.3">
      <c r="A4138" t="s">
        <v>7094</v>
      </c>
    </row>
    <row r="4139" spans="1:1" x14ac:dyDescent="0.3">
      <c r="A4139" t="s">
        <v>7094</v>
      </c>
    </row>
    <row r="4140" spans="1:1" x14ac:dyDescent="0.3">
      <c r="A4140" t="s">
        <v>7094</v>
      </c>
    </row>
    <row r="4141" spans="1:1" x14ac:dyDescent="0.3">
      <c r="A4141" t="s">
        <v>7094</v>
      </c>
    </row>
    <row r="4142" spans="1:1" x14ac:dyDescent="0.3">
      <c r="A4142" t="s">
        <v>7094</v>
      </c>
    </row>
    <row r="4143" spans="1:1" x14ac:dyDescent="0.3">
      <c r="A4143" t="s">
        <v>7094</v>
      </c>
    </row>
    <row r="4144" spans="1:1" x14ac:dyDescent="0.3">
      <c r="A4144" t="s">
        <v>7094</v>
      </c>
    </row>
    <row r="4145" spans="1:1" x14ac:dyDescent="0.3">
      <c r="A4145" t="s">
        <v>7094</v>
      </c>
    </row>
    <row r="4146" spans="1:1" x14ac:dyDescent="0.3">
      <c r="A4146" t="s">
        <v>7094</v>
      </c>
    </row>
    <row r="4147" spans="1:1" x14ac:dyDescent="0.3">
      <c r="A4147" t="s">
        <v>7094</v>
      </c>
    </row>
    <row r="4148" spans="1:1" x14ac:dyDescent="0.3">
      <c r="A4148" t="s">
        <v>7094</v>
      </c>
    </row>
    <row r="4149" spans="1:1" x14ac:dyDescent="0.3">
      <c r="A4149" t="s">
        <v>7094</v>
      </c>
    </row>
    <row r="4150" spans="1:1" x14ac:dyDescent="0.3">
      <c r="A4150" t="s">
        <v>7220</v>
      </c>
    </row>
    <row r="4151" spans="1:1" x14ac:dyDescent="0.3">
      <c r="A4151" t="s">
        <v>7220</v>
      </c>
    </row>
    <row r="4152" spans="1:1" x14ac:dyDescent="0.3">
      <c r="A4152" t="s">
        <v>7221</v>
      </c>
    </row>
    <row r="4153" spans="1:1" x14ac:dyDescent="0.3">
      <c r="A4153" t="s">
        <v>2219</v>
      </c>
    </row>
    <row r="4154" spans="1:1" x14ac:dyDescent="0.3">
      <c r="A4154" t="s">
        <v>7085</v>
      </c>
    </row>
    <row r="4155" spans="1:1" x14ac:dyDescent="0.3">
      <c r="A4155" t="s">
        <v>7085</v>
      </c>
    </row>
    <row r="4156" spans="1:1" x14ac:dyDescent="0.3">
      <c r="A4156" t="s">
        <v>6890</v>
      </c>
    </row>
    <row r="4157" spans="1:1" x14ac:dyDescent="0.3">
      <c r="A4157" t="s">
        <v>6891</v>
      </c>
    </row>
    <row r="4158" spans="1:1" x14ac:dyDescent="0.3">
      <c r="A4158" t="s">
        <v>6891</v>
      </c>
    </row>
    <row r="4159" spans="1:1" x14ac:dyDescent="0.3">
      <c r="A4159" t="s">
        <v>1852</v>
      </c>
    </row>
    <row r="4160" spans="1:1" x14ac:dyDescent="0.3">
      <c r="A4160" t="s">
        <v>6892</v>
      </c>
    </row>
    <row r="4161" spans="1:1" x14ac:dyDescent="0.3">
      <c r="A4161" t="s">
        <v>6892</v>
      </c>
    </row>
    <row r="4162" spans="1:1" x14ac:dyDescent="0.3">
      <c r="A4162" t="s">
        <v>1867</v>
      </c>
    </row>
    <row r="4163" spans="1:1" x14ac:dyDescent="0.3">
      <c r="A4163" t="s">
        <v>1867</v>
      </c>
    </row>
    <row r="4164" spans="1:1" x14ac:dyDescent="0.3">
      <c r="A4164" t="s">
        <v>6893</v>
      </c>
    </row>
    <row r="4165" spans="1:1" x14ac:dyDescent="0.3">
      <c r="A4165" t="s">
        <v>6893</v>
      </c>
    </row>
    <row r="4166" spans="1:1" x14ac:dyDescent="0.3">
      <c r="A4166" t="s">
        <v>6893</v>
      </c>
    </row>
    <row r="4167" spans="1:1" x14ac:dyDescent="0.3">
      <c r="A4167" t="s">
        <v>6893</v>
      </c>
    </row>
    <row r="4168" spans="1:1" x14ac:dyDescent="0.3">
      <c r="A4168" t="s">
        <v>6893</v>
      </c>
    </row>
    <row r="4169" spans="1:1" x14ac:dyDescent="0.3">
      <c r="A4169" t="s">
        <v>7170</v>
      </c>
    </row>
    <row r="4170" spans="1:1" x14ac:dyDescent="0.3">
      <c r="A4170" t="s">
        <v>7044</v>
      </c>
    </row>
    <row r="4171" spans="1:1" x14ac:dyDescent="0.3">
      <c r="A4171" t="s">
        <v>319</v>
      </c>
    </row>
    <row r="4172" spans="1:1" x14ac:dyDescent="0.3">
      <c r="A4172" t="s">
        <v>599</v>
      </c>
    </row>
    <row r="4173" spans="1:1" x14ac:dyDescent="0.3">
      <c r="A4173" t="s">
        <v>7045</v>
      </c>
    </row>
    <row r="4174" spans="1:1" x14ac:dyDescent="0.3">
      <c r="A4174" t="s">
        <v>6894</v>
      </c>
    </row>
    <row r="4175" spans="1:1" x14ac:dyDescent="0.3">
      <c r="A4175" t="s">
        <v>6894</v>
      </c>
    </row>
    <row r="4176" spans="1:1" x14ac:dyDescent="0.3">
      <c r="A4176" t="s">
        <v>6894</v>
      </c>
    </row>
    <row r="4177" spans="1:1" x14ac:dyDescent="0.3">
      <c r="A4177" t="s">
        <v>6894</v>
      </c>
    </row>
    <row r="4178" spans="1:1" x14ac:dyDescent="0.3">
      <c r="A4178" t="s">
        <v>6894</v>
      </c>
    </row>
    <row r="4179" spans="1:1" x14ac:dyDescent="0.3">
      <c r="A4179" t="s">
        <v>6894</v>
      </c>
    </row>
    <row r="4180" spans="1:1" x14ac:dyDescent="0.3">
      <c r="A4180" t="s">
        <v>6894</v>
      </c>
    </row>
    <row r="4181" spans="1:1" x14ac:dyDescent="0.3">
      <c r="A4181" t="s">
        <v>6894</v>
      </c>
    </row>
    <row r="4182" spans="1:1" x14ac:dyDescent="0.3">
      <c r="A4182" t="s">
        <v>6894</v>
      </c>
    </row>
    <row r="4183" spans="1:1" x14ac:dyDescent="0.3">
      <c r="A4183" t="s">
        <v>6894</v>
      </c>
    </row>
    <row r="4184" spans="1:1" x14ac:dyDescent="0.3">
      <c r="A4184" t="s">
        <v>6894</v>
      </c>
    </row>
    <row r="4185" spans="1:1" x14ac:dyDescent="0.3">
      <c r="A4185" t="s">
        <v>6894</v>
      </c>
    </row>
    <row r="4186" spans="1:1" x14ac:dyDescent="0.3">
      <c r="A4186" t="s">
        <v>369</v>
      </c>
    </row>
    <row r="4187" spans="1:1" x14ac:dyDescent="0.3">
      <c r="A4187" t="s">
        <v>369</v>
      </c>
    </row>
    <row r="4188" spans="1:1" x14ac:dyDescent="0.3">
      <c r="A4188" t="s">
        <v>1059</v>
      </c>
    </row>
    <row r="4189" spans="1:1" x14ac:dyDescent="0.3">
      <c r="A4189" t="s">
        <v>7046</v>
      </c>
    </row>
    <row r="4190" spans="1:1" x14ac:dyDescent="0.3">
      <c r="A4190" t="s">
        <v>6895</v>
      </c>
    </row>
    <row r="4191" spans="1:1" x14ac:dyDescent="0.3">
      <c r="A4191" t="s">
        <v>6895</v>
      </c>
    </row>
    <row r="4192" spans="1:1" x14ac:dyDescent="0.3">
      <c r="A4192" t="s">
        <v>6895</v>
      </c>
    </row>
    <row r="4193" spans="1:1" x14ac:dyDescent="0.3">
      <c r="A4193" t="s">
        <v>6895</v>
      </c>
    </row>
    <row r="4194" spans="1:1" x14ac:dyDescent="0.3">
      <c r="A4194" t="s">
        <v>6895</v>
      </c>
    </row>
    <row r="4195" spans="1:1" x14ac:dyDescent="0.3">
      <c r="A4195" t="s">
        <v>6895</v>
      </c>
    </row>
    <row r="4196" spans="1:1" x14ac:dyDescent="0.3">
      <c r="A4196" t="s">
        <v>6895</v>
      </c>
    </row>
    <row r="4197" spans="1:1" x14ac:dyDescent="0.3">
      <c r="A4197" t="s">
        <v>6895</v>
      </c>
    </row>
    <row r="4198" spans="1:1" x14ac:dyDescent="0.3">
      <c r="A4198" t="s">
        <v>6895</v>
      </c>
    </row>
    <row r="4199" spans="1:1" x14ac:dyDescent="0.3">
      <c r="A4199" t="s">
        <v>6895</v>
      </c>
    </row>
    <row r="4200" spans="1:1" x14ac:dyDescent="0.3">
      <c r="A4200" t="s">
        <v>6895</v>
      </c>
    </row>
    <row r="4201" spans="1:1" x14ac:dyDescent="0.3">
      <c r="A4201" t="s">
        <v>6895</v>
      </c>
    </row>
    <row r="4202" spans="1:1" x14ac:dyDescent="0.3">
      <c r="A4202" t="s">
        <v>6895</v>
      </c>
    </row>
    <row r="4203" spans="1:1" x14ac:dyDescent="0.3">
      <c r="A4203" t="s">
        <v>6895</v>
      </c>
    </row>
    <row r="4204" spans="1:1" x14ac:dyDescent="0.3">
      <c r="A4204" t="s">
        <v>6895</v>
      </c>
    </row>
    <row r="4205" spans="1:1" x14ac:dyDescent="0.3">
      <c r="A4205" t="s">
        <v>6895</v>
      </c>
    </row>
    <row r="4206" spans="1:1" x14ac:dyDescent="0.3">
      <c r="A4206" t="s">
        <v>6895</v>
      </c>
    </row>
    <row r="4207" spans="1:1" x14ac:dyDescent="0.3">
      <c r="A4207" t="s">
        <v>6895</v>
      </c>
    </row>
    <row r="4208" spans="1:1" x14ac:dyDescent="0.3">
      <c r="A4208" t="s">
        <v>6895</v>
      </c>
    </row>
    <row r="4209" spans="1:1" x14ac:dyDescent="0.3">
      <c r="A4209" t="s">
        <v>6895</v>
      </c>
    </row>
    <row r="4210" spans="1:1" x14ac:dyDescent="0.3">
      <c r="A4210" t="s">
        <v>7222</v>
      </c>
    </row>
    <row r="4211" spans="1:1" x14ac:dyDescent="0.3">
      <c r="A4211" t="s">
        <v>7047</v>
      </c>
    </row>
    <row r="4212" spans="1:1" x14ac:dyDescent="0.3">
      <c r="A4212" t="s">
        <v>7048</v>
      </c>
    </row>
    <row r="4213" spans="1:1" x14ac:dyDescent="0.3">
      <c r="A4213" t="s">
        <v>470</v>
      </c>
    </row>
    <row r="4214" spans="1:1" x14ac:dyDescent="0.3">
      <c r="A4214" t="s">
        <v>470</v>
      </c>
    </row>
    <row r="4215" spans="1:1" x14ac:dyDescent="0.3">
      <c r="A4215" t="s">
        <v>470</v>
      </c>
    </row>
    <row r="4216" spans="1:1" x14ac:dyDescent="0.3">
      <c r="A4216" t="s">
        <v>470</v>
      </c>
    </row>
    <row r="4217" spans="1:1" x14ac:dyDescent="0.3">
      <c r="A4217" t="s">
        <v>470</v>
      </c>
    </row>
    <row r="4218" spans="1:1" x14ac:dyDescent="0.3">
      <c r="A4218" t="s">
        <v>7051</v>
      </c>
    </row>
    <row r="4219" spans="1:1" x14ac:dyDescent="0.3">
      <c r="A4219" t="s">
        <v>7051</v>
      </c>
    </row>
    <row r="4220" spans="1:1" x14ac:dyDescent="0.3">
      <c r="A4220" t="s">
        <v>7051</v>
      </c>
    </row>
    <row r="4221" spans="1:1" x14ac:dyDescent="0.3">
      <c r="A4221" t="s">
        <v>7051</v>
      </c>
    </row>
    <row r="4222" spans="1:1" x14ac:dyDescent="0.3">
      <c r="A4222" t="s">
        <v>7051</v>
      </c>
    </row>
    <row r="4223" spans="1:1" x14ac:dyDescent="0.3">
      <c r="A4223" t="s">
        <v>60</v>
      </c>
    </row>
    <row r="4224" spans="1:1" x14ac:dyDescent="0.3">
      <c r="A4224" t="s">
        <v>7121</v>
      </c>
    </row>
    <row r="4225" spans="1:1" x14ac:dyDescent="0.3">
      <c r="A4225" t="s">
        <v>7123</v>
      </c>
    </row>
    <row r="4226" spans="1:1" x14ac:dyDescent="0.3">
      <c r="A4226" t="s">
        <v>7123</v>
      </c>
    </row>
    <row r="4227" spans="1:1" x14ac:dyDescent="0.3">
      <c r="A4227" t="s">
        <v>7123</v>
      </c>
    </row>
    <row r="4228" spans="1:1" x14ac:dyDescent="0.3">
      <c r="A4228" t="s">
        <v>7197</v>
      </c>
    </row>
    <row r="4229" spans="1:1" x14ac:dyDescent="0.3">
      <c r="A4229" t="s">
        <v>7172</v>
      </c>
    </row>
    <row r="4230" spans="1:1" x14ac:dyDescent="0.3">
      <c r="A4230" t="s">
        <v>7172</v>
      </c>
    </row>
    <row r="4231" spans="1:1" x14ac:dyDescent="0.3">
      <c r="A4231" t="s">
        <v>7172</v>
      </c>
    </row>
    <row r="4232" spans="1:1" x14ac:dyDescent="0.3">
      <c r="A4232" t="s">
        <v>7172</v>
      </c>
    </row>
    <row r="4233" spans="1:1" x14ac:dyDescent="0.3">
      <c r="A4233" t="s">
        <v>7172</v>
      </c>
    </row>
    <row r="4234" spans="1:1" x14ac:dyDescent="0.3">
      <c r="A4234" t="s">
        <v>7172</v>
      </c>
    </row>
    <row r="4235" spans="1:1" x14ac:dyDescent="0.3">
      <c r="A4235" t="s">
        <v>7172</v>
      </c>
    </row>
    <row r="4236" spans="1:1" x14ac:dyDescent="0.3">
      <c r="A4236" t="s">
        <v>7172</v>
      </c>
    </row>
    <row r="4237" spans="1:1" x14ac:dyDescent="0.3">
      <c r="A4237" t="s">
        <v>7172</v>
      </c>
    </row>
    <row r="4238" spans="1:1" x14ac:dyDescent="0.3">
      <c r="A4238" t="s">
        <v>7172</v>
      </c>
    </row>
    <row r="4239" spans="1:1" x14ac:dyDescent="0.3">
      <c r="A4239" t="s">
        <v>7172</v>
      </c>
    </row>
    <row r="4240" spans="1:1" x14ac:dyDescent="0.3">
      <c r="A4240" t="s">
        <v>7172</v>
      </c>
    </row>
    <row r="4241" spans="1:1" x14ac:dyDescent="0.3">
      <c r="A4241" t="s">
        <v>7172</v>
      </c>
    </row>
    <row r="4242" spans="1:1" x14ac:dyDescent="0.3">
      <c r="A4242" t="s">
        <v>7172</v>
      </c>
    </row>
    <row r="4243" spans="1:1" x14ac:dyDescent="0.3">
      <c r="A4243" t="s">
        <v>7172</v>
      </c>
    </row>
    <row r="4244" spans="1:1" x14ac:dyDescent="0.3">
      <c r="A4244" t="s">
        <v>7172</v>
      </c>
    </row>
    <row r="4245" spans="1:1" x14ac:dyDescent="0.3">
      <c r="A4245" t="s">
        <v>7172</v>
      </c>
    </row>
    <row r="4246" spans="1:1" x14ac:dyDescent="0.3">
      <c r="A4246" t="s">
        <v>7172</v>
      </c>
    </row>
    <row r="4247" spans="1:1" x14ac:dyDescent="0.3">
      <c r="A4247" t="s">
        <v>7172</v>
      </c>
    </row>
    <row r="4248" spans="1:1" x14ac:dyDescent="0.3">
      <c r="A4248" t="s">
        <v>7172</v>
      </c>
    </row>
    <row r="4249" spans="1:1" x14ac:dyDescent="0.3">
      <c r="A4249" t="s">
        <v>7172</v>
      </c>
    </row>
    <row r="4250" spans="1:1" x14ac:dyDescent="0.3">
      <c r="A4250" t="s">
        <v>7172</v>
      </c>
    </row>
    <row r="4251" spans="1:1" x14ac:dyDescent="0.3">
      <c r="A4251" t="s">
        <v>7172</v>
      </c>
    </row>
    <row r="4252" spans="1:1" x14ac:dyDescent="0.3">
      <c r="A4252" t="s">
        <v>7172</v>
      </c>
    </row>
    <row r="4253" spans="1:1" x14ac:dyDescent="0.3">
      <c r="A4253" t="s">
        <v>7172</v>
      </c>
    </row>
    <row r="4254" spans="1:1" x14ac:dyDescent="0.3">
      <c r="A4254" t="s">
        <v>7172</v>
      </c>
    </row>
    <row r="4255" spans="1:1" x14ac:dyDescent="0.3">
      <c r="A4255" t="s">
        <v>7172</v>
      </c>
    </row>
    <row r="4256" spans="1:1" x14ac:dyDescent="0.3">
      <c r="A4256" t="s">
        <v>7172</v>
      </c>
    </row>
    <row r="4257" spans="1:1" x14ac:dyDescent="0.3">
      <c r="A4257" t="s">
        <v>7172</v>
      </c>
    </row>
    <row r="4258" spans="1:1" x14ac:dyDescent="0.3">
      <c r="A4258" t="s">
        <v>7354</v>
      </c>
    </row>
    <row r="4259" spans="1:1" x14ac:dyDescent="0.3">
      <c r="A4259" t="s">
        <v>7291</v>
      </c>
    </row>
    <row r="4260" spans="1:1" x14ac:dyDescent="0.3">
      <c r="A4260" t="s">
        <v>7291</v>
      </c>
    </row>
    <row r="4261" spans="1:1" x14ac:dyDescent="0.3">
      <c r="A4261" t="s">
        <v>7174</v>
      </c>
    </row>
    <row r="4262" spans="1:1" x14ac:dyDescent="0.3">
      <c r="A4262" t="s">
        <v>7174</v>
      </c>
    </row>
    <row r="4263" spans="1:1" x14ac:dyDescent="0.3">
      <c r="A4263" t="s">
        <v>7064</v>
      </c>
    </row>
    <row r="4264" spans="1:1" x14ac:dyDescent="0.3">
      <c r="A4264" t="s">
        <v>7096</v>
      </c>
    </row>
    <row r="4265" spans="1:1" x14ac:dyDescent="0.3">
      <c r="A4265" t="s">
        <v>7097</v>
      </c>
    </row>
    <row r="4266" spans="1:1" x14ac:dyDescent="0.3">
      <c r="A4266" t="s">
        <v>1490</v>
      </c>
    </row>
    <row r="4267" spans="1:1" x14ac:dyDescent="0.3">
      <c r="A4267" t="s">
        <v>1490</v>
      </c>
    </row>
    <row r="4268" spans="1:1" x14ac:dyDescent="0.3">
      <c r="A4268" t="s">
        <v>1490</v>
      </c>
    </row>
    <row r="4269" spans="1:1" x14ac:dyDescent="0.3">
      <c r="A4269" t="s">
        <v>6896</v>
      </c>
    </row>
    <row r="4270" spans="1:1" x14ac:dyDescent="0.3">
      <c r="A4270" t="s">
        <v>7292</v>
      </c>
    </row>
    <row r="4271" spans="1:1" x14ac:dyDescent="0.3">
      <c r="A4271" t="s">
        <v>6897</v>
      </c>
    </row>
    <row r="4272" spans="1:1" x14ac:dyDescent="0.3">
      <c r="A4272" t="s">
        <v>6897</v>
      </c>
    </row>
    <row r="4273" spans="1:1" x14ac:dyDescent="0.3">
      <c r="A4273" t="s">
        <v>6897</v>
      </c>
    </row>
    <row r="4274" spans="1:1" x14ac:dyDescent="0.3">
      <c r="A4274" t="s">
        <v>6897</v>
      </c>
    </row>
    <row r="4275" spans="1:1" x14ac:dyDescent="0.3">
      <c r="A4275" t="s">
        <v>6897</v>
      </c>
    </row>
    <row r="4276" spans="1:1" x14ac:dyDescent="0.3">
      <c r="A4276" t="s">
        <v>6897</v>
      </c>
    </row>
    <row r="4277" spans="1:1" x14ac:dyDescent="0.3">
      <c r="A4277" t="s">
        <v>6898</v>
      </c>
    </row>
    <row r="4278" spans="1:1" x14ac:dyDescent="0.3">
      <c r="A4278" t="s">
        <v>6898</v>
      </c>
    </row>
    <row r="4279" spans="1:1" x14ac:dyDescent="0.3">
      <c r="A4279" t="s">
        <v>6898</v>
      </c>
    </row>
    <row r="4280" spans="1:1" x14ac:dyDescent="0.3">
      <c r="A4280" t="s">
        <v>6898</v>
      </c>
    </row>
    <row r="4281" spans="1:1" x14ac:dyDescent="0.3">
      <c r="A4281" t="s">
        <v>6898</v>
      </c>
    </row>
    <row r="4282" spans="1:1" x14ac:dyDescent="0.3">
      <c r="A4282" t="s">
        <v>6898</v>
      </c>
    </row>
    <row r="4283" spans="1:1" x14ac:dyDescent="0.3">
      <c r="A4283" t="s">
        <v>6899</v>
      </c>
    </row>
    <row r="4284" spans="1:1" x14ac:dyDescent="0.3">
      <c r="A4284" t="s">
        <v>6899</v>
      </c>
    </row>
    <row r="4285" spans="1:1" x14ac:dyDescent="0.3">
      <c r="A4285" t="s">
        <v>6899</v>
      </c>
    </row>
    <row r="4286" spans="1:1" x14ac:dyDescent="0.3">
      <c r="A4286" t="s">
        <v>6899</v>
      </c>
    </row>
    <row r="4287" spans="1:1" x14ac:dyDescent="0.3">
      <c r="A4287" t="s">
        <v>6900</v>
      </c>
    </row>
    <row r="4288" spans="1:1" x14ac:dyDescent="0.3">
      <c r="A4288" t="s">
        <v>6900</v>
      </c>
    </row>
    <row r="4289" spans="1:1" x14ac:dyDescent="0.3">
      <c r="A4289" t="s">
        <v>6900</v>
      </c>
    </row>
    <row r="4290" spans="1:1" x14ac:dyDescent="0.3">
      <c r="A4290" t="s">
        <v>6900</v>
      </c>
    </row>
    <row r="4291" spans="1:1" x14ac:dyDescent="0.3">
      <c r="A4291" t="s">
        <v>6900</v>
      </c>
    </row>
    <row r="4292" spans="1:1" x14ac:dyDescent="0.3">
      <c r="A4292" t="s">
        <v>6900</v>
      </c>
    </row>
    <row r="4293" spans="1:1" x14ac:dyDescent="0.3">
      <c r="A4293" t="s">
        <v>6900</v>
      </c>
    </row>
    <row r="4294" spans="1:1" x14ac:dyDescent="0.3">
      <c r="A4294" t="s">
        <v>6900</v>
      </c>
    </row>
    <row r="4295" spans="1:1" x14ac:dyDescent="0.3">
      <c r="A4295" t="s">
        <v>6900</v>
      </c>
    </row>
    <row r="4296" spans="1:1" x14ac:dyDescent="0.3">
      <c r="A4296" t="s">
        <v>6900</v>
      </c>
    </row>
    <row r="4297" spans="1:1" x14ac:dyDescent="0.3">
      <c r="A4297" t="s">
        <v>6636</v>
      </c>
    </row>
    <row r="4298" spans="1:1" x14ac:dyDescent="0.3">
      <c r="A4298" t="s">
        <v>7226</v>
      </c>
    </row>
    <row r="4299" spans="1:1" x14ac:dyDescent="0.3">
      <c r="A4299" t="s">
        <v>7226</v>
      </c>
    </row>
    <row r="4300" spans="1:1" x14ac:dyDescent="0.3">
      <c r="A4300" t="s">
        <v>7293</v>
      </c>
    </row>
    <row r="4301" spans="1:1" x14ac:dyDescent="0.3">
      <c r="A4301" t="s">
        <v>7049</v>
      </c>
    </row>
    <row r="4302" spans="1:1" x14ac:dyDescent="0.3">
      <c r="A4302" t="s">
        <v>7224</v>
      </c>
    </row>
    <row r="4303" spans="1:1" x14ac:dyDescent="0.3">
      <c r="A4303" t="s">
        <v>6901</v>
      </c>
    </row>
    <row r="4304" spans="1:1" x14ac:dyDescent="0.3">
      <c r="A4304" t="s">
        <v>6901</v>
      </c>
    </row>
    <row r="4305" spans="1:1" x14ac:dyDescent="0.3">
      <c r="A4305" t="s">
        <v>6901</v>
      </c>
    </row>
    <row r="4306" spans="1:1" x14ac:dyDescent="0.3">
      <c r="A4306" t="s">
        <v>6901</v>
      </c>
    </row>
    <row r="4307" spans="1:1" x14ac:dyDescent="0.3">
      <c r="A4307" t="s">
        <v>6901</v>
      </c>
    </row>
    <row r="4308" spans="1:1" x14ac:dyDescent="0.3">
      <c r="A4308" t="s">
        <v>6901</v>
      </c>
    </row>
    <row r="4309" spans="1:1" x14ac:dyDescent="0.3">
      <c r="A4309" t="s">
        <v>6901</v>
      </c>
    </row>
    <row r="4310" spans="1:1" x14ac:dyDescent="0.3">
      <c r="A4310" t="s">
        <v>6901</v>
      </c>
    </row>
    <row r="4311" spans="1:1" x14ac:dyDescent="0.3">
      <c r="A4311" t="s">
        <v>6901</v>
      </c>
    </row>
    <row r="4312" spans="1:1" x14ac:dyDescent="0.3">
      <c r="A4312" t="s">
        <v>6901</v>
      </c>
    </row>
    <row r="4313" spans="1:1" x14ac:dyDescent="0.3">
      <c r="A4313" t="s">
        <v>6901</v>
      </c>
    </row>
    <row r="4314" spans="1:1" x14ac:dyDescent="0.3">
      <c r="A4314" t="s">
        <v>6902</v>
      </c>
    </row>
    <row r="4315" spans="1:1" x14ac:dyDescent="0.3">
      <c r="A4315" t="s">
        <v>6902</v>
      </c>
    </row>
    <row r="4316" spans="1:1" x14ac:dyDescent="0.3">
      <c r="A4316" t="s">
        <v>6902</v>
      </c>
    </row>
    <row r="4317" spans="1:1" x14ac:dyDescent="0.3">
      <c r="A4317" t="s">
        <v>6903</v>
      </c>
    </row>
    <row r="4318" spans="1:1" x14ac:dyDescent="0.3">
      <c r="A4318" t="s">
        <v>6903</v>
      </c>
    </row>
    <row r="4319" spans="1:1" x14ac:dyDescent="0.3">
      <c r="A4319" t="s">
        <v>6903</v>
      </c>
    </row>
    <row r="4320" spans="1:1" x14ac:dyDescent="0.3">
      <c r="A4320" t="s">
        <v>6903</v>
      </c>
    </row>
    <row r="4321" spans="1:1" x14ac:dyDescent="0.3">
      <c r="A4321" t="s">
        <v>6903</v>
      </c>
    </row>
    <row r="4322" spans="1:1" x14ac:dyDescent="0.3">
      <c r="A4322" t="s">
        <v>6903</v>
      </c>
    </row>
  </sheetData>
  <sortState xmlns:xlrd2="http://schemas.microsoft.com/office/spreadsheetml/2017/richdata2" ref="F1:G4360">
    <sortCondition descending="1" ref="G1:G43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5677-9BED-42C9-8A20-EB404CDDE2E2}">
  <dimension ref="A1:G2981"/>
  <sheetViews>
    <sheetView topLeftCell="C1" workbookViewId="0">
      <selection activeCell="F1" sqref="F1:G20"/>
    </sheetView>
  </sheetViews>
  <sheetFormatPr baseColWidth="10" defaultRowHeight="14.4" x14ac:dyDescent="0.3"/>
  <cols>
    <col min="1" max="1" width="63.21875" bestFit="1" customWidth="1"/>
    <col min="2" max="2" width="151.33203125" bestFit="1" customWidth="1"/>
    <col min="3" max="3" width="129.5546875" bestFit="1" customWidth="1"/>
    <col min="6" max="6" width="18.44140625" customWidth="1"/>
  </cols>
  <sheetData>
    <row r="1" spans="1:7" x14ac:dyDescent="0.3">
      <c r="A1" t="s">
        <v>5280</v>
      </c>
      <c r="C1" t="str" cm="1">
        <f t="array" ref="C1:C737">_xlfn.UNIQUE(A1:A2981)</f>
        <v>17-beta-estradiol/Trimegestona</v>
      </c>
      <c r="D1">
        <f>COUNTIF(A$1:A$2981,C1)</f>
        <v>6</v>
      </c>
      <c r="F1" t="s">
        <v>377</v>
      </c>
      <c r="G1">
        <v>62</v>
      </c>
    </row>
    <row r="2" spans="1:7" x14ac:dyDescent="0.3">
      <c r="A2" t="s">
        <v>5280</v>
      </c>
      <c r="C2" t="str">
        <v>acarbose </v>
      </c>
      <c r="D2">
        <f>COUNTIF(A$1:A$2981,C2)</f>
        <v>1</v>
      </c>
      <c r="F2" t="s">
        <v>5032</v>
      </c>
      <c r="G2">
        <v>41</v>
      </c>
    </row>
    <row r="3" spans="1:7" x14ac:dyDescent="0.3">
      <c r="A3" t="s">
        <v>5280</v>
      </c>
      <c r="C3" t="str">
        <v>ACE INHIBITORS, PLAIN</v>
      </c>
      <c r="D3">
        <f t="shared" ref="D3:D66" si="0">COUNTIF(A$1:A$2981,C3)</f>
        <v>1</v>
      </c>
      <c r="F3" t="s">
        <v>4991</v>
      </c>
      <c r="G3">
        <v>34</v>
      </c>
    </row>
    <row r="4" spans="1:7" x14ac:dyDescent="0.3">
      <c r="A4" t="s">
        <v>5280</v>
      </c>
      <c r="C4" t="str">
        <v>acetylcysteine</v>
      </c>
      <c r="D4">
        <f t="shared" si="0"/>
        <v>3</v>
      </c>
      <c r="F4" t="s">
        <v>5128</v>
      </c>
      <c r="G4">
        <v>34</v>
      </c>
    </row>
    <row r="5" spans="1:7" x14ac:dyDescent="0.3">
      <c r="A5" t="s">
        <v>5280</v>
      </c>
      <c r="C5" t="str">
        <v>acetylsalicylic acid</v>
      </c>
      <c r="D5">
        <f t="shared" si="0"/>
        <v>7</v>
      </c>
      <c r="F5" t="s">
        <v>1108</v>
      </c>
      <c r="G5">
        <v>29</v>
      </c>
    </row>
    <row r="6" spans="1:7" x14ac:dyDescent="0.3">
      <c r="A6" t="s">
        <v>5280</v>
      </c>
      <c r="C6" t="str">
        <v>acetylsalicylic acid </v>
      </c>
      <c r="D6">
        <f t="shared" si="0"/>
        <v>1</v>
      </c>
      <c r="F6" t="s">
        <v>4969</v>
      </c>
      <c r="G6">
        <v>29</v>
      </c>
    </row>
    <row r="7" spans="1:7" x14ac:dyDescent="0.3">
      <c r="A7" t="s">
        <v>502</v>
      </c>
      <c r="B7" t="s">
        <v>503</v>
      </c>
      <c r="C7" t="str">
        <v>aciclovir</v>
      </c>
      <c r="D7">
        <f t="shared" si="0"/>
        <v>23</v>
      </c>
      <c r="F7" t="s">
        <v>5031</v>
      </c>
      <c r="G7">
        <v>29</v>
      </c>
    </row>
    <row r="8" spans="1:7" x14ac:dyDescent="0.3">
      <c r="A8" t="s">
        <v>2824</v>
      </c>
      <c r="C8" t="str">
        <v>adapalene, combinations</v>
      </c>
      <c r="D8">
        <f t="shared" si="0"/>
        <v>5</v>
      </c>
      <c r="F8" t="s">
        <v>4963</v>
      </c>
      <c r="G8">
        <v>27</v>
      </c>
    </row>
    <row r="9" spans="1:7" x14ac:dyDescent="0.3">
      <c r="A9" t="s">
        <v>428</v>
      </c>
      <c r="B9" t="s">
        <v>2507</v>
      </c>
      <c r="C9" t="str">
        <v>ademetionine </v>
      </c>
      <c r="D9">
        <f t="shared" si="0"/>
        <v>1</v>
      </c>
      <c r="F9" t="s">
        <v>364</v>
      </c>
      <c r="G9">
        <v>26</v>
      </c>
    </row>
    <row r="10" spans="1:7" x14ac:dyDescent="0.3">
      <c r="A10" t="s">
        <v>428</v>
      </c>
      <c r="B10" t="s">
        <v>2507</v>
      </c>
      <c r="C10" t="str">
        <v>AGENTS AGAINST AMOEBIASIS AND OTHER PROTOZOAL DISEASES</v>
      </c>
      <c r="D10">
        <f t="shared" si="0"/>
        <v>7</v>
      </c>
      <c r="F10" t="s">
        <v>1798</v>
      </c>
      <c r="G10">
        <v>26</v>
      </c>
    </row>
    <row r="11" spans="1:7" x14ac:dyDescent="0.3">
      <c r="A11" t="s">
        <v>428</v>
      </c>
      <c r="B11" t="s">
        <v>429</v>
      </c>
      <c r="C11" t="str">
        <v>albendazole</v>
      </c>
      <c r="D11">
        <f t="shared" si="0"/>
        <v>18</v>
      </c>
      <c r="F11" t="s">
        <v>488</v>
      </c>
      <c r="G11">
        <v>25</v>
      </c>
    </row>
    <row r="12" spans="1:7" x14ac:dyDescent="0.3">
      <c r="A12" t="s">
        <v>863</v>
      </c>
      <c r="C12" t="str">
        <v>alendronic acid</v>
      </c>
      <c r="D12">
        <f t="shared" si="0"/>
        <v>1</v>
      </c>
      <c r="F12" t="s">
        <v>5044</v>
      </c>
      <c r="G12">
        <v>25</v>
      </c>
    </row>
    <row r="13" spans="1:7" x14ac:dyDescent="0.3">
      <c r="A13" t="s">
        <v>863</v>
      </c>
      <c r="C13" t="str">
        <v>alogliptin </v>
      </c>
      <c r="D13">
        <f t="shared" si="0"/>
        <v>1</v>
      </c>
      <c r="F13" t="s">
        <v>2202</v>
      </c>
      <c r="G13">
        <v>24</v>
      </c>
    </row>
    <row r="14" spans="1:7" x14ac:dyDescent="0.3">
      <c r="A14" t="s">
        <v>863</v>
      </c>
      <c r="B14" t="s">
        <v>864</v>
      </c>
      <c r="C14" t="str">
        <v>alprazolam</v>
      </c>
      <c r="D14">
        <f t="shared" si="0"/>
        <v>4</v>
      </c>
      <c r="F14" t="s">
        <v>392</v>
      </c>
      <c r="G14">
        <v>24</v>
      </c>
    </row>
    <row r="15" spans="1:7" x14ac:dyDescent="0.3">
      <c r="A15" t="s">
        <v>863</v>
      </c>
      <c r="B15" t="s">
        <v>2106</v>
      </c>
      <c r="C15" t="str">
        <v>amantadine</v>
      </c>
      <c r="D15">
        <f t="shared" si="0"/>
        <v>1</v>
      </c>
      <c r="F15" t="s">
        <v>5192</v>
      </c>
      <c r="G15">
        <v>24</v>
      </c>
    </row>
    <row r="16" spans="1:7" x14ac:dyDescent="0.3">
      <c r="A16" t="s">
        <v>863</v>
      </c>
      <c r="B16" t="s">
        <v>2106</v>
      </c>
      <c r="C16" t="str">
        <v>ambroxol</v>
      </c>
      <c r="D16">
        <f t="shared" si="0"/>
        <v>16</v>
      </c>
      <c r="F16" t="s">
        <v>5074</v>
      </c>
      <c r="G16">
        <v>24</v>
      </c>
    </row>
    <row r="17" spans="1:7" x14ac:dyDescent="0.3">
      <c r="A17" t="s">
        <v>863</v>
      </c>
      <c r="B17" t="s">
        <v>2106</v>
      </c>
      <c r="C17" t="str">
        <v>amikacin</v>
      </c>
      <c r="D17">
        <f t="shared" si="0"/>
        <v>1</v>
      </c>
      <c r="F17" t="s">
        <v>5067</v>
      </c>
      <c r="G17">
        <v>24</v>
      </c>
    </row>
    <row r="18" spans="1:7" x14ac:dyDescent="0.3">
      <c r="A18" t="s">
        <v>863</v>
      </c>
      <c r="C18" t="str">
        <v>Amino acids, incl. combinations with polypeptides</v>
      </c>
      <c r="D18">
        <f t="shared" si="0"/>
        <v>4</v>
      </c>
      <c r="F18" t="s">
        <v>1992</v>
      </c>
      <c r="G18">
        <v>23</v>
      </c>
    </row>
    <row r="19" spans="1:7" x14ac:dyDescent="0.3">
      <c r="A19" t="s">
        <v>2513</v>
      </c>
      <c r="C19" t="str">
        <v>amiodarone </v>
      </c>
      <c r="D19">
        <f t="shared" si="0"/>
        <v>2</v>
      </c>
      <c r="F19" t="s">
        <v>5316</v>
      </c>
      <c r="G19">
        <v>23</v>
      </c>
    </row>
    <row r="20" spans="1:7" x14ac:dyDescent="0.3">
      <c r="A20" t="s">
        <v>1992</v>
      </c>
      <c r="C20" t="str">
        <v>amlodipine and diuretics </v>
      </c>
      <c r="D20">
        <f t="shared" si="0"/>
        <v>3</v>
      </c>
      <c r="F20" t="s">
        <v>5071</v>
      </c>
      <c r="G20">
        <v>23</v>
      </c>
    </row>
    <row r="21" spans="1:7" x14ac:dyDescent="0.3">
      <c r="A21" t="s">
        <v>1992</v>
      </c>
      <c r="C21" t="str">
        <v>amlodipine </v>
      </c>
      <c r="D21">
        <f t="shared" si="0"/>
        <v>4</v>
      </c>
      <c r="F21" t="s">
        <v>1137</v>
      </c>
      <c r="G21">
        <v>22</v>
      </c>
    </row>
    <row r="22" spans="1:7" x14ac:dyDescent="0.3">
      <c r="A22" t="s">
        <v>1992</v>
      </c>
      <c r="C22" t="str">
        <v>amoxicillin</v>
      </c>
      <c r="D22">
        <f t="shared" si="0"/>
        <v>10</v>
      </c>
      <c r="F22" t="s">
        <v>5034</v>
      </c>
      <c r="G22">
        <v>22</v>
      </c>
    </row>
    <row r="23" spans="1:7" x14ac:dyDescent="0.3">
      <c r="A23" t="s">
        <v>1992</v>
      </c>
      <c r="C23" t="str">
        <v>amoxicillin and beta-lactamase inhibitor</v>
      </c>
      <c r="D23">
        <f t="shared" si="0"/>
        <v>3</v>
      </c>
      <c r="F23" t="s">
        <v>864</v>
      </c>
      <c r="G23">
        <v>21</v>
      </c>
    </row>
    <row r="24" spans="1:7" x14ac:dyDescent="0.3">
      <c r="A24" t="s">
        <v>1992</v>
      </c>
      <c r="C24" t="str">
        <v>ANALGESICS</v>
      </c>
      <c r="D24">
        <f t="shared" si="0"/>
        <v>1</v>
      </c>
      <c r="F24" t="s">
        <v>90</v>
      </c>
      <c r="G24">
        <v>20</v>
      </c>
    </row>
    <row r="25" spans="1:7" x14ac:dyDescent="0.3">
      <c r="A25" t="s">
        <v>1992</v>
      </c>
      <c r="C25" t="str">
        <v>ANESTHETICS, LOCAL</v>
      </c>
      <c r="D25">
        <f t="shared" si="0"/>
        <v>1</v>
      </c>
      <c r="F25" t="s">
        <v>5052</v>
      </c>
      <c r="G25">
        <v>20</v>
      </c>
    </row>
    <row r="26" spans="1:7" x14ac:dyDescent="0.3">
      <c r="A26" t="s">
        <v>1992</v>
      </c>
      <c r="C26" t="str">
        <v>Angiotensin II receptor blockers (ARBs), other combinations</v>
      </c>
      <c r="D26">
        <f t="shared" si="0"/>
        <v>2</v>
      </c>
      <c r="F26" t="s">
        <v>663</v>
      </c>
      <c r="G26">
        <v>19</v>
      </c>
    </row>
    <row r="27" spans="1:7" x14ac:dyDescent="0.3">
      <c r="A27" t="s">
        <v>1992</v>
      </c>
      <c r="C27" t="str">
        <v>Antibiotics and corticosteroids</v>
      </c>
      <c r="D27">
        <f t="shared" si="0"/>
        <v>1</v>
      </c>
      <c r="F27" t="s">
        <v>1673</v>
      </c>
      <c r="G27">
        <v>18</v>
      </c>
    </row>
    <row r="28" spans="1:7" x14ac:dyDescent="0.3">
      <c r="A28" t="s">
        <v>292</v>
      </c>
      <c r="B28" t="s">
        <v>293</v>
      </c>
      <c r="C28" t="str">
        <v>Antidiarrheal microorganisms</v>
      </c>
      <c r="D28">
        <f t="shared" si="0"/>
        <v>2</v>
      </c>
      <c r="F28" t="s">
        <v>1193</v>
      </c>
      <c r="G28">
        <v>18</v>
      </c>
    </row>
    <row r="29" spans="1:7" x14ac:dyDescent="0.3">
      <c r="A29" t="s">
        <v>292</v>
      </c>
      <c r="B29" t="s">
        <v>293</v>
      </c>
      <c r="C29" t="str">
        <v>ANTIFUNGALS FOR TOPICAL USE</v>
      </c>
      <c r="D29">
        <f t="shared" si="0"/>
        <v>1</v>
      </c>
      <c r="F29" t="s">
        <v>208</v>
      </c>
      <c r="G29">
        <v>18</v>
      </c>
    </row>
    <row r="30" spans="1:7" x14ac:dyDescent="0.3">
      <c r="A30" t="s">
        <v>292</v>
      </c>
      <c r="B30" t="s">
        <v>293</v>
      </c>
      <c r="C30" t="str">
        <v>apixaban </v>
      </c>
      <c r="D30">
        <f t="shared" si="0"/>
        <v>5</v>
      </c>
      <c r="F30" t="s">
        <v>435</v>
      </c>
      <c r="G30">
        <v>16</v>
      </c>
    </row>
    <row r="31" spans="1:7" x14ac:dyDescent="0.3">
      <c r="A31" t="s">
        <v>292</v>
      </c>
      <c r="B31" t="s">
        <v>293</v>
      </c>
      <c r="C31" t="str">
        <v>artificial tears and other indifferent preparations</v>
      </c>
      <c r="D31">
        <f t="shared" si="0"/>
        <v>3</v>
      </c>
      <c r="F31" t="s">
        <v>81</v>
      </c>
      <c r="G31">
        <v>16</v>
      </c>
    </row>
    <row r="32" spans="1:7" x14ac:dyDescent="0.3">
      <c r="A32" t="s">
        <v>292</v>
      </c>
      <c r="B32" t="s">
        <v>293</v>
      </c>
      <c r="C32" t="str">
        <v>ascorbic acid (vit C)</v>
      </c>
      <c r="D32">
        <f t="shared" si="0"/>
        <v>6</v>
      </c>
      <c r="F32" t="s">
        <v>5097</v>
      </c>
      <c r="G32">
        <v>16</v>
      </c>
    </row>
    <row r="33" spans="1:7" x14ac:dyDescent="0.3">
      <c r="A33" t="s">
        <v>2943</v>
      </c>
      <c r="C33" t="str">
        <v>atenolol and nifedipine </v>
      </c>
      <c r="D33">
        <f t="shared" si="0"/>
        <v>5</v>
      </c>
      <c r="F33" t="s">
        <v>5146</v>
      </c>
      <c r="G33">
        <v>16</v>
      </c>
    </row>
    <row r="34" spans="1:7" x14ac:dyDescent="0.3">
      <c r="A34" t="s">
        <v>2910</v>
      </c>
      <c r="C34" t="str">
        <v>atorvastatin and ezetimibe </v>
      </c>
      <c r="D34">
        <f t="shared" si="0"/>
        <v>1</v>
      </c>
      <c r="F34" t="s">
        <v>1987</v>
      </c>
      <c r="G34">
        <v>15</v>
      </c>
    </row>
    <row r="35" spans="1:7" x14ac:dyDescent="0.3">
      <c r="A35" t="s">
        <v>2910</v>
      </c>
      <c r="C35" t="str">
        <v>atorvastatin </v>
      </c>
      <c r="D35">
        <f t="shared" si="0"/>
        <v>7</v>
      </c>
      <c r="F35" t="s">
        <v>5203</v>
      </c>
      <c r="G35">
        <v>15</v>
      </c>
    </row>
    <row r="36" spans="1:7" x14ac:dyDescent="0.3">
      <c r="A36" t="s">
        <v>2910</v>
      </c>
      <c r="C36" t="str">
        <v>azithromycin</v>
      </c>
      <c r="D36">
        <f t="shared" si="0"/>
        <v>2</v>
      </c>
      <c r="F36" t="s">
        <v>768</v>
      </c>
      <c r="G36">
        <v>14</v>
      </c>
    </row>
    <row r="37" spans="1:7" x14ac:dyDescent="0.3">
      <c r="A37" t="s">
        <v>2910</v>
      </c>
      <c r="C37" t="str">
        <v>benzalkonium</v>
      </c>
      <c r="D37">
        <f t="shared" si="0"/>
        <v>2</v>
      </c>
      <c r="F37" t="s">
        <v>4977</v>
      </c>
      <c r="G37">
        <v>14</v>
      </c>
    </row>
    <row r="38" spans="1:7" x14ac:dyDescent="0.3">
      <c r="A38" t="s">
        <v>2910</v>
      </c>
      <c r="C38" t="str">
        <v>benzocaine</v>
      </c>
      <c r="D38">
        <f t="shared" si="0"/>
        <v>1</v>
      </c>
      <c r="F38" t="s">
        <v>5175</v>
      </c>
      <c r="G38">
        <v>14</v>
      </c>
    </row>
    <row r="39" spans="1:7" x14ac:dyDescent="0.3">
      <c r="A39" t="s">
        <v>2910</v>
      </c>
      <c r="C39" t="str">
        <v>benzonatate</v>
      </c>
      <c r="D39">
        <f t="shared" si="0"/>
        <v>5</v>
      </c>
      <c r="F39" t="s">
        <v>5010</v>
      </c>
      <c r="G39">
        <v>14</v>
      </c>
    </row>
    <row r="40" spans="1:7" x14ac:dyDescent="0.3">
      <c r="A40" t="s">
        <v>2910</v>
      </c>
      <c r="C40" t="str">
        <v>benzydamine</v>
      </c>
      <c r="D40">
        <f t="shared" si="0"/>
        <v>1</v>
      </c>
      <c r="F40" t="s">
        <v>5020</v>
      </c>
      <c r="G40">
        <v>14</v>
      </c>
    </row>
    <row r="41" spans="1:7" x14ac:dyDescent="0.3">
      <c r="A41" t="s">
        <v>1673</v>
      </c>
      <c r="C41" t="str">
        <v>betahistine</v>
      </c>
      <c r="D41">
        <f t="shared" si="0"/>
        <v>2</v>
      </c>
      <c r="F41" t="s">
        <v>1524</v>
      </c>
      <c r="G41">
        <v>14</v>
      </c>
    </row>
    <row r="42" spans="1:7" x14ac:dyDescent="0.3">
      <c r="A42" t="s">
        <v>1673</v>
      </c>
      <c r="C42" t="str">
        <v>Beta-lactamase sensitive penicillins</v>
      </c>
      <c r="D42">
        <f t="shared" si="0"/>
        <v>1</v>
      </c>
      <c r="F42" t="s">
        <v>761</v>
      </c>
      <c r="G42">
        <v>14</v>
      </c>
    </row>
    <row r="43" spans="1:7" x14ac:dyDescent="0.3">
      <c r="A43" t="s">
        <v>1673</v>
      </c>
      <c r="C43" t="str">
        <v>betamethasone</v>
      </c>
      <c r="D43">
        <f t="shared" si="0"/>
        <v>2</v>
      </c>
      <c r="F43" t="s">
        <v>5098</v>
      </c>
      <c r="G43">
        <v>14</v>
      </c>
    </row>
    <row r="44" spans="1:7" x14ac:dyDescent="0.3">
      <c r="A44" t="s">
        <v>1673</v>
      </c>
      <c r="C44" t="str">
        <v>betamethasone and antibiotics</v>
      </c>
      <c r="D44">
        <f t="shared" si="0"/>
        <v>2</v>
      </c>
      <c r="F44" t="s">
        <v>1623</v>
      </c>
      <c r="G44">
        <v>13</v>
      </c>
    </row>
    <row r="45" spans="1:7" x14ac:dyDescent="0.3">
      <c r="A45" t="s">
        <v>1673</v>
      </c>
      <c r="C45" t="str">
        <v>bezafibrate </v>
      </c>
      <c r="D45">
        <f t="shared" si="0"/>
        <v>1</v>
      </c>
      <c r="F45" t="s">
        <v>4973</v>
      </c>
      <c r="G45">
        <v>13</v>
      </c>
    </row>
    <row r="46" spans="1:7" x14ac:dyDescent="0.3">
      <c r="A46" t="s">
        <v>1673</v>
      </c>
      <c r="C46" t="str">
        <v>bifonazole</v>
      </c>
      <c r="D46">
        <f t="shared" si="0"/>
        <v>2</v>
      </c>
      <c r="F46" t="s">
        <v>5306</v>
      </c>
      <c r="G46">
        <v>13</v>
      </c>
    </row>
    <row r="47" spans="1:7" x14ac:dyDescent="0.3">
      <c r="A47" t="s">
        <v>1673</v>
      </c>
      <c r="C47" t="str">
        <v>bimatoprost</v>
      </c>
      <c r="D47">
        <f t="shared" si="0"/>
        <v>4</v>
      </c>
      <c r="F47" t="s">
        <v>4980</v>
      </c>
      <c r="G47">
        <v>13</v>
      </c>
    </row>
    <row r="48" spans="1:7" x14ac:dyDescent="0.3">
      <c r="A48" t="s">
        <v>1673</v>
      </c>
      <c r="C48" t="str">
        <v>biperiden</v>
      </c>
      <c r="D48">
        <f t="shared" si="0"/>
        <v>3</v>
      </c>
      <c r="F48" t="s">
        <v>4979</v>
      </c>
      <c r="G48">
        <v>13</v>
      </c>
    </row>
    <row r="49" spans="1:7" x14ac:dyDescent="0.3">
      <c r="A49" t="s">
        <v>1673</v>
      </c>
      <c r="C49" t="str">
        <v>bisoprolol </v>
      </c>
      <c r="D49">
        <f t="shared" si="0"/>
        <v>2</v>
      </c>
      <c r="F49" t="s">
        <v>809</v>
      </c>
      <c r="G49">
        <v>13</v>
      </c>
    </row>
    <row r="50" spans="1:7" x14ac:dyDescent="0.3">
      <c r="A50" t="s">
        <v>1673</v>
      </c>
      <c r="B50" t="s">
        <v>1674</v>
      </c>
      <c r="C50" t="str">
        <v>bromhexine</v>
      </c>
      <c r="D50">
        <f t="shared" si="0"/>
        <v>3</v>
      </c>
      <c r="F50" t="s">
        <v>5182</v>
      </c>
      <c r="G50">
        <v>13</v>
      </c>
    </row>
    <row r="51" spans="1:7" x14ac:dyDescent="0.3">
      <c r="A51" t="s">
        <v>1673</v>
      </c>
      <c r="B51" t="s">
        <v>1674</v>
      </c>
      <c r="C51" t="str">
        <v>budesonide</v>
      </c>
      <c r="D51">
        <f t="shared" si="0"/>
        <v>2</v>
      </c>
      <c r="F51" t="s">
        <v>5073</v>
      </c>
      <c r="G51">
        <v>13</v>
      </c>
    </row>
    <row r="52" spans="1:7" x14ac:dyDescent="0.3">
      <c r="A52" t="s">
        <v>1673</v>
      </c>
      <c r="B52" t="s">
        <v>1674</v>
      </c>
      <c r="C52" t="str">
        <v>bumetanide </v>
      </c>
      <c r="D52">
        <f t="shared" si="0"/>
        <v>3</v>
      </c>
      <c r="F52" t="s">
        <v>4971</v>
      </c>
      <c r="G52">
        <v>13</v>
      </c>
    </row>
    <row r="53" spans="1:7" x14ac:dyDescent="0.3">
      <c r="A53" t="s">
        <v>1673</v>
      </c>
      <c r="B53" t="s">
        <v>1674</v>
      </c>
      <c r="C53" t="str">
        <v>buprenorphine</v>
      </c>
      <c r="D53">
        <f t="shared" si="0"/>
        <v>2</v>
      </c>
      <c r="F53" t="s">
        <v>5057</v>
      </c>
      <c r="G53">
        <v>13</v>
      </c>
    </row>
    <row r="54" spans="1:7" x14ac:dyDescent="0.3">
      <c r="A54" t="s">
        <v>1673</v>
      </c>
      <c r="B54" t="s">
        <v>1674</v>
      </c>
      <c r="C54" t="str">
        <v>butylscopolamine and analgesics</v>
      </c>
      <c r="D54">
        <f t="shared" si="0"/>
        <v>2</v>
      </c>
      <c r="F54" t="s">
        <v>4964</v>
      </c>
      <c r="G54">
        <v>13</v>
      </c>
    </row>
    <row r="55" spans="1:7" x14ac:dyDescent="0.3">
      <c r="A55" t="s">
        <v>1673</v>
      </c>
      <c r="B55" t="s">
        <v>1674</v>
      </c>
      <c r="C55" t="str">
        <v>butylscopolamine </v>
      </c>
      <c r="D55">
        <f t="shared" si="0"/>
        <v>3</v>
      </c>
      <c r="F55" t="s">
        <v>5038</v>
      </c>
      <c r="G55">
        <v>12</v>
      </c>
    </row>
    <row r="56" spans="1:7" x14ac:dyDescent="0.3">
      <c r="A56" t="s">
        <v>1673</v>
      </c>
      <c r="B56" t="s">
        <v>1674</v>
      </c>
      <c r="C56" t="str">
        <v>calcitriol </v>
      </c>
      <c r="D56">
        <f t="shared" si="0"/>
        <v>5</v>
      </c>
      <c r="F56" t="s">
        <v>5304</v>
      </c>
      <c r="G56">
        <v>12</v>
      </c>
    </row>
    <row r="57" spans="1:7" x14ac:dyDescent="0.3">
      <c r="A57" t="s">
        <v>1673</v>
      </c>
      <c r="B57" t="s">
        <v>1674</v>
      </c>
      <c r="C57" t="str">
        <v>calcium (different salts in combination) </v>
      </c>
      <c r="D57">
        <f t="shared" si="0"/>
        <v>1</v>
      </c>
      <c r="F57" t="s">
        <v>5018</v>
      </c>
      <c r="G57">
        <v>12</v>
      </c>
    </row>
    <row r="58" spans="1:7" x14ac:dyDescent="0.3">
      <c r="A58" t="s">
        <v>1673</v>
      </c>
      <c r="B58" t="s">
        <v>2361</v>
      </c>
      <c r="C58" t="str">
        <v>calcium lactate gluconate </v>
      </c>
      <c r="D58">
        <f t="shared" si="0"/>
        <v>1</v>
      </c>
      <c r="F58" t="s">
        <v>5015</v>
      </c>
      <c r="G58">
        <v>12</v>
      </c>
    </row>
    <row r="59" spans="1:7" x14ac:dyDescent="0.3">
      <c r="A59" t="s">
        <v>1749</v>
      </c>
      <c r="B59" t="s">
        <v>1750</v>
      </c>
      <c r="C59" t="str">
        <v>Calcium, combinations with vitamin D and/or other drugs</v>
      </c>
      <c r="D59">
        <f t="shared" si="0"/>
        <v>1</v>
      </c>
      <c r="F59" t="s">
        <v>1574</v>
      </c>
      <c r="G59">
        <v>11</v>
      </c>
    </row>
    <row r="60" spans="1:7" x14ac:dyDescent="0.3">
      <c r="A60" t="s">
        <v>2260</v>
      </c>
      <c r="B60" t="s">
        <v>2261</v>
      </c>
      <c r="C60" t="str">
        <v>capecitabine</v>
      </c>
      <c r="D60">
        <f t="shared" si="0"/>
        <v>1</v>
      </c>
      <c r="F60" t="s">
        <v>5265</v>
      </c>
      <c r="G60">
        <v>11</v>
      </c>
    </row>
    <row r="61" spans="1:7" x14ac:dyDescent="0.3">
      <c r="A61" t="s">
        <v>1777</v>
      </c>
      <c r="B61" t="s">
        <v>1864</v>
      </c>
      <c r="C61" t="str">
        <v>captopril </v>
      </c>
      <c r="D61">
        <f t="shared" si="0"/>
        <v>1</v>
      </c>
      <c r="F61" t="s">
        <v>5264</v>
      </c>
      <c r="G61">
        <v>11</v>
      </c>
    </row>
    <row r="62" spans="1:7" x14ac:dyDescent="0.3">
      <c r="A62" t="s">
        <v>1777</v>
      </c>
      <c r="B62" t="s">
        <v>1778</v>
      </c>
      <c r="C62" t="str">
        <v>carbamazepine</v>
      </c>
      <c r="D62">
        <f t="shared" si="0"/>
        <v>7</v>
      </c>
      <c r="F62" t="s">
        <v>5004</v>
      </c>
      <c r="G62">
        <v>11</v>
      </c>
    </row>
    <row r="63" spans="1:7" x14ac:dyDescent="0.3">
      <c r="A63" t="s">
        <v>2721</v>
      </c>
      <c r="C63" t="str">
        <v>carvedilol and ivabradine</v>
      </c>
      <c r="D63">
        <f t="shared" si="0"/>
        <v>1</v>
      </c>
      <c r="F63" t="s">
        <v>5103</v>
      </c>
      <c r="G63">
        <v>11</v>
      </c>
    </row>
    <row r="64" spans="1:7" x14ac:dyDescent="0.3">
      <c r="A64" t="s">
        <v>435</v>
      </c>
      <c r="C64" t="str">
        <v>cefaclor</v>
      </c>
      <c r="D64">
        <f t="shared" si="0"/>
        <v>3</v>
      </c>
      <c r="F64" t="s">
        <v>5001</v>
      </c>
      <c r="G64">
        <v>11</v>
      </c>
    </row>
    <row r="65" spans="1:7" x14ac:dyDescent="0.3">
      <c r="A65" t="s">
        <v>435</v>
      </c>
      <c r="B65" t="s">
        <v>2080</v>
      </c>
      <c r="C65" t="str">
        <v>cefadroxil</v>
      </c>
      <c r="D65">
        <f t="shared" si="0"/>
        <v>1</v>
      </c>
      <c r="F65" t="s">
        <v>5002</v>
      </c>
      <c r="G65">
        <v>11</v>
      </c>
    </row>
    <row r="66" spans="1:7" x14ac:dyDescent="0.3">
      <c r="A66" t="s">
        <v>435</v>
      </c>
      <c r="B66" t="s">
        <v>436</v>
      </c>
      <c r="C66" t="str">
        <v>cefalexin</v>
      </c>
      <c r="D66">
        <f t="shared" si="0"/>
        <v>2</v>
      </c>
      <c r="F66" t="s">
        <v>5178</v>
      </c>
      <c r="G66">
        <v>11</v>
      </c>
    </row>
    <row r="67" spans="1:7" x14ac:dyDescent="0.3">
      <c r="A67" t="s">
        <v>1980</v>
      </c>
      <c r="C67" t="str">
        <v>ceftriaxone</v>
      </c>
      <c r="D67">
        <f t="shared" ref="D67:D130" si="1">COUNTIF(A$1:A$2981,C67)</f>
        <v>4</v>
      </c>
      <c r="F67" t="s">
        <v>5387</v>
      </c>
      <c r="G67">
        <v>11</v>
      </c>
    </row>
    <row r="68" spans="1:7" x14ac:dyDescent="0.3">
      <c r="A68" t="s">
        <v>952</v>
      </c>
      <c r="B68" t="s">
        <v>953</v>
      </c>
      <c r="C68" t="str">
        <v>cefuroxime</v>
      </c>
      <c r="D68">
        <f t="shared" si="1"/>
        <v>1</v>
      </c>
      <c r="F68" t="s">
        <v>325</v>
      </c>
      <c r="G68">
        <v>10</v>
      </c>
    </row>
    <row r="69" spans="1:7" x14ac:dyDescent="0.3">
      <c r="A69" t="s">
        <v>952</v>
      </c>
      <c r="B69" t="s">
        <v>953</v>
      </c>
      <c r="C69" t="str">
        <v>celecoxib</v>
      </c>
      <c r="D69">
        <f t="shared" si="1"/>
        <v>13</v>
      </c>
      <c r="F69" t="s">
        <v>855</v>
      </c>
      <c r="G69">
        <v>10</v>
      </c>
    </row>
    <row r="70" spans="1:7" x14ac:dyDescent="0.3">
      <c r="A70" t="s">
        <v>952</v>
      </c>
      <c r="B70" t="s">
        <v>953</v>
      </c>
      <c r="C70" t="str">
        <v>cetirizine</v>
      </c>
      <c r="D70">
        <f t="shared" si="1"/>
        <v>3</v>
      </c>
      <c r="F70" t="s">
        <v>2587</v>
      </c>
      <c r="G70">
        <v>10</v>
      </c>
    </row>
    <row r="71" spans="1:7" x14ac:dyDescent="0.3">
      <c r="A71" t="s">
        <v>952</v>
      </c>
      <c r="B71" t="s">
        <v>953</v>
      </c>
      <c r="C71" t="str">
        <v>chloramphenicol</v>
      </c>
      <c r="D71">
        <f t="shared" si="1"/>
        <v>2</v>
      </c>
      <c r="F71" t="s">
        <v>1535</v>
      </c>
      <c r="G71">
        <v>10</v>
      </c>
    </row>
    <row r="72" spans="1:7" x14ac:dyDescent="0.3">
      <c r="A72" t="s">
        <v>2968</v>
      </c>
      <c r="C72" t="str">
        <v>chlormadinone and ethinylestradiol</v>
      </c>
      <c r="D72">
        <f t="shared" si="1"/>
        <v>1</v>
      </c>
      <c r="F72" t="s">
        <v>5070</v>
      </c>
      <c r="G72">
        <v>10</v>
      </c>
    </row>
    <row r="73" spans="1:7" x14ac:dyDescent="0.3">
      <c r="A73" t="s">
        <v>2968</v>
      </c>
      <c r="C73" t="str">
        <v>chloroquine</v>
      </c>
      <c r="D73">
        <f t="shared" si="1"/>
        <v>1</v>
      </c>
      <c r="F73" t="s">
        <v>1254</v>
      </c>
      <c r="G73">
        <v>10</v>
      </c>
    </row>
    <row r="74" spans="1:7" x14ac:dyDescent="0.3">
      <c r="A74" t="s">
        <v>2452</v>
      </c>
      <c r="C74" t="str">
        <v>chlorphenamine</v>
      </c>
      <c r="D74">
        <f t="shared" si="1"/>
        <v>3</v>
      </c>
      <c r="F74" t="s">
        <v>5157</v>
      </c>
      <c r="G74">
        <v>10</v>
      </c>
    </row>
    <row r="75" spans="1:7" x14ac:dyDescent="0.3">
      <c r="A75" t="s">
        <v>2452</v>
      </c>
      <c r="C75" t="str">
        <v>chlorphenamine, combinations</v>
      </c>
      <c r="D75">
        <f t="shared" si="1"/>
        <v>1</v>
      </c>
      <c r="F75" t="s">
        <v>5076</v>
      </c>
      <c r="G75">
        <v>10</v>
      </c>
    </row>
    <row r="76" spans="1:7" x14ac:dyDescent="0.3">
      <c r="A76" t="s">
        <v>2452</v>
      </c>
      <c r="C76" t="str">
        <v>Cimicifugae rhizoma</v>
      </c>
      <c r="D76">
        <f t="shared" si="1"/>
        <v>1</v>
      </c>
      <c r="F76" t="s">
        <v>5033</v>
      </c>
      <c r="G76">
        <v>10</v>
      </c>
    </row>
    <row r="77" spans="1:7" x14ac:dyDescent="0.3">
      <c r="A77" t="s">
        <v>2283</v>
      </c>
      <c r="B77" t="s">
        <v>2284</v>
      </c>
      <c r="C77" t="str">
        <v>cinitapride </v>
      </c>
      <c r="D77">
        <f t="shared" si="1"/>
        <v>3</v>
      </c>
      <c r="F77" t="s">
        <v>5003</v>
      </c>
      <c r="G77">
        <v>10</v>
      </c>
    </row>
    <row r="78" spans="1:7" x14ac:dyDescent="0.3">
      <c r="A78" t="s">
        <v>2283</v>
      </c>
      <c r="B78" t="s">
        <v>2284</v>
      </c>
      <c r="C78" t="str">
        <v>cinnarizine</v>
      </c>
      <c r="D78">
        <f t="shared" si="1"/>
        <v>1</v>
      </c>
      <c r="F78" t="s">
        <v>5016</v>
      </c>
      <c r="G78">
        <v>10</v>
      </c>
    </row>
    <row r="79" spans="1:7" x14ac:dyDescent="0.3">
      <c r="A79" t="s">
        <v>2283</v>
      </c>
      <c r="B79" t="s">
        <v>2284</v>
      </c>
      <c r="C79" t="str">
        <v>ciprofibrate </v>
      </c>
      <c r="D79">
        <f t="shared" si="1"/>
        <v>1</v>
      </c>
      <c r="F79" t="s">
        <v>5242</v>
      </c>
      <c r="G79">
        <v>10</v>
      </c>
    </row>
    <row r="80" spans="1:7" x14ac:dyDescent="0.3">
      <c r="A80" t="s">
        <v>2283</v>
      </c>
      <c r="B80" t="s">
        <v>2284</v>
      </c>
      <c r="C80" t="str">
        <v>cisapride </v>
      </c>
      <c r="D80">
        <f t="shared" si="1"/>
        <v>3</v>
      </c>
      <c r="F80" t="s">
        <v>5066</v>
      </c>
      <c r="G80">
        <v>10</v>
      </c>
    </row>
    <row r="81" spans="1:7" x14ac:dyDescent="0.3">
      <c r="A81" t="s">
        <v>325</v>
      </c>
      <c r="C81" t="str">
        <v>citalopram</v>
      </c>
      <c r="D81">
        <f t="shared" si="1"/>
        <v>9</v>
      </c>
      <c r="F81" t="s">
        <v>5013</v>
      </c>
      <c r="G81">
        <v>10</v>
      </c>
    </row>
    <row r="82" spans="1:7" x14ac:dyDescent="0.3">
      <c r="A82" t="s">
        <v>325</v>
      </c>
      <c r="B82" t="s">
        <v>1578</v>
      </c>
      <c r="C82" t="str">
        <v>clarithromycin</v>
      </c>
      <c r="D82">
        <f t="shared" si="1"/>
        <v>4</v>
      </c>
      <c r="F82" t="s">
        <v>5221</v>
      </c>
      <c r="G82">
        <v>10</v>
      </c>
    </row>
    <row r="83" spans="1:7" x14ac:dyDescent="0.3">
      <c r="A83" t="s">
        <v>325</v>
      </c>
      <c r="B83" t="s">
        <v>330</v>
      </c>
      <c r="C83" t="str">
        <v>clindamycin</v>
      </c>
      <c r="D83">
        <f t="shared" si="1"/>
        <v>2</v>
      </c>
      <c r="F83" t="s">
        <v>398</v>
      </c>
      <c r="G83">
        <v>9</v>
      </c>
    </row>
    <row r="84" spans="1:7" x14ac:dyDescent="0.3">
      <c r="A84" t="s">
        <v>325</v>
      </c>
      <c r="B84" t="s">
        <v>326</v>
      </c>
      <c r="C84" t="str">
        <v>clioquinol</v>
      </c>
      <c r="D84">
        <f t="shared" si="1"/>
        <v>1</v>
      </c>
      <c r="F84" t="s">
        <v>1132</v>
      </c>
      <c r="G84">
        <v>9</v>
      </c>
    </row>
    <row r="85" spans="1:7" x14ac:dyDescent="0.3">
      <c r="A85" t="s">
        <v>325</v>
      </c>
      <c r="B85" t="s">
        <v>326</v>
      </c>
      <c r="C85" t="str">
        <v>clopidogrel </v>
      </c>
      <c r="D85">
        <f t="shared" si="1"/>
        <v>5</v>
      </c>
      <c r="F85" t="s">
        <v>662</v>
      </c>
      <c r="G85">
        <v>9</v>
      </c>
    </row>
    <row r="86" spans="1:7" x14ac:dyDescent="0.3">
      <c r="A86" t="s">
        <v>325</v>
      </c>
      <c r="B86" t="s">
        <v>326</v>
      </c>
      <c r="C86" t="str">
        <v>clotrimazole</v>
      </c>
      <c r="D86">
        <f t="shared" si="1"/>
        <v>1</v>
      </c>
      <c r="F86" t="s">
        <v>5108</v>
      </c>
      <c r="G86">
        <v>9</v>
      </c>
    </row>
    <row r="87" spans="1:7" x14ac:dyDescent="0.3">
      <c r="A87" t="s">
        <v>325</v>
      </c>
      <c r="B87" t="s">
        <v>326</v>
      </c>
      <c r="C87" t="str">
        <v>colchicine</v>
      </c>
      <c r="D87">
        <f t="shared" si="1"/>
        <v>2</v>
      </c>
      <c r="F87" t="s">
        <v>5079</v>
      </c>
      <c r="G87">
        <v>9</v>
      </c>
    </row>
    <row r="88" spans="1:7" x14ac:dyDescent="0.3">
      <c r="A88" t="s">
        <v>325</v>
      </c>
      <c r="B88" t="s">
        <v>326</v>
      </c>
      <c r="C88" t="str">
        <v>combinations</v>
      </c>
      <c r="D88">
        <f t="shared" si="1"/>
        <v>1</v>
      </c>
      <c r="F88" t="s">
        <v>5102</v>
      </c>
      <c r="G88">
        <v>9</v>
      </c>
    </row>
    <row r="89" spans="1:7" x14ac:dyDescent="0.3">
      <c r="A89" t="s">
        <v>325</v>
      </c>
      <c r="B89" t="s">
        <v>326</v>
      </c>
      <c r="C89" t="str">
        <v>Combinations of antihistamines</v>
      </c>
      <c r="D89">
        <f t="shared" si="1"/>
        <v>1</v>
      </c>
      <c r="F89" t="s">
        <v>748</v>
      </c>
      <c r="G89">
        <v>9</v>
      </c>
    </row>
    <row r="90" spans="1:7" x14ac:dyDescent="0.3">
      <c r="A90" t="s">
        <v>325</v>
      </c>
      <c r="B90" t="s">
        <v>326</v>
      </c>
      <c r="C90" t="str">
        <v>combinations </v>
      </c>
      <c r="D90">
        <f t="shared" si="1"/>
        <v>2</v>
      </c>
      <c r="F90" t="s">
        <v>5196</v>
      </c>
      <c r="G90">
        <v>9</v>
      </c>
    </row>
    <row r="91" spans="1:7" x14ac:dyDescent="0.3">
      <c r="A91" t="s">
        <v>1327</v>
      </c>
      <c r="C91" t="str">
        <v>Corticosteroids for systemic use, combinations</v>
      </c>
      <c r="D91">
        <f t="shared" si="1"/>
        <v>1</v>
      </c>
      <c r="F91" t="s">
        <v>5090</v>
      </c>
      <c r="G91">
        <v>9</v>
      </c>
    </row>
    <row r="92" spans="1:7" x14ac:dyDescent="0.3">
      <c r="A92" t="s">
        <v>1327</v>
      </c>
      <c r="B92" t="s">
        <v>1334</v>
      </c>
      <c r="C92" t="str">
        <v>cough suppressants and expectorants</v>
      </c>
      <c r="D92">
        <f t="shared" si="1"/>
        <v>2</v>
      </c>
      <c r="F92" t="s">
        <v>5118</v>
      </c>
      <c r="G92">
        <v>9</v>
      </c>
    </row>
    <row r="93" spans="1:7" x14ac:dyDescent="0.3">
      <c r="A93" t="s">
        <v>1327</v>
      </c>
      <c r="B93" t="s">
        <v>1328</v>
      </c>
      <c r="C93" t="str">
        <v>cough suppressants and mucolytics</v>
      </c>
      <c r="D93">
        <f t="shared" si="1"/>
        <v>2</v>
      </c>
      <c r="F93" t="s">
        <v>5025</v>
      </c>
      <c r="G93">
        <v>9</v>
      </c>
    </row>
    <row r="94" spans="1:7" x14ac:dyDescent="0.3">
      <c r="A94" t="s">
        <v>2347</v>
      </c>
      <c r="B94" t="s">
        <v>2348</v>
      </c>
      <c r="C94" t="str">
        <v>deslanoside </v>
      </c>
      <c r="D94">
        <f t="shared" si="1"/>
        <v>1</v>
      </c>
      <c r="F94" t="s">
        <v>362</v>
      </c>
      <c r="G94">
        <v>8</v>
      </c>
    </row>
    <row r="95" spans="1:7" x14ac:dyDescent="0.3">
      <c r="A95" t="s">
        <v>1365</v>
      </c>
      <c r="B95" t="s">
        <v>1366</v>
      </c>
      <c r="C95" t="str">
        <v>desloratadine</v>
      </c>
      <c r="D95">
        <f t="shared" si="1"/>
        <v>1</v>
      </c>
      <c r="F95" t="s">
        <v>624</v>
      </c>
      <c r="G95">
        <v>8</v>
      </c>
    </row>
    <row r="96" spans="1:7" x14ac:dyDescent="0.3">
      <c r="A96" t="s">
        <v>3018</v>
      </c>
      <c r="C96" t="str">
        <v>desvenlafaxine</v>
      </c>
      <c r="D96">
        <f t="shared" si="1"/>
        <v>1</v>
      </c>
      <c r="F96" t="s">
        <v>1223</v>
      </c>
      <c r="G96">
        <v>8</v>
      </c>
    </row>
    <row r="97" spans="1:7" x14ac:dyDescent="0.3">
      <c r="A97" t="s">
        <v>3018</v>
      </c>
      <c r="C97" t="str">
        <v>dexamethasone</v>
      </c>
      <c r="D97">
        <f t="shared" si="1"/>
        <v>2</v>
      </c>
      <c r="F97" t="s">
        <v>460</v>
      </c>
      <c r="G97">
        <v>8</v>
      </c>
    </row>
    <row r="98" spans="1:7" x14ac:dyDescent="0.3">
      <c r="A98" t="s">
        <v>2324</v>
      </c>
      <c r="B98" t="s">
        <v>2325</v>
      </c>
      <c r="C98" t="str">
        <v>dexketoprofen</v>
      </c>
      <c r="D98">
        <f t="shared" si="1"/>
        <v>1</v>
      </c>
      <c r="F98" t="s">
        <v>5197</v>
      </c>
      <c r="G98">
        <v>8</v>
      </c>
    </row>
    <row r="99" spans="1:7" x14ac:dyDescent="0.3">
      <c r="A99" t="s">
        <v>70</v>
      </c>
      <c r="B99" t="s">
        <v>71</v>
      </c>
      <c r="C99" t="str">
        <v>dexpanthenol</v>
      </c>
      <c r="D99">
        <f t="shared" si="1"/>
        <v>2</v>
      </c>
      <c r="F99" t="s">
        <v>5171</v>
      </c>
      <c r="G99">
        <v>8</v>
      </c>
    </row>
    <row r="100" spans="1:7" x14ac:dyDescent="0.3">
      <c r="A100" t="s">
        <v>70</v>
      </c>
      <c r="B100" t="s">
        <v>71</v>
      </c>
      <c r="C100" t="str">
        <v>diacerein</v>
      </c>
      <c r="D100">
        <f t="shared" si="1"/>
        <v>1</v>
      </c>
      <c r="F100" t="s">
        <v>5012</v>
      </c>
      <c r="G100">
        <v>8</v>
      </c>
    </row>
    <row r="101" spans="1:7" x14ac:dyDescent="0.3">
      <c r="A101" t="s">
        <v>2310</v>
      </c>
      <c r="B101" t="s">
        <v>2311</v>
      </c>
      <c r="C101" t="str">
        <v>diclofenac</v>
      </c>
      <c r="D101">
        <f t="shared" si="1"/>
        <v>7</v>
      </c>
      <c r="F101" t="s">
        <v>5220</v>
      </c>
      <c r="G101">
        <v>8</v>
      </c>
    </row>
    <row r="102" spans="1:7" x14ac:dyDescent="0.3">
      <c r="A102" t="s">
        <v>1288</v>
      </c>
      <c r="C102" t="str">
        <v>dicloxacillin</v>
      </c>
      <c r="D102">
        <f t="shared" si="1"/>
        <v>3</v>
      </c>
      <c r="F102" t="s">
        <v>5356</v>
      </c>
      <c r="G102">
        <v>8</v>
      </c>
    </row>
    <row r="103" spans="1:7" x14ac:dyDescent="0.3">
      <c r="A103" t="s">
        <v>1288</v>
      </c>
      <c r="C103" t="str">
        <v>dicycloverine </v>
      </c>
      <c r="D103">
        <f t="shared" si="1"/>
        <v>2</v>
      </c>
      <c r="F103" t="s">
        <v>863</v>
      </c>
      <c r="G103">
        <v>7</v>
      </c>
    </row>
    <row r="104" spans="1:7" x14ac:dyDescent="0.3">
      <c r="A104" t="s">
        <v>1288</v>
      </c>
      <c r="C104" t="str">
        <v>dienogest</v>
      </c>
      <c r="D104">
        <f t="shared" si="1"/>
        <v>1</v>
      </c>
      <c r="F104" t="s">
        <v>2910</v>
      </c>
      <c r="G104">
        <v>7</v>
      </c>
    </row>
    <row r="105" spans="1:7" x14ac:dyDescent="0.3">
      <c r="A105" t="s">
        <v>1288</v>
      </c>
      <c r="C105" t="str">
        <v>Digitalis glycosides</v>
      </c>
      <c r="D105">
        <f t="shared" si="1"/>
        <v>1</v>
      </c>
      <c r="F105" t="s">
        <v>235</v>
      </c>
      <c r="G105">
        <v>7</v>
      </c>
    </row>
    <row r="106" spans="1:7" x14ac:dyDescent="0.3">
      <c r="A106" t="s">
        <v>1288</v>
      </c>
      <c r="B106" t="s">
        <v>1289</v>
      </c>
      <c r="C106" t="str">
        <v>digoxin </v>
      </c>
      <c r="D106">
        <f t="shared" si="1"/>
        <v>3</v>
      </c>
      <c r="F106" t="s">
        <v>2898</v>
      </c>
      <c r="G106">
        <v>7</v>
      </c>
    </row>
    <row r="107" spans="1:7" x14ac:dyDescent="0.3">
      <c r="A107" t="s">
        <v>638</v>
      </c>
      <c r="B107" t="s">
        <v>1240</v>
      </c>
      <c r="C107" t="str">
        <v>dihydroergocristine, combinations</v>
      </c>
      <c r="D107">
        <f t="shared" si="1"/>
        <v>1</v>
      </c>
      <c r="F107" t="s">
        <v>576</v>
      </c>
      <c r="G107">
        <v>7</v>
      </c>
    </row>
    <row r="108" spans="1:7" x14ac:dyDescent="0.3">
      <c r="A108" t="s">
        <v>638</v>
      </c>
      <c r="B108" t="s">
        <v>2746</v>
      </c>
      <c r="C108" t="str">
        <v>diltiazem </v>
      </c>
      <c r="D108">
        <f t="shared" si="1"/>
        <v>4</v>
      </c>
      <c r="F108" t="s">
        <v>2463</v>
      </c>
      <c r="G108">
        <v>7</v>
      </c>
    </row>
    <row r="109" spans="1:7" x14ac:dyDescent="0.3">
      <c r="A109" t="s">
        <v>638</v>
      </c>
      <c r="B109" t="s">
        <v>639</v>
      </c>
      <c r="C109" t="str">
        <v>diosmin </v>
      </c>
      <c r="D109">
        <f t="shared" si="1"/>
        <v>2</v>
      </c>
      <c r="F109" t="s">
        <v>839</v>
      </c>
      <c r="G109">
        <v>7</v>
      </c>
    </row>
    <row r="110" spans="1:7" x14ac:dyDescent="0.3">
      <c r="A110" t="s">
        <v>110</v>
      </c>
      <c r="B110" t="s">
        <v>728</v>
      </c>
      <c r="C110" t="str">
        <v>diosmin, combinations </v>
      </c>
      <c r="D110">
        <f t="shared" si="1"/>
        <v>4</v>
      </c>
      <c r="F110" t="s">
        <v>1504</v>
      </c>
      <c r="G110">
        <v>7</v>
      </c>
    </row>
    <row r="111" spans="1:7" x14ac:dyDescent="0.3">
      <c r="A111" t="s">
        <v>110</v>
      </c>
      <c r="B111" t="s">
        <v>728</v>
      </c>
      <c r="C111" t="str">
        <v>disopyramide </v>
      </c>
      <c r="D111">
        <f t="shared" si="1"/>
        <v>6</v>
      </c>
      <c r="F111" t="s">
        <v>5133</v>
      </c>
      <c r="G111">
        <v>7</v>
      </c>
    </row>
    <row r="112" spans="1:7" x14ac:dyDescent="0.3">
      <c r="A112" t="s">
        <v>110</v>
      </c>
      <c r="B112" t="s">
        <v>1511</v>
      </c>
      <c r="C112" t="str">
        <v>domperidone </v>
      </c>
      <c r="D112">
        <f t="shared" si="1"/>
        <v>1</v>
      </c>
      <c r="F112" t="s">
        <v>5101</v>
      </c>
      <c r="G112">
        <v>7</v>
      </c>
    </row>
    <row r="113" spans="1:7" x14ac:dyDescent="0.3">
      <c r="A113" t="s">
        <v>110</v>
      </c>
      <c r="B113" t="s">
        <v>723</v>
      </c>
      <c r="C113" t="str">
        <v>Dopa and dopa derivatives</v>
      </c>
      <c r="D113">
        <f t="shared" si="1"/>
        <v>1</v>
      </c>
      <c r="F113" t="s">
        <v>5261</v>
      </c>
      <c r="G113">
        <v>7</v>
      </c>
    </row>
    <row r="114" spans="1:7" x14ac:dyDescent="0.3">
      <c r="A114" t="s">
        <v>110</v>
      </c>
      <c r="B114" t="s">
        <v>111</v>
      </c>
      <c r="C114" t="str">
        <v>dorzolamide</v>
      </c>
      <c r="D114">
        <f t="shared" si="1"/>
        <v>1</v>
      </c>
      <c r="F114" t="s">
        <v>5290</v>
      </c>
      <c r="G114">
        <v>7</v>
      </c>
    </row>
    <row r="115" spans="1:7" x14ac:dyDescent="0.3">
      <c r="A115" t="s">
        <v>110</v>
      </c>
      <c r="B115" t="s">
        <v>1951</v>
      </c>
      <c r="C115" t="str">
        <v>doxycycline</v>
      </c>
      <c r="D115">
        <f t="shared" si="1"/>
        <v>11</v>
      </c>
      <c r="F115" t="s">
        <v>5055</v>
      </c>
      <c r="G115">
        <v>7</v>
      </c>
    </row>
    <row r="116" spans="1:7" x14ac:dyDescent="0.3">
      <c r="A116" t="s">
        <v>189</v>
      </c>
      <c r="B116" t="s">
        <v>195</v>
      </c>
      <c r="C116" t="str">
        <v>doxycycline </v>
      </c>
      <c r="D116">
        <f t="shared" si="1"/>
        <v>1</v>
      </c>
      <c r="F116" t="s">
        <v>4982</v>
      </c>
      <c r="G116">
        <v>7</v>
      </c>
    </row>
    <row r="117" spans="1:7" x14ac:dyDescent="0.3">
      <c r="A117" t="s">
        <v>189</v>
      </c>
      <c r="B117" t="s">
        <v>190</v>
      </c>
      <c r="C117" t="str">
        <v>Drugs for functional gastrointestinal disorders</v>
      </c>
      <c r="D117">
        <f t="shared" si="1"/>
        <v>1</v>
      </c>
      <c r="F117" t="s">
        <v>5179</v>
      </c>
      <c r="G117">
        <v>7</v>
      </c>
    </row>
    <row r="118" spans="1:7" x14ac:dyDescent="0.3">
      <c r="A118" t="s">
        <v>189</v>
      </c>
      <c r="B118" t="s">
        <v>190</v>
      </c>
      <c r="C118" t="str">
        <v>edoxaban </v>
      </c>
      <c r="D118">
        <f t="shared" si="1"/>
        <v>1</v>
      </c>
      <c r="F118" t="s">
        <v>5056</v>
      </c>
      <c r="G118">
        <v>7</v>
      </c>
    </row>
    <row r="119" spans="1:7" x14ac:dyDescent="0.3">
      <c r="A119" t="s">
        <v>189</v>
      </c>
      <c r="B119" t="s">
        <v>190</v>
      </c>
      <c r="C119" t="str">
        <v>empagliflozin </v>
      </c>
      <c r="D119">
        <f t="shared" si="1"/>
        <v>1</v>
      </c>
      <c r="F119" t="s">
        <v>5064</v>
      </c>
      <c r="G119">
        <v>7</v>
      </c>
    </row>
    <row r="120" spans="1:7" x14ac:dyDescent="0.3">
      <c r="A120" t="s">
        <v>189</v>
      </c>
      <c r="B120" t="s">
        <v>190</v>
      </c>
      <c r="C120" t="str">
        <v>enalapril and diuretics </v>
      </c>
      <c r="D120">
        <f t="shared" si="1"/>
        <v>7</v>
      </c>
      <c r="F120" t="s">
        <v>5132</v>
      </c>
      <c r="G120">
        <v>7</v>
      </c>
    </row>
    <row r="121" spans="1:7" x14ac:dyDescent="0.3">
      <c r="A121" t="s">
        <v>2501</v>
      </c>
      <c r="C121" t="str">
        <v>enalapril and lercanidipine </v>
      </c>
      <c r="D121">
        <f t="shared" si="1"/>
        <v>5</v>
      </c>
      <c r="F121" t="s">
        <v>5280</v>
      </c>
      <c r="G121">
        <v>6</v>
      </c>
    </row>
    <row r="122" spans="1:7" x14ac:dyDescent="0.3">
      <c r="A122" t="s">
        <v>235</v>
      </c>
      <c r="B122" t="s">
        <v>768</v>
      </c>
      <c r="C122" t="str">
        <v>enalapril </v>
      </c>
      <c r="D122">
        <f t="shared" si="1"/>
        <v>24</v>
      </c>
      <c r="F122" t="s">
        <v>110</v>
      </c>
      <c r="G122">
        <v>6</v>
      </c>
    </row>
    <row r="123" spans="1:7" x14ac:dyDescent="0.3">
      <c r="A123" t="s">
        <v>235</v>
      </c>
      <c r="B123" t="s">
        <v>1046</v>
      </c>
      <c r="C123" t="str">
        <v>esomeprazole </v>
      </c>
      <c r="D123">
        <f t="shared" si="1"/>
        <v>3</v>
      </c>
      <c r="F123" t="s">
        <v>2396</v>
      </c>
      <c r="G123">
        <v>6</v>
      </c>
    </row>
    <row r="124" spans="1:7" x14ac:dyDescent="0.3">
      <c r="A124" t="s">
        <v>235</v>
      </c>
      <c r="B124" t="s">
        <v>1046</v>
      </c>
      <c r="C124" t="str">
        <v>etoricoxib</v>
      </c>
      <c r="D124">
        <f t="shared" si="1"/>
        <v>9</v>
      </c>
      <c r="F124" t="s">
        <v>142</v>
      </c>
      <c r="G124">
        <v>6</v>
      </c>
    </row>
    <row r="125" spans="1:7" x14ac:dyDescent="0.3">
      <c r="A125" t="s">
        <v>235</v>
      </c>
      <c r="B125" t="s">
        <v>236</v>
      </c>
      <c r="C125" t="str">
        <v>ferrous sulfate </v>
      </c>
      <c r="D125">
        <f t="shared" si="1"/>
        <v>1</v>
      </c>
      <c r="F125" t="s">
        <v>688</v>
      </c>
      <c r="G125">
        <v>6</v>
      </c>
    </row>
    <row r="126" spans="1:7" x14ac:dyDescent="0.3">
      <c r="A126" t="s">
        <v>235</v>
      </c>
      <c r="B126" t="s">
        <v>236</v>
      </c>
      <c r="C126" t="str">
        <v>fexofenadine</v>
      </c>
      <c r="D126">
        <f t="shared" si="1"/>
        <v>2</v>
      </c>
      <c r="F126" t="s">
        <v>348</v>
      </c>
      <c r="G126">
        <v>6</v>
      </c>
    </row>
    <row r="127" spans="1:7" x14ac:dyDescent="0.3">
      <c r="A127" t="s">
        <v>235</v>
      </c>
      <c r="B127" t="s">
        <v>2305</v>
      </c>
      <c r="C127" t="str">
        <v>fimasartan and amlodipine</v>
      </c>
      <c r="D127">
        <f t="shared" si="1"/>
        <v>1</v>
      </c>
      <c r="F127" t="s">
        <v>870</v>
      </c>
      <c r="G127">
        <v>6</v>
      </c>
    </row>
    <row r="128" spans="1:7" x14ac:dyDescent="0.3">
      <c r="A128" t="s">
        <v>235</v>
      </c>
      <c r="B128" t="s">
        <v>773</v>
      </c>
      <c r="C128" t="str">
        <v>finasteride</v>
      </c>
      <c r="D128">
        <f t="shared" si="1"/>
        <v>3</v>
      </c>
      <c r="F128" t="s">
        <v>1628</v>
      </c>
      <c r="G128">
        <v>6</v>
      </c>
    </row>
    <row r="129" spans="1:7" x14ac:dyDescent="0.3">
      <c r="A129" t="s">
        <v>2631</v>
      </c>
      <c r="C129" t="str">
        <v>finerenone </v>
      </c>
      <c r="D129">
        <f t="shared" si="1"/>
        <v>1</v>
      </c>
      <c r="F129" t="s">
        <v>1259</v>
      </c>
      <c r="G129">
        <v>6</v>
      </c>
    </row>
    <row r="130" spans="1:7" x14ac:dyDescent="0.3">
      <c r="A130" t="s">
        <v>2631</v>
      </c>
      <c r="C130" t="str">
        <v>fluocinolone acetonide</v>
      </c>
      <c r="D130">
        <f t="shared" si="1"/>
        <v>1</v>
      </c>
      <c r="F130" t="s">
        <v>419</v>
      </c>
      <c r="G130">
        <v>6</v>
      </c>
    </row>
    <row r="131" spans="1:7" x14ac:dyDescent="0.3">
      <c r="A131" t="s">
        <v>1558</v>
      </c>
      <c r="C131" t="str">
        <v>fluoxetine</v>
      </c>
      <c r="D131">
        <f t="shared" ref="D131:D194" si="2">COUNTIF(A$1:A$2981,C131)</f>
        <v>24</v>
      </c>
      <c r="F131" t="s">
        <v>1126</v>
      </c>
      <c r="G131">
        <v>6</v>
      </c>
    </row>
    <row r="132" spans="1:7" x14ac:dyDescent="0.3">
      <c r="A132" t="s">
        <v>1558</v>
      </c>
      <c r="B132" t="s">
        <v>1559</v>
      </c>
      <c r="C132" t="str">
        <v>flurbiprofen</v>
      </c>
      <c r="D132">
        <f t="shared" si="2"/>
        <v>2</v>
      </c>
      <c r="F132" t="s">
        <v>588</v>
      </c>
      <c r="G132">
        <v>6</v>
      </c>
    </row>
    <row r="133" spans="1:7" x14ac:dyDescent="0.3">
      <c r="A133" t="s">
        <v>846</v>
      </c>
      <c r="B133" t="s">
        <v>847</v>
      </c>
      <c r="C133" t="str">
        <v>folic acid </v>
      </c>
      <c r="D133">
        <f t="shared" si="2"/>
        <v>5</v>
      </c>
      <c r="F133" t="s">
        <v>2473</v>
      </c>
      <c r="G133">
        <v>6</v>
      </c>
    </row>
    <row r="134" spans="1:7" x14ac:dyDescent="0.3">
      <c r="A134" t="s">
        <v>932</v>
      </c>
      <c r="B134" t="s">
        <v>1198</v>
      </c>
      <c r="C134" t="str">
        <v>folic acid, combinations</v>
      </c>
      <c r="D134">
        <f t="shared" si="2"/>
        <v>1</v>
      </c>
      <c r="F134" t="s">
        <v>385</v>
      </c>
      <c r="G134">
        <v>6</v>
      </c>
    </row>
    <row r="135" spans="1:7" x14ac:dyDescent="0.3">
      <c r="A135" t="s">
        <v>932</v>
      </c>
      <c r="B135" t="s">
        <v>933</v>
      </c>
      <c r="C135" t="str">
        <v>fosfomycin</v>
      </c>
      <c r="D135">
        <f t="shared" si="2"/>
        <v>3</v>
      </c>
      <c r="F135" t="s">
        <v>5159</v>
      </c>
      <c r="G135">
        <v>6</v>
      </c>
    </row>
    <row r="136" spans="1:7" x14ac:dyDescent="0.3">
      <c r="A136" t="s">
        <v>932</v>
      </c>
      <c r="B136" t="s">
        <v>933</v>
      </c>
      <c r="C136" t="str">
        <v>furosemide </v>
      </c>
      <c r="D136">
        <f t="shared" si="2"/>
        <v>2</v>
      </c>
      <c r="F136" t="s">
        <v>1198</v>
      </c>
      <c r="G136">
        <v>6</v>
      </c>
    </row>
    <row r="137" spans="1:7" x14ac:dyDescent="0.3">
      <c r="A137" t="s">
        <v>932</v>
      </c>
      <c r="B137" t="s">
        <v>933</v>
      </c>
      <c r="C137" t="str">
        <v>gabapentin</v>
      </c>
      <c r="D137">
        <f t="shared" si="2"/>
        <v>3</v>
      </c>
      <c r="F137" t="s">
        <v>2605</v>
      </c>
      <c r="G137">
        <v>6</v>
      </c>
    </row>
    <row r="138" spans="1:7" x14ac:dyDescent="0.3">
      <c r="A138" t="s">
        <v>932</v>
      </c>
      <c r="B138" t="s">
        <v>2241</v>
      </c>
      <c r="C138" t="str">
        <v>gemfibrozil </v>
      </c>
      <c r="D138">
        <f t="shared" si="2"/>
        <v>1</v>
      </c>
      <c r="F138" t="s">
        <v>919</v>
      </c>
      <c r="G138">
        <v>6</v>
      </c>
    </row>
    <row r="139" spans="1:7" x14ac:dyDescent="0.3">
      <c r="A139" t="s">
        <v>1178</v>
      </c>
      <c r="B139" t="s">
        <v>1179</v>
      </c>
      <c r="C139" t="str">
        <v>gentamicin</v>
      </c>
      <c r="D139">
        <f t="shared" si="2"/>
        <v>1</v>
      </c>
      <c r="F139" t="s">
        <v>5172</v>
      </c>
      <c r="G139">
        <v>6</v>
      </c>
    </row>
    <row r="140" spans="1:7" x14ac:dyDescent="0.3">
      <c r="A140" t="s">
        <v>1156</v>
      </c>
      <c r="B140" t="s">
        <v>1157</v>
      </c>
      <c r="C140" t="str">
        <v>glimepiride </v>
      </c>
      <c r="D140">
        <f t="shared" si="2"/>
        <v>4</v>
      </c>
      <c r="F140" t="s">
        <v>940</v>
      </c>
      <c r="G140">
        <v>6</v>
      </c>
    </row>
    <row r="141" spans="1:7" x14ac:dyDescent="0.3">
      <c r="A141" t="s">
        <v>1156</v>
      </c>
      <c r="B141" t="s">
        <v>2072</v>
      </c>
      <c r="C141" t="str">
        <v>glycerol </v>
      </c>
      <c r="D141">
        <f t="shared" si="2"/>
        <v>1</v>
      </c>
      <c r="F141" t="s">
        <v>5087</v>
      </c>
      <c r="G141">
        <v>6</v>
      </c>
    </row>
    <row r="142" spans="1:7" x14ac:dyDescent="0.3">
      <c r="A142" t="s">
        <v>2623</v>
      </c>
      <c r="C142" t="str">
        <v>glyceryl trinitrate </v>
      </c>
      <c r="D142">
        <f t="shared" si="2"/>
        <v>2</v>
      </c>
      <c r="F142" t="s">
        <v>5170</v>
      </c>
      <c r="G142">
        <v>6</v>
      </c>
    </row>
    <row r="143" spans="1:7" x14ac:dyDescent="0.3">
      <c r="A143" t="s">
        <v>2317</v>
      </c>
      <c r="C143" t="str">
        <v>Glycogenolytic hormones</v>
      </c>
      <c r="D143">
        <f t="shared" si="2"/>
        <v>2</v>
      </c>
      <c r="F143" t="s">
        <v>5082</v>
      </c>
      <c r="G143">
        <v>6</v>
      </c>
    </row>
    <row r="144" spans="1:7" x14ac:dyDescent="0.3">
      <c r="A144" t="s">
        <v>2317</v>
      </c>
      <c r="B144" t="s">
        <v>2318</v>
      </c>
      <c r="C144" t="str">
        <v>HORMONAL CONTRACEPTIVES FOR SYSTEMIC USE</v>
      </c>
      <c r="D144">
        <f t="shared" si="2"/>
        <v>1</v>
      </c>
      <c r="F144" t="s">
        <v>5181</v>
      </c>
      <c r="G144">
        <v>6</v>
      </c>
    </row>
    <row r="145" spans="1:7" x14ac:dyDescent="0.3">
      <c r="A145" t="s">
        <v>271</v>
      </c>
      <c r="C145" t="str">
        <v>hyaluronic acid</v>
      </c>
      <c r="D145">
        <f t="shared" si="2"/>
        <v>2</v>
      </c>
      <c r="F145" t="s">
        <v>5199</v>
      </c>
      <c r="G145">
        <v>6</v>
      </c>
    </row>
    <row r="146" spans="1:7" x14ac:dyDescent="0.3">
      <c r="A146" t="s">
        <v>271</v>
      </c>
      <c r="B146" t="s">
        <v>272</v>
      </c>
      <c r="C146" t="str">
        <v>hydrochlorothiazide </v>
      </c>
      <c r="D146">
        <f t="shared" si="2"/>
        <v>4</v>
      </c>
      <c r="F146" t="s">
        <v>5313</v>
      </c>
      <c r="G146">
        <v>6</v>
      </c>
    </row>
    <row r="147" spans="1:7" x14ac:dyDescent="0.3">
      <c r="A147" t="s">
        <v>241</v>
      </c>
      <c r="B147" t="s">
        <v>242</v>
      </c>
      <c r="C147" t="str">
        <v>hydrocortisone and antiinfectives</v>
      </c>
      <c r="D147">
        <f t="shared" si="2"/>
        <v>1</v>
      </c>
      <c r="F147" t="s">
        <v>292</v>
      </c>
      <c r="G147">
        <v>5</v>
      </c>
    </row>
    <row r="148" spans="1:7" x14ac:dyDescent="0.3">
      <c r="A148" t="s">
        <v>261</v>
      </c>
      <c r="B148" t="s">
        <v>1051</v>
      </c>
      <c r="C148" t="str">
        <v>hydroxocobalamin </v>
      </c>
      <c r="D148">
        <f t="shared" si="2"/>
        <v>1</v>
      </c>
      <c r="F148" t="s">
        <v>1288</v>
      </c>
      <c r="G148">
        <v>5</v>
      </c>
    </row>
    <row r="149" spans="1:7" x14ac:dyDescent="0.3">
      <c r="A149" t="s">
        <v>261</v>
      </c>
      <c r="B149" t="s">
        <v>262</v>
      </c>
      <c r="C149" t="str">
        <v>hyoscyamine </v>
      </c>
      <c r="D149">
        <f t="shared" si="2"/>
        <v>9</v>
      </c>
      <c r="F149" t="s">
        <v>189</v>
      </c>
      <c r="G149">
        <v>5</v>
      </c>
    </row>
    <row r="150" spans="1:7" x14ac:dyDescent="0.3">
      <c r="A150" t="s">
        <v>630</v>
      </c>
      <c r="B150" t="s">
        <v>631</v>
      </c>
      <c r="C150" t="str">
        <v>ibuprofen</v>
      </c>
      <c r="D150">
        <f t="shared" si="2"/>
        <v>8</v>
      </c>
      <c r="F150" t="s">
        <v>932</v>
      </c>
      <c r="G150">
        <v>5</v>
      </c>
    </row>
    <row r="151" spans="1:7" x14ac:dyDescent="0.3">
      <c r="A151" t="s">
        <v>630</v>
      </c>
      <c r="B151" t="s">
        <v>631</v>
      </c>
      <c r="C151" t="str">
        <v>ibuprofen, combinations</v>
      </c>
      <c r="D151">
        <f t="shared" si="2"/>
        <v>4</v>
      </c>
      <c r="F151" t="s">
        <v>95</v>
      </c>
      <c r="G151">
        <v>5</v>
      </c>
    </row>
    <row r="152" spans="1:7" x14ac:dyDescent="0.3">
      <c r="A152" t="s">
        <v>630</v>
      </c>
      <c r="B152" t="s">
        <v>631</v>
      </c>
      <c r="C152" t="str">
        <v>indapamide </v>
      </c>
      <c r="D152">
        <f t="shared" si="2"/>
        <v>1</v>
      </c>
      <c r="F152" t="s">
        <v>117</v>
      </c>
      <c r="G152">
        <v>5</v>
      </c>
    </row>
    <row r="153" spans="1:7" x14ac:dyDescent="0.3">
      <c r="A153" t="s">
        <v>630</v>
      </c>
      <c r="B153" t="s">
        <v>631</v>
      </c>
      <c r="C153" t="str">
        <v>indometacin</v>
      </c>
      <c r="D153">
        <f t="shared" si="2"/>
        <v>8</v>
      </c>
      <c r="F153" t="s">
        <v>2290</v>
      </c>
      <c r="G153">
        <v>5</v>
      </c>
    </row>
    <row r="154" spans="1:7" x14ac:dyDescent="0.3">
      <c r="A154" t="s">
        <v>1402</v>
      </c>
      <c r="B154" t="s">
        <v>1861</v>
      </c>
      <c r="C154" t="str">
        <v>insulin detemir </v>
      </c>
      <c r="D154">
        <f t="shared" si="2"/>
        <v>1</v>
      </c>
      <c r="F154" t="s">
        <v>1893</v>
      </c>
      <c r="G154">
        <v>5</v>
      </c>
    </row>
    <row r="155" spans="1:7" x14ac:dyDescent="0.3">
      <c r="A155" t="s">
        <v>1402</v>
      </c>
      <c r="B155" t="s">
        <v>1768</v>
      </c>
      <c r="C155" t="str">
        <v>irbesartan and amlodipine </v>
      </c>
      <c r="D155">
        <f t="shared" si="2"/>
        <v>4</v>
      </c>
      <c r="F155" t="s">
        <v>2253</v>
      </c>
      <c r="G155">
        <v>5</v>
      </c>
    </row>
    <row r="156" spans="1:7" x14ac:dyDescent="0.3">
      <c r="A156" t="s">
        <v>1402</v>
      </c>
      <c r="B156" t="s">
        <v>1403</v>
      </c>
      <c r="C156" t="str">
        <v>irbesartan </v>
      </c>
      <c r="D156">
        <f t="shared" si="2"/>
        <v>1</v>
      </c>
      <c r="F156" t="s">
        <v>1253</v>
      </c>
      <c r="G156">
        <v>5</v>
      </c>
    </row>
    <row r="157" spans="1:7" x14ac:dyDescent="0.3">
      <c r="A157" t="s">
        <v>2428</v>
      </c>
      <c r="C157" t="str">
        <v>iron, multivitamins and folic acid </v>
      </c>
      <c r="D157">
        <f t="shared" si="2"/>
        <v>1</v>
      </c>
      <c r="F157" t="s">
        <v>540</v>
      </c>
      <c r="G157">
        <v>5</v>
      </c>
    </row>
    <row r="158" spans="1:7" x14ac:dyDescent="0.3">
      <c r="A158" t="s">
        <v>2428</v>
      </c>
      <c r="C158" t="str">
        <v>Iron, parenteral preparations</v>
      </c>
      <c r="D158">
        <f t="shared" si="2"/>
        <v>1</v>
      </c>
      <c r="F158" t="s">
        <v>1388</v>
      </c>
      <c r="G158">
        <v>5</v>
      </c>
    </row>
    <row r="159" spans="1:7" x14ac:dyDescent="0.3">
      <c r="A159" t="s">
        <v>2112</v>
      </c>
      <c r="C159" t="str">
        <v>isosorbide dinitrate </v>
      </c>
      <c r="D159">
        <f t="shared" si="2"/>
        <v>6</v>
      </c>
      <c r="F159" t="s">
        <v>470</v>
      </c>
      <c r="G159">
        <v>5</v>
      </c>
    </row>
    <row r="160" spans="1:7" x14ac:dyDescent="0.3">
      <c r="A160" t="s">
        <v>2112</v>
      </c>
      <c r="B160" t="s">
        <v>2113</v>
      </c>
      <c r="C160" t="str">
        <v>isosorbide mononitrate </v>
      </c>
      <c r="D160">
        <f t="shared" si="2"/>
        <v>1</v>
      </c>
      <c r="F160" t="s">
        <v>728</v>
      </c>
      <c r="G160">
        <v>5</v>
      </c>
    </row>
    <row r="161" spans="1:7" x14ac:dyDescent="0.3">
      <c r="A161" t="s">
        <v>2112</v>
      </c>
      <c r="B161" t="s">
        <v>2113</v>
      </c>
      <c r="C161" t="str">
        <v>itopride </v>
      </c>
      <c r="D161">
        <f t="shared" si="2"/>
        <v>3</v>
      </c>
      <c r="F161" t="s">
        <v>5022</v>
      </c>
      <c r="G161">
        <v>5</v>
      </c>
    </row>
    <row r="162" spans="1:7" x14ac:dyDescent="0.3">
      <c r="A162" t="s">
        <v>917</v>
      </c>
      <c r="B162" t="s">
        <v>2364</v>
      </c>
      <c r="C162" t="str">
        <v>itraconazole</v>
      </c>
      <c r="D162">
        <f t="shared" si="2"/>
        <v>1</v>
      </c>
      <c r="F162" t="s">
        <v>5093</v>
      </c>
      <c r="G162">
        <v>5</v>
      </c>
    </row>
    <row r="163" spans="1:7" x14ac:dyDescent="0.3">
      <c r="A163" t="s">
        <v>917</v>
      </c>
      <c r="B163" t="s">
        <v>918</v>
      </c>
      <c r="C163" t="str">
        <v>ivabradine </v>
      </c>
      <c r="D163">
        <f t="shared" si="2"/>
        <v>1</v>
      </c>
      <c r="F163" t="s">
        <v>5123</v>
      </c>
      <c r="G163">
        <v>5</v>
      </c>
    </row>
    <row r="164" spans="1:7" x14ac:dyDescent="0.3">
      <c r="A164" t="s">
        <v>2273</v>
      </c>
      <c r="B164" t="s">
        <v>2274</v>
      </c>
      <c r="C164" t="str">
        <v>ketoconazole</v>
      </c>
      <c r="D164">
        <f t="shared" si="2"/>
        <v>1</v>
      </c>
      <c r="F164" t="s">
        <v>740</v>
      </c>
      <c r="G164">
        <v>5</v>
      </c>
    </row>
    <row r="165" spans="1:7" x14ac:dyDescent="0.3">
      <c r="A165" t="s">
        <v>2273</v>
      </c>
      <c r="B165" t="s">
        <v>2274</v>
      </c>
      <c r="C165" t="str">
        <v>ketorolac</v>
      </c>
      <c r="D165">
        <f t="shared" si="2"/>
        <v>4</v>
      </c>
      <c r="F165" t="s">
        <v>5212</v>
      </c>
      <c r="G165">
        <v>5</v>
      </c>
    </row>
    <row r="166" spans="1:7" x14ac:dyDescent="0.3">
      <c r="A166" t="s">
        <v>2273</v>
      </c>
      <c r="B166" t="s">
        <v>2274</v>
      </c>
      <c r="C166" t="str">
        <v>lercanidipine </v>
      </c>
      <c r="D166">
        <f t="shared" si="2"/>
        <v>2</v>
      </c>
      <c r="F166" t="s">
        <v>5183</v>
      </c>
      <c r="G166">
        <v>5</v>
      </c>
    </row>
    <row r="167" spans="1:7" x14ac:dyDescent="0.3">
      <c r="A167" t="s">
        <v>1754</v>
      </c>
      <c r="B167" t="s">
        <v>1755</v>
      </c>
      <c r="C167" t="str">
        <v>levocarnitine </v>
      </c>
      <c r="D167">
        <f t="shared" si="2"/>
        <v>4</v>
      </c>
      <c r="F167" t="s">
        <v>5262</v>
      </c>
      <c r="G167">
        <v>5</v>
      </c>
    </row>
    <row r="168" spans="1:7" x14ac:dyDescent="0.3">
      <c r="A168" t="s">
        <v>1754</v>
      </c>
      <c r="B168" t="s">
        <v>1857</v>
      </c>
      <c r="C168" t="str">
        <v>levocetirizine</v>
      </c>
      <c r="D168">
        <f t="shared" si="2"/>
        <v>1</v>
      </c>
      <c r="F168" t="s">
        <v>5318</v>
      </c>
      <c r="G168">
        <v>5</v>
      </c>
    </row>
    <row r="169" spans="1:7" x14ac:dyDescent="0.3">
      <c r="A169" t="s">
        <v>1933</v>
      </c>
      <c r="C169" t="str">
        <v>levofloxacin</v>
      </c>
      <c r="D169">
        <f t="shared" si="2"/>
        <v>3</v>
      </c>
      <c r="F169" t="s">
        <v>5130</v>
      </c>
      <c r="G169">
        <v>5</v>
      </c>
    </row>
    <row r="170" spans="1:7" x14ac:dyDescent="0.3">
      <c r="A170" t="s">
        <v>1933</v>
      </c>
      <c r="C170" t="str">
        <v>levothyroxine sodium</v>
      </c>
      <c r="D170">
        <f t="shared" si="2"/>
        <v>3</v>
      </c>
      <c r="F170" t="s">
        <v>5092</v>
      </c>
      <c r="G170">
        <v>5</v>
      </c>
    </row>
    <row r="171" spans="1:7" x14ac:dyDescent="0.3">
      <c r="A171" t="s">
        <v>1805</v>
      </c>
      <c r="C171" t="str">
        <v>lidocaine</v>
      </c>
      <c r="D171">
        <f t="shared" si="2"/>
        <v>1</v>
      </c>
      <c r="F171" t="s">
        <v>4993</v>
      </c>
      <c r="G171">
        <v>5</v>
      </c>
    </row>
    <row r="172" spans="1:7" x14ac:dyDescent="0.3">
      <c r="A172" t="s">
        <v>1805</v>
      </c>
      <c r="C172" t="str">
        <v>lidocaine, combinations</v>
      </c>
      <c r="D172">
        <f t="shared" si="2"/>
        <v>10</v>
      </c>
      <c r="F172" t="s">
        <v>5310</v>
      </c>
      <c r="G172">
        <v>5</v>
      </c>
    </row>
    <row r="173" spans="1:7" x14ac:dyDescent="0.3">
      <c r="A173" t="s">
        <v>1805</v>
      </c>
      <c r="B173" t="s">
        <v>1806</v>
      </c>
      <c r="C173" t="str">
        <v>loperamide </v>
      </c>
      <c r="D173">
        <f t="shared" si="2"/>
        <v>6</v>
      </c>
      <c r="F173" t="s">
        <v>5085</v>
      </c>
      <c r="G173">
        <v>5</v>
      </c>
    </row>
    <row r="174" spans="1:7" x14ac:dyDescent="0.3">
      <c r="A174" t="s">
        <v>95</v>
      </c>
      <c r="C174" t="str">
        <v>loratadine</v>
      </c>
      <c r="D174">
        <f t="shared" si="2"/>
        <v>8</v>
      </c>
      <c r="F174" t="s">
        <v>5129</v>
      </c>
      <c r="G174">
        <v>5</v>
      </c>
    </row>
    <row r="175" spans="1:7" x14ac:dyDescent="0.3">
      <c r="A175" t="s">
        <v>95</v>
      </c>
      <c r="B175" t="s">
        <v>96</v>
      </c>
      <c r="C175" t="str">
        <v>lorazepam</v>
      </c>
      <c r="D175">
        <f t="shared" si="2"/>
        <v>2</v>
      </c>
      <c r="F175" t="s">
        <v>5270</v>
      </c>
      <c r="G175">
        <v>5</v>
      </c>
    </row>
    <row r="176" spans="1:7" x14ac:dyDescent="0.3">
      <c r="A176" t="s">
        <v>95</v>
      </c>
      <c r="B176" t="s">
        <v>96</v>
      </c>
      <c r="C176" t="str">
        <v>losartan and amlodipine </v>
      </c>
      <c r="D176">
        <f t="shared" si="2"/>
        <v>2</v>
      </c>
      <c r="F176" t="s">
        <v>984</v>
      </c>
      <c r="G176">
        <v>5</v>
      </c>
    </row>
    <row r="177" spans="1:7" x14ac:dyDescent="0.3">
      <c r="A177" t="s">
        <v>95</v>
      </c>
      <c r="B177" t="s">
        <v>96</v>
      </c>
      <c r="C177" t="str">
        <v>losartan and diuretics </v>
      </c>
      <c r="D177">
        <f t="shared" si="2"/>
        <v>1</v>
      </c>
      <c r="F177" t="s">
        <v>5190</v>
      </c>
      <c r="G177">
        <v>5</v>
      </c>
    </row>
    <row r="178" spans="1:7" x14ac:dyDescent="0.3">
      <c r="A178" t="s">
        <v>95</v>
      </c>
      <c r="B178" t="s">
        <v>96</v>
      </c>
      <c r="C178" t="str">
        <v>losartan </v>
      </c>
      <c r="D178">
        <f t="shared" si="2"/>
        <v>3</v>
      </c>
      <c r="F178" t="s">
        <v>5029</v>
      </c>
      <c r="G178">
        <v>5</v>
      </c>
    </row>
    <row r="179" spans="1:7" x14ac:dyDescent="0.3">
      <c r="A179" t="s">
        <v>1003</v>
      </c>
      <c r="B179" t="s">
        <v>1004</v>
      </c>
      <c r="C179" t="str">
        <v>magaldrate and antiflatulents </v>
      </c>
      <c r="D179">
        <f t="shared" si="2"/>
        <v>1</v>
      </c>
      <c r="F179" t="s">
        <v>5023</v>
      </c>
      <c r="G179">
        <v>5</v>
      </c>
    </row>
    <row r="180" spans="1:7" x14ac:dyDescent="0.3">
      <c r="A180" t="s">
        <v>2551</v>
      </c>
      <c r="B180" t="s">
        <v>2552</v>
      </c>
      <c r="C180" t="str">
        <v>melatonin</v>
      </c>
      <c r="D180">
        <f t="shared" si="2"/>
        <v>2</v>
      </c>
      <c r="F180" t="s">
        <v>5138</v>
      </c>
      <c r="G180">
        <v>5</v>
      </c>
    </row>
    <row r="181" spans="1:7" x14ac:dyDescent="0.3">
      <c r="A181" t="s">
        <v>1009</v>
      </c>
      <c r="B181" t="s">
        <v>1010</v>
      </c>
      <c r="C181" t="str">
        <v>meloxicam</v>
      </c>
      <c r="D181">
        <f t="shared" si="2"/>
        <v>6</v>
      </c>
      <c r="F181" t="s">
        <v>1777</v>
      </c>
      <c r="G181">
        <v>4</v>
      </c>
    </row>
    <row r="182" spans="1:7" x14ac:dyDescent="0.3">
      <c r="A182" t="s">
        <v>2142</v>
      </c>
      <c r="B182" t="s">
        <v>2143</v>
      </c>
      <c r="C182" t="str">
        <v>meloxicam, combinations</v>
      </c>
      <c r="D182">
        <f t="shared" si="2"/>
        <v>7</v>
      </c>
      <c r="F182" t="s">
        <v>952</v>
      </c>
      <c r="G182">
        <v>4</v>
      </c>
    </row>
    <row r="183" spans="1:7" x14ac:dyDescent="0.3">
      <c r="A183" t="s">
        <v>1519</v>
      </c>
      <c r="B183" t="s">
        <v>1520</v>
      </c>
      <c r="C183" t="str">
        <v>mesalazine </v>
      </c>
      <c r="D183">
        <f t="shared" si="2"/>
        <v>1</v>
      </c>
      <c r="F183" t="s">
        <v>2283</v>
      </c>
      <c r="G183">
        <v>4</v>
      </c>
    </row>
    <row r="184" spans="1:7" x14ac:dyDescent="0.3">
      <c r="A184" t="s">
        <v>2898</v>
      </c>
      <c r="C184" t="str">
        <v>metamizole sodium</v>
      </c>
      <c r="D184">
        <f t="shared" si="2"/>
        <v>6</v>
      </c>
      <c r="F184" t="s">
        <v>630</v>
      </c>
      <c r="G184">
        <v>4</v>
      </c>
    </row>
    <row r="185" spans="1:7" x14ac:dyDescent="0.3">
      <c r="A185" t="s">
        <v>2898</v>
      </c>
      <c r="C185" t="str">
        <v>metformin and alogliptin </v>
      </c>
      <c r="D185">
        <f t="shared" si="2"/>
        <v>5</v>
      </c>
      <c r="F185" t="s">
        <v>562</v>
      </c>
      <c r="G185">
        <v>4</v>
      </c>
    </row>
    <row r="186" spans="1:7" x14ac:dyDescent="0.3">
      <c r="A186" t="s">
        <v>2898</v>
      </c>
      <c r="C186" t="str">
        <v>metformin </v>
      </c>
      <c r="D186">
        <f t="shared" si="2"/>
        <v>16</v>
      </c>
      <c r="F186" t="s">
        <v>334</v>
      </c>
      <c r="G186">
        <v>4</v>
      </c>
    </row>
    <row r="187" spans="1:7" x14ac:dyDescent="0.3">
      <c r="A187" t="s">
        <v>2898</v>
      </c>
      <c r="C187" t="str">
        <v>methocarbamol, combinations excl. psycholeptics</v>
      </c>
      <c r="D187">
        <f t="shared" si="2"/>
        <v>6</v>
      </c>
      <c r="F187" t="s">
        <v>202</v>
      </c>
      <c r="G187">
        <v>4</v>
      </c>
    </row>
    <row r="188" spans="1:7" x14ac:dyDescent="0.3">
      <c r="A188" t="s">
        <v>2898</v>
      </c>
      <c r="C188" t="str">
        <v>methotrexate</v>
      </c>
      <c r="D188">
        <f t="shared" si="2"/>
        <v>1</v>
      </c>
      <c r="F188" t="s">
        <v>167</v>
      </c>
      <c r="G188">
        <v>4</v>
      </c>
    </row>
    <row r="189" spans="1:7" x14ac:dyDescent="0.3">
      <c r="A189" t="s">
        <v>2898</v>
      </c>
      <c r="C189" t="str">
        <v>methylprednisolone</v>
      </c>
      <c r="D189">
        <f t="shared" si="2"/>
        <v>1</v>
      </c>
      <c r="F189" t="s">
        <v>704</v>
      </c>
      <c r="G189">
        <v>4</v>
      </c>
    </row>
    <row r="190" spans="1:7" x14ac:dyDescent="0.3">
      <c r="A190" t="s">
        <v>2898</v>
      </c>
      <c r="C190" t="str">
        <v>metoclopramide </v>
      </c>
      <c r="D190">
        <f t="shared" si="2"/>
        <v>6</v>
      </c>
      <c r="F190" t="s">
        <v>152</v>
      </c>
      <c r="G190">
        <v>4</v>
      </c>
    </row>
    <row r="191" spans="1:7" x14ac:dyDescent="0.3">
      <c r="A191" t="s">
        <v>2986</v>
      </c>
      <c r="C191" t="str">
        <v>metoprolol </v>
      </c>
      <c r="D191">
        <f t="shared" si="2"/>
        <v>4</v>
      </c>
      <c r="F191" t="s">
        <v>1616</v>
      </c>
      <c r="G191">
        <v>4</v>
      </c>
    </row>
    <row r="192" spans="1:7" x14ac:dyDescent="0.3">
      <c r="A192" t="s">
        <v>2101</v>
      </c>
      <c r="B192" t="s">
        <v>2102</v>
      </c>
      <c r="C192" t="str">
        <v>metronidazole</v>
      </c>
      <c r="D192">
        <f t="shared" si="2"/>
        <v>15</v>
      </c>
      <c r="F192" t="s">
        <v>2480</v>
      </c>
      <c r="G192">
        <v>4</v>
      </c>
    </row>
    <row r="193" spans="1:7" x14ac:dyDescent="0.3">
      <c r="A193" t="s">
        <v>547</v>
      </c>
      <c r="B193" t="s">
        <v>548</v>
      </c>
      <c r="C193" t="str">
        <v>miconazole</v>
      </c>
      <c r="D193">
        <f t="shared" si="2"/>
        <v>2</v>
      </c>
      <c r="F193" t="s">
        <v>1345</v>
      </c>
      <c r="G193">
        <v>4</v>
      </c>
    </row>
    <row r="194" spans="1:7" x14ac:dyDescent="0.3">
      <c r="A194" t="s">
        <v>1590</v>
      </c>
      <c r="C194" t="str">
        <v>miconazole </v>
      </c>
      <c r="D194">
        <f t="shared" si="2"/>
        <v>1</v>
      </c>
      <c r="F194" t="s">
        <v>733</v>
      </c>
      <c r="G194">
        <v>4</v>
      </c>
    </row>
    <row r="195" spans="1:7" x14ac:dyDescent="0.3">
      <c r="A195" t="s">
        <v>1590</v>
      </c>
      <c r="B195" t="s">
        <v>1970</v>
      </c>
      <c r="C195" t="str">
        <v>mirabegron</v>
      </c>
      <c r="D195">
        <f t="shared" ref="D195:D258" si="3">COUNTIF(A$1:A$2981,C195)</f>
        <v>1</v>
      </c>
      <c r="F195" t="s">
        <v>175</v>
      </c>
      <c r="G195">
        <v>4</v>
      </c>
    </row>
    <row r="196" spans="1:7" x14ac:dyDescent="0.3">
      <c r="A196" t="s">
        <v>562</v>
      </c>
      <c r="C196" t="str">
        <v>mitoxantrone</v>
      </c>
      <c r="D196">
        <f t="shared" si="3"/>
        <v>1</v>
      </c>
      <c r="F196" t="s">
        <v>2841</v>
      </c>
      <c r="G196">
        <v>4</v>
      </c>
    </row>
    <row r="197" spans="1:7" x14ac:dyDescent="0.3">
      <c r="A197" t="s">
        <v>562</v>
      </c>
      <c r="B197" t="s">
        <v>563</v>
      </c>
      <c r="C197" t="str">
        <v>modafinil</v>
      </c>
      <c r="D197">
        <f t="shared" si="3"/>
        <v>2</v>
      </c>
      <c r="F197" t="s">
        <v>43</v>
      </c>
      <c r="G197">
        <v>4</v>
      </c>
    </row>
    <row r="198" spans="1:7" x14ac:dyDescent="0.3">
      <c r="A198" t="s">
        <v>562</v>
      </c>
      <c r="B198" t="s">
        <v>563</v>
      </c>
      <c r="C198" t="str">
        <v>mometasone</v>
      </c>
      <c r="D198">
        <f t="shared" si="3"/>
        <v>6</v>
      </c>
      <c r="F198" t="s">
        <v>5344</v>
      </c>
      <c r="G198">
        <v>4</v>
      </c>
    </row>
    <row r="199" spans="1:7" x14ac:dyDescent="0.3">
      <c r="A199" t="s">
        <v>562</v>
      </c>
      <c r="B199" t="s">
        <v>563</v>
      </c>
      <c r="C199" t="str">
        <v>montelukast</v>
      </c>
      <c r="D199">
        <f t="shared" si="3"/>
        <v>18</v>
      </c>
      <c r="F199" t="s">
        <v>5114</v>
      </c>
      <c r="G199">
        <v>4</v>
      </c>
    </row>
    <row r="200" spans="1:7" x14ac:dyDescent="0.3">
      <c r="A200" t="s">
        <v>554</v>
      </c>
      <c r="B200" t="s">
        <v>555</v>
      </c>
      <c r="C200" t="str">
        <v>multivitamins and iron </v>
      </c>
      <c r="D200">
        <f t="shared" si="3"/>
        <v>1</v>
      </c>
      <c r="F200" t="s">
        <v>5160</v>
      </c>
      <c r="G200">
        <v>4</v>
      </c>
    </row>
    <row r="201" spans="1:7" x14ac:dyDescent="0.3">
      <c r="A201" t="s">
        <v>1623</v>
      </c>
      <c r="C201" t="str">
        <v>multivitamins and other minerals, incl. combinations </v>
      </c>
      <c r="D201">
        <f t="shared" si="3"/>
        <v>2</v>
      </c>
      <c r="F201" t="s">
        <v>5148</v>
      </c>
      <c r="G201">
        <v>4</v>
      </c>
    </row>
    <row r="202" spans="1:7" x14ac:dyDescent="0.3">
      <c r="A202" t="s">
        <v>1623</v>
      </c>
      <c r="C202" t="str">
        <v>Multivitamins, combinations</v>
      </c>
      <c r="D202">
        <f t="shared" si="3"/>
        <v>1</v>
      </c>
      <c r="F202" t="s">
        <v>5323</v>
      </c>
      <c r="G202">
        <v>4</v>
      </c>
    </row>
    <row r="203" spans="1:7" x14ac:dyDescent="0.3">
      <c r="A203" t="s">
        <v>1623</v>
      </c>
      <c r="B203" t="s">
        <v>1624</v>
      </c>
      <c r="C203" t="str">
        <v>Multivitamins, plain</v>
      </c>
      <c r="D203">
        <f t="shared" si="3"/>
        <v>1</v>
      </c>
      <c r="F203" t="s">
        <v>495</v>
      </c>
      <c r="G203">
        <v>4</v>
      </c>
    </row>
    <row r="204" spans="1:7" x14ac:dyDescent="0.3">
      <c r="A204" t="s">
        <v>1623</v>
      </c>
      <c r="B204" t="s">
        <v>1742</v>
      </c>
      <c r="C204" t="str">
        <v>mupirocin</v>
      </c>
      <c r="D204">
        <f t="shared" si="3"/>
        <v>2</v>
      </c>
      <c r="F204" t="s">
        <v>5169</v>
      </c>
      <c r="G204">
        <v>4</v>
      </c>
    </row>
    <row r="205" spans="1:7" x14ac:dyDescent="0.3">
      <c r="A205" t="s">
        <v>939</v>
      </c>
      <c r="B205" t="s">
        <v>940</v>
      </c>
      <c r="C205" t="str">
        <v>nalidixic acid</v>
      </c>
      <c r="D205">
        <f t="shared" si="3"/>
        <v>1</v>
      </c>
      <c r="F205" t="s">
        <v>5046</v>
      </c>
      <c r="G205">
        <v>4</v>
      </c>
    </row>
    <row r="206" spans="1:7" x14ac:dyDescent="0.3">
      <c r="A206" t="s">
        <v>939</v>
      </c>
      <c r="B206" t="s">
        <v>2084</v>
      </c>
      <c r="C206" t="str">
        <v>naphazoline</v>
      </c>
      <c r="D206">
        <f t="shared" si="3"/>
        <v>1</v>
      </c>
      <c r="F206" t="s">
        <v>5283</v>
      </c>
      <c r="G206">
        <v>4</v>
      </c>
    </row>
    <row r="207" spans="1:7" x14ac:dyDescent="0.3">
      <c r="A207" t="s">
        <v>939</v>
      </c>
      <c r="B207" t="s">
        <v>2117</v>
      </c>
      <c r="C207" t="str">
        <v>naproxen</v>
      </c>
      <c r="D207">
        <f t="shared" si="3"/>
        <v>6</v>
      </c>
      <c r="F207" t="s">
        <v>5158</v>
      </c>
      <c r="G207">
        <v>4</v>
      </c>
    </row>
    <row r="208" spans="1:7" x14ac:dyDescent="0.3">
      <c r="A208" t="s">
        <v>450</v>
      </c>
      <c r="C208" t="str">
        <v>nebivolol </v>
      </c>
      <c r="D208">
        <f t="shared" si="3"/>
        <v>2</v>
      </c>
      <c r="F208" t="s">
        <v>5053</v>
      </c>
      <c r="G208">
        <v>4</v>
      </c>
    </row>
    <row r="209" spans="1:7" x14ac:dyDescent="0.3">
      <c r="A209" t="s">
        <v>450</v>
      </c>
      <c r="B209" t="s">
        <v>451</v>
      </c>
      <c r="C209" t="str">
        <v>neomycin, combinations </v>
      </c>
      <c r="D209">
        <f t="shared" si="3"/>
        <v>2</v>
      </c>
      <c r="F209" t="s">
        <v>5040</v>
      </c>
      <c r="G209">
        <v>4</v>
      </c>
    </row>
    <row r="210" spans="1:7" x14ac:dyDescent="0.3">
      <c r="A210" t="s">
        <v>310</v>
      </c>
      <c r="B210" t="s">
        <v>311</v>
      </c>
      <c r="C210" t="str">
        <v>nifedipine </v>
      </c>
      <c r="D210">
        <f t="shared" si="3"/>
        <v>2</v>
      </c>
      <c r="F210" t="s">
        <v>5302</v>
      </c>
      <c r="G210">
        <v>4</v>
      </c>
    </row>
    <row r="211" spans="1:7" x14ac:dyDescent="0.3">
      <c r="A211" t="s">
        <v>3095</v>
      </c>
      <c r="C211" t="str">
        <v>nifuroxazide </v>
      </c>
      <c r="D211">
        <f t="shared" si="3"/>
        <v>2</v>
      </c>
      <c r="F211" t="s">
        <v>5333</v>
      </c>
      <c r="G211">
        <v>4</v>
      </c>
    </row>
    <row r="212" spans="1:7" x14ac:dyDescent="0.3">
      <c r="A212" t="s">
        <v>1218</v>
      </c>
      <c r="C212" t="str">
        <v>nitazoxanide</v>
      </c>
      <c r="D212">
        <f t="shared" si="3"/>
        <v>1</v>
      </c>
      <c r="F212" t="s">
        <v>5155</v>
      </c>
      <c r="G212">
        <v>4</v>
      </c>
    </row>
    <row r="213" spans="1:7" x14ac:dyDescent="0.3">
      <c r="A213" t="s">
        <v>1218</v>
      </c>
      <c r="B213" t="s">
        <v>2736</v>
      </c>
      <c r="C213" t="str">
        <v>nitrofurantoin</v>
      </c>
      <c r="D213">
        <f t="shared" si="3"/>
        <v>3</v>
      </c>
      <c r="F213" t="s">
        <v>5324</v>
      </c>
      <c r="G213">
        <v>4</v>
      </c>
    </row>
    <row r="214" spans="1:7" x14ac:dyDescent="0.3">
      <c r="A214" t="s">
        <v>1218</v>
      </c>
      <c r="B214" t="s">
        <v>1219</v>
      </c>
      <c r="C214" t="str">
        <v>nystatin</v>
      </c>
      <c r="D214">
        <f t="shared" si="3"/>
        <v>4</v>
      </c>
      <c r="F214" t="s">
        <v>4976</v>
      </c>
      <c r="G214">
        <v>4</v>
      </c>
    </row>
    <row r="215" spans="1:7" x14ac:dyDescent="0.3">
      <c r="A215" t="s">
        <v>1790</v>
      </c>
      <c r="B215" t="s">
        <v>1791</v>
      </c>
      <c r="C215" t="str">
        <v>nystatin, combinations</v>
      </c>
      <c r="D215">
        <f t="shared" si="3"/>
        <v>3</v>
      </c>
      <c r="F215" t="s">
        <v>5301</v>
      </c>
      <c r="G215">
        <v>4</v>
      </c>
    </row>
    <row r="216" spans="1:7" x14ac:dyDescent="0.3">
      <c r="A216" t="s">
        <v>1564</v>
      </c>
      <c r="C216" t="str">
        <v>olmesartan medoxomil and diuretics </v>
      </c>
      <c r="D216">
        <f t="shared" si="3"/>
        <v>1</v>
      </c>
      <c r="F216" t="s">
        <v>5263</v>
      </c>
      <c r="G216">
        <v>4</v>
      </c>
    </row>
    <row r="217" spans="1:7" x14ac:dyDescent="0.3">
      <c r="A217" t="s">
        <v>1478</v>
      </c>
      <c r="B217" t="s">
        <v>1479</v>
      </c>
      <c r="C217" t="str">
        <v>olmesartan medoxomil, amlodipine and hydrochlorothiazide </v>
      </c>
      <c r="D217">
        <f t="shared" si="3"/>
        <v>1</v>
      </c>
      <c r="F217" t="s">
        <v>428</v>
      </c>
      <c r="G217">
        <v>3</v>
      </c>
    </row>
    <row r="218" spans="1:7" x14ac:dyDescent="0.3">
      <c r="A218" t="s">
        <v>1478</v>
      </c>
      <c r="B218" t="s">
        <v>1479</v>
      </c>
      <c r="C218" t="str">
        <v>omega-3-triglycerides incl. other esters and acids </v>
      </c>
      <c r="D218">
        <f t="shared" si="3"/>
        <v>1</v>
      </c>
      <c r="F218" t="s">
        <v>2452</v>
      </c>
      <c r="G218">
        <v>3</v>
      </c>
    </row>
    <row r="219" spans="1:7" x14ac:dyDescent="0.3">
      <c r="A219" t="s">
        <v>1478</v>
      </c>
      <c r="B219" t="s">
        <v>1702</v>
      </c>
      <c r="C219" t="str">
        <v>omeprazole </v>
      </c>
      <c r="D219">
        <f t="shared" si="3"/>
        <v>8</v>
      </c>
      <c r="F219" t="s">
        <v>1327</v>
      </c>
      <c r="G219">
        <v>3</v>
      </c>
    </row>
    <row r="220" spans="1:7" x14ac:dyDescent="0.3">
      <c r="A220" t="s">
        <v>894</v>
      </c>
      <c r="B220" t="s">
        <v>895</v>
      </c>
      <c r="C220" t="str">
        <v>oseltamivir</v>
      </c>
      <c r="D220">
        <f t="shared" si="3"/>
        <v>3</v>
      </c>
      <c r="F220" t="s">
        <v>638</v>
      </c>
      <c r="G220">
        <v>3</v>
      </c>
    </row>
    <row r="221" spans="1:7" x14ac:dyDescent="0.3">
      <c r="A221" t="s">
        <v>254</v>
      </c>
      <c r="B221" t="s">
        <v>255</v>
      </c>
      <c r="C221" t="str">
        <v>Other analgesics and antipyretics</v>
      </c>
      <c r="D221">
        <f t="shared" si="3"/>
        <v>1</v>
      </c>
      <c r="F221" t="s">
        <v>1402</v>
      </c>
      <c r="G221">
        <v>3</v>
      </c>
    </row>
    <row r="222" spans="1:7" x14ac:dyDescent="0.3">
      <c r="A222" t="s">
        <v>494</v>
      </c>
      <c r="B222" t="s">
        <v>495</v>
      </c>
      <c r="C222" t="str">
        <v>Other anti-dementia drugs</v>
      </c>
      <c r="D222">
        <f t="shared" si="3"/>
        <v>1</v>
      </c>
      <c r="F222" t="s">
        <v>2112</v>
      </c>
      <c r="G222">
        <v>3</v>
      </c>
    </row>
    <row r="223" spans="1:7" x14ac:dyDescent="0.3">
      <c r="A223" t="s">
        <v>494</v>
      </c>
      <c r="B223" t="s">
        <v>2126</v>
      </c>
      <c r="C223" t="str">
        <v>Other antiemetics</v>
      </c>
      <c r="D223">
        <f t="shared" si="3"/>
        <v>3</v>
      </c>
      <c r="F223" t="s">
        <v>2273</v>
      </c>
      <c r="G223">
        <v>3</v>
      </c>
    </row>
    <row r="224" spans="1:7" x14ac:dyDescent="0.3">
      <c r="A224" t="s">
        <v>494</v>
      </c>
      <c r="B224" t="s">
        <v>2126</v>
      </c>
      <c r="C224" t="str">
        <v>Other antiepileptics</v>
      </c>
      <c r="D224">
        <f t="shared" si="3"/>
        <v>2</v>
      </c>
      <c r="F224" t="s">
        <v>1805</v>
      </c>
      <c r="G224">
        <v>3</v>
      </c>
    </row>
    <row r="225" spans="1:7" x14ac:dyDescent="0.3">
      <c r="A225" t="s">
        <v>398</v>
      </c>
      <c r="B225" t="s">
        <v>399</v>
      </c>
      <c r="C225" t="str">
        <v>Other antiinfectives and antiseptics</v>
      </c>
      <c r="D225">
        <f t="shared" si="3"/>
        <v>2</v>
      </c>
      <c r="F225" t="s">
        <v>2101</v>
      </c>
      <c r="G225">
        <v>3</v>
      </c>
    </row>
    <row r="226" spans="1:7" x14ac:dyDescent="0.3">
      <c r="A226" t="s">
        <v>398</v>
      </c>
      <c r="B226" t="s">
        <v>399</v>
      </c>
      <c r="C226" t="str">
        <v>Other antiinflammatory/antirheumatic agents in combination with other drugs</v>
      </c>
      <c r="D226">
        <f t="shared" si="3"/>
        <v>1</v>
      </c>
      <c r="F226" t="s">
        <v>939</v>
      </c>
      <c r="G226">
        <v>3</v>
      </c>
    </row>
    <row r="227" spans="1:7" x14ac:dyDescent="0.3">
      <c r="A227" t="s">
        <v>398</v>
      </c>
      <c r="B227" t="s">
        <v>399</v>
      </c>
      <c r="C227" t="str">
        <v>Other antispasmodics in combination with analgesics</v>
      </c>
      <c r="D227">
        <f t="shared" si="3"/>
        <v>2</v>
      </c>
      <c r="F227" t="s">
        <v>1218</v>
      </c>
      <c r="G227">
        <v>3</v>
      </c>
    </row>
    <row r="228" spans="1:7" x14ac:dyDescent="0.3">
      <c r="A228" t="s">
        <v>398</v>
      </c>
      <c r="B228" t="s">
        <v>399</v>
      </c>
      <c r="C228" t="str">
        <v>Other antispasmodics in combination with psycholeptics</v>
      </c>
      <c r="D228">
        <f t="shared" si="3"/>
        <v>1</v>
      </c>
      <c r="F228" t="s">
        <v>1478</v>
      </c>
      <c r="G228">
        <v>3</v>
      </c>
    </row>
    <row r="229" spans="1:7" x14ac:dyDescent="0.3">
      <c r="A229" t="s">
        <v>398</v>
      </c>
      <c r="B229" t="s">
        <v>399</v>
      </c>
      <c r="C229" t="str">
        <v>oxymetazoline</v>
      </c>
      <c r="D229">
        <f t="shared" si="3"/>
        <v>1</v>
      </c>
      <c r="F229" t="s">
        <v>494</v>
      </c>
      <c r="G229">
        <v>3</v>
      </c>
    </row>
    <row r="230" spans="1:7" x14ac:dyDescent="0.3">
      <c r="A230" t="s">
        <v>398</v>
      </c>
      <c r="B230" t="s">
        <v>399</v>
      </c>
      <c r="C230" t="str">
        <v>paracetamol</v>
      </c>
      <c r="D230">
        <f t="shared" si="3"/>
        <v>62</v>
      </c>
      <c r="F230" t="s">
        <v>1083</v>
      </c>
      <c r="G230">
        <v>3</v>
      </c>
    </row>
    <row r="231" spans="1:7" x14ac:dyDescent="0.3">
      <c r="A231" t="s">
        <v>398</v>
      </c>
      <c r="B231" t="s">
        <v>399</v>
      </c>
      <c r="C231" t="str">
        <v>paracetamol, combinations excl. psycholeptics</v>
      </c>
      <c r="D231">
        <f t="shared" si="3"/>
        <v>6</v>
      </c>
      <c r="F231" t="s">
        <v>2815</v>
      </c>
      <c r="G231">
        <v>3</v>
      </c>
    </row>
    <row r="232" spans="1:7" x14ac:dyDescent="0.3">
      <c r="A232" t="s">
        <v>398</v>
      </c>
      <c r="B232" t="s">
        <v>399</v>
      </c>
      <c r="C232" t="str">
        <v>pentoxifylline </v>
      </c>
      <c r="D232">
        <f t="shared" si="3"/>
        <v>1</v>
      </c>
      <c r="F232" t="s">
        <v>648</v>
      </c>
      <c r="G232">
        <v>3</v>
      </c>
    </row>
    <row r="233" spans="1:7" x14ac:dyDescent="0.3">
      <c r="A233" t="s">
        <v>398</v>
      </c>
      <c r="B233" t="s">
        <v>399</v>
      </c>
      <c r="C233" t="str">
        <v>perindopril and amlodipine </v>
      </c>
      <c r="D233">
        <f t="shared" si="3"/>
        <v>18</v>
      </c>
      <c r="F233" t="s">
        <v>302</v>
      </c>
      <c r="G233">
        <v>3</v>
      </c>
    </row>
    <row r="234" spans="1:7" x14ac:dyDescent="0.3">
      <c r="A234" t="s">
        <v>334</v>
      </c>
      <c r="C234" t="str">
        <v>perindopril, amlodipine and indapamide </v>
      </c>
      <c r="D234">
        <f t="shared" si="3"/>
        <v>6</v>
      </c>
      <c r="F234" t="s">
        <v>819</v>
      </c>
      <c r="G234">
        <v>3</v>
      </c>
    </row>
    <row r="235" spans="1:7" x14ac:dyDescent="0.3">
      <c r="A235" t="s">
        <v>334</v>
      </c>
      <c r="C235" t="str">
        <v>phenazopyridine</v>
      </c>
      <c r="D235">
        <f t="shared" si="3"/>
        <v>1</v>
      </c>
      <c r="F235" t="s">
        <v>1658</v>
      </c>
      <c r="G235">
        <v>3</v>
      </c>
    </row>
    <row r="236" spans="1:7" x14ac:dyDescent="0.3">
      <c r="A236" t="s">
        <v>334</v>
      </c>
      <c r="B236" t="s">
        <v>335</v>
      </c>
      <c r="C236" t="str">
        <v>phenylephrine, combinations</v>
      </c>
      <c r="D236">
        <f t="shared" si="3"/>
        <v>1</v>
      </c>
      <c r="F236" t="s">
        <v>679</v>
      </c>
      <c r="G236">
        <v>3</v>
      </c>
    </row>
    <row r="237" spans="1:7" x14ac:dyDescent="0.3">
      <c r="A237" t="s">
        <v>334</v>
      </c>
      <c r="B237" t="s">
        <v>2331</v>
      </c>
      <c r="C237" t="str">
        <v>phenytoin</v>
      </c>
      <c r="D237">
        <f t="shared" si="3"/>
        <v>2</v>
      </c>
      <c r="F237" t="s">
        <v>808</v>
      </c>
      <c r="G237">
        <v>3</v>
      </c>
    </row>
    <row r="238" spans="1:7" x14ac:dyDescent="0.3">
      <c r="A238" t="s">
        <v>2641</v>
      </c>
      <c r="C238" t="str">
        <v>phloroglucinol </v>
      </c>
      <c r="D238">
        <f t="shared" si="3"/>
        <v>1</v>
      </c>
      <c r="F238" t="s">
        <v>1077</v>
      </c>
      <c r="G238">
        <v>3</v>
      </c>
    </row>
    <row r="239" spans="1:7" x14ac:dyDescent="0.3">
      <c r="A239" t="s">
        <v>2641</v>
      </c>
      <c r="B239" t="s">
        <v>2642</v>
      </c>
      <c r="C239" t="str">
        <v>pinaverium </v>
      </c>
      <c r="D239">
        <f t="shared" si="3"/>
        <v>5</v>
      </c>
      <c r="F239" t="s">
        <v>525</v>
      </c>
      <c r="G239">
        <v>3</v>
      </c>
    </row>
    <row r="240" spans="1:7" x14ac:dyDescent="0.3">
      <c r="A240" t="s">
        <v>1965</v>
      </c>
      <c r="B240" t="s">
        <v>1966</v>
      </c>
      <c r="C240" t="str">
        <v>pioglitazone </v>
      </c>
      <c r="D240">
        <f t="shared" si="3"/>
        <v>7</v>
      </c>
      <c r="F240" t="s">
        <v>813</v>
      </c>
      <c r="G240">
        <v>3</v>
      </c>
    </row>
    <row r="241" spans="1:7" x14ac:dyDescent="0.3">
      <c r="A241" t="s">
        <v>117</v>
      </c>
      <c r="B241" t="s">
        <v>740</v>
      </c>
      <c r="C241" t="str">
        <v>piracetam</v>
      </c>
      <c r="D241">
        <f t="shared" si="3"/>
        <v>2</v>
      </c>
      <c r="F241" t="s">
        <v>3043</v>
      </c>
      <c r="G241">
        <v>3</v>
      </c>
    </row>
    <row r="242" spans="1:7" x14ac:dyDescent="0.3">
      <c r="A242" t="s">
        <v>117</v>
      </c>
      <c r="B242" t="s">
        <v>740</v>
      </c>
      <c r="C242" t="str">
        <v>piroxicam</v>
      </c>
      <c r="D242">
        <f t="shared" si="3"/>
        <v>22</v>
      </c>
      <c r="F242" t="s">
        <v>1724</v>
      </c>
      <c r="G242">
        <v>3</v>
      </c>
    </row>
    <row r="243" spans="1:7" x14ac:dyDescent="0.3">
      <c r="A243" t="s">
        <v>117</v>
      </c>
      <c r="B243" t="s">
        <v>124</v>
      </c>
      <c r="C243" t="str">
        <v>povidone-iodine</v>
      </c>
      <c r="D243">
        <f t="shared" si="3"/>
        <v>1</v>
      </c>
      <c r="F243" t="s">
        <v>1483</v>
      </c>
      <c r="G243">
        <v>3</v>
      </c>
    </row>
    <row r="244" spans="1:7" x14ac:dyDescent="0.3">
      <c r="A244" t="s">
        <v>117</v>
      </c>
      <c r="B244" t="s">
        <v>118</v>
      </c>
      <c r="C244" t="str">
        <v>pravastatin </v>
      </c>
      <c r="D244">
        <f t="shared" si="3"/>
        <v>3</v>
      </c>
      <c r="F244" t="s">
        <v>228</v>
      </c>
      <c r="G244">
        <v>3</v>
      </c>
    </row>
    <row r="245" spans="1:7" x14ac:dyDescent="0.3">
      <c r="A245" t="s">
        <v>117</v>
      </c>
      <c r="B245" t="s">
        <v>118</v>
      </c>
      <c r="C245" t="str">
        <v>prazosin </v>
      </c>
      <c r="D245">
        <f t="shared" si="3"/>
        <v>3</v>
      </c>
      <c r="F245" t="s">
        <v>1812</v>
      </c>
      <c r="G245">
        <v>3</v>
      </c>
    </row>
    <row r="246" spans="1:7" x14ac:dyDescent="0.3">
      <c r="A246" t="s">
        <v>2212</v>
      </c>
      <c r="C246" t="str">
        <v>prednisone</v>
      </c>
      <c r="D246">
        <f t="shared" si="3"/>
        <v>5</v>
      </c>
      <c r="F246" t="s">
        <v>2949</v>
      </c>
      <c r="G246">
        <v>3</v>
      </c>
    </row>
    <row r="247" spans="1:7" x14ac:dyDescent="0.3">
      <c r="A247" t="s">
        <v>1635</v>
      </c>
      <c r="B247" t="s">
        <v>1636</v>
      </c>
      <c r="C247" t="str">
        <v>pregabalin</v>
      </c>
      <c r="D247">
        <f t="shared" si="3"/>
        <v>5</v>
      </c>
      <c r="F247" t="s">
        <v>1185</v>
      </c>
      <c r="G247">
        <v>3</v>
      </c>
    </row>
    <row r="248" spans="1:7" x14ac:dyDescent="0.3">
      <c r="A248" t="s">
        <v>1635</v>
      </c>
      <c r="B248" t="s">
        <v>1636</v>
      </c>
      <c r="C248" t="str">
        <v>primidone</v>
      </c>
      <c r="D248">
        <f t="shared" si="3"/>
        <v>6</v>
      </c>
      <c r="F248" t="s">
        <v>340</v>
      </c>
      <c r="G248">
        <v>3</v>
      </c>
    </row>
    <row r="249" spans="1:7" x14ac:dyDescent="0.3">
      <c r="A249" t="s">
        <v>1582</v>
      </c>
      <c r="C249" t="str">
        <v>Propulsives</v>
      </c>
      <c r="D249">
        <f t="shared" si="3"/>
        <v>1</v>
      </c>
      <c r="F249" t="s">
        <v>1035</v>
      </c>
      <c r="G249">
        <v>3</v>
      </c>
    </row>
    <row r="250" spans="1:7" x14ac:dyDescent="0.3">
      <c r="A250" t="s">
        <v>2039</v>
      </c>
      <c r="B250" t="s">
        <v>2040</v>
      </c>
      <c r="C250" t="str">
        <v>Proton pump inhibitors</v>
      </c>
      <c r="D250">
        <f t="shared" si="3"/>
        <v>1</v>
      </c>
      <c r="F250" t="s">
        <v>925</v>
      </c>
      <c r="G250">
        <v>3</v>
      </c>
    </row>
    <row r="251" spans="1:7" x14ac:dyDescent="0.3">
      <c r="A251" t="s">
        <v>961</v>
      </c>
      <c r="B251" t="s">
        <v>962</v>
      </c>
      <c r="C251" t="str">
        <v>PSYCHOSTIMULANTS, AGENTS USED FOR ADHD AND NOOTROPICS</v>
      </c>
      <c r="D251">
        <f t="shared" si="3"/>
        <v>1</v>
      </c>
      <c r="F251" t="s">
        <v>1490</v>
      </c>
      <c r="G251">
        <v>3</v>
      </c>
    </row>
    <row r="252" spans="1:7" x14ac:dyDescent="0.3">
      <c r="A252" t="s">
        <v>961</v>
      </c>
      <c r="B252" t="s">
        <v>2517</v>
      </c>
      <c r="C252" t="str">
        <v>quetiapine</v>
      </c>
      <c r="D252">
        <f t="shared" si="3"/>
        <v>2</v>
      </c>
      <c r="F252" t="s">
        <v>5321</v>
      </c>
      <c r="G252">
        <v>3</v>
      </c>
    </row>
    <row r="253" spans="1:7" x14ac:dyDescent="0.3">
      <c r="A253" t="s">
        <v>1826</v>
      </c>
      <c r="C253" t="str">
        <v>raloxifene</v>
      </c>
      <c r="D253">
        <f t="shared" si="3"/>
        <v>1</v>
      </c>
      <c r="F253" t="s">
        <v>5021</v>
      </c>
      <c r="G253">
        <v>3</v>
      </c>
    </row>
    <row r="254" spans="1:7" x14ac:dyDescent="0.3">
      <c r="A254" t="s">
        <v>1213</v>
      </c>
      <c r="C254" t="str">
        <v>ranitidine </v>
      </c>
      <c r="D254">
        <f t="shared" si="3"/>
        <v>2</v>
      </c>
      <c r="F254" t="s">
        <v>5049</v>
      </c>
      <c r="G254">
        <v>3</v>
      </c>
    </row>
    <row r="255" spans="1:7" x14ac:dyDescent="0.3">
      <c r="A255" t="s">
        <v>1213</v>
      </c>
      <c r="B255" t="s">
        <v>1214</v>
      </c>
      <c r="C255" t="str">
        <v>Retinoids for topical use in acne</v>
      </c>
      <c r="D255">
        <f t="shared" si="3"/>
        <v>1</v>
      </c>
      <c r="F255" t="s">
        <v>5000</v>
      </c>
      <c r="G255">
        <v>3</v>
      </c>
    </row>
    <row r="256" spans="1:7" x14ac:dyDescent="0.3">
      <c r="A256" t="s">
        <v>1206</v>
      </c>
      <c r="B256" t="s">
        <v>1207</v>
      </c>
      <c r="C256" t="str">
        <v>rifaximin </v>
      </c>
      <c r="D256">
        <f t="shared" si="3"/>
        <v>1</v>
      </c>
      <c r="F256" t="s">
        <v>5121</v>
      </c>
      <c r="G256">
        <v>3</v>
      </c>
    </row>
    <row r="257" spans="1:7" x14ac:dyDescent="0.3">
      <c r="A257" t="s">
        <v>1206</v>
      </c>
      <c r="B257" t="s">
        <v>1207</v>
      </c>
      <c r="C257" t="str">
        <v>rimantadine</v>
      </c>
      <c r="D257">
        <f t="shared" si="3"/>
        <v>1</v>
      </c>
      <c r="F257" t="s">
        <v>5209</v>
      </c>
      <c r="G257">
        <v>3</v>
      </c>
    </row>
    <row r="258" spans="1:7" x14ac:dyDescent="0.3">
      <c r="A258" t="s">
        <v>2963</v>
      </c>
      <c r="C258" t="str">
        <v>rivaroxaban </v>
      </c>
      <c r="D258">
        <f t="shared" si="3"/>
        <v>3</v>
      </c>
      <c r="F258" t="s">
        <v>895</v>
      </c>
      <c r="G258">
        <v>3</v>
      </c>
    </row>
    <row r="259" spans="1:7" x14ac:dyDescent="0.3">
      <c r="A259" t="s">
        <v>617</v>
      </c>
      <c r="B259" t="s">
        <v>618</v>
      </c>
      <c r="C259" t="str">
        <v>rosuvastatin </v>
      </c>
      <c r="D259">
        <f t="shared" ref="D259:D322" si="4">COUNTIF(A$1:A$2981,C259)</f>
        <v>10</v>
      </c>
      <c r="F259" t="s">
        <v>5174</v>
      </c>
      <c r="G259">
        <v>3</v>
      </c>
    </row>
    <row r="260" spans="1:7" x14ac:dyDescent="0.3">
      <c r="A260" t="s">
        <v>403</v>
      </c>
      <c r="B260" t="s">
        <v>404</v>
      </c>
      <c r="C260" t="str">
        <v>salbutamol and ipratropium bromide</v>
      </c>
      <c r="D260">
        <f t="shared" si="4"/>
        <v>1</v>
      </c>
      <c r="F260" t="s">
        <v>5124</v>
      </c>
      <c r="G260">
        <v>3</v>
      </c>
    </row>
    <row r="261" spans="1:7" x14ac:dyDescent="0.3">
      <c r="A261" t="s">
        <v>1900</v>
      </c>
      <c r="C261" t="str">
        <v>salmeterol and fluticasone</v>
      </c>
      <c r="D261">
        <f t="shared" si="4"/>
        <v>1</v>
      </c>
      <c r="F261" t="s">
        <v>5367</v>
      </c>
      <c r="G261">
        <v>3</v>
      </c>
    </row>
    <row r="262" spans="1:7" x14ac:dyDescent="0.3">
      <c r="A262" t="s">
        <v>1900</v>
      </c>
      <c r="B262" t="s">
        <v>1901</v>
      </c>
      <c r="C262" t="str">
        <v>Selective beta-2-adrenoreceptor agonists</v>
      </c>
      <c r="D262">
        <f t="shared" si="4"/>
        <v>3</v>
      </c>
      <c r="F262" t="s">
        <v>5163</v>
      </c>
      <c r="G262">
        <v>3</v>
      </c>
    </row>
    <row r="263" spans="1:7" x14ac:dyDescent="0.3">
      <c r="A263" t="s">
        <v>1608</v>
      </c>
      <c r="B263" t="s">
        <v>1609</v>
      </c>
      <c r="C263" t="str">
        <v>senna glycosides </v>
      </c>
      <c r="D263">
        <f t="shared" si="4"/>
        <v>2</v>
      </c>
      <c r="F263" t="s">
        <v>4989</v>
      </c>
      <c r="G263">
        <v>3</v>
      </c>
    </row>
    <row r="264" spans="1:7" x14ac:dyDescent="0.3">
      <c r="A264" t="s">
        <v>777</v>
      </c>
      <c r="B264" t="s">
        <v>778</v>
      </c>
      <c r="C264" t="str">
        <v>sildenafil</v>
      </c>
      <c r="D264">
        <f t="shared" si="4"/>
        <v>2</v>
      </c>
      <c r="F264" t="s">
        <v>5225</v>
      </c>
      <c r="G264">
        <v>3</v>
      </c>
    </row>
    <row r="265" spans="1:7" x14ac:dyDescent="0.3">
      <c r="A265" t="s">
        <v>777</v>
      </c>
      <c r="B265" t="s">
        <v>778</v>
      </c>
      <c r="C265" t="str">
        <v>sirolimus</v>
      </c>
      <c r="D265">
        <f t="shared" si="4"/>
        <v>3</v>
      </c>
      <c r="F265" t="s">
        <v>5296</v>
      </c>
      <c r="G265">
        <v>3</v>
      </c>
    </row>
    <row r="266" spans="1:7" x14ac:dyDescent="0.3">
      <c r="A266" t="s">
        <v>2062</v>
      </c>
      <c r="B266" t="s">
        <v>2063</v>
      </c>
      <c r="C266" t="str">
        <v>snake venom antiserum</v>
      </c>
      <c r="D266">
        <f t="shared" si="4"/>
        <v>1</v>
      </c>
      <c r="F266" t="s">
        <v>5080</v>
      </c>
      <c r="G266">
        <v>3</v>
      </c>
    </row>
    <row r="267" spans="1:7" x14ac:dyDescent="0.3">
      <c r="A267" t="s">
        <v>576</v>
      </c>
      <c r="C267" t="str">
        <v>spironolactone </v>
      </c>
      <c r="D267">
        <f t="shared" si="4"/>
        <v>1</v>
      </c>
      <c r="F267" t="s">
        <v>5222</v>
      </c>
      <c r="G267">
        <v>3</v>
      </c>
    </row>
    <row r="268" spans="1:7" x14ac:dyDescent="0.3">
      <c r="A268" t="s">
        <v>576</v>
      </c>
      <c r="C268" t="str">
        <v>sucralfate </v>
      </c>
      <c r="D268">
        <f t="shared" si="4"/>
        <v>4</v>
      </c>
      <c r="F268" t="s">
        <v>5042</v>
      </c>
      <c r="G268">
        <v>3</v>
      </c>
    </row>
    <row r="269" spans="1:7" x14ac:dyDescent="0.3">
      <c r="A269" t="s">
        <v>576</v>
      </c>
      <c r="C269" t="str">
        <v>sulbutiamine </v>
      </c>
      <c r="D269">
        <f t="shared" si="4"/>
        <v>1</v>
      </c>
      <c r="F269" t="s">
        <v>5332</v>
      </c>
      <c r="G269">
        <v>3</v>
      </c>
    </row>
    <row r="270" spans="1:7" x14ac:dyDescent="0.3">
      <c r="A270" t="s">
        <v>576</v>
      </c>
      <c r="C270" t="str">
        <v>sulfamethoxazole and trimethoprim</v>
      </c>
      <c r="D270">
        <f t="shared" si="4"/>
        <v>1</v>
      </c>
      <c r="F270" t="s">
        <v>5094</v>
      </c>
      <c r="G270">
        <v>3</v>
      </c>
    </row>
    <row r="271" spans="1:7" x14ac:dyDescent="0.3">
      <c r="A271" t="s">
        <v>576</v>
      </c>
      <c r="B271" t="s">
        <v>1113</v>
      </c>
      <c r="C271" t="str">
        <v>SULFONAMIDES AND TRIMETHOPRIM</v>
      </c>
      <c r="D271">
        <f t="shared" si="4"/>
        <v>1</v>
      </c>
      <c r="F271" t="s">
        <v>5041</v>
      </c>
      <c r="G271">
        <v>3</v>
      </c>
    </row>
    <row r="272" spans="1:7" x14ac:dyDescent="0.3">
      <c r="A272" t="s">
        <v>576</v>
      </c>
      <c r="B272" t="s">
        <v>577</v>
      </c>
      <c r="C272" t="str">
        <v>telmisartan and diuretics </v>
      </c>
      <c r="D272">
        <f t="shared" si="4"/>
        <v>10</v>
      </c>
      <c r="F272" t="s">
        <v>5215</v>
      </c>
      <c r="G272">
        <v>3</v>
      </c>
    </row>
    <row r="273" spans="1:7" x14ac:dyDescent="0.3">
      <c r="A273" t="s">
        <v>576</v>
      </c>
      <c r="B273" t="s">
        <v>833</v>
      </c>
      <c r="C273" t="str">
        <v>telmisartan </v>
      </c>
      <c r="D273">
        <f t="shared" si="4"/>
        <v>3</v>
      </c>
      <c r="F273" t="s">
        <v>5115</v>
      </c>
      <c r="G273">
        <v>3</v>
      </c>
    </row>
    <row r="274" spans="1:7" x14ac:dyDescent="0.3">
      <c r="A274" t="s">
        <v>1083</v>
      </c>
      <c r="C274" t="str">
        <v>theophylline, combinations excl. psycholeptics</v>
      </c>
      <c r="D274">
        <f t="shared" si="4"/>
        <v>3</v>
      </c>
      <c r="F274" t="s">
        <v>5117</v>
      </c>
      <c r="G274">
        <v>3</v>
      </c>
    </row>
    <row r="275" spans="1:7" x14ac:dyDescent="0.3">
      <c r="A275" t="s">
        <v>1083</v>
      </c>
      <c r="B275" t="s">
        <v>1084</v>
      </c>
      <c r="C275" t="str">
        <v>ticarcillin and beta-lactamase inhibitor</v>
      </c>
      <c r="D275">
        <f t="shared" si="4"/>
        <v>1</v>
      </c>
      <c r="F275" t="s">
        <v>5292</v>
      </c>
      <c r="G275">
        <v>3</v>
      </c>
    </row>
    <row r="276" spans="1:7" x14ac:dyDescent="0.3">
      <c r="A276" t="s">
        <v>1083</v>
      </c>
      <c r="B276" t="s">
        <v>2055</v>
      </c>
      <c r="C276" t="str">
        <v>timolol, combinations</v>
      </c>
      <c r="D276">
        <f t="shared" si="4"/>
        <v>1</v>
      </c>
      <c r="F276" t="s">
        <v>5050</v>
      </c>
      <c r="G276">
        <v>3</v>
      </c>
    </row>
    <row r="277" spans="1:7" x14ac:dyDescent="0.3">
      <c r="A277" t="s">
        <v>2091</v>
      </c>
      <c r="B277" t="s">
        <v>2092</v>
      </c>
      <c r="C277" t="str">
        <v>tizanidine</v>
      </c>
      <c r="D277">
        <f t="shared" si="4"/>
        <v>1</v>
      </c>
      <c r="F277" t="s">
        <v>5388</v>
      </c>
      <c r="G277">
        <v>3</v>
      </c>
    </row>
    <row r="278" spans="1:7" x14ac:dyDescent="0.3">
      <c r="A278" t="s">
        <v>2091</v>
      </c>
      <c r="B278" t="s">
        <v>2092</v>
      </c>
      <c r="C278" t="str">
        <v>tobramycin</v>
      </c>
      <c r="D278">
        <f t="shared" si="4"/>
        <v>2</v>
      </c>
      <c r="F278" t="s">
        <v>5177</v>
      </c>
      <c r="G278">
        <v>3</v>
      </c>
    </row>
    <row r="279" spans="1:7" x14ac:dyDescent="0.3">
      <c r="A279" t="s">
        <v>3050</v>
      </c>
      <c r="C279" t="str">
        <v>tolterodine</v>
      </c>
      <c r="D279">
        <f t="shared" si="4"/>
        <v>1</v>
      </c>
      <c r="F279" t="s">
        <v>5249</v>
      </c>
      <c r="G279">
        <v>3</v>
      </c>
    </row>
    <row r="280" spans="1:7" x14ac:dyDescent="0.3">
      <c r="A280" t="s">
        <v>2808</v>
      </c>
      <c r="C280" t="str">
        <v>topiramate</v>
      </c>
      <c r="D280">
        <f t="shared" si="4"/>
        <v>1</v>
      </c>
      <c r="F280" t="s">
        <v>5226</v>
      </c>
      <c r="G280">
        <v>3</v>
      </c>
    </row>
    <row r="281" spans="1:7" x14ac:dyDescent="0.3">
      <c r="A281" t="s">
        <v>2815</v>
      </c>
      <c r="C281" t="str">
        <v>tramadol and other non-opioid analgesics</v>
      </c>
      <c r="D281">
        <f t="shared" si="4"/>
        <v>2</v>
      </c>
      <c r="F281" t="s">
        <v>5364</v>
      </c>
      <c r="G281">
        <v>3</v>
      </c>
    </row>
    <row r="282" spans="1:7" x14ac:dyDescent="0.3">
      <c r="A282" t="s">
        <v>2815</v>
      </c>
      <c r="C282" t="str">
        <v>tretinoin</v>
      </c>
      <c r="D282">
        <f t="shared" si="4"/>
        <v>1</v>
      </c>
      <c r="F282" t="s">
        <v>5106</v>
      </c>
      <c r="G282">
        <v>3</v>
      </c>
    </row>
    <row r="283" spans="1:7" x14ac:dyDescent="0.3">
      <c r="A283" t="s">
        <v>2815</v>
      </c>
      <c r="C283" t="str">
        <v>trimebutine </v>
      </c>
      <c r="D283">
        <f t="shared" si="4"/>
        <v>5</v>
      </c>
      <c r="F283" t="s">
        <v>5376</v>
      </c>
      <c r="G283">
        <v>3</v>
      </c>
    </row>
    <row r="284" spans="1:7" x14ac:dyDescent="0.3">
      <c r="A284" t="s">
        <v>755</v>
      </c>
      <c r="B284" t="s">
        <v>756</v>
      </c>
      <c r="C284" t="str">
        <v>trimethyldiphenylpropylamine </v>
      </c>
      <c r="D284">
        <f t="shared" si="4"/>
        <v>1</v>
      </c>
      <c r="F284" t="s">
        <v>796</v>
      </c>
      <c r="G284">
        <v>3</v>
      </c>
    </row>
    <row r="285" spans="1:7" x14ac:dyDescent="0.3">
      <c r="A285" t="s">
        <v>202</v>
      </c>
      <c r="C285" t="str">
        <v>ursodeoxycholic acid </v>
      </c>
      <c r="D285">
        <f t="shared" si="4"/>
        <v>3</v>
      </c>
      <c r="F285" t="s">
        <v>5295</v>
      </c>
      <c r="G285">
        <v>3</v>
      </c>
    </row>
    <row r="286" spans="1:7" x14ac:dyDescent="0.3">
      <c r="A286" t="s">
        <v>202</v>
      </c>
      <c r="B286" t="s">
        <v>2446</v>
      </c>
      <c r="C286" t="str">
        <v>valsartan, amlodipine and hydrochlorothiazide </v>
      </c>
      <c r="D286">
        <f t="shared" si="4"/>
        <v>1</v>
      </c>
      <c r="F286" t="s">
        <v>5039</v>
      </c>
      <c r="G286">
        <v>3</v>
      </c>
    </row>
    <row r="287" spans="1:7" x14ac:dyDescent="0.3">
      <c r="A287" t="s">
        <v>202</v>
      </c>
      <c r="B287" t="s">
        <v>2446</v>
      </c>
      <c r="C287" t="str">
        <v>Vitamin A and D in combination</v>
      </c>
      <c r="D287">
        <f t="shared" si="4"/>
        <v>1</v>
      </c>
      <c r="F287" t="s">
        <v>5205</v>
      </c>
      <c r="G287">
        <v>3</v>
      </c>
    </row>
    <row r="288" spans="1:7" x14ac:dyDescent="0.3">
      <c r="A288" t="s">
        <v>202</v>
      </c>
      <c r="B288" t="s">
        <v>203</v>
      </c>
      <c r="C288" t="str">
        <v>Vitamin B1 in combination with vitamin B6 and/or vitamin B12</v>
      </c>
      <c r="D288">
        <f t="shared" si="4"/>
        <v>2</v>
      </c>
      <c r="F288" t="s">
        <v>5390</v>
      </c>
      <c r="G288">
        <v>3</v>
      </c>
    </row>
    <row r="289" spans="1:7" x14ac:dyDescent="0.3">
      <c r="A289" t="s">
        <v>159</v>
      </c>
      <c r="B289" t="s">
        <v>160</v>
      </c>
      <c r="C289" t="str">
        <v>Vitamin B-complex, plain</v>
      </c>
      <c r="D289">
        <f t="shared" si="4"/>
        <v>1</v>
      </c>
      <c r="F289" t="s">
        <v>4997</v>
      </c>
      <c r="G289">
        <v>3</v>
      </c>
    </row>
    <row r="290" spans="1:7" x14ac:dyDescent="0.3">
      <c r="A290" t="s">
        <v>159</v>
      </c>
      <c r="B290" t="s">
        <v>1015</v>
      </c>
      <c r="C290" t="str">
        <v>Acarbosa</v>
      </c>
      <c r="D290">
        <f t="shared" si="4"/>
        <v>7</v>
      </c>
      <c r="F290" t="s">
        <v>5303</v>
      </c>
      <c r="G290">
        <v>3</v>
      </c>
    </row>
    <row r="291" spans="1:7" x14ac:dyDescent="0.3">
      <c r="A291" t="s">
        <v>167</v>
      </c>
      <c r="C291" t="str">
        <v>Aceclofenaco</v>
      </c>
      <c r="D291">
        <f t="shared" si="4"/>
        <v>1</v>
      </c>
      <c r="F291" t="s">
        <v>5089</v>
      </c>
      <c r="G291">
        <v>3</v>
      </c>
    </row>
    <row r="292" spans="1:7" x14ac:dyDescent="0.3">
      <c r="A292" t="s">
        <v>167</v>
      </c>
      <c r="B292" t="s">
        <v>168</v>
      </c>
      <c r="C292" t="str">
        <v>Acemetacina</v>
      </c>
      <c r="D292">
        <f t="shared" si="4"/>
        <v>2</v>
      </c>
      <c r="F292" t="s">
        <v>5069</v>
      </c>
      <c r="G292">
        <v>3</v>
      </c>
    </row>
    <row r="293" spans="1:7" x14ac:dyDescent="0.3">
      <c r="A293" t="s">
        <v>167</v>
      </c>
      <c r="B293" t="s">
        <v>168</v>
      </c>
      <c r="C293" t="str">
        <v>Acetilcisteína</v>
      </c>
      <c r="D293">
        <f t="shared" si="4"/>
        <v>9</v>
      </c>
      <c r="F293" t="s">
        <v>5234</v>
      </c>
      <c r="G293">
        <v>3</v>
      </c>
    </row>
    <row r="294" spans="1:7" x14ac:dyDescent="0.3">
      <c r="A294" t="s">
        <v>167</v>
      </c>
      <c r="B294" t="s">
        <v>2422</v>
      </c>
      <c r="C294" t="str">
        <v>Acetilsalicilato de lisina/Metoclopramida</v>
      </c>
      <c r="D294">
        <f t="shared" si="4"/>
        <v>4</v>
      </c>
      <c r="F294" t="s">
        <v>5072</v>
      </c>
      <c r="G294">
        <v>3</v>
      </c>
    </row>
    <row r="295" spans="1:7" x14ac:dyDescent="0.3">
      <c r="A295" t="s">
        <v>2396</v>
      </c>
      <c r="C295" t="str">
        <v>Acetónido de fluocinolona</v>
      </c>
      <c r="D295">
        <f t="shared" si="4"/>
        <v>1</v>
      </c>
      <c r="F295" t="s">
        <v>5122</v>
      </c>
      <c r="G295">
        <v>3</v>
      </c>
    </row>
    <row r="296" spans="1:7" x14ac:dyDescent="0.3">
      <c r="A296" t="s">
        <v>2396</v>
      </c>
      <c r="C296" t="str">
        <v>Acetónido de fluocinolona/Polimixina B/Neomicina</v>
      </c>
      <c r="D296">
        <f t="shared" si="4"/>
        <v>1</v>
      </c>
      <c r="F296" t="s">
        <v>5154</v>
      </c>
      <c r="G296">
        <v>3</v>
      </c>
    </row>
    <row r="297" spans="1:7" x14ac:dyDescent="0.3">
      <c r="A297" t="s">
        <v>2396</v>
      </c>
      <c r="C297" t="str">
        <v>Ácido acetilsalicílico</v>
      </c>
      <c r="D297">
        <f t="shared" si="4"/>
        <v>21</v>
      </c>
      <c r="F297" t="s">
        <v>5088</v>
      </c>
      <c r="G297">
        <v>3</v>
      </c>
    </row>
    <row r="298" spans="1:7" x14ac:dyDescent="0.3">
      <c r="A298" t="s">
        <v>2396</v>
      </c>
      <c r="C298" t="str">
        <v>Ácido acetilsalicílico/Cafeína</v>
      </c>
      <c r="D298">
        <f t="shared" si="4"/>
        <v>7</v>
      </c>
      <c r="F298" t="s">
        <v>5104</v>
      </c>
      <c r="G298">
        <v>3</v>
      </c>
    </row>
    <row r="299" spans="1:7" x14ac:dyDescent="0.3">
      <c r="A299" t="s">
        <v>2396</v>
      </c>
      <c r="C299" t="str">
        <v>Ácido acetilsalicílico/Fenilefrina/Clorfenamina</v>
      </c>
      <c r="D299">
        <f t="shared" si="4"/>
        <v>3</v>
      </c>
      <c r="F299" t="s">
        <v>2968</v>
      </c>
      <c r="G299">
        <v>2</v>
      </c>
    </row>
    <row r="300" spans="1:7" x14ac:dyDescent="0.3">
      <c r="A300" t="s">
        <v>2396</v>
      </c>
      <c r="C300" t="str">
        <v>Ácido acexámico</v>
      </c>
      <c r="D300">
        <f t="shared" si="4"/>
        <v>2</v>
      </c>
      <c r="F300" t="s">
        <v>3018</v>
      </c>
      <c r="G300">
        <v>2</v>
      </c>
    </row>
    <row r="301" spans="1:7" x14ac:dyDescent="0.3">
      <c r="A301" t="s">
        <v>2930</v>
      </c>
      <c r="C301" t="str">
        <v>Ácido acexámico/Neomicina</v>
      </c>
      <c r="D301">
        <f t="shared" si="4"/>
        <v>1</v>
      </c>
      <c r="F301" t="s">
        <v>70</v>
      </c>
      <c r="G301">
        <v>2</v>
      </c>
    </row>
    <row r="302" spans="1:7" x14ac:dyDescent="0.3">
      <c r="A302" t="s">
        <v>1409</v>
      </c>
      <c r="B302" t="s">
        <v>1410</v>
      </c>
      <c r="C302" t="str">
        <v>Ácido alendrónico</v>
      </c>
      <c r="D302">
        <f t="shared" si="4"/>
        <v>2</v>
      </c>
      <c r="F302" t="s">
        <v>2631</v>
      </c>
      <c r="G302">
        <v>2</v>
      </c>
    </row>
    <row r="303" spans="1:7" x14ac:dyDescent="0.3">
      <c r="A303" t="s">
        <v>2156</v>
      </c>
      <c r="B303" t="s">
        <v>2157</v>
      </c>
      <c r="C303" t="str">
        <v>Ácido alendrónico/Colecalciferol</v>
      </c>
      <c r="D303">
        <f t="shared" si="4"/>
        <v>24</v>
      </c>
      <c r="F303" t="s">
        <v>1558</v>
      </c>
      <c r="G303">
        <v>2</v>
      </c>
    </row>
    <row r="304" spans="1:7" x14ac:dyDescent="0.3">
      <c r="A304" t="s">
        <v>1574</v>
      </c>
      <c r="C304" t="str">
        <v>Ácido ascórbico</v>
      </c>
      <c r="D304">
        <f t="shared" si="4"/>
        <v>5</v>
      </c>
      <c r="F304" t="s">
        <v>1156</v>
      </c>
      <c r="G304">
        <v>2</v>
      </c>
    </row>
    <row r="305" spans="1:7" x14ac:dyDescent="0.3">
      <c r="A305" t="s">
        <v>1574</v>
      </c>
      <c r="B305" t="s">
        <v>1575</v>
      </c>
      <c r="C305" t="str">
        <v>Ácido ascórbico/Cianocobalamina/Ácido fólico/D-alfa-tocoferol/Hierro</v>
      </c>
      <c r="D305">
        <f t="shared" si="4"/>
        <v>1</v>
      </c>
      <c r="F305" t="s">
        <v>2317</v>
      </c>
      <c r="G305">
        <v>2</v>
      </c>
    </row>
    <row r="306" spans="1:7" x14ac:dyDescent="0.3">
      <c r="A306" t="s">
        <v>1574</v>
      </c>
      <c r="B306" t="s">
        <v>1575</v>
      </c>
      <c r="C306" t="str">
        <v>Ácido bórico/Óxido de zinc/Sulfatiazol</v>
      </c>
      <c r="D306">
        <f t="shared" si="4"/>
        <v>1</v>
      </c>
      <c r="F306" t="s">
        <v>271</v>
      </c>
      <c r="G306">
        <v>2</v>
      </c>
    </row>
    <row r="307" spans="1:7" x14ac:dyDescent="0.3">
      <c r="A307" t="s">
        <v>1574</v>
      </c>
      <c r="B307" t="s">
        <v>1575</v>
      </c>
      <c r="C307" t="str">
        <v>Ácido fólico</v>
      </c>
      <c r="D307">
        <f t="shared" si="4"/>
        <v>13</v>
      </c>
      <c r="F307" t="s">
        <v>261</v>
      </c>
      <c r="G307">
        <v>2</v>
      </c>
    </row>
    <row r="308" spans="1:7" x14ac:dyDescent="0.3">
      <c r="A308" t="s">
        <v>1574</v>
      </c>
      <c r="B308" t="s">
        <v>1575</v>
      </c>
      <c r="C308" t="str">
        <v>Ácido fusídico</v>
      </c>
      <c r="D308">
        <f t="shared" si="4"/>
        <v>6</v>
      </c>
      <c r="F308" t="s">
        <v>2428</v>
      </c>
      <c r="G308">
        <v>2</v>
      </c>
    </row>
    <row r="309" spans="1:7" x14ac:dyDescent="0.3">
      <c r="A309" t="s">
        <v>1574</v>
      </c>
      <c r="B309" t="s">
        <v>1575</v>
      </c>
      <c r="C309" t="str">
        <v>Ácido nalidíxico/Fenazopiridina</v>
      </c>
      <c r="D309">
        <f t="shared" si="4"/>
        <v>2</v>
      </c>
      <c r="F309" t="s">
        <v>917</v>
      </c>
      <c r="G309">
        <v>2</v>
      </c>
    </row>
    <row r="310" spans="1:7" x14ac:dyDescent="0.3">
      <c r="A310" t="s">
        <v>1574</v>
      </c>
      <c r="B310" t="s">
        <v>1575</v>
      </c>
      <c r="C310" t="str">
        <v>Ácido undecilénico/Undecilenato de zinc</v>
      </c>
      <c r="D310">
        <f t="shared" si="4"/>
        <v>1</v>
      </c>
      <c r="F310" t="s">
        <v>1754</v>
      </c>
      <c r="G310">
        <v>2</v>
      </c>
    </row>
    <row r="311" spans="1:7" x14ac:dyDescent="0.3">
      <c r="A311" t="s">
        <v>1574</v>
      </c>
      <c r="B311" t="s">
        <v>1575</v>
      </c>
      <c r="C311" t="str">
        <v>Ácido ursodeoxicólico</v>
      </c>
      <c r="D311">
        <f t="shared" si="4"/>
        <v>2</v>
      </c>
      <c r="F311" t="s">
        <v>1933</v>
      </c>
      <c r="G311">
        <v>2</v>
      </c>
    </row>
    <row r="312" spans="1:7" x14ac:dyDescent="0.3">
      <c r="A312" t="s">
        <v>1574</v>
      </c>
      <c r="B312" t="s">
        <v>1575</v>
      </c>
      <c r="C312" t="str">
        <v>Ácido valproico</v>
      </c>
      <c r="D312">
        <f t="shared" si="4"/>
        <v>13</v>
      </c>
      <c r="F312" t="s">
        <v>1590</v>
      </c>
      <c r="G312">
        <v>2</v>
      </c>
    </row>
    <row r="313" spans="1:7" x14ac:dyDescent="0.3">
      <c r="A313" t="s">
        <v>1574</v>
      </c>
      <c r="B313" t="s">
        <v>1575</v>
      </c>
      <c r="C313" t="str">
        <v>Aesculos hippocastanum / Ruscus aculeatus</v>
      </c>
      <c r="D313">
        <f t="shared" si="4"/>
        <v>1</v>
      </c>
      <c r="F313" t="s">
        <v>450</v>
      </c>
      <c r="G313">
        <v>2</v>
      </c>
    </row>
    <row r="314" spans="1:7" x14ac:dyDescent="0.3">
      <c r="A314" t="s">
        <v>1574</v>
      </c>
      <c r="B314" t="s">
        <v>1575</v>
      </c>
      <c r="C314" t="str">
        <v>Agua de mar</v>
      </c>
      <c r="D314">
        <f t="shared" si="4"/>
        <v>2</v>
      </c>
      <c r="F314" t="s">
        <v>2641</v>
      </c>
      <c r="G314">
        <v>2</v>
      </c>
    </row>
    <row r="315" spans="1:7" x14ac:dyDescent="0.3">
      <c r="A315" t="s">
        <v>1246</v>
      </c>
      <c r="C315" t="str">
        <v>Albendazol</v>
      </c>
      <c r="D315">
        <f t="shared" si="4"/>
        <v>15</v>
      </c>
      <c r="F315" t="s">
        <v>1635</v>
      </c>
      <c r="G315">
        <v>2</v>
      </c>
    </row>
    <row r="316" spans="1:7" x14ac:dyDescent="0.3">
      <c r="A316" t="s">
        <v>2800</v>
      </c>
      <c r="C316" t="str">
        <v>Albendazol/Quinfamida</v>
      </c>
      <c r="D316">
        <f t="shared" si="4"/>
        <v>2</v>
      </c>
      <c r="F316" t="s">
        <v>961</v>
      </c>
      <c r="G316">
        <v>2</v>
      </c>
    </row>
    <row r="317" spans="1:7" x14ac:dyDescent="0.3">
      <c r="A317" t="s">
        <v>1296</v>
      </c>
      <c r="B317" t="s">
        <v>1297</v>
      </c>
      <c r="C317" t="str">
        <v>Alfa cetoanálogos de aminoácidos</v>
      </c>
      <c r="D317">
        <f t="shared" si="4"/>
        <v>1</v>
      </c>
      <c r="F317" t="s">
        <v>1213</v>
      </c>
      <c r="G317">
        <v>2</v>
      </c>
    </row>
    <row r="318" spans="1:7" x14ac:dyDescent="0.3">
      <c r="A318" t="s">
        <v>2386</v>
      </c>
      <c r="C318" t="str">
        <v>Algestona/Estradiol</v>
      </c>
      <c r="D318">
        <f t="shared" si="4"/>
        <v>1</v>
      </c>
      <c r="F318" t="s">
        <v>1206</v>
      </c>
      <c r="G318">
        <v>2</v>
      </c>
    </row>
    <row r="319" spans="1:7" x14ac:dyDescent="0.3">
      <c r="A319" t="s">
        <v>2463</v>
      </c>
      <c r="C319" t="str">
        <v>Alopurinol</v>
      </c>
      <c r="D319">
        <f t="shared" si="4"/>
        <v>2</v>
      </c>
      <c r="F319" t="s">
        <v>1900</v>
      </c>
      <c r="G319">
        <v>2</v>
      </c>
    </row>
    <row r="320" spans="1:7" x14ac:dyDescent="0.3">
      <c r="A320" t="s">
        <v>2463</v>
      </c>
      <c r="C320" t="str">
        <v>Aluminio/Magnesio/Metoclopramida/Dimeticona</v>
      </c>
      <c r="D320">
        <f t="shared" si="4"/>
        <v>4</v>
      </c>
      <c r="F320" t="s">
        <v>777</v>
      </c>
      <c r="G320">
        <v>2</v>
      </c>
    </row>
    <row r="321" spans="1:7" x14ac:dyDescent="0.3">
      <c r="A321" t="s">
        <v>2463</v>
      </c>
      <c r="C321" t="str">
        <v>Aluminio/Magnesio/Metoclopramida/Simeticona</v>
      </c>
      <c r="D321">
        <f t="shared" si="4"/>
        <v>1</v>
      </c>
      <c r="F321" t="s">
        <v>2091</v>
      </c>
      <c r="G321">
        <v>2</v>
      </c>
    </row>
    <row r="322" spans="1:7" x14ac:dyDescent="0.3">
      <c r="A322" t="s">
        <v>2463</v>
      </c>
      <c r="C322" t="str">
        <v>Alverina/Simeticona</v>
      </c>
      <c r="D322">
        <f t="shared" si="4"/>
        <v>1</v>
      </c>
      <c r="F322" t="s">
        <v>159</v>
      </c>
      <c r="G322">
        <v>2</v>
      </c>
    </row>
    <row r="323" spans="1:7" x14ac:dyDescent="0.3">
      <c r="A323" t="s">
        <v>2463</v>
      </c>
      <c r="C323" t="str">
        <v>Amantadina/Clorfenamina/Paracetamol</v>
      </c>
      <c r="D323">
        <f t="shared" ref="D323:D386" si="5">COUNTIF(A$1:A$2981,C323)</f>
        <v>12</v>
      </c>
      <c r="F323" t="s">
        <v>442</v>
      </c>
      <c r="G323">
        <v>2</v>
      </c>
    </row>
    <row r="324" spans="1:7" x14ac:dyDescent="0.3">
      <c r="A324" t="s">
        <v>2463</v>
      </c>
      <c r="C324" t="str">
        <v>Ambroxol/Salbutamol</v>
      </c>
      <c r="D324">
        <f t="shared" si="5"/>
        <v>1</v>
      </c>
      <c r="F324" t="s">
        <v>2015</v>
      </c>
      <c r="G324">
        <v>2</v>
      </c>
    </row>
    <row r="325" spans="1:7" x14ac:dyDescent="0.3">
      <c r="A325" t="s">
        <v>2463</v>
      </c>
      <c r="C325" t="str">
        <v>Ambroxol/Teofilina</v>
      </c>
      <c r="D325">
        <f t="shared" si="5"/>
        <v>1</v>
      </c>
      <c r="F325" t="s">
        <v>2580</v>
      </c>
      <c r="G325">
        <v>2</v>
      </c>
    </row>
    <row r="326" spans="1:7" x14ac:dyDescent="0.3">
      <c r="A326" t="s">
        <v>2290</v>
      </c>
      <c r="C326" t="str">
        <v>Amikacina</v>
      </c>
      <c r="D326">
        <f t="shared" si="5"/>
        <v>2</v>
      </c>
      <c r="F326" t="s">
        <v>131</v>
      </c>
      <c r="G326">
        <v>2</v>
      </c>
    </row>
    <row r="327" spans="1:7" x14ac:dyDescent="0.3">
      <c r="A327" t="s">
        <v>2290</v>
      </c>
      <c r="C327" t="str">
        <v>Amitriptilina/Diazepam/Perfenazina</v>
      </c>
      <c r="D327">
        <f t="shared" si="5"/>
        <v>2</v>
      </c>
      <c r="F327" t="s">
        <v>3063</v>
      </c>
      <c r="G327">
        <v>2</v>
      </c>
    </row>
    <row r="328" spans="1:7" x14ac:dyDescent="0.3">
      <c r="A328" t="s">
        <v>2290</v>
      </c>
      <c r="C328" t="str">
        <v>Amlodipino</v>
      </c>
      <c r="D328">
        <f t="shared" si="5"/>
        <v>5</v>
      </c>
      <c r="F328" t="s">
        <v>786</v>
      </c>
      <c r="G328">
        <v>2</v>
      </c>
    </row>
    <row r="329" spans="1:7" x14ac:dyDescent="0.3">
      <c r="A329" t="s">
        <v>2290</v>
      </c>
      <c r="C329" t="str">
        <v>Amlodipino/Valsartán/Hidroclorotiazida</v>
      </c>
      <c r="D329">
        <f t="shared" si="5"/>
        <v>1</v>
      </c>
      <c r="F329" t="s">
        <v>2435</v>
      </c>
      <c r="G329">
        <v>2</v>
      </c>
    </row>
    <row r="330" spans="1:7" x14ac:dyDescent="0.3">
      <c r="A330" t="s">
        <v>2290</v>
      </c>
      <c r="C330" t="str">
        <v>Amoxicilina</v>
      </c>
      <c r="D330">
        <f t="shared" si="5"/>
        <v>41</v>
      </c>
      <c r="F330" t="s">
        <v>1771</v>
      </c>
      <c r="G330">
        <v>2</v>
      </c>
    </row>
    <row r="331" spans="1:7" x14ac:dyDescent="0.3">
      <c r="A331" t="s">
        <v>2202</v>
      </c>
      <c r="C331" t="str">
        <v>Amoxicilina/Ácido clavulánico</v>
      </c>
      <c r="D331">
        <f t="shared" si="5"/>
        <v>13</v>
      </c>
      <c r="F331" t="s">
        <v>2486</v>
      </c>
      <c r="G331">
        <v>2</v>
      </c>
    </row>
    <row r="332" spans="1:7" x14ac:dyDescent="0.3">
      <c r="A332" t="s">
        <v>2202</v>
      </c>
      <c r="C332" t="str">
        <v>Amoxicilina/Bromhexina</v>
      </c>
      <c r="D332">
        <f t="shared" si="5"/>
        <v>1</v>
      </c>
      <c r="F332" t="s">
        <v>886</v>
      </c>
      <c r="G332">
        <v>2</v>
      </c>
    </row>
    <row r="333" spans="1:7" x14ac:dyDescent="0.3">
      <c r="A333" t="s">
        <v>2202</v>
      </c>
      <c r="C333" t="str">
        <v>Ampicilina</v>
      </c>
      <c r="D333">
        <f t="shared" si="5"/>
        <v>2</v>
      </c>
      <c r="F333" t="s">
        <v>1544</v>
      </c>
      <c r="G333">
        <v>2</v>
      </c>
    </row>
    <row r="334" spans="1:7" x14ac:dyDescent="0.3">
      <c r="A334" t="s">
        <v>2202</v>
      </c>
      <c r="C334" t="str">
        <v>Apixabán</v>
      </c>
      <c r="D334">
        <f t="shared" si="5"/>
        <v>1</v>
      </c>
      <c r="F334" t="s">
        <v>1416</v>
      </c>
      <c r="G334">
        <v>2</v>
      </c>
    </row>
    <row r="335" spans="1:7" x14ac:dyDescent="0.3">
      <c r="A335" t="s">
        <v>2202</v>
      </c>
      <c r="C335" t="str">
        <v>Atenolol</v>
      </c>
      <c r="D335">
        <f t="shared" si="5"/>
        <v>3</v>
      </c>
      <c r="F335" t="s">
        <v>995</v>
      </c>
      <c r="G335">
        <v>2</v>
      </c>
    </row>
    <row r="336" spans="1:7" x14ac:dyDescent="0.3">
      <c r="A336" t="s">
        <v>2202</v>
      </c>
      <c r="C336" t="str">
        <v>Atomoxetina</v>
      </c>
      <c r="D336">
        <f t="shared" si="5"/>
        <v>23</v>
      </c>
      <c r="F336" t="s">
        <v>795</v>
      </c>
      <c r="G336">
        <v>2</v>
      </c>
    </row>
    <row r="337" spans="1:7" x14ac:dyDescent="0.3">
      <c r="A337" t="s">
        <v>2202</v>
      </c>
      <c r="C337" t="str">
        <v>Atorvastatina</v>
      </c>
      <c r="D337">
        <f t="shared" si="5"/>
        <v>14</v>
      </c>
      <c r="F337" t="s">
        <v>181</v>
      </c>
      <c r="G337">
        <v>2</v>
      </c>
    </row>
    <row r="338" spans="1:7" x14ac:dyDescent="0.3">
      <c r="A338" t="s">
        <v>2202</v>
      </c>
      <c r="C338" t="str">
        <v>Azitromicina</v>
      </c>
      <c r="D338">
        <f t="shared" si="5"/>
        <v>10</v>
      </c>
      <c r="F338" t="s">
        <v>2526</v>
      </c>
      <c r="G338">
        <v>2</v>
      </c>
    </row>
    <row r="339" spans="1:7" x14ac:dyDescent="0.3">
      <c r="A339" t="s">
        <v>2202</v>
      </c>
      <c r="C339" t="str">
        <v>Bencidamina</v>
      </c>
      <c r="D339">
        <f t="shared" si="5"/>
        <v>1</v>
      </c>
      <c r="F339" t="s">
        <v>1028</v>
      </c>
      <c r="G339">
        <v>2</v>
      </c>
    </row>
    <row r="340" spans="1:7" x14ac:dyDescent="0.3">
      <c r="A340" t="s">
        <v>2202</v>
      </c>
      <c r="C340" t="str">
        <v>Bencilpenicilina Procaína/Bencilpenicilina cristalina</v>
      </c>
      <c r="D340">
        <f t="shared" si="5"/>
        <v>1</v>
      </c>
      <c r="F340" t="s">
        <v>983</v>
      </c>
      <c r="G340">
        <v>2</v>
      </c>
    </row>
    <row r="341" spans="1:7" x14ac:dyDescent="0.3">
      <c r="A341" t="s">
        <v>2202</v>
      </c>
      <c r="C341" t="str">
        <v>Benzoato de bencilo</v>
      </c>
      <c r="D341">
        <f t="shared" si="5"/>
        <v>2</v>
      </c>
      <c r="F341" t="s">
        <v>1394</v>
      </c>
      <c r="G341">
        <v>2</v>
      </c>
    </row>
    <row r="342" spans="1:7" x14ac:dyDescent="0.3">
      <c r="A342" t="s">
        <v>2202</v>
      </c>
      <c r="C342" t="str">
        <v>Benzocaína</v>
      </c>
      <c r="D342">
        <f t="shared" si="5"/>
        <v>2</v>
      </c>
      <c r="F342" t="s">
        <v>2851</v>
      </c>
      <c r="G342">
        <v>2</v>
      </c>
    </row>
    <row r="343" spans="1:7" x14ac:dyDescent="0.3">
      <c r="A343" t="s">
        <v>2202</v>
      </c>
      <c r="C343" t="str">
        <v>Benzonatato</v>
      </c>
      <c r="D343">
        <f t="shared" si="5"/>
        <v>6</v>
      </c>
      <c r="F343" t="s">
        <v>672</v>
      </c>
      <c r="G343">
        <v>2</v>
      </c>
    </row>
    <row r="344" spans="1:7" x14ac:dyDescent="0.3">
      <c r="A344" t="s">
        <v>2202</v>
      </c>
      <c r="C344" t="str">
        <v>Betahistina</v>
      </c>
      <c r="D344">
        <f t="shared" si="5"/>
        <v>2</v>
      </c>
      <c r="F344" t="s">
        <v>2893</v>
      </c>
      <c r="G344">
        <v>2</v>
      </c>
    </row>
    <row r="345" spans="1:7" x14ac:dyDescent="0.3">
      <c r="A345" t="s">
        <v>2202</v>
      </c>
      <c r="C345" t="str">
        <v>Betametasona</v>
      </c>
      <c r="D345">
        <f t="shared" si="5"/>
        <v>6</v>
      </c>
      <c r="F345" t="s">
        <v>411</v>
      </c>
      <c r="G345">
        <v>2</v>
      </c>
    </row>
    <row r="346" spans="1:7" x14ac:dyDescent="0.3">
      <c r="A346" t="s">
        <v>2202</v>
      </c>
      <c r="C346" t="str">
        <v>Betametasona/Clotrimazol/Gentamicina</v>
      </c>
      <c r="D346">
        <f t="shared" si="5"/>
        <v>4</v>
      </c>
      <c r="F346" t="s">
        <v>3088</v>
      </c>
      <c r="G346">
        <v>2</v>
      </c>
    </row>
    <row r="347" spans="1:7" x14ac:dyDescent="0.3">
      <c r="A347" t="s">
        <v>2202</v>
      </c>
      <c r="C347" t="str">
        <v>Bezafibrato</v>
      </c>
      <c r="D347">
        <f t="shared" si="5"/>
        <v>14</v>
      </c>
      <c r="F347" t="s">
        <v>1446</v>
      </c>
      <c r="G347">
        <v>2</v>
      </c>
    </row>
    <row r="348" spans="1:7" x14ac:dyDescent="0.3">
      <c r="A348" t="s">
        <v>2202</v>
      </c>
      <c r="C348" t="str">
        <v>Bicarbonato de potasio/Bitartrato de potasio/Ácido cítrico</v>
      </c>
      <c r="D348">
        <f t="shared" si="5"/>
        <v>1</v>
      </c>
      <c r="F348" t="s">
        <v>2187</v>
      </c>
      <c r="G348">
        <v>2</v>
      </c>
    </row>
    <row r="349" spans="1:7" x14ac:dyDescent="0.3">
      <c r="A349" t="s">
        <v>2202</v>
      </c>
      <c r="C349" t="str">
        <v>Bicarbonato de sodio/Ácido cítrico/Ácido acetilsalicílico</v>
      </c>
      <c r="D349">
        <f t="shared" si="5"/>
        <v>1</v>
      </c>
      <c r="F349" t="s">
        <v>1321</v>
      </c>
      <c r="G349">
        <v>2</v>
      </c>
    </row>
    <row r="350" spans="1:7" x14ac:dyDescent="0.3">
      <c r="A350" t="s">
        <v>2202</v>
      </c>
      <c r="C350" t="str">
        <v>Bicarbonato de sodio/Ácido tartárico/Ácido cítrico</v>
      </c>
      <c r="D350">
        <f t="shared" si="5"/>
        <v>2</v>
      </c>
      <c r="F350" t="s">
        <v>1867</v>
      </c>
      <c r="G350">
        <v>2</v>
      </c>
    </row>
    <row r="351" spans="1:7" x14ac:dyDescent="0.3">
      <c r="A351" t="s">
        <v>2202</v>
      </c>
      <c r="C351" t="str">
        <v>Biperideno</v>
      </c>
      <c r="D351">
        <f t="shared" si="5"/>
        <v>1</v>
      </c>
      <c r="F351" t="s">
        <v>369</v>
      </c>
      <c r="G351">
        <v>2</v>
      </c>
    </row>
    <row r="352" spans="1:7" x14ac:dyDescent="0.3">
      <c r="A352" t="s">
        <v>2202</v>
      </c>
      <c r="C352" t="str">
        <v>Bisacodilo</v>
      </c>
      <c r="D352">
        <f t="shared" si="5"/>
        <v>2</v>
      </c>
      <c r="F352" t="s">
        <v>718</v>
      </c>
      <c r="G352">
        <v>2</v>
      </c>
    </row>
    <row r="353" spans="1:7" x14ac:dyDescent="0.3">
      <c r="A353" t="s">
        <v>2202</v>
      </c>
      <c r="B353" t="s">
        <v>2457</v>
      </c>
      <c r="C353" t="str">
        <v>Bisoprolol</v>
      </c>
      <c r="D353">
        <f t="shared" si="5"/>
        <v>4</v>
      </c>
      <c r="F353" t="s">
        <v>4986</v>
      </c>
      <c r="G353">
        <v>2</v>
      </c>
    </row>
    <row r="354" spans="1:7" x14ac:dyDescent="0.3">
      <c r="A354" t="s">
        <v>2202</v>
      </c>
      <c r="B354" t="s">
        <v>2457</v>
      </c>
      <c r="C354" t="str">
        <v>Bisoprolol/Hidroclorotiazida</v>
      </c>
      <c r="D354">
        <f t="shared" si="5"/>
        <v>1</v>
      </c>
      <c r="F354" t="s">
        <v>5360</v>
      </c>
      <c r="G354">
        <v>2</v>
      </c>
    </row>
    <row r="355" spans="1:7" x14ac:dyDescent="0.3">
      <c r="A355" t="s">
        <v>648</v>
      </c>
      <c r="C355" t="str">
        <v>Brimonidina</v>
      </c>
      <c r="D355">
        <f t="shared" si="5"/>
        <v>1</v>
      </c>
      <c r="F355" t="s">
        <v>5100</v>
      </c>
      <c r="G355">
        <v>2</v>
      </c>
    </row>
    <row r="356" spans="1:7" x14ac:dyDescent="0.3">
      <c r="A356" t="s">
        <v>648</v>
      </c>
      <c r="B356" t="s">
        <v>649</v>
      </c>
      <c r="C356" t="str">
        <v>Brimonidina/Timolol</v>
      </c>
      <c r="D356">
        <f t="shared" si="5"/>
        <v>1</v>
      </c>
      <c r="F356" t="s">
        <v>5281</v>
      </c>
      <c r="G356">
        <v>2</v>
      </c>
    </row>
    <row r="357" spans="1:7" x14ac:dyDescent="0.3">
      <c r="A357" t="s">
        <v>648</v>
      </c>
      <c r="B357" t="s">
        <v>649</v>
      </c>
      <c r="C357" t="str">
        <v>Bromfenaco</v>
      </c>
      <c r="D357">
        <f t="shared" si="5"/>
        <v>3</v>
      </c>
      <c r="F357" t="s">
        <v>5127</v>
      </c>
      <c r="G357">
        <v>2</v>
      </c>
    </row>
    <row r="358" spans="1:7" x14ac:dyDescent="0.3">
      <c r="A358" t="s">
        <v>1132</v>
      </c>
      <c r="C358" t="str">
        <v>Bromhexina</v>
      </c>
      <c r="D358">
        <f t="shared" si="5"/>
        <v>3</v>
      </c>
      <c r="F358" t="s">
        <v>5206</v>
      </c>
      <c r="G358">
        <v>2</v>
      </c>
    </row>
    <row r="359" spans="1:7" x14ac:dyDescent="0.3">
      <c r="A359" t="s">
        <v>1132</v>
      </c>
      <c r="B359" t="s">
        <v>1133</v>
      </c>
      <c r="C359" t="str">
        <v>Bromhexina/Oxeladina</v>
      </c>
      <c r="D359">
        <f t="shared" si="5"/>
        <v>2</v>
      </c>
      <c r="F359" t="s">
        <v>4996</v>
      </c>
      <c r="G359">
        <v>2</v>
      </c>
    </row>
    <row r="360" spans="1:7" x14ac:dyDescent="0.3">
      <c r="A360" t="s">
        <v>2558</v>
      </c>
      <c r="C360" t="str">
        <v>Bromuro de ipratropio/Salbutamol</v>
      </c>
      <c r="D360">
        <f t="shared" si="5"/>
        <v>4</v>
      </c>
      <c r="F360" t="s">
        <v>5298</v>
      </c>
      <c r="G360">
        <v>2</v>
      </c>
    </row>
    <row r="361" spans="1:7" x14ac:dyDescent="0.3">
      <c r="A361" t="s">
        <v>442</v>
      </c>
      <c r="B361" t="s">
        <v>1233</v>
      </c>
      <c r="C361" t="str">
        <v>Bromuro de otilonio</v>
      </c>
      <c r="D361">
        <f t="shared" si="5"/>
        <v>2</v>
      </c>
      <c r="F361" t="s">
        <v>5370</v>
      </c>
      <c r="G361">
        <v>2</v>
      </c>
    </row>
    <row r="362" spans="1:7" x14ac:dyDescent="0.3">
      <c r="A362" t="s">
        <v>442</v>
      </c>
      <c r="B362" t="s">
        <v>443</v>
      </c>
      <c r="C362" t="str">
        <v>Bromuro de pinaverio</v>
      </c>
      <c r="D362">
        <f t="shared" si="5"/>
        <v>10</v>
      </c>
      <c r="F362" t="s">
        <v>5317</v>
      </c>
      <c r="G362">
        <v>2</v>
      </c>
    </row>
    <row r="363" spans="1:7" x14ac:dyDescent="0.3">
      <c r="A363" t="s">
        <v>2493</v>
      </c>
      <c r="C363" t="str">
        <v>Bromuro de pinaverio/Dimeticona</v>
      </c>
      <c r="D363">
        <f t="shared" si="5"/>
        <v>3</v>
      </c>
      <c r="F363" t="s">
        <v>4981</v>
      </c>
      <c r="G363">
        <v>2</v>
      </c>
    </row>
    <row r="364" spans="1:7" x14ac:dyDescent="0.3">
      <c r="A364" t="s">
        <v>302</v>
      </c>
      <c r="B364" t="s">
        <v>1824</v>
      </c>
      <c r="C364" t="str">
        <v>Bromuro de pinaverio/Simeticona</v>
      </c>
      <c r="D364">
        <f t="shared" si="5"/>
        <v>1</v>
      </c>
      <c r="F364" t="s">
        <v>5204</v>
      </c>
      <c r="G364">
        <v>2</v>
      </c>
    </row>
    <row r="365" spans="1:7" x14ac:dyDescent="0.3">
      <c r="A365" t="s">
        <v>302</v>
      </c>
      <c r="B365" t="s">
        <v>303</v>
      </c>
      <c r="C365" t="str">
        <v>Budesonida</v>
      </c>
      <c r="D365">
        <f t="shared" si="5"/>
        <v>6</v>
      </c>
      <c r="F365" t="s">
        <v>4988</v>
      </c>
      <c r="G365">
        <v>2</v>
      </c>
    </row>
    <row r="366" spans="1:7" x14ac:dyDescent="0.3">
      <c r="A366" t="s">
        <v>302</v>
      </c>
      <c r="B366" t="s">
        <v>1706</v>
      </c>
      <c r="C366" t="str">
        <v>Budesonida/Formoterol</v>
      </c>
      <c r="D366">
        <f t="shared" si="5"/>
        <v>3</v>
      </c>
      <c r="F366" t="s">
        <v>5201</v>
      </c>
      <c r="G366">
        <v>2</v>
      </c>
    </row>
    <row r="367" spans="1:7" x14ac:dyDescent="0.3">
      <c r="A367" t="s">
        <v>2412</v>
      </c>
      <c r="C367" t="str">
        <v>Bumetanida</v>
      </c>
      <c r="D367">
        <f t="shared" si="5"/>
        <v>5</v>
      </c>
      <c r="F367" t="s">
        <v>5232</v>
      </c>
      <c r="G367">
        <v>2</v>
      </c>
    </row>
    <row r="368" spans="1:7" x14ac:dyDescent="0.3">
      <c r="A368" t="s">
        <v>1550</v>
      </c>
      <c r="B368" t="s">
        <v>1551</v>
      </c>
      <c r="C368" t="str">
        <v>Butilhioscina</v>
      </c>
      <c r="D368">
        <f t="shared" si="5"/>
        <v>5</v>
      </c>
      <c r="F368" t="s">
        <v>5346</v>
      </c>
      <c r="G368">
        <v>2</v>
      </c>
    </row>
    <row r="369" spans="1:7" x14ac:dyDescent="0.3">
      <c r="A369" t="s">
        <v>392</v>
      </c>
      <c r="C369" t="str">
        <v>Butilhioscina/ Metamizol sòdico</v>
      </c>
      <c r="D369">
        <f t="shared" si="5"/>
        <v>1</v>
      </c>
      <c r="F369" t="s">
        <v>5328</v>
      </c>
      <c r="G369">
        <v>2</v>
      </c>
    </row>
    <row r="370" spans="1:7" x14ac:dyDescent="0.3">
      <c r="A370" t="s">
        <v>392</v>
      </c>
      <c r="C370" t="str">
        <v>Calcio</v>
      </c>
      <c r="D370">
        <f t="shared" si="5"/>
        <v>2</v>
      </c>
      <c r="F370" t="s">
        <v>5238</v>
      </c>
      <c r="G370">
        <v>2</v>
      </c>
    </row>
    <row r="371" spans="1:7" x14ac:dyDescent="0.3">
      <c r="A371" t="s">
        <v>392</v>
      </c>
      <c r="B371" t="s">
        <v>393</v>
      </c>
      <c r="C371" t="str">
        <v>Calcio/Colecalciferol</v>
      </c>
      <c r="D371">
        <f t="shared" si="5"/>
        <v>1</v>
      </c>
      <c r="F371" t="s">
        <v>5060</v>
      </c>
      <c r="G371">
        <v>2</v>
      </c>
    </row>
    <row r="372" spans="1:7" x14ac:dyDescent="0.3">
      <c r="A372" t="s">
        <v>392</v>
      </c>
      <c r="B372" t="s">
        <v>393</v>
      </c>
      <c r="C372" t="str">
        <v>Calcio/Ergocalciferol</v>
      </c>
      <c r="D372">
        <f t="shared" si="5"/>
        <v>1</v>
      </c>
      <c r="F372" t="s">
        <v>5152</v>
      </c>
      <c r="G372">
        <v>2</v>
      </c>
    </row>
    <row r="373" spans="1:7" x14ac:dyDescent="0.3">
      <c r="A373" t="s">
        <v>392</v>
      </c>
      <c r="B373" t="s">
        <v>393</v>
      </c>
      <c r="C373" t="str">
        <v>Calcitriol</v>
      </c>
      <c r="D373">
        <f t="shared" si="5"/>
        <v>1</v>
      </c>
      <c r="F373" t="s">
        <v>555</v>
      </c>
      <c r="G373">
        <v>2</v>
      </c>
    </row>
    <row r="374" spans="1:7" x14ac:dyDescent="0.3">
      <c r="A374" t="s">
        <v>392</v>
      </c>
      <c r="B374" t="s">
        <v>393</v>
      </c>
      <c r="C374" t="str">
        <v>Candesartán</v>
      </c>
      <c r="D374">
        <f t="shared" si="5"/>
        <v>1</v>
      </c>
      <c r="F374" t="s">
        <v>4967</v>
      </c>
      <c r="G374">
        <v>2</v>
      </c>
    </row>
    <row r="375" spans="1:7" x14ac:dyDescent="0.3">
      <c r="A375" t="s">
        <v>392</v>
      </c>
      <c r="B375" t="s">
        <v>393</v>
      </c>
      <c r="C375" t="str">
        <v>Candesartán Cilexetilo</v>
      </c>
      <c r="D375">
        <f t="shared" si="5"/>
        <v>11</v>
      </c>
      <c r="F375" t="s">
        <v>5068</v>
      </c>
      <c r="G375">
        <v>2</v>
      </c>
    </row>
    <row r="376" spans="1:7" x14ac:dyDescent="0.3">
      <c r="A376" t="s">
        <v>392</v>
      </c>
      <c r="B376" t="s">
        <v>393</v>
      </c>
      <c r="C376" t="str">
        <v>Candesartán/Hidroclorotiazida</v>
      </c>
      <c r="D376">
        <f t="shared" si="5"/>
        <v>10</v>
      </c>
      <c r="F376" t="s">
        <v>5144</v>
      </c>
      <c r="G376">
        <v>2</v>
      </c>
    </row>
    <row r="377" spans="1:7" x14ac:dyDescent="0.3">
      <c r="A377" t="s">
        <v>392</v>
      </c>
      <c r="B377" t="s">
        <v>393</v>
      </c>
      <c r="C377" t="str">
        <v>Captopril</v>
      </c>
      <c r="D377">
        <f t="shared" si="5"/>
        <v>1</v>
      </c>
      <c r="F377" t="s">
        <v>5136</v>
      </c>
      <c r="G377">
        <v>2</v>
      </c>
    </row>
    <row r="378" spans="1:7" x14ac:dyDescent="0.3">
      <c r="A378" t="s">
        <v>392</v>
      </c>
      <c r="B378" t="s">
        <v>393</v>
      </c>
      <c r="C378" t="str">
        <v>Captopril/Hidroclorotiazida</v>
      </c>
      <c r="D378">
        <f t="shared" si="5"/>
        <v>2</v>
      </c>
      <c r="F378" t="s">
        <v>5330</v>
      </c>
      <c r="G378">
        <v>2</v>
      </c>
    </row>
    <row r="379" spans="1:7" x14ac:dyDescent="0.3">
      <c r="A379" t="s">
        <v>392</v>
      </c>
      <c r="B379" t="s">
        <v>393</v>
      </c>
      <c r="C379" t="str">
        <v>Carbamazepina</v>
      </c>
      <c r="D379">
        <f t="shared" si="5"/>
        <v>10</v>
      </c>
      <c r="F379" t="s">
        <v>5028</v>
      </c>
      <c r="G379">
        <v>2</v>
      </c>
    </row>
    <row r="380" spans="1:7" x14ac:dyDescent="0.3">
      <c r="A380" t="s">
        <v>392</v>
      </c>
      <c r="B380" t="s">
        <v>393</v>
      </c>
      <c r="C380" t="str">
        <v>Carbazocromo/Bisulfito sódico de menadiona</v>
      </c>
      <c r="D380">
        <f t="shared" si="5"/>
        <v>1</v>
      </c>
      <c r="F380" t="s">
        <v>5019</v>
      </c>
      <c r="G380">
        <v>2</v>
      </c>
    </row>
    <row r="381" spans="1:7" x14ac:dyDescent="0.3">
      <c r="A381" t="s">
        <v>392</v>
      </c>
      <c r="B381" t="s">
        <v>393</v>
      </c>
      <c r="C381" t="str">
        <v>Carbocisteina</v>
      </c>
      <c r="D381">
        <f t="shared" si="5"/>
        <v>1</v>
      </c>
      <c r="F381" t="s">
        <v>5213</v>
      </c>
      <c r="G381">
        <v>2</v>
      </c>
    </row>
    <row r="382" spans="1:7" x14ac:dyDescent="0.3">
      <c r="A382" t="s">
        <v>392</v>
      </c>
      <c r="B382" t="s">
        <v>393</v>
      </c>
      <c r="C382" t="str">
        <v>Carboplatino</v>
      </c>
      <c r="D382">
        <f t="shared" si="5"/>
        <v>1</v>
      </c>
      <c r="F382" t="s">
        <v>5216</v>
      </c>
      <c r="G382">
        <v>2</v>
      </c>
    </row>
    <row r="383" spans="1:7" x14ac:dyDescent="0.3">
      <c r="A383" t="s">
        <v>392</v>
      </c>
      <c r="B383" t="s">
        <v>393</v>
      </c>
      <c r="C383" t="str">
        <v>Carnitina/Metionina/Tiamina</v>
      </c>
      <c r="D383">
        <f t="shared" si="5"/>
        <v>1</v>
      </c>
      <c r="F383" t="s">
        <v>5027</v>
      </c>
      <c r="G383">
        <v>2</v>
      </c>
    </row>
    <row r="384" spans="1:7" x14ac:dyDescent="0.3">
      <c r="A384" t="s">
        <v>392</v>
      </c>
      <c r="B384" t="s">
        <v>393</v>
      </c>
      <c r="C384" t="str">
        <v>Cefalexina</v>
      </c>
      <c r="D384">
        <f t="shared" si="5"/>
        <v>16</v>
      </c>
      <c r="F384" t="s">
        <v>5315</v>
      </c>
      <c r="G384">
        <v>2</v>
      </c>
    </row>
    <row r="385" spans="1:7" x14ac:dyDescent="0.3">
      <c r="A385" t="s">
        <v>392</v>
      </c>
      <c r="B385" t="s">
        <v>393</v>
      </c>
      <c r="C385" t="str">
        <v>Cefalexina/Bromhexina</v>
      </c>
      <c r="D385">
        <f t="shared" si="5"/>
        <v>1</v>
      </c>
      <c r="F385" t="s">
        <v>5339</v>
      </c>
      <c r="G385">
        <v>2</v>
      </c>
    </row>
    <row r="386" spans="1:7" x14ac:dyDescent="0.3">
      <c r="A386" t="s">
        <v>392</v>
      </c>
      <c r="B386" t="s">
        <v>393</v>
      </c>
      <c r="C386" t="str">
        <v>Cefixima</v>
      </c>
      <c r="D386">
        <f t="shared" si="5"/>
        <v>6</v>
      </c>
      <c r="F386" t="s">
        <v>5348</v>
      </c>
      <c r="G386">
        <v>2</v>
      </c>
    </row>
    <row r="387" spans="1:7" x14ac:dyDescent="0.3">
      <c r="A387" t="s">
        <v>392</v>
      </c>
      <c r="B387" t="s">
        <v>393</v>
      </c>
      <c r="C387" t="str">
        <v>Cefotaxima</v>
      </c>
      <c r="D387">
        <f t="shared" ref="D387:D450" si="6">COUNTIF(A$1:A$2981,C387)</f>
        <v>1</v>
      </c>
      <c r="F387" t="s">
        <v>5358</v>
      </c>
      <c r="G387">
        <v>2</v>
      </c>
    </row>
    <row r="388" spans="1:7" x14ac:dyDescent="0.3">
      <c r="A388" t="s">
        <v>392</v>
      </c>
      <c r="B388" t="s">
        <v>393</v>
      </c>
      <c r="C388" t="str">
        <v>Ceftriaxona</v>
      </c>
      <c r="D388">
        <f t="shared" si="6"/>
        <v>10</v>
      </c>
      <c r="F388" t="s">
        <v>5024</v>
      </c>
      <c r="G388">
        <v>2</v>
      </c>
    </row>
    <row r="389" spans="1:7" x14ac:dyDescent="0.3">
      <c r="A389" t="s">
        <v>392</v>
      </c>
      <c r="B389" t="s">
        <v>393</v>
      </c>
      <c r="C389" t="str">
        <v>Cefuroxima</v>
      </c>
      <c r="D389">
        <f t="shared" si="6"/>
        <v>2</v>
      </c>
      <c r="F389" t="s">
        <v>5340</v>
      </c>
      <c r="G389">
        <v>2</v>
      </c>
    </row>
    <row r="390" spans="1:7" x14ac:dyDescent="0.3">
      <c r="A390" t="s">
        <v>392</v>
      </c>
      <c r="B390" t="s">
        <v>393</v>
      </c>
      <c r="C390" t="str">
        <v>Cefuroxina</v>
      </c>
      <c r="D390">
        <f t="shared" si="6"/>
        <v>1</v>
      </c>
      <c r="F390" t="s">
        <v>5107</v>
      </c>
      <c r="G390">
        <v>2</v>
      </c>
    </row>
    <row r="391" spans="1:7" x14ac:dyDescent="0.3">
      <c r="A391" t="s">
        <v>392</v>
      </c>
      <c r="B391" t="s">
        <v>393</v>
      </c>
      <c r="C391" t="str">
        <v>Cetirizina</v>
      </c>
      <c r="D391">
        <f t="shared" si="6"/>
        <v>6</v>
      </c>
      <c r="F391" t="s">
        <v>5256</v>
      </c>
      <c r="G391">
        <v>2</v>
      </c>
    </row>
    <row r="392" spans="1:7" x14ac:dyDescent="0.3">
      <c r="A392" t="s">
        <v>392</v>
      </c>
      <c r="B392" t="s">
        <v>393</v>
      </c>
      <c r="C392" t="str">
        <v>Cinarizina</v>
      </c>
      <c r="D392">
        <f t="shared" si="6"/>
        <v>3</v>
      </c>
      <c r="F392" t="s">
        <v>5141</v>
      </c>
      <c r="G392">
        <v>2</v>
      </c>
    </row>
    <row r="393" spans="1:7" x14ac:dyDescent="0.3">
      <c r="A393" t="s">
        <v>2015</v>
      </c>
      <c r="C393" t="str">
        <v>Cinitrapida</v>
      </c>
      <c r="D393">
        <f t="shared" si="6"/>
        <v>6</v>
      </c>
      <c r="F393" t="s">
        <v>5184</v>
      </c>
      <c r="G393">
        <v>2</v>
      </c>
    </row>
    <row r="394" spans="1:7" x14ac:dyDescent="0.3">
      <c r="A394" t="s">
        <v>2015</v>
      </c>
      <c r="C394" t="str">
        <v>Ciprofloxacino</v>
      </c>
      <c r="D394">
        <f t="shared" si="6"/>
        <v>22</v>
      </c>
      <c r="F394" t="s">
        <v>5113</v>
      </c>
      <c r="G394">
        <v>2</v>
      </c>
    </row>
    <row r="395" spans="1:7" x14ac:dyDescent="0.3">
      <c r="A395" t="s">
        <v>1893</v>
      </c>
      <c r="C395" t="str">
        <v>Cisaprida</v>
      </c>
      <c r="D395">
        <f t="shared" si="6"/>
        <v>4</v>
      </c>
      <c r="F395" t="s">
        <v>5372</v>
      </c>
      <c r="G395">
        <v>2</v>
      </c>
    </row>
    <row r="396" spans="1:7" x14ac:dyDescent="0.3">
      <c r="A396" t="s">
        <v>1893</v>
      </c>
      <c r="B396" t="s">
        <v>1894</v>
      </c>
      <c r="C396" t="str">
        <v>Citidín-5-monofosfato/Uridin-5-monofosfato disódico/Uridín-5-trifosfato trisódico</v>
      </c>
      <c r="D396">
        <f t="shared" si="6"/>
        <v>1</v>
      </c>
      <c r="F396" t="s">
        <v>5300</v>
      </c>
      <c r="G396">
        <v>2</v>
      </c>
    </row>
    <row r="397" spans="1:7" x14ac:dyDescent="0.3">
      <c r="A397" t="s">
        <v>1893</v>
      </c>
      <c r="B397" t="s">
        <v>2049</v>
      </c>
      <c r="C397" t="str">
        <v>Citrato de Potasio/Ácido cítrico</v>
      </c>
      <c r="D397">
        <f t="shared" si="6"/>
        <v>1</v>
      </c>
      <c r="F397" t="s">
        <v>5287</v>
      </c>
      <c r="G397">
        <v>2</v>
      </c>
    </row>
    <row r="398" spans="1:7" x14ac:dyDescent="0.3">
      <c r="A398" t="s">
        <v>1893</v>
      </c>
      <c r="B398" t="s">
        <v>2049</v>
      </c>
      <c r="C398" t="str">
        <v>Citrato de sodio/Laurilsulfato</v>
      </c>
      <c r="D398">
        <f t="shared" si="6"/>
        <v>2</v>
      </c>
      <c r="F398" t="s">
        <v>5217</v>
      </c>
      <c r="G398">
        <v>2</v>
      </c>
    </row>
    <row r="399" spans="1:7" x14ac:dyDescent="0.3">
      <c r="A399" t="s">
        <v>1893</v>
      </c>
      <c r="B399" t="s">
        <v>2049</v>
      </c>
      <c r="C399" t="str">
        <v>Claritromicina</v>
      </c>
      <c r="D399">
        <f t="shared" si="6"/>
        <v>14</v>
      </c>
      <c r="F399" t="s">
        <v>5319</v>
      </c>
      <c r="G399">
        <v>2</v>
      </c>
    </row>
    <row r="400" spans="1:7" x14ac:dyDescent="0.3">
      <c r="A400" t="s">
        <v>2267</v>
      </c>
      <c r="B400" t="s">
        <v>2268</v>
      </c>
      <c r="C400" t="str">
        <v>Clindamicina</v>
      </c>
      <c r="D400">
        <f t="shared" si="6"/>
        <v>3</v>
      </c>
      <c r="F400" t="s">
        <v>4962</v>
      </c>
      <c r="G400">
        <v>2</v>
      </c>
    </row>
    <row r="401" spans="1:7" x14ac:dyDescent="0.3">
      <c r="A401" t="s">
        <v>819</v>
      </c>
      <c r="C401" t="str">
        <v>Clindamicina/Ketoconazol</v>
      </c>
      <c r="D401">
        <f t="shared" si="6"/>
        <v>1</v>
      </c>
      <c r="F401" t="s">
        <v>1677</v>
      </c>
      <c r="G401">
        <v>2</v>
      </c>
    </row>
    <row r="402" spans="1:7" x14ac:dyDescent="0.3">
      <c r="A402" t="s">
        <v>819</v>
      </c>
      <c r="B402" t="s">
        <v>820</v>
      </c>
      <c r="C402" t="str">
        <v>Clioquinol/Fluocinolona</v>
      </c>
      <c r="D402">
        <f t="shared" si="6"/>
        <v>2</v>
      </c>
      <c r="F402" t="s">
        <v>5084</v>
      </c>
      <c r="G402">
        <v>2</v>
      </c>
    </row>
    <row r="403" spans="1:7" x14ac:dyDescent="0.3">
      <c r="A403" t="s">
        <v>819</v>
      </c>
      <c r="B403" t="s">
        <v>820</v>
      </c>
      <c r="C403" t="str">
        <v>Clonixinato de lisina</v>
      </c>
      <c r="D403">
        <f t="shared" si="6"/>
        <v>12</v>
      </c>
      <c r="F403" t="s">
        <v>5185</v>
      </c>
      <c r="G403">
        <v>2</v>
      </c>
    </row>
    <row r="404" spans="1:7" x14ac:dyDescent="0.3">
      <c r="A404" t="s">
        <v>2580</v>
      </c>
      <c r="C404" t="str">
        <v>Clonixinato de lisina/Butilhioscina</v>
      </c>
      <c r="D404">
        <f t="shared" si="6"/>
        <v>3</v>
      </c>
      <c r="F404" t="s">
        <v>5277</v>
      </c>
      <c r="G404">
        <v>2</v>
      </c>
    </row>
    <row r="405" spans="1:7" x14ac:dyDescent="0.3">
      <c r="A405" t="s">
        <v>2580</v>
      </c>
      <c r="C405" t="str">
        <v>Clonixinato de lisina/Tramadol</v>
      </c>
      <c r="D405">
        <f t="shared" si="6"/>
        <v>1</v>
      </c>
      <c r="F405" t="s">
        <v>5145</v>
      </c>
      <c r="G405">
        <v>2</v>
      </c>
    </row>
    <row r="406" spans="1:7" x14ac:dyDescent="0.3">
      <c r="A406" t="s">
        <v>1658</v>
      </c>
      <c r="B406" t="s">
        <v>1661</v>
      </c>
      <c r="C406" t="str">
        <v>Clopidogrel</v>
      </c>
      <c r="D406">
        <f t="shared" si="6"/>
        <v>5</v>
      </c>
      <c r="F406" t="s">
        <v>5054</v>
      </c>
      <c r="G406">
        <v>2</v>
      </c>
    </row>
    <row r="407" spans="1:7" x14ac:dyDescent="0.3">
      <c r="A407" t="s">
        <v>1658</v>
      </c>
      <c r="B407" t="s">
        <v>1661</v>
      </c>
      <c r="C407" t="str">
        <v>Cloranfenicol</v>
      </c>
      <c r="D407">
        <f t="shared" si="6"/>
        <v>3</v>
      </c>
      <c r="F407" t="s">
        <v>5245</v>
      </c>
      <c r="G407">
        <v>2</v>
      </c>
    </row>
    <row r="408" spans="1:7" x14ac:dyDescent="0.3">
      <c r="A408" t="s">
        <v>1658</v>
      </c>
      <c r="B408" t="s">
        <v>1395</v>
      </c>
      <c r="C408" t="str">
        <v>Cloranfenicol/Benzocaina</v>
      </c>
      <c r="D408">
        <f t="shared" si="6"/>
        <v>1</v>
      </c>
      <c r="F408" t="s">
        <v>5379</v>
      </c>
      <c r="G408">
        <v>2</v>
      </c>
    </row>
    <row r="409" spans="1:7" x14ac:dyDescent="0.3">
      <c r="A409" t="s">
        <v>247</v>
      </c>
      <c r="B409" t="s">
        <v>248</v>
      </c>
      <c r="C409" t="str">
        <v>Clorfenamina</v>
      </c>
      <c r="D409">
        <f t="shared" si="6"/>
        <v>10</v>
      </c>
      <c r="F409" t="s">
        <v>5305</v>
      </c>
      <c r="G409">
        <v>2</v>
      </c>
    </row>
    <row r="410" spans="1:7" x14ac:dyDescent="0.3">
      <c r="A410" t="s">
        <v>1710</v>
      </c>
      <c r="B410" t="s">
        <v>1711</v>
      </c>
      <c r="C410" t="str">
        <v>Clorfenamina/Fenilefrina/Paracetamol</v>
      </c>
      <c r="D410">
        <f t="shared" si="6"/>
        <v>1</v>
      </c>
      <c r="F410" t="s">
        <v>5125</v>
      </c>
      <c r="G410">
        <v>2</v>
      </c>
    </row>
    <row r="411" spans="1:7" x14ac:dyDescent="0.3">
      <c r="A411" t="s">
        <v>704</v>
      </c>
      <c r="C411" t="str">
        <v>Clorfenamina/Paracetamol</v>
      </c>
      <c r="D411">
        <f t="shared" si="6"/>
        <v>1</v>
      </c>
      <c r="F411" t="s">
        <v>5120</v>
      </c>
      <c r="G411">
        <v>2</v>
      </c>
    </row>
    <row r="412" spans="1:7" x14ac:dyDescent="0.3">
      <c r="A412" t="s">
        <v>704</v>
      </c>
      <c r="C412" t="str">
        <v>Clortalidona</v>
      </c>
      <c r="D412">
        <f t="shared" si="6"/>
        <v>7</v>
      </c>
      <c r="F412" t="s">
        <v>5151</v>
      </c>
      <c r="G412">
        <v>2</v>
      </c>
    </row>
    <row r="413" spans="1:7" x14ac:dyDescent="0.3">
      <c r="A413" t="s">
        <v>704</v>
      </c>
      <c r="C413" t="str">
        <v>Cloruro de benzalconio</v>
      </c>
      <c r="D413">
        <f t="shared" si="6"/>
        <v>3</v>
      </c>
      <c r="F413" t="s">
        <v>5162</v>
      </c>
      <c r="G413">
        <v>2</v>
      </c>
    </row>
    <row r="414" spans="1:7" x14ac:dyDescent="0.3">
      <c r="A414" t="s">
        <v>704</v>
      </c>
      <c r="B414" t="s">
        <v>705</v>
      </c>
      <c r="C414" t="str">
        <v>Cloruro de etilo</v>
      </c>
      <c r="D414">
        <f t="shared" si="6"/>
        <v>3</v>
      </c>
      <c r="F414" t="s">
        <v>4968</v>
      </c>
      <c r="G414">
        <v>2</v>
      </c>
    </row>
    <row r="415" spans="1:7" x14ac:dyDescent="0.3">
      <c r="A415" t="s">
        <v>1266</v>
      </c>
      <c r="B415" t="s">
        <v>1267</v>
      </c>
      <c r="C415" t="str">
        <v>Cloruro de sodio</v>
      </c>
      <c r="D415">
        <f t="shared" si="6"/>
        <v>2</v>
      </c>
      <c r="F415" t="s">
        <v>5291</v>
      </c>
      <c r="G415">
        <v>2</v>
      </c>
    </row>
    <row r="416" spans="1:7" x14ac:dyDescent="0.3">
      <c r="A416" t="s">
        <v>131</v>
      </c>
      <c r="B416" t="s">
        <v>132</v>
      </c>
      <c r="C416" t="str">
        <v>Clotrimazol</v>
      </c>
      <c r="D416">
        <f t="shared" si="6"/>
        <v>1</v>
      </c>
      <c r="F416" t="s">
        <v>5271</v>
      </c>
      <c r="G416">
        <v>2</v>
      </c>
    </row>
    <row r="417" spans="1:7" x14ac:dyDescent="0.3">
      <c r="A417" t="s">
        <v>131</v>
      </c>
      <c r="B417" t="s">
        <v>132</v>
      </c>
      <c r="C417" t="str">
        <v>Clotrimazol/Dexametasona</v>
      </c>
      <c r="D417">
        <f t="shared" si="6"/>
        <v>1</v>
      </c>
      <c r="F417" t="s">
        <v>5311</v>
      </c>
      <c r="G417">
        <v>2</v>
      </c>
    </row>
    <row r="418" spans="1:7" x14ac:dyDescent="0.3">
      <c r="A418" t="s">
        <v>3063</v>
      </c>
      <c r="C418" t="str">
        <v>Colchicina</v>
      </c>
      <c r="D418">
        <f t="shared" si="6"/>
        <v>1</v>
      </c>
      <c r="F418" t="s">
        <v>5202</v>
      </c>
      <c r="G418">
        <v>2</v>
      </c>
    </row>
    <row r="419" spans="1:7" x14ac:dyDescent="0.3">
      <c r="A419" t="s">
        <v>3063</v>
      </c>
      <c r="C419" t="str">
        <v>Colecalciferol</v>
      </c>
      <c r="D419">
        <f t="shared" si="6"/>
        <v>2</v>
      </c>
      <c r="F419" t="s">
        <v>5347</v>
      </c>
      <c r="G419">
        <v>2</v>
      </c>
    </row>
    <row r="420" spans="1:7" x14ac:dyDescent="0.3">
      <c r="A420" t="s">
        <v>1065</v>
      </c>
      <c r="B420" t="s">
        <v>1066</v>
      </c>
      <c r="C420" t="str">
        <v>Collinsonia/Hamamelis/Aesculus</v>
      </c>
      <c r="D420">
        <f t="shared" si="6"/>
        <v>1</v>
      </c>
      <c r="F420" t="s">
        <v>5312</v>
      </c>
      <c r="G420">
        <v>2</v>
      </c>
    </row>
    <row r="421" spans="1:7" x14ac:dyDescent="0.3">
      <c r="A421" t="s">
        <v>786</v>
      </c>
      <c r="B421" t="s">
        <v>787</v>
      </c>
      <c r="C421" t="str">
        <v>Dapagliflozina</v>
      </c>
      <c r="D421">
        <f t="shared" si="6"/>
        <v>1</v>
      </c>
      <c r="F421" t="s">
        <v>5077</v>
      </c>
      <c r="G421">
        <v>2</v>
      </c>
    </row>
    <row r="422" spans="1:7" x14ac:dyDescent="0.3">
      <c r="A422" t="s">
        <v>786</v>
      </c>
      <c r="B422" t="s">
        <v>2086</v>
      </c>
      <c r="C422" t="str">
        <v>Deflazacort</v>
      </c>
      <c r="D422">
        <f t="shared" si="6"/>
        <v>6</v>
      </c>
      <c r="F422" t="s">
        <v>5257</v>
      </c>
      <c r="G422">
        <v>2</v>
      </c>
    </row>
    <row r="423" spans="1:7" x14ac:dyDescent="0.3">
      <c r="A423" t="s">
        <v>152</v>
      </c>
      <c r="C423" t="str">
        <v>Desloratadina</v>
      </c>
      <c r="D423">
        <f t="shared" si="6"/>
        <v>3</v>
      </c>
      <c r="F423" t="s">
        <v>5187</v>
      </c>
      <c r="G423">
        <v>2</v>
      </c>
    </row>
    <row r="424" spans="1:7" x14ac:dyDescent="0.3">
      <c r="A424" t="s">
        <v>152</v>
      </c>
      <c r="B424" t="s">
        <v>153</v>
      </c>
      <c r="C424" t="str">
        <v>Desonida</v>
      </c>
      <c r="D424">
        <f t="shared" si="6"/>
        <v>1</v>
      </c>
      <c r="F424" t="s">
        <v>5176</v>
      </c>
      <c r="G424">
        <v>2</v>
      </c>
    </row>
    <row r="425" spans="1:7" x14ac:dyDescent="0.3">
      <c r="A425" t="s">
        <v>152</v>
      </c>
      <c r="B425" t="s">
        <v>153</v>
      </c>
      <c r="C425" t="str">
        <v>Dexametasona</v>
      </c>
      <c r="D425">
        <f t="shared" si="6"/>
        <v>4</v>
      </c>
      <c r="F425" t="s">
        <v>5236</v>
      </c>
      <c r="G425">
        <v>2</v>
      </c>
    </row>
    <row r="426" spans="1:7" x14ac:dyDescent="0.3">
      <c r="A426" t="s">
        <v>152</v>
      </c>
      <c r="B426" t="s">
        <v>1515</v>
      </c>
      <c r="C426" t="str">
        <v>Dexametasona/Lidocaína</v>
      </c>
      <c r="D426">
        <f t="shared" si="6"/>
        <v>1</v>
      </c>
      <c r="F426" t="s">
        <v>5037</v>
      </c>
      <c r="G426">
        <v>2</v>
      </c>
    </row>
    <row r="427" spans="1:7" x14ac:dyDescent="0.3">
      <c r="A427" t="s">
        <v>1688</v>
      </c>
      <c r="B427" t="s">
        <v>1689</v>
      </c>
      <c r="C427" t="str">
        <v>Dexketoprofeno</v>
      </c>
      <c r="D427">
        <f t="shared" si="6"/>
        <v>3</v>
      </c>
      <c r="F427" t="s">
        <v>5156</v>
      </c>
      <c r="G427">
        <v>2</v>
      </c>
    </row>
    <row r="428" spans="1:7" x14ac:dyDescent="0.3">
      <c r="A428" t="s">
        <v>1887</v>
      </c>
      <c r="B428" t="s">
        <v>1888</v>
      </c>
      <c r="C428" t="str">
        <v>Dextrometorfano</v>
      </c>
      <c r="D428">
        <f t="shared" si="6"/>
        <v>5</v>
      </c>
      <c r="F428" t="s">
        <v>502</v>
      </c>
      <c r="G428">
        <v>1</v>
      </c>
    </row>
    <row r="429" spans="1:7" x14ac:dyDescent="0.3">
      <c r="A429" t="s">
        <v>662</v>
      </c>
      <c r="B429" t="s">
        <v>663</v>
      </c>
      <c r="C429" t="str">
        <v>Dextrometorfano/Ambroxol</v>
      </c>
      <c r="D429">
        <f t="shared" si="6"/>
        <v>3</v>
      </c>
      <c r="F429" t="s">
        <v>2824</v>
      </c>
      <c r="G429">
        <v>1</v>
      </c>
    </row>
    <row r="430" spans="1:7" x14ac:dyDescent="0.3">
      <c r="A430" t="s">
        <v>662</v>
      </c>
      <c r="B430" t="s">
        <v>663</v>
      </c>
      <c r="C430" t="str">
        <v>Dextrometorfano/Guaifenesina</v>
      </c>
      <c r="D430">
        <f t="shared" si="6"/>
        <v>2</v>
      </c>
      <c r="F430" t="s">
        <v>2513</v>
      </c>
      <c r="G430">
        <v>1</v>
      </c>
    </row>
    <row r="431" spans="1:7" x14ac:dyDescent="0.3">
      <c r="A431" t="s">
        <v>662</v>
      </c>
      <c r="B431" t="s">
        <v>1469</v>
      </c>
      <c r="C431" t="str">
        <v>Diacereína</v>
      </c>
      <c r="D431">
        <f t="shared" si="6"/>
        <v>1</v>
      </c>
      <c r="F431" t="s">
        <v>2943</v>
      </c>
      <c r="G431">
        <v>1</v>
      </c>
    </row>
    <row r="432" spans="1:7" x14ac:dyDescent="0.3">
      <c r="A432" t="s">
        <v>662</v>
      </c>
      <c r="B432" t="s">
        <v>1469</v>
      </c>
      <c r="C432" t="str">
        <v>Diacereína/Meloxicam</v>
      </c>
      <c r="D432">
        <f t="shared" si="6"/>
        <v>1</v>
      </c>
      <c r="F432" t="s">
        <v>1749</v>
      </c>
      <c r="G432">
        <v>1</v>
      </c>
    </row>
    <row r="433" spans="1:7" x14ac:dyDescent="0.3">
      <c r="A433" t="s">
        <v>662</v>
      </c>
      <c r="B433" t="s">
        <v>1469</v>
      </c>
      <c r="C433" t="str">
        <v>Diazepam</v>
      </c>
      <c r="D433">
        <f t="shared" si="6"/>
        <v>1</v>
      </c>
      <c r="F433" t="s">
        <v>2260</v>
      </c>
      <c r="G433">
        <v>1</v>
      </c>
    </row>
    <row r="434" spans="1:7" x14ac:dyDescent="0.3">
      <c r="A434" t="s">
        <v>662</v>
      </c>
      <c r="B434" t="s">
        <v>1469</v>
      </c>
      <c r="C434" t="str">
        <v>Diclofenaco</v>
      </c>
      <c r="D434">
        <f t="shared" si="6"/>
        <v>24</v>
      </c>
      <c r="F434" t="s">
        <v>2721</v>
      </c>
      <c r="G434">
        <v>1</v>
      </c>
    </row>
    <row r="435" spans="1:7" x14ac:dyDescent="0.3">
      <c r="A435" t="s">
        <v>662</v>
      </c>
      <c r="B435" t="s">
        <v>1469</v>
      </c>
      <c r="C435" t="str">
        <v>Diclofenaco/Cianocobalamina/Piridoxina/Tiamina</v>
      </c>
      <c r="D435">
        <f t="shared" si="6"/>
        <v>5</v>
      </c>
      <c r="F435" t="s">
        <v>1980</v>
      </c>
      <c r="G435">
        <v>1</v>
      </c>
    </row>
    <row r="436" spans="1:7" x14ac:dyDescent="0.3">
      <c r="A436" t="s">
        <v>662</v>
      </c>
      <c r="B436" t="s">
        <v>1469</v>
      </c>
      <c r="C436" t="str">
        <v>Dicloxacilina</v>
      </c>
      <c r="D436">
        <f t="shared" si="6"/>
        <v>13</v>
      </c>
      <c r="F436" t="s">
        <v>2347</v>
      </c>
      <c r="G436">
        <v>1</v>
      </c>
    </row>
    <row r="437" spans="1:7" x14ac:dyDescent="0.3">
      <c r="A437" t="s">
        <v>662</v>
      </c>
      <c r="B437" t="s">
        <v>978</v>
      </c>
      <c r="C437" t="str">
        <v>Didrogesterona</v>
      </c>
      <c r="D437">
        <f t="shared" si="6"/>
        <v>2</v>
      </c>
      <c r="F437" t="s">
        <v>1365</v>
      </c>
      <c r="G437">
        <v>1</v>
      </c>
    </row>
    <row r="438" spans="1:7" x14ac:dyDescent="0.3">
      <c r="A438" t="s">
        <v>362</v>
      </c>
      <c r="C438" t="str">
        <v>Difenhidramina</v>
      </c>
      <c r="D438">
        <f t="shared" si="6"/>
        <v>3</v>
      </c>
      <c r="F438" t="s">
        <v>2324</v>
      </c>
      <c r="G438">
        <v>1</v>
      </c>
    </row>
    <row r="439" spans="1:7" x14ac:dyDescent="0.3">
      <c r="A439" t="s">
        <v>362</v>
      </c>
      <c r="C439" t="str">
        <v>Difenidol</v>
      </c>
      <c r="D439">
        <f t="shared" si="6"/>
        <v>14</v>
      </c>
      <c r="F439" t="s">
        <v>2310</v>
      </c>
      <c r="G439">
        <v>1</v>
      </c>
    </row>
    <row r="440" spans="1:7" x14ac:dyDescent="0.3">
      <c r="A440" t="s">
        <v>362</v>
      </c>
      <c r="C440" t="str">
        <v>Diltiazem</v>
      </c>
      <c r="D440">
        <f t="shared" si="6"/>
        <v>2</v>
      </c>
      <c r="F440" t="s">
        <v>2501</v>
      </c>
      <c r="G440">
        <v>1</v>
      </c>
    </row>
    <row r="441" spans="1:7" x14ac:dyDescent="0.3">
      <c r="A441" t="s">
        <v>362</v>
      </c>
      <c r="C441" t="str">
        <v>Dimenhidrinato</v>
      </c>
      <c r="D441">
        <f t="shared" si="6"/>
        <v>4</v>
      </c>
      <c r="F441" t="s">
        <v>846</v>
      </c>
      <c r="G441">
        <v>1</v>
      </c>
    </row>
    <row r="442" spans="1:7" x14ac:dyDescent="0.3">
      <c r="A442" t="s">
        <v>362</v>
      </c>
      <c r="B442" t="s">
        <v>1119</v>
      </c>
      <c r="C442" t="str">
        <v>Dimeticona</v>
      </c>
      <c r="D442">
        <f t="shared" si="6"/>
        <v>1</v>
      </c>
      <c r="F442" t="s">
        <v>1178</v>
      </c>
      <c r="G442">
        <v>1</v>
      </c>
    </row>
    <row r="443" spans="1:7" x14ac:dyDescent="0.3">
      <c r="A443" t="s">
        <v>362</v>
      </c>
      <c r="B443" t="s">
        <v>2337</v>
      </c>
      <c r="C443" t="str">
        <v>Dinhidrato de isosorbida</v>
      </c>
      <c r="D443">
        <f t="shared" si="6"/>
        <v>16</v>
      </c>
      <c r="F443" t="s">
        <v>2623</v>
      </c>
      <c r="G443">
        <v>1</v>
      </c>
    </row>
    <row r="444" spans="1:7" x14ac:dyDescent="0.3">
      <c r="A444" t="s">
        <v>362</v>
      </c>
      <c r="B444" t="s">
        <v>363</v>
      </c>
      <c r="C444" t="str">
        <v>Diosmina</v>
      </c>
      <c r="D444">
        <f t="shared" si="6"/>
        <v>1</v>
      </c>
      <c r="F444" t="s">
        <v>241</v>
      </c>
      <c r="G444">
        <v>1</v>
      </c>
    </row>
    <row r="445" spans="1:7" x14ac:dyDescent="0.3">
      <c r="A445" t="s">
        <v>362</v>
      </c>
      <c r="B445" t="s">
        <v>2342</v>
      </c>
      <c r="C445" t="str">
        <v>Diosmina/Hesperidina</v>
      </c>
      <c r="D445">
        <f t="shared" si="6"/>
        <v>14</v>
      </c>
      <c r="F445" t="s">
        <v>1003</v>
      </c>
      <c r="G445">
        <v>1</v>
      </c>
    </row>
    <row r="446" spans="1:7" x14ac:dyDescent="0.3">
      <c r="A446" t="s">
        <v>1616</v>
      </c>
      <c r="C446" t="str">
        <v>Diyodohidroxiquinoleína/Metronidazol</v>
      </c>
      <c r="D446">
        <f t="shared" si="6"/>
        <v>1</v>
      </c>
      <c r="F446" t="s">
        <v>2551</v>
      </c>
      <c r="G446">
        <v>1</v>
      </c>
    </row>
    <row r="447" spans="1:7" x14ac:dyDescent="0.3">
      <c r="A447" t="s">
        <v>1616</v>
      </c>
      <c r="C447" t="str">
        <v>Dobesilato de calcio/Diosmina/Hesperidina</v>
      </c>
      <c r="D447">
        <f t="shared" si="6"/>
        <v>1</v>
      </c>
      <c r="F447" t="s">
        <v>1009</v>
      </c>
      <c r="G447">
        <v>1</v>
      </c>
    </row>
    <row r="448" spans="1:7" x14ac:dyDescent="0.3">
      <c r="A448" t="s">
        <v>1616</v>
      </c>
      <c r="B448" t="s">
        <v>1841</v>
      </c>
      <c r="C448" t="str">
        <v>Dorsolamida</v>
      </c>
      <c r="D448">
        <f t="shared" si="6"/>
        <v>1</v>
      </c>
      <c r="F448" t="s">
        <v>2142</v>
      </c>
      <c r="G448">
        <v>1</v>
      </c>
    </row>
    <row r="449" spans="1:7" x14ac:dyDescent="0.3">
      <c r="A449" t="s">
        <v>1616</v>
      </c>
      <c r="B449" t="s">
        <v>1738</v>
      </c>
      <c r="C449" t="str">
        <v>Doxiciclina</v>
      </c>
      <c r="D449">
        <f t="shared" si="6"/>
        <v>4</v>
      </c>
      <c r="F449" t="s">
        <v>1519</v>
      </c>
      <c r="G449">
        <v>1</v>
      </c>
    </row>
    <row r="450" spans="1:7" x14ac:dyDescent="0.3">
      <c r="A450" t="s">
        <v>2979</v>
      </c>
      <c r="C450" t="str">
        <v>Dropropizina</v>
      </c>
      <c r="D450">
        <f t="shared" si="6"/>
        <v>2</v>
      </c>
      <c r="F450" t="s">
        <v>2986</v>
      </c>
      <c r="G450">
        <v>1</v>
      </c>
    </row>
    <row r="451" spans="1:7" x14ac:dyDescent="0.3">
      <c r="A451" t="s">
        <v>624</v>
      </c>
      <c r="C451" t="str">
        <v>Dropropizina/Ambroxol</v>
      </c>
      <c r="D451">
        <f t="shared" ref="D451:D514" si="7">COUNTIF(A$1:A$2981,C451)</f>
        <v>2</v>
      </c>
      <c r="F451" t="s">
        <v>547</v>
      </c>
      <c r="G451">
        <v>1</v>
      </c>
    </row>
    <row r="452" spans="1:7" x14ac:dyDescent="0.3">
      <c r="A452" t="s">
        <v>624</v>
      </c>
      <c r="C452" t="str">
        <v>Drospirenona/Etinilestradiol</v>
      </c>
      <c r="D452">
        <f t="shared" si="7"/>
        <v>1</v>
      </c>
      <c r="F452" t="s">
        <v>554</v>
      </c>
      <c r="G452">
        <v>1</v>
      </c>
    </row>
    <row r="453" spans="1:7" x14ac:dyDescent="0.3">
      <c r="A453" t="s">
        <v>624</v>
      </c>
      <c r="C453" t="str">
        <v>Duloxetina</v>
      </c>
      <c r="D453">
        <f t="shared" si="7"/>
        <v>3</v>
      </c>
      <c r="F453" t="s">
        <v>310</v>
      </c>
      <c r="G453">
        <v>1</v>
      </c>
    </row>
    <row r="454" spans="1:7" x14ac:dyDescent="0.3">
      <c r="A454" t="s">
        <v>624</v>
      </c>
      <c r="B454" t="s">
        <v>1108</v>
      </c>
      <c r="C454" t="str">
        <v>Dutasterida</v>
      </c>
      <c r="D454">
        <f t="shared" si="7"/>
        <v>1</v>
      </c>
      <c r="F454" t="s">
        <v>3095</v>
      </c>
      <c r="G454">
        <v>1</v>
      </c>
    </row>
    <row r="455" spans="1:7" x14ac:dyDescent="0.3">
      <c r="A455" t="s">
        <v>624</v>
      </c>
      <c r="B455" t="s">
        <v>2658</v>
      </c>
      <c r="C455" t="str">
        <v>Edetato disodico / Acido sorbico</v>
      </c>
      <c r="D455">
        <f t="shared" si="7"/>
        <v>1</v>
      </c>
      <c r="F455" t="s">
        <v>1790</v>
      </c>
      <c r="G455">
        <v>1</v>
      </c>
    </row>
    <row r="456" spans="1:7" x14ac:dyDescent="0.3">
      <c r="A456" t="s">
        <v>624</v>
      </c>
      <c r="B456" t="s">
        <v>625</v>
      </c>
      <c r="C456" t="str">
        <v>Edoxabán</v>
      </c>
      <c r="D456">
        <f t="shared" si="7"/>
        <v>1</v>
      </c>
      <c r="F456" t="s">
        <v>1564</v>
      </c>
      <c r="G456">
        <v>1</v>
      </c>
    </row>
    <row r="457" spans="1:7" x14ac:dyDescent="0.3">
      <c r="A457" t="s">
        <v>624</v>
      </c>
      <c r="B457" t="s">
        <v>1832</v>
      </c>
      <c r="C457" t="str">
        <v>Efavirenz/Emtricitabina/Tenofovir</v>
      </c>
      <c r="D457">
        <f t="shared" si="7"/>
        <v>7</v>
      </c>
      <c r="F457" t="s">
        <v>894</v>
      </c>
      <c r="G457">
        <v>1</v>
      </c>
    </row>
    <row r="458" spans="1:7" x14ac:dyDescent="0.3">
      <c r="A458" t="s">
        <v>624</v>
      </c>
      <c r="B458" t="s">
        <v>1729</v>
      </c>
      <c r="C458" t="str">
        <v>Electrolitos orales</v>
      </c>
      <c r="D458">
        <f t="shared" si="7"/>
        <v>7</v>
      </c>
      <c r="F458" t="s">
        <v>254</v>
      </c>
      <c r="G458">
        <v>1</v>
      </c>
    </row>
    <row r="459" spans="1:7" x14ac:dyDescent="0.3">
      <c r="A459" t="s">
        <v>695</v>
      </c>
      <c r="B459" t="s">
        <v>696</v>
      </c>
      <c r="C459" t="str">
        <v>Empagliflozina</v>
      </c>
      <c r="D459">
        <f t="shared" si="7"/>
        <v>1</v>
      </c>
      <c r="F459" t="s">
        <v>1965</v>
      </c>
      <c r="G459">
        <v>1</v>
      </c>
    </row>
    <row r="460" spans="1:7" x14ac:dyDescent="0.3">
      <c r="A460" t="s">
        <v>2480</v>
      </c>
      <c r="C460" t="str">
        <v>Empaglifozina/Metformina</v>
      </c>
      <c r="D460">
        <f t="shared" si="7"/>
        <v>1</v>
      </c>
      <c r="F460" t="s">
        <v>2212</v>
      </c>
      <c r="G460">
        <v>1</v>
      </c>
    </row>
    <row r="461" spans="1:7" x14ac:dyDescent="0.3">
      <c r="A461" t="s">
        <v>2480</v>
      </c>
      <c r="C461" t="str">
        <v>Enalapril</v>
      </c>
      <c r="D461">
        <f t="shared" si="7"/>
        <v>11</v>
      </c>
      <c r="F461" t="s">
        <v>1582</v>
      </c>
      <c r="G461">
        <v>1</v>
      </c>
    </row>
    <row r="462" spans="1:7" x14ac:dyDescent="0.3">
      <c r="A462" t="s">
        <v>2480</v>
      </c>
      <c r="B462" t="s">
        <v>2481</v>
      </c>
      <c r="C462" t="str">
        <v>Enoxaparina Sódica</v>
      </c>
      <c r="D462">
        <f t="shared" si="7"/>
        <v>12</v>
      </c>
      <c r="F462" t="s">
        <v>2039</v>
      </c>
      <c r="G462">
        <v>1</v>
      </c>
    </row>
    <row r="463" spans="1:7" x14ac:dyDescent="0.3">
      <c r="A463" t="s">
        <v>2480</v>
      </c>
      <c r="B463" t="s">
        <v>2481</v>
      </c>
      <c r="C463" t="str">
        <v>Epinastina</v>
      </c>
      <c r="D463">
        <f t="shared" si="7"/>
        <v>3</v>
      </c>
      <c r="F463" t="s">
        <v>1826</v>
      </c>
      <c r="G463">
        <v>1</v>
      </c>
    </row>
    <row r="464" spans="1:7" x14ac:dyDescent="0.3">
      <c r="A464" t="s">
        <v>1529</v>
      </c>
      <c r="C464" t="str">
        <v>Eritromicina</v>
      </c>
      <c r="D464">
        <f t="shared" si="7"/>
        <v>2</v>
      </c>
      <c r="F464" t="s">
        <v>2963</v>
      </c>
      <c r="G464">
        <v>1</v>
      </c>
    </row>
    <row r="465" spans="1:7" x14ac:dyDescent="0.3">
      <c r="A465" t="s">
        <v>2956</v>
      </c>
      <c r="C465" t="str">
        <v>Escitalopram</v>
      </c>
      <c r="D465">
        <f t="shared" si="7"/>
        <v>2</v>
      </c>
      <c r="F465" t="s">
        <v>617</v>
      </c>
      <c r="G465">
        <v>1</v>
      </c>
    </row>
    <row r="466" spans="1:7" x14ac:dyDescent="0.3">
      <c r="A466" t="s">
        <v>2758</v>
      </c>
      <c r="C466" t="str">
        <v>Esomeprazol</v>
      </c>
      <c r="D466">
        <f t="shared" si="7"/>
        <v>2</v>
      </c>
      <c r="F466" t="s">
        <v>403</v>
      </c>
      <c r="G466">
        <v>1</v>
      </c>
    </row>
    <row r="467" spans="1:7" x14ac:dyDescent="0.3">
      <c r="A467" t="s">
        <v>142</v>
      </c>
      <c r="C467" t="str">
        <v>Espironolactona</v>
      </c>
      <c r="D467">
        <f t="shared" si="7"/>
        <v>1</v>
      </c>
      <c r="F467" t="s">
        <v>1608</v>
      </c>
      <c r="G467">
        <v>1</v>
      </c>
    </row>
    <row r="468" spans="1:7" x14ac:dyDescent="0.3">
      <c r="A468" t="s">
        <v>142</v>
      </c>
      <c r="C468" t="str">
        <v>Esporas de Bacillus clausii</v>
      </c>
      <c r="D468">
        <f t="shared" si="7"/>
        <v>2</v>
      </c>
      <c r="F468" t="s">
        <v>2062</v>
      </c>
      <c r="G468">
        <v>1</v>
      </c>
    </row>
    <row r="469" spans="1:7" x14ac:dyDescent="0.3">
      <c r="A469" t="s">
        <v>142</v>
      </c>
      <c r="B469" t="s">
        <v>148</v>
      </c>
      <c r="C469" t="str">
        <v>Estradiol/Dienogest</v>
      </c>
      <c r="D469">
        <f t="shared" si="7"/>
        <v>1</v>
      </c>
      <c r="F469" t="s">
        <v>3050</v>
      </c>
      <c r="G469">
        <v>1</v>
      </c>
    </row>
    <row r="470" spans="1:7" x14ac:dyDescent="0.3">
      <c r="A470" t="s">
        <v>142</v>
      </c>
      <c r="B470" t="s">
        <v>143</v>
      </c>
      <c r="C470" t="str">
        <v>Estrógenos Conjugados</v>
      </c>
      <c r="D470">
        <f t="shared" si="7"/>
        <v>1</v>
      </c>
      <c r="F470" t="s">
        <v>2808</v>
      </c>
      <c r="G470">
        <v>1</v>
      </c>
    </row>
    <row r="471" spans="1:7" x14ac:dyDescent="0.3">
      <c r="A471" t="s">
        <v>142</v>
      </c>
      <c r="B471" t="s">
        <v>143</v>
      </c>
      <c r="C471" t="str">
        <v>Ezetimiba/Rosuvastatina</v>
      </c>
      <c r="D471">
        <f t="shared" si="7"/>
        <v>2</v>
      </c>
      <c r="F471" t="s">
        <v>755</v>
      </c>
      <c r="G471">
        <v>1</v>
      </c>
    </row>
    <row r="472" spans="1:7" x14ac:dyDescent="0.3">
      <c r="A472" t="s">
        <v>142</v>
      </c>
      <c r="B472" t="s">
        <v>143</v>
      </c>
      <c r="C472" t="str">
        <v>Ezetimiba/Simvastatina</v>
      </c>
      <c r="D472">
        <f t="shared" si="7"/>
        <v>2</v>
      </c>
      <c r="F472" t="s">
        <v>2930</v>
      </c>
      <c r="G472">
        <v>1</v>
      </c>
    </row>
    <row r="473" spans="1:7" x14ac:dyDescent="0.3">
      <c r="A473" t="s">
        <v>2407</v>
      </c>
      <c r="C473" t="str">
        <v>Fenazopiridina</v>
      </c>
      <c r="D473">
        <f t="shared" si="7"/>
        <v>3</v>
      </c>
      <c r="F473" t="s">
        <v>1409</v>
      </c>
      <c r="G473">
        <v>1</v>
      </c>
    </row>
    <row r="474" spans="1:7" x14ac:dyDescent="0.3">
      <c r="A474" t="s">
        <v>679</v>
      </c>
      <c r="B474" t="s">
        <v>680</v>
      </c>
      <c r="C474" t="str">
        <v>Fenilefrina/Loratadina</v>
      </c>
      <c r="D474">
        <f t="shared" si="7"/>
        <v>6</v>
      </c>
      <c r="F474" t="s">
        <v>2156</v>
      </c>
      <c r="G474">
        <v>1</v>
      </c>
    </row>
    <row r="475" spans="1:7" x14ac:dyDescent="0.3">
      <c r="A475" t="s">
        <v>679</v>
      </c>
      <c r="B475" t="s">
        <v>680</v>
      </c>
      <c r="C475" t="str">
        <v>Fenilefrina/Loratadina/Paracetamol</v>
      </c>
      <c r="D475">
        <f t="shared" si="7"/>
        <v>1</v>
      </c>
      <c r="F475" t="s">
        <v>1246</v>
      </c>
      <c r="G475">
        <v>1</v>
      </c>
    </row>
    <row r="476" spans="1:7" x14ac:dyDescent="0.3">
      <c r="A476" t="s">
        <v>679</v>
      </c>
      <c r="B476" t="s">
        <v>680</v>
      </c>
      <c r="C476" t="str">
        <v>Feniramina/Nafazolina</v>
      </c>
      <c r="D476">
        <f t="shared" si="7"/>
        <v>1</v>
      </c>
      <c r="F476" t="s">
        <v>2800</v>
      </c>
      <c r="G476">
        <v>1</v>
      </c>
    </row>
    <row r="477" spans="1:7" x14ac:dyDescent="0.3">
      <c r="A477" t="s">
        <v>1600</v>
      </c>
      <c r="C477" t="str">
        <v>Fenitoina</v>
      </c>
      <c r="D477">
        <f t="shared" si="7"/>
        <v>1</v>
      </c>
      <c r="F477" t="s">
        <v>1296</v>
      </c>
      <c r="G477">
        <v>1</v>
      </c>
    </row>
    <row r="478" spans="1:7" x14ac:dyDescent="0.3">
      <c r="A478" t="s">
        <v>2974</v>
      </c>
      <c r="C478" t="str">
        <v>Fenofibrato</v>
      </c>
      <c r="D478">
        <f t="shared" si="7"/>
        <v>1</v>
      </c>
      <c r="F478" t="s">
        <v>2386</v>
      </c>
      <c r="G478">
        <v>1</v>
      </c>
    </row>
    <row r="479" spans="1:7" x14ac:dyDescent="0.3">
      <c r="A479" t="s">
        <v>1098</v>
      </c>
      <c r="B479" t="s">
        <v>1099</v>
      </c>
      <c r="C479" t="str">
        <v>Fentermina</v>
      </c>
      <c r="D479">
        <f t="shared" si="7"/>
        <v>1</v>
      </c>
      <c r="F479" t="s">
        <v>2558</v>
      </c>
      <c r="G479">
        <v>1</v>
      </c>
    </row>
    <row r="480" spans="1:7" x14ac:dyDescent="0.3">
      <c r="A480" t="s">
        <v>1345</v>
      </c>
      <c r="C480" t="str">
        <v>Fexofenadina</v>
      </c>
      <c r="D480">
        <f t="shared" si="7"/>
        <v>11</v>
      </c>
      <c r="F480" t="s">
        <v>2493</v>
      </c>
      <c r="G480">
        <v>1</v>
      </c>
    </row>
    <row r="481" spans="1:7" x14ac:dyDescent="0.3">
      <c r="A481" t="s">
        <v>1345</v>
      </c>
      <c r="C481" t="str">
        <v>Florgucinol/Trimetilflorgucinol</v>
      </c>
      <c r="D481">
        <f t="shared" si="7"/>
        <v>1</v>
      </c>
      <c r="F481" t="s">
        <v>2412</v>
      </c>
      <c r="G481">
        <v>1</v>
      </c>
    </row>
    <row r="482" spans="1:7" x14ac:dyDescent="0.3">
      <c r="A482" t="s">
        <v>1345</v>
      </c>
      <c r="C482" t="str">
        <v>Floroglucinol/Trimetilfloroglucinol</v>
      </c>
      <c r="D482">
        <f t="shared" si="7"/>
        <v>2</v>
      </c>
      <c r="F482" t="s">
        <v>1550</v>
      </c>
      <c r="G482">
        <v>1</v>
      </c>
    </row>
    <row r="483" spans="1:7" x14ac:dyDescent="0.3">
      <c r="A483" t="s">
        <v>1345</v>
      </c>
      <c r="C483" t="str">
        <v>Floroglucinol/Trimetilfloroglucinol/Clonixinato de lisina</v>
      </c>
      <c r="D483">
        <f t="shared" si="7"/>
        <v>1</v>
      </c>
      <c r="F483" t="s">
        <v>2267</v>
      </c>
      <c r="G483">
        <v>1</v>
      </c>
    </row>
    <row r="484" spans="1:7" x14ac:dyDescent="0.3">
      <c r="A484" t="s">
        <v>2435</v>
      </c>
      <c r="B484" t="s">
        <v>2436</v>
      </c>
      <c r="C484" t="str">
        <v>Fluconazol</v>
      </c>
      <c r="D484">
        <f t="shared" si="7"/>
        <v>7</v>
      </c>
      <c r="F484" t="s">
        <v>247</v>
      </c>
      <c r="G484">
        <v>1</v>
      </c>
    </row>
    <row r="485" spans="1:7" x14ac:dyDescent="0.3">
      <c r="A485" t="s">
        <v>2435</v>
      </c>
      <c r="B485" t="s">
        <v>2436</v>
      </c>
      <c r="C485" t="str">
        <v>Fluoxetina</v>
      </c>
      <c r="D485">
        <f t="shared" si="7"/>
        <v>3</v>
      </c>
      <c r="F485" t="s">
        <v>1710</v>
      </c>
      <c r="G485">
        <v>1</v>
      </c>
    </row>
    <row r="486" spans="1:7" x14ac:dyDescent="0.3">
      <c r="A486" t="s">
        <v>733</v>
      </c>
      <c r="B486" t="s">
        <v>734</v>
      </c>
      <c r="C486" t="str">
        <v>Fluticasona</v>
      </c>
      <c r="D486">
        <f t="shared" si="7"/>
        <v>2</v>
      </c>
      <c r="F486" t="s">
        <v>1266</v>
      </c>
      <c r="G486">
        <v>1</v>
      </c>
    </row>
    <row r="487" spans="1:7" x14ac:dyDescent="0.3">
      <c r="A487" t="s">
        <v>733</v>
      </c>
      <c r="B487" t="s">
        <v>734</v>
      </c>
      <c r="C487" t="str">
        <v>Fluvastatina</v>
      </c>
      <c r="D487">
        <f t="shared" si="7"/>
        <v>1</v>
      </c>
      <c r="F487" t="s">
        <v>1065</v>
      </c>
      <c r="G487">
        <v>1</v>
      </c>
    </row>
    <row r="488" spans="1:7" x14ac:dyDescent="0.3">
      <c r="A488" t="s">
        <v>733</v>
      </c>
      <c r="B488" t="s">
        <v>734</v>
      </c>
      <c r="C488" t="str">
        <v>Fosfomicina</v>
      </c>
      <c r="D488">
        <f t="shared" si="7"/>
        <v>1</v>
      </c>
      <c r="F488" t="s">
        <v>1688</v>
      </c>
      <c r="G488">
        <v>1</v>
      </c>
    </row>
    <row r="489" spans="1:7" x14ac:dyDescent="0.3">
      <c r="A489" t="s">
        <v>733</v>
      </c>
      <c r="B489" t="s">
        <v>734</v>
      </c>
      <c r="C489" t="str">
        <v>Fragmentos F(ab´)2 de inmunoglobulina polivalente antiofídico</v>
      </c>
      <c r="D489">
        <f t="shared" si="7"/>
        <v>1</v>
      </c>
      <c r="F489" t="s">
        <v>1887</v>
      </c>
      <c r="G489">
        <v>1</v>
      </c>
    </row>
    <row r="490" spans="1:7" x14ac:dyDescent="0.3">
      <c r="A490" t="s">
        <v>945</v>
      </c>
      <c r="B490" t="s">
        <v>946</v>
      </c>
      <c r="C490" t="str">
        <v>Fumarato de bisoprolol</v>
      </c>
      <c r="D490">
        <f t="shared" si="7"/>
        <v>5</v>
      </c>
      <c r="F490" t="s">
        <v>2979</v>
      </c>
      <c r="G490">
        <v>1</v>
      </c>
    </row>
    <row r="491" spans="1:7" x14ac:dyDescent="0.3">
      <c r="A491" t="s">
        <v>808</v>
      </c>
      <c r="B491" t="s">
        <v>809</v>
      </c>
      <c r="C491" t="str">
        <v>Fumarato ferroso</v>
      </c>
      <c r="D491">
        <f t="shared" si="7"/>
        <v>1</v>
      </c>
      <c r="F491" t="s">
        <v>695</v>
      </c>
      <c r="G491">
        <v>1</v>
      </c>
    </row>
    <row r="492" spans="1:7" x14ac:dyDescent="0.3">
      <c r="A492" t="s">
        <v>808</v>
      </c>
      <c r="B492" t="s">
        <v>1595</v>
      </c>
      <c r="C492" t="str">
        <v>Fumarato ferroso/Ácido fólico</v>
      </c>
      <c r="D492">
        <f t="shared" si="7"/>
        <v>1</v>
      </c>
      <c r="F492" t="s">
        <v>1529</v>
      </c>
      <c r="G492">
        <v>1</v>
      </c>
    </row>
    <row r="493" spans="1:7" x14ac:dyDescent="0.3">
      <c r="A493" t="s">
        <v>808</v>
      </c>
      <c r="B493" t="s">
        <v>1595</v>
      </c>
      <c r="C493" t="str">
        <v>Furazolidona/Diyodohidroxiquinoleína/Caolín/Pectina/Metilbromuro de homatropina</v>
      </c>
      <c r="D493">
        <f t="shared" si="7"/>
        <v>1</v>
      </c>
      <c r="F493" t="s">
        <v>2956</v>
      </c>
      <c r="G493">
        <v>1</v>
      </c>
    </row>
    <row r="494" spans="1:7" x14ac:dyDescent="0.3">
      <c r="A494" t="s">
        <v>1077</v>
      </c>
      <c r="C494" t="str">
        <v>Furosemida</v>
      </c>
      <c r="D494">
        <f t="shared" si="7"/>
        <v>11</v>
      </c>
      <c r="F494" t="s">
        <v>2758</v>
      </c>
      <c r="G494">
        <v>1</v>
      </c>
    </row>
    <row r="495" spans="1:7" x14ac:dyDescent="0.3">
      <c r="A495" t="s">
        <v>1077</v>
      </c>
      <c r="B495" t="s">
        <v>1078</v>
      </c>
      <c r="C495" t="str">
        <v>Gabapentina</v>
      </c>
      <c r="D495">
        <f t="shared" si="7"/>
        <v>8</v>
      </c>
      <c r="F495" t="s">
        <v>2407</v>
      </c>
      <c r="G495">
        <v>1</v>
      </c>
    </row>
    <row r="496" spans="1:7" x14ac:dyDescent="0.3">
      <c r="A496" t="s">
        <v>1077</v>
      </c>
      <c r="B496" t="s">
        <v>2614</v>
      </c>
      <c r="C496" t="str">
        <v>Gabapentina/Tiamina/Cianocobalamina</v>
      </c>
      <c r="D496">
        <f t="shared" si="7"/>
        <v>1</v>
      </c>
      <c r="F496" t="s">
        <v>1600</v>
      </c>
      <c r="G496">
        <v>1</v>
      </c>
    </row>
    <row r="497" spans="1:7" x14ac:dyDescent="0.3">
      <c r="A497" t="s">
        <v>1370</v>
      </c>
      <c r="B497" t="s">
        <v>1371</v>
      </c>
      <c r="C497" t="str">
        <v>Galantamina</v>
      </c>
      <c r="D497">
        <f t="shared" si="7"/>
        <v>5</v>
      </c>
      <c r="F497" t="s">
        <v>2974</v>
      </c>
      <c r="G497">
        <v>1</v>
      </c>
    </row>
    <row r="498" spans="1:7" x14ac:dyDescent="0.3">
      <c r="A498" t="s">
        <v>855</v>
      </c>
      <c r="B498" t="s">
        <v>1377</v>
      </c>
      <c r="C498" t="str">
        <v>Gemfibrozilo</v>
      </c>
      <c r="D498">
        <f t="shared" si="7"/>
        <v>4</v>
      </c>
      <c r="F498" t="s">
        <v>1098</v>
      </c>
      <c r="G498">
        <v>1</v>
      </c>
    </row>
    <row r="499" spans="1:7" x14ac:dyDescent="0.3">
      <c r="A499" t="s">
        <v>855</v>
      </c>
      <c r="B499" t="s">
        <v>856</v>
      </c>
      <c r="C499" t="str">
        <v>Gentamicina</v>
      </c>
      <c r="D499">
        <f t="shared" si="7"/>
        <v>1</v>
      </c>
      <c r="F499" t="s">
        <v>945</v>
      </c>
      <c r="G499">
        <v>1</v>
      </c>
    </row>
    <row r="500" spans="1:7" x14ac:dyDescent="0.3">
      <c r="A500" t="s">
        <v>855</v>
      </c>
      <c r="B500" t="s">
        <v>856</v>
      </c>
      <c r="C500" t="str">
        <v>Glibenclamida</v>
      </c>
      <c r="D500">
        <f t="shared" si="7"/>
        <v>10</v>
      </c>
      <c r="F500" t="s">
        <v>1370</v>
      </c>
      <c r="G500">
        <v>1</v>
      </c>
    </row>
    <row r="501" spans="1:7" x14ac:dyDescent="0.3">
      <c r="A501" t="s">
        <v>855</v>
      </c>
      <c r="B501" t="s">
        <v>856</v>
      </c>
      <c r="C501" t="str">
        <v>Glimepirida</v>
      </c>
      <c r="D501">
        <f t="shared" si="7"/>
        <v>12</v>
      </c>
      <c r="F501" t="s">
        <v>221</v>
      </c>
      <c r="G501">
        <v>1</v>
      </c>
    </row>
    <row r="502" spans="1:7" x14ac:dyDescent="0.3">
      <c r="A502" t="s">
        <v>855</v>
      </c>
      <c r="B502" t="s">
        <v>856</v>
      </c>
      <c r="C502" t="str">
        <v>Glimepirida/Metformina</v>
      </c>
      <c r="D502">
        <f t="shared" si="7"/>
        <v>5</v>
      </c>
      <c r="F502" t="s">
        <v>26</v>
      </c>
      <c r="G502">
        <v>1</v>
      </c>
    </row>
    <row r="503" spans="1:7" x14ac:dyDescent="0.3">
      <c r="A503" t="s">
        <v>855</v>
      </c>
      <c r="B503" t="s">
        <v>856</v>
      </c>
      <c r="C503" t="str">
        <v>Gluconolactado de calcio/Carbonato de calcio</v>
      </c>
      <c r="D503">
        <f t="shared" si="7"/>
        <v>1</v>
      </c>
      <c r="F503" t="s">
        <v>2193</v>
      </c>
      <c r="G503">
        <v>1</v>
      </c>
    </row>
    <row r="504" spans="1:7" x14ac:dyDescent="0.3">
      <c r="A504" t="s">
        <v>855</v>
      </c>
      <c r="B504" t="s">
        <v>856</v>
      </c>
      <c r="C504" t="str">
        <v>Guaifenesina/Dextrometorfano</v>
      </c>
      <c r="D504">
        <f t="shared" si="7"/>
        <v>1</v>
      </c>
      <c r="F504" t="s">
        <v>2652</v>
      </c>
      <c r="G504">
        <v>1</v>
      </c>
    </row>
    <row r="505" spans="1:7" x14ac:dyDescent="0.3">
      <c r="A505" t="s">
        <v>855</v>
      </c>
      <c r="B505" t="s">
        <v>856</v>
      </c>
      <c r="C505" t="str">
        <v>Guaifenesina/Oxolamina</v>
      </c>
      <c r="D505">
        <f t="shared" si="7"/>
        <v>3</v>
      </c>
      <c r="F505" t="s">
        <v>2610</v>
      </c>
      <c r="G505">
        <v>1</v>
      </c>
    </row>
    <row r="506" spans="1:7" x14ac:dyDescent="0.3">
      <c r="A506" t="s">
        <v>855</v>
      </c>
      <c r="B506" t="s">
        <v>856</v>
      </c>
      <c r="C506" t="str">
        <v>Guayacol</v>
      </c>
      <c r="D506">
        <f t="shared" si="7"/>
        <v>1</v>
      </c>
      <c r="F506" t="s">
        <v>1436</v>
      </c>
      <c r="G506">
        <v>1</v>
      </c>
    </row>
    <row r="507" spans="1:7" x14ac:dyDescent="0.3">
      <c r="A507" t="s">
        <v>855</v>
      </c>
      <c r="B507" t="s">
        <v>856</v>
      </c>
      <c r="C507" t="str">
        <v>Guifenesina/Fenilefrina/Dextrometorfano</v>
      </c>
      <c r="D507">
        <f t="shared" si="7"/>
        <v>1</v>
      </c>
      <c r="F507" t="s">
        <v>3056</v>
      </c>
      <c r="G507">
        <v>1</v>
      </c>
    </row>
    <row r="508" spans="1:7" x14ac:dyDescent="0.3">
      <c r="A508" t="s">
        <v>688</v>
      </c>
      <c r="B508" t="s">
        <v>2531</v>
      </c>
      <c r="C508" t="str">
        <v>Hidroclorotiazida</v>
      </c>
      <c r="D508">
        <f t="shared" si="7"/>
        <v>5</v>
      </c>
      <c r="F508" t="s">
        <v>825</v>
      </c>
      <c r="G508">
        <v>1</v>
      </c>
    </row>
    <row r="509" spans="1:7" x14ac:dyDescent="0.3">
      <c r="A509" t="s">
        <v>688</v>
      </c>
      <c r="B509" t="s">
        <v>2531</v>
      </c>
      <c r="C509" t="str">
        <v>Hidroxicloroquina</v>
      </c>
      <c r="D509">
        <f t="shared" si="7"/>
        <v>1</v>
      </c>
      <c r="F509" t="s">
        <v>711</v>
      </c>
      <c r="G509">
        <v>1</v>
      </c>
    </row>
    <row r="510" spans="1:7" x14ac:dyDescent="0.3">
      <c r="A510" t="s">
        <v>688</v>
      </c>
      <c r="B510" t="s">
        <v>989</v>
      </c>
      <c r="C510" t="str">
        <v>Hidróxido de aluminio/Hidróxido de magnesio</v>
      </c>
      <c r="D510">
        <f t="shared" si="7"/>
        <v>3</v>
      </c>
      <c r="F510" t="s">
        <v>509</v>
      </c>
      <c r="G510">
        <v>1</v>
      </c>
    </row>
    <row r="511" spans="1:7" x14ac:dyDescent="0.3">
      <c r="A511" t="s">
        <v>688</v>
      </c>
      <c r="B511" t="s">
        <v>989</v>
      </c>
      <c r="C511" t="str">
        <v>Hidróxido de aluminio/Hidróxido de magnesio/Simeticona</v>
      </c>
      <c r="D511">
        <f t="shared" si="7"/>
        <v>1</v>
      </c>
      <c r="F511" t="s">
        <v>518</v>
      </c>
      <c r="G511">
        <v>1</v>
      </c>
    </row>
    <row r="512" spans="1:7" x14ac:dyDescent="0.3">
      <c r="A512" t="s">
        <v>688</v>
      </c>
      <c r="B512" t="s">
        <v>989</v>
      </c>
      <c r="C512" t="str">
        <v>Hidróxido de magnesio</v>
      </c>
      <c r="D512">
        <f t="shared" si="7"/>
        <v>3</v>
      </c>
      <c r="F512" t="s">
        <v>1717</v>
      </c>
      <c r="G512">
        <v>1</v>
      </c>
    </row>
    <row r="513" spans="1:7" x14ac:dyDescent="0.3">
      <c r="A513" t="s">
        <v>688</v>
      </c>
      <c r="B513" t="s">
        <v>689</v>
      </c>
      <c r="C513" t="str">
        <v>Hidroxizina</v>
      </c>
      <c r="D513">
        <f t="shared" si="7"/>
        <v>5</v>
      </c>
      <c r="F513" t="s">
        <v>1681</v>
      </c>
      <c r="G513">
        <v>1</v>
      </c>
    </row>
    <row r="514" spans="1:7" x14ac:dyDescent="0.3">
      <c r="A514" t="s">
        <v>1223</v>
      </c>
      <c r="C514" t="str">
        <v>Hidroxocobalamina</v>
      </c>
      <c r="D514">
        <f t="shared" si="7"/>
        <v>1</v>
      </c>
      <c r="F514" t="s">
        <v>900</v>
      </c>
      <c r="G514">
        <v>1</v>
      </c>
    </row>
    <row r="515" spans="1:7" x14ac:dyDescent="0.3">
      <c r="A515" t="s">
        <v>1223</v>
      </c>
      <c r="C515" t="str">
        <v>Hierro</v>
      </c>
      <c r="D515">
        <f t="shared" ref="D515:D578" si="8">COUNTIF(A$1:A$2981,C515)</f>
        <v>1</v>
      </c>
      <c r="F515" t="s">
        <v>3006</v>
      </c>
      <c r="G515">
        <v>1</v>
      </c>
    </row>
    <row r="516" spans="1:7" x14ac:dyDescent="0.3">
      <c r="A516" t="s">
        <v>1223</v>
      </c>
      <c r="B516" t="s">
        <v>1798</v>
      </c>
      <c r="C516" t="str">
        <v>Hierro polimatosado</v>
      </c>
      <c r="D516">
        <f t="shared" si="8"/>
        <v>2</v>
      </c>
      <c r="F516" t="s">
        <v>3027</v>
      </c>
      <c r="G516">
        <v>1</v>
      </c>
    </row>
    <row r="517" spans="1:7" x14ac:dyDescent="0.3">
      <c r="A517" t="s">
        <v>1223</v>
      </c>
      <c r="B517" t="s">
        <v>1229</v>
      </c>
      <c r="C517" t="str">
        <v>Hierro/Ácido fólico</v>
      </c>
      <c r="D517">
        <f t="shared" si="8"/>
        <v>2</v>
      </c>
      <c r="F517" t="s">
        <v>3035</v>
      </c>
      <c r="G517">
        <v>1</v>
      </c>
    </row>
    <row r="518" spans="1:7" x14ac:dyDescent="0.3">
      <c r="A518" t="s">
        <v>1223</v>
      </c>
      <c r="B518" t="s">
        <v>1229</v>
      </c>
      <c r="C518" t="str">
        <v>Hioscina</v>
      </c>
      <c r="D518">
        <f t="shared" si="8"/>
        <v>19</v>
      </c>
      <c r="F518" t="s">
        <v>2235</v>
      </c>
      <c r="G518">
        <v>1</v>
      </c>
    </row>
    <row r="519" spans="1:7" x14ac:dyDescent="0.3">
      <c r="A519" t="s">
        <v>1223</v>
      </c>
      <c r="B519" t="s">
        <v>2377</v>
      </c>
      <c r="C519" t="str">
        <v>Hioscina/Ibuprofeno</v>
      </c>
      <c r="D519">
        <f t="shared" si="8"/>
        <v>1</v>
      </c>
      <c r="F519" t="s">
        <v>2793</v>
      </c>
      <c r="G519">
        <v>1</v>
      </c>
    </row>
    <row r="520" spans="1:7" x14ac:dyDescent="0.3">
      <c r="A520" t="s">
        <v>1223</v>
      </c>
      <c r="B520" t="s">
        <v>1224</v>
      </c>
      <c r="C520" t="str">
        <v>Hioscina/Metamizol sódico</v>
      </c>
      <c r="D520">
        <f t="shared" si="8"/>
        <v>1</v>
      </c>
      <c r="F520" t="s">
        <v>1845</v>
      </c>
      <c r="G520">
        <v>1</v>
      </c>
    </row>
    <row r="521" spans="1:7" x14ac:dyDescent="0.3">
      <c r="A521" t="s">
        <v>1223</v>
      </c>
      <c r="B521" t="s">
        <v>1794</v>
      </c>
      <c r="C521" t="str">
        <v>Hioscina/Paracetamol</v>
      </c>
      <c r="D521">
        <f t="shared" si="8"/>
        <v>4</v>
      </c>
      <c r="F521" t="s">
        <v>478</v>
      </c>
      <c r="G521">
        <v>1</v>
      </c>
    </row>
    <row r="522" spans="1:7" x14ac:dyDescent="0.3">
      <c r="A522" t="s">
        <v>1771</v>
      </c>
      <c r="B522" t="s">
        <v>1862</v>
      </c>
      <c r="C522" t="str">
        <v>Ibuprofeno</v>
      </c>
      <c r="D522">
        <f t="shared" si="8"/>
        <v>26</v>
      </c>
      <c r="F522" t="s">
        <v>1163</v>
      </c>
      <c r="G522">
        <v>1</v>
      </c>
    </row>
    <row r="523" spans="1:7" x14ac:dyDescent="0.3">
      <c r="A523" t="s">
        <v>1771</v>
      </c>
      <c r="B523" t="s">
        <v>1772</v>
      </c>
      <c r="C523" t="str">
        <v>Imipramina</v>
      </c>
      <c r="D523">
        <f t="shared" si="8"/>
        <v>4</v>
      </c>
      <c r="F523" t="s">
        <v>747</v>
      </c>
      <c r="G523">
        <v>1</v>
      </c>
    </row>
    <row r="524" spans="1:7" x14ac:dyDescent="0.3">
      <c r="A524" t="s">
        <v>2486</v>
      </c>
      <c r="C524" t="str">
        <v>Indometacina</v>
      </c>
      <c r="D524">
        <f t="shared" si="8"/>
        <v>29</v>
      </c>
      <c r="F524" t="s">
        <v>1072</v>
      </c>
      <c r="G524">
        <v>1</v>
      </c>
    </row>
    <row r="525" spans="1:7" x14ac:dyDescent="0.3">
      <c r="A525" t="s">
        <v>2486</v>
      </c>
      <c r="C525" t="str">
        <v>Indometacina/Dexametasona</v>
      </c>
      <c r="D525">
        <f t="shared" si="8"/>
        <v>2</v>
      </c>
      <c r="F525" t="s">
        <v>1171</v>
      </c>
      <c r="G525">
        <v>1</v>
      </c>
    </row>
    <row r="526" spans="1:7" x14ac:dyDescent="0.3">
      <c r="A526" t="s">
        <v>221</v>
      </c>
      <c r="B526" t="s">
        <v>222</v>
      </c>
      <c r="C526" t="str">
        <v>Indometacina/Metocarbamol</v>
      </c>
      <c r="D526">
        <f t="shared" si="8"/>
        <v>1</v>
      </c>
      <c r="F526" t="s">
        <v>972</v>
      </c>
      <c r="G526">
        <v>1</v>
      </c>
    </row>
    <row r="527" spans="1:7" x14ac:dyDescent="0.3">
      <c r="A527" t="s">
        <v>525</v>
      </c>
      <c r="B527" t="s">
        <v>1524</v>
      </c>
      <c r="C527" t="str">
        <v>Insulina humana</v>
      </c>
      <c r="D527">
        <f t="shared" si="8"/>
        <v>1</v>
      </c>
      <c r="F527" t="s">
        <v>534</v>
      </c>
      <c r="G527">
        <v>1</v>
      </c>
    </row>
    <row r="528" spans="1:7" x14ac:dyDescent="0.3">
      <c r="A528" t="s">
        <v>525</v>
      </c>
      <c r="B528" t="s">
        <v>526</v>
      </c>
      <c r="C528" t="str">
        <v>Iodopovidona</v>
      </c>
      <c r="D528">
        <f t="shared" si="8"/>
        <v>2</v>
      </c>
      <c r="F528" t="s">
        <v>487</v>
      </c>
      <c r="G528">
        <v>1</v>
      </c>
    </row>
    <row r="529" spans="1:7" x14ac:dyDescent="0.3">
      <c r="A529" t="s">
        <v>525</v>
      </c>
      <c r="B529" t="s">
        <v>531</v>
      </c>
      <c r="C529" t="str">
        <v>Irbersartán / Hidroclorotiazida</v>
      </c>
      <c r="D529">
        <f t="shared" si="8"/>
        <v>1</v>
      </c>
      <c r="F529" t="s">
        <v>1452</v>
      </c>
      <c r="G529">
        <v>1</v>
      </c>
    </row>
    <row r="530" spans="1:7" x14ac:dyDescent="0.3">
      <c r="A530" t="s">
        <v>26</v>
      </c>
      <c r="B530" t="s">
        <v>27</v>
      </c>
      <c r="C530" t="str">
        <v>Irbesartán</v>
      </c>
      <c r="D530">
        <f t="shared" si="8"/>
        <v>1</v>
      </c>
      <c r="F530" t="s">
        <v>2151</v>
      </c>
      <c r="G530">
        <v>1</v>
      </c>
    </row>
    <row r="531" spans="1:7" x14ac:dyDescent="0.3">
      <c r="A531" t="s">
        <v>886</v>
      </c>
      <c r="B531" t="s">
        <v>887</v>
      </c>
      <c r="C531" t="str">
        <v>Isoconazol</v>
      </c>
      <c r="D531">
        <f t="shared" si="8"/>
        <v>1</v>
      </c>
      <c r="F531" t="s">
        <v>1315</v>
      </c>
      <c r="G531">
        <v>1</v>
      </c>
    </row>
    <row r="532" spans="1:7" x14ac:dyDescent="0.3">
      <c r="A532" t="s">
        <v>886</v>
      </c>
      <c r="B532" t="s">
        <v>1783</v>
      </c>
      <c r="C532" t="str">
        <v>Itoprida</v>
      </c>
      <c r="D532">
        <f t="shared" si="8"/>
        <v>1</v>
      </c>
      <c r="F532" t="s">
        <v>281</v>
      </c>
      <c r="G532">
        <v>1</v>
      </c>
    </row>
    <row r="533" spans="1:7" x14ac:dyDescent="0.3">
      <c r="A533" t="s">
        <v>348</v>
      </c>
      <c r="C533" t="str">
        <v>Itraconazol</v>
      </c>
      <c r="D533">
        <f t="shared" si="8"/>
        <v>7</v>
      </c>
      <c r="F533" t="s">
        <v>1275</v>
      </c>
      <c r="G533">
        <v>1</v>
      </c>
    </row>
    <row r="534" spans="1:7" x14ac:dyDescent="0.3">
      <c r="A534" t="s">
        <v>348</v>
      </c>
      <c r="C534" t="str">
        <v>Itraconazol/Secnidazol</v>
      </c>
      <c r="D534">
        <f t="shared" si="8"/>
        <v>1</v>
      </c>
      <c r="F534" t="s">
        <v>3073</v>
      </c>
      <c r="G534">
        <v>1</v>
      </c>
    </row>
    <row r="535" spans="1:7" x14ac:dyDescent="0.3">
      <c r="A535" t="s">
        <v>348</v>
      </c>
      <c r="B535" t="s">
        <v>349</v>
      </c>
      <c r="C535" t="str">
        <v>Ivermectina</v>
      </c>
      <c r="D535">
        <f t="shared" si="8"/>
        <v>9</v>
      </c>
      <c r="F535" t="s">
        <v>1429</v>
      </c>
      <c r="G535">
        <v>1</v>
      </c>
    </row>
    <row r="536" spans="1:7" x14ac:dyDescent="0.3">
      <c r="A536" t="s">
        <v>348</v>
      </c>
      <c r="B536" t="s">
        <v>355</v>
      </c>
      <c r="C536" t="str">
        <v>Keterolaco</v>
      </c>
      <c r="D536">
        <f t="shared" si="8"/>
        <v>3</v>
      </c>
      <c r="F536" t="s">
        <v>908</v>
      </c>
      <c r="G536">
        <v>1</v>
      </c>
    </row>
    <row r="537" spans="1:7" x14ac:dyDescent="0.3">
      <c r="A537" t="s">
        <v>839</v>
      </c>
      <c r="B537" t="s">
        <v>1912</v>
      </c>
      <c r="C537" t="str">
        <v>Keterolaco Trometamina</v>
      </c>
      <c r="D537">
        <f t="shared" si="8"/>
        <v>1</v>
      </c>
      <c r="F537" t="s">
        <v>2885</v>
      </c>
      <c r="G537">
        <v>1</v>
      </c>
    </row>
    <row r="538" spans="1:7" x14ac:dyDescent="0.3">
      <c r="A538" t="s">
        <v>839</v>
      </c>
      <c r="B538" t="s">
        <v>1912</v>
      </c>
      <c r="C538" t="str">
        <v>Keterolaco/Tramadol</v>
      </c>
      <c r="D538">
        <f t="shared" si="8"/>
        <v>4</v>
      </c>
      <c r="F538" t="s">
        <v>1819</v>
      </c>
      <c r="G538">
        <v>1</v>
      </c>
    </row>
    <row r="539" spans="1:7" x14ac:dyDescent="0.3">
      <c r="A539" t="s">
        <v>839</v>
      </c>
      <c r="B539" t="s">
        <v>2335</v>
      </c>
      <c r="C539" t="str">
        <v>Ketoconazol</v>
      </c>
      <c r="D539">
        <f t="shared" si="8"/>
        <v>24</v>
      </c>
      <c r="F539" t="s">
        <v>2937</v>
      </c>
      <c r="G539">
        <v>1</v>
      </c>
    </row>
    <row r="540" spans="1:7" x14ac:dyDescent="0.3">
      <c r="A540" t="s">
        <v>839</v>
      </c>
      <c r="B540" t="s">
        <v>2058</v>
      </c>
      <c r="C540" t="str">
        <v>Ketoprofeno</v>
      </c>
      <c r="D540">
        <f t="shared" si="8"/>
        <v>2</v>
      </c>
      <c r="F540" t="s">
        <v>1089</v>
      </c>
      <c r="G540">
        <v>1</v>
      </c>
    </row>
    <row r="541" spans="1:7" x14ac:dyDescent="0.3">
      <c r="A541" t="s">
        <v>839</v>
      </c>
      <c r="B541" t="s">
        <v>840</v>
      </c>
      <c r="C541" t="str">
        <v>Ketorolaco</v>
      </c>
      <c r="D541">
        <f t="shared" si="8"/>
        <v>23</v>
      </c>
      <c r="F541" t="s">
        <v>2778</v>
      </c>
      <c r="G541">
        <v>1</v>
      </c>
    </row>
    <row r="542" spans="1:7" x14ac:dyDescent="0.3">
      <c r="A542" t="s">
        <v>839</v>
      </c>
      <c r="B542" t="s">
        <v>840</v>
      </c>
      <c r="C542" t="str">
        <v>Ketotifeno</v>
      </c>
      <c r="D542">
        <f t="shared" si="8"/>
        <v>1</v>
      </c>
      <c r="F542" t="s">
        <v>2219</v>
      </c>
      <c r="G542">
        <v>1</v>
      </c>
    </row>
    <row r="543" spans="1:7" x14ac:dyDescent="0.3">
      <c r="A543" t="s">
        <v>839</v>
      </c>
      <c r="B543" t="s">
        <v>840</v>
      </c>
      <c r="C543" t="str">
        <v>Lacosamida</v>
      </c>
      <c r="D543">
        <f t="shared" si="8"/>
        <v>1</v>
      </c>
      <c r="F543" t="s">
        <v>1874</v>
      </c>
      <c r="G543">
        <v>1</v>
      </c>
    </row>
    <row r="544" spans="1:7" x14ac:dyDescent="0.3">
      <c r="A544" t="s">
        <v>2193</v>
      </c>
      <c r="C544" t="str">
        <v>Lansoprazol/Claritromicina/Amoxicilina</v>
      </c>
      <c r="D544">
        <f t="shared" si="8"/>
        <v>1</v>
      </c>
      <c r="F544" t="s">
        <v>1852</v>
      </c>
      <c r="G544">
        <v>1</v>
      </c>
    </row>
    <row r="545" spans="1:7" x14ac:dyDescent="0.3">
      <c r="A545" t="s">
        <v>870</v>
      </c>
      <c r="C545" t="str">
        <v>Latanoprost</v>
      </c>
      <c r="D545">
        <f t="shared" si="8"/>
        <v>3</v>
      </c>
      <c r="F545" t="s">
        <v>319</v>
      </c>
      <c r="G545">
        <v>1</v>
      </c>
    </row>
    <row r="546" spans="1:7" x14ac:dyDescent="0.3">
      <c r="A546" t="s">
        <v>870</v>
      </c>
      <c r="C546" t="str">
        <v>Levetiracetam</v>
      </c>
      <c r="D546">
        <f t="shared" si="8"/>
        <v>3</v>
      </c>
      <c r="F546" t="s">
        <v>599</v>
      </c>
      <c r="G546">
        <v>1</v>
      </c>
    </row>
    <row r="547" spans="1:7" x14ac:dyDescent="0.3">
      <c r="A547" t="s">
        <v>870</v>
      </c>
      <c r="C547" t="str">
        <v>Levocetirizina</v>
      </c>
      <c r="D547">
        <f t="shared" si="8"/>
        <v>11</v>
      </c>
      <c r="F547" t="s">
        <v>1059</v>
      </c>
      <c r="G547">
        <v>1</v>
      </c>
    </row>
    <row r="548" spans="1:7" x14ac:dyDescent="0.3">
      <c r="A548" t="s">
        <v>870</v>
      </c>
      <c r="B548" t="s">
        <v>1378</v>
      </c>
      <c r="C548" t="str">
        <v>Levocitirizina</v>
      </c>
      <c r="D548">
        <f t="shared" si="8"/>
        <v>4</v>
      </c>
      <c r="F548" t="s">
        <v>60</v>
      </c>
      <c r="G548">
        <v>1</v>
      </c>
    </row>
    <row r="549" spans="1:7" x14ac:dyDescent="0.3">
      <c r="A549" t="s">
        <v>870</v>
      </c>
      <c r="B549" t="s">
        <v>1146</v>
      </c>
      <c r="C549" t="str">
        <v>Levodopa/Benserazida</v>
      </c>
      <c r="D549">
        <f t="shared" si="8"/>
        <v>5</v>
      </c>
      <c r="F549" t="s">
        <v>2835</v>
      </c>
      <c r="G549">
        <v>1</v>
      </c>
    </row>
    <row r="550" spans="1:7" x14ac:dyDescent="0.3">
      <c r="A550" t="s">
        <v>870</v>
      </c>
      <c r="B550" t="s">
        <v>871</v>
      </c>
      <c r="C550" t="str">
        <v>Levodropropizina</v>
      </c>
      <c r="D550">
        <f t="shared" si="8"/>
        <v>1</v>
      </c>
      <c r="F550" t="s">
        <v>2044</v>
      </c>
      <c r="G550">
        <v>1</v>
      </c>
    </row>
    <row r="551" spans="1:7" x14ac:dyDescent="0.3">
      <c r="A551" t="s">
        <v>2253</v>
      </c>
      <c r="B551" t="s">
        <v>2254</v>
      </c>
      <c r="C551" t="str">
        <v>Levofloxacino</v>
      </c>
      <c r="D551">
        <f t="shared" si="8"/>
        <v>13</v>
      </c>
      <c r="F551" t="s">
        <v>2136</v>
      </c>
      <c r="G551">
        <v>1</v>
      </c>
    </row>
    <row r="552" spans="1:7" x14ac:dyDescent="0.3">
      <c r="A552" t="s">
        <v>2253</v>
      </c>
      <c r="B552" t="s">
        <v>2254</v>
      </c>
      <c r="C552" t="str">
        <v>Levonorgestrel</v>
      </c>
      <c r="D552">
        <f t="shared" si="8"/>
        <v>1</v>
      </c>
      <c r="F552" t="s">
        <v>5297</v>
      </c>
      <c r="G552">
        <v>1</v>
      </c>
    </row>
    <row r="553" spans="1:7" x14ac:dyDescent="0.3">
      <c r="A553" t="s">
        <v>2253</v>
      </c>
      <c r="B553" t="s">
        <v>2254</v>
      </c>
      <c r="C553" t="str">
        <v>Levopantoprazol</v>
      </c>
      <c r="D553">
        <f t="shared" si="8"/>
        <v>1</v>
      </c>
      <c r="F553" t="s">
        <v>5386</v>
      </c>
      <c r="G553">
        <v>1</v>
      </c>
    </row>
    <row r="554" spans="1:7" x14ac:dyDescent="0.3">
      <c r="A554" t="s">
        <v>2253</v>
      </c>
      <c r="B554" t="s">
        <v>2254</v>
      </c>
      <c r="C554" t="str">
        <v>Levotiroxina sódica</v>
      </c>
      <c r="D554">
        <f t="shared" si="8"/>
        <v>8</v>
      </c>
      <c r="F554" t="s">
        <v>5227</v>
      </c>
      <c r="G554">
        <v>1</v>
      </c>
    </row>
    <row r="555" spans="1:7" x14ac:dyDescent="0.3">
      <c r="A555" t="s">
        <v>2253</v>
      </c>
      <c r="B555" t="s">
        <v>2254</v>
      </c>
      <c r="C555" t="str">
        <v>Lidocaína</v>
      </c>
      <c r="D555">
        <f t="shared" si="8"/>
        <v>1</v>
      </c>
      <c r="F555" t="s">
        <v>5361</v>
      </c>
      <c r="G555">
        <v>1</v>
      </c>
    </row>
    <row r="556" spans="1:7" x14ac:dyDescent="0.3">
      <c r="A556" t="s">
        <v>81</v>
      </c>
      <c r="C556" t="str">
        <v>Lidocaína/Hidrocortisona/Óxido de zinc/Subacetato de aluminio</v>
      </c>
      <c r="D556">
        <f t="shared" si="8"/>
        <v>1</v>
      </c>
      <c r="F556" t="s">
        <v>5350</v>
      </c>
      <c r="G556">
        <v>1</v>
      </c>
    </row>
    <row r="557" spans="1:7" x14ac:dyDescent="0.3">
      <c r="A557" t="s">
        <v>81</v>
      </c>
      <c r="C557" t="str">
        <v>Lidocaína/Hidrocortizona/Subacetato de aluminio</v>
      </c>
      <c r="D557">
        <f t="shared" si="8"/>
        <v>1</v>
      </c>
      <c r="F557" t="s">
        <v>4978</v>
      </c>
      <c r="G557">
        <v>1</v>
      </c>
    </row>
    <row r="558" spans="1:7" x14ac:dyDescent="0.3">
      <c r="A558" t="s">
        <v>81</v>
      </c>
      <c r="C558" t="str">
        <v>Lidocaína/Ofloxacino/Hidrocortisona</v>
      </c>
      <c r="D558">
        <f t="shared" si="8"/>
        <v>3</v>
      </c>
      <c r="F558" t="s">
        <v>5359</v>
      </c>
      <c r="G558">
        <v>1</v>
      </c>
    </row>
    <row r="559" spans="1:7" x14ac:dyDescent="0.3">
      <c r="A559" t="s">
        <v>81</v>
      </c>
      <c r="B559" t="s">
        <v>82</v>
      </c>
      <c r="C559" t="str">
        <v>Lidocaína/Prilocaína</v>
      </c>
      <c r="D559">
        <f t="shared" si="8"/>
        <v>2</v>
      </c>
      <c r="F559" t="s">
        <v>5063</v>
      </c>
      <c r="G559">
        <v>1</v>
      </c>
    </row>
    <row r="560" spans="1:7" x14ac:dyDescent="0.3">
      <c r="A560" t="s">
        <v>81</v>
      </c>
      <c r="B560" t="s">
        <v>2133</v>
      </c>
      <c r="C560" t="str">
        <v>Lidocaína/Teofilina/Guayafenesina</v>
      </c>
      <c r="D560">
        <f t="shared" si="8"/>
        <v>1</v>
      </c>
      <c r="F560" t="s">
        <v>5111</v>
      </c>
      <c r="G560">
        <v>1</v>
      </c>
    </row>
    <row r="561" spans="1:7" x14ac:dyDescent="0.3">
      <c r="A561" t="s">
        <v>81</v>
      </c>
      <c r="B561" t="s">
        <v>2133</v>
      </c>
      <c r="C561" t="str">
        <v>Linagliptina</v>
      </c>
      <c r="D561">
        <f t="shared" si="8"/>
        <v>3</v>
      </c>
      <c r="F561" t="s">
        <v>5166</v>
      </c>
      <c r="G561">
        <v>1</v>
      </c>
    </row>
    <row r="562" spans="1:7" x14ac:dyDescent="0.3">
      <c r="A562" t="s">
        <v>81</v>
      </c>
      <c r="B562" t="s">
        <v>1283</v>
      </c>
      <c r="C562" t="str">
        <v>Lincomicina</v>
      </c>
      <c r="D562">
        <f t="shared" si="8"/>
        <v>2</v>
      </c>
      <c r="F562" t="s">
        <v>5230</v>
      </c>
      <c r="G562">
        <v>1</v>
      </c>
    </row>
    <row r="563" spans="1:7" x14ac:dyDescent="0.3">
      <c r="A563" t="s">
        <v>81</v>
      </c>
      <c r="B563" t="s">
        <v>1283</v>
      </c>
      <c r="C563" t="str">
        <v>Loperamida</v>
      </c>
      <c r="D563">
        <f t="shared" si="8"/>
        <v>8</v>
      </c>
      <c r="F563" t="s">
        <v>5239</v>
      </c>
      <c r="G563">
        <v>1</v>
      </c>
    </row>
    <row r="564" spans="1:7" x14ac:dyDescent="0.3">
      <c r="A564" t="s">
        <v>81</v>
      </c>
      <c r="B564" t="s">
        <v>1283</v>
      </c>
      <c r="C564" t="str">
        <v>Loratadina</v>
      </c>
      <c r="D564">
        <f t="shared" si="8"/>
        <v>26</v>
      </c>
      <c r="F564" t="s">
        <v>5210</v>
      </c>
      <c r="G564">
        <v>1</v>
      </c>
    </row>
    <row r="565" spans="1:7" x14ac:dyDescent="0.3">
      <c r="A565" t="s">
        <v>81</v>
      </c>
      <c r="B565" t="s">
        <v>1283</v>
      </c>
      <c r="C565" t="str">
        <v>Loratadina/Ambroxol</v>
      </c>
      <c r="D565">
        <f t="shared" si="8"/>
        <v>3</v>
      </c>
      <c r="F565" t="s">
        <v>5326</v>
      </c>
      <c r="G565">
        <v>1</v>
      </c>
    </row>
    <row r="566" spans="1:7" x14ac:dyDescent="0.3">
      <c r="A566" t="s">
        <v>81</v>
      </c>
      <c r="B566" t="s">
        <v>1283</v>
      </c>
      <c r="C566" t="str">
        <v>Loratadina/Betametasona</v>
      </c>
      <c r="D566">
        <f t="shared" si="8"/>
        <v>11</v>
      </c>
      <c r="F566" t="s">
        <v>5150</v>
      </c>
      <c r="G566">
        <v>1</v>
      </c>
    </row>
    <row r="567" spans="1:7" x14ac:dyDescent="0.3">
      <c r="A567" t="s">
        <v>81</v>
      </c>
      <c r="B567" t="s">
        <v>1283</v>
      </c>
      <c r="C567" t="str">
        <v>Loratadina/Fenielfrina</v>
      </c>
      <c r="D567">
        <f t="shared" si="8"/>
        <v>1</v>
      </c>
      <c r="F567" t="s">
        <v>5096</v>
      </c>
      <c r="G567">
        <v>1</v>
      </c>
    </row>
    <row r="568" spans="1:7" x14ac:dyDescent="0.3">
      <c r="A568" t="s">
        <v>81</v>
      </c>
      <c r="B568" t="s">
        <v>1283</v>
      </c>
      <c r="C568" t="str">
        <v>Loratadina/Fenilefrina</v>
      </c>
      <c r="D568">
        <f t="shared" si="8"/>
        <v>2</v>
      </c>
      <c r="F568" t="s">
        <v>5254</v>
      </c>
      <c r="G568">
        <v>1</v>
      </c>
    </row>
    <row r="569" spans="1:7" x14ac:dyDescent="0.3">
      <c r="A569" t="s">
        <v>81</v>
      </c>
      <c r="B569" t="s">
        <v>1281</v>
      </c>
      <c r="C569" t="str">
        <v>Loratadina/Fenilefrina/Paracetamol</v>
      </c>
      <c r="D569">
        <f t="shared" si="8"/>
        <v>1</v>
      </c>
      <c r="F569" t="s">
        <v>5112</v>
      </c>
      <c r="G569">
        <v>1</v>
      </c>
    </row>
    <row r="570" spans="1:7" x14ac:dyDescent="0.3">
      <c r="A570" t="s">
        <v>81</v>
      </c>
      <c r="B570" t="s">
        <v>1283</v>
      </c>
      <c r="C570" t="str">
        <v>Loratadina/Paracetamol/Ácido ascórbico</v>
      </c>
      <c r="D570">
        <f t="shared" si="8"/>
        <v>1</v>
      </c>
      <c r="F570" t="s">
        <v>5284</v>
      </c>
      <c r="G570">
        <v>1</v>
      </c>
    </row>
    <row r="571" spans="1:7" x14ac:dyDescent="0.3">
      <c r="A571" t="s">
        <v>81</v>
      </c>
      <c r="B571" t="s">
        <v>88</v>
      </c>
      <c r="C571" t="str">
        <v>Losartán</v>
      </c>
      <c r="D571">
        <f t="shared" si="8"/>
        <v>14</v>
      </c>
      <c r="F571" t="s">
        <v>4972</v>
      </c>
      <c r="G571">
        <v>1</v>
      </c>
    </row>
    <row r="572" spans="1:7" x14ac:dyDescent="0.3">
      <c r="A572" t="s">
        <v>1628</v>
      </c>
      <c r="C572" t="str">
        <v>Losartán/Hidroclorotiazida</v>
      </c>
      <c r="D572">
        <f t="shared" si="8"/>
        <v>1</v>
      </c>
      <c r="F572" t="s">
        <v>5231</v>
      </c>
      <c r="G572">
        <v>1</v>
      </c>
    </row>
    <row r="573" spans="1:7" x14ac:dyDescent="0.3">
      <c r="A573" t="s">
        <v>1628</v>
      </c>
      <c r="C573" t="str">
        <v>Loxoprofeno</v>
      </c>
      <c r="D573">
        <f t="shared" si="8"/>
        <v>1</v>
      </c>
      <c r="F573" t="s">
        <v>5309</v>
      </c>
      <c r="G573">
        <v>1</v>
      </c>
    </row>
    <row r="574" spans="1:7" x14ac:dyDescent="0.3">
      <c r="A574" t="s">
        <v>1628</v>
      </c>
      <c r="B574" t="s">
        <v>1915</v>
      </c>
      <c r="C574" t="str">
        <v>Magaldrato/Dimeticona</v>
      </c>
      <c r="D574">
        <f t="shared" si="8"/>
        <v>5</v>
      </c>
      <c r="F574" t="s">
        <v>5149</v>
      </c>
      <c r="G574">
        <v>1</v>
      </c>
    </row>
    <row r="575" spans="1:7" x14ac:dyDescent="0.3">
      <c r="A575" t="s">
        <v>1628</v>
      </c>
      <c r="B575" t="s">
        <v>1629</v>
      </c>
      <c r="C575" t="str">
        <v>Magaldrato/Simeticona</v>
      </c>
      <c r="D575">
        <f t="shared" si="8"/>
        <v>1</v>
      </c>
      <c r="F575" t="s">
        <v>5051</v>
      </c>
      <c r="G575">
        <v>1</v>
      </c>
    </row>
    <row r="576" spans="1:7" x14ac:dyDescent="0.3">
      <c r="A576" t="s">
        <v>1628</v>
      </c>
      <c r="B576" t="s">
        <v>1747</v>
      </c>
      <c r="C576" t="str">
        <v>Mebendazol/Quinfamida</v>
      </c>
      <c r="D576">
        <f t="shared" si="8"/>
        <v>2</v>
      </c>
      <c r="F576" t="s">
        <v>5336</v>
      </c>
      <c r="G576">
        <v>1</v>
      </c>
    </row>
    <row r="577" spans="1:7" x14ac:dyDescent="0.3">
      <c r="A577" t="s">
        <v>1628</v>
      </c>
      <c r="B577" t="s">
        <v>1744</v>
      </c>
      <c r="C577" t="str">
        <v>Meclizina/Piridoxina</v>
      </c>
      <c r="D577">
        <f t="shared" si="8"/>
        <v>8</v>
      </c>
      <c r="F577" t="s">
        <v>5341</v>
      </c>
      <c r="G577">
        <v>1</v>
      </c>
    </row>
    <row r="578" spans="1:7" x14ac:dyDescent="0.3">
      <c r="A578" t="s">
        <v>2652</v>
      </c>
      <c r="C578" t="str">
        <v>Meclizina/Piridoxina/Lidocaína</v>
      </c>
      <c r="D578">
        <f t="shared" si="8"/>
        <v>1</v>
      </c>
      <c r="F578" t="s">
        <v>5086</v>
      </c>
      <c r="G578">
        <v>1</v>
      </c>
    </row>
    <row r="579" spans="1:7" x14ac:dyDescent="0.3">
      <c r="A579" t="s">
        <v>2610</v>
      </c>
      <c r="B579" t="s">
        <v>2611</v>
      </c>
      <c r="C579" t="str">
        <v>Medroxiprogesterona</v>
      </c>
      <c r="D579">
        <f t="shared" ref="D579:D642" si="9">COUNTIF(A$1:A$2981,C579)</f>
        <v>3</v>
      </c>
      <c r="F579" t="s">
        <v>5135</v>
      </c>
      <c r="G579">
        <v>1</v>
      </c>
    </row>
    <row r="580" spans="1:7" x14ac:dyDescent="0.3">
      <c r="A580" t="s">
        <v>1259</v>
      </c>
      <c r="C580" t="str">
        <v>Melatonina</v>
      </c>
      <c r="D580">
        <f t="shared" si="9"/>
        <v>1</v>
      </c>
      <c r="F580" t="s">
        <v>5253</v>
      </c>
      <c r="G580">
        <v>1</v>
      </c>
    </row>
    <row r="581" spans="1:7" x14ac:dyDescent="0.3">
      <c r="A581" t="s">
        <v>1259</v>
      </c>
      <c r="C581" t="str">
        <v>Meloxicam/Metocarbamol</v>
      </c>
      <c r="D581">
        <f t="shared" si="9"/>
        <v>1</v>
      </c>
      <c r="F581" t="s">
        <v>5252</v>
      </c>
      <c r="G581">
        <v>1</v>
      </c>
    </row>
    <row r="582" spans="1:7" x14ac:dyDescent="0.3">
      <c r="A582" t="s">
        <v>1259</v>
      </c>
      <c r="C582" t="str">
        <v>Memantina</v>
      </c>
      <c r="D582">
        <f t="shared" si="9"/>
        <v>1</v>
      </c>
      <c r="F582" t="s">
        <v>5153</v>
      </c>
      <c r="G582">
        <v>1</v>
      </c>
    </row>
    <row r="583" spans="1:7" x14ac:dyDescent="0.3">
      <c r="A583" t="s">
        <v>1259</v>
      </c>
      <c r="C583" t="str">
        <v>Mesalazina</v>
      </c>
      <c r="D583">
        <f t="shared" si="9"/>
        <v>5</v>
      </c>
      <c r="F583" t="s">
        <v>5384</v>
      </c>
      <c r="G583">
        <v>1</v>
      </c>
    </row>
    <row r="584" spans="1:7" x14ac:dyDescent="0.3">
      <c r="A584" t="s">
        <v>1259</v>
      </c>
      <c r="B584" t="s">
        <v>1260</v>
      </c>
      <c r="C584" t="str">
        <v>Metamizol / Hioscina</v>
      </c>
      <c r="D584">
        <f t="shared" si="9"/>
        <v>1</v>
      </c>
      <c r="F584" t="s">
        <v>5140</v>
      </c>
      <c r="G584">
        <v>1</v>
      </c>
    </row>
    <row r="585" spans="1:7" x14ac:dyDescent="0.3">
      <c r="A585" t="s">
        <v>1259</v>
      </c>
      <c r="B585" t="s">
        <v>2097</v>
      </c>
      <c r="C585" t="str">
        <v>Metamizol Sódico</v>
      </c>
      <c r="D585">
        <f t="shared" si="9"/>
        <v>34</v>
      </c>
      <c r="F585" t="s">
        <v>5377</v>
      </c>
      <c r="G585">
        <v>1</v>
      </c>
    </row>
    <row r="586" spans="1:7" x14ac:dyDescent="0.3">
      <c r="A586" t="s">
        <v>175</v>
      </c>
      <c r="B586" t="s">
        <v>761</v>
      </c>
      <c r="C586" t="str">
        <v>Metformina</v>
      </c>
      <c r="D586">
        <f t="shared" si="9"/>
        <v>20</v>
      </c>
      <c r="F586" t="s">
        <v>5371</v>
      </c>
      <c r="G586">
        <v>1</v>
      </c>
    </row>
    <row r="587" spans="1:7" x14ac:dyDescent="0.3">
      <c r="A587" t="s">
        <v>175</v>
      </c>
      <c r="B587" t="s">
        <v>1020</v>
      </c>
      <c r="C587" t="str">
        <v>Metformina/Glibenclamida</v>
      </c>
      <c r="D587">
        <f t="shared" si="9"/>
        <v>7</v>
      </c>
      <c r="F587" t="s">
        <v>5353</v>
      </c>
      <c r="G587">
        <v>1</v>
      </c>
    </row>
    <row r="588" spans="1:7" x14ac:dyDescent="0.3">
      <c r="A588" t="s">
        <v>175</v>
      </c>
      <c r="B588" t="s">
        <v>176</v>
      </c>
      <c r="C588" t="str">
        <v>Metilprednisolona</v>
      </c>
      <c r="D588">
        <f t="shared" si="9"/>
        <v>1</v>
      </c>
      <c r="F588" t="s">
        <v>5285</v>
      </c>
      <c r="G588">
        <v>1</v>
      </c>
    </row>
    <row r="589" spans="1:7" x14ac:dyDescent="0.3">
      <c r="A589" t="s">
        <v>175</v>
      </c>
      <c r="B589" t="s">
        <v>764</v>
      </c>
      <c r="C589" t="str">
        <v>Metocarbamol / Ibuprofeno</v>
      </c>
      <c r="D589">
        <f t="shared" si="9"/>
        <v>1</v>
      </c>
      <c r="F589" t="s">
        <v>5368</v>
      </c>
      <c r="G589">
        <v>1</v>
      </c>
    </row>
    <row r="590" spans="1:7" x14ac:dyDescent="0.3">
      <c r="A590" t="s">
        <v>1987</v>
      </c>
      <c r="C590" t="str">
        <v>Metoclopramida</v>
      </c>
      <c r="D590">
        <f t="shared" si="9"/>
        <v>25</v>
      </c>
      <c r="F590" t="s">
        <v>5286</v>
      </c>
      <c r="G590">
        <v>1</v>
      </c>
    </row>
    <row r="591" spans="1:7" x14ac:dyDescent="0.3">
      <c r="A591" t="s">
        <v>1987</v>
      </c>
      <c r="C591" t="str">
        <v>Metoclopramida/Aluminio/Magnesio</v>
      </c>
      <c r="D591">
        <f t="shared" si="9"/>
        <v>1</v>
      </c>
      <c r="F591" t="s">
        <v>5299</v>
      </c>
      <c r="G591">
        <v>1</v>
      </c>
    </row>
    <row r="592" spans="1:7" x14ac:dyDescent="0.3">
      <c r="A592" t="s">
        <v>1987</v>
      </c>
      <c r="C592" t="str">
        <v>Metoclopramida/Aluminio/Magnesio/Simeticona</v>
      </c>
      <c r="D592">
        <f t="shared" si="9"/>
        <v>2</v>
      </c>
      <c r="F592" t="s">
        <v>5352</v>
      </c>
      <c r="G592">
        <v>1</v>
      </c>
    </row>
    <row r="593" spans="1:7" x14ac:dyDescent="0.3">
      <c r="A593" t="s">
        <v>1987</v>
      </c>
      <c r="C593" t="str">
        <v>Metoprolol</v>
      </c>
      <c r="D593">
        <f t="shared" si="9"/>
        <v>14</v>
      </c>
      <c r="F593" t="s">
        <v>5369</v>
      </c>
      <c r="G593">
        <v>1</v>
      </c>
    </row>
    <row r="594" spans="1:7" x14ac:dyDescent="0.3">
      <c r="A594" t="s">
        <v>1987</v>
      </c>
      <c r="C594" t="str">
        <v>Metronidazol</v>
      </c>
      <c r="D594">
        <f t="shared" si="9"/>
        <v>14</v>
      </c>
      <c r="F594" t="s">
        <v>5193</v>
      </c>
      <c r="G594">
        <v>1</v>
      </c>
    </row>
    <row r="595" spans="1:7" x14ac:dyDescent="0.3">
      <c r="A595" t="s">
        <v>1987</v>
      </c>
      <c r="C595" t="str">
        <v>Metronidazol/Diyodohidroxiquinoleína</v>
      </c>
      <c r="D595">
        <f t="shared" si="9"/>
        <v>3</v>
      </c>
      <c r="F595" t="s">
        <v>5338</v>
      </c>
      <c r="G595">
        <v>1</v>
      </c>
    </row>
    <row r="596" spans="1:7" x14ac:dyDescent="0.3">
      <c r="A596" t="s">
        <v>1987</v>
      </c>
      <c r="C596" t="str">
        <v>Metronidazol/Nistatina</v>
      </c>
      <c r="D596">
        <f t="shared" si="9"/>
        <v>1</v>
      </c>
      <c r="F596" t="s">
        <v>5109</v>
      </c>
      <c r="G596">
        <v>1</v>
      </c>
    </row>
    <row r="597" spans="1:7" x14ac:dyDescent="0.3">
      <c r="A597" t="s">
        <v>1987</v>
      </c>
      <c r="C597" t="str">
        <v>Miconazol</v>
      </c>
      <c r="D597">
        <f t="shared" si="9"/>
        <v>5</v>
      </c>
      <c r="F597" t="s">
        <v>5219</v>
      </c>
      <c r="G597">
        <v>1</v>
      </c>
    </row>
    <row r="598" spans="1:7" x14ac:dyDescent="0.3">
      <c r="A598" t="s">
        <v>1987</v>
      </c>
      <c r="C598" t="str">
        <v>Mometasona</v>
      </c>
      <c r="D598">
        <f t="shared" si="9"/>
        <v>2</v>
      </c>
      <c r="F598" t="s">
        <v>5269</v>
      </c>
      <c r="G598">
        <v>1</v>
      </c>
    </row>
    <row r="599" spans="1:7" x14ac:dyDescent="0.3">
      <c r="A599" t="s">
        <v>1987</v>
      </c>
      <c r="C599" t="str">
        <v>Montelukast/Levocetirizina</v>
      </c>
      <c r="D599">
        <f t="shared" si="9"/>
        <v>1</v>
      </c>
      <c r="F599" t="s">
        <v>5161</v>
      </c>
      <c r="G599">
        <v>1</v>
      </c>
    </row>
    <row r="600" spans="1:7" x14ac:dyDescent="0.3">
      <c r="A600" t="s">
        <v>1987</v>
      </c>
      <c r="C600" t="str">
        <v>Montelukast/Loratadina</v>
      </c>
      <c r="D600">
        <f t="shared" si="9"/>
        <v>3</v>
      </c>
      <c r="F600" t="s">
        <v>5191</v>
      </c>
      <c r="G600">
        <v>1</v>
      </c>
    </row>
    <row r="601" spans="1:7" x14ac:dyDescent="0.3">
      <c r="A601" t="s">
        <v>1987</v>
      </c>
      <c r="C601" t="str">
        <v>Mupirocina</v>
      </c>
      <c r="D601">
        <f t="shared" si="9"/>
        <v>3</v>
      </c>
      <c r="F601" t="s">
        <v>4975</v>
      </c>
      <c r="G601">
        <v>1</v>
      </c>
    </row>
    <row r="602" spans="1:7" x14ac:dyDescent="0.3">
      <c r="A602" t="s">
        <v>1987</v>
      </c>
      <c r="C602" t="str">
        <v>Nafazolina/Feniramina</v>
      </c>
      <c r="D602">
        <f t="shared" si="9"/>
        <v>2</v>
      </c>
      <c r="F602" t="s">
        <v>5131</v>
      </c>
      <c r="G602">
        <v>1</v>
      </c>
    </row>
    <row r="603" spans="1:7" x14ac:dyDescent="0.3">
      <c r="A603" t="s">
        <v>1987</v>
      </c>
      <c r="C603" t="str">
        <v>Nafazolina/Hipromelosa</v>
      </c>
      <c r="D603">
        <f t="shared" si="9"/>
        <v>1</v>
      </c>
      <c r="F603" t="s">
        <v>5272</v>
      </c>
      <c r="G603">
        <v>1</v>
      </c>
    </row>
    <row r="604" spans="1:7" x14ac:dyDescent="0.3">
      <c r="A604" t="s">
        <v>1987</v>
      </c>
      <c r="C604" t="str">
        <v>Naproxeno</v>
      </c>
      <c r="D604">
        <f t="shared" si="9"/>
        <v>13</v>
      </c>
      <c r="F604" t="s">
        <v>5030</v>
      </c>
      <c r="G604">
        <v>1</v>
      </c>
    </row>
    <row r="605" spans="1:7" x14ac:dyDescent="0.3">
      <c r="A605" t="s">
        <v>1544</v>
      </c>
      <c r="B605" t="s">
        <v>1955</v>
      </c>
      <c r="C605" t="str">
        <v>Naproxeno sódico</v>
      </c>
      <c r="D605">
        <f t="shared" si="9"/>
        <v>3</v>
      </c>
      <c r="F605" t="s">
        <v>2063</v>
      </c>
      <c r="G605">
        <v>1</v>
      </c>
    </row>
    <row r="606" spans="1:7" x14ac:dyDescent="0.3">
      <c r="A606" t="s">
        <v>1544</v>
      </c>
      <c r="B606" t="s">
        <v>1545</v>
      </c>
      <c r="C606" t="str">
        <v>Naproxeno/Lidocaína</v>
      </c>
      <c r="D606">
        <f t="shared" si="9"/>
        <v>2</v>
      </c>
      <c r="F606" t="s">
        <v>5373</v>
      </c>
      <c r="G606">
        <v>1</v>
      </c>
    </row>
    <row r="607" spans="1:7" x14ac:dyDescent="0.3">
      <c r="A607" t="s">
        <v>1436</v>
      </c>
      <c r="B607" t="s">
        <v>1437</v>
      </c>
      <c r="C607" t="str">
        <v>Naproxeno/Paracetamol</v>
      </c>
      <c r="D607">
        <f t="shared" si="9"/>
        <v>13</v>
      </c>
      <c r="F607" t="s">
        <v>4994</v>
      </c>
      <c r="G607">
        <v>1</v>
      </c>
    </row>
    <row r="608" spans="1:7" x14ac:dyDescent="0.3">
      <c r="A608" t="s">
        <v>3056</v>
      </c>
      <c r="C608" t="str">
        <v>Nebivolol</v>
      </c>
      <c r="D608">
        <f t="shared" si="9"/>
        <v>1</v>
      </c>
      <c r="F608" t="s">
        <v>5237</v>
      </c>
      <c r="G608">
        <v>1</v>
      </c>
    </row>
    <row r="609" spans="1:7" x14ac:dyDescent="0.3">
      <c r="A609" t="s">
        <v>825</v>
      </c>
      <c r="B609" t="s">
        <v>826</v>
      </c>
      <c r="C609" t="str">
        <v>Neomicina/Caolín/Pectina</v>
      </c>
      <c r="D609">
        <f t="shared" si="9"/>
        <v>29</v>
      </c>
      <c r="F609" t="s">
        <v>5147</v>
      </c>
      <c r="G609">
        <v>1</v>
      </c>
    </row>
    <row r="610" spans="1:7" x14ac:dyDescent="0.3">
      <c r="A610" t="s">
        <v>1416</v>
      </c>
      <c r="C610" t="str">
        <v>Neomicina/Polimixina B/Acetónido de fluocinolona/Lidocaína</v>
      </c>
      <c r="D610">
        <f t="shared" si="9"/>
        <v>1</v>
      </c>
      <c r="F610" t="s">
        <v>5362</v>
      </c>
      <c r="G610">
        <v>1</v>
      </c>
    </row>
    <row r="611" spans="1:7" x14ac:dyDescent="0.3">
      <c r="A611" t="s">
        <v>1416</v>
      </c>
      <c r="B611" t="s">
        <v>1417</v>
      </c>
      <c r="C611" t="str">
        <v>Neomicina/Polimixina B/Bacitracina</v>
      </c>
      <c r="D611">
        <f t="shared" si="9"/>
        <v>1</v>
      </c>
      <c r="F611" t="s">
        <v>5383</v>
      </c>
      <c r="G611">
        <v>1</v>
      </c>
    </row>
    <row r="612" spans="1:7" x14ac:dyDescent="0.3">
      <c r="A612" t="s">
        <v>419</v>
      </c>
      <c r="B612" t="s">
        <v>1677</v>
      </c>
      <c r="C612" t="str">
        <v>Neomicina/Polimixina B/Gramicidina</v>
      </c>
      <c r="D612">
        <f t="shared" si="9"/>
        <v>1</v>
      </c>
      <c r="F612" t="s">
        <v>5083</v>
      </c>
      <c r="G612">
        <v>1</v>
      </c>
    </row>
    <row r="613" spans="1:7" x14ac:dyDescent="0.3">
      <c r="A613" t="s">
        <v>419</v>
      </c>
      <c r="B613" t="s">
        <v>1422</v>
      </c>
      <c r="C613" t="str">
        <v>Nifedipino</v>
      </c>
      <c r="D613">
        <f t="shared" si="9"/>
        <v>7</v>
      </c>
      <c r="F613" t="s">
        <v>5363</v>
      </c>
      <c r="G613">
        <v>1</v>
      </c>
    </row>
    <row r="614" spans="1:7" x14ac:dyDescent="0.3">
      <c r="A614" t="s">
        <v>419</v>
      </c>
      <c r="B614" t="s">
        <v>608</v>
      </c>
      <c r="C614" t="str">
        <v>Nifuroxazida</v>
      </c>
      <c r="D614">
        <f t="shared" si="9"/>
        <v>5</v>
      </c>
      <c r="F614" t="s">
        <v>5365</v>
      </c>
      <c r="G614">
        <v>1</v>
      </c>
    </row>
    <row r="615" spans="1:7" x14ac:dyDescent="0.3">
      <c r="A615" t="s">
        <v>419</v>
      </c>
      <c r="B615" t="s">
        <v>801</v>
      </c>
      <c r="C615" t="str">
        <v>Nifuroxazida/Metronidazol</v>
      </c>
      <c r="D615">
        <f t="shared" si="9"/>
        <v>1</v>
      </c>
      <c r="F615" t="s">
        <v>5059</v>
      </c>
      <c r="G615">
        <v>1</v>
      </c>
    </row>
    <row r="616" spans="1:7" x14ac:dyDescent="0.3">
      <c r="A616" t="s">
        <v>419</v>
      </c>
      <c r="B616" t="s">
        <v>1427</v>
      </c>
      <c r="C616" t="str">
        <v>Nimesulida</v>
      </c>
      <c r="D616">
        <f t="shared" si="9"/>
        <v>6</v>
      </c>
      <c r="F616" t="s">
        <v>5139</v>
      </c>
      <c r="G616">
        <v>1</v>
      </c>
    </row>
    <row r="617" spans="1:7" x14ac:dyDescent="0.3">
      <c r="A617" t="s">
        <v>419</v>
      </c>
      <c r="B617" t="s">
        <v>420</v>
      </c>
      <c r="C617" t="str">
        <v>Nistatina</v>
      </c>
      <c r="D617">
        <f t="shared" si="9"/>
        <v>1</v>
      </c>
      <c r="F617" t="s">
        <v>5349</v>
      </c>
      <c r="G617">
        <v>1</v>
      </c>
    </row>
    <row r="618" spans="1:7" x14ac:dyDescent="0.3">
      <c r="A618" t="s">
        <v>1193</v>
      </c>
      <c r="B618" t="s">
        <v>1194</v>
      </c>
      <c r="C618" t="str">
        <v>Nitazoxadina</v>
      </c>
      <c r="D618">
        <f t="shared" si="9"/>
        <v>1</v>
      </c>
      <c r="F618" t="s">
        <v>5248</v>
      </c>
      <c r="G618">
        <v>1</v>
      </c>
    </row>
    <row r="619" spans="1:7" x14ac:dyDescent="0.3">
      <c r="A619" t="s">
        <v>1193</v>
      </c>
      <c r="B619" t="s">
        <v>2372</v>
      </c>
      <c r="C619" t="str">
        <v>Nitazoxanida</v>
      </c>
      <c r="D619">
        <f t="shared" si="9"/>
        <v>25</v>
      </c>
      <c r="F619" t="s">
        <v>5062</v>
      </c>
      <c r="G619">
        <v>1</v>
      </c>
    </row>
    <row r="620" spans="1:7" x14ac:dyDescent="0.3">
      <c r="A620" t="s">
        <v>711</v>
      </c>
      <c r="B620" t="s">
        <v>712</v>
      </c>
      <c r="C620" t="str">
        <v>Nitrofural</v>
      </c>
      <c r="D620">
        <f t="shared" si="9"/>
        <v>1</v>
      </c>
      <c r="F620" t="s">
        <v>5167</v>
      </c>
      <c r="G620">
        <v>1</v>
      </c>
    </row>
    <row r="621" spans="1:7" x14ac:dyDescent="0.3">
      <c r="A621" t="s">
        <v>995</v>
      </c>
      <c r="C621" t="str">
        <v>Nitrofurantoína</v>
      </c>
      <c r="D621">
        <f t="shared" si="9"/>
        <v>11</v>
      </c>
      <c r="F621" t="s">
        <v>5279</v>
      </c>
      <c r="G621">
        <v>1</v>
      </c>
    </row>
    <row r="622" spans="1:7" x14ac:dyDescent="0.3">
      <c r="A622" t="s">
        <v>995</v>
      </c>
      <c r="B622" t="s">
        <v>996</v>
      </c>
      <c r="C622" t="str">
        <v>Norelgestromina/Etinilestradiol</v>
      </c>
      <c r="D622">
        <f t="shared" si="9"/>
        <v>2</v>
      </c>
      <c r="F622" t="s">
        <v>5110</v>
      </c>
      <c r="G622">
        <v>1</v>
      </c>
    </row>
    <row r="623" spans="1:7" x14ac:dyDescent="0.3">
      <c r="A623" t="s">
        <v>509</v>
      </c>
      <c r="B623" t="s">
        <v>510</v>
      </c>
      <c r="C623" t="str">
        <v>Norfenefrina</v>
      </c>
      <c r="D623">
        <f t="shared" si="9"/>
        <v>2</v>
      </c>
      <c r="F623" t="s">
        <v>5005</v>
      </c>
      <c r="G623">
        <v>1</v>
      </c>
    </row>
    <row r="624" spans="1:7" x14ac:dyDescent="0.3">
      <c r="A624" t="s">
        <v>518</v>
      </c>
      <c r="B624" t="s">
        <v>519</v>
      </c>
      <c r="C624" t="str">
        <v>Olanzapina</v>
      </c>
      <c r="D624">
        <f t="shared" si="9"/>
        <v>3</v>
      </c>
      <c r="F624" t="s">
        <v>5308</v>
      </c>
      <c r="G624">
        <v>1</v>
      </c>
    </row>
    <row r="625" spans="1:7" x14ac:dyDescent="0.3">
      <c r="A625" t="s">
        <v>795</v>
      </c>
      <c r="B625" t="s">
        <v>796</v>
      </c>
      <c r="C625" t="str">
        <v>Olmesartán Medoxomilo</v>
      </c>
      <c r="D625">
        <f t="shared" si="9"/>
        <v>8</v>
      </c>
      <c r="F625" t="s">
        <v>5268</v>
      </c>
      <c r="G625">
        <v>1</v>
      </c>
    </row>
    <row r="626" spans="1:7" x14ac:dyDescent="0.3">
      <c r="A626" t="s">
        <v>795</v>
      </c>
      <c r="B626" t="s">
        <v>1958</v>
      </c>
      <c r="C626" t="str">
        <v>Olmesartán Metoxomilo/Hidroclorotiazida</v>
      </c>
      <c r="D626">
        <f t="shared" si="9"/>
        <v>4</v>
      </c>
      <c r="F626" t="s">
        <v>5244</v>
      </c>
      <c r="G626">
        <v>1</v>
      </c>
    </row>
    <row r="627" spans="1:7" x14ac:dyDescent="0.3">
      <c r="A627" t="s">
        <v>1717</v>
      </c>
      <c r="B627" t="s">
        <v>1718</v>
      </c>
      <c r="C627" t="str">
        <v>Omeprazol</v>
      </c>
      <c r="D627">
        <f t="shared" si="9"/>
        <v>27</v>
      </c>
      <c r="F627" t="s">
        <v>4965</v>
      </c>
      <c r="G627">
        <v>1</v>
      </c>
    </row>
    <row r="628" spans="1:7" x14ac:dyDescent="0.3">
      <c r="A628" t="s">
        <v>1681</v>
      </c>
      <c r="B628" t="s">
        <v>1682</v>
      </c>
      <c r="C628" t="str">
        <v>Ondansetrón</v>
      </c>
      <c r="D628">
        <f t="shared" si="9"/>
        <v>2</v>
      </c>
      <c r="F628" t="s">
        <v>5240</v>
      </c>
      <c r="G628">
        <v>1</v>
      </c>
    </row>
    <row r="629" spans="1:7" x14ac:dyDescent="0.3">
      <c r="A629" t="s">
        <v>1126</v>
      </c>
      <c r="C629" t="str">
        <v>Orlistat</v>
      </c>
      <c r="D629">
        <f t="shared" si="9"/>
        <v>2</v>
      </c>
      <c r="F629" t="s">
        <v>5091</v>
      </c>
      <c r="G629">
        <v>1</v>
      </c>
    </row>
    <row r="630" spans="1:7" x14ac:dyDescent="0.3">
      <c r="A630" t="s">
        <v>1126</v>
      </c>
      <c r="C630" t="str">
        <v>Orlistat Resveratrol</v>
      </c>
      <c r="D630">
        <f t="shared" si="9"/>
        <v>1</v>
      </c>
      <c r="F630" t="s">
        <v>820</v>
      </c>
      <c r="G630">
        <v>1</v>
      </c>
    </row>
    <row r="631" spans="1:7" x14ac:dyDescent="0.3">
      <c r="A631" t="s">
        <v>1126</v>
      </c>
      <c r="C631" t="str">
        <v>Oxcarbazepina</v>
      </c>
      <c r="D631">
        <f t="shared" si="9"/>
        <v>9</v>
      </c>
      <c r="F631" t="s">
        <v>5008</v>
      </c>
      <c r="G631">
        <v>1</v>
      </c>
    </row>
    <row r="632" spans="1:7" x14ac:dyDescent="0.3">
      <c r="A632" t="s">
        <v>1126</v>
      </c>
      <c r="B632" t="s">
        <v>1127</v>
      </c>
      <c r="C632" t="str">
        <v>Oximetazolina</v>
      </c>
      <c r="D632">
        <f t="shared" si="9"/>
        <v>3</v>
      </c>
      <c r="F632" t="s">
        <v>5258</v>
      </c>
      <c r="G632">
        <v>1</v>
      </c>
    </row>
    <row r="633" spans="1:7" x14ac:dyDescent="0.3">
      <c r="A633" t="s">
        <v>1126</v>
      </c>
      <c r="B633" t="s">
        <v>1127</v>
      </c>
      <c r="C633" t="str">
        <v>Oximetazolina/Carmelosa</v>
      </c>
      <c r="D633">
        <f t="shared" si="9"/>
        <v>1</v>
      </c>
      <c r="F633" t="s">
        <v>5142</v>
      </c>
      <c r="G633">
        <v>1</v>
      </c>
    </row>
    <row r="634" spans="1:7" x14ac:dyDescent="0.3">
      <c r="A634" t="s">
        <v>1126</v>
      </c>
      <c r="B634" t="s">
        <v>1127</v>
      </c>
      <c r="C634" t="str">
        <v>Oxitetraciclina/Polimixina B</v>
      </c>
      <c r="D634">
        <f t="shared" si="9"/>
        <v>2</v>
      </c>
      <c r="F634" t="s">
        <v>5274</v>
      </c>
      <c r="G634">
        <v>1</v>
      </c>
    </row>
    <row r="635" spans="1:7" x14ac:dyDescent="0.3">
      <c r="A635" t="s">
        <v>181</v>
      </c>
      <c r="B635" t="s">
        <v>1021</v>
      </c>
      <c r="C635" t="str">
        <v>Palonosetrón</v>
      </c>
      <c r="D635">
        <f t="shared" si="9"/>
        <v>1</v>
      </c>
      <c r="F635" t="s">
        <v>4992</v>
      </c>
      <c r="G635">
        <v>1</v>
      </c>
    </row>
    <row r="636" spans="1:7" x14ac:dyDescent="0.3">
      <c r="A636" t="s">
        <v>181</v>
      </c>
      <c r="B636" t="s">
        <v>182</v>
      </c>
      <c r="C636" t="str">
        <v>Pancreatina/Extracto seco de bilis de buey/Dimeticona</v>
      </c>
      <c r="D636">
        <f t="shared" si="9"/>
        <v>1</v>
      </c>
      <c r="F636" t="s">
        <v>5288</v>
      </c>
      <c r="G636">
        <v>1</v>
      </c>
    </row>
    <row r="637" spans="1:7" x14ac:dyDescent="0.3">
      <c r="A637" t="s">
        <v>2526</v>
      </c>
      <c r="B637" t="s">
        <v>2527</v>
      </c>
      <c r="C637" t="str">
        <v>Pantoprazol</v>
      </c>
      <c r="D637">
        <f t="shared" si="9"/>
        <v>20</v>
      </c>
      <c r="F637" t="s">
        <v>5351</v>
      </c>
      <c r="G637">
        <v>1</v>
      </c>
    </row>
    <row r="638" spans="1:7" x14ac:dyDescent="0.3">
      <c r="A638" t="s">
        <v>2526</v>
      </c>
      <c r="B638" t="s">
        <v>2527</v>
      </c>
      <c r="C638" t="str">
        <v>Paracetamol/Cafeína</v>
      </c>
      <c r="D638">
        <f t="shared" si="9"/>
        <v>2</v>
      </c>
      <c r="F638" t="s">
        <v>5329</v>
      </c>
      <c r="G638">
        <v>1</v>
      </c>
    </row>
    <row r="639" spans="1:7" x14ac:dyDescent="0.3">
      <c r="A639" t="s">
        <v>1028</v>
      </c>
      <c r="B639" t="s">
        <v>1029</v>
      </c>
      <c r="C639" t="str">
        <v>Paracetamol/Cafeína/Fenilefrina</v>
      </c>
      <c r="D639">
        <f t="shared" si="9"/>
        <v>1</v>
      </c>
      <c r="F639" t="s">
        <v>5327</v>
      </c>
      <c r="G639">
        <v>1</v>
      </c>
    </row>
    <row r="640" spans="1:7" x14ac:dyDescent="0.3">
      <c r="A640" t="s">
        <v>1028</v>
      </c>
      <c r="B640" t="s">
        <v>1029</v>
      </c>
      <c r="C640" t="str">
        <v>Paracetamol/Cafeína/Fenilefrina/Clorfenamina</v>
      </c>
      <c r="D640">
        <f t="shared" si="9"/>
        <v>3</v>
      </c>
      <c r="F640" t="s">
        <v>5331</v>
      </c>
      <c r="G640">
        <v>1</v>
      </c>
    </row>
    <row r="641" spans="1:7" x14ac:dyDescent="0.3">
      <c r="A641" t="s">
        <v>983</v>
      </c>
      <c r="B641" t="s">
        <v>984</v>
      </c>
      <c r="C641" t="str">
        <v>Paracetamol/Clorzoxazona</v>
      </c>
      <c r="D641">
        <f t="shared" si="9"/>
        <v>5</v>
      </c>
      <c r="F641" t="s">
        <v>4995</v>
      </c>
      <c r="G641">
        <v>1</v>
      </c>
    </row>
    <row r="642" spans="1:7" x14ac:dyDescent="0.3">
      <c r="A642" t="s">
        <v>983</v>
      </c>
      <c r="B642" t="s">
        <v>1882</v>
      </c>
      <c r="C642" t="str">
        <v>Paracetamol/Dextrometorfano</v>
      </c>
      <c r="D642">
        <f t="shared" si="9"/>
        <v>1</v>
      </c>
      <c r="F642" t="s">
        <v>5233</v>
      </c>
      <c r="G642">
        <v>1</v>
      </c>
    </row>
    <row r="643" spans="1:7" x14ac:dyDescent="0.3">
      <c r="A643" t="s">
        <v>900</v>
      </c>
      <c r="B643" t="s">
        <v>901</v>
      </c>
      <c r="C643" t="str">
        <v>Paracetamol/Fenilefrina</v>
      </c>
      <c r="D643">
        <f t="shared" ref="D643:D706" si="10">COUNTIF(A$1:A$2981,C643)</f>
        <v>1</v>
      </c>
      <c r="F643" t="s">
        <v>5259</v>
      </c>
      <c r="G643">
        <v>1</v>
      </c>
    </row>
    <row r="644" spans="1:7" x14ac:dyDescent="0.3">
      <c r="A644" t="s">
        <v>813</v>
      </c>
      <c r="C644" t="str">
        <v>Paracetamol/Fenilefrina/Clorfenamina</v>
      </c>
      <c r="D644">
        <f t="shared" si="10"/>
        <v>3</v>
      </c>
      <c r="F644" t="s">
        <v>5143</v>
      </c>
      <c r="G644">
        <v>1</v>
      </c>
    </row>
    <row r="645" spans="1:7" x14ac:dyDescent="0.3">
      <c r="A645" t="s">
        <v>813</v>
      </c>
      <c r="B645" t="s">
        <v>814</v>
      </c>
      <c r="C645" t="str">
        <v>Paracetamol/Fenilefrina/Dextrometorfano</v>
      </c>
      <c r="D645">
        <f t="shared" si="10"/>
        <v>1</v>
      </c>
      <c r="F645" t="s">
        <v>5342</v>
      </c>
      <c r="G645">
        <v>1</v>
      </c>
    </row>
    <row r="646" spans="1:7" x14ac:dyDescent="0.3">
      <c r="A646" t="s">
        <v>813</v>
      </c>
      <c r="B646" t="s">
        <v>1908</v>
      </c>
      <c r="C646" t="str">
        <v>Paracetamol/Fenilefrina/Dextrometorfano/Clorfenamina</v>
      </c>
      <c r="D646">
        <f t="shared" si="10"/>
        <v>1</v>
      </c>
      <c r="F646" t="s">
        <v>5343</v>
      </c>
      <c r="G646">
        <v>1</v>
      </c>
    </row>
    <row r="647" spans="1:7" x14ac:dyDescent="0.3">
      <c r="A647" t="s">
        <v>2841</v>
      </c>
      <c r="C647" t="str">
        <v>Paracetamol/Hioscina</v>
      </c>
      <c r="D647">
        <f t="shared" si="10"/>
        <v>2</v>
      </c>
      <c r="F647" t="s">
        <v>5189</v>
      </c>
      <c r="G647">
        <v>1</v>
      </c>
    </row>
    <row r="648" spans="1:7" x14ac:dyDescent="0.3">
      <c r="A648" t="s">
        <v>2841</v>
      </c>
      <c r="C648" t="str">
        <v>Paracetamol/Ibuprofeno</v>
      </c>
      <c r="D648">
        <f t="shared" si="10"/>
        <v>3</v>
      </c>
      <c r="F648" t="s">
        <v>5014</v>
      </c>
      <c r="G648">
        <v>1</v>
      </c>
    </row>
    <row r="649" spans="1:7" x14ac:dyDescent="0.3">
      <c r="A649" t="s">
        <v>2841</v>
      </c>
      <c r="C649" t="str">
        <v>Paracetamol/Metocarbamol</v>
      </c>
      <c r="D649">
        <f t="shared" si="10"/>
        <v>1</v>
      </c>
      <c r="F649" t="s">
        <v>5266</v>
      </c>
      <c r="G649">
        <v>1</v>
      </c>
    </row>
    <row r="650" spans="1:7" x14ac:dyDescent="0.3">
      <c r="A650" t="s">
        <v>2841</v>
      </c>
      <c r="C650" t="str">
        <v>Paracetamol/Tramadol</v>
      </c>
      <c r="D650">
        <f t="shared" si="10"/>
        <v>1</v>
      </c>
      <c r="F650" t="s">
        <v>5065</v>
      </c>
      <c r="G650">
        <v>1</v>
      </c>
    </row>
    <row r="651" spans="1:7" x14ac:dyDescent="0.3">
      <c r="A651" t="s">
        <v>3043</v>
      </c>
      <c r="C651" t="str">
        <v>Pargeverina/Clonixinato de lisina</v>
      </c>
      <c r="D651">
        <f t="shared" si="10"/>
        <v>2</v>
      </c>
      <c r="F651" t="s">
        <v>5276</v>
      </c>
      <c r="G651">
        <v>1</v>
      </c>
    </row>
    <row r="652" spans="1:7" x14ac:dyDescent="0.3">
      <c r="A652" t="s">
        <v>3043</v>
      </c>
      <c r="C652" t="str">
        <v>Paroxetina</v>
      </c>
      <c r="D652">
        <f t="shared" si="10"/>
        <v>1</v>
      </c>
      <c r="F652" t="s">
        <v>680</v>
      </c>
      <c r="G652">
        <v>1</v>
      </c>
    </row>
    <row r="653" spans="1:7" x14ac:dyDescent="0.3">
      <c r="A653" t="s">
        <v>3043</v>
      </c>
      <c r="C653" t="str">
        <v>Pentoxifilina</v>
      </c>
      <c r="D653">
        <f t="shared" si="10"/>
        <v>9</v>
      </c>
      <c r="F653" t="s">
        <v>5289</v>
      </c>
      <c r="G653">
        <v>1</v>
      </c>
    </row>
    <row r="654" spans="1:7" x14ac:dyDescent="0.3">
      <c r="A654" t="s">
        <v>3006</v>
      </c>
      <c r="C654" t="str">
        <v>Perindopril/Indapamida</v>
      </c>
      <c r="D654">
        <f t="shared" si="10"/>
        <v>2</v>
      </c>
      <c r="F654" t="s">
        <v>5293</v>
      </c>
      <c r="G654">
        <v>1</v>
      </c>
    </row>
    <row r="655" spans="1:7" x14ac:dyDescent="0.3">
      <c r="A655" t="s">
        <v>3027</v>
      </c>
      <c r="C655" t="str">
        <v>Permetrina</v>
      </c>
      <c r="D655">
        <f t="shared" si="10"/>
        <v>1</v>
      </c>
      <c r="F655" t="s">
        <v>5223</v>
      </c>
      <c r="G655">
        <v>1</v>
      </c>
    </row>
    <row r="656" spans="1:7" x14ac:dyDescent="0.3">
      <c r="A656" t="s">
        <v>3035</v>
      </c>
      <c r="C656" t="str">
        <v>Peróxido de benzoilo</v>
      </c>
      <c r="D656">
        <f t="shared" si="10"/>
        <v>1</v>
      </c>
      <c r="F656" t="s">
        <v>5075</v>
      </c>
      <c r="G656">
        <v>1</v>
      </c>
    </row>
    <row r="657" spans="1:7" x14ac:dyDescent="0.3">
      <c r="A657" t="s">
        <v>460</v>
      </c>
      <c r="C657" t="str">
        <v>Peróxido de hidrógeno</v>
      </c>
      <c r="D657">
        <f t="shared" si="10"/>
        <v>2</v>
      </c>
      <c r="F657" t="s">
        <v>5119</v>
      </c>
      <c r="G657">
        <v>1</v>
      </c>
    </row>
    <row r="658" spans="1:7" x14ac:dyDescent="0.3">
      <c r="A658" t="s">
        <v>460</v>
      </c>
      <c r="C658" t="str">
        <v>Picosulfato de sodio</v>
      </c>
      <c r="D658">
        <f t="shared" si="10"/>
        <v>10</v>
      </c>
      <c r="F658" t="s">
        <v>5378</v>
      </c>
      <c r="G658">
        <v>1</v>
      </c>
    </row>
    <row r="659" spans="1:7" x14ac:dyDescent="0.3">
      <c r="A659" t="s">
        <v>460</v>
      </c>
      <c r="C659" t="str">
        <v>Picosulfato sódico</v>
      </c>
      <c r="D659">
        <f t="shared" si="10"/>
        <v>2</v>
      </c>
      <c r="F659" t="s">
        <v>5168</v>
      </c>
      <c r="G659">
        <v>1</v>
      </c>
    </row>
    <row r="660" spans="1:7" x14ac:dyDescent="0.3">
      <c r="A660" t="s">
        <v>460</v>
      </c>
      <c r="C660" t="str">
        <v>Pidotimod</v>
      </c>
      <c r="D660">
        <f t="shared" si="10"/>
        <v>2</v>
      </c>
      <c r="F660" t="s">
        <v>5235</v>
      </c>
      <c r="G660">
        <v>1</v>
      </c>
    </row>
    <row r="661" spans="1:7" x14ac:dyDescent="0.3">
      <c r="A661" t="s">
        <v>460</v>
      </c>
      <c r="B661" t="s">
        <v>1930</v>
      </c>
      <c r="C661" t="str">
        <v>Pimecrolimus</v>
      </c>
      <c r="D661">
        <f t="shared" si="10"/>
        <v>1</v>
      </c>
      <c r="F661" t="s">
        <v>4974</v>
      </c>
      <c r="G661">
        <v>1</v>
      </c>
    </row>
    <row r="662" spans="1:7" x14ac:dyDescent="0.3">
      <c r="A662" t="s">
        <v>460</v>
      </c>
      <c r="B662" t="s">
        <v>461</v>
      </c>
      <c r="C662" t="str">
        <v>Pioglitazona</v>
      </c>
      <c r="D662">
        <f t="shared" si="10"/>
        <v>3</v>
      </c>
      <c r="F662" t="s">
        <v>5355</v>
      </c>
      <c r="G662">
        <v>1</v>
      </c>
    </row>
    <row r="663" spans="1:7" x14ac:dyDescent="0.3">
      <c r="A663" t="s">
        <v>460</v>
      </c>
      <c r="B663" t="s">
        <v>461</v>
      </c>
      <c r="C663" t="str">
        <v>Pirantel</v>
      </c>
      <c r="D663">
        <f t="shared" si="10"/>
        <v>1</v>
      </c>
      <c r="F663" t="s">
        <v>4970</v>
      </c>
      <c r="G663">
        <v>1</v>
      </c>
    </row>
    <row r="664" spans="1:7" x14ac:dyDescent="0.3">
      <c r="A664" t="s">
        <v>460</v>
      </c>
      <c r="B664" t="s">
        <v>461</v>
      </c>
      <c r="C664" t="str">
        <v>Piridoxina</v>
      </c>
      <c r="D664">
        <f t="shared" si="10"/>
        <v>1</v>
      </c>
      <c r="F664" t="s">
        <v>5211</v>
      </c>
      <c r="G664">
        <v>1</v>
      </c>
    </row>
    <row r="665" spans="1:7" x14ac:dyDescent="0.3">
      <c r="A665" t="s">
        <v>1724</v>
      </c>
      <c r="B665" t="s">
        <v>1831</v>
      </c>
      <c r="C665" t="str">
        <v>Polimixina B/Neomicina/Lidocaína</v>
      </c>
      <c r="D665">
        <f t="shared" si="10"/>
        <v>1</v>
      </c>
      <c r="F665" t="s">
        <v>5047</v>
      </c>
      <c r="G665">
        <v>1</v>
      </c>
    </row>
    <row r="666" spans="1:7" x14ac:dyDescent="0.3">
      <c r="A666" t="s">
        <v>1724</v>
      </c>
      <c r="B666" t="s">
        <v>1725</v>
      </c>
      <c r="C666" t="str">
        <v>Polividona</v>
      </c>
      <c r="D666">
        <f t="shared" si="10"/>
        <v>2</v>
      </c>
      <c r="F666" t="s">
        <v>5218</v>
      </c>
      <c r="G666">
        <v>1</v>
      </c>
    </row>
    <row r="667" spans="1:7" x14ac:dyDescent="0.3">
      <c r="A667" t="s">
        <v>2235</v>
      </c>
      <c r="B667" t="s">
        <v>2236</v>
      </c>
      <c r="C667" t="str">
        <v>Pramipexol</v>
      </c>
      <c r="D667">
        <f t="shared" si="10"/>
        <v>2</v>
      </c>
      <c r="F667" t="s">
        <v>5224</v>
      </c>
      <c r="G667">
        <v>1</v>
      </c>
    </row>
    <row r="668" spans="1:7" x14ac:dyDescent="0.3">
      <c r="A668" t="s">
        <v>2793</v>
      </c>
      <c r="C668" t="str">
        <v>Pravastatina</v>
      </c>
      <c r="D668">
        <f t="shared" si="10"/>
        <v>10</v>
      </c>
      <c r="F668" t="s">
        <v>5385</v>
      </c>
      <c r="G668">
        <v>1</v>
      </c>
    </row>
    <row r="669" spans="1:7" x14ac:dyDescent="0.3">
      <c r="A669" t="s">
        <v>1483</v>
      </c>
      <c r="C669" t="str">
        <v>Prazosina</v>
      </c>
      <c r="D669">
        <f t="shared" si="10"/>
        <v>1</v>
      </c>
      <c r="F669" t="s">
        <v>5294</v>
      </c>
      <c r="G669">
        <v>1</v>
      </c>
    </row>
    <row r="670" spans="1:7" x14ac:dyDescent="0.3">
      <c r="A670" t="s">
        <v>1483</v>
      </c>
      <c r="C670" t="str">
        <v>Prednisona</v>
      </c>
      <c r="D670">
        <f t="shared" si="10"/>
        <v>10</v>
      </c>
      <c r="F670" t="s">
        <v>5116</v>
      </c>
      <c r="G670">
        <v>1</v>
      </c>
    </row>
    <row r="671" spans="1:7" x14ac:dyDescent="0.3">
      <c r="A671" t="s">
        <v>1483</v>
      </c>
      <c r="B671" t="s">
        <v>1484</v>
      </c>
      <c r="C671" t="str">
        <v>Pregabalina</v>
      </c>
      <c r="D671">
        <f t="shared" si="10"/>
        <v>9</v>
      </c>
      <c r="F671" t="s">
        <v>5334</v>
      </c>
      <c r="G671">
        <v>1</v>
      </c>
    </row>
    <row r="672" spans="1:7" x14ac:dyDescent="0.3">
      <c r="A672" t="s">
        <v>1394</v>
      </c>
      <c r="B672" t="s">
        <v>1395</v>
      </c>
      <c r="C672" t="str">
        <v>Progesterona</v>
      </c>
      <c r="D672">
        <f t="shared" si="10"/>
        <v>3</v>
      </c>
      <c r="F672" t="s">
        <v>887</v>
      </c>
      <c r="G672">
        <v>1</v>
      </c>
    </row>
    <row r="673" spans="1:7" x14ac:dyDescent="0.3">
      <c r="A673" t="s">
        <v>1394</v>
      </c>
      <c r="B673" t="s">
        <v>1389</v>
      </c>
      <c r="C673" t="str">
        <v>Progesterona/Estradiol</v>
      </c>
      <c r="D673">
        <f t="shared" si="10"/>
        <v>1</v>
      </c>
      <c r="F673" t="s">
        <v>840</v>
      </c>
      <c r="G673">
        <v>1</v>
      </c>
    </row>
    <row r="674" spans="1:7" x14ac:dyDescent="0.3">
      <c r="A674" t="s">
        <v>2851</v>
      </c>
      <c r="C674" t="str">
        <v>Propilenglicol/Hidroxipropil guar/Sorbitol/Aminometilpropanol/Acido bórico/Cloruro de potasio/Cloruro de sodio/Polyquad</v>
      </c>
      <c r="D674">
        <f t="shared" si="10"/>
        <v>1</v>
      </c>
      <c r="F674" t="s">
        <v>5043</v>
      </c>
      <c r="G674">
        <v>1</v>
      </c>
    </row>
    <row r="675" spans="1:7" x14ac:dyDescent="0.3">
      <c r="A675" t="s">
        <v>2851</v>
      </c>
      <c r="C675" t="str">
        <v>Quetiapina</v>
      </c>
      <c r="D675">
        <f t="shared" si="10"/>
        <v>1</v>
      </c>
      <c r="F675" t="s">
        <v>4987</v>
      </c>
      <c r="G675">
        <v>1</v>
      </c>
    </row>
    <row r="676" spans="1:7" x14ac:dyDescent="0.3">
      <c r="A676" t="s">
        <v>1845</v>
      </c>
      <c r="C676" t="str">
        <v>Quinfamida/Albendazol</v>
      </c>
      <c r="D676">
        <f t="shared" si="10"/>
        <v>2</v>
      </c>
      <c r="F676" t="s">
        <v>5282</v>
      </c>
      <c r="G676">
        <v>1</v>
      </c>
    </row>
    <row r="677" spans="1:7" x14ac:dyDescent="0.3">
      <c r="A677" t="s">
        <v>672</v>
      </c>
      <c r="C677" t="str">
        <v>Ranitidina</v>
      </c>
      <c r="D677">
        <f t="shared" si="10"/>
        <v>3</v>
      </c>
      <c r="F677" t="s">
        <v>5099</v>
      </c>
      <c r="G677">
        <v>1</v>
      </c>
    </row>
    <row r="678" spans="1:7" x14ac:dyDescent="0.3">
      <c r="A678" t="s">
        <v>672</v>
      </c>
      <c r="B678" t="s">
        <v>673</v>
      </c>
      <c r="C678" t="str">
        <v>Retinol/Ácido ascórbico/Ergocalciferol</v>
      </c>
      <c r="D678">
        <f t="shared" si="10"/>
        <v>1</v>
      </c>
      <c r="F678" t="s">
        <v>5009</v>
      </c>
      <c r="G678">
        <v>1</v>
      </c>
    </row>
    <row r="679" spans="1:7" x14ac:dyDescent="0.3">
      <c r="A679" t="s">
        <v>478</v>
      </c>
      <c r="B679" t="s">
        <v>479</v>
      </c>
      <c r="C679" t="str">
        <v>Retinol/Colecalciferol/Ácido ascórbico</v>
      </c>
      <c r="D679">
        <f t="shared" si="10"/>
        <v>1</v>
      </c>
      <c r="F679" t="s">
        <v>5275</v>
      </c>
      <c r="G679">
        <v>1</v>
      </c>
    </row>
    <row r="680" spans="1:7" x14ac:dyDescent="0.3">
      <c r="A680" t="s">
        <v>1163</v>
      </c>
      <c r="B680" t="s">
        <v>1164</v>
      </c>
      <c r="C680" t="str">
        <v>Retinol/Ergocalciferol</v>
      </c>
      <c r="D680">
        <f t="shared" si="10"/>
        <v>1</v>
      </c>
      <c r="F680" t="s">
        <v>5375</v>
      </c>
      <c r="G680">
        <v>1</v>
      </c>
    </row>
    <row r="681" spans="1:7" x14ac:dyDescent="0.3">
      <c r="A681" t="s">
        <v>377</v>
      </c>
      <c r="C681" t="str">
        <v>Retinol/Tiamina/Rivoflavina/Piridoxina/Cianocobalamina/Ácido ascórbico/Colecalciferol/Tocofersolán/Pantotenato cálcico/Biotina/Ácido fólico/Nicotinamida</v>
      </c>
      <c r="D681">
        <f t="shared" si="10"/>
        <v>1</v>
      </c>
      <c r="F681" t="s">
        <v>5006</v>
      </c>
      <c r="G681">
        <v>1</v>
      </c>
    </row>
    <row r="682" spans="1:7" x14ac:dyDescent="0.3">
      <c r="A682" t="s">
        <v>377</v>
      </c>
      <c r="C682" t="str">
        <v>Ribavirina</v>
      </c>
      <c r="D682">
        <f t="shared" si="10"/>
        <v>1</v>
      </c>
      <c r="F682" t="s">
        <v>183</v>
      </c>
      <c r="G682">
        <v>1</v>
      </c>
    </row>
    <row r="683" spans="1:7" x14ac:dyDescent="0.3">
      <c r="A683" t="s">
        <v>377</v>
      </c>
      <c r="C683" t="str">
        <v>Rifaximina</v>
      </c>
      <c r="D683">
        <f t="shared" si="10"/>
        <v>2</v>
      </c>
      <c r="F683" t="s">
        <v>5337</v>
      </c>
      <c r="G683">
        <v>1</v>
      </c>
    </row>
    <row r="684" spans="1:7" x14ac:dyDescent="0.3">
      <c r="A684" t="s">
        <v>377</v>
      </c>
      <c r="C684" t="str">
        <v>Risperidona</v>
      </c>
      <c r="D684">
        <f t="shared" si="10"/>
        <v>2</v>
      </c>
      <c r="F684" t="s">
        <v>5335</v>
      </c>
      <c r="G684">
        <v>1</v>
      </c>
    </row>
    <row r="685" spans="1:7" x14ac:dyDescent="0.3">
      <c r="A685" t="s">
        <v>377</v>
      </c>
      <c r="B685" t="s">
        <v>379</v>
      </c>
      <c r="C685" t="str">
        <v>Rivaroxabán</v>
      </c>
      <c r="D685">
        <f t="shared" si="10"/>
        <v>9</v>
      </c>
      <c r="F685" t="s">
        <v>5380</v>
      </c>
      <c r="G685">
        <v>1</v>
      </c>
    </row>
    <row r="686" spans="1:7" x14ac:dyDescent="0.3">
      <c r="A686" t="s">
        <v>377</v>
      </c>
      <c r="B686" t="s">
        <v>379</v>
      </c>
      <c r="C686" t="str">
        <v>Rosiglitazona/Metformina</v>
      </c>
      <c r="D686">
        <f t="shared" si="10"/>
        <v>1</v>
      </c>
      <c r="F686" t="s">
        <v>5243</v>
      </c>
      <c r="G686">
        <v>1</v>
      </c>
    </row>
    <row r="687" spans="1:7" x14ac:dyDescent="0.3">
      <c r="A687" t="s">
        <v>377</v>
      </c>
      <c r="B687" t="s">
        <v>379</v>
      </c>
      <c r="C687" t="str">
        <v>Rosuvastatina</v>
      </c>
      <c r="D687">
        <f t="shared" si="10"/>
        <v>1</v>
      </c>
      <c r="F687" t="s">
        <v>5011</v>
      </c>
      <c r="G687">
        <v>1</v>
      </c>
    </row>
    <row r="688" spans="1:7" x14ac:dyDescent="0.3">
      <c r="A688" t="s">
        <v>377</v>
      </c>
      <c r="B688" t="s">
        <v>581</v>
      </c>
      <c r="C688" t="str">
        <v>Rupatadina</v>
      </c>
      <c r="D688">
        <f t="shared" si="10"/>
        <v>10</v>
      </c>
      <c r="F688" t="s">
        <v>5374</v>
      </c>
      <c r="G688">
        <v>1</v>
      </c>
    </row>
    <row r="689" spans="1:7" x14ac:dyDescent="0.3">
      <c r="A689" t="s">
        <v>377</v>
      </c>
      <c r="B689" t="s">
        <v>2700</v>
      </c>
      <c r="C689" t="str">
        <v>Ruscus aculeatus/Lactobacillus sporogenes/Ácido ascórbico</v>
      </c>
      <c r="D689">
        <f t="shared" si="10"/>
        <v>1</v>
      </c>
      <c r="F689" t="s">
        <v>5273</v>
      </c>
      <c r="G689">
        <v>1</v>
      </c>
    </row>
    <row r="690" spans="1:7" x14ac:dyDescent="0.3">
      <c r="A690" t="s">
        <v>377</v>
      </c>
      <c r="B690" t="s">
        <v>2356</v>
      </c>
      <c r="C690" t="str">
        <v>Salbutamol</v>
      </c>
      <c r="D690">
        <f t="shared" si="10"/>
        <v>4</v>
      </c>
      <c r="F690" t="s">
        <v>5246</v>
      </c>
      <c r="G690">
        <v>1</v>
      </c>
    </row>
    <row r="691" spans="1:7" x14ac:dyDescent="0.3">
      <c r="A691" t="s">
        <v>377</v>
      </c>
      <c r="B691" t="s">
        <v>2352</v>
      </c>
      <c r="C691" t="str">
        <v>Salmeterol/Fluticasona</v>
      </c>
      <c r="D691">
        <f t="shared" si="10"/>
        <v>1</v>
      </c>
      <c r="F691" t="s">
        <v>5228</v>
      </c>
      <c r="G691">
        <v>1</v>
      </c>
    </row>
    <row r="692" spans="1:7" x14ac:dyDescent="0.3">
      <c r="A692" t="s">
        <v>377</v>
      </c>
      <c r="B692" t="s">
        <v>1144</v>
      </c>
      <c r="C692" t="str">
        <v>Secnidazol</v>
      </c>
      <c r="D692">
        <f t="shared" si="10"/>
        <v>1</v>
      </c>
      <c r="F692" t="s">
        <v>5345</v>
      </c>
      <c r="G692">
        <v>1</v>
      </c>
    </row>
    <row r="693" spans="1:7" x14ac:dyDescent="0.3">
      <c r="A693" t="s">
        <v>377</v>
      </c>
      <c r="B693" t="s">
        <v>1144</v>
      </c>
      <c r="C693" t="str">
        <v>Senósidos A-B</v>
      </c>
      <c r="D693">
        <f t="shared" si="10"/>
        <v>13</v>
      </c>
      <c r="F693" t="s">
        <v>5045</v>
      </c>
      <c r="G693">
        <v>1</v>
      </c>
    </row>
    <row r="694" spans="1:7" x14ac:dyDescent="0.3">
      <c r="A694" t="s">
        <v>377</v>
      </c>
      <c r="B694" t="s">
        <v>1764</v>
      </c>
      <c r="C694" t="str">
        <v>Sertralina</v>
      </c>
      <c r="D694">
        <f t="shared" si="10"/>
        <v>2</v>
      </c>
      <c r="F694" t="s">
        <v>5048</v>
      </c>
      <c r="G694">
        <v>1</v>
      </c>
    </row>
    <row r="695" spans="1:7" x14ac:dyDescent="0.3">
      <c r="A695" t="s">
        <v>377</v>
      </c>
      <c r="B695" t="s">
        <v>2707</v>
      </c>
      <c r="C695" t="str">
        <v>Simeticona Metoclopramida</v>
      </c>
      <c r="D695">
        <f t="shared" si="10"/>
        <v>1</v>
      </c>
      <c r="F695" t="s">
        <v>5214</v>
      </c>
      <c r="G695">
        <v>1</v>
      </c>
    </row>
    <row r="696" spans="1:7" x14ac:dyDescent="0.3">
      <c r="A696" t="s">
        <v>377</v>
      </c>
      <c r="B696" t="s">
        <v>876</v>
      </c>
      <c r="C696" t="str">
        <v>Simeticona/Pancreatina</v>
      </c>
      <c r="D696">
        <f t="shared" si="10"/>
        <v>1</v>
      </c>
      <c r="F696" t="s">
        <v>5208</v>
      </c>
      <c r="G696">
        <v>1</v>
      </c>
    </row>
    <row r="697" spans="1:7" x14ac:dyDescent="0.3">
      <c r="A697" t="s">
        <v>377</v>
      </c>
      <c r="B697" t="s">
        <v>876</v>
      </c>
      <c r="C697" t="str">
        <v>Simeticona/Pancreatina/Extracto seco de bilis de buey/Celulasa de Aspergillus niger</v>
      </c>
      <c r="D697">
        <f t="shared" si="10"/>
        <v>1</v>
      </c>
      <c r="F697" t="s">
        <v>5207</v>
      </c>
      <c r="G697">
        <v>1</v>
      </c>
    </row>
    <row r="698" spans="1:7" x14ac:dyDescent="0.3">
      <c r="A698" t="s">
        <v>377</v>
      </c>
      <c r="B698" t="s">
        <v>378</v>
      </c>
      <c r="C698" t="str">
        <v>Simvastatina</v>
      </c>
      <c r="D698">
        <f t="shared" si="10"/>
        <v>1</v>
      </c>
      <c r="F698" t="s">
        <v>5322</v>
      </c>
      <c r="G698">
        <v>1</v>
      </c>
    </row>
    <row r="699" spans="1:7" x14ac:dyDescent="0.3">
      <c r="A699" t="s">
        <v>377</v>
      </c>
      <c r="B699" t="s">
        <v>378</v>
      </c>
      <c r="C699" t="str">
        <v>Sitagliptina/ Metformina</v>
      </c>
      <c r="D699">
        <f t="shared" si="10"/>
        <v>1</v>
      </c>
      <c r="F699" t="s">
        <v>5188</v>
      </c>
      <c r="G699">
        <v>1</v>
      </c>
    </row>
    <row r="700" spans="1:7" x14ac:dyDescent="0.3">
      <c r="A700" t="s">
        <v>588</v>
      </c>
      <c r="C700" t="str">
        <v>Solución electrolizada de superoxidación</v>
      </c>
      <c r="D700">
        <f t="shared" si="10"/>
        <v>1</v>
      </c>
      <c r="F700" t="s">
        <v>5194</v>
      </c>
      <c r="G700">
        <v>1</v>
      </c>
    </row>
    <row r="701" spans="1:7" x14ac:dyDescent="0.3">
      <c r="A701" t="s">
        <v>588</v>
      </c>
      <c r="C701" t="str">
        <v>Solución Hartmann</v>
      </c>
      <c r="D701">
        <f t="shared" si="10"/>
        <v>1</v>
      </c>
      <c r="F701" t="s">
        <v>5078</v>
      </c>
      <c r="G701">
        <v>1</v>
      </c>
    </row>
    <row r="702" spans="1:7" x14ac:dyDescent="0.3">
      <c r="A702" t="s">
        <v>588</v>
      </c>
      <c r="B702" t="s">
        <v>1647</v>
      </c>
      <c r="C702" t="str">
        <v>Subsalicilato de bismuto</v>
      </c>
      <c r="D702">
        <f t="shared" si="10"/>
        <v>34</v>
      </c>
      <c r="F702" t="s">
        <v>5389</v>
      </c>
      <c r="G702">
        <v>1</v>
      </c>
    </row>
    <row r="703" spans="1:7" x14ac:dyDescent="0.3">
      <c r="A703" t="s">
        <v>588</v>
      </c>
      <c r="B703" t="s">
        <v>589</v>
      </c>
      <c r="C703" t="str">
        <v>Sucralfato</v>
      </c>
      <c r="D703">
        <f t="shared" si="10"/>
        <v>9</v>
      </c>
      <c r="F703" t="s">
        <v>5026</v>
      </c>
      <c r="G703">
        <v>1</v>
      </c>
    </row>
    <row r="704" spans="1:7" x14ac:dyDescent="0.3">
      <c r="A704" t="s">
        <v>588</v>
      </c>
      <c r="B704" t="s">
        <v>1652</v>
      </c>
      <c r="C704" t="str">
        <v>Sulfato ferroso</v>
      </c>
      <c r="D704">
        <f t="shared" si="10"/>
        <v>2</v>
      </c>
      <c r="F704" t="s">
        <v>5165</v>
      </c>
      <c r="G704">
        <v>1</v>
      </c>
    </row>
    <row r="705" spans="1:7" x14ac:dyDescent="0.3">
      <c r="A705" t="s">
        <v>588</v>
      </c>
      <c r="B705" t="s">
        <v>594</v>
      </c>
      <c r="C705" t="str">
        <v>Sulindaco</v>
      </c>
      <c r="D705">
        <f t="shared" si="10"/>
        <v>3</v>
      </c>
      <c r="F705" t="s">
        <v>5320</v>
      </c>
      <c r="G705">
        <v>1</v>
      </c>
    </row>
    <row r="706" spans="1:7" x14ac:dyDescent="0.3">
      <c r="A706" t="s">
        <v>747</v>
      </c>
      <c r="B706" t="s">
        <v>748</v>
      </c>
      <c r="C706" t="str">
        <v>Tadalafil</v>
      </c>
      <c r="D706">
        <f t="shared" si="10"/>
        <v>1</v>
      </c>
      <c r="F706" t="s">
        <v>5137</v>
      </c>
      <c r="G706">
        <v>1</v>
      </c>
    </row>
    <row r="707" spans="1:7" x14ac:dyDescent="0.3">
      <c r="A707" t="s">
        <v>208</v>
      </c>
      <c r="C707" t="str">
        <v>Tamsulosina</v>
      </c>
      <c r="D707">
        <f t="shared" ref="D707:D737" si="11">COUNTIF(A$1:A$2981,C707)</f>
        <v>5</v>
      </c>
      <c r="F707" t="s">
        <v>5229</v>
      </c>
      <c r="G707">
        <v>1</v>
      </c>
    </row>
    <row r="708" spans="1:7" x14ac:dyDescent="0.3">
      <c r="A708" t="s">
        <v>208</v>
      </c>
      <c r="C708" t="str">
        <v>Telmisartán</v>
      </c>
      <c r="D708">
        <f t="shared" si="11"/>
        <v>4</v>
      </c>
      <c r="F708" t="s">
        <v>5260</v>
      </c>
      <c r="G708">
        <v>1</v>
      </c>
    </row>
    <row r="709" spans="1:7" x14ac:dyDescent="0.3">
      <c r="A709" t="s">
        <v>208</v>
      </c>
      <c r="C709" t="str">
        <v>Telmisartán/Hidroclorotiazida</v>
      </c>
      <c r="D709">
        <f t="shared" si="11"/>
        <v>5</v>
      </c>
      <c r="F709" t="s">
        <v>5278</v>
      </c>
      <c r="G709">
        <v>1</v>
      </c>
    </row>
    <row r="710" spans="1:7" x14ac:dyDescent="0.3">
      <c r="A710" t="s">
        <v>208</v>
      </c>
      <c r="C710" t="str">
        <v>Teofilina/ Ambroxol</v>
      </c>
      <c r="D710">
        <f t="shared" si="11"/>
        <v>1</v>
      </c>
      <c r="F710" t="s">
        <v>5007</v>
      </c>
      <c r="G710">
        <v>1</v>
      </c>
    </row>
    <row r="711" spans="1:7" x14ac:dyDescent="0.3">
      <c r="A711" t="s">
        <v>208</v>
      </c>
      <c r="C711" t="str">
        <v>Terbinafina</v>
      </c>
      <c r="D711">
        <f t="shared" si="11"/>
        <v>9</v>
      </c>
      <c r="F711" t="s">
        <v>5198</v>
      </c>
      <c r="G711">
        <v>1</v>
      </c>
    </row>
    <row r="712" spans="1:7" x14ac:dyDescent="0.3">
      <c r="A712" t="s">
        <v>208</v>
      </c>
      <c r="C712" t="str">
        <v>Tetracilina</v>
      </c>
      <c r="D712">
        <f t="shared" si="11"/>
        <v>1</v>
      </c>
      <c r="F712" t="s">
        <v>5251</v>
      </c>
      <c r="G712">
        <v>1</v>
      </c>
    </row>
    <row r="713" spans="1:7" x14ac:dyDescent="0.3">
      <c r="A713" t="s">
        <v>208</v>
      </c>
      <c r="C713" t="str">
        <v>Tiamina/Piridoxina/Cianocobalamina</v>
      </c>
      <c r="D713">
        <f t="shared" si="11"/>
        <v>13</v>
      </c>
      <c r="F713" t="s">
        <v>5250</v>
      </c>
      <c r="G713">
        <v>1</v>
      </c>
    </row>
    <row r="714" spans="1:7" x14ac:dyDescent="0.3">
      <c r="A714" t="s">
        <v>208</v>
      </c>
      <c r="C714" t="str">
        <v>Tiamina/Piridoxina/Cianocobalamina/Dexametasona/Lidocaína</v>
      </c>
      <c r="D714">
        <f t="shared" si="11"/>
        <v>1</v>
      </c>
      <c r="F714" t="s">
        <v>5381</v>
      </c>
      <c r="G714">
        <v>1</v>
      </c>
    </row>
    <row r="715" spans="1:7" x14ac:dyDescent="0.3">
      <c r="A715" t="s">
        <v>208</v>
      </c>
      <c r="C715" t="str">
        <v>Tiamina/Piridoxina/Lidocaina/Cianocobalamina/Diclofenaco</v>
      </c>
      <c r="D715">
        <f t="shared" si="11"/>
        <v>1</v>
      </c>
      <c r="F715" t="s">
        <v>5134</v>
      </c>
      <c r="G715">
        <v>1</v>
      </c>
    </row>
    <row r="716" spans="1:7" x14ac:dyDescent="0.3">
      <c r="A716" t="s">
        <v>208</v>
      </c>
      <c r="C716" t="str">
        <v>Tiotropio</v>
      </c>
      <c r="D716">
        <f t="shared" si="11"/>
        <v>1</v>
      </c>
      <c r="F716" t="s">
        <v>5180</v>
      </c>
      <c r="G716">
        <v>1</v>
      </c>
    </row>
    <row r="717" spans="1:7" x14ac:dyDescent="0.3">
      <c r="A717" t="s">
        <v>208</v>
      </c>
      <c r="C717" t="str">
        <v>Tizanidina</v>
      </c>
      <c r="D717">
        <f t="shared" si="11"/>
        <v>2</v>
      </c>
      <c r="F717" t="s">
        <v>5247</v>
      </c>
      <c r="G717">
        <v>1</v>
      </c>
    </row>
    <row r="718" spans="1:7" x14ac:dyDescent="0.3">
      <c r="A718" t="s">
        <v>208</v>
      </c>
      <c r="C718" t="str">
        <v>Tobramacina</v>
      </c>
      <c r="D718">
        <f t="shared" si="11"/>
        <v>2</v>
      </c>
      <c r="F718" t="s">
        <v>5357</v>
      </c>
      <c r="G718">
        <v>1</v>
      </c>
    </row>
    <row r="719" spans="1:7" x14ac:dyDescent="0.3">
      <c r="A719" t="s">
        <v>208</v>
      </c>
      <c r="C719" t="str">
        <v>Tocofersolán</v>
      </c>
      <c r="D719">
        <f t="shared" si="11"/>
        <v>5</v>
      </c>
      <c r="F719" t="s">
        <v>5354</v>
      </c>
      <c r="G719">
        <v>1</v>
      </c>
    </row>
    <row r="720" spans="1:7" x14ac:dyDescent="0.3">
      <c r="A720" t="s">
        <v>208</v>
      </c>
      <c r="C720" t="str">
        <v>Tolperisona/Paracetamol</v>
      </c>
      <c r="D720">
        <f t="shared" si="11"/>
        <v>1</v>
      </c>
      <c r="F720" t="s">
        <v>909</v>
      </c>
      <c r="G720">
        <v>1</v>
      </c>
    </row>
    <row r="721" spans="1:7" x14ac:dyDescent="0.3">
      <c r="A721" t="s">
        <v>208</v>
      </c>
      <c r="B721" t="s">
        <v>209</v>
      </c>
      <c r="C721" t="str">
        <v>Tramadol</v>
      </c>
      <c r="D721">
        <f t="shared" si="11"/>
        <v>4</v>
      </c>
      <c r="F721" t="s">
        <v>5105</v>
      </c>
      <c r="G721">
        <v>1</v>
      </c>
    </row>
    <row r="722" spans="1:7" x14ac:dyDescent="0.3">
      <c r="A722" t="s">
        <v>208</v>
      </c>
      <c r="B722" t="s">
        <v>216</v>
      </c>
      <c r="C722" t="str">
        <v>Tramadol/Paracetamol</v>
      </c>
      <c r="D722">
        <f t="shared" si="11"/>
        <v>1</v>
      </c>
      <c r="F722" t="s">
        <v>4966</v>
      </c>
      <c r="G722">
        <v>1</v>
      </c>
    </row>
    <row r="723" spans="1:7" x14ac:dyDescent="0.3">
      <c r="A723" t="s">
        <v>208</v>
      </c>
      <c r="B723" t="s">
        <v>2468</v>
      </c>
      <c r="C723" t="str">
        <v>Trimebutina</v>
      </c>
      <c r="D723">
        <f t="shared" si="11"/>
        <v>13</v>
      </c>
      <c r="F723" t="s">
        <v>5126</v>
      </c>
      <c r="G723">
        <v>1</v>
      </c>
    </row>
    <row r="724" spans="1:7" x14ac:dyDescent="0.3">
      <c r="A724" t="s">
        <v>208</v>
      </c>
      <c r="B724" t="s">
        <v>2468</v>
      </c>
      <c r="C724" t="str">
        <v>Trimebutina/Simeticona</v>
      </c>
      <c r="D724">
        <f t="shared" si="11"/>
        <v>3</v>
      </c>
      <c r="F724" t="s">
        <v>5241</v>
      </c>
      <c r="G724">
        <v>1</v>
      </c>
    </row>
    <row r="725" spans="1:7" x14ac:dyDescent="0.3">
      <c r="A725" t="s">
        <v>2473</v>
      </c>
      <c r="C725" t="str">
        <v>Trimebutina/Simeticona/Galactosidasa</v>
      </c>
      <c r="D725">
        <f t="shared" si="11"/>
        <v>2</v>
      </c>
      <c r="F725" t="s">
        <v>5267</v>
      </c>
      <c r="G725">
        <v>1</v>
      </c>
    </row>
    <row r="726" spans="1:7" x14ac:dyDescent="0.3">
      <c r="A726" t="s">
        <v>2473</v>
      </c>
      <c r="C726" t="str">
        <v>Trimetoprim/Sulfametoxazol</v>
      </c>
      <c r="D726">
        <f t="shared" si="11"/>
        <v>29</v>
      </c>
      <c r="F726" t="s">
        <v>5017</v>
      </c>
      <c r="G726">
        <v>1</v>
      </c>
    </row>
    <row r="727" spans="1:7" x14ac:dyDescent="0.3">
      <c r="A727" t="s">
        <v>2473</v>
      </c>
      <c r="C727" t="str">
        <v>Tripsina/Quimotripsina</v>
      </c>
      <c r="D727">
        <f t="shared" si="11"/>
        <v>2</v>
      </c>
      <c r="F727" t="s">
        <v>5164</v>
      </c>
      <c r="G727">
        <v>1</v>
      </c>
    </row>
    <row r="728" spans="1:7" x14ac:dyDescent="0.3">
      <c r="A728" t="s">
        <v>2473</v>
      </c>
      <c r="C728" t="str">
        <v>Valproato de magensio</v>
      </c>
      <c r="D728">
        <f t="shared" si="11"/>
        <v>1</v>
      </c>
      <c r="F728" t="s">
        <v>5061</v>
      </c>
      <c r="G728">
        <v>1</v>
      </c>
    </row>
    <row r="729" spans="1:7" x14ac:dyDescent="0.3">
      <c r="A729" t="s">
        <v>2473</v>
      </c>
      <c r="B729" t="s">
        <v>2474</v>
      </c>
      <c r="C729" t="str">
        <v>Valsartán</v>
      </c>
      <c r="D729">
        <f t="shared" si="11"/>
        <v>3</v>
      </c>
      <c r="F729" t="s">
        <v>5095</v>
      </c>
      <c r="G729">
        <v>1</v>
      </c>
    </row>
    <row r="730" spans="1:7" x14ac:dyDescent="0.3">
      <c r="A730" t="s">
        <v>2473</v>
      </c>
      <c r="B730" t="s">
        <v>2474</v>
      </c>
      <c r="C730" t="str">
        <v>Valsartán/Hidroclorotiazida</v>
      </c>
      <c r="D730">
        <f t="shared" si="11"/>
        <v>2</v>
      </c>
      <c r="F730" t="s">
        <v>5081</v>
      </c>
      <c r="G730">
        <v>1</v>
      </c>
    </row>
    <row r="731" spans="1:7" x14ac:dyDescent="0.3">
      <c r="A731" t="s">
        <v>1072</v>
      </c>
      <c r="B731" t="s">
        <v>1073</v>
      </c>
      <c r="C731" t="str">
        <v>Venlafaxina</v>
      </c>
      <c r="D731">
        <f t="shared" si="11"/>
        <v>6</v>
      </c>
      <c r="F731" t="s">
        <v>5366</v>
      </c>
      <c r="G731">
        <v>1</v>
      </c>
    </row>
    <row r="732" spans="1:7" x14ac:dyDescent="0.3">
      <c r="A732" t="s">
        <v>1171</v>
      </c>
      <c r="B732" t="s">
        <v>1172</v>
      </c>
      <c r="C732" t="str">
        <v>Verapamilo</v>
      </c>
      <c r="D732">
        <f t="shared" si="11"/>
        <v>4</v>
      </c>
      <c r="F732" t="s">
        <v>5382</v>
      </c>
      <c r="G732">
        <v>1</v>
      </c>
    </row>
    <row r="733" spans="1:7" x14ac:dyDescent="0.3">
      <c r="A733" t="s">
        <v>2893</v>
      </c>
      <c r="C733" t="str">
        <v>Vildagliptina</v>
      </c>
      <c r="D733">
        <f t="shared" si="11"/>
        <v>3</v>
      </c>
      <c r="F733" t="s">
        <v>5058</v>
      </c>
      <c r="G733">
        <v>1</v>
      </c>
    </row>
    <row r="734" spans="1:7" x14ac:dyDescent="0.3">
      <c r="A734" t="s">
        <v>2893</v>
      </c>
      <c r="C734" t="str">
        <v>Vildagliptina/Metformina</v>
      </c>
      <c r="D734">
        <f t="shared" si="11"/>
        <v>7</v>
      </c>
      <c r="F734" t="s">
        <v>5325</v>
      </c>
      <c r="G734">
        <v>1</v>
      </c>
    </row>
    <row r="735" spans="1:7" x14ac:dyDescent="0.3">
      <c r="A735" t="s">
        <v>972</v>
      </c>
      <c r="B735" t="s">
        <v>973</v>
      </c>
      <c r="C735" t="str">
        <v>Zolmitriptano</v>
      </c>
      <c r="D735">
        <f t="shared" si="11"/>
        <v>11</v>
      </c>
      <c r="F735" t="s">
        <v>5186</v>
      </c>
      <c r="G735">
        <v>1</v>
      </c>
    </row>
    <row r="736" spans="1:7" x14ac:dyDescent="0.3">
      <c r="A736" t="s">
        <v>1253</v>
      </c>
      <c r="B736" t="s">
        <v>1254</v>
      </c>
      <c r="C736" t="str">
        <v>Zolpidem</v>
      </c>
      <c r="D736">
        <f t="shared" si="11"/>
        <v>3</v>
      </c>
      <c r="F736" t="s">
        <v>4990</v>
      </c>
      <c r="G736">
        <v>1</v>
      </c>
    </row>
    <row r="737" spans="1:7" x14ac:dyDescent="0.3">
      <c r="A737" t="s">
        <v>1253</v>
      </c>
      <c r="B737" t="s">
        <v>1695</v>
      </c>
      <c r="C737" t="str">
        <v>Zuclopentixol</v>
      </c>
      <c r="D737">
        <f t="shared" si="11"/>
        <v>6</v>
      </c>
      <c r="F737" t="s">
        <v>5307</v>
      </c>
      <c r="G737">
        <v>1</v>
      </c>
    </row>
    <row r="738" spans="1:7" x14ac:dyDescent="0.3">
      <c r="A738" t="s">
        <v>1253</v>
      </c>
      <c r="B738" t="s">
        <v>1695</v>
      </c>
    </row>
    <row r="739" spans="1:7" x14ac:dyDescent="0.3">
      <c r="A739" t="s">
        <v>1253</v>
      </c>
      <c r="B739" t="s">
        <v>1801</v>
      </c>
    </row>
    <row r="740" spans="1:7" x14ac:dyDescent="0.3">
      <c r="A740" t="s">
        <v>1253</v>
      </c>
      <c r="B740" t="s">
        <v>1801</v>
      </c>
    </row>
    <row r="741" spans="1:7" x14ac:dyDescent="0.3">
      <c r="A741" t="s">
        <v>1504</v>
      </c>
    </row>
    <row r="742" spans="1:7" x14ac:dyDescent="0.3">
      <c r="A742" t="s">
        <v>1504</v>
      </c>
      <c r="B742" t="s">
        <v>1505</v>
      </c>
    </row>
    <row r="743" spans="1:7" x14ac:dyDescent="0.3">
      <c r="A743" t="s">
        <v>1504</v>
      </c>
      <c r="B743" t="s">
        <v>1505</v>
      </c>
    </row>
    <row r="744" spans="1:7" x14ac:dyDescent="0.3">
      <c r="A744" t="s">
        <v>1504</v>
      </c>
      <c r="B744" t="s">
        <v>1505</v>
      </c>
    </row>
    <row r="745" spans="1:7" x14ac:dyDescent="0.3">
      <c r="A745" t="s">
        <v>1504</v>
      </c>
      <c r="B745" t="s">
        <v>1505</v>
      </c>
    </row>
    <row r="746" spans="1:7" x14ac:dyDescent="0.3">
      <c r="A746" t="s">
        <v>1504</v>
      </c>
      <c r="B746" t="s">
        <v>1505</v>
      </c>
    </row>
    <row r="747" spans="1:7" x14ac:dyDescent="0.3">
      <c r="A747" t="s">
        <v>1504</v>
      </c>
      <c r="B747" t="s">
        <v>1505</v>
      </c>
    </row>
    <row r="748" spans="1:7" x14ac:dyDescent="0.3">
      <c r="A748" t="s">
        <v>411</v>
      </c>
      <c r="B748" t="s">
        <v>412</v>
      </c>
    </row>
    <row r="749" spans="1:7" x14ac:dyDescent="0.3">
      <c r="A749" t="s">
        <v>1137</v>
      </c>
    </row>
    <row r="750" spans="1:7" x14ac:dyDescent="0.3">
      <c r="A750" t="s">
        <v>1137</v>
      </c>
    </row>
    <row r="751" spans="1:7" x14ac:dyDescent="0.3">
      <c r="A751" t="s">
        <v>1137</v>
      </c>
    </row>
    <row r="752" spans="1:7" x14ac:dyDescent="0.3">
      <c r="A752" t="s">
        <v>1137</v>
      </c>
      <c r="B752" t="s">
        <v>1138</v>
      </c>
    </row>
    <row r="753" spans="1:2" x14ac:dyDescent="0.3">
      <c r="A753" t="s">
        <v>1137</v>
      </c>
      <c r="B753" t="s">
        <v>2687</v>
      </c>
    </row>
    <row r="754" spans="1:2" x14ac:dyDescent="0.3">
      <c r="A754" t="s">
        <v>1137</v>
      </c>
      <c r="B754" t="s">
        <v>1359</v>
      </c>
    </row>
    <row r="755" spans="1:2" x14ac:dyDescent="0.3">
      <c r="A755" t="s">
        <v>1137</v>
      </c>
      <c r="B755" t="s">
        <v>2148</v>
      </c>
    </row>
    <row r="756" spans="1:2" x14ac:dyDescent="0.3">
      <c r="A756" t="s">
        <v>534</v>
      </c>
      <c r="B756" t="s">
        <v>535</v>
      </c>
    </row>
    <row r="757" spans="1:2" x14ac:dyDescent="0.3">
      <c r="A757" t="s">
        <v>228</v>
      </c>
      <c r="B757" t="s">
        <v>1042</v>
      </c>
    </row>
    <row r="758" spans="1:2" x14ac:dyDescent="0.3">
      <c r="A758" t="s">
        <v>228</v>
      </c>
      <c r="B758" t="s">
        <v>1042</v>
      </c>
    </row>
    <row r="759" spans="1:2" x14ac:dyDescent="0.3">
      <c r="A759" t="s">
        <v>228</v>
      </c>
      <c r="B759" t="s">
        <v>229</v>
      </c>
    </row>
    <row r="760" spans="1:2" x14ac:dyDescent="0.3">
      <c r="A760" t="s">
        <v>1812</v>
      </c>
    </row>
    <row r="761" spans="1:2" x14ac:dyDescent="0.3">
      <c r="A761" t="s">
        <v>1812</v>
      </c>
    </row>
    <row r="762" spans="1:2" x14ac:dyDescent="0.3">
      <c r="A762" t="s">
        <v>1812</v>
      </c>
    </row>
    <row r="763" spans="1:2" x14ac:dyDescent="0.3">
      <c r="A763" t="s">
        <v>540</v>
      </c>
    </row>
    <row r="764" spans="1:2" x14ac:dyDescent="0.3">
      <c r="A764" t="s">
        <v>540</v>
      </c>
      <c r="B764" t="s">
        <v>541</v>
      </c>
    </row>
    <row r="765" spans="1:2" x14ac:dyDescent="0.3">
      <c r="A765" t="s">
        <v>540</v>
      </c>
      <c r="B765" t="s">
        <v>541</v>
      </c>
    </row>
    <row r="766" spans="1:2" x14ac:dyDescent="0.3">
      <c r="A766" t="s">
        <v>540</v>
      </c>
      <c r="B766" t="s">
        <v>541</v>
      </c>
    </row>
    <row r="767" spans="1:2" x14ac:dyDescent="0.3">
      <c r="A767" t="s">
        <v>540</v>
      </c>
      <c r="B767" t="s">
        <v>541</v>
      </c>
    </row>
    <row r="768" spans="1:2" x14ac:dyDescent="0.3">
      <c r="A768" t="s">
        <v>1388</v>
      </c>
    </row>
    <row r="769" spans="1:2" x14ac:dyDescent="0.3">
      <c r="A769" t="s">
        <v>1388</v>
      </c>
    </row>
    <row r="770" spans="1:2" x14ac:dyDescent="0.3">
      <c r="A770" t="s">
        <v>1388</v>
      </c>
    </row>
    <row r="771" spans="1:2" x14ac:dyDescent="0.3">
      <c r="A771" t="s">
        <v>1388</v>
      </c>
      <c r="B771" t="s">
        <v>1389</v>
      </c>
    </row>
    <row r="772" spans="1:2" x14ac:dyDescent="0.3">
      <c r="A772" t="s">
        <v>1388</v>
      </c>
      <c r="B772" t="s">
        <v>2070</v>
      </c>
    </row>
    <row r="773" spans="1:2" x14ac:dyDescent="0.3">
      <c r="A773" t="s">
        <v>385</v>
      </c>
      <c r="B773" t="s">
        <v>386</v>
      </c>
    </row>
    <row r="774" spans="1:2" x14ac:dyDescent="0.3">
      <c r="A774" t="s">
        <v>385</v>
      </c>
      <c r="B774" t="s">
        <v>386</v>
      </c>
    </row>
    <row r="775" spans="1:2" x14ac:dyDescent="0.3">
      <c r="A775" t="s">
        <v>385</v>
      </c>
      <c r="B775" t="s">
        <v>386</v>
      </c>
    </row>
    <row r="776" spans="1:2" x14ac:dyDescent="0.3">
      <c r="A776" t="s">
        <v>385</v>
      </c>
      <c r="B776" t="s">
        <v>386</v>
      </c>
    </row>
    <row r="777" spans="1:2" x14ac:dyDescent="0.3">
      <c r="A777" t="s">
        <v>385</v>
      </c>
      <c r="B777" t="s">
        <v>386</v>
      </c>
    </row>
    <row r="778" spans="1:2" x14ac:dyDescent="0.3">
      <c r="A778" t="s">
        <v>385</v>
      </c>
      <c r="B778" t="s">
        <v>386</v>
      </c>
    </row>
    <row r="779" spans="1:2" x14ac:dyDescent="0.3">
      <c r="A779" t="s">
        <v>487</v>
      </c>
      <c r="B779" t="s">
        <v>488</v>
      </c>
    </row>
    <row r="780" spans="1:2" x14ac:dyDescent="0.3">
      <c r="A780" t="s">
        <v>1452</v>
      </c>
    </row>
    <row r="781" spans="1:2" x14ac:dyDescent="0.3">
      <c r="A781" t="s">
        <v>2151</v>
      </c>
      <c r="B781" t="s">
        <v>2152</v>
      </c>
    </row>
    <row r="782" spans="1:2" x14ac:dyDescent="0.3">
      <c r="A782" t="s">
        <v>3088</v>
      </c>
    </row>
    <row r="783" spans="1:2" x14ac:dyDescent="0.3">
      <c r="A783" t="s">
        <v>3088</v>
      </c>
    </row>
    <row r="784" spans="1:2" x14ac:dyDescent="0.3">
      <c r="A784" t="s">
        <v>1315</v>
      </c>
      <c r="B784" t="s">
        <v>1316</v>
      </c>
    </row>
    <row r="785" spans="1:2" x14ac:dyDescent="0.3">
      <c r="A785" t="s">
        <v>1446</v>
      </c>
      <c r="B785" t="s">
        <v>1447</v>
      </c>
    </row>
    <row r="786" spans="1:2" x14ac:dyDescent="0.3">
      <c r="A786" t="s">
        <v>1446</v>
      </c>
      <c r="B786" t="s">
        <v>1447</v>
      </c>
    </row>
    <row r="787" spans="1:2" x14ac:dyDescent="0.3">
      <c r="A787" t="s">
        <v>281</v>
      </c>
      <c r="B787" t="s">
        <v>282</v>
      </c>
    </row>
    <row r="788" spans="1:2" x14ac:dyDescent="0.3">
      <c r="A788" t="s">
        <v>1275</v>
      </c>
    </row>
    <row r="789" spans="1:2" x14ac:dyDescent="0.3">
      <c r="A789" t="s">
        <v>3073</v>
      </c>
    </row>
    <row r="790" spans="1:2" x14ac:dyDescent="0.3">
      <c r="A790" t="s">
        <v>2949</v>
      </c>
    </row>
    <row r="791" spans="1:2" x14ac:dyDescent="0.3">
      <c r="A791" t="s">
        <v>2949</v>
      </c>
    </row>
    <row r="792" spans="1:2" x14ac:dyDescent="0.3">
      <c r="A792" t="s">
        <v>2949</v>
      </c>
    </row>
    <row r="793" spans="1:2" x14ac:dyDescent="0.3">
      <c r="A793" t="s">
        <v>2587</v>
      </c>
      <c r="B793" t="s">
        <v>2588</v>
      </c>
    </row>
    <row r="794" spans="1:2" x14ac:dyDescent="0.3">
      <c r="A794" t="s">
        <v>2587</v>
      </c>
      <c r="B794" t="s">
        <v>2588</v>
      </c>
    </row>
    <row r="795" spans="1:2" x14ac:dyDescent="0.3">
      <c r="A795" t="s">
        <v>2587</v>
      </c>
      <c r="B795" t="s">
        <v>2588</v>
      </c>
    </row>
    <row r="796" spans="1:2" x14ac:dyDescent="0.3">
      <c r="A796" t="s">
        <v>2587</v>
      </c>
      <c r="B796" t="s">
        <v>2588</v>
      </c>
    </row>
    <row r="797" spans="1:2" x14ac:dyDescent="0.3">
      <c r="A797" t="s">
        <v>2587</v>
      </c>
      <c r="B797" t="s">
        <v>2588</v>
      </c>
    </row>
    <row r="798" spans="1:2" x14ac:dyDescent="0.3">
      <c r="A798" t="s">
        <v>2587</v>
      </c>
      <c r="B798" t="s">
        <v>2588</v>
      </c>
    </row>
    <row r="799" spans="1:2" x14ac:dyDescent="0.3">
      <c r="A799" t="s">
        <v>2587</v>
      </c>
      <c r="B799" t="s">
        <v>2588</v>
      </c>
    </row>
    <row r="800" spans="1:2" x14ac:dyDescent="0.3">
      <c r="A800" t="s">
        <v>2587</v>
      </c>
      <c r="B800" t="s">
        <v>2588</v>
      </c>
    </row>
    <row r="801" spans="1:2" x14ac:dyDescent="0.3">
      <c r="A801" t="s">
        <v>2587</v>
      </c>
      <c r="B801" t="s">
        <v>2588</v>
      </c>
    </row>
    <row r="802" spans="1:2" x14ac:dyDescent="0.3">
      <c r="A802" t="s">
        <v>2587</v>
      </c>
      <c r="B802" t="s">
        <v>2588</v>
      </c>
    </row>
    <row r="803" spans="1:2" x14ac:dyDescent="0.3">
      <c r="A803" t="s">
        <v>1429</v>
      </c>
      <c r="B803" t="s">
        <v>1430</v>
      </c>
    </row>
    <row r="804" spans="1:2" x14ac:dyDescent="0.3">
      <c r="A804" t="s">
        <v>908</v>
      </c>
      <c r="B804" t="s">
        <v>909</v>
      </c>
    </row>
    <row r="805" spans="1:2" x14ac:dyDescent="0.3">
      <c r="A805" t="s">
        <v>1185</v>
      </c>
      <c r="B805" t="s">
        <v>2369</v>
      </c>
    </row>
    <row r="806" spans="1:2" x14ac:dyDescent="0.3">
      <c r="A806" t="s">
        <v>1185</v>
      </c>
      <c r="B806" t="s">
        <v>2369</v>
      </c>
    </row>
    <row r="807" spans="1:2" x14ac:dyDescent="0.3">
      <c r="A807" t="s">
        <v>1185</v>
      </c>
      <c r="B807" t="s">
        <v>1186</v>
      </c>
    </row>
    <row r="808" spans="1:2" x14ac:dyDescent="0.3">
      <c r="A808" t="s">
        <v>2187</v>
      </c>
    </row>
    <row r="809" spans="1:2" x14ac:dyDescent="0.3">
      <c r="A809" t="s">
        <v>2187</v>
      </c>
      <c r="B809" t="s">
        <v>2521</v>
      </c>
    </row>
    <row r="810" spans="1:2" x14ac:dyDescent="0.3">
      <c r="A810" t="s">
        <v>1321</v>
      </c>
    </row>
    <row r="811" spans="1:2" x14ac:dyDescent="0.3">
      <c r="A811" t="s">
        <v>1321</v>
      </c>
    </row>
    <row r="812" spans="1:2" x14ac:dyDescent="0.3">
      <c r="A812" t="s">
        <v>340</v>
      </c>
      <c r="B812" t="s">
        <v>341</v>
      </c>
    </row>
    <row r="813" spans="1:2" x14ac:dyDescent="0.3">
      <c r="A813" t="s">
        <v>340</v>
      </c>
      <c r="B813" t="s">
        <v>341</v>
      </c>
    </row>
    <row r="814" spans="1:2" x14ac:dyDescent="0.3">
      <c r="A814" t="s">
        <v>340</v>
      </c>
      <c r="B814" t="s">
        <v>341</v>
      </c>
    </row>
    <row r="815" spans="1:2" x14ac:dyDescent="0.3">
      <c r="A815" t="s">
        <v>2885</v>
      </c>
    </row>
    <row r="816" spans="1:2" x14ac:dyDescent="0.3">
      <c r="A816" t="s">
        <v>1819</v>
      </c>
    </row>
    <row r="817" spans="1:2" x14ac:dyDescent="0.3">
      <c r="A817" t="s">
        <v>43</v>
      </c>
      <c r="B817" t="s">
        <v>2121</v>
      </c>
    </row>
    <row r="818" spans="1:2" x14ac:dyDescent="0.3">
      <c r="A818" t="s">
        <v>43</v>
      </c>
      <c r="B818" t="s">
        <v>44</v>
      </c>
    </row>
    <row r="819" spans="1:2" x14ac:dyDescent="0.3">
      <c r="A819" t="s">
        <v>43</v>
      </c>
      <c r="B819" t="s">
        <v>44</v>
      </c>
    </row>
    <row r="820" spans="1:2" x14ac:dyDescent="0.3">
      <c r="A820" t="s">
        <v>43</v>
      </c>
      <c r="B820" t="s">
        <v>44</v>
      </c>
    </row>
    <row r="821" spans="1:2" x14ac:dyDescent="0.3">
      <c r="A821" t="s">
        <v>2937</v>
      </c>
    </row>
    <row r="822" spans="1:2" x14ac:dyDescent="0.3">
      <c r="A822" t="s">
        <v>1089</v>
      </c>
      <c r="B822" t="s">
        <v>1090</v>
      </c>
    </row>
    <row r="823" spans="1:2" x14ac:dyDescent="0.3">
      <c r="A823" t="s">
        <v>2778</v>
      </c>
    </row>
    <row r="824" spans="1:2" x14ac:dyDescent="0.3">
      <c r="A824" t="s">
        <v>1535</v>
      </c>
    </row>
    <row r="825" spans="1:2" x14ac:dyDescent="0.3">
      <c r="A825" t="s">
        <v>1535</v>
      </c>
    </row>
    <row r="826" spans="1:2" x14ac:dyDescent="0.3">
      <c r="A826" t="s">
        <v>1535</v>
      </c>
    </row>
    <row r="827" spans="1:2" x14ac:dyDescent="0.3">
      <c r="A827" t="s">
        <v>1535</v>
      </c>
    </row>
    <row r="828" spans="1:2" x14ac:dyDescent="0.3">
      <c r="A828" t="s">
        <v>1535</v>
      </c>
    </row>
    <row r="829" spans="1:2" x14ac:dyDescent="0.3">
      <c r="A829" t="s">
        <v>1535</v>
      </c>
    </row>
    <row r="830" spans="1:2" x14ac:dyDescent="0.3">
      <c r="A830" t="s">
        <v>1535</v>
      </c>
    </row>
    <row r="831" spans="1:2" x14ac:dyDescent="0.3">
      <c r="A831" t="s">
        <v>1535</v>
      </c>
    </row>
    <row r="832" spans="1:2" x14ac:dyDescent="0.3">
      <c r="A832" t="s">
        <v>1535</v>
      </c>
      <c r="B832" t="s">
        <v>1536</v>
      </c>
    </row>
    <row r="833" spans="1:2" x14ac:dyDescent="0.3">
      <c r="A833" t="s">
        <v>1535</v>
      </c>
      <c r="B833" t="s">
        <v>1536</v>
      </c>
    </row>
    <row r="834" spans="1:2" x14ac:dyDescent="0.3">
      <c r="A834" t="s">
        <v>1035</v>
      </c>
      <c r="B834" t="s">
        <v>1036</v>
      </c>
    </row>
    <row r="835" spans="1:2" x14ac:dyDescent="0.3">
      <c r="A835" t="s">
        <v>1035</v>
      </c>
      <c r="B835" t="s">
        <v>1039</v>
      </c>
    </row>
    <row r="836" spans="1:2" x14ac:dyDescent="0.3">
      <c r="A836" t="s">
        <v>1035</v>
      </c>
      <c r="B836" t="s">
        <v>1303</v>
      </c>
    </row>
    <row r="837" spans="1:2" x14ac:dyDescent="0.3">
      <c r="A837" t="s">
        <v>925</v>
      </c>
      <c r="B837" t="s">
        <v>2725</v>
      </c>
    </row>
    <row r="838" spans="1:2" x14ac:dyDescent="0.3">
      <c r="A838" t="s">
        <v>925</v>
      </c>
      <c r="B838" t="s">
        <v>926</v>
      </c>
    </row>
    <row r="839" spans="1:2" x14ac:dyDescent="0.3">
      <c r="A839" t="s">
        <v>925</v>
      </c>
      <c r="B839" t="s">
        <v>2076</v>
      </c>
    </row>
    <row r="840" spans="1:2" x14ac:dyDescent="0.3">
      <c r="A840" t="s">
        <v>2219</v>
      </c>
    </row>
    <row r="841" spans="1:2" x14ac:dyDescent="0.3">
      <c r="A841" t="s">
        <v>1874</v>
      </c>
    </row>
    <row r="842" spans="1:2" x14ac:dyDescent="0.3">
      <c r="A842" t="s">
        <v>1852</v>
      </c>
    </row>
    <row r="843" spans="1:2" x14ac:dyDescent="0.3">
      <c r="A843" t="s">
        <v>1867</v>
      </c>
    </row>
    <row r="844" spans="1:2" x14ac:dyDescent="0.3">
      <c r="A844" t="s">
        <v>1867</v>
      </c>
      <c r="B844" t="s">
        <v>1868</v>
      </c>
    </row>
    <row r="845" spans="1:2" x14ac:dyDescent="0.3">
      <c r="A845" t="s">
        <v>319</v>
      </c>
      <c r="B845" t="s">
        <v>320</v>
      </c>
    </row>
    <row r="846" spans="1:2" x14ac:dyDescent="0.3">
      <c r="A846" t="s">
        <v>599</v>
      </c>
      <c r="B846" t="s">
        <v>600</v>
      </c>
    </row>
    <row r="847" spans="1:2" x14ac:dyDescent="0.3">
      <c r="A847" t="s">
        <v>369</v>
      </c>
    </row>
    <row r="848" spans="1:2" x14ac:dyDescent="0.3">
      <c r="A848" t="s">
        <v>369</v>
      </c>
      <c r="B848" t="s">
        <v>370</v>
      </c>
    </row>
    <row r="849" spans="1:2" x14ac:dyDescent="0.3">
      <c r="A849" t="s">
        <v>1059</v>
      </c>
      <c r="B849" t="s">
        <v>1060</v>
      </c>
    </row>
    <row r="850" spans="1:2" x14ac:dyDescent="0.3">
      <c r="A850" t="s">
        <v>470</v>
      </c>
      <c r="B850" t="s">
        <v>471</v>
      </c>
    </row>
    <row r="851" spans="1:2" x14ac:dyDescent="0.3">
      <c r="A851" t="s">
        <v>470</v>
      </c>
      <c r="B851" t="s">
        <v>2247</v>
      </c>
    </row>
    <row r="852" spans="1:2" x14ac:dyDescent="0.3">
      <c r="A852" t="s">
        <v>470</v>
      </c>
      <c r="B852" t="s">
        <v>1464</v>
      </c>
    </row>
    <row r="853" spans="1:2" x14ac:dyDescent="0.3">
      <c r="A853" t="s">
        <v>470</v>
      </c>
      <c r="B853" t="s">
        <v>656</v>
      </c>
    </row>
    <row r="854" spans="1:2" x14ac:dyDescent="0.3">
      <c r="A854" t="s">
        <v>470</v>
      </c>
      <c r="B854" t="s">
        <v>653</v>
      </c>
    </row>
    <row r="855" spans="1:2" x14ac:dyDescent="0.3">
      <c r="A855" t="s">
        <v>60</v>
      </c>
      <c r="B855" t="s">
        <v>61</v>
      </c>
    </row>
    <row r="856" spans="1:2" x14ac:dyDescent="0.3">
      <c r="A856" t="s">
        <v>1490</v>
      </c>
    </row>
    <row r="857" spans="1:2" x14ac:dyDescent="0.3">
      <c r="A857" t="s">
        <v>1490</v>
      </c>
    </row>
    <row r="858" spans="1:2" x14ac:dyDescent="0.3">
      <c r="A858" t="s">
        <v>1490</v>
      </c>
      <c r="B858" t="s">
        <v>2130</v>
      </c>
    </row>
    <row r="859" spans="1:2" x14ac:dyDescent="0.3">
      <c r="A859" t="s">
        <v>2835</v>
      </c>
    </row>
    <row r="860" spans="1:2" x14ac:dyDescent="0.3">
      <c r="A860" t="s">
        <v>2044</v>
      </c>
      <c r="B860" t="s">
        <v>2045</v>
      </c>
    </row>
    <row r="861" spans="1:2" x14ac:dyDescent="0.3">
      <c r="A861" t="s">
        <v>718</v>
      </c>
      <c r="B861" t="s">
        <v>719</v>
      </c>
    </row>
    <row r="862" spans="1:2" x14ac:dyDescent="0.3">
      <c r="A862" t="s">
        <v>718</v>
      </c>
      <c r="B862" t="s">
        <v>719</v>
      </c>
    </row>
    <row r="863" spans="1:2" x14ac:dyDescent="0.3">
      <c r="A863" t="s">
        <v>2136</v>
      </c>
      <c r="B863" t="s">
        <v>2137</v>
      </c>
    </row>
    <row r="864" spans="1:2" x14ac:dyDescent="0.3">
      <c r="A864" t="s">
        <v>5133</v>
      </c>
    </row>
    <row r="865" spans="1:1" x14ac:dyDescent="0.3">
      <c r="A865" t="s">
        <v>5133</v>
      </c>
    </row>
    <row r="866" spans="1:1" x14ac:dyDescent="0.3">
      <c r="A866" t="s">
        <v>5133</v>
      </c>
    </row>
    <row r="867" spans="1:1" x14ac:dyDescent="0.3">
      <c r="A867" t="s">
        <v>5133</v>
      </c>
    </row>
    <row r="868" spans="1:1" x14ac:dyDescent="0.3">
      <c r="A868" t="s">
        <v>5133</v>
      </c>
    </row>
    <row r="869" spans="1:1" x14ac:dyDescent="0.3">
      <c r="A869" t="s">
        <v>5133</v>
      </c>
    </row>
    <row r="870" spans="1:1" x14ac:dyDescent="0.3">
      <c r="A870" t="s">
        <v>5133</v>
      </c>
    </row>
    <row r="871" spans="1:1" x14ac:dyDescent="0.3">
      <c r="A871" t="s">
        <v>5297</v>
      </c>
    </row>
    <row r="872" spans="1:1" x14ac:dyDescent="0.3">
      <c r="A872" t="s">
        <v>4986</v>
      </c>
    </row>
    <row r="873" spans="1:1" x14ac:dyDescent="0.3">
      <c r="A873" t="s">
        <v>4986</v>
      </c>
    </row>
    <row r="874" spans="1:1" x14ac:dyDescent="0.3">
      <c r="A874" t="s">
        <v>5108</v>
      </c>
    </row>
    <row r="875" spans="1:1" x14ac:dyDescent="0.3">
      <c r="A875" t="s">
        <v>5108</v>
      </c>
    </row>
    <row r="876" spans="1:1" x14ac:dyDescent="0.3">
      <c r="A876" t="s">
        <v>5108</v>
      </c>
    </row>
    <row r="877" spans="1:1" x14ac:dyDescent="0.3">
      <c r="A877" t="s">
        <v>5108</v>
      </c>
    </row>
    <row r="878" spans="1:1" x14ac:dyDescent="0.3">
      <c r="A878" t="s">
        <v>5108</v>
      </c>
    </row>
    <row r="879" spans="1:1" x14ac:dyDescent="0.3">
      <c r="A879" t="s">
        <v>5108</v>
      </c>
    </row>
    <row r="880" spans="1:1" x14ac:dyDescent="0.3">
      <c r="A880" t="s">
        <v>5108</v>
      </c>
    </row>
    <row r="881" spans="1:1" x14ac:dyDescent="0.3">
      <c r="A881" t="s">
        <v>5108</v>
      </c>
    </row>
    <row r="882" spans="1:1" x14ac:dyDescent="0.3">
      <c r="A882" t="s">
        <v>5108</v>
      </c>
    </row>
    <row r="883" spans="1:1" x14ac:dyDescent="0.3">
      <c r="A883" t="s">
        <v>5344</v>
      </c>
    </row>
    <row r="884" spans="1:1" x14ac:dyDescent="0.3">
      <c r="A884" t="s">
        <v>5344</v>
      </c>
    </row>
    <row r="885" spans="1:1" x14ac:dyDescent="0.3">
      <c r="A885" t="s">
        <v>5344</v>
      </c>
    </row>
    <row r="886" spans="1:1" x14ac:dyDescent="0.3">
      <c r="A886" t="s">
        <v>5344</v>
      </c>
    </row>
    <row r="887" spans="1:1" x14ac:dyDescent="0.3">
      <c r="A887" t="s">
        <v>5386</v>
      </c>
    </row>
    <row r="888" spans="1:1" x14ac:dyDescent="0.3">
      <c r="A888" t="s">
        <v>5227</v>
      </c>
    </row>
    <row r="889" spans="1:1" x14ac:dyDescent="0.3">
      <c r="A889" t="s">
        <v>2648</v>
      </c>
    </row>
    <row r="890" spans="1:1" x14ac:dyDescent="0.3">
      <c r="A890" t="s">
        <v>2648</v>
      </c>
    </row>
    <row r="891" spans="1:1" x14ac:dyDescent="0.3">
      <c r="A891" t="s">
        <v>2648</v>
      </c>
    </row>
    <row r="892" spans="1:1" x14ac:dyDescent="0.3">
      <c r="A892" t="s">
        <v>2648</v>
      </c>
    </row>
    <row r="893" spans="1:1" x14ac:dyDescent="0.3">
      <c r="A893" t="s">
        <v>2648</v>
      </c>
    </row>
    <row r="894" spans="1:1" x14ac:dyDescent="0.3">
      <c r="A894" t="s">
        <v>2648</v>
      </c>
    </row>
    <row r="895" spans="1:1" x14ac:dyDescent="0.3">
      <c r="A895" t="s">
        <v>2648</v>
      </c>
    </row>
    <row r="896" spans="1:1" x14ac:dyDescent="0.3">
      <c r="A896" t="s">
        <v>2648</v>
      </c>
    </row>
    <row r="897" spans="1:1" x14ac:dyDescent="0.3">
      <c r="A897" t="s">
        <v>2648</v>
      </c>
    </row>
    <row r="898" spans="1:1" x14ac:dyDescent="0.3">
      <c r="A898" t="s">
        <v>2648</v>
      </c>
    </row>
    <row r="899" spans="1:1" x14ac:dyDescent="0.3">
      <c r="A899" t="s">
        <v>2648</v>
      </c>
    </row>
    <row r="900" spans="1:1" x14ac:dyDescent="0.3">
      <c r="A900" t="s">
        <v>2648</v>
      </c>
    </row>
    <row r="901" spans="1:1" x14ac:dyDescent="0.3">
      <c r="A901" t="s">
        <v>2648</v>
      </c>
    </row>
    <row r="902" spans="1:1" x14ac:dyDescent="0.3">
      <c r="A902" t="s">
        <v>2648</v>
      </c>
    </row>
    <row r="903" spans="1:1" x14ac:dyDescent="0.3">
      <c r="A903" t="s">
        <v>2648</v>
      </c>
    </row>
    <row r="904" spans="1:1" x14ac:dyDescent="0.3">
      <c r="A904" t="s">
        <v>864</v>
      </c>
    </row>
    <row r="905" spans="1:1" x14ac:dyDescent="0.3">
      <c r="A905" t="s">
        <v>864</v>
      </c>
    </row>
    <row r="906" spans="1:1" x14ac:dyDescent="0.3">
      <c r="A906" t="s">
        <v>864</v>
      </c>
    </row>
    <row r="907" spans="1:1" x14ac:dyDescent="0.3">
      <c r="A907" t="s">
        <v>864</v>
      </c>
    </row>
    <row r="908" spans="1:1" x14ac:dyDescent="0.3">
      <c r="A908" t="s">
        <v>864</v>
      </c>
    </row>
    <row r="909" spans="1:1" x14ac:dyDescent="0.3">
      <c r="A909" t="s">
        <v>864</v>
      </c>
    </row>
    <row r="910" spans="1:1" x14ac:dyDescent="0.3">
      <c r="A910" t="s">
        <v>864</v>
      </c>
    </row>
    <row r="911" spans="1:1" x14ac:dyDescent="0.3">
      <c r="A911" t="s">
        <v>864</v>
      </c>
    </row>
    <row r="912" spans="1:1" x14ac:dyDescent="0.3">
      <c r="A912" t="s">
        <v>864</v>
      </c>
    </row>
    <row r="913" spans="1:1" x14ac:dyDescent="0.3">
      <c r="A913" t="s">
        <v>864</v>
      </c>
    </row>
    <row r="914" spans="1:1" x14ac:dyDescent="0.3">
      <c r="A914" t="s">
        <v>864</v>
      </c>
    </row>
    <row r="915" spans="1:1" x14ac:dyDescent="0.3">
      <c r="A915" t="s">
        <v>864</v>
      </c>
    </row>
    <row r="916" spans="1:1" x14ac:dyDescent="0.3">
      <c r="A916" t="s">
        <v>864</v>
      </c>
    </row>
    <row r="917" spans="1:1" x14ac:dyDescent="0.3">
      <c r="A917" t="s">
        <v>864</v>
      </c>
    </row>
    <row r="918" spans="1:1" x14ac:dyDescent="0.3">
      <c r="A918" t="s">
        <v>864</v>
      </c>
    </row>
    <row r="919" spans="1:1" x14ac:dyDescent="0.3">
      <c r="A919" t="s">
        <v>864</v>
      </c>
    </row>
    <row r="920" spans="1:1" x14ac:dyDescent="0.3">
      <c r="A920" t="s">
        <v>864</v>
      </c>
    </row>
    <row r="921" spans="1:1" x14ac:dyDescent="0.3">
      <c r="A921" t="s">
        <v>864</v>
      </c>
    </row>
    <row r="922" spans="1:1" x14ac:dyDescent="0.3">
      <c r="A922" t="s">
        <v>864</v>
      </c>
    </row>
    <row r="923" spans="1:1" x14ac:dyDescent="0.3">
      <c r="A923" t="s">
        <v>864</v>
      </c>
    </row>
    <row r="924" spans="1:1" x14ac:dyDescent="0.3">
      <c r="A924" t="s">
        <v>864</v>
      </c>
    </row>
    <row r="925" spans="1:1" x14ac:dyDescent="0.3">
      <c r="A925" t="s">
        <v>5101</v>
      </c>
    </row>
    <row r="926" spans="1:1" x14ac:dyDescent="0.3">
      <c r="A926" t="s">
        <v>5101</v>
      </c>
    </row>
    <row r="927" spans="1:1" x14ac:dyDescent="0.3">
      <c r="A927" t="s">
        <v>5101</v>
      </c>
    </row>
    <row r="928" spans="1:1" x14ac:dyDescent="0.3">
      <c r="A928" t="s">
        <v>5101</v>
      </c>
    </row>
    <row r="929" spans="1:1" x14ac:dyDescent="0.3">
      <c r="A929" t="s">
        <v>5101</v>
      </c>
    </row>
    <row r="930" spans="1:1" x14ac:dyDescent="0.3">
      <c r="A930" t="s">
        <v>5101</v>
      </c>
    </row>
    <row r="931" spans="1:1" x14ac:dyDescent="0.3">
      <c r="A931" t="s">
        <v>5101</v>
      </c>
    </row>
    <row r="932" spans="1:1" x14ac:dyDescent="0.3">
      <c r="A932" t="s">
        <v>5321</v>
      </c>
    </row>
    <row r="933" spans="1:1" x14ac:dyDescent="0.3">
      <c r="A933" t="s">
        <v>5321</v>
      </c>
    </row>
    <row r="934" spans="1:1" x14ac:dyDescent="0.3">
      <c r="A934" t="s">
        <v>5321</v>
      </c>
    </row>
    <row r="935" spans="1:1" x14ac:dyDescent="0.3">
      <c r="A935" t="s">
        <v>5360</v>
      </c>
    </row>
    <row r="936" spans="1:1" x14ac:dyDescent="0.3">
      <c r="A936" t="s">
        <v>5360</v>
      </c>
    </row>
    <row r="937" spans="1:1" x14ac:dyDescent="0.3">
      <c r="A937" t="s">
        <v>5361</v>
      </c>
    </row>
    <row r="938" spans="1:1" x14ac:dyDescent="0.3">
      <c r="A938" t="s">
        <v>5100</v>
      </c>
    </row>
    <row r="939" spans="1:1" x14ac:dyDescent="0.3">
      <c r="A939" t="s">
        <v>5100</v>
      </c>
    </row>
    <row r="940" spans="1:1" x14ac:dyDescent="0.3">
      <c r="A940" t="s">
        <v>5192</v>
      </c>
    </row>
    <row r="941" spans="1:1" x14ac:dyDescent="0.3">
      <c r="A941" t="s">
        <v>5192</v>
      </c>
    </row>
    <row r="942" spans="1:1" x14ac:dyDescent="0.3">
      <c r="A942" t="s">
        <v>5192</v>
      </c>
    </row>
    <row r="943" spans="1:1" x14ac:dyDescent="0.3">
      <c r="A943" t="s">
        <v>5192</v>
      </c>
    </row>
    <row r="944" spans="1:1" x14ac:dyDescent="0.3">
      <c r="A944" t="s">
        <v>5192</v>
      </c>
    </row>
    <row r="945" spans="1:1" x14ac:dyDescent="0.3">
      <c r="A945" t="s">
        <v>5192</v>
      </c>
    </row>
    <row r="946" spans="1:1" x14ac:dyDescent="0.3">
      <c r="A946" t="s">
        <v>5192</v>
      </c>
    </row>
    <row r="947" spans="1:1" x14ac:dyDescent="0.3">
      <c r="A947" t="s">
        <v>5192</v>
      </c>
    </row>
    <row r="948" spans="1:1" x14ac:dyDescent="0.3">
      <c r="A948" t="s">
        <v>5192</v>
      </c>
    </row>
    <row r="949" spans="1:1" x14ac:dyDescent="0.3">
      <c r="A949" t="s">
        <v>5192</v>
      </c>
    </row>
    <row r="950" spans="1:1" x14ac:dyDescent="0.3">
      <c r="A950" t="s">
        <v>5192</v>
      </c>
    </row>
    <row r="951" spans="1:1" x14ac:dyDescent="0.3">
      <c r="A951" t="s">
        <v>5192</v>
      </c>
    </row>
    <row r="952" spans="1:1" x14ac:dyDescent="0.3">
      <c r="A952" t="s">
        <v>5192</v>
      </c>
    </row>
    <row r="953" spans="1:1" x14ac:dyDescent="0.3">
      <c r="A953" t="s">
        <v>5192</v>
      </c>
    </row>
    <row r="954" spans="1:1" x14ac:dyDescent="0.3">
      <c r="A954" t="s">
        <v>5192</v>
      </c>
    </row>
    <row r="955" spans="1:1" x14ac:dyDescent="0.3">
      <c r="A955" t="s">
        <v>5192</v>
      </c>
    </row>
    <row r="956" spans="1:1" x14ac:dyDescent="0.3">
      <c r="A956" t="s">
        <v>5192</v>
      </c>
    </row>
    <row r="957" spans="1:1" x14ac:dyDescent="0.3">
      <c r="A957" t="s">
        <v>5192</v>
      </c>
    </row>
    <row r="958" spans="1:1" x14ac:dyDescent="0.3">
      <c r="A958" t="s">
        <v>5192</v>
      </c>
    </row>
    <row r="959" spans="1:1" x14ac:dyDescent="0.3">
      <c r="A959" t="s">
        <v>5192</v>
      </c>
    </row>
    <row r="960" spans="1:1" x14ac:dyDescent="0.3">
      <c r="A960" t="s">
        <v>5192</v>
      </c>
    </row>
    <row r="961" spans="1:1" x14ac:dyDescent="0.3">
      <c r="A961" t="s">
        <v>5192</v>
      </c>
    </row>
    <row r="962" spans="1:1" x14ac:dyDescent="0.3">
      <c r="A962" t="s">
        <v>5192</v>
      </c>
    </row>
    <row r="963" spans="1:1" x14ac:dyDescent="0.3">
      <c r="A963" t="s">
        <v>5192</v>
      </c>
    </row>
    <row r="964" spans="1:1" x14ac:dyDescent="0.3">
      <c r="A964" t="s">
        <v>728</v>
      </c>
    </row>
    <row r="965" spans="1:1" x14ac:dyDescent="0.3">
      <c r="A965" t="s">
        <v>728</v>
      </c>
    </row>
    <row r="966" spans="1:1" x14ac:dyDescent="0.3">
      <c r="A966" t="s">
        <v>728</v>
      </c>
    </row>
    <row r="967" spans="1:1" x14ac:dyDescent="0.3">
      <c r="A967" t="s">
        <v>728</v>
      </c>
    </row>
    <row r="968" spans="1:1" x14ac:dyDescent="0.3">
      <c r="A968" t="s">
        <v>728</v>
      </c>
    </row>
    <row r="969" spans="1:1" x14ac:dyDescent="0.3">
      <c r="A969" t="s">
        <v>5350</v>
      </c>
    </row>
    <row r="970" spans="1:1" x14ac:dyDescent="0.3">
      <c r="A970" t="s">
        <v>4978</v>
      </c>
    </row>
    <row r="971" spans="1:1" x14ac:dyDescent="0.3">
      <c r="A971" t="s">
        <v>4973</v>
      </c>
    </row>
    <row r="972" spans="1:1" x14ac:dyDescent="0.3">
      <c r="A972" t="s">
        <v>4973</v>
      </c>
    </row>
    <row r="973" spans="1:1" x14ac:dyDescent="0.3">
      <c r="A973" t="s">
        <v>4973</v>
      </c>
    </row>
    <row r="974" spans="1:1" x14ac:dyDescent="0.3">
      <c r="A974" t="s">
        <v>4973</v>
      </c>
    </row>
    <row r="975" spans="1:1" x14ac:dyDescent="0.3">
      <c r="A975" t="s">
        <v>4973</v>
      </c>
    </row>
    <row r="976" spans="1:1" x14ac:dyDescent="0.3">
      <c r="A976" t="s">
        <v>4973</v>
      </c>
    </row>
    <row r="977" spans="1:1" x14ac:dyDescent="0.3">
      <c r="A977" t="s">
        <v>4973</v>
      </c>
    </row>
    <row r="978" spans="1:1" x14ac:dyDescent="0.3">
      <c r="A978" t="s">
        <v>4973</v>
      </c>
    </row>
    <row r="979" spans="1:1" x14ac:dyDescent="0.3">
      <c r="A979" t="s">
        <v>4973</v>
      </c>
    </row>
    <row r="980" spans="1:1" x14ac:dyDescent="0.3">
      <c r="A980" t="s">
        <v>4973</v>
      </c>
    </row>
    <row r="981" spans="1:1" x14ac:dyDescent="0.3">
      <c r="A981" t="s">
        <v>4973</v>
      </c>
    </row>
    <row r="982" spans="1:1" x14ac:dyDescent="0.3">
      <c r="A982" t="s">
        <v>4973</v>
      </c>
    </row>
    <row r="983" spans="1:1" x14ac:dyDescent="0.3">
      <c r="A983" t="s">
        <v>4973</v>
      </c>
    </row>
    <row r="984" spans="1:1" x14ac:dyDescent="0.3">
      <c r="A984" t="s">
        <v>5159</v>
      </c>
    </row>
    <row r="985" spans="1:1" x14ac:dyDescent="0.3">
      <c r="A985" t="s">
        <v>5159</v>
      </c>
    </row>
    <row r="986" spans="1:1" x14ac:dyDescent="0.3">
      <c r="A986" t="s">
        <v>5159</v>
      </c>
    </row>
    <row r="987" spans="1:1" x14ac:dyDescent="0.3">
      <c r="A987" t="s">
        <v>5159</v>
      </c>
    </row>
    <row r="988" spans="1:1" x14ac:dyDescent="0.3">
      <c r="A988" t="s">
        <v>5159</v>
      </c>
    </row>
    <row r="989" spans="1:1" x14ac:dyDescent="0.3">
      <c r="A989" t="s">
        <v>5159</v>
      </c>
    </row>
    <row r="990" spans="1:1" x14ac:dyDescent="0.3">
      <c r="A990" t="s">
        <v>5281</v>
      </c>
    </row>
    <row r="991" spans="1:1" x14ac:dyDescent="0.3">
      <c r="A991" t="s">
        <v>5281</v>
      </c>
    </row>
    <row r="992" spans="1:1" x14ac:dyDescent="0.3">
      <c r="A992" t="s">
        <v>5359</v>
      </c>
    </row>
    <row r="993" spans="1:1" x14ac:dyDescent="0.3">
      <c r="A993" t="s">
        <v>5127</v>
      </c>
    </row>
    <row r="994" spans="1:1" x14ac:dyDescent="0.3">
      <c r="A994" t="s">
        <v>5127</v>
      </c>
    </row>
    <row r="995" spans="1:1" x14ac:dyDescent="0.3">
      <c r="A995" t="s">
        <v>5306</v>
      </c>
    </row>
    <row r="996" spans="1:1" x14ac:dyDescent="0.3">
      <c r="A996" t="s">
        <v>5306</v>
      </c>
    </row>
    <row r="997" spans="1:1" x14ac:dyDescent="0.3">
      <c r="A997" t="s">
        <v>5306</v>
      </c>
    </row>
    <row r="998" spans="1:1" x14ac:dyDescent="0.3">
      <c r="A998" t="s">
        <v>5306</v>
      </c>
    </row>
    <row r="999" spans="1:1" x14ac:dyDescent="0.3">
      <c r="A999" t="s">
        <v>5306</v>
      </c>
    </row>
    <row r="1000" spans="1:1" x14ac:dyDescent="0.3">
      <c r="A1000" t="s">
        <v>5306</v>
      </c>
    </row>
    <row r="1001" spans="1:1" x14ac:dyDescent="0.3">
      <c r="A1001" t="s">
        <v>5306</v>
      </c>
    </row>
    <row r="1002" spans="1:1" x14ac:dyDescent="0.3">
      <c r="A1002" t="s">
        <v>5306</v>
      </c>
    </row>
    <row r="1003" spans="1:1" x14ac:dyDescent="0.3">
      <c r="A1003" t="s">
        <v>5306</v>
      </c>
    </row>
    <row r="1004" spans="1:1" x14ac:dyDescent="0.3">
      <c r="A1004" t="s">
        <v>5306</v>
      </c>
    </row>
    <row r="1005" spans="1:1" x14ac:dyDescent="0.3">
      <c r="A1005" t="s">
        <v>5306</v>
      </c>
    </row>
    <row r="1006" spans="1:1" x14ac:dyDescent="0.3">
      <c r="A1006" t="s">
        <v>5306</v>
      </c>
    </row>
    <row r="1007" spans="1:1" x14ac:dyDescent="0.3">
      <c r="A1007" t="s">
        <v>5306</v>
      </c>
    </row>
    <row r="1008" spans="1:1" x14ac:dyDescent="0.3">
      <c r="A1008" t="s">
        <v>5063</v>
      </c>
    </row>
    <row r="1009" spans="1:1" x14ac:dyDescent="0.3">
      <c r="A1009" t="s">
        <v>5206</v>
      </c>
    </row>
    <row r="1010" spans="1:1" x14ac:dyDescent="0.3">
      <c r="A1010" t="s">
        <v>5206</v>
      </c>
    </row>
    <row r="1011" spans="1:1" x14ac:dyDescent="0.3">
      <c r="A1011" t="s">
        <v>5203</v>
      </c>
    </row>
    <row r="1012" spans="1:1" x14ac:dyDescent="0.3">
      <c r="A1012" t="s">
        <v>5203</v>
      </c>
    </row>
    <row r="1013" spans="1:1" x14ac:dyDescent="0.3">
      <c r="A1013" t="s">
        <v>5203</v>
      </c>
    </row>
    <row r="1014" spans="1:1" x14ac:dyDescent="0.3">
      <c r="A1014" t="s">
        <v>5203</v>
      </c>
    </row>
    <row r="1015" spans="1:1" x14ac:dyDescent="0.3">
      <c r="A1015" t="s">
        <v>5203</v>
      </c>
    </row>
    <row r="1016" spans="1:1" x14ac:dyDescent="0.3">
      <c r="A1016" t="s">
        <v>5203</v>
      </c>
    </row>
    <row r="1017" spans="1:1" x14ac:dyDescent="0.3">
      <c r="A1017" t="s">
        <v>5203</v>
      </c>
    </row>
    <row r="1018" spans="1:1" x14ac:dyDescent="0.3">
      <c r="A1018" t="s">
        <v>5203</v>
      </c>
    </row>
    <row r="1019" spans="1:1" x14ac:dyDescent="0.3">
      <c r="A1019" t="s">
        <v>5203</v>
      </c>
    </row>
    <row r="1020" spans="1:1" x14ac:dyDescent="0.3">
      <c r="A1020" t="s">
        <v>5203</v>
      </c>
    </row>
    <row r="1021" spans="1:1" x14ac:dyDescent="0.3">
      <c r="A1021" t="s">
        <v>5203</v>
      </c>
    </row>
    <row r="1022" spans="1:1" x14ac:dyDescent="0.3">
      <c r="A1022" t="s">
        <v>5203</v>
      </c>
    </row>
    <row r="1023" spans="1:1" x14ac:dyDescent="0.3">
      <c r="A1023" t="s">
        <v>5203</v>
      </c>
    </row>
    <row r="1024" spans="1:1" x14ac:dyDescent="0.3">
      <c r="A1024" t="s">
        <v>5203</v>
      </c>
    </row>
    <row r="1025" spans="1:1" x14ac:dyDescent="0.3">
      <c r="A1025" t="s">
        <v>5203</v>
      </c>
    </row>
    <row r="1026" spans="1:1" x14ac:dyDescent="0.3">
      <c r="A1026" t="s">
        <v>4996</v>
      </c>
    </row>
    <row r="1027" spans="1:1" x14ac:dyDescent="0.3">
      <c r="A1027" t="s">
        <v>4996</v>
      </c>
    </row>
    <row r="1028" spans="1:1" x14ac:dyDescent="0.3">
      <c r="A1028" t="s">
        <v>5111</v>
      </c>
    </row>
    <row r="1029" spans="1:1" x14ac:dyDescent="0.3">
      <c r="A1029" t="s">
        <v>5166</v>
      </c>
    </row>
    <row r="1030" spans="1:1" x14ac:dyDescent="0.3">
      <c r="A1030" t="s">
        <v>5298</v>
      </c>
    </row>
    <row r="1031" spans="1:1" x14ac:dyDescent="0.3">
      <c r="A1031" t="s">
        <v>5298</v>
      </c>
    </row>
    <row r="1032" spans="1:1" x14ac:dyDescent="0.3">
      <c r="A1032" t="s">
        <v>5314</v>
      </c>
    </row>
    <row r="1033" spans="1:1" x14ac:dyDescent="0.3">
      <c r="A1033" t="s">
        <v>5314</v>
      </c>
    </row>
    <row r="1034" spans="1:1" x14ac:dyDescent="0.3">
      <c r="A1034" t="s">
        <v>5114</v>
      </c>
    </row>
    <row r="1035" spans="1:1" x14ac:dyDescent="0.3">
      <c r="A1035" t="s">
        <v>5114</v>
      </c>
    </row>
    <row r="1036" spans="1:1" x14ac:dyDescent="0.3">
      <c r="A1036" t="s">
        <v>5114</v>
      </c>
    </row>
    <row r="1037" spans="1:1" x14ac:dyDescent="0.3">
      <c r="A1037" t="s">
        <v>5114</v>
      </c>
    </row>
    <row r="1038" spans="1:1" x14ac:dyDescent="0.3">
      <c r="A1038" t="s">
        <v>5230</v>
      </c>
    </row>
    <row r="1039" spans="1:1" x14ac:dyDescent="0.3">
      <c r="A1039" t="s">
        <v>5239</v>
      </c>
    </row>
    <row r="1040" spans="1:1" x14ac:dyDescent="0.3">
      <c r="A1040" t="s">
        <v>5038</v>
      </c>
    </row>
    <row r="1041" spans="1:1" x14ac:dyDescent="0.3">
      <c r="A1041" t="s">
        <v>5038</v>
      </c>
    </row>
    <row r="1042" spans="1:1" x14ac:dyDescent="0.3">
      <c r="A1042" t="s">
        <v>5038</v>
      </c>
    </row>
    <row r="1043" spans="1:1" x14ac:dyDescent="0.3">
      <c r="A1043" t="s">
        <v>5038</v>
      </c>
    </row>
    <row r="1044" spans="1:1" x14ac:dyDescent="0.3">
      <c r="A1044" t="s">
        <v>5038</v>
      </c>
    </row>
    <row r="1045" spans="1:1" x14ac:dyDescent="0.3">
      <c r="A1045" t="s">
        <v>5038</v>
      </c>
    </row>
    <row r="1046" spans="1:1" x14ac:dyDescent="0.3">
      <c r="A1046" t="s">
        <v>5038</v>
      </c>
    </row>
    <row r="1047" spans="1:1" x14ac:dyDescent="0.3">
      <c r="A1047" t="s">
        <v>5038</v>
      </c>
    </row>
    <row r="1048" spans="1:1" x14ac:dyDescent="0.3">
      <c r="A1048" t="s">
        <v>5038</v>
      </c>
    </row>
    <row r="1049" spans="1:1" x14ac:dyDescent="0.3">
      <c r="A1049" t="s">
        <v>5038</v>
      </c>
    </row>
    <row r="1050" spans="1:1" x14ac:dyDescent="0.3">
      <c r="A1050" t="s">
        <v>5038</v>
      </c>
    </row>
    <row r="1051" spans="1:1" x14ac:dyDescent="0.3">
      <c r="A1051" t="s">
        <v>5038</v>
      </c>
    </row>
    <row r="1052" spans="1:1" x14ac:dyDescent="0.3">
      <c r="A1052" t="s">
        <v>4999</v>
      </c>
    </row>
    <row r="1053" spans="1:1" x14ac:dyDescent="0.3">
      <c r="A1053" t="s">
        <v>4999</v>
      </c>
    </row>
    <row r="1054" spans="1:1" x14ac:dyDescent="0.3">
      <c r="A1054" t="s">
        <v>4999</v>
      </c>
    </row>
    <row r="1055" spans="1:1" x14ac:dyDescent="0.3">
      <c r="A1055" t="s">
        <v>4999</v>
      </c>
    </row>
    <row r="1056" spans="1:1" x14ac:dyDescent="0.3">
      <c r="A1056" t="s">
        <v>4999</v>
      </c>
    </row>
    <row r="1057" spans="1:1" x14ac:dyDescent="0.3">
      <c r="A1057" t="s">
        <v>4999</v>
      </c>
    </row>
    <row r="1058" spans="1:1" x14ac:dyDescent="0.3">
      <c r="A1058" t="s">
        <v>4999</v>
      </c>
    </row>
    <row r="1059" spans="1:1" x14ac:dyDescent="0.3">
      <c r="A1059" t="s">
        <v>4999</v>
      </c>
    </row>
    <row r="1060" spans="1:1" x14ac:dyDescent="0.3">
      <c r="A1060" t="s">
        <v>4999</v>
      </c>
    </row>
    <row r="1061" spans="1:1" x14ac:dyDescent="0.3">
      <c r="A1061" t="s">
        <v>4999</v>
      </c>
    </row>
    <row r="1062" spans="1:1" x14ac:dyDescent="0.3">
      <c r="A1062" t="s">
        <v>4999</v>
      </c>
    </row>
    <row r="1063" spans="1:1" x14ac:dyDescent="0.3">
      <c r="A1063" t="s">
        <v>4999</v>
      </c>
    </row>
    <row r="1064" spans="1:1" x14ac:dyDescent="0.3">
      <c r="A1064" t="s">
        <v>4999</v>
      </c>
    </row>
    <row r="1065" spans="1:1" x14ac:dyDescent="0.3">
      <c r="A1065" t="s">
        <v>5210</v>
      </c>
    </row>
    <row r="1066" spans="1:1" x14ac:dyDescent="0.3">
      <c r="A1066" t="s">
        <v>5326</v>
      </c>
    </row>
    <row r="1067" spans="1:1" x14ac:dyDescent="0.3">
      <c r="A1067" t="s">
        <v>5370</v>
      </c>
    </row>
    <row r="1068" spans="1:1" x14ac:dyDescent="0.3">
      <c r="A1068" t="s">
        <v>5370</v>
      </c>
    </row>
    <row r="1069" spans="1:1" x14ac:dyDescent="0.3">
      <c r="A1069" t="s">
        <v>5317</v>
      </c>
    </row>
    <row r="1070" spans="1:1" x14ac:dyDescent="0.3">
      <c r="A1070" t="s">
        <v>5317</v>
      </c>
    </row>
    <row r="1071" spans="1:1" x14ac:dyDescent="0.3">
      <c r="A1071" t="s">
        <v>5022</v>
      </c>
    </row>
    <row r="1072" spans="1:1" x14ac:dyDescent="0.3">
      <c r="A1072" t="s">
        <v>5022</v>
      </c>
    </row>
    <row r="1073" spans="1:1" x14ac:dyDescent="0.3">
      <c r="A1073" t="s">
        <v>5022</v>
      </c>
    </row>
    <row r="1074" spans="1:1" x14ac:dyDescent="0.3">
      <c r="A1074" t="s">
        <v>5022</v>
      </c>
    </row>
    <row r="1075" spans="1:1" x14ac:dyDescent="0.3">
      <c r="A1075" t="s">
        <v>5022</v>
      </c>
    </row>
    <row r="1076" spans="1:1" x14ac:dyDescent="0.3">
      <c r="A1076" t="s">
        <v>5150</v>
      </c>
    </row>
    <row r="1077" spans="1:1" x14ac:dyDescent="0.3">
      <c r="A1077" t="s">
        <v>5032</v>
      </c>
    </row>
    <row r="1078" spans="1:1" x14ac:dyDescent="0.3">
      <c r="A1078" t="s">
        <v>5032</v>
      </c>
    </row>
    <row r="1079" spans="1:1" x14ac:dyDescent="0.3">
      <c r="A1079" t="s">
        <v>5032</v>
      </c>
    </row>
    <row r="1080" spans="1:1" x14ac:dyDescent="0.3">
      <c r="A1080" t="s">
        <v>5032</v>
      </c>
    </row>
    <row r="1081" spans="1:1" x14ac:dyDescent="0.3">
      <c r="A1081" t="s">
        <v>5032</v>
      </c>
    </row>
    <row r="1082" spans="1:1" x14ac:dyDescent="0.3">
      <c r="A1082" t="s">
        <v>5032</v>
      </c>
    </row>
    <row r="1083" spans="1:1" x14ac:dyDescent="0.3">
      <c r="A1083" t="s">
        <v>5032</v>
      </c>
    </row>
    <row r="1084" spans="1:1" x14ac:dyDescent="0.3">
      <c r="A1084" t="s">
        <v>5032</v>
      </c>
    </row>
    <row r="1085" spans="1:1" x14ac:dyDescent="0.3">
      <c r="A1085" t="s">
        <v>5032</v>
      </c>
    </row>
    <row r="1086" spans="1:1" x14ac:dyDescent="0.3">
      <c r="A1086" t="s">
        <v>5032</v>
      </c>
    </row>
    <row r="1087" spans="1:1" x14ac:dyDescent="0.3">
      <c r="A1087" t="s">
        <v>5032</v>
      </c>
    </row>
    <row r="1088" spans="1:1" x14ac:dyDescent="0.3">
      <c r="A1088" t="s">
        <v>5032</v>
      </c>
    </row>
    <row r="1089" spans="1:1" x14ac:dyDescent="0.3">
      <c r="A1089" t="s">
        <v>5032</v>
      </c>
    </row>
    <row r="1090" spans="1:1" x14ac:dyDescent="0.3">
      <c r="A1090" t="s">
        <v>5032</v>
      </c>
    </row>
    <row r="1091" spans="1:1" x14ac:dyDescent="0.3">
      <c r="A1091" t="s">
        <v>5032</v>
      </c>
    </row>
    <row r="1092" spans="1:1" x14ac:dyDescent="0.3">
      <c r="A1092" t="s">
        <v>5032</v>
      </c>
    </row>
    <row r="1093" spans="1:1" x14ac:dyDescent="0.3">
      <c r="A1093" t="s">
        <v>5032</v>
      </c>
    </row>
    <row r="1094" spans="1:1" x14ac:dyDescent="0.3">
      <c r="A1094" t="s">
        <v>5032</v>
      </c>
    </row>
    <row r="1095" spans="1:1" x14ac:dyDescent="0.3">
      <c r="A1095" t="s">
        <v>5032</v>
      </c>
    </row>
    <row r="1096" spans="1:1" x14ac:dyDescent="0.3">
      <c r="A1096" t="s">
        <v>5032</v>
      </c>
    </row>
    <row r="1097" spans="1:1" x14ac:dyDescent="0.3">
      <c r="A1097" t="s">
        <v>5032</v>
      </c>
    </row>
    <row r="1098" spans="1:1" x14ac:dyDescent="0.3">
      <c r="A1098" t="s">
        <v>5032</v>
      </c>
    </row>
    <row r="1099" spans="1:1" x14ac:dyDescent="0.3">
      <c r="A1099" t="s">
        <v>5032</v>
      </c>
    </row>
    <row r="1100" spans="1:1" x14ac:dyDescent="0.3">
      <c r="A1100" t="s">
        <v>5032</v>
      </c>
    </row>
    <row r="1101" spans="1:1" x14ac:dyDescent="0.3">
      <c r="A1101" t="s">
        <v>5032</v>
      </c>
    </row>
    <row r="1102" spans="1:1" x14ac:dyDescent="0.3">
      <c r="A1102" t="s">
        <v>5032</v>
      </c>
    </row>
    <row r="1103" spans="1:1" x14ac:dyDescent="0.3">
      <c r="A1103" t="s">
        <v>5032</v>
      </c>
    </row>
    <row r="1104" spans="1:1" x14ac:dyDescent="0.3">
      <c r="A1104" t="s">
        <v>5032</v>
      </c>
    </row>
    <row r="1105" spans="1:1" x14ac:dyDescent="0.3">
      <c r="A1105" t="s">
        <v>5032</v>
      </c>
    </row>
    <row r="1106" spans="1:1" x14ac:dyDescent="0.3">
      <c r="A1106" t="s">
        <v>5032</v>
      </c>
    </row>
    <row r="1107" spans="1:1" x14ac:dyDescent="0.3">
      <c r="A1107" t="s">
        <v>5032</v>
      </c>
    </row>
    <row r="1108" spans="1:1" x14ac:dyDescent="0.3">
      <c r="A1108" t="s">
        <v>5032</v>
      </c>
    </row>
    <row r="1109" spans="1:1" x14ac:dyDescent="0.3">
      <c r="A1109" t="s">
        <v>5032</v>
      </c>
    </row>
    <row r="1110" spans="1:1" x14ac:dyDescent="0.3">
      <c r="A1110" t="s">
        <v>5032</v>
      </c>
    </row>
    <row r="1111" spans="1:1" x14ac:dyDescent="0.3">
      <c r="A1111" t="s">
        <v>5032</v>
      </c>
    </row>
    <row r="1112" spans="1:1" x14ac:dyDescent="0.3">
      <c r="A1112" t="s">
        <v>5032</v>
      </c>
    </row>
    <row r="1113" spans="1:1" x14ac:dyDescent="0.3">
      <c r="A1113" t="s">
        <v>5032</v>
      </c>
    </row>
    <row r="1114" spans="1:1" x14ac:dyDescent="0.3">
      <c r="A1114" t="s">
        <v>5032</v>
      </c>
    </row>
    <row r="1115" spans="1:1" x14ac:dyDescent="0.3">
      <c r="A1115" t="s">
        <v>5032</v>
      </c>
    </row>
    <row r="1116" spans="1:1" x14ac:dyDescent="0.3">
      <c r="A1116" t="s">
        <v>5032</v>
      </c>
    </row>
    <row r="1117" spans="1:1" x14ac:dyDescent="0.3">
      <c r="A1117" t="s">
        <v>5032</v>
      </c>
    </row>
    <row r="1118" spans="1:1" x14ac:dyDescent="0.3">
      <c r="A1118" t="s">
        <v>4980</v>
      </c>
    </row>
    <row r="1119" spans="1:1" x14ac:dyDescent="0.3">
      <c r="A1119" t="s">
        <v>4980</v>
      </c>
    </row>
    <row r="1120" spans="1:1" x14ac:dyDescent="0.3">
      <c r="A1120" t="s">
        <v>4980</v>
      </c>
    </row>
    <row r="1121" spans="1:1" x14ac:dyDescent="0.3">
      <c r="A1121" t="s">
        <v>4980</v>
      </c>
    </row>
    <row r="1122" spans="1:1" x14ac:dyDescent="0.3">
      <c r="A1122" t="s">
        <v>4980</v>
      </c>
    </row>
    <row r="1123" spans="1:1" x14ac:dyDescent="0.3">
      <c r="A1123" t="s">
        <v>4980</v>
      </c>
    </row>
    <row r="1124" spans="1:1" x14ac:dyDescent="0.3">
      <c r="A1124" t="s">
        <v>4980</v>
      </c>
    </row>
    <row r="1125" spans="1:1" x14ac:dyDescent="0.3">
      <c r="A1125" t="s">
        <v>4980</v>
      </c>
    </row>
    <row r="1126" spans="1:1" x14ac:dyDescent="0.3">
      <c r="A1126" t="s">
        <v>4980</v>
      </c>
    </row>
    <row r="1127" spans="1:1" x14ac:dyDescent="0.3">
      <c r="A1127" t="s">
        <v>4980</v>
      </c>
    </row>
    <row r="1128" spans="1:1" x14ac:dyDescent="0.3">
      <c r="A1128" t="s">
        <v>4980</v>
      </c>
    </row>
    <row r="1129" spans="1:1" x14ac:dyDescent="0.3">
      <c r="A1129" t="s">
        <v>4980</v>
      </c>
    </row>
    <row r="1130" spans="1:1" x14ac:dyDescent="0.3">
      <c r="A1130" t="s">
        <v>4980</v>
      </c>
    </row>
    <row r="1131" spans="1:1" x14ac:dyDescent="0.3">
      <c r="A1131" t="s">
        <v>5096</v>
      </c>
    </row>
    <row r="1132" spans="1:1" x14ac:dyDescent="0.3">
      <c r="A1132" t="s">
        <v>4981</v>
      </c>
    </row>
    <row r="1133" spans="1:1" x14ac:dyDescent="0.3">
      <c r="A1133" t="s">
        <v>4981</v>
      </c>
    </row>
    <row r="1134" spans="1:1" x14ac:dyDescent="0.3">
      <c r="A1134" t="s">
        <v>5254</v>
      </c>
    </row>
    <row r="1135" spans="1:1" x14ac:dyDescent="0.3">
      <c r="A1135" t="s">
        <v>5021</v>
      </c>
    </row>
    <row r="1136" spans="1:1" x14ac:dyDescent="0.3">
      <c r="A1136" t="s">
        <v>5021</v>
      </c>
    </row>
    <row r="1137" spans="1:1" x14ac:dyDescent="0.3">
      <c r="A1137" t="s">
        <v>5021</v>
      </c>
    </row>
    <row r="1138" spans="1:1" x14ac:dyDescent="0.3">
      <c r="A1138" t="s">
        <v>5316</v>
      </c>
    </row>
    <row r="1139" spans="1:1" x14ac:dyDescent="0.3">
      <c r="A1139" t="s">
        <v>5316</v>
      </c>
    </row>
    <row r="1140" spans="1:1" x14ac:dyDescent="0.3">
      <c r="A1140" t="s">
        <v>5316</v>
      </c>
    </row>
    <row r="1141" spans="1:1" x14ac:dyDescent="0.3">
      <c r="A1141" t="s">
        <v>5316</v>
      </c>
    </row>
    <row r="1142" spans="1:1" x14ac:dyDescent="0.3">
      <c r="A1142" t="s">
        <v>5316</v>
      </c>
    </row>
    <row r="1143" spans="1:1" x14ac:dyDescent="0.3">
      <c r="A1143" t="s">
        <v>5316</v>
      </c>
    </row>
    <row r="1144" spans="1:1" x14ac:dyDescent="0.3">
      <c r="A1144" t="s">
        <v>5316</v>
      </c>
    </row>
    <row r="1145" spans="1:1" x14ac:dyDescent="0.3">
      <c r="A1145" t="s">
        <v>5316</v>
      </c>
    </row>
    <row r="1146" spans="1:1" x14ac:dyDescent="0.3">
      <c r="A1146" t="s">
        <v>5316</v>
      </c>
    </row>
    <row r="1147" spans="1:1" x14ac:dyDescent="0.3">
      <c r="A1147" t="s">
        <v>5316</v>
      </c>
    </row>
    <row r="1148" spans="1:1" x14ac:dyDescent="0.3">
      <c r="A1148" t="s">
        <v>5316</v>
      </c>
    </row>
    <row r="1149" spans="1:1" x14ac:dyDescent="0.3">
      <c r="A1149" t="s">
        <v>5316</v>
      </c>
    </row>
    <row r="1150" spans="1:1" x14ac:dyDescent="0.3">
      <c r="A1150" t="s">
        <v>5316</v>
      </c>
    </row>
    <row r="1151" spans="1:1" x14ac:dyDescent="0.3">
      <c r="A1151" t="s">
        <v>5316</v>
      </c>
    </row>
    <row r="1152" spans="1:1" x14ac:dyDescent="0.3">
      <c r="A1152" t="s">
        <v>5316</v>
      </c>
    </row>
    <row r="1153" spans="1:1" x14ac:dyDescent="0.3">
      <c r="A1153" t="s">
        <v>5316</v>
      </c>
    </row>
    <row r="1154" spans="1:1" x14ac:dyDescent="0.3">
      <c r="A1154" t="s">
        <v>5316</v>
      </c>
    </row>
    <row r="1155" spans="1:1" x14ac:dyDescent="0.3">
      <c r="A1155" t="s">
        <v>5316</v>
      </c>
    </row>
    <row r="1156" spans="1:1" x14ac:dyDescent="0.3">
      <c r="A1156" t="s">
        <v>5316</v>
      </c>
    </row>
    <row r="1157" spans="1:1" x14ac:dyDescent="0.3">
      <c r="A1157" t="s">
        <v>5316</v>
      </c>
    </row>
    <row r="1158" spans="1:1" x14ac:dyDescent="0.3">
      <c r="A1158" t="s">
        <v>5316</v>
      </c>
    </row>
    <row r="1159" spans="1:1" x14ac:dyDescent="0.3">
      <c r="A1159" t="s">
        <v>5316</v>
      </c>
    </row>
    <row r="1160" spans="1:1" x14ac:dyDescent="0.3">
      <c r="A1160" t="s">
        <v>5316</v>
      </c>
    </row>
    <row r="1161" spans="1:1" x14ac:dyDescent="0.3">
      <c r="A1161" t="s">
        <v>768</v>
      </c>
    </row>
    <row r="1162" spans="1:1" x14ac:dyDescent="0.3">
      <c r="A1162" t="s">
        <v>768</v>
      </c>
    </row>
    <row r="1163" spans="1:1" x14ac:dyDescent="0.3">
      <c r="A1163" t="s">
        <v>768</v>
      </c>
    </row>
    <row r="1164" spans="1:1" x14ac:dyDescent="0.3">
      <c r="A1164" t="s">
        <v>768</v>
      </c>
    </row>
    <row r="1165" spans="1:1" x14ac:dyDescent="0.3">
      <c r="A1165" t="s">
        <v>768</v>
      </c>
    </row>
    <row r="1166" spans="1:1" x14ac:dyDescent="0.3">
      <c r="A1166" t="s">
        <v>768</v>
      </c>
    </row>
    <row r="1167" spans="1:1" x14ac:dyDescent="0.3">
      <c r="A1167" t="s">
        <v>768</v>
      </c>
    </row>
    <row r="1168" spans="1:1" x14ac:dyDescent="0.3">
      <c r="A1168" t="s">
        <v>768</v>
      </c>
    </row>
    <row r="1169" spans="1:1" x14ac:dyDescent="0.3">
      <c r="A1169" t="s">
        <v>768</v>
      </c>
    </row>
    <row r="1170" spans="1:1" x14ac:dyDescent="0.3">
      <c r="A1170" t="s">
        <v>768</v>
      </c>
    </row>
    <row r="1171" spans="1:1" x14ac:dyDescent="0.3">
      <c r="A1171" t="s">
        <v>768</v>
      </c>
    </row>
    <row r="1172" spans="1:1" x14ac:dyDescent="0.3">
      <c r="A1172" t="s">
        <v>768</v>
      </c>
    </row>
    <row r="1173" spans="1:1" x14ac:dyDescent="0.3">
      <c r="A1173" t="s">
        <v>768</v>
      </c>
    </row>
    <row r="1174" spans="1:1" x14ac:dyDescent="0.3">
      <c r="A1174" t="s">
        <v>768</v>
      </c>
    </row>
    <row r="1175" spans="1:1" x14ac:dyDescent="0.3">
      <c r="A1175" t="s">
        <v>5070</v>
      </c>
    </row>
    <row r="1176" spans="1:1" x14ac:dyDescent="0.3">
      <c r="A1176" t="s">
        <v>5070</v>
      </c>
    </row>
    <row r="1177" spans="1:1" x14ac:dyDescent="0.3">
      <c r="A1177" t="s">
        <v>5070</v>
      </c>
    </row>
    <row r="1178" spans="1:1" x14ac:dyDescent="0.3">
      <c r="A1178" t="s">
        <v>5070</v>
      </c>
    </row>
    <row r="1179" spans="1:1" x14ac:dyDescent="0.3">
      <c r="A1179" t="s">
        <v>5070</v>
      </c>
    </row>
    <row r="1180" spans="1:1" x14ac:dyDescent="0.3">
      <c r="A1180" t="s">
        <v>5070</v>
      </c>
    </row>
    <row r="1181" spans="1:1" x14ac:dyDescent="0.3">
      <c r="A1181" t="s">
        <v>5070</v>
      </c>
    </row>
    <row r="1182" spans="1:1" x14ac:dyDescent="0.3">
      <c r="A1182" t="s">
        <v>5070</v>
      </c>
    </row>
    <row r="1183" spans="1:1" x14ac:dyDescent="0.3">
      <c r="A1183" t="s">
        <v>5070</v>
      </c>
    </row>
    <row r="1184" spans="1:1" x14ac:dyDescent="0.3">
      <c r="A1184" t="s">
        <v>5070</v>
      </c>
    </row>
    <row r="1185" spans="1:1" x14ac:dyDescent="0.3">
      <c r="A1185" t="s">
        <v>5112</v>
      </c>
    </row>
    <row r="1186" spans="1:1" x14ac:dyDescent="0.3">
      <c r="A1186" t="s">
        <v>5284</v>
      </c>
    </row>
    <row r="1187" spans="1:1" x14ac:dyDescent="0.3">
      <c r="A1187" t="s">
        <v>5204</v>
      </c>
    </row>
    <row r="1188" spans="1:1" x14ac:dyDescent="0.3">
      <c r="A1188" t="s">
        <v>5204</v>
      </c>
    </row>
    <row r="1189" spans="1:1" x14ac:dyDescent="0.3">
      <c r="A1189" t="s">
        <v>4988</v>
      </c>
    </row>
    <row r="1190" spans="1:1" x14ac:dyDescent="0.3">
      <c r="A1190" t="s">
        <v>4988</v>
      </c>
    </row>
    <row r="1191" spans="1:1" x14ac:dyDescent="0.3">
      <c r="A1191" t="s">
        <v>1198</v>
      </c>
    </row>
    <row r="1192" spans="1:1" x14ac:dyDescent="0.3">
      <c r="A1192" t="s">
        <v>1198</v>
      </c>
    </row>
    <row r="1193" spans="1:1" x14ac:dyDescent="0.3">
      <c r="A1193" t="s">
        <v>1198</v>
      </c>
    </row>
    <row r="1194" spans="1:1" x14ac:dyDescent="0.3">
      <c r="A1194" t="s">
        <v>1198</v>
      </c>
    </row>
    <row r="1195" spans="1:1" x14ac:dyDescent="0.3">
      <c r="A1195" t="s">
        <v>1198</v>
      </c>
    </row>
    <row r="1196" spans="1:1" x14ac:dyDescent="0.3">
      <c r="A1196" t="s">
        <v>1198</v>
      </c>
    </row>
    <row r="1197" spans="1:1" x14ac:dyDescent="0.3">
      <c r="A1197" t="s">
        <v>5201</v>
      </c>
    </row>
    <row r="1198" spans="1:1" x14ac:dyDescent="0.3">
      <c r="A1198" t="s">
        <v>5201</v>
      </c>
    </row>
    <row r="1199" spans="1:1" x14ac:dyDescent="0.3">
      <c r="A1199" t="s">
        <v>2605</v>
      </c>
    </row>
    <row r="1200" spans="1:1" x14ac:dyDescent="0.3">
      <c r="A1200" t="s">
        <v>2605</v>
      </c>
    </row>
    <row r="1201" spans="1:1" x14ac:dyDescent="0.3">
      <c r="A1201" t="s">
        <v>2605</v>
      </c>
    </row>
    <row r="1202" spans="1:1" x14ac:dyDescent="0.3">
      <c r="A1202" t="s">
        <v>2605</v>
      </c>
    </row>
    <row r="1203" spans="1:1" x14ac:dyDescent="0.3">
      <c r="A1203" t="s">
        <v>2605</v>
      </c>
    </row>
    <row r="1204" spans="1:1" x14ac:dyDescent="0.3">
      <c r="A1204" t="s">
        <v>2605</v>
      </c>
    </row>
    <row r="1205" spans="1:1" x14ac:dyDescent="0.3">
      <c r="A1205" t="s">
        <v>5160</v>
      </c>
    </row>
    <row r="1206" spans="1:1" x14ac:dyDescent="0.3">
      <c r="A1206" t="s">
        <v>5160</v>
      </c>
    </row>
    <row r="1207" spans="1:1" x14ac:dyDescent="0.3">
      <c r="A1207" t="s">
        <v>5160</v>
      </c>
    </row>
    <row r="1208" spans="1:1" x14ac:dyDescent="0.3">
      <c r="A1208" t="s">
        <v>5160</v>
      </c>
    </row>
    <row r="1209" spans="1:1" x14ac:dyDescent="0.3">
      <c r="A1209" t="s">
        <v>4977</v>
      </c>
    </row>
    <row r="1210" spans="1:1" x14ac:dyDescent="0.3">
      <c r="A1210" t="s">
        <v>4977</v>
      </c>
    </row>
    <row r="1211" spans="1:1" x14ac:dyDescent="0.3">
      <c r="A1211" t="s">
        <v>4977</v>
      </c>
    </row>
    <row r="1212" spans="1:1" x14ac:dyDescent="0.3">
      <c r="A1212" t="s">
        <v>4977</v>
      </c>
    </row>
    <row r="1213" spans="1:1" x14ac:dyDescent="0.3">
      <c r="A1213" t="s">
        <v>4977</v>
      </c>
    </row>
    <row r="1214" spans="1:1" x14ac:dyDescent="0.3">
      <c r="A1214" t="s">
        <v>4977</v>
      </c>
    </row>
    <row r="1215" spans="1:1" x14ac:dyDescent="0.3">
      <c r="A1215" t="s">
        <v>4977</v>
      </c>
    </row>
    <row r="1216" spans="1:1" x14ac:dyDescent="0.3">
      <c r="A1216" t="s">
        <v>4977</v>
      </c>
    </row>
    <row r="1217" spans="1:1" x14ac:dyDescent="0.3">
      <c r="A1217" t="s">
        <v>4977</v>
      </c>
    </row>
    <row r="1218" spans="1:1" x14ac:dyDescent="0.3">
      <c r="A1218" t="s">
        <v>4977</v>
      </c>
    </row>
    <row r="1219" spans="1:1" x14ac:dyDescent="0.3">
      <c r="A1219" t="s">
        <v>4977</v>
      </c>
    </row>
    <row r="1220" spans="1:1" x14ac:dyDescent="0.3">
      <c r="A1220" t="s">
        <v>4977</v>
      </c>
    </row>
    <row r="1221" spans="1:1" x14ac:dyDescent="0.3">
      <c r="A1221" t="s">
        <v>4977</v>
      </c>
    </row>
    <row r="1222" spans="1:1" x14ac:dyDescent="0.3">
      <c r="A1222" t="s">
        <v>4977</v>
      </c>
    </row>
    <row r="1223" spans="1:1" x14ac:dyDescent="0.3">
      <c r="A1223" t="s">
        <v>4972</v>
      </c>
    </row>
    <row r="1224" spans="1:1" x14ac:dyDescent="0.3">
      <c r="A1224" t="s">
        <v>5231</v>
      </c>
    </row>
    <row r="1225" spans="1:1" x14ac:dyDescent="0.3">
      <c r="A1225" t="s">
        <v>5232</v>
      </c>
    </row>
    <row r="1226" spans="1:1" x14ac:dyDescent="0.3">
      <c r="A1226" t="s">
        <v>5232</v>
      </c>
    </row>
    <row r="1227" spans="1:1" x14ac:dyDescent="0.3">
      <c r="A1227" t="s">
        <v>5309</v>
      </c>
    </row>
    <row r="1228" spans="1:1" x14ac:dyDescent="0.3">
      <c r="A1228" t="s">
        <v>5346</v>
      </c>
    </row>
    <row r="1229" spans="1:1" x14ac:dyDescent="0.3">
      <c r="A1229" t="s">
        <v>5346</v>
      </c>
    </row>
    <row r="1230" spans="1:1" x14ac:dyDescent="0.3">
      <c r="A1230" t="s">
        <v>5148</v>
      </c>
    </row>
    <row r="1231" spans="1:1" x14ac:dyDescent="0.3">
      <c r="A1231" t="s">
        <v>5148</v>
      </c>
    </row>
    <row r="1232" spans="1:1" x14ac:dyDescent="0.3">
      <c r="A1232" t="s">
        <v>5148</v>
      </c>
    </row>
    <row r="1233" spans="1:1" x14ac:dyDescent="0.3">
      <c r="A1233" t="s">
        <v>5148</v>
      </c>
    </row>
    <row r="1234" spans="1:1" x14ac:dyDescent="0.3">
      <c r="A1234" t="s">
        <v>5149</v>
      </c>
    </row>
    <row r="1235" spans="1:1" x14ac:dyDescent="0.3">
      <c r="A1235" t="s">
        <v>5051</v>
      </c>
    </row>
    <row r="1236" spans="1:1" x14ac:dyDescent="0.3">
      <c r="A1236" t="s">
        <v>5336</v>
      </c>
    </row>
    <row r="1237" spans="1:1" x14ac:dyDescent="0.3">
      <c r="A1237" t="s">
        <v>5049</v>
      </c>
    </row>
    <row r="1238" spans="1:1" x14ac:dyDescent="0.3">
      <c r="A1238" t="s">
        <v>5049</v>
      </c>
    </row>
    <row r="1239" spans="1:1" x14ac:dyDescent="0.3">
      <c r="A1239" t="s">
        <v>5049</v>
      </c>
    </row>
    <row r="1240" spans="1:1" x14ac:dyDescent="0.3">
      <c r="A1240" t="s">
        <v>5000</v>
      </c>
    </row>
    <row r="1241" spans="1:1" x14ac:dyDescent="0.3">
      <c r="A1241" t="s">
        <v>5000</v>
      </c>
    </row>
    <row r="1242" spans="1:1" x14ac:dyDescent="0.3">
      <c r="A1242" t="s">
        <v>5000</v>
      </c>
    </row>
    <row r="1243" spans="1:1" x14ac:dyDescent="0.3">
      <c r="A1243" t="s">
        <v>5328</v>
      </c>
    </row>
    <row r="1244" spans="1:1" x14ac:dyDescent="0.3">
      <c r="A1244" t="s">
        <v>5328</v>
      </c>
    </row>
    <row r="1245" spans="1:1" x14ac:dyDescent="0.3">
      <c r="A1245" t="s">
        <v>5323</v>
      </c>
    </row>
    <row r="1246" spans="1:1" x14ac:dyDescent="0.3">
      <c r="A1246" t="s">
        <v>5323</v>
      </c>
    </row>
    <row r="1247" spans="1:1" x14ac:dyDescent="0.3">
      <c r="A1247" t="s">
        <v>5323</v>
      </c>
    </row>
    <row r="1248" spans="1:1" x14ac:dyDescent="0.3">
      <c r="A1248" t="s">
        <v>5323</v>
      </c>
    </row>
    <row r="1249" spans="1:1" x14ac:dyDescent="0.3">
      <c r="A1249" t="s">
        <v>5238</v>
      </c>
    </row>
    <row r="1250" spans="1:1" x14ac:dyDescent="0.3">
      <c r="A1250" t="s">
        <v>5238</v>
      </c>
    </row>
    <row r="1251" spans="1:1" x14ac:dyDescent="0.3">
      <c r="A1251" t="s">
        <v>1254</v>
      </c>
    </row>
    <row r="1252" spans="1:1" x14ac:dyDescent="0.3">
      <c r="A1252" t="s">
        <v>1254</v>
      </c>
    </row>
    <row r="1253" spans="1:1" x14ac:dyDescent="0.3">
      <c r="A1253" t="s">
        <v>1254</v>
      </c>
    </row>
    <row r="1254" spans="1:1" x14ac:dyDescent="0.3">
      <c r="A1254" t="s">
        <v>1254</v>
      </c>
    </row>
    <row r="1255" spans="1:1" x14ac:dyDescent="0.3">
      <c r="A1255" t="s">
        <v>1254</v>
      </c>
    </row>
    <row r="1256" spans="1:1" x14ac:dyDescent="0.3">
      <c r="A1256" t="s">
        <v>1254</v>
      </c>
    </row>
    <row r="1257" spans="1:1" x14ac:dyDescent="0.3">
      <c r="A1257" t="s">
        <v>1254</v>
      </c>
    </row>
    <row r="1258" spans="1:1" x14ac:dyDescent="0.3">
      <c r="A1258" t="s">
        <v>1254</v>
      </c>
    </row>
    <row r="1259" spans="1:1" x14ac:dyDescent="0.3">
      <c r="A1259" t="s">
        <v>1254</v>
      </c>
    </row>
    <row r="1260" spans="1:1" x14ac:dyDescent="0.3">
      <c r="A1260" t="s">
        <v>1254</v>
      </c>
    </row>
    <row r="1261" spans="1:1" x14ac:dyDescent="0.3">
      <c r="A1261" t="s">
        <v>5121</v>
      </c>
    </row>
    <row r="1262" spans="1:1" x14ac:dyDescent="0.3">
      <c r="A1262" t="s">
        <v>5121</v>
      </c>
    </row>
    <row r="1263" spans="1:1" x14ac:dyDescent="0.3">
      <c r="A1263" t="s">
        <v>5121</v>
      </c>
    </row>
    <row r="1264" spans="1:1" x14ac:dyDescent="0.3">
      <c r="A1264" t="s">
        <v>5341</v>
      </c>
    </row>
    <row r="1265" spans="1:1" x14ac:dyDescent="0.3">
      <c r="A1265" t="s">
        <v>919</v>
      </c>
    </row>
    <row r="1266" spans="1:1" x14ac:dyDescent="0.3">
      <c r="A1266" t="s">
        <v>919</v>
      </c>
    </row>
    <row r="1267" spans="1:1" x14ac:dyDescent="0.3">
      <c r="A1267" t="s">
        <v>919</v>
      </c>
    </row>
    <row r="1268" spans="1:1" x14ac:dyDescent="0.3">
      <c r="A1268" t="s">
        <v>919</v>
      </c>
    </row>
    <row r="1269" spans="1:1" x14ac:dyDescent="0.3">
      <c r="A1269" t="s">
        <v>919</v>
      </c>
    </row>
    <row r="1270" spans="1:1" x14ac:dyDescent="0.3">
      <c r="A1270" t="s">
        <v>919</v>
      </c>
    </row>
    <row r="1271" spans="1:1" x14ac:dyDescent="0.3">
      <c r="A1271" t="s">
        <v>5209</v>
      </c>
    </row>
    <row r="1272" spans="1:1" x14ac:dyDescent="0.3">
      <c r="A1272" t="s">
        <v>5209</v>
      </c>
    </row>
    <row r="1273" spans="1:1" x14ac:dyDescent="0.3">
      <c r="A1273" t="s">
        <v>5209</v>
      </c>
    </row>
    <row r="1274" spans="1:1" x14ac:dyDescent="0.3">
      <c r="A1274" t="s">
        <v>5093</v>
      </c>
    </row>
    <row r="1275" spans="1:1" x14ac:dyDescent="0.3">
      <c r="A1275" t="s">
        <v>5093</v>
      </c>
    </row>
    <row r="1276" spans="1:1" x14ac:dyDescent="0.3">
      <c r="A1276" t="s">
        <v>5093</v>
      </c>
    </row>
    <row r="1277" spans="1:1" x14ac:dyDescent="0.3">
      <c r="A1277" t="s">
        <v>5093</v>
      </c>
    </row>
    <row r="1278" spans="1:1" x14ac:dyDescent="0.3">
      <c r="A1278" t="s">
        <v>5093</v>
      </c>
    </row>
    <row r="1279" spans="1:1" x14ac:dyDescent="0.3">
      <c r="A1279" t="s">
        <v>5123</v>
      </c>
    </row>
    <row r="1280" spans="1:1" x14ac:dyDescent="0.3">
      <c r="A1280" t="s">
        <v>5123</v>
      </c>
    </row>
    <row r="1281" spans="1:1" x14ac:dyDescent="0.3">
      <c r="A1281" t="s">
        <v>5123</v>
      </c>
    </row>
    <row r="1282" spans="1:1" x14ac:dyDescent="0.3">
      <c r="A1282" t="s">
        <v>5123</v>
      </c>
    </row>
    <row r="1283" spans="1:1" x14ac:dyDescent="0.3">
      <c r="A1283" t="s">
        <v>5123</v>
      </c>
    </row>
    <row r="1284" spans="1:1" x14ac:dyDescent="0.3">
      <c r="A1284" t="s">
        <v>5086</v>
      </c>
    </row>
    <row r="1285" spans="1:1" x14ac:dyDescent="0.3">
      <c r="A1285" t="s">
        <v>5060</v>
      </c>
    </row>
    <row r="1286" spans="1:1" x14ac:dyDescent="0.3">
      <c r="A1286" t="s">
        <v>5060</v>
      </c>
    </row>
    <row r="1287" spans="1:1" x14ac:dyDescent="0.3">
      <c r="A1287" t="s">
        <v>5135</v>
      </c>
    </row>
    <row r="1288" spans="1:1" x14ac:dyDescent="0.3">
      <c r="A1288" t="s">
        <v>5253</v>
      </c>
    </row>
    <row r="1289" spans="1:1" x14ac:dyDescent="0.3">
      <c r="A1289" t="s">
        <v>5252</v>
      </c>
    </row>
    <row r="1290" spans="1:1" x14ac:dyDescent="0.3">
      <c r="A1290" t="s">
        <v>5153</v>
      </c>
    </row>
    <row r="1291" spans="1:1" x14ac:dyDescent="0.3">
      <c r="A1291" t="s">
        <v>5265</v>
      </c>
    </row>
    <row r="1292" spans="1:1" x14ac:dyDescent="0.3">
      <c r="A1292" t="s">
        <v>5265</v>
      </c>
    </row>
    <row r="1293" spans="1:1" x14ac:dyDescent="0.3">
      <c r="A1293" t="s">
        <v>5265</v>
      </c>
    </row>
    <row r="1294" spans="1:1" x14ac:dyDescent="0.3">
      <c r="A1294" t="s">
        <v>5265</v>
      </c>
    </row>
    <row r="1295" spans="1:1" x14ac:dyDescent="0.3">
      <c r="A1295" t="s">
        <v>5265</v>
      </c>
    </row>
    <row r="1296" spans="1:1" x14ac:dyDescent="0.3">
      <c r="A1296" t="s">
        <v>5265</v>
      </c>
    </row>
    <row r="1297" spans="1:1" x14ac:dyDescent="0.3">
      <c r="A1297" t="s">
        <v>5265</v>
      </c>
    </row>
    <row r="1298" spans="1:1" x14ac:dyDescent="0.3">
      <c r="A1298" t="s">
        <v>5265</v>
      </c>
    </row>
    <row r="1299" spans="1:1" x14ac:dyDescent="0.3">
      <c r="A1299" t="s">
        <v>5265</v>
      </c>
    </row>
    <row r="1300" spans="1:1" x14ac:dyDescent="0.3">
      <c r="A1300" t="s">
        <v>5265</v>
      </c>
    </row>
    <row r="1301" spans="1:1" x14ac:dyDescent="0.3">
      <c r="A1301" t="s">
        <v>5265</v>
      </c>
    </row>
    <row r="1302" spans="1:1" x14ac:dyDescent="0.3">
      <c r="A1302" t="s">
        <v>5157</v>
      </c>
    </row>
    <row r="1303" spans="1:1" x14ac:dyDescent="0.3">
      <c r="A1303" t="s">
        <v>5157</v>
      </c>
    </row>
    <row r="1304" spans="1:1" x14ac:dyDescent="0.3">
      <c r="A1304" t="s">
        <v>5157</v>
      </c>
    </row>
    <row r="1305" spans="1:1" x14ac:dyDescent="0.3">
      <c r="A1305" t="s">
        <v>5157</v>
      </c>
    </row>
    <row r="1306" spans="1:1" x14ac:dyDescent="0.3">
      <c r="A1306" t="s">
        <v>5157</v>
      </c>
    </row>
    <row r="1307" spans="1:1" x14ac:dyDescent="0.3">
      <c r="A1307" t="s">
        <v>5157</v>
      </c>
    </row>
    <row r="1308" spans="1:1" x14ac:dyDescent="0.3">
      <c r="A1308" t="s">
        <v>5157</v>
      </c>
    </row>
    <row r="1309" spans="1:1" x14ac:dyDescent="0.3">
      <c r="A1309" t="s">
        <v>5157</v>
      </c>
    </row>
    <row r="1310" spans="1:1" x14ac:dyDescent="0.3">
      <c r="A1310" t="s">
        <v>5157</v>
      </c>
    </row>
    <row r="1311" spans="1:1" x14ac:dyDescent="0.3">
      <c r="A1311" t="s">
        <v>5157</v>
      </c>
    </row>
    <row r="1312" spans="1:1" x14ac:dyDescent="0.3">
      <c r="A1312" t="s">
        <v>5384</v>
      </c>
    </row>
    <row r="1313" spans="1:1" x14ac:dyDescent="0.3">
      <c r="A1313" t="s">
        <v>5152</v>
      </c>
    </row>
    <row r="1314" spans="1:1" x14ac:dyDescent="0.3">
      <c r="A1314" t="s">
        <v>5152</v>
      </c>
    </row>
    <row r="1315" spans="1:1" x14ac:dyDescent="0.3">
      <c r="A1315" t="s">
        <v>5076</v>
      </c>
    </row>
    <row r="1316" spans="1:1" x14ac:dyDescent="0.3">
      <c r="A1316" t="s">
        <v>5076</v>
      </c>
    </row>
    <row r="1317" spans="1:1" x14ac:dyDescent="0.3">
      <c r="A1317" t="s">
        <v>5076</v>
      </c>
    </row>
    <row r="1318" spans="1:1" x14ac:dyDescent="0.3">
      <c r="A1318" t="s">
        <v>5076</v>
      </c>
    </row>
    <row r="1319" spans="1:1" x14ac:dyDescent="0.3">
      <c r="A1319" t="s">
        <v>5076</v>
      </c>
    </row>
    <row r="1320" spans="1:1" x14ac:dyDescent="0.3">
      <c r="A1320" t="s">
        <v>5076</v>
      </c>
    </row>
    <row r="1321" spans="1:1" x14ac:dyDescent="0.3">
      <c r="A1321" t="s">
        <v>5076</v>
      </c>
    </row>
    <row r="1322" spans="1:1" x14ac:dyDescent="0.3">
      <c r="A1322" t="s">
        <v>5076</v>
      </c>
    </row>
    <row r="1323" spans="1:1" x14ac:dyDescent="0.3">
      <c r="A1323" t="s">
        <v>5076</v>
      </c>
    </row>
    <row r="1324" spans="1:1" x14ac:dyDescent="0.3">
      <c r="A1324" t="s">
        <v>5076</v>
      </c>
    </row>
    <row r="1325" spans="1:1" x14ac:dyDescent="0.3">
      <c r="A1325" t="s">
        <v>5140</v>
      </c>
    </row>
    <row r="1326" spans="1:1" x14ac:dyDescent="0.3">
      <c r="A1326" t="s">
        <v>5377</v>
      </c>
    </row>
    <row r="1327" spans="1:1" x14ac:dyDescent="0.3">
      <c r="A1327" t="s">
        <v>5371</v>
      </c>
    </row>
    <row r="1328" spans="1:1" x14ac:dyDescent="0.3">
      <c r="A1328" t="s">
        <v>5353</v>
      </c>
    </row>
    <row r="1329" spans="1:1" x14ac:dyDescent="0.3">
      <c r="A1329" t="s">
        <v>5173</v>
      </c>
    </row>
    <row r="1330" spans="1:1" x14ac:dyDescent="0.3">
      <c r="A1330" t="s">
        <v>5173</v>
      </c>
    </row>
    <row r="1331" spans="1:1" x14ac:dyDescent="0.3">
      <c r="A1331" t="s">
        <v>5097</v>
      </c>
    </row>
    <row r="1332" spans="1:1" x14ac:dyDescent="0.3">
      <c r="A1332" t="s">
        <v>5097</v>
      </c>
    </row>
    <row r="1333" spans="1:1" x14ac:dyDescent="0.3">
      <c r="A1333" t="s">
        <v>5097</v>
      </c>
    </row>
    <row r="1334" spans="1:1" x14ac:dyDescent="0.3">
      <c r="A1334" t="s">
        <v>5097</v>
      </c>
    </row>
    <row r="1335" spans="1:1" x14ac:dyDescent="0.3">
      <c r="A1335" t="s">
        <v>5097</v>
      </c>
    </row>
    <row r="1336" spans="1:1" x14ac:dyDescent="0.3">
      <c r="A1336" t="s">
        <v>5097</v>
      </c>
    </row>
    <row r="1337" spans="1:1" x14ac:dyDescent="0.3">
      <c r="A1337" t="s">
        <v>5097</v>
      </c>
    </row>
    <row r="1338" spans="1:1" x14ac:dyDescent="0.3">
      <c r="A1338" t="s">
        <v>5097</v>
      </c>
    </row>
    <row r="1339" spans="1:1" x14ac:dyDescent="0.3">
      <c r="A1339" t="s">
        <v>5097</v>
      </c>
    </row>
    <row r="1340" spans="1:1" x14ac:dyDescent="0.3">
      <c r="A1340" t="s">
        <v>5097</v>
      </c>
    </row>
    <row r="1341" spans="1:1" x14ac:dyDescent="0.3">
      <c r="A1341" t="s">
        <v>5097</v>
      </c>
    </row>
    <row r="1342" spans="1:1" x14ac:dyDescent="0.3">
      <c r="A1342" t="s">
        <v>5097</v>
      </c>
    </row>
    <row r="1343" spans="1:1" x14ac:dyDescent="0.3">
      <c r="A1343" t="s">
        <v>5097</v>
      </c>
    </row>
    <row r="1344" spans="1:1" x14ac:dyDescent="0.3">
      <c r="A1344" t="s">
        <v>5097</v>
      </c>
    </row>
    <row r="1345" spans="1:1" x14ac:dyDescent="0.3">
      <c r="A1345" t="s">
        <v>5097</v>
      </c>
    </row>
    <row r="1346" spans="1:1" x14ac:dyDescent="0.3">
      <c r="A1346" t="s">
        <v>5097</v>
      </c>
    </row>
    <row r="1347" spans="1:1" x14ac:dyDescent="0.3">
      <c r="A1347" t="s">
        <v>5285</v>
      </c>
    </row>
    <row r="1348" spans="1:1" x14ac:dyDescent="0.3">
      <c r="A1348" t="s">
        <v>5172</v>
      </c>
    </row>
    <row r="1349" spans="1:1" x14ac:dyDescent="0.3">
      <c r="A1349" t="s">
        <v>5172</v>
      </c>
    </row>
    <row r="1350" spans="1:1" x14ac:dyDescent="0.3">
      <c r="A1350" t="s">
        <v>5172</v>
      </c>
    </row>
    <row r="1351" spans="1:1" x14ac:dyDescent="0.3">
      <c r="A1351" t="s">
        <v>5172</v>
      </c>
    </row>
    <row r="1352" spans="1:1" x14ac:dyDescent="0.3">
      <c r="A1352" t="s">
        <v>5172</v>
      </c>
    </row>
    <row r="1353" spans="1:1" x14ac:dyDescent="0.3">
      <c r="A1353" t="s">
        <v>5172</v>
      </c>
    </row>
    <row r="1354" spans="1:1" x14ac:dyDescent="0.3">
      <c r="A1354" t="s">
        <v>5368</v>
      </c>
    </row>
    <row r="1355" spans="1:1" x14ac:dyDescent="0.3">
      <c r="A1355" t="s">
        <v>5033</v>
      </c>
    </row>
    <row r="1356" spans="1:1" x14ac:dyDescent="0.3">
      <c r="A1356" t="s">
        <v>5033</v>
      </c>
    </row>
    <row r="1357" spans="1:1" x14ac:dyDescent="0.3">
      <c r="A1357" t="s">
        <v>5033</v>
      </c>
    </row>
    <row r="1358" spans="1:1" x14ac:dyDescent="0.3">
      <c r="A1358" t="s">
        <v>5033</v>
      </c>
    </row>
    <row r="1359" spans="1:1" x14ac:dyDescent="0.3">
      <c r="A1359" t="s">
        <v>5033</v>
      </c>
    </row>
    <row r="1360" spans="1:1" x14ac:dyDescent="0.3">
      <c r="A1360" t="s">
        <v>5033</v>
      </c>
    </row>
    <row r="1361" spans="1:1" x14ac:dyDescent="0.3">
      <c r="A1361" t="s">
        <v>5033</v>
      </c>
    </row>
    <row r="1362" spans="1:1" x14ac:dyDescent="0.3">
      <c r="A1362" t="s">
        <v>5033</v>
      </c>
    </row>
    <row r="1363" spans="1:1" x14ac:dyDescent="0.3">
      <c r="A1363" t="s">
        <v>5033</v>
      </c>
    </row>
    <row r="1364" spans="1:1" x14ac:dyDescent="0.3">
      <c r="A1364" t="s">
        <v>5033</v>
      </c>
    </row>
    <row r="1365" spans="1:1" x14ac:dyDescent="0.3">
      <c r="A1365" t="s">
        <v>555</v>
      </c>
    </row>
    <row r="1366" spans="1:1" x14ac:dyDescent="0.3">
      <c r="A1366" t="s">
        <v>555</v>
      </c>
    </row>
    <row r="1367" spans="1:1" x14ac:dyDescent="0.3">
      <c r="A1367" t="s">
        <v>5286</v>
      </c>
    </row>
    <row r="1368" spans="1:1" x14ac:dyDescent="0.3">
      <c r="A1368" t="s">
        <v>5035</v>
      </c>
    </row>
    <row r="1369" spans="1:1" x14ac:dyDescent="0.3">
      <c r="A1369" t="s">
        <v>5035</v>
      </c>
    </row>
    <row r="1370" spans="1:1" x14ac:dyDescent="0.3">
      <c r="A1370" t="s">
        <v>5035</v>
      </c>
    </row>
    <row r="1371" spans="1:1" x14ac:dyDescent="0.3">
      <c r="A1371" t="s">
        <v>5035</v>
      </c>
    </row>
    <row r="1372" spans="1:1" x14ac:dyDescent="0.3">
      <c r="A1372" t="s">
        <v>5035</v>
      </c>
    </row>
    <row r="1373" spans="1:1" x14ac:dyDescent="0.3">
      <c r="A1373" t="s">
        <v>5035</v>
      </c>
    </row>
    <row r="1374" spans="1:1" x14ac:dyDescent="0.3">
      <c r="A1374" t="s">
        <v>5035</v>
      </c>
    </row>
    <row r="1375" spans="1:1" x14ac:dyDescent="0.3">
      <c r="A1375" t="s">
        <v>5035</v>
      </c>
    </row>
    <row r="1376" spans="1:1" x14ac:dyDescent="0.3">
      <c r="A1376" t="s">
        <v>5035</v>
      </c>
    </row>
    <row r="1377" spans="1:1" x14ac:dyDescent="0.3">
      <c r="A1377" t="s">
        <v>940</v>
      </c>
    </row>
    <row r="1378" spans="1:1" x14ac:dyDescent="0.3">
      <c r="A1378" t="s">
        <v>940</v>
      </c>
    </row>
    <row r="1379" spans="1:1" x14ac:dyDescent="0.3">
      <c r="A1379" t="s">
        <v>940</v>
      </c>
    </row>
    <row r="1380" spans="1:1" x14ac:dyDescent="0.3">
      <c r="A1380" t="s">
        <v>940</v>
      </c>
    </row>
    <row r="1381" spans="1:1" x14ac:dyDescent="0.3">
      <c r="A1381" t="s">
        <v>940</v>
      </c>
    </row>
    <row r="1382" spans="1:1" x14ac:dyDescent="0.3">
      <c r="A1382" t="s">
        <v>940</v>
      </c>
    </row>
    <row r="1383" spans="1:1" x14ac:dyDescent="0.3">
      <c r="A1383" t="s">
        <v>895</v>
      </c>
    </row>
    <row r="1384" spans="1:1" x14ac:dyDescent="0.3">
      <c r="A1384" t="s">
        <v>895</v>
      </c>
    </row>
    <row r="1385" spans="1:1" x14ac:dyDescent="0.3">
      <c r="A1385" t="s">
        <v>895</v>
      </c>
    </row>
    <row r="1386" spans="1:1" x14ac:dyDescent="0.3">
      <c r="A1386" t="s">
        <v>5087</v>
      </c>
    </row>
    <row r="1387" spans="1:1" x14ac:dyDescent="0.3">
      <c r="A1387" t="s">
        <v>5087</v>
      </c>
    </row>
    <row r="1388" spans="1:1" x14ac:dyDescent="0.3">
      <c r="A1388" t="s">
        <v>5087</v>
      </c>
    </row>
    <row r="1389" spans="1:1" x14ac:dyDescent="0.3">
      <c r="A1389" t="s">
        <v>5087</v>
      </c>
    </row>
    <row r="1390" spans="1:1" x14ac:dyDescent="0.3">
      <c r="A1390" t="s">
        <v>5087</v>
      </c>
    </row>
    <row r="1391" spans="1:1" x14ac:dyDescent="0.3">
      <c r="A1391" t="s">
        <v>5087</v>
      </c>
    </row>
    <row r="1392" spans="1:1" x14ac:dyDescent="0.3">
      <c r="A1392" t="s">
        <v>5034</v>
      </c>
    </row>
    <row r="1393" spans="1:1" x14ac:dyDescent="0.3">
      <c r="A1393" t="s">
        <v>5034</v>
      </c>
    </row>
    <row r="1394" spans="1:1" x14ac:dyDescent="0.3">
      <c r="A1394" t="s">
        <v>5034</v>
      </c>
    </row>
    <row r="1395" spans="1:1" x14ac:dyDescent="0.3">
      <c r="A1395" t="s">
        <v>5034</v>
      </c>
    </row>
    <row r="1396" spans="1:1" x14ac:dyDescent="0.3">
      <c r="A1396" t="s">
        <v>5034</v>
      </c>
    </row>
    <row r="1397" spans="1:1" x14ac:dyDescent="0.3">
      <c r="A1397" t="s">
        <v>5034</v>
      </c>
    </row>
    <row r="1398" spans="1:1" x14ac:dyDescent="0.3">
      <c r="A1398" t="s">
        <v>5034</v>
      </c>
    </row>
    <row r="1399" spans="1:1" x14ac:dyDescent="0.3">
      <c r="A1399" t="s">
        <v>5034</v>
      </c>
    </row>
    <row r="1400" spans="1:1" x14ac:dyDescent="0.3">
      <c r="A1400" t="s">
        <v>5034</v>
      </c>
    </row>
    <row r="1401" spans="1:1" x14ac:dyDescent="0.3">
      <c r="A1401" t="s">
        <v>5034</v>
      </c>
    </row>
    <row r="1402" spans="1:1" x14ac:dyDescent="0.3">
      <c r="A1402" t="s">
        <v>5034</v>
      </c>
    </row>
    <row r="1403" spans="1:1" x14ac:dyDescent="0.3">
      <c r="A1403" t="s">
        <v>5034</v>
      </c>
    </row>
    <row r="1404" spans="1:1" x14ac:dyDescent="0.3">
      <c r="A1404" t="s">
        <v>5034</v>
      </c>
    </row>
    <row r="1405" spans="1:1" x14ac:dyDescent="0.3">
      <c r="A1405" t="s">
        <v>5034</v>
      </c>
    </row>
    <row r="1406" spans="1:1" x14ac:dyDescent="0.3">
      <c r="A1406" t="s">
        <v>5034</v>
      </c>
    </row>
    <row r="1407" spans="1:1" x14ac:dyDescent="0.3">
      <c r="A1407" t="s">
        <v>5034</v>
      </c>
    </row>
    <row r="1408" spans="1:1" x14ac:dyDescent="0.3">
      <c r="A1408" t="s">
        <v>5034</v>
      </c>
    </row>
    <row r="1409" spans="1:1" x14ac:dyDescent="0.3">
      <c r="A1409" t="s">
        <v>5034</v>
      </c>
    </row>
    <row r="1410" spans="1:1" x14ac:dyDescent="0.3">
      <c r="A1410" t="s">
        <v>5034</v>
      </c>
    </row>
    <row r="1411" spans="1:1" x14ac:dyDescent="0.3">
      <c r="A1411" t="s">
        <v>5034</v>
      </c>
    </row>
    <row r="1412" spans="1:1" x14ac:dyDescent="0.3">
      <c r="A1412" t="s">
        <v>5034</v>
      </c>
    </row>
    <row r="1413" spans="1:1" x14ac:dyDescent="0.3">
      <c r="A1413" t="s">
        <v>5034</v>
      </c>
    </row>
    <row r="1414" spans="1:1" x14ac:dyDescent="0.3">
      <c r="A1414" t="s">
        <v>495</v>
      </c>
    </row>
    <row r="1415" spans="1:1" x14ac:dyDescent="0.3">
      <c r="A1415" t="s">
        <v>495</v>
      </c>
    </row>
    <row r="1416" spans="1:1" x14ac:dyDescent="0.3">
      <c r="A1416" t="s">
        <v>495</v>
      </c>
    </row>
    <row r="1417" spans="1:1" x14ac:dyDescent="0.3">
      <c r="A1417" t="s">
        <v>495</v>
      </c>
    </row>
    <row r="1418" spans="1:1" x14ac:dyDescent="0.3">
      <c r="A1418" t="s">
        <v>5299</v>
      </c>
    </row>
    <row r="1419" spans="1:1" x14ac:dyDescent="0.3">
      <c r="A1419" t="s">
        <v>5352</v>
      </c>
    </row>
    <row r="1420" spans="1:1" x14ac:dyDescent="0.3">
      <c r="A1420" t="s">
        <v>4967</v>
      </c>
    </row>
    <row r="1421" spans="1:1" x14ac:dyDescent="0.3">
      <c r="A1421" t="s">
        <v>4967</v>
      </c>
    </row>
    <row r="1422" spans="1:1" x14ac:dyDescent="0.3">
      <c r="A1422" t="s">
        <v>5175</v>
      </c>
    </row>
    <row r="1423" spans="1:1" x14ac:dyDescent="0.3">
      <c r="A1423" t="s">
        <v>5175</v>
      </c>
    </row>
    <row r="1424" spans="1:1" x14ac:dyDescent="0.3">
      <c r="A1424" t="s">
        <v>5175</v>
      </c>
    </row>
    <row r="1425" spans="1:1" x14ac:dyDescent="0.3">
      <c r="A1425" t="s">
        <v>5175</v>
      </c>
    </row>
    <row r="1426" spans="1:1" x14ac:dyDescent="0.3">
      <c r="A1426" t="s">
        <v>5175</v>
      </c>
    </row>
    <row r="1427" spans="1:1" x14ac:dyDescent="0.3">
      <c r="A1427" t="s">
        <v>5175</v>
      </c>
    </row>
    <row r="1428" spans="1:1" x14ac:dyDescent="0.3">
      <c r="A1428" t="s">
        <v>5175</v>
      </c>
    </row>
    <row r="1429" spans="1:1" x14ac:dyDescent="0.3">
      <c r="A1429" t="s">
        <v>5175</v>
      </c>
    </row>
    <row r="1430" spans="1:1" x14ac:dyDescent="0.3">
      <c r="A1430" t="s">
        <v>5175</v>
      </c>
    </row>
    <row r="1431" spans="1:1" x14ac:dyDescent="0.3">
      <c r="A1431" t="s">
        <v>5175</v>
      </c>
    </row>
    <row r="1432" spans="1:1" x14ac:dyDescent="0.3">
      <c r="A1432" t="s">
        <v>5175</v>
      </c>
    </row>
    <row r="1433" spans="1:1" x14ac:dyDescent="0.3">
      <c r="A1433" t="s">
        <v>5175</v>
      </c>
    </row>
    <row r="1434" spans="1:1" x14ac:dyDescent="0.3">
      <c r="A1434" t="s">
        <v>5175</v>
      </c>
    </row>
    <row r="1435" spans="1:1" x14ac:dyDescent="0.3">
      <c r="A1435" t="s">
        <v>5175</v>
      </c>
    </row>
    <row r="1436" spans="1:1" x14ac:dyDescent="0.3">
      <c r="A1436" t="s">
        <v>5174</v>
      </c>
    </row>
    <row r="1437" spans="1:1" x14ac:dyDescent="0.3">
      <c r="A1437" t="s">
        <v>5174</v>
      </c>
    </row>
    <row r="1438" spans="1:1" x14ac:dyDescent="0.3">
      <c r="A1438" t="s">
        <v>5174</v>
      </c>
    </row>
    <row r="1439" spans="1:1" x14ac:dyDescent="0.3">
      <c r="A1439" t="s">
        <v>5369</v>
      </c>
    </row>
    <row r="1440" spans="1:1" x14ac:dyDescent="0.3">
      <c r="A1440" t="s">
        <v>5068</v>
      </c>
    </row>
    <row r="1441" spans="1:1" x14ac:dyDescent="0.3">
      <c r="A1441" t="s">
        <v>5068</v>
      </c>
    </row>
    <row r="1442" spans="1:1" x14ac:dyDescent="0.3">
      <c r="A1442" t="s">
        <v>5304</v>
      </c>
    </row>
    <row r="1443" spans="1:1" x14ac:dyDescent="0.3">
      <c r="A1443" t="s">
        <v>5304</v>
      </c>
    </row>
    <row r="1444" spans="1:1" x14ac:dyDescent="0.3">
      <c r="A1444" t="s">
        <v>5304</v>
      </c>
    </row>
    <row r="1445" spans="1:1" x14ac:dyDescent="0.3">
      <c r="A1445" t="s">
        <v>5304</v>
      </c>
    </row>
    <row r="1446" spans="1:1" x14ac:dyDescent="0.3">
      <c r="A1446" t="s">
        <v>5304</v>
      </c>
    </row>
    <row r="1447" spans="1:1" x14ac:dyDescent="0.3">
      <c r="A1447" t="s">
        <v>5304</v>
      </c>
    </row>
    <row r="1448" spans="1:1" x14ac:dyDescent="0.3">
      <c r="A1448" t="s">
        <v>5304</v>
      </c>
    </row>
    <row r="1449" spans="1:1" x14ac:dyDescent="0.3">
      <c r="A1449" t="s">
        <v>5304</v>
      </c>
    </row>
    <row r="1450" spans="1:1" x14ac:dyDescent="0.3">
      <c r="A1450" t="s">
        <v>5304</v>
      </c>
    </row>
    <row r="1451" spans="1:1" x14ac:dyDescent="0.3">
      <c r="A1451" t="s">
        <v>5304</v>
      </c>
    </row>
    <row r="1452" spans="1:1" x14ac:dyDescent="0.3">
      <c r="A1452" t="s">
        <v>5304</v>
      </c>
    </row>
    <row r="1453" spans="1:1" x14ac:dyDescent="0.3">
      <c r="A1453" t="s">
        <v>5304</v>
      </c>
    </row>
    <row r="1454" spans="1:1" x14ac:dyDescent="0.3">
      <c r="A1454" t="s">
        <v>5124</v>
      </c>
    </row>
    <row r="1455" spans="1:1" x14ac:dyDescent="0.3">
      <c r="A1455" t="s">
        <v>5124</v>
      </c>
    </row>
    <row r="1456" spans="1:1" x14ac:dyDescent="0.3">
      <c r="A1456" t="s">
        <v>5124</v>
      </c>
    </row>
    <row r="1457" spans="1:1" x14ac:dyDescent="0.3">
      <c r="A1457" t="s">
        <v>5193</v>
      </c>
    </row>
    <row r="1458" spans="1:1" x14ac:dyDescent="0.3">
      <c r="A1458" t="s">
        <v>740</v>
      </c>
    </row>
    <row r="1459" spans="1:1" x14ac:dyDescent="0.3">
      <c r="A1459" t="s">
        <v>740</v>
      </c>
    </row>
    <row r="1460" spans="1:1" x14ac:dyDescent="0.3">
      <c r="A1460" t="s">
        <v>740</v>
      </c>
    </row>
    <row r="1461" spans="1:1" x14ac:dyDescent="0.3">
      <c r="A1461" t="s">
        <v>740</v>
      </c>
    </row>
    <row r="1462" spans="1:1" x14ac:dyDescent="0.3">
      <c r="A1462" t="s">
        <v>740</v>
      </c>
    </row>
    <row r="1463" spans="1:1" x14ac:dyDescent="0.3">
      <c r="A1463" t="s">
        <v>5367</v>
      </c>
    </row>
    <row r="1464" spans="1:1" x14ac:dyDescent="0.3">
      <c r="A1464" t="s">
        <v>5367</v>
      </c>
    </row>
    <row r="1465" spans="1:1" x14ac:dyDescent="0.3">
      <c r="A1465" t="s">
        <v>5367</v>
      </c>
    </row>
    <row r="1466" spans="1:1" x14ac:dyDescent="0.3">
      <c r="A1466" t="s">
        <v>5338</v>
      </c>
    </row>
    <row r="1467" spans="1:1" x14ac:dyDescent="0.3">
      <c r="A1467" t="s">
        <v>5003</v>
      </c>
    </row>
    <row r="1468" spans="1:1" x14ac:dyDescent="0.3">
      <c r="A1468" t="s">
        <v>5003</v>
      </c>
    </row>
    <row r="1469" spans="1:1" x14ac:dyDescent="0.3">
      <c r="A1469" t="s">
        <v>5003</v>
      </c>
    </row>
    <row r="1470" spans="1:1" x14ac:dyDescent="0.3">
      <c r="A1470" t="s">
        <v>5003</v>
      </c>
    </row>
    <row r="1471" spans="1:1" x14ac:dyDescent="0.3">
      <c r="A1471" t="s">
        <v>5003</v>
      </c>
    </row>
    <row r="1472" spans="1:1" x14ac:dyDescent="0.3">
      <c r="A1472" t="s">
        <v>5003</v>
      </c>
    </row>
    <row r="1473" spans="1:1" x14ac:dyDescent="0.3">
      <c r="A1473" t="s">
        <v>5003</v>
      </c>
    </row>
    <row r="1474" spans="1:1" x14ac:dyDescent="0.3">
      <c r="A1474" t="s">
        <v>5003</v>
      </c>
    </row>
    <row r="1475" spans="1:1" x14ac:dyDescent="0.3">
      <c r="A1475" t="s">
        <v>5003</v>
      </c>
    </row>
    <row r="1476" spans="1:1" x14ac:dyDescent="0.3">
      <c r="A1476" t="s">
        <v>5003</v>
      </c>
    </row>
    <row r="1477" spans="1:1" x14ac:dyDescent="0.3">
      <c r="A1477" t="s">
        <v>5109</v>
      </c>
    </row>
    <row r="1478" spans="1:1" x14ac:dyDescent="0.3">
      <c r="A1478" t="s">
        <v>5219</v>
      </c>
    </row>
    <row r="1479" spans="1:1" x14ac:dyDescent="0.3">
      <c r="A1479" t="s">
        <v>5261</v>
      </c>
    </row>
    <row r="1480" spans="1:1" x14ac:dyDescent="0.3">
      <c r="A1480" t="s">
        <v>5261</v>
      </c>
    </row>
    <row r="1481" spans="1:1" x14ac:dyDescent="0.3">
      <c r="A1481" t="s">
        <v>5261</v>
      </c>
    </row>
    <row r="1482" spans="1:1" x14ac:dyDescent="0.3">
      <c r="A1482" t="s">
        <v>5261</v>
      </c>
    </row>
    <row r="1483" spans="1:1" x14ac:dyDescent="0.3">
      <c r="A1483" t="s">
        <v>5261</v>
      </c>
    </row>
    <row r="1484" spans="1:1" x14ac:dyDescent="0.3">
      <c r="A1484" t="s">
        <v>5261</v>
      </c>
    </row>
    <row r="1485" spans="1:1" x14ac:dyDescent="0.3">
      <c r="A1485" t="s">
        <v>5261</v>
      </c>
    </row>
    <row r="1486" spans="1:1" x14ac:dyDescent="0.3">
      <c r="A1486" t="s">
        <v>5163</v>
      </c>
    </row>
    <row r="1487" spans="1:1" x14ac:dyDescent="0.3">
      <c r="A1487" t="s">
        <v>5163</v>
      </c>
    </row>
    <row r="1488" spans="1:1" x14ac:dyDescent="0.3">
      <c r="A1488" t="s">
        <v>5163</v>
      </c>
    </row>
    <row r="1489" spans="1:1" x14ac:dyDescent="0.3">
      <c r="A1489" t="s">
        <v>4989</v>
      </c>
    </row>
    <row r="1490" spans="1:1" x14ac:dyDescent="0.3">
      <c r="A1490" t="s">
        <v>4989</v>
      </c>
    </row>
    <row r="1491" spans="1:1" x14ac:dyDescent="0.3">
      <c r="A1491" t="s">
        <v>4989</v>
      </c>
    </row>
    <row r="1492" spans="1:1" x14ac:dyDescent="0.3">
      <c r="A1492" t="s">
        <v>5144</v>
      </c>
    </row>
    <row r="1493" spans="1:1" x14ac:dyDescent="0.3">
      <c r="A1493" t="s">
        <v>5144</v>
      </c>
    </row>
    <row r="1494" spans="1:1" x14ac:dyDescent="0.3">
      <c r="A1494" t="s">
        <v>5269</v>
      </c>
    </row>
    <row r="1495" spans="1:1" x14ac:dyDescent="0.3">
      <c r="A1495" t="s">
        <v>5161</v>
      </c>
    </row>
    <row r="1496" spans="1:1" x14ac:dyDescent="0.3">
      <c r="A1496" t="s">
        <v>5191</v>
      </c>
    </row>
    <row r="1497" spans="1:1" x14ac:dyDescent="0.3">
      <c r="A1497" t="s">
        <v>5136</v>
      </c>
    </row>
    <row r="1498" spans="1:1" x14ac:dyDescent="0.3">
      <c r="A1498" t="s">
        <v>5136</v>
      </c>
    </row>
    <row r="1499" spans="1:1" x14ac:dyDescent="0.3">
      <c r="A1499" t="s">
        <v>4975</v>
      </c>
    </row>
    <row r="1500" spans="1:1" x14ac:dyDescent="0.3">
      <c r="A1500" t="s">
        <v>5131</v>
      </c>
    </row>
    <row r="1501" spans="1:1" x14ac:dyDescent="0.3">
      <c r="A1501" t="s">
        <v>5170</v>
      </c>
    </row>
    <row r="1502" spans="1:1" x14ac:dyDescent="0.3">
      <c r="A1502" t="s">
        <v>5170</v>
      </c>
    </row>
    <row r="1503" spans="1:1" x14ac:dyDescent="0.3">
      <c r="A1503" t="s">
        <v>5170</v>
      </c>
    </row>
    <row r="1504" spans="1:1" x14ac:dyDescent="0.3">
      <c r="A1504" t="s">
        <v>5170</v>
      </c>
    </row>
    <row r="1505" spans="1:1" x14ac:dyDescent="0.3">
      <c r="A1505" t="s">
        <v>5170</v>
      </c>
    </row>
    <row r="1506" spans="1:1" x14ac:dyDescent="0.3">
      <c r="A1506" t="s">
        <v>5170</v>
      </c>
    </row>
    <row r="1507" spans="1:1" x14ac:dyDescent="0.3">
      <c r="A1507" t="s">
        <v>5225</v>
      </c>
    </row>
    <row r="1508" spans="1:1" x14ac:dyDescent="0.3">
      <c r="A1508" t="s">
        <v>5225</v>
      </c>
    </row>
    <row r="1509" spans="1:1" x14ac:dyDescent="0.3">
      <c r="A1509" t="s">
        <v>5225</v>
      </c>
    </row>
    <row r="1510" spans="1:1" x14ac:dyDescent="0.3">
      <c r="A1510" t="s">
        <v>5272</v>
      </c>
    </row>
    <row r="1511" spans="1:1" x14ac:dyDescent="0.3">
      <c r="A1511" t="s">
        <v>5169</v>
      </c>
    </row>
    <row r="1512" spans="1:1" x14ac:dyDescent="0.3">
      <c r="A1512" t="s">
        <v>5169</v>
      </c>
    </row>
    <row r="1513" spans="1:1" x14ac:dyDescent="0.3">
      <c r="A1513" t="s">
        <v>5169</v>
      </c>
    </row>
    <row r="1514" spans="1:1" x14ac:dyDescent="0.3">
      <c r="A1514" t="s">
        <v>5169</v>
      </c>
    </row>
    <row r="1515" spans="1:1" x14ac:dyDescent="0.3">
      <c r="A1515" t="s">
        <v>5030</v>
      </c>
    </row>
    <row r="1516" spans="1:1" x14ac:dyDescent="0.3">
      <c r="A1516" t="s">
        <v>5296</v>
      </c>
    </row>
    <row r="1517" spans="1:1" x14ac:dyDescent="0.3">
      <c r="A1517" t="s">
        <v>5296</v>
      </c>
    </row>
    <row r="1518" spans="1:1" x14ac:dyDescent="0.3">
      <c r="A1518" t="s">
        <v>5296</v>
      </c>
    </row>
    <row r="1519" spans="1:1" x14ac:dyDescent="0.3">
      <c r="A1519" t="s">
        <v>5212</v>
      </c>
    </row>
    <row r="1520" spans="1:1" x14ac:dyDescent="0.3">
      <c r="A1520" t="s">
        <v>5212</v>
      </c>
    </row>
    <row r="1521" spans="1:1" x14ac:dyDescent="0.3">
      <c r="A1521" t="s">
        <v>5212</v>
      </c>
    </row>
    <row r="1522" spans="1:1" x14ac:dyDescent="0.3">
      <c r="A1522" t="s">
        <v>5212</v>
      </c>
    </row>
    <row r="1523" spans="1:1" x14ac:dyDescent="0.3">
      <c r="A1523" t="s">
        <v>5212</v>
      </c>
    </row>
    <row r="1524" spans="1:1" x14ac:dyDescent="0.3">
      <c r="A1524" t="s">
        <v>5080</v>
      </c>
    </row>
    <row r="1525" spans="1:1" x14ac:dyDescent="0.3">
      <c r="A1525" t="s">
        <v>5080</v>
      </c>
    </row>
    <row r="1526" spans="1:1" x14ac:dyDescent="0.3">
      <c r="A1526" t="s">
        <v>5080</v>
      </c>
    </row>
    <row r="1527" spans="1:1" x14ac:dyDescent="0.3">
      <c r="A1527" t="s">
        <v>5330</v>
      </c>
    </row>
    <row r="1528" spans="1:1" x14ac:dyDescent="0.3">
      <c r="A1528" t="s">
        <v>5330</v>
      </c>
    </row>
    <row r="1529" spans="1:1" x14ac:dyDescent="0.3">
      <c r="A1529" t="s">
        <v>2063</v>
      </c>
    </row>
    <row r="1530" spans="1:1" x14ac:dyDescent="0.3">
      <c r="A1530" t="s">
        <v>5373</v>
      </c>
    </row>
    <row r="1531" spans="1:1" x14ac:dyDescent="0.3">
      <c r="A1531" t="s">
        <v>4994</v>
      </c>
    </row>
    <row r="1532" spans="1:1" x14ac:dyDescent="0.3">
      <c r="A1532" t="s">
        <v>5074</v>
      </c>
    </row>
    <row r="1533" spans="1:1" x14ac:dyDescent="0.3">
      <c r="A1533" t="s">
        <v>5074</v>
      </c>
    </row>
    <row r="1534" spans="1:1" x14ac:dyDescent="0.3">
      <c r="A1534" t="s">
        <v>5074</v>
      </c>
    </row>
    <row r="1535" spans="1:1" x14ac:dyDescent="0.3">
      <c r="A1535" t="s">
        <v>5074</v>
      </c>
    </row>
    <row r="1536" spans="1:1" x14ac:dyDescent="0.3">
      <c r="A1536" t="s">
        <v>5074</v>
      </c>
    </row>
    <row r="1537" spans="1:1" x14ac:dyDescent="0.3">
      <c r="A1537" t="s">
        <v>5074</v>
      </c>
    </row>
    <row r="1538" spans="1:1" x14ac:dyDescent="0.3">
      <c r="A1538" t="s">
        <v>5074</v>
      </c>
    </row>
    <row r="1539" spans="1:1" x14ac:dyDescent="0.3">
      <c r="A1539" t="s">
        <v>5074</v>
      </c>
    </row>
    <row r="1540" spans="1:1" x14ac:dyDescent="0.3">
      <c r="A1540" t="s">
        <v>5074</v>
      </c>
    </row>
    <row r="1541" spans="1:1" x14ac:dyDescent="0.3">
      <c r="A1541" t="s">
        <v>5074</v>
      </c>
    </row>
    <row r="1542" spans="1:1" x14ac:dyDescent="0.3">
      <c r="A1542" t="s">
        <v>5074</v>
      </c>
    </row>
    <row r="1543" spans="1:1" x14ac:dyDescent="0.3">
      <c r="A1543" t="s">
        <v>5074</v>
      </c>
    </row>
    <row r="1544" spans="1:1" x14ac:dyDescent="0.3">
      <c r="A1544" t="s">
        <v>5074</v>
      </c>
    </row>
    <row r="1545" spans="1:1" x14ac:dyDescent="0.3">
      <c r="A1545" t="s">
        <v>5074</v>
      </c>
    </row>
    <row r="1546" spans="1:1" x14ac:dyDescent="0.3">
      <c r="A1546" t="s">
        <v>5074</v>
      </c>
    </row>
    <row r="1547" spans="1:1" x14ac:dyDescent="0.3">
      <c r="A1547" t="s">
        <v>5074</v>
      </c>
    </row>
    <row r="1548" spans="1:1" x14ac:dyDescent="0.3">
      <c r="A1548" t="s">
        <v>5074</v>
      </c>
    </row>
    <row r="1549" spans="1:1" x14ac:dyDescent="0.3">
      <c r="A1549" t="s">
        <v>5074</v>
      </c>
    </row>
    <row r="1550" spans="1:1" x14ac:dyDescent="0.3">
      <c r="A1550" t="s">
        <v>5074</v>
      </c>
    </row>
    <row r="1551" spans="1:1" x14ac:dyDescent="0.3">
      <c r="A1551" t="s">
        <v>5074</v>
      </c>
    </row>
    <row r="1552" spans="1:1" x14ac:dyDescent="0.3">
      <c r="A1552" t="s">
        <v>5074</v>
      </c>
    </row>
    <row r="1553" spans="1:1" x14ac:dyDescent="0.3">
      <c r="A1553" t="s">
        <v>5074</v>
      </c>
    </row>
    <row r="1554" spans="1:1" x14ac:dyDescent="0.3">
      <c r="A1554" t="s">
        <v>5074</v>
      </c>
    </row>
    <row r="1555" spans="1:1" x14ac:dyDescent="0.3">
      <c r="A1555" t="s">
        <v>5074</v>
      </c>
    </row>
    <row r="1556" spans="1:1" x14ac:dyDescent="0.3">
      <c r="A1556" t="s">
        <v>5183</v>
      </c>
    </row>
    <row r="1557" spans="1:1" x14ac:dyDescent="0.3">
      <c r="A1557" t="s">
        <v>5183</v>
      </c>
    </row>
    <row r="1558" spans="1:1" x14ac:dyDescent="0.3">
      <c r="A1558" t="s">
        <v>5183</v>
      </c>
    </row>
    <row r="1559" spans="1:1" x14ac:dyDescent="0.3">
      <c r="A1559" t="s">
        <v>5183</v>
      </c>
    </row>
    <row r="1560" spans="1:1" x14ac:dyDescent="0.3">
      <c r="A1560" t="s">
        <v>5183</v>
      </c>
    </row>
    <row r="1561" spans="1:1" x14ac:dyDescent="0.3">
      <c r="A1561" t="s">
        <v>4979</v>
      </c>
    </row>
    <row r="1562" spans="1:1" x14ac:dyDescent="0.3">
      <c r="A1562" t="s">
        <v>4979</v>
      </c>
    </row>
    <row r="1563" spans="1:1" x14ac:dyDescent="0.3">
      <c r="A1563" t="s">
        <v>4979</v>
      </c>
    </row>
    <row r="1564" spans="1:1" x14ac:dyDescent="0.3">
      <c r="A1564" t="s">
        <v>4979</v>
      </c>
    </row>
    <row r="1565" spans="1:1" x14ac:dyDescent="0.3">
      <c r="A1565" t="s">
        <v>4979</v>
      </c>
    </row>
    <row r="1566" spans="1:1" x14ac:dyDescent="0.3">
      <c r="A1566" t="s">
        <v>4979</v>
      </c>
    </row>
    <row r="1567" spans="1:1" x14ac:dyDescent="0.3">
      <c r="A1567" t="s">
        <v>4979</v>
      </c>
    </row>
    <row r="1568" spans="1:1" x14ac:dyDescent="0.3">
      <c r="A1568" t="s">
        <v>4979</v>
      </c>
    </row>
    <row r="1569" spans="1:1" x14ac:dyDescent="0.3">
      <c r="A1569" t="s">
        <v>4979</v>
      </c>
    </row>
    <row r="1570" spans="1:1" x14ac:dyDescent="0.3">
      <c r="A1570" t="s">
        <v>4979</v>
      </c>
    </row>
    <row r="1571" spans="1:1" x14ac:dyDescent="0.3">
      <c r="A1571" t="s">
        <v>4979</v>
      </c>
    </row>
    <row r="1572" spans="1:1" x14ac:dyDescent="0.3">
      <c r="A1572" t="s">
        <v>4979</v>
      </c>
    </row>
    <row r="1573" spans="1:1" x14ac:dyDescent="0.3">
      <c r="A1573" t="s">
        <v>4979</v>
      </c>
    </row>
    <row r="1574" spans="1:1" x14ac:dyDescent="0.3">
      <c r="A1574" t="s">
        <v>5028</v>
      </c>
    </row>
    <row r="1575" spans="1:1" x14ac:dyDescent="0.3">
      <c r="A1575" t="s">
        <v>5028</v>
      </c>
    </row>
    <row r="1576" spans="1:1" x14ac:dyDescent="0.3">
      <c r="A1576" t="s">
        <v>5222</v>
      </c>
    </row>
    <row r="1577" spans="1:1" x14ac:dyDescent="0.3">
      <c r="A1577" t="s">
        <v>5222</v>
      </c>
    </row>
    <row r="1578" spans="1:1" x14ac:dyDescent="0.3">
      <c r="A1578" t="s">
        <v>5222</v>
      </c>
    </row>
    <row r="1579" spans="1:1" x14ac:dyDescent="0.3">
      <c r="A1579" t="s">
        <v>5010</v>
      </c>
    </row>
    <row r="1580" spans="1:1" x14ac:dyDescent="0.3">
      <c r="A1580" t="s">
        <v>5010</v>
      </c>
    </row>
    <row r="1581" spans="1:1" x14ac:dyDescent="0.3">
      <c r="A1581" t="s">
        <v>5010</v>
      </c>
    </row>
    <row r="1582" spans="1:1" x14ac:dyDescent="0.3">
      <c r="A1582" t="s">
        <v>5010</v>
      </c>
    </row>
    <row r="1583" spans="1:1" x14ac:dyDescent="0.3">
      <c r="A1583" t="s">
        <v>5010</v>
      </c>
    </row>
    <row r="1584" spans="1:1" x14ac:dyDescent="0.3">
      <c r="A1584" t="s">
        <v>5010</v>
      </c>
    </row>
    <row r="1585" spans="1:1" x14ac:dyDescent="0.3">
      <c r="A1585" t="s">
        <v>5010</v>
      </c>
    </row>
    <row r="1586" spans="1:1" x14ac:dyDescent="0.3">
      <c r="A1586" t="s">
        <v>5010</v>
      </c>
    </row>
    <row r="1587" spans="1:1" x14ac:dyDescent="0.3">
      <c r="A1587" t="s">
        <v>5010</v>
      </c>
    </row>
    <row r="1588" spans="1:1" x14ac:dyDescent="0.3">
      <c r="A1588" t="s">
        <v>5010</v>
      </c>
    </row>
    <row r="1589" spans="1:1" x14ac:dyDescent="0.3">
      <c r="A1589" t="s">
        <v>5010</v>
      </c>
    </row>
    <row r="1590" spans="1:1" x14ac:dyDescent="0.3">
      <c r="A1590" t="s">
        <v>5010</v>
      </c>
    </row>
    <row r="1591" spans="1:1" x14ac:dyDescent="0.3">
      <c r="A1591" t="s">
        <v>5010</v>
      </c>
    </row>
    <row r="1592" spans="1:1" x14ac:dyDescent="0.3">
      <c r="A1592" t="s">
        <v>5010</v>
      </c>
    </row>
    <row r="1593" spans="1:1" x14ac:dyDescent="0.3">
      <c r="A1593" t="s">
        <v>5019</v>
      </c>
    </row>
    <row r="1594" spans="1:1" x14ac:dyDescent="0.3">
      <c r="A1594" t="s">
        <v>5019</v>
      </c>
    </row>
    <row r="1595" spans="1:1" x14ac:dyDescent="0.3">
      <c r="A1595" t="s">
        <v>5046</v>
      </c>
    </row>
    <row r="1596" spans="1:1" x14ac:dyDescent="0.3">
      <c r="A1596" t="s">
        <v>5046</v>
      </c>
    </row>
    <row r="1597" spans="1:1" x14ac:dyDescent="0.3">
      <c r="A1597" t="s">
        <v>5046</v>
      </c>
    </row>
    <row r="1598" spans="1:1" x14ac:dyDescent="0.3">
      <c r="A1598" t="s">
        <v>5046</v>
      </c>
    </row>
    <row r="1599" spans="1:1" x14ac:dyDescent="0.3">
      <c r="A1599" t="s">
        <v>5237</v>
      </c>
    </row>
    <row r="1600" spans="1:1" x14ac:dyDescent="0.3">
      <c r="A1600" t="s">
        <v>5146</v>
      </c>
    </row>
    <row r="1601" spans="1:1" x14ac:dyDescent="0.3">
      <c r="A1601" t="s">
        <v>5146</v>
      </c>
    </row>
    <row r="1602" spans="1:1" x14ac:dyDescent="0.3">
      <c r="A1602" t="s">
        <v>5146</v>
      </c>
    </row>
    <row r="1603" spans="1:1" x14ac:dyDescent="0.3">
      <c r="A1603" t="s">
        <v>5146</v>
      </c>
    </row>
    <row r="1604" spans="1:1" x14ac:dyDescent="0.3">
      <c r="A1604" t="s">
        <v>5146</v>
      </c>
    </row>
    <row r="1605" spans="1:1" x14ac:dyDescent="0.3">
      <c r="A1605" t="s">
        <v>5146</v>
      </c>
    </row>
    <row r="1606" spans="1:1" x14ac:dyDescent="0.3">
      <c r="A1606" t="s">
        <v>5146</v>
      </c>
    </row>
    <row r="1607" spans="1:1" x14ac:dyDescent="0.3">
      <c r="A1607" t="s">
        <v>5146</v>
      </c>
    </row>
    <row r="1608" spans="1:1" x14ac:dyDescent="0.3">
      <c r="A1608" t="s">
        <v>5146</v>
      </c>
    </row>
    <row r="1609" spans="1:1" x14ac:dyDescent="0.3">
      <c r="A1609" t="s">
        <v>5146</v>
      </c>
    </row>
    <row r="1610" spans="1:1" x14ac:dyDescent="0.3">
      <c r="A1610" t="s">
        <v>5146</v>
      </c>
    </row>
    <row r="1611" spans="1:1" x14ac:dyDescent="0.3">
      <c r="A1611" t="s">
        <v>5146</v>
      </c>
    </row>
    <row r="1612" spans="1:1" x14ac:dyDescent="0.3">
      <c r="A1612" t="s">
        <v>5146</v>
      </c>
    </row>
    <row r="1613" spans="1:1" x14ac:dyDescent="0.3">
      <c r="A1613" t="s">
        <v>5146</v>
      </c>
    </row>
    <row r="1614" spans="1:1" x14ac:dyDescent="0.3">
      <c r="A1614" t="s">
        <v>5146</v>
      </c>
    </row>
    <row r="1615" spans="1:1" x14ac:dyDescent="0.3">
      <c r="A1615" t="s">
        <v>5146</v>
      </c>
    </row>
    <row r="1616" spans="1:1" x14ac:dyDescent="0.3">
      <c r="A1616" t="s">
        <v>5147</v>
      </c>
    </row>
    <row r="1617" spans="1:1" x14ac:dyDescent="0.3">
      <c r="A1617" t="s">
        <v>5020</v>
      </c>
    </row>
    <row r="1618" spans="1:1" x14ac:dyDescent="0.3">
      <c r="A1618" t="s">
        <v>5020</v>
      </c>
    </row>
    <row r="1619" spans="1:1" x14ac:dyDescent="0.3">
      <c r="A1619" t="s">
        <v>5020</v>
      </c>
    </row>
    <row r="1620" spans="1:1" x14ac:dyDescent="0.3">
      <c r="A1620" t="s">
        <v>5020</v>
      </c>
    </row>
    <row r="1621" spans="1:1" x14ac:dyDescent="0.3">
      <c r="A1621" t="s">
        <v>5020</v>
      </c>
    </row>
    <row r="1622" spans="1:1" x14ac:dyDescent="0.3">
      <c r="A1622" t="s">
        <v>5020</v>
      </c>
    </row>
    <row r="1623" spans="1:1" x14ac:dyDescent="0.3">
      <c r="A1623" t="s">
        <v>5020</v>
      </c>
    </row>
    <row r="1624" spans="1:1" x14ac:dyDescent="0.3">
      <c r="A1624" t="s">
        <v>5020</v>
      </c>
    </row>
    <row r="1625" spans="1:1" x14ac:dyDescent="0.3">
      <c r="A1625" t="s">
        <v>5020</v>
      </c>
    </row>
    <row r="1626" spans="1:1" x14ac:dyDescent="0.3">
      <c r="A1626" t="s">
        <v>5020</v>
      </c>
    </row>
    <row r="1627" spans="1:1" x14ac:dyDescent="0.3">
      <c r="A1627" t="s">
        <v>5020</v>
      </c>
    </row>
    <row r="1628" spans="1:1" x14ac:dyDescent="0.3">
      <c r="A1628" t="s">
        <v>5020</v>
      </c>
    </row>
    <row r="1629" spans="1:1" x14ac:dyDescent="0.3">
      <c r="A1629" t="s">
        <v>5020</v>
      </c>
    </row>
    <row r="1630" spans="1:1" x14ac:dyDescent="0.3">
      <c r="A1630" t="s">
        <v>5020</v>
      </c>
    </row>
    <row r="1631" spans="1:1" x14ac:dyDescent="0.3">
      <c r="A1631" t="s">
        <v>5362</v>
      </c>
    </row>
    <row r="1632" spans="1:1" x14ac:dyDescent="0.3">
      <c r="A1632" t="s">
        <v>5383</v>
      </c>
    </row>
    <row r="1633" spans="1:1" x14ac:dyDescent="0.3">
      <c r="A1633" t="s">
        <v>5083</v>
      </c>
    </row>
    <row r="1634" spans="1:1" x14ac:dyDescent="0.3">
      <c r="A1634" t="s">
        <v>5283</v>
      </c>
    </row>
    <row r="1635" spans="1:1" x14ac:dyDescent="0.3">
      <c r="A1635" t="s">
        <v>5283</v>
      </c>
    </row>
    <row r="1636" spans="1:1" x14ac:dyDescent="0.3">
      <c r="A1636" t="s">
        <v>5283</v>
      </c>
    </row>
    <row r="1637" spans="1:1" x14ac:dyDescent="0.3">
      <c r="A1637" t="s">
        <v>5283</v>
      </c>
    </row>
    <row r="1638" spans="1:1" x14ac:dyDescent="0.3">
      <c r="A1638" t="s">
        <v>5213</v>
      </c>
    </row>
    <row r="1639" spans="1:1" x14ac:dyDescent="0.3">
      <c r="A1639" t="s">
        <v>5213</v>
      </c>
    </row>
    <row r="1640" spans="1:1" x14ac:dyDescent="0.3">
      <c r="A1640" t="s">
        <v>5216</v>
      </c>
    </row>
    <row r="1641" spans="1:1" x14ac:dyDescent="0.3">
      <c r="A1641" t="s">
        <v>5216</v>
      </c>
    </row>
    <row r="1642" spans="1:1" x14ac:dyDescent="0.3">
      <c r="A1642" t="s">
        <v>5363</v>
      </c>
    </row>
    <row r="1643" spans="1:1" x14ac:dyDescent="0.3">
      <c r="A1643" t="s">
        <v>5042</v>
      </c>
    </row>
    <row r="1644" spans="1:1" x14ac:dyDescent="0.3">
      <c r="A1644" t="s">
        <v>5042</v>
      </c>
    </row>
    <row r="1645" spans="1:1" x14ac:dyDescent="0.3">
      <c r="A1645" t="s">
        <v>5042</v>
      </c>
    </row>
    <row r="1646" spans="1:1" x14ac:dyDescent="0.3">
      <c r="A1646" t="s">
        <v>5365</v>
      </c>
    </row>
    <row r="1647" spans="1:1" x14ac:dyDescent="0.3">
      <c r="A1647" t="s">
        <v>5059</v>
      </c>
    </row>
    <row r="1648" spans="1:1" x14ac:dyDescent="0.3">
      <c r="A1648" t="s">
        <v>5139</v>
      </c>
    </row>
    <row r="1649" spans="1:1" x14ac:dyDescent="0.3">
      <c r="A1649" t="s">
        <v>5290</v>
      </c>
    </row>
    <row r="1650" spans="1:1" x14ac:dyDescent="0.3">
      <c r="A1650" t="s">
        <v>5290</v>
      </c>
    </row>
    <row r="1651" spans="1:1" x14ac:dyDescent="0.3">
      <c r="A1651" t="s">
        <v>5290</v>
      </c>
    </row>
    <row r="1652" spans="1:1" x14ac:dyDescent="0.3">
      <c r="A1652" t="s">
        <v>5290</v>
      </c>
    </row>
    <row r="1653" spans="1:1" x14ac:dyDescent="0.3">
      <c r="A1653" t="s">
        <v>5290</v>
      </c>
    </row>
    <row r="1654" spans="1:1" x14ac:dyDescent="0.3">
      <c r="A1654" t="s">
        <v>5290</v>
      </c>
    </row>
    <row r="1655" spans="1:1" x14ac:dyDescent="0.3">
      <c r="A1655" t="s">
        <v>5290</v>
      </c>
    </row>
    <row r="1656" spans="1:1" x14ac:dyDescent="0.3">
      <c r="A1656" t="s">
        <v>5055</v>
      </c>
    </row>
    <row r="1657" spans="1:1" x14ac:dyDescent="0.3">
      <c r="A1657" t="s">
        <v>5055</v>
      </c>
    </row>
    <row r="1658" spans="1:1" x14ac:dyDescent="0.3">
      <c r="A1658" t="s">
        <v>5055</v>
      </c>
    </row>
    <row r="1659" spans="1:1" x14ac:dyDescent="0.3">
      <c r="A1659" t="s">
        <v>5055</v>
      </c>
    </row>
    <row r="1660" spans="1:1" x14ac:dyDescent="0.3">
      <c r="A1660" t="s">
        <v>5055</v>
      </c>
    </row>
    <row r="1661" spans="1:1" x14ac:dyDescent="0.3">
      <c r="A1661" t="s">
        <v>5055</v>
      </c>
    </row>
    <row r="1662" spans="1:1" x14ac:dyDescent="0.3">
      <c r="A1662" t="s">
        <v>5055</v>
      </c>
    </row>
    <row r="1663" spans="1:1" x14ac:dyDescent="0.3">
      <c r="A1663" t="s">
        <v>5349</v>
      </c>
    </row>
    <row r="1664" spans="1:1" x14ac:dyDescent="0.3">
      <c r="A1664" t="s">
        <v>5248</v>
      </c>
    </row>
    <row r="1665" spans="1:1" x14ac:dyDescent="0.3">
      <c r="A1665" t="s">
        <v>5264</v>
      </c>
    </row>
    <row r="1666" spans="1:1" x14ac:dyDescent="0.3">
      <c r="A1666" t="s">
        <v>5264</v>
      </c>
    </row>
    <row r="1667" spans="1:1" x14ac:dyDescent="0.3">
      <c r="A1667" t="s">
        <v>5264</v>
      </c>
    </row>
    <row r="1668" spans="1:1" x14ac:dyDescent="0.3">
      <c r="A1668" t="s">
        <v>5264</v>
      </c>
    </row>
    <row r="1669" spans="1:1" x14ac:dyDescent="0.3">
      <c r="A1669" t="s">
        <v>5264</v>
      </c>
    </row>
    <row r="1670" spans="1:1" x14ac:dyDescent="0.3">
      <c r="A1670" t="s">
        <v>5264</v>
      </c>
    </row>
    <row r="1671" spans="1:1" x14ac:dyDescent="0.3">
      <c r="A1671" t="s">
        <v>5264</v>
      </c>
    </row>
    <row r="1672" spans="1:1" x14ac:dyDescent="0.3">
      <c r="A1672" t="s">
        <v>5264</v>
      </c>
    </row>
    <row r="1673" spans="1:1" x14ac:dyDescent="0.3">
      <c r="A1673" t="s">
        <v>5264</v>
      </c>
    </row>
    <row r="1674" spans="1:1" x14ac:dyDescent="0.3">
      <c r="A1674" t="s">
        <v>5264</v>
      </c>
    </row>
    <row r="1675" spans="1:1" x14ac:dyDescent="0.3">
      <c r="A1675" t="s">
        <v>5264</v>
      </c>
    </row>
    <row r="1676" spans="1:1" x14ac:dyDescent="0.3">
      <c r="A1676" t="s">
        <v>5018</v>
      </c>
    </row>
    <row r="1677" spans="1:1" x14ac:dyDescent="0.3">
      <c r="A1677" t="s">
        <v>5255</v>
      </c>
    </row>
    <row r="1678" spans="1:1" x14ac:dyDescent="0.3">
      <c r="A1678" t="s">
        <v>5255</v>
      </c>
    </row>
    <row r="1679" spans="1:1" x14ac:dyDescent="0.3">
      <c r="A1679" t="s">
        <v>5255</v>
      </c>
    </row>
    <row r="1680" spans="1:1" x14ac:dyDescent="0.3">
      <c r="A1680" t="s">
        <v>5255</v>
      </c>
    </row>
    <row r="1681" spans="1:1" x14ac:dyDescent="0.3">
      <c r="A1681" t="s">
        <v>5255</v>
      </c>
    </row>
    <row r="1682" spans="1:1" x14ac:dyDescent="0.3">
      <c r="A1682" t="s">
        <v>5255</v>
      </c>
    </row>
    <row r="1683" spans="1:1" x14ac:dyDescent="0.3">
      <c r="A1683" t="s">
        <v>5255</v>
      </c>
    </row>
    <row r="1684" spans="1:1" x14ac:dyDescent="0.3">
      <c r="A1684" t="s">
        <v>5255</v>
      </c>
    </row>
    <row r="1685" spans="1:1" x14ac:dyDescent="0.3">
      <c r="A1685" t="s">
        <v>5255</v>
      </c>
    </row>
    <row r="1686" spans="1:1" x14ac:dyDescent="0.3">
      <c r="A1686" t="s">
        <v>5255</v>
      </c>
    </row>
    <row r="1687" spans="1:1" x14ac:dyDescent="0.3">
      <c r="A1687" t="s">
        <v>5255</v>
      </c>
    </row>
    <row r="1688" spans="1:1" x14ac:dyDescent="0.3">
      <c r="A1688" t="s">
        <v>5332</v>
      </c>
    </row>
    <row r="1689" spans="1:1" x14ac:dyDescent="0.3">
      <c r="A1689" t="s">
        <v>5332</v>
      </c>
    </row>
    <row r="1690" spans="1:1" x14ac:dyDescent="0.3">
      <c r="A1690" t="s">
        <v>5332</v>
      </c>
    </row>
    <row r="1691" spans="1:1" x14ac:dyDescent="0.3">
      <c r="A1691" t="s">
        <v>5027</v>
      </c>
    </row>
    <row r="1692" spans="1:1" x14ac:dyDescent="0.3">
      <c r="A1692" t="s">
        <v>5027</v>
      </c>
    </row>
    <row r="1693" spans="1:1" x14ac:dyDescent="0.3">
      <c r="A1693" t="s">
        <v>5315</v>
      </c>
    </row>
    <row r="1694" spans="1:1" x14ac:dyDescent="0.3">
      <c r="A1694" t="s">
        <v>5315</v>
      </c>
    </row>
    <row r="1695" spans="1:1" x14ac:dyDescent="0.3">
      <c r="A1695" t="s">
        <v>5339</v>
      </c>
    </row>
    <row r="1696" spans="1:1" x14ac:dyDescent="0.3">
      <c r="A1696" t="s">
        <v>5339</v>
      </c>
    </row>
    <row r="1697" spans="1:1" x14ac:dyDescent="0.3">
      <c r="A1697" t="s">
        <v>5062</v>
      </c>
    </row>
    <row r="1698" spans="1:1" x14ac:dyDescent="0.3">
      <c r="A1698" t="s">
        <v>5348</v>
      </c>
    </row>
    <row r="1699" spans="1:1" x14ac:dyDescent="0.3">
      <c r="A1699" t="s">
        <v>5348</v>
      </c>
    </row>
    <row r="1700" spans="1:1" x14ac:dyDescent="0.3">
      <c r="A1700" t="s">
        <v>5167</v>
      </c>
    </row>
    <row r="1701" spans="1:1" x14ac:dyDescent="0.3">
      <c r="A1701" t="s">
        <v>5279</v>
      </c>
    </row>
    <row r="1702" spans="1:1" x14ac:dyDescent="0.3">
      <c r="A1702" t="s">
        <v>4985</v>
      </c>
    </row>
    <row r="1703" spans="1:1" x14ac:dyDescent="0.3">
      <c r="A1703" t="s">
        <v>4985</v>
      </c>
    </row>
    <row r="1704" spans="1:1" x14ac:dyDescent="0.3">
      <c r="A1704" t="s">
        <v>4985</v>
      </c>
    </row>
    <row r="1705" spans="1:1" x14ac:dyDescent="0.3">
      <c r="A1705" t="s">
        <v>4985</v>
      </c>
    </row>
    <row r="1706" spans="1:1" x14ac:dyDescent="0.3">
      <c r="A1706" t="s">
        <v>4985</v>
      </c>
    </row>
    <row r="1707" spans="1:1" x14ac:dyDescent="0.3">
      <c r="A1707" t="s">
        <v>4985</v>
      </c>
    </row>
    <row r="1708" spans="1:1" x14ac:dyDescent="0.3">
      <c r="A1708" t="s">
        <v>4985</v>
      </c>
    </row>
    <row r="1709" spans="1:1" x14ac:dyDescent="0.3">
      <c r="A1709" t="s">
        <v>5358</v>
      </c>
    </row>
    <row r="1710" spans="1:1" x14ac:dyDescent="0.3">
      <c r="A1710" t="s">
        <v>5358</v>
      </c>
    </row>
    <row r="1711" spans="1:1" x14ac:dyDescent="0.3">
      <c r="A1711" t="s">
        <v>5024</v>
      </c>
    </row>
    <row r="1712" spans="1:1" x14ac:dyDescent="0.3">
      <c r="A1712" t="s">
        <v>5024</v>
      </c>
    </row>
    <row r="1713" spans="1:1" x14ac:dyDescent="0.3">
      <c r="A1713" t="s">
        <v>5094</v>
      </c>
    </row>
    <row r="1714" spans="1:1" x14ac:dyDescent="0.3">
      <c r="A1714" t="s">
        <v>5094</v>
      </c>
    </row>
    <row r="1715" spans="1:1" x14ac:dyDescent="0.3">
      <c r="A1715" t="s">
        <v>5094</v>
      </c>
    </row>
    <row r="1716" spans="1:1" x14ac:dyDescent="0.3">
      <c r="A1716" t="s">
        <v>5082</v>
      </c>
    </row>
    <row r="1717" spans="1:1" x14ac:dyDescent="0.3">
      <c r="A1717" t="s">
        <v>5082</v>
      </c>
    </row>
    <row r="1718" spans="1:1" x14ac:dyDescent="0.3">
      <c r="A1718" t="s">
        <v>5082</v>
      </c>
    </row>
    <row r="1719" spans="1:1" x14ac:dyDescent="0.3">
      <c r="A1719" t="s">
        <v>5082</v>
      </c>
    </row>
    <row r="1720" spans="1:1" x14ac:dyDescent="0.3">
      <c r="A1720" t="s">
        <v>5082</v>
      </c>
    </row>
    <row r="1721" spans="1:1" x14ac:dyDescent="0.3">
      <c r="A1721" t="s">
        <v>5082</v>
      </c>
    </row>
    <row r="1722" spans="1:1" x14ac:dyDescent="0.3">
      <c r="A1722" t="s">
        <v>5110</v>
      </c>
    </row>
    <row r="1723" spans="1:1" x14ac:dyDescent="0.3">
      <c r="A1723" t="s">
        <v>5005</v>
      </c>
    </row>
    <row r="1724" spans="1:1" x14ac:dyDescent="0.3">
      <c r="A1724" t="s">
        <v>5308</v>
      </c>
    </row>
    <row r="1725" spans="1:1" x14ac:dyDescent="0.3">
      <c r="A1725" t="s">
        <v>5268</v>
      </c>
    </row>
    <row r="1726" spans="1:1" x14ac:dyDescent="0.3">
      <c r="A1726" t="s">
        <v>5244</v>
      </c>
    </row>
    <row r="1727" spans="1:1" x14ac:dyDescent="0.3">
      <c r="A1727" t="s">
        <v>5004</v>
      </c>
    </row>
    <row r="1728" spans="1:1" x14ac:dyDescent="0.3">
      <c r="A1728" t="s">
        <v>5004</v>
      </c>
    </row>
    <row r="1729" spans="1:1" x14ac:dyDescent="0.3">
      <c r="A1729" t="s">
        <v>5004</v>
      </c>
    </row>
    <row r="1730" spans="1:1" x14ac:dyDescent="0.3">
      <c r="A1730" t="s">
        <v>5004</v>
      </c>
    </row>
    <row r="1731" spans="1:1" x14ac:dyDescent="0.3">
      <c r="A1731" t="s">
        <v>5004</v>
      </c>
    </row>
    <row r="1732" spans="1:1" x14ac:dyDescent="0.3">
      <c r="A1732" t="s">
        <v>5004</v>
      </c>
    </row>
    <row r="1733" spans="1:1" x14ac:dyDescent="0.3">
      <c r="A1733" t="s">
        <v>5004</v>
      </c>
    </row>
    <row r="1734" spans="1:1" x14ac:dyDescent="0.3">
      <c r="A1734" t="s">
        <v>5004</v>
      </c>
    </row>
    <row r="1735" spans="1:1" x14ac:dyDescent="0.3">
      <c r="A1735" t="s">
        <v>5004</v>
      </c>
    </row>
    <row r="1736" spans="1:1" x14ac:dyDescent="0.3">
      <c r="A1736" t="s">
        <v>5004</v>
      </c>
    </row>
    <row r="1737" spans="1:1" x14ac:dyDescent="0.3">
      <c r="A1737" t="s">
        <v>5004</v>
      </c>
    </row>
    <row r="1738" spans="1:1" x14ac:dyDescent="0.3">
      <c r="A1738" t="s">
        <v>4965</v>
      </c>
    </row>
    <row r="1739" spans="1:1" x14ac:dyDescent="0.3">
      <c r="A1739" t="s">
        <v>5340</v>
      </c>
    </row>
    <row r="1740" spans="1:1" x14ac:dyDescent="0.3">
      <c r="A1740" t="s">
        <v>5340</v>
      </c>
    </row>
    <row r="1741" spans="1:1" x14ac:dyDescent="0.3">
      <c r="A1741" t="s">
        <v>5240</v>
      </c>
    </row>
    <row r="1742" spans="1:1" x14ac:dyDescent="0.3">
      <c r="A1742" t="s">
        <v>4982</v>
      </c>
    </row>
    <row r="1743" spans="1:1" x14ac:dyDescent="0.3">
      <c r="A1743" t="s">
        <v>4982</v>
      </c>
    </row>
    <row r="1744" spans="1:1" x14ac:dyDescent="0.3">
      <c r="A1744" t="s">
        <v>4982</v>
      </c>
    </row>
    <row r="1745" spans="1:1" x14ac:dyDescent="0.3">
      <c r="A1745" t="s">
        <v>4982</v>
      </c>
    </row>
    <row r="1746" spans="1:1" x14ac:dyDescent="0.3">
      <c r="A1746" t="s">
        <v>4982</v>
      </c>
    </row>
    <row r="1747" spans="1:1" x14ac:dyDescent="0.3">
      <c r="A1747" t="s">
        <v>4982</v>
      </c>
    </row>
    <row r="1748" spans="1:1" x14ac:dyDescent="0.3">
      <c r="A1748" t="s">
        <v>4982</v>
      </c>
    </row>
    <row r="1749" spans="1:1" x14ac:dyDescent="0.3">
      <c r="A1749" t="s">
        <v>5041</v>
      </c>
    </row>
    <row r="1750" spans="1:1" x14ac:dyDescent="0.3">
      <c r="A1750" t="s">
        <v>5041</v>
      </c>
    </row>
    <row r="1751" spans="1:1" x14ac:dyDescent="0.3">
      <c r="A1751" t="s">
        <v>5041</v>
      </c>
    </row>
    <row r="1752" spans="1:1" x14ac:dyDescent="0.3">
      <c r="A1752" t="s">
        <v>5107</v>
      </c>
    </row>
    <row r="1753" spans="1:1" x14ac:dyDescent="0.3">
      <c r="A1753" t="s">
        <v>5107</v>
      </c>
    </row>
    <row r="1754" spans="1:1" x14ac:dyDescent="0.3">
      <c r="A1754" t="s">
        <v>5091</v>
      </c>
    </row>
    <row r="1755" spans="1:1" x14ac:dyDescent="0.3">
      <c r="A1755" t="s">
        <v>820</v>
      </c>
    </row>
    <row r="1756" spans="1:1" x14ac:dyDescent="0.3">
      <c r="A1756" t="s">
        <v>5008</v>
      </c>
    </row>
    <row r="1757" spans="1:1" x14ac:dyDescent="0.3">
      <c r="A1757" t="s">
        <v>5262</v>
      </c>
    </row>
    <row r="1758" spans="1:1" x14ac:dyDescent="0.3">
      <c r="A1758" t="s">
        <v>5262</v>
      </c>
    </row>
    <row r="1759" spans="1:1" x14ac:dyDescent="0.3">
      <c r="A1759" t="s">
        <v>5262</v>
      </c>
    </row>
    <row r="1760" spans="1:1" x14ac:dyDescent="0.3">
      <c r="A1760" t="s">
        <v>5262</v>
      </c>
    </row>
    <row r="1761" spans="1:1" x14ac:dyDescent="0.3">
      <c r="A1761" t="s">
        <v>5262</v>
      </c>
    </row>
    <row r="1762" spans="1:1" x14ac:dyDescent="0.3">
      <c r="A1762" t="s">
        <v>5258</v>
      </c>
    </row>
    <row r="1763" spans="1:1" x14ac:dyDescent="0.3">
      <c r="A1763" t="s">
        <v>5142</v>
      </c>
    </row>
    <row r="1764" spans="1:1" x14ac:dyDescent="0.3">
      <c r="A1764" t="s">
        <v>5274</v>
      </c>
    </row>
    <row r="1765" spans="1:1" x14ac:dyDescent="0.3">
      <c r="A1765" t="s">
        <v>5103</v>
      </c>
    </row>
    <row r="1766" spans="1:1" x14ac:dyDescent="0.3">
      <c r="A1766" t="s">
        <v>5103</v>
      </c>
    </row>
    <row r="1767" spans="1:1" x14ac:dyDescent="0.3">
      <c r="A1767" t="s">
        <v>5103</v>
      </c>
    </row>
    <row r="1768" spans="1:1" x14ac:dyDescent="0.3">
      <c r="A1768" t="s">
        <v>5103</v>
      </c>
    </row>
    <row r="1769" spans="1:1" x14ac:dyDescent="0.3">
      <c r="A1769" t="s">
        <v>5103</v>
      </c>
    </row>
    <row r="1770" spans="1:1" x14ac:dyDescent="0.3">
      <c r="A1770" t="s">
        <v>5103</v>
      </c>
    </row>
    <row r="1771" spans="1:1" x14ac:dyDescent="0.3">
      <c r="A1771" t="s">
        <v>5103</v>
      </c>
    </row>
    <row r="1772" spans="1:1" x14ac:dyDescent="0.3">
      <c r="A1772" t="s">
        <v>5103</v>
      </c>
    </row>
    <row r="1773" spans="1:1" x14ac:dyDescent="0.3">
      <c r="A1773" t="s">
        <v>5103</v>
      </c>
    </row>
    <row r="1774" spans="1:1" x14ac:dyDescent="0.3">
      <c r="A1774" t="s">
        <v>5103</v>
      </c>
    </row>
    <row r="1775" spans="1:1" x14ac:dyDescent="0.3">
      <c r="A1775" t="s">
        <v>5103</v>
      </c>
    </row>
    <row r="1776" spans="1:1" x14ac:dyDescent="0.3">
      <c r="A1776" t="s">
        <v>5197</v>
      </c>
    </row>
    <row r="1777" spans="1:1" x14ac:dyDescent="0.3">
      <c r="A1777" t="s">
        <v>5197</v>
      </c>
    </row>
    <row r="1778" spans="1:1" x14ac:dyDescent="0.3">
      <c r="A1778" t="s">
        <v>5197</v>
      </c>
    </row>
    <row r="1779" spans="1:1" x14ac:dyDescent="0.3">
      <c r="A1779" t="s">
        <v>5197</v>
      </c>
    </row>
    <row r="1780" spans="1:1" x14ac:dyDescent="0.3">
      <c r="A1780" t="s">
        <v>5197</v>
      </c>
    </row>
    <row r="1781" spans="1:1" x14ac:dyDescent="0.3">
      <c r="A1781" t="s">
        <v>5197</v>
      </c>
    </row>
    <row r="1782" spans="1:1" x14ac:dyDescent="0.3">
      <c r="A1782" t="s">
        <v>5197</v>
      </c>
    </row>
    <row r="1783" spans="1:1" x14ac:dyDescent="0.3">
      <c r="A1783" t="s">
        <v>5197</v>
      </c>
    </row>
    <row r="1784" spans="1:1" x14ac:dyDescent="0.3">
      <c r="A1784" t="s">
        <v>4992</v>
      </c>
    </row>
    <row r="1785" spans="1:1" x14ac:dyDescent="0.3">
      <c r="A1785" t="s">
        <v>5318</v>
      </c>
    </row>
    <row r="1786" spans="1:1" x14ac:dyDescent="0.3">
      <c r="A1786" t="s">
        <v>5318</v>
      </c>
    </row>
    <row r="1787" spans="1:1" x14ac:dyDescent="0.3">
      <c r="A1787" t="s">
        <v>5318</v>
      </c>
    </row>
    <row r="1788" spans="1:1" x14ac:dyDescent="0.3">
      <c r="A1788" t="s">
        <v>5318</v>
      </c>
    </row>
    <row r="1789" spans="1:1" x14ac:dyDescent="0.3">
      <c r="A1789" t="s">
        <v>5318</v>
      </c>
    </row>
    <row r="1790" spans="1:1" x14ac:dyDescent="0.3">
      <c r="A1790" t="s">
        <v>5158</v>
      </c>
    </row>
    <row r="1791" spans="1:1" x14ac:dyDescent="0.3">
      <c r="A1791" t="s">
        <v>5158</v>
      </c>
    </row>
    <row r="1792" spans="1:1" x14ac:dyDescent="0.3">
      <c r="A1792" t="s">
        <v>5158</v>
      </c>
    </row>
    <row r="1793" spans="1:1" x14ac:dyDescent="0.3">
      <c r="A1793" t="s">
        <v>5158</v>
      </c>
    </row>
    <row r="1794" spans="1:1" x14ac:dyDescent="0.3">
      <c r="A1794" t="s">
        <v>5288</v>
      </c>
    </row>
    <row r="1795" spans="1:1" x14ac:dyDescent="0.3">
      <c r="A1795" t="s">
        <v>5016</v>
      </c>
    </row>
    <row r="1796" spans="1:1" x14ac:dyDescent="0.3">
      <c r="A1796" t="s">
        <v>5016</v>
      </c>
    </row>
    <row r="1797" spans="1:1" x14ac:dyDescent="0.3">
      <c r="A1797" t="s">
        <v>5016</v>
      </c>
    </row>
    <row r="1798" spans="1:1" x14ac:dyDescent="0.3">
      <c r="A1798" t="s">
        <v>5016</v>
      </c>
    </row>
    <row r="1799" spans="1:1" x14ac:dyDescent="0.3">
      <c r="A1799" t="s">
        <v>5016</v>
      </c>
    </row>
    <row r="1800" spans="1:1" x14ac:dyDescent="0.3">
      <c r="A1800" t="s">
        <v>5016</v>
      </c>
    </row>
    <row r="1801" spans="1:1" x14ac:dyDescent="0.3">
      <c r="A1801" t="s">
        <v>5016</v>
      </c>
    </row>
    <row r="1802" spans="1:1" x14ac:dyDescent="0.3">
      <c r="A1802" t="s">
        <v>5016</v>
      </c>
    </row>
    <row r="1803" spans="1:1" x14ac:dyDescent="0.3">
      <c r="A1803" t="s">
        <v>5016</v>
      </c>
    </row>
    <row r="1804" spans="1:1" x14ac:dyDescent="0.3">
      <c r="A1804" t="s">
        <v>5016</v>
      </c>
    </row>
    <row r="1805" spans="1:1" x14ac:dyDescent="0.3">
      <c r="A1805" t="s">
        <v>5015</v>
      </c>
    </row>
    <row r="1806" spans="1:1" x14ac:dyDescent="0.3">
      <c r="A1806" t="s">
        <v>5015</v>
      </c>
    </row>
    <row r="1807" spans="1:1" x14ac:dyDescent="0.3">
      <c r="A1807" t="s">
        <v>5015</v>
      </c>
    </row>
    <row r="1808" spans="1:1" x14ac:dyDescent="0.3">
      <c r="A1808" t="s">
        <v>5015</v>
      </c>
    </row>
    <row r="1809" spans="1:1" x14ac:dyDescent="0.3">
      <c r="A1809" t="s">
        <v>5015</v>
      </c>
    </row>
    <row r="1810" spans="1:1" x14ac:dyDescent="0.3">
      <c r="A1810" t="s">
        <v>5015</v>
      </c>
    </row>
    <row r="1811" spans="1:1" x14ac:dyDescent="0.3">
      <c r="A1811" t="s">
        <v>5015</v>
      </c>
    </row>
    <row r="1812" spans="1:1" x14ac:dyDescent="0.3">
      <c r="A1812" t="s">
        <v>5015</v>
      </c>
    </row>
    <row r="1813" spans="1:1" x14ac:dyDescent="0.3">
      <c r="A1813" t="s">
        <v>5015</v>
      </c>
    </row>
    <row r="1814" spans="1:1" x14ac:dyDescent="0.3">
      <c r="A1814" t="s">
        <v>5015</v>
      </c>
    </row>
    <row r="1815" spans="1:1" x14ac:dyDescent="0.3">
      <c r="A1815" t="s">
        <v>5015</v>
      </c>
    </row>
    <row r="1816" spans="1:1" x14ac:dyDescent="0.3">
      <c r="A1816" t="s">
        <v>5015</v>
      </c>
    </row>
    <row r="1817" spans="1:1" x14ac:dyDescent="0.3">
      <c r="A1817" t="s">
        <v>5130</v>
      </c>
    </row>
    <row r="1818" spans="1:1" x14ac:dyDescent="0.3">
      <c r="A1818" t="s">
        <v>5130</v>
      </c>
    </row>
    <row r="1819" spans="1:1" x14ac:dyDescent="0.3">
      <c r="A1819" t="s">
        <v>5130</v>
      </c>
    </row>
    <row r="1820" spans="1:1" x14ac:dyDescent="0.3">
      <c r="A1820" t="s">
        <v>5130</v>
      </c>
    </row>
    <row r="1821" spans="1:1" x14ac:dyDescent="0.3">
      <c r="A1821" t="s">
        <v>5130</v>
      </c>
    </row>
    <row r="1822" spans="1:1" x14ac:dyDescent="0.3">
      <c r="A1822" t="s">
        <v>5351</v>
      </c>
    </row>
    <row r="1823" spans="1:1" x14ac:dyDescent="0.3">
      <c r="A1823" t="s">
        <v>5329</v>
      </c>
    </row>
    <row r="1824" spans="1:1" x14ac:dyDescent="0.3">
      <c r="A1824" t="s">
        <v>5215</v>
      </c>
    </row>
    <row r="1825" spans="1:1" x14ac:dyDescent="0.3">
      <c r="A1825" t="s">
        <v>5215</v>
      </c>
    </row>
    <row r="1826" spans="1:1" x14ac:dyDescent="0.3">
      <c r="A1826" t="s">
        <v>5215</v>
      </c>
    </row>
    <row r="1827" spans="1:1" x14ac:dyDescent="0.3">
      <c r="A1827" t="s">
        <v>5327</v>
      </c>
    </row>
    <row r="1828" spans="1:1" x14ac:dyDescent="0.3">
      <c r="A1828" t="s">
        <v>5331</v>
      </c>
    </row>
    <row r="1829" spans="1:1" x14ac:dyDescent="0.3">
      <c r="A1829" t="s">
        <v>5092</v>
      </c>
    </row>
    <row r="1830" spans="1:1" x14ac:dyDescent="0.3">
      <c r="A1830" t="s">
        <v>5092</v>
      </c>
    </row>
    <row r="1831" spans="1:1" x14ac:dyDescent="0.3">
      <c r="A1831" t="s">
        <v>5092</v>
      </c>
    </row>
    <row r="1832" spans="1:1" x14ac:dyDescent="0.3">
      <c r="A1832" t="s">
        <v>5092</v>
      </c>
    </row>
    <row r="1833" spans="1:1" x14ac:dyDescent="0.3">
      <c r="A1833" t="s">
        <v>5092</v>
      </c>
    </row>
    <row r="1834" spans="1:1" x14ac:dyDescent="0.3">
      <c r="A1834" t="s">
        <v>4995</v>
      </c>
    </row>
    <row r="1835" spans="1:1" x14ac:dyDescent="0.3">
      <c r="A1835" t="s">
        <v>5115</v>
      </c>
    </row>
    <row r="1836" spans="1:1" x14ac:dyDescent="0.3">
      <c r="A1836" t="s">
        <v>5115</v>
      </c>
    </row>
    <row r="1837" spans="1:1" x14ac:dyDescent="0.3">
      <c r="A1837" t="s">
        <v>5115</v>
      </c>
    </row>
    <row r="1838" spans="1:1" x14ac:dyDescent="0.3">
      <c r="A1838" t="s">
        <v>5233</v>
      </c>
    </row>
    <row r="1839" spans="1:1" x14ac:dyDescent="0.3">
      <c r="A1839" t="s">
        <v>5117</v>
      </c>
    </row>
    <row r="1840" spans="1:1" x14ac:dyDescent="0.3">
      <c r="A1840" t="s">
        <v>5117</v>
      </c>
    </row>
    <row r="1841" spans="1:1" x14ac:dyDescent="0.3">
      <c r="A1841" t="s">
        <v>5117</v>
      </c>
    </row>
    <row r="1842" spans="1:1" x14ac:dyDescent="0.3">
      <c r="A1842" t="s">
        <v>4993</v>
      </c>
    </row>
    <row r="1843" spans="1:1" x14ac:dyDescent="0.3">
      <c r="A1843" t="s">
        <v>4993</v>
      </c>
    </row>
    <row r="1844" spans="1:1" x14ac:dyDescent="0.3">
      <c r="A1844" t="s">
        <v>4993</v>
      </c>
    </row>
    <row r="1845" spans="1:1" x14ac:dyDescent="0.3">
      <c r="A1845" t="s">
        <v>4993</v>
      </c>
    </row>
    <row r="1846" spans="1:1" x14ac:dyDescent="0.3">
      <c r="A1846" t="s">
        <v>4993</v>
      </c>
    </row>
    <row r="1847" spans="1:1" x14ac:dyDescent="0.3">
      <c r="A1847" t="s">
        <v>5259</v>
      </c>
    </row>
    <row r="1848" spans="1:1" x14ac:dyDescent="0.3">
      <c r="A1848" t="s">
        <v>5143</v>
      </c>
    </row>
    <row r="1849" spans="1:1" x14ac:dyDescent="0.3">
      <c r="A1849" t="s">
        <v>5256</v>
      </c>
    </row>
    <row r="1850" spans="1:1" x14ac:dyDescent="0.3">
      <c r="A1850" t="s">
        <v>5256</v>
      </c>
    </row>
    <row r="1851" spans="1:1" x14ac:dyDescent="0.3">
      <c r="A1851" t="s">
        <v>5141</v>
      </c>
    </row>
    <row r="1852" spans="1:1" x14ac:dyDescent="0.3">
      <c r="A1852" t="s">
        <v>5141</v>
      </c>
    </row>
    <row r="1853" spans="1:1" x14ac:dyDescent="0.3">
      <c r="A1853" t="s">
        <v>663</v>
      </c>
    </row>
    <row r="1854" spans="1:1" x14ac:dyDescent="0.3">
      <c r="A1854" t="s">
        <v>663</v>
      </c>
    </row>
    <row r="1855" spans="1:1" x14ac:dyDescent="0.3">
      <c r="A1855" t="s">
        <v>663</v>
      </c>
    </row>
    <row r="1856" spans="1:1" x14ac:dyDescent="0.3">
      <c r="A1856" t="s">
        <v>663</v>
      </c>
    </row>
    <row r="1857" spans="1:1" x14ac:dyDescent="0.3">
      <c r="A1857" t="s">
        <v>663</v>
      </c>
    </row>
    <row r="1858" spans="1:1" x14ac:dyDescent="0.3">
      <c r="A1858" t="s">
        <v>663</v>
      </c>
    </row>
    <row r="1859" spans="1:1" x14ac:dyDescent="0.3">
      <c r="A1859" t="s">
        <v>663</v>
      </c>
    </row>
    <row r="1860" spans="1:1" x14ac:dyDescent="0.3">
      <c r="A1860" t="s">
        <v>663</v>
      </c>
    </row>
    <row r="1861" spans="1:1" x14ac:dyDescent="0.3">
      <c r="A1861" t="s">
        <v>663</v>
      </c>
    </row>
    <row r="1862" spans="1:1" x14ac:dyDescent="0.3">
      <c r="A1862" t="s">
        <v>663</v>
      </c>
    </row>
    <row r="1863" spans="1:1" x14ac:dyDescent="0.3">
      <c r="A1863" t="s">
        <v>663</v>
      </c>
    </row>
    <row r="1864" spans="1:1" x14ac:dyDescent="0.3">
      <c r="A1864" t="s">
        <v>663</v>
      </c>
    </row>
    <row r="1865" spans="1:1" x14ac:dyDescent="0.3">
      <c r="A1865" t="s">
        <v>663</v>
      </c>
    </row>
    <row r="1866" spans="1:1" x14ac:dyDescent="0.3">
      <c r="A1866" t="s">
        <v>663</v>
      </c>
    </row>
    <row r="1867" spans="1:1" x14ac:dyDescent="0.3">
      <c r="A1867" t="s">
        <v>663</v>
      </c>
    </row>
    <row r="1868" spans="1:1" x14ac:dyDescent="0.3">
      <c r="A1868" t="s">
        <v>663</v>
      </c>
    </row>
    <row r="1869" spans="1:1" x14ac:dyDescent="0.3">
      <c r="A1869" t="s">
        <v>663</v>
      </c>
    </row>
    <row r="1870" spans="1:1" x14ac:dyDescent="0.3">
      <c r="A1870" t="s">
        <v>663</v>
      </c>
    </row>
    <row r="1871" spans="1:1" x14ac:dyDescent="0.3">
      <c r="A1871" t="s">
        <v>663</v>
      </c>
    </row>
    <row r="1872" spans="1:1" x14ac:dyDescent="0.3">
      <c r="A1872" t="s">
        <v>5342</v>
      </c>
    </row>
    <row r="1873" spans="1:1" x14ac:dyDescent="0.3">
      <c r="A1873" t="s">
        <v>5343</v>
      </c>
    </row>
    <row r="1874" spans="1:1" x14ac:dyDescent="0.3">
      <c r="A1874" t="s">
        <v>5053</v>
      </c>
    </row>
    <row r="1875" spans="1:1" x14ac:dyDescent="0.3">
      <c r="A1875" t="s">
        <v>5053</v>
      </c>
    </row>
    <row r="1876" spans="1:1" x14ac:dyDescent="0.3">
      <c r="A1876" t="s">
        <v>5053</v>
      </c>
    </row>
    <row r="1877" spans="1:1" x14ac:dyDescent="0.3">
      <c r="A1877" t="s">
        <v>5053</v>
      </c>
    </row>
    <row r="1878" spans="1:1" x14ac:dyDescent="0.3">
      <c r="A1878" t="s">
        <v>364</v>
      </c>
    </row>
    <row r="1879" spans="1:1" x14ac:dyDescent="0.3">
      <c r="A1879" t="s">
        <v>364</v>
      </c>
    </row>
    <row r="1880" spans="1:1" x14ac:dyDescent="0.3">
      <c r="A1880" t="s">
        <v>364</v>
      </c>
    </row>
    <row r="1881" spans="1:1" x14ac:dyDescent="0.3">
      <c r="A1881" t="s">
        <v>364</v>
      </c>
    </row>
    <row r="1882" spans="1:1" x14ac:dyDescent="0.3">
      <c r="A1882" t="s">
        <v>364</v>
      </c>
    </row>
    <row r="1883" spans="1:1" x14ac:dyDescent="0.3">
      <c r="A1883" t="s">
        <v>364</v>
      </c>
    </row>
    <row r="1884" spans="1:1" x14ac:dyDescent="0.3">
      <c r="A1884" t="s">
        <v>364</v>
      </c>
    </row>
    <row r="1885" spans="1:1" x14ac:dyDescent="0.3">
      <c r="A1885" t="s">
        <v>364</v>
      </c>
    </row>
    <row r="1886" spans="1:1" x14ac:dyDescent="0.3">
      <c r="A1886" t="s">
        <v>364</v>
      </c>
    </row>
    <row r="1887" spans="1:1" x14ac:dyDescent="0.3">
      <c r="A1887" t="s">
        <v>364</v>
      </c>
    </row>
    <row r="1888" spans="1:1" x14ac:dyDescent="0.3">
      <c r="A1888" t="s">
        <v>364</v>
      </c>
    </row>
    <row r="1889" spans="1:1" x14ac:dyDescent="0.3">
      <c r="A1889" t="s">
        <v>364</v>
      </c>
    </row>
    <row r="1890" spans="1:1" x14ac:dyDescent="0.3">
      <c r="A1890" t="s">
        <v>364</v>
      </c>
    </row>
    <row r="1891" spans="1:1" x14ac:dyDescent="0.3">
      <c r="A1891" t="s">
        <v>364</v>
      </c>
    </row>
    <row r="1892" spans="1:1" x14ac:dyDescent="0.3">
      <c r="A1892" t="s">
        <v>364</v>
      </c>
    </row>
    <row r="1893" spans="1:1" x14ac:dyDescent="0.3">
      <c r="A1893" t="s">
        <v>364</v>
      </c>
    </row>
    <row r="1894" spans="1:1" x14ac:dyDescent="0.3">
      <c r="A1894" t="s">
        <v>364</v>
      </c>
    </row>
    <row r="1895" spans="1:1" x14ac:dyDescent="0.3">
      <c r="A1895" t="s">
        <v>364</v>
      </c>
    </row>
    <row r="1896" spans="1:1" x14ac:dyDescent="0.3">
      <c r="A1896" t="s">
        <v>364</v>
      </c>
    </row>
    <row r="1897" spans="1:1" x14ac:dyDescent="0.3">
      <c r="A1897" t="s">
        <v>364</v>
      </c>
    </row>
    <row r="1898" spans="1:1" x14ac:dyDescent="0.3">
      <c r="A1898" t="s">
        <v>364</v>
      </c>
    </row>
    <row r="1899" spans="1:1" x14ac:dyDescent="0.3">
      <c r="A1899" t="s">
        <v>364</v>
      </c>
    </row>
    <row r="1900" spans="1:1" x14ac:dyDescent="0.3">
      <c r="A1900" t="s">
        <v>364</v>
      </c>
    </row>
    <row r="1901" spans="1:1" x14ac:dyDescent="0.3">
      <c r="A1901" t="s">
        <v>364</v>
      </c>
    </row>
    <row r="1902" spans="1:1" x14ac:dyDescent="0.3">
      <c r="A1902" t="s">
        <v>364</v>
      </c>
    </row>
    <row r="1903" spans="1:1" x14ac:dyDescent="0.3">
      <c r="A1903" t="s">
        <v>364</v>
      </c>
    </row>
    <row r="1904" spans="1:1" x14ac:dyDescent="0.3">
      <c r="A1904" t="s">
        <v>5040</v>
      </c>
    </row>
    <row r="1905" spans="1:1" x14ac:dyDescent="0.3">
      <c r="A1905" t="s">
        <v>5040</v>
      </c>
    </row>
    <row r="1906" spans="1:1" x14ac:dyDescent="0.3">
      <c r="A1906" t="s">
        <v>5040</v>
      </c>
    </row>
    <row r="1907" spans="1:1" x14ac:dyDescent="0.3">
      <c r="A1907" t="s">
        <v>5040</v>
      </c>
    </row>
    <row r="1908" spans="1:1" x14ac:dyDescent="0.3">
      <c r="A1908" t="s">
        <v>1108</v>
      </c>
    </row>
    <row r="1909" spans="1:1" x14ac:dyDescent="0.3">
      <c r="A1909" t="s">
        <v>1108</v>
      </c>
    </row>
    <row r="1910" spans="1:1" x14ac:dyDescent="0.3">
      <c r="A1910" t="s">
        <v>1108</v>
      </c>
    </row>
    <row r="1911" spans="1:1" x14ac:dyDescent="0.3">
      <c r="A1911" t="s">
        <v>1108</v>
      </c>
    </row>
    <row r="1912" spans="1:1" x14ac:dyDescent="0.3">
      <c r="A1912" t="s">
        <v>1108</v>
      </c>
    </row>
    <row r="1913" spans="1:1" x14ac:dyDescent="0.3">
      <c r="A1913" t="s">
        <v>1108</v>
      </c>
    </row>
    <row r="1914" spans="1:1" x14ac:dyDescent="0.3">
      <c r="A1914" t="s">
        <v>1108</v>
      </c>
    </row>
    <row r="1915" spans="1:1" x14ac:dyDescent="0.3">
      <c r="A1915" t="s">
        <v>1108</v>
      </c>
    </row>
    <row r="1916" spans="1:1" x14ac:dyDescent="0.3">
      <c r="A1916" t="s">
        <v>1108</v>
      </c>
    </row>
    <row r="1917" spans="1:1" x14ac:dyDescent="0.3">
      <c r="A1917" t="s">
        <v>1108</v>
      </c>
    </row>
    <row r="1918" spans="1:1" x14ac:dyDescent="0.3">
      <c r="A1918" t="s">
        <v>1108</v>
      </c>
    </row>
    <row r="1919" spans="1:1" x14ac:dyDescent="0.3">
      <c r="A1919" t="s">
        <v>1108</v>
      </c>
    </row>
    <row r="1920" spans="1:1" x14ac:dyDescent="0.3">
      <c r="A1920" t="s">
        <v>1108</v>
      </c>
    </row>
    <row r="1921" spans="1:1" x14ac:dyDescent="0.3">
      <c r="A1921" t="s">
        <v>1108</v>
      </c>
    </row>
    <row r="1922" spans="1:1" x14ac:dyDescent="0.3">
      <c r="A1922" t="s">
        <v>1108</v>
      </c>
    </row>
    <row r="1923" spans="1:1" x14ac:dyDescent="0.3">
      <c r="A1923" t="s">
        <v>1108</v>
      </c>
    </row>
    <row r="1924" spans="1:1" x14ac:dyDescent="0.3">
      <c r="A1924" t="s">
        <v>1108</v>
      </c>
    </row>
    <row r="1925" spans="1:1" x14ac:dyDescent="0.3">
      <c r="A1925" t="s">
        <v>1108</v>
      </c>
    </row>
    <row r="1926" spans="1:1" x14ac:dyDescent="0.3">
      <c r="A1926" t="s">
        <v>1108</v>
      </c>
    </row>
    <row r="1927" spans="1:1" x14ac:dyDescent="0.3">
      <c r="A1927" t="s">
        <v>1108</v>
      </c>
    </row>
    <row r="1928" spans="1:1" x14ac:dyDescent="0.3">
      <c r="A1928" t="s">
        <v>1108</v>
      </c>
    </row>
    <row r="1929" spans="1:1" x14ac:dyDescent="0.3">
      <c r="A1929" t="s">
        <v>1108</v>
      </c>
    </row>
    <row r="1930" spans="1:1" x14ac:dyDescent="0.3">
      <c r="A1930" t="s">
        <v>1108</v>
      </c>
    </row>
    <row r="1931" spans="1:1" x14ac:dyDescent="0.3">
      <c r="A1931" t="s">
        <v>1108</v>
      </c>
    </row>
    <row r="1932" spans="1:1" x14ac:dyDescent="0.3">
      <c r="A1932" t="s">
        <v>1108</v>
      </c>
    </row>
    <row r="1933" spans="1:1" x14ac:dyDescent="0.3">
      <c r="A1933" t="s">
        <v>1108</v>
      </c>
    </row>
    <row r="1934" spans="1:1" x14ac:dyDescent="0.3">
      <c r="A1934" t="s">
        <v>1108</v>
      </c>
    </row>
    <row r="1935" spans="1:1" x14ac:dyDescent="0.3">
      <c r="A1935" t="s">
        <v>1108</v>
      </c>
    </row>
    <row r="1936" spans="1:1" x14ac:dyDescent="0.3">
      <c r="A1936" t="s">
        <v>1108</v>
      </c>
    </row>
    <row r="1937" spans="1:1" x14ac:dyDescent="0.3">
      <c r="A1937" t="s">
        <v>5184</v>
      </c>
    </row>
    <row r="1938" spans="1:1" x14ac:dyDescent="0.3">
      <c r="A1938" t="s">
        <v>5184</v>
      </c>
    </row>
    <row r="1939" spans="1:1" x14ac:dyDescent="0.3">
      <c r="A1939" t="s">
        <v>5189</v>
      </c>
    </row>
    <row r="1940" spans="1:1" x14ac:dyDescent="0.3">
      <c r="A1940" t="s">
        <v>5014</v>
      </c>
    </row>
    <row r="1941" spans="1:1" x14ac:dyDescent="0.3">
      <c r="A1941" t="s">
        <v>5113</v>
      </c>
    </row>
    <row r="1942" spans="1:1" x14ac:dyDescent="0.3">
      <c r="A1942" t="s">
        <v>5113</v>
      </c>
    </row>
    <row r="1943" spans="1:1" x14ac:dyDescent="0.3">
      <c r="A1943" t="s">
        <v>5266</v>
      </c>
    </row>
    <row r="1944" spans="1:1" x14ac:dyDescent="0.3">
      <c r="A1944" t="s">
        <v>5065</v>
      </c>
    </row>
    <row r="1945" spans="1:1" x14ac:dyDescent="0.3">
      <c r="A1945" t="s">
        <v>5276</v>
      </c>
    </row>
    <row r="1946" spans="1:1" x14ac:dyDescent="0.3">
      <c r="A1946" t="s">
        <v>680</v>
      </c>
    </row>
    <row r="1947" spans="1:1" x14ac:dyDescent="0.3">
      <c r="A1947" t="s">
        <v>5179</v>
      </c>
    </row>
    <row r="1948" spans="1:1" x14ac:dyDescent="0.3">
      <c r="A1948" t="s">
        <v>5179</v>
      </c>
    </row>
    <row r="1949" spans="1:1" x14ac:dyDescent="0.3">
      <c r="A1949" t="s">
        <v>5179</v>
      </c>
    </row>
    <row r="1950" spans="1:1" x14ac:dyDescent="0.3">
      <c r="A1950" t="s">
        <v>5179</v>
      </c>
    </row>
    <row r="1951" spans="1:1" x14ac:dyDescent="0.3">
      <c r="A1951" t="s">
        <v>5179</v>
      </c>
    </row>
    <row r="1952" spans="1:1" x14ac:dyDescent="0.3">
      <c r="A1952" t="s">
        <v>5179</v>
      </c>
    </row>
    <row r="1953" spans="1:1" x14ac:dyDescent="0.3">
      <c r="A1953" t="s">
        <v>5179</v>
      </c>
    </row>
    <row r="1954" spans="1:1" x14ac:dyDescent="0.3">
      <c r="A1954" t="s">
        <v>5289</v>
      </c>
    </row>
    <row r="1955" spans="1:1" x14ac:dyDescent="0.3">
      <c r="A1955" t="s">
        <v>5079</v>
      </c>
    </row>
    <row r="1956" spans="1:1" x14ac:dyDescent="0.3">
      <c r="A1956" t="s">
        <v>5079</v>
      </c>
    </row>
    <row r="1957" spans="1:1" x14ac:dyDescent="0.3">
      <c r="A1957" t="s">
        <v>5079</v>
      </c>
    </row>
    <row r="1958" spans="1:1" x14ac:dyDescent="0.3">
      <c r="A1958" t="s">
        <v>5079</v>
      </c>
    </row>
    <row r="1959" spans="1:1" x14ac:dyDescent="0.3">
      <c r="A1959" t="s">
        <v>5079</v>
      </c>
    </row>
    <row r="1960" spans="1:1" x14ac:dyDescent="0.3">
      <c r="A1960" t="s">
        <v>5079</v>
      </c>
    </row>
    <row r="1961" spans="1:1" x14ac:dyDescent="0.3">
      <c r="A1961" t="s">
        <v>5079</v>
      </c>
    </row>
    <row r="1962" spans="1:1" x14ac:dyDescent="0.3">
      <c r="A1962" t="s">
        <v>5079</v>
      </c>
    </row>
    <row r="1963" spans="1:1" x14ac:dyDescent="0.3">
      <c r="A1963" t="s">
        <v>5079</v>
      </c>
    </row>
    <row r="1964" spans="1:1" x14ac:dyDescent="0.3">
      <c r="A1964" t="s">
        <v>5292</v>
      </c>
    </row>
    <row r="1965" spans="1:1" x14ac:dyDescent="0.3">
      <c r="A1965" t="s">
        <v>5292</v>
      </c>
    </row>
    <row r="1966" spans="1:1" x14ac:dyDescent="0.3">
      <c r="A1966" t="s">
        <v>5292</v>
      </c>
    </row>
    <row r="1967" spans="1:1" x14ac:dyDescent="0.3">
      <c r="A1967" t="s">
        <v>5293</v>
      </c>
    </row>
    <row r="1968" spans="1:1" x14ac:dyDescent="0.3">
      <c r="A1968" t="s">
        <v>5302</v>
      </c>
    </row>
    <row r="1969" spans="1:1" x14ac:dyDescent="0.3">
      <c r="A1969" t="s">
        <v>5302</v>
      </c>
    </row>
    <row r="1970" spans="1:1" x14ac:dyDescent="0.3">
      <c r="A1970" t="s">
        <v>5302</v>
      </c>
    </row>
    <row r="1971" spans="1:1" x14ac:dyDescent="0.3">
      <c r="A1971" t="s">
        <v>5302</v>
      </c>
    </row>
    <row r="1972" spans="1:1" x14ac:dyDescent="0.3">
      <c r="A1972" t="s">
        <v>5067</v>
      </c>
    </row>
    <row r="1973" spans="1:1" x14ac:dyDescent="0.3">
      <c r="A1973" t="s">
        <v>5067</v>
      </c>
    </row>
    <row r="1974" spans="1:1" x14ac:dyDescent="0.3">
      <c r="A1974" t="s">
        <v>5067</v>
      </c>
    </row>
    <row r="1975" spans="1:1" x14ac:dyDescent="0.3">
      <c r="A1975" t="s">
        <v>5067</v>
      </c>
    </row>
    <row r="1976" spans="1:1" x14ac:dyDescent="0.3">
      <c r="A1976" t="s">
        <v>5067</v>
      </c>
    </row>
    <row r="1977" spans="1:1" x14ac:dyDescent="0.3">
      <c r="A1977" t="s">
        <v>5067</v>
      </c>
    </row>
    <row r="1978" spans="1:1" x14ac:dyDescent="0.3">
      <c r="A1978" t="s">
        <v>5067</v>
      </c>
    </row>
    <row r="1979" spans="1:1" x14ac:dyDescent="0.3">
      <c r="A1979" t="s">
        <v>5067</v>
      </c>
    </row>
    <row r="1980" spans="1:1" x14ac:dyDescent="0.3">
      <c r="A1980" t="s">
        <v>5067</v>
      </c>
    </row>
    <row r="1981" spans="1:1" x14ac:dyDescent="0.3">
      <c r="A1981" t="s">
        <v>5067</v>
      </c>
    </row>
    <row r="1982" spans="1:1" x14ac:dyDescent="0.3">
      <c r="A1982" t="s">
        <v>5067</v>
      </c>
    </row>
    <row r="1983" spans="1:1" x14ac:dyDescent="0.3">
      <c r="A1983" t="s">
        <v>5067</v>
      </c>
    </row>
    <row r="1984" spans="1:1" x14ac:dyDescent="0.3">
      <c r="A1984" t="s">
        <v>5067</v>
      </c>
    </row>
    <row r="1985" spans="1:1" x14ac:dyDescent="0.3">
      <c r="A1985" t="s">
        <v>5067</v>
      </c>
    </row>
    <row r="1986" spans="1:1" x14ac:dyDescent="0.3">
      <c r="A1986" t="s">
        <v>5067</v>
      </c>
    </row>
    <row r="1987" spans="1:1" x14ac:dyDescent="0.3">
      <c r="A1987" t="s">
        <v>5067</v>
      </c>
    </row>
    <row r="1988" spans="1:1" x14ac:dyDescent="0.3">
      <c r="A1988" t="s">
        <v>5067</v>
      </c>
    </row>
    <row r="1989" spans="1:1" x14ac:dyDescent="0.3">
      <c r="A1989" t="s">
        <v>5067</v>
      </c>
    </row>
    <row r="1990" spans="1:1" x14ac:dyDescent="0.3">
      <c r="A1990" t="s">
        <v>5067</v>
      </c>
    </row>
    <row r="1991" spans="1:1" x14ac:dyDescent="0.3">
      <c r="A1991" t="s">
        <v>5067</v>
      </c>
    </row>
    <row r="1992" spans="1:1" x14ac:dyDescent="0.3">
      <c r="A1992" t="s">
        <v>5067</v>
      </c>
    </row>
    <row r="1993" spans="1:1" x14ac:dyDescent="0.3">
      <c r="A1993" t="s">
        <v>5067</v>
      </c>
    </row>
    <row r="1994" spans="1:1" x14ac:dyDescent="0.3">
      <c r="A1994" t="s">
        <v>5067</v>
      </c>
    </row>
    <row r="1995" spans="1:1" x14ac:dyDescent="0.3">
      <c r="A1995" t="s">
        <v>5067</v>
      </c>
    </row>
    <row r="1996" spans="1:1" x14ac:dyDescent="0.3">
      <c r="A1996" t="s">
        <v>5372</v>
      </c>
    </row>
    <row r="1997" spans="1:1" x14ac:dyDescent="0.3">
      <c r="A1997" t="s">
        <v>5372</v>
      </c>
    </row>
    <row r="1998" spans="1:1" x14ac:dyDescent="0.3">
      <c r="A1998" t="s">
        <v>5071</v>
      </c>
    </row>
    <row r="1999" spans="1:1" x14ac:dyDescent="0.3">
      <c r="A1999" t="s">
        <v>5071</v>
      </c>
    </row>
    <row r="2000" spans="1:1" x14ac:dyDescent="0.3">
      <c r="A2000" t="s">
        <v>5071</v>
      </c>
    </row>
    <row r="2001" spans="1:1" x14ac:dyDescent="0.3">
      <c r="A2001" t="s">
        <v>5071</v>
      </c>
    </row>
    <row r="2002" spans="1:1" x14ac:dyDescent="0.3">
      <c r="A2002" t="s">
        <v>5071</v>
      </c>
    </row>
    <row r="2003" spans="1:1" x14ac:dyDescent="0.3">
      <c r="A2003" t="s">
        <v>5071</v>
      </c>
    </row>
    <row r="2004" spans="1:1" x14ac:dyDescent="0.3">
      <c r="A2004" t="s">
        <v>5071</v>
      </c>
    </row>
    <row r="2005" spans="1:1" x14ac:dyDescent="0.3">
      <c r="A2005" t="s">
        <v>5071</v>
      </c>
    </row>
    <row r="2006" spans="1:1" x14ac:dyDescent="0.3">
      <c r="A2006" t="s">
        <v>5071</v>
      </c>
    </row>
    <row r="2007" spans="1:1" x14ac:dyDescent="0.3">
      <c r="A2007" t="s">
        <v>5071</v>
      </c>
    </row>
    <row r="2008" spans="1:1" x14ac:dyDescent="0.3">
      <c r="A2008" t="s">
        <v>5071</v>
      </c>
    </row>
    <row r="2009" spans="1:1" x14ac:dyDescent="0.3">
      <c r="A2009" t="s">
        <v>5071</v>
      </c>
    </row>
    <row r="2010" spans="1:1" x14ac:dyDescent="0.3">
      <c r="A2010" t="s">
        <v>5071</v>
      </c>
    </row>
    <row r="2011" spans="1:1" x14ac:dyDescent="0.3">
      <c r="A2011" t="s">
        <v>5071</v>
      </c>
    </row>
    <row r="2012" spans="1:1" x14ac:dyDescent="0.3">
      <c r="A2012" t="s">
        <v>5071</v>
      </c>
    </row>
    <row r="2013" spans="1:1" x14ac:dyDescent="0.3">
      <c r="A2013" t="s">
        <v>5071</v>
      </c>
    </row>
    <row r="2014" spans="1:1" x14ac:dyDescent="0.3">
      <c r="A2014" t="s">
        <v>5071</v>
      </c>
    </row>
    <row r="2015" spans="1:1" x14ac:dyDescent="0.3">
      <c r="A2015" t="s">
        <v>5071</v>
      </c>
    </row>
    <row r="2016" spans="1:1" x14ac:dyDescent="0.3">
      <c r="A2016" t="s">
        <v>5071</v>
      </c>
    </row>
    <row r="2017" spans="1:1" x14ac:dyDescent="0.3">
      <c r="A2017" t="s">
        <v>5071</v>
      </c>
    </row>
    <row r="2018" spans="1:1" x14ac:dyDescent="0.3">
      <c r="A2018" t="s">
        <v>5071</v>
      </c>
    </row>
    <row r="2019" spans="1:1" x14ac:dyDescent="0.3">
      <c r="A2019" t="s">
        <v>5071</v>
      </c>
    </row>
    <row r="2020" spans="1:1" x14ac:dyDescent="0.3">
      <c r="A2020" t="s">
        <v>5071</v>
      </c>
    </row>
    <row r="2021" spans="1:1" x14ac:dyDescent="0.3">
      <c r="A2021" t="s">
        <v>5223</v>
      </c>
    </row>
    <row r="2022" spans="1:1" x14ac:dyDescent="0.3">
      <c r="A2022" t="s">
        <v>5075</v>
      </c>
    </row>
    <row r="2023" spans="1:1" x14ac:dyDescent="0.3">
      <c r="A2023" t="s">
        <v>5119</v>
      </c>
    </row>
    <row r="2024" spans="1:1" x14ac:dyDescent="0.3">
      <c r="A2024" t="s">
        <v>5050</v>
      </c>
    </row>
    <row r="2025" spans="1:1" x14ac:dyDescent="0.3">
      <c r="A2025" t="s">
        <v>5050</v>
      </c>
    </row>
    <row r="2026" spans="1:1" x14ac:dyDescent="0.3">
      <c r="A2026" t="s">
        <v>5050</v>
      </c>
    </row>
    <row r="2027" spans="1:1" x14ac:dyDescent="0.3">
      <c r="A2027" t="s">
        <v>5388</v>
      </c>
    </row>
    <row r="2028" spans="1:1" x14ac:dyDescent="0.3">
      <c r="A2028" t="s">
        <v>5388</v>
      </c>
    </row>
    <row r="2029" spans="1:1" x14ac:dyDescent="0.3">
      <c r="A2029" t="s">
        <v>5388</v>
      </c>
    </row>
    <row r="2030" spans="1:1" x14ac:dyDescent="0.3">
      <c r="A2030" t="s">
        <v>5001</v>
      </c>
    </row>
    <row r="2031" spans="1:1" x14ac:dyDescent="0.3">
      <c r="A2031" t="s">
        <v>5001</v>
      </c>
    </row>
    <row r="2032" spans="1:1" x14ac:dyDescent="0.3">
      <c r="A2032" t="s">
        <v>5001</v>
      </c>
    </row>
    <row r="2033" spans="1:1" x14ac:dyDescent="0.3">
      <c r="A2033" t="s">
        <v>5001</v>
      </c>
    </row>
    <row r="2034" spans="1:1" x14ac:dyDescent="0.3">
      <c r="A2034" t="s">
        <v>5001</v>
      </c>
    </row>
    <row r="2035" spans="1:1" x14ac:dyDescent="0.3">
      <c r="A2035" t="s">
        <v>5001</v>
      </c>
    </row>
    <row r="2036" spans="1:1" x14ac:dyDescent="0.3">
      <c r="A2036" t="s">
        <v>5001</v>
      </c>
    </row>
    <row r="2037" spans="1:1" x14ac:dyDescent="0.3">
      <c r="A2037" t="s">
        <v>5001</v>
      </c>
    </row>
    <row r="2038" spans="1:1" x14ac:dyDescent="0.3">
      <c r="A2038" t="s">
        <v>5001</v>
      </c>
    </row>
    <row r="2039" spans="1:1" x14ac:dyDescent="0.3">
      <c r="A2039" t="s">
        <v>5001</v>
      </c>
    </row>
    <row r="2040" spans="1:1" x14ac:dyDescent="0.3">
      <c r="A2040" t="s">
        <v>5001</v>
      </c>
    </row>
    <row r="2041" spans="1:1" x14ac:dyDescent="0.3">
      <c r="A2041" t="s">
        <v>5333</v>
      </c>
    </row>
    <row r="2042" spans="1:1" x14ac:dyDescent="0.3">
      <c r="A2042" t="s">
        <v>5333</v>
      </c>
    </row>
    <row r="2043" spans="1:1" x14ac:dyDescent="0.3">
      <c r="A2043" t="s">
        <v>5333</v>
      </c>
    </row>
    <row r="2044" spans="1:1" x14ac:dyDescent="0.3">
      <c r="A2044" t="s">
        <v>5333</v>
      </c>
    </row>
    <row r="2045" spans="1:1" x14ac:dyDescent="0.3">
      <c r="A2045" t="s">
        <v>5310</v>
      </c>
    </row>
    <row r="2046" spans="1:1" x14ac:dyDescent="0.3">
      <c r="A2046" t="s">
        <v>5310</v>
      </c>
    </row>
    <row r="2047" spans="1:1" x14ac:dyDescent="0.3">
      <c r="A2047" t="s">
        <v>5310</v>
      </c>
    </row>
    <row r="2048" spans="1:1" x14ac:dyDescent="0.3">
      <c r="A2048" t="s">
        <v>5310</v>
      </c>
    </row>
    <row r="2049" spans="1:1" x14ac:dyDescent="0.3">
      <c r="A2049" t="s">
        <v>5310</v>
      </c>
    </row>
    <row r="2050" spans="1:1" x14ac:dyDescent="0.3">
      <c r="A2050" t="s">
        <v>5378</v>
      </c>
    </row>
    <row r="2051" spans="1:1" x14ac:dyDescent="0.3">
      <c r="A2051" t="s">
        <v>809</v>
      </c>
    </row>
    <row r="2052" spans="1:1" x14ac:dyDescent="0.3">
      <c r="A2052" t="s">
        <v>809</v>
      </c>
    </row>
    <row r="2053" spans="1:1" x14ac:dyDescent="0.3">
      <c r="A2053" t="s">
        <v>809</v>
      </c>
    </row>
    <row r="2054" spans="1:1" x14ac:dyDescent="0.3">
      <c r="A2054" t="s">
        <v>809</v>
      </c>
    </row>
    <row r="2055" spans="1:1" x14ac:dyDescent="0.3">
      <c r="A2055" t="s">
        <v>809</v>
      </c>
    </row>
    <row r="2056" spans="1:1" x14ac:dyDescent="0.3">
      <c r="A2056" t="s">
        <v>809</v>
      </c>
    </row>
    <row r="2057" spans="1:1" x14ac:dyDescent="0.3">
      <c r="A2057" t="s">
        <v>809</v>
      </c>
    </row>
    <row r="2058" spans="1:1" x14ac:dyDescent="0.3">
      <c r="A2058" t="s">
        <v>809</v>
      </c>
    </row>
    <row r="2059" spans="1:1" x14ac:dyDescent="0.3">
      <c r="A2059" t="s">
        <v>809</v>
      </c>
    </row>
    <row r="2060" spans="1:1" x14ac:dyDescent="0.3">
      <c r="A2060" t="s">
        <v>809</v>
      </c>
    </row>
    <row r="2061" spans="1:1" x14ac:dyDescent="0.3">
      <c r="A2061" t="s">
        <v>809</v>
      </c>
    </row>
    <row r="2062" spans="1:1" x14ac:dyDescent="0.3">
      <c r="A2062" t="s">
        <v>809</v>
      </c>
    </row>
    <row r="2063" spans="1:1" x14ac:dyDescent="0.3">
      <c r="A2063" t="s">
        <v>809</v>
      </c>
    </row>
    <row r="2064" spans="1:1" x14ac:dyDescent="0.3">
      <c r="A2064" t="s">
        <v>5168</v>
      </c>
    </row>
    <row r="2065" spans="1:1" x14ac:dyDescent="0.3">
      <c r="A2065" t="s">
        <v>5235</v>
      </c>
    </row>
    <row r="2066" spans="1:1" x14ac:dyDescent="0.3">
      <c r="A2066" t="s">
        <v>5171</v>
      </c>
    </row>
    <row r="2067" spans="1:1" x14ac:dyDescent="0.3">
      <c r="A2067" t="s">
        <v>5171</v>
      </c>
    </row>
    <row r="2068" spans="1:1" x14ac:dyDescent="0.3">
      <c r="A2068" t="s">
        <v>5171</v>
      </c>
    </row>
    <row r="2069" spans="1:1" x14ac:dyDescent="0.3">
      <c r="A2069" t="s">
        <v>5171</v>
      </c>
    </row>
    <row r="2070" spans="1:1" x14ac:dyDescent="0.3">
      <c r="A2070" t="s">
        <v>5171</v>
      </c>
    </row>
    <row r="2071" spans="1:1" x14ac:dyDescent="0.3">
      <c r="A2071" t="s">
        <v>5171</v>
      </c>
    </row>
    <row r="2072" spans="1:1" x14ac:dyDescent="0.3">
      <c r="A2072" t="s">
        <v>5171</v>
      </c>
    </row>
    <row r="2073" spans="1:1" x14ac:dyDescent="0.3">
      <c r="A2073" t="s">
        <v>5171</v>
      </c>
    </row>
    <row r="2074" spans="1:1" x14ac:dyDescent="0.3">
      <c r="A2074" t="s">
        <v>4974</v>
      </c>
    </row>
    <row r="2075" spans="1:1" x14ac:dyDescent="0.3">
      <c r="A2075" t="s">
        <v>5355</v>
      </c>
    </row>
    <row r="2076" spans="1:1" x14ac:dyDescent="0.3">
      <c r="A2076" t="s">
        <v>4970</v>
      </c>
    </row>
    <row r="2077" spans="1:1" x14ac:dyDescent="0.3">
      <c r="A2077" t="s">
        <v>5177</v>
      </c>
    </row>
    <row r="2078" spans="1:1" x14ac:dyDescent="0.3">
      <c r="A2078" t="s">
        <v>5177</v>
      </c>
    </row>
    <row r="2079" spans="1:1" x14ac:dyDescent="0.3">
      <c r="A2079" t="s">
        <v>5177</v>
      </c>
    </row>
    <row r="2080" spans="1:1" x14ac:dyDescent="0.3">
      <c r="A2080" t="s">
        <v>5300</v>
      </c>
    </row>
    <row r="2081" spans="1:1" x14ac:dyDescent="0.3">
      <c r="A2081" t="s">
        <v>5300</v>
      </c>
    </row>
    <row r="2082" spans="1:1" x14ac:dyDescent="0.3">
      <c r="A2082" t="s">
        <v>5211</v>
      </c>
    </row>
    <row r="2083" spans="1:1" x14ac:dyDescent="0.3">
      <c r="A2083" t="s">
        <v>5249</v>
      </c>
    </row>
    <row r="2084" spans="1:1" x14ac:dyDescent="0.3">
      <c r="A2084" t="s">
        <v>5249</v>
      </c>
    </row>
    <row r="2085" spans="1:1" x14ac:dyDescent="0.3">
      <c r="A2085" t="s">
        <v>5249</v>
      </c>
    </row>
    <row r="2086" spans="1:1" x14ac:dyDescent="0.3">
      <c r="A2086" t="s">
        <v>5287</v>
      </c>
    </row>
    <row r="2087" spans="1:1" x14ac:dyDescent="0.3">
      <c r="A2087" t="s">
        <v>5287</v>
      </c>
    </row>
    <row r="2088" spans="1:1" x14ac:dyDescent="0.3">
      <c r="A2088" t="s">
        <v>5012</v>
      </c>
    </row>
    <row r="2089" spans="1:1" x14ac:dyDescent="0.3">
      <c r="A2089" t="s">
        <v>5012</v>
      </c>
    </row>
    <row r="2090" spans="1:1" x14ac:dyDescent="0.3">
      <c r="A2090" t="s">
        <v>5012</v>
      </c>
    </row>
    <row r="2091" spans="1:1" x14ac:dyDescent="0.3">
      <c r="A2091" t="s">
        <v>5012</v>
      </c>
    </row>
    <row r="2092" spans="1:1" x14ac:dyDescent="0.3">
      <c r="A2092" t="s">
        <v>5012</v>
      </c>
    </row>
    <row r="2093" spans="1:1" x14ac:dyDescent="0.3">
      <c r="A2093" t="s">
        <v>5012</v>
      </c>
    </row>
    <row r="2094" spans="1:1" x14ac:dyDescent="0.3">
      <c r="A2094" t="s">
        <v>5012</v>
      </c>
    </row>
    <row r="2095" spans="1:1" x14ac:dyDescent="0.3">
      <c r="A2095" t="s">
        <v>5012</v>
      </c>
    </row>
    <row r="2096" spans="1:1" x14ac:dyDescent="0.3">
      <c r="A2096" t="s">
        <v>1798</v>
      </c>
    </row>
    <row r="2097" spans="1:1" x14ac:dyDescent="0.3">
      <c r="A2097" t="s">
        <v>1798</v>
      </c>
    </row>
    <row r="2098" spans="1:1" x14ac:dyDescent="0.3">
      <c r="A2098" t="s">
        <v>1798</v>
      </c>
    </row>
    <row r="2099" spans="1:1" x14ac:dyDescent="0.3">
      <c r="A2099" t="s">
        <v>1798</v>
      </c>
    </row>
    <row r="2100" spans="1:1" x14ac:dyDescent="0.3">
      <c r="A2100" t="s">
        <v>1798</v>
      </c>
    </row>
    <row r="2101" spans="1:1" x14ac:dyDescent="0.3">
      <c r="A2101" t="s">
        <v>1798</v>
      </c>
    </row>
    <row r="2102" spans="1:1" x14ac:dyDescent="0.3">
      <c r="A2102" t="s">
        <v>1798</v>
      </c>
    </row>
    <row r="2103" spans="1:1" x14ac:dyDescent="0.3">
      <c r="A2103" t="s">
        <v>1798</v>
      </c>
    </row>
    <row r="2104" spans="1:1" x14ac:dyDescent="0.3">
      <c r="A2104" t="s">
        <v>1798</v>
      </c>
    </row>
    <row r="2105" spans="1:1" x14ac:dyDescent="0.3">
      <c r="A2105" t="s">
        <v>1798</v>
      </c>
    </row>
    <row r="2106" spans="1:1" x14ac:dyDescent="0.3">
      <c r="A2106" t="s">
        <v>1798</v>
      </c>
    </row>
    <row r="2107" spans="1:1" x14ac:dyDescent="0.3">
      <c r="A2107" t="s">
        <v>1798</v>
      </c>
    </row>
    <row r="2108" spans="1:1" x14ac:dyDescent="0.3">
      <c r="A2108" t="s">
        <v>1798</v>
      </c>
    </row>
    <row r="2109" spans="1:1" x14ac:dyDescent="0.3">
      <c r="A2109" t="s">
        <v>1798</v>
      </c>
    </row>
    <row r="2110" spans="1:1" x14ac:dyDescent="0.3">
      <c r="A2110" t="s">
        <v>1798</v>
      </c>
    </row>
    <row r="2111" spans="1:1" x14ac:dyDescent="0.3">
      <c r="A2111" t="s">
        <v>1798</v>
      </c>
    </row>
    <row r="2112" spans="1:1" x14ac:dyDescent="0.3">
      <c r="A2112" t="s">
        <v>1798</v>
      </c>
    </row>
    <row r="2113" spans="1:1" x14ac:dyDescent="0.3">
      <c r="A2113" t="s">
        <v>1798</v>
      </c>
    </row>
    <row r="2114" spans="1:1" x14ac:dyDescent="0.3">
      <c r="A2114" t="s">
        <v>1798</v>
      </c>
    </row>
    <row r="2115" spans="1:1" x14ac:dyDescent="0.3">
      <c r="A2115" t="s">
        <v>1798</v>
      </c>
    </row>
    <row r="2116" spans="1:1" x14ac:dyDescent="0.3">
      <c r="A2116" t="s">
        <v>1798</v>
      </c>
    </row>
    <row r="2117" spans="1:1" x14ac:dyDescent="0.3">
      <c r="A2117" t="s">
        <v>1798</v>
      </c>
    </row>
    <row r="2118" spans="1:1" x14ac:dyDescent="0.3">
      <c r="A2118" t="s">
        <v>1798</v>
      </c>
    </row>
    <row r="2119" spans="1:1" x14ac:dyDescent="0.3">
      <c r="A2119" t="s">
        <v>1798</v>
      </c>
    </row>
    <row r="2120" spans="1:1" x14ac:dyDescent="0.3">
      <c r="A2120" t="s">
        <v>1798</v>
      </c>
    </row>
    <row r="2121" spans="1:1" x14ac:dyDescent="0.3">
      <c r="A2121" t="s">
        <v>1798</v>
      </c>
    </row>
    <row r="2122" spans="1:1" x14ac:dyDescent="0.3">
      <c r="A2122" t="s">
        <v>5226</v>
      </c>
    </row>
    <row r="2123" spans="1:1" x14ac:dyDescent="0.3">
      <c r="A2123" t="s">
        <v>5226</v>
      </c>
    </row>
    <row r="2124" spans="1:1" x14ac:dyDescent="0.3">
      <c r="A2124" t="s">
        <v>5226</v>
      </c>
    </row>
    <row r="2125" spans="1:1" x14ac:dyDescent="0.3">
      <c r="A2125" t="s">
        <v>5002</v>
      </c>
    </row>
    <row r="2126" spans="1:1" x14ac:dyDescent="0.3">
      <c r="A2126" t="s">
        <v>5002</v>
      </c>
    </row>
    <row r="2127" spans="1:1" x14ac:dyDescent="0.3">
      <c r="A2127" t="s">
        <v>5002</v>
      </c>
    </row>
    <row r="2128" spans="1:1" x14ac:dyDescent="0.3">
      <c r="A2128" t="s">
        <v>5002</v>
      </c>
    </row>
    <row r="2129" spans="1:1" x14ac:dyDescent="0.3">
      <c r="A2129" t="s">
        <v>5002</v>
      </c>
    </row>
    <row r="2130" spans="1:1" x14ac:dyDescent="0.3">
      <c r="A2130" t="s">
        <v>5002</v>
      </c>
    </row>
    <row r="2131" spans="1:1" x14ac:dyDescent="0.3">
      <c r="A2131" t="s">
        <v>5002</v>
      </c>
    </row>
    <row r="2132" spans="1:1" x14ac:dyDescent="0.3">
      <c r="A2132" t="s">
        <v>5002</v>
      </c>
    </row>
    <row r="2133" spans="1:1" x14ac:dyDescent="0.3">
      <c r="A2133" t="s">
        <v>5002</v>
      </c>
    </row>
    <row r="2134" spans="1:1" x14ac:dyDescent="0.3">
      <c r="A2134" t="s">
        <v>5002</v>
      </c>
    </row>
    <row r="2135" spans="1:1" x14ac:dyDescent="0.3">
      <c r="A2135" t="s">
        <v>5002</v>
      </c>
    </row>
    <row r="2136" spans="1:1" x14ac:dyDescent="0.3">
      <c r="A2136" t="s">
        <v>5047</v>
      </c>
    </row>
    <row r="2137" spans="1:1" x14ac:dyDescent="0.3">
      <c r="A2137" t="s">
        <v>5217</v>
      </c>
    </row>
    <row r="2138" spans="1:1" x14ac:dyDescent="0.3">
      <c r="A2138" t="s">
        <v>5217</v>
      </c>
    </row>
    <row r="2139" spans="1:1" x14ac:dyDescent="0.3">
      <c r="A2139" t="s">
        <v>5218</v>
      </c>
    </row>
    <row r="2140" spans="1:1" x14ac:dyDescent="0.3">
      <c r="A2140" t="s">
        <v>5224</v>
      </c>
    </row>
    <row r="2141" spans="1:1" x14ac:dyDescent="0.3">
      <c r="A2141" t="s">
        <v>1524</v>
      </c>
    </row>
    <row r="2142" spans="1:1" x14ac:dyDescent="0.3">
      <c r="A2142" t="s">
        <v>1524</v>
      </c>
    </row>
    <row r="2143" spans="1:1" x14ac:dyDescent="0.3">
      <c r="A2143" t="s">
        <v>1524</v>
      </c>
    </row>
    <row r="2144" spans="1:1" x14ac:dyDescent="0.3">
      <c r="A2144" t="s">
        <v>1524</v>
      </c>
    </row>
    <row r="2145" spans="1:1" x14ac:dyDescent="0.3">
      <c r="A2145" t="s">
        <v>1524</v>
      </c>
    </row>
    <row r="2146" spans="1:1" x14ac:dyDescent="0.3">
      <c r="A2146" t="s">
        <v>1524</v>
      </c>
    </row>
    <row r="2147" spans="1:1" x14ac:dyDescent="0.3">
      <c r="A2147" t="s">
        <v>1524</v>
      </c>
    </row>
    <row r="2148" spans="1:1" x14ac:dyDescent="0.3">
      <c r="A2148" t="s">
        <v>1524</v>
      </c>
    </row>
    <row r="2149" spans="1:1" x14ac:dyDescent="0.3">
      <c r="A2149" t="s">
        <v>1524</v>
      </c>
    </row>
    <row r="2150" spans="1:1" x14ac:dyDescent="0.3">
      <c r="A2150" t="s">
        <v>1524</v>
      </c>
    </row>
    <row r="2151" spans="1:1" x14ac:dyDescent="0.3">
      <c r="A2151" t="s">
        <v>1524</v>
      </c>
    </row>
    <row r="2152" spans="1:1" x14ac:dyDescent="0.3">
      <c r="A2152" t="s">
        <v>1524</v>
      </c>
    </row>
    <row r="2153" spans="1:1" x14ac:dyDescent="0.3">
      <c r="A2153" t="s">
        <v>1524</v>
      </c>
    </row>
    <row r="2154" spans="1:1" x14ac:dyDescent="0.3">
      <c r="A2154" t="s">
        <v>1524</v>
      </c>
    </row>
    <row r="2155" spans="1:1" x14ac:dyDescent="0.3">
      <c r="A2155" t="s">
        <v>5385</v>
      </c>
    </row>
    <row r="2156" spans="1:1" x14ac:dyDescent="0.3">
      <c r="A2156" t="s">
        <v>5294</v>
      </c>
    </row>
    <row r="2157" spans="1:1" x14ac:dyDescent="0.3">
      <c r="A2157" t="s">
        <v>5085</v>
      </c>
    </row>
    <row r="2158" spans="1:1" x14ac:dyDescent="0.3">
      <c r="A2158" t="s">
        <v>5085</v>
      </c>
    </row>
    <row r="2159" spans="1:1" x14ac:dyDescent="0.3">
      <c r="A2159" t="s">
        <v>5085</v>
      </c>
    </row>
    <row r="2160" spans="1:1" x14ac:dyDescent="0.3">
      <c r="A2160" t="s">
        <v>5085</v>
      </c>
    </row>
    <row r="2161" spans="1:1" x14ac:dyDescent="0.3">
      <c r="A2161" t="s">
        <v>5085</v>
      </c>
    </row>
    <row r="2162" spans="1:1" x14ac:dyDescent="0.3">
      <c r="A2162" t="s">
        <v>5116</v>
      </c>
    </row>
    <row r="2163" spans="1:1" x14ac:dyDescent="0.3">
      <c r="A2163" t="s">
        <v>5319</v>
      </c>
    </row>
    <row r="2164" spans="1:1" x14ac:dyDescent="0.3">
      <c r="A2164" t="s">
        <v>5319</v>
      </c>
    </row>
    <row r="2165" spans="1:1" x14ac:dyDescent="0.3">
      <c r="A2165" t="s">
        <v>5220</v>
      </c>
    </row>
    <row r="2166" spans="1:1" x14ac:dyDescent="0.3">
      <c r="A2166" t="s">
        <v>5220</v>
      </c>
    </row>
    <row r="2167" spans="1:1" x14ac:dyDescent="0.3">
      <c r="A2167" t="s">
        <v>5220</v>
      </c>
    </row>
    <row r="2168" spans="1:1" x14ac:dyDescent="0.3">
      <c r="A2168" t="s">
        <v>5220</v>
      </c>
    </row>
    <row r="2169" spans="1:1" x14ac:dyDescent="0.3">
      <c r="A2169" t="s">
        <v>5220</v>
      </c>
    </row>
    <row r="2170" spans="1:1" x14ac:dyDescent="0.3">
      <c r="A2170" t="s">
        <v>5220</v>
      </c>
    </row>
    <row r="2171" spans="1:1" x14ac:dyDescent="0.3">
      <c r="A2171" t="s">
        <v>5220</v>
      </c>
    </row>
    <row r="2172" spans="1:1" x14ac:dyDescent="0.3">
      <c r="A2172" t="s">
        <v>5220</v>
      </c>
    </row>
    <row r="2173" spans="1:1" x14ac:dyDescent="0.3">
      <c r="A2173" t="s">
        <v>5334</v>
      </c>
    </row>
    <row r="2174" spans="1:1" x14ac:dyDescent="0.3">
      <c r="A2174" t="s">
        <v>5364</v>
      </c>
    </row>
    <row r="2175" spans="1:1" x14ac:dyDescent="0.3">
      <c r="A2175" t="s">
        <v>5364</v>
      </c>
    </row>
    <row r="2176" spans="1:1" x14ac:dyDescent="0.3">
      <c r="A2176" t="s">
        <v>5364</v>
      </c>
    </row>
    <row r="2177" spans="1:1" x14ac:dyDescent="0.3">
      <c r="A2177" t="s">
        <v>887</v>
      </c>
    </row>
    <row r="2178" spans="1:1" x14ac:dyDescent="0.3">
      <c r="A2178" t="s">
        <v>4984</v>
      </c>
    </row>
    <row r="2179" spans="1:1" x14ac:dyDescent="0.3">
      <c r="A2179" t="s">
        <v>4984</v>
      </c>
    </row>
    <row r="2180" spans="1:1" x14ac:dyDescent="0.3">
      <c r="A2180" t="s">
        <v>840</v>
      </c>
    </row>
    <row r="2181" spans="1:1" x14ac:dyDescent="0.3">
      <c r="A2181" t="s">
        <v>5043</v>
      </c>
    </row>
    <row r="2182" spans="1:1" x14ac:dyDescent="0.3">
      <c r="A2182" t="s">
        <v>5129</v>
      </c>
    </row>
    <row r="2183" spans="1:1" x14ac:dyDescent="0.3">
      <c r="A2183" t="s">
        <v>5129</v>
      </c>
    </row>
    <row r="2184" spans="1:1" x14ac:dyDescent="0.3">
      <c r="A2184" t="s">
        <v>5129</v>
      </c>
    </row>
    <row r="2185" spans="1:1" x14ac:dyDescent="0.3">
      <c r="A2185" t="s">
        <v>5129</v>
      </c>
    </row>
    <row r="2186" spans="1:1" x14ac:dyDescent="0.3">
      <c r="A2186" t="s">
        <v>5129</v>
      </c>
    </row>
    <row r="2187" spans="1:1" x14ac:dyDescent="0.3">
      <c r="A2187" t="s">
        <v>4987</v>
      </c>
    </row>
    <row r="2188" spans="1:1" x14ac:dyDescent="0.3">
      <c r="A2188" t="s">
        <v>4991</v>
      </c>
    </row>
    <row r="2189" spans="1:1" x14ac:dyDescent="0.3">
      <c r="A2189" t="s">
        <v>4991</v>
      </c>
    </row>
    <row r="2190" spans="1:1" x14ac:dyDescent="0.3">
      <c r="A2190" t="s">
        <v>4991</v>
      </c>
    </row>
    <row r="2191" spans="1:1" x14ac:dyDescent="0.3">
      <c r="A2191" t="s">
        <v>4991</v>
      </c>
    </row>
    <row r="2192" spans="1:1" x14ac:dyDescent="0.3">
      <c r="A2192" t="s">
        <v>5195</v>
      </c>
    </row>
    <row r="2193" spans="1:1" x14ac:dyDescent="0.3">
      <c r="A2193" t="s">
        <v>5195</v>
      </c>
    </row>
    <row r="2194" spans="1:1" x14ac:dyDescent="0.3">
      <c r="A2194" t="s">
        <v>5195</v>
      </c>
    </row>
    <row r="2195" spans="1:1" x14ac:dyDescent="0.3">
      <c r="A2195" t="s">
        <v>5195</v>
      </c>
    </row>
    <row r="2196" spans="1:1" x14ac:dyDescent="0.3">
      <c r="A2196" t="s">
        <v>5195</v>
      </c>
    </row>
    <row r="2197" spans="1:1" x14ac:dyDescent="0.3">
      <c r="A2197" t="s">
        <v>5195</v>
      </c>
    </row>
    <row r="2198" spans="1:1" x14ac:dyDescent="0.3">
      <c r="A2198" t="s">
        <v>5195</v>
      </c>
    </row>
    <row r="2199" spans="1:1" x14ac:dyDescent="0.3">
      <c r="A2199" t="s">
        <v>5195</v>
      </c>
    </row>
    <row r="2200" spans="1:1" x14ac:dyDescent="0.3">
      <c r="A2200" t="s">
        <v>5195</v>
      </c>
    </row>
    <row r="2201" spans="1:1" x14ac:dyDescent="0.3">
      <c r="A2201" t="s">
        <v>5195</v>
      </c>
    </row>
    <row r="2202" spans="1:1" x14ac:dyDescent="0.3">
      <c r="A2202" t="s">
        <v>5195</v>
      </c>
    </row>
    <row r="2203" spans="1:1" x14ac:dyDescent="0.3">
      <c r="A2203" t="s">
        <v>5195</v>
      </c>
    </row>
    <row r="2204" spans="1:1" x14ac:dyDescent="0.3">
      <c r="A2204" t="s">
        <v>5195</v>
      </c>
    </row>
    <row r="2205" spans="1:1" x14ac:dyDescent="0.3">
      <c r="A2205" t="s">
        <v>5195</v>
      </c>
    </row>
    <row r="2206" spans="1:1" x14ac:dyDescent="0.3">
      <c r="A2206" t="s">
        <v>5195</v>
      </c>
    </row>
    <row r="2207" spans="1:1" x14ac:dyDescent="0.3">
      <c r="A2207" t="s">
        <v>5195</v>
      </c>
    </row>
    <row r="2208" spans="1:1" x14ac:dyDescent="0.3">
      <c r="A2208" t="s">
        <v>5195</v>
      </c>
    </row>
    <row r="2209" spans="1:1" x14ac:dyDescent="0.3">
      <c r="A2209" t="s">
        <v>5195</v>
      </c>
    </row>
    <row r="2210" spans="1:1" x14ac:dyDescent="0.3">
      <c r="A2210" t="s">
        <v>5195</v>
      </c>
    </row>
    <row r="2211" spans="1:1" x14ac:dyDescent="0.3">
      <c r="A2211" t="s">
        <v>5195</v>
      </c>
    </row>
    <row r="2212" spans="1:1" x14ac:dyDescent="0.3">
      <c r="A2212" t="s">
        <v>5195</v>
      </c>
    </row>
    <row r="2213" spans="1:1" x14ac:dyDescent="0.3">
      <c r="A2213" t="s">
        <v>5195</v>
      </c>
    </row>
    <row r="2214" spans="1:1" x14ac:dyDescent="0.3">
      <c r="A2214" t="s">
        <v>5195</v>
      </c>
    </row>
    <row r="2215" spans="1:1" x14ac:dyDescent="0.3">
      <c r="A2215" t="s">
        <v>5195</v>
      </c>
    </row>
    <row r="2216" spans="1:1" x14ac:dyDescent="0.3">
      <c r="A2216" t="s">
        <v>5195</v>
      </c>
    </row>
    <row r="2217" spans="1:1" x14ac:dyDescent="0.3">
      <c r="A2217" t="s">
        <v>5195</v>
      </c>
    </row>
    <row r="2218" spans="1:1" x14ac:dyDescent="0.3">
      <c r="A2218" t="s">
        <v>5195</v>
      </c>
    </row>
    <row r="2219" spans="1:1" x14ac:dyDescent="0.3">
      <c r="A2219" t="s">
        <v>5195</v>
      </c>
    </row>
    <row r="2220" spans="1:1" x14ac:dyDescent="0.3">
      <c r="A2220" t="s">
        <v>5195</v>
      </c>
    </row>
    <row r="2221" spans="1:1" x14ac:dyDescent="0.3">
      <c r="A2221" t="s">
        <v>5195</v>
      </c>
    </row>
    <row r="2222" spans="1:1" x14ac:dyDescent="0.3">
      <c r="A2222" t="s">
        <v>90</v>
      </c>
    </row>
    <row r="2223" spans="1:1" x14ac:dyDescent="0.3">
      <c r="A2223" t="s">
        <v>90</v>
      </c>
    </row>
    <row r="2224" spans="1:1" x14ac:dyDescent="0.3">
      <c r="A2224" t="s">
        <v>90</v>
      </c>
    </row>
    <row r="2225" spans="1:1" x14ac:dyDescent="0.3">
      <c r="A2225" t="s">
        <v>90</v>
      </c>
    </row>
    <row r="2226" spans="1:1" x14ac:dyDescent="0.3">
      <c r="A2226" t="s">
        <v>90</v>
      </c>
    </row>
    <row r="2227" spans="1:1" x14ac:dyDescent="0.3">
      <c r="A2227" t="s">
        <v>90</v>
      </c>
    </row>
    <row r="2228" spans="1:1" x14ac:dyDescent="0.3">
      <c r="A2228" t="s">
        <v>90</v>
      </c>
    </row>
    <row r="2229" spans="1:1" x14ac:dyDescent="0.3">
      <c r="A2229" t="s">
        <v>90</v>
      </c>
    </row>
    <row r="2230" spans="1:1" x14ac:dyDescent="0.3">
      <c r="A2230" t="s">
        <v>90</v>
      </c>
    </row>
    <row r="2231" spans="1:1" x14ac:dyDescent="0.3">
      <c r="A2231" t="s">
        <v>90</v>
      </c>
    </row>
    <row r="2232" spans="1:1" x14ac:dyDescent="0.3">
      <c r="A2232" t="s">
        <v>90</v>
      </c>
    </row>
    <row r="2233" spans="1:1" x14ac:dyDescent="0.3">
      <c r="A2233" t="s">
        <v>90</v>
      </c>
    </row>
    <row r="2234" spans="1:1" x14ac:dyDescent="0.3">
      <c r="A2234" t="s">
        <v>90</v>
      </c>
    </row>
    <row r="2235" spans="1:1" x14ac:dyDescent="0.3">
      <c r="A2235" t="s">
        <v>90</v>
      </c>
    </row>
    <row r="2236" spans="1:1" x14ac:dyDescent="0.3">
      <c r="A2236" t="s">
        <v>90</v>
      </c>
    </row>
    <row r="2237" spans="1:1" x14ac:dyDescent="0.3">
      <c r="A2237" t="s">
        <v>90</v>
      </c>
    </row>
    <row r="2238" spans="1:1" x14ac:dyDescent="0.3">
      <c r="A2238" t="s">
        <v>90</v>
      </c>
    </row>
    <row r="2239" spans="1:1" x14ac:dyDescent="0.3">
      <c r="A2239" t="s">
        <v>90</v>
      </c>
    </row>
    <row r="2240" spans="1:1" x14ac:dyDescent="0.3">
      <c r="A2240" t="s">
        <v>90</v>
      </c>
    </row>
    <row r="2241" spans="1:1" x14ac:dyDescent="0.3">
      <c r="A2241" t="s">
        <v>90</v>
      </c>
    </row>
    <row r="2242" spans="1:1" x14ac:dyDescent="0.3">
      <c r="A2242" t="s">
        <v>5056</v>
      </c>
    </row>
    <row r="2243" spans="1:1" x14ac:dyDescent="0.3">
      <c r="A2243" t="s">
        <v>5056</v>
      </c>
    </row>
    <row r="2244" spans="1:1" x14ac:dyDescent="0.3">
      <c r="A2244" t="s">
        <v>5056</v>
      </c>
    </row>
    <row r="2245" spans="1:1" x14ac:dyDescent="0.3">
      <c r="A2245" t="s">
        <v>5056</v>
      </c>
    </row>
    <row r="2246" spans="1:1" x14ac:dyDescent="0.3">
      <c r="A2246" t="s">
        <v>5056</v>
      </c>
    </row>
    <row r="2247" spans="1:1" x14ac:dyDescent="0.3">
      <c r="A2247" t="s">
        <v>5056</v>
      </c>
    </row>
    <row r="2248" spans="1:1" x14ac:dyDescent="0.3">
      <c r="A2248" t="s">
        <v>5056</v>
      </c>
    </row>
    <row r="2249" spans="1:1" x14ac:dyDescent="0.3">
      <c r="A2249" t="s">
        <v>5282</v>
      </c>
    </row>
    <row r="2250" spans="1:1" x14ac:dyDescent="0.3">
      <c r="A2250" t="s">
        <v>5099</v>
      </c>
    </row>
    <row r="2251" spans="1:1" x14ac:dyDescent="0.3">
      <c r="A2251" t="s">
        <v>488</v>
      </c>
    </row>
    <row r="2252" spans="1:1" x14ac:dyDescent="0.3">
      <c r="A2252" t="s">
        <v>488</v>
      </c>
    </row>
    <row r="2253" spans="1:1" x14ac:dyDescent="0.3">
      <c r="A2253" t="s">
        <v>488</v>
      </c>
    </row>
    <row r="2254" spans="1:1" x14ac:dyDescent="0.3">
      <c r="A2254" t="s">
        <v>488</v>
      </c>
    </row>
    <row r="2255" spans="1:1" x14ac:dyDescent="0.3">
      <c r="A2255" t="s">
        <v>488</v>
      </c>
    </row>
    <row r="2256" spans="1:1" x14ac:dyDescent="0.3">
      <c r="A2256" t="s">
        <v>488</v>
      </c>
    </row>
    <row r="2257" spans="1:1" x14ac:dyDescent="0.3">
      <c r="A2257" t="s">
        <v>488</v>
      </c>
    </row>
    <row r="2258" spans="1:1" x14ac:dyDescent="0.3">
      <c r="A2258" t="s">
        <v>488</v>
      </c>
    </row>
    <row r="2259" spans="1:1" x14ac:dyDescent="0.3">
      <c r="A2259" t="s">
        <v>488</v>
      </c>
    </row>
    <row r="2260" spans="1:1" x14ac:dyDescent="0.3">
      <c r="A2260" t="s">
        <v>488</v>
      </c>
    </row>
    <row r="2261" spans="1:1" x14ac:dyDescent="0.3">
      <c r="A2261" t="s">
        <v>488</v>
      </c>
    </row>
    <row r="2262" spans="1:1" x14ac:dyDescent="0.3">
      <c r="A2262" t="s">
        <v>488</v>
      </c>
    </row>
    <row r="2263" spans="1:1" x14ac:dyDescent="0.3">
      <c r="A2263" t="s">
        <v>488</v>
      </c>
    </row>
    <row r="2264" spans="1:1" x14ac:dyDescent="0.3">
      <c r="A2264" t="s">
        <v>488</v>
      </c>
    </row>
    <row r="2265" spans="1:1" x14ac:dyDescent="0.3">
      <c r="A2265" t="s">
        <v>488</v>
      </c>
    </row>
    <row r="2266" spans="1:1" x14ac:dyDescent="0.3">
      <c r="A2266" t="s">
        <v>488</v>
      </c>
    </row>
    <row r="2267" spans="1:1" x14ac:dyDescent="0.3">
      <c r="A2267" t="s">
        <v>488</v>
      </c>
    </row>
    <row r="2268" spans="1:1" x14ac:dyDescent="0.3">
      <c r="A2268" t="s">
        <v>488</v>
      </c>
    </row>
    <row r="2269" spans="1:1" x14ac:dyDescent="0.3">
      <c r="A2269" t="s">
        <v>488</v>
      </c>
    </row>
    <row r="2270" spans="1:1" x14ac:dyDescent="0.3">
      <c r="A2270" t="s">
        <v>488</v>
      </c>
    </row>
    <row r="2271" spans="1:1" x14ac:dyDescent="0.3">
      <c r="A2271" t="s">
        <v>488</v>
      </c>
    </row>
    <row r="2272" spans="1:1" x14ac:dyDescent="0.3">
      <c r="A2272" t="s">
        <v>488</v>
      </c>
    </row>
    <row r="2273" spans="1:1" x14ac:dyDescent="0.3">
      <c r="A2273" t="s">
        <v>488</v>
      </c>
    </row>
    <row r="2274" spans="1:1" x14ac:dyDescent="0.3">
      <c r="A2274" t="s">
        <v>488</v>
      </c>
    </row>
    <row r="2275" spans="1:1" x14ac:dyDescent="0.3">
      <c r="A2275" t="s">
        <v>488</v>
      </c>
    </row>
    <row r="2276" spans="1:1" x14ac:dyDescent="0.3">
      <c r="A2276" t="s">
        <v>5009</v>
      </c>
    </row>
    <row r="2277" spans="1:1" x14ac:dyDescent="0.3">
      <c r="A2277" t="s">
        <v>4962</v>
      </c>
    </row>
    <row r="2278" spans="1:1" x14ac:dyDescent="0.3">
      <c r="A2278" t="s">
        <v>4962</v>
      </c>
    </row>
    <row r="2279" spans="1:1" x14ac:dyDescent="0.3">
      <c r="A2279" t="s">
        <v>761</v>
      </c>
    </row>
    <row r="2280" spans="1:1" x14ac:dyDescent="0.3">
      <c r="A2280" t="s">
        <v>761</v>
      </c>
    </row>
    <row r="2281" spans="1:1" x14ac:dyDescent="0.3">
      <c r="A2281" t="s">
        <v>761</v>
      </c>
    </row>
    <row r="2282" spans="1:1" x14ac:dyDescent="0.3">
      <c r="A2282" t="s">
        <v>761</v>
      </c>
    </row>
    <row r="2283" spans="1:1" x14ac:dyDescent="0.3">
      <c r="A2283" t="s">
        <v>761</v>
      </c>
    </row>
    <row r="2284" spans="1:1" x14ac:dyDescent="0.3">
      <c r="A2284" t="s">
        <v>761</v>
      </c>
    </row>
    <row r="2285" spans="1:1" x14ac:dyDescent="0.3">
      <c r="A2285" t="s">
        <v>761</v>
      </c>
    </row>
    <row r="2286" spans="1:1" x14ac:dyDescent="0.3">
      <c r="A2286" t="s">
        <v>761</v>
      </c>
    </row>
    <row r="2287" spans="1:1" x14ac:dyDescent="0.3">
      <c r="A2287" t="s">
        <v>761</v>
      </c>
    </row>
    <row r="2288" spans="1:1" x14ac:dyDescent="0.3">
      <c r="A2288" t="s">
        <v>761</v>
      </c>
    </row>
    <row r="2289" spans="1:1" x14ac:dyDescent="0.3">
      <c r="A2289" t="s">
        <v>761</v>
      </c>
    </row>
    <row r="2290" spans="1:1" x14ac:dyDescent="0.3">
      <c r="A2290" t="s">
        <v>761</v>
      </c>
    </row>
    <row r="2291" spans="1:1" x14ac:dyDescent="0.3">
      <c r="A2291" t="s">
        <v>761</v>
      </c>
    </row>
    <row r="2292" spans="1:1" x14ac:dyDescent="0.3">
      <c r="A2292" t="s">
        <v>761</v>
      </c>
    </row>
    <row r="2293" spans="1:1" x14ac:dyDescent="0.3">
      <c r="A2293" t="s">
        <v>5098</v>
      </c>
    </row>
    <row r="2294" spans="1:1" x14ac:dyDescent="0.3">
      <c r="A2294" t="s">
        <v>5098</v>
      </c>
    </row>
    <row r="2295" spans="1:1" x14ac:dyDescent="0.3">
      <c r="A2295" t="s">
        <v>5098</v>
      </c>
    </row>
    <row r="2296" spans="1:1" x14ac:dyDescent="0.3">
      <c r="A2296" t="s">
        <v>5098</v>
      </c>
    </row>
    <row r="2297" spans="1:1" x14ac:dyDescent="0.3">
      <c r="A2297" t="s">
        <v>5098</v>
      </c>
    </row>
    <row r="2298" spans="1:1" x14ac:dyDescent="0.3">
      <c r="A2298" t="s">
        <v>5098</v>
      </c>
    </row>
    <row r="2299" spans="1:1" x14ac:dyDescent="0.3">
      <c r="A2299" t="s">
        <v>5098</v>
      </c>
    </row>
    <row r="2300" spans="1:1" x14ac:dyDescent="0.3">
      <c r="A2300" t="s">
        <v>5098</v>
      </c>
    </row>
    <row r="2301" spans="1:1" x14ac:dyDescent="0.3">
      <c r="A2301" t="s">
        <v>5098</v>
      </c>
    </row>
    <row r="2302" spans="1:1" x14ac:dyDescent="0.3">
      <c r="A2302" t="s">
        <v>5098</v>
      </c>
    </row>
    <row r="2303" spans="1:1" x14ac:dyDescent="0.3">
      <c r="A2303" t="s">
        <v>5098</v>
      </c>
    </row>
    <row r="2304" spans="1:1" x14ac:dyDescent="0.3">
      <c r="A2304" t="s">
        <v>5098</v>
      </c>
    </row>
    <row r="2305" spans="1:1" x14ac:dyDescent="0.3">
      <c r="A2305" t="s">
        <v>5098</v>
      </c>
    </row>
    <row r="2306" spans="1:1" x14ac:dyDescent="0.3">
      <c r="A2306" t="s">
        <v>5098</v>
      </c>
    </row>
    <row r="2307" spans="1:1" x14ac:dyDescent="0.3">
      <c r="A2307" t="s">
        <v>5106</v>
      </c>
    </row>
    <row r="2308" spans="1:1" x14ac:dyDescent="0.3">
      <c r="A2308" t="s">
        <v>5106</v>
      </c>
    </row>
    <row r="2309" spans="1:1" x14ac:dyDescent="0.3">
      <c r="A2309" t="s">
        <v>5106</v>
      </c>
    </row>
    <row r="2310" spans="1:1" x14ac:dyDescent="0.3">
      <c r="A2310" t="s">
        <v>5275</v>
      </c>
    </row>
    <row r="2311" spans="1:1" x14ac:dyDescent="0.3">
      <c r="A2311" t="s">
        <v>5270</v>
      </c>
    </row>
    <row r="2312" spans="1:1" x14ac:dyDescent="0.3">
      <c r="A2312" t="s">
        <v>5270</v>
      </c>
    </row>
    <row r="2313" spans="1:1" x14ac:dyDescent="0.3">
      <c r="A2313" t="s">
        <v>5270</v>
      </c>
    </row>
    <row r="2314" spans="1:1" x14ac:dyDescent="0.3">
      <c r="A2314" t="s">
        <v>5270</v>
      </c>
    </row>
    <row r="2315" spans="1:1" x14ac:dyDescent="0.3">
      <c r="A2315" t="s">
        <v>5270</v>
      </c>
    </row>
    <row r="2316" spans="1:1" x14ac:dyDescent="0.3">
      <c r="A2316" t="s">
        <v>1677</v>
      </c>
    </row>
    <row r="2317" spans="1:1" x14ac:dyDescent="0.3">
      <c r="A2317" t="s">
        <v>1677</v>
      </c>
    </row>
    <row r="2318" spans="1:1" x14ac:dyDescent="0.3">
      <c r="A2318" t="s">
        <v>4998</v>
      </c>
    </row>
    <row r="2319" spans="1:1" x14ac:dyDescent="0.3">
      <c r="A2319" t="s">
        <v>4998</v>
      </c>
    </row>
    <row r="2320" spans="1:1" x14ac:dyDescent="0.3">
      <c r="A2320" t="s">
        <v>4998</v>
      </c>
    </row>
    <row r="2321" spans="1:1" x14ac:dyDescent="0.3">
      <c r="A2321" t="s">
        <v>4998</v>
      </c>
    </row>
    <row r="2322" spans="1:1" x14ac:dyDescent="0.3">
      <c r="A2322" t="s">
        <v>4998</v>
      </c>
    </row>
    <row r="2323" spans="1:1" x14ac:dyDescent="0.3">
      <c r="A2323" t="s">
        <v>4998</v>
      </c>
    </row>
    <row r="2324" spans="1:1" x14ac:dyDescent="0.3">
      <c r="A2324" t="s">
        <v>4998</v>
      </c>
    </row>
    <row r="2325" spans="1:1" x14ac:dyDescent="0.3">
      <c r="A2325" t="s">
        <v>4998</v>
      </c>
    </row>
    <row r="2326" spans="1:1" x14ac:dyDescent="0.3">
      <c r="A2326" t="s">
        <v>4998</v>
      </c>
    </row>
    <row r="2327" spans="1:1" x14ac:dyDescent="0.3">
      <c r="A2327" t="s">
        <v>4998</v>
      </c>
    </row>
    <row r="2328" spans="1:1" x14ac:dyDescent="0.3">
      <c r="A2328" t="s">
        <v>4998</v>
      </c>
    </row>
    <row r="2329" spans="1:1" x14ac:dyDescent="0.3">
      <c r="A2329" t="s">
        <v>4998</v>
      </c>
    </row>
    <row r="2330" spans="1:1" x14ac:dyDescent="0.3">
      <c r="A2330" t="s">
        <v>4998</v>
      </c>
    </row>
    <row r="2331" spans="1:1" x14ac:dyDescent="0.3">
      <c r="A2331" t="s">
        <v>4998</v>
      </c>
    </row>
    <row r="2332" spans="1:1" x14ac:dyDescent="0.3">
      <c r="A2332" t="s">
        <v>4998</v>
      </c>
    </row>
    <row r="2333" spans="1:1" x14ac:dyDescent="0.3">
      <c r="A2333" t="s">
        <v>4998</v>
      </c>
    </row>
    <row r="2334" spans="1:1" x14ac:dyDescent="0.3">
      <c r="A2334" t="s">
        <v>5375</v>
      </c>
    </row>
    <row r="2335" spans="1:1" x14ac:dyDescent="0.3">
      <c r="A2335" t="s">
        <v>5376</v>
      </c>
    </row>
    <row r="2336" spans="1:1" x14ac:dyDescent="0.3">
      <c r="A2336" t="s">
        <v>5376</v>
      </c>
    </row>
    <row r="2337" spans="1:1" x14ac:dyDescent="0.3">
      <c r="A2337" t="s">
        <v>5376</v>
      </c>
    </row>
    <row r="2338" spans="1:1" x14ac:dyDescent="0.3">
      <c r="A2338" t="s">
        <v>796</v>
      </c>
    </row>
    <row r="2339" spans="1:1" x14ac:dyDescent="0.3">
      <c r="A2339" t="s">
        <v>796</v>
      </c>
    </row>
    <row r="2340" spans="1:1" x14ac:dyDescent="0.3">
      <c r="A2340" t="s">
        <v>796</v>
      </c>
    </row>
    <row r="2341" spans="1:1" x14ac:dyDescent="0.3">
      <c r="A2341" t="s">
        <v>5084</v>
      </c>
    </row>
    <row r="2342" spans="1:1" x14ac:dyDescent="0.3">
      <c r="A2342" t="s">
        <v>5084</v>
      </c>
    </row>
    <row r="2343" spans="1:1" x14ac:dyDescent="0.3">
      <c r="A2343" t="s">
        <v>5006</v>
      </c>
    </row>
    <row r="2344" spans="1:1" x14ac:dyDescent="0.3">
      <c r="A2344" t="s">
        <v>5182</v>
      </c>
    </row>
    <row r="2345" spans="1:1" x14ac:dyDescent="0.3">
      <c r="A2345" t="s">
        <v>5182</v>
      </c>
    </row>
    <row r="2346" spans="1:1" x14ac:dyDescent="0.3">
      <c r="A2346" t="s">
        <v>5182</v>
      </c>
    </row>
    <row r="2347" spans="1:1" x14ac:dyDescent="0.3">
      <c r="A2347" t="s">
        <v>5182</v>
      </c>
    </row>
    <row r="2348" spans="1:1" x14ac:dyDescent="0.3">
      <c r="A2348" t="s">
        <v>5182</v>
      </c>
    </row>
    <row r="2349" spans="1:1" x14ac:dyDescent="0.3">
      <c r="A2349" t="s">
        <v>5182</v>
      </c>
    </row>
    <row r="2350" spans="1:1" x14ac:dyDescent="0.3">
      <c r="A2350" t="s">
        <v>5182</v>
      </c>
    </row>
    <row r="2351" spans="1:1" x14ac:dyDescent="0.3">
      <c r="A2351" t="s">
        <v>5182</v>
      </c>
    </row>
    <row r="2352" spans="1:1" x14ac:dyDescent="0.3">
      <c r="A2352" t="s">
        <v>5182</v>
      </c>
    </row>
    <row r="2353" spans="1:1" x14ac:dyDescent="0.3">
      <c r="A2353" t="s">
        <v>5182</v>
      </c>
    </row>
    <row r="2354" spans="1:1" x14ac:dyDescent="0.3">
      <c r="A2354" t="s">
        <v>5182</v>
      </c>
    </row>
    <row r="2355" spans="1:1" x14ac:dyDescent="0.3">
      <c r="A2355" t="s">
        <v>5182</v>
      </c>
    </row>
    <row r="2356" spans="1:1" x14ac:dyDescent="0.3">
      <c r="A2356" t="s">
        <v>5182</v>
      </c>
    </row>
    <row r="2357" spans="1:1" x14ac:dyDescent="0.3">
      <c r="A2357" t="s">
        <v>5295</v>
      </c>
    </row>
    <row r="2358" spans="1:1" x14ac:dyDescent="0.3">
      <c r="A2358" t="s">
        <v>5295</v>
      </c>
    </row>
    <row r="2359" spans="1:1" x14ac:dyDescent="0.3">
      <c r="A2359" t="s">
        <v>5295</v>
      </c>
    </row>
    <row r="2360" spans="1:1" x14ac:dyDescent="0.3">
      <c r="A2360" t="s">
        <v>5185</v>
      </c>
    </row>
    <row r="2361" spans="1:1" x14ac:dyDescent="0.3">
      <c r="A2361" t="s">
        <v>5185</v>
      </c>
    </row>
    <row r="2362" spans="1:1" x14ac:dyDescent="0.3">
      <c r="A2362" t="s">
        <v>5073</v>
      </c>
    </row>
    <row r="2363" spans="1:1" x14ac:dyDescent="0.3">
      <c r="A2363" t="s">
        <v>5073</v>
      </c>
    </row>
    <row r="2364" spans="1:1" x14ac:dyDescent="0.3">
      <c r="A2364" t="s">
        <v>5073</v>
      </c>
    </row>
    <row r="2365" spans="1:1" x14ac:dyDescent="0.3">
      <c r="A2365" t="s">
        <v>5073</v>
      </c>
    </row>
    <row r="2366" spans="1:1" x14ac:dyDescent="0.3">
      <c r="A2366" t="s">
        <v>5073</v>
      </c>
    </row>
    <row r="2367" spans="1:1" x14ac:dyDescent="0.3">
      <c r="A2367" t="s">
        <v>5073</v>
      </c>
    </row>
    <row r="2368" spans="1:1" x14ac:dyDescent="0.3">
      <c r="A2368" t="s">
        <v>5073</v>
      </c>
    </row>
    <row r="2369" spans="1:1" x14ac:dyDescent="0.3">
      <c r="A2369" t="s">
        <v>5073</v>
      </c>
    </row>
    <row r="2370" spans="1:1" x14ac:dyDescent="0.3">
      <c r="A2370" t="s">
        <v>5073</v>
      </c>
    </row>
    <row r="2371" spans="1:1" x14ac:dyDescent="0.3">
      <c r="A2371" t="s">
        <v>5073</v>
      </c>
    </row>
    <row r="2372" spans="1:1" x14ac:dyDescent="0.3">
      <c r="A2372" t="s">
        <v>5073</v>
      </c>
    </row>
    <row r="2373" spans="1:1" x14ac:dyDescent="0.3">
      <c r="A2373" t="s">
        <v>5073</v>
      </c>
    </row>
    <row r="2374" spans="1:1" x14ac:dyDescent="0.3">
      <c r="A2374" t="s">
        <v>5073</v>
      </c>
    </row>
    <row r="2375" spans="1:1" x14ac:dyDescent="0.3">
      <c r="A2375" t="s">
        <v>183</v>
      </c>
    </row>
    <row r="2376" spans="1:1" x14ac:dyDescent="0.3">
      <c r="A2376" t="s">
        <v>4969</v>
      </c>
    </row>
    <row r="2377" spans="1:1" x14ac:dyDescent="0.3">
      <c r="A2377" t="s">
        <v>4969</v>
      </c>
    </row>
    <row r="2378" spans="1:1" x14ac:dyDescent="0.3">
      <c r="A2378" t="s">
        <v>4969</v>
      </c>
    </row>
    <row r="2379" spans="1:1" x14ac:dyDescent="0.3">
      <c r="A2379" t="s">
        <v>4969</v>
      </c>
    </row>
    <row r="2380" spans="1:1" x14ac:dyDescent="0.3">
      <c r="A2380" t="s">
        <v>4969</v>
      </c>
    </row>
    <row r="2381" spans="1:1" x14ac:dyDescent="0.3">
      <c r="A2381" t="s">
        <v>4969</v>
      </c>
    </row>
    <row r="2382" spans="1:1" x14ac:dyDescent="0.3">
      <c r="A2382" t="s">
        <v>4969</v>
      </c>
    </row>
    <row r="2383" spans="1:1" x14ac:dyDescent="0.3">
      <c r="A2383" t="s">
        <v>4969</v>
      </c>
    </row>
    <row r="2384" spans="1:1" x14ac:dyDescent="0.3">
      <c r="A2384" t="s">
        <v>4969</v>
      </c>
    </row>
    <row r="2385" spans="1:1" x14ac:dyDescent="0.3">
      <c r="A2385" t="s">
        <v>4969</v>
      </c>
    </row>
    <row r="2386" spans="1:1" x14ac:dyDescent="0.3">
      <c r="A2386" t="s">
        <v>4969</v>
      </c>
    </row>
    <row r="2387" spans="1:1" x14ac:dyDescent="0.3">
      <c r="A2387" t="s">
        <v>4969</v>
      </c>
    </row>
    <row r="2388" spans="1:1" x14ac:dyDescent="0.3">
      <c r="A2388" t="s">
        <v>4969</v>
      </c>
    </row>
    <row r="2389" spans="1:1" x14ac:dyDescent="0.3">
      <c r="A2389" t="s">
        <v>4969</v>
      </c>
    </row>
    <row r="2390" spans="1:1" x14ac:dyDescent="0.3">
      <c r="A2390" t="s">
        <v>4969</v>
      </c>
    </row>
    <row r="2391" spans="1:1" x14ac:dyDescent="0.3">
      <c r="A2391" t="s">
        <v>4969</v>
      </c>
    </row>
    <row r="2392" spans="1:1" x14ac:dyDescent="0.3">
      <c r="A2392" t="s">
        <v>4969</v>
      </c>
    </row>
    <row r="2393" spans="1:1" x14ac:dyDescent="0.3">
      <c r="A2393" t="s">
        <v>4969</v>
      </c>
    </row>
    <row r="2394" spans="1:1" x14ac:dyDescent="0.3">
      <c r="A2394" t="s">
        <v>4969</v>
      </c>
    </row>
    <row r="2395" spans="1:1" x14ac:dyDescent="0.3">
      <c r="A2395" t="s">
        <v>4969</v>
      </c>
    </row>
    <row r="2396" spans="1:1" x14ac:dyDescent="0.3">
      <c r="A2396" t="s">
        <v>4969</v>
      </c>
    </row>
    <row r="2397" spans="1:1" x14ac:dyDescent="0.3">
      <c r="A2397" t="s">
        <v>4969</v>
      </c>
    </row>
    <row r="2398" spans="1:1" x14ac:dyDescent="0.3">
      <c r="A2398" t="s">
        <v>4969</v>
      </c>
    </row>
    <row r="2399" spans="1:1" x14ac:dyDescent="0.3">
      <c r="A2399" t="s">
        <v>4969</v>
      </c>
    </row>
    <row r="2400" spans="1:1" x14ac:dyDescent="0.3">
      <c r="A2400" t="s">
        <v>4969</v>
      </c>
    </row>
    <row r="2401" spans="1:1" x14ac:dyDescent="0.3">
      <c r="A2401" t="s">
        <v>4969</v>
      </c>
    </row>
    <row r="2402" spans="1:1" x14ac:dyDescent="0.3">
      <c r="A2402" t="s">
        <v>4969</v>
      </c>
    </row>
    <row r="2403" spans="1:1" x14ac:dyDescent="0.3">
      <c r="A2403" t="s">
        <v>4969</v>
      </c>
    </row>
    <row r="2404" spans="1:1" x14ac:dyDescent="0.3">
      <c r="A2404" t="s">
        <v>4969</v>
      </c>
    </row>
    <row r="2405" spans="1:1" x14ac:dyDescent="0.3">
      <c r="A2405" t="s">
        <v>5337</v>
      </c>
    </row>
    <row r="2406" spans="1:1" x14ac:dyDescent="0.3">
      <c r="A2406" t="s">
        <v>5335</v>
      </c>
    </row>
    <row r="2407" spans="1:1" x14ac:dyDescent="0.3">
      <c r="A2407" t="s">
        <v>5380</v>
      </c>
    </row>
    <row r="2408" spans="1:1" x14ac:dyDescent="0.3">
      <c r="A2408" t="s">
        <v>5064</v>
      </c>
    </row>
    <row r="2409" spans="1:1" x14ac:dyDescent="0.3">
      <c r="A2409" t="s">
        <v>5064</v>
      </c>
    </row>
    <row r="2410" spans="1:1" x14ac:dyDescent="0.3">
      <c r="A2410" t="s">
        <v>5064</v>
      </c>
    </row>
    <row r="2411" spans="1:1" x14ac:dyDescent="0.3">
      <c r="A2411" t="s">
        <v>5064</v>
      </c>
    </row>
    <row r="2412" spans="1:1" x14ac:dyDescent="0.3">
      <c r="A2412" t="s">
        <v>5064</v>
      </c>
    </row>
    <row r="2413" spans="1:1" x14ac:dyDescent="0.3">
      <c r="A2413" t="s">
        <v>5064</v>
      </c>
    </row>
    <row r="2414" spans="1:1" x14ac:dyDescent="0.3">
      <c r="A2414" t="s">
        <v>5064</v>
      </c>
    </row>
    <row r="2415" spans="1:1" x14ac:dyDescent="0.3">
      <c r="A2415" t="s">
        <v>984</v>
      </c>
    </row>
    <row r="2416" spans="1:1" x14ac:dyDescent="0.3">
      <c r="A2416" t="s">
        <v>984</v>
      </c>
    </row>
    <row r="2417" spans="1:1" x14ac:dyDescent="0.3">
      <c r="A2417" t="s">
        <v>984</v>
      </c>
    </row>
    <row r="2418" spans="1:1" x14ac:dyDescent="0.3">
      <c r="A2418" t="s">
        <v>984</v>
      </c>
    </row>
    <row r="2419" spans="1:1" x14ac:dyDescent="0.3">
      <c r="A2419" t="s">
        <v>984</v>
      </c>
    </row>
    <row r="2420" spans="1:1" x14ac:dyDescent="0.3">
      <c r="A2420" t="s">
        <v>5243</v>
      </c>
    </row>
    <row r="2421" spans="1:1" x14ac:dyDescent="0.3">
      <c r="A2421" t="s">
        <v>5181</v>
      </c>
    </row>
    <row r="2422" spans="1:1" x14ac:dyDescent="0.3">
      <c r="A2422" t="s">
        <v>5181</v>
      </c>
    </row>
    <row r="2423" spans="1:1" x14ac:dyDescent="0.3">
      <c r="A2423" t="s">
        <v>5181</v>
      </c>
    </row>
    <row r="2424" spans="1:1" x14ac:dyDescent="0.3">
      <c r="A2424" t="s">
        <v>5181</v>
      </c>
    </row>
    <row r="2425" spans="1:1" x14ac:dyDescent="0.3">
      <c r="A2425" t="s">
        <v>5181</v>
      </c>
    </row>
    <row r="2426" spans="1:1" x14ac:dyDescent="0.3">
      <c r="A2426" t="s">
        <v>5181</v>
      </c>
    </row>
    <row r="2427" spans="1:1" x14ac:dyDescent="0.3">
      <c r="A2427" t="s">
        <v>5011</v>
      </c>
    </row>
    <row r="2428" spans="1:1" x14ac:dyDescent="0.3">
      <c r="A2428" t="s">
        <v>5374</v>
      </c>
    </row>
    <row r="2429" spans="1:1" x14ac:dyDescent="0.3">
      <c r="A2429" t="s">
        <v>5044</v>
      </c>
    </row>
    <row r="2430" spans="1:1" x14ac:dyDescent="0.3">
      <c r="A2430" t="s">
        <v>5044</v>
      </c>
    </row>
    <row r="2431" spans="1:1" x14ac:dyDescent="0.3">
      <c r="A2431" t="s">
        <v>5044</v>
      </c>
    </row>
    <row r="2432" spans="1:1" x14ac:dyDescent="0.3">
      <c r="A2432" t="s">
        <v>5044</v>
      </c>
    </row>
    <row r="2433" spans="1:1" x14ac:dyDescent="0.3">
      <c r="A2433" t="s">
        <v>5044</v>
      </c>
    </row>
    <row r="2434" spans="1:1" x14ac:dyDescent="0.3">
      <c r="A2434" t="s">
        <v>5044</v>
      </c>
    </row>
    <row r="2435" spans="1:1" x14ac:dyDescent="0.3">
      <c r="A2435" t="s">
        <v>5044</v>
      </c>
    </row>
    <row r="2436" spans="1:1" x14ac:dyDescent="0.3">
      <c r="A2436" t="s">
        <v>5044</v>
      </c>
    </row>
    <row r="2437" spans="1:1" x14ac:dyDescent="0.3">
      <c r="A2437" t="s">
        <v>5044</v>
      </c>
    </row>
    <row r="2438" spans="1:1" x14ac:dyDescent="0.3">
      <c r="A2438" t="s">
        <v>5044</v>
      </c>
    </row>
    <row r="2439" spans="1:1" x14ac:dyDescent="0.3">
      <c r="A2439" t="s">
        <v>5044</v>
      </c>
    </row>
    <row r="2440" spans="1:1" x14ac:dyDescent="0.3">
      <c r="A2440" t="s">
        <v>5044</v>
      </c>
    </row>
    <row r="2441" spans="1:1" x14ac:dyDescent="0.3">
      <c r="A2441" t="s">
        <v>5044</v>
      </c>
    </row>
    <row r="2442" spans="1:1" x14ac:dyDescent="0.3">
      <c r="A2442" t="s">
        <v>5044</v>
      </c>
    </row>
    <row r="2443" spans="1:1" x14ac:dyDescent="0.3">
      <c r="A2443" t="s">
        <v>5044</v>
      </c>
    </row>
    <row r="2444" spans="1:1" x14ac:dyDescent="0.3">
      <c r="A2444" t="s">
        <v>5044</v>
      </c>
    </row>
    <row r="2445" spans="1:1" x14ac:dyDescent="0.3">
      <c r="A2445" t="s">
        <v>5044</v>
      </c>
    </row>
    <row r="2446" spans="1:1" x14ac:dyDescent="0.3">
      <c r="A2446" t="s">
        <v>5044</v>
      </c>
    </row>
    <row r="2447" spans="1:1" x14ac:dyDescent="0.3">
      <c r="A2447" t="s">
        <v>5044</v>
      </c>
    </row>
    <row r="2448" spans="1:1" x14ac:dyDescent="0.3">
      <c r="A2448" t="s">
        <v>5044</v>
      </c>
    </row>
    <row r="2449" spans="1:1" x14ac:dyDescent="0.3">
      <c r="A2449" t="s">
        <v>5044</v>
      </c>
    </row>
    <row r="2450" spans="1:1" x14ac:dyDescent="0.3">
      <c r="A2450" t="s">
        <v>5044</v>
      </c>
    </row>
    <row r="2451" spans="1:1" x14ac:dyDescent="0.3">
      <c r="A2451" t="s">
        <v>5044</v>
      </c>
    </row>
    <row r="2452" spans="1:1" x14ac:dyDescent="0.3">
      <c r="A2452" t="s">
        <v>5044</v>
      </c>
    </row>
    <row r="2453" spans="1:1" x14ac:dyDescent="0.3">
      <c r="A2453" t="s">
        <v>5044</v>
      </c>
    </row>
    <row r="2454" spans="1:1" x14ac:dyDescent="0.3">
      <c r="A2454" t="s">
        <v>5273</v>
      </c>
    </row>
    <row r="2455" spans="1:1" x14ac:dyDescent="0.3">
      <c r="A2455" t="s">
        <v>5178</v>
      </c>
    </row>
    <row r="2456" spans="1:1" x14ac:dyDescent="0.3">
      <c r="A2456" t="s">
        <v>5178</v>
      </c>
    </row>
    <row r="2457" spans="1:1" x14ac:dyDescent="0.3">
      <c r="A2457" t="s">
        <v>5178</v>
      </c>
    </row>
    <row r="2458" spans="1:1" x14ac:dyDescent="0.3">
      <c r="A2458" t="s">
        <v>5178</v>
      </c>
    </row>
    <row r="2459" spans="1:1" x14ac:dyDescent="0.3">
      <c r="A2459" t="s">
        <v>5178</v>
      </c>
    </row>
    <row r="2460" spans="1:1" x14ac:dyDescent="0.3">
      <c r="A2460" t="s">
        <v>5178</v>
      </c>
    </row>
    <row r="2461" spans="1:1" x14ac:dyDescent="0.3">
      <c r="A2461" t="s">
        <v>5178</v>
      </c>
    </row>
    <row r="2462" spans="1:1" x14ac:dyDescent="0.3">
      <c r="A2462" t="s">
        <v>5178</v>
      </c>
    </row>
    <row r="2463" spans="1:1" x14ac:dyDescent="0.3">
      <c r="A2463" t="s">
        <v>5178</v>
      </c>
    </row>
    <row r="2464" spans="1:1" x14ac:dyDescent="0.3">
      <c r="A2464" t="s">
        <v>5178</v>
      </c>
    </row>
    <row r="2465" spans="1:1" x14ac:dyDescent="0.3">
      <c r="A2465" t="s">
        <v>5178</v>
      </c>
    </row>
    <row r="2466" spans="1:1" x14ac:dyDescent="0.3">
      <c r="A2466" t="s">
        <v>5277</v>
      </c>
    </row>
    <row r="2467" spans="1:1" x14ac:dyDescent="0.3">
      <c r="A2467" t="s">
        <v>5277</v>
      </c>
    </row>
    <row r="2468" spans="1:1" x14ac:dyDescent="0.3">
      <c r="A2468" t="s">
        <v>5145</v>
      </c>
    </row>
    <row r="2469" spans="1:1" x14ac:dyDescent="0.3">
      <c r="A2469" t="s">
        <v>5145</v>
      </c>
    </row>
    <row r="2470" spans="1:1" x14ac:dyDescent="0.3">
      <c r="A2470" t="s">
        <v>5039</v>
      </c>
    </row>
    <row r="2471" spans="1:1" x14ac:dyDescent="0.3">
      <c r="A2471" t="s">
        <v>5039</v>
      </c>
    </row>
    <row r="2472" spans="1:1" x14ac:dyDescent="0.3">
      <c r="A2472" t="s">
        <v>5039</v>
      </c>
    </row>
    <row r="2473" spans="1:1" x14ac:dyDescent="0.3">
      <c r="A2473" t="s">
        <v>5356</v>
      </c>
    </row>
    <row r="2474" spans="1:1" x14ac:dyDescent="0.3">
      <c r="A2474" t="s">
        <v>5356</v>
      </c>
    </row>
    <row r="2475" spans="1:1" x14ac:dyDescent="0.3">
      <c r="A2475" t="s">
        <v>5356</v>
      </c>
    </row>
    <row r="2476" spans="1:1" x14ac:dyDescent="0.3">
      <c r="A2476" t="s">
        <v>5356</v>
      </c>
    </row>
    <row r="2477" spans="1:1" x14ac:dyDescent="0.3">
      <c r="A2477" t="s">
        <v>5356</v>
      </c>
    </row>
    <row r="2478" spans="1:1" x14ac:dyDescent="0.3">
      <c r="A2478" t="s">
        <v>5356</v>
      </c>
    </row>
    <row r="2479" spans="1:1" x14ac:dyDescent="0.3">
      <c r="A2479" t="s">
        <v>5356</v>
      </c>
    </row>
    <row r="2480" spans="1:1" x14ac:dyDescent="0.3">
      <c r="A2480" t="s">
        <v>5356</v>
      </c>
    </row>
    <row r="2481" spans="1:1" x14ac:dyDescent="0.3">
      <c r="A2481" t="s">
        <v>5155</v>
      </c>
    </row>
    <row r="2482" spans="1:1" x14ac:dyDescent="0.3">
      <c r="A2482" t="s">
        <v>5155</v>
      </c>
    </row>
    <row r="2483" spans="1:1" x14ac:dyDescent="0.3">
      <c r="A2483" t="s">
        <v>5155</v>
      </c>
    </row>
    <row r="2484" spans="1:1" x14ac:dyDescent="0.3">
      <c r="A2484" t="s">
        <v>5155</v>
      </c>
    </row>
    <row r="2485" spans="1:1" x14ac:dyDescent="0.3">
      <c r="A2485" t="s">
        <v>4963</v>
      </c>
    </row>
    <row r="2486" spans="1:1" x14ac:dyDescent="0.3">
      <c r="A2486" t="s">
        <v>4963</v>
      </c>
    </row>
    <row r="2487" spans="1:1" x14ac:dyDescent="0.3">
      <c r="A2487" t="s">
        <v>4963</v>
      </c>
    </row>
    <row r="2488" spans="1:1" x14ac:dyDescent="0.3">
      <c r="A2488" t="s">
        <v>4963</v>
      </c>
    </row>
    <row r="2489" spans="1:1" x14ac:dyDescent="0.3">
      <c r="A2489" t="s">
        <v>4963</v>
      </c>
    </row>
    <row r="2490" spans="1:1" x14ac:dyDescent="0.3">
      <c r="A2490" t="s">
        <v>4963</v>
      </c>
    </row>
    <row r="2491" spans="1:1" x14ac:dyDescent="0.3">
      <c r="A2491" t="s">
        <v>4963</v>
      </c>
    </row>
    <row r="2492" spans="1:1" x14ac:dyDescent="0.3">
      <c r="A2492" t="s">
        <v>4963</v>
      </c>
    </row>
    <row r="2493" spans="1:1" x14ac:dyDescent="0.3">
      <c r="A2493" t="s">
        <v>4963</v>
      </c>
    </row>
    <row r="2494" spans="1:1" x14ac:dyDescent="0.3">
      <c r="A2494" t="s">
        <v>4963</v>
      </c>
    </row>
    <row r="2495" spans="1:1" x14ac:dyDescent="0.3">
      <c r="A2495" t="s">
        <v>4963</v>
      </c>
    </row>
    <row r="2496" spans="1:1" x14ac:dyDescent="0.3">
      <c r="A2496" t="s">
        <v>4963</v>
      </c>
    </row>
    <row r="2497" spans="1:1" x14ac:dyDescent="0.3">
      <c r="A2497" t="s">
        <v>4963</v>
      </c>
    </row>
    <row r="2498" spans="1:1" x14ac:dyDescent="0.3">
      <c r="A2498" t="s">
        <v>4963</v>
      </c>
    </row>
    <row r="2499" spans="1:1" x14ac:dyDescent="0.3">
      <c r="A2499" t="s">
        <v>4963</v>
      </c>
    </row>
    <row r="2500" spans="1:1" x14ac:dyDescent="0.3">
      <c r="A2500" t="s">
        <v>4963</v>
      </c>
    </row>
    <row r="2501" spans="1:1" x14ac:dyDescent="0.3">
      <c r="A2501" t="s">
        <v>4963</v>
      </c>
    </row>
    <row r="2502" spans="1:1" x14ac:dyDescent="0.3">
      <c r="A2502" t="s">
        <v>4963</v>
      </c>
    </row>
    <row r="2503" spans="1:1" x14ac:dyDescent="0.3">
      <c r="A2503" t="s">
        <v>4963</v>
      </c>
    </row>
    <row r="2504" spans="1:1" x14ac:dyDescent="0.3">
      <c r="A2504" t="s">
        <v>4963</v>
      </c>
    </row>
    <row r="2505" spans="1:1" x14ac:dyDescent="0.3">
      <c r="A2505" t="s">
        <v>4963</v>
      </c>
    </row>
    <row r="2506" spans="1:1" x14ac:dyDescent="0.3">
      <c r="A2506" t="s">
        <v>4963</v>
      </c>
    </row>
    <row r="2507" spans="1:1" x14ac:dyDescent="0.3">
      <c r="A2507" t="s">
        <v>4963</v>
      </c>
    </row>
    <row r="2508" spans="1:1" x14ac:dyDescent="0.3">
      <c r="A2508" t="s">
        <v>4963</v>
      </c>
    </row>
    <row r="2509" spans="1:1" x14ac:dyDescent="0.3">
      <c r="A2509" t="s">
        <v>4963</v>
      </c>
    </row>
    <row r="2510" spans="1:1" x14ac:dyDescent="0.3">
      <c r="A2510" t="s">
        <v>4963</v>
      </c>
    </row>
    <row r="2511" spans="1:1" x14ac:dyDescent="0.3">
      <c r="A2511" t="s">
        <v>4963</v>
      </c>
    </row>
    <row r="2512" spans="1:1" x14ac:dyDescent="0.3">
      <c r="A2512" t="s">
        <v>5054</v>
      </c>
    </row>
    <row r="2513" spans="1:1" x14ac:dyDescent="0.3">
      <c r="A2513" t="s">
        <v>5054</v>
      </c>
    </row>
    <row r="2514" spans="1:1" x14ac:dyDescent="0.3">
      <c r="A2514" t="s">
        <v>5245</v>
      </c>
    </row>
    <row r="2515" spans="1:1" x14ac:dyDescent="0.3">
      <c r="A2515" t="s">
        <v>5245</v>
      </c>
    </row>
    <row r="2516" spans="1:1" x14ac:dyDescent="0.3">
      <c r="A2516" t="s">
        <v>5246</v>
      </c>
    </row>
    <row r="2517" spans="1:1" x14ac:dyDescent="0.3">
      <c r="A2517" t="s">
        <v>4983</v>
      </c>
    </row>
    <row r="2518" spans="1:1" x14ac:dyDescent="0.3">
      <c r="A2518" t="s">
        <v>5102</v>
      </c>
    </row>
    <row r="2519" spans="1:1" x14ac:dyDescent="0.3">
      <c r="A2519" t="s">
        <v>5102</v>
      </c>
    </row>
    <row r="2520" spans="1:1" x14ac:dyDescent="0.3">
      <c r="A2520" t="s">
        <v>5102</v>
      </c>
    </row>
    <row r="2521" spans="1:1" x14ac:dyDescent="0.3">
      <c r="A2521" t="s">
        <v>5102</v>
      </c>
    </row>
    <row r="2522" spans="1:1" x14ac:dyDescent="0.3">
      <c r="A2522" t="s">
        <v>5102</v>
      </c>
    </row>
    <row r="2523" spans="1:1" x14ac:dyDescent="0.3">
      <c r="A2523" t="s">
        <v>5102</v>
      </c>
    </row>
    <row r="2524" spans="1:1" x14ac:dyDescent="0.3">
      <c r="A2524" t="s">
        <v>5102</v>
      </c>
    </row>
    <row r="2525" spans="1:1" x14ac:dyDescent="0.3">
      <c r="A2525" t="s">
        <v>5102</v>
      </c>
    </row>
    <row r="2526" spans="1:1" x14ac:dyDescent="0.3">
      <c r="A2526" t="s">
        <v>5102</v>
      </c>
    </row>
    <row r="2527" spans="1:1" x14ac:dyDescent="0.3">
      <c r="A2527" t="s">
        <v>5205</v>
      </c>
    </row>
    <row r="2528" spans="1:1" x14ac:dyDescent="0.3">
      <c r="A2528" t="s">
        <v>5205</v>
      </c>
    </row>
    <row r="2529" spans="1:1" x14ac:dyDescent="0.3">
      <c r="A2529" t="s">
        <v>5205</v>
      </c>
    </row>
    <row r="2530" spans="1:1" x14ac:dyDescent="0.3">
      <c r="A2530" t="s">
        <v>5228</v>
      </c>
    </row>
    <row r="2531" spans="1:1" x14ac:dyDescent="0.3">
      <c r="A2531" t="s">
        <v>5379</v>
      </c>
    </row>
    <row r="2532" spans="1:1" x14ac:dyDescent="0.3">
      <c r="A2532" t="s">
        <v>5379</v>
      </c>
    </row>
    <row r="2533" spans="1:1" x14ac:dyDescent="0.3">
      <c r="A2533" t="s">
        <v>5345</v>
      </c>
    </row>
    <row r="2534" spans="1:1" x14ac:dyDescent="0.3">
      <c r="A2534" t="s">
        <v>5045</v>
      </c>
    </row>
    <row r="2535" spans="1:1" x14ac:dyDescent="0.3">
      <c r="A2535" t="s">
        <v>5052</v>
      </c>
    </row>
    <row r="2536" spans="1:1" x14ac:dyDescent="0.3">
      <c r="A2536" t="s">
        <v>5052</v>
      </c>
    </row>
    <row r="2537" spans="1:1" x14ac:dyDescent="0.3">
      <c r="A2537" t="s">
        <v>5052</v>
      </c>
    </row>
    <row r="2538" spans="1:1" x14ac:dyDescent="0.3">
      <c r="A2538" t="s">
        <v>5052</v>
      </c>
    </row>
    <row r="2539" spans="1:1" x14ac:dyDescent="0.3">
      <c r="A2539" t="s">
        <v>5052</v>
      </c>
    </row>
    <row r="2540" spans="1:1" x14ac:dyDescent="0.3">
      <c r="A2540" t="s">
        <v>5052</v>
      </c>
    </row>
    <row r="2541" spans="1:1" x14ac:dyDescent="0.3">
      <c r="A2541" t="s">
        <v>5052</v>
      </c>
    </row>
    <row r="2542" spans="1:1" x14ac:dyDescent="0.3">
      <c r="A2542" t="s">
        <v>5052</v>
      </c>
    </row>
    <row r="2543" spans="1:1" x14ac:dyDescent="0.3">
      <c r="A2543" t="s">
        <v>5052</v>
      </c>
    </row>
    <row r="2544" spans="1:1" x14ac:dyDescent="0.3">
      <c r="A2544" t="s">
        <v>5052</v>
      </c>
    </row>
    <row r="2545" spans="1:1" x14ac:dyDescent="0.3">
      <c r="A2545" t="s">
        <v>5052</v>
      </c>
    </row>
    <row r="2546" spans="1:1" x14ac:dyDescent="0.3">
      <c r="A2546" t="s">
        <v>5052</v>
      </c>
    </row>
    <row r="2547" spans="1:1" x14ac:dyDescent="0.3">
      <c r="A2547" t="s">
        <v>5052</v>
      </c>
    </row>
    <row r="2548" spans="1:1" x14ac:dyDescent="0.3">
      <c r="A2548" t="s">
        <v>5052</v>
      </c>
    </row>
    <row r="2549" spans="1:1" x14ac:dyDescent="0.3">
      <c r="A2549" t="s">
        <v>5052</v>
      </c>
    </row>
    <row r="2550" spans="1:1" x14ac:dyDescent="0.3">
      <c r="A2550" t="s">
        <v>5052</v>
      </c>
    </row>
    <row r="2551" spans="1:1" x14ac:dyDescent="0.3">
      <c r="A2551" t="s">
        <v>5052</v>
      </c>
    </row>
    <row r="2552" spans="1:1" x14ac:dyDescent="0.3">
      <c r="A2552" t="s">
        <v>5052</v>
      </c>
    </row>
    <row r="2553" spans="1:1" x14ac:dyDescent="0.3">
      <c r="A2553" t="s">
        <v>5052</v>
      </c>
    </row>
    <row r="2554" spans="1:1" x14ac:dyDescent="0.3">
      <c r="A2554" t="s">
        <v>5052</v>
      </c>
    </row>
    <row r="2555" spans="1:1" x14ac:dyDescent="0.3">
      <c r="A2555" t="s">
        <v>379</v>
      </c>
    </row>
    <row r="2556" spans="1:1" x14ac:dyDescent="0.3">
      <c r="A2556" t="s">
        <v>379</v>
      </c>
    </row>
    <row r="2557" spans="1:1" x14ac:dyDescent="0.3">
      <c r="A2557" t="s">
        <v>379</v>
      </c>
    </row>
    <row r="2558" spans="1:1" x14ac:dyDescent="0.3">
      <c r="A2558" t="s">
        <v>379</v>
      </c>
    </row>
    <row r="2559" spans="1:1" x14ac:dyDescent="0.3">
      <c r="A2559" t="s">
        <v>379</v>
      </c>
    </row>
    <row r="2560" spans="1:1" x14ac:dyDescent="0.3">
      <c r="A2560" t="s">
        <v>379</v>
      </c>
    </row>
    <row r="2561" spans="1:1" x14ac:dyDescent="0.3">
      <c r="A2561" t="s">
        <v>379</v>
      </c>
    </row>
    <row r="2562" spans="1:1" x14ac:dyDescent="0.3">
      <c r="A2562" t="s">
        <v>379</v>
      </c>
    </row>
    <row r="2563" spans="1:1" x14ac:dyDescent="0.3">
      <c r="A2563" t="s">
        <v>379</v>
      </c>
    </row>
    <row r="2564" spans="1:1" x14ac:dyDescent="0.3">
      <c r="A2564" t="s">
        <v>379</v>
      </c>
    </row>
    <row r="2565" spans="1:1" x14ac:dyDescent="0.3">
      <c r="A2565" t="s">
        <v>379</v>
      </c>
    </row>
    <row r="2566" spans="1:1" x14ac:dyDescent="0.3">
      <c r="A2566" t="s">
        <v>379</v>
      </c>
    </row>
    <row r="2567" spans="1:1" x14ac:dyDescent="0.3">
      <c r="A2567" t="s">
        <v>379</v>
      </c>
    </row>
    <row r="2568" spans="1:1" x14ac:dyDescent="0.3">
      <c r="A2568" t="s">
        <v>379</v>
      </c>
    </row>
    <row r="2569" spans="1:1" x14ac:dyDescent="0.3">
      <c r="A2569" t="s">
        <v>379</v>
      </c>
    </row>
    <row r="2570" spans="1:1" x14ac:dyDescent="0.3">
      <c r="A2570" t="s">
        <v>379</v>
      </c>
    </row>
    <row r="2571" spans="1:1" x14ac:dyDescent="0.3">
      <c r="A2571" t="s">
        <v>379</v>
      </c>
    </row>
    <row r="2572" spans="1:1" x14ac:dyDescent="0.3">
      <c r="A2572" t="s">
        <v>379</v>
      </c>
    </row>
    <row r="2573" spans="1:1" x14ac:dyDescent="0.3">
      <c r="A2573" t="s">
        <v>379</v>
      </c>
    </row>
    <row r="2574" spans="1:1" x14ac:dyDescent="0.3">
      <c r="A2574" t="s">
        <v>379</v>
      </c>
    </row>
    <row r="2575" spans="1:1" x14ac:dyDescent="0.3">
      <c r="A2575" t="s">
        <v>379</v>
      </c>
    </row>
    <row r="2576" spans="1:1" x14ac:dyDescent="0.3">
      <c r="A2576" t="s">
        <v>379</v>
      </c>
    </row>
    <row r="2577" spans="1:1" x14ac:dyDescent="0.3">
      <c r="A2577" t="s">
        <v>379</v>
      </c>
    </row>
    <row r="2578" spans="1:1" x14ac:dyDescent="0.3">
      <c r="A2578" t="s">
        <v>379</v>
      </c>
    </row>
    <row r="2579" spans="1:1" x14ac:dyDescent="0.3">
      <c r="A2579" t="s">
        <v>379</v>
      </c>
    </row>
    <row r="2580" spans="1:1" x14ac:dyDescent="0.3">
      <c r="A2580" t="s">
        <v>379</v>
      </c>
    </row>
    <row r="2581" spans="1:1" x14ac:dyDescent="0.3">
      <c r="A2581" t="s">
        <v>379</v>
      </c>
    </row>
    <row r="2582" spans="1:1" x14ac:dyDescent="0.3">
      <c r="A2582" t="s">
        <v>379</v>
      </c>
    </row>
    <row r="2583" spans="1:1" x14ac:dyDescent="0.3">
      <c r="A2583" t="s">
        <v>379</v>
      </c>
    </row>
    <row r="2584" spans="1:1" x14ac:dyDescent="0.3">
      <c r="A2584" t="s">
        <v>379</v>
      </c>
    </row>
    <row r="2585" spans="1:1" x14ac:dyDescent="0.3">
      <c r="A2585" t="s">
        <v>379</v>
      </c>
    </row>
    <row r="2586" spans="1:1" x14ac:dyDescent="0.3">
      <c r="A2586" t="s">
        <v>379</v>
      </c>
    </row>
    <row r="2587" spans="1:1" x14ac:dyDescent="0.3">
      <c r="A2587" t="s">
        <v>379</v>
      </c>
    </row>
    <row r="2588" spans="1:1" x14ac:dyDescent="0.3">
      <c r="A2588" t="s">
        <v>379</v>
      </c>
    </row>
    <row r="2589" spans="1:1" x14ac:dyDescent="0.3">
      <c r="A2589" t="s">
        <v>379</v>
      </c>
    </row>
    <row r="2590" spans="1:1" x14ac:dyDescent="0.3">
      <c r="A2590" t="s">
        <v>379</v>
      </c>
    </row>
    <row r="2591" spans="1:1" x14ac:dyDescent="0.3">
      <c r="A2591" t="s">
        <v>379</v>
      </c>
    </row>
    <row r="2592" spans="1:1" x14ac:dyDescent="0.3">
      <c r="A2592" t="s">
        <v>379</v>
      </c>
    </row>
    <row r="2593" spans="1:1" x14ac:dyDescent="0.3">
      <c r="A2593" t="s">
        <v>379</v>
      </c>
    </row>
    <row r="2594" spans="1:1" x14ac:dyDescent="0.3">
      <c r="A2594" t="s">
        <v>379</v>
      </c>
    </row>
    <row r="2595" spans="1:1" x14ac:dyDescent="0.3">
      <c r="A2595" t="s">
        <v>379</v>
      </c>
    </row>
    <row r="2596" spans="1:1" x14ac:dyDescent="0.3">
      <c r="A2596" t="s">
        <v>379</v>
      </c>
    </row>
    <row r="2597" spans="1:1" x14ac:dyDescent="0.3">
      <c r="A2597" t="s">
        <v>379</v>
      </c>
    </row>
    <row r="2598" spans="1:1" x14ac:dyDescent="0.3">
      <c r="A2598" t="s">
        <v>5305</v>
      </c>
    </row>
    <row r="2599" spans="1:1" x14ac:dyDescent="0.3">
      <c r="A2599" t="s">
        <v>5305</v>
      </c>
    </row>
    <row r="2600" spans="1:1" x14ac:dyDescent="0.3">
      <c r="A2600" t="s">
        <v>5048</v>
      </c>
    </row>
    <row r="2601" spans="1:1" x14ac:dyDescent="0.3">
      <c r="A2601" t="s">
        <v>5390</v>
      </c>
    </row>
    <row r="2602" spans="1:1" x14ac:dyDescent="0.3">
      <c r="A2602" t="s">
        <v>5390</v>
      </c>
    </row>
    <row r="2603" spans="1:1" x14ac:dyDescent="0.3">
      <c r="A2603" t="s">
        <v>5390</v>
      </c>
    </row>
    <row r="2604" spans="1:1" x14ac:dyDescent="0.3">
      <c r="A2604" t="s">
        <v>5190</v>
      </c>
    </row>
    <row r="2605" spans="1:1" x14ac:dyDescent="0.3">
      <c r="A2605" t="s">
        <v>5190</v>
      </c>
    </row>
    <row r="2606" spans="1:1" x14ac:dyDescent="0.3">
      <c r="A2606" t="s">
        <v>5190</v>
      </c>
    </row>
    <row r="2607" spans="1:1" x14ac:dyDescent="0.3">
      <c r="A2607" t="s">
        <v>5190</v>
      </c>
    </row>
    <row r="2608" spans="1:1" x14ac:dyDescent="0.3">
      <c r="A2608" t="s">
        <v>5190</v>
      </c>
    </row>
    <row r="2609" spans="1:1" x14ac:dyDescent="0.3">
      <c r="A2609" t="s">
        <v>5214</v>
      </c>
    </row>
    <row r="2610" spans="1:1" x14ac:dyDescent="0.3">
      <c r="A2610" t="s">
        <v>5208</v>
      </c>
    </row>
    <row r="2611" spans="1:1" x14ac:dyDescent="0.3">
      <c r="A2611" t="s">
        <v>4997</v>
      </c>
    </row>
    <row r="2612" spans="1:1" x14ac:dyDescent="0.3">
      <c r="A2612" t="s">
        <v>4997</v>
      </c>
    </row>
    <row r="2613" spans="1:1" x14ac:dyDescent="0.3">
      <c r="A2613" t="s">
        <v>4997</v>
      </c>
    </row>
    <row r="2614" spans="1:1" x14ac:dyDescent="0.3">
      <c r="A2614" t="s">
        <v>5207</v>
      </c>
    </row>
    <row r="2615" spans="1:1" x14ac:dyDescent="0.3">
      <c r="A2615" t="s">
        <v>5322</v>
      </c>
    </row>
    <row r="2616" spans="1:1" x14ac:dyDescent="0.3">
      <c r="A2616" t="s">
        <v>5125</v>
      </c>
    </row>
    <row r="2617" spans="1:1" x14ac:dyDescent="0.3">
      <c r="A2617" t="s">
        <v>5125</v>
      </c>
    </row>
    <row r="2618" spans="1:1" x14ac:dyDescent="0.3">
      <c r="A2618" t="s">
        <v>5303</v>
      </c>
    </row>
    <row r="2619" spans="1:1" x14ac:dyDescent="0.3">
      <c r="A2619" t="s">
        <v>5303</v>
      </c>
    </row>
    <row r="2620" spans="1:1" x14ac:dyDescent="0.3">
      <c r="A2620" t="s">
        <v>5303</v>
      </c>
    </row>
    <row r="2621" spans="1:1" x14ac:dyDescent="0.3">
      <c r="A2621" t="s">
        <v>5188</v>
      </c>
    </row>
    <row r="2622" spans="1:1" x14ac:dyDescent="0.3">
      <c r="A2622" t="s">
        <v>5194</v>
      </c>
    </row>
    <row r="2623" spans="1:1" x14ac:dyDescent="0.3">
      <c r="A2623" t="s">
        <v>5120</v>
      </c>
    </row>
    <row r="2624" spans="1:1" x14ac:dyDescent="0.3">
      <c r="A2624" t="s">
        <v>5120</v>
      </c>
    </row>
    <row r="2625" spans="1:1" x14ac:dyDescent="0.3">
      <c r="A2625" t="s">
        <v>5078</v>
      </c>
    </row>
    <row r="2626" spans="1:1" x14ac:dyDescent="0.3">
      <c r="A2626" t="s">
        <v>748</v>
      </c>
    </row>
    <row r="2627" spans="1:1" x14ac:dyDescent="0.3">
      <c r="A2627" t="s">
        <v>748</v>
      </c>
    </row>
    <row r="2628" spans="1:1" x14ac:dyDescent="0.3">
      <c r="A2628" t="s">
        <v>748</v>
      </c>
    </row>
    <row r="2629" spans="1:1" x14ac:dyDescent="0.3">
      <c r="A2629" t="s">
        <v>748</v>
      </c>
    </row>
    <row r="2630" spans="1:1" x14ac:dyDescent="0.3">
      <c r="A2630" t="s">
        <v>748</v>
      </c>
    </row>
    <row r="2631" spans="1:1" x14ac:dyDescent="0.3">
      <c r="A2631" t="s">
        <v>748</v>
      </c>
    </row>
    <row r="2632" spans="1:1" x14ac:dyDescent="0.3">
      <c r="A2632" t="s">
        <v>748</v>
      </c>
    </row>
    <row r="2633" spans="1:1" x14ac:dyDescent="0.3">
      <c r="A2633" t="s">
        <v>748</v>
      </c>
    </row>
    <row r="2634" spans="1:1" x14ac:dyDescent="0.3">
      <c r="A2634" t="s">
        <v>748</v>
      </c>
    </row>
    <row r="2635" spans="1:1" x14ac:dyDescent="0.3">
      <c r="A2635" t="s">
        <v>5151</v>
      </c>
    </row>
    <row r="2636" spans="1:1" x14ac:dyDescent="0.3">
      <c r="A2636" t="s">
        <v>5151</v>
      </c>
    </row>
    <row r="2637" spans="1:1" x14ac:dyDescent="0.3">
      <c r="A2637" t="s">
        <v>5389</v>
      </c>
    </row>
    <row r="2638" spans="1:1" x14ac:dyDescent="0.3">
      <c r="A2638" t="s">
        <v>5026</v>
      </c>
    </row>
    <row r="2639" spans="1:1" x14ac:dyDescent="0.3">
      <c r="A2639" t="s">
        <v>5162</v>
      </c>
    </row>
    <row r="2640" spans="1:1" x14ac:dyDescent="0.3">
      <c r="A2640" t="s">
        <v>5162</v>
      </c>
    </row>
    <row r="2641" spans="1:1" x14ac:dyDescent="0.3">
      <c r="A2641" t="s">
        <v>5242</v>
      </c>
    </row>
    <row r="2642" spans="1:1" x14ac:dyDescent="0.3">
      <c r="A2642" t="s">
        <v>5242</v>
      </c>
    </row>
    <row r="2643" spans="1:1" x14ac:dyDescent="0.3">
      <c r="A2643" t="s">
        <v>5242</v>
      </c>
    </row>
    <row r="2644" spans="1:1" x14ac:dyDescent="0.3">
      <c r="A2644" t="s">
        <v>5242</v>
      </c>
    </row>
    <row r="2645" spans="1:1" x14ac:dyDescent="0.3">
      <c r="A2645" t="s">
        <v>5242</v>
      </c>
    </row>
    <row r="2646" spans="1:1" x14ac:dyDescent="0.3">
      <c r="A2646" t="s">
        <v>5242</v>
      </c>
    </row>
    <row r="2647" spans="1:1" x14ac:dyDescent="0.3">
      <c r="A2647" t="s">
        <v>5242</v>
      </c>
    </row>
    <row r="2648" spans="1:1" x14ac:dyDescent="0.3">
      <c r="A2648" t="s">
        <v>5242</v>
      </c>
    </row>
    <row r="2649" spans="1:1" x14ac:dyDescent="0.3">
      <c r="A2649" t="s">
        <v>5242</v>
      </c>
    </row>
    <row r="2650" spans="1:1" x14ac:dyDescent="0.3">
      <c r="A2650" t="s">
        <v>5242</v>
      </c>
    </row>
    <row r="2651" spans="1:1" x14ac:dyDescent="0.3">
      <c r="A2651" t="s">
        <v>4968</v>
      </c>
    </row>
    <row r="2652" spans="1:1" x14ac:dyDescent="0.3">
      <c r="A2652" t="s">
        <v>4968</v>
      </c>
    </row>
    <row r="2653" spans="1:1" x14ac:dyDescent="0.3">
      <c r="A2653" t="s">
        <v>5291</v>
      </c>
    </row>
    <row r="2654" spans="1:1" x14ac:dyDescent="0.3">
      <c r="A2654" t="s">
        <v>5291</v>
      </c>
    </row>
    <row r="2655" spans="1:1" x14ac:dyDescent="0.3">
      <c r="A2655" t="s">
        <v>5165</v>
      </c>
    </row>
    <row r="2656" spans="1:1" x14ac:dyDescent="0.3">
      <c r="A2656" t="s">
        <v>5089</v>
      </c>
    </row>
    <row r="2657" spans="1:1" x14ac:dyDescent="0.3">
      <c r="A2657" t="s">
        <v>5089</v>
      </c>
    </row>
    <row r="2658" spans="1:1" x14ac:dyDescent="0.3">
      <c r="A2658" t="s">
        <v>5089</v>
      </c>
    </row>
    <row r="2659" spans="1:1" x14ac:dyDescent="0.3">
      <c r="A2659" t="s">
        <v>5200</v>
      </c>
    </row>
    <row r="2660" spans="1:1" x14ac:dyDescent="0.3">
      <c r="A2660" t="s">
        <v>5320</v>
      </c>
    </row>
    <row r="2661" spans="1:1" x14ac:dyDescent="0.3">
      <c r="A2661" t="s">
        <v>5137</v>
      </c>
    </row>
    <row r="2662" spans="1:1" x14ac:dyDescent="0.3">
      <c r="A2662" t="s">
        <v>5036</v>
      </c>
    </row>
    <row r="2663" spans="1:1" x14ac:dyDescent="0.3">
      <c r="A2663" t="s">
        <v>5036</v>
      </c>
    </row>
    <row r="2664" spans="1:1" x14ac:dyDescent="0.3">
      <c r="A2664" t="s">
        <v>5036</v>
      </c>
    </row>
    <row r="2665" spans="1:1" x14ac:dyDescent="0.3">
      <c r="A2665" t="s">
        <v>5036</v>
      </c>
    </row>
    <row r="2666" spans="1:1" x14ac:dyDescent="0.3">
      <c r="A2666" t="s">
        <v>5036</v>
      </c>
    </row>
    <row r="2667" spans="1:1" x14ac:dyDescent="0.3">
      <c r="A2667" t="s">
        <v>5036</v>
      </c>
    </row>
    <row r="2668" spans="1:1" x14ac:dyDescent="0.3">
      <c r="A2668" t="s">
        <v>5036</v>
      </c>
    </row>
    <row r="2669" spans="1:1" x14ac:dyDescent="0.3">
      <c r="A2669" t="s">
        <v>5036</v>
      </c>
    </row>
    <row r="2670" spans="1:1" x14ac:dyDescent="0.3">
      <c r="A2670" t="s">
        <v>5036</v>
      </c>
    </row>
    <row r="2671" spans="1:1" x14ac:dyDescent="0.3">
      <c r="A2671" t="s">
        <v>5036</v>
      </c>
    </row>
    <row r="2672" spans="1:1" x14ac:dyDescent="0.3">
      <c r="A2672" t="s">
        <v>5036</v>
      </c>
    </row>
    <row r="2673" spans="1:1" x14ac:dyDescent="0.3">
      <c r="A2673" t="s">
        <v>5036</v>
      </c>
    </row>
    <row r="2674" spans="1:1" x14ac:dyDescent="0.3">
      <c r="A2674" t="s">
        <v>5036</v>
      </c>
    </row>
    <row r="2675" spans="1:1" x14ac:dyDescent="0.3">
      <c r="A2675" t="s">
        <v>5036</v>
      </c>
    </row>
    <row r="2676" spans="1:1" x14ac:dyDescent="0.3">
      <c r="A2676" t="s">
        <v>5036</v>
      </c>
    </row>
    <row r="2677" spans="1:1" x14ac:dyDescent="0.3">
      <c r="A2677" t="s">
        <v>5229</v>
      </c>
    </row>
    <row r="2678" spans="1:1" x14ac:dyDescent="0.3">
      <c r="A2678" t="s">
        <v>5271</v>
      </c>
    </row>
    <row r="2679" spans="1:1" x14ac:dyDescent="0.3">
      <c r="A2679" t="s">
        <v>5271</v>
      </c>
    </row>
    <row r="2680" spans="1:1" x14ac:dyDescent="0.3">
      <c r="A2680" t="s">
        <v>5311</v>
      </c>
    </row>
    <row r="2681" spans="1:1" x14ac:dyDescent="0.3">
      <c r="A2681" t="s">
        <v>5311</v>
      </c>
    </row>
    <row r="2682" spans="1:1" x14ac:dyDescent="0.3">
      <c r="A2682" t="s">
        <v>5066</v>
      </c>
    </row>
    <row r="2683" spans="1:1" x14ac:dyDescent="0.3">
      <c r="A2683" t="s">
        <v>5066</v>
      </c>
    </row>
    <row r="2684" spans="1:1" x14ac:dyDescent="0.3">
      <c r="A2684" t="s">
        <v>5066</v>
      </c>
    </row>
    <row r="2685" spans="1:1" x14ac:dyDescent="0.3">
      <c r="A2685" t="s">
        <v>5066</v>
      </c>
    </row>
    <row r="2686" spans="1:1" x14ac:dyDescent="0.3">
      <c r="A2686" t="s">
        <v>5066</v>
      </c>
    </row>
    <row r="2687" spans="1:1" x14ac:dyDescent="0.3">
      <c r="A2687" t="s">
        <v>5066</v>
      </c>
    </row>
    <row r="2688" spans="1:1" x14ac:dyDescent="0.3">
      <c r="A2688" t="s">
        <v>5066</v>
      </c>
    </row>
    <row r="2689" spans="1:1" x14ac:dyDescent="0.3">
      <c r="A2689" t="s">
        <v>5066</v>
      </c>
    </row>
    <row r="2690" spans="1:1" x14ac:dyDescent="0.3">
      <c r="A2690" t="s">
        <v>5066</v>
      </c>
    </row>
    <row r="2691" spans="1:1" x14ac:dyDescent="0.3">
      <c r="A2691" t="s">
        <v>5066</v>
      </c>
    </row>
    <row r="2692" spans="1:1" x14ac:dyDescent="0.3">
      <c r="A2692" t="s">
        <v>5260</v>
      </c>
    </row>
    <row r="2693" spans="1:1" x14ac:dyDescent="0.3">
      <c r="A2693" t="s">
        <v>5013</v>
      </c>
    </row>
    <row r="2694" spans="1:1" x14ac:dyDescent="0.3">
      <c r="A2694" t="s">
        <v>5013</v>
      </c>
    </row>
    <row r="2695" spans="1:1" x14ac:dyDescent="0.3">
      <c r="A2695" t="s">
        <v>5013</v>
      </c>
    </row>
    <row r="2696" spans="1:1" x14ac:dyDescent="0.3">
      <c r="A2696" t="s">
        <v>5013</v>
      </c>
    </row>
    <row r="2697" spans="1:1" x14ac:dyDescent="0.3">
      <c r="A2697" t="s">
        <v>5013</v>
      </c>
    </row>
    <row r="2698" spans="1:1" x14ac:dyDescent="0.3">
      <c r="A2698" t="s">
        <v>5013</v>
      </c>
    </row>
    <row r="2699" spans="1:1" x14ac:dyDescent="0.3">
      <c r="A2699" t="s">
        <v>5013</v>
      </c>
    </row>
    <row r="2700" spans="1:1" x14ac:dyDescent="0.3">
      <c r="A2700" t="s">
        <v>5013</v>
      </c>
    </row>
    <row r="2701" spans="1:1" x14ac:dyDescent="0.3">
      <c r="A2701" t="s">
        <v>5013</v>
      </c>
    </row>
    <row r="2702" spans="1:1" x14ac:dyDescent="0.3">
      <c r="A2702" t="s">
        <v>5013</v>
      </c>
    </row>
    <row r="2703" spans="1:1" x14ac:dyDescent="0.3">
      <c r="A2703" t="s">
        <v>5196</v>
      </c>
    </row>
    <row r="2704" spans="1:1" x14ac:dyDescent="0.3">
      <c r="A2704" t="s">
        <v>5196</v>
      </c>
    </row>
    <row r="2705" spans="1:1" x14ac:dyDescent="0.3">
      <c r="A2705" t="s">
        <v>5196</v>
      </c>
    </row>
    <row r="2706" spans="1:1" x14ac:dyDescent="0.3">
      <c r="A2706" t="s">
        <v>5196</v>
      </c>
    </row>
    <row r="2707" spans="1:1" x14ac:dyDescent="0.3">
      <c r="A2707" t="s">
        <v>5196</v>
      </c>
    </row>
    <row r="2708" spans="1:1" x14ac:dyDescent="0.3">
      <c r="A2708" t="s">
        <v>5196</v>
      </c>
    </row>
    <row r="2709" spans="1:1" x14ac:dyDescent="0.3">
      <c r="A2709" t="s">
        <v>5196</v>
      </c>
    </row>
    <row r="2710" spans="1:1" x14ac:dyDescent="0.3">
      <c r="A2710" t="s">
        <v>5196</v>
      </c>
    </row>
    <row r="2711" spans="1:1" x14ac:dyDescent="0.3">
      <c r="A2711" t="s">
        <v>5196</v>
      </c>
    </row>
    <row r="2712" spans="1:1" x14ac:dyDescent="0.3">
      <c r="A2712" t="s">
        <v>5069</v>
      </c>
    </row>
    <row r="2713" spans="1:1" x14ac:dyDescent="0.3">
      <c r="A2713" t="s">
        <v>5069</v>
      </c>
    </row>
    <row r="2714" spans="1:1" x14ac:dyDescent="0.3">
      <c r="A2714" t="s">
        <v>5069</v>
      </c>
    </row>
    <row r="2715" spans="1:1" x14ac:dyDescent="0.3">
      <c r="A2715" t="s">
        <v>5278</v>
      </c>
    </row>
    <row r="2716" spans="1:1" x14ac:dyDescent="0.3">
      <c r="A2716" t="s">
        <v>5007</v>
      </c>
    </row>
    <row r="2717" spans="1:1" x14ac:dyDescent="0.3">
      <c r="A2717" t="s">
        <v>5198</v>
      </c>
    </row>
    <row r="2718" spans="1:1" x14ac:dyDescent="0.3">
      <c r="A2718" t="s">
        <v>5202</v>
      </c>
    </row>
    <row r="2719" spans="1:1" x14ac:dyDescent="0.3">
      <c r="A2719" t="s">
        <v>5202</v>
      </c>
    </row>
    <row r="2720" spans="1:1" x14ac:dyDescent="0.3">
      <c r="A2720" t="s">
        <v>5234</v>
      </c>
    </row>
    <row r="2721" spans="1:1" x14ac:dyDescent="0.3">
      <c r="A2721" t="s">
        <v>5234</v>
      </c>
    </row>
    <row r="2722" spans="1:1" x14ac:dyDescent="0.3">
      <c r="A2722" t="s">
        <v>5234</v>
      </c>
    </row>
    <row r="2723" spans="1:1" x14ac:dyDescent="0.3">
      <c r="A2723" t="s">
        <v>5251</v>
      </c>
    </row>
    <row r="2724" spans="1:1" x14ac:dyDescent="0.3">
      <c r="A2724" t="s">
        <v>5250</v>
      </c>
    </row>
    <row r="2725" spans="1:1" x14ac:dyDescent="0.3">
      <c r="A2725" t="s">
        <v>5381</v>
      </c>
    </row>
    <row r="2726" spans="1:1" x14ac:dyDescent="0.3">
      <c r="A2726" t="s">
        <v>5134</v>
      </c>
    </row>
    <row r="2727" spans="1:1" x14ac:dyDescent="0.3">
      <c r="A2727" t="s">
        <v>5180</v>
      </c>
    </row>
    <row r="2728" spans="1:1" x14ac:dyDescent="0.3">
      <c r="A2728" t="s">
        <v>5347</v>
      </c>
    </row>
    <row r="2729" spans="1:1" x14ac:dyDescent="0.3">
      <c r="A2729" t="s">
        <v>5347</v>
      </c>
    </row>
    <row r="2730" spans="1:1" x14ac:dyDescent="0.3">
      <c r="A2730" t="s">
        <v>5312</v>
      </c>
    </row>
    <row r="2731" spans="1:1" x14ac:dyDescent="0.3">
      <c r="A2731" t="s">
        <v>5312</v>
      </c>
    </row>
    <row r="2732" spans="1:1" x14ac:dyDescent="0.3">
      <c r="A2732" t="s">
        <v>5090</v>
      </c>
    </row>
    <row r="2733" spans="1:1" x14ac:dyDescent="0.3">
      <c r="A2733" t="s">
        <v>5090</v>
      </c>
    </row>
    <row r="2734" spans="1:1" x14ac:dyDescent="0.3">
      <c r="A2734" t="s">
        <v>5090</v>
      </c>
    </row>
    <row r="2735" spans="1:1" x14ac:dyDescent="0.3">
      <c r="A2735" t="s">
        <v>5090</v>
      </c>
    </row>
    <row r="2736" spans="1:1" x14ac:dyDescent="0.3">
      <c r="A2736" t="s">
        <v>5090</v>
      </c>
    </row>
    <row r="2737" spans="1:1" x14ac:dyDescent="0.3">
      <c r="A2737" t="s">
        <v>5090</v>
      </c>
    </row>
    <row r="2738" spans="1:1" x14ac:dyDescent="0.3">
      <c r="A2738" t="s">
        <v>5090</v>
      </c>
    </row>
    <row r="2739" spans="1:1" x14ac:dyDescent="0.3">
      <c r="A2739" t="s">
        <v>5090</v>
      </c>
    </row>
    <row r="2740" spans="1:1" x14ac:dyDescent="0.3">
      <c r="A2740" t="s">
        <v>5090</v>
      </c>
    </row>
    <row r="2741" spans="1:1" x14ac:dyDescent="0.3">
      <c r="A2741" t="s">
        <v>5247</v>
      </c>
    </row>
    <row r="2742" spans="1:1" x14ac:dyDescent="0.3">
      <c r="A2742" t="s">
        <v>5357</v>
      </c>
    </row>
    <row r="2743" spans="1:1" x14ac:dyDescent="0.3">
      <c r="A2743" t="s">
        <v>5221</v>
      </c>
    </row>
    <row r="2744" spans="1:1" x14ac:dyDescent="0.3">
      <c r="A2744" t="s">
        <v>5221</v>
      </c>
    </row>
    <row r="2745" spans="1:1" x14ac:dyDescent="0.3">
      <c r="A2745" t="s">
        <v>5221</v>
      </c>
    </row>
    <row r="2746" spans="1:1" x14ac:dyDescent="0.3">
      <c r="A2746" t="s">
        <v>5221</v>
      </c>
    </row>
    <row r="2747" spans="1:1" x14ac:dyDescent="0.3">
      <c r="A2747" t="s">
        <v>5221</v>
      </c>
    </row>
    <row r="2748" spans="1:1" x14ac:dyDescent="0.3">
      <c r="A2748" t="s">
        <v>5221</v>
      </c>
    </row>
    <row r="2749" spans="1:1" x14ac:dyDescent="0.3">
      <c r="A2749" t="s">
        <v>5221</v>
      </c>
    </row>
    <row r="2750" spans="1:1" x14ac:dyDescent="0.3">
      <c r="A2750" t="s">
        <v>5221</v>
      </c>
    </row>
    <row r="2751" spans="1:1" x14ac:dyDescent="0.3">
      <c r="A2751" t="s">
        <v>5221</v>
      </c>
    </row>
    <row r="2752" spans="1:1" x14ac:dyDescent="0.3">
      <c r="A2752" t="s">
        <v>5221</v>
      </c>
    </row>
    <row r="2753" spans="1:1" x14ac:dyDescent="0.3">
      <c r="A2753" t="s">
        <v>5354</v>
      </c>
    </row>
    <row r="2754" spans="1:1" x14ac:dyDescent="0.3">
      <c r="A2754" t="s">
        <v>5324</v>
      </c>
    </row>
    <row r="2755" spans="1:1" x14ac:dyDescent="0.3">
      <c r="A2755" t="s">
        <v>5324</v>
      </c>
    </row>
    <row r="2756" spans="1:1" x14ac:dyDescent="0.3">
      <c r="A2756" t="s">
        <v>5324</v>
      </c>
    </row>
    <row r="2757" spans="1:1" x14ac:dyDescent="0.3">
      <c r="A2757" t="s">
        <v>5324</v>
      </c>
    </row>
    <row r="2758" spans="1:1" x14ac:dyDescent="0.3">
      <c r="A2758" t="s">
        <v>909</v>
      </c>
    </row>
    <row r="2759" spans="1:1" x14ac:dyDescent="0.3">
      <c r="A2759" t="s">
        <v>5105</v>
      </c>
    </row>
    <row r="2760" spans="1:1" x14ac:dyDescent="0.3">
      <c r="A2760" t="s">
        <v>4971</v>
      </c>
    </row>
    <row r="2761" spans="1:1" x14ac:dyDescent="0.3">
      <c r="A2761" t="s">
        <v>4971</v>
      </c>
    </row>
    <row r="2762" spans="1:1" x14ac:dyDescent="0.3">
      <c r="A2762" t="s">
        <v>4971</v>
      </c>
    </row>
    <row r="2763" spans="1:1" x14ac:dyDescent="0.3">
      <c r="A2763" t="s">
        <v>4971</v>
      </c>
    </row>
    <row r="2764" spans="1:1" x14ac:dyDescent="0.3">
      <c r="A2764" t="s">
        <v>4971</v>
      </c>
    </row>
    <row r="2765" spans="1:1" x14ac:dyDescent="0.3">
      <c r="A2765" t="s">
        <v>4971</v>
      </c>
    </row>
    <row r="2766" spans="1:1" x14ac:dyDescent="0.3">
      <c r="A2766" t="s">
        <v>4971</v>
      </c>
    </row>
    <row r="2767" spans="1:1" x14ac:dyDescent="0.3">
      <c r="A2767" t="s">
        <v>4971</v>
      </c>
    </row>
    <row r="2768" spans="1:1" x14ac:dyDescent="0.3">
      <c r="A2768" t="s">
        <v>4971</v>
      </c>
    </row>
    <row r="2769" spans="1:1" x14ac:dyDescent="0.3">
      <c r="A2769" t="s">
        <v>4971</v>
      </c>
    </row>
    <row r="2770" spans="1:1" x14ac:dyDescent="0.3">
      <c r="A2770" t="s">
        <v>4971</v>
      </c>
    </row>
    <row r="2771" spans="1:1" x14ac:dyDescent="0.3">
      <c r="A2771" t="s">
        <v>4971</v>
      </c>
    </row>
    <row r="2772" spans="1:1" x14ac:dyDescent="0.3">
      <c r="A2772" t="s">
        <v>4971</v>
      </c>
    </row>
    <row r="2773" spans="1:1" x14ac:dyDescent="0.3">
      <c r="A2773" t="s">
        <v>5077</v>
      </c>
    </row>
    <row r="2774" spans="1:1" x14ac:dyDescent="0.3">
      <c r="A2774" t="s">
        <v>5077</v>
      </c>
    </row>
    <row r="2775" spans="1:1" x14ac:dyDescent="0.3">
      <c r="A2775" t="s">
        <v>4966</v>
      </c>
    </row>
    <row r="2776" spans="1:1" x14ac:dyDescent="0.3">
      <c r="A2776" t="s">
        <v>5126</v>
      </c>
    </row>
    <row r="2777" spans="1:1" x14ac:dyDescent="0.3">
      <c r="A2777" t="s">
        <v>5241</v>
      </c>
    </row>
    <row r="2778" spans="1:1" x14ac:dyDescent="0.3">
      <c r="A2778" t="s">
        <v>5267</v>
      </c>
    </row>
    <row r="2779" spans="1:1" x14ac:dyDescent="0.3">
      <c r="A2779" t="s">
        <v>5017</v>
      </c>
    </row>
    <row r="2780" spans="1:1" x14ac:dyDescent="0.3">
      <c r="A2780" t="s">
        <v>5164</v>
      </c>
    </row>
    <row r="2781" spans="1:1" x14ac:dyDescent="0.3">
      <c r="A2781" t="s">
        <v>5061</v>
      </c>
    </row>
    <row r="2782" spans="1:1" x14ac:dyDescent="0.3">
      <c r="A2782" t="s">
        <v>5128</v>
      </c>
    </row>
    <row r="2783" spans="1:1" x14ac:dyDescent="0.3">
      <c r="A2783" t="s">
        <v>5128</v>
      </c>
    </row>
    <row r="2784" spans="1:1" x14ac:dyDescent="0.3">
      <c r="A2784" t="s">
        <v>5128</v>
      </c>
    </row>
    <row r="2785" spans="1:1" x14ac:dyDescent="0.3">
      <c r="A2785" t="s">
        <v>5128</v>
      </c>
    </row>
    <row r="2786" spans="1:1" x14ac:dyDescent="0.3">
      <c r="A2786" t="s">
        <v>5128</v>
      </c>
    </row>
    <row r="2787" spans="1:1" x14ac:dyDescent="0.3">
      <c r="A2787" t="s">
        <v>5128</v>
      </c>
    </row>
    <row r="2788" spans="1:1" x14ac:dyDescent="0.3">
      <c r="A2788" t="s">
        <v>5128</v>
      </c>
    </row>
    <row r="2789" spans="1:1" x14ac:dyDescent="0.3">
      <c r="A2789" t="s">
        <v>5128</v>
      </c>
    </row>
    <row r="2790" spans="1:1" x14ac:dyDescent="0.3">
      <c r="A2790" t="s">
        <v>5128</v>
      </c>
    </row>
    <row r="2791" spans="1:1" x14ac:dyDescent="0.3">
      <c r="A2791" t="s">
        <v>5128</v>
      </c>
    </row>
    <row r="2792" spans="1:1" x14ac:dyDescent="0.3">
      <c r="A2792" t="s">
        <v>5128</v>
      </c>
    </row>
    <row r="2793" spans="1:1" x14ac:dyDescent="0.3">
      <c r="A2793" t="s">
        <v>5128</v>
      </c>
    </row>
    <row r="2794" spans="1:1" x14ac:dyDescent="0.3">
      <c r="A2794" t="s">
        <v>5128</v>
      </c>
    </row>
    <row r="2795" spans="1:1" x14ac:dyDescent="0.3">
      <c r="A2795" t="s">
        <v>5128</v>
      </c>
    </row>
    <row r="2796" spans="1:1" x14ac:dyDescent="0.3">
      <c r="A2796" t="s">
        <v>5128</v>
      </c>
    </row>
    <row r="2797" spans="1:1" x14ac:dyDescent="0.3">
      <c r="A2797" t="s">
        <v>5128</v>
      </c>
    </row>
    <row r="2798" spans="1:1" x14ac:dyDescent="0.3">
      <c r="A2798" t="s">
        <v>5128</v>
      </c>
    </row>
    <row r="2799" spans="1:1" x14ac:dyDescent="0.3">
      <c r="A2799" t="s">
        <v>5128</v>
      </c>
    </row>
    <row r="2800" spans="1:1" x14ac:dyDescent="0.3">
      <c r="A2800" t="s">
        <v>5128</v>
      </c>
    </row>
    <row r="2801" spans="1:1" x14ac:dyDescent="0.3">
      <c r="A2801" t="s">
        <v>5128</v>
      </c>
    </row>
    <row r="2802" spans="1:1" x14ac:dyDescent="0.3">
      <c r="A2802" t="s">
        <v>5128</v>
      </c>
    </row>
    <row r="2803" spans="1:1" x14ac:dyDescent="0.3">
      <c r="A2803" t="s">
        <v>5128</v>
      </c>
    </row>
    <row r="2804" spans="1:1" x14ac:dyDescent="0.3">
      <c r="A2804" t="s">
        <v>5128</v>
      </c>
    </row>
    <row r="2805" spans="1:1" x14ac:dyDescent="0.3">
      <c r="A2805" t="s">
        <v>5128</v>
      </c>
    </row>
    <row r="2806" spans="1:1" x14ac:dyDescent="0.3">
      <c r="A2806" t="s">
        <v>5128</v>
      </c>
    </row>
    <row r="2807" spans="1:1" x14ac:dyDescent="0.3">
      <c r="A2807" t="s">
        <v>5128</v>
      </c>
    </row>
    <row r="2808" spans="1:1" x14ac:dyDescent="0.3">
      <c r="A2808" t="s">
        <v>5128</v>
      </c>
    </row>
    <row r="2809" spans="1:1" x14ac:dyDescent="0.3">
      <c r="A2809" t="s">
        <v>5128</v>
      </c>
    </row>
    <row r="2810" spans="1:1" x14ac:dyDescent="0.3">
      <c r="A2810" t="s">
        <v>5128</v>
      </c>
    </row>
    <row r="2811" spans="1:1" x14ac:dyDescent="0.3">
      <c r="A2811" t="s">
        <v>5128</v>
      </c>
    </row>
    <row r="2812" spans="1:1" x14ac:dyDescent="0.3">
      <c r="A2812" t="s">
        <v>5128</v>
      </c>
    </row>
    <row r="2813" spans="1:1" x14ac:dyDescent="0.3">
      <c r="A2813" t="s">
        <v>5128</v>
      </c>
    </row>
    <row r="2814" spans="1:1" x14ac:dyDescent="0.3">
      <c r="A2814" t="s">
        <v>5128</v>
      </c>
    </row>
    <row r="2815" spans="1:1" x14ac:dyDescent="0.3">
      <c r="A2815" t="s">
        <v>5128</v>
      </c>
    </row>
    <row r="2816" spans="1:1" x14ac:dyDescent="0.3">
      <c r="A2816" t="s">
        <v>5118</v>
      </c>
    </row>
    <row r="2817" spans="1:1" x14ac:dyDescent="0.3">
      <c r="A2817" t="s">
        <v>5118</v>
      </c>
    </row>
    <row r="2818" spans="1:1" x14ac:dyDescent="0.3">
      <c r="A2818" t="s">
        <v>5118</v>
      </c>
    </row>
    <row r="2819" spans="1:1" x14ac:dyDescent="0.3">
      <c r="A2819" t="s">
        <v>5118</v>
      </c>
    </row>
    <row r="2820" spans="1:1" x14ac:dyDescent="0.3">
      <c r="A2820" t="s">
        <v>5118</v>
      </c>
    </row>
    <row r="2821" spans="1:1" x14ac:dyDescent="0.3">
      <c r="A2821" t="s">
        <v>5118</v>
      </c>
    </row>
    <row r="2822" spans="1:1" x14ac:dyDescent="0.3">
      <c r="A2822" t="s">
        <v>5118</v>
      </c>
    </row>
    <row r="2823" spans="1:1" x14ac:dyDescent="0.3">
      <c r="A2823" t="s">
        <v>5118</v>
      </c>
    </row>
    <row r="2824" spans="1:1" x14ac:dyDescent="0.3">
      <c r="A2824" t="s">
        <v>5118</v>
      </c>
    </row>
    <row r="2825" spans="1:1" x14ac:dyDescent="0.3">
      <c r="A2825" t="s">
        <v>5257</v>
      </c>
    </row>
    <row r="2826" spans="1:1" x14ac:dyDescent="0.3">
      <c r="A2826" t="s">
        <v>5257</v>
      </c>
    </row>
    <row r="2827" spans="1:1" x14ac:dyDescent="0.3">
      <c r="A2827" t="s">
        <v>5072</v>
      </c>
    </row>
    <row r="2828" spans="1:1" x14ac:dyDescent="0.3">
      <c r="A2828" t="s">
        <v>5072</v>
      </c>
    </row>
    <row r="2829" spans="1:1" x14ac:dyDescent="0.3">
      <c r="A2829" t="s">
        <v>5072</v>
      </c>
    </row>
    <row r="2830" spans="1:1" x14ac:dyDescent="0.3">
      <c r="A2830" t="s">
        <v>5095</v>
      </c>
    </row>
    <row r="2831" spans="1:1" x14ac:dyDescent="0.3">
      <c r="A2831" t="s">
        <v>5029</v>
      </c>
    </row>
    <row r="2832" spans="1:1" x14ac:dyDescent="0.3">
      <c r="A2832" t="s">
        <v>5029</v>
      </c>
    </row>
    <row r="2833" spans="1:1" x14ac:dyDescent="0.3">
      <c r="A2833" t="s">
        <v>5029</v>
      </c>
    </row>
    <row r="2834" spans="1:1" x14ac:dyDescent="0.3">
      <c r="A2834" t="s">
        <v>5029</v>
      </c>
    </row>
    <row r="2835" spans="1:1" x14ac:dyDescent="0.3">
      <c r="A2835" t="s">
        <v>5029</v>
      </c>
    </row>
    <row r="2836" spans="1:1" x14ac:dyDescent="0.3">
      <c r="A2836" t="s">
        <v>4976</v>
      </c>
    </row>
    <row r="2837" spans="1:1" x14ac:dyDescent="0.3">
      <c r="A2837" t="s">
        <v>4976</v>
      </c>
    </row>
    <row r="2838" spans="1:1" x14ac:dyDescent="0.3">
      <c r="A2838" t="s">
        <v>4976</v>
      </c>
    </row>
    <row r="2839" spans="1:1" x14ac:dyDescent="0.3">
      <c r="A2839" t="s">
        <v>4976</v>
      </c>
    </row>
    <row r="2840" spans="1:1" x14ac:dyDescent="0.3">
      <c r="A2840" t="s">
        <v>5023</v>
      </c>
    </row>
    <row r="2841" spans="1:1" x14ac:dyDescent="0.3">
      <c r="A2841" t="s">
        <v>5023</v>
      </c>
    </row>
    <row r="2842" spans="1:1" x14ac:dyDescent="0.3">
      <c r="A2842" t="s">
        <v>5023</v>
      </c>
    </row>
    <row r="2843" spans="1:1" x14ac:dyDescent="0.3">
      <c r="A2843" t="s">
        <v>5023</v>
      </c>
    </row>
    <row r="2844" spans="1:1" x14ac:dyDescent="0.3">
      <c r="A2844" t="s">
        <v>5023</v>
      </c>
    </row>
    <row r="2845" spans="1:1" x14ac:dyDescent="0.3">
      <c r="A2845" t="s">
        <v>5081</v>
      </c>
    </row>
    <row r="2846" spans="1:1" x14ac:dyDescent="0.3">
      <c r="A2846" t="s">
        <v>5025</v>
      </c>
    </row>
    <row r="2847" spans="1:1" x14ac:dyDescent="0.3">
      <c r="A2847" t="s">
        <v>5025</v>
      </c>
    </row>
    <row r="2848" spans="1:1" x14ac:dyDescent="0.3">
      <c r="A2848" t="s">
        <v>5025</v>
      </c>
    </row>
    <row r="2849" spans="1:1" x14ac:dyDescent="0.3">
      <c r="A2849" t="s">
        <v>5025</v>
      </c>
    </row>
    <row r="2850" spans="1:1" x14ac:dyDescent="0.3">
      <c r="A2850" t="s">
        <v>5025</v>
      </c>
    </row>
    <row r="2851" spans="1:1" x14ac:dyDescent="0.3">
      <c r="A2851" t="s">
        <v>5025</v>
      </c>
    </row>
    <row r="2852" spans="1:1" x14ac:dyDescent="0.3">
      <c r="A2852" t="s">
        <v>5025</v>
      </c>
    </row>
    <row r="2853" spans="1:1" x14ac:dyDescent="0.3">
      <c r="A2853" t="s">
        <v>5025</v>
      </c>
    </row>
    <row r="2854" spans="1:1" x14ac:dyDescent="0.3">
      <c r="A2854" t="s">
        <v>5025</v>
      </c>
    </row>
    <row r="2855" spans="1:1" x14ac:dyDescent="0.3">
      <c r="A2855" t="s">
        <v>5366</v>
      </c>
    </row>
    <row r="2856" spans="1:1" x14ac:dyDescent="0.3">
      <c r="A2856" t="s">
        <v>5057</v>
      </c>
    </row>
    <row r="2857" spans="1:1" x14ac:dyDescent="0.3">
      <c r="A2857" t="s">
        <v>5057</v>
      </c>
    </row>
    <row r="2858" spans="1:1" x14ac:dyDescent="0.3">
      <c r="A2858" t="s">
        <v>5057</v>
      </c>
    </row>
    <row r="2859" spans="1:1" x14ac:dyDescent="0.3">
      <c r="A2859" t="s">
        <v>5057</v>
      </c>
    </row>
    <row r="2860" spans="1:1" x14ac:dyDescent="0.3">
      <c r="A2860" t="s">
        <v>5057</v>
      </c>
    </row>
    <row r="2861" spans="1:1" x14ac:dyDescent="0.3">
      <c r="A2861" t="s">
        <v>5057</v>
      </c>
    </row>
    <row r="2862" spans="1:1" x14ac:dyDescent="0.3">
      <c r="A2862" t="s">
        <v>5057</v>
      </c>
    </row>
    <row r="2863" spans="1:1" x14ac:dyDescent="0.3">
      <c r="A2863" t="s">
        <v>5057</v>
      </c>
    </row>
    <row r="2864" spans="1:1" x14ac:dyDescent="0.3">
      <c r="A2864" t="s">
        <v>5057</v>
      </c>
    </row>
    <row r="2865" spans="1:1" x14ac:dyDescent="0.3">
      <c r="A2865" t="s">
        <v>5057</v>
      </c>
    </row>
    <row r="2866" spans="1:1" x14ac:dyDescent="0.3">
      <c r="A2866" t="s">
        <v>5057</v>
      </c>
    </row>
    <row r="2867" spans="1:1" x14ac:dyDescent="0.3">
      <c r="A2867" t="s">
        <v>5057</v>
      </c>
    </row>
    <row r="2868" spans="1:1" x14ac:dyDescent="0.3">
      <c r="A2868" t="s">
        <v>5057</v>
      </c>
    </row>
    <row r="2869" spans="1:1" x14ac:dyDescent="0.3">
      <c r="A2869" t="s">
        <v>5382</v>
      </c>
    </row>
    <row r="2870" spans="1:1" x14ac:dyDescent="0.3">
      <c r="A2870" t="s">
        <v>5058</v>
      </c>
    </row>
    <row r="2871" spans="1:1" x14ac:dyDescent="0.3">
      <c r="A2871" t="s">
        <v>5325</v>
      </c>
    </row>
    <row r="2872" spans="1:1" x14ac:dyDescent="0.3">
      <c r="A2872" t="s">
        <v>5187</v>
      </c>
    </row>
    <row r="2873" spans="1:1" x14ac:dyDescent="0.3">
      <c r="A2873" t="s">
        <v>5187</v>
      </c>
    </row>
    <row r="2874" spans="1:1" x14ac:dyDescent="0.3">
      <c r="A2874" t="s">
        <v>5176</v>
      </c>
    </row>
    <row r="2875" spans="1:1" x14ac:dyDescent="0.3">
      <c r="A2875" t="s">
        <v>5176</v>
      </c>
    </row>
    <row r="2876" spans="1:1" x14ac:dyDescent="0.3">
      <c r="A2876" t="s">
        <v>5138</v>
      </c>
    </row>
    <row r="2877" spans="1:1" x14ac:dyDescent="0.3">
      <c r="A2877" t="s">
        <v>5138</v>
      </c>
    </row>
    <row r="2878" spans="1:1" x14ac:dyDescent="0.3">
      <c r="A2878" t="s">
        <v>5138</v>
      </c>
    </row>
    <row r="2879" spans="1:1" x14ac:dyDescent="0.3">
      <c r="A2879" t="s">
        <v>5138</v>
      </c>
    </row>
    <row r="2880" spans="1:1" x14ac:dyDescent="0.3">
      <c r="A2880" t="s">
        <v>5138</v>
      </c>
    </row>
    <row r="2881" spans="1:1" x14ac:dyDescent="0.3">
      <c r="A2881" t="s">
        <v>5186</v>
      </c>
    </row>
    <row r="2882" spans="1:1" x14ac:dyDescent="0.3">
      <c r="A2882" t="s">
        <v>5301</v>
      </c>
    </row>
    <row r="2883" spans="1:1" x14ac:dyDescent="0.3">
      <c r="A2883" t="s">
        <v>5301</v>
      </c>
    </row>
    <row r="2884" spans="1:1" x14ac:dyDescent="0.3">
      <c r="A2884" t="s">
        <v>5301</v>
      </c>
    </row>
    <row r="2885" spans="1:1" x14ac:dyDescent="0.3">
      <c r="A2885" t="s">
        <v>5301</v>
      </c>
    </row>
    <row r="2886" spans="1:1" x14ac:dyDescent="0.3">
      <c r="A2886" t="s">
        <v>4990</v>
      </c>
    </row>
    <row r="2887" spans="1:1" x14ac:dyDescent="0.3">
      <c r="A2887" t="s">
        <v>4964</v>
      </c>
    </row>
    <row r="2888" spans="1:1" x14ac:dyDescent="0.3">
      <c r="A2888" t="s">
        <v>4964</v>
      </c>
    </row>
    <row r="2889" spans="1:1" x14ac:dyDescent="0.3">
      <c r="A2889" t="s">
        <v>4964</v>
      </c>
    </row>
    <row r="2890" spans="1:1" x14ac:dyDescent="0.3">
      <c r="A2890" t="s">
        <v>4964</v>
      </c>
    </row>
    <row r="2891" spans="1:1" x14ac:dyDescent="0.3">
      <c r="A2891" t="s">
        <v>4964</v>
      </c>
    </row>
    <row r="2892" spans="1:1" x14ac:dyDescent="0.3">
      <c r="A2892" t="s">
        <v>4964</v>
      </c>
    </row>
    <row r="2893" spans="1:1" x14ac:dyDescent="0.3">
      <c r="A2893" t="s">
        <v>4964</v>
      </c>
    </row>
    <row r="2894" spans="1:1" x14ac:dyDescent="0.3">
      <c r="A2894" t="s">
        <v>4964</v>
      </c>
    </row>
    <row r="2895" spans="1:1" x14ac:dyDescent="0.3">
      <c r="A2895" t="s">
        <v>4964</v>
      </c>
    </row>
    <row r="2896" spans="1:1" x14ac:dyDescent="0.3">
      <c r="A2896" t="s">
        <v>4964</v>
      </c>
    </row>
    <row r="2897" spans="1:1" x14ac:dyDescent="0.3">
      <c r="A2897" t="s">
        <v>4964</v>
      </c>
    </row>
    <row r="2898" spans="1:1" x14ac:dyDescent="0.3">
      <c r="A2898" t="s">
        <v>4964</v>
      </c>
    </row>
    <row r="2899" spans="1:1" x14ac:dyDescent="0.3">
      <c r="A2899" t="s">
        <v>4964</v>
      </c>
    </row>
    <row r="2900" spans="1:1" x14ac:dyDescent="0.3">
      <c r="A2900" t="s">
        <v>5122</v>
      </c>
    </row>
    <row r="2901" spans="1:1" x14ac:dyDescent="0.3">
      <c r="A2901" t="s">
        <v>5122</v>
      </c>
    </row>
    <row r="2902" spans="1:1" x14ac:dyDescent="0.3">
      <c r="A2902" t="s">
        <v>5122</v>
      </c>
    </row>
    <row r="2903" spans="1:1" x14ac:dyDescent="0.3">
      <c r="A2903" t="s">
        <v>5236</v>
      </c>
    </row>
    <row r="2904" spans="1:1" x14ac:dyDescent="0.3">
      <c r="A2904" t="s">
        <v>5236</v>
      </c>
    </row>
    <row r="2905" spans="1:1" x14ac:dyDescent="0.3">
      <c r="A2905" t="s">
        <v>5031</v>
      </c>
    </row>
    <row r="2906" spans="1:1" x14ac:dyDescent="0.3">
      <c r="A2906" t="s">
        <v>5031</v>
      </c>
    </row>
    <row r="2907" spans="1:1" x14ac:dyDescent="0.3">
      <c r="A2907" t="s">
        <v>5031</v>
      </c>
    </row>
    <row r="2908" spans="1:1" x14ac:dyDescent="0.3">
      <c r="A2908" t="s">
        <v>5031</v>
      </c>
    </row>
    <row r="2909" spans="1:1" x14ac:dyDescent="0.3">
      <c r="A2909" t="s">
        <v>5031</v>
      </c>
    </row>
    <row r="2910" spans="1:1" x14ac:dyDescent="0.3">
      <c r="A2910" t="s">
        <v>5031</v>
      </c>
    </row>
    <row r="2911" spans="1:1" x14ac:dyDescent="0.3">
      <c r="A2911" t="s">
        <v>5031</v>
      </c>
    </row>
    <row r="2912" spans="1:1" x14ac:dyDescent="0.3">
      <c r="A2912" t="s">
        <v>5031</v>
      </c>
    </row>
    <row r="2913" spans="1:1" x14ac:dyDescent="0.3">
      <c r="A2913" t="s">
        <v>5031</v>
      </c>
    </row>
    <row r="2914" spans="1:1" x14ac:dyDescent="0.3">
      <c r="A2914" t="s">
        <v>5031</v>
      </c>
    </row>
    <row r="2915" spans="1:1" x14ac:dyDescent="0.3">
      <c r="A2915" t="s">
        <v>5031</v>
      </c>
    </row>
    <row r="2916" spans="1:1" x14ac:dyDescent="0.3">
      <c r="A2916" t="s">
        <v>5031</v>
      </c>
    </row>
    <row r="2917" spans="1:1" x14ac:dyDescent="0.3">
      <c r="A2917" t="s">
        <v>5031</v>
      </c>
    </row>
    <row r="2918" spans="1:1" x14ac:dyDescent="0.3">
      <c r="A2918" t="s">
        <v>5031</v>
      </c>
    </row>
    <row r="2919" spans="1:1" x14ac:dyDescent="0.3">
      <c r="A2919" t="s">
        <v>5031</v>
      </c>
    </row>
    <row r="2920" spans="1:1" x14ac:dyDescent="0.3">
      <c r="A2920" t="s">
        <v>5031</v>
      </c>
    </row>
    <row r="2921" spans="1:1" x14ac:dyDescent="0.3">
      <c r="A2921" t="s">
        <v>5031</v>
      </c>
    </row>
    <row r="2922" spans="1:1" x14ac:dyDescent="0.3">
      <c r="A2922" t="s">
        <v>5031</v>
      </c>
    </row>
    <row r="2923" spans="1:1" x14ac:dyDescent="0.3">
      <c r="A2923" t="s">
        <v>5031</v>
      </c>
    </row>
    <row r="2924" spans="1:1" x14ac:dyDescent="0.3">
      <c r="A2924" t="s">
        <v>5031</v>
      </c>
    </row>
    <row r="2925" spans="1:1" x14ac:dyDescent="0.3">
      <c r="A2925" t="s">
        <v>5031</v>
      </c>
    </row>
    <row r="2926" spans="1:1" x14ac:dyDescent="0.3">
      <c r="A2926" t="s">
        <v>5031</v>
      </c>
    </row>
    <row r="2927" spans="1:1" x14ac:dyDescent="0.3">
      <c r="A2927" t="s">
        <v>5031</v>
      </c>
    </row>
    <row r="2928" spans="1:1" x14ac:dyDescent="0.3">
      <c r="A2928" t="s">
        <v>5031</v>
      </c>
    </row>
    <row r="2929" spans="1:1" x14ac:dyDescent="0.3">
      <c r="A2929" t="s">
        <v>5031</v>
      </c>
    </row>
    <row r="2930" spans="1:1" x14ac:dyDescent="0.3">
      <c r="A2930" t="s">
        <v>5031</v>
      </c>
    </row>
    <row r="2931" spans="1:1" x14ac:dyDescent="0.3">
      <c r="A2931" t="s">
        <v>5031</v>
      </c>
    </row>
    <row r="2932" spans="1:1" x14ac:dyDescent="0.3">
      <c r="A2932" t="s">
        <v>5031</v>
      </c>
    </row>
    <row r="2933" spans="1:1" x14ac:dyDescent="0.3">
      <c r="A2933" t="s">
        <v>5031</v>
      </c>
    </row>
    <row r="2934" spans="1:1" x14ac:dyDescent="0.3">
      <c r="A2934" t="s">
        <v>5037</v>
      </c>
    </row>
    <row r="2935" spans="1:1" x14ac:dyDescent="0.3">
      <c r="A2935" t="s">
        <v>5037</v>
      </c>
    </row>
    <row r="2936" spans="1:1" x14ac:dyDescent="0.3">
      <c r="A2936" t="s">
        <v>5307</v>
      </c>
    </row>
    <row r="2937" spans="1:1" x14ac:dyDescent="0.3">
      <c r="A2937" t="s">
        <v>5154</v>
      </c>
    </row>
    <row r="2938" spans="1:1" x14ac:dyDescent="0.3">
      <c r="A2938" t="s">
        <v>5154</v>
      </c>
    </row>
    <row r="2939" spans="1:1" x14ac:dyDescent="0.3">
      <c r="A2939" t="s">
        <v>5154</v>
      </c>
    </row>
    <row r="2940" spans="1:1" x14ac:dyDescent="0.3">
      <c r="A2940" t="s">
        <v>5156</v>
      </c>
    </row>
    <row r="2941" spans="1:1" x14ac:dyDescent="0.3">
      <c r="A2941" t="s">
        <v>5156</v>
      </c>
    </row>
    <row r="2942" spans="1:1" x14ac:dyDescent="0.3">
      <c r="A2942" t="s">
        <v>5199</v>
      </c>
    </row>
    <row r="2943" spans="1:1" x14ac:dyDescent="0.3">
      <c r="A2943" t="s">
        <v>5199</v>
      </c>
    </row>
    <row r="2944" spans="1:1" x14ac:dyDescent="0.3">
      <c r="A2944" t="s">
        <v>5199</v>
      </c>
    </row>
    <row r="2945" spans="1:1" x14ac:dyDescent="0.3">
      <c r="A2945" t="s">
        <v>5199</v>
      </c>
    </row>
    <row r="2946" spans="1:1" x14ac:dyDescent="0.3">
      <c r="A2946" t="s">
        <v>5199</v>
      </c>
    </row>
    <row r="2947" spans="1:1" x14ac:dyDescent="0.3">
      <c r="A2947" t="s">
        <v>5199</v>
      </c>
    </row>
    <row r="2948" spans="1:1" x14ac:dyDescent="0.3">
      <c r="A2948" t="s">
        <v>5263</v>
      </c>
    </row>
    <row r="2949" spans="1:1" x14ac:dyDescent="0.3">
      <c r="A2949" t="s">
        <v>5263</v>
      </c>
    </row>
    <row r="2950" spans="1:1" x14ac:dyDescent="0.3">
      <c r="A2950" t="s">
        <v>5263</v>
      </c>
    </row>
    <row r="2951" spans="1:1" x14ac:dyDescent="0.3">
      <c r="A2951" t="s">
        <v>5263</v>
      </c>
    </row>
    <row r="2952" spans="1:1" x14ac:dyDescent="0.3">
      <c r="A2952" t="s">
        <v>5088</v>
      </c>
    </row>
    <row r="2953" spans="1:1" x14ac:dyDescent="0.3">
      <c r="A2953" t="s">
        <v>5088</v>
      </c>
    </row>
    <row r="2954" spans="1:1" x14ac:dyDescent="0.3">
      <c r="A2954" t="s">
        <v>5088</v>
      </c>
    </row>
    <row r="2955" spans="1:1" x14ac:dyDescent="0.3">
      <c r="A2955" t="s">
        <v>5132</v>
      </c>
    </row>
    <row r="2956" spans="1:1" x14ac:dyDescent="0.3">
      <c r="A2956" t="s">
        <v>5132</v>
      </c>
    </row>
    <row r="2957" spans="1:1" x14ac:dyDescent="0.3">
      <c r="A2957" t="s">
        <v>5132</v>
      </c>
    </row>
    <row r="2958" spans="1:1" x14ac:dyDescent="0.3">
      <c r="A2958" t="s">
        <v>5132</v>
      </c>
    </row>
    <row r="2959" spans="1:1" x14ac:dyDescent="0.3">
      <c r="A2959" t="s">
        <v>5132</v>
      </c>
    </row>
    <row r="2960" spans="1:1" x14ac:dyDescent="0.3">
      <c r="A2960" t="s">
        <v>5132</v>
      </c>
    </row>
    <row r="2961" spans="1:1" x14ac:dyDescent="0.3">
      <c r="A2961" t="s">
        <v>5132</v>
      </c>
    </row>
    <row r="2962" spans="1:1" x14ac:dyDescent="0.3">
      <c r="A2962" t="s">
        <v>5387</v>
      </c>
    </row>
    <row r="2963" spans="1:1" x14ac:dyDescent="0.3">
      <c r="A2963" t="s">
        <v>5387</v>
      </c>
    </row>
    <row r="2964" spans="1:1" x14ac:dyDescent="0.3">
      <c r="A2964" t="s">
        <v>5387</v>
      </c>
    </row>
    <row r="2965" spans="1:1" x14ac:dyDescent="0.3">
      <c r="A2965" t="s">
        <v>5387</v>
      </c>
    </row>
    <row r="2966" spans="1:1" x14ac:dyDescent="0.3">
      <c r="A2966" t="s">
        <v>5387</v>
      </c>
    </row>
    <row r="2967" spans="1:1" x14ac:dyDescent="0.3">
      <c r="A2967" t="s">
        <v>5387</v>
      </c>
    </row>
    <row r="2968" spans="1:1" x14ac:dyDescent="0.3">
      <c r="A2968" t="s">
        <v>5387</v>
      </c>
    </row>
    <row r="2969" spans="1:1" x14ac:dyDescent="0.3">
      <c r="A2969" t="s">
        <v>5387</v>
      </c>
    </row>
    <row r="2970" spans="1:1" x14ac:dyDescent="0.3">
      <c r="A2970" t="s">
        <v>5387</v>
      </c>
    </row>
    <row r="2971" spans="1:1" x14ac:dyDescent="0.3">
      <c r="A2971" t="s">
        <v>5387</v>
      </c>
    </row>
    <row r="2972" spans="1:1" x14ac:dyDescent="0.3">
      <c r="A2972" t="s">
        <v>5387</v>
      </c>
    </row>
    <row r="2973" spans="1:1" x14ac:dyDescent="0.3">
      <c r="A2973" t="s">
        <v>5104</v>
      </c>
    </row>
    <row r="2974" spans="1:1" x14ac:dyDescent="0.3">
      <c r="A2974" t="s">
        <v>5104</v>
      </c>
    </row>
    <row r="2975" spans="1:1" x14ac:dyDescent="0.3">
      <c r="A2975" t="s">
        <v>5104</v>
      </c>
    </row>
    <row r="2976" spans="1:1" x14ac:dyDescent="0.3">
      <c r="A2976" t="s">
        <v>5313</v>
      </c>
    </row>
    <row r="2977" spans="1:1" x14ac:dyDescent="0.3">
      <c r="A2977" t="s">
        <v>5313</v>
      </c>
    </row>
    <row r="2978" spans="1:1" x14ac:dyDescent="0.3">
      <c r="A2978" t="s">
        <v>5313</v>
      </c>
    </row>
    <row r="2979" spans="1:1" x14ac:dyDescent="0.3">
      <c r="A2979" t="s">
        <v>5313</v>
      </c>
    </row>
    <row r="2980" spans="1:1" x14ac:dyDescent="0.3">
      <c r="A2980" t="s">
        <v>5313</v>
      </c>
    </row>
    <row r="2981" spans="1:1" x14ac:dyDescent="0.3">
      <c r="A2981" t="s">
        <v>5313</v>
      </c>
    </row>
  </sheetData>
  <sortState xmlns:xlrd2="http://schemas.microsoft.com/office/spreadsheetml/2017/richdata2" ref="F1:G3523">
    <sortCondition descending="1" ref="G1:G35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3A22-3F32-46A7-8E67-7ABE5F460B8F}">
  <dimension ref="A1:G2981"/>
  <sheetViews>
    <sheetView workbookViewId="0">
      <selection activeCell="G4" sqref="G3:G4"/>
    </sheetView>
  </sheetViews>
  <sheetFormatPr baseColWidth="10" defaultRowHeight="14.4" x14ac:dyDescent="0.3"/>
  <sheetData>
    <row r="1" spans="1:7" x14ac:dyDescent="0.3">
      <c r="A1" s="1">
        <v>4</v>
      </c>
      <c r="C1" cm="1">
        <f t="array" ref="C1:C5">_xlfn.UNIQUE(A1:A2981)</f>
        <v>4</v>
      </c>
      <c r="D1">
        <f>COUNTIF(A$1:A$2981,C1)</f>
        <v>2378</v>
      </c>
      <c r="E1" s="48">
        <f>D1/D$6*100</f>
        <v>79.771888627977191</v>
      </c>
    </row>
    <row r="2" spans="1:7" x14ac:dyDescent="0.3">
      <c r="A2" s="2">
        <v>4</v>
      </c>
      <c r="C2">
        <v>5</v>
      </c>
      <c r="D2">
        <f t="shared" ref="D2:D5" si="0">COUNTIF(A$1:A$2981,C2)</f>
        <v>31</v>
      </c>
      <c r="E2" s="48">
        <f t="shared" ref="E2:E5" si="1">D2/D$6*100</f>
        <v>1.0399194901039921</v>
      </c>
    </row>
    <row r="3" spans="1:7" x14ac:dyDescent="0.3">
      <c r="A3" s="1">
        <v>4</v>
      </c>
      <c r="C3">
        <v>6</v>
      </c>
      <c r="D3">
        <f t="shared" si="0"/>
        <v>550</v>
      </c>
      <c r="E3" s="48">
        <f t="shared" si="1"/>
        <v>18.450184501845019</v>
      </c>
      <c r="G3" s="48"/>
    </row>
    <row r="4" spans="1:7" x14ac:dyDescent="0.3">
      <c r="A4" s="2">
        <v>4</v>
      </c>
      <c r="C4">
        <v>2</v>
      </c>
      <c r="D4">
        <f t="shared" si="0"/>
        <v>13</v>
      </c>
      <c r="E4" s="48">
        <f t="shared" si="1"/>
        <v>0.43609527004360948</v>
      </c>
      <c r="G4" s="48"/>
    </row>
    <row r="5" spans="1:7" x14ac:dyDescent="0.3">
      <c r="A5" s="1">
        <v>4</v>
      </c>
      <c r="C5">
        <v>3</v>
      </c>
      <c r="D5">
        <f t="shared" si="0"/>
        <v>9</v>
      </c>
      <c r="E5" s="48">
        <f t="shared" si="1"/>
        <v>0.30191211003019125</v>
      </c>
    </row>
    <row r="6" spans="1:7" x14ac:dyDescent="0.3">
      <c r="A6" s="2">
        <v>4</v>
      </c>
      <c r="D6">
        <f>SUM(D1:D5)</f>
        <v>2981</v>
      </c>
      <c r="E6">
        <f>SUM(E1:E5)</f>
        <v>100</v>
      </c>
    </row>
    <row r="7" spans="1:7" x14ac:dyDescent="0.3">
      <c r="A7" s="1">
        <v>4</v>
      </c>
    </row>
    <row r="8" spans="1:7" x14ac:dyDescent="0.3">
      <c r="A8" s="2">
        <v>4</v>
      </c>
    </row>
    <row r="9" spans="1:7" x14ac:dyDescent="0.3">
      <c r="A9" s="1">
        <v>4</v>
      </c>
    </row>
    <row r="10" spans="1:7" x14ac:dyDescent="0.3">
      <c r="A10" s="2">
        <v>4</v>
      </c>
    </row>
    <row r="11" spans="1:7" x14ac:dyDescent="0.3">
      <c r="A11" s="1">
        <v>4</v>
      </c>
    </row>
    <row r="12" spans="1:7" x14ac:dyDescent="0.3">
      <c r="A12" s="2">
        <v>4</v>
      </c>
    </row>
    <row r="13" spans="1:7" x14ac:dyDescent="0.3">
      <c r="A13" s="1">
        <v>4</v>
      </c>
    </row>
    <row r="14" spans="1:7" x14ac:dyDescent="0.3">
      <c r="A14" s="2">
        <v>4</v>
      </c>
    </row>
    <row r="15" spans="1:7" x14ac:dyDescent="0.3">
      <c r="A15" s="1">
        <v>4</v>
      </c>
    </row>
    <row r="16" spans="1:7" x14ac:dyDescent="0.3">
      <c r="A16" s="2">
        <v>4</v>
      </c>
    </row>
    <row r="17" spans="1:1" x14ac:dyDescent="0.3">
      <c r="A17" s="1">
        <v>4</v>
      </c>
    </row>
    <row r="18" spans="1:1" x14ac:dyDescent="0.3">
      <c r="A18" s="2">
        <v>4</v>
      </c>
    </row>
    <row r="19" spans="1:1" x14ac:dyDescent="0.3">
      <c r="A19" s="1">
        <v>4</v>
      </c>
    </row>
    <row r="20" spans="1:1" x14ac:dyDescent="0.3">
      <c r="A20" s="2">
        <v>4</v>
      </c>
    </row>
    <row r="21" spans="1:1" x14ac:dyDescent="0.3">
      <c r="A21" s="1">
        <v>4</v>
      </c>
    </row>
    <row r="22" spans="1:1" x14ac:dyDescent="0.3">
      <c r="A22" s="2">
        <v>4</v>
      </c>
    </row>
    <row r="23" spans="1:1" x14ac:dyDescent="0.3">
      <c r="A23" s="1">
        <v>4</v>
      </c>
    </row>
    <row r="24" spans="1:1" x14ac:dyDescent="0.3">
      <c r="A24" s="2">
        <v>4</v>
      </c>
    </row>
    <row r="25" spans="1:1" x14ac:dyDescent="0.3">
      <c r="A25" s="1">
        <v>4</v>
      </c>
    </row>
    <row r="26" spans="1:1" x14ac:dyDescent="0.3">
      <c r="A26" s="2">
        <v>4</v>
      </c>
    </row>
    <row r="27" spans="1:1" x14ac:dyDescent="0.3">
      <c r="A27" s="1">
        <v>4</v>
      </c>
    </row>
    <row r="28" spans="1:1" x14ac:dyDescent="0.3">
      <c r="A28" s="2">
        <v>4</v>
      </c>
    </row>
    <row r="29" spans="1:1" x14ac:dyDescent="0.3">
      <c r="A29" s="1">
        <v>4</v>
      </c>
    </row>
    <row r="30" spans="1:1" x14ac:dyDescent="0.3">
      <c r="A30" s="2">
        <v>4</v>
      </c>
    </row>
    <row r="31" spans="1:1" x14ac:dyDescent="0.3">
      <c r="A31" s="1">
        <v>4</v>
      </c>
    </row>
    <row r="32" spans="1:1" x14ac:dyDescent="0.3">
      <c r="A32" s="2">
        <v>4</v>
      </c>
    </row>
    <row r="33" spans="1:1" x14ac:dyDescent="0.3">
      <c r="A33" s="1">
        <v>4</v>
      </c>
    </row>
    <row r="34" spans="1:1" x14ac:dyDescent="0.3">
      <c r="A34" s="2">
        <v>4</v>
      </c>
    </row>
    <row r="35" spans="1:1" x14ac:dyDescent="0.3">
      <c r="A35" s="1">
        <v>4</v>
      </c>
    </row>
    <row r="36" spans="1:1" x14ac:dyDescent="0.3">
      <c r="A36" s="2">
        <v>4</v>
      </c>
    </row>
    <row r="37" spans="1:1" x14ac:dyDescent="0.3">
      <c r="A37" s="1">
        <v>4</v>
      </c>
    </row>
    <row r="38" spans="1:1" x14ac:dyDescent="0.3">
      <c r="A38" s="2">
        <v>4</v>
      </c>
    </row>
    <row r="39" spans="1:1" x14ac:dyDescent="0.3">
      <c r="A39" s="1">
        <v>4</v>
      </c>
    </row>
    <row r="40" spans="1:1" x14ac:dyDescent="0.3">
      <c r="A40" s="2">
        <v>5</v>
      </c>
    </row>
    <row r="41" spans="1:1" x14ac:dyDescent="0.3">
      <c r="A41" s="1">
        <v>5</v>
      </c>
    </row>
    <row r="42" spans="1:1" x14ac:dyDescent="0.3">
      <c r="A42" s="2">
        <v>5</v>
      </c>
    </row>
    <row r="43" spans="1:1" x14ac:dyDescent="0.3">
      <c r="A43" s="1">
        <v>4</v>
      </c>
    </row>
    <row r="44" spans="1:1" x14ac:dyDescent="0.3">
      <c r="A44" s="2">
        <v>4</v>
      </c>
    </row>
    <row r="45" spans="1:1" x14ac:dyDescent="0.3">
      <c r="A45" s="1">
        <v>4</v>
      </c>
    </row>
    <row r="46" spans="1:1" x14ac:dyDescent="0.3">
      <c r="A46" s="2">
        <v>4</v>
      </c>
    </row>
    <row r="47" spans="1:1" x14ac:dyDescent="0.3">
      <c r="A47" s="1">
        <v>4</v>
      </c>
    </row>
    <row r="48" spans="1:1" x14ac:dyDescent="0.3">
      <c r="A48" s="2">
        <v>4</v>
      </c>
    </row>
    <row r="49" spans="1:1" x14ac:dyDescent="0.3">
      <c r="A49" s="1">
        <v>4</v>
      </c>
    </row>
    <row r="50" spans="1:1" x14ac:dyDescent="0.3">
      <c r="A50" s="2">
        <v>4</v>
      </c>
    </row>
    <row r="51" spans="1:1" x14ac:dyDescent="0.3">
      <c r="A51" s="1">
        <v>4</v>
      </c>
    </row>
    <row r="52" spans="1:1" x14ac:dyDescent="0.3">
      <c r="A52" s="2">
        <v>4</v>
      </c>
    </row>
    <row r="53" spans="1:1" x14ac:dyDescent="0.3">
      <c r="A53" s="1">
        <v>4</v>
      </c>
    </row>
    <row r="54" spans="1:1" x14ac:dyDescent="0.3">
      <c r="A54" s="2">
        <v>4</v>
      </c>
    </row>
    <row r="55" spans="1:1" x14ac:dyDescent="0.3">
      <c r="A55" s="1">
        <v>6</v>
      </c>
    </row>
    <row r="56" spans="1:1" x14ac:dyDescent="0.3">
      <c r="A56" s="2">
        <v>4</v>
      </c>
    </row>
    <row r="57" spans="1:1" x14ac:dyDescent="0.3">
      <c r="A57" s="1">
        <v>4</v>
      </c>
    </row>
    <row r="58" spans="1:1" x14ac:dyDescent="0.3">
      <c r="A58" s="2">
        <v>4</v>
      </c>
    </row>
    <row r="59" spans="1:1" x14ac:dyDescent="0.3">
      <c r="A59" s="1">
        <v>4</v>
      </c>
    </row>
    <row r="60" spans="1:1" x14ac:dyDescent="0.3">
      <c r="A60" s="2">
        <v>4</v>
      </c>
    </row>
    <row r="61" spans="1:1" x14ac:dyDescent="0.3">
      <c r="A61" s="1">
        <v>4</v>
      </c>
    </row>
    <row r="62" spans="1:1" x14ac:dyDescent="0.3">
      <c r="A62" s="2">
        <v>4</v>
      </c>
    </row>
    <row r="63" spans="1:1" x14ac:dyDescent="0.3">
      <c r="A63" s="1">
        <v>4</v>
      </c>
    </row>
    <row r="64" spans="1:1" x14ac:dyDescent="0.3">
      <c r="A64" s="2">
        <v>4</v>
      </c>
    </row>
    <row r="65" spans="1:1" x14ac:dyDescent="0.3">
      <c r="A65" s="1">
        <v>4</v>
      </c>
    </row>
    <row r="66" spans="1:1" x14ac:dyDescent="0.3">
      <c r="A66" s="2">
        <v>4</v>
      </c>
    </row>
    <row r="67" spans="1:1" x14ac:dyDescent="0.3">
      <c r="A67" s="1">
        <v>4</v>
      </c>
    </row>
    <row r="68" spans="1:1" x14ac:dyDescent="0.3">
      <c r="A68" s="2">
        <v>4</v>
      </c>
    </row>
    <row r="69" spans="1:1" x14ac:dyDescent="0.3">
      <c r="A69" s="1">
        <v>4</v>
      </c>
    </row>
    <row r="70" spans="1:1" x14ac:dyDescent="0.3">
      <c r="A70" s="2">
        <v>4</v>
      </c>
    </row>
    <row r="71" spans="1:1" x14ac:dyDescent="0.3">
      <c r="A71" s="1">
        <v>4</v>
      </c>
    </row>
    <row r="72" spans="1:1" x14ac:dyDescent="0.3">
      <c r="A72" s="2">
        <v>4</v>
      </c>
    </row>
    <row r="73" spans="1:1" x14ac:dyDescent="0.3">
      <c r="A73" s="1">
        <v>4</v>
      </c>
    </row>
    <row r="74" spans="1:1" x14ac:dyDescent="0.3">
      <c r="A74" s="2">
        <v>4</v>
      </c>
    </row>
    <row r="75" spans="1:1" x14ac:dyDescent="0.3">
      <c r="A75" s="1">
        <v>4</v>
      </c>
    </row>
    <row r="76" spans="1:1" x14ac:dyDescent="0.3">
      <c r="A76" s="2">
        <v>4</v>
      </c>
    </row>
    <row r="77" spans="1:1" x14ac:dyDescent="0.3">
      <c r="A77" s="1">
        <v>4</v>
      </c>
    </row>
    <row r="78" spans="1:1" x14ac:dyDescent="0.3">
      <c r="A78" s="2">
        <v>4</v>
      </c>
    </row>
    <row r="79" spans="1:1" x14ac:dyDescent="0.3">
      <c r="A79" s="1">
        <v>4</v>
      </c>
    </row>
    <row r="80" spans="1:1" x14ac:dyDescent="0.3">
      <c r="A80" s="2">
        <v>4</v>
      </c>
    </row>
    <row r="81" spans="1:1" x14ac:dyDescent="0.3">
      <c r="A81" s="1">
        <v>4</v>
      </c>
    </row>
    <row r="82" spans="1:1" x14ac:dyDescent="0.3">
      <c r="A82" s="2">
        <v>4</v>
      </c>
    </row>
    <row r="83" spans="1:1" x14ac:dyDescent="0.3">
      <c r="A83" s="1">
        <v>4</v>
      </c>
    </row>
    <row r="84" spans="1:1" x14ac:dyDescent="0.3">
      <c r="A84" s="2">
        <v>4</v>
      </c>
    </row>
    <row r="85" spans="1:1" x14ac:dyDescent="0.3">
      <c r="A85" s="1">
        <v>4</v>
      </c>
    </row>
    <row r="86" spans="1:1" x14ac:dyDescent="0.3">
      <c r="A86" s="2">
        <v>4</v>
      </c>
    </row>
    <row r="87" spans="1:1" x14ac:dyDescent="0.3">
      <c r="A87" s="1">
        <v>4</v>
      </c>
    </row>
    <row r="88" spans="1:1" x14ac:dyDescent="0.3">
      <c r="A88" s="2">
        <v>4</v>
      </c>
    </row>
    <row r="89" spans="1:1" x14ac:dyDescent="0.3">
      <c r="A89" s="1">
        <v>4</v>
      </c>
    </row>
    <row r="90" spans="1:1" x14ac:dyDescent="0.3">
      <c r="A90" s="2">
        <v>4</v>
      </c>
    </row>
    <row r="91" spans="1:1" x14ac:dyDescent="0.3">
      <c r="A91" s="1">
        <v>4</v>
      </c>
    </row>
    <row r="92" spans="1:1" x14ac:dyDescent="0.3">
      <c r="A92" s="2">
        <v>4</v>
      </c>
    </row>
    <row r="93" spans="1:1" x14ac:dyDescent="0.3">
      <c r="A93" s="1">
        <v>4</v>
      </c>
    </row>
    <row r="94" spans="1:1" x14ac:dyDescent="0.3">
      <c r="A94" s="2">
        <v>4</v>
      </c>
    </row>
    <row r="95" spans="1:1" x14ac:dyDescent="0.3">
      <c r="A95" s="1">
        <v>4</v>
      </c>
    </row>
    <row r="96" spans="1:1" x14ac:dyDescent="0.3">
      <c r="A96" s="2">
        <v>4</v>
      </c>
    </row>
    <row r="97" spans="1:1" x14ac:dyDescent="0.3">
      <c r="A97" s="1">
        <v>4</v>
      </c>
    </row>
    <row r="98" spans="1:1" x14ac:dyDescent="0.3">
      <c r="A98" s="2">
        <v>4</v>
      </c>
    </row>
    <row r="99" spans="1:1" x14ac:dyDescent="0.3">
      <c r="A99" s="1">
        <v>4</v>
      </c>
    </row>
    <row r="100" spans="1:1" x14ac:dyDescent="0.3">
      <c r="A100" s="2">
        <v>4</v>
      </c>
    </row>
    <row r="101" spans="1:1" x14ac:dyDescent="0.3">
      <c r="A101" s="1">
        <v>4</v>
      </c>
    </row>
    <row r="102" spans="1:1" x14ac:dyDescent="0.3">
      <c r="A102" s="2">
        <v>4</v>
      </c>
    </row>
    <row r="103" spans="1:1" x14ac:dyDescent="0.3">
      <c r="A103" s="1">
        <v>4</v>
      </c>
    </row>
    <row r="104" spans="1:1" x14ac:dyDescent="0.3">
      <c r="A104" s="2">
        <v>4</v>
      </c>
    </row>
    <row r="105" spans="1:1" x14ac:dyDescent="0.3">
      <c r="A105" s="1">
        <v>4</v>
      </c>
    </row>
    <row r="106" spans="1:1" x14ac:dyDescent="0.3">
      <c r="A106" s="2">
        <v>4</v>
      </c>
    </row>
    <row r="107" spans="1:1" x14ac:dyDescent="0.3">
      <c r="A107" s="1">
        <v>4</v>
      </c>
    </row>
    <row r="108" spans="1:1" x14ac:dyDescent="0.3">
      <c r="A108" s="2">
        <v>4</v>
      </c>
    </row>
    <row r="109" spans="1:1" x14ac:dyDescent="0.3">
      <c r="A109" s="1">
        <v>4</v>
      </c>
    </row>
    <row r="110" spans="1:1" x14ac:dyDescent="0.3">
      <c r="A110" s="2">
        <v>4</v>
      </c>
    </row>
    <row r="111" spans="1:1" x14ac:dyDescent="0.3">
      <c r="A111" s="1">
        <v>4</v>
      </c>
    </row>
    <row r="112" spans="1:1" x14ac:dyDescent="0.3">
      <c r="A112" s="2">
        <v>4</v>
      </c>
    </row>
    <row r="113" spans="1:1" x14ac:dyDescent="0.3">
      <c r="A113" s="1">
        <v>4</v>
      </c>
    </row>
    <row r="114" spans="1:1" x14ac:dyDescent="0.3">
      <c r="A114" s="2">
        <v>4</v>
      </c>
    </row>
    <row r="115" spans="1:1" x14ac:dyDescent="0.3">
      <c r="A115" s="1">
        <v>4</v>
      </c>
    </row>
    <row r="116" spans="1:1" x14ac:dyDescent="0.3">
      <c r="A116" s="2">
        <v>4</v>
      </c>
    </row>
    <row r="117" spans="1:1" x14ac:dyDescent="0.3">
      <c r="A117" s="1">
        <v>4</v>
      </c>
    </row>
    <row r="118" spans="1:1" x14ac:dyDescent="0.3">
      <c r="A118" s="2">
        <v>4</v>
      </c>
    </row>
    <row r="119" spans="1:1" x14ac:dyDescent="0.3">
      <c r="A119" s="1">
        <v>4</v>
      </c>
    </row>
    <row r="120" spans="1:1" x14ac:dyDescent="0.3">
      <c r="A120" s="2">
        <v>4</v>
      </c>
    </row>
    <row r="121" spans="1:1" x14ac:dyDescent="0.3">
      <c r="A121" s="1">
        <v>4</v>
      </c>
    </row>
    <row r="122" spans="1:1" x14ac:dyDescent="0.3">
      <c r="A122" s="2">
        <v>4</v>
      </c>
    </row>
    <row r="123" spans="1:1" x14ac:dyDescent="0.3">
      <c r="A123" s="1">
        <v>4</v>
      </c>
    </row>
    <row r="124" spans="1:1" x14ac:dyDescent="0.3">
      <c r="A124" s="2">
        <v>4</v>
      </c>
    </row>
    <row r="125" spans="1:1" x14ac:dyDescent="0.3">
      <c r="A125" s="1">
        <v>4</v>
      </c>
    </row>
    <row r="126" spans="1:1" x14ac:dyDescent="0.3">
      <c r="A126" s="2">
        <v>4</v>
      </c>
    </row>
    <row r="127" spans="1:1" x14ac:dyDescent="0.3">
      <c r="A127" s="1">
        <v>4</v>
      </c>
    </row>
    <row r="128" spans="1:1" x14ac:dyDescent="0.3">
      <c r="A128" s="2">
        <v>4</v>
      </c>
    </row>
    <row r="129" spans="1:1" x14ac:dyDescent="0.3">
      <c r="A129" s="1">
        <v>4</v>
      </c>
    </row>
    <row r="130" spans="1:1" x14ac:dyDescent="0.3">
      <c r="A130" s="2">
        <v>4</v>
      </c>
    </row>
    <row r="131" spans="1:1" x14ac:dyDescent="0.3">
      <c r="A131" s="1">
        <v>6</v>
      </c>
    </row>
    <row r="132" spans="1:1" x14ac:dyDescent="0.3">
      <c r="A132" s="2">
        <v>6</v>
      </c>
    </row>
    <row r="133" spans="1:1" x14ac:dyDescent="0.3">
      <c r="A133" s="1">
        <v>6</v>
      </c>
    </row>
    <row r="134" spans="1:1" x14ac:dyDescent="0.3">
      <c r="A134" s="2">
        <v>6</v>
      </c>
    </row>
    <row r="135" spans="1:1" x14ac:dyDescent="0.3">
      <c r="A135" s="1">
        <v>6</v>
      </c>
    </row>
    <row r="136" spans="1:1" x14ac:dyDescent="0.3">
      <c r="A136" s="2">
        <v>6</v>
      </c>
    </row>
    <row r="137" spans="1:1" x14ac:dyDescent="0.3">
      <c r="A137" s="1">
        <v>6</v>
      </c>
    </row>
    <row r="138" spans="1:1" x14ac:dyDescent="0.3">
      <c r="A138" s="2">
        <v>6</v>
      </c>
    </row>
    <row r="139" spans="1:1" x14ac:dyDescent="0.3">
      <c r="A139" s="1">
        <v>6</v>
      </c>
    </row>
    <row r="140" spans="1:1" x14ac:dyDescent="0.3">
      <c r="A140" s="2">
        <v>6</v>
      </c>
    </row>
    <row r="141" spans="1:1" x14ac:dyDescent="0.3">
      <c r="A141" s="1">
        <v>4</v>
      </c>
    </row>
    <row r="142" spans="1:1" x14ac:dyDescent="0.3">
      <c r="A142" s="2">
        <v>4</v>
      </c>
    </row>
    <row r="143" spans="1:1" x14ac:dyDescent="0.3">
      <c r="A143" s="1">
        <v>4</v>
      </c>
    </row>
    <row r="144" spans="1:1" x14ac:dyDescent="0.3">
      <c r="A144" s="2">
        <v>4</v>
      </c>
    </row>
    <row r="145" spans="1:1" x14ac:dyDescent="0.3">
      <c r="A145" s="1">
        <v>6</v>
      </c>
    </row>
    <row r="146" spans="1:1" x14ac:dyDescent="0.3">
      <c r="A146" s="2">
        <v>4</v>
      </c>
    </row>
    <row r="147" spans="1:1" x14ac:dyDescent="0.3">
      <c r="A147" s="1">
        <v>4</v>
      </c>
    </row>
    <row r="148" spans="1:1" x14ac:dyDescent="0.3">
      <c r="A148" s="2">
        <v>4</v>
      </c>
    </row>
    <row r="149" spans="1:1" x14ac:dyDescent="0.3">
      <c r="A149" s="1">
        <v>4</v>
      </c>
    </row>
    <row r="150" spans="1:1" x14ac:dyDescent="0.3">
      <c r="A150" s="2">
        <v>4</v>
      </c>
    </row>
    <row r="151" spans="1:1" x14ac:dyDescent="0.3">
      <c r="A151" s="1">
        <v>4</v>
      </c>
    </row>
    <row r="152" spans="1:1" x14ac:dyDescent="0.3">
      <c r="A152" s="2">
        <v>6</v>
      </c>
    </row>
    <row r="153" spans="1:1" x14ac:dyDescent="0.3">
      <c r="A153" s="1">
        <v>4</v>
      </c>
    </row>
    <row r="154" spans="1:1" x14ac:dyDescent="0.3">
      <c r="A154" s="2">
        <v>6</v>
      </c>
    </row>
    <row r="155" spans="1:1" x14ac:dyDescent="0.3">
      <c r="A155" s="1">
        <v>4</v>
      </c>
    </row>
    <row r="156" spans="1:1" x14ac:dyDescent="0.3">
      <c r="A156" s="2">
        <v>4</v>
      </c>
    </row>
    <row r="157" spans="1:1" x14ac:dyDescent="0.3">
      <c r="A157" s="1">
        <v>6</v>
      </c>
    </row>
    <row r="158" spans="1:1" x14ac:dyDescent="0.3">
      <c r="A158" s="2">
        <v>6</v>
      </c>
    </row>
    <row r="159" spans="1:1" x14ac:dyDescent="0.3">
      <c r="A159" s="1">
        <v>6</v>
      </c>
    </row>
    <row r="160" spans="1:1" x14ac:dyDescent="0.3">
      <c r="A160" s="2">
        <v>6</v>
      </c>
    </row>
    <row r="161" spans="1:1" x14ac:dyDescent="0.3">
      <c r="A161" s="1">
        <v>4</v>
      </c>
    </row>
    <row r="162" spans="1:1" x14ac:dyDescent="0.3">
      <c r="A162" s="2">
        <v>6</v>
      </c>
    </row>
    <row r="163" spans="1:1" x14ac:dyDescent="0.3">
      <c r="A163" s="1">
        <v>4</v>
      </c>
    </row>
    <row r="164" spans="1:1" x14ac:dyDescent="0.3">
      <c r="A164" s="2">
        <v>4</v>
      </c>
    </row>
    <row r="165" spans="1:1" x14ac:dyDescent="0.3">
      <c r="A165" s="1">
        <v>4</v>
      </c>
    </row>
    <row r="166" spans="1:1" x14ac:dyDescent="0.3">
      <c r="A166" s="2">
        <v>4</v>
      </c>
    </row>
    <row r="167" spans="1:1" x14ac:dyDescent="0.3">
      <c r="A167" s="1">
        <v>6</v>
      </c>
    </row>
    <row r="168" spans="1:1" x14ac:dyDescent="0.3">
      <c r="A168" s="2">
        <v>4</v>
      </c>
    </row>
    <row r="169" spans="1:1" x14ac:dyDescent="0.3">
      <c r="A169" s="1">
        <v>6</v>
      </c>
    </row>
    <row r="170" spans="1:1" x14ac:dyDescent="0.3">
      <c r="A170" s="2">
        <v>4</v>
      </c>
    </row>
    <row r="171" spans="1:1" x14ac:dyDescent="0.3">
      <c r="A171" s="1">
        <v>4</v>
      </c>
    </row>
    <row r="172" spans="1:1" x14ac:dyDescent="0.3">
      <c r="A172" s="2">
        <v>4</v>
      </c>
    </row>
    <row r="173" spans="1:1" x14ac:dyDescent="0.3">
      <c r="A173" s="1">
        <v>4</v>
      </c>
    </row>
    <row r="174" spans="1:1" x14ac:dyDescent="0.3">
      <c r="A174" s="2">
        <v>4</v>
      </c>
    </row>
    <row r="175" spans="1:1" x14ac:dyDescent="0.3">
      <c r="A175" s="1">
        <v>4</v>
      </c>
    </row>
    <row r="176" spans="1:1" x14ac:dyDescent="0.3">
      <c r="A176" s="2">
        <v>4</v>
      </c>
    </row>
    <row r="177" spans="1:1" x14ac:dyDescent="0.3">
      <c r="A177" s="1">
        <v>4</v>
      </c>
    </row>
    <row r="178" spans="1:1" x14ac:dyDescent="0.3">
      <c r="A178" s="2">
        <v>4</v>
      </c>
    </row>
    <row r="179" spans="1:1" x14ac:dyDescent="0.3">
      <c r="A179" s="1">
        <v>4</v>
      </c>
    </row>
    <row r="180" spans="1:1" x14ac:dyDescent="0.3">
      <c r="A180" s="2">
        <v>4</v>
      </c>
    </row>
    <row r="181" spans="1:1" x14ac:dyDescent="0.3">
      <c r="A181" s="1">
        <v>4</v>
      </c>
    </row>
    <row r="182" spans="1:1" x14ac:dyDescent="0.3">
      <c r="A182" s="2">
        <v>4</v>
      </c>
    </row>
    <row r="183" spans="1:1" x14ac:dyDescent="0.3">
      <c r="A183" s="1">
        <v>4</v>
      </c>
    </row>
    <row r="184" spans="1:1" x14ac:dyDescent="0.3">
      <c r="A184" s="2">
        <v>4</v>
      </c>
    </row>
    <row r="185" spans="1:1" x14ac:dyDescent="0.3">
      <c r="A185" s="1">
        <v>6</v>
      </c>
    </row>
    <row r="186" spans="1:1" x14ac:dyDescent="0.3">
      <c r="A186" s="2">
        <v>6</v>
      </c>
    </row>
    <row r="187" spans="1:1" x14ac:dyDescent="0.3">
      <c r="A187" s="1">
        <v>4</v>
      </c>
    </row>
    <row r="188" spans="1:1" x14ac:dyDescent="0.3">
      <c r="A188" s="2">
        <v>4</v>
      </c>
    </row>
    <row r="189" spans="1:1" x14ac:dyDescent="0.3">
      <c r="A189" s="1">
        <v>4</v>
      </c>
    </row>
    <row r="190" spans="1:1" x14ac:dyDescent="0.3">
      <c r="A190" s="2">
        <v>4</v>
      </c>
    </row>
    <row r="191" spans="1:1" x14ac:dyDescent="0.3">
      <c r="A191" s="1">
        <v>4</v>
      </c>
    </row>
    <row r="192" spans="1:1" x14ac:dyDescent="0.3">
      <c r="A192" s="2">
        <v>4</v>
      </c>
    </row>
    <row r="193" spans="1:1" x14ac:dyDescent="0.3">
      <c r="A193" s="1">
        <v>4</v>
      </c>
    </row>
    <row r="194" spans="1:1" x14ac:dyDescent="0.3">
      <c r="A194" s="2">
        <v>4</v>
      </c>
    </row>
    <row r="195" spans="1:1" x14ac:dyDescent="0.3">
      <c r="A195" s="1">
        <v>4</v>
      </c>
    </row>
    <row r="196" spans="1:1" x14ac:dyDescent="0.3">
      <c r="A196" s="2">
        <v>4</v>
      </c>
    </row>
    <row r="197" spans="1:1" x14ac:dyDescent="0.3">
      <c r="A197" s="1">
        <v>4</v>
      </c>
    </row>
    <row r="198" spans="1:1" x14ac:dyDescent="0.3">
      <c r="A198" s="2">
        <v>4</v>
      </c>
    </row>
    <row r="199" spans="1:1" x14ac:dyDescent="0.3">
      <c r="A199" s="1">
        <v>4</v>
      </c>
    </row>
    <row r="200" spans="1:1" x14ac:dyDescent="0.3">
      <c r="A200" s="2">
        <v>4</v>
      </c>
    </row>
    <row r="201" spans="1:1" x14ac:dyDescent="0.3">
      <c r="A201" s="1">
        <v>6</v>
      </c>
    </row>
    <row r="202" spans="1:1" x14ac:dyDescent="0.3">
      <c r="A202" s="2">
        <v>4</v>
      </c>
    </row>
    <row r="203" spans="1:1" x14ac:dyDescent="0.3">
      <c r="A203" s="1">
        <v>4</v>
      </c>
    </row>
    <row r="204" spans="1:1" x14ac:dyDescent="0.3">
      <c r="A204" s="2">
        <v>4</v>
      </c>
    </row>
    <row r="205" spans="1:1" x14ac:dyDescent="0.3">
      <c r="A205" s="1">
        <v>5</v>
      </c>
    </row>
    <row r="206" spans="1:1" x14ac:dyDescent="0.3">
      <c r="A206" s="2">
        <v>4</v>
      </c>
    </row>
    <row r="207" spans="1:1" x14ac:dyDescent="0.3">
      <c r="A207" s="1">
        <v>6</v>
      </c>
    </row>
    <row r="208" spans="1:1" x14ac:dyDescent="0.3">
      <c r="A208" s="2">
        <v>4</v>
      </c>
    </row>
    <row r="209" spans="1:1" x14ac:dyDescent="0.3">
      <c r="A209" s="1">
        <v>4</v>
      </c>
    </row>
    <row r="210" spans="1:1" x14ac:dyDescent="0.3">
      <c r="A210" s="2">
        <v>6</v>
      </c>
    </row>
    <row r="211" spans="1:1" x14ac:dyDescent="0.3">
      <c r="A211" s="1">
        <v>6</v>
      </c>
    </row>
    <row r="212" spans="1:1" x14ac:dyDescent="0.3">
      <c r="A212" s="2">
        <v>6</v>
      </c>
    </row>
    <row r="213" spans="1:1" x14ac:dyDescent="0.3">
      <c r="A213" s="1">
        <v>6</v>
      </c>
    </row>
    <row r="214" spans="1:1" x14ac:dyDescent="0.3">
      <c r="A214" s="2">
        <v>6</v>
      </c>
    </row>
    <row r="215" spans="1:1" x14ac:dyDescent="0.3">
      <c r="A215" s="1">
        <v>4</v>
      </c>
    </row>
    <row r="216" spans="1:1" x14ac:dyDescent="0.3">
      <c r="A216" s="2">
        <v>4</v>
      </c>
    </row>
    <row r="217" spans="1:1" x14ac:dyDescent="0.3">
      <c r="A217" s="1">
        <v>4</v>
      </c>
    </row>
    <row r="218" spans="1:1" x14ac:dyDescent="0.3">
      <c r="A218" s="2">
        <v>4</v>
      </c>
    </row>
    <row r="219" spans="1:1" x14ac:dyDescent="0.3">
      <c r="A219" s="1">
        <v>6</v>
      </c>
    </row>
    <row r="220" spans="1:1" x14ac:dyDescent="0.3">
      <c r="A220" s="2">
        <v>4</v>
      </c>
    </row>
    <row r="221" spans="1:1" x14ac:dyDescent="0.3">
      <c r="A221" s="1">
        <v>4</v>
      </c>
    </row>
    <row r="222" spans="1:1" x14ac:dyDescent="0.3">
      <c r="A222" s="2">
        <v>6</v>
      </c>
    </row>
    <row r="223" spans="1:1" x14ac:dyDescent="0.3">
      <c r="A223" s="1">
        <v>6</v>
      </c>
    </row>
    <row r="224" spans="1:1" x14ac:dyDescent="0.3">
      <c r="A224" s="2">
        <v>4</v>
      </c>
    </row>
    <row r="225" spans="1:1" x14ac:dyDescent="0.3">
      <c r="A225" s="1">
        <v>4</v>
      </c>
    </row>
    <row r="226" spans="1:1" x14ac:dyDescent="0.3">
      <c r="A226" s="2">
        <v>4</v>
      </c>
    </row>
    <row r="227" spans="1:1" x14ac:dyDescent="0.3">
      <c r="A227" s="1">
        <v>4</v>
      </c>
    </row>
    <row r="228" spans="1:1" x14ac:dyDescent="0.3">
      <c r="A228" s="2">
        <v>4</v>
      </c>
    </row>
    <row r="229" spans="1:1" x14ac:dyDescent="0.3">
      <c r="A229" s="1">
        <v>4</v>
      </c>
    </row>
    <row r="230" spans="1:1" x14ac:dyDescent="0.3">
      <c r="A230" s="2">
        <v>4</v>
      </c>
    </row>
    <row r="231" spans="1:1" x14ac:dyDescent="0.3">
      <c r="A231" s="1">
        <v>4</v>
      </c>
    </row>
    <row r="232" spans="1:1" x14ac:dyDescent="0.3">
      <c r="A232" s="2">
        <v>4</v>
      </c>
    </row>
    <row r="233" spans="1:1" x14ac:dyDescent="0.3">
      <c r="A233" s="1">
        <v>4</v>
      </c>
    </row>
    <row r="234" spans="1:1" x14ac:dyDescent="0.3">
      <c r="A234" s="2">
        <v>4</v>
      </c>
    </row>
    <row r="235" spans="1:1" x14ac:dyDescent="0.3">
      <c r="A235" s="1">
        <v>4</v>
      </c>
    </row>
    <row r="236" spans="1:1" x14ac:dyDescent="0.3">
      <c r="A236" s="2">
        <v>4</v>
      </c>
    </row>
    <row r="237" spans="1:1" x14ac:dyDescent="0.3">
      <c r="A237" s="1">
        <v>4</v>
      </c>
    </row>
    <row r="238" spans="1:1" x14ac:dyDescent="0.3">
      <c r="A238" s="2">
        <v>4</v>
      </c>
    </row>
    <row r="239" spans="1:1" x14ac:dyDescent="0.3">
      <c r="A239" s="1">
        <v>4</v>
      </c>
    </row>
    <row r="240" spans="1:1" x14ac:dyDescent="0.3">
      <c r="A240" s="2">
        <v>4</v>
      </c>
    </row>
    <row r="241" spans="1:1" x14ac:dyDescent="0.3">
      <c r="A241" s="1">
        <v>4</v>
      </c>
    </row>
    <row r="242" spans="1:1" x14ac:dyDescent="0.3">
      <c r="A242" s="2">
        <v>4</v>
      </c>
    </row>
    <row r="243" spans="1:1" x14ac:dyDescent="0.3">
      <c r="A243" s="1">
        <v>4</v>
      </c>
    </row>
    <row r="244" spans="1:1" x14ac:dyDescent="0.3">
      <c r="A244" s="2">
        <v>4</v>
      </c>
    </row>
    <row r="245" spans="1:1" x14ac:dyDescent="0.3">
      <c r="A245" s="1">
        <v>4</v>
      </c>
    </row>
    <row r="246" spans="1:1" x14ac:dyDescent="0.3">
      <c r="A246" s="2">
        <v>4</v>
      </c>
    </row>
    <row r="247" spans="1:1" x14ac:dyDescent="0.3">
      <c r="A247" s="1">
        <v>4</v>
      </c>
    </row>
    <row r="248" spans="1:1" x14ac:dyDescent="0.3">
      <c r="A248" s="2">
        <v>4</v>
      </c>
    </row>
    <row r="249" spans="1:1" x14ac:dyDescent="0.3">
      <c r="A249" s="1">
        <v>4</v>
      </c>
    </row>
    <row r="250" spans="1:1" x14ac:dyDescent="0.3">
      <c r="A250" s="2">
        <v>4</v>
      </c>
    </row>
    <row r="251" spans="1:1" x14ac:dyDescent="0.3">
      <c r="A251" s="1">
        <v>4</v>
      </c>
    </row>
    <row r="252" spans="1:1" x14ac:dyDescent="0.3">
      <c r="A252" s="2">
        <v>4</v>
      </c>
    </row>
    <row r="253" spans="1:1" x14ac:dyDescent="0.3">
      <c r="A253" s="1">
        <v>4</v>
      </c>
    </row>
    <row r="254" spans="1:1" x14ac:dyDescent="0.3">
      <c r="A254" s="2">
        <v>4</v>
      </c>
    </row>
    <row r="255" spans="1:1" x14ac:dyDescent="0.3">
      <c r="A255" s="1">
        <v>4</v>
      </c>
    </row>
    <row r="256" spans="1:1" x14ac:dyDescent="0.3">
      <c r="A256" s="2">
        <v>4</v>
      </c>
    </row>
    <row r="257" spans="1:1" x14ac:dyDescent="0.3">
      <c r="A257" s="1">
        <v>4</v>
      </c>
    </row>
    <row r="258" spans="1:1" x14ac:dyDescent="0.3">
      <c r="A258" s="2">
        <v>4</v>
      </c>
    </row>
    <row r="259" spans="1:1" x14ac:dyDescent="0.3">
      <c r="A259" s="1">
        <v>4</v>
      </c>
    </row>
    <row r="260" spans="1:1" x14ac:dyDescent="0.3">
      <c r="A260" s="2">
        <v>4</v>
      </c>
    </row>
    <row r="261" spans="1:1" x14ac:dyDescent="0.3">
      <c r="A261" s="1">
        <v>4</v>
      </c>
    </row>
    <row r="262" spans="1:1" x14ac:dyDescent="0.3">
      <c r="A262" s="2">
        <v>4</v>
      </c>
    </row>
    <row r="263" spans="1:1" x14ac:dyDescent="0.3">
      <c r="A263" s="1">
        <v>4</v>
      </c>
    </row>
    <row r="264" spans="1:1" x14ac:dyDescent="0.3">
      <c r="A264" s="2">
        <v>4</v>
      </c>
    </row>
    <row r="265" spans="1:1" x14ac:dyDescent="0.3">
      <c r="A265" s="1">
        <v>4</v>
      </c>
    </row>
    <row r="266" spans="1:1" x14ac:dyDescent="0.3">
      <c r="A266" s="2">
        <v>4</v>
      </c>
    </row>
    <row r="267" spans="1:1" x14ac:dyDescent="0.3">
      <c r="A267" s="1">
        <v>4</v>
      </c>
    </row>
    <row r="268" spans="1:1" x14ac:dyDescent="0.3">
      <c r="A268" s="2">
        <v>4</v>
      </c>
    </row>
    <row r="269" spans="1:1" x14ac:dyDescent="0.3">
      <c r="A269" s="1">
        <v>4</v>
      </c>
    </row>
    <row r="270" spans="1:1" x14ac:dyDescent="0.3">
      <c r="A270" s="2">
        <v>4</v>
      </c>
    </row>
    <row r="271" spans="1:1" x14ac:dyDescent="0.3">
      <c r="A271" s="1">
        <v>4</v>
      </c>
    </row>
    <row r="272" spans="1:1" x14ac:dyDescent="0.3">
      <c r="A272" s="2">
        <v>4</v>
      </c>
    </row>
    <row r="273" spans="1:1" x14ac:dyDescent="0.3">
      <c r="A273" s="1">
        <v>4</v>
      </c>
    </row>
    <row r="274" spans="1:1" x14ac:dyDescent="0.3">
      <c r="A274" s="2">
        <v>4</v>
      </c>
    </row>
    <row r="275" spans="1:1" x14ac:dyDescent="0.3">
      <c r="A275" s="1">
        <v>4</v>
      </c>
    </row>
    <row r="276" spans="1:1" x14ac:dyDescent="0.3">
      <c r="A276" s="2">
        <v>4</v>
      </c>
    </row>
    <row r="277" spans="1:1" x14ac:dyDescent="0.3">
      <c r="A277" s="1">
        <v>4</v>
      </c>
    </row>
    <row r="278" spans="1:1" x14ac:dyDescent="0.3">
      <c r="A278" s="2">
        <v>4</v>
      </c>
    </row>
    <row r="279" spans="1:1" x14ac:dyDescent="0.3">
      <c r="A279" s="1">
        <v>4</v>
      </c>
    </row>
    <row r="280" spans="1:1" x14ac:dyDescent="0.3">
      <c r="A280" s="2">
        <v>4</v>
      </c>
    </row>
    <row r="281" spans="1:1" x14ac:dyDescent="0.3">
      <c r="A281" s="1">
        <v>4</v>
      </c>
    </row>
    <row r="282" spans="1:1" x14ac:dyDescent="0.3">
      <c r="A282" s="2">
        <v>4</v>
      </c>
    </row>
    <row r="283" spans="1:1" x14ac:dyDescent="0.3">
      <c r="A283" s="1">
        <v>4</v>
      </c>
    </row>
    <row r="284" spans="1:1" x14ac:dyDescent="0.3">
      <c r="A284" s="2">
        <v>4</v>
      </c>
    </row>
    <row r="285" spans="1:1" x14ac:dyDescent="0.3">
      <c r="A285" s="1">
        <v>4</v>
      </c>
    </row>
    <row r="286" spans="1:1" x14ac:dyDescent="0.3">
      <c r="A286" s="2">
        <v>4</v>
      </c>
    </row>
    <row r="287" spans="1:1" x14ac:dyDescent="0.3">
      <c r="A287" s="1">
        <v>4</v>
      </c>
    </row>
    <row r="288" spans="1:1" x14ac:dyDescent="0.3">
      <c r="A288" s="2">
        <v>4</v>
      </c>
    </row>
    <row r="289" spans="1:1" x14ac:dyDescent="0.3">
      <c r="A289" s="1">
        <v>4</v>
      </c>
    </row>
    <row r="290" spans="1:1" x14ac:dyDescent="0.3">
      <c r="A290" s="2">
        <v>4</v>
      </c>
    </row>
    <row r="291" spans="1:1" x14ac:dyDescent="0.3">
      <c r="A291" s="1">
        <v>4</v>
      </c>
    </row>
    <row r="292" spans="1:1" x14ac:dyDescent="0.3">
      <c r="A292" s="2">
        <v>4</v>
      </c>
    </row>
    <row r="293" spans="1:1" x14ac:dyDescent="0.3">
      <c r="A293" s="1">
        <v>4</v>
      </c>
    </row>
    <row r="294" spans="1:1" x14ac:dyDescent="0.3">
      <c r="A294" s="2">
        <v>4</v>
      </c>
    </row>
    <row r="295" spans="1:1" x14ac:dyDescent="0.3">
      <c r="A295" s="1">
        <v>4</v>
      </c>
    </row>
    <row r="296" spans="1:1" x14ac:dyDescent="0.3">
      <c r="A296" s="2">
        <v>4</v>
      </c>
    </row>
    <row r="297" spans="1:1" x14ac:dyDescent="0.3">
      <c r="A297" s="1">
        <v>4</v>
      </c>
    </row>
    <row r="298" spans="1:1" x14ac:dyDescent="0.3">
      <c r="A298" s="2">
        <v>4</v>
      </c>
    </row>
    <row r="299" spans="1:1" x14ac:dyDescent="0.3">
      <c r="A299" s="1">
        <v>4</v>
      </c>
    </row>
    <row r="300" spans="1:1" x14ac:dyDescent="0.3">
      <c r="A300" s="2">
        <v>4</v>
      </c>
    </row>
    <row r="301" spans="1:1" x14ac:dyDescent="0.3">
      <c r="A301" s="1">
        <v>4</v>
      </c>
    </row>
    <row r="302" spans="1:1" x14ac:dyDescent="0.3">
      <c r="A302" s="2">
        <v>4</v>
      </c>
    </row>
    <row r="303" spans="1:1" x14ac:dyDescent="0.3">
      <c r="A303" s="1">
        <v>4</v>
      </c>
    </row>
    <row r="304" spans="1:1" x14ac:dyDescent="0.3">
      <c r="A304" s="2">
        <v>6</v>
      </c>
    </row>
    <row r="305" spans="1:1" x14ac:dyDescent="0.3">
      <c r="A305" s="1">
        <v>4</v>
      </c>
    </row>
    <row r="306" spans="1:1" x14ac:dyDescent="0.3">
      <c r="A306" s="2">
        <v>5</v>
      </c>
    </row>
    <row r="307" spans="1:1" x14ac:dyDescent="0.3">
      <c r="A307" s="1">
        <v>4</v>
      </c>
    </row>
    <row r="308" spans="1:1" x14ac:dyDescent="0.3">
      <c r="A308" s="2">
        <v>4</v>
      </c>
    </row>
    <row r="309" spans="1:1" x14ac:dyDescent="0.3">
      <c r="A309" s="1">
        <v>6</v>
      </c>
    </row>
    <row r="310" spans="1:1" x14ac:dyDescent="0.3">
      <c r="A310" s="2">
        <v>6</v>
      </c>
    </row>
    <row r="311" spans="1:1" x14ac:dyDescent="0.3">
      <c r="A311" s="1">
        <v>6</v>
      </c>
    </row>
    <row r="312" spans="1:1" x14ac:dyDescent="0.3">
      <c r="A312" s="2">
        <v>6</v>
      </c>
    </row>
    <row r="313" spans="1:1" x14ac:dyDescent="0.3">
      <c r="A313" s="1">
        <v>6</v>
      </c>
    </row>
    <row r="314" spans="1:1" x14ac:dyDescent="0.3">
      <c r="A314" s="2">
        <v>6</v>
      </c>
    </row>
    <row r="315" spans="1:1" x14ac:dyDescent="0.3">
      <c r="A315" s="1">
        <v>4</v>
      </c>
    </row>
    <row r="316" spans="1:1" x14ac:dyDescent="0.3">
      <c r="A316" s="2">
        <v>4</v>
      </c>
    </row>
    <row r="317" spans="1:1" x14ac:dyDescent="0.3">
      <c r="A317" s="1">
        <v>4</v>
      </c>
    </row>
    <row r="318" spans="1:1" x14ac:dyDescent="0.3">
      <c r="A318" s="2">
        <v>4</v>
      </c>
    </row>
    <row r="319" spans="1:1" x14ac:dyDescent="0.3">
      <c r="A319" s="1">
        <v>6</v>
      </c>
    </row>
    <row r="320" spans="1:1" x14ac:dyDescent="0.3">
      <c r="A320" s="2">
        <v>6</v>
      </c>
    </row>
    <row r="321" spans="1:1" x14ac:dyDescent="0.3">
      <c r="A321" s="1">
        <v>4</v>
      </c>
    </row>
    <row r="322" spans="1:1" x14ac:dyDescent="0.3">
      <c r="A322" s="2">
        <v>6</v>
      </c>
    </row>
    <row r="323" spans="1:1" x14ac:dyDescent="0.3">
      <c r="A323" s="1">
        <v>4</v>
      </c>
    </row>
    <row r="324" spans="1:1" x14ac:dyDescent="0.3">
      <c r="A324" s="2">
        <v>4</v>
      </c>
    </row>
    <row r="325" spans="1:1" x14ac:dyDescent="0.3">
      <c r="A325" s="1">
        <v>4</v>
      </c>
    </row>
    <row r="326" spans="1:1" x14ac:dyDescent="0.3">
      <c r="A326" s="2">
        <v>4</v>
      </c>
    </row>
    <row r="327" spans="1:1" x14ac:dyDescent="0.3">
      <c r="A327" s="1">
        <v>6</v>
      </c>
    </row>
    <row r="328" spans="1:1" x14ac:dyDescent="0.3">
      <c r="A328" s="2">
        <v>4</v>
      </c>
    </row>
    <row r="329" spans="1:1" x14ac:dyDescent="0.3">
      <c r="A329" s="1">
        <v>4</v>
      </c>
    </row>
    <row r="330" spans="1:1" x14ac:dyDescent="0.3">
      <c r="A330" s="2">
        <v>4</v>
      </c>
    </row>
    <row r="331" spans="1:1" x14ac:dyDescent="0.3">
      <c r="A331" s="1">
        <v>6</v>
      </c>
    </row>
    <row r="332" spans="1:1" x14ac:dyDescent="0.3">
      <c r="A332" s="2">
        <v>4</v>
      </c>
    </row>
    <row r="333" spans="1:1" x14ac:dyDescent="0.3">
      <c r="A333" s="1">
        <v>6</v>
      </c>
    </row>
    <row r="334" spans="1:1" x14ac:dyDescent="0.3">
      <c r="A334" s="2">
        <v>4</v>
      </c>
    </row>
    <row r="335" spans="1:1" x14ac:dyDescent="0.3">
      <c r="A335" s="1">
        <v>4</v>
      </c>
    </row>
    <row r="336" spans="1:1" x14ac:dyDescent="0.3">
      <c r="A336" s="2">
        <v>4</v>
      </c>
    </row>
    <row r="337" spans="1:1" x14ac:dyDescent="0.3">
      <c r="A337" s="1">
        <v>4</v>
      </c>
    </row>
    <row r="338" spans="1:1" x14ac:dyDescent="0.3">
      <c r="A338" s="2">
        <v>4</v>
      </c>
    </row>
    <row r="339" spans="1:1" x14ac:dyDescent="0.3">
      <c r="A339" s="1">
        <v>4</v>
      </c>
    </row>
    <row r="340" spans="1:1" x14ac:dyDescent="0.3">
      <c r="A340" s="2">
        <v>4</v>
      </c>
    </row>
    <row r="341" spans="1:1" x14ac:dyDescent="0.3">
      <c r="A341" s="1">
        <v>4</v>
      </c>
    </row>
    <row r="342" spans="1:1" x14ac:dyDescent="0.3">
      <c r="A342" s="2">
        <v>4</v>
      </c>
    </row>
    <row r="343" spans="1:1" x14ac:dyDescent="0.3">
      <c r="A343" s="1">
        <v>4</v>
      </c>
    </row>
    <row r="344" spans="1:1" x14ac:dyDescent="0.3">
      <c r="A344" s="2">
        <v>4</v>
      </c>
    </row>
    <row r="345" spans="1:1" x14ac:dyDescent="0.3">
      <c r="A345" s="1">
        <v>4</v>
      </c>
    </row>
    <row r="346" spans="1:1" x14ac:dyDescent="0.3">
      <c r="A346" s="2">
        <v>6</v>
      </c>
    </row>
    <row r="347" spans="1:1" x14ac:dyDescent="0.3">
      <c r="A347" s="1">
        <v>4</v>
      </c>
    </row>
    <row r="348" spans="1:1" x14ac:dyDescent="0.3">
      <c r="A348" s="2">
        <v>4</v>
      </c>
    </row>
    <row r="349" spans="1:1" x14ac:dyDescent="0.3">
      <c r="A349" s="1">
        <v>4</v>
      </c>
    </row>
    <row r="350" spans="1:1" x14ac:dyDescent="0.3">
      <c r="A350" s="2">
        <v>4</v>
      </c>
    </row>
    <row r="351" spans="1:1" x14ac:dyDescent="0.3">
      <c r="A351" s="1">
        <v>4</v>
      </c>
    </row>
    <row r="352" spans="1:1" x14ac:dyDescent="0.3">
      <c r="A352" s="2">
        <v>4</v>
      </c>
    </row>
    <row r="353" spans="1:1" x14ac:dyDescent="0.3">
      <c r="A353" s="1">
        <v>4</v>
      </c>
    </row>
    <row r="354" spans="1:1" x14ac:dyDescent="0.3">
      <c r="A354" s="2">
        <v>4</v>
      </c>
    </row>
    <row r="355" spans="1:1" x14ac:dyDescent="0.3">
      <c r="A355" s="1">
        <v>6</v>
      </c>
    </row>
    <row r="356" spans="1:1" x14ac:dyDescent="0.3">
      <c r="A356" s="2">
        <v>6</v>
      </c>
    </row>
    <row r="357" spans="1:1" x14ac:dyDescent="0.3">
      <c r="A357" s="1">
        <v>6</v>
      </c>
    </row>
    <row r="358" spans="1:1" x14ac:dyDescent="0.3">
      <c r="A358" s="2">
        <v>6</v>
      </c>
    </row>
    <row r="359" spans="1:1" x14ac:dyDescent="0.3">
      <c r="A359" s="1">
        <v>6</v>
      </c>
    </row>
    <row r="360" spans="1:1" x14ac:dyDescent="0.3">
      <c r="A360" s="2">
        <v>4</v>
      </c>
    </row>
    <row r="361" spans="1:1" x14ac:dyDescent="0.3">
      <c r="A361" s="1">
        <v>6</v>
      </c>
    </row>
    <row r="362" spans="1:1" x14ac:dyDescent="0.3">
      <c r="A362" s="2">
        <v>4</v>
      </c>
    </row>
    <row r="363" spans="1:1" x14ac:dyDescent="0.3">
      <c r="A363" s="1">
        <v>4</v>
      </c>
    </row>
    <row r="364" spans="1:1" x14ac:dyDescent="0.3">
      <c r="A364" s="2">
        <v>4</v>
      </c>
    </row>
    <row r="365" spans="1:1" x14ac:dyDescent="0.3">
      <c r="A365" s="1">
        <v>4</v>
      </c>
    </row>
    <row r="366" spans="1:1" x14ac:dyDescent="0.3">
      <c r="A366" s="2">
        <v>4</v>
      </c>
    </row>
    <row r="367" spans="1:1" x14ac:dyDescent="0.3">
      <c r="A367" s="1">
        <v>4</v>
      </c>
    </row>
    <row r="368" spans="1:1" x14ac:dyDescent="0.3">
      <c r="A368" s="2">
        <v>6</v>
      </c>
    </row>
    <row r="369" spans="1:1" x14ac:dyDescent="0.3">
      <c r="A369" s="1">
        <v>4</v>
      </c>
    </row>
    <row r="370" spans="1:1" x14ac:dyDescent="0.3">
      <c r="A370" s="2">
        <v>4</v>
      </c>
    </row>
    <row r="371" spans="1:1" x14ac:dyDescent="0.3">
      <c r="A371" s="1">
        <v>4</v>
      </c>
    </row>
    <row r="372" spans="1:1" x14ac:dyDescent="0.3">
      <c r="A372" s="2">
        <v>4</v>
      </c>
    </row>
    <row r="373" spans="1:1" x14ac:dyDescent="0.3">
      <c r="A373" s="1">
        <v>4</v>
      </c>
    </row>
    <row r="374" spans="1:1" x14ac:dyDescent="0.3">
      <c r="A374" s="2">
        <v>6</v>
      </c>
    </row>
    <row r="375" spans="1:1" x14ac:dyDescent="0.3">
      <c r="A375" s="1">
        <v>6</v>
      </c>
    </row>
    <row r="376" spans="1:1" x14ac:dyDescent="0.3">
      <c r="A376" s="2">
        <v>6</v>
      </c>
    </row>
    <row r="377" spans="1:1" x14ac:dyDescent="0.3">
      <c r="A377" s="1">
        <v>4</v>
      </c>
    </row>
    <row r="378" spans="1:1" x14ac:dyDescent="0.3">
      <c r="A378" s="2">
        <v>6</v>
      </c>
    </row>
    <row r="379" spans="1:1" x14ac:dyDescent="0.3">
      <c r="A379" s="1">
        <v>2</v>
      </c>
    </row>
    <row r="380" spans="1:1" x14ac:dyDescent="0.3">
      <c r="A380" s="2">
        <v>2</v>
      </c>
    </row>
    <row r="381" spans="1:1" x14ac:dyDescent="0.3">
      <c r="A381" s="1">
        <v>6</v>
      </c>
    </row>
    <row r="382" spans="1:1" x14ac:dyDescent="0.3">
      <c r="A382" s="2">
        <v>4</v>
      </c>
    </row>
    <row r="383" spans="1:1" x14ac:dyDescent="0.3">
      <c r="A383" s="1">
        <v>4</v>
      </c>
    </row>
    <row r="384" spans="1:1" x14ac:dyDescent="0.3">
      <c r="A384" s="2">
        <v>6</v>
      </c>
    </row>
    <row r="385" spans="1:1" x14ac:dyDescent="0.3">
      <c r="A385" s="1">
        <v>4</v>
      </c>
    </row>
    <row r="386" spans="1:1" x14ac:dyDescent="0.3">
      <c r="A386" s="2">
        <v>4</v>
      </c>
    </row>
    <row r="387" spans="1:1" x14ac:dyDescent="0.3">
      <c r="A387" s="1">
        <v>4</v>
      </c>
    </row>
    <row r="388" spans="1:1" x14ac:dyDescent="0.3">
      <c r="A388" s="2">
        <v>4</v>
      </c>
    </row>
    <row r="389" spans="1:1" x14ac:dyDescent="0.3">
      <c r="A389" s="1">
        <v>4</v>
      </c>
    </row>
    <row r="390" spans="1:1" x14ac:dyDescent="0.3">
      <c r="A390" s="2">
        <v>4</v>
      </c>
    </row>
    <row r="391" spans="1:1" x14ac:dyDescent="0.3">
      <c r="A391" s="1">
        <v>4</v>
      </c>
    </row>
    <row r="392" spans="1:1" x14ac:dyDescent="0.3">
      <c r="A392" s="2">
        <v>4</v>
      </c>
    </row>
    <row r="393" spans="1:1" x14ac:dyDescent="0.3">
      <c r="A393" s="1">
        <v>4</v>
      </c>
    </row>
    <row r="394" spans="1:1" x14ac:dyDescent="0.3">
      <c r="A394" s="2">
        <v>4</v>
      </c>
    </row>
    <row r="395" spans="1:1" x14ac:dyDescent="0.3">
      <c r="A395" s="1">
        <v>4</v>
      </c>
    </row>
    <row r="396" spans="1:1" x14ac:dyDescent="0.3">
      <c r="A396" s="2">
        <v>4</v>
      </c>
    </row>
    <row r="397" spans="1:1" x14ac:dyDescent="0.3">
      <c r="A397" s="1">
        <v>4</v>
      </c>
    </row>
    <row r="398" spans="1:1" x14ac:dyDescent="0.3">
      <c r="A398" s="2">
        <v>4</v>
      </c>
    </row>
    <row r="399" spans="1:1" x14ac:dyDescent="0.3">
      <c r="A399" s="1">
        <v>4</v>
      </c>
    </row>
    <row r="400" spans="1:1" x14ac:dyDescent="0.3">
      <c r="A400" s="2">
        <v>4</v>
      </c>
    </row>
    <row r="401" spans="1:1" x14ac:dyDescent="0.3">
      <c r="A401" s="1">
        <v>4</v>
      </c>
    </row>
    <row r="402" spans="1:1" x14ac:dyDescent="0.3">
      <c r="A402" s="2">
        <v>4</v>
      </c>
    </row>
    <row r="403" spans="1:1" x14ac:dyDescent="0.3">
      <c r="A403" s="1">
        <v>4</v>
      </c>
    </row>
    <row r="404" spans="1:1" x14ac:dyDescent="0.3">
      <c r="A404" s="2">
        <v>4</v>
      </c>
    </row>
    <row r="405" spans="1:1" x14ac:dyDescent="0.3">
      <c r="A405" s="1">
        <v>4</v>
      </c>
    </row>
    <row r="406" spans="1:1" x14ac:dyDescent="0.3">
      <c r="A406" s="2">
        <v>6</v>
      </c>
    </row>
    <row r="407" spans="1:1" x14ac:dyDescent="0.3">
      <c r="A407" s="1">
        <v>6</v>
      </c>
    </row>
    <row r="408" spans="1:1" x14ac:dyDescent="0.3">
      <c r="A408" s="2">
        <v>4</v>
      </c>
    </row>
    <row r="409" spans="1:1" x14ac:dyDescent="0.3">
      <c r="A409" s="1">
        <v>6</v>
      </c>
    </row>
    <row r="410" spans="1:1" x14ac:dyDescent="0.3">
      <c r="A410" s="2">
        <v>4</v>
      </c>
    </row>
    <row r="411" spans="1:1" x14ac:dyDescent="0.3">
      <c r="A411" s="1">
        <v>6</v>
      </c>
    </row>
    <row r="412" spans="1:1" x14ac:dyDescent="0.3">
      <c r="A412" s="2">
        <v>4</v>
      </c>
    </row>
    <row r="413" spans="1:1" x14ac:dyDescent="0.3">
      <c r="A413" s="1">
        <v>4</v>
      </c>
    </row>
    <row r="414" spans="1:1" x14ac:dyDescent="0.3">
      <c r="A414" s="2">
        <v>4</v>
      </c>
    </row>
    <row r="415" spans="1:1" x14ac:dyDescent="0.3">
      <c r="A415" s="1">
        <v>4</v>
      </c>
    </row>
    <row r="416" spans="1:1" x14ac:dyDescent="0.3">
      <c r="A416" s="2">
        <v>6</v>
      </c>
    </row>
    <row r="417" spans="1:1" x14ac:dyDescent="0.3">
      <c r="A417" s="1">
        <v>6</v>
      </c>
    </row>
    <row r="418" spans="1:1" x14ac:dyDescent="0.3">
      <c r="A418" s="2">
        <v>4</v>
      </c>
    </row>
    <row r="419" spans="1:1" x14ac:dyDescent="0.3">
      <c r="A419" s="1">
        <v>4</v>
      </c>
    </row>
    <row r="420" spans="1:1" x14ac:dyDescent="0.3">
      <c r="A420" s="2">
        <v>6</v>
      </c>
    </row>
    <row r="421" spans="1:1" x14ac:dyDescent="0.3">
      <c r="A421" s="1">
        <v>4</v>
      </c>
    </row>
    <row r="422" spans="1:1" x14ac:dyDescent="0.3">
      <c r="A422" s="2">
        <v>4</v>
      </c>
    </row>
    <row r="423" spans="1:1" x14ac:dyDescent="0.3">
      <c r="A423" s="1">
        <v>4</v>
      </c>
    </row>
    <row r="424" spans="1:1" x14ac:dyDescent="0.3">
      <c r="A424" s="2">
        <v>4</v>
      </c>
    </row>
    <row r="425" spans="1:1" x14ac:dyDescent="0.3">
      <c r="A425" s="1">
        <v>4</v>
      </c>
    </row>
    <row r="426" spans="1:1" x14ac:dyDescent="0.3">
      <c r="A426" s="2">
        <v>4</v>
      </c>
    </row>
    <row r="427" spans="1:1" x14ac:dyDescent="0.3">
      <c r="A427" s="1">
        <v>4</v>
      </c>
    </row>
    <row r="428" spans="1:1" x14ac:dyDescent="0.3">
      <c r="A428" s="2">
        <v>4</v>
      </c>
    </row>
    <row r="429" spans="1:1" x14ac:dyDescent="0.3">
      <c r="A429" s="1">
        <v>6</v>
      </c>
    </row>
    <row r="430" spans="1:1" x14ac:dyDescent="0.3">
      <c r="A430" s="2">
        <v>4</v>
      </c>
    </row>
    <row r="431" spans="1:1" x14ac:dyDescent="0.3">
      <c r="A431" s="1">
        <v>4</v>
      </c>
    </row>
    <row r="432" spans="1:1" x14ac:dyDescent="0.3">
      <c r="A432" s="2">
        <v>2</v>
      </c>
    </row>
    <row r="433" spans="1:1" x14ac:dyDescent="0.3">
      <c r="A433" s="1">
        <v>6</v>
      </c>
    </row>
    <row r="434" spans="1:1" x14ac:dyDescent="0.3">
      <c r="A434" s="2">
        <v>2</v>
      </c>
    </row>
    <row r="435" spans="1:1" x14ac:dyDescent="0.3">
      <c r="A435" s="1">
        <v>2</v>
      </c>
    </row>
    <row r="436" spans="1:1" x14ac:dyDescent="0.3">
      <c r="A436" s="2">
        <v>4</v>
      </c>
    </row>
    <row r="437" spans="1:1" x14ac:dyDescent="0.3">
      <c r="A437" s="1">
        <v>4</v>
      </c>
    </row>
    <row r="438" spans="1:1" x14ac:dyDescent="0.3">
      <c r="A438" s="2">
        <v>4</v>
      </c>
    </row>
    <row r="439" spans="1:1" x14ac:dyDescent="0.3">
      <c r="A439" s="1">
        <v>4</v>
      </c>
    </row>
    <row r="440" spans="1:1" x14ac:dyDescent="0.3">
      <c r="A440" s="2">
        <v>4</v>
      </c>
    </row>
    <row r="441" spans="1:1" x14ac:dyDescent="0.3">
      <c r="A441" s="1">
        <v>6</v>
      </c>
    </row>
    <row r="442" spans="1:1" x14ac:dyDescent="0.3">
      <c r="A442" s="2">
        <v>4</v>
      </c>
    </row>
    <row r="443" spans="1:1" x14ac:dyDescent="0.3">
      <c r="A443" s="1">
        <v>4</v>
      </c>
    </row>
    <row r="444" spans="1:1" x14ac:dyDescent="0.3">
      <c r="A444" s="2">
        <v>4</v>
      </c>
    </row>
    <row r="445" spans="1:1" x14ac:dyDescent="0.3">
      <c r="A445" s="1">
        <v>4</v>
      </c>
    </row>
    <row r="446" spans="1:1" x14ac:dyDescent="0.3">
      <c r="A446" s="2">
        <v>4</v>
      </c>
    </row>
    <row r="447" spans="1:1" x14ac:dyDescent="0.3">
      <c r="A447" s="1">
        <v>4</v>
      </c>
    </row>
    <row r="448" spans="1:1" x14ac:dyDescent="0.3">
      <c r="A448" s="2">
        <v>4</v>
      </c>
    </row>
    <row r="449" spans="1:1" x14ac:dyDescent="0.3">
      <c r="A449" s="1">
        <v>6</v>
      </c>
    </row>
    <row r="450" spans="1:1" x14ac:dyDescent="0.3">
      <c r="A450" s="2">
        <v>4</v>
      </c>
    </row>
    <row r="451" spans="1:1" x14ac:dyDescent="0.3">
      <c r="A451" s="1">
        <v>4</v>
      </c>
    </row>
    <row r="452" spans="1:1" x14ac:dyDescent="0.3">
      <c r="A452" s="2">
        <v>4</v>
      </c>
    </row>
    <row r="453" spans="1:1" x14ac:dyDescent="0.3">
      <c r="A453" s="1">
        <v>4</v>
      </c>
    </row>
    <row r="454" spans="1:1" x14ac:dyDescent="0.3">
      <c r="A454" s="2">
        <v>2</v>
      </c>
    </row>
    <row r="455" spans="1:1" x14ac:dyDescent="0.3">
      <c r="A455" s="1">
        <v>4</v>
      </c>
    </row>
    <row r="456" spans="1:1" x14ac:dyDescent="0.3">
      <c r="A456" s="2">
        <v>4</v>
      </c>
    </row>
    <row r="457" spans="1:1" x14ac:dyDescent="0.3">
      <c r="A457" s="1">
        <v>2</v>
      </c>
    </row>
    <row r="458" spans="1:1" x14ac:dyDescent="0.3">
      <c r="A458" s="2">
        <v>2</v>
      </c>
    </row>
    <row r="459" spans="1:1" x14ac:dyDescent="0.3">
      <c r="A459" s="1">
        <v>6</v>
      </c>
    </row>
    <row r="460" spans="1:1" x14ac:dyDescent="0.3">
      <c r="A460" s="2">
        <v>6</v>
      </c>
    </row>
    <row r="461" spans="1:1" x14ac:dyDescent="0.3">
      <c r="A461" s="1">
        <v>4</v>
      </c>
    </row>
    <row r="462" spans="1:1" x14ac:dyDescent="0.3">
      <c r="A462" s="2">
        <v>4</v>
      </c>
    </row>
    <row r="463" spans="1:1" x14ac:dyDescent="0.3">
      <c r="A463" s="1">
        <v>4</v>
      </c>
    </row>
    <row r="464" spans="1:1" x14ac:dyDescent="0.3">
      <c r="A464" s="2">
        <v>6</v>
      </c>
    </row>
    <row r="465" spans="1:1" x14ac:dyDescent="0.3">
      <c r="A465" s="1">
        <v>6</v>
      </c>
    </row>
    <row r="466" spans="1:1" x14ac:dyDescent="0.3">
      <c r="A466" s="2">
        <v>4</v>
      </c>
    </row>
    <row r="467" spans="1:1" x14ac:dyDescent="0.3">
      <c r="A467" s="1">
        <v>4</v>
      </c>
    </row>
    <row r="468" spans="1:1" x14ac:dyDescent="0.3">
      <c r="A468" s="2">
        <v>4</v>
      </c>
    </row>
    <row r="469" spans="1:1" x14ac:dyDescent="0.3">
      <c r="A469" s="1">
        <v>6</v>
      </c>
    </row>
    <row r="470" spans="1:1" x14ac:dyDescent="0.3">
      <c r="A470" s="2">
        <v>6</v>
      </c>
    </row>
    <row r="471" spans="1:1" x14ac:dyDescent="0.3">
      <c r="A471" s="1">
        <v>6</v>
      </c>
    </row>
    <row r="472" spans="1:1" x14ac:dyDescent="0.3">
      <c r="A472" s="2">
        <v>6</v>
      </c>
    </row>
    <row r="473" spans="1:1" x14ac:dyDescent="0.3">
      <c r="A473" s="1">
        <v>6</v>
      </c>
    </row>
    <row r="474" spans="1:1" x14ac:dyDescent="0.3">
      <c r="A474" s="2">
        <v>4</v>
      </c>
    </row>
    <row r="475" spans="1:1" x14ac:dyDescent="0.3">
      <c r="A475" s="1">
        <v>4</v>
      </c>
    </row>
    <row r="476" spans="1:1" x14ac:dyDescent="0.3">
      <c r="A476" s="2">
        <v>4</v>
      </c>
    </row>
    <row r="477" spans="1:1" x14ac:dyDescent="0.3">
      <c r="A477" s="1">
        <v>4</v>
      </c>
    </row>
    <row r="478" spans="1:1" x14ac:dyDescent="0.3">
      <c r="A478" s="2">
        <v>4</v>
      </c>
    </row>
    <row r="479" spans="1:1" x14ac:dyDescent="0.3">
      <c r="A479" s="1">
        <v>4</v>
      </c>
    </row>
    <row r="480" spans="1:1" x14ac:dyDescent="0.3">
      <c r="A480" s="2">
        <v>4</v>
      </c>
    </row>
    <row r="481" spans="1:1" x14ac:dyDescent="0.3">
      <c r="A481" s="1">
        <v>4</v>
      </c>
    </row>
    <row r="482" spans="1:1" x14ac:dyDescent="0.3">
      <c r="A482" s="2">
        <v>4</v>
      </c>
    </row>
    <row r="483" spans="1:1" x14ac:dyDescent="0.3">
      <c r="A483" s="1">
        <v>4</v>
      </c>
    </row>
    <row r="484" spans="1:1" x14ac:dyDescent="0.3">
      <c r="A484" s="2">
        <v>4</v>
      </c>
    </row>
    <row r="485" spans="1:1" x14ac:dyDescent="0.3">
      <c r="A485" s="1">
        <v>4</v>
      </c>
    </row>
    <row r="486" spans="1:1" x14ac:dyDescent="0.3">
      <c r="A486" s="2">
        <v>4</v>
      </c>
    </row>
    <row r="487" spans="1:1" x14ac:dyDescent="0.3">
      <c r="A487" s="1">
        <v>4</v>
      </c>
    </row>
    <row r="488" spans="1:1" x14ac:dyDescent="0.3">
      <c r="A488" s="2">
        <v>4</v>
      </c>
    </row>
    <row r="489" spans="1:1" x14ac:dyDescent="0.3">
      <c r="A489" s="1">
        <v>4</v>
      </c>
    </row>
    <row r="490" spans="1:1" x14ac:dyDescent="0.3">
      <c r="A490" s="2">
        <v>4</v>
      </c>
    </row>
    <row r="491" spans="1:1" x14ac:dyDescent="0.3">
      <c r="A491" s="1">
        <v>4</v>
      </c>
    </row>
    <row r="492" spans="1:1" x14ac:dyDescent="0.3">
      <c r="A492" s="2">
        <v>4</v>
      </c>
    </row>
    <row r="493" spans="1:1" x14ac:dyDescent="0.3">
      <c r="A493" s="1">
        <v>4</v>
      </c>
    </row>
    <row r="494" spans="1:1" x14ac:dyDescent="0.3">
      <c r="A494" s="2">
        <v>4</v>
      </c>
    </row>
    <row r="495" spans="1:1" x14ac:dyDescent="0.3">
      <c r="A495" s="1">
        <v>6</v>
      </c>
    </row>
    <row r="496" spans="1:1" x14ac:dyDescent="0.3">
      <c r="A496" s="2">
        <v>4</v>
      </c>
    </row>
    <row r="497" spans="1:1" x14ac:dyDescent="0.3">
      <c r="A497" s="1">
        <v>4</v>
      </c>
    </row>
    <row r="498" spans="1:1" x14ac:dyDescent="0.3">
      <c r="A498" s="2">
        <v>4</v>
      </c>
    </row>
    <row r="499" spans="1:1" x14ac:dyDescent="0.3">
      <c r="A499" s="1">
        <v>4</v>
      </c>
    </row>
    <row r="500" spans="1:1" x14ac:dyDescent="0.3">
      <c r="A500" s="2">
        <v>4</v>
      </c>
    </row>
    <row r="501" spans="1:1" x14ac:dyDescent="0.3">
      <c r="A501" s="1">
        <v>4</v>
      </c>
    </row>
    <row r="502" spans="1:1" x14ac:dyDescent="0.3">
      <c r="A502" s="2">
        <v>4</v>
      </c>
    </row>
    <row r="503" spans="1:1" x14ac:dyDescent="0.3">
      <c r="A503" s="1">
        <v>4</v>
      </c>
    </row>
    <row r="504" spans="1:1" x14ac:dyDescent="0.3">
      <c r="A504" s="2">
        <v>4</v>
      </c>
    </row>
    <row r="505" spans="1:1" x14ac:dyDescent="0.3">
      <c r="A505" s="1">
        <v>6</v>
      </c>
    </row>
    <row r="506" spans="1:1" x14ac:dyDescent="0.3">
      <c r="A506" s="2">
        <v>4</v>
      </c>
    </row>
    <row r="507" spans="1:1" x14ac:dyDescent="0.3">
      <c r="A507" s="1">
        <v>6</v>
      </c>
    </row>
    <row r="508" spans="1:1" x14ac:dyDescent="0.3">
      <c r="A508" s="2">
        <v>6</v>
      </c>
    </row>
    <row r="509" spans="1:1" x14ac:dyDescent="0.3">
      <c r="A509" s="1">
        <v>4</v>
      </c>
    </row>
    <row r="510" spans="1:1" x14ac:dyDescent="0.3">
      <c r="A510" s="2">
        <v>4</v>
      </c>
    </row>
    <row r="511" spans="1:1" x14ac:dyDescent="0.3">
      <c r="A511" s="1">
        <v>4</v>
      </c>
    </row>
    <row r="512" spans="1:1" x14ac:dyDescent="0.3">
      <c r="A512" s="2">
        <v>4</v>
      </c>
    </row>
    <row r="513" spans="1:1" x14ac:dyDescent="0.3">
      <c r="A513" s="1">
        <v>4</v>
      </c>
    </row>
    <row r="514" spans="1:1" x14ac:dyDescent="0.3">
      <c r="A514" s="2">
        <v>4</v>
      </c>
    </row>
    <row r="515" spans="1:1" x14ac:dyDescent="0.3">
      <c r="A515" s="1">
        <v>4</v>
      </c>
    </row>
    <row r="516" spans="1:1" x14ac:dyDescent="0.3">
      <c r="A516" s="2">
        <v>4</v>
      </c>
    </row>
    <row r="517" spans="1:1" x14ac:dyDescent="0.3">
      <c r="A517" s="1">
        <v>4</v>
      </c>
    </row>
    <row r="518" spans="1:1" x14ac:dyDescent="0.3">
      <c r="A518" s="2">
        <v>4</v>
      </c>
    </row>
    <row r="519" spans="1:1" x14ac:dyDescent="0.3">
      <c r="A519" s="1">
        <v>4</v>
      </c>
    </row>
    <row r="520" spans="1:1" x14ac:dyDescent="0.3">
      <c r="A520" s="2">
        <v>4</v>
      </c>
    </row>
    <row r="521" spans="1:1" x14ac:dyDescent="0.3">
      <c r="A521" s="1">
        <v>4</v>
      </c>
    </row>
    <row r="522" spans="1:1" x14ac:dyDescent="0.3">
      <c r="A522" s="2">
        <v>4</v>
      </c>
    </row>
    <row r="523" spans="1:1" x14ac:dyDescent="0.3">
      <c r="A523" s="1">
        <v>4</v>
      </c>
    </row>
    <row r="524" spans="1:1" x14ac:dyDescent="0.3">
      <c r="A524" s="2">
        <v>4</v>
      </c>
    </row>
    <row r="525" spans="1:1" x14ac:dyDescent="0.3">
      <c r="A525" s="1">
        <v>4</v>
      </c>
    </row>
    <row r="526" spans="1:1" x14ac:dyDescent="0.3">
      <c r="A526" s="2">
        <v>4</v>
      </c>
    </row>
    <row r="527" spans="1:1" x14ac:dyDescent="0.3">
      <c r="A527" s="1">
        <v>4</v>
      </c>
    </row>
    <row r="528" spans="1:1" x14ac:dyDescent="0.3">
      <c r="A528" s="2">
        <v>6</v>
      </c>
    </row>
    <row r="529" spans="1:1" x14ac:dyDescent="0.3">
      <c r="A529" s="1">
        <v>4</v>
      </c>
    </row>
    <row r="530" spans="1:1" x14ac:dyDescent="0.3">
      <c r="A530" s="2">
        <v>4</v>
      </c>
    </row>
    <row r="531" spans="1:1" x14ac:dyDescent="0.3">
      <c r="A531" s="1">
        <v>4</v>
      </c>
    </row>
    <row r="532" spans="1:1" x14ac:dyDescent="0.3">
      <c r="A532" s="2">
        <v>4</v>
      </c>
    </row>
    <row r="533" spans="1:1" x14ac:dyDescent="0.3">
      <c r="A533" s="1">
        <v>4</v>
      </c>
    </row>
    <row r="534" spans="1:1" x14ac:dyDescent="0.3">
      <c r="A534" s="2">
        <v>6</v>
      </c>
    </row>
    <row r="535" spans="1:1" x14ac:dyDescent="0.3">
      <c r="A535" s="1">
        <v>6</v>
      </c>
    </row>
    <row r="536" spans="1:1" x14ac:dyDescent="0.3">
      <c r="A536" s="2">
        <v>4</v>
      </c>
    </row>
    <row r="537" spans="1:1" x14ac:dyDescent="0.3">
      <c r="A537" s="1">
        <v>4</v>
      </c>
    </row>
    <row r="538" spans="1:1" x14ac:dyDescent="0.3">
      <c r="A538" s="2">
        <v>4</v>
      </c>
    </row>
    <row r="539" spans="1:1" x14ac:dyDescent="0.3">
      <c r="A539" s="1">
        <v>4</v>
      </c>
    </row>
    <row r="540" spans="1:1" x14ac:dyDescent="0.3">
      <c r="A540" s="2">
        <v>4</v>
      </c>
    </row>
    <row r="541" spans="1:1" x14ac:dyDescent="0.3">
      <c r="A541" s="1">
        <v>6</v>
      </c>
    </row>
    <row r="542" spans="1:1" x14ac:dyDescent="0.3">
      <c r="A542" s="2">
        <v>6</v>
      </c>
    </row>
    <row r="543" spans="1:1" x14ac:dyDescent="0.3">
      <c r="A543" s="1">
        <v>6</v>
      </c>
    </row>
    <row r="544" spans="1:1" x14ac:dyDescent="0.3">
      <c r="A544" s="2">
        <v>6</v>
      </c>
    </row>
    <row r="545" spans="1:1" x14ac:dyDescent="0.3">
      <c r="A545" s="1">
        <v>6</v>
      </c>
    </row>
    <row r="546" spans="1:1" x14ac:dyDescent="0.3">
      <c r="A546" s="2">
        <v>6</v>
      </c>
    </row>
    <row r="547" spans="1:1" x14ac:dyDescent="0.3">
      <c r="A547" s="1">
        <v>6</v>
      </c>
    </row>
    <row r="548" spans="1:1" x14ac:dyDescent="0.3">
      <c r="A548" s="2">
        <v>6</v>
      </c>
    </row>
    <row r="549" spans="1:1" x14ac:dyDescent="0.3">
      <c r="A549" s="1">
        <v>4</v>
      </c>
    </row>
    <row r="550" spans="1:1" x14ac:dyDescent="0.3">
      <c r="A550" s="2">
        <v>6</v>
      </c>
    </row>
    <row r="551" spans="1:1" x14ac:dyDescent="0.3">
      <c r="A551" s="1">
        <v>4</v>
      </c>
    </row>
    <row r="552" spans="1:1" x14ac:dyDescent="0.3">
      <c r="A552" s="2">
        <v>4</v>
      </c>
    </row>
    <row r="553" spans="1:1" x14ac:dyDescent="0.3">
      <c r="A553" s="1">
        <v>4</v>
      </c>
    </row>
    <row r="554" spans="1:1" x14ac:dyDescent="0.3">
      <c r="A554" s="2">
        <v>4</v>
      </c>
    </row>
    <row r="555" spans="1:1" x14ac:dyDescent="0.3">
      <c r="A555" s="1">
        <v>6</v>
      </c>
    </row>
    <row r="556" spans="1:1" x14ac:dyDescent="0.3">
      <c r="A556" s="2">
        <v>4</v>
      </c>
    </row>
    <row r="557" spans="1:1" x14ac:dyDescent="0.3">
      <c r="A557" s="1">
        <v>4</v>
      </c>
    </row>
    <row r="558" spans="1:1" x14ac:dyDescent="0.3">
      <c r="A558" s="2">
        <v>4</v>
      </c>
    </row>
    <row r="559" spans="1:1" x14ac:dyDescent="0.3">
      <c r="A559" s="1">
        <v>4</v>
      </c>
    </row>
    <row r="560" spans="1:1" x14ac:dyDescent="0.3">
      <c r="A560" s="2">
        <v>4</v>
      </c>
    </row>
    <row r="561" spans="1:1" x14ac:dyDescent="0.3">
      <c r="A561" s="1">
        <v>4</v>
      </c>
    </row>
    <row r="562" spans="1:1" x14ac:dyDescent="0.3">
      <c r="A562" s="2">
        <v>4</v>
      </c>
    </row>
    <row r="563" spans="1:1" x14ac:dyDescent="0.3">
      <c r="A563" s="1">
        <v>4</v>
      </c>
    </row>
    <row r="564" spans="1:1" x14ac:dyDescent="0.3">
      <c r="A564" s="2">
        <v>4</v>
      </c>
    </row>
    <row r="565" spans="1:1" x14ac:dyDescent="0.3">
      <c r="A565" s="1">
        <v>4</v>
      </c>
    </row>
    <row r="566" spans="1:1" x14ac:dyDescent="0.3">
      <c r="A566" s="2">
        <v>4</v>
      </c>
    </row>
    <row r="567" spans="1:1" x14ac:dyDescent="0.3">
      <c r="A567" s="1">
        <v>4</v>
      </c>
    </row>
    <row r="568" spans="1:1" x14ac:dyDescent="0.3">
      <c r="A568" s="2">
        <v>4</v>
      </c>
    </row>
    <row r="569" spans="1:1" x14ac:dyDescent="0.3">
      <c r="A569" s="1">
        <v>4</v>
      </c>
    </row>
    <row r="570" spans="1:1" x14ac:dyDescent="0.3">
      <c r="A570" s="2">
        <v>4</v>
      </c>
    </row>
    <row r="571" spans="1:1" x14ac:dyDescent="0.3">
      <c r="A571" s="1">
        <v>4</v>
      </c>
    </row>
    <row r="572" spans="1:1" x14ac:dyDescent="0.3">
      <c r="A572" s="2">
        <v>4</v>
      </c>
    </row>
    <row r="573" spans="1:1" x14ac:dyDescent="0.3">
      <c r="A573" s="1">
        <v>4</v>
      </c>
    </row>
    <row r="574" spans="1:1" x14ac:dyDescent="0.3">
      <c r="A574" s="2">
        <v>4</v>
      </c>
    </row>
    <row r="575" spans="1:1" x14ac:dyDescent="0.3">
      <c r="A575" s="1">
        <v>4</v>
      </c>
    </row>
    <row r="576" spans="1:1" x14ac:dyDescent="0.3">
      <c r="A576" s="2">
        <v>4</v>
      </c>
    </row>
    <row r="577" spans="1:1" x14ac:dyDescent="0.3">
      <c r="A577" s="1">
        <v>4</v>
      </c>
    </row>
    <row r="578" spans="1:1" x14ac:dyDescent="0.3">
      <c r="A578" s="2">
        <v>4</v>
      </c>
    </row>
    <row r="579" spans="1:1" x14ac:dyDescent="0.3">
      <c r="A579" s="1">
        <v>4</v>
      </c>
    </row>
    <row r="580" spans="1:1" x14ac:dyDescent="0.3">
      <c r="A580" s="2">
        <v>4</v>
      </c>
    </row>
    <row r="581" spans="1:1" x14ac:dyDescent="0.3">
      <c r="A581" s="1">
        <v>4</v>
      </c>
    </row>
    <row r="582" spans="1:1" x14ac:dyDescent="0.3">
      <c r="A582" s="2">
        <v>4</v>
      </c>
    </row>
    <row r="583" spans="1:1" x14ac:dyDescent="0.3">
      <c r="A583" s="1">
        <v>4</v>
      </c>
    </row>
    <row r="584" spans="1:1" x14ac:dyDescent="0.3">
      <c r="A584" s="2">
        <v>4</v>
      </c>
    </row>
    <row r="585" spans="1:1" x14ac:dyDescent="0.3">
      <c r="A585" s="1">
        <v>6</v>
      </c>
    </row>
    <row r="586" spans="1:1" x14ac:dyDescent="0.3">
      <c r="A586" s="2">
        <v>6</v>
      </c>
    </row>
    <row r="587" spans="1:1" x14ac:dyDescent="0.3">
      <c r="A587" s="1">
        <v>6</v>
      </c>
    </row>
    <row r="588" spans="1:1" x14ac:dyDescent="0.3">
      <c r="A588" s="2">
        <v>4</v>
      </c>
    </row>
    <row r="589" spans="1:1" x14ac:dyDescent="0.3">
      <c r="A589" s="1">
        <v>6</v>
      </c>
    </row>
    <row r="590" spans="1:1" x14ac:dyDescent="0.3">
      <c r="A590" s="2">
        <v>4</v>
      </c>
    </row>
    <row r="591" spans="1:1" x14ac:dyDescent="0.3">
      <c r="A591" s="1">
        <v>4</v>
      </c>
    </row>
    <row r="592" spans="1:1" x14ac:dyDescent="0.3">
      <c r="A592" s="2">
        <v>6</v>
      </c>
    </row>
    <row r="593" spans="1:1" x14ac:dyDescent="0.3">
      <c r="A593" s="1">
        <v>4</v>
      </c>
    </row>
    <row r="594" spans="1:1" x14ac:dyDescent="0.3">
      <c r="A594" s="2">
        <v>4</v>
      </c>
    </row>
    <row r="595" spans="1:1" x14ac:dyDescent="0.3">
      <c r="A595" s="1">
        <v>4</v>
      </c>
    </row>
    <row r="596" spans="1:1" x14ac:dyDescent="0.3">
      <c r="A596" s="2">
        <v>4</v>
      </c>
    </row>
    <row r="597" spans="1:1" x14ac:dyDescent="0.3">
      <c r="A597" s="1">
        <v>5</v>
      </c>
    </row>
    <row r="598" spans="1:1" x14ac:dyDescent="0.3">
      <c r="A598" s="2">
        <v>4</v>
      </c>
    </row>
    <row r="599" spans="1:1" x14ac:dyDescent="0.3">
      <c r="A599" s="1">
        <v>4</v>
      </c>
    </row>
    <row r="600" spans="1:1" x14ac:dyDescent="0.3">
      <c r="A600" s="2">
        <v>4</v>
      </c>
    </row>
    <row r="601" spans="1:1" x14ac:dyDescent="0.3">
      <c r="A601" s="1">
        <v>4</v>
      </c>
    </row>
    <row r="602" spans="1:1" x14ac:dyDescent="0.3">
      <c r="A602" s="2">
        <v>4</v>
      </c>
    </row>
    <row r="603" spans="1:1" x14ac:dyDescent="0.3">
      <c r="A603" s="1">
        <v>4</v>
      </c>
    </row>
    <row r="604" spans="1:1" x14ac:dyDescent="0.3">
      <c r="A604" s="2">
        <v>4</v>
      </c>
    </row>
    <row r="605" spans="1:1" x14ac:dyDescent="0.3">
      <c r="A605" s="1">
        <v>4</v>
      </c>
    </row>
    <row r="606" spans="1:1" x14ac:dyDescent="0.3">
      <c r="A606" s="2">
        <v>4</v>
      </c>
    </row>
    <row r="607" spans="1:1" x14ac:dyDescent="0.3">
      <c r="A607" s="1">
        <v>4</v>
      </c>
    </row>
    <row r="608" spans="1:1" x14ac:dyDescent="0.3">
      <c r="A608" s="2">
        <v>4</v>
      </c>
    </row>
    <row r="609" spans="1:1" x14ac:dyDescent="0.3">
      <c r="A609" s="1">
        <v>4</v>
      </c>
    </row>
    <row r="610" spans="1:1" x14ac:dyDescent="0.3">
      <c r="A610" s="2">
        <v>4</v>
      </c>
    </row>
    <row r="611" spans="1:1" x14ac:dyDescent="0.3">
      <c r="A611" s="1">
        <v>4</v>
      </c>
    </row>
    <row r="612" spans="1:1" x14ac:dyDescent="0.3">
      <c r="A612" s="2">
        <v>4</v>
      </c>
    </row>
    <row r="613" spans="1:1" x14ac:dyDescent="0.3">
      <c r="A613" s="1">
        <v>4</v>
      </c>
    </row>
    <row r="614" spans="1:1" x14ac:dyDescent="0.3">
      <c r="A614" s="2">
        <v>4</v>
      </c>
    </row>
    <row r="615" spans="1:1" x14ac:dyDescent="0.3">
      <c r="A615" s="1">
        <v>6</v>
      </c>
    </row>
    <row r="616" spans="1:1" x14ac:dyDescent="0.3">
      <c r="A616" s="2">
        <v>4</v>
      </c>
    </row>
    <row r="617" spans="1:1" x14ac:dyDescent="0.3">
      <c r="A617" s="1">
        <v>4</v>
      </c>
    </row>
    <row r="618" spans="1:1" x14ac:dyDescent="0.3">
      <c r="A618" s="2">
        <v>4</v>
      </c>
    </row>
    <row r="619" spans="1:1" x14ac:dyDescent="0.3">
      <c r="A619" s="1">
        <v>6</v>
      </c>
    </row>
    <row r="620" spans="1:1" x14ac:dyDescent="0.3">
      <c r="A620" s="2">
        <v>4</v>
      </c>
    </row>
    <row r="621" spans="1:1" x14ac:dyDescent="0.3">
      <c r="A621" s="1">
        <v>4</v>
      </c>
    </row>
    <row r="622" spans="1:1" x14ac:dyDescent="0.3">
      <c r="A622" s="2">
        <v>6</v>
      </c>
    </row>
    <row r="623" spans="1:1" x14ac:dyDescent="0.3">
      <c r="A623" s="1">
        <v>4</v>
      </c>
    </row>
    <row r="624" spans="1:1" x14ac:dyDescent="0.3">
      <c r="A624" s="2">
        <v>4</v>
      </c>
    </row>
    <row r="625" spans="1:1" x14ac:dyDescent="0.3">
      <c r="A625" s="1">
        <v>4</v>
      </c>
    </row>
    <row r="626" spans="1:1" x14ac:dyDescent="0.3">
      <c r="A626" s="2">
        <v>6</v>
      </c>
    </row>
    <row r="627" spans="1:1" x14ac:dyDescent="0.3">
      <c r="A627" s="1">
        <v>4</v>
      </c>
    </row>
    <row r="628" spans="1:1" x14ac:dyDescent="0.3">
      <c r="A628" s="2">
        <v>4</v>
      </c>
    </row>
    <row r="629" spans="1:1" x14ac:dyDescent="0.3">
      <c r="A629" s="1">
        <v>6</v>
      </c>
    </row>
    <row r="630" spans="1:1" x14ac:dyDescent="0.3">
      <c r="A630" s="2">
        <v>4</v>
      </c>
    </row>
    <row r="631" spans="1:1" x14ac:dyDescent="0.3">
      <c r="A631" s="1">
        <v>4</v>
      </c>
    </row>
    <row r="632" spans="1:1" x14ac:dyDescent="0.3">
      <c r="A632" s="2">
        <v>4</v>
      </c>
    </row>
    <row r="633" spans="1:1" x14ac:dyDescent="0.3">
      <c r="A633" s="1">
        <v>6</v>
      </c>
    </row>
    <row r="634" spans="1:1" x14ac:dyDescent="0.3">
      <c r="A634" s="2">
        <v>4</v>
      </c>
    </row>
    <row r="635" spans="1:1" x14ac:dyDescent="0.3">
      <c r="A635" s="1">
        <v>6</v>
      </c>
    </row>
    <row r="636" spans="1:1" x14ac:dyDescent="0.3">
      <c r="A636" s="2">
        <v>4</v>
      </c>
    </row>
    <row r="637" spans="1:1" x14ac:dyDescent="0.3">
      <c r="A637" s="1">
        <v>4</v>
      </c>
    </row>
    <row r="638" spans="1:1" x14ac:dyDescent="0.3">
      <c r="A638" s="2">
        <v>4</v>
      </c>
    </row>
    <row r="639" spans="1:1" x14ac:dyDescent="0.3">
      <c r="A639" s="1">
        <v>4</v>
      </c>
    </row>
    <row r="640" spans="1:1" x14ac:dyDescent="0.3">
      <c r="A640" s="2">
        <v>4</v>
      </c>
    </row>
    <row r="641" spans="1:1" x14ac:dyDescent="0.3">
      <c r="A641" s="1">
        <v>4</v>
      </c>
    </row>
    <row r="642" spans="1:1" x14ac:dyDescent="0.3">
      <c r="A642" s="2">
        <v>6</v>
      </c>
    </row>
    <row r="643" spans="1:1" x14ac:dyDescent="0.3">
      <c r="A643" s="1">
        <v>4</v>
      </c>
    </row>
    <row r="644" spans="1:1" x14ac:dyDescent="0.3">
      <c r="A644" s="2">
        <v>4</v>
      </c>
    </row>
    <row r="645" spans="1:1" x14ac:dyDescent="0.3">
      <c r="A645" s="1">
        <v>4</v>
      </c>
    </row>
    <row r="646" spans="1:1" x14ac:dyDescent="0.3">
      <c r="A646" s="2">
        <v>4</v>
      </c>
    </row>
    <row r="647" spans="1:1" x14ac:dyDescent="0.3">
      <c r="A647" s="1">
        <v>6</v>
      </c>
    </row>
    <row r="648" spans="1:1" x14ac:dyDescent="0.3">
      <c r="A648" s="2">
        <v>4</v>
      </c>
    </row>
    <row r="649" spans="1:1" x14ac:dyDescent="0.3">
      <c r="A649" s="1">
        <v>4</v>
      </c>
    </row>
    <row r="650" spans="1:1" x14ac:dyDescent="0.3">
      <c r="A650" s="2">
        <v>4</v>
      </c>
    </row>
    <row r="651" spans="1:1" x14ac:dyDescent="0.3">
      <c r="A651" s="1">
        <v>4</v>
      </c>
    </row>
    <row r="652" spans="1:1" x14ac:dyDescent="0.3">
      <c r="A652" s="2">
        <v>4</v>
      </c>
    </row>
    <row r="653" spans="1:1" x14ac:dyDescent="0.3">
      <c r="A653" s="1">
        <v>6</v>
      </c>
    </row>
    <row r="654" spans="1:1" x14ac:dyDescent="0.3">
      <c r="A654" s="2">
        <v>6</v>
      </c>
    </row>
    <row r="655" spans="1:1" x14ac:dyDescent="0.3">
      <c r="A655" s="1">
        <v>6</v>
      </c>
    </row>
    <row r="656" spans="1:1" x14ac:dyDescent="0.3">
      <c r="A656" s="2">
        <v>4</v>
      </c>
    </row>
    <row r="657" spans="1:1" x14ac:dyDescent="0.3">
      <c r="A657" s="1">
        <v>4</v>
      </c>
    </row>
    <row r="658" spans="1:1" x14ac:dyDescent="0.3">
      <c r="A658" s="2">
        <v>4</v>
      </c>
    </row>
    <row r="659" spans="1:1" x14ac:dyDescent="0.3">
      <c r="A659" s="1">
        <v>4</v>
      </c>
    </row>
    <row r="660" spans="1:1" x14ac:dyDescent="0.3">
      <c r="A660" s="2">
        <v>4</v>
      </c>
    </row>
    <row r="661" spans="1:1" x14ac:dyDescent="0.3">
      <c r="A661" s="1">
        <v>4</v>
      </c>
    </row>
    <row r="662" spans="1:1" x14ac:dyDescent="0.3">
      <c r="A662" s="2">
        <v>4</v>
      </c>
    </row>
    <row r="663" spans="1:1" x14ac:dyDescent="0.3">
      <c r="A663" s="1">
        <v>4</v>
      </c>
    </row>
    <row r="664" spans="1:1" x14ac:dyDescent="0.3">
      <c r="A664" s="2">
        <v>4</v>
      </c>
    </row>
    <row r="665" spans="1:1" x14ac:dyDescent="0.3">
      <c r="A665" s="1">
        <v>4</v>
      </c>
    </row>
    <row r="666" spans="1:1" x14ac:dyDescent="0.3">
      <c r="A666" s="2">
        <v>4</v>
      </c>
    </row>
    <row r="667" spans="1:1" x14ac:dyDescent="0.3">
      <c r="A667" s="1">
        <v>4</v>
      </c>
    </row>
    <row r="668" spans="1:1" x14ac:dyDescent="0.3">
      <c r="A668" s="2">
        <v>4</v>
      </c>
    </row>
    <row r="669" spans="1:1" x14ac:dyDescent="0.3">
      <c r="A669" s="1">
        <v>4</v>
      </c>
    </row>
    <row r="670" spans="1:1" x14ac:dyDescent="0.3">
      <c r="A670" s="2">
        <v>6</v>
      </c>
    </row>
    <row r="671" spans="1:1" x14ac:dyDescent="0.3">
      <c r="A671" s="1">
        <v>4</v>
      </c>
    </row>
    <row r="672" spans="1:1" x14ac:dyDescent="0.3">
      <c r="A672" s="2">
        <v>4</v>
      </c>
    </row>
    <row r="673" spans="1:1" x14ac:dyDescent="0.3">
      <c r="A673" s="1">
        <v>4</v>
      </c>
    </row>
    <row r="674" spans="1:1" x14ac:dyDescent="0.3">
      <c r="A674" s="2">
        <v>4</v>
      </c>
    </row>
    <row r="675" spans="1:1" x14ac:dyDescent="0.3">
      <c r="A675" s="1">
        <v>4</v>
      </c>
    </row>
    <row r="676" spans="1:1" x14ac:dyDescent="0.3">
      <c r="A676" s="2">
        <v>4</v>
      </c>
    </row>
    <row r="677" spans="1:1" x14ac:dyDescent="0.3">
      <c r="A677" s="1">
        <v>4</v>
      </c>
    </row>
    <row r="678" spans="1:1" x14ac:dyDescent="0.3">
      <c r="A678" s="2">
        <v>6</v>
      </c>
    </row>
    <row r="679" spans="1:1" x14ac:dyDescent="0.3">
      <c r="A679" s="1">
        <v>4</v>
      </c>
    </row>
    <row r="680" spans="1:1" x14ac:dyDescent="0.3">
      <c r="A680" s="2">
        <v>4</v>
      </c>
    </row>
    <row r="681" spans="1:1" x14ac:dyDescent="0.3">
      <c r="A681" s="1">
        <v>4</v>
      </c>
    </row>
    <row r="682" spans="1:1" x14ac:dyDescent="0.3">
      <c r="A682" s="2">
        <v>6</v>
      </c>
    </row>
    <row r="683" spans="1:1" x14ac:dyDescent="0.3">
      <c r="A683" s="1">
        <v>4</v>
      </c>
    </row>
    <row r="684" spans="1:1" x14ac:dyDescent="0.3">
      <c r="A684" s="2">
        <v>4</v>
      </c>
    </row>
    <row r="685" spans="1:1" x14ac:dyDescent="0.3">
      <c r="A685" s="1">
        <v>4</v>
      </c>
    </row>
    <row r="686" spans="1:1" x14ac:dyDescent="0.3">
      <c r="A686" s="2">
        <v>4</v>
      </c>
    </row>
    <row r="687" spans="1:1" x14ac:dyDescent="0.3">
      <c r="A687" s="1">
        <v>4</v>
      </c>
    </row>
    <row r="688" spans="1:1" x14ac:dyDescent="0.3">
      <c r="A688" s="2">
        <v>4</v>
      </c>
    </row>
    <row r="689" spans="1:1" x14ac:dyDescent="0.3">
      <c r="A689" s="1">
        <v>4</v>
      </c>
    </row>
    <row r="690" spans="1:1" x14ac:dyDescent="0.3">
      <c r="A690" s="2">
        <v>4</v>
      </c>
    </row>
    <row r="691" spans="1:1" x14ac:dyDescent="0.3">
      <c r="A691" s="1">
        <v>4</v>
      </c>
    </row>
    <row r="692" spans="1:1" x14ac:dyDescent="0.3">
      <c r="A692" s="2">
        <v>6</v>
      </c>
    </row>
    <row r="693" spans="1:1" x14ac:dyDescent="0.3">
      <c r="A693" s="1">
        <v>4</v>
      </c>
    </row>
    <row r="694" spans="1:1" x14ac:dyDescent="0.3">
      <c r="A694" s="2">
        <v>6</v>
      </c>
    </row>
    <row r="695" spans="1:1" x14ac:dyDescent="0.3">
      <c r="A695" s="1">
        <v>6</v>
      </c>
    </row>
    <row r="696" spans="1:1" x14ac:dyDescent="0.3">
      <c r="A696" s="2">
        <v>6</v>
      </c>
    </row>
    <row r="697" spans="1:1" x14ac:dyDescent="0.3">
      <c r="A697" s="1">
        <v>4</v>
      </c>
    </row>
    <row r="698" spans="1:1" x14ac:dyDescent="0.3">
      <c r="A698" s="2">
        <v>4</v>
      </c>
    </row>
    <row r="699" spans="1:1" x14ac:dyDescent="0.3">
      <c r="A699" s="1">
        <v>4</v>
      </c>
    </row>
    <row r="700" spans="1:1" x14ac:dyDescent="0.3">
      <c r="A700" s="2">
        <v>4</v>
      </c>
    </row>
    <row r="701" spans="1:1" x14ac:dyDescent="0.3">
      <c r="A701" s="1">
        <v>4</v>
      </c>
    </row>
    <row r="702" spans="1:1" x14ac:dyDescent="0.3">
      <c r="A702" s="2">
        <v>4</v>
      </c>
    </row>
    <row r="703" spans="1:1" x14ac:dyDescent="0.3">
      <c r="A703" s="1">
        <v>6</v>
      </c>
    </row>
    <row r="704" spans="1:1" x14ac:dyDescent="0.3">
      <c r="A704" s="2">
        <v>4</v>
      </c>
    </row>
    <row r="705" spans="1:1" x14ac:dyDescent="0.3">
      <c r="A705" s="1">
        <v>4</v>
      </c>
    </row>
    <row r="706" spans="1:1" x14ac:dyDescent="0.3">
      <c r="A706" s="2">
        <v>4</v>
      </c>
    </row>
    <row r="707" spans="1:1" x14ac:dyDescent="0.3">
      <c r="A707" s="1">
        <v>4</v>
      </c>
    </row>
    <row r="708" spans="1:1" x14ac:dyDescent="0.3">
      <c r="A708" s="2">
        <v>4</v>
      </c>
    </row>
    <row r="709" spans="1:1" x14ac:dyDescent="0.3">
      <c r="A709" s="1">
        <v>4</v>
      </c>
    </row>
    <row r="710" spans="1:1" x14ac:dyDescent="0.3">
      <c r="A710" s="2">
        <v>6</v>
      </c>
    </row>
    <row r="711" spans="1:1" x14ac:dyDescent="0.3">
      <c r="A711" s="1">
        <v>4</v>
      </c>
    </row>
    <row r="712" spans="1:1" x14ac:dyDescent="0.3">
      <c r="A712" s="2">
        <v>4</v>
      </c>
    </row>
    <row r="713" spans="1:1" x14ac:dyDescent="0.3">
      <c r="A713" s="1">
        <v>4</v>
      </c>
    </row>
    <row r="714" spans="1:1" x14ac:dyDescent="0.3">
      <c r="A714" s="2">
        <v>4</v>
      </c>
    </row>
    <row r="715" spans="1:1" x14ac:dyDescent="0.3">
      <c r="A715" s="1">
        <v>4</v>
      </c>
    </row>
    <row r="716" spans="1:1" x14ac:dyDescent="0.3">
      <c r="A716" s="2">
        <v>4</v>
      </c>
    </row>
    <row r="717" spans="1:1" x14ac:dyDescent="0.3">
      <c r="A717" s="1">
        <v>4</v>
      </c>
    </row>
    <row r="718" spans="1:1" x14ac:dyDescent="0.3">
      <c r="A718" s="2">
        <v>4</v>
      </c>
    </row>
    <row r="719" spans="1:1" x14ac:dyDescent="0.3">
      <c r="A719" s="1">
        <v>4</v>
      </c>
    </row>
    <row r="720" spans="1:1" x14ac:dyDescent="0.3">
      <c r="A720" s="2">
        <v>4</v>
      </c>
    </row>
    <row r="721" spans="1:1" x14ac:dyDescent="0.3">
      <c r="A721" s="1">
        <v>4</v>
      </c>
    </row>
    <row r="722" spans="1:1" x14ac:dyDescent="0.3">
      <c r="A722" s="2">
        <v>4</v>
      </c>
    </row>
    <row r="723" spans="1:1" x14ac:dyDescent="0.3">
      <c r="A723" s="1">
        <v>4</v>
      </c>
    </row>
    <row r="724" spans="1:1" x14ac:dyDescent="0.3">
      <c r="A724" s="2">
        <v>4</v>
      </c>
    </row>
    <row r="725" spans="1:1" x14ac:dyDescent="0.3">
      <c r="A725" s="1">
        <v>4</v>
      </c>
    </row>
    <row r="726" spans="1:1" x14ac:dyDescent="0.3">
      <c r="A726" s="2">
        <v>4</v>
      </c>
    </row>
    <row r="727" spans="1:1" x14ac:dyDescent="0.3">
      <c r="A727" s="1">
        <v>4</v>
      </c>
    </row>
    <row r="728" spans="1:1" x14ac:dyDescent="0.3">
      <c r="A728" s="2">
        <v>4</v>
      </c>
    </row>
    <row r="729" spans="1:1" x14ac:dyDescent="0.3">
      <c r="A729" s="1">
        <v>4</v>
      </c>
    </row>
    <row r="730" spans="1:1" x14ac:dyDescent="0.3">
      <c r="A730" s="2">
        <v>6</v>
      </c>
    </row>
    <row r="731" spans="1:1" x14ac:dyDescent="0.3">
      <c r="A731" s="1">
        <v>4</v>
      </c>
    </row>
    <row r="732" spans="1:1" x14ac:dyDescent="0.3">
      <c r="A732" s="2">
        <v>6</v>
      </c>
    </row>
    <row r="733" spans="1:1" x14ac:dyDescent="0.3">
      <c r="A733" s="1">
        <v>4</v>
      </c>
    </row>
    <row r="734" spans="1:1" x14ac:dyDescent="0.3">
      <c r="A734" s="2">
        <v>4</v>
      </c>
    </row>
    <row r="735" spans="1:1" x14ac:dyDescent="0.3">
      <c r="A735" s="1">
        <v>4</v>
      </c>
    </row>
    <row r="736" spans="1:1" x14ac:dyDescent="0.3">
      <c r="A736" s="2">
        <v>4</v>
      </c>
    </row>
    <row r="737" spans="1:1" x14ac:dyDescent="0.3">
      <c r="A737" s="1">
        <v>4</v>
      </c>
    </row>
    <row r="738" spans="1:1" x14ac:dyDescent="0.3">
      <c r="A738" s="2">
        <v>4</v>
      </c>
    </row>
    <row r="739" spans="1:1" x14ac:dyDescent="0.3">
      <c r="A739" s="1">
        <v>4</v>
      </c>
    </row>
    <row r="740" spans="1:1" x14ac:dyDescent="0.3">
      <c r="A740" s="2">
        <v>4</v>
      </c>
    </row>
    <row r="741" spans="1:1" x14ac:dyDescent="0.3">
      <c r="A741" s="1">
        <v>4</v>
      </c>
    </row>
    <row r="742" spans="1:1" x14ac:dyDescent="0.3">
      <c r="A742" s="2">
        <v>6</v>
      </c>
    </row>
    <row r="743" spans="1:1" x14ac:dyDescent="0.3">
      <c r="A743" s="1">
        <v>4</v>
      </c>
    </row>
    <row r="744" spans="1:1" x14ac:dyDescent="0.3">
      <c r="A744" s="2">
        <v>4</v>
      </c>
    </row>
    <row r="745" spans="1:1" x14ac:dyDescent="0.3">
      <c r="A745" s="1">
        <v>4</v>
      </c>
    </row>
    <row r="746" spans="1:1" x14ac:dyDescent="0.3">
      <c r="A746" s="2">
        <v>4</v>
      </c>
    </row>
    <row r="747" spans="1:1" x14ac:dyDescent="0.3">
      <c r="A747" s="1">
        <v>4</v>
      </c>
    </row>
    <row r="748" spans="1:1" x14ac:dyDescent="0.3">
      <c r="A748" s="2">
        <v>4</v>
      </c>
    </row>
    <row r="749" spans="1:1" x14ac:dyDescent="0.3">
      <c r="A749" s="1">
        <v>4</v>
      </c>
    </row>
    <row r="750" spans="1:1" x14ac:dyDescent="0.3">
      <c r="A750" s="2">
        <v>4</v>
      </c>
    </row>
    <row r="751" spans="1:1" x14ac:dyDescent="0.3">
      <c r="A751" s="1">
        <v>4</v>
      </c>
    </row>
    <row r="752" spans="1:1" x14ac:dyDescent="0.3">
      <c r="A752" s="2">
        <v>4</v>
      </c>
    </row>
    <row r="753" spans="1:1" x14ac:dyDescent="0.3">
      <c r="A753" s="1">
        <v>4</v>
      </c>
    </row>
    <row r="754" spans="1:1" x14ac:dyDescent="0.3">
      <c r="A754" s="2">
        <v>4</v>
      </c>
    </row>
    <row r="755" spans="1:1" x14ac:dyDescent="0.3">
      <c r="A755" s="1">
        <v>6</v>
      </c>
    </row>
    <row r="756" spans="1:1" x14ac:dyDescent="0.3">
      <c r="A756" s="2">
        <v>4</v>
      </c>
    </row>
    <row r="757" spans="1:1" x14ac:dyDescent="0.3">
      <c r="A757" s="1">
        <v>4</v>
      </c>
    </row>
    <row r="758" spans="1:1" x14ac:dyDescent="0.3">
      <c r="A758" s="2">
        <v>4</v>
      </c>
    </row>
    <row r="759" spans="1:1" x14ac:dyDescent="0.3">
      <c r="A759" s="1">
        <v>4</v>
      </c>
    </row>
    <row r="760" spans="1:1" x14ac:dyDescent="0.3">
      <c r="A760" s="2">
        <v>4</v>
      </c>
    </row>
    <row r="761" spans="1:1" x14ac:dyDescent="0.3">
      <c r="A761" s="1">
        <v>4</v>
      </c>
    </row>
    <row r="762" spans="1:1" x14ac:dyDescent="0.3">
      <c r="A762" s="2">
        <v>4</v>
      </c>
    </row>
    <row r="763" spans="1:1" x14ac:dyDescent="0.3">
      <c r="A763" s="1">
        <v>4</v>
      </c>
    </row>
    <row r="764" spans="1:1" x14ac:dyDescent="0.3">
      <c r="A764" s="2">
        <v>4</v>
      </c>
    </row>
    <row r="765" spans="1:1" x14ac:dyDescent="0.3">
      <c r="A765" s="1">
        <v>4</v>
      </c>
    </row>
    <row r="766" spans="1:1" x14ac:dyDescent="0.3">
      <c r="A766" s="2">
        <v>4</v>
      </c>
    </row>
    <row r="767" spans="1:1" x14ac:dyDescent="0.3">
      <c r="A767" s="1">
        <v>4</v>
      </c>
    </row>
    <row r="768" spans="1:1" x14ac:dyDescent="0.3">
      <c r="A768" s="2">
        <v>4</v>
      </c>
    </row>
    <row r="769" spans="1:1" x14ac:dyDescent="0.3">
      <c r="A769" s="1">
        <v>4</v>
      </c>
    </row>
    <row r="770" spans="1:1" x14ac:dyDescent="0.3">
      <c r="A770" s="2">
        <v>4</v>
      </c>
    </row>
    <row r="771" spans="1:1" x14ac:dyDescent="0.3">
      <c r="A771" s="1">
        <v>4</v>
      </c>
    </row>
    <row r="772" spans="1:1" x14ac:dyDescent="0.3">
      <c r="A772" s="2">
        <v>4</v>
      </c>
    </row>
    <row r="773" spans="1:1" x14ac:dyDescent="0.3">
      <c r="A773" s="1">
        <v>4</v>
      </c>
    </row>
    <row r="774" spans="1:1" x14ac:dyDescent="0.3">
      <c r="A774" s="2">
        <v>4</v>
      </c>
    </row>
    <row r="775" spans="1:1" x14ac:dyDescent="0.3">
      <c r="A775" s="1">
        <v>4</v>
      </c>
    </row>
    <row r="776" spans="1:1" x14ac:dyDescent="0.3">
      <c r="A776" s="2">
        <v>4</v>
      </c>
    </row>
    <row r="777" spans="1:1" x14ac:dyDescent="0.3">
      <c r="A777" s="1">
        <v>4</v>
      </c>
    </row>
    <row r="778" spans="1:1" x14ac:dyDescent="0.3">
      <c r="A778" s="2">
        <v>4</v>
      </c>
    </row>
    <row r="779" spans="1:1" x14ac:dyDescent="0.3">
      <c r="A779" s="1">
        <v>4</v>
      </c>
    </row>
    <row r="780" spans="1:1" x14ac:dyDescent="0.3">
      <c r="A780" s="2">
        <v>4</v>
      </c>
    </row>
    <row r="781" spans="1:1" x14ac:dyDescent="0.3">
      <c r="A781" s="1">
        <v>4</v>
      </c>
    </row>
    <row r="782" spans="1:1" x14ac:dyDescent="0.3">
      <c r="A782" s="2">
        <v>4</v>
      </c>
    </row>
    <row r="783" spans="1:1" x14ac:dyDescent="0.3">
      <c r="A783" s="1">
        <v>4</v>
      </c>
    </row>
    <row r="784" spans="1:1" x14ac:dyDescent="0.3">
      <c r="A784" s="2">
        <v>4</v>
      </c>
    </row>
    <row r="785" spans="1:1" x14ac:dyDescent="0.3">
      <c r="A785" s="1">
        <v>4</v>
      </c>
    </row>
    <row r="786" spans="1:1" x14ac:dyDescent="0.3">
      <c r="A786" s="2">
        <v>6</v>
      </c>
    </row>
    <row r="787" spans="1:1" x14ac:dyDescent="0.3">
      <c r="A787" s="1">
        <v>4</v>
      </c>
    </row>
    <row r="788" spans="1:1" x14ac:dyDescent="0.3">
      <c r="A788" s="2">
        <v>4</v>
      </c>
    </row>
    <row r="789" spans="1:1" x14ac:dyDescent="0.3">
      <c r="A789" s="1">
        <v>4</v>
      </c>
    </row>
    <row r="790" spans="1:1" x14ac:dyDescent="0.3">
      <c r="A790" s="2">
        <v>4</v>
      </c>
    </row>
    <row r="791" spans="1:1" x14ac:dyDescent="0.3">
      <c r="A791" s="1">
        <v>4</v>
      </c>
    </row>
    <row r="792" spans="1:1" x14ac:dyDescent="0.3">
      <c r="A792" s="2">
        <v>4</v>
      </c>
    </row>
    <row r="793" spans="1:1" x14ac:dyDescent="0.3">
      <c r="A793" s="1">
        <v>4</v>
      </c>
    </row>
    <row r="794" spans="1:1" x14ac:dyDescent="0.3">
      <c r="A794" s="2">
        <v>4</v>
      </c>
    </row>
    <row r="795" spans="1:1" x14ac:dyDescent="0.3">
      <c r="A795" s="1">
        <v>4</v>
      </c>
    </row>
    <row r="796" spans="1:1" x14ac:dyDescent="0.3">
      <c r="A796" s="2">
        <v>4</v>
      </c>
    </row>
    <row r="797" spans="1:1" x14ac:dyDescent="0.3">
      <c r="A797" s="1">
        <v>4</v>
      </c>
    </row>
    <row r="798" spans="1:1" x14ac:dyDescent="0.3">
      <c r="A798" s="2">
        <v>4</v>
      </c>
    </row>
    <row r="799" spans="1:1" x14ac:dyDescent="0.3">
      <c r="A799" s="1">
        <v>4</v>
      </c>
    </row>
    <row r="800" spans="1:1" x14ac:dyDescent="0.3">
      <c r="A800" s="2">
        <v>4</v>
      </c>
    </row>
    <row r="801" spans="1:1" x14ac:dyDescent="0.3">
      <c r="A801" s="1">
        <v>4</v>
      </c>
    </row>
    <row r="802" spans="1:1" x14ac:dyDescent="0.3">
      <c r="A802" s="2">
        <v>4</v>
      </c>
    </row>
    <row r="803" spans="1:1" x14ac:dyDescent="0.3">
      <c r="A803" s="1">
        <v>4</v>
      </c>
    </row>
    <row r="804" spans="1:1" x14ac:dyDescent="0.3">
      <c r="A804" s="2">
        <v>4</v>
      </c>
    </row>
    <row r="805" spans="1:1" x14ac:dyDescent="0.3">
      <c r="A805" s="1">
        <v>4</v>
      </c>
    </row>
    <row r="806" spans="1:1" x14ac:dyDescent="0.3">
      <c r="A806" s="2">
        <v>4</v>
      </c>
    </row>
    <row r="807" spans="1:1" x14ac:dyDescent="0.3">
      <c r="A807" s="1">
        <v>4</v>
      </c>
    </row>
    <row r="808" spans="1:1" x14ac:dyDescent="0.3">
      <c r="A808" s="2">
        <v>4</v>
      </c>
    </row>
    <row r="809" spans="1:1" x14ac:dyDescent="0.3">
      <c r="A809" s="1">
        <v>4</v>
      </c>
    </row>
    <row r="810" spans="1:1" x14ac:dyDescent="0.3">
      <c r="A810" s="2">
        <v>6</v>
      </c>
    </row>
    <row r="811" spans="1:1" x14ac:dyDescent="0.3">
      <c r="A811" s="1">
        <v>6</v>
      </c>
    </row>
    <row r="812" spans="1:1" x14ac:dyDescent="0.3">
      <c r="A812" s="2">
        <v>4</v>
      </c>
    </row>
    <row r="813" spans="1:1" x14ac:dyDescent="0.3">
      <c r="A813" s="1">
        <v>6</v>
      </c>
    </row>
    <row r="814" spans="1:1" x14ac:dyDescent="0.3">
      <c r="A814" s="2">
        <v>4</v>
      </c>
    </row>
    <row r="815" spans="1:1" x14ac:dyDescent="0.3">
      <c r="A815" s="1">
        <v>4</v>
      </c>
    </row>
    <row r="816" spans="1:1" x14ac:dyDescent="0.3">
      <c r="A816" s="2">
        <v>4</v>
      </c>
    </row>
    <row r="817" spans="1:1" x14ac:dyDescent="0.3">
      <c r="A817" s="1">
        <v>4</v>
      </c>
    </row>
    <row r="818" spans="1:1" x14ac:dyDescent="0.3">
      <c r="A818" s="2">
        <v>4</v>
      </c>
    </row>
    <row r="819" spans="1:1" x14ac:dyDescent="0.3">
      <c r="A819" s="1">
        <v>4</v>
      </c>
    </row>
    <row r="820" spans="1:1" x14ac:dyDescent="0.3">
      <c r="A820" s="2">
        <v>4</v>
      </c>
    </row>
    <row r="821" spans="1:1" x14ac:dyDescent="0.3">
      <c r="A821" s="1">
        <v>4</v>
      </c>
    </row>
    <row r="822" spans="1:1" x14ac:dyDescent="0.3">
      <c r="A822" s="2">
        <v>4</v>
      </c>
    </row>
    <row r="823" spans="1:1" x14ac:dyDescent="0.3">
      <c r="A823" s="1">
        <v>4</v>
      </c>
    </row>
    <row r="824" spans="1:1" x14ac:dyDescent="0.3">
      <c r="A824" s="2">
        <v>4</v>
      </c>
    </row>
    <row r="825" spans="1:1" x14ac:dyDescent="0.3">
      <c r="A825" s="1">
        <v>4</v>
      </c>
    </row>
    <row r="826" spans="1:1" x14ac:dyDescent="0.3">
      <c r="A826" s="2">
        <v>4</v>
      </c>
    </row>
    <row r="827" spans="1:1" x14ac:dyDescent="0.3">
      <c r="A827" s="1">
        <v>4</v>
      </c>
    </row>
    <row r="828" spans="1:1" x14ac:dyDescent="0.3">
      <c r="A828" s="2">
        <v>4</v>
      </c>
    </row>
    <row r="829" spans="1:1" x14ac:dyDescent="0.3">
      <c r="A829" s="1">
        <v>4</v>
      </c>
    </row>
    <row r="830" spans="1:1" x14ac:dyDescent="0.3">
      <c r="A830" s="2">
        <v>4</v>
      </c>
    </row>
    <row r="831" spans="1:1" x14ac:dyDescent="0.3">
      <c r="A831" s="1">
        <v>4</v>
      </c>
    </row>
    <row r="832" spans="1:1" x14ac:dyDescent="0.3">
      <c r="A832" s="2">
        <v>4</v>
      </c>
    </row>
    <row r="833" spans="1:1" x14ac:dyDescent="0.3">
      <c r="A833" s="1">
        <v>4</v>
      </c>
    </row>
    <row r="834" spans="1:1" x14ac:dyDescent="0.3">
      <c r="A834" s="2">
        <v>4</v>
      </c>
    </row>
    <row r="835" spans="1:1" x14ac:dyDescent="0.3">
      <c r="A835" s="1">
        <v>4</v>
      </c>
    </row>
    <row r="836" spans="1:1" x14ac:dyDescent="0.3">
      <c r="A836" s="2">
        <v>4</v>
      </c>
    </row>
    <row r="837" spans="1:1" x14ac:dyDescent="0.3">
      <c r="A837" s="1">
        <v>4</v>
      </c>
    </row>
    <row r="838" spans="1:1" x14ac:dyDescent="0.3">
      <c r="A838" s="2">
        <v>4</v>
      </c>
    </row>
    <row r="839" spans="1:1" x14ac:dyDescent="0.3">
      <c r="A839" s="1">
        <v>4</v>
      </c>
    </row>
    <row r="840" spans="1:1" x14ac:dyDescent="0.3">
      <c r="A840" s="2">
        <v>4</v>
      </c>
    </row>
    <row r="841" spans="1:1" x14ac:dyDescent="0.3">
      <c r="A841" s="1">
        <v>4</v>
      </c>
    </row>
    <row r="842" spans="1:1" x14ac:dyDescent="0.3">
      <c r="A842" s="2">
        <v>4</v>
      </c>
    </row>
    <row r="843" spans="1:1" x14ac:dyDescent="0.3">
      <c r="A843" s="1">
        <v>4</v>
      </c>
    </row>
    <row r="844" spans="1:1" x14ac:dyDescent="0.3">
      <c r="A844" s="2">
        <v>4</v>
      </c>
    </row>
    <row r="845" spans="1:1" x14ac:dyDescent="0.3">
      <c r="A845" s="1">
        <v>4</v>
      </c>
    </row>
    <row r="846" spans="1:1" x14ac:dyDescent="0.3">
      <c r="A846" s="2">
        <v>4</v>
      </c>
    </row>
    <row r="847" spans="1:1" x14ac:dyDescent="0.3">
      <c r="A847" s="1">
        <v>4</v>
      </c>
    </row>
    <row r="848" spans="1:1" x14ac:dyDescent="0.3">
      <c r="A848" s="2">
        <v>4</v>
      </c>
    </row>
    <row r="849" spans="1:1" x14ac:dyDescent="0.3">
      <c r="A849" s="1">
        <v>4</v>
      </c>
    </row>
    <row r="850" spans="1:1" x14ac:dyDescent="0.3">
      <c r="A850" s="2">
        <v>4</v>
      </c>
    </row>
    <row r="851" spans="1:1" x14ac:dyDescent="0.3">
      <c r="A851" s="1">
        <v>4</v>
      </c>
    </row>
    <row r="852" spans="1:1" x14ac:dyDescent="0.3">
      <c r="A852" s="2">
        <v>4</v>
      </c>
    </row>
    <row r="853" spans="1:1" x14ac:dyDescent="0.3">
      <c r="A853" s="1">
        <v>4</v>
      </c>
    </row>
    <row r="854" spans="1:1" x14ac:dyDescent="0.3">
      <c r="A854" s="2">
        <v>6</v>
      </c>
    </row>
    <row r="855" spans="1:1" x14ac:dyDescent="0.3">
      <c r="A855" s="1">
        <v>4</v>
      </c>
    </row>
    <row r="856" spans="1:1" x14ac:dyDescent="0.3">
      <c r="A856" s="2">
        <v>4</v>
      </c>
    </row>
    <row r="857" spans="1:1" x14ac:dyDescent="0.3">
      <c r="A857" s="1">
        <v>4</v>
      </c>
    </row>
    <row r="858" spans="1:1" x14ac:dyDescent="0.3">
      <c r="A858" s="2">
        <v>4</v>
      </c>
    </row>
    <row r="859" spans="1:1" x14ac:dyDescent="0.3">
      <c r="A859" s="1">
        <v>6</v>
      </c>
    </row>
    <row r="860" spans="1:1" x14ac:dyDescent="0.3">
      <c r="A860" s="2">
        <v>6</v>
      </c>
    </row>
    <row r="861" spans="1:1" x14ac:dyDescent="0.3">
      <c r="A861" s="1">
        <v>4</v>
      </c>
    </row>
    <row r="862" spans="1:1" x14ac:dyDescent="0.3">
      <c r="A862" s="2">
        <v>6</v>
      </c>
    </row>
    <row r="863" spans="1:1" x14ac:dyDescent="0.3">
      <c r="A863" s="1">
        <v>6</v>
      </c>
    </row>
    <row r="864" spans="1:1" x14ac:dyDescent="0.3">
      <c r="A864" s="2">
        <v>5</v>
      </c>
    </row>
    <row r="865" spans="1:1" x14ac:dyDescent="0.3">
      <c r="A865" s="1">
        <v>6</v>
      </c>
    </row>
    <row r="866" spans="1:1" x14ac:dyDescent="0.3">
      <c r="A866" s="2">
        <v>6</v>
      </c>
    </row>
    <row r="867" spans="1:1" x14ac:dyDescent="0.3">
      <c r="A867" s="1">
        <v>4</v>
      </c>
    </row>
    <row r="868" spans="1:1" x14ac:dyDescent="0.3">
      <c r="A868" s="2">
        <v>6</v>
      </c>
    </row>
    <row r="869" spans="1:1" x14ac:dyDescent="0.3">
      <c r="A869" s="1">
        <v>6</v>
      </c>
    </row>
    <row r="870" spans="1:1" x14ac:dyDescent="0.3">
      <c r="A870" s="2">
        <v>6</v>
      </c>
    </row>
    <row r="871" spans="1:1" x14ac:dyDescent="0.3">
      <c r="A871" s="1">
        <v>4</v>
      </c>
    </row>
    <row r="872" spans="1:1" x14ac:dyDescent="0.3">
      <c r="A872" s="2">
        <v>4</v>
      </c>
    </row>
    <row r="873" spans="1:1" x14ac:dyDescent="0.3">
      <c r="A873" s="1">
        <v>4</v>
      </c>
    </row>
    <row r="874" spans="1:1" x14ac:dyDescent="0.3">
      <c r="A874" s="2">
        <v>6</v>
      </c>
    </row>
    <row r="875" spans="1:1" x14ac:dyDescent="0.3">
      <c r="A875" s="1">
        <v>4</v>
      </c>
    </row>
    <row r="876" spans="1:1" x14ac:dyDescent="0.3">
      <c r="A876" s="2">
        <v>4</v>
      </c>
    </row>
    <row r="877" spans="1:1" x14ac:dyDescent="0.3">
      <c r="A877" s="1">
        <v>6</v>
      </c>
    </row>
    <row r="878" spans="1:1" x14ac:dyDescent="0.3">
      <c r="A878" s="2">
        <v>4</v>
      </c>
    </row>
    <row r="879" spans="1:1" x14ac:dyDescent="0.3">
      <c r="A879" s="1">
        <v>4</v>
      </c>
    </row>
    <row r="880" spans="1:1" x14ac:dyDescent="0.3">
      <c r="A880" s="2">
        <v>4</v>
      </c>
    </row>
    <row r="881" spans="1:1" x14ac:dyDescent="0.3">
      <c r="A881" s="1">
        <v>4</v>
      </c>
    </row>
    <row r="882" spans="1:1" x14ac:dyDescent="0.3">
      <c r="A882" s="2">
        <v>4</v>
      </c>
    </row>
    <row r="883" spans="1:1" x14ac:dyDescent="0.3">
      <c r="A883" s="1">
        <v>4</v>
      </c>
    </row>
    <row r="884" spans="1:1" x14ac:dyDescent="0.3">
      <c r="A884" s="2">
        <v>4</v>
      </c>
    </row>
    <row r="885" spans="1:1" x14ac:dyDescent="0.3">
      <c r="A885" s="1">
        <v>4</v>
      </c>
    </row>
    <row r="886" spans="1:1" x14ac:dyDescent="0.3">
      <c r="A886" s="2">
        <v>4</v>
      </c>
    </row>
    <row r="887" spans="1:1" x14ac:dyDescent="0.3">
      <c r="A887" s="1">
        <v>4</v>
      </c>
    </row>
    <row r="888" spans="1:1" x14ac:dyDescent="0.3">
      <c r="A888" s="2">
        <v>4</v>
      </c>
    </row>
    <row r="889" spans="1:1" x14ac:dyDescent="0.3">
      <c r="A889" s="1">
        <v>4</v>
      </c>
    </row>
    <row r="890" spans="1:1" x14ac:dyDescent="0.3">
      <c r="A890" s="2">
        <v>4</v>
      </c>
    </row>
    <row r="891" spans="1:1" x14ac:dyDescent="0.3">
      <c r="A891" s="1">
        <v>4</v>
      </c>
    </row>
    <row r="892" spans="1:1" x14ac:dyDescent="0.3">
      <c r="A892" s="2">
        <v>4</v>
      </c>
    </row>
    <row r="893" spans="1:1" x14ac:dyDescent="0.3">
      <c r="A893" s="1">
        <v>4</v>
      </c>
    </row>
    <row r="894" spans="1:1" x14ac:dyDescent="0.3">
      <c r="A894" s="2">
        <v>4</v>
      </c>
    </row>
    <row r="895" spans="1:1" x14ac:dyDescent="0.3">
      <c r="A895" s="1">
        <v>4</v>
      </c>
    </row>
    <row r="896" spans="1:1" x14ac:dyDescent="0.3">
      <c r="A896" s="2">
        <v>6</v>
      </c>
    </row>
    <row r="897" spans="1:1" x14ac:dyDescent="0.3">
      <c r="A897" s="1">
        <v>4</v>
      </c>
    </row>
    <row r="898" spans="1:1" x14ac:dyDescent="0.3">
      <c r="A898" s="2">
        <v>4</v>
      </c>
    </row>
    <row r="899" spans="1:1" x14ac:dyDescent="0.3">
      <c r="A899" s="1">
        <v>4</v>
      </c>
    </row>
    <row r="900" spans="1:1" x14ac:dyDescent="0.3">
      <c r="A900" s="2">
        <v>2</v>
      </c>
    </row>
    <row r="901" spans="1:1" x14ac:dyDescent="0.3">
      <c r="A901" s="1">
        <v>4</v>
      </c>
    </row>
    <row r="902" spans="1:1" x14ac:dyDescent="0.3">
      <c r="A902" s="2">
        <v>6</v>
      </c>
    </row>
    <row r="903" spans="1:1" x14ac:dyDescent="0.3">
      <c r="A903" s="1">
        <v>6</v>
      </c>
    </row>
    <row r="904" spans="1:1" x14ac:dyDescent="0.3">
      <c r="A904" s="2">
        <v>6</v>
      </c>
    </row>
    <row r="905" spans="1:1" x14ac:dyDescent="0.3">
      <c r="A905" s="1">
        <v>4</v>
      </c>
    </row>
    <row r="906" spans="1:1" x14ac:dyDescent="0.3">
      <c r="A906" s="2">
        <v>6</v>
      </c>
    </row>
    <row r="907" spans="1:1" x14ac:dyDescent="0.3">
      <c r="A907" s="1">
        <v>6</v>
      </c>
    </row>
    <row r="908" spans="1:1" x14ac:dyDescent="0.3">
      <c r="A908" s="2">
        <v>4</v>
      </c>
    </row>
    <row r="909" spans="1:1" x14ac:dyDescent="0.3">
      <c r="A909" s="1">
        <v>4</v>
      </c>
    </row>
    <row r="910" spans="1:1" x14ac:dyDescent="0.3">
      <c r="A910" s="2">
        <v>4</v>
      </c>
    </row>
    <row r="911" spans="1:1" x14ac:dyDescent="0.3">
      <c r="A911" s="1">
        <v>6</v>
      </c>
    </row>
    <row r="912" spans="1:1" x14ac:dyDescent="0.3">
      <c r="A912" s="2">
        <v>5</v>
      </c>
    </row>
    <row r="913" spans="1:1" x14ac:dyDescent="0.3">
      <c r="A913" s="1">
        <v>6</v>
      </c>
    </row>
    <row r="914" spans="1:1" x14ac:dyDescent="0.3">
      <c r="A914" s="2">
        <v>6</v>
      </c>
    </row>
    <row r="915" spans="1:1" x14ac:dyDescent="0.3">
      <c r="A915" s="1">
        <v>6</v>
      </c>
    </row>
    <row r="916" spans="1:1" x14ac:dyDescent="0.3">
      <c r="A916" s="2">
        <v>4</v>
      </c>
    </row>
    <row r="917" spans="1:1" x14ac:dyDescent="0.3">
      <c r="A917" s="1">
        <v>6</v>
      </c>
    </row>
    <row r="918" spans="1:1" x14ac:dyDescent="0.3">
      <c r="A918" s="2">
        <v>4</v>
      </c>
    </row>
    <row r="919" spans="1:1" x14ac:dyDescent="0.3">
      <c r="A919" s="1">
        <v>6</v>
      </c>
    </row>
    <row r="920" spans="1:1" x14ac:dyDescent="0.3">
      <c r="A920" s="2">
        <v>4</v>
      </c>
    </row>
    <row r="921" spans="1:1" x14ac:dyDescent="0.3">
      <c r="A921" s="1">
        <v>4</v>
      </c>
    </row>
    <row r="922" spans="1:1" x14ac:dyDescent="0.3">
      <c r="A922" s="2">
        <v>4</v>
      </c>
    </row>
    <row r="923" spans="1:1" x14ac:dyDescent="0.3">
      <c r="A923" s="1">
        <v>4</v>
      </c>
    </row>
    <row r="924" spans="1:1" x14ac:dyDescent="0.3">
      <c r="A924" s="2">
        <v>4</v>
      </c>
    </row>
    <row r="925" spans="1:1" x14ac:dyDescent="0.3">
      <c r="A925" s="1">
        <v>4</v>
      </c>
    </row>
    <row r="926" spans="1:1" x14ac:dyDescent="0.3">
      <c r="A926" s="2">
        <v>6</v>
      </c>
    </row>
    <row r="927" spans="1:1" x14ac:dyDescent="0.3">
      <c r="A927" s="1">
        <v>4</v>
      </c>
    </row>
    <row r="928" spans="1:1" x14ac:dyDescent="0.3">
      <c r="A928" s="2">
        <v>4</v>
      </c>
    </row>
    <row r="929" spans="1:1" x14ac:dyDescent="0.3">
      <c r="A929" s="1">
        <v>4</v>
      </c>
    </row>
    <row r="930" spans="1:1" x14ac:dyDescent="0.3">
      <c r="A930" s="2">
        <v>4</v>
      </c>
    </row>
    <row r="931" spans="1:1" x14ac:dyDescent="0.3">
      <c r="A931" s="1">
        <v>4</v>
      </c>
    </row>
    <row r="932" spans="1:1" x14ac:dyDescent="0.3">
      <c r="A932" s="2">
        <v>4</v>
      </c>
    </row>
    <row r="933" spans="1:1" x14ac:dyDescent="0.3">
      <c r="A933" s="1">
        <v>4</v>
      </c>
    </row>
    <row r="934" spans="1:1" x14ac:dyDescent="0.3">
      <c r="A934" s="2">
        <v>4</v>
      </c>
    </row>
    <row r="935" spans="1:1" x14ac:dyDescent="0.3">
      <c r="A935" s="1">
        <v>4</v>
      </c>
    </row>
    <row r="936" spans="1:1" x14ac:dyDescent="0.3">
      <c r="A936" s="2">
        <v>4</v>
      </c>
    </row>
    <row r="937" spans="1:1" x14ac:dyDescent="0.3">
      <c r="A937" s="1">
        <v>4</v>
      </c>
    </row>
    <row r="938" spans="1:1" x14ac:dyDescent="0.3">
      <c r="A938" s="2">
        <v>4</v>
      </c>
    </row>
    <row r="939" spans="1:1" x14ac:dyDescent="0.3">
      <c r="A939" s="1">
        <v>4</v>
      </c>
    </row>
    <row r="940" spans="1:1" x14ac:dyDescent="0.3">
      <c r="A940" s="2">
        <v>4</v>
      </c>
    </row>
    <row r="941" spans="1:1" x14ac:dyDescent="0.3">
      <c r="A941" s="1">
        <v>4</v>
      </c>
    </row>
    <row r="942" spans="1:1" x14ac:dyDescent="0.3">
      <c r="A942" s="2">
        <v>4</v>
      </c>
    </row>
    <row r="943" spans="1:1" x14ac:dyDescent="0.3">
      <c r="A943" s="1">
        <v>4</v>
      </c>
    </row>
    <row r="944" spans="1:1" x14ac:dyDescent="0.3">
      <c r="A944" s="2">
        <v>4</v>
      </c>
    </row>
    <row r="945" spans="1:1" x14ac:dyDescent="0.3">
      <c r="A945" s="1">
        <v>4</v>
      </c>
    </row>
    <row r="946" spans="1:1" x14ac:dyDescent="0.3">
      <c r="A946" s="2">
        <v>4</v>
      </c>
    </row>
    <row r="947" spans="1:1" x14ac:dyDescent="0.3">
      <c r="A947" s="1">
        <v>4</v>
      </c>
    </row>
    <row r="948" spans="1:1" x14ac:dyDescent="0.3">
      <c r="A948" s="2">
        <v>6</v>
      </c>
    </row>
    <row r="949" spans="1:1" x14ac:dyDescent="0.3">
      <c r="A949" s="1">
        <v>6</v>
      </c>
    </row>
    <row r="950" spans="1:1" x14ac:dyDescent="0.3">
      <c r="A950" s="2">
        <v>4</v>
      </c>
    </row>
    <row r="951" spans="1:1" x14ac:dyDescent="0.3">
      <c r="A951" s="1">
        <v>4</v>
      </c>
    </row>
    <row r="952" spans="1:1" x14ac:dyDescent="0.3">
      <c r="A952" s="2">
        <v>4</v>
      </c>
    </row>
    <row r="953" spans="1:1" x14ac:dyDescent="0.3">
      <c r="A953" s="1">
        <v>4</v>
      </c>
    </row>
    <row r="954" spans="1:1" x14ac:dyDescent="0.3">
      <c r="A954" s="2">
        <v>4</v>
      </c>
    </row>
    <row r="955" spans="1:1" x14ac:dyDescent="0.3">
      <c r="A955" s="1">
        <v>4</v>
      </c>
    </row>
    <row r="956" spans="1:1" x14ac:dyDescent="0.3">
      <c r="A956" s="2">
        <v>4</v>
      </c>
    </row>
    <row r="957" spans="1:1" x14ac:dyDescent="0.3">
      <c r="A957" s="1">
        <v>4</v>
      </c>
    </row>
    <row r="958" spans="1:1" x14ac:dyDescent="0.3">
      <c r="A958" s="2">
        <v>4</v>
      </c>
    </row>
    <row r="959" spans="1:1" x14ac:dyDescent="0.3">
      <c r="A959" s="1">
        <v>4</v>
      </c>
    </row>
    <row r="960" spans="1:1" x14ac:dyDescent="0.3">
      <c r="A960" s="2">
        <v>4</v>
      </c>
    </row>
    <row r="961" spans="1:1" x14ac:dyDescent="0.3">
      <c r="A961" s="1">
        <v>4</v>
      </c>
    </row>
    <row r="962" spans="1:1" x14ac:dyDescent="0.3">
      <c r="A962" s="2">
        <v>4</v>
      </c>
    </row>
    <row r="963" spans="1:1" x14ac:dyDescent="0.3">
      <c r="A963" s="1">
        <v>6</v>
      </c>
    </row>
    <row r="964" spans="1:1" x14ac:dyDescent="0.3">
      <c r="A964" s="2">
        <v>4</v>
      </c>
    </row>
    <row r="965" spans="1:1" x14ac:dyDescent="0.3">
      <c r="A965" s="1">
        <v>4</v>
      </c>
    </row>
    <row r="966" spans="1:1" x14ac:dyDescent="0.3">
      <c r="A966" s="2">
        <v>4</v>
      </c>
    </row>
    <row r="967" spans="1:1" x14ac:dyDescent="0.3">
      <c r="A967" s="1">
        <v>4</v>
      </c>
    </row>
    <row r="968" spans="1:1" x14ac:dyDescent="0.3">
      <c r="A968" s="2">
        <v>4</v>
      </c>
    </row>
    <row r="969" spans="1:1" x14ac:dyDescent="0.3">
      <c r="A969" s="1">
        <v>4</v>
      </c>
    </row>
    <row r="970" spans="1:1" x14ac:dyDescent="0.3">
      <c r="A970" s="2">
        <v>4</v>
      </c>
    </row>
    <row r="971" spans="1:1" x14ac:dyDescent="0.3">
      <c r="A971" s="1">
        <v>4</v>
      </c>
    </row>
    <row r="972" spans="1:1" x14ac:dyDescent="0.3">
      <c r="A972" s="2">
        <v>4</v>
      </c>
    </row>
    <row r="973" spans="1:1" x14ac:dyDescent="0.3">
      <c r="A973" s="1">
        <v>4</v>
      </c>
    </row>
    <row r="974" spans="1:1" x14ac:dyDescent="0.3">
      <c r="A974" s="2">
        <v>5</v>
      </c>
    </row>
    <row r="975" spans="1:1" x14ac:dyDescent="0.3">
      <c r="A975" s="1">
        <v>5</v>
      </c>
    </row>
    <row r="976" spans="1:1" x14ac:dyDescent="0.3">
      <c r="A976" s="2">
        <v>5</v>
      </c>
    </row>
    <row r="977" spans="1:1" x14ac:dyDescent="0.3">
      <c r="A977" s="1">
        <v>4</v>
      </c>
    </row>
    <row r="978" spans="1:1" x14ac:dyDescent="0.3">
      <c r="A978" s="2">
        <v>4</v>
      </c>
    </row>
    <row r="979" spans="1:1" x14ac:dyDescent="0.3">
      <c r="A979" s="1">
        <v>3</v>
      </c>
    </row>
    <row r="980" spans="1:1" x14ac:dyDescent="0.3">
      <c r="A980" s="2">
        <v>4</v>
      </c>
    </row>
    <row r="981" spans="1:1" x14ac:dyDescent="0.3">
      <c r="A981" s="1">
        <v>4</v>
      </c>
    </row>
    <row r="982" spans="1:1" x14ac:dyDescent="0.3">
      <c r="A982" s="2">
        <v>4</v>
      </c>
    </row>
    <row r="983" spans="1:1" x14ac:dyDescent="0.3">
      <c r="A983" s="1">
        <v>4</v>
      </c>
    </row>
    <row r="984" spans="1:1" x14ac:dyDescent="0.3">
      <c r="A984" s="2">
        <v>4</v>
      </c>
    </row>
    <row r="985" spans="1:1" x14ac:dyDescent="0.3">
      <c r="A985" s="1">
        <v>6</v>
      </c>
    </row>
    <row r="986" spans="1:1" x14ac:dyDescent="0.3">
      <c r="A986" s="2">
        <v>4</v>
      </c>
    </row>
    <row r="987" spans="1:1" x14ac:dyDescent="0.3">
      <c r="A987" s="1">
        <v>6</v>
      </c>
    </row>
    <row r="988" spans="1:1" x14ac:dyDescent="0.3">
      <c r="A988" s="2">
        <v>6</v>
      </c>
    </row>
    <row r="989" spans="1:1" x14ac:dyDescent="0.3">
      <c r="A989" s="1">
        <v>4</v>
      </c>
    </row>
    <row r="990" spans="1:1" x14ac:dyDescent="0.3">
      <c r="A990" s="2">
        <v>4</v>
      </c>
    </row>
    <row r="991" spans="1:1" x14ac:dyDescent="0.3">
      <c r="A991" s="1">
        <v>4</v>
      </c>
    </row>
    <row r="992" spans="1:1" x14ac:dyDescent="0.3">
      <c r="A992" s="2">
        <v>4</v>
      </c>
    </row>
    <row r="993" spans="1:1" x14ac:dyDescent="0.3">
      <c r="A993" s="1">
        <v>4</v>
      </c>
    </row>
    <row r="994" spans="1:1" x14ac:dyDescent="0.3">
      <c r="A994" s="2">
        <v>4</v>
      </c>
    </row>
    <row r="995" spans="1:1" x14ac:dyDescent="0.3">
      <c r="A995" s="1">
        <v>6</v>
      </c>
    </row>
    <row r="996" spans="1:1" x14ac:dyDescent="0.3">
      <c r="A996" s="2">
        <v>4</v>
      </c>
    </row>
    <row r="997" spans="1:1" x14ac:dyDescent="0.3">
      <c r="A997" s="1">
        <v>4</v>
      </c>
    </row>
    <row r="998" spans="1:1" x14ac:dyDescent="0.3">
      <c r="A998" s="2">
        <v>4</v>
      </c>
    </row>
    <row r="999" spans="1:1" x14ac:dyDescent="0.3">
      <c r="A999" s="1">
        <v>4</v>
      </c>
    </row>
    <row r="1000" spans="1:1" x14ac:dyDescent="0.3">
      <c r="A1000" s="2">
        <v>4</v>
      </c>
    </row>
    <row r="1001" spans="1:1" x14ac:dyDescent="0.3">
      <c r="A1001" s="1">
        <v>4</v>
      </c>
    </row>
    <row r="1002" spans="1:1" x14ac:dyDescent="0.3">
      <c r="A1002" s="2">
        <v>6</v>
      </c>
    </row>
    <row r="1003" spans="1:1" x14ac:dyDescent="0.3">
      <c r="A1003" s="1">
        <v>6</v>
      </c>
    </row>
    <row r="1004" spans="1:1" x14ac:dyDescent="0.3">
      <c r="A1004" s="2">
        <v>6</v>
      </c>
    </row>
    <row r="1005" spans="1:1" x14ac:dyDescent="0.3">
      <c r="A1005" s="1">
        <v>6</v>
      </c>
    </row>
    <row r="1006" spans="1:1" x14ac:dyDescent="0.3">
      <c r="A1006" s="2">
        <v>6</v>
      </c>
    </row>
    <row r="1007" spans="1:1" x14ac:dyDescent="0.3">
      <c r="A1007" s="1">
        <v>4</v>
      </c>
    </row>
    <row r="1008" spans="1:1" x14ac:dyDescent="0.3">
      <c r="A1008" s="2">
        <v>4</v>
      </c>
    </row>
    <row r="1009" spans="1:1" x14ac:dyDescent="0.3">
      <c r="A1009" s="1">
        <v>4</v>
      </c>
    </row>
    <row r="1010" spans="1:1" x14ac:dyDescent="0.3">
      <c r="A1010" s="2">
        <v>6</v>
      </c>
    </row>
    <row r="1011" spans="1:1" x14ac:dyDescent="0.3">
      <c r="A1011" s="1">
        <v>4</v>
      </c>
    </row>
    <row r="1012" spans="1:1" x14ac:dyDescent="0.3">
      <c r="A1012" s="2">
        <v>4</v>
      </c>
    </row>
    <row r="1013" spans="1:1" x14ac:dyDescent="0.3">
      <c r="A1013" s="1">
        <v>4</v>
      </c>
    </row>
    <row r="1014" spans="1:1" x14ac:dyDescent="0.3">
      <c r="A1014" s="2">
        <v>4</v>
      </c>
    </row>
    <row r="1015" spans="1:1" x14ac:dyDescent="0.3">
      <c r="A1015" s="1">
        <v>6</v>
      </c>
    </row>
    <row r="1016" spans="1:1" x14ac:dyDescent="0.3">
      <c r="A1016" s="2">
        <v>6</v>
      </c>
    </row>
    <row r="1017" spans="1:1" x14ac:dyDescent="0.3">
      <c r="A1017" s="1">
        <v>4</v>
      </c>
    </row>
    <row r="1018" spans="1:1" x14ac:dyDescent="0.3">
      <c r="A1018" s="2">
        <v>4</v>
      </c>
    </row>
    <row r="1019" spans="1:1" x14ac:dyDescent="0.3">
      <c r="A1019" s="1">
        <v>4</v>
      </c>
    </row>
    <row r="1020" spans="1:1" x14ac:dyDescent="0.3">
      <c r="A1020" s="2">
        <v>4</v>
      </c>
    </row>
    <row r="1021" spans="1:1" x14ac:dyDescent="0.3">
      <c r="A1021" s="1">
        <v>4</v>
      </c>
    </row>
    <row r="1022" spans="1:1" x14ac:dyDescent="0.3">
      <c r="A1022" s="2">
        <v>4</v>
      </c>
    </row>
    <row r="1023" spans="1:1" x14ac:dyDescent="0.3">
      <c r="A1023" s="1">
        <v>4</v>
      </c>
    </row>
    <row r="1024" spans="1:1" x14ac:dyDescent="0.3">
      <c r="A1024" s="2">
        <v>4</v>
      </c>
    </row>
    <row r="1025" spans="1:1" x14ac:dyDescent="0.3">
      <c r="A1025" s="1">
        <v>6</v>
      </c>
    </row>
    <row r="1026" spans="1:1" x14ac:dyDescent="0.3">
      <c r="A1026" s="2">
        <v>6</v>
      </c>
    </row>
    <row r="1027" spans="1:1" x14ac:dyDescent="0.3">
      <c r="A1027" s="1">
        <v>6</v>
      </c>
    </row>
    <row r="1028" spans="1:1" x14ac:dyDescent="0.3">
      <c r="A1028" s="2">
        <v>4</v>
      </c>
    </row>
    <row r="1029" spans="1:1" x14ac:dyDescent="0.3">
      <c r="A1029" s="1">
        <v>4</v>
      </c>
    </row>
    <row r="1030" spans="1:1" x14ac:dyDescent="0.3">
      <c r="A1030" s="2">
        <v>4</v>
      </c>
    </row>
    <row r="1031" spans="1:1" x14ac:dyDescent="0.3">
      <c r="A1031" s="1">
        <v>4</v>
      </c>
    </row>
    <row r="1032" spans="1:1" x14ac:dyDescent="0.3">
      <c r="A1032" s="2">
        <v>4</v>
      </c>
    </row>
    <row r="1033" spans="1:1" x14ac:dyDescent="0.3">
      <c r="A1033" s="1">
        <v>4</v>
      </c>
    </row>
    <row r="1034" spans="1:1" x14ac:dyDescent="0.3">
      <c r="A1034" s="2">
        <v>4</v>
      </c>
    </row>
    <row r="1035" spans="1:1" x14ac:dyDescent="0.3">
      <c r="A1035" s="1">
        <v>6</v>
      </c>
    </row>
    <row r="1036" spans="1:1" x14ac:dyDescent="0.3">
      <c r="A1036" s="2">
        <v>4</v>
      </c>
    </row>
    <row r="1037" spans="1:1" x14ac:dyDescent="0.3">
      <c r="A1037" s="1">
        <v>4</v>
      </c>
    </row>
    <row r="1038" spans="1:1" x14ac:dyDescent="0.3">
      <c r="A1038" s="2">
        <v>4</v>
      </c>
    </row>
    <row r="1039" spans="1:1" x14ac:dyDescent="0.3">
      <c r="A1039" s="1">
        <v>4</v>
      </c>
    </row>
    <row r="1040" spans="1:1" x14ac:dyDescent="0.3">
      <c r="A1040" s="2">
        <v>4</v>
      </c>
    </row>
    <row r="1041" spans="1:1" x14ac:dyDescent="0.3">
      <c r="A1041" s="1">
        <v>4</v>
      </c>
    </row>
    <row r="1042" spans="1:1" x14ac:dyDescent="0.3">
      <c r="A1042" s="2">
        <v>4</v>
      </c>
    </row>
    <row r="1043" spans="1:1" x14ac:dyDescent="0.3">
      <c r="A1043" s="1">
        <v>4</v>
      </c>
    </row>
    <row r="1044" spans="1:1" x14ac:dyDescent="0.3">
      <c r="A1044" s="2">
        <v>4</v>
      </c>
    </row>
    <row r="1045" spans="1:1" x14ac:dyDescent="0.3">
      <c r="A1045" s="1">
        <v>4</v>
      </c>
    </row>
    <row r="1046" spans="1:1" x14ac:dyDescent="0.3">
      <c r="A1046" s="2">
        <v>4</v>
      </c>
    </row>
    <row r="1047" spans="1:1" x14ac:dyDescent="0.3">
      <c r="A1047" s="1">
        <v>4</v>
      </c>
    </row>
    <row r="1048" spans="1:1" x14ac:dyDescent="0.3">
      <c r="A1048" s="2">
        <v>4</v>
      </c>
    </row>
    <row r="1049" spans="1:1" x14ac:dyDescent="0.3">
      <c r="A1049" s="1">
        <v>4</v>
      </c>
    </row>
    <row r="1050" spans="1:1" x14ac:dyDescent="0.3">
      <c r="A1050" s="2">
        <v>4</v>
      </c>
    </row>
    <row r="1051" spans="1:1" x14ac:dyDescent="0.3">
      <c r="A1051" s="1">
        <v>4</v>
      </c>
    </row>
    <row r="1052" spans="1:1" x14ac:dyDescent="0.3">
      <c r="A1052" s="2">
        <v>4</v>
      </c>
    </row>
    <row r="1053" spans="1:1" x14ac:dyDescent="0.3">
      <c r="A1053" s="1">
        <v>4</v>
      </c>
    </row>
    <row r="1054" spans="1:1" x14ac:dyDescent="0.3">
      <c r="A1054" s="2">
        <v>4</v>
      </c>
    </row>
    <row r="1055" spans="1:1" x14ac:dyDescent="0.3">
      <c r="A1055" s="1">
        <v>4</v>
      </c>
    </row>
    <row r="1056" spans="1:1" x14ac:dyDescent="0.3">
      <c r="A1056" s="2">
        <v>4</v>
      </c>
    </row>
    <row r="1057" spans="1:1" x14ac:dyDescent="0.3">
      <c r="A1057" s="1">
        <v>4</v>
      </c>
    </row>
    <row r="1058" spans="1:1" x14ac:dyDescent="0.3">
      <c r="A1058" s="2">
        <v>4</v>
      </c>
    </row>
    <row r="1059" spans="1:1" x14ac:dyDescent="0.3">
      <c r="A1059" s="1">
        <v>4</v>
      </c>
    </row>
    <row r="1060" spans="1:1" x14ac:dyDescent="0.3">
      <c r="A1060" s="2">
        <v>4</v>
      </c>
    </row>
    <row r="1061" spans="1:1" x14ac:dyDescent="0.3">
      <c r="A1061" s="1">
        <v>4</v>
      </c>
    </row>
    <row r="1062" spans="1:1" x14ac:dyDescent="0.3">
      <c r="A1062" s="2">
        <v>4</v>
      </c>
    </row>
    <row r="1063" spans="1:1" x14ac:dyDescent="0.3">
      <c r="A1063" s="1">
        <v>4</v>
      </c>
    </row>
    <row r="1064" spans="1:1" x14ac:dyDescent="0.3">
      <c r="A1064" s="2">
        <v>4</v>
      </c>
    </row>
    <row r="1065" spans="1:1" x14ac:dyDescent="0.3">
      <c r="A1065" s="1">
        <v>4</v>
      </c>
    </row>
    <row r="1066" spans="1:1" x14ac:dyDescent="0.3">
      <c r="A1066" s="2">
        <v>4</v>
      </c>
    </row>
    <row r="1067" spans="1:1" x14ac:dyDescent="0.3">
      <c r="A1067" s="1">
        <v>4</v>
      </c>
    </row>
    <row r="1068" spans="1:1" x14ac:dyDescent="0.3">
      <c r="A1068" s="2">
        <v>4</v>
      </c>
    </row>
    <row r="1069" spans="1:1" x14ac:dyDescent="0.3">
      <c r="A1069" s="1">
        <v>4</v>
      </c>
    </row>
    <row r="1070" spans="1:1" x14ac:dyDescent="0.3">
      <c r="A1070" s="2">
        <v>4</v>
      </c>
    </row>
    <row r="1071" spans="1:1" x14ac:dyDescent="0.3">
      <c r="A1071" s="1">
        <v>4</v>
      </c>
    </row>
    <row r="1072" spans="1:1" x14ac:dyDescent="0.3">
      <c r="A1072" s="2">
        <v>4</v>
      </c>
    </row>
    <row r="1073" spans="1:1" x14ac:dyDescent="0.3">
      <c r="A1073" s="1">
        <v>4</v>
      </c>
    </row>
    <row r="1074" spans="1:1" x14ac:dyDescent="0.3">
      <c r="A1074" s="2">
        <v>4</v>
      </c>
    </row>
    <row r="1075" spans="1:1" x14ac:dyDescent="0.3">
      <c r="A1075" s="1">
        <v>4</v>
      </c>
    </row>
    <row r="1076" spans="1:1" x14ac:dyDescent="0.3">
      <c r="A1076" s="2">
        <v>4</v>
      </c>
    </row>
    <row r="1077" spans="1:1" x14ac:dyDescent="0.3">
      <c r="A1077" s="1">
        <v>4</v>
      </c>
    </row>
    <row r="1078" spans="1:1" x14ac:dyDescent="0.3">
      <c r="A1078" s="2">
        <v>4</v>
      </c>
    </row>
    <row r="1079" spans="1:1" x14ac:dyDescent="0.3">
      <c r="A1079" s="1">
        <v>6</v>
      </c>
    </row>
    <row r="1080" spans="1:1" x14ac:dyDescent="0.3">
      <c r="A1080" s="2">
        <v>6</v>
      </c>
    </row>
    <row r="1081" spans="1:1" x14ac:dyDescent="0.3">
      <c r="A1081" s="1">
        <v>4</v>
      </c>
    </row>
    <row r="1082" spans="1:1" x14ac:dyDescent="0.3">
      <c r="A1082" s="2">
        <v>4</v>
      </c>
    </row>
    <row r="1083" spans="1:1" x14ac:dyDescent="0.3">
      <c r="A1083" s="1">
        <v>4</v>
      </c>
    </row>
    <row r="1084" spans="1:1" x14ac:dyDescent="0.3">
      <c r="A1084" s="2">
        <v>4</v>
      </c>
    </row>
    <row r="1085" spans="1:1" x14ac:dyDescent="0.3">
      <c r="A1085" s="1">
        <v>4</v>
      </c>
    </row>
    <row r="1086" spans="1:1" x14ac:dyDescent="0.3">
      <c r="A1086" s="2">
        <v>4</v>
      </c>
    </row>
    <row r="1087" spans="1:1" x14ac:dyDescent="0.3">
      <c r="A1087" s="1">
        <v>4</v>
      </c>
    </row>
    <row r="1088" spans="1:1" x14ac:dyDescent="0.3">
      <c r="A1088" s="2">
        <v>4</v>
      </c>
    </row>
    <row r="1089" spans="1:1" x14ac:dyDescent="0.3">
      <c r="A1089" s="1">
        <v>4</v>
      </c>
    </row>
    <row r="1090" spans="1:1" x14ac:dyDescent="0.3">
      <c r="A1090" s="2">
        <v>3</v>
      </c>
    </row>
    <row r="1091" spans="1:1" x14ac:dyDescent="0.3">
      <c r="A1091" s="1">
        <v>3</v>
      </c>
    </row>
    <row r="1092" spans="1:1" x14ac:dyDescent="0.3">
      <c r="A1092" s="2">
        <v>4</v>
      </c>
    </row>
    <row r="1093" spans="1:1" x14ac:dyDescent="0.3">
      <c r="A1093" s="1">
        <v>4</v>
      </c>
    </row>
    <row r="1094" spans="1:1" x14ac:dyDescent="0.3">
      <c r="A1094" s="2">
        <v>4</v>
      </c>
    </row>
    <row r="1095" spans="1:1" x14ac:dyDescent="0.3">
      <c r="A1095" s="1">
        <v>4</v>
      </c>
    </row>
    <row r="1096" spans="1:1" x14ac:dyDescent="0.3">
      <c r="A1096" s="2">
        <v>4</v>
      </c>
    </row>
    <row r="1097" spans="1:1" x14ac:dyDescent="0.3">
      <c r="A1097" s="1">
        <v>4</v>
      </c>
    </row>
    <row r="1098" spans="1:1" x14ac:dyDescent="0.3">
      <c r="A1098" s="2">
        <v>4</v>
      </c>
    </row>
    <row r="1099" spans="1:1" x14ac:dyDescent="0.3">
      <c r="A1099" s="1">
        <v>4</v>
      </c>
    </row>
    <row r="1100" spans="1:1" x14ac:dyDescent="0.3">
      <c r="A1100" s="2">
        <v>6</v>
      </c>
    </row>
    <row r="1101" spans="1:1" x14ac:dyDescent="0.3">
      <c r="A1101" s="1">
        <v>4</v>
      </c>
    </row>
    <row r="1102" spans="1:1" x14ac:dyDescent="0.3">
      <c r="A1102" s="2">
        <v>4</v>
      </c>
    </row>
    <row r="1103" spans="1:1" x14ac:dyDescent="0.3">
      <c r="A1103" s="1">
        <v>4</v>
      </c>
    </row>
    <row r="1104" spans="1:1" x14ac:dyDescent="0.3">
      <c r="A1104" s="2">
        <v>4</v>
      </c>
    </row>
    <row r="1105" spans="1:1" x14ac:dyDescent="0.3">
      <c r="A1105" s="1">
        <v>4</v>
      </c>
    </row>
    <row r="1106" spans="1:1" x14ac:dyDescent="0.3">
      <c r="A1106" s="2">
        <v>4</v>
      </c>
    </row>
    <row r="1107" spans="1:1" x14ac:dyDescent="0.3">
      <c r="A1107" s="1">
        <v>4</v>
      </c>
    </row>
    <row r="1108" spans="1:1" x14ac:dyDescent="0.3">
      <c r="A1108" s="2">
        <v>4</v>
      </c>
    </row>
    <row r="1109" spans="1:1" x14ac:dyDescent="0.3">
      <c r="A1109" s="1">
        <v>4</v>
      </c>
    </row>
    <row r="1110" spans="1:1" x14ac:dyDescent="0.3">
      <c r="A1110" s="2">
        <v>4</v>
      </c>
    </row>
    <row r="1111" spans="1:1" x14ac:dyDescent="0.3">
      <c r="A1111" s="1">
        <v>4</v>
      </c>
    </row>
    <row r="1112" spans="1:1" x14ac:dyDescent="0.3">
      <c r="A1112" s="2">
        <v>4</v>
      </c>
    </row>
    <row r="1113" spans="1:1" x14ac:dyDescent="0.3">
      <c r="A1113" s="1">
        <v>4</v>
      </c>
    </row>
    <row r="1114" spans="1:1" x14ac:dyDescent="0.3">
      <c r="A1114" s="2">
        <v>4</v>
      </c>
    </row>
    <row r="1115" spans="1:1" x14ac:dyDescent="0.3">
      <c r="A1115" s="1">
        <v>6</v>
      </c>
    </row>
    <row r="1116" spans="1:1" x14ac:dyDescent="0.3">
      <c r="A1116" s="2">
        <v>6</v>
      </c>
    </row>
    <row r="1117" spans="1:1" x14ac:dyDescent="0.3">
      <c r="A1117" s="1">
        <v>4</v>
      </c>
    </row>
    <row r="1118" spans="1:1" x14ac:dyDescent="0.3">
      <c r="A1118" s="2">
        <v>6</v>
      </c>
    </row>
    <row r="1119" spans="1:1" x14ac:dyDescent="0.3">
      <c r="A1119" s="1">
        <v>4</v>
      </c>
    </row>
    <row r="1120" spans="1:1" x14ac:dyDescent="0.3">
      <c r="A1120" s="2">
        <v>4</v>
      </c>
    </row>
    <row r="1121" spans="1:1" x14ac:dyDescent="0.3">
      <c r="A1121" s="1">
        <v>4</v>
      </c>
    </row>
    <row r="1122" spans="1:1" x14ac:dyDescent="0.3">
      <c r="A1122" s="2">
        <v>4</v>
      </c>
    </row>
    <row r="1123" spans="1:1" x14ac:dyDescent="0.3">
      <c r="A1123" s="1">
        <v>4</v>
      </c>
    </row>
    <row r="1124" spans="1:1" x14ac:dyDescent="0.3">
      <c r="A1124" s="2">
        <v>4</v>
      </c>
    </row>
    <row r="1125" spans="1:1" x14ac:dyDescent="0.3">
      <c r="A1125" s="1">
        <v>4</v>
      </c>
    </row>
    <row r="1126" spans="1:1" x14ac:dyDescent="0.3">
      <c r="A1126" s="2">
        <v>4</v>
      </c>
    </row>
    <row r="1127" spans="1:1" x14ac:dyDescent="0.3">
      <c r="A1127" s="1">
        <v>4</v>
      </c>
    </row>
    <row r="1128" spans="1:1" x14ac:dyDescent="0.3">
      <c r="A1128" s="2">
        <v>6</v>
      </c>
    </row>
    <row r="1129" spans="1:1" x14ac:dyDescent="0.3">
      <c r="A1129" s="1">
        <v>4</v>
      </c>
    </row>
    <row r="1130" spans="1:1" x14ac:dyDescent="0.3">
      <c r="A1130" s="2">
        <v>4</v>
      </c>
    </row>
    <row r="1131" spans="1:1" x14ac:dyDescent="0.3">
      <c r="A1131" s="1">
        <v>4</v>
      </c>
    </row>
    <row r="1132" spans="1:1" x14ac:dyDescent="0.3">
      <c r="A1132" s="2">
        <v>4</v>
      </c>
    </row>
    <row r="1133" spans="1:1" x14ac:dyDescent="0.3">
      <c r="A1133" s="1">
        <v>4</v>
      </c>
    </row>
    <row r="1134" spans="1:1" x14ac:dyDescent="0.3">
      <c r="A1134" s="2">
        <v>4</v>
      </c>
    </row>
    <row r="1135" spans="1:1" x14ac:dyDescent="0.3">
      <c r="A1135" s="1">
        <v>4</v>
      </c>
    </row>
    <row r="1136" spans="1:1" x14ac:dyDescent="0.3">
      <c r="A1136" s="2">
        <v>4</v>
      </c>
    </row>
    <row r="1137" spans="1:1" x14ac:dyDescent="0.3">
      <c r="A1137" s="1">
        <v>4</v>
      </c>
    </row>
    <row r="1138" spans="1:1" x14ac:dyDescent="0.3">
      <c r="A1138" s="2">
        <v>4</v>
      </c>
    </row>
    <row r="1139" spans="1:1" x14ac:dyDescent="0.3">
      <c r="A1139" s="1">
        <v>4</v>
      </c>
    </row>
    <row r="1140" spans="1:1" x14ac:dyDescent="0.3">
      <c r="A1140" s="2">
        <v>4</v>
      </c>
    </row>
    <row r="1141" spans="1:1" x14ac:dyDescent="0.3">
      <c r="A1141" s="1">
        <v>4</v>
      </c>
    </row>
    <row r="1142" spans="1:1" x14ac:dyDescent="0.3">
      <c r="A1142" s="2">
        <v>4</v>
      </c>
    </row>
    <row r="1143" spans="1:1" x14ac:dyDescent="0.3">
      <c r="A1143" s="1">
        <v>4</v>
      </c>
    </row>
    <row r="1144" spans="1:1" x14ac:dyDescent="0.3">
      <c r="A1144" s="2">
        <v>4</v>
      </c>
    </row>
    <row r="1145" spans="1:1" x14ac:dyDescent="0.3">
      <c r="A1145" s="1">
        <v>4</v>
      </c>
    </row>
    <row r="1146" spans="1:1" x14ac:dyDescent="0.3">
      <c r="A1146" s="2">
        <v>4</v>
      </c>
    </row>
    <row r="1147" spans="1:1" x14ac:dyDescent="0.3">
      <c r="A1147" s="1">
        <v>4</v>
      </c>
    </row>
    <row r="1148" spans="1:1" x14ac:dyDescent="0.3">
      <c r="A1148" s="2">
        <v>4</v>
      </c>
    </row>
    <row r="1149" spans="1:1" x14ac:dyDescent="0.3">
      <c r="A1149" s="1">
        <v>4</v>
      </c>
    </row>
    <row r="1150" spans="1:1" x14ac:dyDescent="0.3">
      <c r="A1150" s="2">
        <v>4</v>
      </c>
    </row>
    <row r="1151" spans="1:1" x14ac:dyDescent="0.3">
      <c r="A1151" s="1">
        <v>4</v>
      </c>
    </row>
    <row r="1152" spans="1:1" x14ac:dyDescent="0.3">
      <c r="A1152" s="2">
        <v>4</v>
      </c>
    </row>
    <row r="1153" spans="1:1" x14ac:dyDescent="0.3">
      <c r="A1153" s="1">
        <v>4</v>
      </c>
    </row>
    <row r="1154" spans="1:1" x14ac:dyDescent="0.3">
      <c r="A1154" s="2">
        <v>4</v>
      </c>
    </row>
    <row r="1155" spans="1:1" x14ac:dyDescent="0.3">
      <c r="A1155" s="1">
        <v>4</v>
      </c>
    </row>
    <row r="1156" spans="1:1" x14ac:dyDescent="0.3">
      <c r="A1156" s="2">
        <v>4</v>
      </c>
    </row>
    <row r="1157" spans="1:1" x14ac:dyDescent="0.3">
      <c r="A1157" s="1">
        <v>4</v>
      </c>
    </row>
    <row r="1158" spans="1:1" x14ac:dyDescent="0.3">
      <c r="A1158" s="2">
        <v>4</v>
      </c>
    </row>
    <row r="1159" spans="1:1" x14ac:dyDescent="0.3">
      <c r="A1159" s="1">
        <v>4</v>
      </c>
    </row>
    <row r="1160" spans="1:1" x14ac:dyDescent="0.3">
      <c r="A1160" s="2">
        <v>4</v>
      </c>
    </row>
    <row r="1161" spans="1:1" x14ac:dyDescent="0.3">
      <c r="A1161" s="1">
        <v>4</v>
      </c>
    </row>
    <row r="1162" spans="1:1" x14ac:dyDescent="0.3">
      <c r="A1162" s="2">
        <v>4</v>
      </c>
    </row>
    <row r="1163" spans="1:1" x14ac:dyDescent="0.3">
      <c r="A1163" s="1">
        <v>4</v>
      </c>
    </row>
    <row r="1164" spans="1:1" x14ac:dyDescent="0.3">
      <c r="A1164" s="2">
        <v>4</v>
      </c>
    </row>
    <row r="1165" spans="1:1" x14ac:dyDescent="0.3">
      <c r="A1165" s="1">
        <v>4</v>
      </c>
    </row>
    <row r="1166" spans="1:1" x14ac:dyDescent="0.3">
      <c r="A1166" s="2">
        <v>4</v>
      </c>
    </row>
    <row r="1167" spans="1:1" x14ac:dyDescent="0.3">
      <c r="A1167" s="1">
        <v>4</v>
      </c>
    </row>
    <row r="1168" spans="1:1" x14ac:dyDescent="0.3">
      <c r="A1168" s="2">
        <v>6</v>
      </c>
    </row>
    <row r="1169" spans="1:1" x14ac:dyDescent="0.3">
      <c r="A1169" s="1">
        <v>6</v>
      </c>
    </row>
    <row r="1170" spans="1:1" x14ac:dyDescent="0.3">
      <c r="A1170" s="2">
        <v>4</v>
      </c>
    </row>
    <row r="1171" spans="1:1" x14ac:dyDescent="0.3">
      <c r="A1171" s="1">
        <v>4</v>
      </c>
    </row>
    <row r="1172" spans="1:1" x14ac:dyDescent="0.3">
      <c r="A1172" s="2">
        <v>4</v>
      </c>
    </row>
    <row r="1173" spans="1:1" x14ac:dyDescent="0.3">
      <c r="A1173" s="1">
        <v>4</v>
      </c>
    </row>
    <row r="1174" spans="1:1" x14ac:dyDescent="0.3">
      <c r="A1174" s="2">
        <v>6</v>
      </c>
    </row>
    <row r="1175" spans="1:1" x14ac:dyDescent="0.3">
      <c r="A1175" s="1">
        <v>4</v>
      </c>
    </row>
    <row r="1176" spans="1:1" x14ac:dyDescent="0.3">
      <c r="A1176" s="2">
        <v>4</v>
      </c>
    </row>
    <row r="1177" spans="1:1" x14ac:dyDescent="0.3">
      <c r="A1177" s="1">
        <v>4</v>
      </c>
    </row>
    <row r="1178" spans="1:1" x14ac:dyDescent="0.3">
      <c r="A1178" s="2">
        <v>4</v>
      </c>
    </row>
    <row r="1179" spans="1:1" x14ac:dyDescent="0.3">
      <c r="A1179" s="1">
        <v>6</v>
      </c>
    </row>
    <row r="1180" spans="1:1" x14ac:dyDescent="0.3">
      <c r="A1180" s="2">
        <v>5</v>
      </c>
    </row>
    <row r="1181" spans="1:1" x14ac:dyDescent="0.3">
      <c r="A1181" s="1">
        <v>4</v>
      </c>
    </row>
    <row r="1182" spans="1:1" x14ac:dyDescent="0.3">
      <c r="A1182" s="2">
        <v>4</v>
      </c>
    </row>
    <row r="1183" spans="1:1" x14ac:dyDescent="0.3">
      <c r="A1183" s="1">
        <v>4</v>
      </c>
    </row>
    <row r="1184" spans="1:1" x14ac:dyDescent="0.3">
      <c r="A1184" s="2">
        <v>4</v>
      </c>
    </row>
    <row r="1185" spans="1:1" x14ac:dyDescent="0.3">
      <c r="A1185" s="1">
        <v>4</v>
      </c>
    </row>
    <row r="1186" spans="1:1" x14ac:dyDescent="0.3">
      <c r="A1186" s="2">
        <v>3</v>
      </c>
    </row>
    <row r="1187" spans="1:1" x14ac:dyDescent="0.3">
      <c r="A1187" s="1">
        <v>3</v>
      </c>
    </row>
    <row r="1188" spans="1:1" x14ac:dyDescent="0.3">
      <c r="A1188" s="2">
        <v>3</v>
      </c>
    </row>
    <row r="1189" spans="1:1" x14ac:dyDescent="0.3">
      <c r="A1189" s="1">
        <v>4</v>
      </c>
    </row>
    <row r="1190" spans="1:1" x14ac:dyDescent="0.3">
      <c r="A1190" s="2">
        <v>4</v>
      </c>
    </row>
    <row r="1191" spans="1:1" x14ac:dyDescent="0.3">
      <c r="A1191" s="1">
        <v>4</v>
      </c>
    </row>
    <row r="1192" spans="1:1" x14ac:dyDescent="0.3">
      <c r="A1192" s="2">
        <v>4</v>
      </c>
    </row>
    <row r="1193" spans="1:1" x14ac:dyDescent="0.3">
      <c r="A1193" s="1">
        <v>4</v>
      </c>
    </row>
    <row r="1194" spans="1:1" x14ac:dyDescent="0.3">
      <c r="A1194" s="2">
        <v>4</v>
      </c>
    </row>
    <row r="1195" spans="1:1" x14ac:dyDescent="0.3">
      <c r="A1195" s="1">
        <v>4</v>
      </c>
    </row>
    <row r="1196" spans="1:1" x14ac:dyDescent="0.3">
      <c r="A1196" s="2">
        <v>4</v>
      </c>
    </row>
    <row r="1197" spans="1:1" x14ac:dyDescent="0.3">
      <c r="A1197" s="1">
        <v>6</v>
      </c>
    </row>
    <row r="1198" spans="1:1" x14ac:dyDescent="0.3">
      <c r="A1198" s="2">
        <v>6</v>
      </c>
    </row>
    <row r="1199" spans="1:1" x14ac:dyDescent="0.3">
      <c r="A1199" s="1">
        <v>6</v>
      </c>
    </row>
    <row r="1200" spans="1:1" x14ac:dyDescent="0.3">
      <c r="A1200" s="2">
        <v>6</v>
      </c>
    </row>
    <row r="1201" spans="1:1" x14ac:dyDescent="0.3">
      <c r="A1201" s="1">
        <v>4</v>
      </c>
    </row>
    <row r="1202" spans="1:1" x14ac:dyDescent="0.3">
      <c r="A1202" s="2">
        <v>6</v>
      </c>
    </row>
    <row r="1203" spans="1:1" x14ac:dyDescent="0.3">
      <c r="A1203" s="1">
        <v>4</v>
      </c>
    </row>
    <row r="1204" spans="1:1" x14ac:dyDescent="0.3">
      <c r="A1204" s="2">
        <v>4</v>
      </c>
    </row>
    <row r="1205" spans="1:1" x14ac:dyDescent="0.3">
      <c r="A1205" s="1">
        <v>6</v>
      </c>
    </row>
    <row r="1206" spans="1:1" x14ac:dyDescent="0.3">
      <c r="A1206" s="2">
        <v>6</v>
      </c>
    </row>
    <row r="1207" spans="1:1" x14ac:dyDescent="0.3">
      <c r="A1207" s="1">
        <v>6</v>
      </c>
    </row>
    <row r="1208" spans="1:1" x14ac:dyDescent="0.3">
      <c r="A1208" s="2">
        <v>4</v>
      </c>
    </row>
    <row r="1209" spans="1:1" x14ac:dyDescent="0.3">
      <c r="A1209" s="1">
        <v>6</v>
      </c>
    </row>
    <row r="1210" spans="1:1" x14ac:dyDescent="0.3">
      <c r="A1210" s="2">
        <v>6</v>
      </c>
    </row>
    <row r="1211" spans="1:1" x14ac:dyDescent="0.3">
      <c r="A1211" s="1">
        <v>6</v>
      </c>
    </row>
    <row r="1212" spans="1:1" x14ac:dyDescent="0.3">
      <c r="A1212" s="2">
        <v>6</v>
      </c>
    </row>
    <row r="1213" spans="1:1" x14ac:dyDescent="0.3">
      <c r="A1213" s="1">
        <v>6</v>
      </c>
    </row>
    <row r="1214" spans="1:1" x14ac:dyDescent="0.3">
      <c r="A1214" s="2">
        <v>6</v>
      </c>
    </row>
    <row r="1215" spans="1:1" x14ac:dyDescent="0.3">
      <c r="A1215" s="1">
        <v>6</v>
      </c>
    </row>
    <row r="1216" spans="1:1" x14ac:dyDescent="0.3">
      <c r="A1216" s="2">
        <v>6</v>
      </c>
    </row>
    <row r="1217" spans="1:1" x14ac:dyDescent="0.3">
      <c r="A1217" s="1">
        <v>6</v>
      </c>
    </row>
    <row r="1218" spans="1:1" x14ac:dyDescent="0.3">
      <c r="A1218" s="2">
        <v>4</v>
      </c>
    </row>
    <row r="1219" spans="1:1" x14ac:dyDescent="0.3">
      <c r="A1219" s="1">
        <v>4</v>
      </c>
    </row>
    <row r="1220" spans="1:1" x14ac:dyDescent="0.3">
      <c r="A1220" s="2">
        <v>6</v>
      </c>
    </row>
    <row r="1221" spans="1:1" x14ac:dyDescent="0.3">
      <c r="A1221" s="1">
        <v>4</v>
      </c>
    </row>
    <row r="1222" spans="1:1" x14ac:dyDescent="0.3">
      <c r="A1222" s="2">
        <v>4</v>
      </c>
    </row>
    <row r="1223" spans="1:1" x14ac:dyDescent="0.3">
      <c r="A1223" s="1">
        <v>4</v>
      </c>
    </row>
    <row r="1224" spans="1:1" x14ac:dyDescent="0.3">
      <c r="A1224" s="2">
        <v>4</v>
      </c>
    </row>
    <row r="1225" spans="1:1" x14ac:dyDescent="0.3">
      <c r="A1225" s="1">
        <v>4</v>
      </c>
    </row>
    <row r="1226" spans="1:1" x14ac:dyDescent="0.3">
      <c r="A1226" s="2">
        <v>4</v>
      </c>
    </row>
    <row r="1227" spans="1:1" x14ac:dyDescent="0.3">
      <c r="A1227" s="1">
        <v>4</v>
      </c>
    </row>
    <row r="1228" spans="1:1" x14ac:dyDescent="0.3">
      <c r="A1228" s="2">
        <v>4</v>
      </c>
    </row>
    <row r="1229" spans="1:1" x14ac:dyDescent="0.3">
      <c r="A1229" s="1">
        <v>4</v>
      </c>
    </row>
    <row r="1230" spans="1:1" x14ac:dyDescent="0.3">
      <c r="A1230" s="2">
        <v>4</v>
      </c>
    </row>
    <row r="1231" spans="1:1" x14ac:dyDescent="0.3">
      <c r="A1231" s="1">
        <v>4</v>
      </c>
    </row>
    <row r="1232" spans="1:1" x14ac:dyDescent="0.3">
      <c r="A1232" s="2">
        <v>6</v>
      </c>
    </row>
    <row r="1233" spans="1:1" x14ac:dyDescent="0.3">
      <c r="A1233" s="1">
        <v>4</v>
      </c>
    </row>
    <row r="1234" spans="1:1" x14ac:dyDescent="0.3">
      <c r="A1234" s="2">
        <v>4</v>
      </c>
    </row>
    <row r="1235" spans="1:1" x14ac:dyDescent="0.3">
      <c r="A1235" s="1">
        <v>6</v>
      </c>
    </row>
    <row r="1236" spans="1:1" x14ac:dyDescent="0.3">
      <c r="A1236" s="2">
        <v>6</v>
      </c>
    </row>
    <row r="1237" spans="1:1" x14ac:dyDescent="0.3">
      <c r="A1237" s="1">
        <v>6</v>
      </c>
    </row>
    <row r="1238" spans="1:1" x14ac:dyDescent="0.3">
      <c r="A1238" s="2">
        <v>6</v>
      </c>
    </row>
    <row r="1239" spans="1:1" x14ac:dyDescent="0.3">
      <c r="A1239" s="1">
        <v>4</v>
      </c>
    </row>
    <row r="1240" spans="1:1" x14ac:dyDescent="0.3">
      <c r="A1240" s="2">
        <v>4</v>
      </c>
    </row>
    <row r="1241" spans="1:1" x14ac:dyDescent="0.3">
      <c r="A1241" s="1">
        <v>6</v>
      </c>
    </row>
    <row r="1242" spans="1:1" x14ac:dyDescent="0.3">
      <c r="A1242" s="2">
        <v>6</v>
      </c>
    </row>
    <row r="1243" spans="1:1" x14ac:dyDescent="0.3">
      <c r="A1243" s="1">
        <v>4</v>
      </c>
    </row>
    <row r="1244" spans="1:1" x14ac:dyDescent="0.3">
      <c r="A1244" s="2">
        <v>4</v>
      </c>
    </row>
    <row r="1245" spans="1:1" x14ac:dyDescent="0.3">
      <c r="A1245" s="1">
        <v>4</v>
      </c>
    </row>
    <row r="1246" spans="1:1" x14ac:dyDescent="0.3">
      <c r="A1246" s="2">
        <v>4</v>
      </c>
    </row>
    <row r="1247" spans="1:1" x14ac:dyDescent="0.3">
      <c r="A1247" s="1">
        <v>4</v>
      </c>
    </row>
    <row r="1248" spans="1:1" x14ac:dyDescent="0.3">
      <c r="A1248" s="2">
        <v>4</v>
      </c>
    </row>
    <row r="1249" spans="1:1" x14ac:dyDescent="0.3">
      <c r="A1249" s="1">
        <v>4</v>
      </c>
    </row>
    <row r="1250" spans="1:1" x14ac:dyDescent="0.3">
      <c r="A1250" s="2">
        <v>4</v>
      </c>
    </row>
    <row r="1251" spans="1:1" x14ac:dyDescent="0.3">
      <c r="A1251" s="1">
        <v>4</v>
      </c>
    </row>
    <row r="1252" spans="1:1" x14ac:dyDescent="0.3">
      <c r="A1252" s="2">
        <v>4</v>
      </c>
    </row>
    <row r="1253" spans="1:1" x14ac:dyDescent="0.3">
      <c r="A1253" s="1">
        <v>4</v>
      </c>
    </row>
    <row r="1254" spans="1:1" x14ac:dyDescent="0.3">
      <c r="A1254" s="2">
        <v>4</v>
      </c>
    </row>
    <row r="1255" spans="1:1" x14ac:dyDescent="0.3">
      <c r="A1255" s="1">
        <v>4</v>
      </c>
    </row>
    <row r="1256" spans="1:1" x14ac:dyDescent="0.3">
      <c r="A1256" s="2">
        <v>6</v>
      </c>
    </row>
    <row r="1257" spans="1:1" x14ac:dyDescent="0.3">
      <c r="A1257" s="1">
        <v>6</v>
      </c>
    </row>
    <row r="1258" spans="1:1" x14ac:dyDescent="0.3">
      <c r="A1258" s="2">
        <v>6</v>
      </c>
    </row>
    <row r="1259" spans="1:1" x14ac:dyDescent="0.3">
      <c r="A1259" s="1">
        <v>6</v>
      </c>
    </row>
    <row r="1260" spans="1:1" x14ac:dyDescent="0.3">
      <c r="A1260" s="2">
        <v>6</v>
      </c>
    </row>
    <row r="1261" spans="1:1" x14ac:dyDescent="0.3">
      <c r="A1261" s="1">
        <v>6</v>
      </c>
    </row>
    <row r="1262" spans="1:1" x14ac:dyDescent="0.3">
      <c r="A1262" s="2">
        <v>6</v>
      </c>
    </row>
    <row r="1263" spans="1:1" x14ac:dyDescent="0.3">
      <c r="A1263" s="1">
        <v>6</v>
      </c>
    </row>
    <row r="1264" spans="1:1" x14ac:dyDescent="0.3">
      <c r="A1264" s="2">
        <v>6</v>
      </c>
    </row>
    <row r="1265" spans="1:1" x14ac:dyDescent="0.3">
      <c r="A1265" s="1">
        <v>6</v>
      </c>
    </row>
    <row r="1266" spans="1:1" x14ac:dyDescent="0.3">
      <c r="A1266" s="2">
        <v>6</v>
      </c>
    </row>
    <row r="1267" spans="1:1" x14ac:dyDescent="0.3">
      <c r="A1267" s="1">
        <v>4</v>
      </c>
    </row>
    <row r="1268" spans="1:1" x14ac:dyDescent="0.3">
      <c r="A1268" s="2">
        <v>4</v>
      </c>
    </row>
    <row r="1269" spans="1:1" x14ac:dyDescent="0.3">
      <c r="A1269" s="1">
        <v>4</v>
      </c>
    </row>
    <row r="1270" spans="1:1" x14ac:dyDescent="0.3">
      <c r="A1270" s="2">
        <v>4</v>
      </c>
    </row>
    <row r="1271" spans="1:1" x14ac:dyDescent="0.3">
      <c r="A1271" s="1">
        <v>4</v>
      </c>
    </row>
    <row r="1272" spans="1:1" x14ac:dyDescent="0.3">
      <c r="A1272" s="2">
        <v>4</v>
      </c>
    </row>
    <row r="1273" spans="1:1" x14ac:dyDescent="0.3">
      <c r="A1273" s="1">
        <v>4</v>
      </c>
    </row>
    <row r="1274" spans="1:1" x14ac:dyDescent="0.3">
      <c r="A1274" s="2">
        <v>4</v>
      </c>
    </row>
    <row r="1275" spans="1:1" x14ac:dyDescent="0.3">
      <c r="A1275" s="1">
        <v>4</v>
      </c>
    </row>
    <row r="1276" spans="1:1" x14ac:dyDescent="0.3">
      <c r="A1276" s="2">
        <v>4</v>
      </c>
    </row>
    <row r="1277" spans="1:1" x14ac:dyDescent="0.3">
      <c r="A1277" s="1">
        <v>4</v>
      </c>
    </row>
    <row r="1278" spans="1:1" x14ac:dyDescent="0.3">
      <c r="A1278" s="2">
        <v>4</v>
      </c>
    </row>
    <row r="1279" spans="1:1" x14ac:dyDescent="0.3">
      <c r="A1279" s="1">
        <v>4</v>
      </c>
    </row>
    <row r="1280" spans="1:1" x14ac:dyDescent="0.3">
      <c r="A1280" s="2">
        <v>4</v>
      </c>
    </row>
    <row r="1281" spans="1:1" x14ac:dyDescent="0.3">
      <c r="A1281" s="1">
        <v>4</v>
      </c>
    </row>
    <row r="1282" spans="1:1" x14ac:dyDescent="0.3">
      <c r="A1282" s="2">
        <v>4</v>
      </c>
    </row>
    <row r="1283" spans="1:1" x14ac:dyDescent="0.3">
      <c r="A1283" s="1">
        <v>4</v>
      </c>
    </row>
    <row r="1284" spans="1:1" x14ac:dyDescent="0.3">
      <c r="A1284" s="2">
        <v>4</v>
      </c>
    </row>
    <row r="1285" spans="1:1" x14ac:dyDescent="0.3">
      <c r="A1285" s="1">
        <v>4</v>
      </c>
    </row>
    <row r="1286" spans="1:1" x14ac:dyDescent="0.3">
      <c r="A1286" s="2">
        <v>4</v>
      </c>
    </row>
    <row r="1287" spans="1:1" x14ac:dyDescent="0.3">
      <c r="A1287" s="1">
        <v>4</v>
      </c>
    </row>
    <row r="1288" spans="1:1" x14ac:dyDescent="0.3">
      <c r="A1288" s="2">
        <v>4</v>
      </c>
    </row>
    <row r="1289" spans="1:1" x14ac:dyDescent="0.3">
      <c r="A1289" s="1">
        <v>6</v>
      </c>
    </row>
    <row r="1290" spans="1:1" x14ac:dyDescent="0.3">
      <c r="A1290" s="2">
        <v>6</v>
      </c>
    </row>
    <row r="1291" spans="1:1" x14ac:dyDescent="0.3">
      <c r="A1291" s="1">
        <v>4</v>
      </c>
    </row>
    <row r="1292" spans="1:1" x14ac:dyDescent="0.3">
      <c r="A1292" s="2">
        <v>4</v>
      </c>
    </row>
    <row r="1293" spans="1:1" x14ac:dyDescent="0.3">
      <c r="A1293" s="1">
        <v>4</v>
      </c>
    </row>
    <row r="1294" spans="1:1" x14ac:dyDescent="0.3">
      <c r="A1294" s="2">
        <v>6</v>
      </c>
    </row>
    <row r="1295" spans="1:1" x14ac:dyDescent="0.3">
      <c r="A1295" s="1">
        <v>4</v>
      </c>
    </row>
    <row r="1296" spans="1:1" x14ac:dyDescent="0.3">
      <c r="A1296" s="2">
        <v>6</v>
      </c>
    </row>
    <row r="1297" spans="1:1" x14ac:dyDescent="0.3">
      <c r="A1297" s="1">
        <v>6</v>
      </c>
    </row>
    <row r="1298" spans="1:1" x14ac:dyDescent="0.3">
      <c r="A1298" s="2">
        <v>4</v>
      </c>
    </row>
    <row r="1299" spans="1:1" x14ac:dyDescent="0.3">
      <c r="A1299" s="1">
        <v>4</v>
      </c>
    </row>
    <row r="1300" spans="1:1" x14ac:dyDescent="0.3">
      <c r="A1300" s="2">
        <v>4</v>
      </c>
    </row>
    <row r="1301" spans="1:1" x14ac:dyDescent="0.3">
      <c r="A1301" s="1">
        <v>4</v>
      </c>
    </row>
    <row r="1302" spans="1:1" x14ac:dyDescent="0.3">
      <c r="A1302" s="2">
        <v>4</v>
      </c>
    </row>
    <row r="1303" spans="1:1" x14ac:dyDescent="0.3">
      <c r="A1303" s="1">
        <v>4</v>
      </c>
    </row>
    <row r="1304" spans="1:1" x14ac:dyDescent="0.3">
      <c r="A1304" s="2">
        <v>4</v>
      </c>
    </row>
    <row r="1305" spans="1:1" x14ac:dyDescent="0.3">
      <c r="A1305" s="1">
        <v>4</v>
      </c>
    </row>
    <row r="1306" spans="1:1" x14ac:dyDescent="0.3">
      <c r="A1306" s="2">
        <v>4</v>
      </c>
    </row>
    <row r="1307" spans="1:1" x14ac:dyDescent="0.3">
      <c r="A1307" s="1">
        <v>4</v>
      </c>
    </row>
    <row r="1308" spans="1:1" x14ac:dyDescent="0.3">
      <c r="A1308" s="2">
        <v>4</v>
      </c>
    </row>
    <row r="1309" spans="1:1" x14ac:dyDescent="0.3">
      <c r="A1309" s="1">
        <v>4</v>
      </c>
    </row>
    <row r="1310" spans="1:1" x14ac:dyDescent="0.3">
      <c r="A1310" s="2">
        <v>4</v>
      </c>
    </row>
    <row r="1311" spans="1:1" x14ac:dyDescent="0.3">
      <c r="A1311" s="1">
        <v>4</v>
      </c>
    </row>
    <row r="1312" spans="1:1" x14ac:dyDescent="0.3">
      <c r="A1312" s="2">
        <v>4</v>
      </c>
    </row>
    <row r="1313" spans="1:1" x14ac:dyDescent="0.3">
      <c r="A1313" s="1">
        <v>4</v>
      </c>
    </row>
    <row r="1314" spans="1:1" x14ac:dyDescent="0.3">
      <c r="A1314" s="2">
        <v>4</v>
      </c>
    </row>
    <row r="1315" spans="1:1" x14ac:dyDescent="0.3">
      <c r="A1315" s="1">
        <v>4</v>
      </c>
    </row>
    <row r="1316" spans="1:1" x14ac:dyDescent="0.3">
      <c r="A1316" s="2">
        <v>4</v>
      </c>
    </row>
    <row r="1317" spans="1:1" x14ac:dyDescent="0.3">
      <c r="A1317" s="1">
        <v>4</v>
      </c>
    </row>
    <row r="1318" spans="1:1" x14ac:dyDescent="0.3">
      <c r="A1318" s="2">
        <v>4</v>
      </c>
    </row>
    <row r="1319" spans="1:1" x14ac:dyDescent="0.3">
      <c r="A1319" s="1">
        <v>4</v>
      </c>
    </row>
    <row r="1320" spans="1:1" x14ac:dyDescent="0.3">
      <c r="A1320" s="2">
        <v>4</v>
      </c>
    </row>
    <row r="1321" spans="1:1" x14ac:dyDescent="0.3">
      <c r="A1321" s="1">
        <v>4</v>
      </c>
    </row>
    <row r="1322" spans="1:1" x14ac:dyDescent="0.3">
      <c r="A1322" s="2">
        <v>4</v>
      </c>
    </row>
    <row r="1323" spans="1:1" x14ac:dyDescent="0.3">
      <c r="A1323" s="1">
        <v>4</v>
      </c>
    </row>
    <row r="1324" spans="1:1" x14ac:dyDescent="0.3">
      <c r="A1324" s="2">
        <v>4</v>
      </c>
    </row>
    <row r="1325" spans="1:1" x14ac:dyDescent="0.3">
      <c r="A1325" s="1">
        <v>4</v>
      </c>
    </row>
    <row r="1326" spans="1:1" x14ac:dyDescent="0.3">
      <c r="A1326" s="2">
        <v>4</v>
      </c>
    </row>
    <row r="1327" spans="1:1" x14ac:dyDescent="0.3">
      <c r="A1327" s="1">
        <v>4</v>
      </c>
    </row>
    <row r="1328" spans="1:1" x14ac:dyDescent="0.3">
      <c r="A1328" s="2">
        <v>4</v>
      </c>
    </row>
    <row r="1329" spans="1:1" x14ac:dyDescent="0.3">
      <c r="A1329" s="1">
        <v>4</v>
      </c>
    </row>
    <row r="1330" spans="1:1" x14ac:dyDescent="0.3">
      <c r="A1330" s="2">
        <v>4</v>
      </c>
    </row>
    <row r="1331" spans="1:1" x14ac:dyDescent="0.3">
      <c r="A1331" s="1">
        <v>4</v>
      </c>
    </row>
    <row r="1332" spans="1:1" x14ac:dyDescent="0.3">
      <c r="A1332" s="2">
        <v>4</v>
      </c>
    </row>
    <row r="1333" spans="1:1" x14ac:dyDescent="0.3">
      <c r="A1333" s="1">
        <v>4</v>
      </c>
    </row>
    <row r="1334" spans="1:1" x14ac:dyDescent="0.3">
      <c r="A1334" s="2">
        <v>4</v>
      </c>
    </row>
    <row r="1335" spans="1:1" x14ac:dyDescent="0.3">
      <c r="A1335" s="1">
        <v>4</v>
      </c>
    </row>
    <row r="1336" spans="1:1" x14ac:dyDescent="0.3">
      <c r="A1336" s="2">
        <v>4</v>
      </c>
    </row>
    <row r="1337" spans="1:1" x14ac:dyDescent="0.3">
      <c r="A1337" s="1">
        <v>4</v>
      </c>
    </row>
    <row r="1338" spans="1:1" x14ac:dyDescent="0.3">
      <c r="A1338" s="2">
        <v>4</v>
      </c>
    </row>
    <row r="1339" spans="1:1" x14ac:dyDescent="0.3">
      <c r="A1339" s="1">
        <v>4</v>
      </c>
    </row>
    <row r="1340" spans="1:1" x14ac:dyDescent="0.3">
      <c r="A1340" s="2">
        <v>4</v>
      </c>
    </row>
    <row r="1341" spans="1:1" x14ac:dyDescent="0.3">
      <c r="A1341" s="1">
        <v>4</v>
      </c>
    </row>
    <row r="1342" spans="1:1" x14ac:dyDescent="0.3">
      <c r="A1342" s="2">
        <v>4</v>
      </c>
    </row>
    <row r="1343" spans="1:1" x14ac:dyDescent="0.3">
      <c r="A1343" s="1">
        <v>4</v>
      </c>
    </row>
    <row r="1344" spans="1:1" x14ac:dyDescent="0.3">
      <c r="A1344" s="2">
        <v>4</v>
      </c>
    </row>
    <row r="1345" spans="1:1" x14ac:dyDescent="0.3">
      <c r="A1345" s="1">
        <v>4</v>
      </c>
    </row>
    <row r="1346" spans="1:1" x14ac:dyDescent="0.3">
      <c r="A1346" s="2">
        <v>4</v>
      </c>
    </row>
    <row r="1347" spans="1:1" x14ac:dyDescent="0.3">
      <c r="A1347" s="1">
        <v>4</v>
      </c>
    </row>
    <row r="1348" spans="1:1" x14ac:dyDescent="0.3">
      <c r="A1348" s="2">
        <v>4</v>
      </c>
    </row>
    <row r="1349" spans="1:1" x14ac:dyDescent="0.3">
      <c r="A1349" s="1">
        <v>4</v>
      </c>
    </row>
    <row r="1350" spans="1:1" x14ac:dyDescent="0.3">
      <c r="A1350" s="2">
        <v>4</v>
      </c>
    </row>
    <row r="1351" spans="1:1" x14ac:dyDescent="0.3">
      <c r="A1351" s="1">
        <v>6</v>
      </c>
    </row>
    <row r="1352" spans="1:1" x14ac:dyDescent="0.3">
      <c r="A1352" s="2">
        <v>6</v>
      </c>
    </row>
    <row r="1353" spans="1:1" x14ac:dyDescent="0.3">
      <c r="A1353" s="1">
        <v>4</v>
      </c>
    </row>
    <row r="1354" spans="1:1" x14ac:dyDescent="0.3">
      <c r="A1354" s="2">
        <v>4</v>
      </c>
    </row>
    <row r="1355" spans="1:1" x14ac:dyDescent="0.3">
      <c r="A1355" s="1">
        <v>4</v>
      </c>
    </row>
    <row r="1356" spans="1:1" x14ac:dyDescent="0.3">
      <c r="A1356" s="2">
        <v>6</v>
      </c>
    </row>
    <row r="1357" spans="1:1" x14ac:dyDescent="0.3">
      <c r="A1357" s="1">
        <v>6</v>
      </c>
    </row>
    <row r="1358" spans="1:1" x14ac:dyDescent="0.3">
      <c r="A1358" s="2">
        <v>4</v>
      </c>
    </row>
    <row r="1359" spans="1:1" x14ac:dyDescent="0.3">
      <c r="A1359" s="1">
        <v>6</v>
      </c>
    </row>
    <row r="1360" spans="1:1" x14ac:dyDescent="0.3">
      <c r="A1360" s="2">
        <v>6</v>
      </c>
    </row>
    <row r="1361" spans="1:1" x14ac:dyDescent="0.3">
      <c r="A1361" s="1">
        <v>6</v>
      </c>
    </row>
    <row r="1362" spans="1:1" x14ac:dyDescent="0.3">
      <c r="A1362" s="2">
        <v>6</v>
      </c>
    </row>
    <row r="1363" spans="1:1" x14ac:dyDescent="0.3">
      <c r="A1363" s="1">
        <v>4</v>
      </c>
    </row>
    <row r="1364" spans="1:1" x14ac:dyDescent="0.3">
      <c r="A1364" s="2">
        <v>4</v>
      </c>
    </row>
    <row r="1365" spans="1:1" x14ac:dyDescent="0.3">
      <c r="A1365" s="1">
        <v>4</v>
      </c>
    </row>
    <row r="1366" spans="1:1" x14ac:dyDescent="0.3">
      <c r="A1366" s="2">
        <v>4</v>
      </c>
    </row>
    <row r="1367" spans="1:1" x14ac:dyDescent="0.3">
      <c r="A1367" s="1">
        <v>4</v>
      </c>
    </row>
    <row r="1368" spans="1:1" x14ac:dyDescent="0.3">
      <c r="A1368" s="2">
        <v>4</v>
      </c>
    </row>
    <row r="1369" spans="1:1" x14ac:dyDescent="0.3">
      <c r="A1369" s="1">
        <v>4</v>
      </c>
    </row>
    <row r="1370" spans="1:1" x14ac:dyDescent="0.3">
      <c r="A1370" s="2">
        <v>4</v>
      </c>
    </row>
    <row r="1371" spans="1:1" x14ac:dyDescent="0.3">
      <c r="A1371" s="1">
        <v>4</v>
      </c>
    </row>
    <row r="1372" spans="1:1" x14ac:dyDescent="0.3">
      <c r="A1372" s="2">
        <v>4</v>
      </c>
    </row>
    <row r="1373" spans="1:1" x14ac:dyDescent="0.3">
      <c r="A1373" s="1">
        <v>4</v>
      </c>
    </row>
    <row r="1374" spans="1:1" x14ac:dyDescent="0.3">
      <c r="A1374" s="2">
        <v>4</v>
      </c>
    </row>
    <row r="1375" spans="1:1" x14ac:dyDescent="0.3">
      <c r="A1375" s="1">
        <v>4</v>
      </c>
    </row>
    <row r="1376" spans="1:1" x14ac:dyDescent="0.3">
      <c r="A1376" s="2">
        <v>4</v>
      </c>
    </row>
    <row r="1377" spans="1:1" x14ac:dyDescent="0.3">
      <c r="A1377" s="1">
        <v>4</v>
      </c>
    </row>
    <row r="1378" spans="1:1" x14ac:dyDescent="0.3">
      <c r="A1378" s="2">
        <v>4</v>
      </c>
    </row>
    <row r="1379" spans="1:1" x14ac:dyDescent="0.3">
      <c r="A1379" s="1">
        <v>4</v>
      </c>
    </row>
    <row r="1380" spans="1:1" x14ac:dyDescent="0.3">
      <c r="A1380" s="2">
        <v>4</v>
      </c>
    </row>
    <row r="1381" spans="1:1" x14ac:dyDescent="0.3">
      <c r="A1381" s="1">
        <v>4</v>
      </c>
    </row>
    <row r="1382" spans="1:1" x14ac:dyDescent="0.3">
      <c r="A1382" s="2">
        <v>4</v>
      </c>
    </row>
    <row r="1383" spans="1:1" x14ac:dyDescent="0.3">
      <c r="A1383" s="1">
        <v>4</v>
      </c>
    </row>
    <row r="1384" spans="1:1" x14ac:dyDescent="0.3">
      <c r="A1384" s="2">
        <v>4</v>
      </c>
    </row>
    <row r="1385" spans="1:1" x14ac:dyDescent="0.3">
      <c r="A1385" s="1">
        <v>4</v>
      </c>
    </row>
    <row r="1386" spans="1:1" x14ac:dyDescent="0.3">
      <c r="A1386" s="2">
        <v>4</v>
      </c>
    </row>
    <row r="1387" spans="1:1" x14ac:dyDescent="0.3">
      <c r="A1387" s="1">
        <v>4</v>
      </c>
    </row>
    <row r="1388" spans="1:1" x14ac:dyDescent="0.3">
      <c r="A1388" s="2">
        <v>4</v>
      </c>
    </row>
    <row r="1389" spans="1:1" x14ac:dyDescent="0.3">
      <c r="A1389" s="1">
        <v>4</v>
      </c>
    </row>
    <row r="1390" spans="1:1" x14ac:dyDescent="0.3">
      <c r="A1390" s="2">
        <v>4</v>
      </c>
    </row>
    <row r="1391" spans="1:1" x14ac:dyDescent="0.3">
      <c r="A1391" s="1">
        <v>4</v>
      </c>
    </row>
    <row r="1392" spans="1:1" x14ac:dyDescent="0.3">
      <c r="A1392" s="2">
        <v>4</v>
      </c>
    </row>
    <row r="1393" spans="1:1" x14ac:dyDescent="0.3">
      <c r="A1393" s="1">
        <v>4</v>
      </c>
    </row>
    <row r="1394" spans="1:1" x14ac:dyDescent="0.3">
      <c r="A1394" s="2">
        <v>4</v>
      </c>
    </row>
    <row r="1395" spans="1:1" x14ac:dyDescent="0.3">
      <c r="A1395" s="1">
        <v>4</v>
      </c>
    </row>
    <row r="1396" spans="1:1" x14ac:dyDescent="0.3">
      <c r="A1396" s="2">
        <v>4</v>
      </c>
    </row>
    <row r="1397" spans="1:1" x14ac:dyDescent="0.3">
      <c r="A1397" s="1">
        <v>4</v>
      </c>
    </row>
    <row r="1398" spans="1:1" x14ac:dyDescent="0.3">
      <c r="A1398" s="2">
        <v>4</v>
      </c>
    </row>
    <row r="1399" spans="1:1" x14ac:dyDescent="0.3">
      <c r="A1399" s="1">
        <v>4</v>
      </c>
    </row>
    <row r="1400" spans="1:1" x14ac:dyDescent="0.3">
      <c r="A1400" s="2">
        <v>4</v>
      </c>
    </row>
    <row r="1401" spans="1:1" x14ac:dyDescent="0.3">
      <c r="A1401" s="1">
        <v>4</v>
      </c>
    </row>
    <row r="1402" spans="1:1" x14ac:dyDescent="0.3">
      <c r="A1402" s="2">
        <v>4</v>
      </c>
    </row>
    <row r="1403" spans="1:1" x14ac:dyDescent="0.3">
      <c r="A1403" s="1">
        <v>4</v>
      </c>
    </row>
    <row r="1404" spans="1:1" x14ac:dyDescent="0.3">
      <c r="A1404" s="2">
        <v>4</v>
      </c>
    </row>
    <row r="1405" spans="1:1" x14ac:dyDescent="0.3">
      <c r="A1405" s="1">
        <v>4</v>
      </c>
    </row>
    <row r="1406" spans="1:1" x14ac:dyDescent="0.3">
      <c r="A1406" s="2">
        <v>4</v>
      </c>
    </row>
    <row r="1407" spans="1:1" x14ac:dyDescent="0.3">
      <c r="A1407" s="1">
        <v>4</v>
      </c>
    </row>
    <row r="1408" spans="1:1" x14ac:dyDescent="0.3">
      <c r="A1408" s="2">
        <v>4</v>
      </c>
    </row>
    <row r="1409" spans="1:1" x14ac:dyDescent="0.3">
      <c r="A1409" s="1">
        <v>4</v>
      </c>
    </row>
    <row r="1410" spans="1:1" x14ac:dyDescent="0.3">
      <c r="A1410" s="2">
        <v>4</v>
      </c>
    </row>
    <row r="1411" spans="1:1" x14ac:dyDescent="0.3">
      <c r="A1411" s="1">
        <v>4</v>
      </c>
    </row>
    <row r="1412" spans="1:1" x14ac:dyDescent="0.3">
      <c r="A1412" s="2">
        <v>4</v>
      </c>
    </row>
    <row r="1413" spans="1:1" x14ac:dyDescent="0.3">
      <c r="A1413" s="1">
        <v>4</v>
      </c>
    </row>
    <row r="1414" spans="1:1" x14ac:dyDescent="0.3">
      <c r="A1414" s="2">
        <v>4</v>
      </c>
    </row>
    <row r="1415" spans="1:1" x14ac:dyDescent="0.3">
      <c r="A1415" s="1">
        <v>4</v>
      </c>
    </row>
    <row r="1416" spans="1:1" x14ac:dyDescent="0.3">
      <c r="A1416" s="2">
        <v>4</v>
      </c>
    </row>
    <row r="1417" spans="1:1" x14ac:dyDescent="0.3">
      <c r="A1417" s="1">
        <v>4</v>
      </c>
    </row>
    <row r="1418" spans="1:1" x14ac:dyDescent="0.3">
      <c r="A1418" s="2">
        <v>4</v>
      </c>
    </row>
    <row r="1419" spans="1:1" x14ac:dyDescent="0.3">
      <c r="A1419" s="1">
        <v>4</v>
      </c>
    </row>
    <row r="1420" spans="1:1" x14ac:dyDescent="0.3">
      <c r="A1420" s="2">
        <v>4</v>
      </c>
    </row>
    <row r="1421" spans="1:1" x14ac:dyDescent="0.3">
      <c r="A1421" s="1">
        <v>4</v>
      </c>
    </row>
    <row r="1422" spans="1:1" x14ac:dyDescent="0.3">
      <c r="A1422" s="2">
        <v>4</v>
      </c>
    </row>
    <row r="1423" spans="1:1" x14ac:dyDescent="0.3">
      <c r="A1423" s="1">
        <v>4</v>
      </c>
    </row>
    <row r="1424" spans="1:1" x14ac:dyDescent="0.3">
      <c r="A1424" s="2">
        <v>4</v>
      </c>
    </row>
    <row r="1425" spans="1:1" x14ac:dyDescent="0.3">
      <c r="A1425" s="1">
        <v>4</v>
      </c>
    </row>
    <row r="1426" spans="1:1" x14ac:dyDescent="0.3">
      <c r="A1426" s="2">
        <v>4</v>
      </c>
    </row>
    <row r="1427" spans="1:1" x14ac:dyDescent="0.3">
      <c r="A1427" s="1">
        <v>4</v>
      </c>
    </row>
    <row r="1428" spans="1:1" x14ac:dyDescent="0.3">
      <c r="A1428" s="2">
        <v>4</v>
      </c>
    </row>
    <row r="1429" spans="1:1" x14ac:dyDescent="0.3">
      <c r="A1429" s="1">
        <v>4</v>
      </c>
    </row>
    <row r="1430" spans="1:1" x14ac:dyDescent="0.3">
      <c r="A1430" s="2">
        <v>4</v>
      </c>
    </row>
    <row r="1431" spans="1:1" x14ac:dyDescent="0.3">
      <c r="A1431" s="1">
        <v>4</v>
      </c>
    </row>
    <row r="1432" spans="1:1" x14ac:dyDescent="0.3">
      <c r="A1432" s="2">
        <v>4</v>
      </c>
    </row>
    <row r="1433" spans="1:1" x14ac:dyDescent="0.3">
      <c r="A1433" s="1">
        <v>6</v>
      </c>
    </row>
    <row r="1434" spans="1:1" x14ac:dyDescent="0.3">
      <c r="A1434" s="2">
        <v>4</v>
      </c>
    </row>
    <row r="1435" spans="1:1" x14ac:dyDescent="0.3">
      <c r="A1435" s="1">
        <v>4</v>
      </c>
    </row>
    <row r="1436" spans="1:1" x14ac:dyDescent="0.3">
      <c r="A1436" s="2">
        <v>4</v>
      </c>
    </row>
    <row r="1437" spans="1:1" x14ac:dyDescent="0.3">
      <c r="A1437" s="1">
        <v>4</v>
      </c>
    </row>
    <row r="1438" spans="1:1" x14ac:dyDescent="0.3">
      <c r="A1438" s="2">
        <v>4</v>
      </c>
    </row>
    <row r="1439" spans="1:1" x14ac:dyDescent="0.3">
      <c r="A1439" s="1">
        <v>4</v>
      </c>
    </row>
    <row r="1440" spans="1:1" x14ac:dyDescent="0.3">
      <c r="A1440" s="2">
        <v>6</v>
      </c>
    </row>
    <row r="1441" spans="1:1" x14ac:dyDescent="0.3">
      <c r="A1441" s="1">
        <v>4</v>
      </c>
    </row>
    <row r="1442" spans="1:1" x14ac:dyDescent="0.3">
      <c r="A1442" s="2">
        <v>4</v>
      </c>
    </row>
    <row r="1443" spans="1:1" x14ac:dyDescent="0.3">
      <c r="A1443" s="1">
        <v>6</v>
      </c>
    </row>
    <row r="1444" spans="1:1" x14ac:dyDescent="0.3">
      <c r="A1444" s="2">
        <v>4</v>
      </c>
    </row>
    <row r="1445" spans="1:1" x14ac:dyDescent="0.3">
      <c r="A1445" s="1">
        <v>4</v>
      </c>
    </row>
    <row r="1446" spans="1:1" x14ac:dyDescent="0.3">
      <c r="A1446" s="2">
        <v>4</v>
      </c>
    </row>
    <row r="1447" spans="1:1" x14ac:dyDescent="0.3">
      <c r="A1447" s="1">
        <v>4</v>
      </c>
    </row>
    <row r="1448" spans="1:1" x14ac:dyDescent="0.3">
      <c r="A1448" s="2">
        <v>4</v>
      </c>
    </row>
    <row r="1449" spans="1:1" x14ac:dyDescent="0.3">
      <c r="A1449" s="1">
        <v>4</v>
      </c>
    </row>
    <row r="1450" spans="1:1" x14ac:dyDescent="0.3">
      <c r="A1450" s="2">
        <v>4</v>
      </c>
    </row>
    <row r="1451" spans="1:1" x14ac:dyDescent="0.3">
      <c r="A1451" s="1">
        <v>6</v>
      </c>
    </row>
    <row r="1452" spans="1:1" x14ac:dyDescent="0.3">
      <c r="A1452" s="2">
        <v>4</v>
      </c>
    </row>
    <row r="1453" spans="1:1" x14ac:dyDescent="0.3">
      <c r="A1453" s="1">
        <v>4</v>
      </c>
    </row>
    <row r="1454" spans="1:1" x14ac:dyDescent="0.3">
      <c r="A1454" s="2">
        <v>4</v>
      </c>
    </row>
    <row r="1455" spans="1:1" x14ac:dyDescent="0.3">
      <c r="A1455" s="1">
        <v>4</v>
      </c>
    </row>
    <row r="1456" spans="1:1" x14ac:dyDescent="0.3">
      <c r="A1456" s="2">
        <v>4</v>
      </c>
    </row>
    <row r="1457" spans="1:1" x14ac:dyDescent="0.3">
      <c r="A1457" s="1">
        <v>4</v>
      </c>
    </row>
    <row r="1458" spans="1:1" x14ac:dyDescent="0.3">
      <c r="A1458" s="2">
        <v>6</v>
      </c>
    </row>
    <row r="1459" spans="1:1" x14ac:dyDescent="0.3">
      <c r="A1459" s="1">
        <v>4</v>
      </c>
    </row>
    <row r="1460" spans="1:1" x14ac:dyDescent="0.3">
      <c r="A1460" s="2">
        <v>5</v>
      </c>
    </row>
    <row r="1461" spans="1:1" x14ac:dyDescent="0.3">
      <c r="A1461" s="1">
        <v>4</v>
      </c>
    </row>
    <row r="1462" spans="1:1" x14ac:dyDescent="0.3">
      <c r="A1462" s="2">
        <v>4</v>
      </c>
    </row>
    <row r="1463" spans="1:1" x14ac:dyDescent="0.3">
      <c r="A1463" s="1">
        <v>4</v>
      </c>
    </row>
    <row r="1464" spans="1:1" x14ac:dyDescent="0.3">
      <c r="A1464" s="2">
        <v>6</v>
      </c>
    </row>
    <row r="1465" spans="1:1" x14ac:dyDescent="0.3">
      <c r="A1465" s="1">
        <v>5</v>
      </c>
    </row>
    <row r="1466" spans="1:1" x14ac:dyDescent="0.3">
      <c r="A1466" s="2">
        <v>6</v>
      </c>
    </row>
    <row r="1467" spans="1:1" x14ac:dyDescent="0.3">
      <c r="A1467" s="1">
        <v>4</v>
      </c>
    </row>
    <row r="1468" spans="1:1" x14ac:dyDescent="0.3">
      <c r="A1468" s="2">
        <v>4</v>
      </c>
    </row>
    <row r="1469" spans="1:1" x14ac:dyDescent="0.3">
      <c r="A1469" s="1">
        <v>4</v>
      </c>
    </row>
    <row r="1470" spans="1:1" x14ac:dyDescent="0.3">
      <c r="A1470" s="2">
        <v>4</v>
      </c>
    </row>
    <row r="1471" spans="1:1" x14ac:dyDescent="0.3">
      <c r="A1471" s="1">
        <v>4</v>
      </c>
    </row>
    <row r="1472" spans="1:1" x14ac:dyDescent="0.3">
      <c r="A1472" s="2">
        <v>6</v>
      </c>
    </row>
    <row r="1473" spans="1:1" x14ac:dyDescent="0.3">
      <c r="A1473" s="1">
        <v>4</v>
      </c>
    </row>
    <row r="1474" spans="1:1" x14ac:dyDescent="0.3">
      <c r="A1474" s="2">
        <v>6</v>
      </c>
    </row>
    <row r="1475" spans="1:1" x14ac:dyDescent="0.3">
      <c r="A1475" s="1">
        <v>4</v>
      </c>
    </row>
    <row r="1476" spans="1:1" x14ac:dyDescent="0.3">
      <c r="A1476" s="2">
        <v>5</v>
      </c>
    </row>
    <row r="1477" spans="1:1" x14ac:dyDescent="0.3">
      <c r="A1477" s="1">
        <v>4</v>
      </c>
    </row>
    <row r="1478" spans="1:1" x14ac:dyDescent="0.3">
      <c r="A1478" s="2">
        <v>4</v>
      </c>
    </row>
    <row r="1479" spans="1:1" x14ac:dyDescent="0.3">
      <c r="A1479" s="1">
        <v>4</v>
      </c>
    </row>
    <row r="1480" spans="1:1" x14ac:dyDescent="0.3">
      <c r="A1480" s="2">
        <v>6</v>
      </c>
    </row>
    <row r="1481" spans="1:1" x14ac:dyDescent="0.3">
      <c r="A1481" s="1">
        <v>4</v>
      </c>
    </row>
    <row r="1482" spans="1:1" x14ac:dyDescent="0.3">
      <c r="A1482" s="2">
        <v>4</v>
      </c>
    </row>
    <row r="1483" spans="1:1" x14ac:dyDescent="0.3">
      <c r="A1483" s="1">
        <v>4</v>
      </c>
    </row>
    <row r="1484" spans="1:1" x14ac:dyDescent="0.3">
      <c r="A1484" s="2">
        <v>4</v>
      </c>
    </row>
    <row r="1485" spans="1:1" x14ac:dyDescent="0.3">
      <c r="A1485" s="1">
        <v>4</v>
      </c>
    </row>
    <row r="1486" spans="1:1" x14ac:dyDescent="0.3">
      <c r="A1486" s="2">
        <v>4</v>
      </c>
    </row>
    <row r="1487" spans="1:1" x14ac:dyDescent="0.3">
      <c r="A1487" s="1">
        <v>4</v>
      </c>
    </row>
    <row r="1488" spans="1:1" x14ac:dyDescent="0.3">
      <c r="A1488" s="2">
        <v>4</v>
      </c>
    </row>
    <row r="1489" spans="1:1" x14ac:dyDescent="0.3">
      <c r="A1489" s="1">
        <v>4</v>
      </c>
    </row>
    <row r="1490" spans="1:1" x14ac:dyDescent="0.3">
      <c r="A1490" s="2">
        <v>4</v>
      </c>
    </row>
    <row r="1491" spans="1:1" x14ac:dyDescent="0.3">
      <c r="A1491" s="1">
        <v>6</v>
      </c>
    </row>
    <row r="1492" spans="1:1" x14ac:dyDescent="0.3">
      <c r="A1492" s="2">
        <v>6</v>
      </c>
    </row>
    <row r="1493" spans="1:1" x14ac:dyDescent="0.3">
      <c r="A1493" s="1">
        <v>6</v>
      </c>
    </row>
    <row r="1494" spans="1:1" x14ac:dyDescent="0.3">
      <c r="A1494" s="2">
        <v>6</v>
      </c>
    </row>
    <row r="1495" spans="1:1" x14ac:dyDescent="0.3">
      <c r="A1495" s="1">
        <v>6</v>
      </c>
    </row>
    <row r="1496" spans="1:1" x14ac:dyDescent="0.3">
      <c r="A1496" s="2">
        <v>6</v>
      </c>
    </row>
    <row r="1497" spans="1:1" x14ac:dyDescent="0.3">
      <c r="A1497" s="1">
        <v>6</v>
      </c>
    </row>
    <row r="1498" spans="1:1" x14ac:dyDescent="0.3">
      <c r="A1498" s="2">
        <v>6</v>
      </c>
    </row>
    <row r="1499" spans="1:1" x14ac:dyDescent="0.3">
      <c r="A1499" s="1">
        <v>4</v>
      </c>
    </row>
    <row r="1500" spans="1:1" x14ac:dyDescent="0.3">
      <c r="A1500" s="2">
        <v>4</v>
      </c>
    </row>
    <row r="1501" spans="1:1" x14ac:dyDescent="0.3">
      <c r="A1501" s="1">
        <v>6</v>
      </c>
    </row>
    <row r="1502" spans="1:1" x14ac:dyDescent="0.3">
      <c r="A1502" s="2">
        <v>4</v>
      </c>
    </row>
    <row r="1503" spans="1:1" x14ac:dyDescent="0.3">
      <c r="A1503" s="1">
        <v>4</v>
      </c>
    </row>
    <row r="1504" spans="1:1" x14ac:dyDescent="0.3">
      <c r="A1504" s="2">
        <v>6</v>
      </c>
    </row>
    <row r="1505" spans="1:1" x14ac:dyDescent="0.3">
      <c r="A1505" s="1">
        <v>6</v>
      </c>
    </row>
    <row r="1506" spans="1:1" x14ac:dyDescent="0.3">
      <c r="A1506" s="2">
        <v>6</v>
      </c>
    </row>
    <row r="1507" spans="1:1" x14ac:dyDescent="0.3">
      <c r="A1507" s="1">
        <v>6</v>
      </c>
    </row>
    <row r="1508" spans="1:1" x14ac:dyDescent="0.3">
      <c r="A1508" s="2">
        <v>4</v>
      </c>
    </row>
    <row r="1509" spans="1:1" x14ac:dyDescent="0.3">
      <c r="A1509" s="1">
        <v>4</v>
      </c>
    </row>
    <row r="1510" spans="1:1" x14ac:dyDescent="0.3">
      <c r="A1510" s="2">
        <v>4</v>
      </c>
    </row>
    <row r="1511" spans="1:1" x14ac:dyDescent="0.3">
      <c r="A1511" s="1">
        <v>4</v>
      </c>
    </row>
    <row r="1512" spans="1:1" x14ac:dyDescent="0.3">
      <c r="A1512" s="2">
        <v>4</v>
      </c>
    </row>
    <row r="1513" spans="1:1" x14ac:dyDescent="0.3">
      <c r="A1513" s="1">
        <v>4</v>
      </c>
    </row>
    <row r="1514" spans="1:1" x14ac:dyDescent="0.3">
      <c r="A1514" s="2">
        <v>4</v>
      </c>
    </row>
    <row r="1515" spans="1:1" x14ac:dyDescent="0.3">
      <c r="A1515" s="1">
        <v>4</v>
      </c>
    </row>
    <row r="1516" spans="1:1" x14ac:dyDescent="0.3">
      <c r="A1516" s="2">
        <v>4</v>
      </c>
    </row>
    <row r="1517" spans="1:1" x14ac:dyDescent="0.3">
      <c r="A1517" s="1">
        <v>4</v>
      </c>
    </row>
    <row r="1518" spans="1:1" x14ac:dyDescent="0.3">
      <c r="A1518" s="2">
        <v>4</v>
      </c>
    </row>
    <row r="1519" spans="1:1" x14ac:dyDescent="0.3">
      <c r="A1519" s="1">
        <v>6</v>
      </c>
    </row>
    <row r="1520" spans="1:1" x14ac:dyDescent="0.3">
      <c r="A1520" s="2">
        <v>6</v>
      </c>
    </row>
    <row r="1521" spans="1:1" x14ac:dyDescent="0.3">
      <c r="A1521" s="1">
        <v>4</v>
      </c>
    </row>
    <row r="1522" spans="1:1" x14ac:dyDescent="0.3">
      <c r="A1522" s="2">
        <v>6</v>
      </c>
    </row>
    <row r="1523" spans="1:1" x14ac:dyDescent="0.3">
      <c r="A1523" s="1">
        <v>4</v>
      </c>
    </row>
    <row r="1524" spans="1:1" x14ac:dyDescent="0.3">
      <c r="A1524" s="2">
        <v>4</v>
      </c>
    </row>
    <row r="1525" spans="1:1" x14ac:dyDescent="0.3">
      <c r="A1525" s="1">
        <v>6</v>
      </c>
    </row>
    <row r="1526" spans="1:1" x14ac:dyDescent="0.3">
      <c r="A1526" s="2">
        <v>4</v>
      </c>
    </row>
    <row r="1527" spans="1:1" x14ac:dyDescent="0.3">
      <c r="A1527" s="1">
        <v>4</v>
      </c>
    </row>
    <row r="1528" spans="1:1" x14ac:dyDescent="0.3">
      <c r="A1528" s="2">
        <v>4</v>
      </c>
    </row>
    <row r="1529" spans="1:1" x14ac:dyDescent="0.3">
      <c r="A1529" s="1">
        <v>4</v>
      </c>
    </row>
    <row r="1530" spans="1:1" x14ac:dyDescent="0.3">
      <c r="A1530" s="2">
        <v>4</v>
      </c>
    </row>
    <row r="1531" spans="1:1" x14ac:dyDescent="0.3">
      <c r="A1531" s="1">
        <v>4</v>
      </c>
    </row>
    <row r="1532" spans="1:1" x14ac:dyDescent="0.3">
      <c r="A1532" s="2">
        <v>4</v>
      </c>
    </row>
    <row r="1533" spans="1:1" x14ac:dyDescent="0.3">
      <c r="A1533" s="1">
        <v>4</v>
      </c>
    </row>
    <row r="1534" spans="1:1" x14ac:dyDescent="0.3">
      <c r="A1534" s="2">
        <v>4</v>
      </c>
    </row>
    <row r="1535" spans="1:1" x14ac:dyDescent="0.3">
      <c r="A1535" s="1">
        <v>4</v>
      </c>
    </row>
    <row r="1536" spans="1:1" x14ac:dyDescent="0.3">
      <c r="A1536" s="2">
        <v>4</v>
      </c>
    </row>
    <row r="1537" spans="1:1" x14ac:dyDescent="0.3">
      <c r="A1537" s="1">
        <v>4</v>
      </c>
    </row>
    <row r="1538" spans="1:1" x14ac:dyDescent="0.3">
      <c r="A1538" s="2">
        <v>6</v>
      </c>
    </row>
    <row r="1539" spans="1:1" x14ac:dyDescent="0.3">
      <c r="A1539" s="1">
        <v>4</v>
      </c>
    </row>
    <row r="1540" spans="1:1" x14ac:dyDescent="0.3">
      <c r="A1540" s="2">
        <v>4</v>
      </c>
    </row>
    <row r="1541" spans="1:1" x14ac:dyDescent="0.3">
      <c r="A1541" s="1">
        <v>4</v>
      </c>
    </row>
    <row r="1542" spans="1:1" x14ac:dyDescent="0.3">
      <c r="A1542" s="2">
        <v>6</v>
      </c>
    </row>
    <row r="1543" spans="1:1" x14ac:dyDescent="0.3">
      <c r="A1543" s="1">
        <v>6</v>
      </c>
    </row>
    <row r="1544" spans="1:1" x14ac:dyDescent="0.3">
      <c r="A1544" s="2">
        <v>6</v>
      </c>
    </row>
    <row r="1545" spans="1:1" x14ac:dyDescent="0.3">
      <c r="A1545" s="1">
        <v>6</v>
      </c>
    </row>
    <row r="1546" spans="1:1" x14ac:dyDescent="0.3">
      <c r="A1546" s="2">
        <v>6</v>
      </c>
    </row>
    <row r="1547" spans="1:1" x14ac:dyDescent="0.3">
      <c r="A1547" s="1">
        <v>4</v>
      </c>
    </row>
    <row r="1548" spans="1:1" x14ac:dyDescent="0.3">
      <c r="A1548" s="2">
        <v>6</v>
      </c>
    </row>
    <row r="1549" spans="1:1" x14ac:dyDescent="0.3">
      <c r="A1549" s="1">
        <v>6</v>
      </c>
    </row>
    <row r="1550" spans="1:1" x14ac:dyDescent="0.3">
      <c r="A1550" s="2">
        <v>4</v>
      </c>
    </row>
    <row r="1551" spans="1:1" x14ac:dyDescent="0.3">
      <c r="A1551" s="1">
        <v>4</v>
      </c>
    </row>
    <row r="1552" spans="1:1" x14ac:dyDescent="0.3">
      <c r="A1552" s="2">
        <v>4</v>
      </c>
    </row>
    <row r="1553" spans="1:1" x14ac:dyDescent="0.3">
      <c r="A1553" s="1">
        <v>4</v>
      </c>
    </row>
    <row r="1554" spans="1:1" x14ac:dyDescent="0.3">
      <c r="A1554" s="2">
        <v>4</v>
      </c>
    </row>
    <row r="1555" spans="1:1" x14ac:dyDescent="0.3">
      <c r="A1555" s="1">
        <v>4</v>
      </c>
    </row>
    <row r="1556" spans="1:1" x14ac:dyDescent="0.3">
      <c r="A1556" s="2">
        <v>4</v>
      </c>
    </row>
    <row r="1557" spans="1:1" x14ac:dyDescent="0.3">
      <c r="A1557" s="1">
        <v>4</v>
      </c>
    </row>
    <row r="1558" spans="1:1" x14ac:dyDescent="0.3">
      <c r="A1558" s="2">
        <v>4</v>
      </c>
    </row>
    <row r="1559" spans="1:1" x14ac:dyDescent="0.3">
      <c r="A1559" s="1">
        <v>4</v>
      </c>
    </row>
    <row r="1560" spans="1:1" x14ac:dyDescent="0.3">
      <c r="A1560" s="2">
        <v>6</v>
      </c>
    </row>
    <row r="1561" spans="1:1" x14ac:dyDescent="0.3">
      <c r="A1561" s="1">
        <v>6</v>
      </c>
    </row>
    <row r="1562" spans="1:1" x14ac:dyDescent="0.3">
      <c r="A1562" s="2">
        <v>6</v>
      </c>
    </row>
    <row r="1563" spans="1:1" x14ac:dyDescent="0.3">
      <c r="A1563" s="1">
        <v>4</v>
      </c>
    </row>
    <row r="1564" spans="1:1" x14ac:dyDescent="0.3">
      <c r="A1564" s="2">
        <v>4</v>
      </c>
    </row>
    <row r="1565" spans="1:1" x14ac:dyDescent="0.3">
      <c r="A1565" s="1">
        <v>6</v>
      </c>
    </row>
    <row r="1566" spans="1:1" x14ac:dyDescent="0.3">
      <c r="A1566" s="2">
        <v>6</v>
      </c>
    </row>
    <row r="1567" spans="1:1" x14ac:dyDescent="0.3">
      <c r="A1567" s="1">
        <v>4</v>
      </c>
    </row>
    <row r="1568" spans="1:1" x14ac:dyDescent="0.3">
      <c r="A1568" s="2">
        <v>4</v>
      </c>
    </row>
    <row r="1569" spans="1:1" x14ac:dyDescent="0.3">
      <c r="A1569" s="1">
        <v>4</v>
      </c>
    </row>
    <row r="1570" spans="1:1" x14ac:dyDescent="0.3">
      <c r="A1570" s="2">
        <v>4</v>
      </c>
    </row>
    <row r="1571" spans="1:1" x14ac:dyDescent="0.3">
      <c r="A1571" s="1">
        <v>4</v>
      </c>
    </row>
    <row r="1572" spans="1:1" x14ac:dyDescent="0.3">
      <c r="A1572" s="2">
        <v>4</v>
      </c>
    </row>
    <row r="1573" spans="1:1" x14ac:dyDescent="0.3">
      <c r="A1573" s="1">
        <v>4</v>
      </c>
    </row>
    <row r="1574" spans="1:1" x14ac:dyDescent="0.3">
      <c r="A1574" s="2">
        <v>4</v>
      </c>
    </row>
    <row r="1575" spans="1:1" x14ac:dyDescent="0.3">
      <c r="A1575" s="1">
        <v>4</v>
      </c>
    </row>
    <row r="1576" spans="1:1" x14ac:dyDescent="0.3">
      <c r="A1576" s="2">
        <v>6</v>
      </c>
    </row>
    <row r="1577" spans="1:1" x14ac:dyDescent="0.3">
      <c r="A1577" s="1">
        <v>4</v>
      </c>
    </row>
    <row r="1578" spans="1:1" x14ac:dyDescent="0.3">
      <c r="A1578" s="2">
        <v>6</v>
      </c>
    </row>
    <row r="1579" spans="1:1" x14ac:dyDescent="0.3">
      <c r="A1579" s="1">
        <v>6</v>
      </c>
    </row>
    <row r="1580" spans="1:1" x14ac:dyDescent="0.3">
      <c r="A1580" s="2">
        <v>4</v>
      </c>
    </row>
    <row r="1581" spans="1:1" x14ac:dyDescent="0.3">
      <c r="A1581" s="1">
        <v>4</v>
      </c>
    </row>
    <row r="1582" spans="1:1" x14ac:dyDescent="0.3">
      <c r="A1582" s="2">
        <v>4</v>
      </c>
    </row>
    <row r="1583" spans="1:1" x14ac:dyDescent="0.3">
      <c r="A1583" s="1">
        <v>6</v>
      </c>
    </row>
    <row r="1584" spans="1:1" x14ac:dyDescent="0.3">
      <c r="A1584" s="2">
        <v>4</v>
      </c>
    </row>
    <row r="1585" spans="1:1" x14ac:dyDescent="0.3">
      <c r="A1585" s="1">
        <v>6</v>
      </c>
    </row>
    <row r="1586" spans="1:1" x14ac:dyDescent="0.3">
      <c r="A1586" s="2">
        <v>4</v>
      </c>
    </row>
    <row r="1587" spans="1:1" x14ac:dyDescent="0.3">
      <c r="A1587" s="1">
        <v>4</v>
      </c>
    </row>
    <row r="1588" spans="1:1" x14ac:dyDescent="0.3">
      <c r="A1588" s="2">
        <v>4</v>
      </c>
    </row>
    <row r="1589" spans="1:1" x14ac:dyDescent="0.3">
      <c r="A1589" s="1">
        <v>4</v>
      </c>
    </row>
    <row r="1590" spans="1:1" x14ac:dyDescent="0.3">
      <c r="A1590" s="2">
        <v>4</v>
      </c>
    </row>
    <row r="1591" spans="1:1" x14ac:dyDescent="0.3">
      <c r="A1591" s="1">
        <v>4</v>
      </c>
    </row>
    <row r="1592" spans="1:1" x14ac:dyDescent="0.3">
      <c r="A1592" s="2">
        <v>6</v>
      </c>
    </row>
    <row r="1593" spans="1:1" x14ac:dyDescent="0.3">
      <c r="A1593" s="1">
        <v>6</v>
      </c>
    </row>
    <row r="1594" spans="1:1" x14ac:dyDescent="0.3">
      <c r="A1594" s="2">
        <v>4</v>
      </c>
    </row>
    <row r="1595" spans="1:1" x14ac:dyDescent="0.3">
      <c r="A1595" s="1">
        <v>4</v>
      </c>
    </row>
    <row r="1596" spans="1:1" x14ac:dyDescent="0.3">
      <c r="A1596" s="2">
        <v>4</v>
      </c>
    </row>
    <row r="1597" spans="1:1" x14ac:dyDescent="0.3">
      <c r="A1597" s="1">
        <v>4</v>
      </c>
    </row>
    <row r="1598" spans="1:1" x14ac:dyDescent="0.3">
      <c r="A1598" s="2">
        <v>5</v>
      </c>
    </row>
    <row r="1599" spans="1:1" x14ac:dyDescent="0.3">
      <c r="A1599" s="1">
        <v>6</v>
      </c>
    </row>
    <row r="1600" spans="1:1" x14ac:dyDescent="0.3">
      <c r="A1600" s="2">
        <v>6</v>
      </c>
    </row>
    <row r="1601" spans="1:1" x14ac:dyDescent="0.3">
      <c r="A1601" s="1">
        <v>6</v>
      </c>
    </row>
    <row r="1602" spans="1:1" x14ac:dyDescent="0.3">
      <c r="A1602" s="2">
        <v>6</v>
      </c>
    </row>
    <row r="1603" spans="1:1" x14ac:dyDescent="0.3">
      <c r="A1603" s="1">
        <v>6</v>
      </c>
    </row>
    <row r="1604" spans="1:1" x14ac:dyDescent="0.3">
      <c r="A1604" s="2">
        <v>4</v>
      </c>
    </row>
    <row r="1605" spans="1:1" x14ac:dyDescent="0.3">
      <c r="A1605" s="1">
        <v>4</v>
      </c>
    </row>
    <row r="1606" spans="1:1" x14ac:dyDescent="0.3">
      <c r="A1606" s="2">
        <v>4</v>
      </c>
    </row>
    <row r="1607" spans="1:1" x14ac:dyDescent="0.3">
      <c r="A1607" s="1">
        <v>6</v>
      </c>
    </row>
    <row r="1608" spans="1:1" x14ac:dyDescent="0.3">
      <c r="A1608" s="2">
        <v>4</v>
      </c>
    </row>
    <row r="1609" spans="1:1" x14ac:dyDescent="0.3">
      <c r="A1609" s="1">
        <v>6</v>
      </c>
    </row>
    <row r="1610" spans="1:1" x14ac:dyDescent="0.3">
      <c r="A1610" s="2">
        <v>6</v>
      </c>
    </row>
    <row r="1611" spans="1:1" x14ac:dyDescent="0.3">
      <c r="A1611" s="1">
        <v>6</v>
      </c>
    </row>
    <row r="1612" spans="1:1" x14ac:dyDescent="0.3">
      <c r="A1612" s="2">
        <v>6</v>
      </c>
    </row>
    <row r="1613" spans="1:1" x14ac:dyDescent="0.3">
      <c r="A1613" s="1">
        <v>6</v>
      </c>
    </row>
    <row r="1614" spans="1:1" x14ac:dyDescent="0.3">
      <c r="A1614" s="2">
        <v>5</v>
      </c>
    </row>
    <row r="1615" spans="1:1" x14ac:dyDescent="0.3">
      <c r="A1615" s="1">
        <v>6</v>
      </c>
    </row>
    <row r="1616" spans="1:1" x14ac:dyDescent="0.3">
      <c r="A1616" s="2">
        <v>6</v>
      </c>
    </row>
    <row r="1617" spans="1:1" x14ac:dyDescent="0.3">
      <c r="A1617" s="1">
        <v>4</v>
      </c>
    </row>
    <row r="1618" spans="1:1" x14ac:dyDescent="0.3">
      <c r="A1618" s="2">
        <v>4</v>
      </c>
    </row>
    <row r="1619" spans="1:1" x14ac:dyDescent="0.3">
      <c r="A1619" s="1">
        <v>4</v>
      </c>
    </row>
    <row r="1620" spans="1:1" x14ac:dyDescent="0.3">
      <c r="A1620" s="2">
        <v>4</v>
      </c>
    </row>
    <row r="1621" spans="1:1" x14ac:dyDescent="0.3">
      <c r="A1621" s="1">
        <v>6</v>
      </c>
    </row>
    <row r="1622" spans="1:1" x14ac:dyDescent="0.3">
      <c r="A1622" s="2">
        <v>6</v>
      </c>
    </row>
    <row r="1623" spans="1:1" x14ac:dyDescent="0.3">
      <c r="A1623" s="1">
        <v>6</v>
      </c>
    </row>
    <row r="1624" spans="1:1" x14ac:dyDescent="0.3">
      <c r="A1624" s="2">
        <v>6</v>
      </c>
    </row>
    <row r="1625" spans="1:1" x14ac:dyDescent="0.3">
      <c r="A1625" s="1">
        <v>6</v>
      </c>
    </row>
    <row r="1626" spans="1:1" x14ac:dyDescent="0.3">
      <c r="A1626" s="2">
        <v>6</v>
      </c>
    </row>
    <row r="1627" spans="1:1" x14ac:dyDescent="0.3">
      <c r="A1627" s="1">
        <v>4</v>
      </c>
    </row>
    <row r="1628" spans="1:1" x14ac:dyDescent="0.3">
      <c r="A1628" s="2">
        <v>4</v>
      </c>
    </row>
    <row r="1629" spans="1:1" x14ac:dyDescent="0.3">
      <c r="A1629" s="1">
        <v>4</v>
      </c>
    </row>
    <row r="1630" spans="1:1" x14ac:dyDescent="0.3">
      <c r="A1630" s="2">
        <v>4</v>
      </c>
    </row>
    <row r="1631" spans="1:1" x14ac:dyDescent="0.3">
      <c r="A1631" s="1">
        <v>4</v>
      </c>
    </row>
    <row r="1632" spans="1:1" x14ac:dyDescent="0.3">
      <c r="A1632" s="2">
        <v>4</v>
      </c>
    </row>
    <row r="1633" spans="1:1" x14ac:dyDescent="0.3">
      <c r="A1633" s="1">
        <v>4</v>
      </c>
    </row>
    <row r="1634" spans="1:1" x14ac:dyDescent="0.3">
      <c r="A1634" s="2">
        <v>4</v>
      </c>
    </row>
    <row r="1635" spans="1:1" x14ac:dyDescent="0.3">
      <c r="A1635" s="1">
        <v>4</v>
      </c>
    </row>
    <row r="1636" spans="1:1" x14ac:dyDescent="0.3">
      <c r="A1636" s="2">
        <v>4</v>
      </c>
    </row>
    <row r="1637" spans="1:1" x14ac:dyDescent="0.3">
      <c r="A1637" s="1">
        <v>6</v>
      </c>
    </row>
    <row r="1638" spans="1:1" x14ac:dyDescent="0.3">
      <c r="A1638" s="2">
        <v>6</v>
      </c>
    </row>
    <row r="1639" spans="1:1" x14ac:dyDescent="0.3">
      <c r="A1639" s="1">
        <v>4</v>
      </c>
    </row>
    <row r="1640" spans="1:1" x14ac:dyDescent="0.3">
      <c r="A1640" s="2">
        <v>6</v>
      </c>
    </row>
    <row r="1641" spans="1:1" x14ac:dyDescent="0.3">
      <c r="A1641" s="1">
        <v>6</v>
      </c>
    </row>
    <row r="1642" spans="1:1" x14ac:dyDescent="0.3">
      <c r="A1642" s="2">
        <v>6</v>
      </c>
    </row>
    <row r="1643" spans="1:1" x14ac:dyDescent="0.3">
      <c r="A1643" s="1">
        <v>4</v>
      </c>
    </row>
    <row r="1644" spans="1:1" x14ac:dyDescent="0.3">
      <c r="A1644" s="2">
        <v>4</v>
      </c>
    </row>
    <row r="1645" spans="1:1" x14ac:dyDescent="0.3">
      <c r="A1645" s="1">
        <v>4</v>
      </c>
    </row>
    <row r="1646" spans="1:1" x14ac:dyDescent="0.3">
      <c r="A1646" s="2">
        <v>4</v>
      </c>
    </row>
    <row r="1647" spans="1:1" x14ac:dyDescent="0.3">
      <c r="A1647" s="1">
        <v>4</v>
      </c>
    </row>
    <row r="1648" spans="1:1" x14ac:dyDescent="0.3">
      <c r="A1648" s="2">
        <v>4</v>
      </c>
    </row>
    <row r="1649" spans="1:1" x14ac:dyDescent="0.3">
      <c r="A1649" s="1">
        <v>4</v>
      </c>
    </row>
    <row r="1650" spans="1:1" x14ac:dyDescent="0.3">
      <c r="A1650" s="2">
        <v>4</v>
      </c>
    </row>
    <row r="1651" spans="1:1" x14ac:dyDescent="0.3">
      <c r="A1651" s="1">
        <v>4</v>
      </c>
    </row>
    <row r="1652" spans="1:1" x14ac:dyDescent="0.3">
      <c r="A1652" s="2">
        <v>4</v>
      </c>
    </row>
    <row r="1653" spans="1:1" x14ac:dyDescent="0.3">
      <c r="A1653" s="1">
        <v>4</v>
      </c>
    </row>
    <row r="1654" spans="1:1" x14ac:dyDescent="0.3">
      <c r="A1654" s="2">
        <v>4</v>
      </c>
    </row>
    <row r="1655" spans="1:1" x14ac:dyDescent="0.3">
      <c r="A1655" s="1">
        <v>4</v>
      </c>
    </row>
    <row r="1656" spans="1:1" x14ac:dyDescent="0.3">
      <c r="A1656" s="2">
        <v>4</v>
      </c>
    </row>
    <row r="1657" spans="1:1" x14ac:dyDescent="0.3">
      <c r="A1657" s="1">
        <v>4</v>
      </c>
    </row>
    <row r="1658" spans="1:1" x14ac:dyDescent="0.3">
      <c r="A1658" s="2">
        <v>4</v>
      </c>
    </row>
    <row r="1659" spans="1:1" x14ac:dyDescent="0.3">
      <c r="A1659" s="1">
        <v>4</v>
      </c>
    </row>
    <row r="1660" spans="1:1" x14ac:dyDescent="0.3">
      <c r="A1660" s="2">
        <v>4</v>
      </c>
    </row>
    <row r="1661" spans="1:1" x14ac:dyDescent="0.3">
      <c r="A1661" s="1">
        <v>4</v>
      </c>
    </row>
    <row r="1662" spans="1:1" x14ac:dyDescent="0.3">
      <c r="A1662" s="2">
        <v>4</v>
      </c>
    </row>
    <row r="1663" spans="1:1" x14ac:dyDescent="0.3">
      <c r="A1663" s="1">
        <v>4</v>
      </c>
    </row>
    <row r="1664" spans="1:1" x14ac:dyDescent="0.3">
      <c r="A1664" s="2">
        <v>4</v>
      </c>
    </row>
    <row r="1665" spans="1:1" x14ac:dyDescent="0.3">
      <c r="A1665" s="1">
        <v>6</v>
      </c>
    </row>
    <row r="1666" spans="1:1" x14ac:dyDescent="0.3">
      <c r="A1666" s="2">
        <v>4</v>
      </c>
    </row>
    <row r="1667" spans="1:1" x14ac:dyDescent="0.3">
      <c r="A1667" s="1">
        <v>4</v>
      </c>
    </row>
    <row r="1668" spans="1:1" x14ac:dyDescent="0.3">
      <c r="A1668" s="2">
        <v>4</v>
      </c>
    </row>
    <row r="1669" spans="1:1" x14ac:dyDescent="0.3">
      <c r="A1669" s="1">
        <v>6</v>
      </c>
    </row>
    <row r="1670" spans="1:1" x14ac:dyDescent="0.3">
      <c r="A1670" s="2">
        <v>4</v>
      </c>
    </row>
    <row r="1671" spans="1:1" x14ac:dyDescent="0.3">
      <c r="A1671" s="1">
        <v>4</v>
      </c>
    </row>
    <row r="1672" spans="1:1" x14ac:dyDescent="0.3">
      <c r="A1672" s="2">
        <v>6</v>
      </c>
    </row>
    <row r="1673" spans="1:1" x14ac:dyDescent="0.3">
      <c r="A1673" s="1">
        <v>4</v>
      </c>
    </row>
    <row r="1674" spans="1:1" x14ac:dyDescent="0.3">
      <c r="A1674" s="2">
        <v>4</v>
      </c>
    </row>
    <row r="1675" spans="1:1" x14ac:dyDescent="0.3">
      <c r="A1675" s="1">
        <v>6</v>
      </c>
    </row>
    <row r="1676" spans="1:1" x14ac:dyDescent="0.3">
      <c r="A1676" s="2">
        <v>6</v>
      </c>
    </row>
    <row r="1677" spans="1:1" x14ac:dyDescent="0.3">
      <c r="A1677" s="1">
        <v>4</v>
      </c>
    </row>
    <row r="1678" spans="1:1" x14ac:dyDescent="0.3">
      <c r="A1678" s="2">
        <v>4</v>
      </c>
    </row>
    <row r="1679" spans="1:1" x14ac:dyDescent="0.3">
      <c r="A1679" s="1">
        <v>4</v>
      </c>
    </row>
    <row r="1680" spans="1:1" x14ac:dyDescent="0.3">
      <c r="A1680" s="2">
        <v>4</v>
      </c>
    </row>
    <row r="1681" spans="1:1" x14ac:dyDescent="0.3">
      <c r="A1681" s="1">
        <v>4</v>
      </c>
    </row>
    <row r="1682" spans="1:1" x14ac:dyDescent="0.3">
      <c r="A1682" s="2">
        <v>4</v>
      </c>
    </row>
    <row r="1683" spans="1:1" x14ac:dyDescent="0.3">
      <c r="A1683" s="1">
        <v>4</v>
      </c>
    </row>
    <row r="1684" spans="1:1" x14ac:dyDescent="0.3">
      <c r="A1684" s="2">
        <v>4</v>
      </c>
    </row>
    <row r="1685" spans="1:1" x14ac:dyDescent="0.3">
      <c r="A1685" s="1">
        <v>4</v>
      </c>
    </row>
    <row r="1686" spans="1:1" x14ac:dyDescent="0.3">
      <c r="A1686" s="2">
        <v>4</v>
      </c>
    </row>
    <row r="1687" spans="1:1" x14ac:dyDescent="0.3">
      <c r="A1687" s="1">
        <v>4</v>
      </c>
    </row>
    <row r="1688" spans="1:1" x14ac:dyDescent="0.3">
      <c r="A1688" s="2">
        <v>4</v>
      </c>
    </row>
    <row r="1689" spans="1:1" x14ac:dyDescent="0.3">
      <c r="A1689" s="1">
        <v>4</v>
      </c>
    </row>
    <row r="1690" spans="1:1" x14ac:dyDescent="0.3">
      <c r="A1690" s="2">
        <v>4</v>
      </c>
    </row>
    <row r="1691" spans="1:1" x14ac:dyDescent="0.3">
      <c r="A1691" s="1">
        <v>4</v>
      </c>
    </row>
    <row r="1692" spans="1:1" x14ac:dyDescent="0.3">
      <c r="A1692" s="2">
        <v>4</v>
      </c>
    </row>
    <row r="1693" spans="1:1" x14ac:dyDescent="0.3">
      <c r="A1693" s="1">
        <v>4</v>
      </c>
    </row>
    <row r="1694" spans="1:1" x14ac:dyDescent="0.3">
      <c r="A1694" s="2">
        <v>4</v>
      </c>
    </row>
    <row r="1695" spans="1:1" x14ac:dyDescent="0.3">
      <c r="A1695" s="1">
        <v>4</v>
      </c>
    </row>
    <row r="1696" spans="1:1" x14ac:dyDescent="0.3">
      <c r="A1696" s="2">
        <v>6</v>
      </c>
    </row>
    <row r="1697" spans="1:1" x14ac:dyDescent="0.3">
      <c r="A1697" s="1">
        <v>6</v>
      </c>
    </row>
    <row r="1698" spans="1:1" x14ac:dyDescent="0.3">
      <c r="A1698" s="2">
        <v>6</v>
      </c>
    </row>
    <row r="1699" spans="1:1" x14ac:dyDescent="0.3">
      <c r="A1699" s="1">
        <v>6</v>
      </c>
    </row>
    <row r="1700" spans="1:1" x14ac:dyDescent="0.3">
      <c r="A1700" s="2">
        <v>6</v>
      </c>
    </row>
    <row r="1701" spans="1:1" x14ac:dyDescent="0.3">
      <c r="A1701" s="1">
        <v>6</v>
      </c>
    </row>
    <row r="1702" spans="1:1" x14ac:dyDescent="0.3">
      <c r="A1702" s="2">
        <v>6</v>
      </c>
    </row>
    <row r="1703" spans="1:1" x14ac:dyDescent="0.3">
      <c r="A1703" s="1">
        <v>6</v>
      </c>
    </row>
    <row r="1704" spans="1:1" x14ac:dyDescent="0.3">
      <c r="A1704" s="2">
        <v>6</v>
      </c>
    </row>
    <row r="1705" spans="1:1" x14ac:dyDescent="0.3">
      <c r="A1705" s="1">
        <v>6</v>
      </c>
    </row>
    <row r="1706" spans="1:1" x14ac:dyDescent="0.3">
      <c r="A1706" s="2">
        <v>6</v>
      </c>
    </row>
    <row r="1707" spans="1:1" x14ac:dyDescent="0.3">
      <c r="A1707" s="1">
        <v>6</v>
      </c>
    </row>
    <row r="1708" spans="1:1" x14ac:dyDescent="0.3">
      <c r="A1708" s="2">
        <v>6</v>
      </c>
    </row>
    <row r="1709" spans="1:1" x14ac:dyDescent="0.3">
      <c r="A1709" s="1">
        <v>6</v>
      </c>
    </row>
    <row r="1710" spans="1:1" x14ac:dyDescent="0.3">
      <c r="A1710" s="2">
        <v>6</v>
      </c>
    </row>
    <row r="1711" spans="1:1" x14ac:dyDescent="0.3">
      <c r="A1711" s="1">
        <v>4</v>
      </c>
    </row>
    <row r="1712" spans="1:1" x14ac:dyDescent="0.3">
      <c r="A1712" s="2">
        <v>6</v>
      </c>
    </row>
    <row r="1713" spans="1:1" x14ac:dyDescent="0.3">
      <c r="A1713" s="1">
        <v>6</v>
      </c>
    </row>
    <row r="1714" spans="1:1" x14ac:dyDescent="0.3">
      <c r="A1714" s="2">
        <v>6</v>
      </c>
    </row>
    <row r="1715" spans="1:1" x14ac:dyDescent="0.3">
      <c r="A1715" s="1">
        <v>6</v>
      </c>
    </row>
    <row r="1716" spans="1:1" x14ac:dyDescent="0.3">
      <c r="A1716" s="2">
        <v>6</v>
      </c>
    </row>
    <row r="1717" spans="1:1" x14ac:dyDescent="0.3">
      <c r="A1717" s="1">
        <v>6</v>
      </c>
    </row>
    <row r="1718" spans="1:1" x14ac:dyDescent="0.3">
      <c r="A1718" s="2">
        <v>6</v>
      </c>
    </row>
    <row r="1719" spans="1:1" x14ac:dyDescent="0.3">
      <c r="A1719" s="1">
        <v>6</v>
      </c>
    </row>
    <row r="1720" spans="1:1" x14ac:dyDescent="0.3">
      <c r="A1720" s="2">
        <v>6</v>
      </c>
    </row>
    <row r="1721" spans="1:1" x14ac:dyDescent="0.3">
      <c r="A1721" s="1">
        <v>6</v>
      </c>
    </row>
    <row r="1722" spans="1:1" x14ac:dyDescent="0.3">
      <c r="A1722" s="2">
        <v>6</v>
      </c>
    </row>
    <row r="1723" spans="1:1" x14ac:dyDescent="0.3">
      <c r="A1723" s="1">
        <v>6</v>
      </c>
    </row>
    <row r="1724" spans="1:1" x14ac:dyDescent="0.3">
      <c r="A1724" s="2">
        <v>6</v>
      </c>
    </row>
    <row r="1725" spans="1:1" x14ac:dyDescent="0.3">
      <c r="A1725" s="1">
        <v>6</v>
      </c>
    </row>
    <row r="1726" spans="1:1" x14ac:dyDescent="0.3">
      <c r="A1726" s="2">
        <v>6</v>
      </c>
    </row>
    <row r="1727" spans="1:1" x14ac:dyDescent="0.3">
      <c r="A1727" s="1">
        <v>6</v>
      </c>
    </row>
    <row r="1728" spans="1:1" x14ac:dyDescent="0.3">
      <c r="A1728" s="2">
        <v>6</v>
      </c>
    </row>
    <row r="1729" spans="1:1" x14ac:dyDescent="0.3">
      <c r="A1729" s="1">
        <v>6</v>
      </c>
    </row>
    <row r="1730" spans="1:1" x14ac:dyDescent="0.3">
      <c r="A1730" s="2">
        <v>6</v>
      </c>
    </row>
    <row r="1731" spans="1:1" x14ac:dyDescent="0.3">
      <c r="A1731" s="1">
        <v>6</v>
      </c>
    </row>
    <row r="1732" spans="1:1" x14ac:dyDescent="0.3">
      <c r="A1732" s="2">
        <v>6</v>
      </c>
    </row>
    <row r="1733" spans="1:1" x14ac:dyDescent="0.3">
      <c r="A1733" s="1">
        <v>4</v>
      </c>
    </row>
    <row r="1734" spans="1:1" x14ac:dyDescent="0.3">
      <c r="A1734" s="2">
        <v>4</v>
      </c>
    </row>
    <row r="1735" spans="1:1" x14ac:dyDescent="0.3">
      <c r="A1735" s="1">
        <v>4</v>
      </c>
    </row>
    <row r="1736" spans="1:1" x14ac:dyDescent="0.3">
      <c r="A1736" s="2">
        <v>4</v>
      </c>
    </row>
    <row r="1737" spans="1:1" x14ac:dyDescent="0.3">
      <c r="A1737" s="1">
        <v>3</v>
      </c>
    </row>
    <row r="1738" spans="1:1" x14ac:dyDescent="0.3">
      <c r="A1738" s="2">
        <v>4</v>
      </c>
    </row>
    <row r="1739" spans="1:1" x14ac:dyDescent="0.3">
      <c r="A1739" s="1">
        <v>4</v>
      </c>
    </row>
    <row r="1740" spans="1:1" x14ac:dyDescent="0.3">
      <c r="A1740" s="2">
        <v>4</v>
      </c>
    </row>
    <row r="1741" spans="1:1" x14ac:dyDescent="0.3">
      <c r="A1741" s="1">
        <v>4</v>
      </c>
    </row>
    <row r="1742" spans="1:1" x14ac:dyDescent="0.3">
      <c r="A1742" s="2">
        <v>4</v>
      </c>
    </row>
    <row r="1743" spans="1:1" x14ac:dyDescent="0.3">
      <c r="A1743" s="1">
        <v>4</v>
      </c>
    </row>
    <row r="1744" spans="1:1" x14ac:dyDescent="0.3">
      <c r="A1744" s="2">
        <v>4</v>
      </c>
    </row>
    <row r="1745" spans="1:1" x14ac:dyDescent="0.3">
      <c r="A1745" s="1">
        <v>4</v>
      </c>
    </row>
    <row r="1746" spans="1:1" x14ac:dyDescent="0.3">
      <c r="A1746" s="2">
        <v>4</v>
      </c>
    </row>
    <row r="1747" spans="1:1" x14ac:dyDescent="0.3">
      <c r="A1747" s="1">
        <v>4</v>
      </c>
    </row>
    <row r="1748" spans="1:1" x14ac:dyDescent="0.3">
      <c r="A1748" s="2">
        <v>4</v>
      </c>
    </row>
    <row r="1749" spans="1:1" x14ac:dyDescent="0.3">
      <c r="A1749" s="1">
        <v>4</v>
      </c>
    </row>
    <row r="1750" spans="1:1" x14ac:dyDescent="0.3">
      <c r="A1750" s="2">
        <v>4</v>
      </c>
    </row>
    <row r="1751" spans="1:1" x14ac:dyDescent="0.3">
      <c r="A1751" s="1">
        <v>4</v>
      </c>
    </row>
    <row r="1752" spans="1:1" x14ac:dyDescent="0.3">
      <c r="A1752" s="2">
        <v>4</v>
      </c>
    </row>
    <row r="1753" spans="1:1" x14ac:dyDescent="0.3">
      <c r="A1753" s="1">
        <v>4</v>
      </c>
    </row>
    <row r="1754" spans="1:1" x14ac:dyDescent="0.3">
      <c r="A1754" s="2">
        <v>4</v>
      </c>
    </row>
    <row r="1755" spans="1:1" x14ac:dyDescent="0.3">
      <c r="A1755" s="1">
        <v>4</v>
      </c>
    </row>
    <row r="1756" spans="1:1" x14ac:dyDescent="0.3">
      <c r="A1756" s="2">
        <v>4</v>
      </c>
    </row>
    <row r="1757" spans="1:1" x14ac:dyDescent="0.3">
      <c r="A1757" s="1">
        <v>4</v>
      </c>
    </row>
    <row r="1758" spans="1:1" x14ac:dyDescent="0.3">
      <c r="A1758" s="2">
        <v>4</v>
      </c>
    </row>
    <row r="1759" spans="1:1" x14ac:dyDescent="0.3">
      <c r="A1759" s="1">
        <v>4</v>
      </c>
    </row>
    <row r="1760" spans="1:1" x14ac:dyDescent="0.3">
      <c r="A1760" s="2">
        <v>4</v>
      </c>
    </row>
    <row r="1761" spans="1:1" x14ac:dyDescent="0.3">
      <c r="A1761" s="1">
        <v>4</v>
      </c>
    </row>
    <row r="1762" spans="1:1" x14ac:dyDescent="0.3">
      <c r="A1762" s="2">
        <v>4</v>
      </c>
    </row>
    <row r="1763" spans="1:1" x14ac:dyDescent="0.3">
      <c r="A1763" s="1">
        <v>4</v>
      </c>
    </row>
    <row r="1764" spans="1:1" x14ac:dyDescent="0.3">
      <c r="A1764" s="2">
        <v>6</v>
      </c>
    </row>
    <row r="1765" spans="1:1" x14ac:dyDescent="0.3">
      <c r="A1765" s="1">
        <v>4</v>
      </c>
    </row>
    <row r="1766" spans="1:1" x14ac:dyDescent="0.3">
      <c r="A1766" s="2">
        <v>4</v>
      </c>
    </row>
    <row r="1767" spans="1:1" x14ac:dyDescent="0.3">
      <c r="A1767" s="1">
        <v>4</v>
      </c>
    </row>
    <row r="1768" spans="1:1" x14ac:dyDescent="0.3">
      <c r="A1768" s="2">
        <v>4</v>
      </c>
    </row>
    <row r="1769" spans="1:1" x14ac:dyDescent="0.3">
      <c r="A1769" s="1">
        <v>4</v>
      </c>
    </row>
    <row r="1770" spans="1:1" x14ac:dyDescent="0.3">
      <c r="A1770" s="2">
        <v>4</v>
      </c>
    </row>
    <row r="1771" spans="1:1" x14ac:dyDescent="0.3">
      <c r="A1771" s="1">
        <v>4</v>
      </c>
    </row>
    <row r="1772" spans="1:1" x14ac:dyDescent="0.3">
      <c r="A1772" s="2">
        <v>4</v>
      </c>
    </row>
    <row r="1773" spans="1:1" x14ac:dyDescent="0.3">
      <c r="A1773" s="1">
        <v>6</v>
      </c>
    </row>
    <row r="1774" spans="1:1" x14ac:dyDescent="0.3">
      <c r="A1774" s="2">
        <v>6</v>
      </c>
    </row>
    <row r="1775" spans="1:1" x14ac:dyDescent="0.3">
      <c r="A1775" s="1">
        <v>6</v>
      </c>
    </row>
    <row r="1776" spans="1:1" x14ac:dyDescent="0.3">
      <c r="A1776" s="2">
        <v>6</v>
      </c>
    </row>
    <row r="1777" spans="1:1" x14ac:dyDescent="0.3">
      <c r="A1777" s="1">
        <v>6</v>
      </c>
    </row>
    <row r="1778" spans="1:1" x14ac:dyDescent="0.3">
      <c r="A1778" s="2">
        <v>6</v>
      </c>
    </row>
    <row r="1779" spans="1:1" x14ac:dyDescent="0.3">
      <c r="A1779" s="1">
        <v>4</v>
      </c>
    </row>
    <row r="1780" spans="1:1" x14ac:dyDescent="0.3">
      <c r="A1780" s="2">
        <v>4</v>
      </c>
    </row>
    <row r="1781" spans="1:1" x14ac:dyDescent="0.3">
      <c r="A1781" s="1">
        <v>4</v>
      </c>
    </row>
    <row r="1782" spans="1:1" x14ac:dyDescent="0.3">
      <c r="A1782" s="2">
        <v>4</v>
      </c>
    </row>
    <row r="1783" spans="1:1" x14ac:dyDescent="0.3">
      <c r="A1783" s="1">
        <v>4</v>
      </c>
    </row>
    <row r="1784" spans="1:1" x14ac:dyDescent="0.3">
      <c r="A1784" s="2">
        <v>4</v>
      </c>
    </row>
    <row r="1785" spans="1:1" x14ac:dyDescent="0.3">
      <c r="A1785" s="1">
        <v>4</v>
      </c>
    </row>
    <row r="1786" spans="1:1" x14ac:dyDescent="0.3">
      <c r="A1786" s="2">
        <v>4</v>
      </c>
    </row>
    <row r="1787" spans="1:1" x14ac:dyDescent="0.3">
      <c r="A1787" s="1">
        <v>4</v>
      </c>
    </row>
    <row r="1788" spans="1:1" x14ac:dyDescent="0.3">
      <c r="A1788" s="2">
        <v>4</v>
      </c>
    </row>
    <row r="1789" spans="1:1" x14ac:dyDescent="0.3">
      <c r="A1789" s="1">
        <v>4</v>
      </c>
    </row>
    <row r="1790" spans="1:1" x14ac:dyDescent="0.3">
      <c r="A1790" s="2">
        <v>4</v>
      </c>
    </row>
    <row r="1791" spans="1:1" x14ac:dyDescent="0.3">
      <c r="A1791" s="1">
        <v>4</v>
      </c>
    </row>
    <row r="1792" spans="1:1" x14ac:dyDescent="0.3">
      <c r="A1792" s="2">
        <v>4</v>
      </c>
    </row>
    <row r="1793" spans="1:1" x14ac:dyDescent="0.3">
      <c r="A1793" s="1">
        <v>6</v>
      </c>
    </row>
    <row r="1794" spans="1:1" x14ac:dyDescent="0.3">
      <c r="A1794" s="2">
        <v>6</v>
      </c>
    </row>
    <row r="1795" spans="1:1" x14ac:dyDescent="0.3">
      <c r="A1795" s="1">
        <v>6</v>
      </c>
    </row>
    <row r="1796" spans="1:1" x14ac:dyDescent="0.3">
      <c r="A1796" s="2">
        <v>4</v>
      </c>
    </row>
    <row r="1797" spans="1:1" x14ac:dyDescent="0.3">
      <c r="A1797" s="1">
        <v>4</v>
      </c>
    </row>
    <row r="1798" spans="1:1" x14ac:dyDescent="0.3">
      <c r="A1798" s="2">
        <v>4</v>
      </c>
    </row>
    <row r="1799" spans="1:1" x14ac:dyDescent="0.3">
      <c r="A1799" s="1">
        <v>4</v>
      </c>
    </row>
    <row r="1800" spans="1:1" x14ac:dyDescent="0.3">
      <c r="A1800" s="2">
        <v>4</v>
      </c>
    </row>
    <row r="1801" spans="1:1" x14ac:dyDescent="0.3">
      <c r="A1801" s="1">
        <v>4</v>
      </c>
    </row>
    <row r="1802" spans="1:1" x14ac:dyDescent="0.3">
      <c r="A1802" s="2">
        <v>4</v>
      </c>
    </row>
    <row r="1803" spans="1:1" x14ac:dyDescent="0.3">
      <c r="A1803" s="1">
        <v>4</v>
      </c>
    </row>
    <row r="1804" spans="1:1" x14ac:dyDescent="0.3">
      <c r="A1804" s="2">
        <v>4</v>
      </c>
    </row>
    <row r="1805" spans="1:1" x14ac:dyDescent="0.3">
      <c r="A1805" s="1">
        <v>4</v>
      </c>
    </row>
    <row r="1806" spans="1:1" x14ac:dyDescent="0.3">
      <c r="A1806" s="2">
        <v>4</v>
      </c>
    </row>
    <row r="1807" spans="1:1" x14ac:dyDescent="0.3">
      <c r="A1807" s="1">
        <v>4</v>
      </c>
    </row>
    <row r="1808" spans="1:1" x14ac:dyDescent="0.3">
      <c r="A1808" s="2">
        <v>4</v>
      </c>
    </row>
    <row r="1809" spans="1:1" x14ac:dyDescent="0.3">
      <c r="A1809" s="1">
        <v>4</v>
      </c>
    </row>
    <row r="1810" spans="1:1" x14ac:dyDescent="0.3">
      <c r="A1810" s="2">
        <v>4</v>
      </c>
    </row>
    <row r="1811" spans="1:1" x14ac:dyDescent="0.3">
      <c r="A1811" s="1">
        <v>4</v>
      </c>
    </row>
    <row r="1812" spans="1:1" x14ac:dyDescent="0.3">
      <c r="A1812" s="2">
        <v>4</v>
      </c>
    </row>
    <row r="1813" spans="1:1" x14ac:dyDescent="0.3">
      <c r="A1813" s="1">
        <v>4</v>
      </c>
    </row>
    <row r="1814" spans="1:1" x14ac:dyDescent="0.3">
      <c r="A1814" s="2">
        <v>4</v>
      </c>
    </row>
    <row r="1815" spans="1:1" x14ac:dyDescent="0.3">
      <c r="A1815" s="1">
        <v>4</v>
      </c>
    </row>
    <row r="1816" spans="1:1" x14ac:dyDescent="0.3">
      <c r="A1816" s="2">
        <v>4</v>
      </c>
    </row>
    <row r="1817" spans="1:1" x14ac:dyDescent="0.3">
      <c r="A1817" s="1">
        <v>4</v>
      </c>
    </row>
    <row r="1818" spans="1:1" x14ac:dyDescent="0.3">
      <c r="A1818" s="2">
        <v>4</v>
      </c>
    </row>
    <row r="1819" spans="1:1" x14ac:dyDescent="0.3">
      <c r="A1819" s="1">
        <v>4</v>
      </c>
    </row>
    <row r="1820" spans="1:1" x14ac:dyDescent="0.3">
      <c r="A1820" s="2">
        <v>4</v>
      </c>
    </row>
    <row r="1821" spans="1:1" x14ac:dyDescent="0.3">
      <c r="A1821" s="1">
        <v>4</v>
      </c>
    </row>
    <row r="1822" spans="1:1" x14ac:dyDescent="0.3">
      <c r="A1822" s="2">
        <v>4</v>
      </c>
    </row>
    <row r="1823" spans="1:1" x14ac:dyDescent="0.3">
      <c r="A1823" s="1">
        <v>4</v>
      </c>
    </row>
    <row r="1824" spans="1:1" x14ac:dyDescent="0.3">
      <c r="A1824" s="2">
        <v>4</v>
      </c>
    </row>
    <row r="1825" spans="1:1" x14ac:dyDescent="0.3">
      <c r="A1825" s="1">
        <v>4</v>
      </c>
    </row>
    <row r="1826" spans="1:1" x14ac:dyDescent="0.3">
      <c r="A1826" s="2">
        <v>4</v>
      </c>
    </row>
    <row r="1827" spans="1:1" x14ac:dyDescent="0.3">
      <c r="A1827" s="1">
        <v>4</v>
      </c>
    </row>
    <row r="1828" spans="1:1" x14ac:dyDescent="0.3">
      <c r="A1828" s="2">
        <v>4</v>
      </c>
    </row>
    <row r="1829" spans="1:1" x14ac:dyDescent="0.3">
      <c r="A1829" s="1">
        <v>4</v>
      </c>
    </row>
    <row r="1830" spans="1:1" x14ac:dyDescent="0.3">
      <c r="A1830" s="2">
        <v>4</v>
      </c>
    </row>
    <row r="1831" spans="1:1" x14ac:dyDescent="0.3">
      <c r="A1831" s="1">
        <v>4</v>
      </c>
    </row>
    <row r="1832" spans="1:1" x14ac:dyDescent="0.3">
      <c r="A1832" s="2">
        <v>4</v>
      </c>
    </row>
    <row r="1833" spans="1:1" x14ac:dyDescent="0.3">
      <c r="A1833" s="1">
        <v>4</v>
      </c>
    </row>
    <row r="1834" spans="1:1" x14ac:dyDescent="0.3">
      <c r="A1834" s="2">
        <v>4</v>
      </c>
    </row>
    <row r="1835" spans="1:1" x14ac:dyDescent="0.3">
      <c r="A1835" s="1">
        <v>4</v>
      </c>
    </row>
    <row r="1836" spans="1:1" x14ac:dyDescent="0.3">
      <c r="A1836" s="2">
        <v>4</v>
      </c>
    </row>
    <row r="1837" spans="1:1" x14ac:dyDescent="0.3">
      <c r="A1837" s="1">
        <v>4</v>
      </c>
    </row>
    <row r="1838" spans="1:1" x14ac:dyDescent="0.3">
      <c r="A1838" s="2">
        <v>4</v>
      </c>
    </row>
    <row r="1839" spans="1:1" x14ac:dyDescent="0.3">
      <c r="A1839" s="1">
        <v>4</v>
      </c>
    </row>
    <row r="1840" spans="1:1" x14ac:dyDescent="0.3">
      <c r="A1840" s="2">
        <v>4</v>
      </c>
    </row>
    <row r="1841" spans="1:1" x14ac:dyDescent="0.3">
      <c r="A1841" s="1">
        <v>4</v>
      </c>
    </row>
    <row r="1842" spans="1:1" x14ac:dyDescent="0.3">
      <c r="A1842" s="2">
        <v>4</v>
      </c>
    </row>
    <row r="1843" spans="1:1" x14ac:dyDescent="0.3">
      <c r="A1843" s="1">
        <v>4</v>
      </c>
    </row>
    <row r="1844" spans="1:1" x14ac:dyDescent="0.3">
      <c r="A1844" s="2">
        <v>4</v>
      </c>
    </row>
    <row r="1845" spans="1:1" x14ac:dyDescent="0.3">
      <c r="A1845" s="1">
        <v>4</v>
      </c>
    </row>
    <row r="1846" spans="1:1" x14ac:dyDescent="0.3">
      <c r="A1846" s="2">
        <v>4</v>
      </c>
    </row>
    <row r="1847" spans="1:1" x14ac:dyDescent="0.3">
      <c r="A1847" s="1">
        <v>4</v>
      </c>
    </row>
    <row r="1848" spans="1:1" x14ac:dyDescent="0.3">
      <c r="A1848" s="2">
        <v>4</v>
      </c>
    </row>
    <row r="1849" spans="1:1" x14ac:dyDescent="0.3">
      <c r="A1849" s="1">
        <v>4</v>
      </c>
    </row>
    <row r="1850" spans="1:1" x14ac:dyDescent="0.3">
      <c r="A1850" s="2">
        <v>4</v>
      </c>
    </row>
    <row r="1851" spans="1:1" x14ac:dyDescent="0.3">
      <c r="A1851" s="1">
        <v>4</v>
      </c>
    </row>
    <row r="1852" spans="1:1" x14ac:dyDescent="0.3">
      <c r="A1852" s="2">
        <v>4</v>
      </c>
    </row>
    <row r="1853" spans="1:1" x14ac:dyDescent="0.3">
      <c r="A1853" s="1">
        <v>4</v>
      </c>
    </row>
    <row r="1854" spans="1:1" x14ac:dyDescent="0.3">
      <c r="A1854" s="2">
        <v>4</v>
      </c>
    </row>
    <row r="1855" spans="1:1" x14ac:dyDescent="0.3">
      <c r="A1855" s="1">
        <v>4</v>
      </c>
    </row>
    <row r="1856" spans="1:1" x14ac:dyDescent="0.3">
      <c r="A1856" s="2">
        <v>4</v>
      </c>
    </row>
    <row r="1857" spans="1:1" x14ac:dyDescent="0.3">
      <c r="A1857" s="1">
        <v>4</v>
      </c>
    </row>
    <row r="1858" spans="1:1" x14ac:dyDescent="0.3">
      <c r="A1858" s="2">
        <v>4</v>
      </c>
    </row>
    <row r="1859" spans="1:1" x14ac:dyDescent="0.3">
      <c r="A1859" s="1">
        <v>4</v>
      </c>
    </row>
    <row r="1860" spans="1:1" x14ac:dyDescent="0.3">
      <c r="A1860" s="2">
        <v>4</v>
      </c>
    </row>
    <row r="1861" spans="1:1" x14ac:dyDescent="0.3">
      <c r="A1861" s="1">
        <v>4</v>
      </c>
    </row>
    <row r="1862" spans="1:1" x14ac:dyDescent="0.3">
      <c r="A1862" s="2">
        <v>4</v>
      </c>
    </row>
    <row r="1863" spans="1:1" x14ac:dyDescent="0.3">
      <c r="A1863" s="1">
        <v>4</v>
      </c>
    </row>
    <row r="1864" spans="1:1" x14ac:dyDescent="0.3">
      <c r="A1864" s="2">
        <v>4</v>
      </c>
    </row>
    <row r="1865" spans="1:1" x14ac:dyDescent="0.3">
      <c r="A1865" s="1">
        <v>4</v>
      </c>
    </row>
    <row r="1866" spans="1:1" x14ac:dyDescent="0.3">
      <c r="A1866" s="2">
        <v>4</v>
      </c>
    </row>
    <row r="1867" spans="1:1" x14ac:dyDescent="0.3">
      <c r="A1867" s="1">
        <v>4</v>
      </c>
    </row>
    <row r="1868" spans="1:1" x14ac:dyDescent="0.3">
      <c r="A1868" s="2">
        <v>4</v>
      </c>
    </row>
    <row r="1869" spans="1:1" x14ac:dyDescent="0.3">
      <c r="A1869" s="1">
        <v>4</v>
      </c>
    </row>
    <row r="1870" spans="1:1" x14ac:dyDescent="0.3">
      <c r="A1870" s="2">
        <v>4</v>
      </c>
    </row>
    <row r="1871" spans="1:1" x14ac:dyDescent="0.3">
      <c r="A1871" s="1">
        <v>4</v>
      </c>
    </row>
    <row r="1872" spans="1:1" x14ac:dyDescent="0.3">
      <c r="A1872" s="2">
        <v>4</v>
      </c>
    </row>
    <row r="1873" spans="1:1" x14ac:dyDescent="0.3">
      <c r="A1873" s="1">
        <v>4</v>
      </c>
    </row>
    <row r="1874" spans="1:1" x14ac:dyDescent="0.3">
      <c r="A1874" s="2">
        <v>4</v>
      </c>
    </row>
    <row r="1875" spans="1:1" x14ac:dyDescent="0.3">
      <c r="A1875" s="1">
        <v>4</v>
      </c>
    </row>
    <row r="1876" spans="1:1" x14ac:dyDescent="0.3">
      <c r="A1876" s="2">
        <v>4</v>
      </c>
    </row>
    <row r="1877" spans="1:1" x14ac:dyDescent="0.3">
      <c r="A1877" s="1">
        <v>4</v>
      </c>
    </row>
    <row r="1878" spans="1:1" x14ac:dyDescent="0.3">
      <c r="A1878" s="2">
        <v>4</v>
      </c>
    </row>
    <row r="1879" spans="1:1" x14ac:dyDescent="0.3">
      <c r="A1879" s="1">
        <v>4</v>
      </c>
    </row>
    <row r="1880" spans="1:1" x14ac:dyDescent="0.3">
      <c r="A1880" s="2">
        <v>4</v>
      </c>
    </row>
    <row r="1881" spans="1:1" x14ac:dyDescent="0.3">
      <c r="A1881" s="1">
        <v>4</v>
      </c>
    </row>
    <row r="1882" spans="1:1" x14ac:dyDescent="0.3">
      <c r="A1882" s="2">
        <v>4</v>
      </c>
    </row>
    <row r="1883" spans="1:1" x14ac:dyDescent="0.3">
      <c r="A1883" s="1">
        <v>4</v>
      </c>
    </row>
    <row r="1884" spans="1:1" x14ac:dyDescent="0.3">
      <c r="A1884" s="2">
        <v>4</v>
      </c>
    </row>
    <row r="1885" spans="1:1" x14ac:dyDescent="0.3">
      <c r="A1885" s="1">
        <v>4</v>
      </c>
    </row>
    <row r="1886" spans="1:1" x14ac:dyDescent="0.3">
      <c r="A1886" s="2">
        <v>4</v>
      </c>
    </row>
    <row r="1887" spans="1:1" x14ac:dyDescent="0.3">
      <c r="A1887" s="1">
        <v>4</v>
      </c>
    </row>
    <row r="1888" spans="1:1" x14ac:dyDescent="0.3">
      <c r="A1888" s="2">
        <v>4</v>
      </c>
    </row>
    <row r="1889" spans="1:1" x14ac:dyDescent="0.3">
      <c r="A1889" s="1">
        <v>4</v>
      </c>
    </row>
    <row r="1890" spans="1:1" x14ac:dyDescent="0.3">
      <c r="A1890" s="2">
        <v>4</v>
      </c>
    </row>
    <row r="1891" spans="1:1" x14ac:dyDescent="0.3">
      <c r="A1891" s="1">
        <v>4</v>
      </c>
    </row>
    <row r="1892" spans="1:1" x14ac:dyDescent="0.3">
      <c r="A1892" s="2">
        <v>4</v>
      </c>
    </row>
    <row r="1893" spans="1:1" x14ac:dyDescent="0.3">
      <c r="A1893" s="1">
        <v>4</v>
      </c>
    </row>
    <row r="1894" spans="1:1" x14ac:dyDescent="0.3">
      <c r="A1894" s="2">
        <v>4</v>
      </c>
    </row>
    <row r="1895" spans="1:1" x14ac:dyDescent="0.3">
      <c r="A1895" s="1">
        <v>4</v>
      </c>
    </row>
    <row r="1896" spans="1:1" x14ac:dyDescent="0.3">
      <c r="A1896" s="2">
        <v>4</v>
      </c>
    </row>
    <row r="1897" spans="1:1" x14ac:dyDescent="0.3">
      <c r="A1897" s="1">
        <v>4</v>
      </c>
    </row>
    <row r="1898" spans="1:1" x14ac:dyDescent="0.3">
      <c r="A1898" s="2">
        <v>4</v>
      </c>
    </row>
    <row r="1899" spans="1:1" x14ac:dyDescent="0.3">
      <c r="A1899" s="1">
        <v>4</v>
      </c>
    </row>
    <row r="1900" spans="1:1" x14ac:dyDescent="0.3">
      <c r="A1900" s="2">
        <v>4</v>
      </c>
    </row>
    <row r="1901" spans="1:1" x14ac:dyDescent="0.3">
      <c r="A1901" s="1">
        <v>4</v>
      </c>
    </row>
    <row r="1902" spans="1:1" x14ac:dyDescent="0.3">
      <c r="A1902" s="2">
        <v>4</v>
      </c>
    </row>
    <row r="1903" spans="1:1" x14ac:dyDescent="0.3">
      <c r="A1903" s="1">
        <v>4</v>
      </c>
    </row>
    <row r="1904" spans="1:1" x14ac:dyDescent="0.3">
      <c r="A1904" s="2">
        <v>6</v>
      </c>
    </row>
    <row r="1905" spans="1:1" x14ac:dyDescent="0.3">
      <c r="A1905" s="1">
        <v>6</v>
      </c>
    </row>
    <row r="1906" spans="1:1" x14ac:dyDescent="0.3">
      <c r="A1906" s="2">
        <v>4</v>
      </c>
    </row>
    <row r="1907" spans="1:1" x14ac:dyDescent="0.3">
      <c r="A1907" s="1">
        <v>6</v>
      </c>
    </row>
    <row r="1908" spans="1:1" x14ac:dyDescent="0.3">
      <c r="A1908" s="2">
        <v>6</v>
      </c>
    </row>
    <row r="1909" spans="1:1" x14ac:dyDescent="0.3">
      <c r="A1909" s="1">
        <v>6</v>
      </c>
    </row>
    <row r="1910" spans="1:1" x14ac:dyDescent="0.3">
      <c r="A1910" s="2">
        <v>6</v>
      </c>
    </row>
    <row r="1911" spans="1:1" x14ac:dyDescent="0.3">
      <c r="A1911" s="1">
        <v>4</v>
      </c>
    </row>
    <row r="1912" spans="1:1" x14ac:dyDescent="0.3">
      <c r="A1912" s="2">
        <v>4</v>
      </c>
    </row>
    <row r="1913" spans="1:1" x14ac:dyDescent="0.3">
      <c r="A1913" s="1">
        <v>4</v>
      </c>
    </row>
    <row r="1914" spans="1:1" x14ac:dyDescent="0.3">
      <c r="A1914" s="2">
        <v>6</v>
      </c>
    </row>
    <row r="1915" spans="1:1" x14ac:dyDescent="0.3">
      <c r="A1915" s="1">
        <v>4</v>
      </c>
    </row>
    <row r="1916" spans="1:1" x14ac:dyDescent="0.3">
      <c r="A1916" s="2">
        <v>4</v>
      </c>
    </row>
    <row r="1917" spans="1:1" x14ac:dyDescent="0.3">
      <c r="A1917" s="1">
        <v>4</v>
      </c>
    </row>
    <row r="1918" spans="1:1" x14ac:dyDescent="0.3">
      <c r="A1918" s="2">
        <v>4</v>
      </c>
    </row>
    <row r="1919" spans="1:1" x14ac:dyDescent="0.3">
      <c r="A1919" s="1">
        <v>4</v>
      </c>
    </row>
    <row r="1920" spans="1:1" x14ac:dyDescent="0.3">
      <c r="A1920" s="2">
        <v>4</v>
      </c>
    </row>
    <row r="1921" spans="1:1" x14ac:dyDescent="0.3">
      <c r="A1921" s="1">
        <v>4</v>
      </c>
    </row>
    <row r="1922" spans="1:1" x14ac:dyDescent="0.3">
      <c r="A1922" s="2">
        <v>4</v>
      </c>
    </row>
    <row r="1923" spans="1:1" x14ac:dyDescent="0.3">
      <c r="A1923" s="1">
        <v>4</v>
      </c>
    </row>
    <row r="1924" spans="1:1" x14ac:dyDescent="0.3">
      <c r="A1924" s="2">
        <v>4</v>
      </c>
    </row>
    <row r="1925" spans="1:1" x14ac:dyDescent="0.3">
      <c r="A1925" s="1">
        <v>4</v>
      </c>
    </row>
    <row r="1926" spans="1:1" x14ac:dyDescent="0.3">
      <c r="A1926" s="2">
        <v>4</v>
      </c>
    </row>
    <row r="1927" spans="1:1" x14ac:dyDescent="0.3">
      <c r="A1927" s="1">
        <v>4</v>
      </c>
    </row>
    <row r="1928" spans="1:1" x14ac:dyDescent="0.3">
      <c r="A1928" s="2">
        <v>4</v>
      </c>
    </row>
    <row r="1929" spans="1:1" x14ac:dyDescent="0.3">
      <c r="A1929" s="1">
        <v>4</v>
      </c>
    </row>
    <row r="1930" spans="1:1" x14ac:dyDescent="0.3">
      <c r="A1930" s="2">
        <v>4</v>
      </c>
    </row>
    <row r="1931" spans="1:1" x14ac:dyDescent="0.3">
      <c r="A1931" s="1">
        <v>4</v>
      </c>
    </row>
    <row r="1932" spans="1:1" x14ac:dyDescent="0.3">
      <c r="A1932" s="2">
        <v>4</v>
      </c>
    </row>
    <row r="1933" spans="1:1" x14ac:dyDescent="0.3">
      <c r="A1933" s="1">
        <v>4</v>
      </c>
    </row>
    <row r="1934" spans="1:1" x14ac:dyDescent="0.3">
      <c r="A1934" s="2">
        <v>4</v>
      </c>
    </row>
    <row r="1935" spans="1:1" x14ac:dyDescent="0.3">
      <c r="A1935" s="1">
        <v>4</v>
      </c>
    </row>
    <row r="1936" spans="1:1" x14ac:dyDescent="0.3">
      <c r="A1936" s="2">
        <v>4</v>
      </c>
    </row>
    <row r="1937" spans="1:1" x14ac:dyDescent="0.3">
      <c r="A1937" s="1">
        <v>4</v>
      </c>
    </row>
    <row r="1938" spans="1:1" x14ac:dyDescent="0.3">
      <c r="A1938" s="2">
        <v>4</v>
      </c>
    </row>
    <row r="1939" spans="1:1" x14ac:dyDescent="0.3">
      <c r="A1939" s="1">
        <v>4</v>
      </c>
    </row>
    <row r="1940" spans="1:1" x14ac:dyDescent="0.3">
      <c r="A1940" s="2">
        <v>4</v>
      </c>
    </row>
    <row r="1941" spans="1:1" x14ac:dyDescent="0.3">
      <c r="A1941" s="1">
        <v>4</v>
      </c>
    </row>
    <row r="1942" spans="1:1" x14ac:dyDescent="0.3">
      <c r="A1942" s="2">
        <v>4</v>
      </c>
    </row>
    <row r="1943" spans="1:1" x14ac:dyDescent="0.3">
      <c r="A1943" s="1">
        <v>4</v>
      </c>
    </row>
    <row r="1944" spans="1:1" x14ac:dyDescent="0.3">
      <c r="A1944" s="2">
        <v>4</v>
      </c>
    </row>
    <row r="1945" spans="1:1" x14ac:dyDescent="0.3">
      <c r="A1945" s="1">
        <v>4</v>
      </c>
    </row>
    <row r="1946" spans="1:1" x14ac:dyDescent="0.3">
      <c r="A1946" s="2">
        <v>4</v>
      </c>
    </row>
    <row r="1947" spans="1:1" x14ac:dyDescent="0.3">
      <c r="A1947" s="1">
        <v>4</v>
      </c>
    </row>
    <row r="1948" spans="1:1" x14ac:dyDescent="0.3">
      <c r="A1948" s="2">
        <v>4</v>
      </c>
    </row>
    <row r="1949" spans="1:1" x14ac:dyDescent="0.3">
      <c r="A1949" s="1">
        <v>4</v>
      </c>
    </row>
    <row r="1950" spans="1:1" x14ac:dyDescent="0.3">
      <c r="A1950" s="2">
        <v>4</v>
      </c>
    </row>
    <row r="1951" spans="1:1" x14ac:dyDescent="0.3">
      <c r="A1951" s="1">
        <v>4</v>
      </c>
    </row>
    <row r="1952" spans="1:1" x14ac:dyDescent="0.3">
      <c r="A1952" s="2">
        <v>4</v>
      </c>
    </row>
    <row r="1953" spans="1:1" x14ac:dyDescent="0.3">
      <c r="A1953" s="1">
        <v>4</v>
      </c>
    </row>
    <row r="1954" spans="1:1" x14ac:dyDescent="0.3">
      <c r="A1954" s="2">
        <v>4</v>
      </c>
    </row>
    <row r="1955" spans="1:1" x14ac:dyDescent="0.3">
      <c r="A1955" s="1">
        <v>4</v>
      </c>
    </row>
    <row r="1956" spans="1:1" x14ac:dyDescent="0.3">
      <c r="A1956" s="2">
        <v>4</v>
      </c>
    </row>
    <row r="1957" spans="1:1" x14ac:dyDescent="0.3">
      <c r="A1957" s="1">
        <v>4</v>
      </c>
    </row>
    <row r="1958" spans="1:1" x14ac:dyDescent="0.3">
      <c r="A1958" s="2">
        <v>4</v>
      </c>
    </row>
    <row r="1959" spans="1:1" x14ac:dyDescent="0.3">
      <c r="A1959" s="1">
        <v>4</v>
      </c>
    </row>
    <row r="1960" spans="1:1" x14ac:dyDescent="0.3">
      <c r="A1960" s="2">
        <v>4</v>
      </c>
    </row>
    <row r="1961" spans="1:1" x14ac:dyDescent="0.3">
      <c r="A1961" s="1">
        <v>4</v>
      </c>
    </row>
    <row r="1962" spans="1:1" x14ac:dyDescent="0.3">
      <c r="A1962" s="2">
        <v>4</v>
      </c>
    </row>
    <row r="1963" spans="1:1" x14ac:dyDescent="0.3">
      <c r="A1963" s="1">
        <v>4</v>
      </c>
    </row>
    <row r="1964" spans="1:1" x14ac:dyDescent="0.3">
      <c r="A1964" s="2">
        <v>4</v>
      </c>
    </row>
    <row r="1965" spans="1:1" x14ac:dyDescent="0.3">
      <c r="A1965" s="1">
        <v>4</v>
      </c>
    </row>
    <row r="1966" spans="1:1" x14ac:dyDescent="0.3">
      <c r="A1966" s="2">
        <v>4</v>
      </c>
    </row>
    <row r="1967" spans="1:1" x14ac:dyDescent="0.3">
      <c r="A1967" s="1">
        <v>4</v>
      </c>
    </row>
    <row r="1968" spans="1:1" x14ac:dyDescent="0.3">
      <c r="A1968" s="2">
        <v>4</v>
      </c>
    </row>
    <row r="1969" spans="1:1" x14ac:dyDescent="0.3">
      <c r="A1969" s="1">
        <v>4</v>
      </c>
    </row>
    <row r="1970" spans="1:1" x14ac:dyDescent="0.3">
      <c r="A1970" s="2">
        <v>4</v>
      </c>
    </row>
    <row r="1971" spans="1:1" x14ac:dyDescent="0.3">
      <c r="A1971" s="1">
        <v>4</v>
      </c>
    </row>
    <row r="1972" spans="1:1" x14ac:dyDescent="0.3">
      <c r="A1972" s="2">
        <v>4</v>
      </c>
    </row>
    <row r="1973" spans="1:1" x14ac:dyDescent="0.3">
      <c r="A1973" s="1">
        <v>4</v>
      </c>
    </row>
    <row r="1974" spans="1:1" x14ac:dyDescent="0.3">
      <c r="A1974" s="2">
        <v>4</v>
      </c>
    </row>
    <row r="1975" spans="1:1" x14ac:dyDescent="0.3">
      <c r="A1975" s="1">
        <v>4</v>
      </c>
    </row>
    <row r="1976" spans="1:1" x14ac:dyDescent="0.3">
      <c r="A1976" s="2">
        <v>4</v>
      </c>
    </row>
    <row r="1977" spans="1:1" x14ac:dyDescent="0.3">
      <c r="A1977" s="1">
        <v>4</v>
      </c>
    </row>
    <row r="1978" spans="1:1" x14ac:dyDescent="0.3">
      <c r="A1978" s="2">
        <v>4</v>
      </c>
    </row>
    <row r="1979" spans="1:1" x14ac:dyDescent="0.3">
      <c r="A1979" s="1">
        <v>4</v>
      </c>
    </row>
    <row r="1980" spans="1:1" x14ac:dyDescent="0.3">
      <c r="A1980" s="2">
        <v>4</v>
      </c>
    </row>
    <row r="1981" spans="1:1" x14ac:dyDescent="0.3">
      <c r="A1981" s="1">
        <v>4</v>
      </c>
    </row>
    <row r="1982" spans="1:1" x14ac:dyDescent="0.3">
      <c r="A1982" s="2">
        <v>4</v>
      </c>
    </row>
    <row r="1983" spans="1:1" x14ac:dyDescent="0.3">
      <c r="A1983" s="1">
        <v>4</v>
      </c>
    </row>
    <row r="1984" spans="1:1" x14ac:dyDescent="0.3">
      <c r="A1984" s="2">
        <v>4</v>
      </c>
    </row>
    <row r="1985" spans="1:1" x14ac:dyDescent="0.3">
      <c r="A1985" s="1">
        <v>4</v>
      </c>
    </row>
    <row r="1986" spans="1:1" x14ac:dyDescent="0.3">
      <c r="A1986" s="2">
        <v>4</v>
      </c>
    </row>
    <row r="1987" spans="1:1" x14ac:dyDescent="0.3">
      <c r="A1987" s="1">
        <v>4</v>
      </c>
    </row>
    <row r="1988" spans="1:1" x14ac:dyDescent="0.3">
      <c r="A1988" s="2">
        <v>4</v>
      </c>
    </row>
    <row r="1989" spans="1:1" x14ac:dyDescent="0.3">
      <c r="A1989" s="1">
        <v>4</v>
      </c>
    </row>
    <row r="1990" spans="1:1" x14ac:dyDescent="0.3">
      <c r="A1990" s="2">
        <v>4</v>
      </c>
    </row>
    <row r="1991" spans="1:1" x14ac:dyDescent="0.3">
      <c r="A1991" s="1">
        <v>4</v>
      </c>
    </row>
    <row r="1992" spans="1:1" x14ac:dyDescent="0.3">
      <c r="A1992" s="2">
        <v>4</v>
      </c>
    </row>
    <row r="1993" spans="1:1" x14ac:dyDescent="0.3">
      <c r="A1993" s="1">
        <v>4</v>
      </c>
    </row>
    <row r="1994" spans="1:1" x14ac:dyDescent="0.3">
      <c r="A1994" s="2">
        <v>4</v>
      </c>
    </row>
    <row r="1995" spans="1:1" x14ac:dyDescent="0.3">
      <c r="A1995" s="1">
        <v>4</v>
      </c>
    </row>
    <row r="1996" spans="1:1" x14ac:dyDescent="0.3">
      <c r="A1996" s="2">
        <v>4</v>
      </c>
    </row>
    <row r="1997" spans="1:1" x14ac:dyDescent="0.3">
      <c r="A1997" s="1">
        <v>4</v>
      </c>
    </row>
    <row r="1998" spans="1:1" x14ac:dyDescent="0.3">
      <c r="A1998" s="2">
        <v>4</v>
      </c>
    </row>
    <row r="1999" spans="1:1" x14ac:dyDescent="0.3">
      <c r="A1999" s="1">
        <v>4</v>
      </c>
    </row>
    <row r="2000" spans="1:1" x14ac:dyDescent="0.3">
      <c r="A2000" s="2">
        <v>4</v>
      </c>
    </row>
    <row r="2001" spans="1:1" x14ac:dyDescent="0.3">
      <c r="A2001" s="1">
        <v>4</v>
      </c>
    </row>
    <row r="2002" spans="1:1" x14ac:dyDescent="0.3">
      <c r="A2002" s="2">
        <v>4</v>
      </c>
    </row>
    <row r="2003" spans="1:1" x14ac:dyDescent="0.3">
      <c r="A2003" s="1">
        <v>4</v>
      </c>
    </row>
    <row r="2004" spans="1:1" x14ac:dyDescent="0.3">
      <c r="A2004" s="2">
        <v>4</v>
      </c>
    </row>
    <row r="2005" spans="1:1" x14ac:dyDescent="0.3">
      <c r="A2005" s="1">
        <v>4</v>
      </c>
    </row>
    <row r="2006" spans="1:1" x14ac:dyDescent="0.3">
      <c r="A2006" s="2">
        <v>4</v>
      </c>
    </row>
    <row r="2007" spans="1:1" x14ac:dyDescent="0.3">
      <c r="A2007" s="1">
        <v>4</v>
      </c>
    </row>
    <row r="2008" spans="1:1" x14ac:dyDescent="0.3">
      <c r="A2008" s="2">
        <v>4</v>
      </c>
    </row>
    <row r="2009" spans="1:1" x14ac:dyDescent="0.3">
      <c r="A2009" s="1">
        <v>4</v>
      </c>
    </row>
    <row r="2010" spans="1:1" x14ac:dyDescent="0.3">
      <c r="A2010" s="2">
        <v>4</v>
      </c>
    </row>
    <row r="2011" spans="1:1" x14ac:dyDescent="0.3">
      <c r="A2011" s="1">
        <v>4</v>
      </c>
    </row>
    <row r="2012" spans="1:1" x14ac:dyDescent="0.3">
      <c r="A2012" s="2">
        <v>4</v>
      </c>
    </row>
    <row r="2013" spans="1:1" x14ac:dyDescent="0.3">
      <c r="A2013" s="1">
        <v>4</v>
      </c>
    </row>
    <row r="2014" spans="1:1" x14ac:dyDescent="0.3">
      <c r="A2014" s="2">
        <v>4</v>
      </c>
    </row>
    <row r="2015" spans="1:1" x14ac:dyDescent="0.3">
      <c r="A2015" s="1">
        <v>4</v>
      </c>
    </row>
    <row r="2016" spans="1:1" x14ac:dyDescent="0.3">
      <c r="A2016" s="2">
        <v>4</v>
      </c>
    </row>
    <row r="2017" spans="1:1" x14ac:dyDescent="0.3">
      <c r="A2017" s="1">
        <v>4</v>
      </c>
    </row>
    <row r="2018" spans="1:1" x14ac:dyDescent="0.3">
      <c r="A2018" s="2">
        <v>4</v>
      </c>
    </row>
    <row r="2019" spans="1:1" x14ac:dyDescent="0.3">
      <c r="A2019" s="1">
        <v>4</v>
      </c>
    </row>
    <row r="2020" spans="1:1" x14ac:dyDescent="0.3">
      <c r="A2020" s="2">
        <v>4</v>
      </c>
    </row>
    <row r="2021" spans="1:1" x14ac:dyDescent="0.3">
      <c r="A2021" s="1">
        <v>4</v>
      </c>
    </row>
    <row r="2022" spans="1:1" x14ac:dyDescent="0.3">
      <c r="A2022" s="2">
        <v>4</v>
      </c>
    </row>
    <row r="2023" spans="1:1" x14ac:dyDescent="0.3">
      <c r="A2023" s="1">
        <v>4</v>
      </c>
    </row>
    <row r="2024" spans="1:1" x14ac:dyDescent="0.3">
      <c r="A2024" s="2">
        <v>4</v>
      </c>
    </row>
    <row r="2025" spans="1:1" x14ac:dyDescent="0.3">
      <c r="A2025" s="1">
        <v>4</v>
      </c>
    </row>
    <row r="2026" spans="1:1" x14ac:dyDescent="0.3">
      <c r="A2026" s="2">
        <v>4</v>
      </c>
    </row>
    <row r="2027" spans="1:1" x14ac:dyDescent="0.3">
      <c r="A2027" s="1">
        <v>4</v>
      </c>
    </row>
    <row r="2028" spans="1:1" x14ac:dyDescent="0.3">
      <c r="A2028" s="2">
        <v>4</v>
      </c>
    </row>
    <row r="2029" spans="1:1" x14ac:dyDescent="0.3">
      <c r="A2029" s="1">
        <v>4</v>
      </c>
    </row>
    <row r="2030" spans="1:1" x14ac:dyDescent="0.3">
      <c r="A2030" s="2">
        <v>4</v>
      </c>
    </row>
    <row r="2031" spans="1:1" x14ac:dyDescent="0.3">
      <c r="A2031" s="1">
        <v>4</v>
      </c>
    </row>
    <row r="2032" spans="1:1" x14ac:dyDescent="0.3">
      <c r="A2032" s="2">
        <v>4</v>
      </c>
    </row>
    <row r="2033" spans="1:1" x14ac:dyDescent="0.3">
      <c r="A2033" s="1">
        <v>4</v>
      </c>
    </row>
    <row r="2034" spans="1:1" x14ac:dyDescent="0.3">
      <c r="A2034" s="2">
        <v>4</v>
      </c>
    </row>
    <row r="2035" spans="1:1" x14ac:dyDescent="0.3">
      <c r="A2035" s="1">
        <v>4</v>
      </c>
    </row>
    <row r="2036" spans="1:1" x14ac:dyDescent="0.3">
      <c r="A2036" s="2">
        <v>4</v>
      </c>
    </row>
    <row r="2037" spans="1:1" x14ac:dyDescent="0.3">
      <c r="A2037" s="1">
        <v>4</v>
      </c>
    </row>
    <row r="2038" spans="1:1" x14ac:dyDescent="0.3">
      <c r="A2038" s="2">
        <v>4</v>
      </c>
    </row>
    <row r="2039" spans="1:1" x14ac:dyDescent="0.3">
      <c r="A2039" s="1">
        <v>4</v>
      </c>
    </row>
    <row r="2040" spans="1:1" x14ac:dyDescent="0.3">
      <c r="A2040" s="2">
        <v>4</v>
      </c>
    </row>
    <row r="2041" spans="1:1" x14ac:dyDescent="0.3">
      <c r="A2041" s="1">
        <v>4</v>
      </c>
    </row>
    <row r="2042" spans="1:1" x14ac:dyDescent="0.3">
      <c r="A2042" s="2">
        <v>4</v>
      </c>
    </row>
    <row r="2043" spans="1:1" x14ac:dyDescent="0.3">
      <c r="A2043" s="1">
        <v>4</v>
      </c>
    </row>
    <row r="2044" spans="1:1" x14ac:dyDescent="0.3">
      <c r="A2044" s="2">
        <v>4</v>
      </c>
    </row>
    <row r="2045" spans="1:1" x14ac:dyDescent="0.3">
      <c r="A2045" s="1">
        <v>4</v>
      </c>
    </row>
    <row r="2046" spans="1:1" x14ac:dyDescent="0.3">
      <c r="A2046" s="2">
        <v>4</v>
      </c>
    </row>
    <row r="2047" spans="1:1" x14ac:dyDescent="0.3">
      <c r="A2047" s="1">
        <v>4</v>
      </c>
    </row>
    <row r="2048" spans="1:1" x14ac:dyDescent="0.3">
      <c r="A2048" s="2">
        <v>4</v>
      </c>
    </row>
    <row r="2049" spans="1:1" x14ac:dyDescent="0.3">
      <c r="A2049" s="1">
        <v>4</v>
      </c>
    </row>
    <row r="2050" spans="1:1" x14ac:dyDescent="0.3">
      <c r="A2050" s="2">
        <v>4</v>
      </c>
    </row>
    <row r="2051" spans="1:1" x14ac:dyDescent="0.3">
      <c r="A2051" s="1">
        <v>4</v>
      </c>
    </row>
    <row r="2052" spans="1:1" x14ac:dyDescent="0.3">
      <c r="A2052" s="2">
        <v>4</v>
      </c>
    </row>
    <row r="2053" spans="1:1" x14ac:dyDescent="0.3">
      <c r="A2053" s="1">
        <v>4</v>
      </c>
    </row>
    <row r="2054" spans="1:1" x14ac:dyDescent="0.3">
      <c r="A2054" s="2">
        <v>4</v>
      </c>
    </row>
    <row r="2055" spans="1:1" x14ac:dyDescent="0.3">
      <c r="A2055" s="1">
        <v>4</v>
      </c>
    </row>
    <row r="2056" spans="1:1" x14ac:dyDescent="0.3">
      <c r="A2056" s="2">
        <v>4</v>
      </c>
    </row>
    <row r="2057" spans="1:1" x14ac:dyDescent="0.3">
      <c r="A2057" s="1">
        <v>4</v>
      </c>
    </row>
    <row r="2058" spans="1:1" x14ac:dyDescent="0.3">
      <c r="A2058" s="2">
        <v>4</v>
      </c>
    </row>
    <row r="2059" spans="1:1" x14ac:dyDescent="0.3">
      <c r="A2059" s="1">
        <v>4</v>
      </c>
    </row>
    <row r="2060" spans="1:1" x14ac:dyDescent="0.3">
      <c r="A2060" s="2">
        <v>4</v>
      </c>
    </row>
    <row r="2061" spans="1:1" x14ac:dyDescent="0.3">
      <c r="A2061" s="1">
        <v>4</v>
      </c>
    </row>
    <row r="2062" spans="1:1" x14ac:dyDescent="0.3">
      <c r="A2062" s="2">
        <v>5</v>
      </c>
    </row>
    <row r="2063" spans="1:1" x14ac:dyDescent="0.3">
      <c r="A2063" s="1">
        <v>4</v>
      </c>
    </row>
    <row r="2064" spans="1:1" x14ac:dyDescent="0.3">
      <c r="A2064" s="2">
        <v>4</v>
      </c>
    </row>
    <row r="2065" spans="1:1" x14ac:dyDescent="0.3">
      <c r="A2065" s="1">
        <v>4</v>
      </c>
    </row>
    <row r="2066" spans="1:1" x14ac:dyDescent="0.3">
      <c r="A2066" s="2">
        <v>4</v>
      </c>
    </row>
    <row r="2067" spans="1:1" x14ac:dyDescent="0.3">
      <c r="A2067" s="1">
        <v>4</v>
      </c>
    </row>
    <row r="2068" spans="1:1" x14ac:dyDescent="0.3">
      <c r="A2068" s="2">
        <v>4</v>
      </c>
    </row>
    <row r="2069" spans="1:1" x14ac:dyDescent="0.3">
      <c r="A2069" s="1">
        <v>4</v>
      </c>
    </row>
    <row r="2070" spans="1:1" x14ac:dyDescent="0.3">
      <c r="A2070" s="2">
        <v>4</v>
      </c>
    </row>
    <row r="2071" spans="1:1" x14ac:dyDescent="0.3">
      <c r="A2071" s="1">
        <v>6</v>
      </c>
    </row>
    <row r="2072" spans="1:1" x14ac:dyDescent="0.3">
      <c r="A2072" s="2">
        <v>4</v>
      </c>
    </row>
    <row r="2073" spans="1:1" x14ac:dyDescent="0.3">
      <c r="A2073" s="1">
        <v>4</v>
      </c>
    </row>
    <row r="2074" spans="1:1" x14ac:dyDescent="0.3">
      <c r="A2074" s="2">
        <v>6</v>
      </c>
    </row>
    <row r="2075" spans="1:1" x14ac:dyDescent="0.3">
      <c r="A2075" s="1">
        <v>5</v>
      </c>
    </row>
    <row r="2076" spans="1:1" x14ac:dyDescent="0.3">
      <c r="A2076" s="2">
        <v>4</v>
      </c>
    </row>
    <row r="2077" spans="1:1" x14ac:dyDescent="0.3">
      <c r="A2077" s="1">
        <v>4</v>
      </c>
    </row>
    <row r="2078" spans="1:1" x14ac:dyDescent="0.3">
      <c r="A2078" s="2">
        <v>4</v>
      </c>
    </row>
    <row r="2079" spans="1:1" x14ac:dyDescent="0.3">
      <c r="A2079" s="1">
        <v>5</v>
      </c>
    </row>
    <row r="2080" spans="1:1" x14ac:dyDescent="0.3">
      <c r="A2080" s="2">
        <v>4</v>
      </c>
    </row>
    <row r="2081" spans="1:1" x14ac:dyDescent="0.3">
      <c r="A2081" s="1">
        <v>4</v>
      </c>
    </row>
    <row r="2082" spans="1:1" x14ac:dyDescent="0.3">
      <c r="A2082" s="2">
        <v>4</v>
      </c>
    </row>
    <row r="2083" spans="1:1" x14ac:dyDescent="0.3">
      <c r="A2083" s="1">
        <v>4</v>
      </c>
    </row>
    <row r="2084" spans="1:1" x14ac:dyDescent="0.3">
      <c r="A2084" s="2">
        <v>4</v>
      </c>
    </row>
    <row r="2085" spans="1:1" x14ac:dyDescent="0.3">
      <c r="A2085" s="1">
        <v>4</v>
      </c>
    </row>
    <row r="2086" spans="1:1" x14ac:dyDescent="0.3">
      <c r="A2086" s="2">
        <v>4</v>
      </c>
    </row>
    <row r="2087" spans="1:1" x14ac:dyDescent="0.3">
      <c r="A2087" s="1">
        <v>5</v>
      </c>
    </row>
    <row r="2088" spans="1:1" x14ac:dyDescent="0.3">
      <c r="A2088" s="2">
        <v>4</v>
      </c>
    </row>
    <row r="2089" spans="1:1" x14ac:dyDescent="0.3">
      <c r="A2089" s="1">
        <v>4</v>
      </c>
    </row>
    <row r="2090" spans="1:1" x14ac:dyDescent="0.3">
      <c r="A2090" s="2">
        <v>4</v>
      </c>
    </row>
    <row r="2091" spans="1:1" x14ac:dyDescent="0.3">
      <c r="A2091" s="1">
        <v>4</v>
      </c>
    </row>
    <row r="2092" spans="1:1" x14ac:dyDescent="0.3">
      <c r="A2092" s="2">
        <v>4</v>
      </c>
    </row>
    <row r="2093" spans="1:1" x14ac:dyDescent="0.3">
      <c r="A2093" s="1">
        <v>4</v>
      </c>
    </row>
    <row r="2094" spans="1:1" x14ac:dyDescent="0.3">
      <c r="A2094" s="2">
        <v>4</v>
      </c>
    </row>
    <row r="2095" spans="1:1" x14ac:dyDescent="0.3">
      <c r="A2095" s="1">
        <v>4</v>
      </c>
    </row>
    <row r="2096" spans="1:1" x14ac:dyDescent="0.3">
      <c r="A2096" s="2">
        <v>4</v>
      </c>
    </row>
    <row r="2097" spans="1:1" x14ac:dyDescent="0.3">
      <c r="A2097" s="1">
        <v>4</v>
      </c>
    </row>
    <row r="2098" spans="1:1" x14ac:dyDescent="0.3">
      <c r="A2098" s="2">
        <v>4</v>
      </c>
    </row>
    <row r="2099" spans="1:1" x14ac:dyDescent="0.3">
      <c r="A2099" s="1">
        <v>4</v>
      </c>
    </row>
    <row r="2100" spans="1:1" x14ac:dyDescent="0.3">
      <c r="A2100" s="2">
        <v>4</v>
      </c>
    </row>
    <row r="2101" spans="1:1" x14ac:dyDescent="0.3">
      <c r="A2101" s="1">
        <v>4</v>
      </c>
    </row>
    <row r="2102" spans="1:1" x14ac:dyDescent="0.3">
      <c r="A2102" s="2">
        <v>4</v>
      </c>
    </row>
    <row r="2103" spans="1:1" x14ac:dyDescent="0.3">
      <c r="A2103" s="1">
        <v>4</v>
      </c>
    </row>
    <row r="2104" spans="1:1" x14ac:dyDescent="0.3">
      <c r="A2104" s="2">
        <v>4</v>
      </c>
    </row>
    <row r="2105" spans="1:1" x14ac:dyDescent="0.3">
      <c r="A2105" s="1">
        <v>4</v>
      </c>
    </row>
    <row r="2106" spans="1:1" x14ac:dyDescent="0.3">
      <c r="A2106" s="2">
        <v>4</v>
      </c>
    </row>
    <row r="2107" spans="1:1" x14ac:dyDescent="0.3">
      <c r="A2107" s="1">
        <v>4</v>
      </c>
    </row>
    <row r="2108" spans="1:1" x14ac:dyDescent="0.3">
      <c r="A2108" s="2">
        <v>4</v>
      </c>
    </row>
    <row r="2109" spans="1:1" x14ac:dyDescent="0.3">
      <c r="A2109" s="1">
        <v>4</v>
      </c>
    </row>
    <row r="2110" spans="1:1" x14ac:dyDescent="0.3">
      <c r="A2110" s="2">
        <v>6</v>
      </c>
    </row>
    <row r="2111" spans="1:1" x14ac:dyDescent="0.3">
      <c r="A2111" s="1">
        <v>4</v>
      </c>
    </row>
    <row r="2112" spans="1:1" x14ac:dyDescent="0.3">
      <c r="A2112" s="2">
        <v>4</v>
      </c>
    </row>
    <row r="2113" spans="1:1" x14ac:dyDescent="0.3">
      <c r="A2113" s="1">
        <v>6</v>
      </c>
    </row>
    <row r="2114" spans="1:1" x14ac:dyDescent="0.3">
      <c r="A2114" s="2">
        <v>6</v>
      </c>
    </row>
    <row r="2115" spans="1:1" x14ac:dyDescent="0.3">
      <c r="A2115" s="1">
        <v>6</v>
      </c>
    </row>
    <row r="2116" spans="1:1" x14ac:dyDescent="0.3">
      <c r="A2116" s="2">
        <v>4</v>
      </c>
    </row>
    <row r="2117" spans="1:1" x14ac:dyDescent="0.3">
      <c r="A2117" s="1">
        <v>4</v>
      </c>
    </row>
    <row r="2118" spans="1:1" x14ac:dyDescent="0.3">
      <c r="A2118" s="2">
        <v>4</v>
      </c>
    </row>
    <row r="2119" spans="1:1" x14ac:dyDescent="0.3">
      <c r="A2119" s="1">
        <v>4</v>
      </c>
    </row>
    <row r="2120" spans="1:1" x14ac:dyDescent="0.3">
      <c r="A2120" s="2">
        <v>4</v>
      </c>
    </row>
    <row r="2121" spans="1:1" x14ac:dyDescent="0.3">
      <c r="A2121" s="1">
        <v>4</v>
      </c>
    </row>
    <row r="2122" spans="1:1" x14ac:dyDescent="0.3">
      <c r="A2122" s="2">
        <v>4</v>
      </c>
    </row>
    <row r="2123" spans="1:1" x14ac:dyDescent="0.3">
      <c r="A2123" s="1">
        <v>4</v>
      </c>
    </row>
    <row r="2124" spans="1:1" x14ac:dyDescent="0.3">
      <c r="A2124" s="2">
        <v>4</v>
      </c>
    </row>
    <row r="2125" spans="1:1" x14ac:dyDescent="0.3">
      <c r="A2125" s="1">
        <v>4</v>
      </c>
    </row>
    <row r="2126" spans="1:1" x14ac:dyDescent="0.3">
      <c r="A2126" s="2">
        <v>4</v>
      </c>
    </row>
    <row r="2127" spans="1:1" x14ac:dyDescent="0.3">
      <c r="A2127" s="1">
        <v>4</v>
      </c>
    </row>
    <row r="2128" spans="1:1" x14ac:dyDescent="0.3">
      <c r="A2128" s="2">
        <v>4</v>
      </c>
    </row>
    <row r="2129" spans="1:1" x14ac:dyDescent="0.3">
      <c r="A2129" s="1">
        <v>4</v>
      </c>
    </row>
    <row r="2130" spans="1:1" x14ac:dyDescent="0.3">
      <c r="A2130" s="2">
        <v>4</v>
      </c>
    </row>
    <row r="2131" spans="1:1" x14ac:dyDescent="0.3">
      <c r="A2131" s="1">
        <v>4</v>
      </c>
    </row>
    <row r="2132" spans="1:1" x14ac:dyDescent="0.3">
      <c r="A2132" s="2">
        <v>4</v>
      </c>
    </row>
    <row r="2133" spans="1:1" x14ac:dyDescent="0.3">
      <c r="A2133" s="1">
        <v>4</v>
      </c>
    </row>
    <row r="2134" spans="1:1" x14ac:dyDescent="0.3">
      <c r="A2134" s="2">
        <v>6</v>
      </c>
    </row>
    <row r="2135" spans="1:1" x14ac:dyDescent="0.3">
      <c r="A2135" s="1">
        <v>6</v>
      </c>
    </row>
    <row r="2136" spans="1:1" x14ac:dyDescent="0.3">
      <c r="A2136" s="2">
        <v>4</v>
      </c>
    </row>
    <row r="2137" spans="1:1" x14ac:dyDescent="0.3">
      <c r="A2137" s="1">
        <v>4</v>
      </c>
    </row>
    <row r="2138" spans="1:1" x14ac:dyDescent="0.3">
      <c r="A2138" s="2">
        <v>4</v>
      </c>
    </row>
    <row r="2139" spans="1:1" x14ac:dyDescent="0.3">
      <c r="A2139" s="1">
        <v>4</v>
      </c>
    </row>
    <row r="2140" spans="1:1" x14ac:dyDescent="0.3">
      <c r="A2140" s="2">
        <v>4</v>
      </c>
    </row>
    <row r="2141" spans="1:1" x14ac:dyDescent="0.3">
      <c r="A2141" s="1">
        <v>4</v>
      </c>
    </row>
    <row r="2142" spans="1:1" x14ac:dyDescent="0.3">
      <c r="A2142" s="2">
        <v>4</v>
      </c>
    </row>
    <row r="2143" spans="1:1" x14ac:dyDescent="0.3">
      <c r="A2143" s="1">
        <v>4</v>
      </c>
    </row>
    <row r="2144" spans="1:1" x14ac:dyDescent="0.3">
      <c r="A2144" s="2">
        <v>6</v>
      </c>
    </row>
    <row r="2145" spans="1:1" x14ac:dyDescent="0.3">
      <c r="A2145" s="1">
        <v>6</v>
      </c>
    </row>
    <row r="2146" spans="1:1" x14ac:dyDescent="0.3">
      <c r="A2146" s="2">
        <v>4</v>
      </c>
    </row>
    <row r="2147" spans="1:1" x14ac:dyDescent="0.3">
      <c r="A2147" s="1">
        <v>6</v>
      </c>
    </row>
    <row r="2148" spans="1:1" x14ac:dyDescent="0.3">
      <c r="A2148" s="2">
        <v>6</v>
      </c>
    </row>
    <row r="2149" spans="1:1" x14ac:dyDescent="0.3">
      <c r="A2149" s="1">
        <v>4</v>
      </c>
    </row>
    <row r="2150" spans="1:1" x14ac:dyDescent="0.3">
      <c r="A2150" s="2">
        <v>4</v>
      </c>
    </row>
    <row r="2151" spans="1:1" x14ac:dyDescent="0.3">
      <c r="A2151" s="1">
        <v>4</v>
      </c>
    </row>
    <row r="2152" spans="1:1" x14ac:dyDescent="0.3">
      <c r="A2152" s="2">
        <v>4</v>
      </c>
    </row>
    <row r="2153" spans="1:1" x14ac:dyDescent="0.3">
      <c r="A2153" s="1">
        <v>4</v>
      </c>
    </row>
    <row r="2154" spans="1:1" x14ac:dyDescent="0.3">
      <c r="A2154" s="2">
        <v>4</v>
      </c>
    </row>
    <row r="2155" spans="1:1" x14ac:dyDescent="0.3">
      <c r="A2155" s="1">
        <v>4</v>
      </c>
    </row>
    <row r="2156" spans="1:1" x14ac:dyDescent="0.3">
      <c r="A2156" s="2">
        <v>4</v>
      </c>
    </row>
    <row r="2157" spans="1:1" x14ac:dyDescent="0.3">
      <c r="A2157" s="1">
        <v>4</v>
      </c>
    </row>
    <row r="2158" spans="1:1" x14ac:dyDescent="0.3">
      <c r="A2158" s="2">
        <v>4</v>
      </c>
    </row>
    <row r="2159" spans="1:1" x14ac:dyDescent="0.3">
      <c r="A2159" s="1">
        <v>6</v>
      </c>
    </row>
    <row r="2160" spans="1:1" x14ac:dyDescent="0.3">
      <c r="A2160" s="2">
        <v>4</v>
      </c>
    </row>
    <row r="2161" spans="1:1" x14ac:dyDescent="0.3">
      <c r="A2161" s="1">
        <v>6</v>
      </c>
    </row>
    <row r="2162" spans="1:1" x14ac:dyDescent="0.3">
      <c r="A2162" s="2">
        <v>4</v>
      </c>
    </row>
    <row r="2163" spans="1:1" x14ac:dyDescent="0.3">
      <c r="A2163" s="1">
        <v>4</v>
      </c>
    </row>
    <row r="2164" spans="1:1" x14ac:dyDescent="0.3">
      <c r="A2164" s="2">
        <v>4</v>
      </c>
    </row>
    <row r="2165" spans="1:1" x14ac:dyDescent="0.3">
      <c r="A2165" s="1">
        <v>4</v>
      </c>
    </row>
    <row r="2166" spans="1:1" x14ac:dyDescent="0.3">
      <c r="A2166" s="2">
        <v>4</v>
      </c>
    </row>
    <row r="2167" spans="1:1" x14ac:dyDescent="0.3">
      <c r="A2167" s="1">
        <v>6</v>
      </c>
    </row>
    <row r="2168" spans="1:1" x14ac:dyDescent="0.3">
      <c r="A2168" s="2">
        <v>6</v>
      </c>
    </row>
    <row r="2169" spans="1:1" x14ac:dyDescent="0.3">
      <c r="A2169" s="1">
        <v>6</v>
      </c>
    </row>
    <row r="2170" spans="1:1" x14ac:dyDescent="0.3">
      <c r="A2170" s="2">
        <v>6</v>
      </c>
    </row>
    <row r="2171" spans="1:1" x14ac:dyDescent="0.3">
      <c r="A2171" s="1">
        <v>6</v>
      </c>
    </row>
    <row r="2172" spans="1:1" x14ac:dyDescent="0.3">
      <c r="A2172" s="2">
        <v>4</v>
      </c>
    </row>
    <row r="2173" spans="1:1" x14ac:dyDescent="0.3">
      <c r="A2173" s="1">
        <v>4</v>
      </c>
    </row>
    <row r="2174" spans="1:1" x14ac:dyDescent="0.3">
      <c r="A2174" s="2">
        <v>4</v>
      </c>
    </row>
    <row r="2175" spans="1:1" x14ac:dyDescent="0.3">
      <c r="A2175" s="1">
        <v>4</v>
      </c>
    </row>
    <row r="2176" spans="1:1" x14ac:dyDescent="0.3">
      <c r="A2176" s="2">
        <v>4</v>
      </c>
    </row>
    <row r="2177" spans="1:1" x14ac:dyDescent="0.3">
      <c r="A2177" s="1">
        <v>6</v>
      </c>
    </row>
    <row r="2178" spans="1:1" x14ac:dyDescent="0.3">
      <c r="A2178" s="2">
        <v>4</v>
      </c>
    </row>
    <row r="2179" spans="1:1" x14ac:dyDescent="0.3">
      <c r="A2179" s="1">
        <v>4</v>
      </c>
    </row>
    <row r="2180" spans="1:1" x14ac:dyDescent="0.3">
      <c r="A2180" s="2">
        <v>4</v>
      </c>
    </row>
    <row r="2181" spans="1:1" x14ac:dyDescent="0.3">
      <c r="A2181" s="1">
        <v>6</v>
      </c>
    </row>
    <row r="2182" spans="1:1" x14ac:dyDescent="0.3">
      <c r="A2182" s="2">
        <v>4</v>
      </c>
    </row>
    <row r="2183" spans="1:1" x14ac:dyDescent="0.3">
      <c r="A2183" s="1">
        <v>4</v>
      </c>
    </row>
    <row r="2184" spans="1:1" x14ac:dyDescent="0.3">
      <c r="A2184" s="2">
        <v>6</v>
      </c>
    </row>
    <row r="2185" spans="1:1" x14ac:dyDescent="0.3">
      <c r="A2185" s="1">
        <v>4</v>
      </c>
    </row>
    <row r="2186" spans="1:1" x14ac:dyDescent="0.3">
      <c r="A2186" s="2">
        <v>4</v>
      </c>
    </row>
    <row r="2187" spans="1:1" x14ac:dyDescent="0.3">
      <c r="A2187" s="1">
        <v>4</v>
      </c>
    </row>
    <row r="2188" spans="1:1" x14ac:dyDescent="0.3">
      <c r="A2188" s="2">
        <v>4</v>
      </c>
    </row>
    <row r="2189" spans="1:1" x14ac:dyDescent="0.3">
      <c r="A2189" s="1">
        <v>4</v>
      </c>
    </row>
    <row r="2190" spans="1:1" x14ac:dyDescent="0.3">
      <c r="A2190" s="2">
        <v>4</v>
      </c>
    </row>
    <row r="2191" spans="1:1" x14ac:dyDescent="0.3">
      <c r="A2191" s="1">
        <v>4</v>
      </c>
    </row>
    <row r="2192" spans="1:1" x14ac:dyDescent="0.3">
      <c r="A2192" s="2">
        <v>4</v>
      </c>
    </row>
    <row r="2193" spans="1:1" x14ac:dyDescent="0.3">
      <c r="A2193" s="1">
        <v>6</v>
      </c>
    </row>
    <row r="2194" spans="1:1" x14ac:dyDescent="0.3">
      <c r="A2194" s="2">
        <v>6</v>
      </c>
    </row>
    <row r="2195" spans="1:1" x14ac:dyDescent="0.3">
      <c r="A2195" s="1">
        <v>4</v>
      </c>
    </row>
    <row r="2196" spans="1:1" x14ac:dyDescent="0.3">
      <c r="A2196" s="2">
        <v>4</v>
      </c>
    </row>
    <row r="2197" spans="1:1" x14ac:dyDescent="0.3">
      <c r="A2197" s="1">
        <v>4</v>
      </c>
    </row>
    <row r="2198" spans="1:1" x14ac:dyDescent="0.3">
      <c r="A2198" s="2">
        <v>4</v>
      </c>
    </row>
    <row r="2199" spans="1:1" x14ac:dyDescent="0.3">
      <c r="A2199" s="1">
        <v>4</v>
      </c>
    </row>
    <row r="2200" spans="1:1" x14ac:dyDescent="0.3">
      <c r="A2200" s="2">
        <v>4</v>
      </c>
    </row>
    <row r="2201" spans="1:1" x14ac:dyDescent="0.3">
      <c r="A2201" s="1">
        <v>4</v>
      </c>
    </row>
    <row r="2202" spans="1:1" x14ac:dyDescent="0.3">
      <c r="A2202" s="2">
        <v>4</v>
      </c>
    </row>
    <row r="2203" spans="1:1" x14ac:dyDescent="0.3">
      <c r="A2203" s="1">
        <v>4</v>
      </c>
    </row>
    <row r="2204" spans="1:1" x14ac:dyDescent="0.3">
      <c r="A2204" s="2">
        <v>4</v>
      </c>
    </row>
    <row r="2205" spans="1:1" x14ac:dyDescent="0.3">
      <c r="A2205" s="1">
        <v>4</v>
      </c>
    </row>
    <row r="2206" spans="1:1" x14ac:dyDescent="0.3">
      <c r="A2206" s="2">
        <v>4</v>
      </c>
    </row>
    <row r="2207" spans="1:1" x14ac:dyDescent="0.3">
      <c r="A2207" s="1">
        <v>4</v>
      </c>
    </row>
    <row r="2208" spans="1:1" x14ac:dyDescent="0.3">
      <c r="A2208" s="2">
        <v>4</v>
      </c>
    </row>
    <row r="2209" spans="1:1" x14ac:dyDescent="0.3">
      <c r="A2209" s="1">
        <v>4</v>
      </c>
    </row>
    <row r="2210" spans="1:1" x14ac:dyDescent="0.3">
      <c r="A2210" s="2">
        <v>4</v>
      </c>
    </row>
    <row r="2211" spans="1:1" x14ac:dyDescent="0.3">
      <c r="A2211" s="1">
        <v>4</v>
      </c>
    </row>
    <row r="2212" spans="1:1" x14ac:dyDescent="0.3">
      <c r="A2212" s="2">
        <v>4</v>
      </c>
    </row>
    <row r="2213" spans="1:1" x14ac:dyDescent="0.3">
      <c r="A2213" s="1">
        <v>4</v>
      </c>
    </row>
    <row r="2214" spans="1:1" x14ac:dyDescent="0.3">
      <c r="A2214" s="2">
        <v>4</v>
      </c>
    </row>
    <row r="2215" spans="1:1" x14ac:dyDescent="0.3">
      <c r="A2215" s="1">
        <v>4</v>
      </c>
    </row>
    <row r="2216" spans="1:1" x14ac:dyDescent="0.3">
      <c r="A2216" s="2">
        <v>4</v>
      </c>
    </row>
    <row r="2217" spans="1:1" x14ac:dyDescent="0.3">
      <c r="A2217" s="1">
        <v>4</v>
      </c>
    </row>
    <row r="2218" spans="1:1" x14ac:dyDescent="0.3">
      <c r="A2218" s="2">
        <v>4</v>
      </c>
    </row>
    <row r="2219" spans="1:1" x14ac:dyDescent="0.3">
      <c r="A2219" s="1">
        <v>4</v>
      </c>
    </row>
    <row r="2220" spans="1:1" x14ac:dyDescent="0.3">
      <c r="A2220" s="2">
        <v>4</v>
      </c>
    </row>
    <row r="2221" spans="1:1" x14ac:dyDescent="0.3">
      <c r="A2221" s="1">
        <v>4</v>
      </c>
    </row>
    <row r="2222" spans="1:1" x14ac:dyDescent="0.3">
      <c r="A2222" s="2">
        <v>3</v>
      </c>
    </row>
    <row r="2223" spans="1:1" x14ac:dyDescent="0.3">
      <c r="A2223" s="1">
        <v>4</v>
      </c>
    </row>
    <row r="2224" spans="1:1" x14ac:dyDescent="0.3">
      <c r="A2224" s="2">
        <v>4</v>
      </c>
    </row>
    <row r="2225" spans="1:1" x14ac:dyDescent="0.3">
      <c r="A2225" s="1">
        <v>4</v>
      </c>
    </row>
    <row r="2226" spans="1:1" x14ac:dyDescent="0.3">
      <c r="A2226" s="2">
        <v>4</v>
      </c>
    </row>
    <row r="2227" spans="1:1" x14ac:dyDescent="0.3">
      <c r="A2227" s="1">
        <v>4</v>
      </c>
    </row>
    <row r="2228" spans="1:1" x14ac:dyDescent="0.3">
      <c r="A2228" s="2">
        <v>2</v>
      </c>
    </row>
    <row r="2229" spans="1:1" x14ac:dyDescent="0.3">
      <c r="A2229" s="1">
        <v>4</v>
      </c>
    </row>
    <row r="2230" spans="1:1" x14ac:dyDescent="0.3">
      <c r="A2230" s="2">
        <v>4</v>
      </c>
    </row>
    <row r="2231" spans="1:1" x14ac:dyDescent="0.3">
      <c r="A2231" s="1">
        <v>4</v>
      </c>
    </row>
    <row r="2232" spans="1:1" x14ac:dyDescent="0.3">
      <c r="A2232" s="2">
        <v>4</v>
      </c>
    </row>
    <row r="2233" spans="1:1" x14ac:dyDescent="0.3">
      <c r="A2233" s="1">
        <v>4</v>
      </c>
    </row>
    <row r="2234" spans="1:1" x14ac:dyDescent="0.3">
      <c r="A2234" s="2">
        <v>4</v>
      </c>
    </row>
    <row r="2235" spans="1:1" x14ac:dyDescent="0.3">
      <c r="A2235" s="1">
        <v>4</v>
      </c>
    </row>
    <row r="2236" spans="1:1" x14ac:dyDescent="0.3">
      <c r="A2236" s="2">
        <v>4</v>
      </c>
    </row>
    <row r="2237" spans="1:1" x14ac:dyDescent="0.3">
      <c r="A2237" s="1">
        <v>4</v>
      </c>
    </row>
    <row r="2238" spans="1:1" x14ac:dyDescent="0.3">
      <c r="A2238" s="2">
        <v>4</v>
      </c>
    </row>
    <row r="2239" spans="1:1" x14ac:dyDescent="0.3">
      <c r="A2239" s="1">
        <v>4</v>
      </c>
    </row>
    <row r="2240" spans="1:1" x14ac:dyDescent="0.3">
      <c r="A2240" s="2">
        <v>4</v>
      </c>
    </row>
    <row r="2241" spans="1:1" x14ac:dyDescent="0.3">
      <c r="A2241" s="1">
        <v>4</v>
      </c>
    </row>
    <row r="2242" spans="1:1" x14ac:dyDescent="0.3">
      <c r="A2242" s="2">
        <v>4</v>
      </c>
    </row>
    <row r="2243" spans="1:1" x14ac:dyDescent="0.3">
      <c r="A2243" s="1">
        <v>4</v>
      </c>
    </row>
    <row r="2244" spans="1:1" x14ac:dyDescent="0.3">
      <c r="A2244" s="2">
        <v>4</v>
      </c>
    </row>
    <row r="2245" spans="1:1" x14ac:dyDescent="0.3">
      <c r="A2245" s="1">
        <v>4</v>
      </c>
    </row>
    <row r="2246" spans="1:1" x14ac:dyDescent="0.3">
      <c r="A2246" s="2">
        <v>4</v>
      </c>
    </row>
    <row r="2247" spans="1:1" x14ac:dyDescent="0.3">
      <c r="A2247" s="1">
        <v>4</v>
      </c>
    </row>
    <row r="2248" spans="1:1" x14ac:dyDescent="0.3">
      <c r="A2248" s="2">
        <v>4</v>
      </c>
    </row>
    <row r="2249" spans="1:1" x14ac:dyDescent="0.3">
      <c r="A2249" s="1">
        <v>4</v>
      </c>
    </row>
    <row r="2250" spans="1:1" x14ac:dyDescent="0.3">
      <c r="A2250" s="2">
        <v>4</v>
      </c>
    </row>
    <row r="2251" spans="1:1" x14ac:dyDescent="0.3">
      <c r="A2251" s="1">
        <v>4</v>
      </c>
    </row>
    <row r="2252" spans="1:1" x14ac:dyDescent="0.3">
      <c r="A2252" s="2">
        <v>4</v>
      </c>
    </row>
    <row r="2253" spans="1:1" x14ac:dyDescent="0.3">
      <c r="A2253" s="1">
        <v>4</v>
      </c>
    </row>
    <row r="2254" spans="1:1" x14ac:dyDescent="0.3">
      <c r="A2254" s="2">
        <v>4</v>
      </c>
    </row>
    <row r="2255" spans="1:1" x14ac:dyDescent="0.3">
      <c r="A2255" s="1">
        <v>4</v>
      </c>
    </row>
    <row r="2256" spans="1:1" x14ac:dyDescent="0.3">
      <c r="A2256" s="2">
        <v>4</v>
      </c>
    </row>
    <row r="2257" spans="1:1" x14ac:dyDescent="0.3">
      <c r="A2257" s="1">
        <v>2</v>
      </c>
    </row>
    <row r="2258" spans="1:1" x14ac:dyDescent="0.3">
      <c r="A2258" s="2">
        <v>4</v>
      </c>
    </row>
    <row r="2259" spans="1:1" x14ac:dyDescent="0.3">
      <c r="A2259" s="1">
        <v>4</v>
      </c>
    </row>
    <row r="2260" spans="1:1" x14ac:dyDescent="0.3">
      <c r="A2260" s="2">
        <v>4</v>
      </c>
    </row>
    <row r="2261" spans="1:1" x14ac:dyDescent="0.3">
      <c r="A2261" s="1">
        <v>4</v>
      </c>
    </row>
    <row r="2262" spans="1:1" x14ac:dyDescent="0.3">
      <c r="A2262" s="2">
        <v>4</v>
      </c>
    </row>
    <row r="2263" spans="1:1" x14ac:dyDescent="0.3">
      <c r="A2263" s="1">
        <v>4</v>
      </c>
    </row>
    <row r="2264" spans="1:1" x14ac:dyDescent="0.3">
      <c r="A2264" s="2">
        <v>4</v>
      </c>
    </row>
    <row r="2265" spans="1:1" x14ac:dyDescent="0.3">
      <c r="A2265" s="1">
        <v>4</v>
      </c>
    </row>
    <row r="2266" spans="1:1" x14ac:dyDescent="0.3">
      <c r="A2266" s="2">
        <v>4</v>
      </c>
    </row>
    <row r="2267" spans="1:1" x14ac:dyDescent="0.3">
      <c r="A2267" s="1">
        <v>4</v>
      </c>
    </row>
    <row r="2268" spans="1:1" x14ac:dyDescent="0.3">
      <c r="A2268" s="2">
        <v>4</v>
      </c>
    </row>
    <row r="2269" spans="1:1" x14ac:dyDescent="0.3">
      <c r="A2269" s="1">
        <v>4</v>
      </c>
    </row>
    <row r="2270" spans="1:1" x14ac:dyDescent="0.3">
      <c r="A2270" s="2">
        <v>4</v>
      </c>
    </row>
    <row r="2271" spans="1:1" x14ac:dyDescent="0.3">
      <c r="A2271" s="1">
        <v>4</v>
      </c>
    </row>
    <row r="2272" spans="1:1" x14ac:dyDescent="0.3">
      <c r="A2272" s="2">
        <v>4</v>
      </c>
    </row>
    <row r="2273" spans="1:1" x14ac:dyDescent="0.3">
      <c r="A2273" s="1">
        <v>4</v>
      </c>
    </row>
    <row r="2274" spans="1:1" x14ac:dyDescent="0.3">
      <c r="A2274" s="2">
        <v>4</v>
      </c>
    </row>
    <row r="2275" spans="1:1" x14ac:dyDescent="0.3">
      <c r="A2275" s="1">
        <v>4</v>
      </c>
    </row>
    <row r="2276" spans="1:1" x14ac:dyDescent="0.3">
      <c r="A2276" s="2">
        <v>4</v>
      </c>
    </row>
    <row r="2277" spans="1:1" x14ac:dyDescent="0.3">
      <c r="A2277" s="1">
        <v>4</v>
      </c>
    </row>
    <row r="2278" spans="1:1" x14ac:dyDescent="0.3">
      <c r="A2278" s="2">
        <v>4</v>
      </c>
    </row>
    <row r="2279" spans="1:1" x14ac:dyDescent="0.3">
      <c r="A2279" s="1">
        <v>4</v>
      </c>
    </row>
    <row r="2280" spans="1:1" x14ac:dyDescent="0.3">
      <c r="A2280" s="2">
        <v>4</v>
      </c>
    </row>
    <row r="2281" spans="1:1" x14ac:dyDescent="0.3">
      <c r="A2281" s="1">
        <v>6</v>
      </c>
    </row>
    <row r="2282" spans="1:1" x14ac:dyDescent="0.3">
      <c r="A2282" s="2">
        <v>4</v>
      </c>
    </row>
    <row r="2283" spans="1:1" x14ac:dyDescent="0.3">
      <c r="A2283" s="1">
        <v>4</v>
      </c>
    </row>
    <row r="2284" spans="1:1" x14ac:dyDescent="0.3">
      <c r="A2284" s="2">
        <v>4</v>
      </c>
    </row>
    <row r="2285" spans="1:1" x14ac:dyDescent="0.3">
      <c r="A2285" s="1">
        <v>5</v>
      </c>
    </row>
    <row r="2286" spans="1:1" x14ac:dyDescent="0.3">
      <c r="A2286" s="2">
        <v>6</v>
      </c>
    </row>
    <row r="2287" spans="1:1" x14ac:dyDescent="0.3">
      <c r="A2287" s="1">
        <v>4</v>
      </c>
    </row>
    <row r="2288" spans="1:1" x14ac:dyDescent="0.3">
      <c r="A2288" s="2">
        <v>4</v>
      </c>
    </row>
    <row r="2289" spans="1:1" x14ac:dyDescent="0.3">
      <c r="A2289" s="1">
        <v>4</v>
      </c>
    </row>
    <row r="2290" spans="1:1" x14ac:dyDescent="0.3">
      <c r="A2290" s="2">
        <v>6</v>
      </c>
    </row>
    <row r="2291" spans="1:1" x14ac:dyDescent="0.3">
      <c r="A2291" s="1">
        <v>6</v>
      </c>
    </row>
    <row r="2292" spans="1:1" x14ac:dyDescent="0.3">
      <c r="A2292" s="2">
        <v>6</v>
      </c>
    </row>
    <row r="2293" spans="1:1" x14ac:dyDescent="0.3">
      <c r="A2293" s="1">
        <v>6</v>
      </c>
    </row>
    <row r="2294" spans="1:1" x14ac:dyDescent="0.3">
      <c r="A2294" s="2">
        <v>6</v>
      </c>
    </row>
    <row r="2295" spans="1:1" x14ac:dyDescent="0.3">
      <c r="A2295" s="1">
        <v>6</v>
      </c>
    </row>
    <row r="2296" spans="1:1" x14ac:dyDescent="0.3">
      <c r="A2296" s="2">
        <v>6</v>
      </c>
    </row>
    <row r="2297" spans="1:1" x14ac:dyDescent="0.3">
      <c r="A2297" s="1">
        <v>4</v>
      </c>
    </row>
    <row r="2298" spans="1:1" x14ac:dyDescent="0.3">
      <c r="A2298" s="2">
        <v>4</v>
      </c>
    </row>
    <row r="2299" spans="1:1" x14ac:dyDescent="0.3">
      <c r="A2299" s="1">
        <v>4</v>
      </c>
    </row>
    <row r="2300" spans="1:1" x14ac:dyDescent="0.3">
      <c r="A2300" s="2">
        <v>4</v>
      </c>
    </row>
    <row r="2301" spans="1:1" x14ac:dyDescent="0.3">
      <c r="A2301" s="1">
        <v>4</v>
      </c>
    </row>
    <row r="2302" spans="1:1" x14ac:dyDescent="0.3">
      <c r="A2302" s="2">
        <v>4</v>
      </c>
    </row>
    <row r="2303" spans="1:1" x14ac:dyDescent="0.3">
      <c r="A2303" s="1">
        <v>4</v>
      </c>
    </row>
    <row r="2304" spans="1:1" x14ac:dyDescent="0.3">
      <c r="A2304" s="2">
        <v>4</v>
      </c>
    </row>
    <row r="2305" spans="1:1" x14ac:dyDescent="0.3">
      <c r="A2305" s="1">
        <v>4</v>
      </c>
    </row>
    <row r="2306" spans="1:1" x14ac:dyDescent="0.3">
      <c r="A2306" s="2">
        <v>4</v>
      </c>
    </row>
    <row r="2307" spans="1:1" x14ac:dyDescent="0.3">
      <c r="A2307" s="1">
        <v>4</v>
      </c>
    </row>
    <row r="2308" spans="1:1" x14ac:dyDescent="0.3">
      <c r="A2308" s="2">
        <v>4</v>
      </c>
    </row>
    <row r="2309" spans="1:1" x14ac:dyDescent="0.3">
      <c r="A2309" s="1">
        <v>6</v>
      </c>
    </row>
    <row r="2310" spans="1:1" x14ac:dyDescent="0.3">
      <c r="A2310" s="2">
        <v>6</v>
      </c>
    </row>
    <row r="2311" spans="1:1" x14ac:dyDescent="0.3">
      <c r="A2311" s="1">
        <v>6</v>
      </c>
    </row>
    <row r="2312" spans="1:1" x14ac:dyDescent="0.3">
      <c r="A2312" s="2">
        <v>6</v>
      </c>
    </row>
    <row r="2313" spans="1:1" x14ac:dyDescent="0.3">
      <c r="A2313" s="1">
        <v>6</v>
      </c>
    </row>
    <row r="2314" spans="1:1" x14ac:dyDescent="0.3">
      <c r="A2314" s="2">
        <v>6</v>
      </c>
    </row>
    <row r="2315" spans="1:1" x14ac:dyDescent="0.3">
      <c r="A2315" s="1">
        <v>4</v>
      </c>
    </row>
    <row r="2316" spans="1:1" x14ac:dyDescent="0.3">
      <c r="A2316" s="2">
        <v>6</v>
      </c>
    </row>
    <row r="2317" spans="1:1" x14ac:dyDescent="0.3">
      <c r="A2317" s="1">
        <v>6</v>
      </c>
    </row>
    <row r="2318" spans="1:1" x14ac:dyDescent="0.3">
      <c r="A2318" s="2">
        <v>6</v>
      </c>
    </row>
    <row r="2319" spans="1:1" x14ac:dyDescent="0.3">
      <c r="A2319" s="1">
        <v>6</v>
      </c>
    </row>
    <row r="2320" spans="1:1" x14ac:dyDescent="0.3">
      <c r="A2320" s="2">
        <v>6</v>
      </c>
    </row>
    <row r="2321" spans="1:1" x14ac:dyDescent="0.3">
      <c r="A2321" s="1">
        <v>6</v>
      </c>
    </row>
    <row r="2322" spans="1:1" x14ac:dyDescent="0.3">
      <c r="A2322" s="2">
        <v>4</v>
      </c>
    </row>
    <row r="2323" spans="1:1" x14ac:dyDescent="0.3">
      <c r="A2323" s="1">
        <v>6</v>
      </c>
    </row>
    <row r="2324" spans="1:1" x14ac:dyDescent="0.3">
      <c r="A2324" s="2">
        <v>6</v>
      </c>
    </row>
    <row r="2325" spans="1:1" x14ac:dyDescent="0.3">
      <c r="A2325" s="1">
        <v>6</v>
      </c>
    </row>
    <row r="2326" spans="1:1" x14ac:dyDescent="0.3">
      <c r="A2326" s="2">
        <v>6</v>
      </c>
    </row>
    <row r="2327" spans="1:1" x14ac:dyDescent="0.3">
      <c r="A2327" s="1">
        <v>4</v>
      </c>
    </row>
    <row r="2328" spans="1:1" x14ac:dyDescent="0.3">
      <c r="A2328" s="2">
        <v>5</v>
      </c>
    </row>
    <row r="2329" spans="1:1" x14ac:dyDescent="0.3">
      <c r="A2329" s="1">
        <v>5</v>
      </c>
    </row>
    <row r="2330" spans="1:1" x14ac:dyDescent="0.3">
      <c r="A2330" s="2">
        <v>4</v>
      </c>
    </row>
    <row r="2331" spans="1:1" x14ac:dyDescent="0.3">
      <c r="A2331" s="1">
        <v>4</v>
      </c>
    </row>
    <row r="2332" spans="1:1" x14ac:dyDescent="0.3">
      <c r="A2332" s="2">
        <v>4</v>
      </c>
    </row>
    <row r="2333" spans="1:1" x14ac:dyDescent="0.3">
      <c r="A2333" s="1">
        <v>5</v>
      </c>
    </row>
    <row r="2334" spans="1:1" x14ac:dyDescent="0.3">
      <c r="A2334" s="2">
        <v>6</v>
      </c>
    </row>
    <row r="2335" spans="1:1" x14ac:dyDescent="0.3">
      <c r="A2335" s="1">
        <v>4</v>
      </c>
    </row>
    <row r="2336" spans="1:1" x14ac:dyDescent="0.3">
      <c r="A2336" s="2">
        <v>4</v>
      </c>
    </row>
    <row r="2337" spans="1:1" x14ac:dyDescent="0.3">
      <c r="A2337" s="1">
        <v>4</v>
      </c>
    </row>
    <row r="2338" spans="1:1" x14ac:dyDescent="0.3">
      <c r="A2338" s="2">
        <v>6</v>
      </c>
    </row>
    <row r="2339" spans="1:1" x14ac:dyDescent="0.3">
      <c r="A2339" s="1">
        <v>4</v>
      </c>
    </row>
    <row r="2340" spans="1:1" x14ac:dyDescent="0.3">
      <c r="A2340" s="2">
        <v>6</v>
      </c>
    </row>
    <row r="2341" spans="1:1" x14ac:dyDescent="0.3">
      <c r="A2341" s="1">
        <v>4</v>
      </c>
    </row>
    <row r="2342" spans="1:1" x14ac:dyDescent="0.3">
      <c r="A2342" s="2">
        <v>4</v>
      </c>
    </row>
    <row r="2343" spans="1:1" x14ac:dyDescent="0.3">
      <c r="A2343" s="1">
        <v>4</v>
      </c>
    </row>
    <row r="2344" spans="1:1" x14ac:dyDescent="0.3">
      <c r="A2344" s="2">
        <v>4</v>
      </c>
    </row>
    <row r="2345" spans="1:1" x14ac:dyDescent="0.3">
      <c r="A2345" s="1">
        <v>4</v>
      </c>
    </row>
    <row r="2346" spans="1:1" x14ac:dyDescent="0.3">
      <c r="A2346" s="2">
        <v>4</v>
      </c>
    </row>
    <row r="2347" spans="1:1" x14ac:dyDescent="0.3">
      <c r="A2347" s="1">
        <v>4</v>
      </c>
    </row>
    <row r="2348" spans="1:1" x14ac:dyDescent="0.3">
      <c r="A2348" s="2">
        <v>4</v>
      </c>
    </row>
    <row r="2349" spans="1:1" x14ac:dyDescent="0.3">
      <c r="A2349" s="1">
        <v>4</v>
      </c>
    </row>
    <row r="2350" spans="1:1" x14ac:dyDescent="0.3">
      <c r="A2350" s="2">
        <v>6</v>
      </c>
    </row>
    <row r="2351" spans="1:1" x14ac:dyDescent="0.3">
      <c r="A2351" s="1">
        <v>6</v>
      </c>
    </row>
    <row r="2352" spans="1:1" x14ac:dyDescent="0.3">
      <c r="A2352" s="2">
        <v>6</v>
      </c>
    </row>
    <row r="2353" spans="1:1" x14ac:dyDescent="0.3">
      <c r="A2353" s="1">
        <v>4</v>
      </c>
    </row>
    <row r="2354" spans="1:1" x14ac:dyDescent="0.3">
      <c r="A2354" s="2">
        <v>4</v>
      </c>
    </row>
    <row r="2355" spans="1:1" x14ac:dyDescent="0.3">
      <c r="A2355" s="1">
        <v>4</v>
      </c>
    </row>
    <row r="2356" spans="1:1" x14ac:dyDescent="0.3">
      <c r="A2356" s="2">
        <v>4</v>
      </c>
    </row>
    <row r="2357" spans="1:1" x14ac:dyDescent="0.3">
      <c r="A2357" s="1">
        <v>6</v>
      </c>
    </row>
    <row r="2358" spans="1:1" x14ac:dyDescent="0.3">
      <c r="A2358" s="2">
        <v>6</v>
      </c>
    </row>
    <row r="2359" spans="1:1" x14ac:dyDescent="0.3">
      <c r="A2359" s="1">
        <v>5</v>
      </c>
    </row>
    <row r="2360" spans="1:1" x14ac:dyDescent="0.3">
      <c r="A2360" s="2">
        <v>4</v>
      </c>
    </row>
    <row r="2361" spans="1:1" x14ac:dyDescent="0.3">
      <c r="A2361" s="1">
        <v>4</v>
      </c>
    </row>
    <row r="2362" spans="1:1" x14ac:dyDescent="0.3">
      <c r="A2362" s="2">
        <v>4</v>
      </c>
    </row>
    <row r="2363" spans="1:1" x14ac:dyDescent="0.3">
      <c r="A2363" s="1">
        <v>4</v>
      </c>
    </row>
    <row r="2364" spans="1:1" x14ac:dyDescent="0.3">
      <c r="A2364" s="2">
        <v>4</v>
      </c>
    </row>
    <row r="2365" spans="1:1" x14ac:dyDescent="0.3">
      <c r="A2365" s="1">
        <v>4</v>
      </c>
    </row>
    <row r="2366" spans="1:1" x14ac:dyDescent="0.3">
      <c r="A2366" s="2">
        <v>6</v>
      </c>
    </row>
    <row r="2367" spans="1:1" x14ac:dyDescent="0.3">
      <c r="A2367" s="1">
        <v>6</v>
      </c>
    </row>
    <row r="2368" spans="1:1" x14ac:dyDescent="0.3">
      <c r="A2368" s="2">
        <v>4</v>
      </c>
    </row>
    <row r="2369" spans="1:1" x14ac:dyDescent="0.3">
      <c r="A2369" s="1">
        <v>6</v>
      </c>
    </row>
    <row r="2370" spans="1:1" x14ac:dyDescent="0.3">
      <c r="A2370" s="2">
        <v>4</v>
      </c>
    </row>
    <row r="2371" spans="1:1" x14ac:dyDescent="0.3">
      <c r="A2371" s="1">
        <v>4</v>
      </c>
    </row>
    <row r="2372" spans="1:1" x14ac:dyDescent="0.3">
      <c r="A2372" s="2">
        <v>6</v>
      </c>
    </row>
    <row r="2373" spans="1:1" x14ac:dyDescent="0.3">
      <c r="A2373" s="1">
        <v>6</v>
      </c>
    </row>
    <row r="2374" spans="1:1" x14ac:dyDescent="0.3">
      <c r="A2374" s="2">
        <v>4</v>
      </c>
    </row>
    <row r="2375" spans="1:1" x14ac:dyDescent="0.3">
      <c r="A2375" s="1">
        <v>4</v>
      </c>
    </row>
    <row r="2376" spans="1:1" x14ac:dyDescent="0.3">
      <c r="A2376" s="2">
        <v>4</v>
      </c>
    </row>
    <row r="2377" spans="1:1" x14ac:dyDescent="0.3">
      <c r="A2377" s="1">
        <v>4</v>
      </c>
    </row>
    <row r="2378" spans="1:1" x14ac:dyDescent="0.3">
      <c r="A2378" s="2">
        <v>4</v>
      </c>
    </row>
    <row r="2379" spans="1:1" x14ac:dyDescent="0.3">
      <c r="A2379" s="1">
        <v>4</v>
      </c>
    </row>
    <row r="2380" spans="1:1" x14ac:dyDescent="0.3">
      <c r="A2380" s="2">
        <v>4</v>
      </c>
    </row>
    <row r="2381" spans="1:1" x14ac:dyDescent="0.3">
      <c r="A2381" s="1">
        <v>4</v>
      </c>
    </row>
    <row r="2382" spans="1:1" x14ac:dyDescent="0.3">
      <c r="A2382" s="2">
        <v>6</v>
      </c>
    </row>
    <row r="2383" spans="1:1" x14ac:dyDescent="0.3">
      <c r="A2383" s="1">
        <v>4</v>
      </c>
    </row>
    <row r="2384" spans="1:1" x14ac:dyDescent="0.3">
      <c r="A2384" s="2">
        <v>6</v>
      </c>
    </row>
    <row r="2385" spans="1:1" x14ac:dyDescent="0.3">
      <c r="A2385" s="1">
        <v>4</v>
      </c>
    </row>
    <row r="2386" spans="1:1" x14ac:dyDescent="0.3">
      <c r="A2386" s="2">
        <v>4</v>
      </c>
    </row>
    <row r="2387" spans="1:1" x14ac:dyDescent="0.3">
      <c r="A2387" s="1">
        <v>4</v>
      </c>
    </row>
    <row r="2388" spans="1:1" x14ac:dyDescent="0.3">
      <c r="A2388" s="2">
        <v>4</v>
      </c>
    </row>
    <row r="2389" spans="1:1" x14ac:dyDescent="0.3">
      <c r="A2389" s="1">
        <v>4</v>
      </c>
    </row>
    <row r="2390" spans="1:1" x14ac:dyDescent="0.3">
      <c r="A2390" s="2">
        <v>6</v>
      </c>
    </row>
    <row r="2391" spans="1:1" x14ac:dyDescent="0.3">
      <c r="A2391" s="1">
        <v>4</v>
      </c>
    </row>
    <row r="2392" spans="1:1" x14ac:dyDescent="0.3">
      <c r="A2392" s="2">
        <v>6</v>
      </c>
    </row>
    <row r="2393" spans="1:1" x14ac:dyDescent="0.3">
      <c r="A2393" s="1">
        <v>6</v>
      </c>
    </row>
    <row r="2394" spans="1:1" x14ac:dyDescent="0.3">
      <c r="A2394" s="2">
        <v>4</v>
      </c>
    </row>
    <row r="2395" spans="1:1" x14ac:dyDescent="0.3">
      <c r="A2395" s="1">
        <v>6</v>
      </c>
    </row>
    <row r="2396" spans="1:1" x14ac:dyDescent="0.3">
      <c r="A2396" s="2">
        <v>6</v>
      </c>
    </row>
    <row r="2397" spans="1:1" x14ac:dyDescent="0.3">
      <c r="A2397" s="1">
        <v>6</v>
      </c>
    </row>
    <row r="2398" spans="1:1" x14ac:dyDescent="0.3">
      <c r="A2398" s="2">
        <v>4</v>
      </c>
    </row>
    <row r="2399" spans="1:1" x14ac:dyDescent="0.3">
      <c r="A2399" s="1">
        <v>6</v>
      </c>
    </row>
    <row r="2400" spans="1:1" x14ac:dyDescent="0.3">
      <c r="A2400" s="2">
        <v>4</v>
      </c>
    </row>
    <row r="2401" spans="1:1" x14ac:dyDescent="0.3">
      <c r="A2401" s="1">
        <v>4</v>
      </c>
    </row>
    <row r="2402" spans="1:1" x14ac:dyDescent="0.3">
      <c r="A2402" s="2">
        <v>4</v>
      </c>
    </row>
    <row r="2403" spans="1:1" x14ac:dyDescent="0.3">
      <c r="A2403" s="1">
        <v>4</v>
      </c>
    </row>
    <row r="2404" spans="1:1" x14ac:dyDescent="0.3">
      <c r="A2404" s="2">
        <v>4</v>
      </c>
    </row>
    <row r="2405" spans="1:1" x14ac:dyDescent="0.3">
      <c r="A2405" s="1">
        <v>4</v>
      </c>
    </row>
    <row r="2406" spans="1:1" x14ac:dyDescent="0.3">
      <c r="A2406" s="2">
        <v>4</v>
      </c>
    </row>
    <row r="2407" spans="1:1" x14ac:dyDescent="0.3">
      <c r="A2407" s="1">
        <v>4</v>
      </c>
    </row>
    <row r="2408" spans="1:1" x14ac:dyDescent="0.3">
      <c r="A2408" s="2">
        <v>4</v>
      </c>
    </row>
    <row r="2409" spans="1:1" x14ac:dyDescent="0.3">
      <c r="A2409" s="1">
        <v>6</v>
      </c>
    </row>
    <row r="2410" spans="1:1" x14ac:dyDescent="0.3">
      <c r="A2410" s="2">
        <v>6</v>
      </c>
    </row>
    <row r="2411" spans="1:1" x14ac:dyDescent="0.3">
      <c r="A2411" s="1">
        <v>6</v>
      </c>
    </row>
    <row r="2412" spans="1:1" x14ac:dyDescent="0.3">
      <c r="A2412" s="2">
        <v>6</v>
      </c>
    </row>
    <row r="2413" spans="1:1" x14ac:dyDescent="0.3">
      <c r="A2413" s="1">
        <v>6</v>
      </c>
    </row>
    <row r="2414" spans="1:1" x14ac:dyDescent="0.3">
      <c r="A2414" s="2">
        <v>6</v>
      </c>
    </row>
    <row r="2415" spans="1:1" x14ac:dyDescent="0.3">
      <c r="A2415" s="1">
        <v>6</v>
      </c>
    </row>
    <row r="2416" spans="1:1" x14ac:dyDescent="0.3">
      <c r="A2416" s="2">
        <v>6</v>
      </c>
    </row>
    <row r="2417" spans="1:1" x14ac:dyDescent="0.3">
      <c r="A2417" s="1">
        <v>6</v>
      </c>
    </row>
    <row r="2418" spans="1:1" x14ac:dyDescent="0.3">
      <c r="A2418" s="2">
        <v>4</v>
      </c>
    </row>
    <row r="2419" spans="1:1" x14ac:dyDescent="0.3">
      <c r="A2419" s="1">
        <v>4</v>
      </c>
    </row>
    <row r="2420" spans="1:1" x14ac:dyDescent="0.3">
      <c r="A2420" s="2">
        <v>6</v>
      </c>
    </row>
    <row r="2421" spans="1:1" x14ac:dyDescent="0.3">
      <c r="A2421" s="1">
        <v>6</v>
      </c>
    </row>
    <row r="2422" spans="1:1" x14ac:dyDescent="0.3">
      <c r="A2422" s="2">
        <v>6</v>
      </c>
    </row>
    <row r="2423" spans="1:1" x14ac:dyDescent="0.3">
      <c r="A2423" s="1">
        <v>6</v>
      </c>
    </row>
    <row r="2424" spans="1:1" x14ac:dyDescent="0.3">
      <c r="A2424" s="2">
        <v>6</v>
      </c>
    </row>
    <row r="2425" spans="1:1" x14ac:dyDescent="0.3">
      <c r="A2425" s="1">
        <v>6</v>
      </c>
    </row>
    <row r="2426" spans="1:1" x14ac:dyDescent="0.3">
      <c r="A2426" s="2">
        <v>6</v>
      </c>
    </row>
    <row r="2427" spans="1:1" x14ac:dyDescent="0.3">
      <c r="A2427" s="1">
        <v>6</v>
      </c>
    </row>
    <row r="2428" spans="1:1" x14ac:dyDescent="0.3">
      <c r="A2428" s="2">
        <v>6</v>
      </c>
    </row>
    <row r="2429" spans="1:1" x14ac:dyDescent="0.3">
      <c r="A2429" s="1">
        <v>6</v>
      </c>
    </row>
    <row r="2430" spans="1:1" x14ac:dyDescent="0.3">
      <c r="A2430" s="2">
        <v>6</v>
      </c>
    </row>
    <row r="2431" spans="1:1" x14ac:dyDescent="0.3">
      <c r="A2431" s="1">
        <v>6</v>
      </c>
    </row>
    <row r="2432" spans="1:1" x14ac:dyDescent="0.3">
      <c r="A2432" s="2">
        <v>6</v>
      </c>
    </row>
    <row r="2433" spans="1:1" x14ac:dyDescent="0.3">
      <c r="A2433" s="1">
        <v>6</v>
      </c>
    </row>
    <row r="2434" spans="1:1" x14ac:dyDescent="0.3">
      <c r="A2434" s="2">
        <v>6</v>
      </c>
    </row>
    <row r="2435" spans="1:1" x14ac:dyDescent="0.3">
      <c r="A2435" s="1">
        <v>4</v>
      </c>
    </row>
    <row r="2436" spans="1:1" x14ac:dyDescent="0.3">
      <c r="A2436" s="2">
        <v>6</v>
      </c>
    </row>
    <row r="2437" spans="1:1" x14ac:dyDescent="0.3">
      <c r="A2437" s="1">
        <v>6</v>
      </c>
    </row>
    <row r="2438" spans="1:1" x14ac:dyDescent="0.3">
      <c r="A2438" s="2">
        <v>4</v>
      </c>
    </row>
    <row r="2439" spans="1:1" x14ac:dyDescent="0.3">
      <c r="A2439" s="1">
        <v>4</v>
      </c>
    </row>
    <row r="2440" spans="1:1" x14ac:dyDescent="0.3">
      <c r="A2440" s="2">
        <v>4</v>
      </c>
    </row>
    <row r="2441" spans="1:1" x14ac:dyDescent="0.3">
      <c r="A2441" s="1">
        <v>4</v>
      </c>
    </row>
    <row r="2442" spans="1:1" x14ac:dyDescent="0.3">
      <c r="A2442" s="2">
        <v>4</v>
      </c>
    </row>
    <row r="2443" spans="1:1" x14ac:dyDescent="0.3">
      <c r="A2443" s="1">
        <v>4</v>
      </c>
    </row>
    <row r="2444" spans="1:1" x14ac:dyDescent="0.3">
      <c r="A2444" s="2">
        <v>4</v>
      </c>
    </row>
    <row r="2445" spans="1:1" x14ac:dyDescent="0.3">
      <c r="A2445" s="1">
        <v>4</v>
      </c>
    </row>
    <row r="2446" spans="1:1" x14ac:dyDescent="0.3">
      <c r="A2446" s="2">
        <v>4</v>
      </c>
    </row>
    <row r="2447" spans="1:1" x14ac:dyDescent="0.3">
      <c r="A2447" s="1">
        <v>4</v>
      </c>
    </row>
    <row r="2448" spans="1:1" x14ac:dyDescent="0.3">
      <c r="A2448" s="2">
        <v>4</v>
      </c>
    </row>
    <row r="2449" spans="1:1" x14ac:dyDescent="0.3">
      <c r="A2449" s="1">
        <v>4</v>
      </c>
    </row>
    <row r="2450" spans="1:1" x14ac:dyDescent="0.3">
      <c r="A2450" s="2">
        <v>4</v>
      </c>
    </row>
    <row r="2451" spans="1:1" x14ac:dyDescent="0.3">
      <c r="A2451" s="1">
        <v>4</v>
      </c>
    </row>
    <row r="2452" spans="1:1" x14ac:dyDescent="0.3">
      <c r="A2452" s="2">
        <v>4</v>
      </c>
    </row>
    <row r="2453" spans="1:1" x14ac:dyDescent="0.3">
      <c r="A2453" s="1">
        <v>4</v>
      </c>
    </row>
    <row r="2454" spans="1:1" x14ac:dyDescent="0.3">
      <c r="A2454" s="2">
        <v>4</v>
      </c>
    </row>
    <row r="2455" spans="1:1" x14ac:dyDescent="0.3">
      <c r="A2455" s="1">
        <v>4</v>
      </c>
    </row>
    <row r="2456" spans="1:1" x14ac:dyDescent="0.3">
      <c r="A2456" s="2">
        <v>6</v>
      </c>
    </row>
    <row r="2457" spans="1:1" x14ac:dyDescent="0.3">
      <c r="A2457" s="1">
        <v>6</v>
      </c>
    </row>
    <row r="2458" spans="1:1" x14ac:dyDescent="0.3">
      <c r="A2458" s="2">
        <v>4</v>
      </c>
    </row>
    <row r="2459" spans="1:1" x14ac:dyDescent="0.3">
      <c r="A2459" s="1">
        <v>6</v>
      </c>
    </row>
    <row r="2460" spans="1:1" x14ac:dyDescent="0.3">
      <c r="A2460" s="2">
        <v>5</v>
      </c>
    </row>
    <row r="2461" spans="1:1" x14ac:dyDescent="0.3">
      <c r="A2461" s="1">
        <v>4</v>
      </c>
    </row>
    <row r="2462" spans="1:1" x14ac:dyDescent="0.3">
      <c r="A2462" s="2">
        <v>4</v>
      </c>
    </row>
    <row r="2463" spans="1:1" x14ac:dyDescent="0.3">
      <c r="A2463" s="1">
        <v>4</v>
      </c>
    </row>
    <row r="2464" spans="1:1" x14ac:dyDescent="0.3">
      <c r="A2464" s="2">
        <v>4</v>
      </c>
    </row>
    <row r="2465" spans="1:1" x14ac:dyDescent="0.3">
      <c r="A2465" s="1">
        <v>4</v>
      </c>
    </row>
    <row r="2466" spans="1:1" x14ac:dyDescent="0.3">
      <c r="A2466" s="2">
        <v>4</v>
      </c>
    </row>
    <row r="2467" spans="1:1" x14ac:dyDescent="0.3">
      <c r="A2467" s="1">
        <v>4</v>
      </c>
    </row>
    <row r="2468" spans="1:1" x14ac:dyDescent="0.3">
      <c r="A2468" s="2">
        <v>4</v>
      </c>
    </row>
    <row r="2469" spans="1:1" x14ac:dyDescent="0.3">
      <c r="A2469" s="1">
        <v>4</v>
      </c>
    </row>
    <row r="2470" spans="1:1" x14ac:dyDescent="0.3">
      <c r="A2470" s="2">
        <v>4</v>
      </c>
    </row>
    <row r="2471" spans="1:1" x14ac:dyDescent="0.3">
      <c r="A2471" s="1">
        <v>4</v>
      </c>
    </row>
    <row r="2472" spans="1:1" x14ac:dyDescent="0.3">
      <c r="A2472" s="2">
        <v>4</v>
      </c>
    </row>
    <row r="2473" spans="1:1" x14ac:dyDescent="0.3">
      <c r="A2473" s="1">
        <v>4</v>
      </c>
    </row>
    <row r="2474" spans="1:1" x14ac:dyDescent="0.3">
      <c r="A2474" s="2">
        <v>4</v>
      </c>
    </row>
    <row r="2475" spans="1:1" x14ac:dyDescent="0.3">
      <c r="A2475" s="1">
        <v>4</v>
      </c>
    </row>
    <row r="2476" spans="1:1" x14ac:dyDescent="0.3">
      <c r="A2476" s="2">
        <v>4</v>
      </c>
    </row>
    <row r="2477" spans="1:1" x14ac:dyDescent="0.3">
      <c r="A2477" s="1">
        <v>4</v>
      </c>
    </row>
    <row r="2478" spans="1:1" x14ac:dyDescent="0.3">
      <c r="A2478" s="2">
        <v>4</v>
      </c>
    </row>
    <row r="2479" spans="1:1" x14ac:dyDescent="0.3">
      <c r="A2479" s="1">
        <v>4</v>
      </c>
    </row>
    <row r="2480" spans="1:1" x14ac:dyDescent="0.3">
      <c r="A2480" s="2">
        <v>6</v>
      </c>
    </row>
    <row r="2481" spans="1:1" x14ac:dyDescent="0.3">
      <c r="A2481" s="1">
        <v>6</v>
      </c>
    </row>
    <row r="2482" spans="1:1" x14ac:dyDescent="0.3">
      <c r="A2482" s="2">
        <v>4</v>
      </c>
    </row>
    <row r="2483" spans="1:1" x14ac:dyDescent="0.3">
      <c r="A2483" s="1">
        <v>4</v>
      </c>
    </row>
    <row r="2484" spans="1:1" x14ac:dyDescent="0.3">
      <c r="A2484" s="2">
        <v>4</v>
      </c>
    </row>
    <row r="2485" spans="1:1" x14ac:dyDescent="0.3">
      <c r="A2485" s="1">
        <v>4</v>
      </c>
    </row>
    <row r="2486" spans="1:1" x14ac:dyDescent="0.3">
      <c r="A2486" s="2">
        <v>4</v>
      </c>
    </row>
    <row r="2487" spans="1:1" x14ac:dyDescent="0.3">
      <c r="A2487" s="1">
        <v>4</v>
      </c>
    </row>
    <row r="2488" spans="1:1" x14ac:dyDescent="0.3">
      <c r="A2488" s="2">
        <v>4</v>
      </c>
    </row>
    <row r="2489" spans="1:1" x14ac:dyDescent="0.3">
      <c r="A2489" s="1">
        <v>4</v>
      </c>
    </row>
    <row r="2490" spans="1:1" x14ac:dyDescent="0.3">
      <c r="A2490" s="2">
        <v>4</v>
      </c>
    </row>
    <row r="2491" spans="1:1" x14ac:dyDescent="0.3">
      <c r="A2491" s="1">
        <v>4</v>
      </c>
    </row>
    <row r="2492" spans="1:1" x14ac:dyDescent="0.3">
      <c r="A2492" s="2">
        <v>4</v>
      </c>
    </row>
    <row r="2493" spans="1:1" x14ac:dyDescent="0.3">
      <c r="A2493" s="1">
        <v>4</v>
      </c>
    </row>
    <row r="2494" spans="1:1" x14ac:dyDescent="0.3">
      <c r="A2494" s="2">
        <v>4</v>
      </c>
    </row>
    <row r="2495" spans="1:1" x14ac:dyDescent="0.3">
      <c r="A2495" s="1">
        <v>4</v>
      </c>
    </row>
    <row r="2496" spans="1:1" x14ac:dyDescent="0.3">
      <c r="A2496" s="2">
        <v>4</v>
      </c>
    </row>
    <row r="2497" spans="1:1" x14ac:dyDescent="0.3">
      <c r="A2497" s="1">
        <v>4</v>
      </c>
    </row>
    <row r="2498" spans="1:1" x14ac:dyDescent="0.3">
      <c r="A2498" s="2">
        <v>4</v>
      </c>
    </row>
    <row r="2499" spans="1:1" x14ac:dyDescent="0.3">
      <c r="A2499" s="1">
        <v>4</v>
      </c>
    </row>
    <row r="2500" spans="1:1" x14ac:dyDescent="0.3">
      <c r="A2500" s="2">
        <v>4</v>
      </c>
    </row>
    <row r="2501" spans="1:1" x14ac:dyDescent="0.3">
      <c r="A2501" s="1">
        <v>4</v>
      </c>
    </row>
    <row r="2502" spans="1:1" x14ac:dyDescent="0.3">
      <c r="A2502" s="2">
        <v>4</v>
      </c>
    </row>
    <row r="2503" spans="1:1" x14ac:dyDescent="0.3">
      <c r="A2503" s="1">
        <v>4</v>
      </c>
    </row>
    <row r="2504" spans="1:1" x14ac:dyDescent="0.3">
      <c r="A2504" s="2">
        <v>4</v>
      </c>
    </row>
    <row r="2505" spans="1:1" x14ac:dyDescent="0.3">
      <c r="A2505" s="1">
        <v>4</v>
      </c>
    </row>
    <row r="2506" spans="1:1" x14ac:dyDescent="0.3">
      <c r="A2506" s="2">
        <v>4</v>
      </c>
    </row>
    <row r="2507" spans="1:1" x14ac:dyDescent="0.3">
      <c r="A2507" s="1">
        <v>4</v>
      </c>
    </row>
    <row r="2508" spans="1:1" x14ac:dyDescent="0.3">
      <c r="A2508" s="2">
        <v>4</v>
      </c>
    </row>
    <row r="2509" spans="1:1" x14ac:dyDescent="0.3">
      <c r="A2509" s="1">
        <v>4</v>
      </c>
    </row>
    <row r="2510" spans="1:1" x14ac:dyDescent="0.3">
      <c r="A2510" s="2">
        <v>4</v>
      </c>
    </row>
    <row r="2511" spans="1:1" x14ac:dyDescent="0.3">
      <c r="A2511" s="1">
        <v>4</v>
      </c>
    </row>
    <row r="2512" spans="1:1" x14ac:dyDescent="0.3">
      <c r="A2512" s="2">
        <v>4</v>
      </c>
    </row>
    <row r="2513" spans="1:1" x14ac:dyDescent="0.3">
      <c r="A2513" s="1">
        <v>4</v>
      </c>
    </row>
    <row r="2514" spans="1:1" x14ac:dyDescent="0.3">
      <c r="A2514" s="2">
        <v>4</v>
      </c>
    </row>
    <row r="2515" spans="1:1" x14ac:dyDescent="0.3">
      <c r="A2515" s="1">
        <v>4</v>
      </c>
    </row>
    <row r="2516" spans="1:1" x14ac:dyDescent="0.3">
      <c r="A2516" s="2">
        <v>4</v>
      </c>
    </row>
    <row r="2517" spans="1:1" x14ac:dyDescent="0.3">
      <c r="A2517" s="1">
        <v>4</v>
      </c>
    </row>
    <row r="2518" spans="1:1" x14ac:dyDescent="0.3">
      <c r="A2518" s="2">
        <v>4</v>
      </c>
    </row>
    <row r="2519" spans="1:1" x14ac:dyDescent="0.3">
      <c r="A2519" s="1">
        <v>4</v>
      </c>
    </row>
    <row r="2520" spans="1:1" x14ac:dyDescent="0.3">
      <c r="A2520" s="2">
        <v>4</v>
      </c>
    </row>
    <row r="2521" spans="1:1" x14ac:dyDescent="0.3">
      <c r="A2521" s="1">
        <v>4</v>
      </c>
    </row>
    <row r="2522" spans="1:1" x14ac:dyDescent="0.3">
      <c r="A2522" s="2">
        <v>4</v>
      </c>
    </row>
    <row r="2523" spans="1:1" x14ac:dyDescent="0.3">
      <c r="A2523" s="1">
        <v>4</v>
      </c>
    </row>
    <row r="2524" spans="1:1" x14ac:dyDescent="0.3">
      <c r="A2524" s="2">
        <v>4</v>
      </c>
    </row>
    <row r="2525" spans="1:1" x14ac:dyDescent="0.3">
      <c r="A2525" s="1">
        <v>4</v>
      </c>
    </row>
    <row r="2526" spans="1:1" x14ac:dyDescent="0.3">
      <c r="A2526" s="2">
        <v>6</v>
      </c>
    </row>
    <row r="2527" spans="1:1" x14ac:dyDescent="0.3">
      <c r="A2527" s="1">
        <v>6</v>
      </c>
    </row>
    <row r="2528" spans="1:1" x14ac:dyDescent="0.3">
      <c r="A2528" s="2">
        <v>4</v>
      </c>
    </row>
    <row r="2529" spans="1:1" x14ac:dyDescent="0.3">
      <c r="A2529" s="1">
        <v>6</v>
      </c>
    </row>
    <row r="2530" spans="1:1" x14ac:dyDescent="0.3">
      <c r="A2530" s="2">
        <v>6</v>
      </c>
    </row>
    <row r="2531" spans="1:1" x14ac:dyDescent="0.3">
      <c r="A2531" s="1">
        <v>6</v>
      </c>
    </row>
    <row r="2532" spans="1:1" x14ac:dyDescent="0.3">
      <c r="A2532" s="2">
        <v>6</v>
      </c>
    </row>
    <row r="2533" spans="1:1" x14ac:dyDescent="0.3">
      <c r="A2533" s="1">
        <v>6</v>
      </c>
    </row>
    <row r="2534" spans="1:1" x14ac:dyDescent="0.3">
      <c r="A2534" s="2">
        <v>4</v>
      </c>
    </row>
    <row r="2535" spans="1:1" x14ac:dyDescent="0.3">
      <c r="A2535" s="1">
        <v>4</v>
      </c>
    </row>
    <row r="2536" spans="1:1" x14ac:dyDescent="0.3">
      <c r="A2536" s="2">
        <v>4</v>
      </c>
    </row>
    <row r="2537" spans="1:1" x14ac:dyDescent="0.3">
      <c r="A2537" s="1">
        <v>4</v>
      </c>
    </row>
    <row r="2538" spans="1:1" x14ac:dyDescent="0.3">
      <c r="A2538" s="2">
        <v>4</v>
      </c>
    </row>
    <row r="2539" spans="1:1" x14ac:dyDescent="0.3">
      <c r="A2539" s="1">
        <v>4</v>
      </c>
    </row>
    <row r="2540" spans="1:1" x14ac:dyDescent="0.3">
      <c r="A2540" s="2">
        <v>4</v>
      </c>
    </row>
    <row r="2541" spans="1:1" x14ac:dyDescent="0.3">
      <c r="A2541" s="1">
        <v>4</v>
      </c>
    </row>
    <row r="2542" spans="1:1" x14ac:dyDescent="0.3">
      <c r="A2542" s="2">
        <v>4</v>
      </c>
    </row>
    <row r="2543" spans="1:1" x14ac:dyDescent="0.3">
      <c r="A2543" s="1">
        <v>4</v>
      </c>
    </row>
    <row r="2544" spans="1:1" x14ac:dyDescent="0.3">
      <c r="A2544" s="2">
        <v>4</v>
      </c>
    </row>
    <row r="2545" spans="1:1" x14ac:dyDescent="0.3">
      <c r="A2545" s="1">
        <v>4</v>
      </c>
    </row>
    <row r="2546" spans="1:1" x14ac:dyDescent="0.3">
      <c r="A2546" s="2">
        <v>4</v>
      </c>
    </row>
    <row r="2547" spans="1:1" x14ac:dyDescent="0.3">
      <c r="A2547" s="1">
        <v>4</v>
      </c>
    </row>
    <row r="2548" spans="1:1" x14ac:dyDescent="0.3">
      <c r="A2548" s="2">
        <v>4</v>
      </c>
    </row>
    <row r="2549" spans="1:1" x14ac:dyDescent="0.3">
      <c r="A2549" s="1">
        <v>4</v>
      </c>
    </row>
    <row r="2550" spans="1:1" x14ac:dyDescent="0.3">
      <c r="A2550" s="2">
        <v>4</v>
      </c>
    </row>
    <row r="2551" spans="1:1" x14ac:dyDescent="0.3">
      <c r="A2551" s="1">
        <v>4</v>
      </c>
    </row>
    <row r="2552" spans="1:1" x14ac:dyDescent="0.3">
      <c r="A2552" s="2">
        <v>4</v>
      </c>
    </row>
    <row r="2553" spans="1:1" x14ac:dyDescent="0.3">
      <c r="A2553" s="1">
        <v>4</v>
      </c>
    </row>
    <row r="2554" spans="1:1" x14ac:dyDescent="0.3">
      <c r="A2554" s="2">
        <v>4</v>
      </c>
    </row>
    <row r="2555" spans="1:1" x14ac:dyDescent="0.3">
      <c r="A2555" s="1">
        <v>4</v>
      </c>
    </row>
    <row r="2556" spans="1:1" x14ac:dyDescent="0.3">
      <c r="A2556" s="2">
        <v>4</v>
      </c>
    </row>
    <row r="2557" spans="1:1" x14ac:dyDescent="0.3">
      <c r="A2557" s="1">
        <v>4</v>
      </c>
    </row>
    <row r="2558" spans="1:1" x14ac:dyDescent="0.3">
      <c r="A2558" s="2">
        <v>4</v>
      </c>
    </row>
    <row r="2559" spans="1:1" x14ac:dyDescent="0.3">
      <c r="A2559" s="1">
        <v>4</v>
      </c>
    </row>
    <row r="2560" spans="1:1" x14ac:dyDescent="0.3">
      <c r="A2560" s="2">
        <v>4</v>
      </c>
    </row>
    <row r="2561" spans="1:1" x14ac:dyDescent="0.3">
      <c r="A2561" s="1">
        <v>4</v>
      </c>
    </row>
    <row r="2562" spans="1:1" x14ac:dyDescent="0.3">
      <c r="A2562" s="2">
        <v>4</v>
      </c>
    </row>
    <row r="2563" spans="1:1" x14ac:dyDescent="0.3">
      <c r="A2563" s="1">
        <v>4</v>
      </c>
    </row>
    <row r="2564" spans="1:1" x14ac:dyDescent="0.3">
      <c r="A2564" s="2">
        <v>4</v>
      </c>
    </row>
    <row r="2565" spans="1:1" x14ac:dyDescent="0.3">
      <c r="A2565" s="1">
        <v>4</v>
      </c>
    </row>
    <row r="2566" spans="1:1" x14ac:dyDescent="0.3">
      <c r="A2566" s="2">
        <v>4</v>
      </c>
    </row>
    <row r="2567" spans="1:1" x14ac:dyDescent="0.3">
      <c r="A2567" s="1">
        <v>4</v>
      </c>
    </row>
    <row r="2568" spans="1:1" x14ac:dyDescent="0.3">
      <c r="A2568" s="2">
        <v>4</v>
      </c>
    </row>
    <row r="2569" spans="1:1" x14ac:dyDescent="0.3">
      <c r="A2569" s="1">
        <v>4</v>
      </c>
    </row>
    <row r="2570" spans="1:1" x14ac:dyDescent="0.3">
      <c r="A2570" s="2">
        <v>4</v>
      </c>
    </row>
    <row r="2571" spans="1:1" x14ac:dyDescent="0.3">
      <c r="A2571" s="1">
        <v>4</v>
      </c>
    </row>
    <row r="2572" spans="1:1" x14ac:dyDescent="0.3">
      <c r="A2572" s="2">
        <v>4</v>
      </c>
    </row>
    <row r="2573" spans="1:1" x14ac:dyDescent="0.3">
      <c r="A2573" s="1">
        <v>4</v>
      </c>
    </row>
    <row r="2574" spans="1:1" x14ac:dyDescent="0.3">
      <c r="A2574" s="2">
        <v>4</v>
      </c>
    </row>
    <row r="2575" spans="1:1" x14ac:dyDescent="0.3">
      <c r="A2575" s="1">
        <v>4</v>
      </c>
    </row>
    <row r="2576" spans="1:1" x14ac:dyDescent="0.3">
      <c r="A2576" s="2">
        <v>4</v>
      </c>
    </row>
    <row r="2577" spans="1:1" x14ac:dyDescent="0.3">
      <c r="A2577" s="1">
        <v>4</v>
      </c>
    </row>
    <row r="2578" spans="1:1" x14ac:dyDescent="0.3">
      <c r="A2578" s="2">
        <v>4</v>
      </c>
    </row>
    <row r="2579" spans="1:1" x14ac:dyDescent="0.3">
      <c r="A2579" s="1">
        <v>4</v>
      </c>
    </row>
    <row r="2580" spans="1:1" x14ac:dyDescent="0.3">
      <c r="A2580" s="2">
        <v>4</v>
      </c>
    </row>
    <row r="2581" spans="1:1" x14ac:dyDescent="0.3">
      <c r="A2581" s="1">
        <v>4</v>
      </c>
    </row>
    <row r="2582" spans="1:1" x14ac:dyDescent="0.3">
      <c r="A2582" s="2">
        <v>4</v>
      </c>
    </row>
    <row r="2583" spans="1:1" x14ac:dyDescent="0.3">
      <c r="A2583" s="1">
        <v>4</v>
      </c>
    </row>
    <row r="2584" spans="1:1" x14ac:dyDescent="0.3">
      <c r="A2584" s="2">
        <v>4</v>
      </c>
    </row>
    <row r="2585" spans="1:1" x14ac:dyDescent="0.3">
      <c r="A2585" s="1">
        <v>4</v>
      </c>
    </row>
    <row r="2586" spans="1:1" x14ac:dyDescent="0.3">
      <c r="A2586" s="2">
        <v>4</v>
      </c>
    </row>
    <row r="2587" spans="1:1" x14ac:dyDescent="0.3">
      <c r="A2587" s="1">
        <v>4</v>
      </c>
    </row>
    <row r="2588" spans="1:1" x14ac:dyDescent="0.3">
      <c r="A2588" s="2">
        <v>4</v>
      </c>
    </row>
    <row r="2589" spans="1:1" x14ac:dyDescent="0.3">
      <c r="A2589" s="1">
        <v>4</v>
      </c>
    </row>
    <row r="2590" spans="1:1" x14ac:dyDescent="0.3">
      <c r="A2590" s="2">
        <v>4</v>
      </c>
    </row>
    <row r="2591" spans="1:1" x14ac:dyDescent="0.3">
      <c r="A2591" s="1">
        <v>4</v>
      </c>
    </row>
    <row r="2592" spans="1:1" x14ac:dyDescent="0.3">
      <c r="A2592" s="2">
        <v>4</v>
      </c>
    </row>
    <row r="2593" spans="1:1" x14ac:dyDescent="0.3">
      <c r="A2593" s="1">
        <v>4</v>
      </c>
    </row>
    <row r="2594" spans="1:1" x14ac:dyDescent="0.3">
      <c r="A2594" s="2">
        <v>4</v>
      </c>
    </row>
    <row r="2595" spans="1:1" x14ac:dyDescent="0.3">
      <c r="A2595" s="1">
        <v>4</v>
      </c>
    </row>
    <row r="2596" spans="1:1" x14ac:dyDescent="0.3">
      <c r="A2596" s="2">
        <v>4</v>
      </c>
    </row>
    <row r="2597" spans="1:1" x14ac:dyDescent="0.3">
      <c r="A2597" s="1">
        <v>4</v>
      </c>
    </row>
    <row r="2598" spans="1:1" x14ac:dyDescent="0.3">
      <c r="A2598" s="2">
        <v>4</v>
      </c>
    </row>
    <row r="2599" spans="1:1" x14ac:dyDescent="0.3">
      <c r="A2599" s="1">
        <v>4</v>
      </c>
    </row>
    <row r="2600" spans="1:1" x14ac:dyDescent="0.3">
      <c r="A2600" s="2">
        <v>4</v>
      </c>
    </row>
    <row r="2601" spans="1:1" x14ac:dyDescent="0.3">
      <c r="A2601" s="1">
        <v>4</v>
      </c>
    </row>
    <row r="2602" spans="1:1" x14ac:dyDescent="0.3">
      <c r="A2602" s="2">
        <v>4</v>
      </c>
    </row>
    <row r="2603" spans="1:1" x14ac:dyDescent="0.3">
      <c r="A2603" s="1">
        <v>4</v>
      </c>
    </row>
    <row r="2604" spans="1:1" x14ac:dyDescent="0.3">
      <c r="A2604" s="2">
        <v>4</v>
      </c>
    </row>
    <row r="2605" spans="1:1" x14ac:dyDescent="0.3">
      <c r="A2605" s="1">
        <v>4</v>
      </c>
    </row>
    <row r="2606" spans="1:1" x14ac:dyDescent="0.3">
      <c r="A2606" s="2">
        <v>4</v>
      </c>
    </row>
    <row r="2607" spans="1:1" x14ac:dyDescent="0.3">
      <c r="A2607" s="1">
        <v>4</v>
      </c>
    </row>
    <row r="2608" spans="1:1" x14ac:dyDescent="0.3">
      <c r="A2608" s="2">
        <v>4</v>
      </c>
    </row>
    <row r="2609" spans="1:1" x14ac:dyDescent="0.3">
      <c r="A2609" s="1">
        <v>4</v>
      </c>
    </row>
    <row r="2610" spans="1:1" x14ac:dyDescent="0.3">
      <c r="A2610" s="2">
        <v>4</v>
      </c>
    </row>
    <row r="2611" spans="1:1" x14ac:dyDescent="0.3">
      <c r="A2611" s="1">
        <v>4</v>
      </c>
    </row>
    <row r="2612" spans="1:1" x14ac:dyDescent="0.3">
      <c r="A2612" s="2">
        <v>4</v>
      </c>
    </row>
    <row r="2613" spans="1:1" x14ac:dyDescent="0.3">
      <c r="A2613" s="1">
        <v>4</v>
      </c>
    </row>
    <row r="2614" spans="1:1" x14ac:dyDescent="0.3">
      <c r="A2614" s="2">
        <v>4</v>
      </c>
    </row>
    <row r="2615" spans="1:1" x14ac:dyDescent="0.3">
      <c r="A2615" s="1">
        <v>4</v>
      </c>
    </row>
    <row r="2616" spans="1:1" x14ac:dyDescent="0.3">
      <c r="A2616" s="2">
        <v>4</v>
      </c>
    </row>
    <row r="2617" spans="1:1" x14ac:dyDescent="0.3">
      <c r="A2617" s="1">
        <v>4</v>
      </c>
    </row>
    <row r="2618" spans="1:1" x14ac:dyDescent="0.3">
      <c r="A2618" s="2">
        <v>4</v>
      </c>
    </row>
    <row r="2619" spans="1:1" x14ac:dyDescent="0.3">
      <c r="A2619" s="1">
        <v>4</v>
      </c>
    </row>
    <row r="2620" spans="1:1" x14ac:dyDescent="0.3">
      <c r="A2620" s="2">
        <v>4</v>
      </c>
    </row>
    <row r="2621" spans="1:1" x14ac:dyDescent="0.3">
      <c r="A2621" s="1">
        <v>4</v>
      </c>
    </row>
    <row r="2622" spans="1:1" x14ac:dyDescent="0.3">
      <c r="A2622" s="2">
        <v>4</v>
      </c>
    </row>
    <row r="2623" spans="1:1" x14ac:dyDescent="0.3">
      <c r="A2623" s="1">
        <v>4</v>
      </c>
    </row>
    <row r="2624" spans="1:1" x14ac:dyDescent="0.3">
      <c r="A2624" s="2">
        <v>4</v>
      </c>
    </row>
    <row r="2625" spans="1:1" x14ac:dyDescent="0.3">
      <c r="A2625" s="1">
        <v>4</v>
      </c>
    </row>
    <row r="2626" spans="1:1" x14ac:dyDescent="0.3">
      <c r="A2626" s="2">
        <v>4</v>
      </c>
    </row>
    <row r="2627" spans="1:1" x14ac:dyDescent="0.3">
      <c r="A2627" s="1">
        <v>4</v>
      </c>
    </row>
    <row r="2628" spans="1:1" x14ac:dyDescent="0.3">
      <c r="A2628" s="2">
        <v>4</v>
      </c>
    </row>
    <row r="2629" spans="1:1" x14ac:dyDescent="0.3">
      <c r="A2629" s="1">
        <v>4</v>
      </c>
    </row>
    <row r="2630" spans="1:1" x14ac:dyDescent="0.3">
      <c r="A2630" s="2">
        <v>4</v>
      </c>
    </row>
    <row r="2631" spans="1:1" x14ac:dyDescent="0.3">
      <c r="A2631" s="1">
        <v>4</v>
      </c>
    </row>
    <row r="2632" spans="1:1" x14ac:dyDescent="0.3">
      <c r="A2632" s="2">
        <v>4</v>
      </c>
    </row>
    <row r="2633" spans="1:1" x14ac:dyDescent="0.3">
      <c r="A2633" s="1">
        <v>4</v>
      </c>
    </row>
    <row r="2634" spans="1:1" x14ac:dyDescent="0.3">
      <c r="A2634" s="2">
        <v>4</v>
      </c>
    </row>
    <row r="2635" spans="1:1" x14ac:dyDescent="0.3">
      <c r="A2635" s="1">
        <v>4</v>
      </c>
    </row>
    <row r="2636" spans="1:1" x14ac:dyDescent="0.3">
      <c r="A2636" s="2">
        <v>4</v>
      </c>
    </row>
    <row r="2637" spans="1:1" x14ac:dyDescent="0.3">
      <c r="A2637" s="1">
        <v>4</v>
      </c>
    </row>
    <row r="2638" spans="1:1" x14ac:dyDescent="0.3">
      <c r="A2638" s="2">
        <v>4</v>
      </c>
    </row>
    <row r="2639" spans="1:1" x14ac:dyDescent="0.3">
      <c r="A2639" s="1">
        <v>4</v>
      </c>
    </row>
    <row r="2640" spans="1:1" x14ac:dyDescent="0.3">
      <c r="A2640" s="2">
        <v>4</v>
      </c>
    </row>
    <row r="2641" spans="1:1" x14ac:dyDescent="0.3">
      <c r="A2641" s="1">
        <v>4</v>
      </c>
    </row>
    <row r="2642" spans="1:1" x14ac:dyDescent="0.3">
      <c r="A2642" s="2">
        <v>4</v>
      </c>
    </row>
    <row r="2643" spans="1:1" x14ac:dyDescent="0.3">
      <c r="A2643" s="1">
        <v>4</v>
      </c>
    </row>
    <row r="2644" spans="1:1" x14ac:dyDescent="0.3">
      <c r="A2644" s="2">
        <v>4</v>
      </c>
    </row>
    <row r="2645" spans="1:1" x14ac:dyDescent="0.3">
      <c r="A2645" s="1">
        <v>4</v>
      </c>
    </row>
    <row r="2646" spans="1:1" x14ac:dyDescent="0.3">
      <c r="A2646" s="2">
        <v>4</v>
      </c>
    </row>
    <row r="2647" spans="1:1" x14ac:dyDescent="0.3">
      <c r="A2647" s="1">
        <v>4</v>
      </c>
    </row>
    <row r="2648" spans="1:1" x14ac:dyDescent="0.3">
      <c r="A2648" s="2">
        <v>4</v>
      </c>
    </row>
    <row r="2649" spans="1:1" x14ac:dyDescent="0.3">
      <c r="A2649" s="1">
        <v>4</v>
      </c>
    </row>
    <row r="2650" spans="1:1" x14ac:dyDescent="0.3">
      <c r="A2650" s="2">
        <v>4</v>
      </c>
    </row>
    <row r="2651" spans="1:1" x14ac:dyDescent="0.3">
      <c r="A2651" s="1">
        <v>4</v>
      </c>
    </row>
    <row r="2652" spans="1:1" x14ac:dyDescent="0.3">
      <c r="A2652" s="2">
        <v>4</v>
      </c>
    </row>
    <row r="2653" spans="1:1" x14ac:dyDescent="0.3">
      <c r="A2653" s="1">
        <v>6</v>
      </c>
    </row>
    <row r="2654" spans="1:1" x14ac:dyDescent="0.3">
      <c r="A2654" s="2">
        <v>4</v>
      </c>
    </row>
    <row r="2655" spans="1:1" x14ac:dyDescent="0.3">
      <c r="A2655" s="1">
        <v>4</v>
      </c>
    </row>
    <row r="2656" spans="1:1" x14ac:dyDescent="0.3">
      <c r="A2656" s="2">
        <v>4</v>
      </c>
    </row>
    <row r="2657" spans="1:1" x14ac:dyDescent="0.3">
      <c r="A2657" s="1">
        <v>4</v>
      </c>
    </row>
    <row r="2658" spans="1:1" x14ac:dyDescent="0.3">
      <c r="A2658" s="2">
        <v>4</v>
      </c>
    </row>
    <row r="2659" spans="1:1" x14ac:dyDescent="0.3">
      <c r="A2659" s="1">
        <v>4</v>
      </c>
    </row>
    <row r="2660" spans="1:1" x14ac:dyDescent="0.3">
      <c r="A2660" s="2">
        <v>4</v>
      </c>
    </row>
    <row r="2661" spans="1:1" x14ac:dyDescent="0.3">
      <c r="A2661" s="1">
        <v>4</v>
      </c>
    </row>
    <row r="2662" spans="1:1" x14ac:dyDescent="0.3">
      <c r="A2662" s="2">
        <v>4</v>
      </c>
    </row>
    <row r="2663" spans="1:1" x14ac:dyDescent="0.3">
      <c r="A2663" s="1">
        <v>4</v>
      </c>
    </row>
    <row r="2664" spans="1:1" x14ac:dyDescent="0.3">
      <c r="A2664" s="2">
        <v>4</v>
      </c>
    </row>
    <row r="2665" spans="1:1" x14ac:dyDescent="0.3">
      <c r="A2665" s="1">
        <v>4</v>
      </c>
    </row>
    <row r="2666" spans="1:1" x14ac:dyDescent="0.3">
      <c r="A2666" s="2">
        <v>6</v>
      </c>
    </row>
    <row r="2667" spans="1:1" x14ac:dyDescent="0.3">
      <c r="A2667" s="1">
        <v>6</v>
      </c>
    </row>
    <row r="2668" spans="1:1" x14ac:dyDescent="0.3">
      <c r="A2668" s="2">
        <v>6</v>
      </c>
    </row>
    <row r="2669" spans="1:1" x14ac:dyDescent="0.3">
      <c r="A2669" s="1">
        <v>6</v>
      </c>
    </row>
    <row r="2670" spans="1:1" x14ac:dyDescent="0.3">
      <c r="A2670" s="2">
        <v>4</v>
      </c>
    </row>
    <row r="2671" spans="1:1" x14ac:dyDescent="0.3">
      <c r="A2671" s="1">
        <v>4</v>
      </c>
    </row>
    <row r="2672" spans="1:1" x14ac:dyDescent="0.3">
      <c r="A2672" s="2">
        <v>4</v>
      </c>
    </row>
    <row r="2673" spans="1:1" x14ac:dyDescent="0.3">
      <c r="A2673" s="1">
        <v>4</v>
      </c>
    </row>
    <row r="2674" spans="1:1" x14ac:dyDescent="0.3">
      <c r="A2674" s="2">
        <v>4</v>
      </c>
    </row>
    <row r="2675" spans="1:1" x14ac:dyDescent="0.3">
      <c r="A2675" s="1">
        <v>4</v>
      </c>
    </row>
    <row r="2676" spans="1:1" x14ac:dyDescent="0.3">
      <c r="A2676" s="2">
        <v>6</v>
      </c>
    </row>
    <row r="2677" spans="1:1" x14ac:dyDescent="0.3">
      <c r="A2677" s="1">
        <v>4</v>
      </c>
    </row>
    <row r="2678" spans="1:1" x14ac:dyDescent="0.3">
      <c r="A2678" s="2">
        <v>4</v>
      </c>
    </row>
    <row r="2679" spans="1:1" x14ac:dyDescent="0.3">
      <c r="A2679" s="1">
        <v>4</v>
      </c>
    </row>
    <row r="2680" spans="1:1" x14ac:dyDescent="0.3">
      <c r="A2680" s="2">
        <v>4</v>
      </c>
    </row>
    <row r="2681" spans="1:1" x14ac:dyDescent="0.3">
      <c r="A2681" s="1">
        <v>4</v>
      </c>
    </row>
    <row r="2682" spans="1:1" x14ac:dyDescent="0.3">
      <c r="A2682" s="2">
        <v>4</v>
      </c>
    </row>
    <row r="2683" spans="1:1" x14ac:dyDescent="0.3">
      <c r="A2683" s="1">
        <v>4</v>
      </c>
    </row>
    <row r="2684" spans="1:1" x14ac:dyDescent="0.3">
      <c r="A2684" s="2">
        <v>4</v>
      </c>
    </row>
    <row r="2685" spans="1:1" x14ac:dyDescent="0.3">
      <c r="A2685" s="1">
        <v>4</v>
      </c>
    </row>
    <row r="2686" spans="1:1" x14ac:dyDescent="0.3">
      <c r="A2686" s="2">
        <v>4</v>
      </c>
    </row>
    <row r="2687" spans="1:1" x14ac:dyDescent="0.3">
      <c r="A2687" s="1">
        <v>4</v>
      </c>
    </row>
    <row r="2688" spans="1:1" x14ac:dyDescent="0.3">
      <c r="A2688" s="2">
        <v>4</v>
      </c>
    </row>
    <row r="2689" spans="1:1" x14ac:dyDescent="0.3">
      <c r="A2689" s="1">
        <v>4</v>
      </c>
    </row>
    <row r="2690" spans="1:1" x14ac:dyDescent="0.3">
      <c r="A2690" s="2">
        <v>4</v>
      </c>
    </row>
    <row r="2691" spans="1:1" x14ac:dyDescent="0.3">
      <c r="A2691" s="1">
        <v>6</v>
      </c>
    </row>
    <row r="2692" spans="1:1" x14ac:dyDescent="0.3">
      <c r="A2692" s="2">
        <v>6</v>
      </c>
    </row>
    <row r="2693" spans="1:1" x14ac:dyDescent="0.3">
      <c r="A2693" s="1">
        <v>6</v>
      </c>
    </row>
    <row r="2694" spans="1:1" x14ac:dyDescent="0.3">
      <c r="A2694" s="2">
        <v>6</v>
      </c>
    </row>
    <row r="2695" spans="1:1" x14ac:dyDescent="0.3">
      <c r="A2695" s="1">
        <v>6</v>
      </c>
    </row>
    <row r="2696" spans="1:1" x14ac:dyDescent="0.3">
      <c r="A2696" s="2">
        <v>4</v>
      </c>
    </row>
    <row r="2697" spans="1:1" x14ac:dyDescent="0.3">
      <c r="A2697" s="1">
        <v>4</v>
      </c>
    </row>
    <row r="2698" spans="1:1" x14ac:dyDescent="0.3">
      <c r="A2698" s="2">
        <v>6</v>
      </c>
    </row>
    <row r="2699" spans="1:1" x14ac:dyDescent="0.3">
      <c r="A2699" s="1">
        <v>6</v>
      </c>
    </row>
    <row r="2700" spans="1:1" x14ac:dyDescent="0.3">
      <c r="A2700" s="2">
        <v>6</v>
      </c>
    </row>
    <row r="2701" spans="1:1" x14ac:dyDescent="0.3">
      <c r="A2701" s="1">
        <v>4</v>
      </c>
    </row>
    <row r="2702" spans="1:1" x14ac:dyDescent="0.3">
      <c r="A2702" s="2">
        <v>4</v>
      </c>
    </row>
    <row r="2703" spans="1:1" x14ac:dyDescent="0.3">
      <c r="A2703" s="1">
        <v>4</v>
      </c>
    </row>
    <row r="2704" spans="1:1" x14ac:dyDescent="0.3">
      <c r="A2704" s="2">
        <v>4</v>
      </c>
    </row>
    <row r="2705" spans="1:1" x14ac:dyDescent="0.3">
      <c r="A2705" s="1">
        <v>4</v>
      </c>
    </row>
    <row r="2706" spans="1:1" x14ac:dyDescent="0.3">
      <c r="A2706" s="2">
        <v>4</v>
      </c>
    </row>
    <row r="2707" spans="1:1" x14ac:dyDescent="0.3">
      <c r="A2707" s="1">
        <v>4</v>
      </c>
    </row>
    <row r="2708" spans="1:1" x14ac:dyDescent="0.3">
      <c r="A2708" s="2">
        <v>4</v>
      </c>
    </row>
    <row r="2709" spans="1:1" x14ac:dyDescent="0.3">
      <c r="A2709" s="1">
        <v>6</v>
      </c>
    </row>
    <row r="2710" spans="1:1" x14ac:dyDescent="0.3">
      <c r="A2710" s="2">
        <v>4</v>
      </c>
    </row>
    <row r="2711" spans="1:1" x14ac:dyDescent="0.3">
      <c r="A2711" s="1">
        <v>6</v>
      </c>
    </row>
    <row r="2712" spans="1:1" x14ac:dyDescent="0.3">
      <c r="A2712" s="2">
        <v>6</v>
      </c>
    </row>
    <row r="2713" spans="1:1" x14ac:dyDescent="0.3">
      <c r="A2713" s="1">
        <v>6</v>
      </c>
    </row>
    <row r="2714" spans="1:1" x14ac:dyDescent="0.3">
      <c r="A2714" s="2">
        <v>6</v>
      </c>
    </row>
    <row r="2715" spans="1:1" x14ac:dyDescent="0.3">
      <c r="A2715" s="1">
        <v>4</v>
      </c>
    </row>
    <row r="2716" spans="1:1" x14ac:dyDescent="0.3">
      <c r="A2716" s="2">
        <v>4</v>
      </c>
    </row>
    <row r="2717" spans="1:1" x14ac:dyDescent="0.3">
      <c r="A2717" s="1">
        <v>6</v>
      </c>
    </row>
    <row r="2718" spans="1:1" x14ac:dyDescent="0.3">
      <c r="A2718" s="2">
        <v>4</v>
      </c>
    </row>
    <row r="2719" spans="1:1" x14ac:dyDescent="0.3">
      <c r="A2719" s="1">
        <v>4</v>
      </c>
    </row>
    <row r="2720" spans="1:1" x14ac:dyDescent="0.3">
      <c r="A2720" s="2">
        <v>4</v>
      </c>
    </row>
    <row r="2721" spans="1:1" x14ac:dyDescent="0.3">
      <c r="A2721" s="1">
        <v>4</v>
      </c>
    </row>
    <row r="2722" spans="1:1" x14ac:dyDescent="0.3">
      <c r="A2722" s="2">
        <v>4</v>
      </c>
    </row>
    <row r="2723" spans="1:1" x14ac:dyDescent="0.3">
      <c r="A2723" s="1">
        <v>4</v>
      </c>
    </row>
    <row r="2724" spans="1:1" x14ac:dyDescent="0.3">
      <c r="A2724" s="2">
        <v>4</v>
      </c>
    </row>
    <row r="2725" spans="1:1" x14ac:dyDescent="0.3">
      <c r="A2725" s="1">
        <v>4</v>
      </c>
    </row>
    <row r="2726" spans="1:1" x14ac:dyDescent="0.3">
      <c r="A2726" s="2">
        <v>4</v>
      </c>
    </row>
    <row r="2727" spans="1:1" x14ac:dyDescent="0.3">
      <c r="A2727" s="1">
        <v>4</v>
      </c>
    </row>
    <row r="2728" spans="1:1" x14ac:dyDescent="0.3">
      <c r="A2728" s="2">
        <v>4</v>
      </c>
    </row>
    <row r="2729" spans="1:1" x14ac:dyDescent="0.3">
      <c r="A2729" s="1">
        <v>3</v>
      </c>
    </row>
    <row r="2730" spans="1:1" x14ac:dyDescent="0.3">
      <c r="A2730" s="2">
        <v>4</v>
      </c>
    </row>
    <row r="2731" spans="1:1" x14ac:dyDescent="0.3">
      <c r="A2731" s="1">
        <v>4</v>
      </c>
    </row>
    <row r="2732" spans="1:1" x14ac:dyDescent="0.3">
      <c r="A2732" s="2">
        <v>4</v>
      </c>
    </row>
    <row r="2733" spans="1:1" x14ac:dyDescent="0.3">
      <c r="A2733" s="1">
        <v>4</v>
      </c>
    </row>
    <row r="2734" spans="1:1" x14ac:dyDescent="0.3">
      <c r="A2734" s="2">
        <v>4</v>
      </c>
    </row>
    <row r="2735" spans="1:1" x14ac:dyDescent="0.3">
      <c r="A2735" s="1">
        <v>2</v>
      </c>
    </row>
    <row r="2736" spans="1:1" x14ac:dyDescent="0.3">
      <c r="A2736" s="2">
        <v>4</v>
      </c>
    </row>
    <row r="2737" spans="1:1" x14ac:dyDescent="0.3">
      <c r="A2737" s="1">
        <v>4</v>
      </c>
    </row>
    <row r="2738" spans="1:1" x14ac:dyDescent="0.3">
      <c r="A2738" s="2">
        <v>4</v>
      </c>
    </row>
    <row r="2739" spans="1:1" x14ac:dyDescent="0.3">
      <c r="A2739" s="1">
        <v>4</v>
      </c>
    </row>
    <row r="2740" spans="1:1" x14ac:dyDescent="0.3">
      <c r="A2740" s="2">
        <v>4</v>
      </c>
    </row>
    <row r="2741" spans="1:1" x14ac:dyDescent="0.3">
      <c r="A2741" s="1">
        <v>4</v>
      </c>
    </row>
    <row r="2742" spans="1:1" x14ac:dyDescent="0.3">
      <c r="A2742" s="2">
        <v>4</v>
      </c>
    </row>
    <row r="2743" spans="1:1" x14ac:dyDescent="0.3">
      <c r="A2743" s="1">
        <v>4</v>
      </c>
    </row>
    <row r="2744" spans="1:1" x14ac:dyDescent="0.3">
      <c r="A2744" s="2">
        <v>4</v>
      </c>
    </row>
    <row r="2745" spans="1:1" x14ac:dyDescent="0.3">
      <c r="A2745" s="1">
        <v>4</v>
      </c>
    </row>
    <row r="2746" spans="1:1" x14ac:dyDescent="0.3">
      <c r="A2746" s="2">
        <v>4</v>
      </c>
    </row>
    <row r="2747" spans="1:1" x14ac:dyDescent="0.3">
      <c r="A2747" s="1">
        <v>4</v>
      </c>
    </row>
    <row r="2748" spans="1:1" x14ac:dyDescent="0.3">
      <c r="A2748" s="2">
        <v>4</v>
      </c>
    </row>
    <row r="2749" spans="1:1" x14ac:dyDescent="0.3">
      <c r="A2749" s="1">
        <v>4</v>
      </c>
    </row>
    <row r="2750" spans="1:1" x14ac:dyDescent="0.3">
      <c r="A2750" s="2">
        <v>4</v>
      </c>
    </row>
    <row r="2751" spans="1:1" x14ac:dyDescent="0.3">
      <c r="A2751" s="1">
        <v>4</v>
      </c>
    </row>
    <row r="2752" spans="1:1" x14ac:dyDescent="0.3">
      <c r="A2752" s="2">
        <v>4</v>
      </c>
    </row>
    <row r="2753" spans="1:1" x14ac:dyDescent="0.3">
      <c r="A2753" s="1">
        <v>6</v>
      </c>
    </row>
    <row r="2754" spans="1:1" x14ac:dyDescent="0.3">
      <c r="A2754" s="2">
        <v>6</v>
      </c>
    </row>
    <row r="2755" spans="1:1" x14ac:dyDescent="0.3">
      <c r="A2755" s="1">
        <v>6</v>
      </c>
    </row>
    <row r="2756" spans="1:1" x14ac:dyDescent="0.3">
      <c r="A2756" s="2">
        <v>4</v>
      </c>
    </row>
    <row r="2757" spans="1:1" x14ac:dyDescent="0.3">
      <c r="A2757" s="1">
        <v>4</v>
      </c>
    </row>
    <row r="2758" spans="1:1" x14ac:dyDescent="0.3">
      <c r="A2758" s="2">
        <v>4</v>
      </c>
    </row>
    <row r="2759" spans="1:1" x14ac:dyDescent="0.3">
      <c r="A2759" s="1">
        <v>4</v>
      </c>
    </row>
    <row r="2760" spans="1:1" x14ac:dyDescent="0.3">
      <c r="A2760" s="2">
        <v>4</v>
      </c>
    </row>
    <row r="2761" spans="1:1" x14ac:dyDescent="0.3">
      <c r="A2761" s="1">
        <v>4</v>
      </c>
    </row>
    <row r="2762" spans="1:1" x14ac:dyDescent="0.3">
      <c r="A2762" s="2">
        <v>4</v>
      </c>
    </row>
    <row r="2763" spans="1:1" x14ac:dyDescent="0.3">
      <c r="A2763" s="1">
        <v>4</v>
      </c>
    </row>
    <row r="2764" spans="1:1" x14ac:dyDescent="0.3">
      <c r="A2764" s="2">
        <v>4</v>
      </c>
    </row>
    <row r="2765" spans="1:1" x14ac:dyDescent="0.3">
      <c r="A2765" s="1">
        <v>4</v>
      </c>
    </row>
    <row r="2766" spans="1:1" x14ac:dyDescent="0.3">
      <c r="A2766" s="2">
        <v>4</v>
      </c>
    </row>
    <row r="2767" spans="1:1" x14ac:dyDescent="0.3">
      <c r="A2767" s="1">
        <v>4</v>
      </c>
    </row>
    <row r="2768" spans="1:1" x14ac:dyDescent="0.3">
      <c r="A2768" s="2">
        <v>4</v>
      </c>
    </row>
    <row r="2769" spans="1:1" x14ac:dyDescent="0.3">
      <c r="A2769" s="1">
        <v>4</v>
      </c>
    </row>
    <row r="2770" spans="1:1" x14ac:dyDescent="0.3">
      <c r="A2770" s="2">
        <v>4</v>
      </c>
    </row>
    <row r="2771" spans="1:1" x14ac:dyDescent="0.3">
      <c r="A2771" s="1">
        <v>6</v>
      </c>
    </row>
    <row r="2772" spans="1:1" x14ac:dyDescent="0.3">
      <c r="A2772" s="2">
        <v>6</v>
      </c>
    </row>
    <row r="2773" spans="1:1" x14ac:dyDescent="0.3">
      <c r="A2773" s="1">
        <v>6</v>
      </c>
    </row>
    <row r="2774" spans="1:1" x14ac:dyDescent="0.3">
      <c r="A2774" s="2">
        <v>5</v>
      </c>
    </row>
    <row r="2775" spans="1:1" x14ac:dyDescent="0.3">
      <c r="A2775" s="1">
        <v>6</v>
      </c>
    </row>
    <row r="2776" spans="1:1" x14ac:dyDescent="0.3">
      <c r="A2776" s="2">
        <v>4</v>
      </c>
    </row>
    <row r="2777" spans="1:1" x14ac:dyDescent="0.3">
      <c r="A2777" s="1">
        <v>4</v>
      </c>
    </row>
    <row r="2778" spans="1:1" x14ac:dyDescent="0.3">
      <c r="A2778" s="2">
        <v>4</v>
      </c>
    </row>
    <row r="2779" spans="1:1" x14ac:dyDescent="0.3">
      <c r="A2779" s="1">
        <v>4</v>
      </c>
    </row>
    <row r="2780" spans="1:1" x14ac:dyDescent="0.3">
      <c r="A2780" s="2">
        <v>4</v>
      </c>
    </row>
    <row r="2781" spans="1:1" x14ac:dyDescent="0.3">
      <c r="A2781" s="1">
        <v>4</v>
      </c>
    </row>
    <row r="2782" spans="1:1" x14ac:dyDescent="0.3">
      <c r="A2782" s="2">
        <v>4</v>
      </c>
    </row>
    <row r="2783" spans="1:1" x14ac:dyDescent="0.3">
      <c r="A2783" s="1">
        <v>4</v>
      </c>
    </row>
    <row r="2784" spans="1:1" x14ac:dyDescent="0.3">
      <c r="A2784" s="2">
        <v>4</v>
      </c>
    </row>
    <row r="2785" spans="1:1" x14ac:dyDescent="0.3">
      <c r="A2785" s="1">
        <v>4</v>
      </c>
    </row>
    <row r="2786" spans="1:1" x14ac:dyDescent="0.3">
      <c r="A2786" s="2">
        <v>4</v>
      </c>
    </row>
    <row r="2787" spans="1:1" x14ac:dyDescent="0.3">
      <c r="A2787" s="1">
        <v>4</v>
      </c>
    </row>
    <row r="2788" spans="1:1" x14ac:dyDescent="0.3">
      <c r="A2788" s="2">
        <v>6</v>
      </c>
    </row>
    <row r="2789" spans="1:1" x14ac:dyDescent="0.3">
      <c r="A2789" s="1">
        <v>5</v>
      </c>
    </row>
    <row r="2790" spans="1:1" x14ac:dyDescent="0.3">
      <c r="A2790" s="2">
        <v>6</v>
      </c>
    </row>
    <row r="2791" spans="1:1" x14ac:dyDescent="0.3">
      <c r="A2791" s="1">
        <v>6</v>
      </c>
    </row>
    <row r="2792" spans="1:1" x14ac:dyDescent="0.3">
      <c r="A2792" s="2">
        <v>4</v>
      </c>
    </row>
    <row r="2793" spans="1:1" x14ac:dyDescent="0.3">
      <c r="A2793" s="1">
        <v>4</v>
      </c>
    </row>
    <row r="2794" spans="1:1" x14ac:dyDescent="0.3">
      <c r="A2794" s="2">
        <v>4</v>
      </c>
    </row>
    <row r="2795" spans="1:1" x14ac:dyDescent="0.3">
      <c r="A2795" s="1">
        <v>4</v>
      </c>
    </row>
    <row r="2796" spans="1:1" x14ac:dyDescent="0.3">
      <c r="A2796" s="2">
        <v>4</v>
      </c>
    </row>
    <row r="2797" spans="1:1" x14ac:dyDescent="0.3">
      <c r="A2797" s="1">
        <v>6</v>
      </c>
    </row>
    <row r="2798" spans="1:1" x14ac:dyDescent="0.3">
      <c r="A2798" s="2">
        <v>6</v>
      </c>
    </row>
    <row r="2799" spans="1:1" x14ac:dyDescent="0.3">
      <c r="A2799" s="1">
        <v>6</v>
      </c>
    </row>
    <row r="2800" spans="1:1" x14ac:dyDescent="0.3">
      <c r="A2800" s="2">
        <v>4</v>
      </c>
    </row>
    <row r="2801" spans="1:1" x14ac:dyDescent="0.3">
      <c r="A2801" s="1">
        <v>4</v>
      </c>
    </row>
    <row r="2802" spans="1:1" x14ac:dyDescent="0.3">
      <c r="A2802" s="2">
        <v>4</v>
      </c>
    </row>
    <row r="2803" spans="1:1" x14ac:dyDescent="0.3">
      <c r="A2803" s="1">
        <v>4</v>
      </c>
    </row>
    <row r="2804" spans="1:1" x14ac:dyDescent="0.3">
      <c r="A2804" s="2">
        <v>4</v>
      </c>
    </row>
    <row r="2805" spans="1:1" x14ac:dyDescent="0.3">
      <c r="A2805" s="1">
        <v>4</v>
      </c>
    </row>
    <row r="2806" spans="1:1" x14ac:dyDescent="0.3">
      <c r="A2806" s="2">
        <v>4</v>
      </c>
    </row>
    <row r="2807" spans="1:1" x14ac:dyDescent="0.3">
      <c r="A2807" s="1">
        <v>4</v>
      </c>
    </row>
    <row r="2808" spans="1:1" x14ac:dyDescent="0.3">
      <c r="A2808" s="2">
        <v>4</v>
      </c>
    </row>
    <row r="2809" spans="1:1" x14ac:dyDescent="0.3">
      <c r="A2809" s="1">
        <v>4</v>
      </c>
    </row>
    <row r="2810" spans="1:1" x14ac:dyDescent="0.3">
      <c r="A2810" s="2">
        <v>4</v>
      </c>
    </row>
    <row r="2811" spans="1:1" x14ac:dyDescent="0.3">
      <c r="A2811" s="1">
        <v>4</v>
      </c>
    </row>
    <row r="2812" spans="1:1" x14ac:dyDescent="0.3">
      <c r="A2812" s="2">
        <v>4</v>
      </c>
    </row>
    <row r="2813" spans="1:1" x14ac:dyDescent="0.3">
      <c r="A2813" s="1">
        <v>4</v>
      </c>
    </row>
    <row r="2814" spans="1:1" x14ac:dyDescent="0.3">
      <c r="A2814" s="2">
        <v>4</v>
      </c>
    </row>
    <row r="2815" spans="1:1" x14ac:dyDescent="0.3">
      <c r="A2815" s="1">
        <v>4</v>
      </c>
    </row>
    <row r="2816" spans="1:1" x14ac:dyDescent="0.3">
      <c r="A2816" s="2">
        <v>4</v>
      </c>
    </row>
    <row r="2817" spans="1:1" x14ac:dyDescent="0.3">
      <c r="A2817" s="1">
        <v>4</v>
      </c>
    </row>
    <row r="2818" spans="1:1" x14ac:dyDescent="0.3">
      <c r="A2818" s="2">
        <v>4</v>
      </c>
    </row>
    <row r="2819" spans="1:1" x14ac:dyDescent="0.3">
      <c r="A2819" s="1">
        <v>6</v>
      </c>
    </row>
    <row r="2820" spans="1:1" x14ac:dyDescent="0.3">
      <c r="A2820" s="2">
        <v>4</v>
      </c>
    </row>
    <row r="2821" spans="1:1" x14ac:dyDescent="0.3">
      <c r="A2821" s="1">
        <v>4</v>
      </c>
    </row>
    <row r="2822" spans="1:1" x14ac:dyDescent="0.3">
      <c r="A2822" s="2">
        <v>4</v>
      </c>
    </row>
    <row r="2823" spans="1:1" x14ac:dyDescent="0.3">
      <c r="A2823" s="1">
        <v>4</v>
      </c>
    </row>
    <row r="2824" spans="1:1" x14ac:dyDescent="0.3">
      <c r="A2824" s="2">
        <v>4</v>
      </c>
    </row>
    <row r="2825" spans="1:1" x14ac:dyDescent="0.3">
      <c r="A2825" s="1">
        <v>4</v>
      </c>
    </row>
    <row r="2826" spans="1:1" x14ac:dyDescent="0.3">
      <c r="A2826" s="2">
        <v>4</v>
      </c>
    </row>
    <row r="2827" spans="1:1" x14ac:dyDescent="0.3">
      <c r="A2827" s="1">
        <v>4</v>
      </c>
    </row>
    <row r="2828" spans="1:1" x14ac:dyDescent="0.3">
      <c r="A2828" s="2">
        <v>4</v>
      </c>
    </row>
    <row r="2829" spans="1:1" x14ac:dyDescent="0.3">
      <c r="A2829" s="1">
        <v>4</v>
      </c>
    </row>
    <row r="2830" spans="1:1" x14ac:dyDescent="0.3">
      <c r="A2830" s="2">
        <v>4</v>
      </c>
    </row>
    <row r="2831" spans="1:1" x14ac:dyDescent="0.3">
      <c r="A2831" s="1">
        <v>6</v>
      </c>
    </row>
    <row r="2832" spans="1:1" x14ac:dyDescent="0.3">
      <c r="A2832" s="2">
        <v>6</v>
      </c>
    </row>
    <row r="2833" spans="1:1" x14ac:dyDescent="0.3">
      <c r="A2833" s="1">
        <v>6</v>
      </c>
    </row>
    <row r="2834" spans="1:1" x14ac:dyDescent="0.3">
      <c r="A2834" s="2">
        <v>6</v>
      </c>
    </row>
    <row r="2835" spans="1:1" x14ac:dyDescent="0.3">
      <c r="A2835" s="1">
        <v>6</v>
      </c>
    </row>
    <row r="2836" spans="1:1" x14ac:dyDescent="0.3">
      <c r="A2836" s="2">
        <v>6</v>
      </c>
    </row>
    <row r="2837" spans="1:1" x14ac:dyDescent="0.3">
      <c r="A2837" s="1">
        <v>6</v>
      </c>
    </row>
    <row r="2838" spans="1:1" x14ac:dyDescent="0.3">
      <c r="A2838" s="2">
        <v>6</v>
      </c>
    </row>
    <row r="2839" spans="1:1" x14ac:dyDescent="0.3">
      <c r="A2839" s="1">
        <v>6</v>
      </c>
    </row>
    <row r="2840" spans="1:1" x14ac:dyDescent="0.3">
      <c r="A2840" s="2">
        <v>6</v>
      </c>
    </row>
    <row r="2841" spans="1:1" x14ac:dyDescent="0.3">
      <c r="A2841" s="1">
        <v>6</v>
      </c>
    </row>
    <row r="2842" spans="1:1" x14ac:dyDescent="0.3">
      <c r="A2842" s="2">
        <v>6</v>
      </c>
    </row>
    <row r="2843" spans="1:1" x14ac:dyDescent="0.3">
      <c r="A2843" s="1">
        <v>6</v>
      </c>
    </row>
    <row r="2844" spans="1:1" x14ac:dyDescent="0.3">
      <c r="A2844" s="2">
        <v>6</v>
      </c>
    </row>
    <row r="2845" spans="1:1" x14ac:dyDescent="0.3">
      <c r="A2845" s="1">
        <v>6</v>
      </c>
    </row>
    <row r="2846" spans="1:1" x14ac:dyDescent="0.3">
      <c r="A2846" s="2">
        <v>6</v>
      </c>
    </row>
    <row r="2847" spans="1:1" x14ac:dyDescent="0.3">
      <c r="A2847" s="1">
        <v>6</v>
      </c>
    </row>
    <row r="2848" spans="1:1" x14ac:dyDescent="0.3">
      <c r="A2848" s="2">
        <v>6</v>
      </c>
    </row>
    <row r="2849" spans="1:1" x14ac:dyDescent="0.3">
      <c r="A2849" s="1">
        <v>6</v>
      </c>
    </row>
    <row r="2850" spans="1:1" x14ac:dyDescent="0.3">
      <c r="A2850" s="2">
        <v>6</v>
      </c>
    </row>
    <row r="2851" spans="1:1" x14ac:dyDescent="0.3">
      <c r="A2851" s="1">
        <v>6</v>
      </c>
    </row>
    <row r="2852" spans="1:1" x14ac:dyDescent="0.3">
      <c r="A2852" s="2">
        <v>6</v>
      </c>
    </row>
    <row r="2853" spans="1:1" x14ac:dyDescent="0.3">
      <c r="A2853" s="1">
        <v>6</v>
      </c>
    </row>
    <row r="2854" spans="1:1" x14ac:dyDescent="0.3">
      <c r="A2854" s="2">
        <v>6</v>
      </c>
    </row>
    <row r="2855" spans="1:1" x14ac:dyDescent="0.3">
      <c r="A2855" s="1">
        <v>6</v>
      </c>
    </row>
    <row r="2856" spans="1:1" x14ac:dyDescent="0.3">
      <c r="A2856" s="2">
        <v>6</v>
      </c>
    </row>
    <row r="2857" spans="1:1" x14ac:dyDescent="0.3">
      <c r="A2857" s="1">
        <v>4</v>
      </c>
    </row>
    <row r="2858" spans="1:1" x14ac:dyDescent="0.3">
      <c r="A2858" s="2">
        <v>4</v>
      </c>
    </row>
    <row r="2859" spans="1:1" x14ac:dyDescent="0.3">
      <c r="A2859" s="1">
        <v>4</v>
      </c>
    </row>
    <row r="2860" spans="1:1" x14ac:dyDescent="0.3">
      <c r="A2860" s="2">
        <v>4</v>
      </c>
    </row>
    <row r="2861" spans="1:1" x14ac:dyDescent="0.3">
      <c r="A2861" s="1">
        <v>4</v>
      </c>
    </row>
    <row r="2862" spans="1:1" x14ac:dyDescent="0.3">
      <c r="A2862" s="2">
        <v>6</v>
      </c>
    </row>
    <row r="2863" spans="1:1" x14ac:dyDescent="0.3">
      <c r="A2863" s="1">
        <v>4</v>
      </c>
    </row>
    <row r="2864" spans="1:1" x14ac:dyDescent="0.3">
      <c r="A2864" s="2">
        <v>4</v>
      </c>
    </row>
    <row r="2865" spans="1:1" x14ac:dyDescent="0.3">
      <c r="A2865" s="1">
        <v>4</v>
      </c>
    </row>
    <row r="2866" spans="1:1" x14ac:dyDescent="0.3">
      <c r="A2866" s="2">
        <v>4</v>
      </c>
    </row>
    <row r="2867" spans="1:1" x14ac:dyDescent="0.3">
      <c r="A2867" s="1">
        <v>6</v>
      </c>
    </row>
    <row r="2868" spans="1:1" x14ac:dyDescent="0.3">
      <c r="A2868" s="2">
        <v>4</v>
      </c>
    </row>
    <row r="2869" spans="1:1" x14ac:dyDescent="0.3">
      <c r="A2869" s="1">
        <v>6</v>
      </c>
    </row>
    <row r="2870" spans="1:1" x14ac:dyDescent="0.3">
      <c r="A2870" s="2">
        <v>4</v>
      </c>
    </row>
    <row r="2871" spans="1:1" x14ac:dyDescent="0.3">
      <c r="A2871" s="1">
        <v>4</v>
      </c>
    </row>
    <row r="2872" spans="1:1" x14ac:dyDescent="0.3">
      <c r="A2872" s="2">
        <v>4</v>
      </c>
    </row>
    <row r="2873" spans="1:1" x14ac:dyDescent="0.3">
      <c r="A2873" s="1">
        <v>4</v>
      </c>
    </row>
    <row r="2874" spans="1:1" x14ac:dyDescent="0.3">
      <c r="A2874" s="2">
        <v>4</v>
      </c>
    </row>
    <row r="2875" spans="1:1" x14ac:dyDescent="0.3">
      <c r="A2875" s="1">
        <v>4</v>
      </c>
    </row>
    <row r="2876" spans="1:1" x14ac:dyDescent="0.3">
      <c r="A2876" s="2">
        <v>4</v>
      </c>
    </row>
    <row r="2877" spans="1:1" x14ac:dyDescent="0.3">
      <c r="A2877" s="1">
        <v>4</v>
      </c>
    </row>
    <row r="2878" spans="1:1" x14ac:dyDescent="0.3">
      <c r="A2878" s="2">
        <v>4</v>
      </c>
    </row>
    <row r="2879" spans="1:1" x14ac:dyDescent="0.3">
      <c r="A2879" s="1">
        <v>4</v>
      </c>
    </row>
    <row r="2880" spans="1:1" x14ac:dyDescent="0.3">
      <c r="A2880" s="2">
        <v>4</v>
      </c>
    </row>
    <row r="2881" spans="1:1" x14ac:dyDescent="0.3">
      <c r="A2881" s="1">
        <v>4</v>
      </c>
    </row>
    <row r="2882" spans="1:1" x14ac:dyDescent="0.3">
      <c r="A2882" s="2">
        <v>4</v>
      </c>
    </row>
    <row r="2883" spans="1:1" x14ac:dyDescent="0.3">
      <c r="A2883" s="1">
        <v>4</v>
      </c>
    </row>
    <row r="2884" spans="1:1" x14ac:dyDescent="0.3">
      <c r="A2884" s="2">
        <v>4</v>
      </c>
    </row>
    <row r="2885" spans="1:1" x14ac:dyDescent="0.3">
      <c r="A2885" s="1">
        <v>4</v>
      </c>
    </row>
    <row r="2886" spans="1:1" x14ac:dyDescent="0.3">
      <c r="A2886" s="2">
        <v>4</v>
      </c>
    </row>
    <row r="2887" spans="1:1" x14ac:dyDescent="0.3">
      <c r="A2887" s="1">
        <v>4</v>
      </c>
    </row>
    <row r="2888" spans="1:1" x14ac:dyDescent="0.3">
      <c r="A2888" s="2">
        <v>4</v>
      </c>
    </row>
    <row r="2889" spans="1:1" x14ac:dyDescent="0.3">
      <c r="A2889" s="1">
        <v>4</v>
      </c>
    </row>
    <row r="2890" spans="1:1" x14ac:dyDescent="0.3">
      <c r="A2890" s="2">
        <v>4</v>
      </c>
    </row>
    <row r="2891" spans="1:1" x14ac:dyDescent="0.3">
      <c r="A2891" s="1">
        <v>6</v>
      </c>
    </row>
    <row r="2892" spans="1:1" x14ac:dyDescent="0.3">
      <c r="A2892" s="2">
        <v>4</v>
      </c>
    </row>
    <row r="2893" spans="1:1" x14ac:dyDescent="0.3">
      <c r="A2893" s="1">
        <v>4</v>
      </c>
    </row>
    <row r="2894" spans="1:1" x14ac:dyDescent="0.3">
      <c r="A2894" s="2">
        <v>4</v>
      </c>
    </row>
    <row r="2895" spans="1:1" x14ac:dyDescent="0.3">
      <c r="A2895" s="1">
        <v>4</v>
      </c>
    </row>
    <row r="2896" spans="1:1" x14ac:dyDescent="0.3">
      <c r="A2896" s="2">
        <v>4</v>
      </c>
    </row>
    <row r="2897" spans="1:1" x14ac:dyDescent="0.3">
      <c r="A2897" s="1">
        <v>4</v>
      </c>
    </row>
    <row r="2898" spans="1:1" x14ac:dyDescent="0.3">
      <c r="A2898" s="2">
        <v>4</v>
      </c>
    </row>
    <row r="2899" spans="1:1" x14ac:dyDescent="0.3">
      <c r="A2899" s="1">
        <v>4</v>
      </c>
    </row>
    <row r="2900" spans="1:1" x14ac:dyDescent="0.3">
      <c r="A2900" s="2">
        <v>4</v>
      </c>
    </row>
    <row r="2901" spans="1:1" x14ac:dyDescent="0.3">
      <c r="A2901" s="1">
        <v>4</v>
      </c>
    </row>
    <row r="2902" spans="1:1" x14ac:dyDescent="0.3">
      <c r="A2902" s="2">
        <v>4</v>
      </c>
    </row>
    <row r="2903" spans="1:1" x14ac:dyDescent="0.3">
      <c r="A2903" s="1">
        <v>4</v>
      </c>
    </row>
    <row r="2904" spans="1:1" x14ac:dyDescent="0.3">
      <c r="A2904" s="2">
        <v>4</v>
      </c>
    </row>
    <row r="2905" spans="1:1" x14ac:dyDescent="0.3">
      <c r="A2905" s="1">
        <v>4</v>
      </c>
    </row>
    <row r="2906" spans="1:1" x14ac:dyDescent="0.3">
      <c r="A2906" s="2">
        <v>4</v>
      </c>
    </row>
    <row r="2907" spans="1:1" x14ac:dyDescent="0.3">
      <c r="A2907" s="1">
        <v>4</v>
      </c>
    </row>
    <row r="2908" spans="1:1" x14ac:dyDescent="0.3">
      <c r="A2908" s="2">
        <v>4</v>
      </c>
    </row>
    <row r="2909" spans="1:1" x14ac:dyDescent="0.3">
      <c r="A2909" s="1">
        <v>4</v>
      </c>
    </row>
    <row r="2910" spans="1:1" x14ac:dyDescent="0.3">
      <c r="A2910" s="2">
        <v>4</v>
      </c>
    </row>
    <row r="2911" spans="1:1" x14ac:dyDescent="0.3">
      <c r="A2911" s="1">
        <v>4</v>
      </c>
    </row>
    <row r="2912" spans="1:1" x14ac:dyDescent="0.3">
      <c r="A2912" s="2">
        <v>4</v>
      </c>
    </row>
    <row r="2913" spans="1:1" x14ac:dyDescent="0.3">
      <c r="A2913" s="1">
        <v>4</v>
      </c>
    </row>
    <row r="2914" spans="1:1" x14ac:dyDescent="0.3">
      <c r="A2914" s="2">
        <v>4</v>
      </c>
    </row>
    <row r="2915" spans="1:1" x14ac:dyDescent="0.3">
      <c r="A2915" s="1">
        <v>4</v>
      </c>
    </row>
    <row r="2916" spans="1:1" x14ac:dyDescent="0.3">
      <c r="A2916" s="2">
        <v>4</v>
      </c>
    </row>
    <row r="2917" spans="1:1" x14ac:dyDescent="0.3">
      <c r="A2917" s="1">
        <v>4</v>
      </c>
    </row>
    <row r="2918" spans="1:1" x14ac:dyDescent="0.3">
      <c r="A2918" s="2">
        <v>4</v>
      </c>
    </row>
    <row r="2919" spans="1:1" x14ac:dyDescent="0.3">
      <c r="A2919" s="1">
        <v>4</v>
      </c>
    </row>
    <row r="2920" spans="1:1" x14ac:dyDescent="0.3">
      <c r="A2920" s="2">
        <v>4</v>
      </c>
    </row>
    <row r="2921" spans="1:1" x14ac:dyDescent="0.3">
      <c r="A2921" s="1">
        <v>4</v>
      </c>
    </row>
    <row r="2922" spans="1:1" x14ac:dyDescent="0.3">
      <c r="A2922" s="2">
        <v>4</v>
      </c>
    </row>
    <row r="2923" spans="1:1" x14ac:dyDescent="0.3">
      <c r="A2923" s="1">
        <v>4</v>
      </c>
    </row>
    <row r="2924" spans="1:1" x14ac:dyDescent="0.3">
      <c r="A2924" s="2">
        <v>5</v>
      </c>
    </row>
    <row r="2925" spans="1:1" x14ac:dyDescent="0.3">
      <c r="A2925" s="1">
        <v>4</v>
      </c>
    </row>
    <row r="2926" spans="1:1" x14ac:dyDescent="0.3">
      <c r="A2926" s="2">
        <v>4</v>
      </c>
    </row>
    <row r="2927" spans="1:1" x14ac:dyDescent="0.3">
      <c r="A2927" s="1">
        <v>4</v>
      </c>
    </row>
    <row r="2928" spans="1:1" x14ac:dyDescent="0.3">
      <c r="A2928" s="2">
        <v>4</v>
      </c>
    </row>
    <row r="2929" spans="1:1" x14ac:dyDescent="0.3">
      <c r="A2929" s="1">
        <v>4</v>
      </c>
    </row>
    <row r="2930" spans="1:1" x14ac:dyDescent="0.3">
      <c r="A2930" s="2">
        <v>4</v>
      </c>
    </row>
    <row r="2931" spans="1:1" x14ac:dyDescent="0.3">
      <c r="A2931" s="1">
        <v>4</v>
      </c>
    </row>
    <row r="2932" spans="1:1" x14ac:dyDescent="0.3">
      <c r="A2932" s="2">
        <v>5</v>
      </c>
    </row>
    <row r="2933" spans="1:1" x14ac:dyDescent="0.3">
      <c r="A2933" s="1">
        <v>4</v>
      </c>
    </row>
    <row r="2934" spans="1:1" x14ac:dyDescent="0.3">
      <c r="A2934" s="2">
        <v>4</v>
      </c>
    </row>
    <row r="2935" spans="1:1" x14ac:dyDescent="0.3">
      <c r="A2935" s="1">
        <v>4</v>
      </c>
    </row>
    <row r="2936" spans="1:1" x14ac:dyDescent="0.3">
      <c r="A2936" s="2">
        <v>4</v>
      </c>
    </row>
    <row r="2937" spans="1:1" x14ac:dyDescent="0.3">
      <c r="A2937" s="1">
        <v>4</v>
      </c>
    </row>
    <row r="2938" spans="1:1" x14ac:dyDescent="0.3">
      <c r="A2938" s="2">
        <v>4</v>
      </c>
    </row>
    <row r="2939" spans="1:1" x14ac:dyDescent="0.3">
      <c r="A2939" s="1">
        <v>4</v>
      </c>
    </row>
    <row r="2940" spans="1:1" x14ac:dyDescent="0.3">
      <c r="A2940" s="2">
        <v>4</v>
      </c>
    </row>
    <row r="2941" spans="1:1" x14ac:dyDescent="0.3">
      <c r="A2941" s="1">
        <v>4</v>
      </c>
    </row>
    <row r="2942" spans="1:1" x14ac:dyDescent="0.3">
      <c r="A2942" s="2">
        <v>6</v>
      </c>
    </row>
    <row r="2943" spans="1:1" x14ac:dyDescent="0.3">
      <c r="A2943" s="1">
        <v>6</v>
      </c>
    </row>
    <row r="2944" spans="1:1" x14ac:dyDescent="0.3">
      <c r="A2944" s="2">
        <v>6</v>
      </c>
    </row>
    <row r="2945" spans="1:1" x14ac:dyDescent="0.3">
      <c r="A2945" s="1">
        <v>4</v>
      </c>
    </row>
    <row r="2946" spans="1:1" x14ac:dyDescent="0.3">
      <c r="A2946" s="2">
        <v>4</v>
      </c>
    </row>
    <row r="2947" spans="1:1" x14ac:dyDescent="0.3">
      <c r="A2947" s="1">
        <v>4</v>
      </c>
    </row>
    <row r="2948" spans="1:1" x14ac:dyDescent="0.3">
      <c r="A2948" s="2">
        <v>4</v>
      </c>
    </row>
    <row r="2949" spans="1:1" x14ac:dyDescent="0.3">
      <c r="A2949" s="1">
        <v>4</v>
      </c>
    </row>
    <row r="2950" spans="1:1" x14ac:dyDescent="0.3">
      <c r="A2950" s="2">
        <v>4</v>
      </c>
    </row>
    <row r="2951" spans="1:1" x14ac:dyDescent="0.3">
      <c r="A2951" s="1">
        <v>4</v>
      </c>
    </row>
    <row r="2952" spans="1:1" x14ac:dyDescent="0.3">
      <c r="A2952" s="2">
        <v>4</v>
      </c>
    </row>
    <row r="2953" spans="1:1" x14ac:dyDescent="0.3">
      <c r="A2953" s="1">
        <v>4</v>
      </c>
    </row>
    <row r="2954" spans="1:1" x14ac:dyDescent="0.3">
      <c r="A2954" s="2">
        <v>4</v>
      </c>
    </row>
    <row r="2955" spans="1:1" x14ac:dyDescent="0.3">
      <c r="A2955" s="1">
        <v>4</v>
      </c>
    </row>
    <row r="2956" spans="1:1" x14ac:dyDescent="0.3">
      <c r="A2956" s="2">
        <v>6</v>
      </c>
    </row>
    <row r="2957" spans="1:1" x14ac:dyDescent="0.3">
      <c r="A2957" s="1">
        <v>4</v>
      </c>
    </row>
    <row r="2958" spans="1:1" x14ac:dyDescent="0.3">
      <c r="A2958" s="2">
        <v>4</v>
      </c>
    </row>
    <row r="2959" spans="1:1" x14ac:dyDescent="0.3">
      <c r="A2959" s="1">
        <v>4</v>
      </c>
    </row>
    <row r="2960" spans="1:1" x14ac:dyDescent="0.3">
      <c r="A2960" s="2">
        <v>4</v>
      </c>
    </row>
    <row r="2961" spans="1:1" x14ac:dyDescent="0.3">
      <c r="A2961" s="1">
        <v>6</v>
      </c>
    </row>
    <row r="2962" spans="1:1" x14ac:dyDescent="0.3">
      <c r="A2962" s="2">
        <v>2</v>
      </c>
    </row>
    <row r="2963" spans="1:1" x14ac:dyDescent="0.3">
      <c r="A2963" s="1">
        <v>4</v>
      </c>
    </row>
    <row r="2964" spans="1:1" x14ac:dyDescent="0.3">
      <c r="A2964" s="2">
        <v>4</v>
      </c>
    </row>
    <row r="2965" spans="1:1" x14ac:dyDescent="0.3">
      <c r="A2965" s="1">
        <v>6</v>
      </c>
    </row>
    <row r="2966" spans="1:1" x14ac:dyDescent="0.3">
      <c r="A2966" s="2">
        <v>6</v>
      </c>
    </row>
    <row r="2967" spans="1:1" x14ac:dyDescent="0.3">
      <c r="A2967" s="1">
        <v>6</v>
      </c>
    </row>
    <row r="2968" spans="1:1" x14ac:dyDescent="0.3">
      <c r="A2968" s="2">
        <v>6</v>
      </c>
    </row>
    <row r="2969" spans="1:1" x14ac:dyDescent="0.3">
      <c r="A2969" s="1">
        <v>6</v>
      </c>
    </row>
    <row r="2970" spans="1:1" x14ac:dyDescent="0.3">
      <c r="A2970" s="2">
        <v>4</v>
      </c>
    </row>
    <row r="2971" spans="1:1" x14ac:dyDescent="0.3">
      <c r="A2971" s="1">
        <v>4</v>
      </c>
    </row>
    <row r="2972" spans="1:1" x14ac:dyDescent="0.3">
      <c r="A2972" s="2">
        <v>4</v>
      </c>
    </row>
    <row r="2973" spans="1:1" x14ac:dyDescent="0.3">
      <c r="A2973" s="1">
        <v>4</v>
      </c>
    </row>
    <row r="2974" spans="1:1" x14ac:dyDescent="0.3">
      <c r="A2974" s="2">
        <v>6</v>
      </c>
    </row>
    <row r="2975" spans="1:1" x14ac:dyDescent="0.3">
      <c r="A2975" s="1">
        <v>4</v>
      </c>
    </row>
    <row r="2976" spans="1:1" x14ac:dyDescent="0.3">
      <c r="A2976" s="2">
        <v>4</v>
      </c>
    </row>
    <row r="2977" spans="1:1" x14ac:dyDescent="0.3">
      <c r="A2977" s="1">
        <v>4</v>
      </c>
    </row>
    <row r="2978" spans="1:1" x14ac:dyDescent="0.3">
      <c r="A2978" s="2">
        <v>4</v>
      </c>
    </row>
    <row r="2979" spans="1:1" x14ac:dyDescent="0.3">
      <c r="A2979" s="1">
        <v>6</v>
      </c>
    </row>
    <row r="2980" spans="1:1" x14ac:dyDescent="0.3">
      <c r="A2980" s="2">
        <v>6</v>
      </c>
    </row>
    <row r="2981" spans="1:1" x14ac:dyDescent="0.3">
      <c r="A2981" s="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8BB8-BF68-4F6F-B7EB-A6F3D65A3FFA}">
  <dimension ref="A1:E2981"/>
  <sheetViews>
    <sheetView workbookViewId="0">
      <selection activeCell="H9" sqref="H9"/>
    </sheetView>
  </sheetViews>
  <sheetFormatPr baseColWidth="10" defaultRowHeight="14.4" x14ac:dyDescent="0.3"/>
  <sheetData>
    <row r="1" spans="1:5" x14ac:dyDescent="0.3">
      <c r="A1" s="1" t="s">
        <v>63</v>
      </c>
      <c r="C1" t="str" cm="1">
        <f t="array" ref="C1:C4">_xlfn.UNIQUE(A1:A2981)</f>
        <v>Sólido</v>
      </c>
      <c r="D1">
        <f>COUNTIF(A$1:A$2981,C1)</f>
        <v>2304</v>
      </c>
      <c r="E1" s="48">
        <f>D1/D$5*100</f>
        <v>79.475681269403239</v>
      </c>
    </row>
    <row r="2" spans="1:5" x14ac:dyDescent="0.3">
      <c r="A2" s="2" t="s">
        <v>63</v>
      </c>
      <c r="C2" t="str">
        <v>Semisólido</v>
      </c>
      <c r="D2">
        <f t="shared" ref="D2:D5" si="0">COUNTIF(A$1:A$2981,C2)</f>
        <v>156</v>
      </c>
      <c r="E2" s="48">
        <f t="shared" ref="E2:E3" si="1">D2/D$5*100</f>
        <v>5.3811659192825116</v>
      </c>
    </row>
    <row r="3" spans="1:5" x14ac:dyDescent="0.3">
      <c r="A3" s="1" t="s">
        <v>63</v>
      </c>
      <c r="C3" t="str">
        <v>Líquido</v>
      </c>
      <c r="D3">
        <f t="shared" si="0"/>
        <v>439</v>
      </c>
      <c r="E3" s="48">
        <f t="shared" si="1"/>
        <v>15.143152811314245</v>
      </c>
    </row>
    <row r="4" spans="1:5" x14ac:dyDescent="0.3">
      <c r="A4" s="2" t="s">
        <v>63</v>
      </c>
      <c r="C4">
        <v>0</v>
      </c>
      <c r="D4">
        <f t="shared" si="0"/>
        <v>0</v>
      </c>
    </row>
    <row r="5" spans="1:5" x14ac:dyDescent="0.3">
      <c r="A5" s="1" t="s">
        <v>63</v>
      </c>
      <c r="D5">
        <f>SUM(D1:D3)</f>
        <v>2899</v>
      </c>
      <c r="E5">
        <f>SUM(E1:E3)</f>
        <v>100</v>
      </c>
    </row>
    <row r="6" spans="1:5" x14ac:dyDescent="0.3">
      <c r="A6" s="2" t="s">
        <v>63</v>
      </c>
    </row>
    <row r="7" spans="1:5" x14ac:dyDescent="0.3">
      <c r="A7" s="1" t="s">
        <v>63</v>
      </c>
    </row>
    <row r="8" spans="1:5" x14ac:dyDescent="0.3">
      <c r="A8" s="2" t="s">
        <v>63</v>
      </c>
    </row>
    <row r="9" spans="1:5" x14ac:dyDescent="0.3">
      <c r="A9" s="1" t="s">
        <v>63</v>
      </c>
    </row>
    <row r="10" spans="1:5" x14ac:dyDescent="0.3">
      <c r="A10" s="2" t="s">
        <v>63</v>
      </c>
    </row>
    <row r="11" spans="1:5" x14ac:dyDescent="0.3">
      <c r="A11" s="1" t="s">
        <v>63</v>
      </c>
    </row>
    <row r="12" spans="1:5" x14ac:dyDescent="0.3">
      <c r="A12" s="2" t="s">
        <v>63</v>
      </c>
    </row>
    <row r="13" spans="1:5" x14ac:dyDescent="0.3">
      <c r="A13" s="1" t="s">
        <v>63</v>
      </c>
    </row>
    <row r="14" spans="1:5" x14ac:dyDescent="0.3">
      <c r="A14" s="2" t="s">
        <v>63</v>
      </c>
    </row>
    <row r="15" spans="1:5" x14ac:dyDescent="0.3">
      <c r="A15" s="1" t="s">
        <v>63</v>
      </c>
    </row>
    <row r="16" spans="1:5" x14ac:dyDescent="0.3">
      <c r="A16" s="2" t="s">
        <v>63</v>
      </c>
    </row>
    <row r="17" spans="1:1" x14ac:dyDescent="0.3">
      <c r="A17" s="1" t="s">
        <v>63</v>
      </c>
    </row>
    <row r="18" spans="1:1" x14ac:dyDescent="0.3">
      <c r="A18" s="2" t="s">
        <v>63</v>
      </c>
    </row>
    <row r="19" spans="1:1" x14ac:dyDescent="0.3">
      <c r="A19" s="1" t="s">
        <v>63</v>
      </c>
    </row>
    <row r="20" spans="1:1" x14ac:dyDescent="0.3">
      <c r="A20" s="2" t="s">
        <v>63</v>
      </c>
    </row>
    <row r="21" spans="1:1" x14ac:dyDescent="0.3">
      <c r="A21" s="1" t="s">
        <v>63</v>
      </c>
    </row>
    <row r="22" spans="1:1" x14ac:dyDescent="0.3">
      <c r="A22" s="2" t="s">
        <v>63</v>
      </c>
    </row>
    <row r="23" spans="1:1" x14ac:dyDescent="0.3">
      <c r="A23" s="1" t="s">
        <v>63</v>
      </c>
    </row>
    <row r="24" spans="1:1" x14ac:dyDescent="0.3">
      <c r="A24" s="2" t="s">
        <v>63</v>
      </c>
    </row>
    <row r="25" spans="1:1" x14ac:dyDescent="0.3">
      <c r="A25" s="1" t="s">
        <v>63</v>
      </c>
    </row>
    <row r="26" spans="1:1" x14ac:dyDescent="0.3">
      <c r="A26" s="2" t="s">
        <v>63</v>
      </c>
    </row>
    <row r="27" spans="1:1" x14ac:dyDescent="0.3">
      <c r="A27" s="1" t="s">
        <v>63</v>
      </c>
    </row>
    <row r="28" spans="1:1" x14ac:dyDescent="0.3">
      <c r="A28" s="2" t="s">
        <v>63</v>
      </c>
    </row>
    <row r="29" spans="1:1" x14ac:dyDescent="0.3">
      <c r="A29" s="1" t="s">
        <v>63</v>
      </c>
    </row>
    <row r="30" spans="1:1" x14ac:dyDescent="0.3">
      <c r="A30" s="2" t="s">
        <v>63</v>
      </c>
    </row>
    <row r="31" spans="1:1" x14ac:dyDescent="0.3">
      <c r="A31" s="1" t="s">
        <v>63</v>
      </c>
    </row>
    <row r="32" spans="1:1" x14ac:dyDescent="0.3">
      <c r="A32" s="2" t="s">
        <v>63</v>
      </c>
    </row>
    <row r="33" spans="1:1" x14ac:dyDescent="0.3">
      <c r="A33" s="1" t="s">
        <v>63</v>
      </c>
    </row>
    <row r="34" spans="1:1" x14ac:dyDescent="0.3">
      <c r="A34" s="2" t="s">
        <v>63</v>
      </c>
    </row>
    <row r="35" spans="1:1" x14ac:dyDescent="0.3">
      <c r="A35" s="1" t="s">
        <v>63</v>
      </c>
    </row>
    <row r="36" spans="1:1" x14ac:dyDescent="0.3">
      <c r="A36" s="2" t="s">
        <v>63</v>
      </c>
    </row>
    <row r="37" spans="1:1" x14ac:dyDescent="0.3">
      <c r="A37" s="1" t="s">
        <v>63</v>
      </c>
    </row>
    <row r="38" spans="1:1" x14ac:dyDescent="0.3">
      <c r="A38" s="2" t="s">
        <v>63</v>
      </c>
    </row>
    <row r="39" spans="1:1" x14ac:dyDescent="0.3">
      <c r="A39" s="1" t="s">
        <v>63</v>
      </c>
    </row>
    <row r="40" spans="1:1" x14ac:dyDescent="0.3">
      <c r="A40" s="2" t="s">
        <v>63</v>
      </c>
    </row>
    <row r="41" spans="1:1" x14ac:dyDescent="0.3">
      <c r="A41" s="1" t="s">
        <v>63</v>
      </c>
    </row>
    <row r="42" spans="1:1" x14ac:dyDescent="0.3">
      <c r="A42" s="2" t="s">
        <v>63</v>
      </c>
    </row>
    <row r="43" spans="1:1" x14ac:dyDescent="0.3">
      <c r="A43" s="1" t="s">
        <v>63</v>
      </c>
    </row>
    <row r="44" spans="1:1" x14ac:dyDescent="0.3">
      <c r="A44" s="2" t="s">
        <v>63</v>
      </c>
    </row>
    <row r="45" spans="1:1" x14ac:dyDescent="0.3">
      <c r="A45" s="1" t="s">
        <v>63</v>
      </c>
    </row>
    <row r="46" spans="1:1" x14ac:dyDescent="0.3">
      <c r="A46" s="2" t="s">
        <v>63</v>
      </c>
    </row>
    <row r="47" spans="1:1" x14ac:dyDescent="0.3">
      <c r="A47" s="1" t="s">
        <v>63</v>
      </c>
    </row>
    <row r="48" spans="1:1" x14ac:dyDescent="0.3">
      <c r="A48" s="2" t="s">
        <v>30</v>
      </c>
    </row>
    <row r="49" spans="1:1" x14ac:dyDescent="0.3">
      <c r="A49" s="1" t="s">
        <v>63</v>
      </c>
    </row>
    <row r="50" spans="1:1" x14ac:dyDescent="0.3">
      <c r="A50" s="2" t="s">
        <v>30</v>
      </c>
    </row>
    <row r="51" spans="1:1" x14ac:dyDescent="0.3">
      <c r="A51" s="1" t="s">
        <v>63</v>
      </c>
    </row>
    <row r="52" spans="1:1" x14ac:dyDescent="0.3">
      <c r="A52" s="2" t="s">
        <v>63</v>
      </c>
    </row>
    <row r="53" spans="1:1" x14ac:dyDescent="0.3">
      <c r="A53" s="1" t="s">
        <v>63</v>
      </c>
    </row>
    <row r="54" spans="1:1" x14ac:dyDescent="0.3">
      <c r="A54" s="2" t="s">
        <v>63</v>
      </c>
    </row>
    <row r="55" spans="1:1" x14ac:dyDescent="0.3">
      <c r="A55" s="1" t="s">
        <v>46</v>
      </c>
    </row>
    <row r="56" spans="1:1" x14ac:dyDescent="0.3">
      <c r="A56" s="2" t="s">
        <v>46</v>
      </c>
    </row>
    <row r="57" spans="1:1" x14ac:dyDescent="0.3">
      <c r="A57" s="1" t="s">
        <v>46</v>
      </c>
    </row>
    <row r="58" spans="1:1" x14ac:dyDescent="0.3">
      <c r="A58" s="2" t="s">
        <v>63</v>
      </c>
    </row>
    <row r="59" spans="1:1" x14ac:dyDescent="0.3">
      <c r="A59" s="1" t="s">
        <v>63</v>
      </c>
    </row>
    <row r="60" spans="1:1" x14ac:dyDescent="0.3">
      <c r="A60" s="2" t="s">
        <v>63</v>
      </c>
    </row>
    <row r="61" spans="1:1" x14ac:dyDescent="0.3">
      <c r="A61" s="1" t="s">
        <v>63</v>
      </c>
    </row>
    <row r="62" spans="1:1" x14ac:dyDescent="0.3">
      <c r="A62" s="2" t="s">
        <v>63</v>
      </c>
    </row>
    <row r="63" spans="1:1" x14ac:dyDescent="0.3">
      <c r="A63" s="1" t="s">
        <v>63</v>
      </c>
    </row>
    <row r="64" spans="1:1" x14ac:dyDescent="0.3">
      <c r="A64" s="2" t="s">
        <v>63</v>
      </c>
    </row>
    <row r="65" spans="1:1" x14ac:dyDescent="0.3">
      <c r="A65" s="1" t="s">
        <v>63</v>
      </c>
    </row>
    <row r="66" spans="1:1" x14ac:dyDescent="0.3">
      <c r="A66" s="2" t="s">
        <v>63</v>
      </c>
    </row>
    <row r="67" spans="1:1" x14ac:dyDescent="0.3">
      <c r="A67" s="1" t="s">
        <v>63</v>
      </c>
    </row>
    <row r="68" spans="1:1" x14ac:dyDescent="0.3">
      <c r="A68" s="2" t="s">
        <v>63</v>
      </c>
    </row>
    <row r="69" spans="1:1" x14ac:dyDescent="0.3">
      <c r="A69" s="1" t="s">
        <v>63</v>
      </c>
    </row>
    <row r="70" spans="1:1" x14ac:dyDescent="0.3">
      <c r="A70" s="2" t="s">
        <v>63</v>
      </c>
    </row>
    <row r="71" spans="1:1" x14ac:dyDescent="0.3">
      <c r="A71" s="1" t="s">
        <v>63</v>
      </c>
    </row>
    <row r="72" spans="1:1" x14ac:dyDescent="0.3">
      <c r="A72" s="2" t="s">
        <v>63</v>
      </c>
    </row>
    <row r="73" spans="1:1" x14ac:dyDescent="0.3">
      <c r="A73" s="1" t="s">
        <v>63</v>
      </c>
    </row>
    <row r="74" spans="1:1" x14ac:dyDescent="0.3">
      <c r="A74" s="2" t="s">
        <v>63</v>
      </c>
    </row>
    <row r="75" spans="1:1" x14ac:dyDescent="0.3">
      <c r="A75" s="1" t="s">
        <v>63</v>
      </c>
    </row>
    <row r="76" spans="1:1" x14ac:dyDescent="0.3">
      <c r="A76" s="2" t="s">
        <v>63</v>
      </c>
    </row>
    <row r="77" spans="1:1" x14ac:dyDescent="0.3">
      <c r="A77" s="1" t="s">
        <v>63</v>
      </c>
    </row>
    <row r="78" spans="1:1" x14ac:dyDescent="0.3">
      <c r="A78" s="2" t="s">
        <v>63</v>
      </c>
    </row>
    <row r="79" spans="1:1" x14ac:dyDescent="0.3">
      <c r="A79" s="1" t="s">
        <v>63</v>
      </c>
    </row>
    <row r="80" spans="1:1" x14ac:dyDescent="0.3">
      <c r="A80" s="2" t="s">
        <v>63</v>
      </c>
    </row>
    <row r="81" spans="1:1" x14ac:dyDescent="0.3">
      <c r="A81" s="1" t="s">
        <v>63</v>
      </c>
    </row>
    <row r="82" spans="1:1" x14ac:dyDescent="0.3">
      <c r="A82" s="2" t="s">
        <v>63</v>
      </c>
    </row>
    <row r="83" spans="1:1" x14ac:dyDescent="0.3">
      <c r="A83" s="1" t="s">
        <v>63</v>
      </c>
    </row>
    <row r="84" spans="1:1" x14ac:dyDescent="0.3">
      <c r="A84" s="2" t="s">
        <v>63</v>
      </c>
    </row>
    <row r="85" spans="1:1" x14ac:dyDescent="0.3">
      <c r="A85" s="1" t="s">
        <v>63</v>
      </c>
    </row>
    <row r="86" spans="1:1" x14ac:dyDescent="0.3">
      <c r="A86" s="2" t="s">
        <v>63</v>
      </c>
    </row>
    <row r="87" spans="1:1" x14ac:dyDescent="0.3">
      <c r="A87" s="1" t="s">
        <v>63</v>
      </c>
    </row>
    <row r="88" spans="1:1" x14ac:dyDescent="0.3">
      <c r="A88" s="2" t="s">
        <v>63</v>
      </c>
    </row>
    <row r="89" spans="1:1" x14ac:dyDescent="0.3">
      <c r="A89" s="1" t="s">
        <v>63</v>
      </c>
    </row>
    <row r="90" spans="1:1" x14ac:dyDescent="0.3">
      <c r="A90" s="2" t="s">
        <v>63</v>
      </c>
    </row>
    <row r="91" spans="1:1" x14ac:dyDescent="0.3">
      <c r="A91" s="1" t="s">
        <v>63</v>
      </c>
    </row>
    <row r="92" spans="1:1" x14ac:dyDescent="0.3">
      <c r="A92" s="2" t="s">
        <v>63</v>
      </c>
    </row>
    <row r="93" spans="1:1" x14ac:dyDescent="0.3">
      <c r="A93" s="1" t="s">
        <v>63</v>
      </c>
    </row>
    <row r="94" spans="1:1" x14ac:dyDescent="0.3">
      <c r="A94" s="2" t="s">
        <v>63</v>
      </c>
    </row>
    <row r="95" spans="1:1" x14ac:dyDescent="0.3">
      <c r="A95" s="1" t="s">
        <v>63</v>
      </c>
    </row>
    <row r="96" spans="1:1" x14ac:dyDescent="0.3">
      <c r="A96" s="2" t="s">
        <v>63</v>
      </c>
    </row>
    <row r="97" spans="1:1" x14ac:dyDescent="0.3">
      <c r="A97" s="1" t="s">
        <v>63</v>
      </c>
    </row>
    <row r="98" spans="1:1" x14ac:dyDescent="0.3">
      <c r="A98" s="2" t="s">
        <v>63</v>
      </c>
    </row>
    <row r="99" spans="1:1" x14ac:dyDescent="0.3">
      <c r="A99" s="1" t="s">
        <v>63</v>
      </c>
    </row>
    <row r="100" spans="1:1" x14ac:dyDescent="0.3">
      <c r="A100" s="2" t="s">
        <v>63</v>
      </c>
    </row>
    <row r="101" spans="1:1" x14ac:dyDescent="0.3">
      <c r="A101" s="1" t="s">
        <v>46</v>
      </c>
    </row>
    <row r="102" spans="1:1" x14ac:dyDescent="0.3">
      <c r="A102" s="2" t="s">
        <v>63</v>
      </c>
    </row>
    <row r="103" spans="1:1" x14ac:dyDescent="0.3">
      <c r="A103" s="1" t="s">
        <v>63</v>
      </c>
    </row>
    <row r="104" spans="1:1" x14ac:dyDescent="0.3">
      <c r="A104" s="2" t="s">
        <v>63</v>
      </c>
    </row>
    <row r="105" spans="1:1" x14ac:dyDescent="0.3">
      <c r="A105" s="1" t="s">
        <v>46</v>
      </c>
    </row>
    <row r="106" spans="1:1" x14ac:dyDescent="0.3">
      <c r="A106" s="2" t="s">
        <v>63</v>
      </c>
    </row>
    <row r="107" spans="1:1" x14ac:dyDescent="0.3">
      <c r="A107" s="1" t="s">
        <v>63</v>
      </c>
    </row>
    <row r="108" spans="1:1" x14ac:dyDescent="0.3">
      <c r="A108" s="2" t="s">
        <v>63</v>
      </c>
    </row>
    <row r="109" spans="1:1" x14ac:dyDescent="0.3">
      <c r="A109" s="1" t="s">
        <v>63</v>
      </c>
    </row>
    <row r="110" spans="1:1" x14ac:dyDescent="0.3">
      <c r="A110" s="2" t="s">
        <v>63</v>
      </c>
    </row>
    <row r="111" spans="1:1" x14ac:dyDescent="0.3">
      <c r="A111" s="1" t="s">
        <v>63</v>
      </c>
    </row>
    <row r="112" spans="1:1" x14ac:dyDescent="0.3">
      <c r="A112" s="2" t="s">
        <v>63</v>
      </c>
    </row>
    <row r="113" spans="1:1" x14ac:dyDescent="0.3">
      <c r="A113" s="1" t="s">
        <v>63</v>
      </c>
    </row>
    <row r="114" spans="1:1" x14ac:dyDescent="0.3">
      <c r="A114" s="2" t="s">
        <v>46</v>
      </c>
    </row>
    <row r="115" spans="1:1" x14ac:dyDescent="0.3">
      <c r="A115" s="1" t="s">
        <v>63</v>
      </c>
    </row>
    <row r="116" spans="1:1" x14ac:dyDescent="0.3">
      <c r="A116" s="2" t="s">
        <v>63</v>
      </c>
    </row>
    <row r="117" spans="1:1" x14ac:dyDescent="0.3">
      <c r="A117" s="1" t="s">
        <v>46</v>
      </c>
    </row>
    <row r="118" spans="1:1" x14ac:dyDescent="0.3">
      <c r="A118" s="2" t="s">
        <v>46</v>
      </c>
    </row>
    <row r="119" spans="1:1" x14ac:dyDescent="0.3">
      <c r="A119" s="1" t="s">
        <v>46</v>
      </c>
    </row>
    <row r="120" spans="1:1" x14ac:dyDescent="0.3">
      <c r="A120" s="2" t="s">
        <v>46</v>
      </c>
    </row>
    <row r="121" spans="1:1" x14ac:dyDescent="0.3">
      <c r="A121" s="1" t="s">
        <v>46</v>
      </c>
    </row>
    <row r="122" spans="1:1" x14ac:dyDescent="0.3">
      <c r="A122" s="2" t="s">
        <v>46</v>
      </c>
    </row>
    <row r="123" spans="1:1" x14ac:dyDescent="0.3">
      <c r="A123" s="1" t="s">
        <v>46</v>
      </c>
    </row>
    <row r="124" spans="1:1" x14ac:dyDescent="0.3">
      <c r="A124" s="2" t="s">
        <v>63</v>
      </c>
    </row>
    <row r="125" spans="1:1" x14ac:dyDescent="0.3">
      <c r="A125" s="1" t="s">
        <v>63</v>
      </c>
    </row>
    <row r="126" spans="1:1" x14ac:dyDescent="0.3">
      <c r="A126" s="2" t="s">
        <v>63</v>
      </c>
    </row>
    <row r="127" spans="1:1" x14ac:dyDescent="0.3">
      <c r="A127" s="1" t="s">
        <v>63</v>
      </c>
    </row>
    <row r="128" spans="1:1" x14ac:dyDescent="0.3">
      <c r="A128" s="2" t="s">
        <v>63</v>
      </c>
    </row>
    <row r="129" spans="1:1" x14ac:dyDescent="0.3">
      <c r="A129" s="1" t="s">
        <v>63</v>
      </c>
    </row>
    <row r="130" spans="1:1" x14ac:dyDescent="0.3">
      <c r="A130" s="2" t="s">
        <v>63</v>
      </c>
    </row>
    <row r="131" spans="1:1" x14ac:dyDescent="0.3">
      <c r="A131" s="1" t="s">
        <v>46</v>
      </c>
    </row>
    <row r="132" spans="1:1" x14ac:dyDescent="0.3">
      <c r="A132" s="2" t="s">
        <v>46</v>
      </c>
    </row>
    <row r="133" spans="1:1" x14ac:dyDescent="0.3">
      <c r="A133" s="1" t="s">
        <v>46</v>
      </c>
    </row>
    <row r="134" spans="1:1" x14ac:dyDescent="0.3">
      <c r="A134" s="2" t="s">
        <v>46</v>
      </c>
    </row>
    <row r="135" spans="1:1" x14ac:dyDescent="0.3">
      <c r="A135" s="1" t="s">
        <v>46</v>
      </c>
    </row>
    <row r="136" spans="1:1" x14ac:dyDescent="0.3">
      <c r="A136" s="2" t="s">
        <v>46</v>
      </c>
    </row>
    <row r="137" spans="1:1" x14ac:dyDescent="0.3">
      <c r="A137" s="1" t="s">
        <v>46</v>
      </c>
    </row>
    <row r="138" spans="1:1" x14ac:dyDescent="0.3">
      <c r="A138" s="2" t="s">
        <v>46</v>
      </c>
    </row>
    <row r="139" spans="1:1" x14ac:dyDescent="0.3">
      <c r="A139" s="1" t="s">
        <v>46</v>
      </c>
    </row>
    <row r="140" spans="1:1" x14ac:dyDescent="0.3">
      <c r="A140" s="2" t="s">
        <v>46</v>
      </c>
    </row>
    <row r="141" spans="1:1" x14ac:dyDescent="0.3">
      <c r="A141" s="1" t="s">
        <v>30</v>
      </c>
    </row>
    <row r="142" spans="1:1" x14ac:dyDescent="0.3">
      <c r="A142" s="2" t="s">
        <v>30</v>
      </c>
    </row>
    <row r="143" spans="1:1" x14ac:dyDescent="0.3">
      <c r="A143" s="1" t="s">
        <v>30</v>
      </c>
    </row>
    <row r="144" spans="1:1" x14ac:dyDescent="0.3">
      <c r="A144" s="2" t="s">
        <v>30</v>
      </c>
    </row>
    <row r="145" spans="1:1" x14ac:dyDescent="0.3">
      <c r="A145" s="1" t="s">
        <v>63</v>
      </c>
    </row>
    <row r="146" spans="1:1" x14ac:dyDescent="0.3">
      <c r="A146" s="2" t="s">
        <v>63</v>
      </c>
    </row>
    <row r="147" spans="1:1" x14ac:dyDescent="0.3">
      <c r="A147" s="1" t="s">
        <v>46</v>
      </c>
    </row>
    <row r="148" spans="1:1" x14ac:dyDescent="0.3">
      <c r="A148" s="2" t="s">
        <v>30</v>
      </c>
    </row>
    <row r="149" spans="1:1" x14ac:dyDescent="0.3">
      <c r="A149" s="1" t="s">
        <v>63</v>
      </c>
    </row>
    <row r="150" spans="1:1" x14ac:dyDescent="0.3">
      <c r="A150" s="2" t="s">
        <v>46</v>
      </c>
    </row>
    <row r="151" spans="1:1" x14ac:dyDescent="0.3">
      <c r="A151" s="1" t="s">
        <v>63</v>
      </c>
    </row>
    <row r="152" spans="1:1" x14ac:dyDescent="0.3">
      <c r="A152" s="2" t="s">
        <v>30</v>
      </c>
    </row>
    <row r="153" spans="1:1" x14ac:dyDescent="0.3">
      <c r="A153" s="1" t="s">
        <v>63</v>
      </c>
    </row>
    <row r="154" spans="1:1" x14ac:dyDescent="0.3">
      <c r="A154" s="2" t="s">
        <v>63</v>
      </c>
    </row>
    <row r="155" spans="1:1" x14ac:dyDescent="0.3">
      <c r="A155" s="1" t="s">
        <v>46</v>
      </c>
    </row>
    <row r="156" spans="1:1" x14ac:dyDescent="0.3">
      <c r="A156" s="2" t="s">
        <v>63</v>
      </c>
    </row>
    <row r="157" spans="1:1" x14ac:dyDescent="0.3">
      <c r="A157" s="1" t="s">
        <v>63</v>
      </c>
    </row>
    <row r="158" spans="1:1" x14ac:dyDescent="0.3">
      <c r="A158" s="2" t="s">
        <v>63</v>
      </c>
    </row>
    <row r="159" spans="1:1" x14ac:dyDescent="0.3">
      <c r="A159" s="1" t="s">
        <v>63</v>
      </c>
    </row>
    <row r="160" spans="1:1" x14ac:dyDescent="0.3">
      <c r="A160" s="2" t="s">
        <v>63</v>
      </c>
    </row>
    <row r="161" spans="1:1" x14ac:dyDescent="0.3">
      <c r="A161" s="1" t="s">
        <v>63</v>
      </c>
    </row>
    <row r="162" spans="1:1" x14ac:dyDescent="0.3">
      <c r="A162" s="2" t="s">
        <v>63</v>
      </c>
    </row>
    <row r="163" spans="1:1" x14ac:dyDescent="0.3">
      <c r="A163" s="1" t="s">
        <v>63</v>
      </c>
    </row>
    <row r="164" spans="1:1" x14ac:dyDescent="0.3">
      <c r="A164" s="2" t="s">
        <v>63</v>
      </c>
    </row>
    <row r="165" spans="1:1" x14ac:dyDescent="0.3">
      <c r="A165" s="1" t="s">
        <v>63</v>
      </c>
    </row>
    <row r="166" spans="1:1" x14ac:dyDescent="0.3">
      <c r="A166" s="2" t="s">
        <v>63</v>
      </c>
    </row>
    <row r="167" spans="1:1" x14ac:dyDescent="0.3">
      <c r="A167" s="1" t="s">
        <v>63</v>
      </c>
    </row>
    <row r="168" spans="1:1" x14ac:dyDescent="0.3">
      <c r="A168" s="2" t="s">
        <v>63</v>
      </c>
    </row>
    <row r="169" spans="1:1" x14ac:dyDescent="0.3">
      <c r="A169" s="1" t="s">
        <v>63</v>
      </c>
    </row>
    <row r="170" spans="1:1" x14ac:dyDescent="0.3">
      <c r="A170" s="2" t="s">
        <v>63</v>
      </c>
    </row>
    <row r="171" spans="1:1" x14ac:dyDescent="0.3">
      <c r="A171" s="1" t="s">
        <v>63</v>
      </c>
    </row>
    <row r="172" spans="1:1" x14ac:dyDescent="0.3">
      <c r="A172" s="2" t="s">
        <v>63</v>
      </c>
    </row>
    <row r="173" spans="1:1" x14ac:dyDescent="0.3">
      <c r="A173" s="1" t="s">
        <v>63</v>
      </c>
    </row>
    <row r="174" spans="1:1" x14ac:dyDescent="0.3">
      <c r="A174" s="2" t="s">
        <v>63</v>
      </c>
    </row>
    <row r="175" spans="1:1" x14ac:dyDescent="0.3">
      <c r="A175" s="1" t="s">
        <v>63</v>
      </c>
    </row>
    <row r="176" spans="1:1" x14ac:dyDescent="0.3">
      <c r="A176" s="2" t="s">
        <v>63</v>
      </c>
    </row>
    <row r="177" spans="1:1" x14ac:dyDescent="0.3">
      <c r="A177" s="1" t="s">
        <v>63</v>
      </c>
    </row>
    <row r="178" spans="1:1" x14ac:dyDescent="0.3">
      <c r="A178" s="2" t="s">
        <v>63</v>
      </c>
    </row>
    <row r="179" spans="1:1" x14ac:dyDescent="0.3">
      <c r="A179" s="1" t="s">
        <v>63</v>
      </c>
    </row>
    <row r="180" spans="1:1" x14ac:dyDescent="0.3">
      <c r="A180" s="2" t="s">
        <v>63</v>
      </c>
    </row>
    <row r="181" spans="1:1" x14ac:dyDescent="0.3">
      <c r="A181" s="1" t="s">
        <v>63</v>
      </c>
    </row>
    <row r="182" spans="1:1" x14ac:dyDescent="0.3">
      <c r="A182" s="2" t="s">
        <v>63</v>
      </c>
    </row>
    <row r="183" spans="1:1" x14ac:dyDescent="0.3">
      <c r="A183" s="1" t="s">
        <v>63</v>
      </c>
    </row>
    <row r="184" spans="1:1" x14ac:dyDescent="0.3">
      <c r="A184" s="2" t="s">
        <v>63</v>
      </c>
    </row>
    <row r="185" spans="1:1" x14ac:dyDescent="0.3">
      <c r="A185" s="1" t="s">
        <v>46</v>
      </c>
    </row>
    <row r="186" spans="1:1" x14ac:dyDescent="0.3">
      <c r="A186" s="2" t="s">
        <v>63</v>
      </c>
    </row>
    <row r="187" spans="1:1" x14ac:dyDescent="0.3">
      <c r="A187" s="1" t="s">
        <v>46</v>
      </c>
    </row>
    <row r="188" spans="1:1" x14ac:dyDescent="0.3">
      <c r="A188" s="2" t="s">
        <v>46</v>
      </c>
    </row>
    <row r="189" spans="1:1" x14ac:dyDescent="0.3">
      <c r="A189" s="1" t="s">
        <v>63</v>
      </c>
    </row>
    <row r="190" spans="1:1" x14ac:dyDescent="0.3">
      <c r="A190" s="2" t="s">
        <v>63</v>
      </c>
    </row>
    <row r="191" spans="1:1" x14ac:dyDescent="0.3">
      <c r="A191" s="1" t="s">
        <v>63</v>
      </c>
    </row>
    <row r="192" spans="1:1" x14ac:dyDescent="0.3">
      <c r="A192" s="2" t="s">
        <v>46</v>
      </c>
    </row>
    <row r="193" spans="1:1" x14ac:dyDescent="0.3">
      <c r="A193" s="1" t="s">
        <v>63</v>
      </c>
    </row>
    <row r="194" spans="1:1" x14ac:dyDescent="0.3">
      <c r="A194" s="2" t="s">
        <v>63</v>
      </c>
    </row>
    <row r="195" spans="1:1" x14ac:dyDescent="0.3">
      <c r="A195" s="1" t="s">
        <v>30</v>
      </c>
    </row>
    <row r="196" spans="1:1" x14ac:dyDescent="0.3">
      <c r="A196" s="2" t="s">
        <v>63</v>
      </c>
    </row>
    <row r="197" spans="1:1" x14ac:dyDescent="0.3">
      <c r="A197" s="1" t="s">
        <v>63</v>
      </c>
    </row>
    <row r="198" spans="1:1" x14ac:dyDescent="0.3">
      <c r="A198" s="2" t="s">
        <v>63</v>
      </c>
    </row>
    <row r="199" spans="1:1" x14ac:dyDescent="0.3">
      <c r="A199" s="1" t="s">
        <v>63</v>
      </c>
    </row>
    <row r="200" spans="1:1" x14ac:dyDescent="0.3">
      <c r="A200" s="2" t="s">
        <v>63</v>
      </c>
    </row>
    <row r="201" spans="1:1" x14ac:dyDescent="0.3">
      <c r="A201" s="1" t="s">
        <v>30</v>
      </c>
    </row>
    <row r="202" spans="1:1" x14ac:dyDescent="0.3">
      <c r="A202" s="2" t="s">
        <v>63</v>
      </c>
    </row>
    <row r="203" spans="1:1" x14ac:dyDescent="0.3">
      <c r="A203" s="1" t="s">
        <v>63</v>
      </c>
    </row>
    <row r="204" spans="1:1" x14ac:dyDescent="0.3">
      <c r="A204" s="2" t="s">
        <v>63</v>
      </c>
    </row>
    <row r="205" spans="1:1" x14ac:dyDescent="0.3">
      <c r="A205" s="1" t="s">
        <v>63</v>
      </c>
    </row>
    <row r="206" spans="1:1" x14ac:dyDescent="0.3">
      <c r="A206" s="2" t="s">
        <v>63</v>
      </c>
    </row>
    <row r="207" spans="1:1" x14ac:dyDescent="0.3">
      <c r="A207" s="1" t="s">
        <v>30</v>
      </c>
    </row>
    <row r="208" spans="1:1" x14ac:dyDescent="0.3">
      <c r="A208" s="2" t="s">
        <v>63</v>
      </c>
    </row>
    <row r="209" spans="1:1" x14ac:dyDescent="0.3">
      <c r="A209" s="1" t="s">
        <v>63</v>
      </c>
    </row>
    <row r="210" spans="1:1" x14ac:dyDescent="0.3">
      <c r="A210" s="2" t="s">
        <v>63</v>
      </c>
    </row>
    <row r="211" spans="1:1" x14ac:dyDescent="0.3">
      <c r="A211" s="1" t="s">
        <v>63</v>
      </c>
    </row>
    <row r="212" spans="1:1" x14ac:dyDescent="0.3">
      <c r="A212" s="2" t="s">
        <v>63</v>
      </c>
    </row>
    <row r="213" spans="1:1" x14ac:dyDescent="0.3">
      <c r="A213" s="1" t="s">
        <v>63</v>
      </c>
    </row>
    <row r="214" spans="1:1" x14ac:dyDescent="0.3">
      <c r="A214" s="2" t="s">
        <v>63</v>
      </c>
    </row>
    <row r="215" spans="1:1" x14ac:dyDescent="0.3">
      <c r="A215" s="1" t="s">
        <v>63</v>
      </c>
    </row>
    <row r="216" spans="1:1" x14ac:dyDescent="0.3">
      <c r="A216" s="2" t="s">
        <v>63</v>
      </c>
    </row>
    <row r="217" spans="1:1" x14ac:dyDescent="0.3">
      <c r="A217" s="1" t="s">
        <v>63</v>
      </c>
    </row>
    <row r="218" spans="1:1" x14ac:dyDescent="0.3">
      <c r="A218" s="2" t="s">
        <v>63</v>
      </c>
    </row>
    <row r="219" spans="1:1" x14ac:dyDescent="0.3">
      <c r="A219" s="1" t="s">
        <v>63</v>
      </c>
    </row>
    <row r="220" spans="1:1" x14ac:dyDescent="0.3">
      <c r="A220" s="2" t="s">
        <v>46</v>
      </c>
    </row>
    <row r="221" spans="1:1" x14ac:dyDescent="0.3">
      <c r="A221" s="1" t="s">
        <v>63</v>
      </c>
    </row>
    <row r="222" spans="1:1" x14ac:dyDescent="0.3">
      <c r="A222" s="2" t="s">
        <v>63</v>
      </c>
    </row>
    <row r="223" spans="1:1" x14ac:dyDescent="0.3">
      <c r="A223" s="1" t="s">
        <v>63</v>
      </c>
    </row>
    <row r="224" spans="1:1" x14ac:dyDescent="0.3">
      <c r="A224" s="2" t="s">
        <v>46</v>
      </c>
    </row>
    <row r="225" spans="1:1" x14ac:dyDescent="0.3">
      <c r="A225" s="1" t="s">
        <v>63</v>
      </c>
    </row>
    <row r="226" spans="1:1" x14ac:dyDescent="0.3">
      <c r="A226" s="2" t="s">
        <v>46</v>
      </c>
    </row>
    <row r="227" spans="1:1" x14ac:dyDescent="0.3">
      <c r="A227" s="1" t="s">
        <v>63</v>
      </c>
    </row>
    <row r="228" spans="1:1" x14ac:dyDescent="0.3">
      <c r="A228" s="2" t="s">
        <v>63</v>
      </c>
    </row>
    <row r="229" spans="1:1" x14ac:dyDescent="0.3">
      <c r="A229" s="1" t="s">
        <v>63</v>
      </c>
    </row>
    <row r="230" spans="1:1" x14ac:dyDescent="0.3">
      <c r="A230" s="2" t="s">
        <v>63</v>
      </c>
    </row>
    <row r="231" spans="1:1" x14ac:dyDescent="0.3">
      <c r="A231" s="1" t="s">
        <v>63</v>
      </c>
    </row>
    <row r="232" spans="1:1" x14ac:dyDescent="0.3">
      <c r="A232" s="2" t="s">
        <v>63</v>
      </c>
    </row>
    <row r="233" spans="1:1" x14ac:dyDescent="0.3">
      <c r="A233" s="1" t="s">
        <v>63</v>
      </c>
    </row>
    <row r="234" spans="1:1" x14ac:dyDescent="0.3">
      <c r="A234" s="2" t="s">
        <v>63</v>
      </c>
    </row>
    <row r="235" spans="1:1" x14ac:dyDescent="0.3">
      <c r="A235" s="1" t="s">
        <v>63</v>
      </c>
    </row>
    <row r="236" spans="1:1" x14ac:dyDescent="0.3">
      <c r="A236" s="2" t="s">
        <v>63</v>
      </c>
    </row>
    <row r="237" spans="1:1" x14ac:dyDescent="0.3">
      <c r="A237" s="1" t="s">
        <v>63</v>
      </c>
    </row>
    <row r="238" spans="1:1" x14ac:dyDescent="0.3">
      <c r="A238" s="2" t="s">
        <v>63</v>
      </c>
    </row>
    <row r="239" spans="1:1" x14ac:dyDescent="0.3">
      <c r="A239" s="1" t="s">
        <v>63</v>
      </c>
    </row>
    <row r="240" spans="1:1" x14ac:dyDescent="0.3">
      <c r="A240" s="2" t="s">
        <v>63</v>
      </c>
    </row>
    <row r="241" spans="1:1" x14ac:dyDescent="0.3">
      <c r="A241" s="1" t="s">
        <v>63</v>
      </c>
    </row>
    <row r="242" spans="1:1" x14ac:dyDescent="0.3">
      <c r="A242" s="2" t="s">
        <v>63</v>
      </c>
    </row>
    <row r="243" spans="1:1" x14ac:dyDescent="0.3">
      <c r="A243" s="1" t="s">
        <v>63</v>
      </c>
    </row>
    <row r="244" spans="1:1" x14ac:dyDescent="0.3">
      <c r="A244" s="2" t="s">
        <v>63</v>
      </c>
    </row>
    <row r="245" spans="1:1" x14ac:dyDescent="0.3">
      <c r="A245" s="1" t="s">
        <v>30</v>
      </c>
    </row>
    <row r="246" spans="1:1" x14ac:dyDescent="0.3">
      <c r="A246" s="2" t="s">
        <v>63</v>
      </c>
    </row>
    <row r="247" spans="1:1" x14ac:dyDescent="0.3">
      <c r="A247" s="1" t="s">
        <v>63</v>
      </c>
    </row>
    <row r="248" spans="1:1" x14ac:dyDescent="0.3">
      <c r="A248" s="2" t="s">
        <v>63</v>
      </c>
    </row>
    <row r="249" spans="1:1" x14ac:dyDescent="0.3">
      <c r="A249" s="1" t="s">
        <v>63</v>
      </c>
    </row>
    <row r="250" spans="1:1" x14ac:dyDescent="0.3">
      <c r="A250" s="2" t="s">
        <v>63</v>
      </c>
    </row>
    <row r="251" spans="1:1" x14ac:dyDescent="0.3">
      <c r="A251" s="1" t="s">
        <v>63</v>
      </c>
    </row>
    <row r="252" spans="1:1" x14ac:dyDescent="0.3">
      <c r="A252" s="2" t="s">
        <v>63</v>
      </c>
    </row>
    <row r="253" spans="1:1" x14ac:dyDescent="0.3">
      <c r="A253" s="1" t="s">
        <v>63</v>
      </c>
    </row>
    <row r="254" spans="1:1" x14ac:dyDescent="0.3">
      <c r="A254" s="2" t="s">
        <v>63</v>
      </c>
    </row>
    <row r="255" spans="1:1" x14ac:dyDescent="0.3">
      <c r="A255" s="1" t="s">
        <v>63</v>
      </c>
    </row>
    <row r="256" spans="1:1" x14ac:dyDescent="0.3">
      <c r="A256" s="2" t="s">
        <v>63</v>
      </c>
    </row>
    <row r="257" spans="1:1" x14ac:dyDescent="0.3">
      <c r="A257" s="1" t="s">
        <v>63</v>
      </c>
    </row>
    <row r="258" spans="1:1" x14ac:dyDescent="0.3">
      <c r="A258" s="2" t="s">
        <v>63</v>
      </c>
    </row>
    <row r="259" spans="1:1" x14ac:dyDescent="0.3">
      <c r="A259" s="1" t="s">
        <v>63</v>
      </c>
    </row>
    <row r="260" spans="1:1" x14ac:dyDescent="0.3">
      <c r="A260" s="2" t="s">
        <v>63</v>
      </c>
    </row>
    <row r="261" spans="1:1" x14ac:dyDescent="0.3">
      <c r="A261" s="1" t="s">
        <v>63</v>
      </c>
    </row>
    <row r="262" spans="1:1" x14ac:dyDescent="0.3">
      <c r="A262" s="2" t="s">
        <v>63</v>
      </c>
    </row>
    <row r="263" spans="1:1" x14ac:dyDescent="0.3">
      <c r="A263" s="1" t="s">
        <v>63</v>
      </c>
    </row>
    <row r="264" spans="1:1" x14ac:dyDescent="0.3">
      <c r="A264" s="2" t="s">
        <v>63</v>
      </c>
    </row>
    <row r="265" spans="1:1" x14ac:dyDescent="0.3">
      <c r="A265" s="1" t="s">
        <v>63</v>
      </c>
    </row>
    <row r="266" spans="1:1" x14ac:dyDescent="0.3">
      <c r="A266" s="2" t="s">
        <v>63</v>
      </c>
    </row>
    <row r="267" spans="1:1" x14ac:dyDescent="0.3">
      <c r="A267" s="1" t="s">
        <v>63</v>
      </c>
    </row>
    <row r="268" spans="1:1" x14ac:dyDescent="0.3">
      <c r="A268" s="2" t="s">
        <v>63</v>
      </c>
    </row>
    <row r="269" spans="1:1" x14ac:dyDescent="0.3">
      <c r="A269" s="1" t="s">
        <v>63</v>
      </c>
    </row>
    <row r="270" spans="1:1" x14ac:dyDescent="0.3">
      <c r="A270" s="2" t="s">
        <v>63</v>
      </c>
    </row>
    <row r="271" spans="1:1" x14ac:dyDescent="0.3">
      <c r="A271" s="1" t="s">
        <v>63</v>
      </c>
    </row>
    <row r="272" spans="1:1" x14ac:dyDescent="0.3">
      <c r="A272" s="2" t="s">
        <v>63</v>
      </c>
    </row>
    <row r="273" spans="1:1" x14ac:dyDescent="0.3">
      <c r="A273" s="1" t="s">
        <v>46</v>
      </c>
    </row>
    <row r="274" spans="1:1" x14ac:dyDescent="0.3">
      <c r="A274" s="2" t="s">
        <v>63</v>
      </c>
    </row>
    <row r="275" spans="1:1" x14ac:dyDescent="0.3">
      <c r="A275" s="1" t="s">
        <v>63</v>
      </c>
    </row>
    <row r="276" spans="1:1" x14ac:dyDescent="0.3">
      <c r="A276" s="2" t="s">
        <v>63</v>
      </c>
    </row>
    <row r="277" spans="1:1" x14ac:dyDescent="0.3">
      <c r="A277" s="1" t="s">
        <v>63</v>
      </c>
    </row>
    <row r="278" spans="1:1" x14ac:dyDescent="0.3">
      <c r="A278" s="2" t="s">
        <v>63</v>
      </c>
    </row>
    <row r="279" spans="1:1" x14ac:dyDescent="0.3">
      <c r="A279" s="1" t="s">
        <v>63</v>
      </c>
    </row>
    <row r="280" spans="1:1" x14ac:dyDescent="0.3">
      <c r="A280" s="2" t="s">
        <v>63</v>
      </c>
    </row>
    <row r="281" spans="1:1" x14ac:dyDescent="0.3">
      <c r="A281" s="1" t="s">
        <v>63</v>
      </c>
    </row>
    <row r="282" spans="1:1" x14ac:dyDescent="0.3">
      <c r="A282" s="2" t="s">
        <v>63</v>
      </c>
    </row>
    <row r="283" spans="1:1" x14ac:dyDescent="0.3">
      <c r="A283" s="1" t="s">
        <v>63</v>
      </c>
    </row>
    <row r="284" spans="1:1" x14ac:dyDescent="0.3">
      <c r="A284" s="2" t="s">
        <v>63</v>
      </c>
    </row>
    <row r="285" spans="1:1" x14ac:dyDescent="0.3">
      <c r="A285" s="1" t="s">
        <v>63</v>
      </c>
    </row>
    <row r="286" spans="1:1" x14ac:dyDescent="0.3">
      <c r="A286" s="2" t="s">
        <v>63</v>
      </c>
    </row>
    <row r="287" spans="1:1" x14ac:dyDescent="0.3">
      <c r="A287" s="1" t="s">
        <v>63</v>
      </c>
    </row>
    <row r="288" spans="1:1" x14ac:dyDescent="0.3">
      <c r="A288" s="2" t="s">
        <v>63</v>
      </c>
    </row>
    <row r="289" spans="1:1" x14ac:dyDescent="0.3">
      <c r="A289" s="1" t="s">
        <v>63</v>
      </c>
    </row>
    <row r="290" spans="1:1" x14ac:dyDescent="0.3">
      <c r="A290" s="2" t="s">
        <v>63</v>
      </c>
    </row>
    <row r="291" spans="1:1" x14ac:dyDescent="0.3">
      <c r="A291" s="1" t="s">
        <v>63</v>
      </c>
    </row>
    <row r="292" spans="1:1" x14ac:dyDescent="0.3">
      <c r="A292" s="2" t="s">
        <v>63</v>
      </c>
    </row>
    <row r="293" spans="1:1" x14ac:dyDescent="0.3">
      <c r="A293" s="1" t="s">
        <v>63</v>
      </c>
    </row>
    <row r="294" spans="1:1" x14ac:dyDescent="0.3">
      <c r="A294" s="2" t="s">
        <v>63</v>
      </c>
    </row>
    <row r="295" spans="1:1" x14ac:dyDescent="0.3">
      <c r="A295" s="1" t="s">
        <v>63</v>
      </c>
    </row>
    <row r="296" spans="1:1" x14ac:dyDescent="0.3">
      <c r="A296" s="2" t="s">
        <v>63</v>
      </c>
    </row>
    <row r="297" spans="1:1" x14ac:dyDescent="0.3">
      <c r="A297" s="1" t="s">
        <v>63</v>
      </c>
    </row>
    <row r="298" spans="1:1" x14ac:dyDescent="0.3">
      <c r="A298" s="2" t="s">
        <v>30</v>
      </c>
    </row>
    <row r="299" spans="1:1" x14ac:dyDescent="0.3">
      <c r="A299" s="1" t="s">
        <v>30</v>
      </c>
    </row>
    <row r="300" spans="1:1" x14ac:dyDescent="0.3">
      <c r="A300" s="2" t="s">
        <v>30</v>
      </c>
    </row>
    <row r="301" spans="1:1" x14ac:dyDescent="0.3">
      <c r="A301" s="1" t="s">
        <v>30</v>
      </c>
    </row>
    <row r="302" spans="1:1" x14ac:dyDescent="0.3">
      <c r="A302" s="2" t="s">
        <v>30</v>
      </c>
    </row>
    <row r="303" spans="1:1" x14ac:dyDescent="0.3">
      <c r="A303" s="1" t="s">
        <v>63</v>
      </c>
    </row>
    <row r="304" spans="1:1" x14ac:dyDescent="0.3">
      <c r="A304" s="2" t="s">
        <v>30</v>
      </c>
    </row>
    <row r="305" spans="1:1" x14ac:dyDescent="0.3">
      <c r="A305" s="1" t="s">
        <v>46</v>
      </c>
    </row>
    <row r="306" spans="1:1" x14ac:dyDescent="0.3">
      <c r="A306" s="2" t="s">
        <v>63</v>
      </c>
    </row>
    <row r="307" spans="1:1" x14ac:dyDescent="0.3">
      <c r="A307" s="1" t="s">
        <v>46</v>
      </c>
    </row>
    <row r="308" spans="1:1" x14ac:dyDescent="0.3">
      <c r="A308" s="2" t="s">
        <v>63</v>
      </c>
    </row>
    <row r="309" spans="1:1" x14ac:dyDescent="0.3">
      <c r="A309" s="1" t="s">
        <v>46</v>
      </c>
    </row>
    <row r="310" spans="1:1" x14ac:dyDescent="0.3">
      <c r="A310" s="2" t="s">
        <v>46</v>
      </c>
    </row>
    <row r="311" spans="1:1" x14ac:dyDescent="0.3">
      <c r="A311" s="1" t="s">
        <v>46</v>
      </c>
    </row>
    <row r="312" spans="1:1" x14ac:dyDescent="0.3">
      <c r="A312" s="2" t="s">
        <v>46</v>
      </c>
    </row>
    <row r="313" spans="1:1" x14ac:dyDescent="0.3">
      <c r="A313" s="1" t="s">
        <v>46</v>
      </c>
    </row>
    <row r="314" spans="1:1" x14ac:dyDescent="0.3">
      <c r="A314" s="2" t="s">
        <v>46</v>
      </c>
    </row>
    <row r="315" spans="1:1" x14ac:dyDescent="0.3">
      <c r="A315" s="1" t="s">
        <v>46</v>
      </c>
    </row>
    <row r="316" spans="1:1" x14ac:dyDescent="0.3">
      <c r="A316" s="2" t="s">
        <v>46</v>
      </c>
    </row>
    <row r="317" spans="1:1" x14ac:dyDescent="0.3">
      <c r="A317" s="1" t="s">
        <v>46</v>
      </c>
    </row>
    <row r="318" spans="1:1" x14ac:dyDescent="0.3">
      <c r="A318" s="2" t="s">
        <v>63</v>
      </c>
    </row>
    <row r="319" spans="1:1" x14ac:dyDescent="0.3">
      <c r="A319" s="1" t="s">
        <v>46</v>
      </c>
    </row>
    <row r="320" spans="1:1" x14ac:dyDescent="0.3">
      <c r="A320" s="2" t="s">
        <v>63</v>
      </c>
    </row>
    <row r="321" spans="1:1" x14ac:dyDescent="0.3">
      <c r="A321" s="1" t="s">
        <v>46</v>
      </c>
    </row>
    <row r="322" spans="1:1" x14ac:dyDescent="0.3">
      <c r="A322" s="2" t="s">
        <v>63</v>
      </c>
    </row>
    <row r="323" spans="1:1" x14ac:dyDescent="0.3">
      <c r="A323" s="1" t="s">
        <v>63</v>
      </c>
    </row>
    <row r="324" spans="1:1" x14ac:dyDescent="0.3">
      <c r="A324" s="2" t="s">
        <v>63</v>
      </c>
    </row>
    <row r="325" spans="1:1" x14ac:dyDescent="0.3">
      <c r="A325" s="1" t="s">
        <v>63</v>
      </c>
    </row>
    <row r="326" spans="1:1" x14ac:dyDescent="0.3">
      <c r="A326" s="2" t="s">
        <v>30</v>
      </c>
    </row>
    <row r="327" spans="1:1" x14ac:dyDescent="0.3">
      <c r="A327" s="1" t="s">
        <v>30</v>
      </c>
    </row>
    <row r="328" spans="1:1" x14ac:dyDescent="0.3">
      <c r="A328" s="2" t="s">
        <v>63</v>
      </c>
    </row>
    <row r="329" spans="1:1" x14ac:dyDescent="0.3">
      <c r="A329" s="1" t="s">
        <v>63</v>
      </c>
    </row>
    <row r="330" spans="1:1" x14ac:dyDescent="0.3">
      <c r="A330" s="2" t="s">
        <v>63</v>
      </c>
    </row>
    <row r="331" spans="1:1" x14ac:dyDescent="0.3">
      <c r="A331" s="1" t="s">
        <v>63</v>
      </c>
    </row>
    <row r="332" spans="1:1" x14ac:dyDescent="0.3">
      <c r="A332" s="2" t="s">
        <v>63</v>
      </c>
    </row>
    <row r="333" spans="1:1" x14ac:dyDescent="0.3">
      <c r="A333" s="1" t="s">
        <v>63</v>
      </c>
    </row>
    <row r="334" spans="1:1" x14ac:dyDescent="0.3">
      <c r="A334" s="2" t="s">
        <v>46</v>
      </c>
    </row>
    <row r="335" spans="1:1" x14ac:dyDescent="0.3">
      <c r="A335" s="1" t="s">
        <v>63</v>
      </c>
    </row>
    <row r="336" spans="1:1" x14ac:dyDescent="0.3">
      <c r="A336" s="2" t="s">
        <v>46</v>
      </c>
    </row>
    <row r="337" spans="1:1" x14ac:dyDescent="0.3">
      <c r="A337" s="1" t="s">
        <v>63</v>
      </c>
    </row>
    <row r="338" spans="1:1" x14ac:dyDescent="0.3">
      <c r="A338" s="2" t="s">
        <v>46</v>
      </c>
    </row>
    <row r="339" spans="1:1" x14ac:dyDescent="0.3">
      <c r="A339" s="1" t="s">
        <v>63</v>
      </c>
    </row>
    <row r="340" spans="1:1" x14ac:dyDescent="0.3">
      <c r="A340" s="2" t="s">
        <v>63</v>
      </c>
    </row>
    <row r="341" spans="1:1" x14ac:dyDescent="0.3">
      <c r="A341" s="1" t="s">
        <v>46</v>
      </c>
    </row>
    <row r="342" spans="1:1" x14ac:dyDescent="0.3">
      <c r="A342" s="2" t="s">
        <v>46</v>
      </c>
    </row>
    <row r="343" spans="1:1" x14ac:dyDescent="0.3">
      <c r="A343" s="1" t="s">
        <v>63</v>
      </c>
    </row>
    <row r="344" spans="1:1" x14ac:dyDescent="0.3">
      <c r="A344" s="2" t="s">
        <v>63</v>
      </c>
    </row>
    <row r="345" spans="1:1" x14ac:dyDescent="0.3">
      <c r="A345" s="1" t="s">
        <v>63</v>
      </c>
    </row>
    <row r="346" spans="1:1" x14ac:dyDescent="0.3">
      <c r="A346" s="2" t="s">
        <v>63</v>
      </c>
    </row>
    <row r="347" spans="1:1" x14ac:dyDescent="0.3">
      <c r="A347" s="1" t="s">
        <v>63</v>
      </c>
    </row>
    <row r="348" spans="1:1" x14ac:dyDescent="0.3">
      <c r="A348" s="2" t="s">
        <v>63</v>
      </c>
    </row>
    <row r="349" spans="1:1" x14ac:dyDescent="0.3">
      <c r="A349" s="1" t="s">
        <v>63</v>
      </c>
    </row>
    <row r="350" spans="1:1" x14ac:dyDescent="0.3">
      <c r="A350" s="2" t="s">
        <v>46</v>
      </c>
    </row>
    <row r="351" spans="1:1" x14ac:dyDescent="0.3">
      <c r="A351" s="1" t="s">
        <v>63</v>
      </c>
    </row>
    <row r="352" spans="1:1" x14ac:dyDescent="0.3">
      <c r="A352" s="2" t="s">
        <v>63</v>
      </c>
    </row>
    <row r="353" spans="1:1" x14ac:dyDescent="0.3">
      <c r="A353" s="1" t="s">
        <v>46</v>
      </c>
    </row>
    <row r="354" spans="1:1" x14ac:dyDescent="0.3">
      <c r="A354" s="2" t="s">
        <v>63</v>
      </c>
    </row>
    <row r="355" spans="1:1" x14ac:dyDescent="0.3">
      <c r="A355" s="1" t="s">
        <v>63</v>
      </c>
    </row>
    <row r="356" spans="1:1" x14ac:dyDescent="0.3">
      <c r="A356" s="2" t="s">
        <v>63</v>
      </c>
    </row>
    <row r="357" spans="1:1" x14ac:dyDescent="0.3">
      <c r="A357" s="1" t="s">
        <v>63</v>
      </c>
    </row>
    <row r="358" spans="1:1" x14ac:dyDescent="0.3">
      <c r="A358" s="2" t="s">
        <v>46</v>
      </c>
    </row>
    <row r="359" spans="1:1" x14ac:dyDescent="0.3">
      <c r="A359" s="1" t="s">
        <v>46</v>
      </c>
    </row>
    <row r="360" spans="1:1" x14ac:dyDescent="0.3">
      <c r="A360" s="2" t="s">
        <v>46</v>
      </c>
    </row>
    <row r="361" spans="1:1" x14ac:dyDescent="0.3">
      <c r="A361" s="1" t="s">
        <v>46</v>
      </c>
    </row>
    <row r="362" spans="1:1" x14ac:dyDescent="0.3">
      <c r="A362" s="2" t="s">
        <v>63</v>
      </c>
    </row>
    <row r="363" spans="1:1" x14ac:dyDescent="0.3">
      <c r="A363" s="1" t="s">
        <v>63</v>
      </c>
    </row>
    <row r="364" spans="1:1" x14ac:dyDescent="0.3">
      <c r="A364" s="2" t="s">
        <v>63</v>
      </c>
    </row>
    <row r="365" spans="1:1" x14ac:dyDescent="0.3">
      <c r="A365" s="1" t="s">
        <v>63</v>
      </c>
    </row>
    <row r="366" spans="1:1" x14ac:dyDescent="0.3">
      <c r="A366" s="2" t="s">
        <v>63</v>
      </c>
    </row>
    <row r="367" spans="1:1" x14ac:dyDescent="0.3">
      <c r="A367" s="1" t="s">
        <v>63</v>
      </c>
    </row>
    <row r="368" spans="1:1" x14ac:dyDescent="0.3">
      <c r="A368" s="2" t="s">
        <v>63</v>
      </c>
    </row>
    <row r="369" spans="1:1" x14ac:dyDescent="0.3">
      <c r="A369" s="1" t="s">
        <v>63</v>
      </c>
    </row>
    <row r="370" spans="1:1" x14ac:dyDescent="0.3">
      <c r="A370" s="2" t="s">
        <v>63</v>
      </c>
    </row>
    <row r="371" spans="1:1" x14ac:dyDescent="0.3">
      <c r="A371" s="1" t="s">
        <v>46</v>
      </c>
    </row>
    <row r="372" spans="1:1" x14ac:dyDescent="0.3">
      <c r="A372" s="2" t="s">
        <v>63</v>
      </c>
    </row>
    <row r="373" spans="1:1" x14ac:dyDescent="0.3">
      <c r="A373" s="1" t="s">
        <v>63</v>
      </c>
    </row>
    <row r="374" spans="1:1" x14ac:dyDescent="0.3">
      <c r="A374" s="2" t="s">
        <v>46</v>
      </c>
    </row>
    <row r="375" spans="1:1" x14ac:dyDescent="0.3">
      <c r="A375" s="1" t="s">
        <v>63</v>
      </c>
    </row>
    <row r="376" spans="1:1" x14ac:dyDescent="0.3">
      <c r="A376" s="2" t="s">
        <v>63</v>
      </c>
    </row>
    <row r="377" spans="1:1" x14ac:dyDescent="0.3">
      <c r="A377" s="1" t="s">
        <v>63</v>
      </c>
    </row>
    <row r="378" spans="1:1" x14ac:dyDescent="0.3">
      <c r="A378" s="2" t="s">
        <v>63</v>
      </c>
    </row>
    <row r="379" spans="1:1" x14ac:dyDescent="0.3">
      <c r="A379" s="1" t="s">
        <v>63</v>
      </c>
    </row>
    <row r="380" spans="1:1" x14ac:dyDescent="0.3">
      <c r="A380" s="2" t="s">
        <v>63</v>
      </c>
    </row>
    <row r="381" spans="1:1" x14ac:dyDescent="0.3">
      <c r="A381" s="1" t="s">
        <v>63</v>
      </c>
    </row>
    <row r="382" spans="1:1" x14ac:dyDescent="0.3">
      <c r="A382" s="2" t="s">
        <v>63</v>
      </c>
    </row>
    <row r="383" spans="1:1" x14ac:dyDescent="0.3">
      <c r="A383" s="1" t="s">
        <v>63</v>
      </c>
    </row>
    <row r="384" spans="1:1" x14ac:dyDescent="0.3">
      <c r="A384" s="2" t="s">
        <v>63</v>
      </c>
    </row>
    <row r="385" spans="1:1" x14ac:dyDescent="0.3">
      <c r="A385" s="1" t="s">
        <v>30</v>
      </c>
    </row>
    <row r="386" spans="1:1" x14ac:dyDescent="0.3">
      <c r="A386" s="2" t="s">
        <v>30</v>
      </c>
    </row>
    <row r="387" spans="1:1" x14ac:dyDescent="0.3">
      <c r="A387" s="1" t="s">
        <v>30</v>
      </c>
    </row>
    <row r="388" spans="1:1" x14ac:dyDescent="0.3">
      <c r="A388" s="2" t="s">
        <v>63</v>
      </c>
    </row>
    <row r="389" spans="1:1" x14ac:dyDescent="0.3">
      <c r="A389" s="1" t="s">
        <v>63</v>
      </c>
    </row>
    <row r="390" spans="1:1" x14ac:dyDescent="0.3">
      <c r="A390" s="2" t="s">
        <v>46</v>
      </c>
    </row>
    <row r="391" spans="1:1" x14ac:dyDescent="0.3">
      <c r="A391" s="1" t="s">
        <v>63</v>
      </c>
    </row>
    <row r="392" spans="1:1" x14ac:dyDescent="0.3">
      <c r="A392" s="2" t="s">
        <v>30</v>
      </c>
    </row>
    <row r="393" spans="1:1" x14ac:dyDescent="0.3">
      <c r="A393" s="1" t="s">
        <v>63</v>
      </c>
    </row>
    <row r="394" spans="1:1" x14ac:dyDescent="0.3">
      <c r="A394" s="2" t="s">
        <v>63</v>
      </c>
    </row>
    <row r="395" spans="1:1" x14ac:dyDescent="0.3">
      <c r="A395" s="1" t="s">
        <v>63</v>
      </c>
    </row>
    <row r="396" spans="1:1" x14ac:dyDescent="0.3">
      <c r="A396" s="2" t="s">
        <v>63</v>
      </c>
    </row>
    <row r="397" spans="1:1" x14ac:dyDescent="0.3">
      <c r="A397" s="1" t="s">
        <v>63</v>
      </c>
    </row>
    <row r="398" spans="1:1" x14ac:dyDescent="0.3">
      <c r="A398" s="2" t="s">
        <v>63</v>
      </c>
    </row>
    <row r="399" spans="1:1" x14ac:dyDescent="0.3">
      <c r="A399" s="1" t="s">
        <v>63</v>
      </c>
    </row>
    <row r="400" spans="1:1" x14ac:dyDescent="0.3">
      <c r="A400" s="2" t="s">
        <v>63</v>
      </c>
    </row>
    <row r="401" spans="1:1" x14ac:dyDescent="0.3">
      <c r="A401" s="1" t="s">
        <v>63</v>
      </c>
    </row>
    <row r="402" spans="1:1" x14ac:dyDescent="0.3">
      <c r="A402" s="2" t="s">
        <v>63</v>
      </c>
    </row>
    <row r="403" spans="1:1" x14ac:dyDescent="0.3">
      <c r="A403" s="1" t="s">
        <v>63</v>
      </c>
    </row>
    <row r="404" spans="1:1" x14ac:dyDescent="0.3">
      <c r="A404" s="2" t="s">
        <v>63</v>
      </c>
    </row>
    <row r="405" spans="1:1" x14ac:dyDescent="0.3">
      <c r="A405" s="1" t="s">
        <v>63</v>
      </c>
    </row>
    <row r="406" spans="1:1" x14ac:dyDescent="0.3">
      <c r="A406" s="2" t="s">
        <v>63</v>
      </c>
    </row>
    <row r="407" spans="1:1" x14ac:dyDescent="0.3">
      <c r="A407" s="1" t="s">
        <v>63</v>
      </c>
    </row>
    <row r="408" spans="1:1" x14ac:dyDescent="0.3">
      <c r="A408" s="2" t="s">
        <v>63</v>
      </c>
    </row>
    <row r="409" spans="1:1" x14ac:dyDescent="0.3">
      <c r="A409" s="1" t="s">
        <v>63</v>
      </c>
    </row>
    <row r="410" spans="1:1" x14ac:dyDescent="0.3">
      <c r="A410" s="2" t="s">
        <v>46</v>
      </c>
    </row>
    <row r="411" spans="1:1" x14ac:dyDescent="0.3">
      <c r="A411" s="1" t="s">
        <v>63</v>
      </c>
    </row>
    <row r="412" spans="1:1" x14ac:dyDescent="0.3">
      <c r="A412" s="2" t="s">
        <v>63</v>
      </c>
    </row>
    <row r="413" spans="1:1" x14ac:dyDescent="0.3">
      <c r="A413" s="1" t="s">
        <v>46</v>
      </c>
    </row>
    <row r="414" spans="1:1" x14ac:dyDescent="0.3">
      <c r="A414" s="2" t="s">
        <v>63</v>
      </c>
    </row>
    <row r="415" spans="1:1" x14ac:dyDescent="0.3">
      <c r="A415" s="1" t="s">
        <v>63</v>
      </c>
    </row>
    <row r="416" spans="1:1" x14ac:dyDescent="0.3">
      <c r="A416" s="2" t="s">
        <v>63</v>
      </c>
    </row>
    <row r="417" spans="1:1" x14ac:dyDescent="0.3">
      <c r="A417" s="1" t="s">
        <v>63</v>
      </c>
    </row>
    <row r="418" spans="1:1" x14ac:dyDescent="0.3">
      <c r="A418" s="2" t="s">
        <v>63</v>
      </c>
    </row>
    <row r="419" spans="1:1" x14ac:dyDescent="0.3">
      <c r="A419" s="1" t="s">
        <v>63</v>
      </c>
    </row>
    <row r="420" spans="1:1" x14ac:dyDescent="0.3">
      <c r="A420" s="2" t="s">
        <v>63</v>
      </c>
    </row>
    <row r="421" spans="1:1" x14ac:dyDescent="0.3">
      <c r="A421" s="1" t="s">
        <v>63</v>
      </c>
    </row>
    <row r="422" spans="1:1" x14ac:dyDescent="0.3">
      <c r="A422" s="2" t="s">
        <v>63</v>
      </c>
    </row>
    <row r="423" spans="1:1" x14ac:dyDescent="0.3">
      <c r="A423" s="1" t="s">
        <v>63</v>
      </c>
    </row>
    <row r="424" spans="1:1" x14ac:dyDescent="0.3">
      <c r="A424" s="2" t="s">
        <v>63</v>
      </c>
    </row>
    <row r="425" spans="1:1" x14ac:dyDescent="0.3">
      <c r="A425" s="1" t="s">
        <v>63</v>
      </c>
    </row>
    <row r="426" spans="1:1" x14ac:dyDescent="0.3">
      <c r="A426" s="2" t="s">
        <v>63</v>
      </c>
    </row>
    <row r="427" spans="1:1" x14ac:dyDescent="0.3">
      <c r="A427" s="1" t="s">
        <v>63</v>
      </c>
    </row>
    <row r="428" spans="1:1" x14ac:dyDescent="0.3">
      <c r="A428" s="2" t="s">
        <v>63</v>
      </c>
    </row>
    <row r="429" spans="1:1" x14ac:dyDescent="0.3">
      <c r="A429" s="1" t="s">
        <v>63</v>
      </c>
    </row>
    <row r="430" spans="1:1" x14ac:dyDescent="0.3">
      <c r="A430" s="2" t="s">
        <v>63</v>
      </c>
    </row>
    <row r="431" spans="1:1" x14ac:dyDescent="0.3">
      <c r="A431" s="1" t="s">
        <v>63</v>
      </c>
    </row>
    <row r="432" spans="1:1" x14ac:dyDescent="0.3">
      <c r="A432" s="2" t="s">
        <v>63</v>
      </c>
    </row>
    <row r="433" spans="1:1" x14ac:dyDescent="0.3">
      <c r="A433" s="1" t="s">
        <v>63</v>
      </c>
    </row>
    <row r="434" spans="1:1" x14ac:dyDescent="0.3">
      <c r="A434" s="2" t="s">
        <v>63</v>
      </c>
    </row>
    <row r="435" spans="1:1" x14ac:dyDescent="0.3">
      <c r="A435" s="1" t="s">
        <v>46</v>
      </c>
    </row>
    <row r="436" spans="1:1" x14ac:dyDescent="0.3">
      <c r="A436" s="2" t="s">
        <v>63</v>
      </c>
    </row>
    <row r="437" spans="1:1" x14ac:dyDescent="0.3">
      <c r="A437" s="1" t="s">
        <v>46</v>
      </c>
    </row>
    <row r="438" spans="1:1" x14ac:dyDescent="0.3">
      <c r="A438" s="2" t="s">
        <v>46</v>
      </c>
    </row>
    <row r="439" spans="1:1" x14ac:dyDescent="0.3">
      <c r="A439" s="1" t="s">
        <v>63</v>
      </c>
    </row>
    <row r="440" spans="1:1" x14ac:dyDescent="0.3">
      <c r="A440" s="2" t="s">
        <v>63</v>
      </c>
    </row>
    <row r="441" spans="1:1" x14ac:dyDescent="0.3">
      <c r="A441" s="1" t="s">
        <v>63</v>
      </c>
    </row>
    <row r="442" spans="1:1" x14ac:dyDescent="0.3">
      <c r="A442" s="2" t="s">
        <v>63</v>
      </c>
    </row>
    <row r="443" spans="1:1" x14ac:dyDescent="0.3">
      <c r="A443" s="1" t="s">
        <v>63</v>
      </c>
    </row>
    <row r="444" spans="1:1" x14ac:dyDescent="0.3">
      <c r="A444" s="2" t="s">
        <v>46</v>
      </c>
    </row>
    <row r="445" spans="1:1" x14ac:dyDescent="0.3">
      <c r="A445" s="1" t="s">
        <v>63</v>
      </c>
    </row>
    <row r="446" spans="1:1" x14ac:dyDescent="0.3">
      <c r="A446" s="2" t="s">
        <v>63</v>
      </c>
    </row>
    <row r="447" spans="1:1" x14ac:dyDescent="0.3">
      <c r="A447" s="1" t="s">
        <v>63</v>
      </c>
    </row>
    <row r="448" spans="1:1" x14ac:dyDescent="0.3">
      <c r="A448" s="2" t="s">
        <v>46</v>
      </c>
    </row>
    <row r="449" spans="1:1" x14ac:dyDescent="0.3">
      <c r="A449" s="1" t="s">
        <v>63</v>
      </c>
    </row>
    <row r="450" spans="1:1" x14ac:dyDescent="0.3">
      <c r="A450" s="2" t="s">
        <v>63</v>
      </c>
    </row>
    <row r="451" spans="1:1" x14ac:dyDescent="0.3">
      <c r="A451" s="1" t="s">
        <v>63</v>
      </c>
    </row>
    <row r="452" spans="1:1" x14ac:dyDescent="0.3">
      <c r="A452" s="2" t="s">
        <v>63</v>
      </c>
    </row>
    <row r="453" spans="1:1" x14ac:dyDescent="0.3">
      <c r="A453" s="1" t="s">
        <v>63</v>
      </c>
    </row>
    <row r="454" spans="1:1" x14ac:dyDescent="0.3">
      <c r="A454" s="2" t="s">
        <v>63</v>
      </c>
    </row>
    <row r="455" spans="1:1" x14ac:dyDescent="0.3">
      <c r="A455" s="1" t="s">
        <v>63</v>
      </c>
    </row>
    <row r="456" spans="1:1" x14ac:dyDescent="0.3">
      <c r="A456" s="2" t="s">
        <v>63</v>
      </c>
    </row>
    <row r="457" spans="1:1" x14ac:dyDescent="0.3">
      <c r="A457" s="1" t="s">
        <v>63</v>
      </c>
    </row>
    <row r="458" spans="1:1" x14ac:dyDescent="0.3">
      <c r="A458" s="2" t="s">
        <v>46</v>
      </c>
    </row>
    <row r="459" spans="1:1" x14ac:dyDescent="0.3">
      <c r="A459" s="1" t="s">
        <v>63</v>
      </c>
    </row>
    <row r="460" spans="1:1" x14ac:dyDescent="0.3">
      <c r="A460" s="2" t="s">
        <v>63</v>
      </c>
    </row>
    <row r="461" spans="1:1" x14ac:dyDescent="0.3">
      <c r="A461" s="1" t="s">
        <v>63</v>
      </c>
    </row>
    <row r="462" spans="1:1" x14ac:dyDescent="0.3">
      <c r="A462" s="2" t="s">
        <v>63</v>
      </c>
    </row>
    <row r="463" spans="1:1" x14ac:dyDescent="0.3">
      <c r="A463" s="1" t="s">
        <v>30</v>
      </c>
    </row>
    <row r="464" spans="1:1" x14ac:dyDescent="0.3">
      <c r="A464" s="2" t="s">
        <v>63</v>
      </c>
    </row>
    <row r="465" spans="1:1" x14ac:dyDescent="0.3">
      <c r="A465" s="1" t="s">
        <v>63</v>
      </c>
    </row>
    <row r="466" spans="1:1" x14ac:dyDescent="0.3">
      <c r="A466" s="2" t="s">
        <v>63</v>
      </c>
    </row>
    <row r="467" spans="1:1" x14ac:dyDescent="0.3">
      <c r="A467" s="1" t="s">
        <v>63</v>
      </c>
    </row>
    <row r="468" spans="1:1" x14ac:dyDescent="0.3">
      <c r="A468" s="2" t="s">
        <v>63</v>
      </c>
    </row>
    <row r="469" spans="1:1" x14ac:dyDescent="0.3">
      <c r="A469" s="1" t="s">
        <v>63</v>
      </c>
    </row>
    <row r="470" spans="1:1" x14ac:dyDescent="0.3">
      <c r="A470" s="2" t="s">
        <v>63</v>
      </c>
    </row>
    <row r="471" spans="1:1" x14ac:dyDescent="0.3">
      <c r="A471" s="1" t="s">
        <v>63</v>
      </c>
    </row>
    <row r="472" spans="1:1" x14ac:dyDescent="0.3">
      <c r="A472" s="2" t="s">
        <v>63</v>
      </c>
    </row>
    <row r="473" spans="1:1" x14ac:dyDescent="0.3">
      <c r="A473" s="1" t="s">
        <v>63</v>
      </c>
    </row>
    <row r="474" spans="1:1" x14ac:dyDescent="0.3">
      <c r="A474" s="2" t="s">
        <v>63</v>
      </c>
    </row>
    <row r="475" spans="1:1" x14ac:dyDescent="0.3">
      <c r="A475" s="1" t="s">
        <v>63</v>
      </c>
    </row>
    <row r="476" spans="1:1" x14ac:dyDescent="0.3">
      <c r="A476" s="2" t="s">
        <v>63</v>
      </c>
    </row>
    <row r="477" spans="1:1" x14ac:dyDescent="0.3">
      <c r="A477" s="1" t="s">
        <v>63</v>
      </c>
    </row>
    <row r="478" spans="1:1" x14ac:dyDescent="0.3">
      <c r="A478" s="2" t="s">
        <v>63</v>
      </c>
    </row>
    <row r="479" spans="1:1" x14ac:dyDescent="0.3">
      <c r="A479" s="1" t="s">
        <v>63</v>
      </c>
    </row>
    <row r="480" spans="1:1" x14ac:dyDescent="0.3">
      <c r="A480" s="2" t="s">
        <v>63</v>
      </c>
    </row>
    <row r="481" spans="1:1" x14ac:dyDescent="0.3">
      <c r="A481" s="1" t="s">
        <v>63</v>
      </c>
    </row>
    <row r="482" spans="1:1" x14ac:dyDescent="0.3">
      <c r="A482" s="2" t="s">
        <v>63</v>
      </c>
    </row>
    <row r="483" spans="1:1" x14ac:dyDescent="0.3">
      <c r="A483" s="1" t="s">
        <v>63</v>
      </c>
    </row>
    <row r="484" spans="1:1" x14ac:dyDescent="0.3">
      <c r="A484" s="2" t="s">
        <v>63</v>
      </c>
    </row>
    <row r="485" spans="1:1" x14ac:dyDescent="0.3">
      <c r="A485" s="1" t="s">
        <v>63</v>
      </c>
    </row>
    <row r="486" spans="1:1" x14ac:dyDescent="0.3">
      <c r="A486" s="2" t="s">
        <v>63</v>
      </c>
    </row>
    <row r="487" spans="1:1" x14ac:dyDescent="0.3">
      <c r="A487" s="1" t="s">
        <v>63</v>
      </c>
    </row>
    <row r="488" spans="1:1" x14ac:dyDescent="0.3">
      <c r="A488" s="2" t="s">
        <v>63</v>
      </c>
    </row>
    <row r="489" spans="1:1" x14ac:dyDescent="0.3">
      <c r="A489" s="1" t="s">
        <v>63</v>
      </c>
    </row>
    <row r="490" spans="1:1" x14ac:dyDescent="0.3">
      <c r="A490" s="2" t="s">
        <v>63</v>
      </c>
    </row>
    <row r="491" spans="1:1" x14ac:dyDescent="0.3">
      <c r="A491" s="1" t="s">
        <v>63</v>
      </c>
    </row>
    <row r="492" spans="1:1" x14ac:dyDescent="0.3">
      <c r="A492" s="2" t="s">
        <v>63</v>
      </c>
    </row>
    <row r="493" spans="1:1" x14ac:dyDescent="0.3">
      <c r="A493" s="1" t="s">
        <v>63</v>
      </c>
    </row>
    <row r="494" spans="1:1" x14ac:dyDescent="0.3">
      <c r="A494" s="2" t="s">
        <v>63</v>
      </c>
    </row>
    <row r="495" spans="1:1" x14ac:dyDescent="0.3">
      <c r="A495" s="1" t="s">
        <v>63</v>
      </c>
    </row>
    <row r="496" spans="1:1" x14ac:dyDescent="0.3">
      <c r="A496" s="2" t="s">
        <v>63</v>
      </c>
    </row>
    <row r="497" spans="1:1" x14ac:dyDescent="0.3">
      <c r="A497" s="1" t="s">
        <v>63</v>
      </c>
    </row>
    <row r="498" spans="1:1" x14ac:dyDescent="0.3">
      <c r="A498" s="2" t="s">
        <v>63</v>
      </c>
    </row>
    <row r="499" spans="1:1" x14ac:dyDescent="0.3">
      <c r="A499" s="1" t="s">
        <v>63</v>
      </c>
    </row>
    <row r="500" spans="1:1" x14ac:dyDescent="0.3">
      <c r="A500" s="2" t="s">
        <v>63</v>
      </c>
    </row>
    <row r="501" spans="1:1" x14ac:dyDescent="0.3">
      <c r="A501" s="1" t="s">
        <v>63</v>
      </c>
    </row>
    <row r="502" spans="1:1" x14ac:dyDescent="0.3">
      <c r="A502" s="2" t="s">
        <v>63</v>
      </c>
    </row>
    <row r="503" spans="1:1" x14ac:dyDescent="0.3">
      <c r="A503" s="1" t="s">
        <v>63</v>
      </c>
    </row>
    <row r="504" spans="1:1" x14ac:dyDescent="0.3">
      <c r="A504" s="2" t="s">
        <v>63</v>
      </c>
    </row>
    <row r="505" spans="1:1" x14ac:dyDescent="0.3">
      <c r="A505" s="1" t="s">
        <v>30</v>
      </c>
    </row>
    <row r="506" spans="1:1" x14ac:dyDescent="0.3">
      <c r="A506" s="2" t="s">
        <v>30</v>
      </c>
    </row>
    <row r="507" spans="1:1" x14ac:dyDescent="0.3">
      <c r="A507" s="1" t="s">
        <v>46</v>
      </c>
    </row>
    <row r="508" spans="1:1" x14ac:dyDescent="0.3">
      <c r="A508" s="2" t="s">
        <v>63</v>
      </c>
    </row>
    <row r="509" spans="1:1" x14ac:dyDescent="0.3">
      <c r="A509" s="1" t="s">
        <v>63</v>
      </c>
    </row>
    <row r="510" spans="1:1" x14ac:dyDescent="0.3">
      <c r="A510" s="2" t="s">
        <v>63</v>
      </c>
    </row>
    <row r="511" spans="1:1" x14ac:dyDescent="0.3">
      <c r="A511" s="1" t="s">
        <v>63</v>
      </c>
    </row>
    <row r="512" spans="1:1" x14ac:dyDescent="0.3">
      <c r="A512" s="2" t="s">
        <v>63</v>
      </c>
    </row>
    <row r="513" spans="1:1" x14ac:dyDescent="0.3">
      <c r="A513" s="1" t="s">
        <v>63</v>
      </c>
    </row>
    <row r="514" spans="1:1" x14ac:dyDescent="0.3">
      <c r="A514" s="2" t="s">
        <v>63</v>
      </c>
    </row>
    <row r="515" spans="1:1" x14ac:dyDescent="0.3">
      <c r="A515" s="1" t="s">
        <v>63</v>
      </c>
    </row>
    <row r="516" spans="1:1" x14ac:dyDescent="0.3">
      <c r="A516" s="2" t="s">
        <v>63</v>
      </c>
    </row>
    <row r="517" spans="1:1" x14ac:dyDescent="0.3">
      <c r="A517" s="1" t="s">
        <v>63</v>
      </c>
    </row>
    <row r="518" spans="1:1" x14ac:dyDescent="0.3">
      <c r="A518" s="2" t="s">
        <v>63</v>
      </c>
    </row>
    <row r="519" spans="1:1" x14ac:dyDescent="0.3">
      <c r="A519" s="1" t="s">
        <v>63</v>
      </c>
    </row>
    <row r="520" spans="1:1" x14ac:dyDescent="0.3">
      <c r="A520" s="2" t="s">
        <v>63</v>
      </c>
    </row>
    <row r="521" spans="1:1" x14ac:dyDescent="0.3">
      <c r="A521" s="1" t="s">
        <v>63</v>
      </c>
    </row>
    <row r="522" spans="1:1" x14ac:dyDescent="0.3">
      <c r="A522" s="2" t="s">
        <v>63</v>
      </c>
    </row>
    <row r="523" spans="1:1" x14ac:dyDescent="0.3">
      <c r="A523" s="1" t="s">
        <v>63</v>
      </c>
    </row>
    <row r="524" spans="1:1" x14ac:dyDescent="0.3">
      <c r="A524" s="2" t="s">
        <v>63</v>
      </c>
    </row>
    <row r="525" spans="1:1" x14ac:dyDescent="0.3">
      <c r="A525" s="1" t="s">
        <v>63</v>
      </c>
    </row>
    <row r="526" spans="1:1" x14ac:dyDescent="0.3">
      <c r="A526" s="2" t="s">
        <v>63</v>
      </c>
    </row>
    <row r="527" spans="1:1" x14ac:dyDescent="0.3">
      <c r="A527" s="1" t="s">
        <v>46</v>
      </c>
    </row>
    <row r="528" spans="1:1" x14ac:dyDescent="0.3">
      <c r="A528" s="2" t="s">
        <v>63</v>
      </c>
    </row>
    <row r="529" spans="1:1" x14ac:dyDescent="0.3">
      <c r="A529" s="1" t="s">
        <v>63</v>
      </c>
    </row>
    <row r="530" spans="1:1" x14ac:dyDescent="0.3">
      <c r="A530" s="2" t="s">
        <v>63</v>
      </c>
    </row>
    <row r="531" spans="1:1" x14ac:dyDescent="0.3">
      <c r="A531" s="1" t="s">
        <v>63</v>
      </c>
    </row>
    <row r="532" spans="1:1" x14ac:dyDescent="0.3">
      <c r="A532" s="2" t="s">
        <v>63</v>
      </c>
    </row>
    <row r="533" spans="1:1" x14ac:dyDescent="0.3">
      <c r="A533" s="1" t="s">
        <v>63</v>
      </c>
    </row>
    <row r="534" spans="1:1" x14ac:dyDescent="0.3">
      <c r="A534" s="2" t="s">
        <v>63</v>
      </c>
    </row>
    <row r="535" spans="1:1" x14ac:dyDescent="0.3">
      <c r="A535" s="1" t="s">
        <v>63</v>
      </c>
    </row>
    <row r="536" spans="1:1" x14ac:dyDescent="0.3">
      <c r="A536" s="2" t="s">
        <v>63</v>
      </c>
    </row>
    <row r="537" spans="1:1" x14ac:dyDescent="0.3">
      <c r="A537" s="1" t="s">
        <v>63</v>
      </c>
    </row>
    <row r="538" spans="1:1" x14ac:dyDescent="0.3">
      <c r="A538" s="2" t="s">
        <v>63</v>
      </c>
    </row>
    <row r="539" spans="1:1" x14ac:dyDescent="0.3">
      <c r="A539" s="1" t="s">
        <v>63</v>
      </c>
    </row>
    <row r="540" spans="1:1" x14ac:dyDescent="0.3">
      <c r="A540" s="2" t="s">
        <v>63</v>
      </c>
    </row>
    <row r="541" spans="1:1" x14ac:dyDescent="0.3">
      <c r="A541" s="1" t="s">
        <v>30</v>
      </c>
    </row>
    <row r="542" spans="1:1" x14ac:dyDescent="0.3">
      <c r="A542" s="2" t="s">
        <v>30</v>
      </c>
    </row>
    <row r="543" spans="1:1" x14ac:dyDescent="0.3">
      <c r="A543" s="1" t="s">
        <v>30</v>
      </c>
    </row>
    <row r="544" spans="1:1" x14ac:dyDescent="0.3">
      <c r="A544" s="2" t="s">
        <v>30</v>
      </c>
    </row>
    <row r="545" spans="1:1" x14ac:dyDescent="0.3">
      <c r="A545" s="1" t="s">
        <v>30</v>
      </c>
    </row>
    <row r="546" spans="1:1" x14ac:dyDescent="0.3">
      <c r="A546" s="2" t="s">
        <v>30</v>
      </c>
    </row>
    <row r="547" spans="1:1" x14ac:dyDescent="0.3">
      <c r="A547" s="1" t="s">
        <v>30</v>
      </c>
    </row>
    <row r="548" spans="1:1" x14ac:dyDescent="0.3">
      <c r="A548" s="2" t="s">
        <v>30</v>
      </c>
    </row>
    <row r="549" spans="1:1" x14ac:dyDescent="0.3">
      <c r="A549" s="1" t="s">
        <v>30</v>
      </c>
    </row>
    <row r="550" spans="1:1" x14ac:dyDescent="0.3">
      <c r="A550" s="2" t="s">
        <v>46</v>
      </c>
    </row>
    <row r="551" spans="1:1" x14ac:dyDescent="0.3">
      <c r="A551" s="1" t="s">
        <v>46</v>
      </c>
    </row>
    <row r="552" spans="1:1" x14ac:dyDescent="0.3">
      <c r="A552" s="2" t="s">
        <v>63</v>
      </c>
    </row>
    <row r="553" spans="1:1" x14ac:dyDescent="0.3">
      <c r="A553" s="1" t="s">
        <v>63</v>
      </c>
    </row>
    <row r="554" spans="1:1" x14ac:dyDescent="0.3">
      <c r="A554" s="2" t="s">
        <v>46</v>
      </c>
    </row>
    <row r="555" spans="1:1" x14ac:dyDescent="0.3">
      <c r="A555" s="1" t="s">
        <v>63</v>
      </c>
    </row>
    <row r="556" spans="1:1" x14ac:dyDescent="0.3">
      <c r="A556" s="2" t="s">
        <v>63</v>
      </c>
    </row>
    <row r="557" spans="1:1" x14ac:dyDescent="0.3">
      <c r="A557" s="1" t="s">
        <v>63</v>
      </c>
    </row>
    <row r="558" spans="1:1" x14ac:dyDescent="0.3">
      <c r="A558" s="2" t="s">
        <v>63</v>
      </c>
    </row>
    <row r="559" spans="1:1" x14ac:dyDescent="0.3">
      <c r="A559" s="1" t="s">
        <v>63</v>
      </c>
    </row>
    <row r="560" spans="1:1" x14ac:dyDescent="0.3">
      <c r="A560" s="2" t="s">
        <v>63</v>
      </c>
    </row>
    <row r="561" spans="1:1" x14ac:dyDescent="0.3">
      <c r="A561" s="1" t="s">
        <v>63</v>
      </c>
    </row>
    <row r="562" spans="1:1" x14ac:dyDescent="0.3">
      <c r="A562" s="2" t="s">
        <v>63</v>
      </c>
    </row>
    <row r="563" spans="1:1" x14ac:dyDescent="0.3">
      <c r="A563" s="1" t="s">
        <v>63</v>
      </c>
    </row>
    <row r="564" spans="1:1" x14ac:dyDescent="0.3">
      <c r="A564" s="2" t="s">
        <v>63</v>
      </c>
    </row>
    <row r="565" spans="1:1" x14ac:dyDescent="0.3">
      <c r="A565" s="1" t="s">
        <v>63</v>
      </c>
    </row>
    <row r="566" spans="1:1" x14ac:dyDescent="0.3">
      <c r="A566" s="2" t="s">
        <v>63</v>
      </c>
    </row>
    <row r="567" spans="1:1" x14ac:dyDescent="0.3">
      <c r="A567" s="1" t="s">
        <v>63</v>
      </c>
    </row>
    <row r="568" spans="1:1" x14ac:dyDescent="0.3">
      <c r="A568" s="2" t="s">
        <v>63</v>
      </c>
    </row>
    <row r="569" spans="1:1" x14ac:dyDescent="0.3">
      <c r="A569" s="1" t="s">
        <v>63</v>
      </c>
    </row>
    <row r="570" spans="1:1" x14ac:dyDescent="0.3">
      <c r="A570" s="2" t="s">
        <v>63</v>
      </c>
    </row>
    <row r="571" spans="1:1" x14ac:dyDescent="0.3">
      <c r="A571" s="1" t="s">
        <v>46</v>
      </c>
    </row>
    <row r="572" spans="1:1" x14ac:dyDescent="0.3">
      <c r="A572" s="2" t="s">
        <v>46</v>
      </c>
    </row>
    <row r="573" spans="1:1" x14ac:dyDescent="0.3">
      <c r="A573" s="1" t="s">
        <v>46</v>
      </c>
    </row>
    <row r="574" spans="1:1" x14ac:dyDescent="0.3">
      <c r="A574" s="2" t="s">
        <v>46</v>
      </c>
    </row>
    <row r="575" spans="1:1" x14ac:dyDescent="0.3">
      <c r="A575" s="1" t="s">
        <v>63</v>
      </c>
    </row>
    <row r="576" spans="1:1" x14ac:dyDescent="0.3">
      <c r="A576" s="2" t="s">
        <v>63</v>
      </c>
    </row>
    <row r="577" spans="1:1" x14ac:dyDescent="0.3">
      <c r="A577" s="1" t="s">
        <v>63</v>
      </c>
    </row>
    <row r="578" spans="1:1" x14ac:dyDescent="0.3">
      <c r="A578" s="2" t="s">
        <v>63</v>
      </c>
    </row>
    <row r="579" spans="1:1" x14ac:dyDescent="0.3">
      <c r="A579" s="1" t="s">
        <v>63</v>
      </c>
    </row>
    <row r="580" spans="1:1" x14ac:dyDescent="0.3">
      <c r="A580" s="2" t="s">
        <v>63</v>
      </c>
    </row>
    <row r="581" spans="1:1" x14ac:dyDescent="0.3">
      <c r="A581" s="1" t="s">
        <v>46</v>
      </c>
    </row>
    <row r="582" spans="1:1" x14ac:dyDescent="0.3">
      <c r="A582" s="2" t="s">
        <v>63</v>
      </c>
    </row>
    <row r="583" spans="1:1" x14ac:dyDescent="0.3">
      <c r="A583" s="1" t="s">
        <v>46</v>
      </c>
    </row>
    <row r="584" spans="1:1" x14ac:dyDescent="0.3">
      <c r="A584" s="2" t="s">
        <v>46</v>
      </c>
    </row>
    <row r="585" spans="1:1" x14ac:dyDescent="0.3">
      <c r="A585" s="1" t="s">
        <v>63</v>
      </c>
    </row>
    <row r="586" spans="1:1" x14ac:dyDescent="0.3">
      <c r="A586" s="2" t="s">
        <v>63</v>
      </c>
    </row>
    <row r="587" spans="1:1" x14ac:dyDescent="0.3">
      <c r="A587" s="1" t="s">
        <v>63</v>
      </c>
    </row>
    <row r="588" spans="1:1" x14ac:dyDescent="0.3">
      <c r="A588" s="2" t="s">
        <v>63</v>
      </c>
    </row>
    <row r="589" spans="1:1" x14ac:dyDescent="0.3">
      <c r="A589" s="1" t="s">
        <v>63</v>
      </c>
    </row>
    <row r="590" spans="1:1" x14ac:dyDescent="0.3">
      <c r="A590" s="2" t="s">
        <v>63</v>
      </c>
    </row>
    <row r="591" spans="1:1" x14ac:dyDescent="0.3">
      <c r="A591" s="1" t="s">
        <v>63</v>
      </c>
    </row>
    <row r="592" spans="1:1" x14ac:dyDescent="0.3">
      <c r="A592" s="2" t="s">
        <v>46</v>
      </c>
    </row>
    <row r="593" spans="1:1" x14ac:dyDescent="0.3">
      <c r="A593" s="1" t="s">
        <v>63</v>
      </c>
    </row>
    <row r="594" spans="1:1" x14ac:dyDescent="0.3">
      <c r="A594" s="2" t="s">
        <v>63</v>
      </c>
    </row>
    <row r="595" spans="1:1" x14ac:dyDescent="0.3">
      <c r="A595" s="1" t="s">
        <v>63</v>
      </c>
    </row>
    <row r="596" spans="1:1" x14ac:dyDescent="0.3">
      <c r="A596" s="2" t="s">
        <v>63</v>
      </c>
    </row>
    <row r="597" spans="1:1" x14ac:dyDescent="0.3">
      <c r="A597" s="1" t="s">
        <v>46</v>
      </c>
    </row>
    <row r="598" spans="1:1" x14ac:dyDescent="0.3">
      <c r="A598" s="2" t="s">
        <v>63</v>
      </c>
    </row>
    <row r="599" spans="1:1" x14ac:dyDescent="0.3">
      <c r="A599" s="1" t="s">
        <v>63</v>
      </c>
    </row>
    <row r="600" spans="1:1" x14ac:dyDescent="0.3">
      <c r="A600" s="2" t="s">
        <v>63</v>
      </c>
    </row>
    <row r="601" spans="1:1" x14ac:dyDescent="0.3">
      <c r="A601" s="1" t="s">
        <v>63</v>
      </c>
    </row>
    <row r="602" spans="1:1" x14ac:dyDescent="0.3">
      <c r="A602" s="2" t="s">
        <v>63</v>
      </c>
    </row>
    <row r="603" spans="1:1" x14ac:dyDescent="0.3">
      <c r="A603" s="1" t="s">
        <v>63</v>
      </c>
    </row>
    <row r="604" spans="1:1" x14ac:dyDescent="0.3">
      <c r="A604" s="2" t="s">
        <v>63</v>
      </c>
    </row>
    <row r="605" spans="1:1" x14ac:dyDescent="0.3">
      <c r="A605" s="1" t="s">
        <v>30</v>
      </c>
    </row>
    <row r="606" spans="1:1" x14ac:dyDescent="0.3">
      <c r="A606" s="2" t="s">
        <v>30</v>
      </c>
    </row>
    <row r="607" spans="1:1" x14ac:dyDescent="0.3">
      <c r="A607" s="1" t="s">
        <v>63</v>
      </c>
    </row>
    <row r="608" spans="1:1" x14ac:dyDescent="0.3">
      <c r="A608" s="2" t="s">
        <v>63</v>
      </c>
    </row>
    <row r="609" spans="1:1" x14ac:dyDescent="0.3">
      <c r="A609" s="1" t="s">
        <v>63</v>
      </c>
    </row>
    <row r="610" spans="1:1" x14ac:dyDescent="0.3">
      <c r="A610" s="2" t="s">
        <v>63</v>
      </c>
    </row>
    <row r="611" spans="1:1" x14ac:dyDescent="0.3">
      <c r="A611" s="1" t="s">
        <v>30</v>
      </c>
    </row>
    <row r="612" spans="1:1" x14ac:dyDescent="0.3">
      <c r="A612" s="2" t="s">
        <v>30</v>
      </c>
    </row>
    <row r="613" spans="1:1" x14ac:dyDescent="0.3">
      <c r="A613" s="1" t="s">
        <v>63</v>
      </c>
    </row>
    <row r="614" spans="1:1" x14ac:dyDescent="0.3">
      <c r="A614" s="2" t="s">
        <v>63</v>
      </c>
    </row>
    <row r="615" spans="1:1" x14ac:dyDescent="0.3">
      <c r="A615" s="1" t="s">
        <v>63</v>
      </c>
    </row>
    <row r="616" spans="1:1" x14ac:dyDescent="0.3">
      <c r="A616" s="2" t="s">
        <v>63</v>
      </c>
    </row>
    <row r="617" spans="1:1" x14ac:dyDescent="0.3">
      <c r="A617" s="1" t="s">
        <v>63</v>
      </c>
    </row>
    <row r="618" spans="1:1" x14ac:dyDescent="0.3">
      <c r="A618" s="2" t="s">
        <v>63</v>
      </c>
    </row>
    <row r="619" spans="1:1" x14ac:dyDescent="0.3">
      <c r="A619" s="1" t="s">
        <v>30</v>
      </c>
    </row>
    <row r="620" spans="1:1" x14ac:dyDescent="0.3">
      <c r="A620" s="2" t="s">
        <v>63</v>
      </c>
    </row>
    <row r="621" spans="1:1" x14ac:dyDescent="0.3">
      <c r="A621" s="1" t="s">
        <v>46</v>
      </c>
    </row>
    <row r="622" spans="1:1" x14ac:dyDescent="0.3">
      <c r="A622" s="2" t="s">
        <v>63</v>
      </c>
    </row>
    <row r="623" spans="1:1" x14ac:dyDescent="0.3">
      <c r="A623" s="1" t="s">
        <v>63</v>
      </c>
    </row>
    <row r="624" spans="1:1" x14ac:dyDescent="0.3">
      <c r="A624" s="2" t="s">
        <v>46</v>
      </c>
    </row>
    <row r="625" spans="1:1" x14ac:dyDescent="0.3">
      <c r="A625" s="1" t="s">
        <v>63</v>
      </c>
    </row>
    <row r="626" spans="1:1" x14ac:dyDescent="0.3">
      <c r="A626" s="2" t="s">
        <v>46</v>
      </c>
    </row>
    <row r="627" spans="1:1" x14ac:dyDescent="0.3">
      <c r="A627" s="1" t="s">
        <v>46</v>
      </c>
    </row>
    <row r="628" spans="1:1" x14ac:dyDescent="0.3">
      <c r="A628" s="2" t="s">
        <v>63</v>
      </c>
    </row>
    <row r="629" spans="1:1" x14ac:dyDescent="0.3">
      <c r="A629" s="1" t="s">
        <v>63</v>
      </c>
    </row>
    <row r="630" spans="1:1" x14ac:dyDescent="0.3">
      <c r="A630" s="2" t="s">
        <v>46</v>
      </c>
    </row>
    <row r="631" spans="1:1" x14ac:dyDescent="0.3">
      <c r="A631" s="1" t="s">
        <v>46</v>
      </c>
    </row>
    <row r="632" spans="1:1" x14ac:dyDescent="0.3">
      <c r="A632" s="2" t="s">
        <v>63</v>
      </c>
    </row>
    <row r="633" spans="1:1" x14ac:dyDescent="0.3">
      <c r="A633" s="1" t="s">
        <v>46</v>
      </c>
    </row>
    <row r="634" spans="1:1" x14ac:dyDescent="0.3">
      <c r="A634" s="2" t="s">
        <v>63</v>
      </c>
    </row>
    <row r="635" spans="1:1" x14ac:dyDescent="0.3">
      <c r="A635" s="1" t="s">
        <v>63</v>
      </c>
    </row>
    <row r="636" spans="1:1" x14ac:dyDescent="0.3">
      <c r="A636" s="2" t="s">
        <v>46</v>
      </c>
    </row>
    <row r="637" spans="1:1" x14ac:dyDescent="0.3">
      <c r="A637" s="1" t="s">
        <v>63</v>
      </c>
    </row>
    <row r="638" spans="1:1" x14ac:dyDescent="0.3">
      <c r="A638" s="2" t="s">
        <v>63</v>
      </c>
    </row>
    <row r="639" spans="1:1" x14ac:dyDescent="0.3">
      <c r="A639" s="1" t="s">
        <v>63</v>
      </c>
    </row>
    <row r="640" spans="1:1" x14ac:dyDescent="0.3">
      <c r="A640" s="2" t="s">
        <v>63</v>
      </c>
    </row>
    <row r="641" spans="1:1" x14ac:dyDescent="0.3">
      <c r="A641" s="1" t="s">
        <v>63</v>
      </c>
    </row>
    <row r="642" spans="1:1" x14ac:dyDescent="0.3">
      <c r="A642" s="2" t="s">
        <v>63</v>
      </c>
    </row>
    <row r="643" spans="1:1" x14ac:dyDescent="0.3">
      <c r="A643" s="1" t="s">
        <v>63</v>
      </c>
    </row>
    <row r="644" spans="1:1" x14ac:dyDescent="0.3">
      <c r="A644" s="2" t="s">
        <v>63</v>
      </c>
    </row>
    <row r="645" spans="1:1" x14ac:dyDescent="0.3">
      <c r="A645" s="1" t="s">
        <v>63</v>
      </c>
    </row>
    <row r="646" spans="1:1" x14ac:dyDescent="0.3">
      <c r="A646" s="2" t="s">
        <v>63</v>
      </c>
    </row>
    <row r="647" spans="1:1" x14ac:dyDescent="0.3">
      <c r="A647" s="1" t="s">
        <v>63</v>
      </c>
    </row>
    <row r="648" spans="1:1" x14ac:dyDescent="0.3">
      <c r="A648" s="2" t="s">
        <v>46</v>
      </c>
    </row>
    <row r="649" spans="1:1" x14ac:dyDescent="0.3">
      <c r="A649" s="1" t="s">
        <v>63</v>
      </c>
    </row>
    <row r="650" spans="1:1" x14ac:dyDescent="0.3">
      <c r="A650" s="2" t="s">
        <v>63</v>
      </c>
    </row>
    <row r="651" spans="1:1" x14ac:dyDescent="0.3">
      <c r="A651" s="1" t="s">
        <v>63</v>
      </c>
    </row>
    <row r="652" spans="1:1" x14ac:dyDescent="0.3">
      <c r="A652" s="2" t="s">
        <v>63</v>
      </c>
    </row>
    <row r="653" spans="1:1" x14ac:dyDescent="0.3">
      <c r="A653" s="1" t="s">
        <v>63</v>
      </c>
    </row>
    <row r="654" spans="1:1" x14ac:dyDescent="0.3">
      <c r="A654" s="2" t="s">
        <v>63</v>
      </c>
    </row>
    <row r="655" spans="1:1" x14ac:dyDescent="0.3">
      <c r="A655" s="1" t="s">
        <v>63</v>
      </c>
    </row>
    <row r="656" spans="1:1" x14ac:dyDescent="0.3">
      <c r="A656" s="2" t="s">
        <v>63</v>
      </c>
    </row>
    <row r="657" spans="1:1" x14ac:dyDescent="0.3">
      <c r="A657" s="1" t="s">
        <v>63</v>
      </c>
    </row>
    <row r="658" spans="1:1" x14ac:dyDescent="0.3">
      <c r="A658" s="2" t="s">
        <v>63</v>
      </c>
    </row>
    <row r="659" spans="1:1" x14ac:dyDescent="0.3">
      <c r="A659" s="1" t="s">
        <v>63</v>
      </c>
    </row>
    <row r="660" spans="1:1" x14ac:dyDescent="0.3">
      <c r="A660" s="2" t="s">
        <v>63</v>
      </c>
    </row>
    <row r="661" spans="1:1" x14ac:dyDescent="0.3">
      <c r="A661" s="1" t="s">
        <v>63</v>
      </c>
    </row>
    <row r="662" spans="1:1" x14ac:dyDescent="0.3">
      <c r="A662" s="2" t="s">
        <v>63</v>
      </c>
    </row>
    <row r="663" spans="1:1" x14ac:dyDescent="0.3">
      <c r="A663" s="1" t="s">
        <v>63</v>
      </c>
    </row>
    <row r="664" spans="1:1" x14ac:dyDescent="0.3">
      <c r="A664" s="2" t="s">
        <v>63</v>
      </c>
    </row>
    <row r="665" spans="1:1" x14ac:dyDescent="0.3">
      <c r="A665" s="1" t="s">
        <v>63</v>
      </c>
    </row>
    <row r="666" spans="1:1" x14ac:dyDescent="0.3">
      <c r="A666" s="2" t="s">
        <v>63</v>
      </c>
    </row>
    <row r="667" spans="1:1" x14ac:dyDescent="0.3">
      <c r="A667" s="1" t="s">
        <v>63</v>
      </c>
    </row>
    <row r="668" spans="1:1" x14ac:dyDescent="0.3">
      <c r="A668" s="2" t="s">
        <v>30</v>
      </c>
    </row>
    <row r="669" spans="1:1" x14ac:dyDescent="0.3">
      <c r="A669" s="1" t="s">
        <v>30</v>
      </c>
    </row>
    <row r="670" spans="1:1" x14ac:dyDescent="0.3">
      <c r="A670" s="2" t="s">
        <v>30</v>
      </c>
    </row>
    <row r="671" spans="1:1" x14ac:dyDescent="0.3">
      <c r="A671" s="1" t="s">
        <v>30</v>
      </c>
    </row>
    <row r="672" spans="1:1" x14ac:dyDescent="0.3">
      <c r="A672" s="2" t="s">
        <v>30</v>
      </c>
    </row>
    <row r="673" spans="1:1" x14ac:dyDescent="0.3">
      <c r="A673" s="1" t="s">
        <v>63</v>
      </c>
    </row>
    <row r="674" spans="1:1" x14ac:dyDescent="0.3">
      <c r="A674" s="2" t="s">
        <v>63</v>
      </c>
    </row>
    <row r="675" spans="1:1" x14ac:dyDescent="0.3">
      <c r="A675" s="1" t="s">
        <v>46</v>
      </c>
    </row>
    <row r="676" spans="1:1" x14ac:dyDescent="0.3">
      <c r="A676" s="2" t="s">
        <v>46</v>
      </c>
    </row>
    <row r="677" spans="1:1" x14ac:dyDescent="0.3">
      <c r="A677" s="1" t="s">
        <v>46</v>
      </c>
    </row>
    <row r="678" spans="1:1" x14ac:dyDescent="0.3">
      <c r="A678" s="2" t="s">
        <v>30</v>
      </c>
    </row>
    <row r="679" spans="1:1" x14ac:dyDescent="0.3">
      <c r="A679" s="1" t="s">
        <v>63</v>
      </c>
    </row>
    <row r="680" spans="1:1" x14ac:dyDescent="0.3">
      <c r="A680" s="2" t="s">
        <v>63</v>
      </c>
    </row>
    <row r="681" spans="1:1" x14ac:dyDescent="0.3">
      <c r="A681" s="1" t="s">
        <v>63</v>
      </c>
    </row>
    <row r="682" spans="1:1" x14ac:dyDescent="0.3">
      <c r="A682" s="2" t="s">
        <v>63</v>
      </c>
    </row>
    <row r="683" spans="1:1" x14ac:dyDescent="0.3">
      <c r="A683" s="1" t="s">
        <v>46</v>
      </c>
    </row>
    <row r="684" spans="1:1" x14ac:dyDescent="0.3">
      <c r="A684" s="2" t="s">
        <v>46</v>
      </c>
    </row>
    <row r="685" spans="1:1" x14ac:dyDescent="0.3">
      <c r="A685" s="1" t="s">
        <v>46</v>
      </c>
    </row>
    <row r="686" spans="1:1" x14ac:dyDescent="0.3">
      <c r="A686" s="2" t="s">
        <v>46</v>
      </c>
    </row>
    <row r="687" spans="1:1" x14ac:dyDescent="0.3">
      <c r="A687" s="1" t="s">
        <v>46</v>
      </c>
    </row>
    <row r="688" spans="1:1" x14ac:dyDescent="0.3">
      <c r="A688" s="2" t="s">
        <v>46</v>
      </c>
    </row>
    <row r="689" spans="1:1" x14ac:dyDescent="0.3">
      <c r="A689" s="1" t="s">
        <v>46</v>
      </c>
    </row>
    <row r="690" spans="1:1" x14ac:dyDescent="0.3">
      <c r="A690" s="2" t="s">
        <v>46</v>
      </c>
    </row>
    <row r="691" spans="1:1" x14ac:dyDescent="0.3">
      <c r="A691" s="1" t="s">
        <v>46</v>
      </c>
    </row>
    <row r="692" spans="1:1" x14ac:dyDescent="0.3">
      <c r="A692" s="2" t="s">
        <v>63</v>
      </c>
    </row>
    <row r="693" spans="1:1" x14ac:dyDescent="0.3">
      <c r="A693" s="1" t="s">
        <v>63</v>
      </c>
    </row>
    <row r="694" spans="1:1" x14ac:dyDescent="0.3">
      <c r="A694" s="2" t="s">
        <v>63</v>
      </c>
    </row>
    <row r="695" spans="1:1" x14ac:dyDescent="0.3">
      <c r="A695" s="1" t="s">
        <v>46</v>
      </c>
    </row>
    <row r="696" spans="1:1" x14ac:dyDescent="0.3">
      <c r="A696" s="2" t="s">
        <v>46</v>
      </c>
    </row>
    <row r="697" spans="1:1" x14ac:dyDescent="0.3">
      <c r="A697" s="1" t="s">
        <v>63</v>
      </c>
    </row>
    <row r="698" spans="1:1" x14ac:dyDescent="0.3">
      <c r="A698" s="2" t="s">
        <v>63</v>
      </c>
    </row>
    <row r="699" spans="1:1" x14ac:dyDescent="0.3">
      <c r="A699" s="1" t="s">
        <v>63</v>
      </c>
    </row>
    <row r="700" spans="1:1" x14ac:dyDescent="0.3">
      <c r="A700" s="2" t="s">
        <v>46</v>
      </c>
    </row>
    <row r="701" spans="1:1" x14ac:dyDescent="0.3">
      <c r="A701" s="1" t="s">
        <v>46</v>
      </c>
    </row>
    <row r="702" spans="1:1" x14ac:dyDescent="0.3">
      <c r="A702" s="2" t="s">
        <v>46</v>
      </c>
    </row>
    <row r="703" spans="1:1" x14ac:dyDescent="0.3">
      <c r="A703" s="1" t="s">
        <v>63</v>
      </c>
    </row>
    <row r="704" spans="1:1" x14ac:dyDescent="0.3">
      <c r="A704" s="2" t="s">
        <v>63</v>
      </c>
    </row>
    <row r="705" spans="1:1" x14ac:dyDescent="0.3">
      <c r="A705" s="1" t="s">
        <v>46</v>
      </c>
    </row>
    <row r="706" spans="1:1" x14ac:dyDescent="0.3">
      <c r="A706" s="2" t="s">
        <v>63</v>
      </c>
    </row>
    <row r="707" spans="1:1" x14ac:dyDescent="0.3">
      <c r="A707" s="1" t="s">
        <v>63</v>
      </c>
    </row>
    <row r="708" spans="1:1" x14ac:dyDescent="0.3">
      <c r="A708" s="2" t="s">
        <v>63</v>
      </c>
    </row>
    <row r="709" spans="1:1" x14ac:dyDescent="0.3">
      <c r="A709" s="1" t="s">
        <v>63</v>
      </c>
    </row>
    <row r="710" spans="1:1" x14ac:dyDescent="0.3">
      <c r="A710" s="2" t="s">
        <v>63</v>
      </c>
    </row>
    <row r="711" spans="1:1" x14ac:dyDescent="0.3">
      <c r="A711" s="1" t="s">
        <v>63</v>
      </c>
    </row>
    <row r="712" spans="1:1" x14ac:dyDescent="0.3">
      <c r="A712" s="2" t="s">
        <v>46</v>
      </c>
    </row>
    <row r="713" spans="1:1" x14ac:dyDescent="0.3">
      <c r="A713" s="1" t="s">
        <v>63</v>
      </c>
    </row>
    <row r="714" spans="1:1" x14ac:dyDescent="0.3">
      <c r="A714" s="2" t="s">
        <v>63</v>
      </c>
    </row>
    <row r="715" spans="1:1" x14ac:dyDescent="0.3">
      <c r="A715" s="1" t="s">
        <v>63</v>
      </c>
    </row>
    <row r="716" spans="1:1" x14ac:dyDescent="0.3">
      <c r="A716" s="2" t="s">
        <v>63</v>
      </c>
    </row>
    <row r="717" spans="1:1" x14ac:dyDescent="0.3">
      <c r="A717" s="1" t="s">
        <v>63</v>
      </c>
    </row>
    <row r="718" spans="1:1" x14ac:dyDescent="0.3">
      <c r="A718" s="2" t="s">
        <v>63</v>
      </c>
    </row>
    <row r="719" spans="1:1" x14ac:dyDescent="0.3">
      <c r="A719" s="1" t="s">
        <v>63</v>
      </c>
    </row>
    <row r="720" spans="1:1" x14ac:dyDescent="0.3">
      <c r="A720" s="2" t="s">
        <v>46</v>
      </c>
    </row>
    <row r="721" spans="1:1" x14ac:dyDescent="0.3">
      <c r="A721" s="1" t="s">
        <v>63</v>
      </c>
    </row>
    <row r="722" spans="1:1" x14ac:dyDescent="0.3">
      <c r="A722" s="2" t="s">
        <v>63</v>
      </c>
    </row>
    <row r="723" spans="1:1" x14ac:dyDescent="0.3">
      <c r="A723" s="1" t="s">
        <v>63</v>
      </c>
    </row>
    <row r="724" spans="1:1" x14ac:dyDescent="0.3">
      <c r="A724" s="2" t="s">
        <v>63</v>
      </c>
    </row>
    <row r="725" spans="1:1" x14ac:dyDescent="0.3">
      <c r="A725" s="1" t="s">
        <v>63</v>
      </c>
    </row>
    <row r="726" spans="1:1" x14ac:dyDescent="0.3">
      <c r="A726" s="2" t="s">
        <v>63</v>
      </c>
    </row>
    <row r="727" spans="1:1" x14ac:dyDescent="0.3">
      <c r="A727" s="1" t="s">
        <v>46</v>
      </c>
    </row>
    <row r="728" spans="1:1" x14ac:dyDescent="0.3">
      <c r="A728" s="2" t="s">
        <v>46</v>
      </c>
    </row>
    <row r="729" spans="1:1" x14ac:dyDescent="0.3">
      <c r="A729" s="1" t="s">
        <v>63</v>
      </c>
    </row>
    <row r="730" spans="1:1" x14ac:dyDescent="0.3">
      <c r="A730" s="2" t="s">
        <v>63</v>
      </c>
    </row>
    <row r="731" spans="1:1" x14ac:dyDescent="0.3">
      <c r="A731" s="1" t="s">
        <v>63</v>
      </c>
    </row>
    <row r="732" spans="1:1" x14ac:dyDescent="0.3">
      <c r="A732" s="2" t="s">
        <v>63</v>
      </c>
    </row>
    <row r="733" spans="1:1" x14ac:dyDescent="0.3">
      <c r="A733" s="1" t="s">
        <v>63</v>
      </c>
    </row>
    <row r="734" spans="1:1" x14ac:dyDescent="0.3">
      <c r="A734" s="2" t="s">
        <v>30</v>
      </c>
    </row>
    <row r="735" spans="1:1" x14ac:dyDescent="0.3">
      <c r="A735" s="1" t="s">
        <v>63</v>
      </c>
    </row>
    <row r="736" spans="1:1" x14ac:dyDescent="0.3">
      <c r="A736" s="2" t="s">
        <v>63</v>
      </c>
    </row>
    <row r="737" spans="1:1" x14ac:dyDescent="0.3">
      <c r="A737" s="1" t="s">
        <v>46</v>
      </c>
    </row>
    <row r="738" spans="1:1" x14ac:dyDescent="0.3">
      <c r="A738" s="2" t="s">
        <v>46</v>
      </c>
    </row>
    <row r="739" spans="1:1" x14ac:dyDescent="0.3">
      <c r="A739" s="1" t="s">
        <v>46</v>
      </c>
    </row>
    <row r="740" spans="1:1" x14ac:dyDescent="0.3">
      <c r="A740" s="2" t="s">
        <v>46</v>
      </c>
    </row>
    <row r="741" spans="1:1" x14ac:dyDescent="0.3">
      <c r="A741" s="1" t="s">
        <v>46</v>
      </c>
    </row>
    <row r="742" spans="1:1" x14ac:dyDescent="0.3">
      <c r="A742" s="2" t="s">
        <v>30</v>
      </c>
    </row>
    <row r="743" spans="1:1" x14ac:dyDescent="0.3">
      <c r="A743" s="1" t="s">
        <v>46</v>
      </c>
    </row>
    <row r="744" spans="1:1" x14ac:dyDescent="0.3">
      <c r="A744" s="2" t="s">
        <v>46</v>
      </c>
    </row>
    <row r="745" spans="1:1" x14ac:dyDescent="0.3">
      <c r="A745" s="1" t="s">
        <v>46</v>
      </c>
    </row>
    <row r="746" spans="1:1" x14ac:dyDescent="0.3">
      <c r="A746" s="2" t="s">
        <v>63</v>
      </c>
    </row>
    <row r="747" spans="1:1" x14ac:dyDescent="0.3">
      <c r="A747" s="1" t="s">
        <v>46</v>
      </c>
    </row>
    <row r="748" spans="1:1" x14ac:dyDescent="0.3">
      <c r="A748" s="2" t="s">
        <v>46</v>
      </c>
    </row>
    <row r="749" spans="1:1" x14ac:dyDescent="0.3">
      <c r="A749" s="1" t="s">
        <v>63</v>
      </c>
    </row>
    <row r="750" spans="1:1" x14ac:dyDescent="0.3">
      <c r="A750" s="2" t="s">
        <v>63</v>
      </c>
    </row>
    <row r="751" spans="1:1" x14ac:dyDescent="0.3">
      <c r="A751" s="1" t="s">
        <v>30</v>
      </c>
    </row>
    <row r="752" spans="1:1" x14ac:dyDescent="0.3">
      <c r="A752" s="2" t="s">
        <v>30</v>
      </c>
    </row>
    <row r="753" spans="1:1" x14ac:dyDescent="0.3">
      <c r="A753" s="1" t="s">
        <v>30</v>
      </c>
    </row>
    <row r="754" spans="1:1" x14ac:dyDescent="0.3">
      <c r="A754" s="2" t="s">
        <v>30</v>
      </c>
    </row>
    <row r="755" spans="1:1" x14ac:dyDescent="0.3">
      <c r="A755" s="1" t="s">
        <v>63</v>
      </c>
    </row>
    <row r="756" spans="1:1" x14ac:dyDescent="0.3">
      <c r="A756" s="2" t="s">
        <v>63</v>
      </c>
    </row>
    <row r="757" spans="1:1" x14ac:dyDescent="0.3">
      <c r="A757" s="1" t="s">
        <v>63</v>
      </c>
    </row>
    <row r="758" spans="1:1" x14ac:dyDescent="0.3">
      <c r="A758" s="2" t="s">
        <v>63</v>
      </c>
    </row>
    <row r="759" spans="1:1" x14ac:dyDescent="0.3">
      <c r="A759" s="1" t="s">
        <v>30</v>
      </c>
    </row>
    <row r="760" spans="1:1" x14ac:dyDescent="0.3">
      <c r="A760" s="2" t="s">
        <v>30</v>
      </c>
    </row>
    <row r="761" spans="1:1" x14ac:dyDescent="0.3">
      <c r="A761" s="1" t="s">
        <v>30</v>
      </c>
    </row>
    <row r="762" spans="1:1" x14ac:dyDescent="0.3">
      <c r="A762" s="2" t="s">
        <v>30</v>
      </c>
    </row>
    <row r="763" spans="1:1" x14ac:dyDescent="0.3">
      <c r="A763" s="1" t="s">
        <v>30</v>
      </c>
    </row>
    <row r="764" spans="1:1" x14ac:dyDescent="0.3">
      <c r="A764" s="2" t="s">
        <v>30</v>
      </c>
    </row>
    <row r="765" spans="1:1" x14ac:dyDescent="0.3">
      <c r="A765" s="1" t="s">
        <v>63</v>
      </c>
    </row>
    <row r="766" spans="1:1" x14ac:dyDescent="0.3">
      <c r="A766" s="2" t="s">
        <v>63</v>
      </c>
    </row>
    <row r="767" spans="1:1" x14ac:dyDescent="0.3">
      <c r="A767" s="1" t="s">
        <v>63</v>
      </c>
    </row>
    <row r="768" spans="1:1" x14ac:dyDescent="0.3">
      <c r="A768" s="2" t="s">
        <v>63</v>
      </c>
    </row>
    <row r="769" spans="1:1" x14ac:dyDescent="0.3">
      <c r="A769" s="1" t="s">
        <v>63</v>
      </c>
    </row>
    <row r="770" spans="1:1" x14ac:dyDescent="0.3">
      <c r="A770" s="2" t="s">
        <v>63</v>
      </c>
    </row>
    <row r="771" spans="1:1" x14ac:dyDescent="0.3">
      <c r="A771" s="1" t="s">
        <v>30</v>
      </c>
    </row>
    <row r="772" spans="1:1" x14ac:dyDescent="0.3">
      <c r="A772" s="2" t="s">
        <v>30</v>
      </c>
    </row>
    <row r="773" spans="1:1" x14ac:dyDescent="0.3">
      <c r="A773" s="1" t="s">
        <v>30</v>
      </c>
    </row>
    <row r="774" spans="1:1" x14ac:dyDescent="0.3">
      <c r="A774" s="2" t="s">
        <v>30</v>
      </c>
    </row>
    <row r="775" spans="1:1" x14ac:dyDescent="0.3">
      <c r="A775" s="1" t="s">
        <v>63</v>
      </c>
    </row>
    <row r="776" spans="1:1" x14ac:dyDescent="0.3">
      <c r="A776" s="2" t="s">
        <v>63</v>
      </c>
    </row>
    <row r="777" spans="1:1" x14ac:dyDescent="0.3">
      <c r="A777" s="1" t="s">
        <v>63</v>
      </c>
    </row>
    <row r="778" spans="1:1" x14ac:dyDescent="0.3">
      <c r="A778" s="2" t="s">
        <v>63</v>
      </c>
    </row>
    <row r="779" spans="1:1" x14ac:dyDescent="0.3">
      <c r="A779" s="1" t="s">
        <v>63</v>
      </c>
    </row>
    <row r="780" spans="1:1" x14ac:dyDescent="0.3">
      <c r="A780" s="2" t="s">
        <v>63</v>
      </c>
    </row>
    <row r="781" spans="1:1" x14ac:dyDescent="0.3">
      <c r="A781" s="1" t="s">
        <v>63</v>
      </c>
    </row>
    <row r="782" spans="1:1" x14ac:dyDescent="0.3">
      <c r="A782" s="2" t="s">
        <v>63</v>
      </c>
    </row>
    <row r="783" spans="1:1" x14ac:dyDescent="0.3">
      <c r="A783" s="1" t="s">
        <v>63</v>
      </c>
    </row>
    <row r="784" spans="1:1" x14ac:dyDescent="0.3">
      <c r="A784" s="2" t="s">
        <v>63</v>
      </c>
    </row>
    <row r="785" spans="1:1" x14ac:dyDescent="0.3">
      <c r="A785" s="1" t="s">
        <v>63</v>
      </c>
    </row>
    <row r="786" spans="1:1" x14ac:dyDescent="0.3">
      <c r="A786" s="2" t="s">
        <v>30</v>
      </c>
    </row>
    <row r="787" spans="1:1" x14ac:dyDescent="0.3">
      <c r="A787" s="1" t="s">
        <v>30</v>
      </c>
    </row>
    <row r="788" spans="1:1" x14ac:dyDescent="0.3">
      <c r="A788" s="2" t="s">
        <v>30</v>
      </c>
    </row>
    <row r="789" spans="1:1" x14ac:dyDescent="0.3">
      <c r="A789" s="1" t="s">
        <v>30</v>
      </c>
    </row>
    <row r="790" spans="1:1" x14ac:dyDescent="0.3">
      <c r="A790" s="2" t="s">
        <v>30</v>
      </c>
    </row>
    <row r="791" spans="1:1" x14ac:dyDescent="0.3">
      <c r="A791" s="1" t="s">
        <v>30</v>
      </c>
    </row>
    <row r="792" spans="1:1" x14ac:dyDescent="0.3">
      <c r="A792" s="2" t="s">
        <v>30</v>
      </c>
    </row>
    <row r="793" spans="1:1" x14ac:dyDescent="0.3">
      <c r="A793" s="1" t="s">
        <v>30</v>
      </c>
    </row>
    <row r="794" spans="1:1" x14ac:dyDescent="0.3">
      <c r="A794" s="2" t="s">
        <v>63</v>
      </c>
    </row>
    <row r="795" spans="1:1" x14ac:dyDescent="0.3">
      <c r="A795" s="1" t="s">
        <v>63</v>
      </c>
    </row>
    <row r="796" spans="1:1" x14ac:dyDescent="0.3">
      <c r="A796" s="2" t="s">
        <v>63</v>
      </c>
    </row>
    <row r="797" spans="1:1" x14ac:dyDescent="0.3">
      <c r="A797" s="1" t="s">
        <v>63</v>
      </c>
    </row>
    <row r="798" spans="1:1" x14ac:dyDescent="0.3">
      <c r="A798" s="2" t="s">
        <v>63</v>
      </c>
    </row>
    <row r="799" spans="1:1" x14ac:dyDescent="0.3">
      <c r="A799" s="1" t="s">
        <v>63</v>
      </c>
    </row>
    <row r="800" spans="1:1" x14ac:dyDescent="0.3">
      <c r="A800" s="2" t="s">
        <v>63</v>
      </c>
    </row>
    <row r="801" spans="1:1" x14ac:dyDescent="0.3">
      <c r="A801" s="1" t="s">
        <v>63</v>
      </c>
    </row>
    <row r="802" spans="1:1" x14ac:dyDescent="0.3">
      <c r="A802" s="2" t="s">
        <v>63</v>
      </c>
    </row>
    <row r="803" spans="1:1" x14ac:dyDescent="0.3">
      <c r="A803" s="1" t="s">
        <v>63</v>
      </c>
    </row>
    <row r="804" spans="1:1" x14ac:dyDescent="0.3">
      <c r="A804" s="2" t="s">
        <v>63</v>
      </c>
    </row>
    <row r="805" spans="1:1" x14ac:dyDescent="0.3">
      <c r="A805" s="1" t="s">
        <v>63</v>
      </c>
    </row>
    <row r="806" spans="1:1" x14ac:dyDescent="0.3">
      <c r="A806" s="2" t="s">
        <v>63</v>
      </c>
    </row>
    <row r="807" spans="1:1" x14ac:dyDescent="0.3">
      <c r="A807" s="1" t="s">
        <v>63</v>
      </c>
    </row>
    <row r="808" spans="1:1" x14ac:dyDescent="0.3">
      <c r="A808" s="2" t="s">
        <v>63</v>
      </c>
    </row>
    <row r="809" spans="1:1" x14ac:dyDescent="0.3">
      <c r="A809" s="1" t="s">
        <v>30</v>
      </c>
    </row>
    <row r="810" spans="1:1" x14ac:dyDescent="0.3">
      <c r="A810" s="2" t="s">
        <v>30</v>
      </c>
    </row>
    <row r="811" spans="1:1" x14ac:dyDescent="0.3">
      <c r="A811" s="1" t="s">
        <v>63</v>
      </c>
    </row>
    <row r="812" spans="1:1" x14ac:dyDescent="0.3">
      <c r="A812" s="2" t="s">
        <v>63</v>
      </c>
    </row>
    <row r="813" spans="1:1" x14ac:dyDescent="0.3">
      <c r="A813" s="1" t="s">
        <v>63</v>
      </c>
    </row>
    <row r="814" spans="1:1" x14ac:dyDescent="0.3">
      <c r="A814" s="2" t="s">
        <v>63</v>
      </c>
    </row>
    <row r="815" spans="1:1" x14ac:dyDescent="0.3">
      <c r="A815" s="1" t="s">
        <v>63</v>
      </c>
    </row>
    <row r="816" spans="1:1" x14ac:dyDescent="0.3">
      <c r="A816" s="2" t="s">
        <v>63</v>
      </c>
    </row>
    <row r="817" spans="1:1" x14ac:dyDescent="0.3">
      <c r="A817" s="1" t="s">
        <v>63</v>
      </c>
    </row>
    <row r="818" spans="1:1" x14ac:dyDescent="0.3">
      <c r="A818" s="2" t="s">
        <v>63</v>
      </c>
    </row>
    <row r="819" spans="1:1" x14ac:dyDescent="0.3">
      <c r="A819" s="1" t="s">
        <v>63</v>
      </c>
    </row>
    <row r="820" spans="1:1" x14ac:dyDescent="0.3">
      <c r="A820" s="2" t="s">
        <v>63</v>
      </c>
    </row>
    <row r="821" spans="1:1" x14ac:dyDescent="0.3">
      <c r="A821" s="1" t="s">
        <v>63</v>
      </c>
    </row>
    <row r="822" spans="1:1" x14ac:dyDescent="0.3">
      <c r="A822" s="2" t="s">
        <v>63</v>
      </c>
    </row>
    <row r="823" spans="1:1" x14ac:dyDescent="0.3">
      <c r="A823" s="1" t="s">
        <v>63</v>
      </c>
    </row>
    <row r="824" spans="1:1" x14ac:dyDescent="0.3">
      <c r="A824" s="2" t="s">
        <v>63</v>
      </c>
    </row>
    <row r="825" spans="1:1" x14ac:dyDescent="0.3">
      <c r="A825" s="1" t="s">
        <v>63</v>
      </c>
    </row>
    <row r="826" spans="1:1" x14ac:dyDescent="0.3">
      <c r="A826" s="2" t="s">
        <v>63</v>
      </c>
    </row>
    <row r="827" spans="1:1" x14ac:dyDescent="0.3">
      <c r="A827" s="1" t="s">
        <v>63</v>
      </c>
    </row>
    <row r="828" spans="1:1" x14ac:dyDescent="0.3">
      <c r="A828" s="2" t="s">
        <v>63</v>
      </c>
    </row>
    <row r="829" spans="1:1" x14ac:dyDescent="0.3">
      <c r="A829" s="1" t="s">
        <v>63</v>
      </c>
    </row>
    <row r="830" spans="1:1" x14ac:dyDescent="0.3">
      <c r="A830" s="2" t="s">
        <v>63</v>
      </c>
    </row>
    <row r="831" spans="1:1" x14ac:dyDescent="0.3">
      <c r="A831" s="1" t="s">
        <v>63</v>
      </c>
    </row>
    <row r="832" spans="1:1" x14ac:dyDescent="0.3">
      <c r="A832" s="2" t="s">
        <v>63</v>
      </c>
    </row>
    <row r="833" spans="1:1" x14ac:dyDescent="0.3">
      <c r="A833" s="1" t="s">
        <v>63</v>
      </c>
    </row>
    <row r="834" spans="1:1" x14ac:dyDescent="0.3">
      <c r="A834" s="2" t="s">
        <v>63</v>
      </c>
    </row>
    <row r="835" spans="1:1" x14ac:dyDescent="0.3">
      <c r="A835" s="1" t="s">
        <v>63</v>
      </c>
    </row>
    <row r="836" spans="1:1" x14ac:dyDescent="0.3">
      <c r="A836" s="2" t="s">
        <v>63</v>
      </c>
    </row>
    <row r="837" spans="1:1" x14ac:dyDescent="0.3">
      <c r="A837" s="1" t="s">
        <v>63</v>
      </c>
    </row>
    <row r="838" spans="1:1" x14ac:dyDescent="0.3">
      <c r="A838" s="2" t="s">
        <v>63</v>
      </c>
    </row>
    <row r="839" spans="1:1" x14ac:dyDescent="0.3">
      <c r="A839" s="1" t="s">
        <v>63</v>
      </c>
    </row>
    <row r="840" spans="1:1" x14ac:dyDescent="0.3">
      <c r="A840" s="2" t="s">
        <v>63</v>
      </c>
    </row>
    <row r="841" spans="1:1" x14ac:dyDescent="0.3">
      <c r="A841" s="1" t="s">
        <v>63</v>
      </c>
    </row>
    <row r="842" spans="1:1" x14ac:dyDescent="0.3">
      <c r="A842" s="2" t="s">
        <v>63</v>
      </c>
    </row>
    <row r="843" spans="1:1" x14ac:dyDescent="0.3">
      <c r="A843" s="1" t="s">
        <v>63</v>
      </c>
    </row>
    <row r="844" spans="1:1" x14ac:dyDescent="0.3">
      <c r="A844" s="2" t="s">
        <v>63</v>
      </c>
    </row>
    <row r="845" spans="1:1" x14ac:dyDescent="0.3">
      <c r="A845" s="1" t="s">
        <v>63</v>
      </c>
    </row>
    <row r="846" spans="1:1" x14ac:dyDescent="0.3">
      <c r="A846" s="2" t="s">
        <v>63</v>
      </c>
    </row>
    <row r="847" spans="1:1" x14ac:dyDescent="0.3">
      <c r="A847" s="1" t="s">
        <v>63</v>
      </c>
    </row>
    <row r="848" spans="1:1" x14ac:dyDescent="0.3">
      <c r="A848" s="2" t="s">
        <v>63</v>
      </c>
    </row>
    <row r="849" spans="1:1" x14ac:dyDescent="0.3">
      <c r="A849" s="1" t="s">
        <v>63</v>
      </c>
    </row>
    <row r="850" spans="1:1" x14ac:dyDescent="0.3">
      <c r="A850" s="2" t="s">
        <v>63</v>
      </c>
    </row>
    <row r="851" spans="1:1" x14ac:dyDescent="0.3">
      <c r="A851" s="1" t="s">
        <v>63</v>
      </c>
    </row>
    <row r="852" spans="1:1" x14ac:dyDescent="0.3">
      <c r="A852" s="2" t="s">
        <v>63</v>
      </c>
    </row>
    <row r="853" spans="1:1" x14ac:dyDescent="0.3">
      <c r="A853" s="1" t="s">
        <v>46</v>
      </c>
    </row>
    <row r="854" spans="1:1" x14ac:dyDescent="0.3">
      <c r="A854" s="2" t="s">
        <v>63</v>
      </c>
    </row>
    <row r="855" spans="1:1" x14ac:dyDescent="0.3">
      <c r="A855" s="1" t="s">
        <v>63</v>
      </c>
    </row>
    <row r="856" spans="1:1" x14ac:dyDescent="0.3">
      <c r="A856" s="2" t="s">
        <v>63</v>
      </c>
    </row>
    <row r="857" spans="1:1" x14ac:dyDescent="0.3">
      <c r="A857" s="1" t="s">
        <v>30</v>
      </c>
    </row>
    <row r="858" spans="1:1" x14ac:dyDescent="0.3">
      <c r="A858" s="2" t="s">
        <v>46</v>
      </c>
    </row>
    <row r="859" spans="1:1" x14ac:dyDescent="0.3">
      <c r="A859" s="1" t="s">
        <v>63</v>
      </c>
    </row>
    <row r="860" spans="1:1" x14ac:dyDescent="0.3">
      <c r="A860" s="2" t="s">
        <v>63</v>
      </c>
    </row>
    <row r="861" spans="1:1" x14ac:dyDescent="0.3">
      <c r="A861" s="1" t="s">
        <v>63</v>
      </c>
    </row>
    <row r="862" spans="1:1" x14ac:dyDescent="0.3">
      <c r="A862" s="2" t="s">
        <v>63</v>
      </c>
    </row>
    <row r="863" spans="1:1" x14ac:dyDescent="0.3">
      <c r="A863" s="1" t="s">
        <v>63</v>
      </c>
    </row>
    <row r="864" spans="1:1" x14ac:dyDescent="0.3">
      <c r="A864" s="2" t="s">
        <v>46</v>
      </c>
    </row>
    <row r="865" spans="1:1" x14ac:dyDescent="0.3">
      <c r="A865" s="1" t="s">
        <v>63</v>
      </c>
    </row>
    <row r="866" spans="1:1" x14ac:dyDescent="0.3">
      <c r="A866" s="2" t="s">
        <v>63</v>
      </c>
    </row>
    <row r="867" spans="1:1" x14ac:dyDescent="0.3">
      <c r="A867" s="1" t="s">
        <v>63</v>
      </c>
    </row>
    <row r="868" spans="1:1" x14ac:dyDescent="0.3">
      <c r="A868" s="2" t="s">
        <v>63</v>
      </c>
    </row>
    <row r="869" spans="1:1" x14ac:dyDescent="0.3">
      <c r="A869" s="1" t="s">
        <v>30</v>
      </c>
    </row>
    <row r="870" spans="1:1" x14ac:dyDescent="0.3">
      <c r="A870" s="2" t="s">
        <v>63</v>
      </c>
    </row>
    <row r="871" spans="1:1" x14ac:dyDescent="0.3">
      <c r="A871" s="1" t="s">
        <v>63</v>
      </c>
    </row>
    <row r="872" spans="1:1" x14ac:dyDescent="0.3">
      <c r="A872" s="2" t="s">
        <v>63</v>
      </c>
    </row>
    <row r="873" spans="1:1" x14ac:dyDescent="0.3">
      <c r="A873" s="1"/>
    </row>
    <row r="874" spans="1:1" x14ac:dyDescent="0.3">
      <c r="A874" s="2" t="s">
        <v>30</v>
      </c>
    </row>
    <row r="875" spans="1:1" x14ac:dyDescent="0.3">
      <c r="A875" s="1" t="s">
        <v>63</v>
      </c>
    </row>
    <row r="876" spans="1:1" x14ac:dyDescent="0.3">
      <c r="A876" s="2" t="s">
        <v>63</v>
      </c>
    </row>
    <row r="877" spans="1:1" x14ac:dyDescent="0.3">
      <c r="A877" s="1" t="s">
        <v>30</v>
      </c>
    </row>
    <row r="878" spans="1:1" x14ac:dyDescent="0.3">
      <c r="A878" s="2" t="s">
        <v>63</v>
      </c>
    </row>
    <row r="879" spans="1:1" x14ac:dyDescent="0.3">
      <c r="A879" s="1" t="s">
        <v>63</v>
      </c>
    </row>
    <row r="880" spans="1:1" x14ac:dyDescent="0.3">
      <c r="A880" s="2" t="s">
        <v>63</v>
      </c>
    </row>
    <row r="881" spans="1:1" x14ac:dyDescent="0.3">
      <c r="A881" s="1" t="s">
        <v>63</v>
      </c>
    </row>
    <row r="882" spans="1:1" x14ac:dyDescent="0.3">
      <c r="A882" s="2" t="s">
        <v>63</v>
      </c>
    </row>
    <row r="883" spans="1:1" x14ac:dyDescent="0.3">
      <c r="A883" s="1" t="s">
        <v>63</v>
      </c>
    </row>
    <row r="884" spans="1:1" x14ac:dyDescent="0.3">
      <c r="A884" s="2" t="s">
        <v>63</v>
      </c>
    </row>
    <row r="885" spans="1:1" x14ac:dyDescent="0.3">
      <c r="A885" s="1" t="s">
        <v>63</v>
      </c>
    </row>
    <row r="886" spans="1:1" x14ac:dyDescent="0.3">
      <c r="A886" s="2" t="s">
        <v>63</v>
      </c>
    </row>
    <row r="887" spans="1:1" x14ac:dyDescent="0.3">
      <c r="A887" s="1" t="s">
        <v>63</v>
      </c>
    </row>
    <row r="888" spans="1:1" x14ac:dyDescent="0.3">
      <c r="A888" s="2" t="s">
        <v>63</v>
      </c>
    </row>
    <row r="889" spans="1:1" x14ac:dyDescent="0.3">
      <c r="A889" s="1" t="s">
        <v>63</v>
      </c>
    </row>
    <row r="890" spans="1:1" x14ac:dyDescent="0.3">
      <c r="A890" s="2" t="s">
        <v>63</v>
      </c>
    </row>
    <row r="891" spans="1:1" x14ac:dyDescent="0.3">
      <c r="A891" s="1" t="s">
        <v>63</v>
      </c>
    </row>
    <row r="892" spans="1:1" x14ac:dyDescent="0.3">
      <c r="A892" s="2" t="s">
        <v>46</v>
      </c>
    </row>
    <row r="893" spans="1:1" x14ac:dyDescent="0.3">
      <c r="A893" s="1" t="s">
        <v>46</v>
      </c>
    </row>
    <row r="894" spans="1:1" x14ac:dyDescent="0.3">
      <c r="A894" s="2" t="s">
        <v>46</v>
      </c>
    </row>
    <row r="895" spans="1:1" x14ac:dyDescent="0.3">
      <c r="A895" s="1" t="s">
        <v>63</v>
      </c>
    </row>
    <row r="896" spans="1:1" x14ac:dyDescent="0.3">
      <c r="A896" s="2" t="s">
        <v>63</v>
      </c>
    </row>
    <row r="897" spans="1:1" x14ac:dyDescent="0.3">
      <c r="A897" s="1" t="s">
        <v>63</v>
      </c>
    </row>
    <row r="898" spans="1:1" x14ac:dyDescent="0.3">
      <c r="A898" s="2" t="s">
        <v>63</v>
      </c>
    </row>
    <row r="899" spans="1:1" x14ac:dyDescent="0.3">
      <c r="A899" s="1" t="s">
        <v>63</v>
      </c>
    </row>
    <row r="900" spans="1:1" x14ac:dyDescent="0.3">
      <c r="A900" s="2"/>
    </row>
    <row r="901" spans="1:1" x14ac:dyDescent="0.3">
      <c r="A901" s="1" t="s">
        <v>63</v>
      </c>
    </row>
    <row r="902" spans="1:1" x14ac:dyDescent="0.3">
      <c r="A902" s="2" t="s">
        <v>63</v>
      </c>
    </row>
    <row r="903" spans="1:1" x14ac:dyDescent="0.3">
      <c r="A903" s="1" t="s">
        <v>63</v>
      </c>
    </row>
    <row r="904" spans="1:1" x14ac:dyDescent="0.3">
      <c r="A904" s="2" t="s">
        <v>63</v>
      </c>
    </row>
    <row r="905" spans="1:1" x14ac:dyDescent="0.3">
      <c r="A905" s="1" t="s">
        <v>63</v>
      </c>
    </row>
    <row r="906" spans="1:1" x14ac:dyDescent="0.3">
      <c r="A906" s="2" t="s">
        <v>46</v>
      </c>
    </row>
    <row r="907" spans="1:1" x14ac:dyDescent="0.3">
      <c r="A907" s="1" t="s">
        <v>46</v>
      </c>
    </row>
    <row r="908" spans="1:1" x14ac:dyDescent="0.3">
      <c r="A908" s="2" t="s">
        <v>63</v>
      </c>
    </row>
    <row r="909" spans="1:1" x14ac:dyDescent="0.3">
      <c r="A909" s="1" t="s">
        <v>63</v>
      </c>
    </row>
    <row r="910" spans="1:1" x14ac:dyDescent="0.3">
      <c r="A910" s="2" t="s">
        <v>63</v>
      </c>
    </row>
    <row r="911" spans="1:1" x14ac:dyDescent="0.3">
      <c r="A911" s="1" t="s">
        <v>63</v>
      </c>
    </row>
    <row r="912" spans="1:1" x14ac:dyDescent="0.3">
      <c r="A912" s="2"/>
    </row>
    <row r="913" spans="1:1" x14ac:dyDescent="0.3">
      <c r="A913" s="1" t="s">
        <v>63</v>
      </c>
    </row>
    <row r="914" spans="1:1" x14ac:dyDescent="0.3">
      <c r="A914" s="2" t="s">
        <v>63</v>
      </c>
    </row>
    <row r="915" spans="1:1" x14ac:dyDescent="0.3">
      <c r="A915" s="1" t="s">
        <v>63</v>
      </c>
    </row>
    <row r="916" spans="1:1" x14ac:dyDescent="0.3">
      <c r="A916" s="2" t="s">
        <v>63</v>
      </c>
    </row>
    <row r="917" spans="1:1" x14ac:dyDescent="0.3">
      <c r="A917" s="1" t="s">
        <v>46</v>
      </c>
    </row>
    <row r="918" spans="1:1" x14ac:dyDescent="0.3">
      <c r="A918" s="2" t="s">
        <v>46</v>
      </c>
    </row>
    <row r="919" spans="1:1" x14ac:dyDescent="0.3">
      <c r="A919" s="1" t="s">
        <v>46</v>
      </c>
    </row>
    <row r="920" spans="1:1" x14ac:dyDescent="0.3">
      <c r="A920" s="2"/>
    </row>
    <row r="921" spans="1:1" x14ac:dyDescent="0.3">
      <c r="A921" s="1" t="s">
        <v>63</v>
      </c>
    </row>
    <row r="922" spans="1:1" x14ac:dyDescent="0.3">
      <c r="A922" s="2" t="s">
        <v>63</v>
      </c>
    </row>
    <row r="923" spans="1:1" x14ac:dyDescent="0.3">
      <c r="A923" s="1" t="s">
        <v>63</v>
      </c>
    </row>
    <row r="924" spans="1:1" x14ac:dyDescent="0.3">
      <c r="A924" s="2" t="s">
        <v>63</v>
      </c>
    </row>
    <row r="925" spans="1:1" x14ac:dyDescent="0.3">
      <c r="A925" s="1" t="s">
        <v>63</v>
      </c>
    </row>
    <row r="926" spans="1:1" x14ac:dyDescent="0.3">
      <c r="A926" s="2" t="s">
        <v>63</v>
      </c>
    </row>
    <row r="927" spans="1:1" x14ac:dyDescent="0.3">
      <c r="A927" s="1" t="s">
        <v>63</v>
      </c>
    </row>
    <row r="928" spans="1:1" x14ac:dyDescent="0.3">
      <c r="A928" s="2" t="s">
        <v>63</v>
      </c>
    </row>
    <row r="929" spans="1:1" x14ac:dyDescent="0.3">
      <c r="A929" s="1" t="s">
        <v>63</v>
      </c>
    </row>
    <row r="930" spans="1:1" x14ac:dyDescent="0.3">
      <c r="A930" s="2" t="s">
        <v>63</v>
      </c>
    </row>
    <row r="931" spans="1:1" x14ac:dyDescent="0.3">
      <c r="A931" s="1" t="s">
        <v>63</v>
      </c>
    </row>
    <row r="932" spans="1:1" x14ac:dyDescent="0.3">
      <c r="A932" s="2" t="s">
        <v>63</v>
      </c>
    </row>
    <row r="933" spans="1:1" x14ac:dyDescent="0.3">
      <c r="A933" s="1" t="s">
        <v>46</v>
      </c>
    </row>
    <row r="934" spans="1:1" x14ac:dyDescent="0.3">
      <c r="A934" s="2" t="s">
        <v>63</v>
      </c>
    </row>
    <row r="935" spans="1:1" x14ac:dyDescent="0.3">
      <c r="A935" s="1" t="s">
        <v>63</v>
      </c>
    </row>
    <row r="936" spans="1:1" x14ac:dyDescent="0.3">
      <c r="A936" s="2" t="s">
        <v>63</v>
      </c>
    </row>
    <row r="937" spans="1:1" x14ac:dyDescent="0.3">
      <c r="A937" s="1"/>
    </row>
    <row r="938" spans="1:1" x14ac:dyDescent="0.3">
      <c r="A938" s="2" t="s">
        <v>63</v>
      </c>
    </row>
    <row r="939" spans="1:1" x14ac:dyDescent="0.3">
      <c r="A939" s="1" t="s">
        <v>63</v>
      </c>
    </row>
    <row r="940" spans="1:1" x14ac:dyDescent="0.3">
      <c r="A940" s="2" t="s">
        <v>63</v>
      </c>
    </row>
    <row r="941" spans="1:1" x14ac:dyDescent="0.3">
      <c r="A941" s="1" t="s">
        <v>63</v>
      </c>
    </row>
    <row r="942" spans="1:1" x14ac:dyDescent="0.3">
      <c r="A942" s="2" t="s">
        <v>63</v>
      </c>
    </row>
    <row r="943" spans="1:1" x14ac:dyDescent="0.3">
      <c r="A943" s="1" t="s">
        <v>63</v>
      </c>
    </row>
    <row r="944" spans="1:1" x14ac:dyDescent="0.3">
      <c r="A944" s="2" t="s">
        <v>63</v>
      </c>
    </row>
    <row r="945" spans="1:1" x14ac:dyDescent="0.3">
      <c r="A945" s="1" t="s">
        <v>63</v>
      </c>
    </row>
    <row r="946" spans="1:1" x14ac:dyDescent="0.3">
      <c r="A946" s="2" t="s">
        <v>63</v>
      </c>
    </row>
    <row r="947" spans="1:1" x14ac:dyDescent="0.3">
      <c r="A947" s="1" t="s">
        <v>63</v>
      </c>
    </row>
    <row r="948" spans="1:1" x14ac:dyDescent="0.3">
      <c r="A948" s="2" t="s">
        <v>30</v>
      </c>
    </row>
    <row r="949" spans="1:1" x14ac:dyDescent="0.3">
      <c r="A949" s="1" t="s">
        <v>30</v>
      </c>
    </row>
    <row r="950" spans="1:1" x14ac:dyDescent="0.3">
      <c r="A950" s="2" t="s">
        <v>63</v>
      </c>
    </row>
    <row r="951" spans="1:1" x14ac:dyDescent="0.3">
      <c r="A951" s="1" t="s">
        <v>63</v>
      </c>
    </row>
    <row r="952" spans="1:1" x14ac:dyDescent="0.3">
      <c r="A952" s="2" t="s">
        <v>63</v>
      </c>
    </row>
    <row r="953" spans="1:1" x14ac:dyDescent="0.3">
      <c r="A953" s="1" t="s">
        <v>63</v>
      </c>
    </row>
    <row r="954" spans="1:1" x14ac:dyDescent="0.3">
      <c r="A954" s="2" t="s">
        <v>63</v>
      </c>
    </row>
    <row r="955" spans="1:1" x14ac:dyDescent="0.3">
      <c r="A955" s="1" t="s">
        <v>46</v>
      </c>
    </row>
    <row r="956" spans="1:1" x14ac:dyDescent="0.3">
      <c r="A956" s="2" t="s">
        <v>63</v>
      </c>
    </row>
    <row r="957" spans="1:1" x14ac:dyDescent="0.3">
      <c r="A957" s="1" t="s">
        <v>63</v>
      </c>
    </row>
    <row r="958" spans="1:1" x14ac:dyDescent="0.3">
      <c r="A958" s="2"/>
    </row>
    <row r="959" spans="1:1" x14ac:dyDescent="0.3">
      <c r="A959" s="1" t="s">
        <v>46</v>
      </c>
    </row>
    <row r="960" spans="1:1" x14ac:dyDescent="0.3">
      <c r="A960" s="2" t="s">
        <v>63</v>
      </c>
    </row>
    <row r="961" spans="1:1" x14ac:dyDescent="0.3">
      <c r="A961" s="1" t="s">
        <v>46</v>
      </c>
    </row>
    <row r="962" spans="1:1" x14ac:dyDescent="0.3">
      <c r="A962" s="2" t="s">
        <v>63</v>
      </c>
    </row>
    <row r="963" spans="1:1" x14ac:dyDescent="0.3">
      <c r="A963" s="1" t="s">
        <v>63</v>
      </c>
    </row>
    <row r="964" spans="1:1" x14ac:dyDescent="0.3">
      <c r="A964" s="2" t="s">
        <v>63</v>
      </c>
    </row>
    <row r="965" spans="1:1" x14ac:dyDescent="0.3">
      <c r="A965" s="1" t="s">
        <v>63</v>
      </c>
    </row>
    <row r="966" spans="1:1" x14ac:dyDescent="0.3">
      <c r="A966" s="2" t="s">
        <v>30</v>
      </c>
    </row>
    <row r="967" spans="1:1" x14ac:dyDescent="0.3">
      <c r="A967" s="1" t="s">
        <v>63</v>
      </c>
    </row>
    <row r="968" spans="1:1" x14ac:dyDescent="0.3">
      <c r="A968" s="2" t="s">
        <v>63</v>
      </c>
    </row>
    <row r="969" spans="1:1" x14ac:dyDescent="0.3">
      <c r="A969" s="1" t="s">
        <v>63</v>
      </c>
    </row>
    <row r="970" spans="1:1" x14ac:dyDescent="0.3">
      <c r="A970" s="2" t="s">
        <v>46</v>
      </c>
    </row>
    <row r="971" spans="1:1" x14ac:dyDescent="0.3">
      <c r="A971" s="1" t="s">
        <v>63</v>
      </c>
    </row>
    <row r="972" spans="1:1" x14ac:dyDescent="0.3">
      <c r="A972" s="2" t="s">
        <v>63</v>
      </c>
    </row>
    <row r="973" spans="1:1" x14ac:dyDescent="0.3">
      <c r="A973" s="1"/>
    </row>
    <row r="974" spans="1:1" x14ac:dyDescent="0.3">
      <c r="A974" s="2" t="s">
        <v>63</v>
      </c>
    </row>
    <row r="975" spans="1:1" x14ac:dyDescent="0.3">
      <c r="A975" s="1" t="s">
        <v>63</v>
      </c>
    </row>
    <row r="976" spans="1:1" x14ac:dyDescent="0.3">
      <c r="A976" s="2" t="s">
        <v>63</v>
      </c>
    </row>
    <row r="977" spans="1:1" x14ac:dyDescent="0.3">
      <c r="A977" s="1" t="s">
        <v>63</v>
      </c>
    </row>
    <row r="978" spans="1:1" x14ac:dyDescent="0.3">
      <c r="A978" s="2" t="s">
        <v>63</v>
      </c>
    </row>
    <row r="979" spans="1:1" x14ac:dyDescent="0.3">
      <c r="A979" s="1" t="s">
        <v>63</v>
      </c>
    </row>
    <row r="980" spans="1:1" x14ac:dyDescent="0.3">
      <c r="A980" s="2" t="s">
        <v>63</v>
      </c>
    </row>
    <row r="981" spans="1:1" x14ac:dyDescent="0.3">
      <c r="A981" s="1" t="s">
        <v>63</v>
      </c>
    </row>
    <row r="982" spans="1:1" x14ac:dyDescent="0.3">
      <c r="A982" s="2" t="s">
        <v>63</v>
      </c>
    </row>
    <row r="983" spans="1:1" x14ac:dyDescent="0.3">
      <c r="A983" s="1" t="s">
        <v>63</v>
      </c>
    </row>
    <row r="984" spans="1:1" x14ac:dyDescent="0.3">
      <c r="A984" s="2" t="s">
        <v>63</v>
      </c>
    </row>
    <row r="985" spans="1:1" x14ac:dyDescent="0.3">
      <c r="A985" s="1" t="s">
        <v>63</v>
      </c>
    </row>
    <row r="986" spans="1:1" x14ac:dyDescent="0.3">
      <c r="A986" s="2" t="s">
        <v>63</v>
      </c>
    </row>
    <row r="987" spans="1:1" x14ac:dyDescent="0.3">
      <c r="A987" s="1" t="s">
        <v>63</v>
      </c>
    </row>
    <row r="988" spans="1:1" x14ac:dyDescent="0.3">
      <c r="A988" s="2" t="s">
        <v>63</v>
      </c>
    </row>
    <row r="989" spans="1:1" x14ac:dyDescent="0.3">
      <c r="A989" s="1" t="s">
        <v>63</v>
      </c>
    </row>
    <row r="990" spans="1:1" x14ac:dyDescent="0.3">
      <c r="A990" s="2" t="s">
        <v>46</v>
      </c>
    </row>
    <row r="991" spans="1:1" x14ac:dyDescent="0.3">
      <c r="A991" s="1" t="s">
        <v>63</v>
      </c>
    </row>
    <row r="992" spans="1:1" x14ac:dyDescent="0.3">
      <c r="A992" s="2" t="s">
        <v>63</v>
      </c>
    </row>
    <row r="993" spans="1:1" x14ac:dyDescent="0.3">
      <c r="A993" s="1" t="s">
        <v>63</v>
      </c>
    </row>
    <row r="994" spans="1:1" x14ac:dyDescent="0.3">
      <c r="A994" s="2" t="s">
        <v>46</v>
      </c>
    </row>
    <row r="995" spans="1:1" x14ac:dyDescent="0.3">
      <c r="A995" s="1" t="s">
        <v>63</v>
      </c>
    </row>
    <row r="996" spans="1:1" x14ac:dyDescent="0.3">
      <c r="A996" s="2" t="s">
        <v>63</v>
      </c>
    </row>
    <row r="997" spans="1:1" x14ac:dyDescent="0.3">
      <c r="A997" s="1" t="s">
        <v>46</v>
      </c>
    </row>
    <row r="998" spans="1:1" x14ac:dyDescent="0.3">
      <c r="A998" s="2" t="s">
        <v>46</v>
      </c>
    </row>
    <row r="999" spans="1:1" x14ac:dyDescent="0.3">
      <c r="A999" s="1" t="s">
        <v>46</v>
      </c>
    </row>
    <row r="1000" spans="1:1" x14ac:dyDescent="0.3">
      <c r="A1000" s="2" t="s">
        <v>46</v>
      </c>
    </row>
    <row r="1001" spans="1:1" x14ac:dyDescent="0.3">
      <c r="A1001" s="1" t="s">
        <v>46</v>
      </c>
    </row>
    <row r="1002" spans="1:1" x14ac:dyDescent="0.3">
      <c r="A1002" s="2" t="s">
        <v>63</v>
      </c>
    </row>
    <row r="1003" spans="1:1" x14ac:dyDescent="0.3">
      <c r="A1003" s="1" t="s">
        <v>63</v>
      </c>
    </row>
    <row r="1004" spans="1:1" x14ac:dyDescent="0.3">
      <c r="A1004" s="2" t="s">
        <v>63</v>
      </c>
    </row>
    <row r="1005" spans="1:1" x14ac:dyDescent="0.3">
      <c r="A1005" s="1" t="s">
        <v>63</v>
      </c>
    </row>
    <row r="1006" spans="1:1" x14ac:dyDescent="0.3">
      <c r="A1006" s="2" t="s">
        <v>63</v>
      </c>
    </row>
    <row r="1007" spans="1:1" x14ac:dyDescent="0.3">
      <c r="A1007" s="1" t="s">
        <v>63</v>
      </c>
    </row>
    <row r="1008" spans="1:1" x14ac:dyDescent="0.3">
      <c r="A1008" s="2" t="s">
        <v>63</v>
      </c>
    </row>
    <row r="1009" spans="1:1" x14ac:dyDescent="0.3">
      <c r="A1009" s="1" t="s">
        <v>63</v>
      </c>
    </row>
    <row r="1010" spans="1:1" x14ac:dyDescent="0.3">
      <c r="A1010" s="2" t="s">
        <v>63</v>
      </c>
    </row>
    <row r="1011" spans="1:1" x14ac:dyDescent="0.3">
      <c r="A1011" s="1" t="s">
        <v>63</v>
      </c>
    </row>
    <row r="1012" spans="1:1" x14ac:dyDescent="0.3">
      <c r="A1012" s="2" t="s">
        <v>63</v>
      </c>
    </row>
    <row r="1013" spans="1:1" x14ac:dyDescent="0.3">
      <c r="A1013" s="1" t="s">
        <v>63</v>
      </c>
    </row>
    <row r="1014" spans="1:1" x14ac:dyDescent="0.3">
      <c r="A1014" s="2" t="s">
        <v>46</v>
      </c>
    </row>
    <row r="1015" spans="1:1" x14ac:dyDescent="0.3">
      <c r="A1015" s="1" t="s">
        <v>63</v>
      </c>
    </row>
    <row r="1016" spans="1:1" x14ac:dyDescent="0.3">
      <c r="A1016" s="2" t="s">
        <v>63</v>
      </c>
    </row>
    <row r="1017" spans="1:1" x14ac:dyDescent="0.3">
      <c r="A1017" s="1" t="s">
        <v>63</v>
      </c>
    </row>
    <row r="1018" spans="1:1" x14ac:dyDescent="0.3">
      <c r="A1018" s="2" t="s">
        <v>63</v>
      </c>
    </row>
    <row r="1019" spans="1:1" x14ac:dyDescent="0.3">
      <c r="A1019" s="1" t="s">
        <v>63</v>
      </c>
    </row>
    <row r="1020" spans="1:1" x14ac:dyDescent="0.3">
      <c r="A1020" s="2" t="s">
        <v>63</v>
      </c>
    </row>
    <row r="1021" spans="1:1" x14ac:dyDescent="0.3">
      <c r="A1021" s="1" t="s">
        <v>63</v>
      </c>
    </row>
    <row r="1022" spans="1:1" x14ac:dyDescent="0.3">
      <c r="A1022" s="2" t="s">
        <v>63</v>
      </c>
    </row>
    <row r="1023" spans="1:1" x14ac:dyDescent="0.3">
      <c r="A1023" s="1"/>
    </row>
    <row r="1024" spans="1:1" x14ac:dyDescent="0.3">
      <c r="A1024" s="2"/>
    </row>
    <row r="1025" spans="1:1" x14ac:dyDescent="0.3">
      <c r="A1025" s="1" t="s">
        <v>46</v>
      </c>
    </row>
    <row r="1026" spans="1:1" x14ac:dyDescent="0.3">
      <c r="A1026" s="2" t="s">
        <v>63</v>
      </c>
    </row>
    <row r="1027" spans="1:1" x14ac:dyDescent="0.3">
      <c r="A1027" s="1" t="s">
        <v>63</v>
      </c>
    </row>
    <row r="1028" spans="1:1" x14ac:dyDescent="0.3">
      <c r="A1028" s="2" t="s">
        <v>63</v>
      </c>
    </row>
    <row r="1029" spans="1:1" x14ac:dyDescent="0.3">
      <c r="A1029" s="1" t="s">
        <v>63</v>
      </c>
    </row>
    <row r="1030" spans="1:1" x14ac:dyDescent="0.3">
      <c r="A1030" s="2" t="s">
        <v>63</v>
      </c>
    </row>
    <row r="1031" spans="1:1" x14ac:dyDescent="0.3">
      <c r="A1031" s="1" t="s">
        <v>63</v>
      </c>
    </row>
    <row r="1032" spans="1:1" x14ac:dyDescent="0.3">
      <c r="A1032" s="2" t="s">
        <v>63</v>
      </c>
    </row>
    <row r="1033" spans="1:1" x14ac:dyDescent="0.3">
      <c r="A1033" s="1"/>
    </row>
    <row r="1034" spans="1:1" x14ac:dyDescent="0.3">
      <c r="A1034" s="2" t="s">
        <v>63</v>
      </c>
    </row>
    <row r="1035" spans="1:1" x14ac:dyDescent="0.3">
      <c r="A1035" s="1" t="s">
        <v>63</v>
      </c>
    </row>
    <row r="1036" spans="1:1" x14ac:dyDescent="0.3">
      <c r="A1036" s="2" t="s">
        <v>63</v>
      </c>
    </row>
    <row r="1037" spans="1:1" x14ac:dyDescent="0.3">
      <c r="A1037" s="1" t="s">
        <v>63</v>
      </c>
    </row>
    <row r="1038" spans="1:1" x14ac:dyDescent="0.3">
      <c r="A1038" s="2" t="s">
        <v>63</v>
      </c>
    </row>
    <row r="1039" spans="1:1" x14ac:dyDescent="0.3">
      <c r="A1039" s="1" t="s">
        <v>63</v>
      </c>
    </row>
    <row r="1040" spans="1:1" x14ac:dyDescent="0.3">
      <c r="A1040" s="2" t="s">
        <v>63</v>
      </c>
    </row>
    <row r="1041" spans="1:1" x14ac:dyDescent="0.3">
      <c r="A1041" s="1" t="s">
        <v>63</v>
      </c>
    </row>
    <row r="1042" spans="1:1" x14ac:dyDescent="0.3">
      <c r="A1042" s="2" t="s">
        <v>63</v>
      </c>
    </row>
    <row r="1043" spans="1:1" x14ac:dyDescent="0.3">
      <c r="A1043" s="1" t="s">
        <v>63</v>
      </c>
    </row>
    <row r="1044" spans="1:1" x14ac:dyDescent="0.3">
      <c r="A1044" s="2" t="s">
        <v>63</v>
      </c>
    </row>
    <row r="1045" spans="1:1" x14ac:dyDescent="0.3">
      <c r="A1045" s="1" t="s">
        <v>63</v>
      </c>
    </row>
    <row r="1046" spans="1:1" x14ac:dyDescent="0.3">
      <c r="A1046" s="2" t="s">
        <v>63</v>
      </c>
    </row>
    <row r="1047" spans="1:1" x14ac:dyDescent="0.3">
      <c r="A1047" s="1" t="s">
        <v>63</v>
      </c>
    </row>
    <row r="1048" spans="1:1" x14ac:dyDescent="0.3">
      <c r="A1048" s="2" t="s">
        <v>63</v>
      </c>
    </row>
    <row r="1049" spans="1:1" x14ac:dyDescent="0.3">
      <c r="A1049" s="1" t="s">
        <v>63</v>
      </c>
    </row>
    <row r="1050" spans="1:1" x14ac:dyDescent="0.3">
      <c r="A1050" s="2" t="s">
        <v>63</v>
      </c>
    </row>
    <row r="1051" spans="1:1" x14ac:dyDescent="0.3">
      <c r="A1051" s="1" t="s">
        <v>63</v>
      </c>
    </row>
    <row r="1052" spans="1:1" x14ac:dyDescent="0.3">
      <c r="A1052" s="2" t="s">
        <v>63</v>
      </c>
    </row>
    <row r="1053" spans="1:1" x14ac:dyDescent="0.3">
      <c r="A1053" s="1" t="s">
        <v>63</v>
      </c>
    </row>
    <row r="1054" spans="1:1" x14ac:dyDescent="0.3">
      <c r="A1054" s="2" t="s">
        <v>30</v>
      </c>
    </row>
    <row r="1055" spans="1:1" x14ac:dyDescent="0.3">
      <c r="A1055" s="1" t="s">
        <v>30</v>
      </c>
    </row>
    <row r="1056" spans="1:1" x14ac:dyDescent="0.3">
      <c r="A1056" s="2" t="s">
        <v>30</v>
      </c>
    </row>
    <row r="1057" spans="1:1" x14ac:dyDescent="0.3">
      <c r="A1057" s="1" t="s">
        <v>63</v>
      </c>
    </row>
    <row r="1058" spans="1:1" x14ac:dyDescent="0.3">
      <c r="A1058" s="2" t="s">
        <v>30</v>
      </c>
    </row>
    <row r="1059" spans="1:1" x14ac:dyDescent="0.3">
      <c r="A1059" s="1" t="s">
        <v>63</v>
      </c>
    </row>
    <row r="1060" spans="1:1" x14ac:dyDescent="0.3">
      <c r="A1060" s="2" t="s">
        <v>63</v>
      </c>
    </row>
    <row r="1061" spans="1:1" x14ac:dyDescent="0.3">
      <c r="A1061" s="1" t="s">
        <v>63</v>
      </c>
    </row>
    <row r="1062" spans="1:1" x14ac:dyDescent="0.3">
      <c r="A1062" s="2" t="s">
        <v>63</v>
      </c>
    </row>
    <row r="1063" spans="1:1" x14ac:dyDescent="0.3">
      <c r="A1063" s="1" t="s">
        <v>30</v>
      </c>
    </row>
    <row r="1064" spans="1:1" x14ac:dyDescent="0.3">
      <c r="A1064" s="2" t="s">
        <v>63</v>
      </c>
    </row>
    <row r="1065" spans="1:1" x14ac:dyDescent="0.3">
      <c r="A1065" s="1" t="s">
        <v>63</v>
      </c>
    </row>
    <row r="1066" spans="1:1" x14ac:dyDescent="0.3">
      <c r="A1066" s="2" t="s">
        <v>63</v>
      </c>
    </row>
    <row r="1067" spans="1:1" x14ac:dyDescent="0.3">
      <c r="A1067" s="1" t="s">
        <v>63</v>
      </c>
    </row>
    <row r="1068" spans="1:1" x14ac:dyDescent="0.3">
      <c r="A1068" s="2" t="s">
        <v>63</v>
      </c>
    </row>
    <row r="1069" spans="1:1" x14ac:dyDescent="0.3">
      <c r="A1069" s="1" t="s">
        <v>63</v>
      </c>
    </row>
    <row r="1070" spans="1:1" x14ac:dyDescent="0.3">
      <c r="A1070" s="2" t="s">
        <v>63</v>
      </c>
    </row>
    <row r="1071" spans="1:1" x14ac:dyDescent="0.3">
      <c r="A1071" s="1" t="s">
        <v>63</v>
      </c>
    </row>
    <row r="1072" spans="1:1" x14ac:dyDescent="0.3">
      <c r="A1072" s="2" t="s">
        <v>63</v>
      </c>
    </row>
    <row r="1073" spans="1:1" x14ac:dyDescent="0.3">
      <c r="A1073" s="1" t="s">
        <v>63</v>
      </c>
    </row>
    <row r="1074" spans="1:1" x14ac:dyDescent="0.3">
      <c r="A1074" s="2" t="s">
        <v>63</v>
      </c>
    </row>
    <row r="1075" spans="1:1" x14ac:dyDescent="0.3">
      <c r="A1075" s="1" t="s">
        <v>63</v>
      </c>
    </row>
    <row r="1076" spans="1:1" x14ac:dyDescent="0.3">
      <c r="A1076" s="2" t="s">
        <v>63</v>
      </c>
    </row>
    <row r="1077" spans="1:1" x14ac:dyDescent="0.3">
      <c r="A1077" s="1" t="s">
        <v>63</v>
      </c>
    </row>
    <row r="1078" spans="1:1" x14ac:dyDescent="0.3">
      <c r="A1078" s="2" t="s">
        <v>63</v>
      </c>
    </row>
    <row r="1079" spans="1:1" x14ac:dyDescent="0.3">
      <c r="A1079" s="1" t="s">
        <v>63</v>
      </c>
    </row>
    <row r="1080" spans="1:1" x14ac:dyDescent="0.3">
      <c r="A1080" s="2" t="s">
        <v>63</v>
      </c>
    </row>
    <row r="1081" spans="1:1" x14ac:dyDescent="0.3">
      <c r="A1081" s="1" t="s">
        <v>63</v>
      </c>
    </row>
    <row r="1082" spans="1:1" x14ac:dyDescent="0.3">
      <c r="A1082" s="2" t="s">
        <v>63</v>
      </c>
    </row>
    <row r="1083" spans="1:1" x14ac:dyDescent="0.3">
      <c r="A1083" s="1" t="s">
        <v>63</v>
      </c>
    </row>
    <row r="1084" spans="1:1" x14ac:dyDescent="0.3">
      <c r="A1084" s="2" t="s">
        <v>63</v>
      </c>
    </row>
    <row r="1085" spans="1:1" x14ac:dyDescent="0.3">
      <c r="A1085" s="1" t="s">
        <v>63</v>
      </c>
    </row>
    <row r="1086" spans="1:1" x14ac:dyDescent="0.3">
      <c r="A1086" s="2" t="s">
        <v>63</v>
      </c>
    </row>
    <row r="1087" spans="1:1" x14ac:dyDescent="0.3">
      <c r="A1087" s="1" t="s">
        <v>63</v>
      </c>
    </row>
    <row r="1088" spans="1:1" x14ac:dyDescent="0.3">
      <c r="A1088" s="2" t="s">
        <v>63</v>
      </c>
    </row>
    <row r="1089" spans="1:1" x14ac:dyDescent="0.3">
      <c r="A1089" s="1" t="s">
        <v>63</v>
      </c>
    </row>
    <row r="1090" spans="1:1" x14ac:dyDescent="0.3">
      <c r="A1090" s="2" t="s">
        <v>63</v>
      </c>
    </row>
    <row r="1091" spans="1:1" x14ac:dyDescent="0.3">
      <c r="A1091" s="1" t="s">
        <v>63</v>
      </c>
    </row>
    <row r="1092" spans="1:1" x14ac:dyDescent="0.3">
      <c r="A1092" s="2" t="s">
        <v>63</v>
      </c>
    </row>
    <row r="1093" spans="1:1" x14ac:dyDescent="0.3">
      <c r="A1093" s="1" t="s">
        <v>63</v>
      </c>
    </row>
    <row r="1094" spans="1:1" x14ac:dyDescent="0.3">
      <c r="A1094" s="2" t="s">
        <v>63</v>
      </c>
    </row>
    <row r="1095" spans="1:1" x14ac:dyDescent="0.3">
      <c r="A1095" s="1" t="s">
        <v>63</v>
      </c>
    </row>
    <row r="1096" spans="1:1" x14ac:dyDescent="0.3">
      <c r="A1096" s="2" t="s">
        <v>63</v>
      </c>
    </row>
    <row r="1097" spans="1:1" x14ac:dyDescent="0.3">
      <c r="A1097" s="1" t="s">
        <v>63</v>
      </c>
    </row>
    <row r="1098" spans="1:1" x14ac:dyDescent="0.3">
      <c r="A1098" s="2" t="s">
        <v>63</v>
      </c>
    </row>
    <row r="1099" spans="1:1" x14ac:dyDescent="0.3">
      <c r="A1099" s="1" t="s">
        <v>63</v>
      </c>
    </row>
    <row r="1100" spans="1:1" x14ac:dyDescent="0.3">
      <c r="A1100" s="2" t="s">
        <v>63</v>
      </c>
    </row>
    <row r="1101" spans="1:1" x14ac:dyDescent="0.3">
      <c r="A1101" s="1" t="s">
        <v>63</v>
      </c>
    </row>
    <row r="1102" spans="1:1" x14ac:dyDescent="0.3">
      <c r="A1102" s="2" t="s">
        <v>63</v>
      </c>
    </row>
    <row r="1103" spans="1:1" x14ac:dyDescent="0.3">
      <c r="A1103" s="1" t="s">
        <v>46</v>
      </c>
    </row>
    <row r="1104" spans="1:1" x14ac:dyDescent="0.3">
      <c r="A1104" s="2" t="s">
        <v>63</v>
      </c>
    </row>
    <row r="1105" spans="1:1" x14ac:dyDescent="0.3">
      <c r="A1105" s="1" t="s">
        <v>63</v>
      </c>
    </row>
    <row r="1106" spans="1:1" x14ac:dyDescent="0.3">
      <c r="A1106" s="2" t="s">
        <v>63</v>
      </c>
    </row>
    <row r="1107" spans="1:1" x14ac:dyDescent="0.3">
      <c r="A1107" s="1" t="s">
        <v>63</v>
      </c>
    </row>
    <row r="1108" spans="1:1" x14ac:dyDescent="0.3">
      <c r="A1108" s="2" t="s">
        <v>63</v>
      </c>
    </row>
    <row r="1109" spans="1:1" x14ac:dyDescent="0.3">
      <c r="A1109" s="1" t="s">
        <v>63</v>
      </c>
    </row>
    <row r="1110" spans="1:1" x14ac:dyDescent="0.3">
      <c r="A1110" s="2" t="s">
        <v>63</v>
      </c>
    </row>
    <row r="1111" spans="1:1" x14ac:dyDescent="0.3">
      <c r="A1111" s="1" t="s">
        <v>63</v>
      </c>
    </row>
    <row r="1112" spans="1:1" x14ac:dyDescent="0.3">
      <c r="A1112" s="2" t="s">
        <v>63</v>
      </c>
    </row>
    <row r="1113" spans="1:1" x14ac:dyDescent="0.3">
      <c r="A1113" s="1" t="s">
        <v>63</v>
      </c>
    </row>
    <row r="1114" spans="1:1" x14ac:dyDescent="0.3">
      <c r="A1114" s="2" t="s">
        <v>46</v>
      </c>
    </row>
    <row r="1115" spans="1:1" x14ac:dyDescent="0.3">
      <c r="A1115" s="1" t="s">
        <v>46</v>
      </c>
    </row>
    <row r="1116" spans="1:1" x14ac:dyDescent="0.3">
      <c r="A1116" s="2" t="s">
        <v>46</v>
      </c>
    </row>
    <row r="1117" spans="1:1" x14ac:dyDescent="0.3">
      <c r="A1117" s="1" t="s">
        <v>46</v>
      </c>
    </row>
    <row r="1118" spans="1:1" x14ac:dyDescent="0.3">
      <c r="A1118" s="2" t="s">
        <v>46</v>
      </c>
    </row>
    <row r="1119" spans="1:1" x14ac:dyDescent="0.3">
      <c r="A1119" s="1" t="s">
        <v>63</v>
      </c>
    </row>
    <row r="1120" spans="1:1" x14ac:dyDescent="0.3">
      <c r="A1120" s="2" t="s">
        <v>63</v>
      </c>
    </row>
    <row r="1121" spans="1:1" x14ac:dyDescent="0.3">
      <c r="A1121" s="1" t="s">
        <v>63</v>
      </c>
    </row>
    <row r="1122" spans="1:1" x14ac:dyDescent="0.3">
      <c r="A1122" s="2" t="s">
        <v>63</v>
      </c>
    </row>
    <row r="1123" spans="1:1" x14ac:dyDescent="0.3">
      <c r="A1123" s="1" t="s">
        <v>63</v>
      </c>
    </row>
    <row r="1124" spans="1:1" x14ac:dyDescent="0.3">
      <c r="A1124" s="2"/>
    </row>
    <row r="1125" spans="1:1" x14ac:dyDescent="0.3">
      <c r="A1125" s="1" t="s">
        <v>63</v>
      </c>
    </row>
    <row r="1126" spans="1:1" x14ac:dyDescent="0.3">
      <c r="A1126" s="2" t="s">
        <v>63</v>
      </c>
    </row>
    <row r="1127" spans="1:1" x14ac:dyDescent="0.3">
      <c r="A1127" s="1" t="s">
        <v>30</v>
      </c>
    </row>
    <row r="1128" spans="1:1" x14ac:dyDescent="0.3">
      <c r="A1128" s="2" t="s">
        <v>63</v>
      </c>
    </row>
    <row r="1129" spans="1:1" x14ac:dyDescent="0.3">
      <c r="A1129" s="1" t="s">
        <v>63</v>
      </c>
    </row>
    <row r="1130" spans="1:1" x14ac:dyDescent="0.3">
      <c r="A1130" s="2" t="s">
        <v>63</v>
      </c>
    </row>
    <row r="1131" spans="1:1" x14ac:dyDescent="0.3">
      <c r="A1131" s="1" t="s">
        <v>63</v>
      </c>
    </row>
    <row r="1132" spans="1:1" x14ac:dyDescent="0.3">
      <c r="A1132" s="2" t="s">
        <v>63</v>
      </c>
    </row>
    <row r="1133" spans="1:1" x14ac:dyDescent="0.3">
      <c r="A1133" s="1" t="s">
        <v>63</v>
      </c>
    </row>
    <row r="1134" spans="1:1" x14ac:dyDescent="0.3">
      <c r="A1134" s="2" t="s">
        <v>63</v>
      </c>
    </row>
    <row r="1135" spans="1:1" x14ac:dyDescent="0.3">
      <c r="A1135" s="1" t="s">
        <v>63</v>
      </c>
    </row>
    <row r="1136" spans="1:1" x14ac:dyDescent="0.3">
      <c r="A1136" s="2" t="s">
        <v>63</v>
      </c>
    </row>
    <row r="1137" spans="1:1" x14ac:dyDescent="0.3">
      <c r="A1137" s="1" t="s">
        <v>63</v>
      </c>
    </row>
    <row r="1138" spans="1:1" x14ac:dyDescent="0.3">
      <c r="A1138" s="2" t="s">
        <v>63</v>
      </c>
    </row>
    <row r="1139" spans="1:1" x14ac:dyDescent="0.3">
      <c r="A1139" s="1" t="s">
        <v>63</v>
      </c>
    </row>
    <row r="1140" spans="1:1" x14ac:dyDescent="0.3">
      <c r="A1140" s="2" t="s">
        <v>63</v>
      </c>
    </row>
    <row r="1141" spans="1:1" x14ac:dyDescent="0.3">
      <c r="A1141" s="1" t="s">
        <v>63</v>
      </c>
    </row>
    <row r="1142" spans="1:1" x14ac:dyDescent="0.3">
      <c r="A1142" s="2" t="s">
        <v>63</v>
      </c>
    </row>
    <row r="1143" spans="1:1" x14ac:dyDescent="0.3">
      <c r="A1143" s="1" t="s">
        <v>63</v>
      </c>
    </row>
    <row r="1144" spans="1:1" x14ac:dyDescent="0.3">
      <c r="A1144" s="2" t="s">
        <v>63</v>
      </c>
    </row>
    <row r="1145" spans="1:1" x14ac:dyDescent="0.3">
      <c r="A1145" s="1" t="s">
        <v>63</v>
      </c>
    </row>
    <row r="1146" spans="1:1" x14ac:dyDescent="0.3">
      <c r="A1146" s="2" t="s">
        <v>63</v>
      </c>
    </row>
    <row r="1147" spans="1:1" x14ac:dyDescent="0.3">
      <c r="A1147" s="1" t="s">
        <v>63</v>
      </c>
    </row>
    <row r="1148" spans="1:1" x14ac:dyDescent="0.3">
      <c r="A1148" s="2" t="s">
        <v>63</v>
      </c>
    </row>
    <row r="1149" spans="1:1" x14ac:dyDescent="0.3">
      <c r="A1149" s="1" t="s">
        <v>63</v>
      </c>
    </row>
    <row r="1150" spans="1:1" x14ac:dyDescent="0.3">
      <c r="A1150" s="2" t="s">
        <v>63</v>
      </c>
    </row>
    <row r="1151" spans="1:1" x14ac:dyDescent="0.3">
      <c r="A1151" s="1" t="s">
        <v>63</v>
      </c>
    </row>
    <row r="1152" spans="1:1" x14ac:dyDescent="0.3">
      <c r="A1152" s="2" t="s">
        <v>30</v>
      </c>
    </row>
    <row r="1153" spans="1:1" x14ac:dyDescent="0.3">
      <c r="A1153" s="1" t="s">
        <v>63</v>
      </c>
    </row>
    <row r="1154" spans="1:1" x14ac:dyDescent="0.3">
      <c r="A1154" s="2" t="s">
        <v>63</v>
      </c>
    </row>
    <row r="1155" spans="1:1" x14ac:dyDescent="0.3">
      <c r="A1155" s="1" t="s">
        <v>63</v>
      </c>
    </row>
    <row r="1156" spans="1:1" x14ac:dyDescent="0.3">
      <c r="A1156" s="2" t="s">
        <v>63</v>
      </c>
    </row>
    <row r="1157" spans="1:1" x14ac:dyDescent="0.3">
      <c r="A1157" s="1" t="s">
        <v>63</v>
      </c>
    </row>
    <row r="1158" spans="1:1" x14ac:dyDescent="0.3">
      <c r="A1158" s="2"/>
    </row>
    <row r="1159" spans="1:1" x14ac:dyDescent="0.3">
      <c r="A1159" s="1" t="s">
        <v>63</v>
      </c>
    </row>
    <row r="1160" spans="1:1" x14ac:dyDescent="0.3">
      <c r="A1160" s="2" t="s">
        <v>63</v>
      </c>
    </row>
    <row r="1161" spans="1:1" x14ac:dyDescent="0.3">
      <c r="A1161" s="1" t="s">
        <v>63</v>
      </c>
    </row>
    <row r="1162" spans="1:1" x14ac:dyDescent="0.3">
      <c r="A1162" s="2" t="s">
        <v>63</v>
      </c>
    </row>
    <row r="1163" spans="1:1" x14ac:dyDescent="0.3">
      <c r="A1163" s="1" t="s">
        <v>63</v>
      </c>
    </row>
    <row r="1164" spans="1:1" x14ac:dyDescent="0.3">
      <c r="A1164" s="2" t="s">
        <v>63</v>
      </c>
    </row>
    <row r="1165" spans="1:1" x14ac:dyDescent="0.3">
      <c r="A1165" s="1" t="s">
        <v>63</v>
      </c>
    </row>
    <row r="1166" spans="1:1" x14ac:dyDescent="0.3">
      <c r="A1166" s="2" t="s">
        <v>63</v>
      </c>
    </row>
    <row r="1167" spans="1:1" x14ac:dyDescent="0.3">
      <c r="A1167" s="1" t="s">
        <v>63</v>
      </c>
    </row>
    <row r="1168" spans="1:1" x14ac:dyDescent="0.3">
      <c r="A1168" s="2" t="s">
        <v>63</v>
      </c>
    </row>
    <row r="1169" spans="1:1" x14ac:dyDescent="0.3">
      <c r="A1169" s="1" t="s">
        <v>63</v>
      </c>
    </row>
    <row r="1170" spans="1:1" x14ac:dyDescent="0.3">
      <c r="A1170" s="2" t="s">
        <v>63</v>
      </c>
    </row>
    <row r="1171" spans="1:1" x14ac:dyDescent="0.3">
      <c r="A1171" s="1" t="s">
        <v>63</v>
      </c>
    </row>
    <row r="1172" spans="1:1" x14ac:dyDescent="0.3">
      <c r="A1172" s="2" t="s">
        <v>63</v>
      </c>
    </row>
    <row r="1173" spans="1:1" x14ac:dyDescent="0.3">
      <c r="A1173" s="1" t="s">
        <v>63</v>
      </c>
    </row>
    <row r="1174" spans="1:1" x14ac:dyDescent="0.3">
      <c r="A1174" s="2" t="s">
        <v>63</v>
      </c>
    </row>
    <row r="1175" spans="1:1" x14ac:dyDescent="0.3">
      <c r="A1175" s="1" t="s">
        <v>63</v>
      </c>
    </row>
    <row r="1176" spans="1:1" x14ac:dyDescent="0.3">
      <c r="A1176" s="2" t="s">
        <v>63</v>
      </c>
    </row>
    <row r="1177" spans="1:1" x14ac:dyDescent="0.3">
      <c r="A1177" s="1" t="s">
        <v>63</v>
      </c>
    </row>
    <row r="1178" spans="1:1" x14ac:dyDescent="0.3">
      <c r="A1178" s="2" t="s">
        <v>63</v>
      </c>
    </row>
    <row r="1179" spans="1:1" x14ac:dyDescent="0.3">
      <c r="A1179" s="1" t="s">
        <v>63</v>
      </c>
    </row>
    <row r="1180" spans="1:1" x14ac:dyDescent="0.3">
      <c r="A1180" s="2" t="s">
        <v>46</v>
      </c>
    </row>
    <row r="1181" spans="1:1" x14ac:dyDescent="0.3">
      <c r="A1181" s="1" t="s">
        <v>63</v>
      </c>
    </row>
    <row r="1182" spans="1:1" x14ac:dyDescent="0.3">
      <c r="A1182" s="2" t="s">
        <v>63</v>
      </c>
    </row>
    <row r="1183" spans="1:1" x14ac:dyDescent="0.3">
      <c r="A1183" s="1" t="s">
        <v>63</v>
      </c>
    </row>
    <row r="1184" spans="1:1" x14ac:dyDescent="0.3">
      <c r="A1184" s="2" t="s">
        <v>63</v>
      </c>
    </row>
    <row r="1185" spans="1:1" x14ac:dyDescent="0.3">
      <c r="A1185" s="1" t="s">
        <v>63</v>
      </c>
    </row>
    <row r="1186" spans="1:1" x14ac:dyDescent="0.3">
      <c r="A1186" s="2" t="s">
        <v>63</v>
      </c>
    </row>
    <row r="1187" spans="1:1" x14ac:dyDescent="0.3">
      <c r="A1187" s="1" t="s">
        <v>63</v>
      </c>
    </row>
    <row r="1188" spans="1:1" x14ac:dyDescent="0.3">
      <c r="A1188" s="2" t="s">
        <v>63</v>
      </c>
    </row>
    <row r="1189" spans="1:1" x14ac:dyDescent="0.3">
      <c r="A1189" s="1" t="s">
        <v>63</v>
      </c>
    </row>
    <row r="1190" spans="1:1" x14ac:dyDescent="0.3">
      <c r="A1190" s="2" t="s">
        <v>63</v>
      </c>
    </row>
    <row r="1191" spans="1:1" x14ac:dyDescent="0.3">
      <c r="A1191" s="1" t="s">
        <v>30</v>
      </c>
    </row>
    <row r="1192" spans="1:1" x14ac:dyDescent="0.3">
      <c r="A1192" s="2" t="s">
        <v>63</v>
      </c>
    </row>
    <row r="1193" spans="1:1" x14ac:dyDescent="0.3">
      <c r="A1193" s="1" t="s">
        <v>63</v>
      </c>
    </row>
    <row r="1194" spans="1:1" x14ac:dyDescent="0.3">
      <c r="A1194" s="2" t="s">
        <v>63</v>
      </c>
    </row>
    <row r="1195" spans="1:1" x14ac:dyDescent="0.3">
      <c r="A1195" s="1" t="s">
        <v>46</v>
      </c>
    </row>
    <row r="1196" spans="1:1" x14ac:dyDescent="0.3">
      <c r="A1196" s="2" t="s">
        <v>63</v>
      </c>
    </row>
    <row r="1197" spans="1:1" x14ac:dyDescent="0.3">
      <c r="A1197" s="1" t="s">
        <v>46</v>
      </c>
    </row>
    <row r="1198" spans="1:1" x14ac:dyDescent="0.3">
      <c r="A1198" s="2" t="s">
        <v>63</v>
      </c>
    </row>
    <row r="1199" spans="1:1" x14ac:dyDescent="0.3">
      <c r="A1199" s="1" t="s">
        <v>30</v>
      </c>
    </row>
    <row r="1200" spans="1:1" x14ac:dyDescent="0.3">
      <c r="A1200" s="2" t="s">
        <v>46</v>
      </c>
    </row>
    <row r="1201" spans="1:1" x14ac:dyDescent="0.3">
      <c r="A1201" s="1" t="s">
        <v>63</v>
      </c>
    </row>
    <row r="1202" spans="1:1" x14ac:dyDescent="0.3">
      <c r="A1202" s="2" t="s">
        <v>63</v>
      </c>
    </row>
    <row r="1203" spans="1:1" x14ac:dyDescent="0.3">
      <c r="A1203" s="1" t="s">
        <v>63</v>
      </c>
    </row>
    <row r="1204" spans="1:1" x14ac:dyDescent="0.3">
      <c r="A1204" s="2" t="s">
        <v>63</v>
      </c>
    </row>
    <row r="1205" spans="1:1" x14ac:dyDescent="0.3">
      <c r="A1205" s="1" t="s">
        <v>46</v>
      </c>
    </row>
    <row r="1206" spans="1:1" x14ac:dyDescent="0.3">
      <c r="A1206" s="2" t="s">
        <v>46</v>
      </c>
    </row>
    <row r="1207" spans="1:1" x14ac:dyDescent="0.3">
      <c r="A1207" s="1" t="s">
        <v>46</v>
      </c>
    </row>
    <row r="1208" spans="1:1" x14ac:dyDescent="0.3">
      <c r="A1208" s="2" t="s">
        <v>63</v>
      </c>
    </row>
    <row r="1209" spans="1:1" x14ac:dyDescent="0.3">
      <c r="A1209" s="1" t="s">
        <v>46</v>
      </c>
    </row>
    <row r="1210" spans="1:1" x14ac:dyDescent="0.3">
      <c r="A1210" s="2" t="s">
        <v>46</v>
      </c>
    </row>
    <row r="1211" spans="1:1" x14ac:dyDescent="0.3">
      <c r="A1211" s="1" t="s">
        <v>46</v>
      </c>
    </row>
    <row r="1212" spans="1:1" x14ac:dyDescent="0.3">
      <c r="A1212" s="2" t="s">
        <v>46</v>
      </c>
    </row>
    <row r="1213" spans="1:1" x14ac:dyDescent="0.3">
      <c r="A1213" s="1" t="s">
        <v>46</v>
      </c>
    </row>
    <row r="1214" spans="1:1" x14ac:dyDescent="0.3">
      <c r="A1214" s="2" t="s">
        <v>30</v>
      </c>
    </row>
    <row r="1215" spans="1:1" x14ac:dyDescent="0.3">
      <c r="A1215" s="1" t="s">
        <v>46</v>
      </c>
    </row>
    <row r="1216" spans="1:1" x14ac:dyDescent="0.3">
      <c r="A1216" s="2" t="s">
        <v>46</v>
      </c>
    </row>
    <row r="1217" spans="1:1" x14ac:dyDescent="0.3">
      <c r="A1217" s="1" t="s">
        <v>46</v>
      </c>
    </row>
    <row r="1218" spans="1:1" x14ac:dyDescent="0.3">
      <c r="A1218" s="2" t="s">
        <v>63</v>
      </c>
    </row>
    <row r="1219" spans="1:1" x14ac:dyDescent="0.3">
      <c r="A1219" s="1" t="s">
        <v>63</v>
      </c>
    </row>
    <row r="1220" spans="1:1" x14ac:dyDescent="0.3">
      <c r="A1220" s="2" t="s">
        <v>63</v>
      </c>
    </row>
    <row r="1221" spans="1:1" x14ac:dyDescent="0.3">
      <c r="A1221" s="1" t="s">
        <v>63</v>
      </c>
    </row>
    <row r="1222" spans="1:1" x14ac:dyDescent="0.3">
      <c r="A1222" s="2" t="s">
        <v>63</v>
      </c>
    </row>
    <row r="1223" spans="1:1" x14ac:dyDescent="0.3">
      <c r="A1223" s="1" t="s">
        <v>63</v>
      </c>
    </row>
    <row r="1224" spans="1:1" x14ac:dyDescent="0.3">
      <c r="A1224" s="2" t="s">
        <v>63</v>
      </c>
    </row>
    <row r="1225" spans="1:1" x14ac:dyDescent="0.3">
      <c r="A1225" s="1" t="s">
        <v>63</v>
      </c>
    </row>
    <row r="1226" spans="1:1" x14ac:dyDescent="0.3">
      <c r="A1226" s="2" t="s">
        <v>63</v>
      </c>
    </row>
    <row r="1227" spans="1:1" x14ac:dyDescent="0.3">
      <c r="A1227" s="1" t="s">
        <v>63</v>
      </c>
    </row>
    <row r="1228" spans="1:1" x14ac:dyDescent="0.3">
      <c r="A1228" s="2" t="s">
        <v>63</v>
      </c>
    </row>
    <row r="1229" spans="1:1" x14ac:dyDescent="0.3">
      <c r="A1229" s="1" t="s">
        <v>63</v>
      </c>
    </row>
    <row r="1230" spans="1:1" x14ac:dyDescent="0.3">
      <c r="A1230" s="2" t="s">
        <v>63</v>
      </c>
    </row>
    <row r="1231" spans="1:1" x14ac:dyDescent="0.3">
      <c r="A1231" s="1" t="s">
        <v>63</v>
      </c>
    </row>
    <row r="1232" spans="1:1" x14ac:dyDescent="0.3">
      <c r="A1232" s="2" t="s">
        <v>63</v>
      </c>
    </row>
    <row r="1233" spans="1:1" x14ac:dyDescent="0.3">
      <c r="A1233" s="1" t="s">
        <v>63</v>
      </c>
    </row>
    <row r="1234" spans="1:1" x14ac:dyDescent="0.3">
      <c r="A1234" s="2" t="s">
        <v>46</v>
      </c>
    </row>
    <row r="1235" spans="1:1" x14ac:dyDescent="0.3">
      <c r="A1235" s="1" t="s">
        <v>63</v>
      </c>
    </row>
    <row r="1236" spans="1:1" x14ac:dyDescent="0.3">
      <c r="A1236" s="2" t="s">
        <v>63</v>
      </c>
    </row>
    <row r="1237" spans="1:1" x14ac:dyDescent="0.3">
      <c r="A1237" s="1" t="s">
        <v>63</v>
      </c>
    </row>
    <row r="1238" spans="1:1" x14ac:dyDescent="0.3">
      <c r="A1238" s="2" t="s">
        <v>63</v>
      </c>
    </row>
    <row r="1239" spans="1:1" x14ac:dyDescent="0.3">
      <c r="A1239" s="1" t="s">
        <v>63</v>
      </c>
    </row>
    <row r="1240" spans="1:1" x14ac:dyDescent="0.3">
      <c r="A1240" s="2"/>
    </row>
    <row r="1241" spans="1:1" x14ac:dyDescent="0.3">
      <c r="A1241" s="1" t="s">
        <v>46</v>
      </c>
    </row>
    <row r="1242" spans="1:1" x14ac:dyDescent="0.3">
      <c r="A1242" s="2" t="s">
        <v>63</v>
      </c>
    </row>
    <row r="1243" spans="1:1" x14ac:dyDescent="0.3">
      <c r="A1243" s="1" t="s">
        <v>63</v>
      </c>
    </row>
    <row r="1244" spans="1:1" x14ac:dyDescent="0.3">
      <c r="A1244" s="2" t="s">
        <v>46</v>
      </c>
    </row>
    <row r="1245" spans="1:1" x14ac:dyDescent="0.3">
      <c r="A1245" s="1" t="s">
        <v>46</v>
      </c>
    </row>
    <row r="1246" spans="1:1" x14ac:dyDescent="0.3">
      <c r="A1246" s="2" t="s">
        <v>63</v>
      </c>
    </row>
    <row r="1247" spans="1:1" x14ac:dyDescent="0.3">
      <c r="A1247" s="1" t="s">
        <v>63</v>
      </c>
    </row>
    <row r="1248" spans="1:1" x14ac:dyDescent="0.3">
      <c r="A1248" s="2" t="s">
        <v>63</v>
      </c>
    </row>
    <row r="1249" spans="1:1" x14ac:dyDescent="0.3">
      <c r="A1249" s="1" t="s">
        <v>63</v>
      </c>
    </row>
    <row r="1250" spans="1:1" x14ac:dyDescent="0.3">
      <c r="A1250" s="2" t="s">
        <v>63</v>
      </c>
    </row>
    <row r="1251" spans="1:1" x14ac:dyDescent="0.3">
      <c r="A1251" s="1" t="s">
        <v>63</v>
      </c>
    </row>
    <row r="1252" spans="1:1" x14ac:dyDescent="0.3">
      <c r="A1252" s="2" t="s">
        <v>63</v>
      </c>
    </row>
    <row r="1253" spans="1:1" x14ac:dyDescent="0.3">
      <c r="A1253" s="1" t="s">
        <v>46</v>
      </c>
    </row>
    <row r="1254" spans="1:1" x14ac:dyDescent="0.3">
      <c r="A1254" s="2" t="s">
        <v>63</v>
      </c>
    </row>
    <row r="1255" spans="1:1" x14ac:dyDescent="0.3">
      <c r="A1255" s="1" t="s">
        <v>63</v>
      </c>
    </row>
    <row r="1256" spans="1:1" x14ac:dyDescent="0.3">
      <c r="A1256" s="2" t="s">
        <v>63</v>
      </c>
    </row>
    <row r="1257" spans="1:1" x14ac:dyDescent="0.3">
      <c r="A1257" s="1" t="s">
        <v>63</v>
      </c>
    </row>
    <row r="1258" spans="1:1" x14ac:dyDescent="0.3">
      <c r="A1258" s="2" t="s">
        <v>63</v>
      </c>
    </row>
    <row r="1259" spans="1:1" x14ac:dyDescent="0.3">
      <c r="A1259" s="1" t="s">
        <v>63</v>
      </c>
    </row>
    <row r="1260" spans="1:1" x14ac:dyDescent="0.3">
      <c r="A1260" s="2" t="s">
        <v>63</v>
      </c>
    </row>
    <row r="1261" spans="1:1" x14ac:dyDescent="0.3">
      <c r="A1261" s="1" t="s">
        <v>63</v>
      </c>
    </row>
    <row r="1262" spans="1:1" x14ac:dyDescent="0.3">
      <c r="A1262" s="2" t="s">
        <v>63</v>
      </c>
    </row>
    <row r="1263" spans="1:1" x14ac:dyDescent="0.3">
      <c r="A1263" s="1" t="s">
        <v>63</v>
      </c>
    </row>
    <row r="1264" spans="1:1" x14ac:dyDescent="0.3">
      <c r="A1264" s="2" t="s">
        <v>63</v>
      </c>
    </row>
    <row r="1265" spans="1:1" x14ac:dyDescent="0.3">
      <c r="A1265" s="1" t="s">
        <v>63</v>
      </c>
    </row>
    <row r="1266" spans="1:1" x14ac:dyDescent="0.3">
      <c r="A1266" s="2" t="s">
        <v>63</v>
      </c>
    </row>
    <row r="1267" spans="1:1" x14ac:dyDescent="0.3">
      <c r="A1267" s="1" t="s">
        <v>63</v>
      </c>
    </row>
    <row r="1268" spans="1:1" x14ac:dyDescent="0.3">
      <c r="A1268" s="2" t="s">
        <v>30</v>
      </c>
    </row>
    <row r="1269" spans="1:1" x14ac:dyDescent="0.3">
      <c r="A1269" s="1" t="s">
        <v>63</v>
      </c>
    </row>
    <row r="1270" spans="1:1" x14ac:dyDescent="0.3">
      <c r="A1270" s="2" t="s">
        <v>63</v>
      </c>
    </row>
    <row r="1271" spans="1:1" x14ac:dyDescent="0.3">
      <c r="A1271" s="1" t="s">
        <v>63</v>
      </c>
    </row>
    <row r="1272" spans="1:1" x14ac:dyDescent="0.3">
      <c r="A1272" s="2" t="s">
        <v>63</v>
      </c>
    </row>
    <row r="1273" spans="1:1" x14ac:dyDescent="0.3">
      <c r="A1273" s="1" t="s">
        <v>63</v>
      </c>
    </row>
    <row r="1274" spans="1:1" x14ac:dyDescent="0.3">
      <c r="A1274" s="2" t="s">
        <v>63</v>
      </c>
    </row>
    <row r="1275" spans="1:1" x14ac:dyDescent="0.3">
      <c r="A1275" s="1" t="s">
        <v>63</v>
      </c>
    </row>
    <row r="1276" spans="1:1" x14ac:dyDescent="0.3">
      <c r="A1276" s="2" t="s">
        <v>63</v>
      </c>
    </row>
    <row r="1277" spans="1:1" x14ac:dyDescent="0.3">
      <c r="A1277" s="1" t="s">
        <v>63</v>
      </c>
    </row>
    <row r="1278" spans="1:1" x14ac:dyDescent="0.3">
      <c r="A1278" s="2" t="s">
        <v>63</v>
      </c>
    </row>
    <row r="1279" spans="1:1" x14ac:dyDescent="0.3">
      <c r="A1279" s="1" t="s">
        <v>63</v>
      </c>
    </row>
    <row r="1280" spans="1:1" x14ac:dyDescent="0.3">
      <c r="A1280" s="2" t="s">
        <v>63</v>
      </c>
    </row>
    <row r="1281" spans="1:1" x14ac:dyDescent="0.3">
      <c r="A1281" s="1" t="s">
        <v>63</v>
      </c>
    </row>
    <row r="1282" spans="1:1" x14ac:dyDescent="0.3">
      <c r="A1282" s="2" t="s">
        <v>63</v>
      </c>
    </row>
    <row r="1283" spans="1:1" x14ac:dyDescent="0.3">
      <c r="A1283" s="1" t="s">
        <v>63</v>
      </c>
    </row>
    <row r="1284" spans="1:1" x14ac:dyDescent="0.3">
      <c r="A1284" s="2" t="s">
        <v>63</v>
      </c>
    </row>
    <row r="1285" spans="1:1" x14ac:dyDescent="0.3">
      <c r="A1285" s="1" t="s">
        <v>63</v>
      </c>
    </row>
    <row r="1286" spans="1:1" x14ac:dyDescent="0.3">
      <c r="A1286" s="2" t="s">
        <v>63</v>
      </c>
    </row>
    <row r="1287" spans="1:1" x14ac:dyDescent="0.3">
      <c r="A1287" s="1" t="s">
        <v>63</v>
      </c>
    </row>
    <row r="1288" spans="1:1" x14ac:dyDescent="0.3">
      <c r="A1288" s="2" t="s">
        <v>63</v>
      </c>
    </row>
    <row r="1289" spans="1:1" x14ac:dyDescent="0.3">
      <c r="A1289" s="1" t="s">
        <v>63</v>
      </c>
    </row>
    <row r="1290" spans="1:1" x14ac:dyDescent="0.3">
      <c r="A1290" s="2" t="s">
        <v>63</v>
      </c>
    </row>
    <row r="1291" spans="1:1" x14ac:dyDescent="0.3">
      <c r="A1291" s="1" t="s">
        <v>63</v>
      </c>
    </row>
    <row r="1292" spans="1:1" x14ac:dyDescent="0.3">
      <c r="A1292" s="2" t="s">
        <v>63</v>
      </c>
    </row>
    <row r="1293" spans="1:1" x14ac:dyDescent="0.3">
      <c r="A1293" s="1" t="s">
        <v>63</v>
      </c>
    </row>
    <row r="1294" spans="1:1" x14ac:dyDescent="0.3">
      <c r="A1294" s="2" t="s">
        <v>63</v>
      </c>
    </row>
    <row r="1295" spans="1:1" x14ac:dyDescent="0.3">
      <c r="A1295" s="1" t="s">
        <v>63</v>
      </c>
    </row>
    <row r="1296" spans="1:1" x14ac:dyDescent="0.3">
      <c r="A1296" s="2" t="s">
        <v>63</v>
      </c>
    </row>
    <row r="1297" spans="1:1" x14ac:dyDescent="0.3">
      <c r="A1297" s="1" t="s">
        <v>63</v>
      </c>
    </row>
    <row r="1298" spans="1:1" x14ac:dyDescent="0.3">
      <c r="A1298" s="2" t="s">
        <v>63</v>
      </c>
    </row>
    <row r="1299" spans="1:1" x14ac:dyDescent="0.3">
      <c r="A1299" s="1" t="s">
        <v>63</v>
      </c>
    </row>
    <row r="1300" spans="1:1" x14ac:dyDescent="0.3">
      <c r="A1300" s="2" t="s">
        <v>63</v>
      </c>
    </row>
    <row r="1301" spans="1:1" x14ac:dyDescent="0.3">
      <c r="A1301" s="1" t="s">
        <v>63</v>
      </c>
    </row>
    <row r="1302" spans="1:1" x14ac:dyDescent="0.3">
      <c r="A1302" s="2" t="s">
        <v>63</v>
      </c>
    </row>
    <row r="1303" spans="1:1" x14ac:dyDescent="0.3">
      <c r="A1303" s="1" t="s">
        <v>63</v>
      </c>
    </row>
    <row r="1304" spans="1:1" x14ac:dyDescent="0.3">
      <c r="A1304" s="2" t="s">
        <v>63</v>
      </c>
    </row>
    <row r="1305" spans="1:1" x14ac:dyDescent="0.3">
      <c r="A1305" s="1" t="s">
        <v>46</v>
      </c>
    </row>
    <row r="1306" spans="1:1" x14ac:dyDescent="0.3">
      <c r="A1306" s="2" t="s">
        <v>63</v>
      </c>
    </row>
    <row r="1307" spans="1:1" x14ac:dyDescent="0.3">
      <c r="A1307" s="1"/>
    </row>
    <row r="1308" spans="1:1" x14ac:dyDescent="0.3">
      <c r="A1308" s="2"/>
    </row>
    <row r="1309" spans="1:1" x14ac:dyDescent="0.3">
      <c r="A1309" s="1" t="s">
        <v>46</v>
      </c>
    </row>
    <row r="1310" spans="1:1" x14ac:dyDescent="0.3">
      <c r="A1310" s="2" t="s">
        <v>46</v>
      </c>
    </row>
    <row r="1311" spans="1:1" x14ac:dyDescent="0.3">
      <c r="A1311" s="1" t="s">
        <v>46</v>
      </c>
    </row>
    <row r="1312" spans="1:1" x14ac:dyDescent="0.3">
      <c r="A1312" s="2" t="s">
        <v>63</v>
      </c>
    </row>
    <row r="1313" spans="1:1" x14ac:dyDescent="0.3">
      <c r="A1313" s="1" t="s">
        <v>63</v>
      </c>
    </row>
    <row r="1314" spans="1:1" x14ac:dyDescent="0.3">
      <c r="A1314" s="2" t="s">
        <v>63</v>
      </c>
    </row>
    <row r="1315" spans="1:1" x14ac:dyDescent="0.3">
      <c r="A1315" s="1" t="s">
        <v>63</v>
      </c>
    </row>
    <row r="1316" spans="1:1" x14ac:dyDescent="0.3">
      <c r="A1316" s="2" t="s">
        <v>63</v>
      </c>
    </row>
    <row r="1317" spans="1:1" x14ac:dyDescent="0.3">
      <c r="A1317" s="1" t="s">
        <v>63</v>
      </c>
    </row>
    <row r="1318" spans="1:1" x14ac:dyDescent="0.3">
      <c r="A1318" s="2" t="s">
        <v>63</v>
      </c>
    </row>
    <row r="1319" spans="1:1" x14ac:dyDescent="0.3">
      <c r="A1319" s="1" t="s">
        <v>63</v>
      </c>
    </row>
    <row r="1320" spans="1:1" x14ac:dyDescent="0.3">
      <c r="A1320" s="2" t="s">
        <v>63</v>
      </c>
    </row>
    <row r="1321" spans="1:1" x14ac:dyDescent="0.3">
      <c r="A1321" s="1" t="s">
        <v>63</v>
      </c>
    </row>
    <row r="1322" spans="1:1" x14ac:dyDescent="0.3">
      <c r="A1322" s="2" t="s">
        <v>63</v>
      </c>
    </row>
    <row r="1323" spans="1:1" x14ac:dyDescent="0.3">
      <c r="A1323" s="1" t="s">
        <v>63</v>
      </c>
    </row>
    <row r="1324" spans="1:1" x14ac:dyDescent="0.3">
      <c r="A1324" s="2" t="s">
        <v>63</v>
      </c>
    </row>
    <row r="1325" spans="1:1" x14ac:dyDescent="0.3">
      <c r="A1325" s="1" t="s">
        <v>63</v>
      </c>
    </row>
    <row r="1326" spans="1:1" x14ac:dyDescent="0.3">
      <c r="A1326" s="2" t="s">
        <v>63</v>
      </c>
    </row>
    <row r="1327" spans="1:1" x14ac:dyDescent="0.3">
      <c r="A1327" s="1" t="s">
        <v>63</v>
      </c>
    </row>
    <row r="1328" spans="1:1" x14ac:dyDescent="0.3">
      <c r="A1328" s="2" t="s">
        <v>63</v>
      </c>
    </row>
    <row r="1329" spans="1:1" x14ac:dyDescent="0.3">
      <c r="A1329" s="1" t="s">
        <v>63</v>
      </c>
    </row>
    <row r="1330" spans="1:1" x14ac:dyDescent="0.3">
      <c r="A1330" s="2" t="s">
        <v>63</v>
      </c>
    </row>
    <row r="1331" spans="1:1" x14ac:dyDescent="0.3">
      <c r="A1331" s="1" t="s">
        <v>63</v>
      </c>
    </row>
    <row r="1332" spans="1:1" x14ac:dyDescent="0.3">
      <c r="A1332" s="2" t="s">
        <v>63</v>
      </c>
    </row>
    <row r="1333" spans="1:1" x14ac:dyDescent="0.3">
      <c r="A1333" s="1" t="s">
        <v>63</v>
      </c>
    </row>
    <row r="1334" spans="1:1" x14ac:dyDescent="0.3">
      <c r="A1334" s="2" t="s">
        <v>63</v>
      </c>
    </row>
    <row r="1335" spans="1:1" x14ac:dyDescent="0.3">
      <c r="A1335" s="1" t="s">
        <v>63</v>
      </c>
    </row>
    <row r="1336" spans="1:1" x14ac:dyDescent="0.3">
      <c r="A1336" s="2" t="s">
        <v>63</v>
      </c>
    </row>
    <row r="1337" spans="1:1" x14ac:dyDescent="0.3">
      <c r="A1337" s="1" t="s">
        <v>63</v>
      </c>
    </row>
    <row r="1338" spans="1:1" x14ac:dyDescent="0.3">
      <c r="A1338" s="2" t="s">
        <v>63</v>
      </c>
    </row>
    <row r="1339" spans="1:1" x14ac:dyDescent="0.3">
      <c r="A1339" s="1" t="s">
        <v>63</v>
      </c>
    </row>
    <row r="1340" spans="1:1" x14ac:dyDescent="0.3">
      <c r="A1340" s="2" t="s">
        <v>63</v>
      </c>
    </row>
    <row r="1341" spans="1:1" x14ac:dyDescent="0.3">
      <c r="A1341" s="1" t="s">
        <v>63</v>
      </c>
    </row>
    <row r="1342" spans="1:1" x14ac:dyDescent="0.3">
      <c r="A1342" s="2" t="s">
        <v>63</v>
      </c>
    </row>
    <row r="1343" spans="1:1" x14ac:dyDescent="0.3">
      <c r="A1343" s="1" t="s">
        <v>63</v>
      </c>
    </row>
    <row r="1344" spans="1:1" x14ac:dyDescent="0.3">
      <c r="A1344" s="2" t="s">
        <v>63</v>
      </c>
    </row>
    <row r="1345" spans="1:1" x14ac:dyDescent="0.3">
      <c r="A1345" s="1" t="s">
        <v>63</v>
      </c>
    </row>
    <row r="1346" spans="1:1" x14ac:dyDescent="0.3">
      <c r="A1346" s="2" t="s">
        <v>63</v>
      </c>
    </row>
    <row r="1347" spans="1:1" x14ac:dyDescent="0.3">
      <c r="A1347" s="1" t="s">
        <v>63</v>
      </c>
    </row>
    <row r="1348" spans="1:1" x14ac:dyDescent="0.3">
      <c r="A1348" s="2" t="s">
        <v>63</v>
      </c>
    </row>
    <row r="1349" spans="1:1" x14ac:dyDescent="0.3">
      <c r="A1349" s="1" t="s">
        <v>63</v>
      </c>
    </row>
    <row r="1350" spans="1:1" x14ac:dyDescent="0.3">
      <c r="A1350" s="2" t="s">
        <v>63</v>
      </c>
    </row>
    <row r="1351" spans="1:1" x14ac:dyDescent="0.3">
      <c r="A1351" s="1" t="s">
        <v>30</v>
      </c>
    </row>
    <row r="1352" spans="1:1" x14ac:dyDescent="0.3">
      <c r="A1352" s="2" t="s">
        <v>30</v>
      </c>
    </row>
    <row r="1353" spans="1:1" x14ac:dyDescent="0.3">
      <c r="A1353" s="1" t="s">
        <v>63</v>
      </c>
    </row>
    <row r="1354" spans="1:1" x14ac:dyDescent="0.3">
      <c r="A1354" s="2" t="s">
        <v>30</v>
      </c>
    </row>
    <row r="1355" spans="1:1" x14ac:dyDescent="0.3">
      <c r="A1355" s="1" t="s">
        <v>30</v>
      </c>
    </row>
    <row r="1356" spans="1:1" x14ac:dyDescent="0.3">
      <c r="A1356" s="2" t="s">
        <v>30</v>
      </c>
    </row>
    <row r="1357" spans="1:1" x14ac:dyDescent="0.3">
      <c r="A1357" s="1" t="s">
        <v>30</v>
      </c>
    </row>
    <row r="1358" spans="1:1" x14ac:dyDescent="0.3">
      <c r="A1358" s="2" t="s">
        <v>30</v>
      </c>
    </row>
    <row r="1359" spans="1:1" x14ac:dyDescent="0.3">
      <c r="A1359" s="1" t="s">
        <v>46</v>
      </c>
    </row>
    <row r="1360" spans="1:1" x14ac:dyDescent="0.3">
      <c r="A1360" s="2" t="s">
        <v>46</v>
      </c>
    </row>
    <row r="1361" spans="1:1" x14ac:dyDescent="0.3">
      <c r="A1361" s="1" t="s">
        <v>46</v>
      </c>
    </row>
    <row r="1362" spans="1:1" x14ac:dyDescent="0.3">
      <c r="A1362" s="2" t="s">
        <v>46</v>
      </c>
    </row>
    <row r="1363" spans="1:1" x14ac:dyDescent="0.3">
      <c r="A1363" s="1" t="s">
        <v>63</v>
      </c>
    </row>
    <row r="1364" spans="1:1" x14ac:dyDescent="0.3">
      <c r="A1364" s="2"/>
    </row>
    <row r="1365" spans="1:1" x14ac:dyDescent="0.3">
      <c r="A1365" s="1" t="s">
        <v>63</v>
      </c>
    </row>
    <row r="1366" spans="1:1" x14ac:dyDescent="0.3">
      <c r="A1366" s="2" t="s">
        <v>63</v>
      </c>
    </row>
    <row r="1367" spans="1:1" x14ac:dyDescent="0.3">
      <c r="A1367" s="1" t="s">
        <v>46</v>
      </c>
    </row>
    <row r="1368" spans="1:1" x14ac:dyDescent="0.3">
      <c r="A1368" s="2" t="s">
        <v>63</v>
      </c>
    </row>
    <row r="1369" spans="1:1" x14ac:dyDescent="0.3">
      <c r="A1369" s="1" t="s">
        <v>63</v>
      </c>
    </row>
    <row r="1370" spans="1:1" x14ac:dyDescent="0.3">
      <c r="A1370" s="2"/>
    </row>
    <row r="1371" spans="1:1" x14ac:dyDescent="0.3">
      <c r="A1371" s="1" t="s">
        <v>63</v>
      </c>
    </row>
    <row r="1372" spans="1:1" x14ac:dyDescent="0.3">
      <c r="A1372" s="2" t="s">
        <v>63</v>
      </c>
    </row>
    <row r="1373" spans="1:1" x14ac:dyDescent="0.3">
      <c r="A1373" s="1" t="s">
        <v>63</v>
      </c>
    </row>
    <row r="1374" spans="1:1" x14ac:dyDescent="0.3">
      <c r="A1374" s="2" t="s">
        <v>63</v>
      </c>
    </row>
    <row r="1375" spans="1:1" x14ac:dyDescent="0.3">
      <c r="A1375" s="1" t="s">
        <v>63</v>
      </c>
    </row>
    <row r="1376" spans="1:1" x14ac:dyDescent="0.3">
      <c r="A1376" s="2" t="s">
        <v>63</v>
      </c>
    </row>
    <row r="1377" spans="1:1" x14ac:dyDescent="0.3">
      <c r="A1377" s="1" t="s">
        <v>46</v>
      </c>
    </row>
    <row r="1378" spans="1:1" x14ac:dyDescent="0.3">
      <c r="A1378" s="2" t="s">
        <v>63</v>
      </c>
    </row>
    <row r="1379" spans="1:1" x14ac:dyDescent="0.3">
      <c r="A1379" s="1" t="s">
        <v>63</v>
      </c>
    </row>
    <row r="1380" spans="1:1" x14ac:dyDescent="0.3">
      <c r="A1380" s="2" t="s">
        <v>63</v>
      </c>
    </row>
    <row r="1381" spans="1:1" x14ac:dyDescent="0.3">
      <c r="A1381" s="1" t="s">
        <v>63</v>
      </c>
    </row>
    <row r="1382" spans="1:1" x14ac:dyDescent="0.3">
      <c r="A1382" s="2" t="s">
        <v>63</v>
      </c>
    </row>
    <row r="1383" spans="1:1" x14ac:dyDescent="0.3">
      <c r="A1383" s="1" t="s">
        <v>46</v>
      </c>
    </row>
    <row r="1384" spans="1:1" x14ac:dyDescent="0.3">
      <c r="A1384" s="2" t="s">
        <v>63</v>
      </c>
    </row>
    <row r="1385" spans="1:1" x14ac:dyDescent="0.3">
      <c r="A1385" s="1" t="s">
        <v>63</v>
      </c>
    </row>
    <row r="1386" spans="1:1" x14ac:dyDescent="0.3">
      <c r="A1386" s="2" t="s">
        <v>63</v>
      </c>
    </row>
    <row r="1387" spans="1:1" x14ac:dyDescent="0.3">
      <c r="A1387" s="1" t="s">
        <v>63</v>
      </c>
    </row>
    <row r="1388" spans="1:1" x14ac:dyDescent="0.3">
      <c r="A1388" s="2" t="s">
        <v>63</v>
      </c>
    </row>
    <row r="1389" spans="1:1" x14ac:dyDescent="0.3">
      <c r="A1389" s="1" t="s">
        <v>63</v>
      </c>
    </row>
    <row r="1390" spans="1:1" x14ac:dyDescent="0.3">
      <c r="A1390" s="2" t="s">
        <v>63</v>
      </c>
    </row>
    <row r="1391" spans="1:1" x14ac:dyDescent="0.3">
      <c r="A1391" s="1" t="s">
        <v>46</v>
      </c>
    </row>
    <row r="1392" spans="1:1" x14ac:dyDescent="0.3">
      <c r="A1392" s="2" t="s">
        <v>63</v>
      </c>
    </row>
    <row r="1393" spans="1:1" x14ac:dyDescent="0.3">
      <c r="A1393" s="1" t="s">
        <v>63</v>
      </c>
    </row>
    <row r="1394" spans="1:1" x14ac:dyDescent="0.3">
      <c r="A1394" s="2" t="s">
        <v>63</v>
      </c>
    </row>
    <row r="1395" spans="1:1" x14ac:dyDescent="0.3">
      <c r="A1395" s="1" t="s">
        <v>63</v>
      </c>
    </row>
    <row r="1396" spans="1:1" x14ac:dyDescent="0.3">
      <c r="A1396" s="2" t="s">
        <v>63</v>
      </c>
    </row>
    <row r="1397" spans="1:1" x14ac:dyDescent="0.3">
      <c r="A1397" s="1" t="s">
        <v>63</v>
      </c>
    </row>
    <row r="1398" spans="1:1" x14ac:dyDescent="0.3">
      <c r="A1398" s="2" t="s">
        <v>63</v>
      </c>
    </row>
    <row r="1399" spans="1:1" x14ac:dyDescent="0.3">
      <c r="A1399" s="1" t="s">
        <v>63</v>
      </c>
    </row>
    <row r="1400" spans="1:1" x14ac:dyDescent="0.3">
      <c r="A1400" s="2" t="s">
        <v>46</v>
      </c>
    </row>
    <row r="1401" spans="1:1" x14ac:dyDescent="0.3">
      <c r="A1401" s="1" t="s">
        <v>63</v>
      </c>
    </row>
    <row r="1402" spans="1:1" x14ac:dyDescent="0.3">
      <c r="A1402" s="2" t="s">
        <v>63</v>
      </c>
    </row>
    <row r="1403" spans="1:1" x14ac:dyDescent="0.3">
      <c r="A1403" s="1" t="s">
        <v>63</v>
      </c>
    </row>
    <row r="1404" spans="1:1" x14ac:dyDescent="0.3">
      <c r="A1404" s="2" t="s">
        <v>63</v>
      </c>
    </row>
    <row r="1405" spans="1:1" x14ac:dyDescent="0.3">
      <c r="A1405" s="1" t="s">
        <v>63</v>
      </c>
    </row>
    <row r="1406" spans="1:1" x14ac:dyDescent="0.3">
      <c r="A1406" s="2" t="s">
        <v>63</v>
      </c>
    </row>
    <row r="1407" spans="1:1" x14ac:dyDescent="0.3">
      <c r="A1407" s="1" t="s">
        <v>63</v>
      </c>
    </row>
    <row r="1408" spans="1:1" x14ac:dyDescent="0.3">
      <c r="A1408" s="2" t="s">
        <v>46</v>
      </c>
    </row>
    <row r="1409" spans="1:1" x14ac:dyDescent="0.3">
      <c r="A1409" s="1" t="s">
        <v>46</v>
      </c>
    </row>
    <row r="1410" spans="1:1" x14ac:dyDescent="0.3">
      <c r="A1410" s="2" t="s">
        <v>46</v>
      </c>
    </row>
    <row r="1411" spans="1:1" x14ac:dyDescent="0.3">
      <c r="A1411" s="1" t="s">
        <v>63</v>
      </c>
    </row>
    <row r="1412" spans="1:1" x14ac:dyDescent="0.3">
      <c r="A1412" s="2" t="s">
        <v>63</v>
      </c>
    </row>
    <row r="1413" spans="1:1" x14ac:dyDescent="0.3">
      <c r="A1413" s="1" t="s">
        <v>63</v>
      </c>
    </row>
    <row r="1414" spans="1:1" x14ac:dyDescent="0.3">
      <c r="A1414" s="2" t="s">
        <v>63</v>
      </c>
    </row>
    <row r="1415" spans="1:1" x14ac:dyDescent="0.3">
      <c r="A1415" s="1" t="s">
        <v>63</v>
      </c>
    </row>
    <row r="1416" spans="1:1" x14ac:dyDescent="0.3">
      <c r="A1416" s="2" t="s">
        <v>63</v>
      </c>
    </row>
    <row r="1417" spans="1:1" x14ac:dyDescent="0.3">
      <c r="A1417" s="1" t="s">
        <v>46</v>
      </c>
    </row>
    <row r="1418" spans="1:1" x14ac:dyDescent="0.3">
      <c r="A1418" s="2" t="s">
        <v>63</v>
      </c>
    </row>
    <row r="1419" spans="1:1" x14ac:dyDescent="0.3">
      <c r="A1419" s="1" t="s">
        <v>63</v>
      </c>
    </row>
    <row r="1420" spans="1:1" x14ac:dyDescent="0.3">
      <c r="A1420" s="2" t="s">
        <v>46</v>
      </c>
    </row>
    <row r="1421" spans="1:1" x14ac:dyDescent="0.3">
      <c r="A1421" s="1" t="s">
        <v>63</v>
      </c>
    </row>
    <row r="1422" spans="1:1" x14ac:dyDescent="0.3">
      <c r="A1422" s="2" t="s">
        <v>46</v>
      </c>
    </row>
    <row r="1423" spans="1:1" x14ac:dyDescent="0.3">
      <c r="A1423" s="1" t="s">
        <v>63</v>
      </c>
    </row>
    <row r="1424" spans="1:1" x14ac:dyDescent="0.3">
      <c r="A1424" s="2" t="s">
        <v>63</v>
      </c>
    </row>
    <row r="1425" spans="1:1" x14ac:dyDescent="0.3">
      <c r="A1425" s="1" t="s">
        <v>63</v>
      </c>
    </row>
    <row r="1426" spans="1:1" x14ac:dyDescent="0.3">
      <c r="A1426" s="2" t="s">
        <v>63</v>
      </c>
    </row>
    <row r="1427" spans="1:1" x14ac:dyDescent="0.3">
      <c r="A1427" s="1" t="s">
        <v>46</v>
      </c>
    </row>
    <row r="1428" spans="1:1" x14ac:dyDescent="0.3">
      <c r="A1428" s="2" t="s">
        <v>63</v>
      </c>
    </row>
    <row r="1429" spans="1:1" x14ac:dyDescent="0.3">
      <c r="A1429" s="1" t="s">
        <v>63</v>
      </c>
    </row>
    <row r="1430" spans="1:1" x14ac:dyDescent="0.3">
      <c r="A1430" s="2" t="s">
        <v>63</v>
      </c>
    </row>
    <row r="1431" spans="1:1" x14ac:dyDescent="0.3">
      <c r="A1431" s="1" t="s">
        <v>63</v>
      </c>
    </row>
    <row r="1432" spans="1:1" x14ac:dyDescent="0.3">
      <c r="A1432" s="2" t="s">
        <v>63</v>
      </c>
    </row>
    <row r="1433" spans="1:1" x14ac:dyDescent="0.3">
      <c r="A1433" s="1" t="s">
        <v>46</v>
      </c>
    </row>
    <row r="1434" spans="1:1" x14ac:dyDescent="0.3">
      <c r="A1434" s="2" t="s">
        <v>46</v>
      </c>
    </row>
    <row r="1435" spans="1:1" x14ac:dyDescent="0.3">
      <c r="A1435" s="1" t="s">
        <v>63</v>
      </c>
    </row>
    <row r="1436" spans="1:1" x14ac:dyDescent="0.3">
      <c r="A1436" s="2" t="s">
        <v>63</v>
      </c>
    </row>
    <row r="1437" spans="1:1" x14ac:dyDescent="0.3">
      <c r="A1437" s="1" t="s">
        <v>63</v>
      </c>
    </row>
    <row r="1438" spans="1:1" x14ac:dyDescent="0.3">
      <c r="A1438" s="2" t="s">
        <v>63</v>
      </c>
    </row>
    <row r="1439" spans="1:1" x14ac:dyDescent="0.3">
      <c r="A1439" s="1" t="s">
        <v>63</v>
      </c>
    </row>
    <row r="1440" spans="1:1" x14ac:dyDescent="0.3">
      <c r="A1440" s="2" t="s">
        <v>46</v>
      </c>
    </row>
    <row r="1441" spans="1:1" x14ac:dyDescent="0.3">
      <c r="A1441" s="1" t="s">
        <v>63</v>
      </c>
    </row>
    <row r="1442" spans="1:1" x14ac:dyDescent="0.3">
      <c r="A1442" s="2" t="s">
        <v>63</v>
      </c>
    </row>
    <row r="1443" spans="1:1" x14ac:dyDescent="0.3">
      <c r="A1443" s="1" t="s">
        <v>46</v>
      </c>
    </row>
    <row r="1444" spans="1:1" x14ac:dyDescent="0.3">
      <c r="A1444" s="2" t="s">
        <v>63</v>
      </c>
    </row>
    <row r="1445" spans="1:1" x14ac:dyDescent="0.3">
      <c r="A1445" s="1" t="s">
        <v>63</v>
      </c>
    </row>
    <row r="1446" spans="1:1" x14ac:dyDescent="0.3">
      <c r="A1446" s="2" t="s">
        <v>63</v>
      </c>
    </row>
    <row r="1447" spans="1:1" x14ac:dyDescent="0.3">
      <c r="A1447" s="1" t="s">
        <v>63</v>
      </c>
    </row>
    <row r="1448" spans="1:1" x14ac:dyDescent="0.3">
      <c r="A1448" s="2" t="s">
        <v>63</v>
      </c>
    </row>
    <row r="1449" spans="1:1" x14ac:dyDescent="0.3">
      <c r="A1449" s="1" t="s">
        <v>63</v>
      </c>
    </row>
    <row r="1450" spans="1:1" x14ac:dyDescent="0.3">
      <c r="A1450" s="2" t="s">
        <v>63</v>
      </c>
    </row>
    <row r="1451" spans="1:1" x14ac:dyDescent="0.3">
      <c r="A1451" s="1" t="s">
        <v>46</v>
      </c>
    </row>
    <row r="1452" spans="1:1" x14ac:dyDescent="0.3">
      <c r="A1452" s="2" t="s">
        <v>63</v>
      </c>
    </row>
    <row r="1453" spans="1:1" x14ac:dyDescent="0.3">
      <c r="A1453" s="1" t="s">
        <v>63</v>
      </c>
    </row>
    <row r="1454" spans="1:1" x14ac:dyDescent="0.3">
      <c r="A1454" s="2" t="s">
        <v>63</v>
      </c>
    </row>
    <row r="1455" spans="1:1" x14ac:dyDescent="0.3">
      <c r="A1455" s="1" t="s">
        <v>63</v>
      </c>
    </row>
    <row r="1456" spans="1:1" x14ac:dyDescent="0.3">
      <c r="A1456" s="2" t="s">
        <v>63</v>
      </c>
    </row>
    <row r="1457" spans="1:1" x14ac:dyDescent="0.3">
      <c r="A1457" s="1" t="s">
        <v>63</v>
      </c>
    </row>
    <row r="1458" spans="1:1" x14ac:dyDescent="0.3">
      <c r="A1458" s="2" t="s">
        <v>46</v>
      </c>
    </row>
    <row r="1459" spans="1:1" x14ac:dyDescent="0.3">
      <c r="A1459" s="1" t="s">
        <v>63</v>
      </c>
    </row>
    <row r="1460" spans="1:1" x14ac:dyDescent="0.3">
      <c r="A1460" s="2" t="s">
        <v>46</v>
      </c>
    </row>
    <row r="1461" spans="1:1" x14ac:dyDescent="0.3">
      <c r="A1461" s="1" t="s">
        <v>63</v>
      </c>
    </row>
    <row r="1462" spans="1:1" x14ac:dyDescent="0.3">
      <c r="A1462" s="2" t="s">
        <v>46</v>
      </c>
    </row>
    <row r="1463" spans="1:1" x14ac:dyDescent="0.3">
      <c r="A1463" s="1" t="s">
        <v>63</v>
      </c>
    </row>
    <row r="1464" spans="1:1" x14ac:dyDescent="0.3">
      <c r="A1464" s="2" t="s">
        <v>63</v>
      </c>
    </row>
    <row r="1465" spans="1:1" x14ac:dyDescent="0.3">
      <c r="A1465" s="1" t="s">
        <v>46</v>
      </c>
    </row>
    <row r="1466" spans="1:1" x14ac:dyDescent="0.3">
      <c r="A1466" s="2" t="s">
        <v>46</v>
      </c>
    </row>
    <row r="1467" spans="1:1" x14ac:dyDescent="0.3">
      <c r="A1467" s="1" t="s">
        <v>63</v>
      </c>
    </row>
    <row r="1468" spans="1:1" x14ac:dyDescent="0.3">
      <c r="A1468" s="2" t="s">
        <v>63</v>
      </c>
    </row>
    <row r="1469" spans="1:1" x14ac:dyDescent="0.3">
      <c r="A1469" s="1" t="s">
        <v>63</v>
      </c>
    </row>
    <row r="1470" spans="1:1" x14ac:dyDescent="0.3">
      <c r="A1470" s="2" t="s">
        <v>63</v>
      </c>
    </row>
    <row r="1471" spans="1:1" x14ac:dyDescent="0.3">
      <c r="A1471" s="1" t="s">
        <v>63</v>
      </c>
    </row>
    <row r="1472" spans="1:1" x14ac:dyDescent="0.3">
      <c r="A1472" s="2" t="s">
        <v>63</v>
      </c>
    </row>
    <row r="1473" spans="1:1" x14ac:dyDescent="0.3">
      <c r="A1473" s="1" t="s">
        <v>63</v>
      </c>
    </row>
    <row r="1474" spans="1:1" x14ac:dyDescent="0.3">
      <c r="A1474" s="2" t="s">
        <v>63</v>
      </c>
    </row>
    <row r="1475" spans="1:1" x14ac:dyDescent="0.3">
      <c r="A1475" s="1" t="s">
        <v>63</v>
      </c>
    </row>
    <row r="1476" spans="1:1" x14ac:dyDescent="0.3">
      <c r="A1476" s="2" t="s">
        <v>46</v>
      </c>
    </row>
    <row r="1477" spans="1:1" x14ac:dyDescent="0.3">
      <c r="A1477" s="1" t="s">
        <v>46</v>
      </c>
    </row>
    <row r="1478" spans="1:1" x14ac:dyDescent="0.3">
      <c r="A1478" s="2" t="s">
        <v>63</v>
      </c>
    </row>
    <row r="1479" spans="1:1" x14ac:dyDescent="0.3">
      <c r="A1479" s="1" t="s">
        <v>63</v>
      </c>
    </row>
    <row r="1480" spans="1:1" x14ac:dyDescent="0.3">
      <c r="A1480" s="2" t="s">
        <v>30</v>
      </c>
    </row>
    <row r="1481" spans="1:1" x14ac:dyDescent="0.3">
      <c r="A1481" s="1" t="s">
        <v>63</v>
      </c>
    </row>
    <row r="1482" spans="1:1" x14ac:dyDescent="0.3">
      <c r="A1482" s="2" t="s">
        <v>63</v>
      </c>
    </row>
    <row r="1483" spans="1:1" x14ac:dyDescent="0.3">
      <c r="A1483" s="1" t="s">
        <v>63</v>
      </c>
    </row>
    <row r="1484" spans="1:1" x14ac:dyDescent="0.3">
      <c r="A1484" s="2" t="s">
        <v>63</v>
      </c>
    </row>
    <row r="1485" spans="1:1" x14ac:dyDescent="0.3">
      <c r="A1485" s="1" t="s">
        <v>63</v>
      </c>
    </row>
    <row r="1486" spans="1:1" x14ac:dyDescent="0.3">
      <c r="A1486" s="2" t="s">
        <v>63</v>
      </c>
    </row>
    <row r="1487" spans="1:1" x14ac:dyDescent="0.3">
      <c r="A1487" s="1" t="s">
        <v>63</v>
      </c>
    </row>
    <row r="1488" spans="1:1" x14ac:dyDescent="0.3">
      <c r="A1488" s="2" t="s">
        <v>63</v>
      </c>
    </row>
    <row r="1489" spans="1:1" x14ac:dyDescent="0.3">
      <c r="A1489" s="1" t="s">
        <v>63</v>
      </c>
    </row>
    <row r="1490" spans="1:1" x14ac:dyDescent="0.3">
      <c r="A1490" s="2" t="s">
        <v>63</v>
      </c>
    </row>
    <row r="1491" spans="1:1" x14ac:dyDescent="0.3">
      <c r="A1491" s="1" t="s">
        <v>63</v>
      </c>
    </row>
    <row r="1492" spans="1:1" x14ac:dyDescent="0.3">
      <c r="A1492" s="2" t="s">
        <v>63</v>
      </c>
    </row>
    <row r="1493" spans="1:1" x14ac:dyDescent="0.3">
      <c r="A1493" s="1" t="s">
        <v>63</v>
      </c>
    </row>
    <row r="1494" spans="1:1" x14ac:dyDescent="0.3">
      <c r="A1494" s="2" t="s">
        <v>63</v>
      </c>
    </row>
    <row r="1495" spans="1:1" x14ac:dyDescent="0.3">
      <c r="A1495" s="1" t="s">
        <v>63</v>
      </c>
    </row>
    <row r="1496" spans="1:1" x14ac:dyDescent="0.3">
      <c r="A1496" s="2" t="s">
        <v>63</v>
      </c>
    </row>
    <row r="1497" spans="1:1" x14ac:dyDescent="0.3">
      <c r="A1497" s="1" t="s">
        <v>63</v>
      </c>
    </row>
    <row r="1498" spans="1:1" x14ac:dyDescent="0.3">
      <c r="A1498" s="2" t="s">
        <v>63</v>
      </c>
    </row>
    <row r="1499" spans="1:1" x14ac:dyDescent="0.3">
      <c r="A1499" s="1" t="s">
        <v>63</v>
      </c>
    </row>
    <row r="1500" spans="1:1" x14ac:dyDescent="0.3">
      <c r="A1500" s="2" t="s">
        <v>63</v>
      </c>
    </row>
    <row r="1501" spans="1:1" x14ac:dyDescent="0.3">
      <c r="A1501" s="1" t="s">
        <v>63</v>
      </c>
    </row>
    <row r="1502" spans="1:1" x14ac:dyDescent="0.3">
      <c r="A1502" s="2" t="s">
        <v>63</v>
      </c>
    </row>
    <row r="1503" spans="1:1" x14ac:dyDescent="0.3">
      <c r="A1503" s="1" t="s">
        <v>46</v>
      </c>
    </row>
    <row r="1504" spans="1:1" x14ac:dyDescent="0.3">
      <c r="A1504" s="2" t="s">
        <v>63</v>
      </c>
    </row>
    <row r="1505" spans="1:1" x14ac:dyDescent="0.3">
      <c r="A1505" s="1" t="s">
        <v>46</v>
      </c>
    </row>
    <row r="1506" spans="1:1" x14ac:dyDescent="0.3">
      <c r="A1506" s="2" t="s">
        <v>63</v>
      </c>
    </row>
    <row r="1507" spans="1:1" x14ac:dyDescent="0.3">
      <c r="A1507" s="1" t="s">
        <v>63</v>
      </c>
    </row>
    <row r="1508" spans="1:1" x14ac:dyDescent="0.3">
      <c r="A1508" s="2" t="s">
        <v>46</v>
      </c>
    </row>
    <row r="1509" spans="1:1" x14ac:dyDescent="0.3">
      <c r="A1509" s="1" t="s">
        <v>63</v>
      </c>
    </row>
    <row r="1510" spans="1:1" x14ac:dyDescent="0.3">
      <c r="A1510" s="2" t="s">
        <v>63</v>
      </c>
    </row>
    <row r="1511" spans="1:1" x14ac:dyDescent="0.3">
      <c r="A1511" s="1"/>
    </row>
    <row r="1512" spans="1:1" x14ac:dyDescent="0.3">
      <c r="A1512" s="2" t="s">
        <v>46</v>
      </c>
    </row>
    <row r="1513" spans="1:1" x14ac:dyDescent="0.3">
      <c r="A1513" s="1"/>
    </row>
    <row r="1514" spans="1:1" x14ac:dyDescent="0.3">
      <c r="A1514" s="2"/>
    </row>
    <row r="1515" spans="1:1" x14ac:dyDescent="0.3">
      <c r="A1515" s="1"/>
    </row>
    <row r="1516" spans="1:1" x14ac:dyDescent="0.3">
      <c r="A1516" s="2" t="s">
        <v>63</v>
      </c>
    </row>
    <row r="1517" spans="1:1" x14ac:dyDescent="0.3">
      <c r="A1517" s="1" t="s">
        <v>63</v>
      </c>
    </row>
    <row r="1518" spans="1:1" x14ac:dyDescent="0.3">
      <c r="A1518" s="2" t="s">
        <v>63</v>
      </c>
    </row>
    <row r="1519" spans="1:1" x14ac:dyDescent="0.3">
      <c r="A1519" s="1" t="s">
        <v>63</v>
      </c>
    </row>
    <row r="1520" spans="1:1" x14ac:dyDescent="0.3">
      <c r="A1520" s="2" t="s">
        <v>63</v>
      </c>
    </row>
    <row r="1521" spans="1:1" x14ac:dyDescent="0.3">
      <c r="A1521" s="1" t="s">
        <v>63</v>
      </c>
    </row>
    <row r="1522" spans="1:1" x14ac:dyDescent="0.3">
      <c r="A1522" s="2" t="s">
        <v>46</v>
      </c>
    </row>
    <row r="1523" spans="1:1" x14ac:dyDescent="0.3">
      <c r="A1523" s="1" t="s">
        <v>63</v>
      </c>
    </row>
    <row r="1524" spans="1:1" x14ac:dyDescent="0.3">
      <c r="A1524" s="2" t="s">
        <v>63</v>
      </c>
    </row>
    <row r="1525" spans="1:1" x14ac:dyDescent="0.3">
      <c r="A1525" s="1" t="s">
        <v>46</v>
      </c>
    </row>
    <row r="1526" spans="1:1" x14ac:dyDescent="0.3">
      <c r="A1526" s="2" t="s">
        <v>63</v>
      </c>
    </row>
    <row r="1527" spans="1:1" x14ac:dyDescent="0.3">
      <c r="A1527" s="1" t="s">
        <v>63</v>
      </c>
    </row>
    <row r="1528" spans="1:1" x14ac:dyDescent="0.3">
      <c r="A1528" s="2" t="s">
        <v>63</v>
      </c>
    </row>
    <row r="1529" spans="1:1" x14ac:dyDescent="0.3">
      <c r="A1529" s="1" t="s">
        <v>63</v>
      </c>
    </row>
    <row r="1530" spans="1:1" x14ac:dyDescent="0.3">
      <c r="A1530" s="2" t="s">
        <v>63</v>
      </c>
    </row>
    <row r="1531" spans="1:1" x14ac:dyDescent="0.3">
      <c r="A1531" s="1" t="s">
        <v>63</v>
      </c>
    </row>
    <row r="1532" spans="1:1" x14ac:dyDescent="0.3">
      <c r="A1532" s="2" t="s">
        <v>63</v>
      </c>
    </row>
    <row r="1533" spans="1:1" x14ac:dyDescent="0.3">
      <c r="A1533" s="1" t="s">
        <v>63</v>
      </c>
    </row>
    <row r="1534" spans="1:1" x14ac:dyDescent="0.3">
      <c r="A1534" s="2" t="s">
        <v>63</v>
      </c>
    </row>
    <row r="1535" spans="1:1" x14ac:dyDescent="0.3">
      <c r="A1535" s="1" t="s">
        <v>63</v>
      </c>
    </row>
    <row r="1536" spans="1:1" x14ac:dyDescent="0.3">
      <c r="A1536" s="2" t="s">
        <v>63</v>
      </c>
    </row>
    <row r="1537" spans="1:1" x14ac:dyDescent="0.3">
      <c r="A1537" s="1" t="s">
        <v>63</v>
      </c>
    </row>
    <row r="1538" spans="1:1" x14ac:dyDescent="0.3">
      <c r="A1538" s="2" t="s">
        <v>46</v>
      </c>
    </row>
    <row r="1539" spans="1:1" x14ac:dyDescent="0.3">
      <c r="A1539" s="1" t="s">
        <v>63</v>
      </c>
    </row>
    <row r="1540" spans="1:1" x14ac:dyDescent="0.3">
      <c r="A1540" s="2" t="s">
        <v>63</v>
      </c>
    </row>
    <row r="1541" spans="1:1" x14ac:dyDescent="0.3">
      <c r="A1541" s="1" t="s">
        <v>46</v>
      </c>
    </row>
    <row r="1542" spans="1:1" x14ac:dyDescent="0.3">
      <c r="A1542" s="2" t="s">
        <v>46</v>
      </c>
    </row>
    <row r="1543" spans="1:1" x14ac:dyDescent="0.3">
      <c r="A1543" s="1" t="s">
        <v>46</v>
      </c>
    </row>
    <row r="1544" spans="1:1" x14ac:dyDescent="0.3">
      <c r="A1544" s="2" t="s">
        <v>46</v>
      </c>
    </row>
    <row r="1545" spans="1:1" x14ac:dyDescent="0.3">
      <c r="A1545" s="1" t="s">
        <v>30</v>
      </c>
    </row>
    <row r="1546" spans="1:1" x14ac:dyDescent="0.3">
      <c r="A1546" s="2" t="s">
        <v>63</v>
      </c>
    </row>
    <row r="1547" spans="1:1" x14ac:dyDescent="0.3">
      <c r="A1547" s="1" t="s">
        <v>63</v>
      </c>
    </row>
    <row r="1548" spans="1:1" x14ac:dyDescent="0.3">
      <c r="A1548" s="2" t="s">
        <v>63</v>
      </c>
    </row>
    <row r="1549" spans="1:1" x14ac:dyDescent="0.3">
      <c r="A1549" s="1" t="s">
        <v>63</v>
      </c>
    </row>
    <row r="1550" spans="1:1" x14ac:dyDescent="0.3">
      <c r="A1550" s="2" t="s">
        <v>46</v>
      </c>
    </row>
    <row r="1551" spans="1:1" x14ac:dyDescent="0.3">
      <c r="A1551" s="1" t="s">
        <v>63</v>
      </c>
    </row>
    <row r="1552" spans="1:1" x14ac:dyDescent="0.3">
      <c r="A1552" s="2" t="s">
        <v>63</v>
      </c>
    </row>
    <row r="1553" spans="1:1" x14ac:dyDescent="0.3">
      <c r="A1553" s="1" t="s">
        <v>46</v>
      </c>
    </row>
    <row r="1554" spans="1:1" x14ac:dyDescent="0.3">
      <c r="A1554" s="2" t="s">
        <v>46</v>
      </c>
    </row>
    <row r="1555" spans="1:1" x14ac:dyDescent="0.3">
      <c r="A1555" s="1" t="s">
        <v>46</v>
      </c>
    </row>
    <row r="1556" spans="1:1" x14ac:dyDescent="0.3">
      <c r="A1556" s="2" t="s">
        <v>63</v>
      </c>
    </row>
    <row r="1557" spans="1:1" x14ac:dyDescent="0.3">
      <c r="A1557" s="1"/>
    </row>
    <row r="1558" spans="1:1" x14ac:dyDescent="0.3">
      <c r="A1558" s="2" t="s">
        <v>63</v>
      </c>
    </row>
    <row r="1559" spans="1:1" x14ac:dyDescent="0.3">
      <c r="A1559" s="1" t="s">
        <v>63</v>
      </c>
    </row>
    <row r="1560" spans="1:1" x14ac:dyDescent="0.3">
      <c r="A1560" s="2" t="s">
        <v>46</v>
      </c>
    </row>
    <row r="1561" spans="1:1" x14ac:dyDescent="0.3">
      <c r="A1561" s="1" t="s">
        <v>46</v>
      </c>
    </row>
    <row r="1562" spans="1:1" x14ac:dyDescent="0.3">
      <c r="A1562" s="2" t="s">
        <v>63</v>
      </c>
    </row>
    <row r="1563" spans="1:1" x14ac:dyDescent="0.3">
      <c r="A1563" s="1" t="s">
        <v>46</v>
      </c>
    </row>
    <row r="1564" spans="1:1" x14ac:dyDescent="0.3">
      <c r="A1564" s="2" t="s">
        <v>46</v>
      </c>
    </row>
    <row r="1565" spans="1:1" x14ac:dyDescent="0.3">
      <c r="A1565" s="1" t="s">
        <v>63</v>
      </c>
    </row>
    <row r="1566" spans="1:1" x14ac:dyDescent="0.3">
      <c r="A1566" s="2" t="s">
        <v>46</v>
      </c>
    </row>
    <row r="1567" spans="1:1" x14ac:dyDescent="0.3">
      <c r="A1567" s="1" t="s">
        <v>63</v>
      </c>
    </row>
    <row r="1568" spans="1:1" x14ac:dyDescent="0.3">
      <c r="A1568" s="2" t="s">
        <v>63</v>
      </c>
    </row>
    <row r="1569" spans="1:1" x14ac:dyDescent="0.3">
      <c r="A1569" s="1" t="s">
        <v>63</v>
      </c>
    </row>
    <row r="1570" spans="1:1" x14ac:dyDescent="0.3">
      <c r="A1570" s="2" t="s">
        <v>63</v>
      </c>
    </row>
    <row r="1571" spans="1:1" x14ac:dyDescent="0.3">
      <c r="A1571" s="1" t="s">
        <v>63</v>
      </c>
    </row>
    <row r="1572" spans="1:1" x14ac:dyDescent="0.3">
      <c r="A1572" s="2" t="s">
        <v>46</v>
      </c>
    </row>
    <row r="1573" spans="1:1" x14ac:dyDescent="0.3">
      <c r="A1573" s="1" t="s">
        <v>46</v>
      </c>
    </row>
    <row r="1574" spans="1:1" x14ac:dyDescent="0.3">
      <c r="A1574" s="2" t="s">
        <v>46</v>
      </c>
    </row>
    <row r="1575" spans="1:1" x14ac:dyDescent="0.3">
      <c r="A1575" s="1" t="s">
        <v>46</v>
      </c>
    </row>
    <row r="1576" spans="1:1" x14ac:dyDescent="0.3">
      <c r="A1576" s="2" t="s">
        <v>63</v>
      </c>
    </row>
    <row r="1577" spans="1:1" x14ac:dyDescent="0.3">
      <c r="A1577" s="1" t="s">
        <v>46</v>
      </c>
    </row>
    <row r="1578" spans="1:1" x14ac:dyDescent="0.3">
      <c r="A1578" s="2" t="s">
        <v>46</v>
      </c>
    </row>
    <row r="1579" spans="1:1" x14ac:dyDescent="0.3">
      <c r="A1579" s="1" t="s">
        <v>46</v>
      </c>
    </row>
    <row r="1580" spans="1:1" x14ac:dyDescent="0.3">
      <c r="A1580" s="2" t="s">
        <v>46</v>
      </c>
    </row>
    <row r="1581" spans="1:1" x14ac:dyDescent="0.3">
      <c r="A1581" s="1" t="s">
        <v>46</v>
      </c>
    </row>
    <row r="1582" spans="1:1" x14ac:dyDescent="0.3">
      <c r="A1582" s="2" t="s">
        <v>46</v>
      </c>
    </row>
    <row r="1583" spans="1:1" x14ac:dyDescent="0.3">
      <c r="A1583" s="1" t="s">
        <v>63</v>
      </c>
    </row>
    <row r="1584" spans="1:1" x14ac:dyDescent="0.3">
      <c r="A1584" s="2" t="s">
        <v>46</v>
      </c>
    </row>
    <row r="1585" spans="1:1" x14ac:dyDescent="0.3">
      <c r="A1585" s="1" t="s">
        <v>46</v>
      </c>
    </row>
    <row r="1586" spans="1:1" x14ac:dyDescent="0.3">
      <c r="A1586" s="2" t="s">
        <v>63</v>
      </c>
    </row>
    <row r="1587" spans="1:1" x14ac:dyDescent="0.3">
      <c r="A1587" s="1" t="s">
        <v>63</v>
      </c>
    </row>
    <row r="1588" spans="1:1" x14ac:dyDescent="0.3">
      <c r="A1588" s="2" t="s">
        <v>63</v>
      </c>
    </row>
    <row r="1589" spans="1:1" x14ac:dyDescent="0.3">
      <c r="A1589" s="1" t="s">
        <v>63</v>
      </c>
    </row>
    <row r="1590" spans="1:1" x14ac:dyDescent="0.3">
      <c r="A1590" s="2" t="s">
        <v>46</v>
      </c>
    </row>
    <row r="1591" spans="1:1" x14ac:dyDescent="0.3">
      <c r="A1591" s="1" t="s">
        <v>63</v>
      </c>
    </row>
    <row r="1592" spans="1:1" x14ac:dyDescent="0.3">
      <c r="A1592" s="2" t="s">
        <v>63</v>
      </c>
    </row>
    <row r="1593" spans="1:1" x14ac:dyDescent="0.3">
      <c r="A1593" s="1" t="s">
        <v>63</v>
      </c>
    </row>
    <row r="1594" spans="1:1" x14ac:dyDescent="0.3">
      <c r="A1594" s="2" t="s">
        <v>63</v>
      </c>
    </row>
    <row r="1595" spans="1:1" x14ac:dyDescent="0.3">
      <c r="A1595" s="1" t="s">
        <v>63</v>
      </c>
    </row>
    <row r="1596" spans="1:1" x14ac:dyDescent="0.3">
      <c r="A1596" s="2" t="s">
        <v>46</v>
      </c>
    </row>
    <row r="1597" spans="1:1" x14ac:dyDescent="0.3">
      <c r="A1597" s="1" t="s">
        <v>63</v>
      </c>
    </row>
    <row r="1598" spans="1:1" x14ac:dyDescent="0.3">
      <c r="A1598" s="2" t="s">
        <v>63</v>
      </c>
    </row>
    <row r="1599" spans="1:1" x14ac:dyDescent="0.3">
      <c r="A1599" s="1" t="s">
        <v>63</v>
      </c>
    </row>
    <row r="1600" spans="1:1" x14ac:dyDescent="0.3">
      <c r="A1600" s="2" t="s">
        <v>46</v>
      </c>
    </row>
    <row r="1601" spans="1:1" x14ac:dyDescent="0.3">
      <c r="A1601" s="1" t="s">
        <v>63</v>
      </c>
    </row>
    <row r="1602" spans="1:1" x14ac:dyDescent="0.3">
      <c r="A1602" s="2" t="s">
        <v>63</v>
      </c>
    </row>
    <row r="1603" spans="1:1" x14ac:dyDescent="0.3">
      <c r="A1603" s="1" t="s">
        <v>63</v>
      </c>
    </row>
    <row r="1604" spans="1:1" x14ac:dyDescent="0.3">
      <c r="A1604" s="2" t="s">
        <v>46</v>
      </c>
    </row>
    <row r="1605" spans="1:1" x14ac:dyDescent="0.3">
      <c r="A1605" s="1" t="s">
        <v>46</v>
      </c>
    </row>
    <row r="1606" spans="1:1" x14ac:dyDescent="0.3">
      <c r="A1606" s="2" t="s">
        <v>63</v>
      </c>
    </row>
    <row r="1607" spans="1:1" x14ac:dyDescent="0.3">
      <c r="A1607" s="1" t="s">
        <v>63</v>
      </c>
    </row>
    <row r="1608" spans="1:1" x14ac:dyDescent="0.3">
      <c r="A1608" s="2" t="s">
        <v>63</v>
      </c>
    </row>
    <row r="1609" spans="1:1" x14ac:dyDescent="0.3">
      <c r="A1609" s="1" t="s">
        <v>63</v>
      </c>
    </row>
    <row r="1610" spans="1:1" x14ac:dyDescent="0.3">
      <c r="A1610" s="2" t="s">
        <v>63</v>
      </c>
    </row>
    <row r="1611" spans="1:1" x14ac:dyDescent="0.3">
      <c r="A1611" s="1" t="s">
        <v>63</v>
      </c>
    </row>
    <row r="1612" spans="1:1" x14ac:dyDescent="0.3">
      <c r="A1612" s="2" t="s">
        <v>46</v>
      </c>
    </row>
    <row r="1613" spans="1:1" x14ac:dyDescent="0.3">
      <c r="A1613" s="1" t="s">
        <v>63</v>
      </c>
    </row>
    <row r="1614" spans="1:1" x14ac:dyDescent="0.3">
      <c r="A1614" s="2" t="s">
        <v>63</v>
      </c>
    </row>
    <row r="1615" spans="1:1" x14ac:dyDescent="0.3">
      <c r="A1615" s="1" t="s">
        <v>46</v>
      </c>
    </row>
    <row r="1616" spans="1:1" x14ac:dyDescent="0.3">
      <c r="A1616" s="2" t="s">
        <v>63</v>
      </c>
    </row>
    <row r="1617" spans="1:1" x14ac:dyDescent="0.3">
      <c r="A1617" s="1" t="s">
        <v>46</v>
      </c>
    </row>
    <row r="1618" spans="1:1" x14ac:dyDescent="0.3">
      <c r="A1618" s="2" t="s">
        <v>46</v>
      </c>
    </row>
    <row r="1619" spans="1:1" x14ac:dyDescent="0.3">
      <c r="A1619" s="1" t="s">
        <v>46</v>
      </c>
    </row>
    <row r="1620" spans="1:1" x14ac:dyDescent="0.3">
      <c r="A1620" s="2" t="s">
        <v>46</v>
      </c>
    </row>
    <row r="1621" spans="1:1" x14ac:dyDescent="0.3">
      <c r="A1621" s="1" t="s">
        <v>63</v>
      </c>
    </row>
    <row r="1622" spans="1:1" x14ac:dyDescent="0.3">
      <c r="A1622" s="2" t="s">
        <v>63</v>
      </c>
    </row>
    <row r="1623" spans="1:1" x14ac:dyDescent="0.3">
      <c r="A1623" s="1" t="s">
        <v>63</v>
      </c>
    </row>
    <row r="1624" spans="1:1" x14ac:dyDescent="0.3">
      <c r="A1624" s="2" t="s">
        <v>46</v>
      </c>
    </row>
    <row r="1625" spans="1:1" x14ac:dyDescent="0.3">
      <c r="A1625" s="1" t="s">
        <v>46</v>
      </c>
    </row>
    <row r="1626" spans="1:1" x14ac:dyDescent="0.3">
      <c r="A1626" s="2" t="s">
        <v>30</v>
      </c>
    </row>
    <row r="1627" spans="1:1" x14ac:dyDescent="0.3">
      <c r="A1627" s="1" t="s">
        <v>63</v>
      </c>
    </row>
    <row r="1628" spans="1:1" x14ac:dyDescent="0.3">
      <c r="A1628" s="2" t="s">
        <v>46</v>
      </c>
    </row>
    <row r="1629" spans="1:1" x14ac:dyDescent="0.3">
      <c r="A1629" s="1" t="s">
        <v>46</v>
      </c>
    </row>
    <row r="1630" spans="1:1" x14ac:dyDescent="0.3">
      <c r="A1630" s="2" t="s">
        <v>63</v>
      </c>
    </row>
    <row r="1631" spans="1:1" x14ac:dyDescent="0.3">
      <c r="A1631" s="1" t="s">
        <v>63</v>
      </c>
    </row>
    <row r="1632" spans="1:1" x14ac:dyDescent="0.3">
      <c r="A1632" s="2" t="s">
        <v>63</v>
      </c>
    </row>
    <row r="1633" spans="1:1" x14ac:dyDescent="0.3">
      <c r="A1633" s="1" t="s">
        <v>63</v>
      </c>
    </row>
    <row r="1634" spans="1:1" x14ac:dyDescent="0.3">
      <c r="A1634" s="2" t="s">
        <v>63</v>
      </c>
    </row>
    <row r="1635" spans="1:1" x14ac:dyDescent="0.3">
      <c r="A1635" s="1" t="s">
        <v>63</v>
      </c>
    </row>
    <row r="1636" spans="1:1" x14ac:dyDescent="0.3">
      <c r="A1636" s="2" t="s">
        <v>63</v>
      </c>
    </row>
    <row r="1637" spans="1:1" x14ac:dyDescent="0.3">
      <c r="A1637" s="1" t="s">
        <v>63</v>
      </c>
    </row>
    <row r="1638" spans="1:1" x14ac:dyDescent="0.3">
      <c r="A1638" s="2" t="s">
        <v>63</v>
      </c>
    </row>
    <row r="1639" spans="1:1" x14ac:dyDescent="0.3">
      <c r="A1639" s="1" t="s">
        <v>63</v>
      </c>
    </row>
    <row r="1640" spans="1:1" x14ac:dyDescent="0.3">
      <c r="A1640" s="2" t="s">
        <v>63</v>
      </c>
    </row>
    <row r="1641" spans="1:1" x14ac:dyDescent="0.3">
      <c r="A1641" s="1" t="s">
        <v>63</v>
      </c>
    </row>
    <row r="1642" spans="1:1" x14ac:dyDescent="0.3">
      <c r="A1642" s="2" t="s">
        <v>63</v>
      </c>
    </row>
    <row r="1643" spans="1:1" x14ac:dyDescent="0.3">
      <c r="A1643" s="1" t="s">
        <v>63</v>
      </c>
    </row>
    <row r="1644" spans="1:1" x14ac:dyDescent="0.3">
      <c r="A1644" s="2" t="s">
        <v>63</v>
      </c>
    </row>
    <row r="1645" spans="1:1" x14ac:dyDescent="0.3">
      <c r="A1645" s="1" t="s">
        <v>63</v>
      </c>
    </row>
    <row r="1646" spans="1:1" x14ac:dyDescent="0.3">
      <c r="A1646" s="2" t="s">
        <v>63</v>
      </c>
    </row>
    <row r="1647" spans="1:1" x14ac:dyDescent="0.3">
      <c r="A1647" s="1" t="s">
        <v>63</v>
      </c>
    </row>
    <row r="1648" spans="1:1" x14ac:dyDescent="0.3">
      <c r="A1648" s="2" t="s">
        <v>63</v>
      </c>
    </row>
    <row r="1649" spans="1:1" x14ac:dyDescent="0.3">
      <c r="A1649" s="1" t="s">
        <v>63</v>
      </c>
    </row>
    <row r="1650" spans="1:1" x14ac:dyDescent="0.3">
      <c r="A1650" s="2" t="s">
        <v>63</v>
      </c>
    </row>
    <row r="1651" spans="1:1" x14ac:dyDescent="0.3">
      <c r="A1651" s="1" t="s">
        <v>46</v>
      </c>
    </row>
    <row r="1652" spans="1:1" x14ac:dyDescent="0.3">
      <c r="A1652" s="2" t="s">
        <v>63</v>
      </c>
    </row>
    <row r="1653" spans="1:1" x14ac:dyDescent="0.3">
      <c r="A1653" s="1" t="s">
        <v>63</v>
      </c>
    </row>
    <row r="1654" spans="1:1" x14ac:dyDescent="0.3">
      <c r="A1654" s="2" t="s">
        <v>63</v>
      </c>
    </row>
    <row r="1655" spans="1:1" x14ac:dyDescent="0.3">
      <c r="A1655" s="1" t="s">
        <v>63</v>
      </c>
    </row>
    <row r="1656" spans="1:1" x14ac:dyDescent="0.3">
      <c r="A1656" s="2" t="s">
        <v>63</v>
      </c>
    </row>
    <row r="1657" spans="1:1" x14ac:dyDescent="0.3">
      <c r="A1657" s="1" t="s">
        <v>63</v>
      </c>
    </row>
    <row r="1658" spans="1:1" x14ac:dyDescent="0.3">
      <c r="A1658" s="2" t="s">
        <v>63</v>
      </c>
    </row>
    <row r="1659" spans="1:1" x14ac:dyDescent="0.3">
      <c r="A1659" s="1" t="s">
        <v>63</v>
      </c>
    </row>
    <row r="1660" spans="1:1" x14ac:dyDescent="0.3">
      <c r="A1660" s="2" t="s">
        <v>63</v>
      </c>
    </row>
    <row r="1661" spans="1:1" x14ac:dyDescent="0.3">
      <c r="A1661" s="1" t="s">
        <v>63</v>
      </c>
    </row>
    <row r="1662" spans="1:1" x14ac:dyDescent="0.3">
      <c r="A1662" s="2" t="s">
        <v>63</v>
      </c>
    </row>
    <row r="1663" spans="1:1" x14ac:dyDescent="0.3">
      <c r="A1663" s="1" t="s">
        <v>63</v>
      </c>
    </row>
    <row r="1664" spans="1:1" x14ac:dyDescent="0.3">
      <c r="A1664" s="2" t="s">
        <v>63</v>
      </c>
    </row>
    <row r="1665" spans="1:1" x14ac:dyDescent="0.3">
      <c r="A1665" s="1" t="s">
        <v>63</v>
      </c>
    </row>
    <row r="1666" spans="1:1" x14ac:dyDescent="0.3">
      <c r="A1666" s="2" t="s">
        <v>63</v>
      </c>
    </row>
    <row r="1667" spans="1:1" x14ac:dyDescent="0.3">
      <c r="A1667" s="1" t="s">
        <v>63</v>
      </c>
    </row>
    <row r="1668" spans="1:1" x14ac:dyDescent="0.3">
      <c r="A1668" s="2" t="s">
        <v>63</v>
      </c>
    </row>
    <row r="1669" spans="1:1" x14ac:dyDescent="0.3">
      <c r="A1669" s="1" t="s">
        <v>63</v>
      </c>
    </row>
    <row r="1670" spans="1:1" x14ac:dyDescent="0.3">
      <c r="A1670" s="2"/>
    </row>
    <row r="1671" spans="1:1" x14ac:dyDescent="0.3">
      <c r="A1671" s="1" t="s">
        <v>63</v>
      </c>
    </row>
    <row r="1672" spans="1:1" x14ac:dyDescent="0.3">
      <c r="A1672" s="2" t="s">
        <v>46</v>
      </c>
    </row>
    <row r="1673" spans="1:1" x14ac:dyDescent="0.3">
      <c r="A1673" s="1" t="s">
        <v>63</v>
      </c>
    </row>
    <row r="1674" spans="1:1" x14ac:dyDescent="0.3">
      <c r="A1674" s="2" t="s">
        <v>63</v>
      </c>
    </row>
    <row r="1675" spans="1:1" x14ac:dyDescent="0.3">
      <c r="A1675" s="1" t="s">
        <v>63</v>
      </c>
    </row>
    <row r="1676" spans="1:1" x14ac:dyDescent="0.3">
      <c r="A1676" s="2" t="s">
        <v>63</v>
      </c>
    </row>
    <row r="1677" spans="1:1" x14ac:dyDescent="0.3">
      <c r="A1677" s="1" t="s">
        <v>46</v>
      </c>
    </row>
    <row r="1678" spans="1:1" x14ac:dyDescent="0.3">
      <c r="A1678" s="2" t="s">
        <v>63</v>
      </c>
    </row>
    <row r="1679" spans="1:1" x14ac:dyDescent="0.3">
      <c r="A1679" s="1" t="s">
        <v>46</v>
      </c>
    </row>
    <row r="1680" spans="1:1" x14ac:dyDescent="0.3">
      <c r="A1680" s="2" t="s">
        <v>63</v>
      </c>
    </row>
    <row r="1681" spans="1:1" x14ac:dyDescent="0.3">
      <c r="A1681" s="1" t="s">
        <v>63</v>
      </c>
    </row>
    <row r="1682" spans="1:1" x14ac:dyDescent="0.3">
      <c r="A1682" s="2" t="s">
        <v>63</v>
      </c>
    </row>
    <row r="1683" spans="1:1" x14ac:dyDescent="0.3">
      <c r="A1683" s="1" t="s">
        <v>63</v>
      </c>
    </row>
    <row r="1684" spans="1:1" x14ac:dyDescent="0.3">
      <c r="A1684" s="2" t="s">
        <v>63</v>
      </c>
    </row>
    <row r="1685" spans="1:1" x14ac:dyDescent="0.3">
      <c r="A1685" s="1" t="s">
        <v>63</v>
      </c>
    </row>
    <row r="1686" spans="1:1" x14ac:dyDescent="0.3">
      <c r="A1686" s="2" t="s">
        <v>63</v>
      </c>
    </row>
    <row r="1687" spans="1:1" x14ac:dyDescent="0.3">
      <c r="A1687" s="1" t="s">
        <v>63</v>
      </c>
    </row>
    <row r="1688" spans="1:1" x14ac:dyDescent="0.3">
      <c r="A1688" s="2" t="s">
        <v>63</v>
      </c>
    </row>
    <row r="1689" spans="1:1" x14ac:dyDescent="0.3">
      <c r="A1689" s="1" t="s">
        <v>63</v>
      </c>
    </row>
    <row r="1690" spans="1:1" x14ac:dyDescent="0.3">
      <c r="A1690" s="2" t="s">
        <v>63</v>
      </c>
    </row>
    <row r="1691" spans="1:1" x14ac:dyDescent="0.3">
      <c r="A1691" s="1" t="s">
        <v>63</v>
      </c>
    </row>
    <row r="1692" spans="1:1" x14ac:dyDescent="0.3">
      <c r="A1692" s="2" t="s">
        <v>63</v>
      </c>
    </row>
    <row r="1693" spans="1:1" x14ac:dyDescent="0.3">
      <c r="A1693" s="1" t="s">
        <v>63</v>
      </c>
    </row>
    <row r="1694" spans="1:1" x14ac:dyDescent="0.3">
      <c r="A1694" s="2" t="s">
        <v>63</v>
      </c>
    </row>
    <row r="1695" spans="1:1" x14ac:dyDescent="0.3">
      <c r="A1695" s="1" t="s">
        <v>63</v>
      </c>
    </row>
    <row r="1696" spans="1:1" x14ac:dyDescent="0.3">
      <c r="A1696" s="2" t="s">
        <v>63</v>
      </c>
    </row>
    <row r="1697" spans="1:1" x14ac:dyDescent="0.3">
      <c r="A1697" s="1" t="s">
        <v>46</v>
      </c>
    </row>
    <row r="1698" spans="1:1" x14ac:dyDescent="0.3">
      <c r="A1698" s="2" t="s">
        <v>46</v>
      </c>
    </row>
    <row r="1699" spans="1:1" x14ac:dyDescent="0.3">
      <c r="A1699" s="1" t="s">
        <v>46</v>
      </c>
    </row>
    <row r="1700" spans="1:1" x14ac:dyDescent="0.3">
      <c r="A1700" s="2" t="s">
        <v>46</v>
      </c>
    </row>
    <row r="1701" spans="1:1" x14ac:dyDescent="0.3">
      <c r="A1701" s="1" t="s">
        <v>46</v>
      </c>
    </row>
    <row r="1702" spans="1:1" x14ac:dyDescent="0.3">
      <c r="A1702" s="2" t="s">
        <v>46</v>
      </c>
    </row>
    <row r="1703" spans="1:1" x14ac:dyDescent="0.3">
      <c r="A1703" s="1" t="s">
        <v>63</v>
      </c>
    </row>
    <row r="1704" spans="1:1" x14ac:dyDescent="0.3">
      <c r="A1704" s="2" t="s">
        <v>63</v>
      </c>
    </row>
    <row r="1705" spans="1:1" x14ac:dyDescent="0.3">
      <c r="A1705" s="1" t="s">
        <v>46</v>
      </c>
    </row>
    <row r="1706" spans="1:1" x14ac:dyDescent="0.3">
      <c r="A1706" s="2" t="s">
        <v>63</v>
      </c>
    </row>
    <row r="1707" spans="1:1" x14ac:dyDescent="0.3">
      <c r="A1707" s="1" t="s">
        <v>63</v>
      </c>
    </row>
    <row r="1708" spans="1:1" x14ac:dyDescent="0.3">
      <c r="A1708" s="2" t="s">
        <v>46</v>
      </c>
    </row>
    <row r="1709" spans="1:1" x14ac:dyDescent="0.3">
      <c r="A1709" s="1" t="s">
        <v>63</v>
      </c>
    </row>
    <row r="1710" spans="1:1" x14ac:dyDescent="0.3">
      <c r="A1710" s="2" t="s">
        <v>63</v>
      </c>
    </row>
    <row r="1711" spans="1:1" x14ac:dyDescent="0.3">
      <c r="A1711" s="1" t="s">
        <v>63</v>
      </c>
    </row>
    <row r="1712" spans="1:1" x14ac:dyDescent="0.3">
      <c r="A1712" s="2" t="s">
        <v>63</v>
      </c>
    </row>
    <row r="1713" spans="1:1" x14ac:dyDescent="0.3">
      <c r="A1713" s="1" t="s">
        <v>46</v>
      </c>
    </row>
    <row r="1714" spans="1:1" x14ac:dyDescent="0.3">
      <c r="A1714" s="2" t="s">
        <v>46</v>
      </c>
    </row>
    <row r="1715" spans="1:1" x14ac:dyDescent="0.3">
      <c r="A1715" s="1" t="s">
        <v>46</v>
      </c>
    </row>
    <row r="1716" spans="1:1" x14ac:dyDescent="0.3">
      <c r="A1716" s="2" t="s">
        <v>46</v>
      </c>
    </row>
    <row r="1717" spans="1:1" x14ac:dyDescent="0.3">
      <c r="A1717" s="1" t="s">
        <v>46</v>
      </c>
    </row>
    <row r="1718" spans="1:1" x14ac:dyDescent="0.3">
      <c r="A1718" s="2" t="s">
        <v>46</v>
      </c>
    </row>
    <row r="1719" spans="1:1" x14ac:dyDescent="0.3">
      <c r="A1719" s="1" t="s">
        <v>46</v>
      </c>
    </row>
    <row r="1720" spans="1:1" x14ac:dyDescent="0.3">
      <c r="A1720" s="2" t="s">
        <v>46</v>
      </c>
    </row>
    <row r="1721" spans="1:1" x14ac:dyDescent="0.3">
      <c r="A1721" s="1" t="s">
        <v>46</v>
      </c>
    </row>
    <row r="1722" spans="1:1" x14ac:dyDescent="0.3">
      <c r="A1722" s="2" t="s">
        <v>46</v>
      </c>
    </row>
    <row r="1723" spans="1:1" x14ac:dyDescent="0.3">
      <c r="A1723" s="1" t="s">
        <v>63</v>
      </c>
    </row>
    <row r="1724" spans="1:1" x14ac:dyDescent="0.3">
      <c r="A1724" s="2" t="s">
        <v>63</v>
      </c>
    </row>
    <row r="1725" spans="1:1" x14ac:dyDescent="0.3">
      <c r="A1725" s="1" t="s">
        <v>63</v>
      </c>
    </row>
    <row r="1726" spans="1:1" x14ac:dyDescent="0.3">
      <c r="A1726" s="2" t="s">
        <v>63</v>
      </c>
    </row>
    <row r="1727" spans="1:1" x14ac:dyDescent="0.3">
      <c r="A1727" s="1" t="s">
        <v>63</v>
      </c>
    </row>
    <row r="1728" spans="1:1" x14ac:dyDescent="0.3">
      <c r="A1728" s="2" t="s">
        <v>63</v>
      </c>
    </row>
    <row r="1729" spans="1:1" x14ac:dyDescent="0.3">
      <c r="A1729" s="1" t="s">
        <v>46</v>
      </c>
    </row>
    <row r="1730" spans="1:1" x14ac:dyDescent="0.3">
      <c r="A1730" s="2" t="s">
        <v>63</v>
      </c>
    </row>
    <row r="1731" spans="1:1" x14ac:dyDescent="0.3">
      <c r="A1731" s="1" t="s">
        <v>63</v>
      </c>
    </row>
    <row r="1732" spans="1:1" x14ac:dyDescent="0.3">
      <c r="A1732" s="2" t="s">
        <v>63</v>
      </c>
    </row>
    <row r="1733" spans="1:1" x14ac:dyDescent="0.3">
      <c r="A1733" s="1" t="s">
        <v>63</v>
      </c>
    </row>
    <row r="1734" spans="1:1" x14ac:dyDescent="0.3">
      <c r="A1734" s="2" t="s">
        <v>46</v>
      </c>
    </row>
    <row r="1735" spans="1:1" x14ac:dyDescent="0.3">
      <c r="A1735" s="1" t="s">
        <v>46</v>
      </c>
    </row>
    <row r="1736" spans="1:1" x14ac:dyDescent="0.3">
      <c r="A1736" s="2" t="s">
        <v>46</v>
      </c>
    </row>
    <row r="1737" spans="1:1" x14ac:dyDescent="0.3">
      <c r="A1737" s="1" t="s">
        <v>63</v>
      </c>
    </row>
    <row r="1738" spans="1:1" x14ac:dyDescent="0.3">
      <c r="A1738" s="2" t="s">
        <v>63</v>
      </c>
    </row>
    <row r="1739" spans="1:1" x14ac:dyDescent="0.3">
      <c r="A1739" s="1" t="s">
        <v>63</v>
      </c>
    </row>
    <row r="1740" spans="1:1" x14ac:dyDescent="0.3">
      <c r="A1740" s="2" t="s">
        <v>63</v>
      </c>
    </row>
    <row r="1741" spans="1:1" x14ac:dyDescent="0.3">
      <c r="A1741" s="1" t="s">
        <v>63</v>
      </c>
    </row>
    <row r="1742" spans="1:1" x14ac:dyDescent="0.3">
      <c r="A1742" s="2" t="s">
        <v>63</v>
      </c>
    </row>
    <row r="1743" spans="1:1" x14ac:dyDescent="0.3">
      <c r="A1743" s="1" t="s">
        <v>63</v>
      </c>
    </row>
    <row r="1744" spans="1:1" x14ac:dyDescent="0.3">
      <c r="A1744" s="2" t="s">
        <v>63</v>
      </c>
    </row>
    <row r="1745" spans="1:1" x14ac:dyDescent="0.3">
      <c r="A1745" s="1" t="s">
        <v>63</v>
      </c>
    </row>
    <row r="1746" spans="1:1" x14ac:dyDescent="0.3">
      <c r="A1746" s="2" t="s">
        <v>63</v>
      </c>
    </row>
    <row r="1747" spans="1:1" x14ac:dyDescent="0.3">
      <c r="A1747" s="1" t="s">
        <v>63</v>
      </c>
    </row>
    <row r="1748" spans="1:1" x14ac:dyDescent="0.3">
      <c r="A1748" s="2" t="s">
        <v>63</v>
      </c>
    </row>
    <row r="1749" spans="1:1" x14ac:dyDescent="0.3">
      <c r="A1749" s="1" t="s">
        <v>63</v>
      </c>
    </row>
    <row r="1750" spans="1:1" x14ac:dyDescent="0.3">
      <c r="A1750" s="2" t="s">
        <v>63</v>
      </c>
    </row>
    <row r="1751" spans="1:1" x14ac:dyDescent="0.3">
      <c r="A1751" s="1" t="s">
        <v>63</v>
      </c>
    </row>
    <row r="1752" spans="1:1" x14ac:dyDescent="0.3">
      <c r="A1752" s="2" t="s">
        <v>63</v>
      </c>
    </row>
    <row r="1753" spans="1:1" x14ac:dyDescent="0.3">
      <c r="A1753" s="1" t="s">
        <v>63</v>
      </c>
    </row>
    <row r="1754" spans="1:1" x14ac:dyDescent="0.3">
      <c r="A1754" s="2" t="s">
        <v>63</v>
      </c>
    </row>
    <row r="1755" spans="1:1" x14ac:dyDescent="0.3">
      <c r="A1755" s="1" t="s">
        <v>63</v>
      </c>
    </row>
    <row r="1756" spans="1:1" x14ac:dyDescent="0.3">
      <c r="A1756" s="2" t="s">
        <v>63</v>
      </c>
    </row>
    <row r="1757" spans="1:1" x14ac:dyDescent="0.3">
      <c r="A1757" s="1" t="s">
        <v>63</v>
      </c>
    </row>
    <row r="1758" spans="1:1" x14ac:dyDescent="0.3">
      <c r="A1758" s="2" t="s">
        <v>63</v>
      </c>
    </row>
    <row r="1759" spans="1:1" x14ac:dyDescent="0.3">
      <c r="A1759" s="1" t="s">
        <v>63</v>
      </c>
    </row>
    <row r="1760" spans="1:1" x14ac:dyDescent="0.3">
      <c r="A1760" s="2" t="s">
        <v>63</v>
      </c>
    </row>
    <row r="1761" spans="1:1" x14ac:dyDescent="0.3">
      <c r="A1761" s="1" t="s">
        <v>63</v>
      </c>
    </row>
    <row r="1762" spans="1:1" x14ac:dyDescent="0.3">
      <c r="A1762" s="2" t="s">
        <v>63</v>
      </c>
    </row>
    <row r="1763" spans="1:1" x14ac:dyDescent="0.3">
      <c r="A1763" s="1" t="s">
        <v>46</v>
      </c>
    </row>
    <row r="1764" spans="1:1" x14ac:dyDescent="0.3">
      <c r="A1764" s="2" t="s">
        <v>46</v>
      </c>
    </row>
    <row r="1765" spans="1:1" x14ac:dyDescent="0.3">
      <c r="A1765" s="1" t="s">
        <v>63</v>
      </c>
    </row>
    <row r="1766" spans="1:1" x14ac:dyDescent="0.3">
      <c r="A1766" s="2" t="s">
        <v>63</v>
      </c>
    </row>
    <row r="1767" spans="1:1" x14ac:dyDescent="0.3">
      <c r="A1767" s="1" t="s">
        <v>63</v>
      </c>
    </row>
    <row r="1768" spans="1:1" x14ac:dyDescent="0.3">
      <c r="A1768" s="2" t="s">
        <v>63</v>
      </c>
    </row>
    <row r="1769" spans="1:1" x14ac:dyDescent="0.3">
      <c r="A1769" s="1" t="s">
        <v>63</v>
      </c>
    </row>
    <row r="1770" spans="1:1" x14ac:dyDescent="0.3">
      <c r="A1770" s="2" t="s">
        <v>63</v>
      </c>
    </row>
    <row r="1771" spans="1:1" x14ac:dyDescent="0.3">
      <c r="A1771" s="1" t="s">
        <v>63</v>
      </c>
    </row>
    <row r="1772" spans="1:1" x14ac:dyDescent="0.3">
      <c r="A1772" s="2" t="s">
        <v>63</v>
      </c>
    </row>
    <row r="1773" spans="1:1" x14ac:dyDescent="0.3">
      <c r="A1773" s="1" t="s">
        <v>63</v>
      </c>
    </row>
    <row r="1774" spans="1:1" x14ac:dyDescent="0.3">
      <c r="A1774" s="2" t="s">
        <v>63</v>
      </c>
    </row>
    <row r="1775" spans="1:1" x14ac:dyDescent="0.3">
      <c r="A1775" s="1" t="s">
        <v>63</v>
      </c>
    </row>
    <row r="1776" spans="1:1" x14ac:dyDescent="0.3">
      <c r="A1776" s="2" t="s">
        <v>63</v>
      </c>
    </row>
    <row r="1777" spans="1:1" x14ac:dyDescent="0.3">
      <c r="A1777" s="1" t="s">
        <v>63</v>
      </c>
    </row>
    <row r="1778" spans="1:1" x14ac:dyDescent="0.3">
      <c r="A1778" s="2" t="s">
        <v>63</v>
      </c>
    </row>
    <row r="1779" spans="1:1" x14ac:dyDescent="0.3">
      <c r="A1779" s="1" t="s">
        <v>63</v>
      </c>
    </row>
    <row r="1780" spans="1:1" x14ac:dyDescent="0.3">
      <c r="A1780" s="2" t="s">
        <v>63</v>
      </c>
    </row>
    <row r="1781" spans="1:1" x14ac:dyDescent="0.3">
      <c r="A1781" s="1" t="s">
        <v>63</v>
      </c>
    </row>
    <row r="1782" spans="1:1" x14ac:dyDescent="0.3">
      <c r="A1782" s="2" t="s">
        <v>63</v>
      </c>
    </row>
    <row r="1783" spans="1:1" x14ac:dyDescent="0.3">
      <c r="A1783" s="1" t="s">
        <v>63</v>
      </c>
    </row>
    <row r="1784" spans="1:1" x14ac:dyDescent="0.3">
      <c r="A1784" s="2"/>
    </row>
    <row r="1785" spans="1:1" x14ac:dyDescent="0.3">
      <c r="A1785" s="1"/>
    </row>
    <row r="1786" spans="1:1" x14ac:dyDescent="0.3">
      <c r="A1786" s="2"/>
    </row>
    <row r="1787" spans="1:1" x14ac:dyDescent="0.3">
      <c r="A1787" s="1"/>
    </row>
    <row r="1788" spans="1:1" x14ac:dyDescent="0.3">
      <c r="A1788" s="2" t="s">
        <v>63</v>
      </c>
    </row>
    <row r="1789" spans="1:1" x14ac:dyDescent="0.3">
      <c r="A1789" s="1" t="s">
        <v>46</v>
      </c>
    </row>
    <row r="1790" spans="1:1" x14ac:dyDescent="0.3">
      <c r="A1790" s="2" t="s">
        <v>46</v>
      </c>
    </row>
    <row r="1791" spans="1:1" x14ac:dyDescent="0.3">
      <c r="A1791" s="1" t="s">
        <v>63</v>
      </c>
    </row>
    <row r="1792" spans="1:1" x14ac:dyDescent="0.3">
      <c r="A1792" s="2" t="s">
        <v>63</v>
      </c>
    </row>
    <row r="1793" spans="1:1" x14ac:dyDescent="0.3">
      <c r="A1793" s="1" t="s">
        <v>63</v>
      </c>
    </row>
    <row r="1794" spans="1:1" x14ac:dyDescent="0.3">
      <c r="A1794" s="2" t="s">
        <v>63</v>
      </c>
    </row>
    <row r="1795" spans="1:1" x14ac:dyDescent="0.3">
      <c r="A1795" s="1" t="s">
        <v>63</v>
      </c>
    </row>
    <row r="1796" spans="1:1" x14ac:dyDescent="0.3">
      <c r="A1796" s="2"/>
    </row>
    <row r="1797" spans="1:1" x14ac:dyDescent="0.3">
      <c r="A1797" s="1" t="s">
        <v>46</v>
      </c>
    </row>
    <row r="1798" spans="1:1" x14ac:dyDescent="0.3">
      <c r="A1798" s="2" t="s">
        <v>63</v>
      </c>
    </row>
    <row r="1799" spans="1:1" x14ac:dyDescent="0.3">
      <c r="A1799" s="1" t="s">
        <v>63</v>
      </c>
    </row>
    <row r="1800" spans="1:1" x14ac:dyDescent="0.3">
      <c r="A1800" s="2" t="s">
        <v>46</v>
      </c>
    </row>
    <row r="1801" spans="1:1" x14ac:dyDescent="0.3">
      <c r="A1801" s="1" t="s">
        <v>46</v>
      </c>
    </row>
    <row r="1802" spans="1:1" x14ac:dyDescent="0.3">
      <c r="A1802" s="2" t="s">
        <v>46</v>
      </c>
    </row>
    <row r="1803" spans="1:1" x14ac:dyDescent="0.3">
      <c r="A1803" s="1" t="s">
        <v>63</v>
      </c>
    </row>
    <row r="1804" spans="1:1" x14ac:dyDescent="0.3">
      <c r="A1804" s="2" t="s">
        <v>63</v>
      </c>
    </row>
    <row r="1805" spans="1:1" x14ac:dyDescent="0.3">
      <c r="A1805" s="1" t="s">
        <v>63</v>
      </c>
    </row>
    <row r="1806" spans="1:1" x14ac:dyDescent="0.3">
      <c r="A1806" s="2" t="s">
        <v>63</v>
      </c>
    </row>
    <row r="1807" spans="1:1" x14ac:dyDescent="0.3">
      <c r="A1807" s="1" t="s">
        <v>63</v>
      </c>
    </row>
    <row r="1808" spans="1:1" x14ac:dyDescent="0.3">
      <c r="A1808" s="2" t="s">
        <v>63</v>
      </c>
    </row>
    <row r="1809" spans="1:1" x14ac:dyDescent="0.3">
      <c r="A1809" s="1" t="s">
        <v>63</v>
      </c>
    </row>
    <row r="1810" spans="1:1" x14ac:dyDescent="0.3">
      <c r="A1810" s="2" t="s">
        <v>63</v>
      </c>
    </row>
    <row r="1811" spans="1:1" x14ac:dyDescent="0.3">
      <c r="A1811" s="1" t="s">
        <v>63</v>
      </c>
    </row>
    <row r="1812" spans="1:1" x14ac:dyDescent="0.3">
      <c r="A1812" s="2" t="s">
        <v>63</v>
      </c>
    </row>
    <row r="1813" spans="1:1" x14ac:dyDescent="0.3">
      <c r="A1813" s="1" t="s">
        <v>63</v>
      </c>
    </row>
    <row r="1814" spans="1:1" x14ac:dyDescent="0.3">
      <c r="A1814" s="2" t="s">
        <v>63</v>
      </c>
    </row>
    <row r="1815" spans="1:1" x14ac:dyDescent="0.3">
      <c r="A1815" s="1" t="s">
        <v>63</v>
      </c>
    </row>
    <row r="1816" spans="1:1" x14ac:dyDescent="0.3">
      <c r="A1816" s="2" t="s">
        <v>63</v>
      </c>
    </row>
    <row r="1817" spans="1:1" x14ac:dyDescent="0.3">
      <c r="A1817" s="1" t="s">
        <v>63</v>
      </c>
    </row>
    <row r="1818" spans="1:1" x14ac:dyDescent="0.3">
      <c r="A1818" s="2" t="s">
        <v>63</v>
      </c>
    </row>
    <row r="1819" spans="1:1" x14ac:dyDescent="0.3">
      <c r="A1819" s="1" t="s">
        <v>63</v>
      </c>
    </row>
    <row r="1820" spans="1:1" x14ac:dyDescent="0.3">
      <c r="A1820" s="2" t="s">
        <v>63</v>
      </c>
    </row>
    <row r="1821" spans="1:1" x14ac:dyDescent="0.3">
      <c r="A1821" s="1" t="s">
        <v>63</v>
      </c>
    </row>
    <row r="1822" spans="1:1" x14ac:dyDescent="0.3">
      <c r="A1822" s="2" t="s">
        <v>63</v>
      </c>
    </row>
    <row r="1823" spans="1:1" x14ac:dyDescent="0.3">
      <c r="A1823" s="1" t="s">
        <v>63</v>
      </c>
    </row>
    <row r="1824" spans="1:1" x14ac:dyDescent="0.3">
      <c r="A1824" s="2" t="s">
        <v>63</v>
      </c>
    </row>
    <row r="1825" spans="1:1" x14ac:dyDescent="0.3">
      <c r="A1825" s="1" t="s">
        <v>63</v>
      </c>
    </row>
    <row r="1826" spans="1:1" x14ac:dyDescent="0.3">
      <c r="A1826" s="2" t="s">
        <v>63</v>
      </c>
    </row>
    <row r="1827" spans="1:1" x14ac:dyDescent="0.3">
      <c r="A1827" s="1" t="s">
        <v>63</v>
      </c>
    </row>
    <row r="1828" spans="1:1" x14ac:dyDescent="0.3">
      <c r="A1828" s="2" t="s">
        <v>63</v>
      </c>
    </row>
    <row r="1829" spans="1:1" x14ac:dyDescent="0.3">
      <c r="A1829" s="1" t="s">
        <v>63</v>
      </c>
    </row>
    <row r="1830" spans="1:1" x14ac:dyDescent="0.3">
      <c r="A1830" s="2"/>
    </row>
    <row r="1831" spans="1:1" x14ac:dyDescent="0.3">
      <c r="A1831" s="1" t="s">
        <v>63</v>
      </c>
    </row>
    <row r="1832" spans="1:1" x14ac:dyDescent="0.3">
      <c r="A1832" s="2" t="s">
        <v>63</v>
      </c>
    </row>
    <row r="1833" spans="1:1" x14ac:dyDescent="0.3">
      <c r="A1833" s="1" t="s">
        <v>63</v>
      </c>
    </row>
    <row r="1834" spans="1:1" x14ac:dyDescent="0.3">
      <c r="A1834" s="2" t="s">
        <v>63</v>
      </c>
    </row>
    <row r="1835" spans="1:1" x14ac:dyDescent="0.3">
      <c r="A1835" s="1" t="s">
        <v>63</v>
      </c>
    </row>
    <row r="1836" spans="1:1" x14ac:dyDescent="0.3">
      <c r="A1836" s="2" t="s">
        <v>63</v>
      </c>
    </row>
    <row r="1837" spans="1:1" x14ac:dyDescent="0.3">
      <c r="A1837" s="1" t="s">
        <v>63</v>
      </c>
    </row>
    <row r="1838" spans="1:1" x14ac:dyDescent="0.3">
      <c r="A1838" s="2" t="s">
        <v>63</v>
      </c>
    </row>
    <row r="1839" spans="1:1" x14ac:dyDescent="0.3">
      <c r="A1839" s="1" t="s">
        <v>63</v>
      </c>
    </row>
    <row r="1840" spans="1:1" x14ac:dyDescent="0.3">
      <c r="A1840" s="2" t="s">
        <v>63</v>
      </c>
    </row>
    <row r="1841" spans="1:1" x14ac:dyDescent="0.3">
      <c r="A1841" s="1" t="s">
        <v>63</v>
      </c>
    </row>
    <row r="1842" spans="1:1" x14ac:dyDescent="0.3">
      <c r="A1842" s="2" t="s">
        <v>63</v>
      </c>
    </row>
    <row r="1843" spans="1:1" x14ac:dyDescent="0.3">
      <c r="A1843" s="1" t="s">
        <v>63</v>
      </c>
    </row>
    <row r="1844" spans="1:1" x14ac:dyDescent="0.3">
      <c r="A1844" s="2" t="s">
        <v>63</v>
      </c>
    </row>
    <row r="1845" spans="1:1" x14ac:dyDescent="0.3">
      <c r="A1845" s="1" t="s">
        <v>63</v>
      </c>
    </row>
    <row r="1846" spans="1:1" x14ac:dyDescent="0.3">
      <c r="A1846" s="2" t="s">
        <v>63</v>
      </c>
    </row>
    <row r="1847" spans="1:1" x14ac:dyDescent="0.3">
      <c r="A1847" s="1" t="s">
        <v>63</v>
      </c>
    </row>
    <row r="1848" spans="1:1" x14ac:dyDescent="0.3">
      <c r="A1848" s="2" t="s">
        <v>63</v>
      </c>
    </row>
    <row r="1849" spans="1:1" x14ac:dyDescent="0.3">
      <c r="A1849" s="1" t="s">
        <v>63</v>
      </c>
    </row>
    <row r="1850" spans="1:1" x14ac:dyDescent="0.3">
      <c r="A1850" s="2" t="s">
        <v>63</v>
      </c>
    </row>
    <row r="1851" spans="1:1" x14ac:dyDescent="0.3">
      <c r="A1851" s="1" t="s">
        <v>63</v>
      </c>
    </row>
    <row r="1852" spans="1:1" x14ac:dyDescent="0.3">
      <c r="A1852" s="2" t="s">
        <v>63</v>
      </c>
    </row>
    <row r="1853" spans="1:1" x14ac:dyDescent="0.3">
      <c r="A1853" s="1" t="s">
        <v>63</v>
      </c>
    </row>
    <row r="1854" spans="1:1" x14ac:dyDescent="0.3">
      <c r="A1854" s="2" t="s">
        <v>63</v>
      </c>
    </row>
    <row r="1855" spans="1:1" x14ac:dyDescent="0.3">
      <c r="A1855" s="1" t="s">
        <v>63</v>
      </c>
    </row>
    <row r="1856" spans="1:1" x14ac:dyDescent="0.3">
      <c r="A1856" s="2" t="s">
        <v>63</v>
      </c>
    </row>
    <row r="1857" spans="1:1" x14ac:dyDescent="0.3">
      <c r="A1857" s="1" t="s">
        <v>63</v>
      </c>
    </row>
    <row r="1858" spans="1:1" x14ac:dyDescent="0.3">
      <c r="A1858" s="2" t="s">
        <v>63</v>
      </c>
    </row>
    <row r="1859" spans="1:1" x14ac:dyDescent="0.3">
      <c r="A1859" s="1" t="s">
        <v>63</v>
      </c>
    </row>
    <row r="1860" spans="1:1" x14ac:dyDescent="0.3">
      <c r="A1860" s="2" t="s">
        <v>63</v>
      </c>
    </row>
    <row r="1861" spans="1:1" x14ac:dyDescent="0.3">
      <c r="A1861" s="1" t="s">
        <v>63</v>
      </c>
    </row>
    <row r="1862" spans="1:1" x14ac:dyDescent="0.3">
      <c r="A1862" s="2" t="s">
        <v>63</v>
      </c>
    </row>
    <row r="1863" spans="1:1" x14ac:dyDescent="0.3">
      <c r="A1863" s="1" t="s">
        <v>63</v>
      </c>
    </row>
    <row r="1864" spans="1:1" x14ac:dyDescent="0.3">
      <c r="A1864" s="2" t="s">
        <v>63</v>
      </c>
    </row>
    <row r="1865" spans="1:1" x14ac:dyDescent="0.3">
      <c r="A1865" s="1" t="s">
        <v>63</v>
      </c>
    </row>
    <row r="1866" spans="1:1" x14ac:dyDescent="0.3">
      <c r="A1866" s="2" t="s">
        <v>63</v>
      </c>
    </row>
    <row r="1867" spans="1:1" x14ac:dyDescent="0.3">
      <c r="A1867" s="1" t="s">
        <v>63</v>
      </c>
    </row>
    <row r="1868" spans="1:1" x14ac:dyDescent="0.3">
      <c r="A1868" s="2" t="s">
        <v>63</v>
      </c>
    </row>
    <row r="1869" spans="1:1" x14ac:dyDescent="0.3">
      <c r="A1869" s="1" t="s">
        <v>63</v>
      </c>
    </row>
    <row r="1870" spans="1:1" x14ac:dyDescent="0.3">
      <c r="A1870" s="2" t="s">
        <v>63</v>
      </c>
    </row>
    <row r="1871" spans="1:1" x14ac:dyDescent="0.3">
      <c r="A1871" s="1" t="s">
        <v>63</v>
      </c>
    </row>
    <row r="1872" spans="1:1" x14ac:dyDescent="0.3">
      <c r="A1872" s="2" t="s">
        <v>63</v>
      </c>
    </row>
    <row r="1873" spans="1:1" x14ac:dyDescent="0.3">
      <c r="A1873" s="1" t="s">
        <v>63</v>
      </c>
    </row>
    <row r="1874" spans="1:1" x14ac:dyDescent="0.3">
      <c r="A1874" s="2" t="s">
        <v>63</v>
      </c>
    </row>
    <row r="1875" spans="1:1" x14ac:dyDescent="0.3">
      <c r="A1875" s="1" t="s">
        <v>63</v>
      </c>
    </row>
    <row r="1876" spans="1:1" x14ac:dyDescent="0.3">
      <c r="A1876" s="2" t="s">
        <v>63</v>
      </c>
    </row>
    <row r="1877" spans="1:1" x14ac:dyDescent="0.3">
      <c r="A1877" s="1" t="s">
        <v>63</v>
      </c>
    </row>
    <row r="1878" spans="1:1" x14ac:dyDescent="0.3">
      <c r="A1878" s="2" t="s">
        <v>63</v>
      </c>
    </row>
    <row r="1879" spans="1:1" x14ac:dyDescent="0.3">
      <c r="A1879" s="1" t="s">
        <v>63</v>
      </c>
    </row>
    <row r="1880" spans="1:1" x14ac:dyDescent="0.3">
      <c r="A1880" s="2" t="s">
        <v>63</v>
      </c>
    </row>
    <row r="1881" spans="1:1" x14ac:dyDescent="0.3">
      <c r="A1881" s="1" t="s">
        <v>63</v>
      </c>
    </row>
    <row r="1882" spans="1:1" x14ac:dyDescent="0.3">
      <c r="A1882" s="2" t="s">
        <v>63</v>
      </c>
    </row>
    <row r="1883" spans="1:1" x14ac:dyDescent="0.3">
      <c r="A1883" s="1" t="s">
        <v>63</v>
      </c>
    </row>
    <row r="1884" spans="1:1" x14ac:dyDescent="0.3">
      <c r="A1884" s="2" t="s">
        <v>63</v>
      </c>
    </row>
    <row r="1885" spans="1:1" x14ac:dyDescent="0.3">
      <c r="A1885" s="1" t="s">
        <v>63</v>
      </c>
    </row>
    <row r="1886" spans="1:1" x14ac:dyDescent="0.3">
      <c r="A1886" s="2" t="s">
        <v>63</v>
      </c>
    </row>
    <row r="1887" spans="1:1" x14ac:dyDescent="0.3">
      <c r="A1887" s="1" t="s">
        <v>63</v>
      </c>
    </row>
    <row r="1888" spans="1:1" x14ac:dyDescent="0.3">
      <c r="A1888" s="2" t="s">
        <v>63</v>
      </c>
    </row>
    <row r="1889" spans="1:1" x14ac:dyDescent="0.3">
      <c r="A1889" s="1" t="s">
        <v>63</v>
      </c>
    </row>
    <row r="1890" spans="1:1" x14ac:dyDescent="0.3">
      <c r="A1890" s="2" t="s">
        <v>63</v>
      </c>
    </row>
    <row r="1891" spans="1:1" x14ac:dyDescent="0.3">
      <c r="A1891" s="1" t="s">
        <v>63</v>
      </c>
    </row>
    <row r="1892" spans="1:1" x14ac:dyDescent="0.3">
      <c r="A1892" s="2" t="s">
        <v>63</v>
      </c>
    </row>
    <row r="1893" spans="1:1" x14ac:dyDescent="0.3">
      <c r="A1893" s="1" t="s">
        <v>63</v>
      </c>
    </row>
    <row r="1894" spans="1:1" x14ac:dyDescent="0.3">
      <c r="A1894" s="2" t="s">
        <v>63</v>
      </c>
    </row>
    <row r="1895" spans="1:1" x14ac:dyDescent="0.3">
      <c r="A1895" s="1" t="s">
        <v>63</v>
      </c>
    </row>
    <row r="1896" spans="1:1" x14ac:dyDescent="0.3">
      <c r="A1896" s="2" t="s">
        <v>63</v>
      </c>
    </row>
    <row r="1897" spans="1:1" x14ac:dyDescent="0.3">
      <c r="A1897" s="1" t="s">
        <v>63</v>
      </c>
    </row>
    <row r="1898" spans="1:1" x14ac:dyDescent="0.3">
      <c r="A1898" s="2" t="s">
        <v>63</v>
      </c>
    </row>
    <row r="1899" spans="1:1" x14ac:dyDescent="0.3">
      <c r="A1899" s="1" t="s">
        <v>63</v>
      </c>
    </row>
    <row r="1900" spans="1:1" x14ac:dyDescent="0.3">
      <c r="A1900" s="2" t="s">
        <v>63</v>
      </c>
    </row>
    <row r="1901" spans="1:1" x14ac:dyDescent="0.3">
      <c r="A1901" s="1" t="s">
        <v>63</v>
      </c>
    </row>
    <row r="1902" spans="1:1" x14ac:dyDescent="0.3">
      <c r="A1902" s="2" t="s">
        <v>63</v>
      </c>
    </row>
    <row r="1903" spans="1:1" x14ac:dyDescent="0.3">
      <c r="A1903" s="1" t="s">
        <v>63</v>
      </c>
    </row>
    <row r="1904" spans="1:1" x14ac:dyDescent="0.3">
      <c r="A1904" s="2" t="s">
        <v>30</v>
      </c>
    </row>
    <row r="1905" spans="1:1" x14ac:dyDescent="0.3">
      <c r="A1905" s="1" t="s">
        <v>30</v>
      </c>
    </row>
    <row r="1906" spans="1:1" x14ac:dyDescent="0.3">
      <c r="A1906" s="2" t="s">
        <v>30</v>
      </c>
    </row>
    <row r="1907" spans="1:1" x14ac:dyDescent="0.3">
      <c r="A1907" s="1" t="s">
        <v>30</v>
      </c>
    </row>
    <row r="1908" spans="1:1" x14ac:dyDescent="0.3">
      <c r="A1908" s="2" t="s">
        <v>30</v>
      </c>
    </row>
    <row r="1909" spans="1:1" x14ac:dyDescent="0.3">
      <c r="A1909" s="1" t="s">
        <v>63</v>
      </c>
    </row>
    <row r="1910" spans="1:1" x14ac:dyDescent="0.3">
      <c r="A1910" s="2" t="s">
        <v>63</v>
      </c>
    </row>
    <row r="1911" spans="1:1" x14ac:dyDescent="0.3">
      <c r="A1911" s="1" t="s">
        <v>30</v>
      </c>
    </row>
    <row r="1912" spans="1:1" x14ac:dyDescent="0.3">
      <c r="A1912" s="2" t="s">
        <v>30</v>
      </c>
    </row>
    <row r="1913" spans="1:1" x14ac:dyDescent="0.3">
      <c r="A1913" s="1" t="s">
        <v>30</v>
      </c>
    </row>
    <row r="1914" spans="1:1" x14ac:dyDescent="0.3">
      <c r="A1914" s="2" t="s">
        <v>46</v>
      </c>
    </row>
    <row r="1915" spans="1:1" x14ac:dyDescent="0.3">
      <c r="A1915" s="1" t="s">
        <v>30</v>
      </c>
    </row>
    <row r="1916" spans="1:1" x14ac:dyDescent="0.3">
      <c r="A1916" s="2" t="s">
        <v>30</v>
      </c>
    </row>
    <row r="1917" spans="1:1" x14ac:dyDescent="0.3">
      <c r="A1917" s="1" t="s">
        <v>46</v>
      </c>
    </row>
    <row r="1918" spans="1:1" x14ac:dyDescent="0.3">
      <c r="A1918" s="2" t="s">
        <v>30</v>
      </c>
    </row>
    <row r="1919" spans="1:1" x14ac:dyDescent="0.3">
      <c r="A1919" s="1" t="s">
        <v>30</v>
      </c>
    </row>
    <row r="1920" spans="1:1" x14ac:dyDescent="0.3">
      <c r="A1920" s="2" t="s">
        <v>63</v>
      </c>
    </row>
    <row r="1921" spans="1:1" x14ac:dyDescent="0.3">
      <c r="A1921" s="1" t="s">
        <v>63</v>
      </c>
    </row>
    <row r="1922" spans="1:1" x14ac:dyDescent="0.3">
      <c r="A1922" s="2"/>
    </row>
    <row r="1923" spans="1:1" x14ac:dyDescent="0.3">
      <c r="A1923" s="1" t="s">
        <v>30</v>
      </c>
    </row>
    <row r="1924" spans="1:1" x14ac:dyDescent="0.3">
      <c r="A1924" s="2" t="s">
        <v>63</v>
      </c>
    </row>
    <row r="1925" spans="1:1" x14ac:dyDescent="0.3">
      <c r="A1925" s="1" t="s">
        <v>63</v>
      </c>
    </row>
    <row r="1926" spans="1:1" x14ac:dyDescent="0.3">
      <c r="A1926" s="2" t="s">
        <v>63</v>
      </c>
    </row>
    <row r="1927" spans="1:1" x14ac:dyDescent="0.3">
      <c r="A1927" s="1" t="s">
        <v>63</v>
      </c>
    </row>
    <row r="1928" spans="1:1" x14ac:dyDescent="0.3">
      <c r="A1928" s="2" t="s">
        <v>63</v>
      </c>
    </row>
    <row r="1929" spans="1:1" x14ac:dyDescent="0.3">
      <c r="A1929" s="1" t="s">
        <v>63</v>
      </c>
    </row>
    <row r="1930" spans="1:1" x14ac:dyDescent="0.3">
      <c r="A1930" s="2" t="s">
        <v>63</v>
      </c>
    </row>
    <row r="1931" spans="1:1" x14ac:dyDescent="0.3">
      <c r="A1931" s="1" t="s">
        <v>63</v>
      </c>
    </row>
    <row r="1932" spans="1:1" x14ac:dyDescent="0.3">
      <c r="A1932" s="2"/>
    </row>
    <row r="1933" spans="1:1" x14ac:dyDescent="0.3">
      <c r="A1933" s="1"/>
    </row>
    <row r="1934" spans="1:1" x14ac:dyDescent="0.3">
      <c r="A1934" s="2"/>
    </row>
    <row r="1935" spans="1:1" x14ac:dyDescent="0.3">
      <c r="A1935" s="1" t="s">
        <v>63</v>
      </c>
    </row>
    <row r="1936" spans="1:1" x14ac:dyDescent="0.3">
      <c r="A1936" s="2" t="s">
        <v>63</v>
      </c>
    </row>
    <row r="1937" spans="1:1" x14ac:dyDescent="0.3">
      <c r="A1937" s="1" t="s">
        <v>63</v>
      </c>
    </row>
    <row r="1938" spans="1:1" x14ac:dyDescent="0.3">
      <c r="A1938" s="2" t="s">
        <v>63</v>
      </c>
    </row>
    <row r="1939" spans="1:1" x14ac:dyDescent="0.3">
      <c r="A1939" s="1" t="s">
        <v>63</v>
      </c>
    </row>
    <row r="1940" spans="1:1" x14ac:dyDescent="0.3">
      <c r="A1940" s="2" t="s">
        <v>63</v>
      </c>
    </row>
    <row r="1941" spans="1:1" x14ac:dyDescent="0.3">
      <c r="A1941" s="1" t="s">
        <v>63</v>
      </c>
    </row>
    <row r="1942" spans="1:1" x14ac:dyDescent="0.3">
      <c r="A1942" s="2" t="s">
        <v>63</v>
      </c>
    </row>
    <row r="1943" spans="1:1" x14ac:dyDescent="0.3">
      <c r="A1943" s="1" t="s">
        <v>63</v>
      </c>
    </row>
    <row r="1944" spans="1:1" x14ac:dyDescent="0.3">
      <c r="A1944" s="2" t="s">
        <v>63</v>
      </c>
    </row>
    <row r="1945" spans="1:1" x14ac:dyDescent="0.3">
      <c r="A1945" s="1" t="s">
        <v>63</v>
      </c>
    </row>
    <row r="1946" spans="1:1" x14ac:dyDescent="0.3">
      <c r="A1946" s="2" t="s">
        <v>63</v>
      </c>
    </row>
    <row r="1947" spans="1:1" x14ac:dyDescent="0.3">
      <c r="A1947" s="1" t="s">
        <v>63</v>
      </c>
    </row>
    <row r="1948" spans="1:1" x14ac:dyDescent="0.3">
      <c r="A1948" s="2"/>
    </row>
    <row r="1949" spans="1:1" x14ac:dyDescent="0.3">
      <c r="A1949" s="1" t="s">
        <v>63</v>
      </c>
    </row>
    <row r="1950" spans="1:1" x14ac:dyDescent="0.3">
      <c r="A1950" s="2" t="s">
        <v>63</v>
      </c>
    </row>
    <row r="1951" spans="1:1" x14ac:dyDescent="0.3">
      <c r="A1951" s="1" t="s">
        <v>46</v>
      </c>
    </row>
    <row r="1952" spans="1:1" x14ac:dyDescent="0.3">
      <c r="A1952" s="2" t="s">
        <v>46</v>
      </c>
    </row>
    <row r="1953" spans="1:1" x14ac:dyDescent="0.3">
      <c r="A1953" s="1" t="s">
        <v>46</v>
      </c>
    </row>
    <row r="1954" spans="1:1" x14ac:dyDescent="0.3">
      <c r="A1954" s="2" t="s">
        <v>46</v>
      </c>
    </row>
    <row r="1955" spans="1:1" x14ac:dyDescent="0.3">
      <c r="A1955" s="1" t="s">
        <v>46</v>
      </c>
    </row>
    <row r="1956" spans="1:1" x14ac:dyDescent="0.3">
      <c r="A1956" s="2" t="s">
        <v>46</v>
      </c>
    </row>
    <row r="1957" spans="1:1" x14ac:dyDescent="0.3">
      <c r="A1957" s="1" t="s">
        <v>46</v>
      </c>
    </row>
    <row r="1958" spans="1:1" x14ac:dyDescent="0.3">
      <c r="A1958" s="2" t="s">
        <v>46</v>
      </c>
    </row>
    <row r="1959" spans="1:1" x14ac:dyDescent="0.3">
      <c r="A1959" s="1" t="s">
        <v>46</v>
      </c>
    </row>
    <row r="1960" spans="1:1" x14ac:dyDescent="0.3">
      <c r="A1960" s="2" t="s">
        <v>46</v>
      </c>
    </row>
    <row r="1961" spans="1:1" x14ac:dyDescent="0.3">
      <c r="A1961" s="1" t="s">
        <v>46</v>
      </c>
    </row>
    <row r="1962" spans="1:1" x14ac:dyDescent="0.3">
      <c r="A1962" s="2" t="s">
        <v>46</v>
      </c>
    </row>
    <row r="1963" spans="1:1" x14ac:dyDescent="0.3">
      <c r="A1963" s="1" t="s">
        <v>46</v>
      </c>
    </row>
    <row r="1964" spans="1:1" x14ac:dyDescent="0.3">
      <c r="A1964" s="2" t="s">
        <v>46</v>
      </c>
    </row>
    <row r="1965" spans="1:1" x14ac:dyDescent="0.3">
      <c r="A1965" s="1" t="s">
        <v>46</v>
      </c>
    </row>
    <row r="1966" spans="1:1" x14ac:dyDescent="0.3">
      <c r="A1966" s="2" t="s">
        <v>46</v>
      </c>
    </row>
    <row r="1967" spans="1:1" x14ac:dyDescent="0.3">
      <c r="A1967" s="1" t="s">
        <v>46</v>
      </c>
    </row>
    <row r="1968" spans="1:1" x14ac:dyDescent="0.3">
      <c r="A1968" s="2" t="s">
        <v>46</v>
      </c>
    </row>
    <row r="1969" spans="1:1" x14ac:dyDescent="0.3">
      <c r="A1969" s="1" t="s">
        <v>46</v>
      </c>
    </row>
    <row r="1970" spans="1:1" x14ac:dyDescent="0.3">
      <c r="A1970" s="2" t="s">
        <v>46</v>
      </c>
    </row>
    <row r="1971" spans="1:1" x14ac:dyDescent="0.3">
      <c r="A1971" s="1" t="s">
        <v>46</v>
      </c>
    </row>
    <row r="1972" spans="1:1" x14ac:dyDescent="0.3">
      <c r="A1972" s="2" t="s">
        <v>46</v>
      </c>
    </row>
    <row r="1973" spans="1:1" x14ac:dyDescent="0.3">
      <c r="A1973" s="1" t="s">
        <v>46</v>
      </c>
    </row>
    <row r="1974" spans="1:1" x14ac:dyDescent="0.3">
      <c r="A1974" s="2" t="s">
        <v>46</v>
      </c>
    </row>
    <row r="1975" spans="1:1" x14ac:dyDescent="0.3">
      <c r="A1975" s="1" t="s">
        <v>63</v>
      </c>
    </row>
    <row r="1976" spans="1:1" x14ac:dyDescent="0.3">
      <c r="A1976" s="2" t="s">
        <v>63</v>
      </c>
    </row>
    <row r="1977" spans="1:1" x14ac:dyDescent="0.3">
      <c r="A1977" s="1" t="s">
        <v>63</v>
      </c>
    </row>
    <row r="1978" spans="1:1" x14ac:dyDescent="0.3">
      <c r="A1978" s="2" t="s">
        <v>63</v>
      </c>
    </row>
    <row r="1979" spans="1:1" x14ac:dyDescent="0.3">
      <c r="A1979" s="1" t="s">
        <v>63</v>
      </c>
    </row>
    <row r="1980" spans="1:1" x14ac:dyDescent="0.3">
      <c r="A1980" s="2" t="s">
        <v>46</v>
      </c>
    </row>
    <row r="1981" spans="1:1" x14ac:dyDescent="0.3">
      <c r="A1981" s="1"/>
    </row>
    <row r="1982" spans="1:1" x14ac:dyDescent="0.3">
      <c r="A1982" s="2"/>
    </row>
    <row r="1983" spans="1:1" x14ac:dyDescent="0.3">
      <c r="A1983" s="1"/>
    </row>
    <row r="1984" spans="1:1" x14ac:dyDescent="0.3">
      <c r="A1984" s="2" t="s">
        <v>63</v>
      </c>
    </row>
    <row r="1985" spans="1:1" x14ac:dyDescent="0.3">
      <c r="A1985" s="1" t="s">
        <v>63</v>
      </c>
    </row>
    <row r="1986" spans="1:1" x14ac:dyDescent="0.3">
      <c r="A1986" s="2" t="s">
        <v>63</v>
      </c>
    </row>
    <row r="1987" spans="1:1" x14ac:dyDescent="0.3">
      <c r="A1987" s="1"/>
    </row>
    <row r="1988" spans="1:1" x14ac:dyDescent="0.3">
      <c r="A1988" s="2" t="s">
        <v>63</v>
      </c>
    </row>
    <row r="1989" spans="1:1" x14ac:dyDescent="0.3">
      <c r="A1989" s="1" t="s">
        <v>63</v>
      </c>
    </row>
    <row r="1990" spans="1:1" x14ac:dyDescent="0.3">
      <c r="A1990" s="2"/>
    </row>
    <row r="1991" spans="1:1" x14ac:dyDescent="0.3">
      <c r="A1991" s="1" t="s">
        <v>63</v>
      </c>
    </row>
    <row r="1992" spans="1:1" x14ac:dyDescent="0.3">
      <c r="A1992" s="2"/>
    </row>
    <row r="1993" spans="1:1" x14ac:dyDescent="0.3">
      <c r="A1993" s="1" t="s">
        <v>63</v>
      </c>
    </row>
    <row r="1994" spans="1:1" x14ac:dyDescent="0.3">
      <c r="A1994" s="2" t="s">
        <v>63</v>
      </c>
    </row>
    <row r="1995" spans="1:1" x14ac:dyDescent="0.3">
      <c r="A1995" s="1" t="s">
        <v>63</v>
      </c>
    </row>
    <row r="1996" spans="1:1" x14ac:dyDescent="0.3">
      <c r="A1996" s="2" t="s">
        <v>46</v>
      </c>
    </row>
    <row r="1997" spans="1:1" x14ac:dyDescent="0.3">
      <c r="A1997" s="1" t="s">
        <v>63</v>
      </c>
    </row>
    <row r="1998" spans="1:1" x14ac:dyDescent="0.3">
      <c r="A1998" s="2" t="s">
        <v>63</v>
      </c>
    </row>
    <row r="1999" spans="1:1" x14ac:dyDescent="0.3">
      <c r="A1999" s="1" t="s">
        <v>63</v>
      </c>
    </row>
    <row r="2000" spans="1:1" x14ac:dyDescent="0.3">
      <c r="A2000" s="2" t="s">
        <v>63</v>
      </c>
    </row>
    <row r="2001" spans="1:1" x14ac:dyDescent="0.3">
      <c r="A2001" s="1" t="s">
        <v>63</v>
      </c>
    </row>
    <row r="2002" spans="1:1" x14ac:dyDescent="0.3">
      <c r="A2002" s="2" t="s">
        <v>63</v>
      </c>
    </row>
    <row r="2003" spans="1:1" x14ac:dyDescent="0.3">
      <c r="A2003" s="1" t="s">
        <v>63</v>
      </c>
    </row>
    <row r="2004" spans="1:1" x14ac:dyDescent="0.3">
      <c r="A2004" s="2" t="s">
        <v>63</v>
      </c>
    </row>
    <row r="2005" spans="1:1" x14ac:dyDescent="0.3">
      <c r="A2005" s="1"/>
    </row>
    <row r="2006" spans="1:1" x14ac:dyDescent="0.3">
      <c r="A2006" s="2" t="s">
        <v>63</v>
      </c>
    </row>
    <row r="2007" spans="1:1" x14ac:dyDescent="0.3">
      <c r="A2007" s="1" t="s">
        <v>63</v>
      </c>
    </row>
    <row r="2008" spans="1:1" x14ac:dyDescent="0.3">
      <c r="A2008" s="2" t="s">
        <v>63</v>
      </c>
    </row>
    <row r="2009" spans="1:1" x14ac:dyDescent="0.3">
      <c r="A2009" s="1" t="s">
        <v>63</v>
      </c>
    </row>
    <row r="2010" spans="1:1" x14ac:dyDescent="0.3">
      <c r="A2010" s="2"/>
    </row>
    <row r="2011" spans="1:1" x14ac:dyDescent="0.3">
      <c r="A2011" s="1" t="s">
        <v>46</v>
      </c>
    </row>
    <row r="2012" spans="1:1" x14ac:dyDescent="0.3">
      <c r="A2012" s="2" t="s">
        <v>63</v>
      </c>
    </row>
    <row r="2013" spans="1:1" x14ac:dyDescent="0.3">
      <c r="A2013" s="1" t="s">
        <v>63</v>
      </c>
    </row>
    <row r="2014" spans="1:1" x14ac:dyDescent="0.3">
      <c r="A2014" s="2" t="s">
        <v>63</v>
      </c>
    </row>
    <row r="2015" spans="1:1" x14ac:dyDescent="0.3">
      <c r="A2015" s="1" t="s">
        <v>63</v>
      </c>
    </row>
    <row r="2016" spans="1:1" x14ac:dyDescent="0.3">
      <c r="A2016" s="2" t="s">
        <v>63</v>
      </c>
    </row>
    <row r="2017" spans="1:1" x14ac:dyDescent="0.3">
      <c r="A2017" s="1" t="s">
        <v>63</v>
      </c>
    </row>
    <row r="2018" spans="1:1" x14ac:dyDescent="0.3">
      <c r="A2018" s="2" t="s">
        <v>63</v>
      </c>
    </row>
    <row r="2019" spans="1:1" x14ac:dyDescent="0.3">
      <c r="A2019" s="1" t="s">
        <v>63</v>
      </c>
    </row>
    <row r="2020" spans="1:1" x14ac:dyDescent="0.3">
      <c r="A2020" s="2" t="s">
        <v>63</v>
      </c>
    </row>
    <row r="2021" spans="1:1" x14ac:dyDescent="0.3">
      <c r="A2021" s="1" t="s">
        <v>63</v>
      </c>
    </row>
    <row r="2022" spans="1:1" x14ac:dyDescent="0.3">
      <c r="A2022" s="2" t="s">
        <v>63</v>
      </c>
    </row>
    <row r="2023" spans="1:1" x14ac:dyDescent="0.3">
      <c r="A2023" s="1" t="s">
        <v>46</v>
      </c>
    </row>
    <row r="2024" spans="1:1" x14ac:dyDescent="0.3">
      <c r="A2024" s="2" t="s">
        <v>46</v>
      </c>
    </row>
    <row r="2025" spans="1:1" x14ac:dyDescent="0.3">
      <c r="A2025" s="1" t="s">
        <v>46</v>
      </c>
    </row>
    <row r="2026" spans="1:1" x14ac:dyDescent="0.3">
      <c r="A2026" s="2" t="s">
        <v>63</v>
      </c>
    </row>
    <row r="2027" spans="1:1" x14ac:dyDescent="0.3">
      <c r="A2027" s="1" t="s">
        <v>63</v>
      </c>
    </row>
    <row r="2028" spans="1:1" x14ac:dyDescent="0.3">
      <c r="A2028" s="2" t="s">
        <v>63</v>
      </c>
    </row>
    <row r="2029" spans="1:1" x14ac:dyDescent="0.3">
      <c r="A2029" s="1" t="s">
        <v>63</v>
      </c>
    </row>
    <row r="2030" spans="1:1" x14ac:dyDescent="0.3">
      <c r="A2030" s="2" t="s">
        <v>63</v>
      </c>
    </row>
    <row r="2031" spans="1:1" x14ac:dyDescent="0.3">
      <c r="A2031" s="1" t="s">
        <v>63</v>
      </c>
    </row>
    <row r="2032" spans="1:1" x14ac:dyDescent="0.3">
      <c r="A2032" s="2" t="s">
        <v>63</v>
      </c>
    </row>
    <row r="2033" spans="1:1" x14ac:dyDescent="0.3">
      <c r="A2033" s="1" t="s">
        <v>63</v>
      </c>
    </row>
    <row r="2034" spans="1:1" x14ac:dyDescent="0.3">
      <c r="A2034" s="2" t="s">
        <v>63</v>
      </c>
    </row>
    <row r="2035" spans="1:1" x14ac:dyDescent="0.3">
      <c r="A2035" s="1" t="s">
        <v>63</v>
      </c>
    </row>
    <row r="2036" spans="1:1" x14ac:dyDescent="0.3">
      <c r="A2036" s="2" t="s">
        <v>63</v>
      </c>
    </row>
    <row r="2037" spans="1:1" x14ac:dyDescent="0.3">
      <c r="A2037" s="1" t="s">
        <v>63</v>
      </c>
    </row>
    <row r="2038" spans="1:1" x14ac:dyDescent="0.3">
      <c r="A2038" s="2" t="s">
        <v>63</v>
      </c>
    </row>
    <row r="2039" spans="1:1" x14ac:dyDescent="0.3">
      <c r="A2039" s="1" t="s">
        <v>63</v>
      </c>
    </row>
    <row r="2040" spans="1:1" x14ac:dyDescent="0.3">
      <c r="A2040" s="2" t="s">
        <v>63</v>
      </c>
    </row>
    <row r="2041" spans="1:1" x14ac:dyDescent="0.3">
      <c r="A2041" s="1" t="s">
        <v>63</v>
      </c>
    </row>
    <row r="2042" spans="1:1" x14ac:dyDescent="0.3">
      <c r="A2042" s="2" t="s">
        <v>63</v>
      </c>
    </row>
    <row r="2043" spans="1:1" x14ac:dyDescent="0.3">
      <c r="A2043" s="1" t="s">
        <v>63</v>
      </c>
    </row>
    <row r="2044" spans="1:1" x14ac:dyDescent="0.3">
      <c r="A2044" s="2" t="s">
        <v>63</v>
      </c>
    </row>
    <row r="2045" spans="1:1" x14ac:dyDescent="0.3">
      <c r="A2045" s="1" t="s">
        <v>63</v>
      </c>
    </row>
    <row r="2046" spans="1:1" x14ac:dyDescent="0.3">
      <c r="A2046" s="2" t="s">
        <v>63</v>
      </c>
    </row>
    <row r="2047" spans="1:1" x14ac:dyDescent="0.3">
      <c r="A2047" s="1" t="s">
        <v>63</v>
      </c>
    </row>
    <row r="2048" spans="1:1" x14ac:dyDescent="0.3">
      <c r="A2048" s="2" t="s">
        <v>63</v>
      </c>
    </row>
    <row r="2049" spans="1:1" x14ac:dyDescent="0.3">
      <c r="A2049" s="1" t="s">
        <v>46</v>
      </c>
    </row>
    <row r="2050" spans="1:1" x14ac:dyDescent="0.3">
      <c r="A2050" s="2" t="s">
        <v>63</v>
      </c>
    </row>
    <row r="2051" spans="1:1" x14ac:dyDescent="0.3">
      <c r="A2051" s="1" t="s">
        <v>63</v>
      </c>
    </row>
    <row r="2052" spans="1:1" x14ac:dyDescent="0.3">
      <c r="A2052" s="2" t="s">
        <v>63</v>
      </c>
    </row>
    <row r="2053" spans="1:1" x14ac:dyDescent="0.3">
      <c r="A2053" s="1" t="s">
        <v>63</v>
      </c>
    </row>
    <row r="2054" spans="1:1" x14ac:dyDescent="0.3">
      <c r="A2054" s="2" t="s">
        <v>63</v>
      </c>
    </row>
    <row r="2055" spans="1:1" x14ac:dyDescent="0.3">
      <c r="A2055" s="1" t="s">
        <v>30</v>
      </c>
    </row>
    <row r="2056" spans="1:1" x14ac:dyDescent="0.3">
      <c r="A2056" s="2" t="s">
        <v>63</v>
      </c>
    </row>
    <row r="2057" spans="1:1" x14ac:dyDescent="0.3">
      <c r="A2057" s="1" t="s">
        <v>46</v>
      </c>
    </row>
    <row r="2058" spans="1:1" x14ac:dyDescent="0.3">
      <c r="A2058" s="2" t="s">
        <v>63</v>
      </c>
    </row>
    <row r="2059" spans="1:1" x14ac:dyDescent="0.3">
      <c r="A2059" s="1" t="s">
        <v>63</v>
      </c>
    </row>
    <row r="2060" spans="1:1" x14ac:dyDescent="0.3">
      <c r="A2060" s="2" t="s">
        <v>46</v>
      </c>
    </row>
    <row r="2061" spans="1:1" x14ac:dyDescent="0.3">
      <c r="A2061" s="1" t="s">
        <v>63</v>
      </c>
    </row>
    <row r="2062" spans="1:1" x14ac:dyDescent="0.3">
      <c r="A2062" s="2" t="s">
        <v>63</v>
      </c>
    </row>
    <row r="2063" spans="1:1" x14ac:dyDescent="0.3">
      <c r="A2063" s="1" t="s">
        <v>63</v>
      </c>
    </row>
    <row r="2064" spans="1:1" x14ac:dyDescent="0.3">
      <c r="A2064" s="2" t="s">
        <v>63</v>
      </c>
    </row>
    <row r="2065" spans="1:1" x14ac:dyDescent="0.3">
      <c r="A2065" s="1" t="s">
        <v>63</v>
      </c>
    </row>
    <row r="2066" spans="1:1" x14ac:dyDescent="0.3">
      <c r="A2066" s="2" t="s">
        <v>63</v>
      </c>
    </row>
    <row r="2067" spans="1:1" x14ac:dyDescent="0.3">
      <c r="A2067" s="1" t="s">
        <v>63</v>
      </c>
    </row>
    <row r="2068" spans="1:1" x14ac:dyDescent="0.3">
      <c r="A2068" s="2" t="s">
        <v>63</v>
      </c>
    </row>
    <row r="2069" spans="1:1" x14ac:dyDescent="0.3">
      <c r="A2069" s="1" t="s">
        <v>63</v>
      </c>
    </row>
    <row r="2070" spans="1:1" x14ac:dyDescent="0.3">
      <c r="A2070" s="2" t="s">
        <v>63</v>
      </c>
    </row>
    <row r="2071" spans="1:1" x14ac:dyDescent="0.3">
      <c r="A2071" s="1" t="s">
        <v>63</v>
      </c>
    </row>
    <row r="2072" spans="1:1" x14ac:dyDescent="0.3">
      <c r="A2072" s="2" t="s">
        <v>63</v>
      </c>
    </row>
    <row r="2073" spans="1:1" x14ac:dyDescent="0.3">
      <c r="A2073" s="1" t="s">
        <v>63</v>
      </c>
    </row>
    <row r="2074" spans="1:1" x14ac:dyDescent="0.3">
      <c r="A2074" s="2" t="s">
        <v>63</v>
      </c>
    </row>
    <row r="2075" spans="1:1" x14ac:dyDescent="0.3">
      <c r="A2075" s="1" t="s">
        <v>63</v>
      </c>
    </row>
    <row r="2076" spans="1:1" x14ac:dyDescent="0.3">
      <c r="A2076" s="2" t="s">
        <v>63</v>
      </c>
    </row>
    <row r="2077" spans="1:1" x14ac:dyDescent="0.3">
      <c r="A2077" s="1" t="s">
        <v>63</v>
      </c>
    </row>
    <row r="2078" spans="1:1" x14ac:dyDescent="0.3">
      <c r="A2078" s="2" t="s">
        <v>46</v>
      </c>
    </row>
    <row r="2079" spans="1:1" x14ac:dyDescent="0.3">
      <c r="A2079" s="1" t="s">
        <v>63</v>
      </c>
    </row>
    <row r="2080" spans="1:1" x14ac:dyDescent="0.3">
      <c r="A2080" s="2" t="s">
        <v>63</v>
      </c>
    </row>
    <row r="2081" spans="1:1" x14ac:dyDescent="0.3">
      <c r="A2081" s="1" t="s">
        <v>63</v>
      </c>
    </row>
    <row r="2082" spans="1:1" x14ac:dyDescent="0.3">
      <c r="A2082" s="2"/>
    </row>
    <row r="2083" spans="1:1" x14ac:dyDescent="0.3">
      <c r="A2083" s="1" t="s">
        <v>63</v>
      </c>
    </row>
    <row r="2084" spans="1:1" x14ac:dyDescent="0.3">
      <c r="A2084" s="2" t="s">
        <v>63</v>
      </c>
    </row>
    <row r="2085" spans="1:1" x14ac:dyDescent="0.3">
      <c r="A2085" s="1" t="s">
        <v>63</v>
      </c>
    </row>
    <row r="2086" spans="1:1" x14ac:dyDescent="0.3">
      <c r="A2086" s="2" t="s">
        <v>63</v>
      </c>
    </row>
    <row r="2087" spans="1:1" x14ac:dyDescent="0.3">
      <c r="A2087" s="1" t="s">
        <v>63</v>
      </c>
    </row>
    <row r="2088" spans="1:1" x14ac:dyDescent="0.3">
      <c r="A2088" s="2" t="s">
        <v>63</v>
      </c>
    </row>
    <row r="2089" spans="1:1" x14ac:dyDescent="0.3">
      <c r="A2089" s="1" t="s">
        <v>30</v>
      </c>
    </row>
    <row r="2090" spans="1:1" x14ac:dyDescent="0.3">
      <c r="A2090" s="2" t="s">
        <v>30</v>
      </c>
    </row>
    <row r="2091" spans="1:1" x14ac:dyDescent="0.3">
      <c r="A2091" s="1" t="s">
        <v>30</v>
      </c>
    </row>
    <row r="2092" spans="1:1" x14ac:dyDescent="0.3">
      <c r="A2092" s="2" t="s">
        <v>30</v>
      </c>
    </row>
    <row r="2093" spans="1:1" x14ac:dyDescent="0.3">
      <c r="A2093" s="1" t="s">
        <v>30</v>
      </c>
    </row>
    <row r="2094" spans="1:1" x14ac:dyDescent="0.3">
      <c r="A2094" s="2" t="s">
        <v>30</v>
      </c>
    </row>
    <row r="2095" spans="1:1" x14ac:dyDescent="0.3">
      <c r="A2095" s="1" t="s">
        <v>30</v>
      </c>
    </row>
    <row r="2096" spans="1:1" x14ac:dyDescent="0.3">
      <c r="A2096" s="2" t="s">
        <v>63</v>
      </c>
    </row>
    <row r="2097" spans="1:1" x14ac:dyDescent="0.3">
      <c r="A2097" s="1" t="s">
        <v>63</v>
      </c>
    </row>
    <row r="2098" spans="1:1" x14ac:dyDescent="0.3">
      <c r="A2098" s="2" t="s">
        <v>63</v>
      </c>
    </row>
    <row r="2099" spans="1:1" x14ac:dyDescent="0.3">
      <c r="A2099" s="1" t="s">
        <v>63</v>
      </c>
    </row>
    <row r="2100" spans="1:1" x14ac:dyDescent="0.3">
      <c r="A2100" s="2" t="s">
        <v>63</v>
      </c>
    </row>
    <row r="2101" spans="1:1" x14ac:dyDescent="0.3">
      <c r="A2101" s="1" t="s">
        <v>63</v>
      </c>
    </row>
    <row r="2102" spans="1:1" x14ac:dyDescent="0.3">
      <c r="A2102" s="2" t="s">
        <v>63</v>
      </c>
    </row>
    <row r="2103" spans="1:1" x14ac:dyDescent="0.3">
      <c r="A2103" s="1" t="s">
        <v>63</v>
      </c>
    </row>
    <row r="2104" spans="1:1" x14ac:dyDescent="0.3">
      <c r="A2104" s="2" t="s">
        <v>63</v>
      </c>
    </row>
    <row r="2105" spans="1:1" x14ac:dyDescent="0.3">
      <c r="A2105" s="1" t="s">
        <v>63</v>
      </c>
    </row>
    <row r="2106" spans="1:1" x14ac:dyDescent="0.3">
      <c r="A2106" s="2" t="s">
        <v>63</v>
      </c>
    </row>
    <row r="2107" spans="1:1" x14ac:dyDescent="0.3">
      <c r="A2107" s="1" t="s">
        <v>63</v>
      </c>
    </row>
    <row r="2108" spans="1:1" x14ac:dyDescent="0.3">
      <c r="A2108" s="2" t="s">
        <v>63</v>
      </c>
    </row>
    <row r="2109" spans="1:1" x14ac:dyDescent="0.3">
      <c r="A2109" s="1" t="s">
        <v>63</v>
      </c>
    </row>
    <row r="2110" spans="1:1" x14ac:dyDescent="0.3">
      <c r="A2110" s="2" t="s">
        <v>30</v>
      </c>
    </row>
    <row r="2111" spans="1:1" x14ac:dyDescent="0.3">
      <c r="A2111" s="1" t="s">
        <v>63</v>
      </c>
    </row>
    <row r="2112" spans="1:1" x14ac:dyDescent="0.3">
      <c r="A2112" s="2" t="s">
        <v>63</v>
      </c>
    </row>
    <row r="2113" spans="1:1" x14ac:dyDescent="0.3">
      <c r="A2113" s="1" t="s">
        <v>30</v>
      </c>
    </row>
    <row r="2114" spans="1:1" x14ac:dyDescent="0.3">
      <c r="A2114" s="2" t="s">
        <v>30</v>
      </c>
    </row>
    <row r="2115" spans="1:1" x14ac:dyDescent="0.3">
      <c r="A2115" s="1" t="s">
        <v>30</v>
      </c>
    </row>
    <row r="2116" spans="1:1" x14ac:dyDescent="0.3">
      <c r="A2116" s="2" t="s">
        <v>63</v>
      </c>
    </row>
    <row r="2117" spans="1:1" x14ac:dyDescent="0.3">
      <c r="A2117" s="1" t="s">
        <v>63</v>
      </c>
    </row>
    <row r="2118" spans="1:1" x14ac:dyDescent="0.3">
      <c r="A2118" s="2" t="s">
        <v>63</v>
      </c>
    </row>
    <row r="2119" spans="1:1" x14ac:dyDescent="0.3">
      <c r="A2119" s="1" t="s">
        <v>63</v>
      </c>
    </row>
    <row r="2120" spans="1:1" x14ac:dyDescent="0.3">
      <c r="A2120" s="2" t="s">
        <v>63</v>
      </c>
    </row>
    <row r="2121" spans="1:1" x14ac:dyDescent="0.3">
      <c r="A2121" s="1" t="s">
        <v>63</v>
      </c>
    </row>
    <row r="2122" spans="1:1" x14ac:dyDescent="0.3">
      <c r="A2122" s="2" t="s">
        <v>63</v>
      </c>
    </row>
    <row r="2123" spans="1:1" x14ac:dyDescent="0.3">
      <c r="A2123" s="1" t="s">
        <v>63</v>
      </c>
    </row>
    <row r="2124" spans="1:1" x14ac:dyDescent="0.3">
      <c r="A2124" s="2" t="s">
        <v>63</v>
      </c>
    </row>
    <row r="2125" spans="1:1" x14ac:dyDescent="0.3">
      <c r="A2125" s="1" t="s">
        <v>63</v>
      </c>
    </row>
    <row r="2126" spans="1:1" x14ac:dyDescent="0.3">
      <c r="A2126" s="2" t="s">
        <v>63</v>
      </c>
    </row>
    <row r="2127" spans="1:1" x14ac:dyDescent="0.3">
      <c r="A2127" s="1" t="s">
        <v>63</v>
      </c>
    </row>
    <row r="2128" spans="1:1" x14ac:dyDescent="0.3">
      <c r="A2128" s="2" t="s">
        <v>63</v>
      </c>
    </row>
    <row r="2129" spans="1:1" x14ac:dyDescent="0.3">
      <c r="A2129" s="1" t="s">
        <v>63</v>
      </c>
    </row>
    <row r="2130" spans="1:1" x14ac:dyDescent="0.3">
      <c r="A2130" s="2" t="s">
        <v>63</v>
      </c>
    </row>
    <row r="2131" spans="1:1" x14ac:dyDescent="0.3">
      <c r="A2131" s="1" t="s">
        <v>63</v>
      </c>
    </row>
    <row r="2132" spans="1:1" x14ac:dyDescent="0.3">
      <c r="A2132" s="2" t="s">
        <v>63</v>
      </c>
    </row>
    <row r="2133" spans="1:1" x14ac:dyDescent="0.3">
      <c r="A2133" s="1" t="s">
        <v>63</v>
      </c>
    </row>
    <row r="2134" spans="1:1" x14ac:dyDescent="0.3">
      <c r="A2134" s="2" t="s">
        <v>30</v>
      </c>
    </row>
    <row r="2135" spans="1:1" x14ac:dyDescent="0.3">
      <c r="A2135" s="1" t="s">
        <v>30</v>
      </c>
    </row>
    <row r="2136" spans="1:1" x14ac:dyDescent="0.3">
      <c r="A2136" s="2" t="s">
        <v>46</v>
      </c>
    </row>
    <row r="2137" spans="1:1" x14ac:dyDescent="0.3">
      <c r="A2137" s="1" t="s">
        <v>63</v>
      </c>
    </row>
    <row r="2138" spans="1:1" x14ac:dyDescent="0.3">
      <c r="A2138" s="2"/>
    </row>
    <row r="2139" spans="1:1" x14ac:dyDescent="0.3">
      <c r="A2139" s="1"/>
    </row>
    <row r="2140" spans="1:1" x14ac:dyDescent="0.3">
      <c r="A2140" s="2"/>
    </row>
    <row r="2141" spans="1:1" x14ac:dyDescent="0.3">
      <c r="A2141" s="1" t="s">
        <v>63</v>
      </c>
    </row>
    <row r="2142" spans="1:1" x14ac:dyDescent="0.3">
      <c r="A2142" s="2"/>
    </row>
    <row r="2143" spans="1:1" x14ac:dyDescent="0.3">
      <c r="A2143" s="1" t="s">
        <v>63</v>
      </c>
    </row>
    <row r="2144" spans="1:1" x14ac:dyDescent="0.3">
      <c r="A2144" s="2" t="s">
        <v>63</v>
      </c>
    </row>
    <row r="2145" spans="1:1" x14ac:dyDescent="0.3">
      <c r="A2145" s="1" t="s">
        <v>63</v>
      </c>
    </row>
    <row r="2146" spans="1:1" x14ac:dyDescent="0.3">
      <c r="A2146" s="2" t="s">
        <v>63</v>
      </c>
    </row>
    <row r="2147" spans="1:1" x14ac:dyDescent="0.3">
      <c r="A2147" s="1" t="s">
        <v>63</v>
      </c>
    </row>
    <row r="2148" spans="1:1" x14ac:dyDescent="0.3">
      <c r="A2148" s="2" t="s">
        <v>63</v>
      </c>
    </row>
    <row r="2149" spans="1:1" x14ac:dyDescent="0.3">
      <c r="A2149" s="1" t="s">
        <v>63</v>
      </c>
    </row>
    <row r="2150" spans="1:1" x14ac:dyDescent="0.3">
      <c r="A2150" s="2" t="s">
        <v>63</v>
      </c>
    </row>
    <row r="2151" spans="1:1" x14ac:dyDescent="0.3">
      <c r="A2151" s="1" t="s">
        <v>63</v>
      </c>
    </row>
    <row r="2152" spans="1:1" x14ac:dyDescent="0.3">
      <c r="A2152" s="2" t="s">
        <v>63</v>
      </c>
    </row>
    <row r="2153" spans="1:1" x14ac:dyDescent="0.3">
      <c r="A2153" s="1" t="s">
        <v>63</v>
      </c>
    </row>
    <row r="2154" spans="1:1" x14ac:dyDescent="0.3">
      <c r="A2154" s="2" t="s">
        <v>63</v>
      </c>
    </row>
    <row r="2155" spans="1:1" x14ac:dyDescent="0.3">
      <c r="A2155" s="1" t="s">
        <v>63</v>
      </c>
    </row>
    <row r="2156" spans="1:1" x14ac:dyDescent="0.3">
      <c r="A2156" s="2" t="s">
        <v>63</v>
      </c>
    </row>
    <row r="2157" spans="1:1" x14ac:dyDescent="0.3">
      <c r="A2157" s="1" t="s">
        <v>63</v>
      </c>
    </row>
    <row r="2158" spans="1:1" x14ac:dyDescent="0.3">
      <c r="A2158" s="2" t="s">
        <v>63</v>
      </c>
    </row>
    <row r="2159" spans="1:1" x14ac:dyDescent="0.3">
      <c r="A2159" s="1" t="s">
        <v>30</v>
      </c>
    </row>
    <row r="2160" spans="1:1" x14ac:dyDescent="0.3">
      <c r="A2160" s="2" t="s">
        <v>63</v>
      </c>
    </row>
    <row r="2161" spans="1:1" x14ac:dyDescent="0.3">
      <c r="A2161" s="1" t="s">
        <v>46</v>
      </c>
    </row>
    <row r="2162" spans="1:1" x14ac:dyDescent="0.3">
      <c r="A2162" s="2" t="s">
        <v>46</v>
      </c>
    </row>
    <row r="2163" spans="1:1" x14ac:dyDescent="0.3">
      <c r="A2163" s="1" t="s">
        <v>63</v>
      </c>
    </row>
    <row r="2164" spans="1:1" x14ac:dyDescent="0.3">
      <c r="A2164" s="2" t="s">
        <v>63</v>
      </c>
    </row>
    <row r="2165" spans="1:1" x14ac:dyDescent="0.3">
      <c r="A2165" s="1" t="s">
        <v>63</v>
      </c>
    </row>
    <row r="2166" spans="1:1" x14ac:dyDescent="0.3">
      <c r="A2166" s="2" t="s">
        <v>63</v>
      </c>
    </row>
    <row r="2167" spans="1:1" x14ac:dyDescent="0.3">
      <c r="A2167" s="1" t="s">
        <v>63</v>
      </c>
    </row>
    <row r="2168" spans="1:1" x14ac:dyDescent="0.3">
      <c r="A2168" s="2" t="s">
        <v>63</v>
      </c>
    </row>
    <row r="2169" spans="1:1" x14ac:dyDescent="0.3">
      <c r="A2169" s="1" t="s">
        <v>63</v>
      </c>
    </row>
    <row r="2170" spans="1:1" x14ac:dyDescent="0.3">
      <c r="A2170" s="2" t="s">
        <v>63</v>
      </c>
    </row>
    <row r="2171" spans="1:1" x14ac:dyDescent="0.3">
      <c r="A2171" s="1" t="s">
        <v>63</v>
      </c>
    </row>
    <row r="2172" spans="1:1" x14ac:dyDescent="0.3">
      <c r="A2172" s="2" t="s">
        <v>63</v>
      </c>
    </row>
    <row r="2173" spans="1:1" x14ac:dyDescent="0.3">
      <c r="A2173" s="1" t="s">
        <v>63</v>
      </c>
    </row>
    <row r="2174" spans="1:1" x14ac:dyDescent="0.3">
      <c r="A2174" s="2" t="s">
        <v>63</v>
      </c>
    </row>
    <row r="2175" spans="1:1" x14ac:dyDescent="0.3">
      <c r="A2175" s="1" t="s">
        <v>63</v>
      </c>
    </row>
    <row r="2176" spans="1:1" x14ac:dyDescent="0.3">
      <c r="A2176" s="2" t="s">
        <v>63</v>
      </c>
    </row>
    <row r="2177" spans="1:1" x14ac:dyDescent="0.3">
      <c r="A2177" s="1" t="s">
        <v>63</v>
      </c>
    </row>
    <row r="2178" spans="1:1" x14ac:dyDescent="0.3">
      <c r="A2178" s="2"/>
    </row>
    <row r="2179" spans="1:1" x14ac:dyDescent="0.3">
      <c r="A2179" s="1" t="s">
        <v>63</v>
      </c>
    </row>
    <row r="2180" spans="1:1" x14ac:dyDescent="0.3">
      <c r="A2180" s="2" t="s">
        <v>63</v>
      </c>
    </row>
    <row r="2181" spans="1:1" x14ac:dyDescent="0.3">
      <c r="A2181" s="1" t="s">
        <v>63</v>
      </c>
    </row>
    <row r="2182" spans="1:1" x14ac:dyDescent="0.3">
      <c r="A2182" s="2" t="s">
        <v>63</v>
      </c>
    </row>
    <row r="2183" spans="1:1" x14ac:dyDescent="0.3">
      <c r="A2183" s="1" t="s">
        <v>63</v>
      </c>
    </row>
    <row r="2184" spans="1:1" x14ac:dyDescent="0.3">
      <c r="A2184" s="2" t="s">
        <v>63</v>
      </c>
    </row>
    <row r="2185" spans="1:1" x14ac:dyDescent="0.3">
      <c r="A2185" s="1" t="s">
        <v>63</v>
      </c>
    </row>
    <row r="2186" spans="1:1" x14ac:dyDescent="0.3">
      <c r="A2186" s="2" t="s">
        <v>63</v>
      </c>
    </row>
    <row r="2187" spans="1:1" x14ac:dyDescent="0.3">
      <c r="A2187" s="1" t="s">
        <v>63</v>
      </c>
    </row>
    <row r="2188" spans="1:1" x14ac:dyDescent="0.3">
      <c r="A2188" s="2" t="s">
        <v>63</v>
      </c>
    </row>
    <row r="2189" spans="1:1" x14ac:dyDescent="0.3">
      <c r="A2189" s="1" t="s">
        <v>63</v>
      </c>
    </row>
    <row r="2190" spans="1:1" x14ac:dyDescent="0.3">
      <c r="A2190" s="2" t="s">
        <v>63</v>
      </c>
    </row>
    <row r="2191" spans="1:1" x14ac:dyDescent="0.3">
      <c r="A2191" s="1" t="s">
        <v>63</v>
      </c>
    </row>
    <row r="2192" spans="1:1" x14ac:dyDescent="0.3">
      <c r="A2192" s="2" t="s">
        <v>63</v>
      </c>
    </row>
    <row r="2193" spans="1:1" x14ac:dyDescent="0.3">
      <c r="A2193" s="1" t="s">
        <v>63</v>
      </c>
    </row>
    <row r="2194" spans="1:1" x14ac:dyDescent="0.3">
      <c r="A2194" s="2" t="s">
        <v>63</v>
      </c>
    </row>
    <row r="2195" spans="1:1" x14ac:dyDescent="0.3">
      <c r="A2195" s="1" t="s">
        <v>46</v>
      </c>
    </row>
    <row r="2196" spans="1:1" x14ac:dyDescent="0.3">
      <c r="A2196" s="2" t="s">
        <v>46</v>
      </c>
    </row>
    <row r="2197" spans="1:1" x14ac:dyDescent="0.3">
      <c r="A2197" s="1" t="s">
        <v>46</v>
      </c>
    </row>
    <row r="2198" spans="1:1" x14ac:dyDescent="0.3">
      <c r="A2198" s="2" t="s">
        <v>46</v>
      </c>
    </row>
    <row r="2199" spans="1:1" x14ac:dyDescent="0.3">
      <c r="A2199" s="1" t="s">
        <v>46</v>
      </c>
    </row>
    <row r="2200" spans="1:1" x14ac:dyDescent="0.3">
      <c r="A2200" s="2" t="s">
        <v>46</v>
      </c>
    </row>
    <row r="2201" spans="1:1" x14ac:dyDescent="0.3">
      <c r="A2201" s="1" t="s">
        <v>46</v>
      </c>
    </row>
    <row r="2202" spans="1:1" x14ac:dyDescent="0.3">
      <c r="A2202" s="2" t="s">
        <v>46</v>
      </c>
    </row>
    <row r="2203" spans="1:1" x14ac:dyDescent="0.3">
      <c r="A2203" s="1" t="s">
        <v>46</v>
      </c>
    </row>
    <row r="2204" spans="1:1" x14ac:dyDescent="0.3">
      <c r="A2204" s="2" t="s">
        <v>46</v>
      </c>
    </row>
    <row r="2205" spans="1:1" x14ac:dyDescent="0.3">
      <c r="A2205" s="1" t="s">
        <v>63</v>
      </c>
    </row>
    <row r="2206" spans="1:1" x14ac:dyDescent="0.3">
      <c r="A2206" s="2" t="s">
        <v>63</v>
      </c>
    </row>
    <row r="2207" spans="1:1" x14ac:dyDescent="0.3">
      <c r="A2207" s="1" t="s">
        <v>63</v>
      </c>
    </row>
    <row r="2208" spans="1:1" x14ac:dyDescent="0.3">
      <c r="A2208" s="2" t="s">
        <v>46</v>
      </c>
    </row>
    <row r="2209" spans="1:1" x14ac:dyDescent="0.3">
      <c r="A2209" s="1" t="s">
        <v>46</v>
      </c>
    </row>
    <row r="2210" spans="1:1" x14ac:dyDescent="0.3">
      <c r="A2210" s="2" t="s">
        <v>46</v>
      </c>
    </row>
    <row r="2211" spans="1:1" x14ac:dyDescent="0.3">
      <c r="A2211" s="1" t="s">
        <v>46</v>
      </c>
    </row>
    <row r="2212" spans="1:1" x14ac:dyDescent="0.3">
      <c r="A2212" s="2" t="s">
        <v>63</v>
      </c>
    </row>
    <row r="2213" spans="1:1" x14ac:dyDescent="0.3">
      <c r="A2213" s="1" t="s">
        <v>63</v>
      </c>
    </row>
    <row r="2214" spans="1:1" x14ac:dyDescent="0.3">
      <c r="A2214" s="2" t="s">
        <v>63</v>
      </c>
    </row>
    <row r="2215" spans="1:1" x14ac:dyDescent="0.3">
      <c r="A2215" s="1" t="s">
        <v>63</v>
      </c>
    </row>
    <row r="2216" spans="1:1" x14ac:dyDescent="0.3">
      <c r="A2216" s="2" t="s">
        <v>63</v>
      </c>
    </row>
    <row r="2217" spans="1:1" x14ac:dyDescent="0.3">
      <c r="A2217" s="1" t="s">
        <v>63</v>
      </c>
    </row>
    <row r="2218" spans="1:1" x14ac:dyDescent="0.3">
      <c r="A2218" s="2" t="s">
        <v>63</v>
      </c>
    </row>
    <row r="2219" spans="1:1" x14ac:dyDescent="0.3">
      <c r="A2219" s="1" t="s">
        <v>63</v>
      </c>
    </row>
    <row r="2220" spans="1:1" x14ac:dyDescent="0.3">
      <c r="A2220" s="2" t="s">
        <v>63</v>
      </c>
    </row>
    <row r="2221" spans="1:1" x14ac:dyDescent="0.3">
      <c r="A2221" s="1" t="s">
        <v>63</v>
      </c>
    </row>
    <row r="2222" spans="1:1" x14ac:dyDescent="0.3">
      <c r="A2222" s="2" t="s">
        <v>63</v>
      </c>
    </row>
    <row r="2223" spans="1:1" x14ac:dyDescent="0.3">
      <c r="A2223" s="1"/>
    </row>
    <row r="2224" spans="1:1" x14ac:dyDescent="0.3">
      <c r="A2224" s="2"/>
    </row>
    <row r="2225" spans="1:1" x14ac:dyDescent="0.3">
      <c r="A2225" s="1"/>
    </row>
    <row r="2226" spans="1:1" x14ac:dyDescent="0.3">
      <c r="A2226" s="2"/>
    </row>
    <row r="2227" spans="1:1" x14ac:dyDescent="0.3">
      <c r="A2227" s="1" t="s">
        <v>63</v>
      </c>
    </row>
    <row r="2228" spans="1:1" x14ac:dyDescent="0.3">
      <c r="A2228" s="2" t="s">
        <v>63</v>
      </c>
    </row>
    <row r="2229" spans="1:1" x14ac:dyDescent="0.3">
      <c r="A2229" s="1" t="s">
        <v>63</v>
      </c>
    </row>
    <row r="2230" spans="1:1" x14ac:dyDescent="0.3">
      <c r="A2230" s="2" t="s">
        <v>63</v>
      </c>
    </row>
    <row r="2231" spans="1:1" x14ac:dyDescent="0.3">
      <c r="A2231" s="1" t="s">
        <v>63</v>
      </c>
    </row>
    <row r="2232" spans="1:1" x14ac:dyDescent="0.3">
      <c r="A2232" s="2" t="s">
        <v>63</v>
      </c>
    </row>
    <row r="2233" spans="1:1" x14ac:dyDescent="0.3">
      <c r="A2233" s="1" t="s">
        <v>63</v>
      </c>
    </row>
    <row r="2234" spans="1:1" x14ac:dyDescent="0.3">
      <c r="A2234" s="2" t="s">
        <v>63</v>
      </c>
    </row>
    <row r="2235" spans="1:1" x14ac:dyDescent="0.3">
      <c r="A2235" s="1" t="s">
        <v>63</v>
      </c>
    </row>
    <row r="2236" spans="1:1" x14ac:dyDescent="0.3">
      <c r="A2236" s="2" t="s">
        <v>63</v>
      </c>
    </row>
    <row r="2237" spans="1:1" x14ac:dyDescent="0.3">
      <c r="A2237" s="1" t="s">
        <v>63</v>
      </c>
    </row>
    <row r="2238" spans="1:1" x14ac:dyDescent="0.3">
      <c r="A2238" s="2" t="s">
        <v>63</v>
      </c>
    </row>
    <row r="2239" spans="1:1" x14ac:dyDescent="0.3">
      <c r="A2239" s="1" t="s">
        <v>63</v>
      </c>
    </row>
    <row r="2240" spans="1:1" x14ac:dyDescent="0.3">
      <c r="A2240" s="2" t="s">
        <v>63</v>
      </c>
    </row>
    <row r="2241" spans="1:1" x14ac:dyDescent="0.3">
      <c r="A2241" s="1" t="s">
        <v>63</v>
      </c>
    </row>
    <row r="2242" spans="1:1" x14ac:dyDescent="0.3">
      <c r="A2242" s="2" t="s">
        <v>63</v>
      </c>
    </row>
    <row r="2243" spans="1:1" x14ac:dyDescent="0.3">
      <c r="A2243" s="1" t="s">
        <v>63</v>
      </c>
    </row>
    <row r="2244" spans="1:1" x14ac:dyDescent="0.3">
      <c r="A2244" s="2" t="s">
        <v>63</v>
      </c>
    </row>
    <row r="2245" spans="1:1" x14ac:dyDescent="0.3">
      <c r="A2245" s="1" t="s">
        <v>63</v>
      </c>
    </row>
    <row r="2246" spans="1:1" x14ac:dyDescent="0.3">
      <c r="A2246" s="2" t="s">
        <v>63</v>
      </c>
    </row>
    <row r="2247" spans="1:1" x14ac:dyDescent="0.3">
      <c r="A2247" s="1" t="s">
        <v>63</v>
      </c>
    </row>
    <row r="2248" spans="1:1" x14ac:dyDescent="0.3">
      <c r="A2248" s="2" t="s">
        <v>63</v>
      </c>
    </row>
    <row r="2249" spans="1:1" x14ac:dyDescent="0.3">
      <c r="A2249" s="1" t="s">
        <v>63</v>
      </c>
    </row>
    <row r="2250" spans="1:1" x14ac:dyDescent="0.3">
      <c r="A2250" s="2" t="s">
        <v>63</v>
      </c>
    </row>
    <row r="2251" spans="1:1" x14ac:dyDescent="0.3">
      <c r="A2251" s="1" t="s">
        <v>63</v>
      </c>
    </row>
    <row r="2252" spans="1:1" x14ac:dyDescent="0.3">
      <c r="A2252" s="2" t="s">
        <v>63</v>
      </c>
    </row>
    <row r="2253" spans="1:1" x14ac:dyDescent="0.3">
      <c r="A2253" s="1" t="s">
        <v>63</v>
      </c>
    </row>
    <row r="2254" spans="1:1" x14ac:dyDescent="0.3">
      <c r="A2254" s="2" t="s">
        <v>63</v>
      </c>
    </row>
    <row r="2255" spans="1:1" x14ac:dyDescent="0.3">
      <c r="A2255" s="1" t="s">
        <v>63</v>
      </c>
    </row>
    <row r="2256" spans="1:1" x14ac:dyDescent="0.3">
      <c r="A2256" s="2" t="s">
        <v>63</v>
      </c>
    </row>
    <row r="2257" spans="1:1" x14ac:dyDescent="0.3">
      <c r="A2257" s="1" t="s">
        <v>63</v>
      </c>
    </row>
    <row r="2258" spans="1:1" x14ac:dyDescent="0.3">
      <c r="A2258" s="2" t="s">
        <v>63</v>
      </c>
    </row>
    <row r="2259" spans="1:1" x14ac:dyDescent="0.3">
      <c r="A2259" s="1" t="s">
        <v>63</v>
      </c>
    </row>
    <row r="2260" spans="1:1" x14ac:dyDescent="0.3">
      <c r="A2260" s="2" t="s">
        <v>63</v>
      </c>
    </row>
    <row r="2261" spans="1:1" x14ac:dyDescent="0.3">
      <c r="A2261" s="1" t="s">
        <v>63</v>
      </c>
    </row>
    <row r="2262" spans="1:1" x14ac:dyDescent="0.3">
      <c r="A2262" s="2" t="s">
        <v>63</v>
      </c>
    </row>
    <row r="2263" spans="1:1" x14ac:dyDescent="0.3">
      <c r="A2263" s="1" t="s">
        <v>46</v>
      </c>
    </row>
    <row r="2264" spans="1:1" x14ac:dyDescent="0.3">
      <c r="A2264" s="2" t="s">
        <v>46</v>
      </c>
    </row>
    <row r="2265" spans="1:1" x14ac:dyDescent="0.3">
      <c r="A2265" s="1" t="s">
        <v>46</v>
      </c>
    </row>
    <row r="2266" spans="1:1" x14ac:dyDescent="0.3">
      <c r="A2266" s="2" t="s">
        <v>46</v>
      </c>
    </row>
    <row r="2267" spans="1:1" x14ac:dyDescent="0.3">
      <c r="A2267" s="1" t="s">
        <v>46</v>
      </c>
    </row>
    <row r="2268" spans="1:1" x14ac:dyDescent="0.3">
      <c r="A2268" s="2" t="s">
        <v>46</v>
      </c>
    </row>
    <row r="2269" spans="1:1" x14ac:dyDescent="0.3">
      <c r="A2269" s="1" t="s">
        <v>46</v>
      </c>
    </row>
    <row r="2270" spans="1:1" x14ac:dyDescent="0.3">
      <c r="A2270" s="2" t="s">
        <v>46</v>
      </c>
    </row>
    <row r="2271" spans="1:1" x14ac:dyDescent="0.3">
      <c r="A2271" s="1" t="s">
        <v>46</v>
      </c>
    </row>
    <row r="2272" spans="1:1" x14ac:dyDescent="0.3">
      <c r="A2272" s="2" t="s">
        <v>46</v>
      </c>
    </row>
    <row r="2273" spans="1:1" x14ac:dyDescent="0.3">
      <c r="A2273" s="1" t="s">
        <v>46</v>
      </c>
    </row>
    <row r="2274" spans="1:1" x14ac:dyDescent="0.3">
      <c r="A2274" s="2" t="s">
        <v>46</v>
      </c>
    </row>
    <row r="2275" spans="1:1" x14ac:dyDescent="0.3">
      <c r="A2275" s="1" t="s">
        <v>63</v>
      </c>
    </row>
    <row r="2276" spans="1:1" x14ac:dyDescent="0.3">
      <c r="A2276" s="2" t="s">
        <v>63</v>
      </c>
    </row>
    <row r="2277" spans="1:1" x14ac:dyDescent="0.3">
      <c r="A2277" s="1" t="s">
        <v>63</v>
      </c>
    </row>
    <row r="2278" spans="1:1" x14ac:dyDescent="0.3">
      <c r="A2278" s="2" t="s">
        <v>63</v>
      </c>
    </row>
    <row r="2279" spans="1:1" x14ac:dyDescent="0.3">
      <c r="A2279" s="1" t="s">
        <v>63</v>
      </c>
    </row>
    <row r="2280" spans="1:1" x14ac:dyDescent="0.3">
      <c r="A2280" s="2" t="s">
        <v>63</v>
      </c>
    </row>
    <row r="2281" spans="1:1" x14ac:dyDescent="0.3">
      <c r="A2281" s="1" t="s">
        <v>63</v>
      </c>
    </row>
    <row r="2282" spans="1:1" x14ac:dyDescent="0.3">
      <c r="A2282" s="2" t="s">
        <v>63</v>
      </c>
    </row>
    <row r="2283" spans="1:1" x14ac:dyDescent="0.3">
      <c r="A2283" s="1" t="s">
        <v>63</v>
      </c>
    </row>
    <row r="2284" spans="1:1" x14ac:dyDescent="0.3">
      <c r="A2284" s="2" t="s">
        <v>63</v>
      </c>
    </row>
    <row r="2285" spans="1:1" x14ac:dyDescent="0.3">
      <c r="A2285" s="1" t="s">
        <v>63</v>
      </c>
    </row>
    <row r="2286" spans="1:1" x14ac:dyDescent="0.3">
      <c r="A2286" s="2" t="s">
        <v>63</v>
      </c>
    </row>
    <row r="2287" spans="1:1" x14ac:dyDescent="0.3">
      <c r="A2287" s="1" t="s">
        <v>63</v>
      </c>
    </row>
    <row r="2288" spans="1:1" x14ac:dyDescent="0.3">
      <c r="A2288" s="2" t="s">
        <v>63</v>
      </c>
    </row>
    <row r="2289" spans="1:1" x14ac:dyDescent="0.3">
      <c r="A2289" s="1" t="s">
        <v>63</v>
      </c>
    </row>
    <row r="2290" spans="1:1" x14ac:dyDescent="0.3">
      <c r="A2290" s="2" t="s">
        <v>63</v>
      </c>
    </row>
    <row r="2291" spans="1:1" x14ac:dyDescent="0.3">
      <c r="A2291" s="1" t="s">
        <v>46</v>
      </c>
    </row>
    <row r="2292" spans="1:1" x14ac:dyDescent="0.3">
      <c r="A2292" s="2" t="s">
        <v>46</v>
      </c>
    </row>
    <row r="2293" spans="1:1" x14ac:dyDescent="0.3">
      <c r="A2293" s="1" t="s">
        <v>63</v>
      </c>
    </row>
    <row r="2294" spans="1:1" x14ac:dyDescent="0.3">
      <c r="A2294" s="2" t="s">
        <v>46</v>
      </c>
    </row>
    <row r="2295" spans="1:1" x14ac:dyDescent="0.3">
      <c r="A2295" s="1" t="s">
        <v>63</v>
      </c>
    </row>
    <row r="2296" spans="1:1" x14ac:dyDescent="0.3">
      <c r="A2296" s="2" t="s">
        <v>46</v>
      </c>
    </row>
    <row r="2297" spans="1:1" x14ac:dyDescent="0.3">
      <c r="A2297" s="1" t="s">
        <v>46</v>
      </c>
    </row>
    <row r="2298" spans="1:1" x14ac:dyDescent="0.3">
      <c r="A2298" s="2" t="s">
        <v>46</v>
      </c>
    </row>
    <row r="2299" spans="1:1" x14ac:dyDescent="0.3">
      <c r="A2299" s="1" t="s">
        <v>46</v>
      </c>
    </row>
    <row r="2300" spans="1:1" x14ac:dyDescent="0.3">
      <c r="A2300" s="2" t="s">
        <v>46</v>
      </c>
    </row>
    <row r="2301" spans="1:1" x14ac:dyDescent="0.3">
      <c r="A2301" s="1" t="s">
        <v>63</v>
      </c>
    </row>
    <row r="2302" spans="1:1" x14ac:dyDescent="0.3">
      <c r="A2302" s="2" t="s">
        <v>63</v>
      </c>
    </row>
    <row r="2303" spans="1:1" x14ac:dyDescent="0.3">
      <c r="A2303" s="1" t="s">
        <v>63</v>
      </c>
    </row>
    <row r="2304" spans="1:1" x14ac:dyDescent="0.3">
      <c r="A2304" s="2" t="s">
        <v>63</v>
      </c>
    </row>
    <row r="2305" spans="1:1" x14ac:dyDescent="0.3">
      <c r="A2305" s="1" t="s">
        <v>46</v>
      </c>
    </row>
    <row r="2306" spans="1:1" x14ac:dyDescent="0.3">
      <c r="A2306" s="2"/>
    </row>
    <row r="2307" spans="1:1" x14ac:dyDescent="0.3">
      <c r="A2307" s="1" t="s">
        <v>63</v>
      </c>
    </row>
    <row r="2308" spans="1:1" x14ac:dyDescent="0.3">
      <c r="A2308" s="2" t="s">
        <v>46</v>
      </c>
    </row>
    <row r="2309" spans="1:1" x14ac:dyDescent="0.3">
      <c r="A2309" s="1" t="s">
        <v>63</v>
      </c>
    </row>
    <row r="2310" spans="1:1" x14ac:dyDescent="0.3">
      <c r="A2310" s="2" t="s">
        <v>63</v>
      </c>
    </row>
    <row r="2311" spans="1:1" x14ac:dyDescent="0.3">
      <c r="A2311" s="1" t="s">
        <v>63</v>
      </c>
    </row>
    <row r="2312" spans="1:1" x14ac:dyDescent="0.3">
      <c r="A2312" s="2" t="s">
        <v>63</v>
      </c>
    </row>
    <row r="2313" spans="1:1" x14ac:dyDescent="0.3">
      <c r="A2313" s="1" t="s">
        <v>63</v>
      </c>
    </row>
    <row r="2314" spans="1:1" x14ac:dyDescent="0.3">
      <c r="A2314" s="2" t="s">
        <v>63</v>
      </c>
    </row>
    <row r="2315" spans="1:1" x14ac:dyDescent="0.3">
      <c r="A2315" s="1" t="s">
        <v>46</v>
      </c>
    </row>
    <row r="2316" spans="1:1" x14ac:dyDescent="0.3">
      <c r="A2316" s="2" t="s">
        <v>46</v>
      </c>
    </row>
    <row r="2317" spans="1:1" x14ac:dyDescent="0.3">
      <c r="A2317" s="1" t="s">
        <v>46</v>
      </c>
    </row>
    <row r="2318" spans="1:1" x14ac:dyDescent="0.3">
      <c r="A2318" s="2" t="s">
        <v>63</v>
      </c>
    </row>
    <row r="2319" spans="1:1" x14ac:dyDescent="0.3">
      <c r="A2319" s="1" t="s">
        <v>46</v>
      </c>
    </row>
    <row r="2320" spans="1:1" x14ac:dyDescent="0.3">
      <c r="A2320" s="2" t="s">
        <v>46</v>
      </c>
    </row>
    <row r="2321" spans="1:1" x14ac:dyDescent="0.3">
      <c r="A2321" s="1" t="s">
        <v>46</v>
      </c>
    </row>
    <row r="2322" spans="1:1" x14ac:dyDescent="0.3">
      <c r="A2322" s="2" t="s">
        <v>46</v>
      </c>
    </row>
    <row r="2323" spans="1:1" x14ac:dyDescent="0.3">
      <c r="A2323" s="1" t="s">
        <v>63</v>
      </c>
    </row>
    <row r="2324" spans="1:1" x14ac:dyDescent="0.3">
      <c r="A2324" s="2" t="s">
        <v>63</v>
      </c>
    </row>
    <row r="2325" spans="1:1" x14ac:dyDescent="0.3">
      <c r="A2325" s="1" t="s">
        <v>63</v>
      </c>
    </row>
    <row r="2326" spans="1:1" x14ac:dyDescent="0.3">
      <c r="A2326" s="2" t="s">
        <v>63</v>
      </c>
    </row>
    <row r="2327" spans="1:1" x14ac:dyDescent="0.3">
      <c r="A2327" s="1" t="s">
        <v>63</v>
      </c>
    </row>
    <row r="2328" spans="1:1" x14ac:dyDescent="0.3">
      <c r="A2328" s="2" t="s">
        <v>63</v>
      </c>
    </row>
    <row r="2329" spans="1:1" x14ac:dyDescent="0.3">
      <c r="A2329" s="1" t="s">
        <v>46</v>
      </c>
    </row>
    <row r="2330" spans="1:1" x14ac:dyDescent="0.3">
      <c r="A2330" s="2" t="s">
        <v>46</v>
      </c>
    </row>
    <row r="2331" spans="1:1" x14ac:dyDescent="0.3">
      <c r="A2331" s="1" t="s">
        <v>46</v>
      </c>
    </row>
    <row r="2332" spans="1:1" x14ac:dyDescent="0.3">
      <c r="A2332" s="2" t="s">
        <v>46</v>
      </c>
    </row>
    <row r="2333" spans="1:1" x14ac:dyDescent="0.3">
      <c r="A2333" s="1" t="s">
        <v>63</v>
      </c>
    </row>
    <row r="2334" spans="1:1" x14ac:dyDescent="0.3">
      <c r="A2334" s="2" t="s">
        <v>63</v>
      </c>
    </row>
    <row r="2335" spans="1:1" x14ac:dyDescent="0.3">
      <c r="A2335" s="1" t="s">
        <v>63</v>
      </c>
    </row>
    <row r="2336" spans="1:1" x14ac:dyDescent="0.3">
      <c r="A2336" s="2" t="s">
        <v>63</v>
      </c>
    </row>
    <row r="2337" spans="1:1" x14ac:dyDescent="0.3">
      <c r="A2337" s="1" t="s">
        <v>63</v>
      </c>
    </row>
    <row r="2338" spans="1:1" x14ac:dyDescent="0.3">
      <c r="A2338" s="2" t="s">
        <v>63</v>
      </c>
    </row>
    <row r="2339" spans="1:1" x14ac:dyDescent="0.3">
      <c r="A2339" s="1" t="s">
        <v>63</v>
      </c>
    </row>
    <row r="2340" spans="1:1" x14ac:dyDescent="0.3">
      <c r="A2340" s="2" t="s">
        <v>63</v>
      </c>
    </row>
    <row r="2341" spans="1:1" x14ac:dyDescent="0.3">
      <c r="A2341" s="1" t="s">
        <v>63</v>
      </c>
    </row>
    <row r="2342" spans="1:1" x14ac:dyDescent="0.3">
      <c r="A2342" s="2" t="s">
        <v>63</v>
      </c>
    </row>
    <row r="2343" spans="1:1" x14ac:dyDescent="0.3">
      <c r="A2343" s="1" t="s">
        <v>63</v>
      </c>
    </row>
    <row r="2344" spans="1:1" x14ac:dyDescent="0.3">
      <c r="A2344" s="2" t="s">
        <v>63</v>
      </c>
    </row>
    <row r="2345" spans="1:1" x14ac:dyDescent="0.3">
      <c r="A2345" s="1" t="s">
        <v>46</v>
      </c>
    </row>
    <row r="2346" spans="1:1" x14ac:dyDescent="0.3">
      <c r="A2346" s="2" t="s">
        <v>46</v>
      </c>
    </row>
    <row r="2347" spans="1:1" x14ac:dyDescent="0.3">
      <c r="A2347" s="1" t="s">
        <v>63</v>
      </c>
    </row>
    <row r="2348" spans="1:1" x14ac:dyDescent="0.3">
      <c r="A2348" s="2" t="s">
        <v>63</v>
      </c>
    </row>
    <row r="2349" spans="1:1" x14ac:dyDescent="0.3">
      <c r="A2349" s="1" t="s">
        <v>63</v>
      </c>
    </row>
    <row r="2350" spans="1:1" x14ac:dyDescent="0.3">
      <c r="A2350" s="2" t="s">
        <v>63</v>
      </c>
    </row>
    <row r="2351" spans="1:1" x14ac:dyDescent="0.3">
      <c r="A2351" s="1" t="s">
        <v>63</v>
      </c>
    </row>
    <row r="2352" spans="1:1" x14ac:dyDescent="0.3">
      <c r="A2352" s="2" t="s">
        <v>63</v>
      </c>
    </row>
    <row r="2353" spans="1:1" x14ac:dyDescent="0.3">
      <c r="A2353" s="1" t="s">
        <v>63</v>
      </c>
    </row>
    <row r="2354" spans="1:1" x14ac:dyDescent="0.3">
      <c r="A2354" s="2" t="s">
        <v>63</v>
      </c>
    </row>
    <row r="2355" spans="1:1" x14ac:dyDescent="0.3">
      <c r="A2355" s="1"/>
    </row>
    <row r="2356" spans="1:1" x14ac:dyDescent="0.3">
      <c r="A2356" s="2" t="s">
        <v>63</v>
      </c>
    </row>
    <row r="2357" spans="1:1" x14ac:dyDescent="0.3">
      <c r="A2357" s="1" t="s">
        <v>63</v>
      </c>
    </row>
    <row r="2358" spans="1:1" x14ac:dyDescent="0.3">
      <c r="A2358" s="2" t="s">
        <v>63</v>
      </c>
    </row>
    <row r="2359" spans="1:1" x14ac:dyDescent="0.3">
      <c r="A2359" s="1" t="s">
        <v>63</v>
      </c>
    </row>
    <row r="2360" spans="1:1" x14ac:dyDescent="0.3">
      <c r="A2360" s="2" t="s">
        <v>30</v>
      </c>
    </row>
    <row r="2361" spans="1:1" x14ac:dyDescent="0.3">
      <c r="A2361" s="1" t="s">
        <v>30</v>
      </c>
    </row>
    <row r="2362" spans="1:1" x14ac:dyDescent="0.3">
      <c r="A2362" s="2" t="s">
        <v>46</v>
      </c>
    </row>
    <row r="2363" spans="1:1" x14ac:dyDescent="0.3">
      <c r="A2363" s="1" t="s">
        <v>46</v>
      </c>
    </row>
    <row r="2364" spans="1:1" x14ac:dyDescent="0.3">
      <c r="A2364" s="2" t="s">
        <v>46</v>
      </c>
    </row>
    <row r="2365" spans="1:1" x14ac:dyDescent="0.3">
      <c r="A2365" s="1" t="s">
        <v>63</v>
      </c>
    </row>
    <row r="2366" spans="1:1" x14ac:dyDescent="0.3">
      <c r="A2366" s="2" t="s">
        <v>63</v>
      </c>
    </row>
    <row r="2367" spans="1:1" x14ac:dyDescent="0.3">
      <c r="A2367" s="1" t="s">
        <v>63</v>
      </c>
    </row>
    <row r="2368" spans="1:1" x14ac:dyDescent="0.3">
      <c r="A2368" s="2" t="s">
        <v>63</v>
      </c>
    </row>
    <row r="2369" spans="1:1" x14ac:dyDescent="0.3">
      <c r="A2369" s="1" t="s">
        <v>63</v>
      </c>
    </row>
    <row r="2370" spans="1:1" x14ac:dyDescent="0.3">
      <c r="A2370" s="2" t="s">
        <v>63</v>
      </c>
    </row>
    <row r="2371" spans="1:1" x14ac:dyDescent="0.3">
      <c r="A2371" s="1" t="s">
        <v>63</v>
      </c>
    </row>
    <row r="2372" spans="1:1" x14ac:dyDescent="0.3">
      <c r="A2372" s="2" t="s">
        <v>63</v>
      </c>
    </row>
    <row r="2373" spans="1:1" x14ac:dyDescent="0.3">
      <c r="A2373" s="1" t="s">
        <v>30</v>
      </c>
    </row>
    <row r="2374" spans="1:1" x14ac:dyDescent="0.3">
      <c r="A2374" s="2" t="s">
        <v>63</v>
      </c>
    </row>
    <row r="2375" spans="1:1" x14ac:dyDescent="0.3">
      <c r="A2375" s="1" t="s">
        <v>63</v>
      </c>
    </row>
    <row r="2376" spans="1:1" x14ac:dyDescent="0.3">
      <c r="A2376" s="2" t="s">
        <v>63</v>
      </c>
    </row>
    <row r="2377" spans="1:1" x14ac:dyDescent="0.3">
      <c r="A2377" s="1" t="s">
        <v>63</v>
      </c>
    </row>
    <row r="2378" spans="1:1" x14ac:dyDescent="0.3">
      <c r="A2378" s="2" t="s">
        <v>63</v>
      </c>
    </row>
    <row r="2379" spans="1:1" x14ac:dyDescent="0.3">
      <c r="A2379" s="1" t="s">
        <v>63</v>
      </c>
    </row>
    <row r="2380" spans="1:1" x14ac:dyDescent="0.3">
      <c r="A2380" s="2" t="s">
        <v>63</v>
      </c>
    </row>
    <row r="2381" spans="1:1" x14ac:dyDescent="0.3">
      <c r="A2381" s="1" t="s">
        <v>63</v>
      </c>
    </row>
    <row r="2382" spans="1:1" x14ac:dyDescent="0.3">
      <c r="A2382" s="2" t="s">
        <v>63</v>
      </c>
    </row>
    <row r="2383" spans="1:1" x14ac:dyDescent="0.3">
      <c r="A2383" s="1" t="s">
        <v>63</v>
      </c>
    </row>
    <row r="2384" spans="1:1" x14ac:dyDescent="0.3">
      <c r="A2384" s="2" t="s">
        <v>63</v>
      </c>
    </row>
    <row r="2385" spans="1:1" x14ac:dyDescent="0.3">
      <c r="A2385" s="1" t="s">
        <v>63</v>
      </c>
    </row>
    <row r="2386" spans="1:1" x14ac:dyDescent="0.3">
      <c r="A2386" s="2" t="s">
        <v>63</v>
      </c>
    </row>
    <row r="2387" spans="1:1" x14ac:dyDescent="0.3">
      <c r="A2387" s="1" t="s">
        <v>63</v>
      </c>
    </row>
    <row r="2388" spans="1:1" x14ac:dyDescent="0.3">
      <c r="A2388" s="2" t="s">
        <v>63</v>
      </c>
    </row>
    <row r="2389" spans="1:1" x14ac:dyDescent="0.3">
      <c r="A2389" s="1" t="s">
        <v>63</v>
      </c>
    </row>
    <row r="2390" spans="1:1" x14ac:dyDescent="0.3">
      <c r="A2390" s="2" t="s">
        <v>63</v>
      </c>
    </row>
    <row r="2391" spans="1:1" x14ac:dyDescent="0.3">
      <c r="A2391" s="1" t="s">
        <v>63</v>
      </c>
    </row>
    <row r="2392" spans="1:1" x14ac:dyDescent="0.3">
      <c r="A2392" s="2" t="s">
        <v>63</v>
      </c>
    </row>
    <row r="2393" spans="1:1" x14ac:dyDescent="0.3">
      <c r="A2393" s="1" t="s">
        <v>63</v>
      </c>
    </row>
    <row r="2394" spans="1:1" x14ac:dyDescent="0.3">
      <c r="A2394" s="2"/>
    </row>
    <row r="2395" spans="1:1" x14ac:dyDescent="0.3">
      <c r="A2395" s="1" t="s">
        <v>63</v>
      </c>
    </row>
    <row r="2396" spans="1:1" x14ac:dyDescent="0.3">
      <c r="A2396" s="2" t="s">
        <v>63</v>
      </c>
    </row>
    <row r="2397" spans="1:1" x14ac:dyDescent="0.3">
      <c r="A2397" s="1" t="s">
        <v>63</v>
      </c>
    </row>
    <row r="2398" spans="1:1" x14ac:dyDescent="0.3">
      <c r="A2398" s="2" t="s">
        <v>63</v>
      </c>
    </row>
    <row r="2399" spans="1:1" x14ac:dyDescent="0.3">
      <c r="A2399" s="1" t="s">
        <v>63</v>
      </c>
    </row>
    <row r="2400" spans="1:1" x14ac:dyDescent="0.3">
      <c r="A2400" s="2" t="s">
        <v>63</v>
      </c>
    </row>
    <row r="2401" spans="1:1" x14ac:dyDescent="0.3">
      <c r="A2401" s="1" t="s">
        <v>63</v>
      </c>
    </row>
    <row r="2402" spans="1:1" x14ac:dyDescent="0.3">
      <c r="A2402" s="2" t="s">
        <v>63</v>
      </c>
    </row>
    <row r="2403" spans="1:1" x14ac:dyDescent="0.3">
      <c r="A2403" s="1" t="s">
        <v>63</v>
      </c>
    </row>
    <row r="2404" spans="1:1" x14ac:dyDescent="0.3">
      <c r="A2404" s="2" t="s">
        <v>63</v>
      </c>
    </row>
    <row r="2405" spans="1:1" x14ac:dyDescent="0.3">
      <c r="A2405" s="1" t="s">
        <v>63</v>
      </c>
    </row>
    <row r="2406" spans="1:1" x14ac:dyDescent="0.3">
      <c r="A2406" s="2" t="s">
        <v>63</v>
      </c>
    </row>
    <row r="2407" spans="1:1" x14ac:dyDescent="0.3">
      <c r="A2407" s="1"/>
    </row>
    <row r="2408" spans="1:1" x14ac:dyDescent="0.3">
      <c r="A2408" s="2" t="s">
        <v>63</v>
      </c>
    </row>
    <row r="2409" spans="1:1" x14ac:dyDescent="0.3">
      <c r="A2409" s="1" t="s">
        <v>63</v>
      </c>
    </row>
    <row r="2410" spans="1:1" x14ac:dyDescent="0.3">
      <c r="A2410" s="2" t="s">
        <v>63</v>
      </c>
    </row>
    <row r="2411" spans="1:1" x14ac:dyDescent="0.3">
      <c r="A2411" s="1" t="s">
        <v>46</v>
      </c>
    </row>
    <row r="2412" spans="1:1" x14ac:dyDescent="0.3">
      <c r="A2412" s="2" t="s">
        <v>63</v>
      </c>
    </row>
    <row r="2413" spans="1:1" x14ac:dyDescent="0.3">
      <c r="A2413" s="1" t="s">
        <v>63</v>
      </c>
    </row>
    <row r="2414" spans="1:1" x14ac:dyDescent="0.3">
      <c r="A2414" s="2" t="s">
        <v>63</v>
      </c>
    </row>
    <row r="2415" spans="1:1" x14ac:dyDescent="0.3">
      <c r="A2415" s="1" t="s">
        <v>46</v>
      </c>
    </row>
    <row r="2416" spans="1:1" x14ac:dyDescent="0.3">
      <c r="A2416" s="2" t="s">
        <v>46</v>
      </c>
    </row>
    <row r="2417" spans="1:1" x14ac:dyDescent="0.3">
      <c r="A2417" s="1" t="s">
        <v>46</v>
      </c>
    </row>
    <row r="2418" spans="1:1" x14ac:dyDescent="0.3">
      <c r="A2418" s="2" t="s">
        <v>63</v>
      </c>
    </row>
    <row r="2419" spans="1:1" x14ac:dyDescent="0.3">
      <c r="A2419" s="1" t="s">
        <v>63</v>
      </c>
    </row>
    <row r="2420" spans="1:1" x14ac:dyDescent="0.3">
      <c r="A2420" s="2" t="s">
        <v>46</v>
      </c>
    </row>
    <row r="2421" spans="1:1" x14ac:dyDescent="0.3">
      <c r="A2421" s="1" t="s">
        <v>63</v>
      </c>
    </row>
    <row r="2422" spans="1:1" x14ac:dyDescent="0.3">
      <c r="A2422" s="2" t="s">
        <v>63</v>
      </c>
    </row>
    <row r="2423" spans="1:1" x14ac:dyDescent="0.3">
      <c r="A2423" s="1" t="s">
        <v>63</v>
      </c>
    </row>
    <row r="2424" spans="1:1" x14ac:dyDescent="0.3">
      <c r="A2424" s="2" t="s">
        <v>63</v>
      </c>
    </row>
    <row r="2425" spans="1:1" x14ac:dyDescent="0.3">
      <c r="A2425" s="1" t="s">
        <v>63</v>
      </c>
    </row>
    <row r="2426" spans="1:1" x14ac:dyDescent="0.3">
      <c r="A2426" s="2" t="s">
        <v>63</v>
      </c>
    </row>
    <row r="2427" spans="1:1" x14ac:dyDescent="0.3">
      <c r="A2427" s="1" t="s">
        <v>63</v>
      </c>
    </row>
    <row r="2428" spans="1:1" x14ac:dyDescent="0.3">
      <c r="A2428" s="2" t="s">
        <v>63</v>
      </c>
    </row>
    <row r="2429" spans="1:1" x14ac:dyDescent="0.3">
      <c r="A2429" s="1" t="s">
        <v>63</v>
      </c>
    </row>
    <row r="2430" spans="1:1" x14ac:dyDescent="0.3">
      <c r="A2430" s="2" t="s">
        <v>63</v>
      </c>
    </row>
    <row r="2431" spans="1:1" x14ac:dyDescent="0.3">
      <c r="A2431" s="1" t="s">
        <v>63</v>
      </c>
    </row>
    <row r="2432" spans="1:1" x14ac:dyDescent="0.3">
      <c r="A2432" s="2" t="s">
        <v>46</v>
      </c>
    </row>
    <row r="2433" spans="1:1" x14ac:dyDescent="0.3">
      <c r="A2433" s="1" t="s">
        <v>63</v>
      </c>
    </row>
    <row r="2434" spans="1:1" x14ac:dyDescent="0.3">
      <c r="A2434" s="2" t="s">
        <v>63</v>
      </c>
    </row>
    <row r="2435" spans="1:1" x14ac:dyDescent="0.3">
      <c r="A2435" s="1" t="s">
        <v>63</v>
      </c>
    </row>
    <row r="2436" spans="1:1" x14ac:dyDescent="0.3">
      <c r="A2436" s="2" t="s">
        <v>46</v>
      </c>
    </row>
    <row r="2437" spans="1:1" x14ac:dyDescent="0.3">
      <c r="A2437" s="1" t="s">
        <v>46</v>
      </c>
    </row>
    <row r="2438" spans="1:1" x14ac:dyDescent="0.3">
      <c r="A2438" s="2" t="s">
        <v>63</v>
      </c>
    </row>
    <row r="2439" spans="1:1" x14ac:dyDescent="0.3">
      <c r="A2439" s="1" t="s">
        <v>63</v>
      </c>
    </row>
    <row r="2440" spans="1:1" x14ac:dyDescent="0.3">
      <c r="A2440" s="2" t="s">
        <v>63</v>
      </c>
    </row>
    <row r="2441" spans="1:1" x14ac:dyDescent="0.3">
      <c r="A2441" s="1" t="s">
        <v>63</v>
      </c>
    </row>
    <row r="2442" spans="1:1" x14ac:dyDescent="0.3">
      <c r="A2442" s="2" t="s">
        <v>63</v>
      </c>
    </row>
    <row r="2443" spans="1:1" x14ac:dyDescent="0.3">
      <c r="A2443" s="1" t="s">
        <v>63</v>
      </c>
    </row>
    <row r="2444" spans="1:1" x14ac:dyDescent="0.3">
      <c r="A2444" s="2" t="s">
        <v>63</v>
      </c>
    </row>
    <row r="2445" spans="1:1" x14ac:dyDescent="0.3">
      <c r="A2445" s="1" t="s">
        <v>63</v>
      </c>
    </row>
    <row r="2446" spans="1:1" x14ac:dyDescent="0.3">
      <c r="A2446" s="2" t="s">
        <v>63</v>
      </c>
    </row>
    <row r="2447" spans="1:1" x14ac:dyDescent="0.3">
      <c r="A2447" s="1" t="s">
        <v>63</v>
      </c>
    </row>
    <row r="2448" spans="1:1" x14ac:dyDescent="0.3">
      <c r="A2448" s="2" t="s">
        <v>63</v>
      </c>
    </row>
    <row r="2449" spans="1:1" x14ac:dyDescent="0.3">
      <c r="A2449" s="1" t="s">
        <v>63</v>
      </c>
    </row>
    <row r="2450" spans="1:1" x14ac:dyDescent="0.3">
      <c r="A2450" s="2" t="s">
        <v>63</v>
      </c>
    </row>
    <row r="2451" spans="1:1" x14ac:dyDescent="0.3">
      <c r="A2451" s="1" t="s">
        <v>63</v>
      </c>
    </row>
    <row r="2452" spans="1:1" x14ac:dyDescent="0.3">
      <c r="A2452" s="2" t="s">
        <v>63</v>
      </c>
    </row>
    <row r="2453" spans="1:1" x14ac:dyDescent="0.3">
      <c r="A2453" s="1" t="s">
        <v>63</v>
      </c>
    </row>
    <row r="2454" spans="1:1" x14ac:dyDescent="0.3">
      <c r="A2454" s="2" t="s">
        <v>63</v>
      </c>
    </row>
    <row r="2455" spans="1:1" x14ac:dyDescent="0.3">
      <c r="A2455" s="1" t="s">
        <v>63</v>
      </c>
    </row>
    <row r="2456" spans="1:1" x14ac:dyDescent="0.3">
      <c r="A2456" s="2" t="s">
        <v>63</v>
      </c>
    </row>
    <row r="2457" spans="1:1" x14ac:dyDescent="0.3">
      <c r="A2457" s="1" t="s">
        <v>63</v>
      </c>
    </row>
    <row r="2458" spans="1:1" x14ac:dyDescent="0.3">
      <c r="A2458" s="2" t="s">
        <v>46</v>
      </c>
    </row>
    <row r="2459" spans="1:1" x14ac:dyDescent="0.3">
      <c r="A2459" s="1" t="s">
        <v>63</v>
      </c>
    </row>
    <row r="2460" spans="1:1" x14ac:dyDescent="0.3">
      <c r="A2460" s="2" t="s">
        <v>63</v>
      </c>
    </row>
    <row r="2461" spans="1:1" x14ac:dyDescent="0.3">
      <c r="A2461" s="1" t="s">
        <v>63</v>
      </c>
    </row>
    <row r="2462" spans="1:1" x14ac:dyDescent="0.3">
      <c r="A2462" s="2" t="s">
        <v>63</v>
      </c>
    </row>
    <row r="2463" spans="1:1" x14ac:dyDescent="0.3">
      <c r="A2463" s="1" t="s">
        <v>63</v>
      </c>
    </row>
    <row r="2464" spans="1:1" x14ac:dyDescent="0.3">
      <c r="A2464" s="2" t="s">
        <v>46</v>
      </c>
    </row>
    <row r="2465" spans="1:1" x14ac:dyDescent="0.3">
      <c r="A2465" s="1" t="s">
        <v>63</v>
      </c>
    </row>
    <row r="2466" spans="1:1" x14ac:dyDescent="0.3">
      <c r="A2466" s="2" t="s">
        <v>63</v>
      </c>
    </row>
    <row r="2467" spans="1:1" x14ac:dyDescent="0.3">
      <c r="A2467" s="1" t="s">
        <v>63</v>
      </c>
    </row>
    <row r="2468" spans="1:1" x14ac:dyDescent="0.3">
      <c r="A2468" s="2" t="s">
        <v>63</v>
      </c>
    </row>
    <row r="2469" spans="1:1" x14ac:dyDescent="0.3">
      <c r="A2469" s="1" t="s">
        <v>63</v>
      </c>
    </row>
    <row r="2470" spans="1:1" x14ac:dyDescent="0.3">
      <c r="A2470" s="2"/>
    </row>
    <row r="2471" spans="1:1" x14ac:dyDescent="0.3">
      <c r="A2471" s="1"/>
    </row>
    <row r="2472" spans="1:1" x14ac:dyDescent="0.3">
      <c r="A2472" s="2"/>
    </row>
    <row r="2473" spans="1:1" x14ac:dyDescent="0.3">
      <c r="A2473" s="1"/>
    </row>
    <row r="2474" spans="1:1" x14ac:dyDescent="0.3">
      <c r="A2474" s="2"/>
    </row>
    <row r="2475" spans="1:1" x14ac:dyDescent="0.3">
      <c r="A2475" s="1"/>
    </row>
    <row r="2476" spans="1:1" x14ac:dyDescent="0.3">
      <c r="A2476" s="2" t="s">
        <v>63</v>
      </c>
    </row>
    <row r="2477" spans="1:1" x14ac:dyDescent="0.3">
      <c r="A2477" s="1" t="s">
        <v>63</v>
      </c>
    </row>
    <row r="2478" spans="1:1" x14ac:dyDescent="0.3">
      <c r="A2478" s="2" t="s">
        <v>63</v>
      </c>
    </row>
    <row r="2479" spans="1:1" x14ac:dyDescent="0.3">
      <c r="A2479" s="1" t="s">
        <v>63</v>
      </c>
    </row>
    <row r="2480" spans="1:1" x14ac:dyDescent="0.3">
      <c r="A2480" s="2" t="s">
        <v>63</v>
      </c>
    </row>
    <row r="2481" spans="1:1" x14ac:dyDescent="0.3">
      <c r="A2481" s="1" t="s">
        <v>30</v>
      </c>
    </row>
    <row r="2482" spans="1:1" x14ac:dyDescent="0.3">
      <c r="A2482" s="2" t="s">
        <v>63</v>
      </c>
    </row>
    <row r="2483" spans="1:1" x14ac:dyDescent="0.3">
      <c r="A2483" s="1" t="s">
        <v>63</v>
      </c>
    </row>
    <row r="2484" spans="1:1" x14ac:dyDescent="0.3">
      <c r="A2484" s="2" t="s">
        <v>63</v>
      </c>
    </row>
    <row r="2485" spans="1:1" x14ac:dyDescent="0.3">
      <c r="A2485" s="1" t="s">
        <v>63</v>
      </c>
    </row>
    <row r="2486" spans="1:1" x14ac:dyDescent="0.3">
      <c r="A2486" s="2" t="s">
        <v>63</v>
      </c>
    </row>
    <row r="2487" spans="1:1" x14ac:dyDescent="0.3">
      <c r="A2487" s="1" t="s">
        <v>63</v>
      </c>
    </row>
    <row r="2488" spans="1:1" x14ac:dyDescent="0.3">
      <c r="A2488" s="2" t="s">
        <v>63</v>
      </c>
    </row>
    <row r="2489" spans="1:1" x14ac:dyDescent="0.3">
      <c r="A2489" s="1" t="s">
        <v>63</v>
      </c>
    </row>
    <row r="2490" spans="1:1" x14ac:dyDescent="0.3">
      <c r="A2490" s="2" t="s">
        <v>63</v>
      </c>
    </row>
    <row r="2491" spans="1:1" x14ac:dyDescent="0.3">
      <c r="A2491" s="1" t="s">
        <v>63</v>
      </c>
    </row>
    <row r="2492" spans="1:1" x14ac:dyDescent="0.3">
      <c r="A2492" s="2" t="s">
        <v>63</v>
      </c>
    </row>
    <row r="2493" spans="1:1" x14ac:dyDescent="0.3">
      <c r="A2493" s="1" t="s">
        <v>63</v>
      </c>
    </row>
    <row r="2494" spans="1:1" x14ac:dyDescent="0.3">
      <c r="A2494" s="2" t="s">
        <v>63</v>
      </c>
    </row>
    <row r="2495" spans="1:1" x14ac:dyDescent="0.3">
      <c r="A2495" s="1" t="s">
        <v>63</v>
      </c>
    </row>
    <row r="2496" spans="1:1" x14ac:dyDescent="0.3">
      <c r="A2496" s="2" t="s">
        <v>63</v>
      </c>
    </row>
    <row r="2497" spans="1:1" x14ac:dyDescent="0.3">
      <c r="A2497" s="1" t="s">
        <v>63</v>
      </c>
    </row>
    <row r="2498" spans="1:1" x14ac:dyDescent="0.3">
      <c r="A2498" s="2" t="s">
        <v>63</v>
      </c>
    </row>
    <row r="2499" spans="1:1" x14ac:dyDescent="0.3">
      <c r="A2499" s="1" t="s">
        <v>63</v>
      </c>
    </row>
    <row r="2500" spans="1:1" x14ac:dyDescent="0.3">
      <c r="A2500" s="2" t="s">
        <v>63</v>
      </c>
    </row>
    <row r="2501" spans="1:1" x14ac:dyDescent="0.3">
      <c r="A2501" s="1" t="s">
        <v>63</v>
      </c>
    </row>
    <row r="2502" spans="1:1" x14ac:dyDescent="0.3">
      <c r="A2502" s="2" t="s">
        <v>63</v>
      </c>
    </row>
    <row r="2503" spans="1:1" x14ac:dyDescent="0.3">
      <c r="A2503" s="1" t="s">
        <v>63</v>
      </c>
    </row>
    <row r="2504" spans="1:1" x14ac:dyDescent="0.3">
      <c r="A2504" s="2" t="s">
        <v>63</v>
      </c>
    </row>
    <row r="2505" spans="1:1" x14ac:dyDescent="0.3">
      <c r="A2505" s="1" t="s">
        <v>63</v>
      </c>
    </row>
    <row r="2506" spans="1:1" x14ac:dyDescent="0.3">
      <c r="A2506" s="2" t="s">
        <v>63</v>
      </c>
    </row>
    <row r="2507" spans="1:1" x14ac:dyDescent="0.3">
      <c r="A2507" s="1" t="s">
        <v>63</v>
      </c>
    </row>
    <row r="2508" spans="1:1" x14ac:dyDescent="0.3">
      <c r="A2508" s="2" t="s">
        <v>63</v>
      </c>
    </row>
    <row r="2509" spans="1:1" x14ac:dyDescent="0.3">
      <c r="A2509" s="1" t="s">
        <v>63</v>
      </c>
    </row>
    <row r="2510" spans="1:1" x14ac:dyDescent="0.3">
      <c r="A2510" s="2" t="s">
        <v>63</v>
      </c>
    </row>
    <row r="2511" spans="1:1" x14ac:dyDescent="0.3">
      <c r="A2511" s="1" t="s">
        <v>63</v>
      </c>
    </row>
    <row r="2512" spans="1:1" x14ac:dyDescent="0.3">
      <c r="A2512" s="2" t="s">
        <v>63</v>
      </c>
    </row>
    <row r="2513" spans="1:1" x14ac:dyDescent="0.3">
      <c r="A2513" s="1" t="s">
        <v>63</v>
      </c>
    </row>
    <row r="2514" spans="1:1" x14ac:dyDescent="0.3">
      <c r="A2514" s="2" t="s">
        <v>63</v>
      </c>
    </row>
    <row r="2515" spans="1:1" x14ac:dyDescent="0.3">
      <c r="A2515" s="1" t="s">
        <v>63</v>
      </c>
    </row>
    <row r="2516" spans="1:1" x14ac:dyDescent="0.3">
      <c r="A2516" s="2" t="s">
        <v>63</v>
      </c>
    </row>
    <row r="2517" spans="1:1" x14ac:dyDescent="0.3">
      <c r="A2517" s="1" t="s">
        <v>63</v>
      </c>
    </row>
    <row r="2518" spans="1:1" x14ac:dyDescent="0.3">
      <c r="A2518" s="2" t="s">
        <v>63</v>
      </c>
    </row>
    <row r="2519" spans="1:1" x14ac:dyDescent="0.3">
      <c r="A2519" s="1" t="s">
        <v>63</v>
      </c>
    </row>
    <row r="2520" spans="1:1" x14ac:dyDescent="0.3">
      <c r="A2520" s="2" t="s">
        <v>63</v>
      </c>
    </row>
    <row r="2521" spans="1:1" x14ac:dyDescent="0.3">
      <c r="A2521" s="1" t="s">
        <v>63</v>
      </c>
    </row>
    <row r="2522" spans="1:1" x14ac:dyDescent="0.3">
      <c r="A2522" s="2" t="s">
        <v>63</v>
      </c>
    </row>
    <row r="2523" spans="1:1" x14ac:dyDescent="0.3">
      <c r="A2523" s="1" t="s">
        <v>63</v>
      </c>
    </row>
    <row r="2524" spans="1:1" x14ac:dyDescent="0.3">
      <c r="A2524" s="2" t="s">
        <v>63</v>
      </c>
    </row>
    <row r="2525" spans="1:1" x14ac:dyDescent="0.3">
      <c r="A2525" s="1" t="s">
        <v>30</v>
      </c>
    </row>
    <row r="2526" spans="1:1" x14ac:dyDescent="0.3">
      <c r="A2526" s="2" t="s">
        <v>46</v>
      </c>
    </row>
    <row r="2527" spans="1:1" x14ac:dyDescent="0.3">
      <c r="A2527" s="1" t="s">
        <v>30</v>
      </c>
    </row>
    <row r="2528" spans="1:1" x14ac:dyDescent="0.3">
      <c r="A2528" s="2" t="s">
        <v>30</v>
      </c>
    </row>
    <row r="2529" spans="1:1" x14ac:dyDescent="0.3">
      <c r="A2529" s="1" t="s">
        <v>30</v>
      </c>
    </row>
    <row r="2530" spans="1:1" x14ac:dyDescent="0.3">
      <c r="A2530" s="2" t="s">
        <v>30</v>
      </c>
    </row>
    <row r="2531" spans="1:1" x14ac:dyDescent="0.3">
      <c r="A2531" s="1" t="s">
        <v>30</v>
      </c>
    </row>
    <row r="2532" spans="1:1" x14ac:dyDescent="0.3">
      <c r="A2532" s="2" t="s">
        <v>30</v>
      </c>
    </row>
    <row r="2533" spans="1:1" x14ac:dyDescent="0.3">
      <c r="A2533" s="1" t="s">
        <v>30</v>
      </c>
    </row>
    <row r="2534" spans="1:1" x14ac:dyDescent="0.3">
      <c r="A2534" s="2" t="s">
        <v>30</v>
      </c>
    </row>
    <row r="2535" spans="1:1" x14ac:dyDescent="0.3">
      <c r="A2535" s="1" t="s">
        <v>30</v>
      </c>
    </row>
    <row r="2536" spans="1:1" x14ac:dyDescent="0.3">
      <c r="A2536" s="2" t="s">
        <v>30</v>
      </c>
    </row>
    <row r="2537" spans="1:1" x14ac:dyDescent="0.3">
      <c r="A2537" s="1" t="s">
        <v>30</v>
      </c>
    </row>
    <row r="2538" spans="1:1" x14ac:dyDescent="0.3">
      <c r="A2538" s="2" t="s">
        <v>30</v>
      </c>
    </row>
    <row r="2539" spans="1:1" x14ac:dyDescent="0.3">
      <c r="A2539" s="1" t="s">
        <v>30</v>
      </c>
    </row>
    <row r="2540" spans="1:1" x14ac:dyDescent="0.3">
      <c r="A2540" s="2" t="s">
        <v>30</v>
      </c>
    </row>
    <row r="2541" spans="1:1" x14ac:dyDescent="0.3">
      <c r="A2541" s="1" t="s">
        <v>63</v>
      </c>
    </row>
    <row r="2542" spans="1:1" x14ac:dyDescent="0.3">
      <c r="A2542" s="2" t="s">
        <v>63</v>
      </c>
    </row>
    <row r="2543" spans="1:1" x14ac:dyDescent="0.3">
      <c r="A2543" s="1"/>
    </row>
    <row r="2544" spans="1:1" x14ac:dyDescent="0.3">
      <c r="A2544" s="2"/>
    </row>
    <row r="2545" spans="1:1" x14ac:dyDescent="0.3">
      <c r="A2545" s="1"/>
    </row>
    <row r="2546" spans="1:1" x14ac:dyDescent="0.3">
      <c r="A2546" s="2" t="s">
        <v>63</v>
      </c>
    </row>
    <row r="2547" spans="1:1" x14ac:dyDescent="0.3">
      <c r="A2547" s="1" t="s">
        <v>63</v>
      </c>
    </row>
    <row r="2548" spans="1:1" x14ac:dyDescent="0.3">
      <c r="A2548" s="2" t="s">
        <v>63</v>
      </c>
    </row>
    <row r="2549" spans="1:1" x14ac:dyDescent="0.3">
      <c r="A2549" s="1" t="s">
        <v>63</v>
      </c>
    </row>
    <row r="2550" spans="1:1" x14ac:dyDescent="0.3">
      <c r="A2550" s="2" t="s">
        <v>63</v>
      </c>
    </row>
    <row r="2551" spans="1:1" x14ac:dyDescent="0.3">
      <c r="A2551" s="1" t="s">
        <v>46</v>
      </c>
    </row>
    <row r="2552" spans="1:1" x14ac:dyDescent="0.3">
      <c r="A2552" s="2" t="s">
        <v>63</v>
      </c>
    </row>
    <row r="2553" spans="1:1" x14ac:dyDescent="0.3">
      <c r="A2553" s="1" t="s">
        <v>63</v>
      </c>
    </row>
    <row r="2554" spans="1:1" x14ac:dyDescent="0.3">
      <c r="A2554" s="2" t="s">
        <v>63</v>
      </c>
    </row>
    <row r="2555" spans="1:1" x14ac:dyDescent="0.3">
      <c r="A2555" s="1" t="s">
        <v>63</v>
      </c>
    </row>
    <row r="2556" spans="1:1" x14ac:dyDescent="0.3">
      <c r="A2556" s="2"/>
    </row>
    <row r="2557" spans="1:1" x14ac:dyDescent="0.3">
      <c r="A2557" s="1" t="s">
        <v>63</v>
      </c>
    </row>
    <row r="2558" spans="1:1" x14ac:dyDescent="0.3">
      <c r="A2558" s="2" t="s">
        <v>63</v>
      </c>
    </row>
    <row r="2559" spans="1:1" x14ac:dyDescent="0.3">
      <c r="A2559" s="1" t="s">
        <v>63</v>
      </c>
    </row>
    <row r="2560" spans="1:1" x14ac:dyDescent="0.3">
      <c r="A2560" s="2" t="s">
        <v>63</v>
      </c>
    </row>
    <row r="2561" spans="1:1" x14ac:dyDescent="0.3">
      <c r="A2561" s="1" t="s">
        <v>63</v>
      </c>
    </row>
    <row r="2562" spans="1:1" x14ac:dyDescent="0.3">
      <c r="A2562" s="2" t="s">
        <v>63</v>
      </c>
    </row>
    <row r="2563" spans="1:1" x14ac:dyDescent="0.3">
      <c r="A2563" s="1" t="s">
        <v>63</v>
      </c>
    </row>
    <row r="2564" spans="1:1" x14ac:dyDescent="0.3">
      <c r="A2564" s="2" t="s">
        <v>63</v>
      </c>
    </row>
    <row r="2565" spans="1:1" x14ac:dyDescent="0.3">
      <c r="A2565" s="1"/>
    </row>
    <row r="2566" spans="1:1" x14ac:dyDescent="0.3">
      <c r="A2566" s="2" t="s">
        <v>63</v>
      </c>
    </row>
    <row r="2567" spans="1:1" x14ac:dyDescent="0.3">
      <c r="A2567" s="1" t="s">
        <v>63</v>
      </c>
    </row>
    <row r="2568" spans="1:1" x14ac:dyDescent="0.3">
      <c r="A2568" s="2" t="s">
        <v>63</v>
      </c>
    </row>
    <row r="2569" spans="1:1" x14ac:dyDescent="0.3">
      <c r="A2569" s="1" t="s">
        <v>63</v>
      </c>
    </row>
    <row r="2570" spans="1:1" x14ac:dyDescent="0.3">
      <c r="A2570" s="2" t="s">
        <v>63</v>
      </c>
    </row>
    <row r="2571" spans="1:1" x14ac:dyDescent="0.3">
      <c r="A2571" s="1" t="s">
        <v>63</v>
      </c>
    </row>
    <row r="2572" spans="1:1" x14ac:dyDescent="0.3">
      <c r="A2572" s="2" t="s">
        <v>63</v>
      </c>
    </row>
    <row r="2573" spans="1:1" x14ac:dyDescent="0.3">
      <c r="A2573" s="1" t="s">
        <v>63</v>
      </c>
    </row>
    <row r="2574" spans="1:1" x14ac:dyDescent="0.3">
      <c r="A2574" s="2" t="s">
        <v>63</v>
      </c>
    </row>
    <row r="2575" spans="1:1" x14ac:dyDescent="0.3">
      <c r="A2575" s="1" t="s">
        <v>63</v>
      </c>
    </row>
    <row r="2576" spans="1:1" x14ac:dyDescent="0.3">
      <c r="A2576" s="2" t="s">
        <v>63</v>
      </c>
    </row>
    <row r="2577" spans="1:1" x14ac:dyDescent="0.3">
      <c r="A2577" s="1" t="s">
        <v>63</v>
      </c>
    </row>
    <row r="2578" spans="1:1" x14ac:dyDescent="0.3">
      <c r="A2578" s="2" t="s">
        <v>63</v>
      </c>
    </row>
    <row r="2579" spans="1:1" x14ac:dyDescent="0.3">
      <c r="A2579" s="1" t="s">
        <v>63</v>
      </c>
    </row>
    <row r="2580" spans="1:1" x14ac:dyDescent="0.3">
      <c r="A2580" s="2" t="s">
        <v>63</v>
      </c>
    </row>
    <row r="2581" spans="1:1" x14ac:dyDescent="0.3">
      <c r="A2581" s="1"/>
    </row>
    <row r="2582" spans="1:1" x14ac:dyDescent="0.3">
      <c r="A2582" s="2"/>
    </row>
    <row r="2583" spans="1:1" x14ac:dyDescent="0.3">
      <c r="A2583" s="1" t="s">
        <v>63</v>
      </c>
    </row>
    <row r="2584" spans="1:1" x14ac:dyDescent="0.3">
      <c r="A2584" s="2" t="s">
        <v>63</v>
      </c>
    </row>
    <row r="2585" spans="1:1" x14ac:dyDescent="0.3">
      <c r="A2585" s="1" t="s">
        <v>46</v>
      </c>
    </row>
    <row r="2586" spans="1:1" x14ac:dyDescent="0.3">
      <c r="A2586" s="2" t="s">
        <v>63</v>
      </c>
    </row>
    <row r="2587" spans="1:1" x14ac:dyDescent="0.3">
      <c r="A2587" s="1" t="s">
        <v>63</v>
      </c>
    </row>
    <row r="2588" spans="1:1" x14ac:dyDescent="0.3">
      <c r="A2588" s="2"/>
    </row>
    <row r="2589" spans="1:1" x14ac:dyDescent="0.3">
      <c r="A2589" s="1" t="s">
        <v>63</v>
      </c>
    </row>
    <row r="2590" spans="1:1" x14ac:dyDescent="0.3">
      <c r="A2590" s="2" t="s">
        <v>63</v>
      </c>
    </row>
    <row r="2591" spans="1:1" x14ac:dyDescent="0.3">
      <c r="A2591" s="1" t="s">
        <v>63</v>
      </c>
    </row>
    <row r="2592" spans="1:1" x14ac:dyDescent="0.3">
      <c r="A2592" s="2" t="s">
        <v>63</v>
      </c>
    </row>
    <row r="2593" spans="1:1" x14ac:dyDescent="0.3">
      <c r="A2593" s="1" t="s">
        <v>63</v>
      </c>
    </row>
    <row r="2594" spans="1:1" x14ac:dyDescent="0.3">
      <c r="A2594" s="2" t="s">
        <v>63</v>
      </c>
    </row>
    <row r="2595" spans="1:1" x14ac:dyDescent="0.3">
      <c r="A2595" s="1" t="s">
        <v>63</v>
      </c>
    </row>
    <row r="2596" spans="1:1" x14ac:dyDescent="0.3">
      <c r="A2596" s="2" t="s">
        <v>63</v>
      </c>
    </row>
    <row r="2597" spans="1:1" x14ac:dyDescent="0.3">
      <c r="A2597" s="1" t="s">
        <v>63</v>
      </c>
    </row>
    <row r="2598" spans="1:1" x14ac:dyDescent="0.3">
      <c r="A2598" s="2" t="s">
        <v>63</v>
      </c>
    </row>
    <row r="2599" spans="1:1" x14ac:dyDescent="0.3">
      <c r="A2599" s="1" t="s">
        <v>63</v>
      </c>
    </row>
    <row r="2600" spans="1:1" x14ac:dyDescent="0.3">
      <c r="A2600" s="2" t="s">
        <v>63</v>
      </c>
    </row>
    <row r="2601" spans="1:1" x14ac:dyDescent="0.3">
      <c r="A2601" s="1" t="s">
        <v>63</v>
      </c>
    </row>
    <row r="2602" spans="1:1" x14ac:dyDescent="0.3">
      <c r="A2602" s="2"/>
    </row>
    <row r="2603" spans="1:1" x14ac:dyDescent="0.3">
      <c r="A2603" s="1" t="s">
        <v>63</v>
      </c>
    </row>
    <row r="2604" spans="1:1" x14ac:dyDescent="0.3">
      <c r="A2604" s="2" t="s">
        <v>63</v>
      </c>
    </row>
    <row r="2605" spans="1:1" x14ac:dyDescent="0.3">
      <c r="A2605" s="1" t="s">
        <v>46</v>
      </c>
    </row>
    <row r="2606" spans="1:1" x14ac:dyDescent="0.3">
      <c r="A2606" s="2" t="s">
        <v>63</v>
      </c>
    </row>
    <row r="2607" spans="1:1" x14ac:dyDescent="0.3">
      <c r="A2607" s="1" t="s">
        <v>63</v>
      </c>
    </row>
    <row r="2608" spans="1:1" x14ac:dyDescent="0.3">
      <c r="A2608" s="2" t="s">
        <v>63</v>
      </c>
    </row>
    <row r="2609" spans="1:1" x14ac:dyDescent="0.3">
      <c r="A2609" s="1" t="s">
        <v>63</v>
      </c>
    </row>
    <row r="2610" spans="1:1" x14ac:dyDescent="0.3">
      <c r="A2610" s="2" t="s">
        <v>63</v>
      </c>
    </row>
    <row r="2611" spans="1:1" x14ac:dyDescent="0.3">
      <c r="A2611" s="1" t="s">
        <v>63</v>
      </c>
    </row>
    <row r="2612" spans="1:1" x14ac:dyDescent="0.3">
      <c r="A2612" s="2" t="s">
        <v>63</v>
      </c>
    </row>
    <row r="2613" spans="1:1" x14ac:dyDescent="0.3">
      <c r="A2613" s="1" t="s">
        <v>63</v>
      </c>
    </row>
    <row r="2614" spans="1:1" x14ac:dyDescent="0.3">
      <c r="A2614" s="2" t="s">
        <v>63</v>
      </c>
    </row>
    <row r="2615" spans="1:1" x14ac:dyDescent="0.3">
      <c r="A2615" s="1" t="s">
        <v>63</v>
      </c>
    </row>
    <row r="2616" spans="1:1" x14ac:dyDescent="0.3">
      <c r="A2616" s="2" t="s">
        <v>63</v>
      </c>
    </row>
    <row r="2617" spans="1:1" x14ac:dyDescent="0.3">
      <c r="A2617" s="1" t="s">
        <v>63</v>
      </c>
    </row>
    <row r="2618" spans="1:1" x14ac:dyDescent="0.3">
      <c r="A2618" s="2" t="s">
        <v>63</v>
      </c>
    </row>
    <row r="2619" spans="1:1" x14ac:dyDescent="0.3">
      <c r="A2619" s="1" t="s">
        <v>63</v>
      </c>
    </row>
    <row r="2620" spans="1:1" x14ac:dyDescent="0.3">
      <c r="A2620" s="2" t="s">
        <v>63</v>
      </c>
    </row>
    <row r="2621" spans="1:1" x14ac:dyDescent="0.3">
      <c r="A2621" s="1" t="s">
        <v>63</v>
      </c>
    </row>
    <row r="2622" spans="1:1" x14ac:dyDescent="0.3">
      <c r="A2622" s="2" t="s">
        <v>63</v>
      </c>
    </row>
    <row r="2623" spans="1:1" x14ac:dyDescent="0.3">
      <c r="A2623" s="1" t="s">
        <v>63</v>
      </c>
    </row>
    <row r="2624" spans="1:1" x14ac:dyDescent="0.3">
      <c r="A2624" s="2" t="s">
        <v>63</v>
      </c>
    </row>
    <row r="2625" spans="1:1" x14ac:dyDescent="0.3">
      <c r="A2625" s="1" t="s">
        <v>63</v>
      </c>
    </row>
    <row r="2626" spans="1:1" x14ac:dyDescent="0.3">
      <c r="A2626" s="2" t="s">
        <v>63</v>
      </c>
    </row>
    <row r="2627" spans="1:1" x14ac:dyDescent="0.3">
      <c r="A2627" s="1" t="s">
        <v>63</v>
      </c>
    </row>
    <row r="2628" spans="1:1" x14ac:dyDescent="0.3">
      <c r="A2628" s="2" t="s">
        <v>63</v>
      </c>
    </row>
    <row r="2629" spans="1:1" x14ac:dyDescent="0.3">
      <c r="A2629" s="1" t="s">
        <v>63</v>
      </c>
    </row>
    <row r="2630" spans="1:1" x14ac:dyDescent="0.3">
      <c r="A2630" s="2" t="s">
        <v>63</v>
      </c>
    </row>
    <row r="2631" spans="1:1" x14ac:dyDescent="0.3">
      <c r="A2631" s="1" t="s">
        <v>63</v>
      </c>
    </row>
    <row r="2632" spans="1:1" x14ac:dyDescent="0.3">
      <c r="A2632" s="2" t="s">
        <v>63</v>
      </c>
    </row>
    <row r="2633" spans="1:1" x14ac:dyDescent="0.3">
      <c r="A2633" s="1" t="s">
        <v>63</v>
      </c>
    </row>
    <row r="2634" spans="1:1" x14ac:dyDescent="0.3">
      <c r="A2634" s="2" t="s">
        <v>63</v>
      </c>
    </row>
    <row r="2635" spans="1:1" x14ac:dyDescent="0.3">
      <c r="A2635" s="1" t="s">
        <v>46</v>
      </c>
    </row>
    <row r="2636" spans="1:1" x14ac:dyDescent="0.3">
      <c r="A2636" s="2"/>
    </row>
    <row r="2637" spans="1:1" x14ac:dyDescent="0.3">
      <c r="A2637" s="1"/>
    </row>
    <row r="2638" spans="1:1" x14ac:dyDescent="0.3">
      <c r="A2638" s="2" t="s">
        <v>63</v>
      </c>
    </row>
    <row r="2639" spans="1:1" x14ac:dyDescent="0.3">
      <c r="A2639" s="1" t="s">
        <v>63</v>
      </c>
    </row>
    <row r="2640" spans="1:1" x14ac:dyDescent="0.3">
      <c r="A2640" s="2" t="s">
        <v>63</v>
      </c>
    </row>
    <row r="2641" spans="1:1" x14ac:dyDescent="0.3">
      <c r="A2641" s="1" t="s">
        <v>46</v>
      </c>
    </row>
    <row r="2642" spans="1:1" x14ac:dyDescent="0.3">
      <c r="A2642" s="2" t="s">
        <v>63</v>
      </c>
    </row>
    <row r="2643" spans="1:1" x14ac:dyDescent="0.3">
      <c r="A2643" s="1"/>
    </row>
    <row r="2644" spans="1:1" x14ac:dyDescent="0.3">
      <c r="A2644" s="2" t="s">
        <v>63</v>
      </c>
    </row>
    <row r="2645" spans="1:1" x14ac:dyDescent="0.3">
      <c r="A2645" s="1" t="s">
        <v>63</v>
      </c>
    </row>
    <row r="2646" spans="1:1" x14ac:dyDescent="0.3">
      <c r="A2646" s="2" t="s">
        <v>63</v>
      </c>
    </row>
    <row r="2647" spans="1:1" x14ac:dyDescent="0.3">
      <c r="A2647" s="1" t="s">
        <v>63</v>
      </c>
    </row>
    <row r="2648" spans="1:1" x14ac:dyDescent="0.3">
      <c r="A2648" s="2" t="s">
        <v>63</v>
      </c>
    </row>
    <row r="2649" spans="1:1" x14ac:dyDescent="0.3">
      <c r="A2649" s="1" t="s">
        <v>63</v>
      </c>
    </row>
    <row r="2650" spans="1:1" x14ac:dyDescent="0.3">
      <c r="A2650" s="2" t="s">
        <v>63</v>
      </c>
    </row>
    <row r="2651" spans="1:1" x14ac:dyDescent="0.3">
      <c r="A2651" s="1" t="s">
        <v>63</v>
      </c>
    </row>
    <row r="2652" spans="1:1" x14ac:dyDescent="0.3">
      <c r="A2652" s="2" t="s">
        <v>63</v>
      </c>
    </row>
    <row r="2653" spans="1:1" x14ac:dyDescent="0.3">
      <c r="A2653" s="1" t="s">
        <v>46</v>
      </c>
    </row>
    <row r="2654" spans="1:1" x14ac:dyDescent="0.3">
      <c r="A2654" s="2" t="s">
        <v>46</v>
      </c>
    </row>
    <row r="2655" spans="1:1" x14ac:dyDescent="0.3">
      <c r="A2655" s="1" t="s">
        <v>63</v>
      </c>
    </row>
    <row r="2656" spans="1:1" x14ac:dyDescent="0.3">
      <c r="A2656" s="2" t="s">
        <v>63</v>
      </c>
    </row>
    <row r="2657" spans="1:1" x14ac:dyDescent="0.3">
      <c r="A2657" s="1" t="s">
        <v>63</v>
      </c>
    </row>
    <row r="2658" spans="1:1" x14ac:dyDescent="0.3">
      <c r="A2658" s="2" t="s">
        <v>63</v>
      </c>
    </row>
    <row r="2659" spans="1:1" x14ac:dyDescent="0.3">
      <c r="A2659" s="1" t="s">
        <v>63</v>
      </c>
    </row>
    <row r="2660" spans="1:1" x14ac:dyDescent="0.3">
      <c r="A2660" s="2" t="s">
        <v>63</v>
      </c>
    </row>
    <row r="2661" spans="1:1" x14ac:dyDescent="0.3">
      <c r="A2661" s="1" t="s">
        <v>63</v>
      </c>
    </row>
    <row r="2662" spans="1:1" x14ac:dyDescent="0.3">
      <c r="A2662" s="2" t="s">
        <v>63</v>
      </c>
    </row>
    <row r="2663" spans="1:1" x14ac:dyDescent="0.3">
      <c r="A2663" s="1" t="s">
        <v>63</v>
      </c>
    </row>
    <row r="2664" spans="1:1" x14ac:dyDescent="0.3">
      <c r="A2664" s="2" t="s">
        <v>63</v>
      </c>
    </row>
    <row r="2665" spans="1:1" x14ac:dyDescent="0.3">
      <c r="A2665" s="1" t="s">
        <v>63</v>
      </c>
    </row>
    <row r="2666" spans="1:1" x14ac:dyDescent="0.3">
      <c r="A2666" s="2" t="s">
        <v>63</v>
      </c>
    </row>
    <row r="2667" spans="1:1" x14ac:dyDescent="0.3">
      <c r="A2667" s="1" t="s">
        <v>63</v>
      </c>
    </row>
    <row r="2668" spans="1:1" x14ac:dyDescent="0.3">
      <c r="A2668" s="2" t="s">
        <v>63</v>
      </c>
    </row>
    <row r="2669" spans="1:1" x14ac:dyDescent="0.3">
      <c r="A2669" s="1" t="s">
        <v>63</v>
      </c>
    </row>
    <row r="2670" spans="1:1" x14ac:dyDescent="0.3">
      <c r="A2670" s="2" t="s">
        <v>63</v>
      </c>
    </row>
    <row r="2671" spans="1:1" x14ac:dyDescent="0.3">
      <c r="A2671" s="1" t="s">
        <v>63</v>
      </c>
    </row>
    <row r="2672" spans="1:1" x14ac:dyDescent="0.3">
      <c r="A2672" s="2" t="s">
        <v>63</v>
      </c>
    </row>
    <row r="2673" spans="1:1" x14ac:dyDescent="0.3">
      <c r="A2673" s="1" t="s">
        <v>63</v>
      </c>
    </row>
    <row r="2674" spans="1:1" x14ac:dyDescent="0.3">
      <c r="A2674" s="2" t="s">
        <v>63</v>
      </c>
    </row>
    <row r="2675" spans="1:1" x14ac:dyDescent="0.3">
      <c r="A2675" s="1" t="s">
        <v>63</v>
      </c>
    </row>
    <row r="2676" spans="1:1" x14ac:dyDescent="0.3">
      <c r="A2676" s="2" t="s">
        <v>30</v>
      </c>
    </row>
    <row r="2677" spans="1:1" x14ac:dyDescent="0.3">
      <c r="A2677" s="1" t="s">
        <v>30</v>
      </c>
    </row>
    <row r="2678" spans="1:1" x14ac:dyDescent="0.3">
      <c r="A2678" s="2" t="s">
        <v>63</v>
      </c>
    </row>
    <row r="2679" spans="1:1" x14ac:dyDescent="0.3">
      <c r="A2679" s="1" t="s">
        <v>63</v>
      </c>
    </row>
    <row r="2680" spans="1:1" x14ac:dyDescent="0.3">
      <c r="A2680" s="2" t="s">
        <v>63</v>
      </c>
    </row>
    <row r="2681" spans="1:1" x14ac:dyDescent="0.3">
      <c r="A2681" s="1" t="s">
        <v>63</v>
      </c>
    </row>
    <row r="2682" spans="1:1" x14ac:dyDescent="0.3">
      <c r="A2682" s="2" t="s">
        <v>63</v>
      </c>
    </row>
    <row r="2683" spans="1:1" x14ac:dyDescent="0.3">
      <c r="A2683" s="1" t="s">
        <v>63</v>
      </c>
    </row>
    <row r="2684" spans="1:1" x14ac:dyDescent="0.3">
      <c r="A2684" s="2" t="s">
        <v>63</v>
      </c>
    </row>
    <row r="2685" spans="1:1" x14ac:dyDescent="0.3">
      <c r="A2685" s="1" t="s">
        <v>63</v>
      </c>
    </row>
    <row r="2686" spans="1:1" x14ac:dyDescent="0.3">
      <c r="A2686" s="2" t="s">
        <v>63</v>
      </c>
    </row>
    <row r="2687" spans="1:1" x14ac:dyDescent="0.3">
      <c r="A2687" s="1" t="s">
        <v>63</v>
      </c>
    </row>
    <row r="2688" spans="1:1" x14ac:dyDescent="0.3">
      <c r="A2688" s="2" t="s">
        <v>63</v>
      </c>
    </row>
    <row r="2689" spans="1:1" x14ac:dyDescent="0.3">
      <c r="A2689" s="1" t="s">
        <v>63</v>
      </c>
    </row>
    <row r="2690" spans="1:1" x14ac:dyDescent="0.3">
      <c r="A2690" s="2" t="s">
        <v>63</v>
      </c>
    </row>
    <row r="2691" spans="1:1" x14ac:dyDescent="0.3">
      <c r="A2691" s="1" t="s">
        <v>63</v>
      </c>
    </row>
    <row r="2692" spans="1:1" x14ac:dyDescent="0.3">
      <c r="A2692" s="2" t="s">
        <v>63</v>
      </c>
    </row>
    <row r="2693" spans="1:1" x14ac:dyDescent="0.3">
      <c r="A2693" s="1" t="s">
        <v>63</v>
      </c>
    </row>
    <row r="2694" spans="1:1" x14ac:dyDescent="0.3">
      <c r="A2694" s="2" t="s">
        <v>63</v>
      </c>
    </row>
    <row r="2695" spans="1:1" x14ac:dyDescent="0.3">
      <c r="A2695" s="1" t="s">
        <v>63</v>
      </c>
    </row>
    <row r="2696" spans="1:1" x14ac:dyDescent="0.3">
      <c r="A2696" s="2"/>
    </row>
    <row r="2697" spans="1:1" x14ac:dyDescent="0.3">
      <c r="A2697" s="1" t="s">
        <v>63</v>
      </c>
    </row>
    <row r="2698" spans="1:1" x14ac:dyDescent="0.3">
      <c r="A2698" s="2" t="s">
        <v>63</v>
      </c>
    </row>
    <row r="2699" spans="1:1" x14ac:dyDescent="0.3">
      <c r="A2699" s="1" t="s">
        <v>63</v>
      </c>
    </row>
    <row r="2700" spans="1:1" x14ac:dyDescent="0.3">
      <c r="A2700" s="2" t="s">
        <v>63</v>
      </c>
    </row>
    <row r="2701" spans="1:1" x14ac:dyDescent="0.3">
      <c r="A2701" s="1" t="s">
        <v>63</v>
      </c>
    </row>
    <row r="2702" spans="1:1" x14ac:dyDescent="0.3">
      <c r="A2702" s="2" t="s">
        <v>63</v>
      </c>
    </row>
    <row r="2703" spans="1:1" x14ac:dyDescent="0.3">
      <c r="A2703" s="1" t="s">
        <v>46</v>
      </c>
    </row>
    <row r="2704" spans="1:1" x14ac:dyDescent="0.3">
      <c r="A2704" s="2" t="s">
        <v>46</v>
      </c>
    </row>
    <row r="2705" spans="1:1" x14ac:dyDescent="0.3">
      <c r="A2705" s="1" t="s">
        <v>63</v>
      </c>
    </row>
    <row r="2706" spans="1:1" x14ac:dyDescent="0.3">
      <c r="A2706" s="2" t="s">
        <v>63</v>
      </c>
    </row>
    <row r="2707" spans="1:1" x14ac:dyDescent="0.3">
      <c r="A2707" s="1" t="s">
        <v>63</v>
      </c>
    </row>
    <row r="2708" spans="1:1" x14ac:dyDescent="0.3">
      <c r="A2708" s="2" t="s">
        <v>63</v>
      </c>
    </row>
    <row r="2709" spans="1:1" x14ac:dyDescent="0.3">
      <c r="A2709" s="1" t="s">
        <v>63</v>
      </c>
    </row>
    <row r="2710" spans="1:1" x14ac:dyDescent="0.3">
      <c r="A2710" s="2" t="s">
        <v>63</v>
      </c>
    </row>
    <row r="2711" spans="1:1" x14ac:dyDescent="0.3">
      <c r="A2711" s="1" t="s">
        <v>63</v>
      </c>
    </row>
    <row r="2712" spans="1:1" x14ac:dyDescent="0.3">
      <c r="A2712" s="2" t="s">
        <v>63</v>
      </c>
    </row>
    <row r="2713" spans="1:1" x14ac:dyDescent="0.3">
      <c r="A2713" s="1" t="s">
        <v>63</v>
      </c>
    </row>
    <row r="2714" spans="1:1" x14ac:dyDescent="0.3">
      <c r="A2714" s="2" t="s">
        <v>63</v>
      </c>
    </row>
    <row r="2715" spans="1:1" x14ac:dyDescent="0.3">
      <c r="A2715" s="1" t="s">
        <v>63</v>
      </c>
    </row>
    <row r="2716" spans="1:1" x14ac:dyDescent="0.3">
      <c r="A2716" s="2" t="s">
        <v>63</v>
      </c>
    </row>
    <row r="2717" spans="1:1" x14ac:dyDescent="0.3">
      <c r="A2717" s="1" t="s">
        <v>63</v>
      </c>
    </row>
    <row r="2718" spans="1:1" x14ac:dyDescent="0.3">
      <c r="A2718" s="2" t="s">
        <v>63</v>
      </c>
    </row>
    <row r="2719" spans="1:1" x14ac:dyDescent="0.3">
      <c r="A2719" s="1" t="s">
        <v>63</v>
      </c>
    </row>
    <row r="2720" spans="1:1" x14ac:dyDescent="0.3">
      <c r="A2720" s="2" t="s">
        <v>63</v>
      </c>
    </row>
    <row r="2721" spans="1:1" x14ac:dyDescent="0.3">
      <c r="A2721" s="1" t="s">
        <v>63</v>
      </c>
    </row>
    <row r="2722" spans="1:1" x14ac:dyDescent="0.3">
      <c r="A2722" s="2" t="s">
        <v>63</v>
      </c>
    </row>
    <row r="2723" spans="1:1" x14ac:dyDescent="0.3">
      <c r="A2723" s="1" t="s">
        <v>63</v>
      </c>
    </row>
    <row r="2724" spans="1:1" x14ac:dyDescent="0.3">
      <c r="A2724" s="2" t="s">
        <v>63</v>
      </c>
    </row>
    <row r="2725" spans="1:1" x14ac:dyDescent="0.3">
      <c r="A2725" s="1" t="s">
        <v>63</v>
      </c>
    </row>
    <row r="2726" spans="1:1" x14ac:dyDescent="0.3">
      <c r="A2726" s="2"/>
    </row>
    <row r="2727" spans="1:1" x14ac:dyDescent="0.3">
      <c r="A2727" s="1"/>
    </row>
    <row r="2728" spans="1:1" x14ac:dyDescent="0.3">
      <c r="A2728" s="2" t="s">
        <v>63</v>
      </c>
    </row>
    <row r="2729" spans="1:1" x14ac:dyDescent="0.3">
      <c r="A2729" s="1" t="s">
        <v>63</v>
      </c>
    </row>
    <row r="2730" spans="1:1" x14ac:dyDescent="0.3">
      <c r="A2730" s="2" t="s">
        <v>63</v>
      </c>
    </row>
    <row r="2731" spans="1:1" x14ac:dyDescent="0.3">
      <c r="A2731" s="1" t="s">
        <v>63</v>
      </c>
    </row>
    <row r="2732" spans="1:1" x14ac:dyDescent="0.3">
      <c r="A2732" s="2" t="s">
        <v>63</v>
      </c>
    </row>
    <row r="2733" spans="1:1" x14ac:dyDescent="0.3">
      <c r="A2733" s="1" t="s">
        <v>63</v>
      </c>
    </row>
    <row r="2734" spans="1:1" x14ac:dyDescent="0.3">
      <c r="A2734" s="2" t="s">
        <v>63</v>
      </c>
    </row>
    <row r="2735" spans="1:1" x14ac:dyDescent="0.3">
      <c r="A2735" s="1" t="s">
        <v>63</v>
      </c>
    </row>
    <row r="2736" spans="1:1" x14ac:dyDescent="0.3">
      <c r="A2736" s="2" t="s">
        <v>63</v>
      </c>
    </row>
    <row r="2737" spans="1:1" x14ac:dyDescent="0.3">
      <c r="A2737" s="1" t="s">
        <v>63</v>
      </c>
    </row>
    <row r="2738" spans="1:1" x14ac:dyDescent="0.3">
      <c r="A2738" s="2" t="s">
        <v>63</v>
      </c>
    </row>
    <row r="2739" spans="1:1" x14ac:dyDescent="0.3">
      <c r="A2739" s="1" t="s">
        <v>46</v>
      </c>
    </row>
    <row r="2740" spans="1:1" x14ac:dyDescent="0.3">
      <c r="A2740" s="2" t="s">
        <v>46</v>
      </c>
    </row>
    <row r="2741" spans="1:1" x14ac:dyDescent="0.3">
      <c r="A2741" s="1" t="s">
        <v>46</v>
      </c>
    </row>
    <row r="2742" spans="1:1" x14ac:dyDescent="0.3">
      <c r="A2742" s="2" t="s">
        <v>46</v>
      </c>
    </row>
    <row r="2743" spans="1:1" x14ac:dyDescent="0.3">
      <c r="A2743" s="1" t="s">
        <v>46</v>
      </c>
    </row>
    <row r="2744" spans="1:1" x14ac:dyDescent="0.3">
      <c r="A2744" s="2" t="s">
        <v>46</v>
      </c>
    </row>
    <row r="2745" spans="1:1" x14ac:dyDescent="0.3">
      <c r="A2745" s="1" t="s">
        <v>46</v>
      </c>
    </row>
    <row r="2746" spans="1:1" x14ac:dyDescent="0.3">
      <c r="A2746" s="2" t="s">
        <v>63</v>
      </c>
    </row>
    <row r="2747" spans="1:1" x14ac:dyDescent="0.3">
      <c r="A2747" s="1" t="s">
        <v>63</v>
      </c>
    </row>
    <row r="2748" spans="1:1" x14ac:dyDescent="0.3">
      <c r="A2748" s="2" t="s">
        <v>63</v>
      </c>
    </row>
    <row r="2749" spans="1:1" x14ac:dyDescent="0.3">
      <c r="A2749" s="1" t="s">
        <v>63</v>
      </c>
    </row>
    <row r="2750" spans="1:1" x14ac:dyDescent="0.3">
      <c r="A2750" s="2" t="s">
        <v>46</v>
      </c>
    </row>
    <row r="2751" spans="1:1" x14ac:dyDescent="0.3">
      <c r="A2751" s="1" t="s">
        <v>46</v>
      </c>
    </row>
    <row r="2752" spans="1:1" x14ac:dyDescent="0.3">
      <c r="A2752" s="2" t="s">
        <v>46</v>
      </c>
    </row>
    <row r="2753" spans="1:1" x14ac:dyDescent="0.3">
      <c r="A2753" s="1" t="s">
        <v>63</v>
      </c>
    </row>
    <row r="2754" spans="1:1" x14ac:dyDescent="0.3">
      <c r="A2754" s="2" t="s">
        <v>63</v>
      </c>
    </row>
    <row r="2755" spans="1:1" x14ac:dyDescent="0.3">
      <c r="A2755" s="1" t="s">
        <v>63</v>
      </c>
    </row>
    <row r="2756" spans="1:1" x14ac:dyDescent="0.3">
      <c r="A2756" s="2" t="s">
        <v>63</v>
      </c>
    </row>
    <row r="2757" spans="1:1" x14ac:dyDescent="0.3">
      <c r="A2757" s="1" t="s">
        <v>46</v>
      </c>
    </row>
    <row r="2758" spans="1:1" x14ac:dyDescent="0.3">
      <c r="A2758" s="2" t="s">
        <v>46</v>
      </c>
    </row>
    <row r="2759" spans="1:1" x14ac:dyDescent="0.3">
      <c r="A2759" s="1" t="s">
        <v>46</v>
      </c>
    </row>
    <row r="2760" spans="1:1" x14ac:dyDescent="0.3">
      <c r="A2760" s="2" t="s">
        <v>46</v>
      </c>
    </row>
    <row r="2761" spans="1:1" x14ac:dyDescent="0.3">
      <c r="A2761" s="1" t="s">
        <v>46</v>
      </c>
    </row>
    <row r="2762" spans="1:1" x14ac:dyDescent="0.3">
      <c r="A2762" s="2" t="s">
        <v>46</v>
      </c>
    </row>
    <row r="2763" spans="1:1" x14ac:dyDescent="0.3">
      <c r="A2763" s="1" t="s">
        <v>46</v>
      </c>
    </row>
    <row r="2764" spans="1:1" x14ac:dyDescent="0.3">
      <c r="A2764" s="2" t="s">
        <v>63</v>
      </c>
    </row>
    <row r="2765" spans="1:1" x14ac:dyDescent="0.3">
      <c r="A2765" s="1" t="s">
        <v>63</v>
      </c>
    </row>
    <row r="2766" spans="1:1" x14ac:dyDescent="0.3">
      <c r="A2766" s="2" t="s">
        <v>63</v>
      </c>
    </row>
    <row r="2767" spans="1:1" x14ac:dyDescent="0.3">
      <c r="A2767" s="1" t="s">
        <v>63</v>
      </c>
    </row>
    <row r="2768" spans="1:1" x14ac:dyDescent="0.3">
      <c r="A2768" s="2" t="s">
        <v>63</v>
      </c>
    </row>
    <row r="2769" spans="1:1" x14ac:dyDescent="0.3">
      <c r="A2769" s="1" t="s">
        <v>63</v>
      </c>
    </row>
    <row r="2770" spans="1:1" x14ac:dyDescent="0.3">
      <c r="A2770" s="2" t="s">
        <v>63</v>
      </c>
    </row>
    <row r="2771" spans="1:1" x14ac:dyDescent="0.3">
      <c r="A2771" s="1" t="s">
        <v>46</v>
      </c>
    </row>
    <row r="2772" spans="1:1" x14ac:dyDescent="0.3">
      <c r="A2772" s="2" t="s">
        <v>63</v>
      </c>
    </row>
    <row r="2773" spans="1:1" x14ac:dyDescent="0.3">
      <c r="A2773" s="1" t="s">
        <v>46</v>
      </c>
    </row>
    <row r="2774" spans="1:1" x14ac:dyDescent="0.3">
      <c r="A2774" s="2" t="s">
        <v>63</v>
      </c>
    </row>
    <row r="2775" spans="1:1" x14ac:dyDescent="0.3">
      <c r="A2775" s="1" t="s">
        <v>63</v>
      </c>
    </row>
    <row r="2776" spans="1:1" x14ac:dyDescent="0.3">
      <c r="A2776" s="2" t="s">
        <v>63</v>
      </c>
    </row>
    <row r="2777" spans="1:1" x14ac:dyDescent="0.3">
      <c r="A2777" s="1" t="s">
        <v>63</v>
      </c>
    </row>
    <row r="2778" spans="1:1" x14ac:dyDescent="0.3">
      <c r="A2778" s="2" t="s">
        <v>63</v>
      </c>
    </row>
    <row r="2779" spans="1:1" x14ac:dyDescent="0.3">
      <c r="A2779" s="1" t="s">
        <v>63</v>
      </c>
    </row>
    <row r="2780" spans="1:1" x14ac:dyDescent="0.3">
      <c r="A2780" s="2" t="s">
        <v>63</v>
      </c>
    </row>
    <row r="2781" spans="1:1" x14ac:dyDescent="0.3">
      <c r="A2781" s="1" t="s">
        <v>63</v>
      </c>
    </row>
    <row r="2782" spans="1:1" x14ac:dyDescent="0.3">
      <c r="A2782" s="2" t="s">
        <v>63</v>
      </c>
    </row>
    <row r="2783" spans="1:1" x14ac:dyDescent="0.3">
      <c r="A2783" s="1" t="s">
        <v>63</v>
      </c>
    </row>
    <row r="2784" spans="1:1" x14ac:dyDescent="0.3">
      <c r="A2784" s="2" t="s">
        <v>63</v>
      </c>
    </row>
    <row r="2785" spans="1:1" x14ac:dyDescent="0.3">
      <c r="A2785" s="1" t="s">
        <v>63</v>
      </c>
    </row>
    <row r="2786" spans="1:1" x14ac:dyDescent="0.3">
      <c r="A2786" s="2" t="s">
        <v>63</v>
      </c>
    </row>
    <row r="2787" spans="1:1" x14ac:dyDescent="0.3">
      <c r="A2787" s="1" t="s">
        <v>63</v>
      </c>
    </row>
    <row r="2788" spans="1:1" x14ac:dyDescent="0.3">
      <c r="A2788" s="2" t="s">
        <v>63</v>
      </c>
    </row>
    <row r="2789" spans="1:1" x14ac:dyDescent="0.3">
      <c r="A2789" s="1" t="s">
        <v>63</v>
      </c>
    </row>
    <row r="2790" spans="1:1" x14ac:dyDescent="0.3">
      <c r="A2790" s="2" t="s">
        <v>63</v>
      </c>
    </row>
    <row r="2791" spans="1:1" x14ac:dyDescent="0.3">
      <c r="A2791" s="1" t="s">
        <v>46</v>
      </c>
    </row>
    <row r="2792" spans="1:1" x14ac:dyDescent="0.3">
      <c r="A2792" s="2" t="s">
        <v>63</v>
      </c>
    </row>
    <row r="2793" spans="1:1" x14ac:dyDescent="0.3">
      <c r="A2793" s="1" t="s">
        <v>63</v>
      </c>
    </row>
    <row r="2794" spans="1:1" x14ac:dyDescent="0.3">
      <c r="A2794" s="2" t="s">
        <v>63</v>
      </c>
    </row>
    <row r="2795" spans="1:1" x14ac:dyDescent="0.3">
      <c r="A2795" s="1" t="s">
        <v>63</v>
      </c>
    </row>
    <row r="2796" spans="1:1" x14ac:dyDescent="0.3">
      <c r="A2796" s="2" t="s">
        <v>63</v>
      </c>
    </row>
    <row r="2797" spans="1:1" x14ac:dyDescent="0.3">
      <c r="A2797" s="1" t="s">
        <v>63</v>
      </c>
    </row>
    <row r="2798" spans="1:1" x14ac:dyDescent="0.3">
      <c r="A2798" s="2" t="s">
        <v>63</v>
      </c>
    </row>
    <row r="2799" spans="1:1" x14ac:dyDescent="0.3">
      <c r="A2799" s="1" t="s">
        <v>63</v>
      </c>
    </row>
    <row r="2800" spans="1:1" x14ac:dyDescent="0.3">
      <c r="A2800" s="2" t="s">
        <v>30</v>
      </c>
    </row>
    <row r="2801" spans="1:1" x14ac:dyDescent="0.3">
      <c r="A2801" s="1" t="s">
        <v>46</v>
      </c>
    </row>
    <row r="2802" spans="1:1" x14ac:dyDescent="0.3">
      <c r="A2802" s="2" t="s">
        <v>46</v>
      </c>
    </row>
    <row r="2803" spans="1:1" x14ac:dyDescent="0.3">
      <c r="A2803" s="1" t="s">
        <v>46</v>
      </c>
    </row>
    <row r="2804" spans="1:1" x14ac:dyDescent="0.3">
      <c r="A2804" s="2" t="s">
        <v>46</v>
      </c>
    </row>
    <row r="2805" spans="1:1" x14ac:dyDescent="0.3">
      <c r="A2805" s="1" t="s">
        <v>46</v>
      </c>
    </row>
    <row r="2806" spans="1:1" x14ac:dyDescent="0.3">
      <c r="A2806" s="2" t="s">
        <v>63</v>
      </c>
    </row>
    <row r="2807" spans="1:1" x14ac:dyDescent="0.3">
      <c r="A2807" s="1" t="s">
        <v>63</v>
      </c>
    </row>
    <row r="2808" spans="1:1" x14ac:dyDescent="0.3">
      <c r="A2808" s="2" t="s">
        <v>63</v>
      </c>
    </row>
    <row r="2809" spans="1:1" x14ac:dyDescent="0.3">
      <c r="A2809" s="1" t="s">
        <v>63</v>
      </c>
    </row>
    <row r="2810" spans="1:1" x14ac:dyDescent="0.3">
      <c r="A2810" s="2" t="s">
        <v>63</v>
      </c>
    </row>
    <row r="2811" spans="1:1" x14ac:dyDescent="0.3">
      <c r="A2811" s="1" t="s">
        <v>63</v>
      </c>
    </row>
    <row r="2812" spans="1:1" x14ac:dyDescent="0.3">
      <c r="A2812" s="2" t="s">
        <v>63</v>
      </c>
    </row>
    <row r="2813" spans="1:1" x14ac:dyDescent="0.3">
      <c r="A2813" s="1" t="s">
        <v>63</v>
      </c>
    </row>
    <row r="2814" spans="1:1" x14ac:dyDescent="0.3">
      <c r="A2814" s="2" t="s">
        <v>63</v>
      </c>
    </row>
    <row r="2815" spans="1:1" x14ac:dyDescent="0.3">
      <c r="A2815" s="1" t="s">
        <v>63</v>
      </c>
    </row>
    <row r="2816" spans="1:1" x14ac:dyDescent="0.3">
      <c r="A2816" s="2" t="s">
        <v>63</v>
      </c>
    </row>
    <row r="2817" spans="1:1" x14ac:dyDescent="0.3">
      <c r="A2817" s="1" t="s">
        <v>63</v>
      </c>
    </row>
    <row r="2818" spans="1:1" x14ac:dyDescent="0.3">
      <c r="A2818" s="2" t="s">
        <v>63</v>
      </c>
    </row>
    <row r="2819" spans="1:1" x14ac:dyDescent="0.3">
      <c r="A2819" s="1" t="s">
        <v>63</v>
      </c>
    </row>
    <row r="2820" spans="1:1" x14ac:dyDescent="0.3">
      <c r="A2820" s="2" t="s">
        <v>63</v>
      </c>
    </row>
    <row r="2821" spans="1:1" x14ac:dyDescent="0.3">
      <c r="A2821" s="1"/>
    </row>
    <row r="2822" spans="1:1" x14ac:dyDescent="0.3">
      <c r="A2822" s="2" t="s">
        <v>63</v>
      </c>
    </row>
    <row r="2823" spans="1:1" x14ac:dyDescent="0.3">
      <c r="A2823" s="1" t="s">
        <v>63</v>
      </c>
    </row>
    <row r="2824" spans="1:1" x14ac:dyDescent="0.3">
      <c r="A2824" s="2" t="s">
        <v>63</v>
      </c>
    </row>
    <row r="2825" spans="1:1" x14ac:dyDescent="0.3">
      <c r="A2825" s="1" t="s">
        <v>63</v>
      </c>
    </row>
    <row r="2826" spans="1:1" x14ac:dyDescent="0.3">
      <c r="A2826" s="2" t="s">
        <v>63</v>
      </c>
    </row>
    <row r="2827" spans="1:1" x14ac:dyDescent="0.3">
      <c r="A2827" s="1" t="s">
        <v>46</v>
      </c>
    </row>
    <row r="2828" spans="1:1" x14ac:dyDescent="0.3">
      <c r="A2828" s="2" t="s">
        <v>63</v>
      </c>
    </row>
    <row r="2829" spans="1:1" x14ac:dyDescent="0.3">
      <c r="A2829" s="1"/>
    </row>
    <row r="2830" spans="1:1" x14ac:dyDescent="0.3">
      <c r="A2830" s="2" t="s">
        <v>63</v>
      </c>
    </row>
    <row r="2831" spans="1:1" x14ac:dyDescent="0.3">
      <c r="A2831" s="1" t="s">
        <v>63</v>
      </c>
    </row>
    <row r="2832" spans="1:1" x14ac:dyDescent="0.3">
      <c r="A2832" s="2" t="s">
        <v>63</v>
      </c>
    </row>
    <row r="2833" spans="1:1" x14ac:dyDescent="0.3">
      <c r="A2833" s="1" t="s">
        <v>63</v>
      </c>
    </row>
    <row r="2834" spans="1:1" x14ac:dyDescent="0.3">
      <c r="A2834" s="2" t="s">
        <v>46</v>
      </c>
    </row>
    <row r="2835" spans="1:1" x14ac:dyDescent="0.3">
      <c r="A2835" s="1" t="s">
        <v>63</v>
      </c>
    </row>
    <row r="2836" spans="1:1" x14ac:dyDescent="0.3">
      <c r="A2836" s="2" t="s">
        <v>63</v>
      </c>
    </row>
    <row r="2837" spans="1:1" x14ac:dyDescent="0.3">
      <c r="A2837" s="1" t="s">
        <v>63</v>
      </c>
    </row>
    <row r="2838" spans="1:1" x14ac:dyDescent="0.3">
      <c r="A2838" s="2" t="s">
        <v>63</v>
      </c>
    </row>
    <row r="2839" spans="1:1" x14ac:dyDescent="0.3">
      <c r="A2839" s="1" t="s">
        <v>63</v>
      </c>
    </row>
    <row r="2840" spans="1:1" x14ac:dyDescent="0.3">
      <c r="A2840" s="2" t="s">
        <v>63</v>
      </c>
    </row>
    <row r="2841" spans="1:1" x14ac:dyDescent="0.3">
      <c r="A2841" s="1" t="s">
        <v>63</v>
      </c>
    </row>
    <row r="2842" spans="1:1" x14ac:dyDescent="0.3">
      <c r="A2842" s="2" t="s">
        <v>63</v>
      </c>
    </row>
    <row r="2843" spans="1:1" x14ac:dyDescent="0.3">
      <c r="A2843" s="1" t="s">
        <v>63</v>
      </c>
    </row>
    <row r="2844" spans="1:1" x14ac:dyDescent="0.3">
      <c r="A2844" s="2" t="s">
        <v>63</v>
      </c>
    </row>
    <row r="2845" spans="1:1" x14ac:dyDescent="0.3">
      <c r="A2845" s="1" t="s">
        <v>63</v>
      </c>
    </row>
    <row r="2846" spans="1:1" x14ac:dyDescent="0.3">
      <c r="A2846" s="2" t="s">
        <v>63</v>
      </c>
    </row>
    <row r="2847" spans="1:1" x14ac:dyDescent="0.3">
      <c r="A2847" s="1" t="s">
        <v>63</v>
      </c>
    </row>
    <row r="2848" spans="1:1" x14ac:dyDescent="0.3">
      <c r="A2848" s="2" t="s">
        <v>63</v>
      </c>
    </row>
    <row r="2849" spans="1:1" x14ac:dyDescent="0.3">
      <c r="A2849" s="1" t="s">
        <v>63</v>
      </c>
    </row>
    <row r="2850" spans="1:1" x14ac:dyDescent="0.3">
      <c r="A2850" s="2" t="s">
        <v>63</v>
      </c>
    </row>
    <row r="2851" spans="1:1" x14ac:dyDescent="0.3">
      <c r="A2851" s="1" t="s">
        <v>63</v>
      </c>
    </row>
    <row r="2852" spans="1:1" x14ac:dyDescent="0.3">
      <c r="A2852" s="2" t="s">
        <v>63</v>
      </c>
    </row>
    <row r="2853" spans="1:1" x14ac:dyDescent="0.3">
      <c r="A2853" s="1" t="s">
        <v>63</v>
      </c>
    </row>
    <row r="2854" spans="1:1" x14ac:dyDescent="0.3">
      <c r="A2854" s="2" t="s">
        <v>63</v>
      </c>
    </row>
    <row r="2855" spans="1:1" x14ac:dyDescent="0.3">
      <c r="A2855" s="1" t="s">
        <v>63</v>
      </c>
    </row>
    <row r="2856" spans="1:1" x14ac:dyDescent="0.3">
      <c r="A2856" s="2" t="s">
        <v>63</v>
      </c>
    </row>
    <row r="2857" spans="1:1" x14ac:dyDescent="0.3">
      <c r="A2857" s="1" t="s">
        <v>63</v>
      </c>
    </row>
    <row r="2858" spans="1:1" x14ac:dyDescent="0.3">
      <c r="A2858" s="2" t="s">
        <v>63</v>
      </c>
    </row>
    <row r="2859" spans="1:1" x14ac:dyDescent="0.3">
      <c r="A2859" s="1" t="s">
        <v>63</v>
      </c>
    </row>
    <row r="2860" spans="1:1" x14ac:dyDescent="0.3">
      <c r="A2860" s="2" t="s">
        <v>63</v>
      </c>
    </row>
    <row r="2861" spans="1:1" x14ac:dyDescent="0.3">
      <c r="A2861" s="1" t="s">
        <v>63</v>
      </c>
    </row>
    <row r="2862" spans="1:1" x14ac:dyDescent="0.3">
      <c r="A2862" s="2" t="s">
        <v>46</v>
      </c>
    </row>
    <row r="2863" spans="1:1" x14ac:dyDescent="0.3">
      <c r="A2863" s="1" t="s">
        <v>63</v>
      </c>
    </row>
    <row r="2864" spans="1:1" x14ac:dyDescent="0.3">
      <c r="A2864" s="2" t="s">
        <v>63</v>
      </c>
    </row>
    <row r="2865" spans="1:1" x14ac:dyDescent="0.3">
      <c r="A2865" s="1" t="s">
        <v>63</v>
      </c>
    </row>
    <row r="2866" spans="1:1" x14ac:dyDescent="0.3">
      <c r="A2866" s="2"/>
    </row>
    <row r="2867" spans="1:1" x14ac:dyDescent="0.3">
      <c r="A2867" s="1" t="s">
        <v>63</v>
      </c>
    </row>
    <row r="2868" spans="1:1" x14ac:dyDescent="0.3">
      <c r="A2868" s="2" t="s">
        <v>63</v>
      </c>
    </row>
    <row r="2869" spans="1:1" x14ac:dyDescent="0.3">
      <c r="A2869" s="1" t="s">
        <v>63</v>
      </c>
    </row>
    <row r="2870" spans="1:1" x14ac:dyDescent="0.3">
      <c r="A2870" s="2" t="s">
        <v>63</v>
      </c>
    </row>
    <row r="2871" spans="1:1" x14ac:dyDescent="0.3">
      <c r="A2871" s="1" t="s">
        <v>63</v>
      </c>
    </row>
    <row r="2872" spans="1:1" x14ac:dyDescent="0.3">
      <c r="A2872" s="2" t="s">
        <v>63</v>
      </c>
    </row>
    <row r="2873" spans="1:1" x14ac:dyDescent="0.3">
      <c r="A2873" s="1" t="s">
        <v>63</v>
      </c>
    </row>
    <row r="2874" spans="1:1" x14ac:dyDescent="0.3">
      <c r="A2874" s="2" t="s">
        <v>63</v>
      </c>
    </row>
    <row r="2875" spans="1:1" x14ac:dyDescent="0.3">
      <c r="A2875" s="1" t="s">
        <v>63</v>
      </c>
    </row>
    <row r="2876" spans="1:1" x14ac:dyDescent="0.3">
      <c r="A2876" s="2" t="s">
        <v>63</v>
      </c>
    </row>
    <row r="2877" spans="1:1" x14ac:dyDescent="0.3">
      <c r="A2877" s="1" t="s">
        <v>63</v>
      </c>
    </row>
    <row r="2878" spans="1:1" x14ac:dyDescent="0.3">
      <c r="A2878" s="2" t="s">
        <v>63</v>
      </c>
    </row>
    <row r="2879" spans="1:1" x14ac:dyDescent="0.3">
      <c r="A2879" s="1" t="s">
        <v>63</v>
      </c>
    </row>
    <row r="2880" spans="1:1" x14ac:dyDescent="0.3">
      <c r="A2880" s="2" t="s">
        <v>63</v>
      </c>
    </row>
    <row r="2881" spans="1:1" x14ac:dyDescent="0.3">
      <c r="A2881" s="1" t="s">
        <v>63</v>
      </c>
    </row>
    <row r="2882" spans="1:1" x14ac:dyDescent="0.3">
      <c r="A2882" s="2" t="s">
        <v>63</v>
      </c>
    </row>
    <row r="2883" spans="1:1" x14ac:dyDescent="0.3">
      <c r="A2883" s="1" t="s">
        <v>63</v>
      </c>
    </row>
    <row r="2884" spans="1:1" x14ac:dyDescent="0.3">
      <c r="A2884" s="2" t="s">
        <v>63</v>
      </c>
    </row>
    <row r="2885" spans="1:1" x14ac:dyDescent="0.3">
      <c r="A2885" s="1" t="s">
        <v>63</v>
      </c>
    </row>
    <row r="2886" spans="1:1" x14ac:dyDescent="0.3">
      <c r="A2886" s="2" t="s">
        <v>63</v>
      </c>
    </row>
    <row r="2887" spans="1:1" x14ac:dyDescent="0.3">
      <c r="A2887" s="1" t="s">
        <v>63</v>
      </c>
    </row>
    <row r="2888" spans="1:1" x14ac:dyDescent="0.3">
      <c r="A2888" s="2" t="s">
        <v>30</v>
      </c>
    </row>
    <row r="2889" spans="1:1" x14ac:dyDescent="0.3">
      <c r="A2889" s="1" t="s">
        <v>30</v>
      </c>
    </row>
    <row r="2890" spans="1:1" x14ac:dyDescent="0.3">
      <c r="A2890" s="2" t="s">
        <v>30</v>
      </c>
    </row>
    <row r="2891" spans="1:1" x14ac:dyDescent="0.3">
      <c r="A2891" s="1" t="s">
        <v>46</v>
      </c>
    </row>
    <row r="2892" spans="1:1" x14ac:dyDescent="0.3">
      <c r="A2892" s="2" t="s">
        <v>63</v>
      </c>
    </row>
    <row r="2893" spans="1:1" x14ac:dyDescent="0.3">
      <c r="A2893" s="1" t="s">
        <v>63</v>
      </c>
    </row>
    <row r="2894" spans="1:1" x14ac:dyDescent="0.3">
      <c r="A2894" s="2"/>
    </row>
    <row r="2895" spans="1:1" x14ac:dyDescent="0.3">
      <c r="A2895" s="1" t="s">
        <v>46</v>
      </c>
    </row>
    <row r="2896" spans="1:1" x14ac:dyDescent="0.3">
      <c r="A2896" s="2"/>
    </row>
    <row r="2897" spans="1:1" x14ac:dyDescent="0.3">
      <c r="A2897" s="1" t="s">
        <v>63</v>
      </c>
    </row>
    <row r="2898" spans="1:1" x14ac:dyDescent="0.3">
      <c r="A2898" s="2" t="s">
        <v>63</v>
      </c>
    </row>
    <row r="2899" spans="1:1" x14ac:dyDescent="0.3">
      <c r="A2899" s="1" t="s">
        <v>46</v>
      </c>
    </row>
    <row r="2900" spans="1:1" x14ac:dyDescent="0.3">
      <c r="A2900" s="2" t="s">
        <v>63</v>
      </c>
    </row>
    <row r="2901" spans="1:1" x14ac:dyDescent="0.3">
      <c r="A2901" s="1" t="s">
        <v>63</v>
      </c>
    </row>
    <row r="2902" spans="1:1" x14ac:dyDescent="0.3">
      <c r="A2902" s="2" t="s">
        <v>63</v>
      </c>
    </row>
    <row r="2903" spans="1:1" x14ac:dyDescent="0.3">
      <c r="A2903" s="1" t="s">
        <v>63</v>
      </c>
    </row>
    <row r="2904" spans="1:1" x14ac:dyDescent="0.3">
      <c r="A2904" s="2" t="s">
        <v>63</v>
      </c>
    </row>
    <row r="2905" spans="1:1" x14ac:dyDescent="0.3">
      <c r="A2905" s="1" t="s">
        <v>63</v>
      </c>
    </row>
    <row r="2906" spans="1:1" x14ac:dyDescent="0.3">
      <c r="A2906" s="2" t="s">
        <v>63</v>
      </c>
    </row>
    <row r="2907" spans="1:1" x14ac:dyDescent="0.3">
      <c r="A2907" s="1" t="s">
        <v>46</v>
      </c>
    </row>
    <row r="2908" spans="1:1" x14ac:dyDescent="0.3">
      <c r="A2908" s="2" t="s">
        <v>63</v>
      </c>
    </row>
    <row r="2909" spans="1:1" x14ac:dyDescent="0.3">
      <c r="A2909" s="1" t="s">
        <v>46</v>
      </c>
    </row>
    <row r="2910" spans="1:1" x14ac:dyDescent="0.3">
      <c r="A2910" s="2" t="s">
        <v>63</v>
      </c>
    </row>
    <row r="2911" spans="1:1" x14ac:dyDescent="0.3">
      <c r="A2911" s="1" t="s">
        <v>46</v>
      </c>
    </row>
    <row r="2912" spans="1:1" x14ac:dyDescent="0.3">
      <c r="A2912" s="2" t="s">
        <v>63</v>
      </c>
    </row>
    <row r="2913" spans="1:1" x14ac:dyDescent="0.3">
      <c r="A2913" s="1" t="s">
        <v>63</v>
      </c>
    </row>
    <row r="2914" spans="1:1" x14ac:dyDescent="0.3">
      <c r="A2914" s="2" t="s">
        <v>63</v>
      </c>
    </row>
    <row r="2915" spans="1:1" x14ac:dyDescent="0.3">
      <c r="A2915" s="1" t="s">
        <v>63</v>
      </c>
    </row>
    <row r="2916" spans="1:1" x14ac:dyDescent="0.3">
      <c r="A2916" s="2" t="s">
        <v>63</v>
      </c>
    </row>
    <row r="2917" spans="1:1" x14ac:dyDescent="0.3">
      <c r="A2917" s="1" t="s">
        <v>63</v>
      </c>
    </row>
    <row r="2918" spans="1:1" x14ac:dyDescent="0.3">
      <c r="A2918" s="2" t="s">
        <v>63</v>
      </c>
    </row>
    <row r="2919" spans="1:1" x14ac:dyDescent="0.3">
      <c r="A2919" s="1" t="s">
        <v>63</v>
      </c>
    </row>
    <row r="2920" spans="1:1" x14ac:dyDescent="0.3">
      <c r="A2920" s="2" t="s">
        <v>63</v>
      </c>
    </row>
    <row r="2921" spans="1:1" x14ac:dyDescent="0.3">
      <c r="A2921" s="1" t="s">
        <v>63</v>
      </c>
    </row>
    <row r="2922" spans="1:1" x14ac:dyDescent="0.3">
      <c r="A2922" s="2" t="s">
        <v>63</v>
      </c>
    </row>
    <row r="2923" spans="1:1" x14ac:dyDescent="0.3">
      <c r="A2923" s="1" t="s">
        <v>63</v>
      </c>
    </row>
    <row r="2924" spans="1:1" x14ac:dyDescent="0.3">
      <c r="A2924" s="2" t="s">
        <v>63</v>
      </c>
    </row>
    <row r="2925" spans="1:1" x14ac:dyDescent="0.3">
      <c r="A2925" s="1" t="s">
        <v>63</v>
      </c>
    </row>
    <row r="2926" spans="1:1" x14ac:dyDescent="0.3">
      <c r="A2926" s="2" t="s">
        <v>63</v>
      </c>
    </row>
    <row r="2927" spans="1:1" x14ac:dyDescent="0.3">
      <c r="A2927" s="1" t="s">
        <v>63</v>
      </c>
    </row>
    <row r="2928" spans="1:1" x14ac:dyDescent="0.3">
      <c r="A2928" s="2" t="s">
        <v>63</v>
      </c>
    </row>
    <row r="2929" spans="1:1" x14ac:dyDescent="0.3">
      <c r="A2929" s="1" t="s">
        <v>63</v>
      </c>
    </row>
    <row r="2930" spans="1:1" x14ac:dyDescent="0.3">
      <c r="A2930" s="2" t="s">
        <v>63</v>
      </c>
    </row>
    <row r="2931" spans="1:1" x14ac:dyDescent="0.3">
      <c r="A2931" s="1" t="s">
        <v>63</v>
      </c>
    </row>
    <row r="2932" spans="1:1" x14ac:dyDescent="0.3">
      <c r="A2932" s="2" t="s">
        <v>63</v>
      </c>
    </row>
    <row r="2933" spans="1:1" x14ac:dyDescent="0.3">
      <c r="A2933" s="1" t="s">
        <v>46</v>
      </c>
    </row>
    <row r="2934" spans="1:1" x14ac:dyDescent="0.3">
      <c r="A2934" s="2" t="s">
        <v>63</v>
      </c>
    </row>
    <row r="2935" spans="1:1" x14ac:dyDescent="0.3">
      <c r="A2935" s="1" t="s">
        <v>63</v>
      </c>
    </row>
    <row r="2936" spans="1:1" x14ac:dyDescent="0.3">
      <c r="A2936" s="2" t="s">
        <v>63</v>
      </c>
    </row>
    <row r="2937" spans="1:1" x14ac:dyDescent="0.3">
      <c r="A2937" s="1" t="s">
        <v>63</v>
      </c>
    </row>
    <row r="2938" spans="1:1" x14ac:dyDescent="0.3">
      <c r="A2938" s="2" t="s">
        <v>63</v>
      </c>
    </row>
    <row r="2939" spans="1:1" x14ac:dyDescent="0.3">
      <c r="A2939" s="1" t="s">
        <v>63</v>
      </c>
    </row>
    <row r="2940" spans="1:1" x14ac:dyDescent="0.3">
      <c r="A2940" s="2" t="s">
        <v>63</v>
      </c>
    </row>
    <row r="2941" spans="1:1" x14ac:dyDescent="0.3">
      <c r="A2941" s="1" t="s">
        <v>63</v>
      </c>
    </row>
    <row r="2942" spans="1:1" x14ac:dyDescent="0.3">
      <c r="A2942" s="2" t="s">
        <v>63</v>
      </c>
    </row>
    <row r="2943" spans="1:1" x14ac:dyDescent="0.3">
      <c r="A2943" s="1" t="s">
        <v>63</v>
      </c>
    </row>
    <row r="2944" spans="1:1" x14ac:dyDescent="0.3">
      <c r="A2944" s="2" t="s">
        <v>63</v>
      </c>
    </row>
    <row r="2945" spans="1:1" x14ac:dyDescent="0.3">
      <c r="A2945" s="1" t="s">
        <v>63</v>
      </c>
    </row>
    <row r="2946" spans="1:1" x14ac:dyDescent="0.3">
      <c r="A2946" s="2" t="s">
        <v>63</v>
      </c>
    </row>
    <row r="2947" spans="1:1" x14ac:dyDescent="0.3">
      <c r="A2947" s="1" t="s">
        <v>63</v>
      </c>
    </row>
    <row r="2948" spans="1:1" x14ac:dyDescent="0.3">
      <c r="A2948" s="2" t="s">
        <v>63</v>
      </c>
    </row>
    <row r="2949" spans="1:1" x14ac:dyDescent="0.3">
      <c r="A2949" s="1" t="s">
        <v>63</v>
      </c>
    </row>
    <row r="2950" spans="1:1" x14ac:dyDescent="0.3">
      <c r="A2950" s="2" t="s">
        <v>63</v>
      </c>
    </row>
    <row r="2951" spans="1:1" x14ac:dyDescent="0.3">
      <c r="A2951" s="1" t="s">
        <v>63</v>
      </c>
    </row>
    <row r="2952" spans="1:1" x14ac:dyDescent="0.3">
      <c r="A2952" s="2" t="s">
        <v>63</v>
      </c>
    </row>
    <row r="2953" spans="1:1" x14ac:dyDescent="0.3">
      <c r="A2953" s="1" t="s">
        <v>63</v>
      </c>
    </row>
    <row r="2954" spans="1:1" x14ac:dyDescent="0.3">
      <c r="A2954" s="2" t="s">
        <v>63</v>
      </c>
    </row>
    <row r="2955" spans="1:1" x14ac:dyDescent="0.3">
      <c r="A2955" s="1" t="s">
        <v>63</v>
      </c>
    </row>
    <row r="2956" spans="1:1" x14ac:dyDescent="0.3">
      <c r="A2956" s="2" t="s">
        <v>46</v>
      </c>
    </row>
    <row r="2957" spans="1:1" x14ac:dyDescent="0.3">
      <c r="A2957" s="1" t="s">
        <v>63</v>
      </c>
    </row>
    <row r="2958" spans="1:1" x14ac:dyDescent="0.3">
      <c r="A2958" s="2" t="s">
        <v>63</v>
      </c>
    </row>
    <row r="2959" spans="1:1" x14ac:dyDescent="0.3">
      <c r="A2959" s="1" t="s">
        <v>63</v>
      </c>
    </row>
    <row r="2960" spans="1:1" x14ac:dyDescent="0.3">
      <c r="A2960" s="2" t="s">
        <v>63</v>
      </c>
    </row>
    <row r="2961" spans="1:1" x14ac:dyDescent="0.3">
      <c r="A2961" s="1" t="s">
        <v>46</v>
      </c>
    </row>
    <row r="2962" spans="1:1" x14ac:dyDescent="0.3">
      <c r="A2962" s="2" t="s">
        <v>63</v>
      </c>
    </row>
    <row r="2963" spans="1:1" x14ac:dyDescent="0.3">
      <c r="A2963" s="1" t="s">
        <v>63</v>
      </c>
    </row>
    <row r="2964" spans="1:1" x14ac:dyDescent="0.3">
      <c r="A2964" s="2" t="s">
        <v>63</v>
      </c>
    </row>
    <row r="2965" spans="1:1" x14ac:dyDescent="0.3">
      <c r="A2965" s="1" t="s">
        <v>30</v>
      </c>
    </row>
    <row r="2966" spans="1:1" x14ac:dyDescent="0.3">
      <c r="A2966" s="2" t="s">
        <v>46</v>
      </c>
    </row>
    <row r="2967" spans="1:1" x14ac:dyDescent="0.3">
      <c r="A2967" s="1" t="s">
        <v>63</v>
      </c>
    </row>
    <row r="2968" spans="1:1" x14ac:dyDescent="0.3">
      <c r="A2968" s="2" t="s">
        <v>63</v>
      </c>
    </row>
    <row r="2969" spans="1:1" x14ac:dyDescent="0.3">
      <c r="A2969" s="1" t="s">
        <v>63</v>
      </c>
    </row>
    <row r="2970" spans="1:1" x14ac:dyDescent="0.3">
      <c r="A2970" s="2" t="s">
        <v>46</v>
      </c>
    </row>
    <row r="2971" spans="1:1" x14ac:dyDescent="0.3">
      <c r="A2971" s="1" t="s">
        <v>46</v>
      </c>
    </row>
    <row r="2972" spans="1:1" x14ac:dyDescent="0.3">
      <c r="A2972" s="2" t="s">
        <v>63</v>
      </c>
    </row>
    <row r="2973" spans="1:1" x14ac:dyDescent="0.3">
      <c r="A2973" s="1" t="s">
        <v>63</v>
      </c>
    </row>
    <row r="2974" spans="1:1" x14ac:dyDescent="0.3">
      <c r="A2974" s="2" t="s">
        <v>63</v>
      </c>
    </row>
    <row r="2975" spans="1:1" x14ac:dyDescent="0.3">
      <c r="A2975" s="1" t="s">
        <v>63</v>
      </c>
    </row>
    <row r="2976" spans="1:1" x14ac:dyDescent="0.3">
      <c r="A2976" s="2" t="s">
        <v>63</v>
      </c>
    </row>
    <row r="2977" spans="1:1" x14ac:dyDescent="0.3">
      <c r="A2977" s="1" t="s">
        <v>63</v>
      </c>
    </row>
    <row r="2978" spans="1:1" x14ac:dyDescent="0.3">
      <c r="A2978" s="2" t="s">
        <v>63</v>
      </c>
    </row>
    <row r="2979" spans="1:1" x14ac:dyDescent="0.3">
      <c r="A2979" s="1" t="s">
        <v>63</v>
      </c>
    </row>
    <row r="2980" spans="1:1" x14ac:dyDescent="0.3">
      <c r="A2980" s="2" t="s">
        <v>63</v>
      </c>
    </row>
    <row r="2981" spans="1:1" x14ac:dyDescent="0.3">
      <c r="A2981" s="3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A0D0-F2CE-45A1-BF21-3D839E0D94A6}">
  <dimension ref="A1:E2981"/>
  <sheetViews>
    <sheetView workbookViewId="0">
      <selection activeCell="E8" sqref="E8"/>
    </sheetView>
  </sheetViews>
  <sheetFormatPr baseColWidth="10" defaultRowHeight="14.4" x14ac:dyDescent="0.3"/>
  <sheetData>
    <row r="1" spans="1:5" x14ac:dyDescent="0.3">
      <c r="A1" s="1" t="s">
        <v>49</v>
      </c>
      <c r="C1" t="str" cm="1">
        <f t="array" ref="C1:C3">_xlfn.UNIQUE(A1:A2981)</f>
        <v>Ambos</v>
      </c>
      <c r="D1">
        <f>COUNTIF($A$1:$A$2981,C1)</f>
        <v>1926</v>
      </c>
      <c r="E1" s="48">
        <f>D1/$D$4*100</f>
        <v>64.60919154646092</v>
      </c>
    </row>
    <row r="2" spans="1:5" x14ac:dyDescent="0.3">
      <c r="A2" s="2" t="s">
        <v>49</v>
      </c>
      <c r="C2" t="str">
        <v>Primario</v>
      </c>
      <c r="D2">
        <f>COUNTIF($A$1:$A$2981,C2)</f>
        <v>855</v>
      </c>
      <c r="E2" s="48">
        <f t="shared" ref="E2:E3" si="0">D2/$D$4*100</f>
        <v>28.681650452868162</v>
      </c>
    </row>
    <row r="3" spans="1:5" x14ac:dyDescent="0.3">
      <c r="A3" s="1" t="s">
        <v>49</v>
      </c>
      <c r="C3" t="str">
        <v>Secundario</v>
      </c>
      <c r="D3">
        <f>COUNTIF($A$1:$A$2981,C3)</f>
        <v>200</v>
      </c>
      <c r="E3" s="48">
        <f t="shared" si="0"/>
        <v>6.7091580006709162</v>
      </c>
    </row>
    <row r="4" spans="1:5" x14ac:dyDescent="0.3">
      <c r="A4" s="2" t="s">
        <v>49</v>
      </c>
      <c r="D4">
        <f>SUM(D1:D3)</f>
        <v>2981</v>
      </c>
      <c r="E4">
        <f>SUM(E1:E3)</f>
        <v>99.999999999999986</v>
      </c>
    </row>
    <row r="5" spans="1:5" x14ac:dyDescent="0.3">
      <c r="A5" s="1" t="s">
        <v>49</v>
      </c>
    </row>
    <row r="6" spans="1:5" x14ac:dyDescent="0.3">
      <c r="A6" s="2" t="s">
        <v>49</v>
      </c>
    </row>
    <row r="7" spans="1:5" x14ac:dyDescent="0.3">
      <c r="A7" s="1" t="s">
        <v>49</v>
      </c>
    </row>
    <row r="8" spans="1:5" x14ac:dyDescent="0.3">
      <c r="A8" s="2" t="s">
        <v>49</v>
      </c>
    </row>
    <row r="9" spans="1:5" x14ac:dyDescent="0.3">
      <c r="A9" s="1" t="s">
        <v>49</v>
      </c>
    </row>
    <row r="10" spans="1:5" x14ac:dyDescent="0.3">
      <c r="A10" s="2" t="s">
        <v>49</v>
      </c>
    </row>
    <row r="11" spans="1:5" x14ac:dyDescent="0.3">
      <c r="A11" s="1" t="s">
        <v>49</v>
      </c>
    </row>
    <row r="12" spans="1:5" x14ac:dyDescent="0.3">
      <c r="A12" s="2" t="s">
        <v>49</v>
      </c>
    </row>
    <row r="13" spans="1:5" x14ac:dyDescent="0.3">
      <c r="A13" s="1" t="s">
        <v>49</v>
      </c>
    </row>
    <row r="14" spans="1:5" x14ac:dyDescent="0.3">
      <c r="A14" s="2" t="s">
        <v>49</v>
      </c>
    </row>
    <row r="15" spans="1:5" x14ac:dyDescent="0.3">
      <c r="A15" s="1" t="s">
        <v>49</v>
      </c>
    </row>
    <row r="16" spans="1:5" x14ac:dyDescent="0.3">
      <c r="A16" s="2" t="s">
        <v>49</v>
      </c>
    </row>
    <row r="17" spans="1:1" x14ac:dyDescent="0.3">
      <c r="A17" s="1" t="s">
        <v>49</v>
      </c>
    </row>
    <row r="18" spans="1:1" x14ac:dyDescent="0.3">
      <c r="A18" s="2" t="s">
        <v>49</v>
      </c>
    </row>
    <row r="19" spans="1:1" x14ac:dyDescent="0.3">
      <c r="A19" s="1" t="s">
        <v>49</v>
      </c>
    </row>
    <row r="20" spans="1:1" x14ac:dyDescent="0.3">
      <c r="A20" s="2" t="s">
        <v>49</v>
      </c>
    </row>
    <row r="21" spans="1:1" x14ac:dyDescent="0.3">
      <c r="A21" s="1" t="s">
        <v>49</v>
      </c>
    </row>
    <row r="22" spans="1:1" x14ac:dyDescent="0.3">
      <c r="A22" s="2" t="s">
        <v>49</v>
      </c>
    </row>
    <row r="23" spans="1:1" x14ac:dyDescent="0.3">
      <c r="A23" s="1" t="s">
        <v>49</v>
      </c>
    </row>
    <row r="24" spans="1:1" x14ac:dyDescent="0.3">
      <c r="A24" s="2" t="s">
        <v>49</v>
      </c>
    </row>
    <row r="25" spans="1:1" x14ac:dyDescent="0.3">
      <c r="A25" s="1" t="s">
        <v>49</v>
      </c>
    </row>
    <row r="26" spans="1:1" x14ac:dyDescent="0.3">
      <c r="A26" s="2" t="s">
        <v>49</v>
      </c>
    </row>
    <row r="27" spans="1:1" x14ac:dyDescent="0.3">
      <c r="A27" s="1" t="s">
        <v>49</v>
      </c>
    </row>
    <row r="28" spans="1:1" x14ac:dyDescent="0.3">
      <c r="A28" s="2" t="s">
        <v>49</v>
      </c>
    </row>
    <row r="29" spans="1:1" x14ac:dyDescent="0.3">
      <c r="A29" s="1" t="s">
        <v>49</v>
      </c>
    </row>
    <row r="30" spans="1:1" x14ac:dyDescent="0.3">
      <c r="A30" s="2" t="s">
        <v>49</v>
      </c>
    </row>
    <row r="31" spans="1:1" x14ac:dyDescent="0.3">
      <c r="A31" s="1" t="s">
        <v>49</v>
      </c>
    </row>
    <row r="32" spans="1:1" x14ac:dyDescent="0.3">
      <c r="A32" s="2" t="s">
        <v>49</v>
      </c>
    </row>
    <row r="33" spans="1:1" x14ac:dyDescent="0.3">
      <c r="A33" s="1" t="s">
        <v>49</v>
      </c>
    </row>
    <row r="34" spans="1:1" x14ac:dyDescent="0.3">
      <c r="A34" s="2" t="s">
        <v>49</v>
      </c>
    </row>
    <row r="35" spans="1:1" x14ac:dyDescent="0.3">
      <c r="A35" s="1" t="s">
        <v>49</v>
      </c>
    </row>
    <row r="36" spans="1:1" x14ac:dyDescent="0.3">
      <c r="A36" s="2" t="s">
        <v>49</v>
      </c>
    </row>
    <row r="37" spans="1:1" x14ac:dyDescent="0.3">
      <c r="A37" s="1" t="s">
        <v>49</v>
      </c>
    </row>
    <row r="38" spans="1:1" x14ac:dyDescent="0.3">
      <c r="A38" s="2" t="s">
        <v>49</v>
      </c>
    </row>
    <row r="39" spans="1:1" x14ac:dyDescent="0.3">
      <c r="A39" s="1" t="s">
        <v>49</v>
      </c>
    </row>
    <row r="40" spans="1:1" x14ac:dyDescent="0.3">
      <c r="A40" s="2" t="s">
        <v>49</v>
      </c>
    </row>
    <row r="41" spans="1:1" x14ac:dyDescent="0.3">
      <c r="A41" s="1" t="s">
        <v>49</v>
      </c>
    </row>
    <row r="42" spans="1:1" x14ac:dyDescent="0.3">
      <c r="A42" s="2" t="s">
        <v>49</v>
      </c>
    </row>
    <row r="43" spans="1:1" x14ac:dyDescent="0.3">
      <c r="A43" s="1" t="s">
        <v>49</v>
      </c>
    </row>
    <row r="44" spans="1:1" x14ac:dyDescent="0.3">
      <c r="A44" s="2" t="s">
        <v>49</v>
      </c>
    </row>
    <row r="45" spans="1:1" x14ac:dyDescent="0.3">
      <c r="A45" s="1" t="s">
        <v>49</v>
      </c>
    </row>
    <row r="46" spans="1:1" x14ac:dyDescent="0.3">
      <c r="A46" s="2" t="s">
        <v>49</v>
      </c>
    </row>
    <row r="47" spans="1:1" x14ac:dyDescent="0.3">
      <c r="A47" s="1" t="s">
        <v>49</v>
      </c>
    </row>
    <row r="48" spans="1:1" x14ac:dyDescent="0.3">
      <c r="A48" s="2" t="s">
        <v>49</v>
      </c>
    </row>
    <row r="49" spans="1:1" x14ac:dyDescent="0.3">
      <c r="A49" s="1" t="s">
        <v>49</v>
      </c>
    </row>
    <row r="50" spans="1:1" x14ac:dyDescent="0.3">
      <c r="A50" s="2" t="s">
        <v>49</v>
      </c>
    </row>
    <row r="51" spans="1:1" x14ac:dyDescent="0.3">
      <c r="A51" s="1" t="s">
        <v>49</v>
      </c>
    </row>
    <row r="52" spans="1:1" x14ac:dyDescent="0.3">
      <c r="A52" s="2" t="s">
        <v>49</v>
      </c>
    </row>
    <row r="53" spans="1:1" x14ac:dyDescent="0.3">
      <c r="A53" s="1" t="s">
        <v>49</v>
      </c>
    </row>
    <row r="54" spans="1:1" x14ac:dyDescent="0.3">
      <c r="A54" s="2" t="s">
        <v>49</v>
      </c>
    </row>
    <row r="55" spans="1:1" x14ac:dyDescent="0.3">
      <c r="A55" s="1" t="s">
        <v>49</v>
      </c>
    </row>
    <row r="56" spans="1:1" x14ac:dyDescent="0.3">
      <c r="A56" s="2" t="s">
        <v>49</v>
      </c>
    </row>
    <row r="57" spans="1:1" x14ac:dyDescent="0.3">
      <c r="A57" s="1" t="s">
        <v>49</v>
      </c>
    </row>
    <row r="58" spans="1:1" x14ac:dyDescent="0.3">
      <c r="A58" s="2" t="s">
        <v>33</v>
      </c>
    </row>
    <row r="59" spans="1:1" x14ac:dyDescent="0.3">
      <c r="A59" s="1" t="s">
        <v>33</v>
      </c>
    </row>
    <row r="60" spans="1:1" x14ac:dyDescent="0.3">
      <c r="A60" s="2" t="s">
        <v>33</v>
      </c>
    </row>
    <row r="61" spans="1:1" x14ac:dyDescent="0.3">
      <c r="A61" s="1" t="s">
        <v>33</v>
      </c>
    </row>
    <row r="62" spans="1:1" x14ac:dyDescent="0.3">
      <c r="A62" s="2" t="s">
        <v>33</v>
      </c>
    </row>
    <row r="63" spans="1:1" x14ac:dyDescent="0.3">
      <c r="A63" s="1" t="s">
        <v>49</v>
      </c>
    </row>
    <row r="64" spans="1:1" x14ac:dyDescent="0.3">
      <c r="A64" s="2" t="s">
        <v>74</v>
      </c>
    </row>
    <row r="65" spans="1:1" x14ac:dyDescent="0.3">
      <c r="A65" s="1" t="s">
        <v>74</v>
      </c>
    </row>
    <row r="66" spans="1:1" x14ac:dyDescent="0.3">
      <c r="A66" s="2" t="s">
        <v>74</v>
      </c>
    </row>
    <row r="67" spans="1:1" x14ac:dyDescent="0.3">
      <c r="A67" s="1" t="s">
        <v>74</v>
      </c>
    </row>
    <row r="68" spans="1:1" x14ac:dyDescent="0.3">
      <c r="A68" s="2" t="s">
        <v>74</v>
      </c>
    </row>
    <row r="69" spans="1:1" x14ac:dyDescent="0.3">
      <c r="A69" s="1" t="s">
        <v>74</v>
      </c>
    </row>
    <row r="70" spans="1:1" x14ac:dyDescent="0.3">
      <c r="A70" s="2" t="s">
        <v>74</v>
      </c>
    </row>
    <row r="71" spans="1:1" x14ac:dyDescent="0.3">
      <c r="A71" s="1" t="s">
        <v>74</v>
      </c>
    </row>
    <row r="72" spans="1:1" x14ac:dyDescent="0.3">
      <c r="A72" s="2" t="s">
        <v>74</v>
      </c>
    </row>
    <row r="73" spans="1:1" x14ac:dyDescent="0.3">
      <c r="A73" s="1" t="s">
        <v>74</v>
      </c>
    </row>
    <row r="74" spans="1:1" x14ac:dyDescent="0.3">
      <c r="A74" s="2" t="s">
        <v>74</v>
      </c>
    </row>
    <row r="75" spans="1:1" x14ac:dyDescent="0.3">
      <c r="A75" s="1" t="s">
        <v>74</v>
      </c>
    </row>
    <row r="76" spans="1:1" x14ac:dyDescent="0.3">
      <c r="A76" s="2" t="s">
        <v>74</v>
      </c>
    </row>
    <row r="77" spans="1:1" x14ac:dyDescent="0.3">
      <c r="A77" s="1" t="s">
        <v>74</v>
      </c>
    </row>
    <row r="78" spans="1:1" x14ac:dyDescent="0.3">
      <c r="A78" s="2" t="s">
        <v>74</v>
      </c>
    </row>
    <row r="79" spans="1:1" x14ac:dyDescent="0.3">
      <c r="A79" s="1" t="s">
        <v>74</v>
      </c>
    </row>
    <row r="80" spans="1:1" x14ac:dyDescent="0.3">
      <c r="A80" s="2" t="s">
        <v>74</v>
      </c>
    </row>
    <row r="81" spans="1:1" x14ac:dyDescent="0.3">
      <c r="A81" s="1" t="s">
        <v>74</v>
      </c>
    </row>
    <row r="82" spans="1:1" x14ac:dyDescent="0.3">
      <c r="A82" s="2" t="s">
        <v>74</v>
      </c>
    </row>
    <row r="83" spans="1:1" x14ac:dyDescent="0.3">
      <c r="A83" s="1" t="s">
        <v>74</v>
      </c>
    </row>
    <row r="84" spans="1:1" x14ac:dyDescent="0.3">
      <c r="A84" s="2" t="s">
        <v>33</v>
      </c>
    </row>
    <row r="85" spans="1:1" x14ac:dyDescent="0.3">
      <c r="A85" s="1" t="s">
        <v>33</v>
      </c>
    </row>
    <row r="86" spans="1:1" x14ac:dyDescent="0.3">
      <c r="A86" s="2" t="s">
        <v>33</v>
      </c>
    </row>
    <row r="87" spans="1:1" x14ac:dyDescent="0.3">
      <c r="A87" s="1" t="s">
        <v>33</v>
      </c>
    </row>
    <row r="88" spans="1:1" x14ac:dyDescent="0.3">
      <c r="A88" s="2" t="s">
        <v>33</v>
      </c>
    </row>
    <row r="89" spans="1:1" x14ac:dyDescent="0.3">
      <c r="A89" s="1" t="s">
        <v>33</v>
      </c>
    </row>
    <row r="90" spans="1:1" x14ac:dyDescent="0.3">
      <c r="A90" s="2" t="s">
        <v>33</v>
      </c>
    </row>
    <row r="91" spans="1:1" x14ac:dyDescent="0.3">
      <c r="A91" s="1" t="s">
        <v>33</v>
      </c>
    </row>
    <row r="92" spans="1:1" x14ac:dyDescent="0.3">
      <c r="A92" s="2" t="s">
        <v>33</v>
      </c>
    </row>
    <row r="93" spans="1:1" x14ac:dyDescent="0.3">
      <c r="A93" s="1" t="s">
        <v>33</v>
      </c>
    </row>
    <row r="94" spans="1:1" x14ac:dyDescent="0.3">
      <c r="A94" s="2" t="s">
        <v>33</v>
      </c>
    </row>
    <row r="95" spans="1:1" x14ac:dyDescent="0.3">
      <c r="A95" s="1" t="s">
        <v>33</v>
      </c>
    </row>
    <row r="96" spans="1:1" x14ac:dyDescent="0.3">
      <c r="A96" s="2" t="s">
        <v>49</v>
      </c>
    </row>
    <row r="97" spans="1:1" x14ac:dyDescent="0.3">
      <c r="A97" s="1" t="s">
        <v>49</v>
      </c>
    </row>
    <row r="98" spans="1:1" x14ac:dyDescent="0.3">
      <c r="A98" s="2" t="s">
        <v>33</v>
      </c>
    </row>
    <row r="99" spans="1:1" x14ac:dyDescent="0.3">
      <c r="A99" s="1" t="s">
        <v>49</v>
      </c>
    </row>
    <row r="100" spans="1:1" x14ac:dyDescent="0.3">
      <c r="A100" s="2" t="s">
        <v>49</v>
      </c>
    </row>
    <row r="101" spans="1:1" x14ac:dyDescent="0.3">
      <c r="A101" s="1" t="s">
        <v>49</v>
      </c>
    </row>
    <row r="102" spans="1:1" x14ac:dyDescent="0.3">
      <c r="A102" s="2" t="s">
        <v>33</v>
      </c>
    </row>
    <row r="103" spans="1:1" x14ac:dyDescent="0.3">
      <c r="A103" s="1" t="s">
        <v>49</v>
      </c>
    </row>
    <row r="104" spans="1:1" x14ac:dyDescent="0.3">
      <c r="A104" s="2" t="s">
        <v>49</v>
      </c>
    </row>
    <row r="105" spans="1:1" x14ac:dyDescent="0.3">
      <c r="A105" s="1" t="s">
        <v>33</v>
      </c>
    </row>
    <row r="106" spans="1:1" x14ac:dyDescent="0.3">
      <c r="A106" s="2" t="s">
        <v>33</v>
      </c>
    </row>
    <row r="107" spans="1:1" x14ac:dyDescent="0.3">
      <c r="A107" s="1" t="s">
        <v>33</v>
      </c>
    </row>
    <row r="108" spans="1:1" x14ac:dyDescent="0.3">
      <c r="A108" s="2" t="s">
        <v>33</v>
      </c>
    </row>
    <row r="109" spans="1:1" x14ac:dyDescent="0.3">
      <c r="A109" s="1" t="s">
        <v>33</v>
      </c>
    </row>
    <row r="110" spans="1:1" x14ac:dyDescent="0.3">
      <c r="A110" s="2" t="s">
        <v>33</v>
      </c>
    </row>
    <row r="111" spans="1:1" x14ac:dyDescent="0.3">
      <c r="A111" s="1" t="s">
        <v>33</v>
      </c>
    </row>
    <row r="112" spans="1:1" x14ac:dyDescent="0.3">
      <c r="A112" s="2" t="s">
        <v>33</v>
      </c>
    </row>
    <row r="113" spans="1:1" x14ac:dyDescent="0.3">
      <c r="A113" s="1" t="s">
        <v>33</v>
      </c>
    </row>
    <row r="114" spans="1:1" x14ac:dyDescent="0.3">
      <c r="A114" s="2" t="s">
        <v>33</v>
      </c>
    </row>
    <row r="115" spans="1:1" x14ac:dyDescent="0.3">
      <c r="A115" s="1" t="s">
        <v>33</v>
      </c>
    </row>
    <row r="116" spans="1:1" x14ac:dyDescent="0.3">
      <c r="A116" s="2" t="s">
        <v>33</v>
      </c>
    </row>
    <row r="117" spans="1:1" x14ac:dyDescent="0.3">
      <c r="A117" s="1" t="s">
        <v>49</v>
      </c>
    </row>
    <row r="118" spans="1:1" x14ac:dyDescent="0.3">
      <c r="A118" s="2" t="s">
        <v>49</v>
      </c>
    </row>
    <row r="119" spans="1:1" x14ac:dyDescent="0.3">
      <c r="A119" s="1" t="s">
        <v>49</v>
      </c>
    </row>
    <row r="120" spans="1:1" x14ac:dyDescent="0.3">
      <c r="A120" s="2" t="s">
        <v>49</v>
      </c>
    </row>
    <row r="121" spans="1:1" x14ac:dyDescent="0.3">
      <c r="A121" s="1" t="s">
        <v>49</v>
      </c>
    </row>
    <row r="122" spans="1:1" x14ac:dyDescent="0.3">
      <c r="A122" s="2" t="s">
        <v>49</v>
      </c>
    </row>
    <row r="123" spans="1:1" x14ac:dyDescent="0.3">
      <c r="A123" s="1" t="s">
        <v>49</v>
      </c>
    </row>
    <row r="124" spans="1:1" x14ac:dyDescent="0.3">
      <c r="A124" s="2" t="s">
        <v>33</v>
      </c>
    </row>
    <row r="125" spans="1:1" x14ac:dyDescent="0.3">
      <c r="A125" s="1" t="s">
        <v>33</v>
      </c>
    </row>
    <row r="126" spans="1:1" x14ac:dyDescent="0.3">
      <c r="A126" s="2" t="s">
        <v>33</v>
      </c>
    </row>
    <row r="127" spans="1:1" x14ac:dyDescent="0.3">
      <c r="A127" s="1" t="s">
        <v>33</v>
      </c>
    </row>
    <row r="128" spans="1:1" x14ac:dyDescent="0.3">
      <c r="A128" s="2" t="s">
        <v>33</v>
      </c>
    </row>
    <row r="129" spans="1:1" x14ac:dyDescent="0.3">
      <c r="A129" s="1" t="s">
        <v>33</v>
      </c>
    </row>
    <row r="130" spans="1:1" x14ac:dyDescent="0.3">
      <c r="A130" s="2" t="s">
        <v>33</v>
      </c>
    </row>
    <row r="131" spans="1:1" x14ac:dyDescent="0.3">
      <c r="A131" s="1" t="s">
        <v>33</v>
      </c>
    </row>
    <row r="132" spans="1:1" x14ac:dyDescent="0.3">
      <c r="A132" s="2" t="s">
        <v>33</v>
      </c>
    </row>
    <row r="133" spans="1:1" x14ac:dyDescent="0.3">
      <c r="A133" s="1" t="s">
        <v>33</v>
      </c>
    </row>
    <row r="134" spans="1:1" x14ac:dyDescent="0.3">
      <c r="A134" s="2" t="s">
        <v>33</v>
      </c>
    </row>
    <row r="135" spans="1:1" x14ac:dyDescent="0.3">
      <c r="A135" s="1" t="s">
        <v>33</v>
      </c>
    </row>
    <row r="136" spans="1:1" x14ac:dyDescent="0.3">
      <c r="A136" s="2" t="s">
        <v>33</v>
      </c>
    </row>
    <row r="137" spans="1:1" x14ac:dyDescent="0.3">
      <c r="A137" s="1" t="s">
        <v>33</v>
      </c>
    </row>
    <row r="138" spans="1:1" x14ac:dyDescent="0.3">
      <c r="A138" s="2" t="s">
        <v>33</v>
      </c>
    </row>
    <row r="139" spans="1:1" x14ac:dyDescent="0.3">
      <c r="A139" s="1" t="s">
        <v>33</v>
      </c>
    </row>
    <row r="140" spans="1:1" x14ac:dyDescent="0.3">
      <c r="A140" s="2" t="s">
        <v>49</v>
      </c>
    </row>
    <row r="141" spans="1:1" x14ac:dyDescent="0.3">
      <c r="A141" s="1" t="s">
        <v>33</v>
      </c>
    </row>
    <row r="142" spans="1:1" x14ac:dyDescent="0.3">
      <c r="A142" s="2" t="s">
        <v>33</v>
      </c>
    </row>
    <row r="143" spans="1:1" x14ac:dyDescent="0.3">
      <c r="A143" s="1" t="s">
        <v>33</v>
      </c>
    </row>
    <row r="144" spans="1:1" x14ac:dyDescent="0.3">
      <c r="A144" s="2" t="s">
        <v>33</v>
      </c>
    </row>
    <row r="145" spans="1:1" x14ac:dyDescent="0.3">
      <c r="A145" s="1" t="s">
        <v>74</v>
      </c>
    </row>
    <row r="146" spans="1:1" x14ac:dyDescent="0.3">
      <c r="A146" s="2" t="s">
        <v>49</v>
      </c>
    </row>
    <row r="147" spans="1:1" x14ac:dyDescent="0.3">
      <c r="A147" s="1" t="s">
        <v>49</v>
      </c>
    </row>
    <row r="148" spans="1:1" x14ac:dyDescent="0.3">
      <c r="A148" s="2" t="s">
        <v>74</v>
      </c>
    </row>
    <row r="149" spans="1:1" x14ac:dyDescent="0.3">
      <c r="A149" s="1" t="s">
        <v>74</v>
      </c>
    </row>
    <row r="150" spans="1:1" x14ac:dyDescent="0.3">
      <c r="A150" s="2" t="s">
        <v>74</v>
      </c>
    </row>
    <row r="151" spans="1:1" x14ac:dyDescent="0.3">
      <c r="A151" s="1" t="s">
        <v>49</v>
      </c>
    </row>
    <row r="152" spans="1:1" x14ac:dyDescent="0.3">
      <c r="A152" s="2" t="s">
        <v>33</v>
      </c>
    </row>
    <row r="153" spans="1:1" x14ac:dyDescent="0.3">
      <c r="A153" s="1" t="s">
        <v>49</v>
      </c>
    </row>
    <row r="154" spans="1:1" x14ac:dyDescent="0.3">
      <c r="A154" s="2" t="s">
        <v>49</v>
      </c>
    </row>
    <row r="155" spans="1:1" x14ac:dyDescent="0.3">
      <c r="A155" s="1" t="s">
        <v>49</v>
      </c>
    </row>
    <row r="156" spans="1:1" x14ac:dyDescent="0.3">
      <c r="A156" s="2" t="s">
        <v>49</v>
      </c>
    </row>
    <row r="157" spans="1:1" x14ac:dyDescent="0.3">
      <c r="A157" s="1" t="s">
        <v>33</v>
      </c>
    </row>
    <row r="158" spans="1:1" x14ac:dyDescent="0.3">
      <c r="A158" s="2" t="s">
        <v>49</v>
      </c>
    </row>
    <row r="159" spans="1:1" x14ac:dyDescent="0.3">
      <c r="A159" s="1" t="s">
        <v>49</v>
      </c>
    </row>
    <row r="160" spans="1:1" x14ac:dyDescent="0.3">
      <c r="A160" s="2" t="s">
        <v>49</v>
      </c>
    </row>
    <row r="161" spans="1:1" x14ac:dyDescent="0.3">
      <c r="A161" s="1" t="s">
        <v>74</v>
      </c>
    </row>
    <row r="162" spans="1:1" x14ac:dyDescent="0.3">
      <c r="A162" s="2" t="s">
        <v>33</v>
      </c>
    </row>
    <row r="163" spans="1:1" x14ac:dyDescent="0.3">
      <c r="A163" s="1" t="s">
        <v>74</v>
      </c>
    </row>
    <row r="164" spans="1:1" x14ac:dyDescent="0.3">
      <c r="A164" s="2" t="s">
        <v>74</v>
      </c>
    </row>
    <row r="165" spans="1:1" x14ac:dyDescent="0.3">
      <c r="A165" s="1" t="s">
        <v>74</v>
      </c>
    </row>
    <row r="166" spans="1:1" x14ac:dyDescent="0.3">
      <c r="A166" s="2" t="s">
        <v>49</v>
      </c>
    </row>
    <row r="167" spans="1:1" x14ac:dyDescent="0.3">
      <c r="A167" s="1" t="s">
        <v>33</v>
      </c>
    </row>
    <row r="168" spans="1:1" x14ac:dyDescent="0.3">
      <c r="A168" s="2" t="s">
        <v>74</v>
      </c>
    </row>
    <row r="169" spans="1:1" x14ac:dyDescent="0.3">
      <c r="A169" s="1" t="s">
        <v>74</v>
      </c>
    </row>
    <row r="170" spans="1:1" x14ac:dyDescent="0.3">
      <c r="A170" s="2" t="s">
        <v>49</v>
      </c>
    </row>
    <row r="171" spans="1:1" x14ac:dyDescent="0.3">
      <c r="A171" s="1" t="s">
        <v>49</v>
      </c>
    </row>
    <row r="172" spans="1:1" x14ac:dyDescent="0.3">
      <c r="A172" s="2" t="s">
        <v>49</v>
      </c>
    </row>
    <row r="173" spans="1:1" x14ac:dyDescent="0.3">
      <c r="A173" s="1" t="s">
        <v>49</v>
      </c>
    </row>
    <row r="174" spans="1:1" x14ac:dyDescent="0.3">
      <c r="A174" s="2" t="s">
        <v>49</v>
      </c>
    </row>
    <row r="175" spans="1:1" x14ac:dyDescent="0.3">
      <c r="A175" s="1" t="s">
        <v>49</v>
      </c>
    </row>
    <row r="176" spans="1:1" x14ac:dyDescent="0.3">
      <c r="A176" s="2" t="s">
        <v>49</v>
      </c>
    </row>
    <row r="177" spans="1:1" x14ac:dyDescent="0.3">
      <c r="A177" s="1" t="s">
        <v>49</v>
      </c>
    </row>
    <row r="178" spans="1:1" x14ac:dyDescent="0.3">
      <c r="A178" s="2" t="s">
        <v>49</v>
      </c>
    </row>
    <row r="179" spans="1:1" x14ac:dyDescent="0.3">
      <c r="A179" s="1" t="s">
        <v>49</v>
      </c>
    </row>
    <row r="180" spans="1:1" x14ac:dyDescent="0.3">
      <c r="A180" s="2" t="s">
        <v>49</v>
      </c>
    </row>
    <row r="181" spans="1:1" x14ac:dyDescent="0.3">
      <c r="A181" s="1" t="s">
        <v>49</v>
      </c>
    </row>
    <row r="182" spans="1:1" x14ac:dyDescent="0.3">
      <c r="A182" s="2" t="s">
        <v>49</v>
      </c>
    </row>
    <row r="183" spans="1:1" x14ac:dyDescent="0.3">
      <c r="A183" s="1" t="s">
        <v>49</v>
      </c>
    </row>
    <row r="184" spans="1:1" x14ac:dyDescent="0.3">
      <c r="A184" s="2" t="s">
        <v>49</v>
      </c>
    </row>
    <row r="185" spans="1:1" x14ac:dyDescent="0.3">
      <c r="A185" s="1" t="s">
        <v>74</v>
      </c>
    </row>
    <row r="186" spans="1:1" x14ac:dyDescent="0.3">
      <c r="A186" s="2" t="s">
        <v>49</v>
      </c>
    </row>
    <row r="187" spans="1:1" x14ac:dyDescent="0.3">
      <c r="A187" s="1" t="s">
        <v>49</v>
      </c>
    </row>
    <row r="188" spans="1:1" x14ac:dyDescent="0.3">
      <c r="A188" s="2" t="s">
        <v>49</v>
      </c>
    </row>
    <row r="189" spans="1:1" x14ac:dyDescent="0.3">
      <c r="A189" s="1" t="s">
        <v>49</v>
      </c>
    </row>
    <row r="190" spans="1:1" x14ac:dyDescent="0.3">
      <c r="A190" s="2" t="s">
        <v>74</v>
      </c>
    </row>
    <row r="191" spans="1:1" x14ac:dyDescent="0.3">
      <c r="A191" s="1" t="s">
        <v>33</v>
      </c>
    </row>
    <row r="192" spans="1:1" x14ac:dyDescent="0.3">
      <c r="A192" s="2" t="s">
        <v>74</v>
      </c>
    </row>
    <row r="193" spans="1:1" x14ac:dyDescent="0.3">
      <c r="A193" s="1" t="s">
        <v>49</v>
      </c>
    </row>
    <row r="194" spans="1:1" x14ac:dyDescent="0.3">
      <c r="A194" s="2" t="s">
        <v>49</v>
      </c>
    </row>
    <row r="195" spans="1:1" x14ac:dyDescent="0.3">
      <c r="A195" s="1" t="s">
        <v>33</v>
      </c>
    </row>
    <row r="196" spans="1:1" x14ac:dyDescent="0.3">
      <c r="A196" s="2" t="s">
        <v>74</v>
      </c>
    </row>
    <row r="197" spans="1:1" x14ac:dyDescent="0.3">
      <c r="A197" s="1" t="s">
        <v>49</v>
      </c>
    </row>
    <row r="198" spans="1:1" x14ac:dyDescent="0.3">
      <c r="A198" s="2" t="s">
        <v>49</v>
      </c>
    </row>
    <row r="199" spans="1:1" x14ac:dyDescent="0.3">
      <c r="A199" s="1" t="s">
        <v>74</v>
      </c>
    </row>
    <row r="200" spans="1:1" x14ac:dyDescent="0.3">
      <c r="A200" s="2" t="s">
        <v>49</v>
      </c>
    </row>
    <row r="201" spans="1:1" x14ac:dyDescent="0.3">
      <c r="A201" s="1" t="s">
        <v>49</v>
      </c>
    </row>
    <row r="202" spans="1:1" x14ac:dyDescent="0.3">
      <c r="A202" s="2" t="s">
        <v>49</v>
      </c>
    </row>
    <row r="203" spans="1:1" x14ac:dyDescent="0.3">
      <c r="A203" s="1" t="s">
        <v>49</v>
      </c>
    </row>
    <row r="204" spans="1:1" x14ac:dyDescent="0.3">
      <c r="A204" s="2" t="s">
        <v>49</v>
      </c>
    </row>
    <row r="205" spans="1:1" x14ac:dyDescent="0.3">
      <c r="A205" s="1" t="s">
        <v>49</v>
      </c>
    </row>
    <row r="206" spans="1:1" x14ac:dyDescent="0.3">
      <c r="A206" s="2" t="s">
        <v>49</v>
      </c>
    </row>
    <row r="207" spans="1:1" x14ac:dyDescent="0.3">
      <c r="A207" s="1" t="s">
        <v>49</v>
      </c>
    </row>
    <row r="208" spans="1:1" x14ac:dyDescent="0.3">
      <c r="A208" s="2" t="s">
        <v>49</v>
      </c>
    </row>
    <row r="209" spans="1:1" x14ac:dyDescent="0.3">
      <c r="A209" s="1" t="s">
        <v>49</v>
      </c>
    </row>
    <row r="210" spans="1:1" x14ac:dyDescent="0.3">
      <c r="A210" s="2" t="s">
        <v>49</v>
      </c>
    </row>
    <row r="211" spans="1:1" x14ac:dyDescent="0.3">
      <c r="A211" s="1" t="s">
        <v>49</v>
      </c>
    </row>
    <row r="212" spans="1:1" x14ac:dyDescent="0.3">
      <c r="A212" s="2" t="s">
        <v>49</v>
      </c>
    </row>
    <row r="213" spans="1:1" x14ac:dyDescent="0.3">
      <c r="A213" s="1" t="s">
        <v>49</v>
      </c>
    </row>
    <row r="214" spans="1:1" x14ac:dyDescent="0.3">
      <c r="A214" s="2" t="s">
        <v>49</v>
      </c>
    </row>
    <row r="215" spans="1:1" x14ac:dyDescent="0.3">
      <c r="A215" s="1" t="s">
        <v>74</v>
      </c>
    </row>
    <row r="216" spans="1:1" x14ac:dyDescent="0.3">
      <c r="A216" s="2" t="s">
        <v>74</v>
      </c>
    </row>
    <row r="217" spans="1:1" x14ac:dyDescent="0.3">
      <c r="A217" s="1" t="s">
        <v>74</v>
      </c>
    </row>
    <row r="218" spans="1:1" x14ac:dyDescent="0.3">
      <c r="A218" s="2" t="s">
        <v>49</v>
      </c>
    </row>
    <row r="219" spans="1:1" x14ac:dyDescent="0.3">
      <c r="A219" s="1" t="s">
        <v>49</v>
      </c>
    </row>
    <row r="220" spans="1:1" x14ac:dyDescent="0.3">
      <c r="A220" s="2" t="s">
        <v>49</v>
      </c>
    </row>
    <row r="221" spans="1:1" x14ac:dyDescent="0.3">
      <c r="A221" s="1" t="s">
        <v>49</v>
      </c>
    </row>
    <row r="222" spans="1:1" x14ac:dyDescent="0.3">
      <c r="A222" s="2" t="s">
        <v>49</v>
      </c>
    </row>
    <row r="223" spans="1:1" x14ac:dyDescent="0.3">
      <c r="A223" s="1" t="s">
        <v>49</v>
      </c>
    </row>
    <row r="224" spans="1:1" x14ac:dyDescent="0.3">
      <c r="A224" s="2" t="s">
        <v>33</v>
      </c>
    </row>
    <row r="225" spans="1:1" x14ac:dyDescent="0.3">
      <c r="A225" s="1" t="s">
        <v>49</v>
      </c>
    </row>
    <row r="226" spans="1:1" x14ac:dyDescent="0.3">
      <c r="A226" s="2" t="s">
        <v>49</v>
      </c>
    </row>
    <row r="227" spans="1:1" x14ac:dyDescent="0.3">
      <c r="A227" s="1" t="s">
        <v>49</v>
      </c>
    </row>
    <row r="228" spans="1:1" x14ac:dyDescent="0.3">
      <c r="A228" s="2" t="s">
        <v>49</v>
      </c>
    </row>
    <row r="229" spans="1:1" x14ac:dyDescent="0.3">
      <c r="A229" s="1" t="s">
        <v>49</v>
      </c>
    </row>
    <row r="230" spans="1:1" x14ac:dyDescent="0.3">
      <c r="A230" s="2" t="s">
        <v>49</v>
      </c>
    </row>
    <row r="231" spans="1:1" x14ac:dyDescent="0.3">
      <c r="A231" s="1" t="s">
        <v>49</v>
      </c>
    </row>
    <row r="232" spans="1:1" x14ac:dyDescent="0.3">
      <c r="A232" s="2" t="s">
        <v>49</v>
      </c>
    </row>
    <row r="233" spans="1:1" x14ac:dyDescent="0.3">
      <c r="A233" s="1" t="s">
        <v>49</v>
      </c>
    </row>
    <row r="234" spans="1:1" x14ac:dyDescent="0.3">
      <c r="A234" s="2" t="s">
        <v>49</v>
      </c>
    </row>
    <row r="235" spans="1:1" x14ac:dyDescent="0.3">
      <c r="A235" s="1" t="s">
        <v>49</v>
      </c>
    </row>
    <row r="236" spans="1:1" x14ac:dyDescent="0.3">
      <c r="A236" s="2" t="s">
        <v>49</v>
      </c>
    </row>
    <row r="237" spans="1:1" x14ac:dyDescent="0.3">
      <c r="A237" s="1" t="s">
        <v>49</v>
      </c>
    </row>
    <row r="238" spans="1:1" x14ac:dyDescent="0.3">
      <c r="A238" s="2" t="s">
        <v>49</v>
      </c>
    </row>
    <row r="239" spans="1:1" x14ac:dyDescent="0.3">
      <c r="A239" s="1" t="s">
        <v>49</v>
      </c>
    </row>
    <row r="240" spans="1:1" x14ac:dyDescent="0.3">
      <c r="A240" s="2" t="s">
        <v>49</v>
      </c>
    </row>
    <row r="241" spans="1:1" x14ac:dyDescent="0.3">
      <c r="A241" s="1" t="s">
        <v>49</v>
      </c>
    </row>
    <row r="242" spans="1:1" x14ac:dyDescent="0.3">
      <c r="A242" s="2" t="s">
        <v>49</v>
      </c>
    </row>
    <row r="243" spans="1:1" x14ac:dyDescent="0.3">
      <c r="A243" s="1" t="s">
        <v>49</v>
      </c>
    </row>
    <row r="244" spans="1:1" x14ac:dyDescent="0.3">
      <c r="A244" s="2" t="s">
        <v>49</v>
      </c>
    </row>
    <row r="245" spans="1:1" x14ac:dyDescent="0.3">
      <c r="A245" s="1" t="s">
        <v>49</v>
      </c>
    </row>
    <row r="246" spans="1:1" x14ac:dyDescent="0.3">
      <c r="A246" s="2" t="s">
        <v>49</v>
      </c>
    </row>
    <row r="247" spans="1:1" x14ac:dyDescent="0.3">
      <c r="A247" s="1" t="s">
        <v>49</v>
      </c>
    </row>
    <row r="248" spans="1:1" x14ac:dyDescent="0.3">
      <c r="A248" s="2" t="s">
        <v>49</v>
      </c>
    </row>
    <row r="249" spans="1:1" x14ac:dyDescent="0.3">
      <c r="A249" s="1" t="s">
        <v>49</v>
      </c>
    </row>
    <row r="250" spans="1:1" x14ac:dyDescent="0.3">
      <c r="A250" s="2" t="s">
        <v>49</v>
      </c>
    </row>
    <row r="251" spans="1:1" x14ac:dyDescent="0.3">
      <c r="A251" s="1" t="s">
        <v>49</v>
      </c>
    </row>
    <row r="252" spans="1:1" x14ac:dyDescent="0.3">
      <c r="A252" s="2" t="s">
        <v>49</v>
      </c>
    </row>
    <row r="253" spans="1:1" x14ac:dyDescent="0.3">
      <c r="A253" s="1" t="s">
        <v>49</v>
      </c>
    </row>
    <row r="254" spans="1:1" x14ac:dyDescent="0.3">
      <c r="A254" s="2" t="s">
        <v>49</v>
      </c>
    </row>
    <row r="255" spans="1:1" x14ac:dyDescent="0.3">
      <c r="A255" s="1" t="s">
        <v>49</v>
      </c>
    </row>
    <row r="256" spans="1:1" x14ac:dyDescent="0.3">
      <c r="A256" s="2" t="s">
        <v>49</v>
      </c>
    </row>
    <row r="257" spans="1:1" x14ac:dyDescent="0.3">
      <c r="A257" s="1" t="s">
        <v>49</v>
      </c>
    </row>
    <row r="258" spans="1:1" x14ac:dyDescent="0.3">
      <c r="A258" s="2" t="s">
        <v>49</v>
      </c>
    </row>
    <row r="259" spans="1:1" x14ac:dyDescent="0.3">
      <c r="A259" s="1" t="s">
        <v>49</v>
      </c>
    </row>
    <row r="260" spans="1:1" x14ac:dyDescent="0.3">
      <c r="A260" s="2" t="s">
        <v>49</v>
      </c>
    </row>
    <row r="261" spans="1:1" x14ac:dyDescent="0.3">
      <c r="A261" s="1" t="s">
        <v>49</v>
      </c>
    </row>
    <row r="262" spans="1:1" x14ac:dyDescent="0.3">
      <c r="A262" s="2" t="s">
        <v>49</v>
      </c>
    </row>
    <row r="263" spans="1:1" x14ac:dyDescent="0.3">
      <c r="A263" s="1" t="s">
        <v>49</v>
      </c>
    </row>
    <row r="264" spans="1:1" x14ac:dyDescent="0.3">
      <c r="A264" s="2" t="s">
        <v>49</v>
      </c>
    </row>
    <row r="265" spans="1:1" x14ac:dyDescent="0.3">
      <c r="A265" s="1" t="s">
        <v>49</v>
      </c>
    </row>
    <row r="266" spans="1:1" x14ac:dyDescent="0.3">
      <c r="A266" s="2" t="s">
        <v>49</v>
      </c>
    </row>
    <row r="267" spans="1:1" x14ac:dyDescent="0.3">
      <c r="A267" s="1" t="s">
        <v>49</v>
      </c>
    </row>
    <row r="268" spans="1:1" x14ac:dyDescent="0.3">
      <c r="A268" s="2" t="s">
        <v>49</v>
      </c>
    </row>
    <row r="269" spans="1:1" x14ac:dyDescent="0.3">
      <c r="A269" s="1" t="s">
        <v>49</v>
      </c>
    </row>
    <row r="270" spans="1:1" x14ac:dyDescent="0.3">
      <c r="A270" s="2" t="s">
        <v>49</v>
      </c>
    </row>
    <row r="271" spans="1:1" x14ac:dyDescent="0.3">
      <c r="A271" s="1" t="s">
        <v>49</v>
      </c>
    </row>
    <row r="272" spans="1:1" x14ac:dyDescent="0.3">
      <c r="A272" s="2" t="s">
        <v>49</v>
      </c>
    </row>
    <row r="273" spans="1:1" x14ac:dyDescent="0.3">
      <c r="A273" s="1" t="s">
        <v>33</v>
      </c>
    </row>
    <row r="274" spans="1:1" x14ac:dyDescent="0.3">
      <c r="A274" s="2" t="s">
        <v>49</v>
      </c>
    </row>
    <row r="275" spans="1:1" x14ac:dyDescent="0.3">
      <c r="A275" s="1" t="s">
        <v>49</v>
      </c>
    </row>
    <row r="276" spans="1:1" x14ac:dyDescent="0.3">
      <c r="A276" s="2" t="s">
        <v>49</v>
      </c>
    </row>
    <row r="277" spans="1:1" x14ac:dyDescent="0.3">
      <c r="A277" s="1" t="s">
        <v>49</v>
      </c>
    </row>
    <row r="278" spans="1:1" x14ac:dyDescent="0.3">
      <c r="A278" s="2" t="s">
        <v>49</v>
      </c>
    </row>
    <row r="279" spans="1:1" x14ac:dyDescent="0.3">
      <c r="A279" s="1" t="s">
        <v>49</v>
      </c>
    </row>
    <row r="280" spans="1:1" x14ac:dyDescent="0.3">
      <c r="A280" s="2" t="s">
        <v>49</v>
      </c>
    </row>
    <row r="281" spans="1:1" x14ac:dyDescent="0.3">
      <c r="A281" s="1" t="s">
        <v>49</v>
      </c>
    </row>
    <row r="282" spans="1:1" x14ac:dyDescent="0.3">
      <c r="A282" s="2" t="s">
        <v>49</v>
      </c>
    </row>
    <row r="283" spans="1:1" x14ac:dyDescent="0.3">
      <c r="A283" s="1" t="s">
        <v>49</v>
      </c>
    </row>
    <row r="284" spans="1:1" x14ac:dyDescent="0.3">
      <c r="A284" s="2" t="s">
        <v>49</v>
      </c>
    </row>
    <row r="285" spans="1:1" x14ac:dyDescent="0.3">
      <c r="A285" s="1" t="s">
        <v>49</v>
      </c>
    </row>
    <row r="286" spans="1:1" x14ac:dyDescent="0.3">
      <c r="A286" s="2" t="s">
        <v>49</v>
      </c>
    </row>
    <row r="287" spans="1:1" x14ac:dyDescent="0.3">
      <c r="A287" s="1" t="s">
        <v>49</v>
      </c>
    </row>
    <row r="288" spans="1:1" x14ac:dyDescent="0.3">
      <c r="A288" s="2" t="s">
        <v>49</v>
      </c>
    </row>
    <row r="289" spans="1:1" x14ac:dyDescent="0.3">
      <c r="A289" s="1" t="s">
        <v>49</v>
      </c>
    </row>
    <row r="290" spans="1:1" x14ac:dyDescent="0.3">
      <c r="A290" s="2" t="s">
        <v>49</v>
      </c>
    </row>
    <row r="291" spans="1:1" x14ac:dyDescent="0.3">
      <c r="A291" s="1" t="s">
        <v>49</v>
      </c>
    </row>
    <row r="292" spans="1:1" x14ac:dyDescent="0.3">
      <c r="A292" s="2" t="s">
        <v>49</v>
      </c>
    </row>
    <row r="293" spans="1:1" x14ac:dyDescent="0.3">
      <c r="A293" s="1" t="s">
        <v>49</v>
      </c>
    </row>
    <row r="294" spans="1:1" x14ac:dyDescent="0.3">
      <c r="A294" s="2" t="s">
        <v>49</v>
      </c>
    </row>
    <row r="295" spans="1:1" x14ac:dyDescent="0.3">
      <c r="A295" s="1" t="s">
        <v>49</v>
      </c>
    </row>
    <row r="296" spans="1:1" x14ac:dyDescent="0.3">
      <c r="A296" s="2" t="s">
        <v>49</v>
      </c>
    </row>
    <row r="297" spans="1:1" x14ac:dyDescent="0.3">
      <c r="A297" s="1" t="s">
        <v>49</v>
      </c>
    </row>
    <row r="298" spans="1:1" x14ac:dyDescent="0.3">
      <c r="A298" s="2" t="s">
        <v>49</v>
      </c>
    </row>
    <row r="299" spans="1:1" x14ac:dyDescent="0.3">
      <c r="A299" s="1" t="s">
        <v>49</v>
      </c>
    </row>
    <row r="300" spans="1:1" x14ac:dyDescent="0.3">
      <c r="A300" s="2" t="s">
        <v>49</v>
      </c>
    </row>
    <row r="301" spans="1:1" x14ac:dyDescent="0.3">
      <c r="A301" s="1" t="s">
        <v>49</v>
      </c>
    </row>
    <row r="302" spans="1:1" x14ac:dyDescent="0.3">
      <c r="A302" s="2" t="s">
        <v>49</v>
      </c>
    </row>
    <row r="303" spans="1:1" x14ac:dyDescent="0.3">
      <c r="A303" s="1" t="s">
        <v>49</v>
      </c>
    </row>
    <row r="304" spans="1:1" x14ac:dyDescent="0.3">
      <c r="A304" s="2" t="s">
        <v>74</v>
      </c>
    </row>
    <row r="305" spans="1:1" x14ac:dyDescent="0.3">
      <c r="A305" s="1" t="s">
        <v>49</v>
      </c>
    </row>
    <row r="306" spans="1:1" x14ac:dyDescent="0.3">
      <c r="A306" s="2" t="s">
        <v>49</v>
      </c>
    </row>
    <row r="307" spans="1:1" x14ac:dyDescent="0.3">
      <c r="A307" s="1" t="s">
        <v>74</v>
      </c>
    </row>
    <row r="308" spans="1:1" x14ac:dyDescent="0.3">
      <c r="A308" s="2" t="s">
        <v>49</v>
      </c>
    </row>
    <row r="309" spans="1:1" x14ac:dyDescent="0.3">
      <c r="A309" s="1" t="s">
        <v>74</v>
      </c>
    </row>
    <row r="310" spans="1:1" x14ac:dyDescent="0.3">
      <c r="A310" s="2" t="s">
        <v>74</v>
      </c>
    </row>
    <row r="311" spans="1:1" x14ac:dyDescent="0.3">
      <c r="A311" s="1" t="s">
        <v>33</v>
      </c>
    </row>
    <row r="312" spans="1:1" x14ac:dyDescent="0.3">
      <c r="A312" s="2" t="s">
        <v>49</v>
      </c>
    </row>
    <row r="313" spans="1:1" x14ac:dyDescent="0.3">
      <c r="A313" s="1" t="s">
        <v>33</v>
      </c>
    </row>
    <row r="314" spans="1:1" x14ac:dyDescent="0.3">
      <c r="A314" s="2" t="s">
        <v>33</v>
      </c>
    </row>
    <row r="315" spans="1:1" x14ac:dyDescent="0.3">
      <c r="A315" s="1" t="s">
        <v>49</v>
      </c>
    </row>
    <row r="316" spans="1:1" x14ac:dyDescent="0.3">
      <c r="A316" s="2" t="s">
        <v>74</v>
      </c>
    </row>
    <row r="317" spans="1:1" x14ac:dyDescent="0.3">
      <c r="A317" s="1" t="s">
        <v>49</v>
      </c>
    </row>
    <row r="318" spans="1:1" x14ac:dyDescent="0.3">
      <c r="A318" s="2" t="s">
        <v>49</v>
      </c>
    </row>
    <row r="319" spans="1:1" x14ac:dyDescent="0.3">
      <c r="A319" s="1" t="s">
        <v>74</v>
      </c>
    </row>
    <row r="320" spans="1:1" x14ac:dyDescent="0.3">
      <c r="A320" s="2" t="s">
        <v>49</v>
      </c>
    </row>
    <row r="321" spans="1:1" x14ac:dyDescent="0.3">
      <c r="A321" s="1" t="s">
        <v>49</v>
      </c>
    </row>
    <row r="322" spans="1:1" x14ac:dyDescent="0.3">
      <c r="A322" s="2" t="s">
        <v>49</v>
      </c>
    </row>
    <row r="323" spans="1:1" x14ac:dyDescent="0.3">
      <c r="A323" s="1" t="s">
        <v>49</v>
      </c>
    </row>
    <row r="324" spans="1:1" x14ac:dyDescent="0.3">
      <c r="A324" s="2" t="s">
        <v>49</v>
      </c>
    </row>
    <row r="325" spans="1:1" x14ac:dyDescent="0.3">
      <c r="A325" s="1" t="s">
        <v>33</v>
      </c>
    </row>
    <row r="326" spans="1:1" x14ac:dyDescent="0.3">
      <c r="A326" s="2" t="s">
        <v>49</v>
      </c>
    </row>
    <row r="327" spans="1:1" x14ac:dyDescent="0.3">
      <c r="A327" s="1" t="s">
        <v>49</v>
      </c>
    </row>
    <row r="328" spans="1:1" x14ac:dyDescent="0.3">
      <c r="A328" s="2" t="s">
        <v>49</v>
      </c>
    </row>
    <row r="329" spans="1:1" x14ac:dyDescent="0.3">
      <c r="A329" s="1" t="s">
        <v>49</v>
      </c>
    </row>
    <row r="330" spans="1:1" x14ac:dyDescent="0.3">
      <c r="A330" s="2" t="s">
        <v>49</v>
      </c>
    </row>
    <row r="331" spans="1:1" x14ac:dyDescent="0.3">
      <c r="A331" s="1" t="s">
        <v>49</v>
      </c>
    </row>
    <row r="332" spans="1:1" x14ac:dyDescent="0.3">
      <c r="A332" s="2" t="s">
        <v>49</v>
      </c>
    </row>
    <row r="333" spans="1:1" x14ac:dyDescent="0.3">
      <c r="A333" s="1" t="s">
        <v>49</v>
      </c>
    </row>
    <row r="334" spans="1:1" x14ac:dyDescent="0.3">
      <c r="A334" s="2" t="s">
        <v>49</v>
      </c>
    </row>
    <row r="335" spans="1:1" x14ac:dyDescent="0.3">
      <c r="A335" s="1" t="s">
        <v>49</v>
      </c>
    </row>
    <row r="336" spans="1:1" x14ac:dyDescent="0.3">
      <c r="A336" s="2" t="s">
        <v>49</v>
      </c>
    </row>
    <row r="337" spans="1:1" x14ac:dyDescent="0.3">
      <c r="A337" s="1" t="s">
        <v>33</v>
      </c>
    </row>
    <row r="338" spans="1:1" x14ac:dyDescent="0.3">
      <c r="A338" s="2" t="s">
        <v>33</v>
      </c>
    </row>
    <row r="339" spans="1:1" x14ac:dyDescent="0.3">
      <c r="A339" s="1" t="s">
        <v>49</v>
      </c>
    </row>
    <row r="340" spans="1:1" x14ac:dyDescent="0.3">
      <c r="A340" s="2" t="s">
        <v>49</v>
      </c>
    </row>
    <row r="341" spans="1:1" x14ac:dyDescent="0.3">
      <c r="A341" s="1" t="s">
        <v>49</v>
      </c>
    </row>
    <row r="342" spans="1:1" x14ac:dyDescent="0.3">
      <c r="A342" s="2" t="s">
        <v>49</v>
      </c>
    </row>
    <row r="343" spans="1:1" x14ac:dyDescent="0.3">
      <c r="A343" s="1" t="s">
        <v>49</v>
      </c>
    </row>
    <row r="344" spans="1:1" x14ac:dyDescent="0.3">
      <c r="A344" s="2" t="s">
        <v>49</v>
      </c>
    </row>
    <row r="345" spans="1:1" x14ac:dyDescent="0.3">
      <c r="A345" s="1" t="s">
        <v>49</v>
      </c>
    </row>
    <row r="346" spans="1:1" x14ac:dyDescent="0.3">
      <c r="A346" s="2" t="s">
        <v>33</v>
      </c>
    </row>
    <row r="347" spans="1:1" x14ac:dyDescent="0.3">
      <c r="A347" s="1" t="s">
        <v>49</v>
      </c>
    </row>
    <row r="348" spans="1:1" x14ac:dyDescent="0.3">
      <c r="A348" s="2" t="s">
        <v>33</v>
      </c>
    </row>
    <row r="349" spans="1:1" x14ac:dyDescent="0.3">
      <c r="A349" s="1" t="s">
        <v>49</v>
      </c>
    </row>
    <row r="350" spans="1:1" x14ac:dyDescent="0.3">
      <c r="A350" s="2" t="s">
        <v>49</v>
      </c>
    </row>
    <row r="351" spans="1:1" x14ac:dyDescent="0.3">
      <c r="A351" s="1" t="s">
        <v>49</v>
      </c>
    </row>
    <row r="352" spans="1:1" x14ac:dyDescent="0.3">
      <c r="A352" s="2" t="s">
        <v>49</v>
      </c>
    </row>
    <row r="353" spans="1:1" x14ac:dyDescent="0.3">
      <c r="A353" s="1" t="s">
        <v>49</v>
      </c>
    </row>
    <row r="354" spans="1:1" x14ac:dyDescent="0.3">
      <c r="A354" s="2" t="s">
        <v>49</v>
      </c>
    </row>
    <row r="355" spans="1:1" x14ac:dyDescent="0.3">
      <c r="A355" s="1" t="s">
        <v>49</v>
      </c>
    </row>
    <row r="356" spans="1:1" x14ac:dyDescent="0.3">
      <c r="A356" s="2" t="s">
        <v>49</v>
      </c>
    </row>
    <row r="357" spans="1:1" x14ac:dyDescent="0.3">
      <c r="A357" s="1" t="s">
        <v>49</v>
      </c>
    </row>
    <row r="358" spans="1:1" x14ac:dyDescent="0.3">
      <c r="A358" s="2" t="s">
        <v>49</v>
      </c>
    </row>
    <row r="359" spans="1:1" x14ac:dyDescent="0.3">
      <c r="A359" s="1" t="s">
        <v>49</v>
      </c>
    </row>
    <row r="360" spans="1:1" x14ac:dyDescent="0.3">
      <c r="A360" s="2" t="s">
        <v>49</v>
      </c>
    </row>
    <row r="361" spans="1:1" x14ac:dyDescent="0.3">
      <c r="A361" s="1" t="s">
        <v>49</v>
      </c>
    </row>
    <row r="362" spans="1:1" x14ac:dyDescent="0.3">
      <c r="A362" s="2" t="s">
        <v>49</v>
      </c>
    </row>
    <row r="363" spans="1:1" x14ac:dyDescent="0.3">
      <c r="A363" s="1" t="s">
        <v>49</v>
      </c>
    </row>
    <row r="364" spans="1:1" x14ac:dyDescent="0.3">
      <c r="A364" s="2" t="s">
        <v>49</v>
      </c>
    </row>
    <row r="365" spans="1:1" x14ac:dyDescent="0.3">
      <c r="A365" s="1" t="s">
        <v>49</v>
      </c>
    </row>
    <row r="366" spans="1:1" x14ac:dyDescent="0.3">
      <c r="A366" s="2" t="s">
        <v>49</v>
      </c>
    </row>
    <row r="367" spans="1:1" x14ac:dyDescent="0.3">
      <c r="A367" s="1" t="s">
        <v>49</v>
      </c>
    </row>
    <row r="368" spans="1:1" x14ac:dyDescent="0.3">
      <c r="A368" s="2" t="s">
        <v>74</v>
      </c>
    </row>
    <row r="369" spans="1:1" x14ac:dyDescent="0.3">
      <c r="A369" s="1" t="s">
        <v>49</v>
      </c>
    </row>
    <row r="370" spans="1:1" x14ac:dyDescent="0.3">
      <c r="A370" s="2" t="s">
        <v>49</v>
      </c>
    </row>
    <row r="371" spans="1:1" x14ac:dyDescent="0.3">
      <c r="A371" s="1" t="s">
        <v>33</v>
      </c>
    </row>
    <row r="372" spans="1:1" x14ac:dyDescent="0.3">
      <c r="A372" s="2" t="s">
        <v>49</v>
      </c>
    </row>
    <row r="373" spans="1:1" x14ac:dyDescent="0.3">
      <c r="A373" s="1" t="s">
        <v>49</v>
      </c>
    </row>
    <row r="374" spans="1:1" x14ac:dyDescent="0.3">
      <c r="A374" s="2" t="s">
        <v>49</v>
      </c>
    </row>
    <row r="375" spans="1:1" x14ac:dyDescent="0.3">
      <c r="A375" s="1" t="s">
        <v>33</v>
      </c>
    </row>
    <row r="376" spans="1:1" x14ac:dyDescent="0.3">
      <c r="A376" s="2" t="s">
        <v>33</v>
      </c>
    </row>
    <row r="377" spans="1:1" x14ac:dyDescent="0.3">
      <c r="A377" s="1" t="s">
        <v>49</v>
      </c>
    </row>
    <row r="378" spans="1:1" x14ac:dyDescent="0.3">
      <c r="A378" s="2" t="s">
        <v>33</v>
      </c>
    </row>
    <row r="379" spans="1:1" x14ac:dyDescent="0.3">
      <c r="A379" s="1" t="s">
        <v>49</v>
      </c>
    </row>
    <row r="380" spans="1:1" x14ac:dyDescent="0.3">
      <c r="A380" s="2" t="s">
        <v>49</v>
      </c>
    </row>
    <row r="381" spans="1:1" x14ac:dyDescent="0.3">
      <c r="A381" s="1" t="s">
        <v>49</v>
      </c>
    </row>
    <row r="382" spans="1:1" x14ac:dyDescent="0.3">
      <c r="A382" s="2" t="s">
        <v>49</v>
      </c>
    </row>
    <row r="383" spans="1:1" x14ac:dyDescent="0.3">
      <c r="A383" s="1" t="s">
        <v>33</v>
      </c>
    </row>
    <row r="384" spans="1:1" x14ac:dyDescent="0.3">
      <c r="A384" s="2" t="s">
        <v>33</v>
      </c>
    </row>
    <row r="385" spans="1:1" x14ac:dyDescent="0.3">
      <c r="A385" s="1" t="s">
        <v>33</v>
      </c>
    </row>
    <row r="386" spans="1:1" x14ac:dyDescent="0.3">
      <c r="A386" s="2" t="s">
        <v>49</v>
      </c>
    </row>
    <row r="387" spans="1:1" x14ac:dyDescent="0.3">
      <c r="A387" s="1" t="s">
        <v>33</v>
      </c>
    </row>
    <row r="388" spans="1:1" x14ac:dyDescent="0.3">
      <c r="A388" s="2" t="s">
        <v>33</v>
      </c>
    </row>
    <row r="389" spans="1:1" x14ac:dyDescent="0.3">
      <c r="A389" s="1" t="s">
        <v>49</v>
      </c>
    </row>
    <row r="390" spans="1:1" x14ac:dyDescent="0.3">
      <c r="A390" s="2" t="s">
        <v>49</v>
      </c>
    </row>
    <row r="391" spans="1:1" x14ac:dyDescent="0.3">
      <c r="A391" s="1" t="s">
        <v>33</v>
      </c>
    </row>
    <row r="392" spans="1:1" x14ac:dyDescent="0.3">
      <c r="A392" s="2" t="s">
        <v>74</v>
      </c>
    </row>
    <row r="393" spans="1:1" x14ac:dyDescent="0.3">
      <c r="A393" s="1" t="s">
        <v>49</v>
      </c>
    </row>
    <row r="394" spans="1:1" x14ac:dyDescent="0.3">
      <c r="A394" s="2" t="s">
        <v>49</v>
      </c>
    </row>
    <row r="395" spans="1:1" x14ac:dyDescent="0.3">
      <c r="A395" s="1" t="s">
        <v>49</v>
      </c>
    </row>
    <row r="396" spans="1:1" x14ac:dyDescent="0.3">
      <c r="A396" s="2" t="s">
        <v>49</v>
      </c>
    </row>
    <row r="397" spans="1:1" x14ac:dyDescent="0.3">
      <c r="A397" s="1" t="s">
        <v>49</v>
      </c>
    </row>
    <row r="398" spans="1:1" x14ac:dyDescent="0.3">
      <c r="A398" s="2" t="s">
        <v>49</v>
      </c>
    </row>
    <row r="399" spans="1:1" x14ac:dyDescent="0.3">
      <c r="A399" s="1" t="s">
        <v>33</v>
      </c>
    </row>
    <row r="400" spans="1:1" x14ac:dyDescent="0.3">
      <c r="A400" s="2" t="s">
        <v>33</v>
      </c>
    </row>
    <row r="401" spans="1:1" x14ac:dyDescent="0.3">
      <c r="A401" s="1" t="s">
        <v>49</v>
      </c>
    </row>
    <row r="402" spans="1:1" x14ac:dyDescent="0.3">
      <c r="A402" s="2" t="s">
        <v>49</v>
      </c>
    </row>
    <row r="403" spans="1:1" x14ac:dyDescent="0.3">
      <c r="A403" s="1" t="s">
        <v>49</v>
      </c>
    </row>
    <row r="404" spans="1:1" x14ac:dyDescent="0.3">
      <c r="A404" s="2" t="s">
        <v>49</v>
      </c>
    </row>
    <row r="405" spans="1:1" x14ac:dyDescent="0.3">
      <c r="A405" s="1" t="s">
        <v>49</v>
      </c>
    </row>
    <row r="406" spans="1:1" x14ac:dyDescent="0.3">
      <c r="A406" s="2" t="s">
        <v>33</v>
      </c>
    </row>
    <row r="407" spans="1:1" x14ac:dyDescent="0.3">
      <c r="A407" s="1" t="s">
        <v>33</v>
      </c>
    </row>
    <row r="408" spans="1:1" x14ac:dyDescent="0.3">
      <c r="A408" s="2" t="s">
        <v>49</v>
      </c>
    </row>
    <row r="409" spans="1:1" x14ac:dyDescent="0.3">
      <c r="A409" s="1" t="s">
        <v>49</v>
      </c>
    </row>
    <row r="410" spans="1:1" x14ac:dyDescent="0.3">
      <c r="A410" s="2" t="s">
        <v>49</v>
      </c>
    </row>
    <row r="411" spans="1:1" x14ac:dyDescent="0.3">
      <c r="A411" s="1" t="s">
        <v>33</v>
      </c>
    </row>
    <row r="412" spans="1:1" x14ac:dyDescent="0.3">
      <c r="A412" s="2" t="s">
        <v>33</v>
      </c>
    </row>
    <row r="413" spans="1:1" x14ac:dyDescent="0.3">
      <c r="A413" s="1" t="s">
        <v>49</v>
      </c>
    </row>
    <row r="414" spans="1:1" x14ac:dyDescent="0.3">
      <c r="A414" s="2" t="s">
        <v>49</v>
      </c>
    </row>
    <row r="415" spans="1:1" x14ac:dyDescent="0.3">
      <c r="A415" s="1" t="s">
        <v>49</v>
      </c>
    </row>
    <row r="416" spans="1:1" x14ac:dyDescent="0.3">
      <c r="A416" s="2" t="s">
        <v>49</v>
      </c>
    </row>
    <row r="417" spans="1:1" x14ac:dyDescent="0.3">
      <c r="A417" s="1" t="s">
        <v>74</v>
      </c>
    </row>
    <row r="418" spans="1:1" x14ac:dyDescent="0.3">
      <c r="A418" s="2" t="s">
        <v>49</v>
      </c>
    </row>
    <row r="419" spans="1:1" x14ac:dyDescent="0.3">
      <c r="A419" s="1" t="s">
        <v>49</v>
      </c>
    </row>
    <row r="420" spans="1:1" x14ac:dyDescent="0.3">
      <c r="A420" s="2" t="s">
        <v>49</v>
      </c>
    </row>
    <row r="421" spans="1:1" x14ac:dyDescent="0.3">
      <c r="A421" s="1" t="s">
        <v>49</v>
      </c>
    </row>
    <row r="422" spans="1:1" x14ac:dyDescent="0.3">
      <c r="A422" s="2" t="s">
        <v>49</v>
      </c>
    </row>
    <row r="423" spans="1:1" x14ac:dyDescent="0.3">
      <c r="A423" s="1" t="s">
        <v>49</v>
      </c>
    </row>
    <row r="424" spans="1:1" x14ac:dyDescent="0.3">
      <c r="A424" s="2" t="s">
        <v>49</v>
      </c>
    </row>
    <row r="425" spans="1:1" x14ac:dyDescent="0.3">
      <c r="A425" s="1" t="s">
        <v>49</v>
      </c>
    </row>
    <row r="426" spans="1:1" x14ac:dyDescent="0.3">
      <c r="A426" s="2" t="s">
        <v>49</v>
      </c>
    </row>
    <row r="427" spans="1:1" x14ac:dyDescent="0.3">
      <c r="A427" s="1" t="s">
        <v>49</v>
      </c>
    </row>
    <row r="428" spans="1:1" x14ac:dyDescent="0.3">
      <c r="A428" s="2" t="s">
        <v>49</v>
      </c>
    </row>
    <row r="429" spans="1:1" x14ac:dyDescent="0.3">
      <c r="A429" s="1" t="s">
        <v>49</v>
      </c>
    </row>
    <row r="430" spans="1:1" x14ac:dyDescent="0.3">
      <c r="A430" s="2" t="s">
        <v>49</v>
      </c>
    </row>
    <row r="431" spans="1:1" x14ac:dyDescent="0.3">
      <c r="A431" s="1" t="s">
        <v>49</v>
      </c>
    </row>
    <row r="432" spans="1:1" x14ac:dyDescent="0.3">
      <c r="A432" s="2" t="s">
        <v>49</v>
      </c>
    </row>
    <row r="433" spans="1:1" x14ac:dyDescent="0.3">
      <c r="A433" s="1" t="s">
        <v>49</v>
      </c>
    </row>
    <row r="434" spans="1:1" x14ac:dyDescent="0.3">
      <c r="A434" s="2" t="s">
        <v>49</v>
      </c>
    </row>
    <row r="435" spans="1:1" x14ac:dyDescent="0.3">
      <c r="A435" s="1" t="s">
        <v>49</v>
      </c>
    </row>
    <row r="436" spans="1:1" x14ac:dyDescent="0.3">
      <c r="A436" s="2" t="s">
        <v>74</v>
      </c>
    </row>
    <row r="437" spans="1:1" x14ac:dyDescent="0.3">
      <c r="A437" s="1" t="s">
        <v>49</v>
      </c>
    </row>
    <row r="438" spans="1:1" x14ac:dyDescent="0.3">
      <c r="A438" s="2" t="s">
        <v>49</v>
      </c>
    </row>
    <row r="439" spans="1:1" x14ac:dyDescent="0.3">
      <c r="A439" s="1" t="s">
        <v>49</v>
      </c>
    </row>
    <row r="440" spans="1:1" x14ac:dyDescent="0.3">
      <c r="A440" s="2" t="s">
        <v>49</v>
      </c>
    </row>
    <row r="441" spans="1:1" x14ac:dyDescent="0.3">
      <c r="A441" s="1" t="s">
        <v>49</v>
      </c>
    </row>
    <row r="442" spans="1:1" x14ac:dyDescent="0.3">
      <c r="A442" s="2" t="s">
        <v>49</v>
      </c>
    </row>
    <row r="443" spans="1:1" x14ac:dyDescent="0.3">
      <c r="A443" s="1" t="s">
        <v>49</v>
      </c>
    </row>
    <row r="444" spans="1:1" x14ac:dyDescent="0.3">
      <c r="A444" s="2" t="s">
        <v>49</v>
      </c>
    </row>
    <row r="445" spans="1:1" x14ac:dyDescent="0.3">
      <c r="A445" s="1" t="s">
        <v>33</v>
      </c>
    </row>
    <row r="446" spans="1:1" x14ac:dyDescent="0.3">
      <c r="A446" s="2" t="s">
        <v>49</v>
      </c>
    </row>
    <row r="447" spans="1:1" x14ac:dyDescent="0.3">
      <c r="A447" s="1" t="s">
        <v>49</v>
      </c>
    </row>
    <row r="448" spans="1:1" x14ac:dyDescent="0.3">
      <c r="A448" s="2" t="s">
        <v>49</v>
      </c>
    </row>
    <row r="449" spans="1:1" x14ac:dyDescent="0.3">
      <c r="A449" s="1" t="s">
        <v>49</v>
      </c>
    </row>
    <row r="450" spans="1:1" x14ac:dyDescent="0.3">
      <c r="A450" s="2" t="s">
        <v>74</v>
      </c>
    </row>
    <row r="451" spans="1:1" x14ac:dyDescent="0.3">
      <c r="A451" s="1" t="s">
        <v>33</v>
      </c>
    </row>
    <row r="452" spans="1:1" x14ac:dyDescent="0.3">
      <c r="A452" s="2" t="s">
        <v>33</v>
      </c>
    </row>
    <row r="453" spans="1:1" x14ac:dyDescent="0.3">
      <c r="A453" s="1" t="s">
        <v>49</v>
      </c>
    </row>
    <row r="454" spans="1:1" x14ac:dyDescent="0.3">
      <c r="A454" s="2" t="s">
        <v>49</v>
      </c>
    </row>
    <row r="455" spans="1:1" x14ac:dyDescent="0.3">
      <c r="A455" s="1" t="s">
        <v>49</v>
      </c>
    </row>
    <row r="456" spans="1:1" x14ac:dyDescent="0.3">
      <c r="A456" s="2" t="s">
        <v>49</v>
      </c>
    </row>
    <row r="457" spans="1:1" x14ac:dyDescent="0.3">
      <c r="A457" s="1" t="s">
        <v>49</v>
      </c>
    </row>
    <row r="458" spans="1:1" x14ac:dyDescent="0.3">
      <c r="A458" s="2" t="s">
        <v>49</v>
      </c>
    </row>
    <row r="459" spans="1:1" x14ac:dyDescent="0.3">
      <c r="A459" s="1" t="s">
        <v>33</v>
      </c>
    </row>
    <row r="460" spans="1:1" x14ac:dyDescent="0.3">
      <c r="A460" s="2" t="s">
        <v>49</v>
      </c>
    </row>
    <row r="461" spans="1:1" x14ac:dyDescent="0.3">
      <c r="A461" s="1" t="s">
        <v>49</v>
      </c>
    </row>
    <row r="462" spans="1:1" x14ac:dyDescent="0.3">
      <c r="A462" s="2" t="s">
        <v>33</v>
      </c>
    </row>
    <row r="463" spans="1:1" x14ac:dyDescent="0.3">
      <c r="A463" s="1" t="s">
        <v>49</v>
      </c>
    </row>
    <row r="464" spans="1:1" x14ac:dyDescent="0.3">
      <c r="A464" s="2" t="s">
        <v>49</v>
      </c>
    </row>
    <row r="465" spans="1:1" x14ac:dyDescent="0.3">
      <c r="A465" s="1" t="s">
        <v>49</v>
      </c>
    </row>
    <row r="466" spans="1:1" x14ac:dyDescent="0.3">
      <c r="A466" s="2" t="s">
        <v>49</v>
      </c>
    </row>
    <row r="467" spans="1:1" x14ac:dyDescent="0.3">
      <c r="A467" s="1" t="s">
        <v>74</v>
      </c>
    </row>
    <row r="468" spans="1:1" x14ac:dyDescent="0.3">
      <c r="A468" s="2" t="s">
        <v>49</v>
      </c>
    </row>
    <row r="469" spans="1:1" x14ac:dyDescent="0.3">
      <c r="A469" s="1" t="s">
        <v>49</v>
      </c>
    </row>
    <row r="470" spans="1:1" x14ac:dyDescent="0.3">
      <c r="A470" s="2" t="s">
        <v>49</v>
      </c>
    </row>
    <row r="471" spans="1:1" x14ac:dyDescent="0.3">
      <c r="A471" s="1" t="s">
        <v>49</v>
      </c>
    </row>
    <row r="472" spans="1:1" x14ac:dyDescent="0.3">
      <c r="A472" s="2" t="s">
        <v>49</v>
      </c>
    </row>
    <row r="473" spans="1:1" x14ac:dyDescent="0.3">
      <c r="A473" s="1" t="s">
        <v>49</v>
      </c>
    </row>
    <row r="474" spans="1:1" x14ac:dyDescent="0.3">
      <c r="A474" s="2" t="s">
        <v>49</v>
      </c>
    </row>
    <row r="475" spans="1:1" x14ac:dyDescent="0.3">
      <c r="A475" s="1" t="s">
        <v>49</v>
      </c>
    </row>
    <row r="476" spans="1:1" x14ac:dyDescent="0.3">
      <c r="A476" s="2" t="s">
        <v>49</v>
      </c>
    </row>
    <row r="477" spans="1:1" x14ac:dyDescent="0.3">
      <c r="A477" s="1" t="s">
        <v>49</v>
      </c>
    </row>
    <row r="478" spans="1:1" x14ac:dyDescent="0.3">
      <c r="A478" s="2" t="s">
        <v>33</v>
      </c>
    </row>
    <row r="479" spans="1:1" x14ac:dyDescent="0.3">
      <c r="A479" s="1" t="s">
        <v>49</v>
      </c>
    </row>
    <row r="480" spans="1:1" x14ac:dyDescent="0.3">
      <c r="A480" s="2" t="s">
        <v>49</v>
      </c>
    </row>
    <row r="481" spans="1:1" x14ac:dyDescent="0.3">
      <c r="A481" s="1" t="s">
        <v>49</v>
      </c>
    </row>
    <row r="482" spans="1:1" x14ac:dyDescent="0.3">
      <c r="A482" s="2" t="s">
        <v>33</v>
      </c>
    </row>
    <row r="483" spans="1:1" x14ac:dyDescent="0.3">
      <c r="A483" s="1" t="s">
        <v>49</v>
      </c>
    </row>
    <row r="484" spans="1:1" x14ac:dyDescent="0.3">
      <c r="A484" s="2" t="s">
        <v>49</v>
      </c>
    </row>
    <row r="485" spans="1:1" x14ac:dyDescent="0.3">
      <c r="A485" s="1" t="s">
        <v>49</v>
      </c>
    </row>
    <row r="486" spans="1:1" x14ac:dyDescent="0.3">
      <c r="A486" s="2" t="s">
        <v>49</v>
      </c>
    </row>
    <row r="487" spans="1:1" x14ac:dyDescent="0.3">
      <c r="A487" s="1" t="s">
        <v>49</v>
      </c>
    </row>
    <row r="488" spans="1:1" x14ac:dyDescent="0.3">
      <c r="A488" s="2" t="s">
        <v>49</v>
      </c>
    </row>
    <row r="489" spans="1:1" x14ac:dyDescent="0.3">
      <c r="A489" s="1" t="s">
        <v>49</v>
      </c>
    </row>
    <row r="490" spans="1:1" x14ac:dyDescent="0.3">
      <c r="A490" s="2" t="s">
        <v>49</v>
      </c>
    </row>
    <row r="491" spans="1:1" x14ac:dyDescent="0.3">
      <c r="A491" s="1" t="s">
        <v>49</v>
      </c>
    </row>
    <row r="492" spans="1:1" x14ac:dyDescent="0.3">
      <c r="A492" s="2" t="s">
        <v>49</v>
      </c>
    </row>
    <row r="493" spans="1:1" x14ac:dyDescent="0.3">
      <c r="A493" s="1" t="s">
        <v>49</v>
      </c>
    </row>
    <row r="494" spans="1:1" x14ac:dyDescent="0.3">
      <c r="A494" s="2" t="s">
        <v>49</v>
      </c>
    </row>
    <row r="495" spans="1:1" x14ac:dyDescent="0.3">
      <c r="A495" s="1" t="s">
        <v>33</v>
      </c>
    </row>
    <row r="496" spans="1:1" x14ac:dyDescent="0.3">
      <c r="A496" s="2" t="s">
        <v>49</v>
      </c>
    </row>
    <row r="497" spans="1:1" x14ac:dyDescent="0.3">
      <c r="A497" s="1" t="s">
        <v>49</v>
      </c>
    </row>
    <row r="498" spans="1:1" x14ac:dyDescent="0.3">
      <c r="A498" s="2" t="s">
        <v>49</v>
      </c>
    </row>
    <row r="499" spans="1:1" x14ac:dyDescent="0.3">
      <c r="A499" s="1" t="s">
        <v>49</v>
      </c>
    </row>
    <row r="500" spans="1:1" x14ac:dyDescent="0.3">
      <c r="A500" s="2" t="s">
        <v>49</v>
      </c>
    </row>
    <row r="501" spans="1:1" x14ac:dyDescent="0.3">
      <c r="A501" s="1" t="s">
        <v>49</v>
      </c>
    </row>
    <row r="502" spans="1:1" x14ac:dyDescent="0.3">
      <c r="A502" s="2" t="s">
        <v>49</v>
      </c>
    </row>
    <row r="503" spans="1:1" x14ac:dyDescent="0.3">
      <c r="A503" s="1" t="s">
        <v>49</v>
      </c>
    </row>
    <row r="504" spans="1:1" x14ac:dyDescent="0.3">
      <c r="A504" s="2" t="s">
        <v>49</v>
      </c>
    </row>
    <row r="505" spans="1:1" x14ac:dyDescent="0.3">
      <c r="A505" s="1" t="s">
        <v>49</v>
      </c>
    </row>
    <row r="506" spans="1:1" x14ac:dyDescent="0.3">
      <c r="A506" s="2" t="s">
        <v>49</v>
      </c>
    </row>
    <row r="507" spans="1:1" x14ac:dyDescent="0.3">
      <c r="A507" s="1" t="s">
        <v>33</v>
      </c>
    </row>
    <row r="508" spans="1:1" x14ac:dyDescent="0.3">
      <c r="A508" s="2" t="s">
        <v>49</v>
      </c>
    </row>
    <row r="509" spans="1:1" x14ac:dyDescent="0.3">
      <c r="A509" s="1" t="s">
        <v>49</v>
      </c>
    </row>
    <row r="510" spans="1:1" x14ac:dyDescent="0.3">
      <c r="A510" s="2" t="s">
        <v>49</v>
      </c>
    </row>
    <row r="511" spans="1:1" x14ac:dyDescent="0.3">
      <c r="A511" s="1" t="s">
        <v>49</v>
      </c>
    </row>
    <row r="512" spans="1:1" x14ac:dyDescent="0.3">
      <c r="A512" s="2" t="s">
        <v>49</v>
      </c>
    </row>
    <row r="513" spans="1:1" x14ac:dyDescent="0.3">
      <c r="A513" s="1" t="s">
        <v>49</v>
      </c>
    </row>
    <row r="514" spans="1:1" x14ac:dyDescent="0.3">
      <c r="A514" s="2" t="s">
        <v>49</v>
      </c>
    </row>
    <row r="515" spans="1:1" x14ac:dyDescent="0.3">
      <c r="A515" s="1" t="s">
        <v>49</v>
      </c>
    </row>
    <row r="516" spans="1:1" x14ac:dyDescent="0.3">
      <c r="A516" s="2" t="s">
        <v>49</v>
      </c>
    </row>
    <row r="517" spans="1:1" x14ac:dyDescent="0.3">
      <c r="A517" s="1" t="s">
        <v>49</v>
      </c>
    </row>
    <row r="518" spans="1:1" x14ac:dyDescent="0.3">
      <c r="A518" s="2" t="s">
        <v>49</v>
      </c>
    </row>
    <row r="519" spans="1:1" x14ac:dyDescent="0.3">
      <c r="A519" s="1" t="s">
        <v>49</v>
      </c>
    </row>
    <row r="520" spans="1:1" x14ac:dyDescent="0.3">
      <c r="A520" s="2" t="s">
        <v>49</v>
      </c>
    </row>
    <row r="521" spans="1:1" x14ac:dyDescent="0.3">
      <c r="A521" s="1" t="s">
        <v>49</v>
      </c>
    </row>
    <row r="522" spans="1:1" x14ac:dyDescent="0.3">
      <c r="A522" s="2" t="s">
        <v>74</v>
      </c>
    </row>
    <row r="523" spans="1:1" x14ac:dyDescent="0.3">
      <c r="A523" s="1" t="s">
        <v>49</v>
      </c>
    </row>
    <row r="524" spans="1:1" x14ac:dyDescent="0.3">
      <c r="A524" s="2" t="s">
        <v>49</v>
      </c>
    </row>
    <row r="525" spans="1:1" x14ac:dyDescent="0.3">
      <c r="A525" s="1" t="s">
        <v>49</v>
      </c>
    </row>
    <row r="526" spans="1:1" x14ac:dyDescent="0.3">
      <c r="A526" s="2" t="s">
        <v>33</v>
      </c>
    </row>
    <row r="527" spans="1:1" x14ac:dyDescent="0.3">
      <c r="A527" s="1" t="s">
        <v>49</v>
      </c>
    </row>
    <row r="528" spans="1:1" x14ac:dyDescent="0.3">
      <c r="A528" s="2" t="s">
        <v>49</v>
      </c>
    </row>
    <row r="529" spans="1:1" x14ac:dyDescent="0.3">
      <c r="A529" s="1" t="s">
        <v>33</v>
      </c>
    </row>
    <row r="530" spans="1:1" x14ac:dyDescent="0.3">
      <c r="A530" s="2" t="s">
        <v>49</v>
      </c>
    </row>
    <row r="531" spans="1:1" x14ac:dyDescent="0.3">
      <c r="A531" s="1" t="s">
        <v>49</v>
      </c>
    </row>
    <row r="532" spans="1:1" x14ac:dyDescent="0.3">
      <c r="A532" s="2" t="s">
        <v>49</v>
      </c>
    </row>
    <row r="533" spans="1:1" x14ac:dyDescent="0.3">
      <c r="A533" s="1" t="s">
        <v>49</v>
      </c>
    </row>
    <row r="534" spans="1:1" x14ac:dyDescent="0.3">
      <c r="A534" s="2" t="s">
        <v>33</v>
      </c>
    </row>
    <row r="535" spans="1:1" x14ac:dyDescent="0.3">
      <c r="A535" s="1" t="s">
        <v>49</v>
      </c>
    </row>
    <row r="536" spans="1:1" x14ac:dyDescent="0.3">
      <c r="A536" s="2" t="s">
        <v>49</v>
      </c>
    </row>
    <row r="537" spans="1:1" x14ac:dyDescent="0.3">
      <c r="A537" s="1" t="s">
        <v>33</v>
      </c>
    </row>
    <row r="538" spans="1:1" x14ac:dyDescent="0.3">
      <c r="A538" s="2" t="s">
        <v>33</v>
      </c>
    </row>
    <row r="539" spans="1:1" x14ac:dyDescent="0.3">
      <c r="A539" s="1" t="s">
        <v>49</v>
      </c>
    </row>
    <row r="540" spans="1:1" x14ac:dyDescent="0.3">
      <c r="A540" s="2" t="s">
        <v>49</v>
      </c>
    </row>
    <row r="541" spans="1:1" x14ac:dyDescent="0.3">
      <c r="A541" s="1" t="s">
        <v>33</v>
      </c>
    </row>
    <row r="542" spans="1:1" x14ac:dyDescent="0.3">
      <c r="A542" s="2" t="s">
        <v>33</v>
      </c>
    </row>
    <row r="543" spans="1:1" x14ac:dyDescent="0.3">
      <c r="A543" s="1" t="s">
        <v>33</v>
      </c>
    </row>
    <row r="544" spans="1:1" x14ac:dyDescent="0.3">
      <c r="A544" s="2" t="s">
        <v>33</v>
      </c>
    </row>
    <row r="545" spans="1:1" x14ac:dyDescent="0.3">
      <c r="A545" s="1" t="s">
        <v>33</v>
      </c>
    </row>
    <row r="546" spans="1:1" x14ac:dyDescent="0.3">
      <c r="A546" s="2" t="s">
        <v>33</v>
      </c>
    </row>
    <row r="547" spans="1:1" x14ac:dyDescent="0.3">
      <c r="A547" s="1" t="s">
        <v>33</v>
      </c>
    </row>
    <row r="548" spans="1:1" x14ac:dyDescent="0.3">
      <c r="A548" s="2" t="s">
        <v>33</v>
      </c>
    </row>
    <row r="549" spans="1:1" x14ac:dyDescent="0.3">
      <c r="A549" s="1" t="s">
        <v>74</v>
      </c>
    </row>
    <row r="550" spans="1:1" x14ac:dyDescent="0.3">
      <c r="A550" s="2" t="s">
        <v>33</v>
      </c>
    </row>
    <row r="551" spans="1:1" x14ac:dyDescent="0.3">
      <c r="A551" s="1" t="s">
        <v>33</v>
      </c>
    </row>
    <row r="552" spans="1:1" x14ac:dyDescent="0.3">
      <c r="A552" s="2" t="s">
        <v>49</v>
      </c>
    </row>
    <row r="553" spans="1:1" x14ac:dyDescent="0.3">
      <c r="A553" s="1" t="s">
        <v>49</v>
      </c>
    </row>
    <row r="554" spans="1:1" x14ac:dyDescent="0.3">
      <c r="A554" s="2" t="s">
        <v>49</v>
      </c>
    </row>
    <row r="555" spans="1:1" x14ac:dyDescent="0.3">
      <c r="A555" s="1" t="s">
        <v>49</v>
      </c>
    </row>
    <row r="556" spans="1:1" x14ac:dyDescent="0.3">
      <c r="A556" s="2" t="s">
        <v>49</v>
      </c>
    </row>
    <row r="557" spans="1:1" x14ac:dyDescent="0.3">
      <c r="A557" s="1" t="s">
        <v>49</v>
      </c>
    </row>
    <row r="558" spans="1:1" x14ac:dyDescent="0.3">
      <c r="A558" s="2" t="s">
        <v>49</v>
      </c>
    </row>
    <row r="559" spans="1:1" x14ac:dyDescent="0.3">
      <c r="A559" s="1" t="s">
        <v>49</v>
      </c>
    </row>
    <row r="560" spans="1:1" x14ac:dyDescent="0.3">
      <c r="A560" s="2" t="s">
        <v>49</v>
      </c>
    </row>
    <row r="561" spans="1:1" x14ac:dyDescent="0.3">
      <c r="A561" s="1" t="s">
        <v>49</v>
      </c>
    </row>
    <row r="562" spans="1:1" x14ac:dyDescent="0.3">
      <c r="A562" s="2" t="s">
        <v>33</v>
      </c>
    </row>
    <row r="563" spans="1:1" x14ac:dyDescent="0.3">
      <c r="A563" s="1" t="s">
        <v>49</v>
      </c>
    </row>
    <row r="564" spans="1:1" x14ac:dyDescent="0.3">
      <c r="A564" s="2" t="s">
        <v>49</v>
      </c>
    </row>
    <row r="565" spans="1:1" x14ac:dyDescent="0.3">
      <c r="A565" s="1" t="s">
        <v>49</v>
      </c>
    </row>
    <row r="566" spans="1:1" x14ac:dyDescent="0.3">
      <c r="A566" s="2" t="s">
        <v>49</v>
      </c>
    </row>
    <row r="567" spans="1:1" x14ac:dyDescent="0.3">
      <c r="A567" s="1" t="s">
        <v>49</v>
      </c>
    </row>
    <row r="568" spans="1:1" x14ac:dyDescent="0.3">
      <c r="A568" s="2" t="s">
        <v>49</v>
      </c>
    </row>
    <row r="569" spans="1:1" x14ac:dyDescent="0.3">
      <c r="A569" s="1" t="s">
        <v>74</v>
      </c>
    </row>
    <row r="570" spans="1:1" x14ac:dyDescent="0.3">
      <c r="A570" s="2" t="s">
        <v>33</v>
      </c>
    </row>
    <row r="571" spans="1:1" x14ac:dyDescent="0.3">
      <c r="A571" s="1" t="s">
        <v>49</v>
      </c>
    </row>
    <row r="572" spans="1:1" x14ac:dyDescent="0.3">
      <c r="A572" s="2" t="s">
        <v>49</v>
      </c>
    </row>
    <row r="573" spans="1:1" x14ac:dyDescent="0.3">
      <c r="A573" s="1" t="s">
        <v>49</v>
      </c>
    </row>
    <row r="574" spans="1:1" x14ac:dyDescent="0.3">
      <c r="A574" s="2" t="s">
        <v>49</v>
      </c>
    </row>
    <row r="575" spans="1:1" x14ac:dyDescent="0.3">
      <c r="A575" s="1" t="s">
        <v>49</v>
      </c>
    </row>
    <row r="576" spans="1:1" x14ac:dyDescent="0.3">
      <c r="A576" s="2" t="s">
        <v>49</v>
      </c>
    </row>
    <row r="577" spans="1:1" x14ac:dyDescent="0.3">
      <c r="A577" s="1" t="s">
        <v>49</v>
      </c>
    </row>
    <row r="578" spans="1:1" x14ac:dyDescent="0.3">
      <c r="A578" s="2" t="s">
        <v>49</v>
      </c>
    </row>
    <row r="579" spans="1:1" x14ac:dyDescent="0.3">
      <c r="A579" s="1" t="s">
        <v>49</v>
      </c>
    </row>
    <row r="580" spans="1:1" x14ac:dyDescent="0.3">
      <c r="A580" s="2" t="s">
        <v>49</v>
      </c>
    </row>
    <row r="581" spans="1:1" x14ac:dyDescent="0.3">
      <c r="A581" s="1" t="s">
        <v>49</v>
      </c>
    </row>
    <row r="582" spans="1:1" x14ac:dyDescent="0.3">
      <c r="A582" s="2" t="s">
        <v>49</v>
      </c>
    </row>
    <row r="583" spans="1:1" x14ac:dyDescent="0.3">
      <c r="A583" s="1" t="s">
        <v>49</v>
      </c>
    </row>
    <row r="584" spans="1:1" x14ac:dyDescent="0.3">
      <c r="A584" s="2" t="s">
        <v>49</v>
      </c>
    </row>
    <row r="585" spans="1:1" x14ac:dyDescent="0.3">
      <c r="A585" s="1" t="s">
        <v>33</v>
      </c>
    </row>
    <row r="586" spans="1:1" x14ac:dyDescent="0.3">
      <c r="A586" s="2" t="s">
        <v>33</v>
      </c>
    </row>
    <row r="587" spans="1:1" x14ac:dyDescent="0.3">
      <c r="A587" s="1" t="s">
        <v>49</v>
      </c>
    </row>
    <row r="588" spans="1:1" x14ac:dyDescent="0.3">
      <c r="A588" s="2" t="s">
        <v>49</v>
      </c>
    </row>
    <row r="589" spans="1:1" x14ac:dyDescent="0.3">
      <c r="A589" s="1" t="s">
        <v>49</v>
      </c>
    </row>
    <row r="590" spans="1:1" x14ac:dyDescent="0.3">
      <c r="A590" s="2" t="s">
        <v>49</v>
      </c>
    </row>
    <row r="591" spans="1:1" x14ac:dyDescent="0.3">
      <c r="A591" s="1" t="s">
        <v>49</v>
      </c>
    </row>
    <row r="592" spans="1:1" x14ac:dyDescent="0.3">
      <c r="A592" s="2" t="s">
        <v>74</v>
      </c>
    </row>
    <row r="593" spans="1:1" x14ac:dyDescent="0.3">
      <c r="A593" s="1" t="s">
        <v>33</v>
      </c>
    </row>
    <row r="594" spans="1:1" x14ac:dyDescent="0.3">
      <c r="A594" s="2" t="s">
        <v>33</v>
      </c>
    </row>
    <row r="595" spans="1:1" x14ac:dyDescent="0.3">
      <c r="A595" s="1" t="s">
        <v>49</v>
      </c>
    </row>
    <row r="596" spans="1:1" x14ac:dyDescent="0.3">
      <c r="A596" s="2" t="s">
        <v>49</v>
      </c>
    </row>
    <row r="597" spans="1:1" x14ac:dyDescent="0.3">
      <c r="A597" s="1" t="s">
        <v>33</v>
      </c>
    </row>
    <row r="598" spans="1:1" x14ac:dyDescent="0.3">
      <c r="A598" s="2" t="s">
        <v>49</v>
      </c>
    </row>
    <row r="599" spans="1:1" x14ac:dyDescent="0.3">
      <c r="A599" s="1" t="s">
        <v>49</v>
      </c>
    </row>
    <row r="600" spans="1:1" x14ac:dyDescent="0.3">
      <c r="A600" s="2" t="s">
        <v>49</v>
      </c>
    </row>
    <row r="601" spans="1:1" x14ac:dyDescent="0.3">
      <c r="A601" s="1" t="s">
        <v>49</v>
      </c>
    </row>
    <row r="602" spans="1:1" x14ac:dyDescent="0.3">
      <c r="A602" s="2" t="s">
        <v>33</v>
      </c>
    </row>
    <row r="603" spans="1:1" x14ac:dyDescent="0.3">
      <c r="A603" s="1" t="s">
        <v>33</v>
      </c>
    </row>
    <row r="604" spans="1:1" x14ac:dyDescent="0.3">
      <c r="A604" s="2" t="s">
        <v>33</v>
      </c>
    </row>
    <row r="605" spans="1:1" x14ac:dyDescent="0.3">
      <c r="A605" s="1" t="s">
        <v>33</v>
      </c>
    </row>
    <row r="606" spans="1:1" x14ac:dyDescent="0.3">
      <c r="A606" s="2" t="s">
        <v>33</v>
      </c>
    </row>
    <row r="607" spans="1:1" x14ac:dyDescent="0.3">
      <c r="A607" s="1" t="s">
        <v>49</v>
      </c>
    </row>
    <row r="608" spans="1:1" x14ac:dyDescent="0.3">
      <c r="A608" s="2" t="s">
        <v>33</v>
      </c>
    </row>
    <row r="609" spans="1:1" x14ac:dyDescent="0.3">
      <c r="A609" s="1" t="s">
        <v>49</v>
      </c>
    </row>
    <row r="610" spans="1:1" x14ac:dyDescent="0.3">
      <c r="A610" s="2" t="s">
        <v>33</v>
      </c>
    </row>
    <row r="611" spans="1:1" x14ac:dyDescent="0.3">
      <c r="A611" s="1" t="s">
        <v>49</v>
      </c>
    </row>
    <row r="612" spans="1:1" x14ac:dyDescent="0.3">
      <c r="A612" s="2" t="s">
        <v>74</v>
      </c>
    </row>
    <row r="613" spans="1:1" x14ac:dyDescent="0.3">
      <c r="A613" s="1" t="s">
        <v>33</v>
      </c>
    </row>
    <row r="614" spans="1:1" x14ac:dyDescent="0.3">
      <c r="A614" s="2" t="s">
        <v>49</v>
      </c>
    </row>
    <row r="615" spans="1:1" x14ac:dyDescent="0.3">
      <c r="A615" s="1" t="s">
        <v>49</v>
      </c>
    </row>
    <row r="616" spans="1:1" x14ac:dyDescent="0.3">
      <c r="A616" s="2" t="s">
        <v>33</v>
      </c>
    </row>
    <row r="617" spans="1:1" x14ac:dyDescent="0.3">
      <c r="A617" s="1" t="s">
        <v>33</v>
      </c>
    </row>
    <row r="618" spans="1:1" x14ac:dyDescent="0.3">
      <c r="A618" s="2" t="s">
        <v>74</v>
      </c>
    </row>
    <row r="619" spans="1:1" x14ac:dyDescent="0.3">
      <c r="A619" s="1" t="s">
        <v>49</v>
      </c>
    </row>
    <row r="620" spans="1:1" x14ac:dyDescent="0.3">
      <c r="A620" s="2" t="s">
        <v>49</v>
      </c>
    </row>
    <row r="621" spans="1:1" x14ac:dyDescent="0.3">
      <c r="A621" s="1" t="s">
        <v>33</v>
      </c>
    </row>
    <row r="622" spans="1:1" x14ac:dyDescent="0.3">
      <c r="A622" s="2" t="s">
        <v>33</v>
      </c>
    </row>
    <row r="623" spans="1:1" x14ac:dyDescent="0.3">
      <c r="A623" s="1" t="s">
        <v>49</v>
      </c>
    </row>
    <row r="624" spans="1:1" x14ac:dyDescent="0.3">
      <c r="A624" s="2" t="s">
        <v>33</v>
      </c>
    </row>
    <row r="625" spans="1:1" x14ac:dyDescent="0.3">
      <c r="A625" s="1" t="s">
        <v>33</v>
      </c>
    </row>
    <row r="626" spans="1:1" x14ac:dyDescent="0.3">
      <c r="A626" s="2" t="s">
        <v>33</v>
      </c>
    </row>
    <row r="627" spans="1:1" x14ac:dyDescent="0.3">
      <c r="A627" s="1" t="s">
        <v>33</v>
      </c>
    </row>
    <row r="628" spans="1:1" x14ac:dyDescent="0.3">
      <c r="A628" s="2" t="s">
        <v>49</v>
      </c>
    </row>
    <row r="629" spans="1:1" x14ac:dyDescent="0.3">
      <c r="A629" s="1" t="s">
        <v>49</v>
      </c>
    </row>
    <row r="630" spans="1:1" x14ac:dyDescent="0.3">
      <c r="A630" s="2" t="s">
        <v>49</v>
      </c>
    </row>
    <row r="631" spans="1:1" x14ac:dyDescent="0.3">
      <c r="A631" s="1" t="s">
        <v>49</v>
      </c>
    </row>
    <row r="632" spans="1:1" x14ac:dyDescent="0.3">
      <c r="A632" s="2" t="s">
        <v>33</v>
      </c>
    </row>
    <row r="633" spans="1:1" x14ac:dyDescent="0.3">
      <c r="A633" s="1" t="s">
        <v>49</v>
      </c>
    </row>
    <row r="634" spans="1:1" x14ac:dyDescent="0.3">
      <c r="A634" s="2" t="s">
        <v>33</v>
      </c>
    </row>
    <row r="635" spans="1:1" x14ac:dyDescent="0.3">
      <c r="A635" s="1" t="s">
        <v>49</v>
      </c>
    </row>
    <row r="636" spans="1:1" x14ac:dyDescent="0.3">
      <c r="A636" s="2" t="s">
        <v>49</v>
      </c>
    </row>
    <row r="637" spans="1:1" x14ac:dyDescent="0.3">
      <c r="A637" s="1" t="s">
        <v>49</v>
      </c>
    </row>
    <row r="638" spans="1:1" x14ac:dyDescent="0.3">
      <c r="A638" s="2" t="s">
        <v>49</v>
      </c>
    </row>
    <row r="639" spans="1:1" x14ac:dyDescent="0.3">
      <c r="A639" s="1" t="s">
        <v>33</v>
      </c>
    </row>
    <row r="640" spans="1:1" x14ac:dyDescent="0.3">
      <c r="A640" s="2" t="s">
        <v>49</v>
      </c>
    </row>
    <row r="641" spans="1:1" x14ac:dyDescent="0.3">
      <c r="A641" s="1" t="s">
        <v>49</v>
      </c>
    </row>
    <row r="642" spans="1:1" x14ac:dyDescent="0.3">
      <c r="A642" s="2" t="s">
        <v>33</v>
      </c>
    </row>
    <row r="643" spans="1:1" x14ac:dyDescent="0.3">
      <c r="A643" s="1" t="s">
        <v>33</v>
      </c>
    </row>
    <row r="644" spans="1:1" x14ac:dyDescent="0.3">
      <c r="A644" s="2" t="s">
        <v>49</v>
      </c>
    </row>
    <row r="645" spans="1:1" x14ac:dyDescent="0.3">
      <c r="A645" s="1" t="s">
        <v>49</v>
      </c>
    </row>
    <row r="646" spans="1:1" x14ac:dyDescent="0.3">
      <c r="A646" s="2" t="s">
        <v>49</v>
      </c>
    </row>
    <row r="647" spans="1:1" x14ac:dyDescent="0.3">
      <c r="A647" s="1" t="s">
        <v>33</v>
      </c>
    </row>
    <row r="648" spans="1:1" x14ac:dyDescent="0.3">
      <c r="A648" s="2" t="s">
        <v>49</v>
      </c>
    </row>
    <row r="649" spans="1:1" x14ac:dyDescent="0.3">
      <c r="A649" s="1" t="s">
        <v>33</v>
      </c>
    </row>
    <row r="650" spans="1:1" x14ac:dyDescent="0.3">
      <c r="A650" s="2" t="s">
        <v>33</v>
      </c>
    </row>
    <row r="651" spans="1:1" x14ac:dyDescent="0.3">
      <c r="A651" s="1" t="s">
        <v>49</v>
      </c>
    </row>
    <row r="652" spans="1:1" x14ac:dyDescent="0.3">
      <c r="A652" s="2" t="s">
        <v>74</v>
      </c>
    </row>
    <row r="653" spans="1:1" x14ac:dyDescent="0.3">
      <c r="A653" s="1" t="s">
        <v>33</v>
      </c>
    </row>
    <row r="654" spans="1:1" x14ac:dyDescent="0.3">
      <c r="A654" s="2" t="s">
        <v>33</v>
      </c>
    </row>
    <row r="655" spans="1:1" x14ac:dyDescent="0.3">
      <c r="A655" s="1" t="s">
        <v>33</v>
      </c>
    </row>
    <row r="656" spans="1:1" x14ac:dyDescent="0.3">
      <c r="A656" s="2" t="s">
        <v>49</v>
      </c>
    </row>
    <row r="657" spans="1:1" x14ac:dyDescent="0.3">
      <c r="A657" s="1" t="s">
        <v>49</v>
      </c>
    </row>
    <row r="658" spans="1:1" x14ac:dyDescent="0.3">
      <c r="A658" s="2" t="s">
        <v>33</v>
      </c>
    </row>
    <row r="659" spans="1:1" x14ac:dyDescent="0.3">
      <c r="A659" s="1" t="s">
        <v>33</v>
      </c>
    </row>
    <row r="660" spans="1:1" x14ac:dyDescent="0.3">
      <c r="A660" s="2" t="s">
        <v>49</v>
      </c>
    </row>
    <row r="661" spans="1:1" x14ac:dyDescent="0.3">
      <c r="A661" s="1" t="s">
        <v>49</v>
      </c>
    </row>
    <row r="662" spans="1:1" x14ac:dyDescent="0.3">
      <c r="A662" s="2" t="s">
        <v>49</v>
      </c>
    </row>
    <row r="663" spans="1:1" x14ac:dyDescent="0.3">
      <c r="A663" s="1" t="s">
        <v>49</v>
      </c>
    </row>
    <row r="664" spans="1:1" x14ac:dyDescent="0.3">
      <c r="A664" s="2" t="s">
        <v>49</v>
      </c>
    </row>
    <row r="665" spans="1:1" x14ac:dyDescent="0.3">
      <c r="A665" s="1" t="s">
        <v>33</v>
      </c>
    </row>
    <row r="666" spans="1:1" x14ac:dyDescent="0.3">
      <c r="A666" s="2" t="s">
        <v>49</v>
      </c>
    </row>
    <row r="667" spans="1:1" x14ac:dyDescent="0.3">
      <c r="A667" s="1" t="s">
        <v>49</v>
      </c>
    </row>
    <row r="668" spans="1:1" x14ac:dyDescent="0.3">
      <c r="A668" s="2" t="s">
        <v>49</v>
      </c>
    </row>
    <row r="669" spans="1:1" x14ac:dyDescent="0.3">
      <c r="A669" s="1" t="s">
        <v>49</v>
      </c>
    </row>
    <row r="670" spans="1:1" x14ac:dyDescent="0.3">
      <c r="A670" s="2" t="s">
        <v>49</v>
      </c>
    </row>
    <row r="671" spans="1:1" x14ac:dyDescent="0.3">
      <c r="A671" s="1" t="s">
        <v>49</v>
      </c>
    </row>
    <row r="672" spans="1:1" x14ac:dyDescent="0.3">
      <c r="A672" s="2" t="s">
        <v>49</v>
      </c>
    </row>
    <row r="673" spans="1:1" x14ac:dyDescent="0.3">
      <c r="A673" s="1" t="s">
        <v>74</v>
      </c>
    </row>
    <row r="674" spans="1:1" x14ac:dyDescent="0.3">
      <c r="A674" s="2" t="s">
        <v>49</v>
      </c>
    </row>
    <row r="675" spans="1:1" x14ac:dyDescent="0.3">
      <c r="A675" s="1" t="s">
        <v>49</v>
      </c>
    </row>
    <row r="676" spans="1:1" x14ac:dyDescent="0.3">
      <c r="A676" s="2" t="s">
        <v>49</v>
      </c>
    </row>
    <row r="677" spans="1:1" x14ac:dyDescent="0.3">
      <c r="A677" s="1" t="s">
        <v>49</v>
      </c>
    </row>
    <row r="678" spans="1:1" x14ac:dyDescent="0.3">
      <c r="A678" s="2" t="s">
        <v>49</v>
      </c>
    </row>
    <row r="679" spans="1:1" x14ac:dyDescent="0.3">
      <c r="A679" s="1" t="s">
        <v>49</v>
      </c>
    </row>
    <row r="680" spans="1:1" x14ac:dyDescent="0.3">
      <c r="A680" s="2" t="s">
        <v>49</v>
      </c>
    </row>
    <row r="681" spans="1:1" x14ac:dyDescent="0.3">
      <c r="A681" s="1" t="s">
        <v>49</v>
      </c>
    </row>
    <row r="682" spans="1:1" x14ac:dyDescent="0.3">
      <c r="A682" s="2" t="s">
        <v>49</v>
      </c>
    </row>
    <row r="683" spans="1:1" x14ac:dyDescent="0.3">
      <c r="A683" s="1" t="s">
        <v>49</v>
      </c>
    </row>
    <row r="684" spans="1:1" x14ac:dyDescent="0.3">
      <c r="A684" s="2" t="s">
        <v>49</v>
      </c>
    </row>
    <row r="685" spans="1:1" x14ac:dyDescent="0.3">
      <c r="A685" s="1" t="s">
        <v>49</v>
      </c>
    </row>
    <row r="686" spans="1:1" x14ac:dyDescent="0.3">
      <c r="A686" s="2" t="s">
        <v>49</v>
      </c>
    </row>
    <row r="687" spans="1:1" x14ac:dyDescent="0.3">
      <c r="A687" s="1" t="s">
        <v>49</v>
      </c>
    </row>
    <row r="688" spans="1:1" x14ac:dyDescent="0.3">
      <c r="A688" s="2" t="s">
        <v>49</v>
      </c>
    </row>
    <row r="689" spans="1:1" x14ac:dyDescent="0.3">
      <c r="A689" s="1" t="s">
        <v>49</v>
      </c>
    </row>
    <row r="690" spans="1:1" x14ac:dyDescent="0.3">
      <c r="A690" s="2" t="s">
        <v>49</v>
      </c>
    </row>
    <row r="691" spans="1:1" x14ac:dyDescent="0.3">
      <c r="A691" s="1" t="s">
        <v>49</v>
      </c>
    </row>
    <row r="692" spans="1:1" x14ac:dyDescent="0.3">
      <c r="A692" s="2" t="s">
        <v>49</v>
      </c>
    </row>
    <row r="693" spans="1:1" x14ac:dyDescent="0.3">
      <c r="A693" s="1" t="s">
        <v>49</v>
      </c>
    </row>
    <row r="694" spans="1:1" x14ac:dyDescent="0.3">
      <c r="A694" s="2" t="s">
        <v>49</v>
      </c>
    </row>
    <row r="695" spans="1:1" x14ac:dyDescent="0.3">
      <c r="A695" s="1" t="s">
        <v>33</v>
      </c>
    </row>
    <row r="696" spans="1:1" x14ac:dyDescent="0.3">
      <c r="A696" s="2" t="s">
        <v>33</v>
      </c>
    </row>
    <row r="697" spans="1:1" x14ac:dyDescent="0.3">
      <c r="A697" s="1" t="s">
        <v>33</v>
      </c>
    </row>
    <row r="698" spans="1:1" x14ac:dyDescent="0.3">
      <c r="A698" s="2" t="s">
        <v>49</v>
      </c>
    </row>
    <row r="699" spans="1:1" x14ac:dyDescent="0.3">
      <c r="A699" s="1" t="s">
        <v>33</v>
      </c>
    </row>
    <row r="700" spans="1:1" x14ac:dyDescent="0.3">
      <c r="A700" s="2" t="s">
        <v>33</v>
      </c>
    </row>
    <row r="701" spans="1:1" x14ac:dyDescent="0.3">
      <c r="A701" s="1" t="s">
        <v>49</v>
      </c>
    </row>
    <row r="702" spans="1:1" x14ac:dyDescent="0.3">
      <c r="A702" s="2" t="s">
        <v>49</v>
      </c>
    </row>
    <row r="703" spans="1:1" x14ac:dyDescent="0.3">
      <c r="A703" s="1" t="s">
        <v>49</v>
      </c>
    </row>
    <row r="704" spans="1:1" x14ac:dyDescent="0.3">
      <c r="A704" s="2" t="s">
        <v>49</v>
      </c>
    </row>
    <row r="705" spans="1:1" x14ac:dyDescent="0.3">
      <c r="A705" s="1" t="s">
        <v>49</v>
      </c>
    </row>
    <row r="706" spans="1:1" x14ac:dyDescent="0.3">
      <c r="A706" s="2" t="s">
        <v>49</v>
      </c>
    </row>
    <row r="707" spans="1:1" x14ac:dyDescent="0.3">
      <c r="A707" s="1" t="s">
        <v>49</v>
      </c>
    </row>
    <row r="708" spans="1:1" x14ac:dyDescent="0.3">
      <c r="A708" s="2" t="s">
        <v>49</v>
      </c>
    </row>
    <row r="709" spans="1:1" x14ac:dyDescent="0.3">
      <c r="A709" s="1" t="s">
        <v>49</v>
      </c>
    </row>
    <row r="710" spans="1:1" x14ac:dyDescent="0.3">
      <c r="A710" s="2" t="s">
        <v>33</v>
      </c>
    </row>
    <row r="711" spans="1:1" x14ac:dyDescent="0.3">
      <c r="A711" s="1" t="s">
        <v>33</v>
      </c>
    </row>
    <row r="712" spans="1:1" x14ac:dyDescent="0.3">
      <c r="A712" s="2" t="s">
        <v>33</v>
      </c>
    </row>
    <row r="713" spans="1:1" x14ac:dyDescent="0.3">
      <c r="A713" s="1" t="s">
        <v>49</v>
      </c>
    </row>
    <row r="714" spans="1:1" x14ac:dyDescent="0.3">
      <c r="A714" s="2" t="s">
        <v>49</v>
      </c>
    </row>
    <row r="715" spans="1:1" x14ac:dyDescent="0.3">
      <c r="A715" s="1" t="s">
        <v>74</v>
      </c>
    </row>
    <row r="716" spans="1:1" x14ac:dyDescent="0.3">
      <c r="A716" s="2" t="s">
        <v>49</v>
      </c>
    </row>
    <row r="717" spans="1:1" x14ac:dyDescent="0.3">
      <c r="A717" s="1" t="s">
        <v>49</v>
      </c>
    </row>
    <row r="718" spans="1:1" x14ac:dyDescent="0.3">
      <c r="A718" s="2" t="s">
        <v>74</v>
      </c>
    </row>
    <row r="719" spans="1:1" x14ac:dyDescent="0.3">
      <c r="A719" s="1" t="s">
        <v>33</v>
      </c>
    </row>
    <row r="720" spans="1:1" x14ac:dyDescent="0.3">
      <c r="A720" s="2" t="s">
        <v>33</v>
      </c>
    </row>
    <row r="721" spans="1:1" x14ac:dyDescent="0.3">
      <c r="A721" s="1" t="s">
        <v>49</v>
      </c>
    </row>
    <row r="722" spans="1:1" x14ac:dyDescent="0.3">
      <c r="A722" s="2" t="s">
        <v>49</v>
      </c>
    </row>
    <row r="723" spans="1:1" x14ac:dyDescent="0.3">
      <c r="A723" s="1" t="s">
        <v>49</v>
      </c>
    </row>
    <row r="724" spans="1:1" x14ac:dyDescent="0.3">
      <c r="A724" s="2" t="s">
        <v>49</v>
      </c>
    </row>
    <row r="725" spans="1:1" x14ac:dyDescent="0.3">
      <c r="A725" s="1" t="s">
        <v>33</v>
      </c>
    </row>
    <row r="726" spans="1:1" x14ac:dyDescent="0.3">
      <c r="A726" s="2" t="s">
        <v>49</v>
      </c>
    </row>
    <row r="727" spans="1:1" x14ac:dyDescent="0.3">
      <c r="A727" s="1" t="s">
        <v>74</v>
      </c>
    </row>
    <row r="728" spans="1:1" x14ac:dyDescent="0.3">
      <c r="A728" s="2" t="s">
        <v>49</v>
      </c>
    </row>
    <row r="729" spans="1:1" x14ac:dyDescent="0.3">
      <c r="A729" s="1" t="s">
        <v>49</v>
      </c>
    </row>
    <row r="730" spans="1:1" x14ac:dyDescent="0.3">
      <c r="A730" s="2" t="s">
        <v>33</v>
      </c>
    </row>
    <row r="731" spans="1:1" x14ac:dyDescent="0.3">
      <c r="A731" s="1" t="s">
        <v>49</v>
      </c>
    </row>
    <row r="732" spans="1:1" x14ac:dyDescent="0.3">
      <c r="A732" s="2" t="s">
        <v>49</v>
      </c>
    </row>
    <row r="733" spans="1:1" x14ac:dyDescent="0.3">
      <c r="A733" s="1" t="s">
        <v>49</v>
      </c>
    </row>
    <row r="734" spans="1:1" x14ac:dyDescent="0.3">
      <c r="A734" s="2" t="s">
        <v>49</v>
      </c>
    </row>
    <row r="735" spans="1:1" x14ac:dyDescent="0.3">
      <c r="A735" s="1" t="s">
        <v>49</v>
      </c>
    </row>
    <row r="736" spans="1:1" x14ac:dyDescent="0.3">
      <c r="A736" s="2" t="s">
        <v>49</v>
      </c>
    </row>
    <row r="737" spans="1:1" x14ac:dyDescent="0.3">
      <c r="A737" s="1" t="s">
        <v>49</v>
      </c>
    </row>
    <row r="738" spans="1:1" x14ac:dyDescent="0.3">
      <c r="A738" s="2" t="s">
        <v>49</v>
      </c>
    </row>
    <row r="739" spans="1:1" x14ac:dyDescent="0.3">
      <c r="A739" s="1" t="s">
        <v>49</v>
      </c>
    </row>
    <row r="740" spans="1:1" x14ac:dyDescent="0.3">
      <c r="A740" s="2" t="s">
        <v>49</v>
      </c>
    </row>
    <row r="741" spans="1:1" x14ac:dyDescent="0.3">
      <c r="A741" s="1" t="s">
        <v>33</v>
      </c>
    </row>
    <row r="742" spans="1:1" x14ac:dyDescent="0.3">
      <c r="A742" s="2" t="s">
        <v>33</v>
      </c>
    </row>
    <row r="743" spans="1:1" x14ac:dyDescent="0.3">
      <c r="A743" s="1" t="s">
        <v>49</v>
      </c>
    </row>
    <row r="744" spans="1:1" x14ac:dyDescent="0.3">
      <c r="A744" s="2" t="s">
        <v>49</v>
      </c>
    </row>
    <row r="745" spans="1:1" x14ac:dyDescent="0.3">
      <c r="A745" s="1" t="s">
        <v>49</v>
      </c>
    </row>
    <row r="746" spans="1:1" x14ac:dyDescent="0.3">
      <c r="A746" s="2" t="s">
        <v>49</v>
      </c>
    </row>
    <row r="747" spans="1:1" x14ac:dyDescent="0.3">
      <c r="A747" s="1" t="s">
        <v>74</v>
      </c>
    </row>
    <row r="748" spans="1:1" x14ac:dyDescent="0.3">
      <c r="A748" s="2" t="s">
        <v>74</v>
      </c>
    </row>
    <row r="749" spans="1:1" x14ac:dyDescent="0.3">
      <c r="A749" s="1" t="s">
        <v>49</v>
      </c>
    </row>
    <row r="750" spans="1:1" x14ac:dyDescent="0.3">
      <c r="A750" s="2" t="s">
        <v>49</v>
      </c>
    </row>
    <row r="751" spans="1:1" x14ac:dyDescent="0.3">
      <c r="A751" s="1" t="s">
        <v>49</v>
      </c>
    </row>
    <row r="752" spans="1:1" x14ac:dyDescent="0.3">
      <c r="A752" s="2" t="s">
        <v>49</v>
      </c>
    </row>
    <row r="753" spans="1:1" x14ac:dyDescent="0.3">
      <c r="A753" s="1" t="s">
        <v>49</v>
      </c>
    </row>
    <row r="754" spans="1:1" x14ac:dyDescent="0.3">
      <c r="A754" s="2" t="s">
        <v>49</v>
      </c>
    </row>
    <row r="755" spans="1:1" x14ac:dyDescent="0.3">
      <c r="A755" s="1" t="s">
        <v>74</v>
      </c>
    </row>
    <row r="756" spans="1:1" x14ac:dyDescent="0.3">
      <c r="A756" s="2" t="s">
        <v>74</v>
      </c>
    </row>
    <row r="757" spans="1:1" x14ac:dyDescent="0.3">
      <c r="A757" s="1" t="s">
        <v>74</v>
      </c>
    </row>
    <row r="758" spans="1:1" x14ac:dyDescent="0.3">
      <c r="A758" s="2" t="s">
        <v>49</v>
      </c>
    </row>
    <row r="759" spans="1:1" x14ac:dyDescent="0.3">
      <c r="A759" s="1" t="s">
        <v>74</v>
      </c>
    </row>
    <row r="760" spans="1:1" x14ac:dyDescent="0.3">
      <c r="A760" s="2" t="s">
        <v>74</v>
      </c>
    </row>
    <row r="761" spans="1:1" x14ac:dyDescent="0.3">
      <c r="A761" s="1" t="s">
        <v>49</v>
      </c>
    </row>
    <row r="762" spans="1:1" x14ac:dyDescent="0.3">
      <c r="A762" s="2" t="s">
        <v>49</v>
      </c>
    </row>
    <row r="763" spans="1:1" x14ac:dyDescent="0.3">
      <c r="A763" s="1" t="s">
        <v>49</v>
      </c>
    </row>
    <row r="764" spans="1:1" x14ac:dyDescent="0.3">
      <c r="A764" s="2" t="s">
        <v>49</v>
      </c>
    </row>
    <row r="765" spans="1:1" x14ac:dyDescent="0.3">
      <c r="A765" s="1" t="s">
        <v>49</v>
      </c>
    </row>
    <row r="766" spans="1:1" x14ac:dyDescent="0.3">
      <c r="A766" s="2" t="s">
        <v>49</v>
      </c>
    </row>
    <row r="767" spans="1:1" x14ac:dyDescent="0.3">
      <c r="A767" s="1" t="s">
        <v>49</v>
      </c>
    </row>
    <row r="768" spans="1:1" x14ac:dyDescent="0.3">
      <c r="A768" s="2" t="s">
        <v>49</v>
      </c>
    </row>
    <row r="769" spans="1:1" x14ac:dyDescent="0.3">
      <c r="A769" s="1" t="s">
        <v>49</v>
      </c>
    </row>
    <row r="770" spans="1:1" x14ac:dyDescent="0.3">
      <c r="A770" s="2" t="s">
        <v>74</v>
      </c>
    </row>
    <row r="771" spans="1:1" x14ac:dyDescent="0.3">
      <c r="A771" s="1" t="s">
        <v>49</v>
      </c>
    </row>
    <row r="772" spans="1:1" x14ac:dyDescent="0.3">
      <c r="A772" s="2" t="s">
        <v>49</v>
      </c>
    </row>
    <row r="773" spans="1:1" x14ac:dyDescent="0.3">
      <c r="A773" s="1" t="s">
        <v>49</v>
      </c>
    </row>
    <row r="774" spans="1:1" x14ac:dyDescent="0.3">
      <c r="A774" s="2" t="s">
        <v>49</v>
      </c>
    </row>
    <row r="775" spans="1:1" x14ac:dyDescent="0.3">
      <c r="A775" s="1" t="s">
        <v>49</v>
      </c>
    </row>
    <row r="776" spans="1:1" x14ac:dyDescent="0.3">
      <c r="A776" s="2" t="s">
        <v>49</v>
      </c>
    </row>
    <row r="777" spans="1:1" x14ac:dyDescent="0.3">
      <c r="A777" s="1" t="s">
        <v>74</v>
      </c>
    </row>
    <row r="778" spans="1:1" x14ac:dyDescent="0.3">
      <c r="A778" s="2" t="s">
        <v>49</v>
      </c>
    </row>
    <row r="779" spans="1:1" x14ac:dyDescent="0.3">
      <c r="A779" s="1" t="s">
        <v>49</v>
      </c>
    </row>
    <row r="780" spans="1:1" x14ac:dyDescent="0.3">
      <c r="A780" s="2" t="s">
        <v>49</v>
      </c>
    </row>
    <row r="781" spans="1:1" x14ac:dyDescent="0.3">
      <c r="A781" s="1" t="s">
        <v>74</v>
      </c>
    </row>
    <row r="782" spans="1:1" x14ac:dyDescent="0.3">
      <c r="A782" s="2" t="s">
        <v>74</v>
      </c>
    </row>
    <row r="783" spans="1:1" x14ac:dyDescent="0.3">
      <c r="A783" s="1" t="s">
        <v>49</v>
      </c>
    </row>
    <row r="784" spans="1:1" x14ac:dyDescent="0.3">
      <c r="A784" s="2" t="s">
        <v>49</v>
      </c>
    </row>
    <row r="785" spans="1:1" x14ac:dyDescent="0.3">
      <c r="A785" s="1" t="s">
        <v>49</v>
      </c>
    </row>
    <row r="786" spans="1:1" x14ac:dyDescent="0.3">
      <c r="A786" s="2" t="s">
        <v>33</v>
      </c>
    </row>
    <row r="787" spans="1:1" x14ac:dyDescent="0.3">
      <c r="A787" s="1" t="s">
        <v>49</v>
      </c>
    </row>
    <row r="788" spans="1:1" x14ac:dyDescent="0.3">
      <c r="A788" s="2" t="s">
        <v>49</v>
      </c>
    </row>
    <row r="789" spans="1:1" x14ac:dyDescent="0.3">
      <c r="A789" s="1" t="s">
        <v>49</v>
      </c>
    </row>
    <row r="790" spans="1:1" x14ac:dyDescent="0.3">
      <c r="A790" s="2" t="s">
        <v>49</v>
      </c>
    </row>
    <row r="791" spans="1:1" x14ac:dyDescent="0.3">
      <c r="A791" s="1" t="s">
        <v>49</v>
      </c>
    </row>
    <row r="792" spans="1:1" x14ac:dyDescent="0.3">
      <c r="A792" s="2" t="s">
        <v>49</v>
      </c>
    </row>
    <row r="793" spans="1:1" x14ac:dyDescent="0.3">
      <c r="A793" s="1" t="s">
        <v>49</v>
      </c>
    </row>
    <row r="794" spans="1:1" x14ac:dyDescent="0.3">
      <c r="A794" s="2" t="s">
        <v>49</v>
      </c>
    </row>
    <row r="795" spans="1:1" x14ac:dyDescent="0.3">
      <c r="A795" s="1" t="s">
        <v>49</v>
      </c>
    </row>
    <row r="796" spans="1:1" x14ac:dyDescent="0.3">
      <c r="A796" s="2" t="s">
        <v>49</v>
      </c>
    </row>
    <row r="797" spans="1:1" x14ac:dyDescent="0.3">
      <c r="A797" s="1" t="s">
        <v>49</v>
      </c>
    </row>
    <row r="798" spans="1:1" x14ac:dyDescent="0.3">
      <c r="A798" s="2" t="s">
        <v>49</v>
      </c>
    </row>
    <row r="799" spans="1:1" x14ac:dyDescent="0.3">
      <c r="A799" s="1" t="s">
        <v>49</v>
      </c>
    </row>
    <row r="800" spans="1:1" x14ac:dyDescent="0.3">
      <c r="A800" s="2" t="s">
        <v>49</v>
      </c>
    </row>
    <row r="801" spans="1:1" x14ac:dyDescent="0.3">
      <c r="A801" s="1" t="s">
        <v>49</v>
      </c>
    </row>
    <row r="802" spans="1:1" x14ac:dyDescent="0.3">
      <c r="A802" s="2" t="s">
        <v>49</v>
      </c>
    </row>
    <row r="803" spans="1:1" x14ac:dyDescent="0.3">
      <c r="A803" s="1" t="s">
        <v>49</v>
      </c>
    </row>
    <row r="804" spans="1:1" x14ac:dyDescent="0.3">
      <c r="A804" s="2" t="s">
        <v>49</v>
      </c>
    </row>
    <row r="805" spans="1:1" x14ac:dyDescent="0.3">
      <c r="A805" s="1" t="s">
        <v>49</v>
      </c>
    </row>
    <row r="806" spans="1:1" x14ac:dyDescent="0.3">
      <c r="A806" s="2" t="s">
        <v>49</v>
      </c>
    </row>
    <row r="807" spans="1:1" x14ac:dyDescent="0.3">
      <c r="A807" s="1" t="s">
        <v>49</v>
      </c>
    </row>
    <row r="808" spans="1:1" x14ac:dyDescent="0.3">
      <c r="A808" s="2" t="s">
        <v>49</v>
      </c>
    </row>
    <row r="809" spans="1:1" x14ac:dyDescent="0.3">
      <c r="A809" s="1" t="s">
        <v>49</v>
      </c>
    </row>
    <row r="810" spans="1:1" x14ac:dyDescent="0.3">
      <c r="A810" s="2" t="s">
        <v>49</v>
      </c>
    </row>
    <row r="811" spans="1:1" x14ac:dyDescent="0.3">
      <c r="A811" s="1" t="s">
        <v>49</v>
      </c>
    </row>
    <row r="812" spans="1:1" x14ac:dyDescent="0.3">
      <c r="A812" s="2" t="s">
        <v>49</v>
      </c>
    </row>
    <row r="813" spans="1:1" x14ac:dyDescent="0.3">
      <c r="A813" s="1" t="s">
        <v>49</v>
      </c>
    </row>
    <row r="814" spans="1:1" x14ac:dyDescent="0.3">
      <c r="A814" s="2" t="s">
        <v>49</v>
      </c>
    </row>
    <row r="815" spans="1:1" x14ac:dyDescent="0.3">
      <c r="A815" s="1" t="s">
        <v>49</v>
      </c>
    </row>
    <row r="816" spans="1:1" x14ac:dyDescent="0.3">
      <c r="A816" s="2" t="s">
        <v>49</v>
      </c>
    </row>
    <row r="817" spans="1:1" x14ac:dyDescent="0.3">
      <c r="A817" s="1" t="s">
        <v>49</v>
      </c>
    </row>
    <row r="818" spans="1:1" x14ac:dyDescent="0.3">
      <c r="A818" s="2" t="s">
        <v>49</v>
      </c>
    </row>
    <row r="819" spans="1:1" x14ac:dyDescent="0.3">
      <c r="A819" s="1" t="s">
        <v>49</v>
      </c>
    </row>
    <row r="820" spans="1:1" x14ac:dyDescent="0.3">
      <c r="A820" s="2" t="s">
        <v>49</v>
      </c>
    </row>
    <row r="821" spans="1:1" x14ac:dyDescent="0.3">
      <c r="A821" s="1" t="s">
        <v>49</v>
      </c>
    </row>
    <row r="822" spans="1:1" x14ac:dyDescent="0.3">
      <c r="A822" s="2" t="s">
        <v>49</v>
      </c>
    </row>
    <row r="823" spans="1:1" x14ac:dyDescent="0.3">
      <c r="A823" s="1" t="s">
        <v>49</v>
      </c>
    </row>
    <row r="824" spans="1:1" x14ac:dyDescent="0.3">
      <c r="A824" s="2" t="s">
        <v>49</v>
      </c>
    </row>
    <row r="825" spans="1:1" x14ac:dyDescent="0.3">
      <c r="A825" s="1" t="s">
        <v>49</v>
      </c>
    </row>
    <row r="826" spans="1:1" x14ac:dyDescent="0.3">
      <c r="A826" s="2" t="s">
        <v>49</v>
      </c>
    </row>
    <row r="827" spans="1:1" x14ac:dyDescent="0.3">
      <c r="A827" s="1" t="s">
        <v>49</v>
      </c>
    </row>
    <row r="828" spans="1:1" x14ac:dyDescent="0.3">
      <c r="A828" s="2" t="s">
        <v>49</v>
      </c>
    </row>
    <row r="829" spans="1:1" x14ac:dyDescent="0.3">
      <c r="A829" s="1" t="s">
        <v>49</v>
      </c>
    </row>
    <row r="830" spans="1:1" x14ac:dyDescent="0.3">
      <c r="A830" s="2" t="s">
        <v>49</v>
      </c>
    </row>
    <row r="831" spans="1:1" x14ac:dyDescent="0.3">
      <c r="A831" s="1" t="s">
        <v>49</v>
      </c>
    </row>
    <row r="832" spans="1:1" x14ac:dyDescent="0.3">
      <c r="A832" s="2" t="s">
        <v>49</v>
      </c>
    </row>
    <row r="833" spans="1:1" x14ac:dyDescent="0.3">
      <c r="A833" s="1" t="s">
        <v>49</v>
      </c>
    </row>
    <row r="834" spans="1:1" x14ac:dyDescent="0.3">
      <c r="A834" s="2" t="s">
        <v>49</v>
      </c>
    </row>
    <row r="835" spans="1:1" x14ac:dyDescent="0.3">
      <c r="A835" s="1" t="s">
        <v>49</v>
      </c>
    </row>
    <row r="836" spans="1:1" x14ac:dyDescent="0.3">
      <c r="A836" s="2" t="s">
        <v>49</v>
      </c>
    </row>
    <row r="837" spans="1:1" x14ac:dyDescent="0.3">
      <c r="A837" s="1" t="s">
        <v>49</v>
      </c>
    </row>
    <row r="838" spans="1:1" x14ac:dyDescent="0.3">
      <c r="A838" s="2" t="s">
        <v>49</v>
      </c>
    </row>
    <row r="839" spans="1:1" x14ac:dyDescent="0.3">
      <c r="A839" s="1" t="s">
        <v>49</v>
      </c>
    </row>
    <row r="840" spans="1:1" x14ac:dyDescent="0.3">
      <c r="A840" s="2" t="s">
        <v>49</v>
      </c>
    </row>
    <row r="841" spans="1:1" x14ac:dyDescent="0.3">
      <c r="A841" s="1" t="s">
        <v>49</v>
      </c>
    </row>
    <row r="842" spans="1:1" x14ac:dyDescent="0.3">
      <c r="A842" s="2" t="s">
        <v>49</v>
      </c>
    </row>
    <row r="843" spans="1:1" x14ac:dyDescent="0.3">
      <c r="A843" s="1" t="s">
        <v>49</v>
      </c>
    </row>
    <row r="844" spans="1:1" x14ac:dyDescent="0.3">
      <c r="A844" s="2" t="s">
        <v>49</v>
      </c>
    </row>
    <row r="845" spans="1:1" x14ac:dyDescent="0.3">
      <c r="A845" s="1" t="s">
        <v>49</v>
      </c>
    </row>
    <row r="846" spans="1:1" x14ac:dyDescent="0.3">
      <c r="A846" s="2" t="s">
        <v>49</v>
      </c>
    </row>
    <row r="847" spans="1:1" x14ac:dyDescent="0.3">
      <c r="A847" s="1" t="s">
        <v>49</v>
      </c>
    </row>
    <row r="848" spans="1:1" x14ac:dyDescent="0.3">
      <c r="A848" s="2" t="s">
        <v>49</v>
      </c>
    </row>
    <row r="849" spans="1:1" x14ac:dyDescent="0.3">
      <c r="A849" s="1" t="s">
        <v>49</v>
      </c>
    </row>
    <row r="850" spans="1:1" x14ac:dyDescent="0.3">
      <c r="A850" s="2" t="s">
        <v>49</v>
      </c>
    </row>
    <row r="851" spans="1:1" x14ac:dyDescent="0.3">
      <c r="A851" s="1" t="s">
        <v>49</v>
      </c>
    </row>
    <row r="852" spans="1:1" x14ac:dyDescent="0.3">
      <c r="A852" s="2" t="s">
        <v>49</v>
      </c>
    </row>
    <row r="853" spans="1:1" x14ac:dyDescent="0.3">
      <c r="A853" s="1" t="s">
        <v>49</v>
      </c>
    </row>
    <row r="854" spans="1:1" x14ac:dyDescent="0.3">
      <c r="A854" s="2" t="s">
        <v>49</v>
      </c>
    </row>
    <row r="855" spans="1:1" x14ac:dyDescent="0.3">
      <c r="A855" s="1" t="s">
        <v>49</v>
      </c>
    </row>
    <row r="856" spans="1:1" x14ac:dyDescent="0.3">
      <c r="A856" s="2" t="s">
        <v>49</v>
      </c>
    </row>
    <row r="857" spans="1:1" x14ac:dyDescent="0.3">
      <c r="A857" s="1" t="s">
        <v>49</v>
      </c>
    </row>
    <row r="858" spans="1:1" x14ac:dyDescent="0.3">
      <c r="A858" s="2" t="s">
        <v>49</v>
      </c>
    </row>
    <row r="859" spans="1:1" x14ac:dyDescent="0.3">
      <c r="A859" s="1" t="s">
        <v>74</v>
      </c>
    </row>
    <row r="860" spans="1:1" x14ac:dyDescent="0.3">
      <c r="A860" s="2" t="s">
        <v>33</v>
      </c>
    </row>
    <row r="861" spans="1:1" x14ac:dyDescent="0.3">
      <c r="A861" s="1" t="s">
        <v>49</v>
      </c>
    </row>
    <row r="862" spans="1:1" x14ac:dyDescent="0.3">
      <c r="A862" s="2" t="s">
        <v>33</v>
      </c>
    </row>
    <row r="863" spans="1:1" x14ac:dyDescent="0.3">
      <c r="A863" s="1" t="s">
        <v>33</v>
      </c>
    </row>
    <row r="864" spans="1:1" x14ac:dyDescent="0.3">
      <c r="A864" s="2" t="s">
        <v>33</v>
      </c>
    </row>
    <row r="865" spans="1:1" x14ac:dyDescent="0.3">
      <c r="A865" s="1" t="s">
        <v>33</v>
      </c>
    </row>
    <row r="866" spans="1:1" x14ac:dyDescent="0.3">
      <c r="A866" s="2" t="s">
        <v>33</v>
      </c>
    </row>
    <row r="867" spans="1:1" x14ac:dyDescent="0.3">
      <c r="A867" s="1" t="s">
        <v>33</v>
      </c>
    </row>
    <row r="868" spans="1:1" x14ac:dyDescent="0.3">
      <c r="A868" s="2" t="s">
        <v>33</v>
      </c>
    </row>
    <row r="869" spans="1:1" x14ac:dyDescent="0.3">
      <c r="A869" s="1" t="s">
        <v>49</v>
      </c>
    </row>
    <row r="870" spans="1:1" x14ac:dyDescent="0.3">
      <c r="A870" s="2" t="s">
        <v>49</v>
      </c>
    </row>
    <row r="871" spans="1:1" x14ac:dyDescent="0.3">
      <c r="A871" s="1" t="s">
        <v>49</v>
      </c>
    </row>
    <row r="872" spans="1:1" x14ac:dyDescent="0.3">
      <c r="A872" s="2" t="s">
        <v>49</v>
      </c>
    </row>
    <row r="873" spans="1:1" x14ac:dyDescent="0.3">
      <c r="A873" s="1" t="s">
        <v>33</v>
      </c>
    </row>
    <row r="874" spans="1:1" x14ac:dyDescent="0.3">
      <c r="A874" s="2" t="s">
        <v>74</v>
      </c>
    </row>
    <row r="875" spans="1:1" x14ac:dyDescent="0.3">
      <c r="A875" s="1" t="s">
        <v>33</v>
      </c>
    </row>
    <row r="876" spans="1:1" x14ac:dyDescent="0.3">
      <c r="A876" s="2" t="s">
        <v>33</v>
      </c>
    </row>
    <row r="877" spans="1:1" x14ac:dyDescent="0.3">
      <c r="A877" s="1" t="s">
        <v>33</v>
      </c>
    </row>
    <row r="878" spans="1:1" x14ac:dyDescent="0.3">
      <c r="A878" s="2" t="s">
        <v>49</v>
      </c>
    </row>
    <row r="879" spans="1:1" x14ac:dyDescent="0.3">
      <c r="A879" s="1" t="s">
        <v>33</v>
      </c>
    </row>
    <row r="880" spans="1:1" x14ac:dyDescent="0.3">
      <c r="A880" s="2" t="s">
        <v>33</v>
      </c>
    </row>
    <row r="881" spans="1:1" x14ac:dyDescent="0.3">
      <c r="A881" s="1" t="s">
        <v>33</v>
      </c>
    </row>
    <row r="882" spans="1:1" x14ac:dyDescent="0.3">
      <c r="A882" s="2" t="s">
        <v>33</v>
      </c>
    </row>
    <row r="883" spans="1:1" x14ac:dyDescent="0.3">
      <c r="A883" s="1" t="s">
        <v>74</v>
      </c>
    </row>
    <row r="884" spans="1:1" x14ac:dyDescent="0.3">
      <c r="A884" s="2" t="s">
        <v>33</v>
      </c>
    </row>
    <row r="885" spans="1:1" x14ac:dyDescent="0.3">
      <c r="A885" s="1" t="s">
        <v>49</v>
      </c>
    </row>
    <row r="886" spans="1:1" x14ac:dyDescent="0.3">
      <c r="A886" s="2" t="s">
        <v>33</v>
      </c>
    </row>
    <row r="887" spans="1:1" x14ac:dyDescent="0.3">
      <c r="A887" s="1" t="s">
        <v>49</v>
      </c>
    </row>
    <row r="888" spans="1:1" x14ac:dyDescent="0.3">
      <c r="A888" s="2" t="s">
        <v>49</v>
      </c>
    </row>
    <row r="889" spans="1:1" x14ac:dyDescent="0.3">
      <c r="A889" s="1" t="s">
        <v>33</v>
      </c>
    </row>
    <row r="890" spans="1:1" x14ac:dyDescent="0.3">
      <c r="A890" s="2" t="s">
        <v>33</v>
      </c>
    </row>
    <row r="891" spans="1:1" x14ac:dyDescent="0.3">
      <c r="A891" s="1" t="s">
        <v>33</v>
      </c>
    </row>
    <row r="892" spans="1:1" x14ac:dyDescent="0.3">
      <c r="A892" s="2" t="s">
        <v>33</v>
      </c>
    </row>
    <row r="893" spans="1:1" x14ac:dyDescent="0.3">
      <c r="A893" s="1" t="s">
        <v>33</v>
      </c>
    </row>
    <row r="894" spans="1:1" x14ac:dyDescent="0.3">
      <c r="A894" s="2" t="s">
        <v>33</v>
      </c>
    </row>
    <row r="895" spans="1:1" x14ac:dyDescent="0.3">
      <c r="A895" s="1" t="s">
        <v>33</v>
      </c>
    </row>
    <row r="896" spans="1:1" x14ac:dyDescent="0.3">
      <c r="A896" s="2" t="s">
        <v>49</v>
      </c>
    </row>
    <row r="897" spans="1:1" x14ac:dyDescent="0.3">
      <c r="A897" s="1" t="s">
        <v>49</v>
      </c>
    </row>
    <row r="898" spans="1:1" x14ac:dyDescent="0.3">
      <c r="A898" s="2" t="s">
        <v>49</v>
      </c>
    </row>
    <row r="899" spans="1:1" x14ac:dyDescent="0.3">
      <c r="A899" s="1" t="s">
        <v>49</v>
      </c>
    </row>
    <row r="900" spans="1:1" x14ac:dyDescent="0.3">
      <c r="A900" s="2" t="s">
        <v>49</v>
      </c>
    </row>
    <row r="901" spans="1:1" x14ac:dyDescent="0.3">
      <c r="A901" s="1" t="s">
        <v>49</v>
      </c>
    </row>
    <row r="902" spans="1:1" x14ac:dyDescent="0.3">
      <c r="A902" s="2" t="s">
        <v>33</v>
      </c>
    </row>
    <row r="903" spans="1:1" x14ac:dyDescent="0.3">
      <c r="A903" s="1" t="s">
        <v>33</v>
      </c>
    </row>
    <row r="904" spans="1:1" x14ac:dyDescent="0.3">
      <c r="A904" s="2" t="s">
        <v>33</v>
      </c>
    </row>
    <row r="905" spans="1:1" x14ac:dyDescent="0.3">
      <c r="A905" s="1" t="s">
        <v>74</v>
      </c>
    </row>
    <row r="906" spans="1:1" x14ac:dyDescent="0.3">
      <c r="A906" s="2" t="s">
        <v>33</v>
      </c>
    </row>
    <row r="907" spans="1:1" x14ac:dyDescent="0.3">
      <c r="A907" s="1" t="s">
        <v>74</v>
      </c>
    </row>
    <row r="908" spans="1:1" x14ac:dyDescent="0.3">
      <c r="A908" s="2" t="s">
        <v>33</v>
      </c>
    </row>
    <row r="909" spans="1:1" x14ac:dyDescent="0.3">
      <c r="A909" s="1" t="s">
        <v>33</v>
      </c>
    </row>
    <row r="910" spans="1:1" x14ac:dyDescent="0.3">
      <c r="A910" s="2" t="s">
        <v>33</v>
      </c>
    </row>
    <row r="911" spans="1:1" x14ac:dyDescent="0.3">
      <c r="A911" s="1" t="s">
        <v>49</v>
      </c>
    </row>
    <row r="912" spans="1:1" x14ac:dyDescent="0.3">
      <c r="A912" s="2" t="s">
        <v>49</v>
      </c>
    </row>
    <row r="913" spans="1:1" x14ac:dyDescent="0.3">
      <c r="A913" s="1" t="s">
        <v>33</v>
      </c>
    </row>
    <row r="914" spans="1:1" x14ac:dyDescent="0.3">
      <c r="A914" s="2" t="s">
        <v>49</v>
      </c>
    </row>
    <row r="915" spans="1:1" x14ac:dyDescent="0.3">
      <c r="A915" s="1" t="s">
        <v>33</v>
      </c>
    </row>
    <row r="916" spans="1:1" x14ac:dyDescent="0.3">
      <c r="A916" s="2" t="s">
        <v>33</v>
      </c>
    </row>
    <row r="917" spans="1:1" x14ac:dyDescent="0.3">
      <c r="A917" s="1" t="s">
        <v>33</v>
      </c>
    </row>
    <row r="918" spans="1:1" x14ac:dyDescent="0.3">
      <c r="A918" s="2" t="s">
        <v>33</v>
      </c>
    </row>
    <row r="919" spans="1:1" x14ac:dyDescent="0.3">
      <c r="A919" s="1" t="s">
        <v>74</v>
      </c>
    </row>
    <row r="920" spans="1:1" x14ac:dyDescent="0.3">
      <c r="A920" s="2" t="s">
        <v>49</v>
      </c>
    </row>
    <row r="921" spans="1:1" x14ac:dyDescent="0.3">
      <c r="A921" s="1" t="s">
        <v>49</v>
      </c>
    </row>
    <row r="922" spans="1:1" x14ac:dyDescent="0.3">
      <c r="A922" s="2" t="s">
        <v>74</v>
      </c>
    </row>
    <row r="923" spans="1:1" x14ac:dyDescent="0.3">
      <c r="A923" s="1" t="s">
        <v>33</v>
      </c>
    </row>
    <row r="924" spans="1:1" x14ac:dyDescent="0.3">
      <c r="A924" s="2" t="s">
        <v>49</v>
      </c>
    </row>
    <row r="925" spans="1:1" x14ac:dyDescent="0.3">
      <c r="A925" s="1" t="s">
        <v>33</v>
      </c>
    </row>
    <row r="926" spans="1:1" x14ac:dyDescent="0.3">
      <c r="A926" s="2" t="s">
        <v>49</v>
      </c>
    </row>
    <row r="927" spans="1:1" x14ac:dyDescent="0.3">
      <c r="A927" s="1" t="s">
        <v>49</v>
      </c>
    </row>
    <row r="928" spans="1:1" x14ac:dyDescent="0.3">
      <c r="A928" s="2" t="s">
        <v>49</v>
      </c>
    </row>
    <row r="929" spans="1:1" x14ac:dyDescent="0.3">
      <c r="A929" s="1" t="s">
        <v>49</v>
      </c>
    </row>
    <row r="930" spans="1:1" x14ac:dyDescent="0.3">
      <c r="A930" s="2" t="s">
        <v>49</v>
      </c>
    </row>
    <row r="931" spans="1:1" x14ac:dyDescent="0.3">
      <c r="A931" s="1" t="s">
        <v>49</v>
      </c>
    </row>
    <row r="932" spans="1:1" x14ac:dyDescent="0.3">
      <c r="A932" s="2" t="s">
        <v>49</v>
      </c>
    </row>
    <row r="933" spans="1:1" x14ac:dyDescent="0.3">
      <c r="A933" s="1" t="s">
        <v>49</v>
      </c>
    </row>
    <row r="934" spans="1:1" x14ac:dyDescent="0.3">
      <c r="A934" s="2" t="s">
        <v>49</v>
      </c>
    </row>
    <row r="935" spans="1:1" x14ac:dyDescent="0.3">
      <c r="A935" s="1" t="s">
        <v>49</v>
      </c>
    </row>
    <row r="936" spans="1:1" x14ac:dyDescent="0.3">
      <c r="A936" s="2" t="s">
        <v>49</v>
      </c>
    </row>
    <row r="937" spans="1:1" x14ac:dyDescent="0.3">
      <c r="A937" s="1" t="s">
        <v>49</v>
      </c>
    </row>
    <row r="938" spans="1:1" x14ac:dyDescent="0.3">
      <c r="A938" s="2" t="s">
        <v>49</v>
      </c>
    </row>
    <row r="939" spans="1:1" x14ac:dyDescent="0.3">
      <c r="A939" s="1" t="s">
        <v>49</v>
      </c>
    </row>
    <row r="940" spans="1:1" x14ac:dyDescent="0.3">
      <c r="A940" s="2" t="s">
        <v>49</v>
      </c>
    </row>
    <row r="941" spans="1:1" x14ac:dyDescent="0.3">
      <c r="A941" s="1" t="s">
        <v>49</v>
      </c>
    </row>
    <row r="942" spans="1:1" x14ac:dyDescent="0.3">
      <c r="A942" s="2" t="s">
        <v>49</v>
      </c>
    </row>
    <row r="943" spans="1:1" x14ac:dyDescent="0.3">
      <c r="A943" s="1" t="s">
        <v>49</v>
      </c>
    </row>
    <row r="944" spans="1:1" x14ac:dyDescent="0.3">
      <c r="A944" s="2" t="s">
        <v>49</v>
      </c>
    </row>
    <row r="945" spans="1:1" x14ac:dyDescent="0.3">
      <c r="A945" s="1" t="s">
        <v>49</v>
      </c>
    </row>
    <row r="946" spans="1:1" x14ac:dyDescent="0.3">
      <c r="A946" s="2" t="s">
        <v>74</v>
      </c>
    </row>
    <row r="947" spans="1:1" x14ac:dyDescent="0.3">
      <c r="A947" s="1" t="s">
        <v>33</v>
      </c>
    </row>
    <row r="948" spans="1:1" x14ac:dyDescent="0.3">
      <c r="A948" s="2" t="s">
        <v>33</v>
      </c>
    </row>
    <row r="949" spans="1:1" x14ac:dyDescent="0.3">
      <c r="A949" s="1" t="s">
        <v>49</v>
      </c>
    </row>
    <row r="950" spans="1:1" x14ac:dyDescent="0.3">
      <c r="A950" s="2" t="s">
        <v>49</v>
      </c>
    </row>
    <row r="951" spans="1:1" x14ac:dyDescent="0.3">
      <c r="A951" s="1" t="s">
        <v>49</v>
      </c>
    </row>
    <row r="952" spans="1:1" x14ac:dyDescent="0.3">
      <c r="A952" s="2" t="s">
        <v>49</v>
      </c>
    </row>
    <row r="953" spans="1:1" x14ac:dyDescent="0.3">
      <c r="A953" s="1" t="s">
        <v>49</v>
      </c>
    </row>
    <row r="954" spans="1:1" x14ac:dyDescent="0.3">
      <c r="A954" s="2" t="s">
        <v>49</v>
      </c>
    </row>
    <row r="955" spans="1:1" x14ac:dyDescent="0.3">
      <c r="A955" s="1" t="s">
        <v>49</v>
      </c>
    </row>
    <row r="956" spans="1:1" x14ac:dyDescent="0.3">
      <c r="A956" s="2" t="s">
        <v>33</v>
      </c>
    </row>
    <row r="957" spans="1:1" x14ac:dyDescent="0.3">
      <c r="A957" s="1" t="s">
        <v>49</v>
      </c>
    </row>
    <row r="958" spans="1:1" x14ac:dyDescent="0.3">
      <c r="A958" s="2" t="s">
        <v>33</v>
      </c>
    </row>
    <row r="959" spans="1:1" x14ac:dyDescent="0.3">
      <c r="A959" s="1" t="s">
        <v>49</v>
      </c>
    </row>
    <row r="960" spans="1:1" x14ac:dyDescent="0.3">
      <c r="A960" s="2" t="s">
        <v>49</v>
      </c>
    </row>
    <row r="961" spans="1:1" x14ac:dyDescent="0.3">
      <c r="A961" s="1" t="s">
        <v>49</v>
      </c>
    </row>
    <row r="962" spans="1:1" x14ac:dyDescent="0.3">
      <c r="A962" s="2" t="s">
        <v>33</v>
      </c>
    </row>
    <row r="963" spans="1:1" x14ac:dyDescent="0.3">
      <c r="A963" s="1" t="s">
        <v>33</v>
      </c>
    </row>
    <row r="964" spans="1:1" x14ac:dyDescent="0.3">
      <c r="A964" s="2" t="s">
        <v>74</v>
      </c>
    </row>
    <row r="965" spans="1:1" x14ac:dyDescent="0.3">
      <c r="A965" s="1" t="s">
        <v>49</v>
      </c>
    </row>
    <row r="966" spans="1:1" x14ac:dyDescent="0.3">
      <c r="A966" s="2" t="s">
        <v>49</v>
      </c>
    </row>
    <row r="967" spans="1:1" x14ac:dyDescent="0.3">
      <c r="A967" s="1" t="s">
        <v>49</v>
      </c>
    </row>
    <row r="968" spans="1:1" x14ac:dyDescent="0.3">
      <c r="A968" s="2" t="s">
        <v>49</v>
      </c>
    </row>
    <row r="969" spans="1:1" x14ac:dyDescent="0.3">
      <c r="A969" s="1" t="s">
        <v>49</v>
      </c>
    </row>
    <row r="970" spans="1:1" x14ac:dyDescent="0.3">
      <c r="A970" s="2" t="s">
        <v>49</v>
      </c>
    </row>
    <row r="971" spans="1:1" x14ac:dyDescent="0.3">
      <c r="A971" s="1" t="s">
        <v>49</v>
      </c>
    </row>
    <row r="972" spans="1:1" x14ac:dyDescent="0.3">
      <c r="A972" s="2" t="s">
        <v>49</v>
      </c>
    </row>
    <row r="973" spans="1:1" x14ac:dyDescent="0.3">
      <c r="A973" s="1" t="s">
        <v>49</v>
      </c>
    </row>
    <row r="974" spans="1:1" x14ac:dyDescent="0.3">
      <c r="A974" s="2" t="s">
        <v>74</v>
      </c>
    </row>
    <row r="975" spans="1:1" x14ac:dyDescent="0.3">
      <c r="A975" s="1" t="s">
        <v>33</v>
      </c>
    </row>
    <row r="976" spans="1:1" x14ac:dyDescent="0.3">
      <c r="A976" s="2" t="s">
        <v>33</v>
      </c>
    </row>
    <row r="977" spans="1:1" x14ac:dyDescent="0.3">
      <c r="A977" s="1" t="s">
        <v>49</v>
      </c>
    </row>
    <row r="978" spans="1:1" x14ac:dyDescent="0.3">
      <c r="A978" s="2" t="s">
        <v>49</v>
      </c>
    </row>
    <row r="979" spans="1:1" x14ac:dyDescent="0.3">
      <c r="A979" s="1" t="s">
        <v>49</v>
      </c>
    </row>
    <row r="980" spans="1:1" x14ac:dyDescent="0.3">
      <c r="A980" s="2" t="s">
        <v>33</v>
      </c>
    </row>
    <row r="981" spans="1:1" x14ac:dyDescent="0.3">
      <c r="A981" s="1" t="s">
        <v>49</v>
      </c>
    </row>
    <row r="982" spans="1:1" x14ac:dyDescent="0.3">
      <c r="A982" s="2" t="s">
        <v>49</v>
      </c>
    </row>
    <row r="983" spans="1:1" x14ac:dyDescent="0.3">
      <c r="A983" s="1" t="s">
        <v>49</v>
      </c>
    </row>
    <row r="984" spans="1:1" x14ac:dyDescent="0.3">
      <c r="A984" s="2" t="s">
        <v>49</v>
      </c>
    </row>
    <row r="985" spans="1:1" x14ac:dyDescent="0.3">
      <c r="A985" s="1" t="s">
        <v>49</v>
      </c>
    </row>
    <row r="986" spans="1:1" x14ac:dyDescent="0.3">
      <c r="A986" s="2" t="s">
        <v>49</v>
      </c>
    </row>
    <row r="987" spans="1:1" x14ac:dyDescent="0.3">
      <c r="A987" s="1" t="s">
        <v>33</v>
      </c>
    </row>
    <row r="988" spans="1:1" x14ac:dyDescent="0.3">
      <c r="A988" s="2" t="s">
        <v>33</v>
      </c>
    </row>
    <row r="989" spans="1:1" x14ac:dyDescent="0.3">
      <c r="A989" s="1" t="s">
        <v>33</v>
      </c>
    </row>
    <row r="990" spans="1:1" x14ac:dyDescent="0.3">
      <c r="A990" s="2" t="s">
        <v>33</v>
      </c>
    </row>
    <row r="991" spans="1:1" x14ac:dyDescent="0.3">
      <c r="A991" s="1" t="s">
        <v>49</v>
      </c>
    </row>
    <row r="992" spans="1:1" x14ac:dyDescent="0.3">
      <c r="A992" s="2" t="s">
        <v>49</v>
      </c>
    </row>
    <row r="993" spans="1:1" x14ac:dyDescent="0.3">
      <c r="A993" s="1" t="s">
        <v>49</v>
      </c>
    </row>
    <row r="994" spans="1:1" x14ac:dyDescent="0.3">
      <c r="A994" s="2" t="s">
        <v>74</v>
      </c>
    </row>
    <row r="995" spans="1:1" x14ac:dyDescent="0.3">
      <c r="A995" s="1" t="s">
        <v>49</v>
      </c>
    </row>
    <row r="996" spans="1:1" x14ac:dyDescent="0.3">
      <c r="A996" s="2" t="s">
        <v>49</v>
      </c>
    </row>
    <row r="997" spans="1:1" x14ac:dyDescent="0.3">
      <c r="A997" s="1" t="s">
        <v>49</v>
      </c>
    </row>
    <row r="998" spans="1:1" x14ac:dyDescent="0.3">
      <c r="A998" s="2" t="s">
        <v>49</v>
      </c>
    </row>
    <row r="999" spans="1:1" x14ac:dyDescent="0.3">
      <c r="A999" s="1" t="s">
        <v>49</v>
      </c>
    </row>
    <row r="1000" spans="1:1" x14ac:dyDescent="0.3">
      <c r="A1000" s="2" t="s">
        <v>49</v>
      </c>
    </row>
    <row r="1001" spans="1:1" x14ac:dyDescent="0.3">
      <c r="A1001" s="1" t="s">
        <v>49</v>
      </c>
    </row>
    <row r="1002" spans="1:1" x14ac:dyDescent="0.3">
      <c r="A1002" s="2" t="s">
        <v>33</v>
      </c>
    </row>
    <row r="1003" spans="1:1" x14ac:dyDescent="0.3">
      <c r="A1003" s="1" t="s">
        <v>49</v>
      </c>
    </row>
    <row r="1004" spans="1:1" x14ac:dyDescent="0.3">
      <c r="A1004" s="2" t="s">
        <v>49</v>
      </c>
    </row>
    <row r="1005" spans="1:1" x14ac:dyDescent="0.3">
      <c r="A1005" s="1" t="s">
        <v>49</v>
      </c>
    </row>
    <row r="1006" spans="1:1" x14ac:dyDescent="0.3">
      <c r="A1006" s="2" t="s">
        <v>49</v>
      </c>
    </row>
    <row r="1007" spans="1:1" x14ac:dyDescent="0.3">
      <c r="A1007" s="1" t="s">
        <v>33</v>
      </c>
    </row>
    <row r="1008" spans="1:1" x14ac:dyDescent="0.3">
      <c r="A1008" s="2" t="s">
        <v>33</v>
      </c>
    </row>
    <row r="1009" spans="1:1" x14ac:dyDescent="0.3">
      <c r="A1009" s="1" t="s">
        <v>49</v>
      </c>
    </row>
    <row r="1010" spans="1:1" x14ac:dyDescent="0.3">
      <c r="A1010" s="2" t="s">
        <v>49</v>
      </c>
    </row>
    <row r="1011" spans="1:1" x14ac:dyDescent="0.3">
      <c r="A1011" s="1" t="s">
        <v>49</v>
      </c>
    </row>
    <row r="1012" spans="1:1" x14ac:dyDescent="0.3">
      <c r="A1012" s="2" t="s">
        <v>49</v>
      </c>
    </row>
    <row r="1013" spans="1:1" x14ac:dyDescent="0.3">
      <c r="A1013" s="1" t="s">
        <v>33</v>
      </c>
    </row>
    <row r="1014" spans="1:1" x14ac:dyDescent="0.3">
      <c r="A1014" s="2" t="s">
        <v>49</v>
      </c>
    </row>
    <row r="1015" spans="1:1" x14ac:dyDescent="0.3">
      <c r="A1015" s="1" t="s">
        <v>33</v>
      </c>
    </row>
    <row r="1016" spans="1:1" x14ac:dyDescent="0.3">
      <c r="A1016" s="2" t="s">
        <v>33</v>
      </c>
    </row>
    <row r="1017" spans="1:1" x14ac:dyDescent="0.3">
      <c r="A1017" s="1" t="s">
        <v>33</v>
      </c>
    </row>
    <row r="1018" spans="1:1" x14ac:dyDescent="0.3">
      <c r="A1018" s="2" t="s">
        <v>33</v>
      </c>
    </row>
    <row r="1019" spans="1:1" x14ac:dyDescent="0.3">
      <c r="A1019" s="1" t="s">
        <v>74</v>
      </c>
    </row>
    <row r="1020" spans="1:1" x14ac:dyDescent="0.3">
      <c r="A1020" s="2" t="s">
        <v>33</v>
      </c>
    </row>
    <row r="1021" spans="1:1" x14ac:dyDescent="0.3">
      <c r="A1021" s="1" t="s">
        <v>33</v>
      </c>
    </row>
    <row r="1022" spans="1:1" x14ac:dyDescent="0.3">
      <c r="A1022" s="2" t="s">
        <v>49</v>
      </c>
    </row>
    <row r="1023" spans="1:1" x14ac:dyDescent="0.3">
      <c r="A1023" s="1" t="s">
        <v>49</v>
      </c>
    </row>
    <row r="1024" spans="1:1" x14ac:dyDescent="0.3">
      <c r="A1024" s="2" t="s">
        <v>33</v>
      </c>
    </row>
    <row r="1025" spans="1:1" x14ac:dyDescent="0.3">
      <c r="A1025" s="1" t="s">
        <v>49</v>
      </c>
    </row>
    <row r="1026" spans="1:1" x14ac:dyDescent="0.3">
      <c r="A1026" s="2" t="s">
        <v>74</v>
      </c>
    </row>
    <row r="1027" spans="1:1" x14ac:dyDescent="0.3">
      <c r="A1027" s="1" t="s">
        <v>74</v>
      </c>
    </row>
    <row r="1028" spans="1:1" x14ac:dyDescent="0.3">
      <c r="A1028" s="2" t="s">
        <v>33</v>
      </c>
    </row>
    <row r="1029" spans="1:1" x14ac:dyDescent="0.3">
      <c r="A1029" s="1" t="s">
        <v>49</v>
      </c>
    </row>
    <row r="1030" spans="1:1" x14ac:dyDescent="0.3">
      <c r="A1030" s="2" t="s">
        <v>49</v>
      </c>
    </row>
    <row r="1031" spans="1:1" x14ac:dyDescent="0.3">
      <c r="A1031" s="1" t="s">
        <v>49</v>
      </c>
    </row>
    <row r="1032" spans="1:1" x14ac:dyDescent="0.3">
      <c r="A1032" s="2" t="s">
        <v>49</v>
      </c>
    </row>
    <row r="1033" spans="1:1" x14ac:dyDescent="0.3">
      <c r="A1033" s="1" t="s">
        <v>33</v>
      </c>
    </row>
    <row r="1034" spans="1:1" x14ac:dyDescent="0.3">
      <c r="A1034" s="2" t="s">
        <v>49</v>
      </c>
    </row>
    <row r="1035" spans="1:1" x14ac:dyDescent="0.3">
      <c r="A1035" s="1" t="s">
        <v>33</v>
      </c>
    </row>
    <row r="1036" spans="1:1" x14ac:dyDescent="0.3">
      <c r="A1036" s="2" t="s">
        <v>49</v>
      </c>
    </row>
    <row r="1037" spans="1:1" x14ac:dyDescent="0.3">
      <c r="A1037" s="1" t="s">
        <v>49</v>
      </c>
    </row>
    <row r="1038" spans="1:1" x14ac:dyDescent="0.3">
      <c r="A1038" s="2" t="s">
        <v>49</v>
      </c>
    </row>
    <row r="1039" spans="1:1" x14ac:dyDescent="0.3">
      <c r="A1039" s="1" t="s">
        <v>33</v>
      </c>
    </row>
    <row r="1040" spans="1:1" x14ac:dyDescent="0.3">
      <c r="A1040" s="2" t="s">
        <v>49</v>
      </c>
    </row>
    <row r="1041" spans="1:1" x14ac:dyDescent="0.3">
      <c r="A1041" s="1" t="s">
        <v>49</v>
      </c>
    </row>
    <row r="1042" spans="1:1" x14ac:dyDescent="0.3">
      <c r="A1042" s="2" t="s">
        <v>49</v>
      </c>
    </row>
    <row r="1043" spans="1:1" x14ac:dyDescent="0.3">
      <c r="A1043" s="1" t="s">
        <v>49</v>
      </c>
    </row>
    <row r="1044" spans="1:1" x14ac:dyDescent="0.3">
      <c r="A1044" s="2" t="s">
        <v>49</v>
      </c>
    </row>
    <row r="1045" spans="1:1" x14ac:dyDescent="0.3">
      <c r="A1045" s="1" t="s">
        <v>33</v>
      </c>
    </row>
    <row r="1046" spans="1:1" x14ac:dyDescent="0.3">
      <c r="A1046" s="2" t="s">
        <v>33</v>
      </c>
    </row>
    <row r="1047" spans="1:1" x14ac:dyDescent="0.3">
      <c r="A1047" s="1" t="s">
        <v>33</v>
      </c>
    </row>
    <row r="1048" spans="1:1" x14ac:dyDescent="0.3">
      <c r="A1048" s="2" t="s">
        <v>33</v>
      </c>
    </row>
    <row r="1049" spans="1:1" x14ac:dyDescent="0.3">
      <c r="A1049" s="1" t="s">
        <v>49</v>
      </c>
    </row>
    <row r="1050" spans="1:1" x14ac:dyDescent="0.3">
      <c r="A1050" s="2" t="s">
        <v>49</v>
      </c>
    </row>
    <row r="1051" spans="1:1" x14ac:dyDescent="0.3">
      <c r="A1051" s="1" t="s">
        <v>49</v>
      </c>
    </row>
    <row r="1052" spans="1:1" x14ac:dyDescent="0.3">
      <c r="A1052" s="2" t="s">
        <v>49</v>
      </c>
    </row>
    <row r="1053" spans="1:1" x14ac:dyDescent="0.3">
      <c r="A1053" s="1" t="s">
        <v>74</v>
      </c>
    </row>
    <row r="1054" spans="1:1" x14ac:dyDescent="0.3">
      <c r="A1054" s="2" t="s">
        <v>49</v>
      </c>
    </row>
    <row r="1055" spans="1:1" x14ac:dyDescent="0.3">
      <c r="A1055" s="1" t="s">
        <v>49</v>
      </c>
    </row>
    <row r="1056" spans="1:1" x14ac:dyDescent="0.3">
      <c r="A1056" s="2" t="s">
        <v>33</v>
      </c>
    </row>
    <row r="1057" spans="1:1" x14ac:dyDescent="0.3">
      <c r="A1057" s="1" t="s">
        <v>33</v>
      </c>
    </row>
    <row r="1058" spans="1:1" x14ac:dyDescent="0.3">
      <c r="A1058" s="2" t="s">
        <v>49</v>
      </c>
    </row>
    <row r="1059" spans="1:1" x14ac:dyDescent="0.3">
      <c r="A1059" s="1" t="s">
        <v>33</v>
      </c>
    </row>
    <row r="1060" spans="1:1" x14ac:dyDescent="0.3">
      <c r="A1060" s="2" t="s">
        <v>33</v>
      </c>
    </row>
    <row r="1061" spans="1:1" x14ac:dyDescent="0.3">
      <c r="A1061" s="1" t="s">
        <v>49</v>
      </c>
    </row>
    <row r="1062" spans="1:1" x14ac:dyDescent="0.3">
      <c r="A1062" s="2" t="s">
        <v>74</v>
      </c>
    </row>
    <row r="1063" spans="1:1" x14ac:dyDescent="0.3">
      <c r="A1063" s="1" t="s">
        <v>49</v>
      </c>
    </row>
    <row r="1064" spans="1:1" x14ac:dyDescent="0.3">
      <c r="A1064" s="2" t="s">
        <v>49</v>
      </c>
    </row>
    <row r="1065" spans="1:1" x14ac:dyDescent="0.3">
      <c r="A1065" s="1" t="s">
        <v>33</v>
      </c>
    </row>
    <row r="1066" spans="1:1" x14ac:dyDescent="0.3">
      <c r="A1066" s="2" t="s">
        <v>33</v>
      </c>
    </row>
    <row r="1067" spans="1:1" x14ac:dyDescent="0.3">
      <c r="A1067" s="1" t="s">
        <v>49</v>
      </c>
    </row>
    <row r="1068" spans="1:1" x14ac:dyDescent="0.3">
      <c r="A1068" s="2" t="s">
        <v>33</v>
      </c>
    </row>
    <row r="1069" spans="1:1" x14ac:dyDescent="0.3">
      <c r="A1069" s="1" t="s">
        <v>33</v>
      </c>
    </row>
    <row r="1070" spans="1:1" x14ac:dyDescent="0.3">
      <c r="A1070" s="2" t="s">
        <v>49</v>
      </c>
    </row>
    <row r="1071" spans="1:1" x14ac:dyDescent="0.3">
      <c r="A1071" s="1" t="s">
        <v>49</v>
      </c>
    </row>
    <row r="1072" spans="1:1" x14ac:dyDescent="0.3">
      <c r="A1072" s="2" t="s">
        <v>49</v>
      </c>
    </row>
    <row r="1073" spans="1:1" x14ac:dyDescent="0.3">
      <c r="A1073" s="1" t="s">
        <v>49</v>
      </c>
    </row>
    <row r="1074" spans="1:1" x14ac:dyDescent="0.3">
      <c r="A1074" s="2" t="s">
        <v>49</v>
      </c>
    </row>
    <row r="1075" spans="1:1" x14ac:dyDescent="0.3">
      <c r="A1075" s="1" t="s">
        <v>74</v>
      </c>
    </row>
    <row r="1076" spans="1:1" x14ac:dyDescent="0.3">
      <c r="A1076" s="2" t="s">
        <v>49</v>
      </c>
    </row>
    <row r="1077" spans="1:1" x14ac:dyDescent="0.3">
      <c r="A1077" s="1" t="s">
        <v>49</v>
      </c>
    </row>
    <row r="1078" spans="1:1" x14ac:dyDescent="0.3">
      <c r="A1078" s="2" t="s">
        <v>49</v>
      </c>
    </row>
    <row r="1079" spans="1:1" x14ac:dyDescent="0.3">
      <c r="A1079" s="1" t="s">
        <v>74</v>
      </c>
    </row>
    <row r="1080" spans="1:1" x14ac:dyDescent="0.3">
      <c r="A1080" s="2" t="s">
        <v>33</v>
      </c>
    </row>
    <row r="1081" spans="1:1" x14ac:dyDescent="0.3">
      <c r="A1081" s="1" t="s">
        <v>33</v>
      </c>
    </row>
    <row r="1082" spans="1:1" x14ac:dyDescent="0.3">
      <c r="A1082" s="2" t="s">
        <v>33</v>
      </c>
    </row>
    <row r="1083" spans="1:1" x14ac:dyDescent="0.3">
      <c r="A1083" s="1" t="s">
        <v>49</v>
      </c>
    </row>
    <row r="1084" spans="1:1" x14ac:dyDescent="0.3">
      <c r="A1084" s="2" t="s">
        <v>33</v>
      </c>
    </row>
    <row r="1085" spans="1:1" x14ac:dyDescent="0.3">
      <c r="A1085" s="1" t="s">
        <v>33</v>
      </c>
    </row>
    <row r="1086" spans="1:1" x14ac:dyDescent="0.3">
      <c r="A1086" s="2" t="s">
        <v>33</v>
      </c>
    </row>
    <row r="1087" spans="1:1" x14ac:dyDescent="0.3">
      <c r="A1087" s="1" t="s">
        <v>33</v>
      </c>
    </row>
    <row r="1088" spans="1:1" x14ac:dyDescent="0.3">
      <c r="A1088" s="2" t="s">
        <v>49</v>
      </c>
    </row>
    <row r="1089" spans="1:1" x14ac:dyDescent="0.3">
      <c r="A1089" s="1" t="s">
        <v>33</v>
      </c>
    </row>
    <row r="1090" spans="1:1" x14ac:dyDescent="0.3">
      <c r="A1090" s="2" t="s">
        <v>49</v>
      </c>
    </row>
    <row r="1091" spans="1:1" x14ac:dyDescent="0.3">
      <c r="A1091" s="1" t="s">
        <v>49</v>
      </c>
    </row>
    <row r="1092" spans="1:1" x14ac:dyDescent="0.3">
      <c r="A1092" s="2" t="s">
        <v>49</v>
      </c>
    </row>
    <row r="1093" spans="1:1" x14ac:dyDescent="0.3">
      <c r="A1093" s="1" t="s">
        <v>49</v>
      </c>
    </row>
    <row r="1094" spans="1:1" x14ac:dyDescent="0.3">
      <c r="A1094" s="2" t="s">
        <v>49</v>
      </c>
    </row>
    <row r="1095" spans="1:1" x14ac:dyDescent="0.3">
      <c r="A1095" s="1" t="s">
        <v>33</v>
      </c>
    </row>
    <row r="1096" spans="1:1" x14ac:dyDescent="0.3">
      <c r="A1096" s="2" t="s">
        <v>33</v>
      </c>
    </row>
    <row r="1097" spans="1:1" x14ac:dyDescent="0.3">
      <c r="A1097" s="1" t="s">
        <v>33</v>
      </c>
    </row>
    <row r="1098" spans="1:1" x14ac:dyDescent="0.3">
      <c r="A1098" s="2" t="s">
        <v>49</v>
      </c>
    </row>
    <row r="1099" spans="1:1" x14ac:dyDescent="0.3">
      <c r="A1099" s="1" t="s">
        <v>33</v>
      </c>
    </row>
    <row r="1100" spans="1:1" x14ac:dyDescent="0.3">
      <c r="A1100" s="2" t="s">
        <v>33</v>
      </c>
    </row>
    <row r="1101" spans="1:1" x14ac:dyDescent="0.3">
      <c r="A1101" s="1" t="s">
        <v>49</v>
      </c>
    </row>
    <row r="1102" spans="1:1" x14ac:dyDescent="0.3">
      <c r="A1102" s="2" t="s">
        <v>33</v>
      </c>
    </row>
    <row r="1103" spans="1:1" x14ac:dyDescent="0.3">
      <c r="A1103" s="1" t="s">
        <v>74</v>
      </c>
    </row>
    <row r="1104" spans="1:1" x14ac:dyDescent="0.3">
      <c r="A1104" s="2" t="s">
        <v>49</v>
      </c>
    </row>
    <row r="1105" spans="1:1" x14ac:dyDescent="0.3">
      <c r="A1105" s="1" t="s">
        <v>49</v>
      </c>
    </row>
    <row r="1106" spans="1:1" x14ac:dyDescent="0.3">
      <c r="A1106" s="2" t="s">
        <v>49</v>
      </c>
    </row>
    <row r="1107" spans="1:1" x14ac:dyDescent="0.3">
      <c r="A1107" s="1" t="s">
        <v>49</v>
      </c>
    </row>
    <row r="1108" spans="1:1" x14ac:dyDescent="0.3">
      <c r="A1108" s="2" t="s">
        <v>49</v>
      </c>
    </row>
    <row r="1109" spans="1:1" x14ac:dyDescent="0.3">
      <c r="A1109" s="1" t="s">
        <v>49</v>
      </c>
    </row>
    <row r="1110" spans="1:1" x14ac:dyDescent="0.3">
      <c r="A1110" s="2" t="s">
        <v>33</v>
      </c>
    </row>
    <row r="1111" spans="1:1" x14ac:dyDescent="0.3">
      <c r="A1111" s="1" t="s">
        <v>49</v>
      </c>
    </row>
    <row r="1112" spans="1:1" x14ac:dyDescent="0.3">
      <c r="A1112" s="2" t="s">
        <v>49</v>
      </c>
    </row>
    <row r="1113" spans="1:1" x14ac:dyDescent="0.3">
      <c r="A1113" s="1" t="s">
        <v>49</v>
      </c>
    </row>
    <row r="1114" spans="1:1" x14ac:dyDescent="0.3">
      <c r="A1114" s="2" t="s">
        <v>49</v>
      </c>
    </row>
    <row r="1115" spans="1:1" x14ac:dyDescent="0.3">
      <c r="A1115" s="1" t="s">
        <v>49</v>
      </c>
    </row>
    <row r="1116" spans="1:1" x14ac:dyDescent="0.3">
      <c r="A1116" s="2" t="s">
        <v>49</v>
      </c>
    </row>
    <row r="1117" spans="1:1" x14ac:dyDescent="0.3">
      <c r="A1117" s="1" t="s">
        <v>49</v>
      </c>
    </row>
    <row r="1118" spans="1:1" x14ac:dyDescent="0.3">
      <c r="A1118" s="2" t="s">
        <v>49</v>
      </c>
    </row>
    <row r="1119" spans="1:1" x14ac:dyDescent="0.3">
      <c r="A1119" s="1" t="s">
        <v>49</v>
      </c>
    </row>
    <row r="1120" spans="1:1" x14ac:dyDescent="0.3">
      <c r="A1120" s="2" t="s">
        <v>74</v>
      </c>
    </row>
    <row r="1121" spans="1:1" x14ac:dyDescent="0.3">
      <c r="A1121" s="1" t="s">
        <v>49</v>
      </c>
    </row>
    <row r="1122" spans="1:1" x14ac:dyDescent="0.3">
      <c r="A1122" s="2" t="s">
        <v>49</v>
      </c>
    </row>
    <row r="1123" spans="1:1" x14ac:dyDescent="0.3">
      <c r="A1123" s="1" t="s">
        <v>49</v>
      </c>
    </row>
    <row r="1124" spans="1:1" x14ac:dyDescent="0.3">
      <c r="A1124" s="2" t="s">
        <v>74</v>
      </c>
    </row>
    <row r="1125" spans="1:1" x14ac:dyDescent="0.3">
      <c r="A1125" s="1" t="s">
        <v>49</v>
      </c>
    </row>
    <row r="1126" spans="1:1" x14ac:dyDescent="0.3">
      <c r="A1126" s="2" t="s">
        <v>49</v>
      </c>
    </row>
    <row r="1127" spans="1:1" x14ac:dyDescent="0.3">
      <c r="A1127" s="1" t="s">
        <v>33</v>
      </c>
    </row>
    <row r="1128" spans="1:1" x14ac:dyDescent="0.3">
      <c r="A1128" s="2" t="s">
        <v>49</v>
      </c>
    </row>
    <row r="1129" spans="1:1" x14ac:dyDescent="0.3">
      <c r="A1129" s="1" t="s">
        <v>74</v>
      </c>
    </row>
    <row r="1130" spans="1:1" x14ac:dyDescent="0.3">
      <c r="A1130" s="2" t="s">
        <v>74</v>
      </c>
    </row>
    <row r="1131" spans="1:1" x14ac:dyDescent="0.3">
      <c r="A1131" s="1" t="s">
        <v>33</v>
      </c>
    </row>
    <row r="1132" spans="1:1" x14ac:dyDescent="0.3">
      <c r="A1132" s="2" t="s">
        <v>49</v>
      </c>
    </row>
    <row r="1133" spans="1:1" x14ac:dyDescent="0.3">
      <c r="A1133" s="1" t="s">
        <v>49</v>
      </c>
    </row>
    <row r="1134" spans="1:1" x14ac:dyDescent="0.3">
      <c r="A1134" s="2" t="s">
        <v>33</v>
      </c>
    </row>
    <row r="1135" spans="1:1" x14ac:dyDescent="0.3">
      <c r="A1135" s="1" t="s">
        <v>33</v>
      </c>
    </row>
    <row r="1136" spans="1:1" x14ac:dyDescent="0.3">
      <c r="A1136" s="2" t="s">
        <v>33</v>
      </c>
    </row>
    <row r="1137" spans="1:1" x14ac:dyDescent="0.3">
      <c r="A1137" s="1" t="s">
        <v>33</v>
      </c>
    </row>
    <row r="1138" spans="1:1" x14ac:dyDescent="0.3">
      <c r="A1138" s="2" t="s">
        <v>49</v>
      </c>
    </row>
    <row r="1139" spans="1:1" x14ac:dyDescent="0.3">
      <c r="A1139" s="1" t="s">
        <v>49</v>
      </c>
    </row>
    <row r="1140" spans="1:1" x14ac:dyDescent="0.3">
      <c r="A1140" s="2" t="s">
        <v>49</v>
      </c>
    </row>
    <row r="1141" spans="1:1" x14ac:dyDescent="0.3">
      <c r="A1141" s="1" t="s">
        <v>49</v>
      </c>
    </row>
    <row r="1142" spans="1:1" x14ac:dyDescent="0.3">
      <c r="A1142" s="2" t="s">
        <v>49</v>
      </c>
    </row>
    <row r="1143" spans="1:1" x14ac:dyDescent="0.3">
      <c r="A1143" s="1" t="s">
        <v>49</v>
      </c>
    </row>
    <row r="1144" spans="1:1" x14ac:dyDescent="0.3">
      <c r="A1144" s="2" t="s">
        <v>49</v>
      </c>
    </row>
    <row r="1145" spans="1:1" x14ac:dyDescent="0.3">
      <c r="A1145" s="1" t="s">
        <v>49</v>
      </c>
    </row>
    <row r="1146" spans="1:1" x14ac:dyDescent="0.3">
      <c r="A1146" s="2" t="s">
        <v>49</v>
      </c>
    </row>
    <row r="1147" spans="1:1" x14ac:dyDescent="0.3">
      <c r="A1147" s="1" t="s">
        <v>49</v>
      </c>
    </row>
    <row r="1148" spans="1:1" x14ac:dyDescent="0.3">
      <c r="A1148" s="2" t="s">
        <v>33</v>
      </c>
    </row>
    <row r="1149" spans="1:1" x14ac:dyDescent="0.3">
      <c r="A1149" s="1" t="s">
        <v>49</v>
      </c>
    </row>
    <row r="1150" spans="1:1" x14ac:dyDescent="0.3">
      <c r="A1150" s="2" t="s">
        <v>33</v>
      </c>
    </row>
    <row r="1151" spans="1:1" x14ac:dyDescent="0.3">
      <c r="A1151" s="1" t="s">
        <v>33</v>
      </c>
    </row>
    <row r="1152" spans="1:1" x14ac:dyDescent="0.3">
      <c r="A1152" s="2" t="s">
        <v>74</v>
      </c>
    </row>
    <row r="1153" spans="1:1" x14ac:dyDescent="0.3">
      <c r="A1153" s="1" t="s">
        <v>74</v>
      </c>
    </row>
    <row r="1154" spans="1:1" x14ac:dyDescent="0.3">
      <c r="A1154" s="2" t="s">
        <v>74</v>
      </c>
    </row>
    <row r="1155" spans="1:1" x14ac:dyDescent="0.3">
      <c r="A1155" s="1" t="s">
        <v>33</v>
      </c>
    </row>
    <row r="1156" spans="1:1" x14ac:dyDescent="0.3">
      <c r="A1156" s="2" t="s">
        <v>49</v>
      </c>
    </row>
    <row r="1157" spans="1:1" x14ac:dyDescent="0.3">
      <c r="A1157" s="1" t="s">
        <v>49</v>
      </c>
    </row>
    <row r="1158" spans="1:1" x14ac:dyDescent="0.3">
      <c r="A1158" s="2" t="s">
        <v>49</v>
      </c>
    </row>
    <row r="1159" spans="1:1" x14ac:dyDescent="0.3">
      <c r="A1159" s="1" t="s">
        <v>49</v>
      </c>
    </row>
    <row r="1160" spans="1:1" x14ac:dyDescent="0.3">
      <c r="A1160" s="2" t="s">
        <v>49</v>
      </c>
    </row>
    <row r="1161" spans="1:1" x14ac:dyDescent="0.3">
      <c r="A1161" s="1" t="s">
        <v>49</v>
      </c>
    </row>
    <row r="1162" spans="1:1" x14ac:dyDescent="0.3">
      <c r="A1162" s="2" t="s">
        <v>49</v>
      </c>
    </row>
    <row r="1163" spans="1:1" x14ac:dyDescent="0.3">
      <c r="A1163" s="1" t="s">
        <v>49</v>
      </c>
    </row>
    <row r="1164" spans="1:1" x14ac:dyDescent="0.3">
      <c r="A1164" s="2" t="s">
        <v>49</v>
      </c>
    </row>
    <row r="1165" spans="1:1" x14ac:dyDescent="0.3">
      <c r="A1165" s="1" t="s">
        <v>33</v>
      </c>
    </row>
    <row r="1166" spans="1:1" x14ac:dyDescent="0.3">
      <c r="A1166" s="2" t="s">
        <v>74</v>
      </c>
    </row>
    <row r="1167" spans="1:1" x14ac:dyDescent="0.3">
      <c r="A1167" s="1" t="s">
        <v>74</v>
      </c>
    </row>
    <row r="1168" spans="1:1" x14ac:dyDescent="0.3">
      <c r="A1168" s="2" t="s">
        <v>49</v>
      </c>
    </row>
    <row r="1169" spans="1:1" x14ac:dyDescent="0.3">
      <c r="A1169" s="1" t="s">
        <v>49</v>
      </c>
    </row>
    <row r="1170" spans="1:1" x14ac:dyDescent="0.3">
      <c r="A1170" s="2" t="s">
        <v>49</v>
      </c>
    </row>
    <row r="1171" spans="1:1" x14ac:dyDescent="0.3">
      <c r="A1171" s="1" t="s">
        <v>74</v>
      </c>
    </row>
    <row r="1172" spans="1:1" x14ac:dyDescent="0.3">
      <c r="A1172" s="2" t="s">
        <v>49</v>
      </c>
    </row>
    <row r="1173" spans="1:1" x14ac:dyDescent="0.3">
      <c r="A1173" s="1" t="s">
        <v>49</v>
      </c>
    </row>
    <row r="1174" spans="1:1" x14ac:dyDescent="0.3">
      <c r="A1174" s="2" t="s">
        <v>49</v>
      </c>
    </row>
    <row r="1175" spans="1:1" x14ac:dyDescent="0.3">
      <c r="A1175" s="1" t="s">
        <v>49</v>
      </c>
    </row>
    <row r="1176" spans="1:1" x14ac:dyDescent="0.3">
      <c r="A1176" s="2" t="s">
        <v>49</v>
      </c>
    </row>
    <row r="1177" spans="1:1" x14ac:dyDescent="0.3">
      <c r="A1177" s="1" t="s">
        <v>49</v>
      </c>
    </row>
    <row r="1178" spans="1:1" x14ac:dyDescent="0.3">
      <c r="A1178" s="2" t="s">
        <v>49</v>
      </c>
    </row>
    <row r="1179" spans="1:1" x14ac:dyDescent="0.3">
      <c r="A1179" s="1" t="s">
        <v>49</v>
      </c>
    </row>
    <row r="1180" spans="1:1" x14ac:dyDescent="0.3">
      <c r="A1180" s="2" t="s">
        <v>33</v>
      </c>
    </row>
    <row r="1181" spans="1:1" x14ac:dyDescent="0.3">
      <c r="A1181" s="1" t="s">
        <v>49</v>
      </c>
    </row>
    <row r="1182" spans="1:1" x14ac:dyDescent="0.3">
      <c r="A1182" s="2" t="s">
        <v>49</v>
      </c>
    </row>
    <row r="1183" spans="1:1" x14ac:dyDescent="0.3">
      <c r="A1183" s="1" t="s">
        <v>49</v>
      </c>
    </row>
    <row r="1184" spans="1:1" x14ac:dyDescent="0.3">
      <c r="A1184" s="2" t="s">
        <v>49</v>
      </c>
    </row>
    <row r="1185" spans="1:1" x14ac:dyDescent="0.3">
      <c r="A1185" s="1" t="s">
        <v>49</v>
      </c>
    </row>
    <row r="1186" spans="1:1" x14ac:dyDescent="0.3">
      <c r="A1186" s="2" t="s">
        <v>33</v>
      </c>
    </row>
    <row r="1187" spans="1:1" x14ac:dyDescent="0.3">
      <c r="A1187" s="1" t="s">
        <v>33</v>
      </c>
    </row>
    <row r="1188" spans="1:1" x14ac:dyDescent="0.3">
      <c r="A1188" s="2" t="s">
        <v>49</v>
      </c>
    </row>
    <row r="1189" spans="1:1" x14ac:dyDescent="0.3">
      <c r="A1189" s="1" t="s">
        <v>49</v>
      </c>
    </row>
    <row r="1190" spans="1:1" x14ac:dyDescent="0.3">
      <c r="A1190" s="2" t="s">
        <v>49</v>
      </c>
    </row>
    <row r="1191" spans="1:1" x14ac:dyDescent="0.3">
      <c r="A1191" s="1" t="s">
        <v>74</v>
      </c>
    </row>
    <row r="1192" spans="1:1" x14ac:dyDescent="0.3">
      <c r="A1192" s="2" t="s">
        <v>49</v>
      </c>
    </row>
    <row r="1193" spans="1:1" x14ac:dyDescent="0.3">
      <c r="A1193" s="1" t="s">
        <v>74</v>
      </c>
    </row>
    <row r="1194" spans="1:1" x14ac:dyDescent="0.3">
      <c r="A1194" s="2" t="s">
        <v>74</v>
      </c>
    </row>
    <row r="1195" spans="1:1" x14ac:dyDescent="0.3">
      <c r="A1195" s="1" t="s">
        <v>49</v>
      </c>
    </row>
    <row r="1196" spans="1:1" x14ac:dyDescent="0.3">
      <c r="A1196" s="2" t="s">
        <v>49</v>
      </c>
    </row>
    <row r="1197" spans="1:1" x14ac:dyDescent="0.3">
      <c r="A1197" s="1" t="s">
        <v>33</v>
      </c>
    </row>
    <row r="1198" spans="1:1" x14ac:dyDescent="0.3">
      <c r="A1198" s="2" t="s">
        <v>33</v>
      </c>
    </row>
    <row r="1199" spans="1:1" x14ac:dyDescent="0.3">
      <c r="A1199" s="1" t="s">
        <v>49</v>
      </c>
    </row>
    <row r="1200" spans="1:1" x14ac:dyDescent="0.3">
      <c r="A1200" s="2" t="s">
        <v>33</v>
      </c>
    </row>
    <row r="1201" spans="1:1" x14ac:dyDescent="0.3">
      <c r="A1201" s="1" t="s">
        <v>49</v>
      </c>
    </row>
    <row r="1202" spans="1:1" x14ac:dyDescent="0.3">
      <c r="A1202" s="2" t="s">
        <v>74</v>
      </c>
    </row>
    <row r="1203" spans="1:1" x14ac:dyDescent="0.3">
      <c r="A1203" s="1" t="s">
        <v>49</v>
      </c>
    </row>
    <row r="1204" spans="1:1" x14ac:dyDescent="0.3">
      <c r="A1204" s="2" t="s">
        <v>74</v>
      </c>
    </row>
    <row r="1205" spans="1:1" x14ac:dyDescent="0.3">
      <c r="A1205" s="1" t="s">
        <v>33</v>
      </c>
    </row>
    <row r="1206" spans="1:1" x14ac:dyDescent="0.3">
      <c r="A1206" s="2" t="s">
        <v>33</v>
      </c>
    </row>
    <row r="1207" spans="1:1" x14ac:dyDescent="0.3">
      <c r="A1207" s="1" t="s">
        <v>33</v>
      </c>
    </row>
    <row r="1208" spans="1:1" x14ac:dyDescent="0.3">
      <c r="A1208" s="2" t="s">
        <v>33</v>
      </c>
    </row>
    <row r="1209" spans="1:1" x14ac:dyDescent="0.3">
      <c r="A1209" s="1" t="s">
        <v>33</v>
      </c>
    </row>
    <row r="1210" spans="1:1" x14ac:dyDescent="0.3">
      <c r="A1210" s="2" t="s">
        <v>33</v>
      </c>
    </row>
    <row r="1211" spans="1:1" x14ac:dyDescent="0.3">
      <c r="A1211" s="1" t="s">
        <v>33</v>
      </c>
    </row>
    <row r="1212" spans="1:1" x14ac:dyDescent="0.3">
      <c r="A1212" s="2" t="s">
        <v>33</v>
      </c>
    </row>
    <row r="1213" spans="1:1" x14ac:dyDescent="0.3">
      <c r="A1213" s="1" t="s">
        <v>33</v>
      </c>
    </row>
    <row r="1214" spans="1:1" x14ac:dyDescent="0.3">
      <c r="A1214" s="2" t="s">
        <v>49</v>
      </c>
    </row>
    <row r="1215" spans="1:1" x14ac:dyDescent="0.3">
      <c r="A1215" s="1" t="s">
        <v>33</v>
      </c>
    </row>
    <row r="1216" spans="1:1" x14ac:dyDescent="0.3">
      <c r="A1216" s="2" t="s">
        <v>33</v>
      </c>
    </row>
    <row r="1217" spans="1:1" x14ac:dyDescent="0.3">
      <c r="A1217" s="1" t="s">
        <v>33</v>
      </c>
    </row>
    <row r="1218" spans="1:1" x14ac:dyDescent="0.3">
      <c r="A1218" s="2" t="s">
        <v>49</v>
      </c>
    </row>
    <row r="1219" spans="1:1" x14ac:dyDescent="0.3">
      <c r="A1219" s="1" t="s">
        <v>49</v>
      </c>
    </row>
    <row r="1220" spans="1:1" x14ac:dyDescent="0.3">
      <c r="A1220" s="2" t="s">
        <v>33</v>
      </c>
    </row>
    <row r="1221" spans="1:1" x14ac:dyDescent="0.3">
      <c r="A1221" s="1" t="s">
        <v>49</v>
      </c>
    </row>
    <row r="1222" spans="1:1" x14ac:dyDescent="0.3">
      <c r="A1222" s="2" t="s">
        <v>33</v>
      </c>
    </row>
    <row r="1223" spans="1:1" x14ac:dyDescent="0.3">
      <c r="A1223" s="1" t="s">
        <v>49</v>
      </c>
    </row>
    <row r="1224" spans="1:1" x14ac:dyDescent="0.3">
      <c r="A1224" s="2" t="s">
        <v>33</v>
      </c>
    </row>
    <row r="1225" spans="1:1" x14ac:dyDescent="0.3">
      <c r="A1225" s="1" t="s">
        <v>49</v>
      </c>
    </row>
    <row r="1226" spans="1:1" x14ac:dyDescent="0.3">
      <c r="A1226" s="2" t="s">
        <v>49</v>
      </c>
    </row>
    <row r="1227" spans="1:1" x14ac:dyDescent="0.3">
      <c r="A1227" s="1" t="s">
        <v>49</v>
      </c>
    </row>
    <row r="1228" spans="1:1" x14ac:dyDescent="0.3">
      <c r="A1228" s="2" t="s">
        <v>74</v>
      </c>
    </row>
    <row r="1229" spans="1:1" x14ac:dyDescent="0.3">
      <c r="A1229" s="1" t="s">
        <v>49</v>
      </c>
    </row>
    <row r="1230" spans="1:1" x14ac:dyDescent="0.3">
      <c r="A1230" s="2" t="s">
        <v>49</v>
      </c>
    </row>
    <row r="1231" spans="1:1" x14ac:dyDescent="0.3">
      <c r="A1231" s="1" t="s">
        <v>33</v>
      </c>
    </row>
    <row r="1232" spans="1:1" x14ac:dyDescent="0.3">
      <c r="A1232" s="2" t="s">
        <v>33</v>
      </c>
    </row>
    <row r="1233" spans="1:1" x14ac:dyDescent="0.3">
      <c r="A1233" s="1" t="s">
        <v>33</v>
      </c>
    </row>
    <row r="1234" spans="1:1" x14ac:dyDescent="0.3">
      <c r="A1234" s="2" t="s">
        <v>33</v>
      </c>
    </row>
    <row r="1235" spans="1:1" x14ac:dyDescent="0.3">
      <c r="A1235" s="1" t="s">
        <v>49</v>
      </c>
    </row>
    <row r="1236" spans="1:1" x14ac:dyDescent="0.3">
      <c r="A1236" s="2" t="s">
        <v>49</v>
      </c>
    </row>
    <row r="1237" spans="1:1" x14ac:dyDescent="0.3">
      <c r="A1237" s="1" t="s">
        <v>49</v>
      </c>
    </row>
    <row r="1238" spans="1:1" x14ac:dyDescent="0.3">
      <c r="A1238" s="2" t="s">
        <v>33</v>
      </c>
    </row>
    <row r="1239" spans="1:1" x14ac:dyDescent="0.3">
      <c r="A1239" s="1" t="s">
        <v>49</v>
      </c>
    </row>
    <row r="1240" spans="1:1" x14ac:dyDescent="0.3">
      <c r="A1240" s="2" t="s">
        <v>49</v>
      </c>
    </row>
    <row r="1241" spans="1:1" x14ac:dyDescent="0.3">
      <c r="A1241" s="1" t="s">
        <v>49</v>
      </c>
    </row>
    <row r="1242" spans="1:1" x14ac:dyDescent="0.3">
      <c r="A1242" s="2" t="s">
        <v>49</v>
      </c>
    </row>
    <row r="1243" spans="1:1" x14ac:dyDescent="0.3">
      <c r="A1243" s="1" t="s">
        <v>49</v>
      </c>
    </row>
    <row r="1244" spans="1:1" x14ac:dyDescent="0.3">
      <c r="A1244" s="2" t="s">
        <v>33</v>
      </c>
    </row>
    <row r="1245" spans="1:1" x14ac:dyDescent="0.3">
      <c r="A1245" s="1" t="s">
        <v>74</v>
      </c>
    </row>
    <row r="1246" spans="1:1" x14ac:dyDescent="0.3">
      <c r="A1246" s="2" t="s">
        <v>74</v>
      </c>
    </row>
    <row r="1247" spans="1:1" x14ac:dyDescent="0.3">
      <c r="A1247" s="1" t="s">
        <v>49</v>
      </c>
    </row>
    <row r="1248" spans="1:1" x14ac:dyDescent="0.3">
      <c r="A1248" s="2" t="s">
        <v>49</v>
      </c>
    </row>
    <row r="1249" spans="1:1" x14ac:dyDescent="0.3">
      <c r="A1249" s="1" t="s">
        <v>49</v>
      </c>
    </row>
    <row r="1250" spans="1:1" x14ac:dyDescent="0.3">
      <c r="A1250" s="2" t="s">
        <v>33</v>
      </c>
    </row>
    <row r="1251" spans="1:1" x14ac:dyDescent="0.3">
      <c r="A1251" s="1" t="s">
        <v>33</v>
      </c>
    </row>
    <row r="1252" spans="1:1" x14ac:dyDescent="0.3">
      <c r="A1252" s="2" t="s">
        <v>33</v>
      </c>
    </row>
    <row r="1253" spans="1:1" x14ac:dyDescent="0.3">
      <c r="A1253" s="1" t="s">
        <v>49</v>
      </c>
    </row>
    <row r="1254" spans="1:1" x14ac:dyDescent="0.3">
      <c r="A1254" s="2" t="s">
        <v>49</v>
      </c>
    </row>
    <row r="1255" spans="1:1" x14ac:dyDescent="0.3">
      <c r="A1255" s="1" t="s">
        <v>33</v>
      </c>
    </row>
    <row r="1256" spans="1:1" x14ac:dyDescent="0.3">
      <c r="A1256" s="2" t="s">
        <v>49</v>
      </c>
    </row>
    <row r="1257" spans="1:1" x14ac:dyDescent="0.3">
      <c r="A1257" s="1" t="s">
        <v>49</v>
      </c>
    </row>
    <row r="1258" spans="1:1" x14ac:dyDescent="0.3">
      <c r="A1258" s="2" t="s">
        <v>49</v>
      </c>
    </row>
    <row r="1259" spans="1:1" x14ac:dyDescent="0.3">
      <c r="A1259" s="1" t="s">
        <v>49</v>
      </c>
    </row>
    <row r="1260" spans="1:1" x14ac:dyDescent="0.3">
      <c r="A1260" s="2" t="s">
        <v>49</v>
      </c>
    </row>
    <row r="1261" spans="1:1" x14ac:dyDescent="0.3">
      <c r="A1261" s="1" t="s">
        <v>49</v>
      </c>
    </row>
    <row r="1262" spans="1:1" x14ac:dyDescent="0.3">
      <c r="A1262" s="2" t="s">
        <v>49</v>
      </c>
    </row>
    <row r="1263" spans="1:1" x14ac:dyDescent="0.3">
      <c r="A1263" s="1" t="s">
        <v>49</v>
      </c>
    </row>
    <row r="1264" spans="1:1" x14ac:dyDescent="0.3">
      <c r="A1264" s="2" t="s">
        <v>49</v>
      </c>
    </row>
    <row r="1265" spans="1:1" x14ac:dyDescent="0.3">
      <c r="A1265" s="1" t="s">
        <v>33</v>
      </c>
    </row>
    <row r="1266" spans="1:1" x14ac:dyDescent="0.3">
      <c r="A1266" s="2" t="s">
        <v>33</v>
      </c>
    </row>
    <row r="1267" spans="1:1" x14ac:dyDescent="0.3">
      <c r="A1267" s="1" t="s">
        <v>49</v>
      </c>
    </row>
    <row r="1268" spans="1:1" x14ac:dyDescent="0.3">
      <c r="A1268" s="2" t="s">
        <v>74</v>
      </c>
    </row>
    <row r="1269" spans="1:1" x14ac:dyDescent="0.3">
      <c r="A1269" s="1" t="s">
        <v>74</v>
      </c>
    </row>
    <row r="1270" spans="1:1" x14ac:dyDescent="0.3">
      <c r="A1270" s="2" t="s">
        <v>49</v>
      </c>
    </row>
    <row r="1271" spans="1:1" x14ac:dyDescent="0.3">
      <c r="A1271" s="1" t="s">
        <v>49</v>
      </c>
    </row>
    <row r="1272" spans="1:1" x14ac:dyDescent="0.3">
      <c r="A1272" s="2" t="s">
        <v>49</v>
      </c>
    </row>
    <row r="1273" spans="1:1" x14ac:dyDescent="0.3">
      <c r="A1273" s="1" t="s">
        <v>33</v>
      </c>
    </row>
    <row r="1274" spans="1:1" x14ac:dyDescent="0.3">
      <c r="A1274" s="2" t="s">
        <v>49</v>
      </c>
    </row>
    <row r="1275" spans="1:1" x14ac:dyDescent="0.3">
      <c r="A1275" s="1" t="s">
        <v>49</v>
      </c>
    </row>
    <row r="1276" spans="1:1" x14ac:dyDescent="0.3">
      <c r="A1276" s="2" t="s">
        <v>49</v>
      </c>
    </row>
    <row r="1277" spans="1:1" x14ac:dyDescent="0.3">
      <c r="A1277" s="1" t="s">
        <v>33</v>
      </c>
    </row>
    <row r="1278" spans="1:1" x14ac:dyDescent="0.3">
      <c r="A1278" s="2" t="s">
        <v>74</v>
      </c>
    </row>
    <row r="1279" spans="1:1" x14ac:dyDescent="0.3">
      <c r="A1279" s="1" t="s">
        <v>49</v>
      </c>
    </row>
    <row r="1280" spans="1:1" x14ac:dyDescent="0.3">
      <c r="A1280" s="2" t="s">
        <v>49</v>
      </c>
    </row>
    <row r="1281" spans="1:1" x14ac:dyDescent="0.3">
      <c r="A1281" s="1" t="s">
        <v>74</v>
      </c>
    </row>
    <row r="1282" spans="1:1" x14ac:dyDescent="0.3">
      <c r="A1282" s="2" t="s">
        <v>33</v>
      </c>
    </row>
    <row r="1283" spans="1:1" x14ac:dyDescent="0.3">
      <c r="A1283" s="1" t="s">
        <v>33</v>
      </c>
    </row>
    <row r="1284" spans="1:1" x14ac:dyDescent="0.3">
      <c r="A1284" s="2" t="s">
        <v>33</v>
      </c>
    </row>
    <row r="1285" spans="1:1" x14ac:dyDescent="0.3">
      <c r="A1285" s="1" t="s">
        <v>33</v>
      </c>
    </row>
    <row r="1286" spans="1:1" x14ac:dyDescent="0.3">
      <c r="A1286" s="2" t="s">
        <v>33</v>
      </c>
    </row>
    <row r="1287" spans="1:1" x14ac:dyDescent="0.3">
      <c r="A1287" s="1" t="s">
        <v>33</v>
      </c>
    </row>
    <row r="1288" spans="1:1" x14ac:dyDescent="0.3">
      <c r="A1288" s="2" t="s">
        <v>33</v>
      </c>
    </row>
    <row r="1289" spans="1:1" x14ac:dyDescent="0.3">
      <c r="A1289" s="1" t="s">
        <v>49</v>
      </c>
    </row>
    <row r="1290" spans="1:1" x14ac:dyDescent="0.3">
      <c r="A1290" s="2" t="s">
        <v>33</v>
      </c>
    </row>
    <row r="1291" spans="1:1" x14ac:dyDescent="0.3">
      <c r="A1291" s="1" t="s">
        <v>74</v>
      </c>
    </row>
    <row r="1292" spans="1:1" x14ac:dyDescent="0.3">
      <c r="A1292" s="2" t="s">
        <v>49</v>
      </c>
    </row>
    <row r="1293" spans="1:1" x14ac:dyDescent="0.3">
      <c r="A1293" s="1" t="s">
        <v>49</v>
      </c>
    </row>
    <row r="1294" spans="1:1" x14ac:dyDescent="0.3">
      <c r="A1294" s="2" t="s">
        <v>33</v>
      </c>
    </row>
    <row r="1295" spans="1:1" x14ac:dyDescent="0.3">
      <c r="A1295" s="1" t="s">
        <v>49</v>
      </c>
    </row>
    <row r="1296" spans="1:1" x14ac:dyDescent="0.3">
      <c r="A1296" s="2" t="s">
        <v>49</v>
      </c>
    </row>
    <row r="1297" spans="1:1" x14ac:dyDescent="0.3">
      <c r="A1297" s="1" t="s">
        <v>33</v>
      </c>
    </row>
    <row r="1298" spans="1:1" x14ac:dyDescent="0.3">
      <c r="A1298" s="2" t="s">
        <v>49</v>
      </c>
    </row>
    <row r="1299" spans="1:1" x14ac:dyDescent="0.3">
      <c r="A1299" s="1" t="s">
        <v>49</v>
      </c>
    </row>
    <row r="1300" spans="1:1" x14ac:dyDescent="0.3">
      <c r="A1300" s="2" t="s">
        <v>49</v>
      </c>
    </row>
    <row r="1301" spans="1:1" x14ac:dyDescent="0.3">
      <c r="A1301" s="1" t="s">
        <v>49</v>
      </c>
    </row>
    <row r="1302" spans="1:1" x14ac:dyDescent="0.3">
      <c r="A1302" s="2" t="s">
        <v>33</v>
      </c>
    </row>
    <row r="1303" spans="1:1" x14ac:dyDescent="0.3">
      <c r="A1303" s="1" t="s">
        <v>33</v>
      </c>
    </row>
    <row r="1304" spans="1:1" x14ac:dyDescent="0.3">
      <c r="A1304" s="2" t="s">
        <v>33</v>
      </c>
    </row>
    <row r="1305" spans="1:1" x14ac:dyDescent="0.3">
      <c r="A1305" s="1" t="s">
        <v>49</v>
      </c>
    </row>
    <row r="1306" spans="1:1" x14ac:dyDescent="0.3">
      <c r="A1306" s="2" t="s">
        <v>49</v>
      </c>
    </row>
    <row r="1307" spans="1:1" x14ac:dyDescent="0.3">
      <c r="A1307" s="1" t="s">
        <v>33</v>
      </c>
    </row>
    <row r="1308" spans="1:1" x14ac:dyDescent="0.3">
      <c r="A1308" s="2" t="s">
        <v>33</v>
      </c>
    </row>
    <row r="1309" spans="1:1" x14ac:dyDescent="0.3">
      <c r="A1309" s="1" t="s">
        <v>33</v>
      </c>
    </row>
    <row r="1310" spans="1:1" x14ac:dyDescent="0.3">
      <c r="A1310" s="2" t="s">
        <v>49</v>
      </c>
    </row>
    <row r="1311" spans="1:1" x14ac:dyDescent="0.3">
      <c r="A1311" s="1" t="s">
        <v>49</v>
      </c>
    </row>
    <row r="1312" spans="1:1" x14ac:dyDescent="0.3">
      <c r="A1312" s="2" t="s">
        <v>49</v>
      </c>
    </row>
    <row r="1313" spans="1:1" x14ac:dyDescent="0.3">
      <c r="A1313" s="1" t="s">
        <v>49</v>
      </c>
    </row>
    <row r="1314" spans="1:1" x14ac:dyDescent="0.3">
      <c r="A1314" s="2" t="s">
        <v>49</v>
      </c>
    </row>
    <row r="1315" spans="1:1" x14ac:dyDescent="0.3">
      <c r="A1315" s="1" t="s">
        <v>49</v>
      </c>
    </row>
    <row r="1316" spans="1:1" x14ac:dyDescent="0.3">
      <c r="A1316" s="2" t="s">
        <v>33</v>
      </c>
    </row>
    <row r="1317" spans="1:1" x14ac:dyDescent="0.3">
      <c r="A1317" s="1" t="s">
        <v>49</v>
      </c>
    </row>
    <row r="1318" spans="1:1" x14ac:dyDescent="0.3">
      <c r="A1318" s="2" t="s">
        <v>49</v>
      </c>
    </row>
    <row r="1319" spans="1:1" x14ac:dyDescent="0.3">
      <c r="A1319" s="1" t="s">
        <v>49</v>
      </c>
    </row>
    <row r="1320" spans="1:1" x14ac:dyDescent="0.3">
      <c r="A1320" s="2" t="s">
        <v>74</v>
      </c>
    </row>
    <row r="1321" spans="1:1" x14ac:dyDescent="0.3">
      <c r="A1321" s="1" t="s">
        <v>74</v>
      </c>
    </row>
    <row r="1322" spans="1:1" x14ac:dyDescent="0.3">
      <c r="A1322" s="2" t="s">
        <v>49</v>
      </c>
    </row>
    <row r="1323" spans="1:1" x14ac:dyDescent="0.3">
      <c r="A1323" s="1" t="s">
        <v>33</v>
      </c>
    </row>
    <row r="1324" spans="1:1" x14ac:dyDescent="0.3">
      <c r="A1324" s="2" t="s">
        <v>33</v>
      </c>
    </row>
    <row r="1325" spans="1:1" x14ac:dyDescent="0.3">
      <c r="A1325" s="1" t="s">
        <v>33</v>
      </c>
    </row>
    <row r="1326" spans="1:1" x14ac:dyDescent="0.3">
      <c r="A1326" s="2" t="s">
        <v>49</v>
      </c>
    </row>
    <row r="1327" spans="1:1" x14ac:dyDescent="0.3">
      <c r="A1327" s="1" t="s">
        <v>49</v>
      </c>
    </row>
    <row r="1328" spans="1:1" x14ac:dyDescent="0.3">
      <c r="A1328" s="2" t="s">
        <v>49</v>
      </c>
    </row>
    <row r="1329" spans="1:1" x14ac:dyDescent="0.3">
      <c r="A1329" s="1" t="s">
        <v>33</v>
      </c>
    </row>
    <row r="1330" spans="1:1" x14ac:dyDescent="0.3">
      <c r="A1330" s="2" t="s">
        <v>74</v>
      </c>
    </row>
    <row r="1331" spans="1:1" x14ac:dyDescent="0.3">
      <c r="A1331" s="1" t="s">
        <v>49</v>
      </c>
    </row>
    <row r="1332" spans="1:1" x14ac:dyDescent="0.3">
      <c r="A1332" s="2" t="s">
        <v>49</v>
      </c>
    </row>
    <row r="1333" spans="1:1" x14ac:dyDescent="0.3">
      <c r="A1333" s="1" t="s">
        <v>49</v>
      </c>
    </row>
    <row r="1334" spans="1:1" x14ac:dyDescent="0.3">
      <c r="A1334" s="2" t="s">
        <v>33</v>
      </c>
    </row>
    <row r="1335" spans="1:1" x14ac:dyDescent="0.3">
      <c r="A1335" s="1" t="s">
        <v>33</v>
      </c>
    </row>
    <row r="1336" spans="1:1" x14ac:dyDescent="0.3">
      <c r="A1336" s="2" t="s">
        <v>49</v>
      </c>
    </row>
    <row r="1337" spans="1:1" x14ac:dyDescent="0.3">
      <c r="A1337" s="1" t="s">
        <v>49</v>
      </c>
    </row>
    <row r="1338" spans="1:1" x14ac:dyDescent="0.3">
      <c r="A1338" s="2" t="s">
        <v>49</v>
      </c>
    </row>
    <row r="1339" spans="1:1" x14ac:dyDescent="0.3">
      <c r="A1339" s="1" t="s">
        <v>33</v>
      </c>
    </row>
    <row r="1340" spans="1:1" x14ac:dyDescent="0.3">
      <c r="A1340" s="2" t="s">
        <v>49</v>
      </c>
    </row>
    <row r="1341" spans="1:1" x14ac:dyDescent="0.3">
      <c r="A1341" s="1" t="s">
        <v>33</v>
      </c>
    </row>
    <row r="1342" spans="1:1" x14ac:dyDescent="0.3">
      <c r="A1342" s="2" t="s">
        <v>49</v>
      </c>
    </row>
    <row r="1343" spans="1:1" x14ac:dyDescent="0.3">
      <c r="A1343" s="1" t="s">
        <v>49</v>
      </c>
    </row>
    <row r="1344" spans="1:1" x14ac:dyDescent="0.3">
      <c r="A1344" s="2" t="s">
        <v>49</v>
      </c>
    </row>
    <row r="1345" spans="1:1" x14ac:dyDescent="0.3">
      <c r="A1345" s="1" t="s">
        <v>33</v>
      </c>
    </row>
    <row r="1346" spans="1:1" x14ac:dyDescent="0.3">
      <c r="A1346" s="2" t="s">
        <v>49</v>
      </c>
    </row>
    <row r="1347" spans="1:1" x14ac:dyDescent="0.3">
      <c r="A1347" s="1" t="s">
        <v>49</v>
      </c>
    </row>
    <row r="1348" spans="1:1" x14ac:dyDescent="0.3">
      <c r="A1348" s="2" t="s">
        <v>49</v>
      </c>
    </row>
    <row r="1349" spans="1:1" x14ac:dyDescent="0.3">
      <c r="A1349" s="1" t="s">
        <v>49</v>
      </c>
    </row>
    <row r="1350" spans="1:1" x14ac:dyDescent="0.3">
      <c r="A1350" s="2" t="s">
        <v>33</v>
      </c>
    </row>
    <row r="1351" spans="1:1" x14ac:dyDescent="0.3">
      <c r="A1351" s="1" t="s">
        <v>49</v>
      </c>
    </row>
    <row r="1352" spans="1:1" x14ac:dyDescent="0.3">
      <c r="A1352" s="2" t="s">
        <v>33</v>
      </c>
    </row>
    <row r="1353" spans="1:1" x14ac:dyDescent="0.3">
      <c r="A1353" s="1" t="s">
        <v>49</v>
      </c>
    </row>
    <row r="1354" spans="1:1" x14ac:dyDescent="0.3">
      <c r="A1354" s="2" t="s">
        <v>49</v>
      </c>
    </row>
    <row r="1355" spans="1:1" x14ac:dyDescent="0.3">
      <c r="A1355" s="1" t="s">
        <v>49</v>
      </c>
    </row>
    <row r="1356" spans="1:1" x14ac:dyDescent="0.3">
      <c r="A1356" s="2" t="s">
        <v>74</v>
      </c>
    </row>
    <row r="1357" spans="1:1" x14ac:dyDescent="0.3">
      <c r="A1357" s="1" t="s">
        <v>33</v>
      </c>
    </row>
    <row r="1358" spans="1:1" x14ac:dyDescent="0.3">
      <c r="A1358" s="2" t="s">
        <v>33</v>
      </c>
    </row>
    <row r="1359" spans="1:1" x14ac:dyDescent="0.3">
      <c r="A1359" s="1" t="s">
        <v>33</v>
      </c>
    </row>
    <row r="1360" spans="1:1" x14ac:dyDescent="0.3">
      <c r="A1360" s="2" t="s">
        <v>33</v>
      </c>
    </row>
    <row r="1361" spans="1:1" x14ac:dyDescent="0.3">
      <c r="A1361" s="1" t="s">
        <v>33</v>
      </c>
    </row>
    <row r="1362" spans="1:1" x14ac:dyDescent="0.3">
      <c r="A1362" s="2" t="s">
        <v>33</v>
      </c>
    </row>
    <row r="1363" spans="1:1" x14ac:dyDescent="0.3">
      <c r="A1363" s="1" t="s">
        <v>49</v>
      </c>
    </row>
    <row r="1364" spans="1:1" x14ac:dyDescent="0.3">
      <c r="A1364" s="2" t="s">
        <v>49</v>
      </c>
    </row>
    <row r="1365" spans="1:1" x14ac:dyDescent="0.3">
      <c r="A1365" s="1" t="s">
        <v>49</v>
      </c>
    </row>
    <row r="1366" spans="1:1" x14ac:dyDescent="0.3">
      <c r="A1366" s="2" t="s">
        <v>49</v>
      </c>
    </row>
    <row r="1367" spans="1:1" x14ac:dyDescent="0.3">
      <c r="A1367" s="1" t="s">
        <v>74</v>
      </c>
    </row>
    <row r="1368" spans="1:1" x14ac:dyDescent="0.3">
      <c r="A1368" s="2" t="s">
        <v>49</v>
      </c>
    </row>
    <row r="1369" spans="1:1" x14ac:dyDescent="0.3">
      <c r="A1369" s="1" t="s">
        <v>33</v>
      </c>
    </row>
    <row r="1370" spans="1:1" x14ac:dyDescent="0.3">
      <c r="A1370" s="2" t="s">
        <v>49</v>
      </c>
    </row>
    <row r="1371" spans="1:1" x14ac:dyDescent="0.3">
      <c r="A1371" s="1" t="s">
        <v>49</v>
      </c>
    </row>
    <row r="1372" spans="1:1" x14ac:dyDescent="0.3">
      <c r="A1372" s="2" t="s">
        <v>33</v>
      </c>
    </row>
    <row r="1373" spans="1:1" x14ac:dyDescent="0.3">
      <c r="A1373" s="1" t="s">
        <v>74</v>
      </c>
    </row>
    <row r="1374" spans="1:1" x14ac:dyDescent="0.3">
      <c r="A1374" s="2" t="s">
        <v>49</v>
      </c>
    </row>
    <row r="1375" spans="1:1" x14ac:dyDescent="0.3">
      <c r="A1375" s="1" t="s">
        <v>49</v>
      </c>
    </row>
    <row r="1376" spans="1:1" x14ac:dyDescent="0.3">
      <c r="A1376" s="2" t="s">
        <v>33</v>
      </c>
    </row>
    <row r="1377" spans="1:1" x14ac:dyDescent="0.3">
      <c r="A1377" s="1" t="s">
        <v>33</v>
      </c>
    </row>
    <row r="1378" spans="1:1" x14ac:dyDescent="0.3">
      <c r="A1378" s="2" t="s">
        <v>74</v>
      </c>
    </row>
    <row r="1379" spans="1:1" x14ac:dyDescent="0.3">
      <c r="A1379" s="1" t="s">
        <v>49</v>
      </c>
    </row>
    <row r="1380" spans="1:1" x14ac:dyDescent="0.3">
      <c r="A1380" s="2" t="s">
        <v>49</v>
      </c>
    </row>
    <row r="1381" spans="1:1" x14ac:dyDescent="0.3">
      <c r="A1381" s="1" t="s">
        <v>33</v>
      </c>
    </row>
    <row r="1382" spans="1:1" x14ac:dyDescent="0.3">
      <c r="A1382" s="2" t="s">
        <v>49</v>
      </c>
    </row>
    <row r="1383" spans="1:1" x14ac:dyDescent="0.3">
      <c r="A1383" s="1" t="s">
        <v>74</v>
      </c>
    </row>
    <row r="1384" spans="1:1" x14ac:dyDescent="0.3">
      <c r="A1384" s="2" t="s">
        <v>33</v>
      </c>
    </row>
    <row r="1385" spans="1:1" x14ac:dyDescent="0.3">
      <c r="A1385" s="1" t="s">
        <v>33</v>
      </c>
    </row>
    <row r="1386" spans="1:1" x14ac:dyDescent="0.3">
      <c r="A1386" s="2" t="s">
        <v>49</v>
      </c>
    </row>
    <row r="1387" spans="1:1" x14ac:dyDescent="0.3">
      <c r="A1387" s="1" t="s">
        <v>49</v>
      </c>
    </row>
    <row r="1388" spans="1:1" x14ac:dyDescent="0.3">
      <c r="A1388" s="2" t="s">
        <v>33</v>
      </c>
    </row>
    <row r="1389" spans="1:1" x14ac:dyDescent="0.3">
      <c r="A1389" s="1" t="s">
        <v>49</v>
      </c>
    </row>
    <row r="1390" spans="1:1" x14ac:dyDescent="0.3">
      <c r="A1390" s="2" t="s">
        <v>49</v>
      </c>
    </row>
    <row r="1391" spans="1:1" x14ac:dyDescent="0.3">
      <c r="A1391" s="1" t="s">
        <v>33</v>
      </c>
    </row>
    <row r="1392" spans="1:1" x14ac:dyDescent="0.3">
      <c r="A1392" s="2" t="s">
        <v>33</v>
      </c>
    </row>
    <row r="1393" spans="1:1" x14ac:dyDescent="0.3">
      <c r="A1393" s="1" t="s">
        <v>33</v>
      </c>
    </row>
    <row r="1394" spans="1:1" x14ac:dyDescent="0.3">
      <c r="A1394" s="2" t="s">
        <v>74</v>
      </c>
    </row>
    <row r="1395" spans="1:1" x14ac:dyDescent="0.3">
      <c r="A1395" s="1" t="s">
        <v>49</v>
      </c>
    </row>
    <row r="1396" spans="1:1" x14ac:dyDescent="0.3">
      <c r="A1396" s="2" t="s">
        <v>74</v>
      </c>
    </row>
    <row r="1397" spans="1:1" x14ac:dyDescent="0.3">
      <c r="A1397" s="1" t="s">
        <v>33</v>
      </c>
    </row>
    <row r="1398" spans="1:1" x14ac:dyDescent="0.3">
      <c r="A1398" s="2" t="s">
        <v>49</v>
      </c>
    </row>
    <row r="1399" spans="1:1" x14ac:dyDescent="0.3">
      <c r="A1399" s="1" t="s">
        <v>33</v>
      </c>
    </row>
    <row r="1400" spans="1:1" x14ac:dyDescent="0.3">
      <c r="A1400" s="2" t="s">
        <v>33</v>
      </c>
    </row>
    <row r="1401" spans="1:1" x14ac:dyDescent="0.3">
      <c r="A1401" s="1" t="s">
        <v>49</v>
      </c>
    </row>
    <row r="1402" spans="1:1" x14ac:dyDescent="0.3">
      <c r="A1402" s="2" t="s">
        <v>49</v>
      </c>
    </row>
    <row r="1403" spans="1:1" x14ac:dyDescent="0.3">
      <c r="A1403" s="1" t="s">
        <v>33</v>
      </c>
    </row>
    <row r="1404" spans="1:1" x14ac:dyDescent="0.3">
      <c r="A1404" s="2" t="s">
        <v>33</v>
      </c>
    </row>
    <row r="1405" spans="1:1" x14ac:dyDescent="0.3">
      <c r="A1405" s="1" t="s">
        <v>49</v>
      </c>
    </row>
    <row r="1406" spans="1:1" x14ac:dyDescent="0.3">
      <c r="A1406" s="2" t="s">
        <v>49</v>
      </c>
    </row>
    <row r="1407" spans="1:1" x14ac:dyDescent="0.3">
      <c r="A1407" s="1" t="s">
        <v>49</v>
      </c>
    </row>
    <row r="1408" spans="1:1" x14ac:dyDescent="0.3">
      <c r="A1408" s="2" t="s">
        <v>49</v>
      </c>
    </row>
    <row r="1409" spans="1:1" x14ac:dyDescent="0.3">
      <c r="A1409" s="1" t="s">
        <v>49</v>
      </c>
    </row>
    <row r="1410" spans="1:1" x14ac:dyDescent="0.3">
      <c r="A1410" s="2" t="s">
        <v>33</v>
      </c>
    </row>
    <row r="1411" spans="1:1" x14ac:dyDescent="0.3">
      <c r="A1411" s="1" t="s">
        <v>49</v>
      </c>
    </row>
    <row r="1412" spans="1:1" x14ac:dyDescent="0.3">
      <c r="A1412" s="2" t="s">
        <v>33</v>
      </c>
    </row>
    <row r="1413" spans="1:1" x14ac:dyDescent="0.3">
      <c r="A1413" s="1" t="s">
        <v>49</v>
      </c>
    </row>
    <row r="1414" spans="1:1" x14ac:dyDescent="0.3">
      <c r="A1414" s="2" t="s">
        <v>74</v>
      </c>
    </row>
    <row r="1415" spans="1:1" x14ac:dyDescent="0.3">
      <c r="A1415" s="1" t="s">
        <v>49</v>
      </c>
    </row>
    <row r="1416" spans="1:1" x14ac:dyDescent="0.3">
      <c r="A1416" s="2" t="s">
        <v>49</v>
      </c>
    </row>
    <row r="1417" spans="1:1" x14ac:dyDescent="0.3">
      <c r="A1417" s="1" t="s">
        <v>74</v>
      </c>
    </row>
    <row r="1418" spans="1:1" x14ac:dyDescent="0.3">
      <c r="A1418" s="2" t="s">
        <v>49</v>
      </c>
    </row>
    <row r="1419" spans="1:1" x14ac:dyDescent="0.3">
      <c r="A1419" s="1" t="s">
        <v>33</v>
      </c>
    </row>
    <row r="1420" spans="1:1" x14ac:dyDescent="0.3">
      <c r="A1420" s="2" t="s">
        <v>33</v>
      </c>
    </row>
    <row r="1421" spans="1:1" x14ac:dyDescent="0.3">
      <c r="A1421" s="1" t="s">
        <v>33</v>
      </c>
    </row>
    <row r="1422" spans="1:1" x14ac:dyDescent="0.3">
      <c r="A1422" s="2" t="s">
        <v>33</v>
      </c>
    </row>
    <row r="1423" spans="1:1" x14ac:dyDescent="0.3">
      <c r="A1423" s="1" t="s">
        <v>33</v>
      </c>
    </row>
    <row r="1424" spans="1:1" x14ac:dyDescent="0.3">
      <c r="A1424" s="2" t="s">
        <v>33</v>
      </c>
    </row>
    <row r="1425" spans="1:1" x14ac:dyDescent="0.3">
      <c r="A1425" s="1" t="s">
        <v>33</v>
      </c>
    </row>
    <row r="1426" spans="1:1" x14ac:dyDescent="0.3">
      <c r="A1426" s="2" t="s">
        <v>49</v>
      </c>
    </row>
    <row r="1427" spans="1:1" x14ac:dyDescent="0.3">
      <c r="A1427" s="1" t="s">
        <v>33</v>
      </c>
    </row>
    <row r="1428" spans="1:1" x14ac:dyDescent="0.3">
      <c r="A1428" s="2" t="s">
        <v>49</v>
      </c>
    </row>
    <row r="1429" spans="1:1" x14ac:dyDescent="0.3">
      <c r="A1429" s="1" t="s">
        <v>49</v>
      </c>
    </row>
    <row r="1430" spans="1:1" x14ac:dyDescent="0.3">
      <c r="A1430" s="2" t="s">
        <v>33</v>
      </c>
    </row>
    <row r="1431" spans="1:1" x14ac:dyDescent="0.3">
      <c r="A1431" s="1" t="s">
        <v>49</v>
      </c>
    </row>
    <row r="1432" spans="1:1" x14ac:dyDescent="0.3">
      <c r="A1432" s="2" t="s">
        <v>33</v>
      </c>
    </row>
    <row r="1433" spans="1:1" x14ac:dyDescent="0.3">
      <c r="A1433" s="1" t="s">
        <v>74</v>
      </c>
    </row>
    <row r="1434" spans="1:1" x14ac:dyDescent="0.3">
      <c r="A1434" s="2" t="s">
        <v>33</v>
      </c>
    </row>
    <row r="1435" spans="1:1" x14ac:dyDescent="0.3">
      <c r="A1435" s="1" t="s">
        <v>33</v>
      </c>
    </row>
    <row r="1436" spans="1:1" x14ac:dyDescent="0.3">
      <c r="A1436" s="2" t="s">
        <v>33</v>
      </c>
    </row>
    <row r="1437" spans="1:1" x14ac:dyDescent="0.3">
      <c r="A1437" s="1" t="s">
        <v>49</v>
      </c>
    </row>
    <row r="1438" spans="1:1" x14ac:dyDescent="0.3">
      <c r="A1438" s="2" t="s">
        <v>74</v>
      </c>
    </row>
    <row r="1439" spans="1:1" x14ac:dyDescent="0.3">
      <c r="A1439" s="1" t="s">
        <v>49</v>
      </c>
    </row>
    <row r="1440" spans="1:1" x14ac:dyDescent="0.3">
      <c r="A1440" s="2" t="s">
        <v>33</v>
      </c>
    </row>
    <row r="1441" spans="1:1" x14ac:dyDescent="0.3">
      <c r="A1441" s="1" t="s">
        <v>33</v>
      </c>
    </row>
    <row r="1442" spans="1:1" x14ac:dyDescent="0.3">
      <c r="A1442" s="2" t="s">
        <v>49</v>
      </c>
    </row>
    <row r="1443" spans="1:1" x14ac:dyDescent="0.3">
      <c r="A1443" s="1" t="s">
        <v>33</v>
      </c>
    </row>
    <row r="1444" spans="1:1" x14ac:dyDescent="0.3">
      <c r="A1444" s="2" t="s">
        <v>33</v>
      </c>
    </row>
    <row r="1445" spans="1:1" x14ac:dyDescent="0.3">
      <c r="A1445" s="1" t="s">
        <v>33</v>
      </c>
    </row>
    <row r="1446" spans="1:1" x14ac:dyDescent="0.3">
      <c r="A1446" s="2" t="s">
        <v>49</v>
      </c>
    </row>
    <row r="1447" spans="1:1" x14ac:dyDescent="0.3">
      <c r="A1447" s="1" t="s">
        <v>33</v>
      </c>
    </row>
    <row r="1448" spans="1:1" x14ac:dyDescent="0.3">
      <c r="A1448" s="2" t="s">
        <v>33</v>
      </c>
    </row>
    <row r="1449" spans="1:1" x14ac:dyDescent="0.3">
      <c r="A1449" s="1" t="s">
        <v>33</v>
      </c>
    </row>
    <row r="1450" spans="1:1" x14ac:dyDescent="0.3">
      <c r="A1450" s="2" t="s">
        <v>49</v>
      </c>
    </row>
    <row r="1451" spans="1:1" x14ac:dyDescent="0.3">
      <c r="A1451" s="1" t="s">
        <v>33</v>
      </c>
    </row>
    <row r="1452" spans="1:1" x14ac:dyDescent="0.3">
      <c r="A1452" s="2" t="s">
        <v>49</v>
      </c>
    </row>
    <row r="1453" spans="1:1" x14ac:dyDescent="0.3">
      <c r="A1453" s="1" t="s">
        <v>49</v>
      </c>
    </row>
    <row r="1454" spans="1:1" x14ac:dyDescent="0.3">
      <c r="A1454" s="2" t="s">
        <v>33</v>
      </c>
    </row>
    <row r="1455" spans="1:1" x14ac:dyDescent="0.3">
      <c r="A1455" s="1" t="s">
        <v>33</v>
      </c>
    </row>
    <row r="1456" spans="1:1" x14ac:dyDescent="0.3">
      <c r="A1456" s="2" t="s">
        <v>33</v>
      </c>
    </row>
    <row r="1457" spans="1:1" x14ac:dyDescent="0.3">
      <c r="A1457" s="1" t="s">
        <v>74</v>
      </c>
    </row>
    <row r="1458" spans="1:1" x14ac:dyDescent="0.3">
      <c r="A1458" s="2" t="s">
        <v>33</v>
      </c>
    </row>
    <row r="1459" spans="1:1" x14ac:dyDescent="0.3">
      <c r="A1459" s="1" t="s">
        <v>74</v>
      </c>
    </row>
    <row r="1460" spans="1:1" x14ac:dyDescent="0.3">
      <c r="A1460" s="2" t="s">
        <v>74</v>
      </c>
    </row>
    <row r="1461" spans="1:1" x14ac:dyDescent="0.3">
      <c r="A1461" s="1" t="s">
        <v>49</v>
      </c>
    </row>
    <row r="1462" spans="1:1" x14ac:dyDescent="0.3">
      <c r="A1462" s="2" t="s">
        <v>49</v>
      </c>
    </row>
    <row r="1463" spans="1:1" x14ac:dyDescent="0.3">
      <c r="A1463" s="1" t="s">
        <v>49</v>
      </c>
    </row>
    <row r="1464" spans="1:1" x14ac:dyDescent="0.3">
      <c r="A1464" s="2" t="s">
        <v>49</v>
      </c>
    </row>
    <row r="1465" spans="1:1" x14ac:dyDescent="0.3">
      <c r="A1465" s="1" t="s">
        <v>49</v>
      </c>
    </row>
    <row r="1466" spans="1:1" x14ac:dyDescent="0.3">
      <c r="A1466" s="2" t="s">
        <v>49</v>
      </c>
    </row>
    <row r="1467" spans="1:1" x14ac:dyDescent="0.3">
      <c r="A1467" s="1" t="s">
        <v>49</v>
      </c>
    </row>
    <row r="1468" spans="1:1" x14ac:dyDescent="0.3">
      <c r="A1468" s="2" t="s">
        <v>49</v>
      </c>
    </row>
    <row r="1469" spans="1:1" x14ac:dyDescent="0.3">
      <c r="A1469" s="1" t="s">
        <v>49</v>
      </c>
    </row>
    <row r="1470" spans="1:1" x14ac:dyDescent="0.3">
      <c r="A1470" s="2" t="s">
        <v>74</v>
      </c>
    </row>
    <row r="1471" spans="1:1" x14ac:dyDescent="0.3">
      <c r="A1471" s="1" t="s">
        <v>33</v>
      </c>
    </row>
    <row r="1472" spans="1:1" x14ac:dyDescent="0.3">
      <c r="A1472" s="2" t="s">
        <v>74</v>
      </c>
    </row>
    <row r="1473" spans="1:1" x14ac:dyDescent="0.3">
      <c r="A1473" s="1" t="s">
        <v>49</v>
      </c>
    </row>
    <row r="1474" spans="1:1" x14ac:dyDescent="0.3">
      <c r="A1474" s="2" t="s">
        <v>74</v>
      </c>
    </row>
    <row r="1475" spans="1:1" x14ac:dyDescent="0.3">
      <c r="A1475" s="1" t="s">
        <v>33</v>
      </c>
    </row>
    <row r="1476" spans="1:1" x14ac:dyDescent="0.3">
      <c r="A1476" s="2" t="s">
        <v>33</v>
      </c>
    </row>
    <row r="1477" spans="1:1" x14ac:dyDescent="0.3">
      <c r="A1477" s="1" t="s">
        <v>49</v>
      </c>
    </row>
    <row r="1478" spans="1:1" x14ac:dyDescent="0.3">
      <c r="A1478" s="2" t="s">
        <v>33</v>
      </c>
    </row>
    <row r="1479" spans="1:1" x14ac:dyDescent="0.3">
      <c r="A1479" s="1" t="s">
        <v>49</v>
      </c>
    </row>
    <row r="1480" spans="1:1" x14ac:dyDescent="0.3">
      <c r="A1480" s="2" t="s">
        <v>33</v>
      </c>
    </row>
    <row r="1481" spans="1:1" x14ac:dyDescent="0.3">
      <c r="A1481" s="1" t="s">
        <v>49</v>
      </c>
    </row>
    <row r="1482" spans="1:1" x14ac:dyDescent="0.3">
      <c r="A1482" s="2" t="s">
        <v>33</v>
      </c>
    </row>
    <row r="1483" spans="1:1" x14ac:dyDescent="0.3">
      <c r="A1483" s="1" t="s">
        <v>49</v>
      </c>
    </row>
    <row r="1484" spans="1:1" x14ac:dyDescent="0.3">
      <c r="A1484" s="2" t="s">
        <v>74</v>
      </c>
    </row>
    <row r="1485" spans="1:1" x14ac:dyDescent="0.3">
      <c r="A1485" s="1" t="s">
        <v>49</v>
      </c>
    </row>
    <row r="1486" spans="1:1" x14ac:dyDescent="0.3">
      <c r="A1486" s="2" t="s">
        <v>49</v>
      </c>
    </row>
    <row r="1487" spans="1:1" x14ac:dyDescent="0.3">
      <c r="A1487" s="1" t="s">
        <v>74</v>
      </c>
    </row>
    <row r="1488" spans="1:1" x14ac:dyDescent="0.3">
      <c r="A1488" s="2" t="s">
        <v>49</v>
      </c>
    </row>
    <row r="1489" spans="1:1" x14ac:dyDescent="0.3">
      <c r="A1489" s="1" t="s">
        <v>49</v>
      </c>
    </row>
    <row r="1490" spans="1:1" x14ac:dyDescent="0.3">
      <c r="A1490" s="2" t="s">
        <v>33</v>
      </c>
    </row>
    <row r="1491" spans="1:1" x14ac:dyDescent="0.3">
      <c r="A1491" s="1" t="s">
        <v>33</v>
      </c>
    </row>
    <row r="1492" spans="1:1" x14ac:dyDescent="0.3">
      <c r="A1492" s="2" t="s">
        <v>49</v>
      </c>
    </row>
    <row r="1493" spans="1:1" x14ac:dyDescent="0.3">
      <c r="A1493" s="1" t="s">
        <v>33</v>
      </c>
    </row>
    <row r="1494" spans="1:1" x14ac:dyDescent="0.3">
      <c r="A1494" s="2" t="s">
        <v>49</v>
      </c>
    </row>
    <row r="1495" spans="1:1" x14ac:dyDescent="0.3">
      <c r="A1495" s="1" t="s">
        <v>33</v>
      </c>
    </row>
    <row r="1496" spans="1:1" x14ac:dyDescent="0.3">
      <c r="A1496" s="2" t="s">
        <v>33</v>
      </c>
    </row>
    <row r="1497" spans="1:1" x14ac:dyDescent="0.3">
      <c r="A1497" s="1" t="s">
        <v>33</v>
      </c>
    </row>
    <row r="1498" spans="1:1" x14ac:dyDescent="0.3">
      <c r="A1498" s="2" t="s">
        <v>74</v>
      </c>
    </row>
    <row r="1499" spans="1:1" x14ac:dyDescent="0.3">
      <c r="A1499" s="1" t="s">
        <v>33</v>
      </c>
    </row>
    <row r="1500" spans="1:1" x14ac:dyDescent="0.3">
      <c r="A1500" s="2" t="s">
        <v>49</v>
      </c>
    </row>
    <row r="1501" spans="1:1" x14ac:dyDescent="0.3">
      <c r="A1501" s="1" t="s">
        <v>49</v>
      </c>
    </row>
    <row r="1502" spans="1:1" x14ac:dyDescent="0.3">
      <c r="A1502" s="2" t="s">
        <v>33</v>
      </c>
    </row>
    <row r="1503" spans="1:1" x14ac:dyDescent="0.3">
      <c r="A1503" s="1" t="s">
        <v>33</v>
      </c>
    </row>
    <row r="1504" spans="1:1" x14ac:dyDescent="0.3">
      <c r="A1504" s="2" t="s">
        <v>49</v>
      </c>
    </row>
    <row r="1505" spans="1:1" x14ac:dyDescent="0.3">
      <c r="A1505" s="1" t="s">
        <v>33</v>
      </c>
    </row>
    <row r="1506" spans="1:1" x14ac:dyDescent="0.3">
      <c r="A1506" s="2" t="s">
        <v>33</v>
      </c>
    </row>
    <row r="1507" spans="1:1" x14ac:dyDescent="0.3">
      <c r="A1507" s="1" t="s">
        <v>33</v>
      </c>
    </row>
    <row r="1508" spans="1:1" x14ac:dyDescent="0.3">
      <c r="A1508" s="2" t="s">
        <v>49</v>
      </c>
    </row>
    <row r="1509" spans="1:1" x14ac:dyDescent="0.3">
      <c r="A1509" s="1" t="s">
        <v>49</v>
      </c>
    </row>
    <row r="1510" spans="1:1" x14ac:dyDescent="0.3">
      <c r="A1510" s="2" t="s">
        <v>33</v>
      </c>
    </row>
    <row r="1511" spans="1:1" x14ac:dyDescent="0.3">
      <c r="A1511" s="1" t="s">
        <v>49</v>
      </c>
    </row>
    <row r="1512" spans="1:1" x14ac:dyDescent="0.3">
      <c r="A1512" s="2" t="s">
        <v>49</v>
      </c>
    </row>
    <row r="1513" spans="1:1" x14ac:dyDescent="0.3">
      <c r="A1513" s="1" t="s">
        <v>49</v>
      </c>
    </row>
    <row r="1514" spans="1:1" x14ac:dyDescent="0.3">
      <c r="A1514" s="2" t="s">
        <v>49</v>
      </c>
    </row>
    <row r="1515" spans="1:1" x14ac:dyDescent="0.3">
      <c r="A1515" s="1" t="s">
        <v>49</v>
      </c>
    </row>
    <row r="1516" spans="1:1" x14ac:dyDescent="0.3">
      <c r="A1516" s="2" t="s">
        <v>49</v>
      </c>
    </row>
    <row r="1517" spans="1:1" x14ac:dyDescent="0.3">
      <c r="A1517" s="1" t="s">
        <v>74</v>
      </c>
    </row>
    <row r="1518" spans="1:1" x14ac:dyDescent="0.3">
      <c r="A1518" s="2" t="s">
        <v>49</v>
      </c>
    </row>
    <row r="1519" spans="1:1" x14ac:dyDescent="0.3">
      <c r="A1519" s="1" t="s">
        <v>49</v>
      </c>
    </row>
    <row r="1520" spans="1:1" x14ac:dyDescent="0.3">
      <c r="A1520" s="2" t="s">
        <v>49</v>
      </c>
    </row>
    <row r="1521" spans="1:1" x14ac:dyDescent="0.3">
      <c r="A1521" s="1" t="s">
        <v>49</v>
      </c>
    </row>
    <row r="1522" spans="1:1" x14ac:dyDescent="0.3">
      <c r="A1522" s="2" t="s">
        <v>33</v>
      </c>
    </row>
    <row r="1523" spans="1:1" x14ac:dyDescent="0.3">
      <c r="A1523" s="1" t="s">
        <v>49</v>
      </c>
    </row>
    <row r="1524" spans="1:1" x14ac:dyDescent="0.3">
      <c r="A1524" s="2" t="s">
        <v>49</v>
      </c>
    </row>
    <row r="1525" spans="1:1" x14ac:dyDescent="0.3">
      <c r="A1525" s="1" t="s">
        <v>33</v>
      </c>
    </row>
    <row r="1526" spans="1:1" x14ac:dyDescent="0.3">
      <c r="A1526" s="2" t="s">
        <v>49</v>
      </c>
    </row>
    <row r="1527" spans="1:1" x14ac:dyDescent="0.3">
      <c r="A1527" s="1" t="s">
        <v>49</v>
      </c>
    </row>
    <row r="1528" spans="1:1" x14ac:dyDescent="0.3">
      <c r="A1528" s="2" t="s">
        <v>74</v>
      </c>
    </row>
    <row r="1529" spans="1:1" x14ac:dyDescent="0.3">
      <c r="A1529" s="1" t="s">
        <v>49</v>
      </c>
    </row>
    <row r="1530" spans="1:1" x14ac:dyDescent="0.3">
      <c r="A1530" s="2" t="s">
        <v>49</v>
      </c>
    </row>
    <row r="1531" spans="1:1" x14ac:dyDescent="0.3">
      <c r="A1531" s="1" t="s">
        <v>49</v>
      </c>
    </row>
    <row r="1532" spans="1:1" x14ac:dyDescent="0.3">
      <c r="A1532" s="2" t="s">
        <v>49</v>
      </c>
    </row>
    <row r="1533" spans="1:1" x14ac:dyDescent="0.3">
      <c r="A1533" s="1" t="s">
        <v>49</v>
      </c>
    </row>
    <row r="1534" spans="1:1" x14ac:dyDescent="0.3">
      <c r="A1534" s="2" t="s">
        <v>49</v>
      </c>
    </row>
    <row r="1535" spans="1:1" x14ac:dyDescent="0.3">
      <c r="A1535" s="1" t="s">
        <v>49</v>
      </c>
    </row>
    <row r="1536" spans="1:1" x14ac:dyDescent="0.3">
      <c r="A1536" s="2" t="s">
        <v>33</v>
      </c>
    </row>
    <row r="1537" spans="1:1" x14ac:dyDescent="0.3">
      <c r="A1537" s="1" t="s">
        <v>49</v>
      </c>
    </row>
    <row r="1538" spans="1:1" x14ac:dyDescent="0.3">
      <c r="A1538" s="2" t="s">
        <v>74</v>
      </c>
    </row>
    <row r="1539" spans="1:1" x14ac:dyDescent="0.3">
      <c r="A1539" s="1" t="s">
        <v>49</v>
      </c>
    </row>
    <row r="1540" spans="1:1" x14ac:dyDescent="0.3">
      <c r="A1540" s="2" t="s">
        <v>49</v>
      </c>
    </row>
    <row r="1541" spans="1:1" x14ac:dyDescent="0.3">
      <c r="A1541" s="1" t="s">
        <v>33</v>
      </c>
    </row>
    <row r="1542" spans="1:1" x14ac:dyDescent="0.3">
      <c r="A1542" s="2" t="s">
        <v>49</v>
      </c>
    </row>
    <row r="1543" spans="1:1" x14ac:dyDescent="0.3">
      <c r="A1543" s="1" t="s">
        <v>33</v>
      </c>
    </row>
    <row r="1544" spans="1:1" x14ac:dyDescent="0.3">
      <c r="A1544" s="2" t="s">
        <v>49</v>
      </c>
    </row>
    <row r="1545" spans="1:1" x14ac:dyDescent="0.3">
      <c r="A1545" s="1" t="s">
        <v>74</v>
      </c>
    </row>
    <row r="1546" spans="1:1" x14ac:dyDescent="0.3">
      <c r="A1546" s="2" t="s">
        <v>49</v>
      </c>
    </row>
    <row r="1547" spans="1:1" x14ac:dyDescent="0.3">
      <c r="A1547" s="1" t="s">
        <v>49</v>
      </c>
    </row>
    <row r="1548" spans="1:1" x14ac:dyDescent="0.3">
      <c r="A1548" s="2" t="s">
        <v>33</v>
      </c>
    </row>
    <row r="1549" spans="1:1" x14ac:dyDescent="0.3">
      <c r="A1549" s="1" t="s">
        <v>74</v>
      </c>
    </row>
    <row r="1550" spans="1:1" x14ac:dyDescent="0.3">
      <c r="A1550" s="2" t="s">
        <v>49</v>
      </c>
    </row>
    <row r="1551" spans="1:1" x14ac:dyDescent="0.3">
      <c r="A1551" s="1" t="s">
        <v>49</v>
      </c>
    </row>
    <row r="1552" spans="1:1" x14ac:dyDescent="0.3">
      <c r="A1552" s="2" t="s">
        <v>49</v>
      </c>
    </row>
    <row r="1553" spans="1:1" x14ac:dyDescent="0.3">
      <c r="A1553" s="1" t="s">
        <v>49</v>
      </c>
    </row>
    <row r="1554" spans="1:1" x14ac:dyDescent="0.3">
      <c r="A1554" s="2" t="s">
        <v>33</v>
      </c>
    </row>
    <row r="1555" spans="1:1" x14ac:dyDescent="0.3">
      <c r="A1555" s="1" t="s">
        <v>33</v>
      </c>
    </row>
    <row r="1556" spans="1:1" x14ac:dyDescent="0.3">
      <c r="A1556" s="2" t="s">
        <v>49</v>
      </c>
    </row>
    <row r="1557" spans="1:1" x14ac:dyDescent="0.3">
      <c r="A1557" s="1" t="s">
        <v>49</v>
      </c>
    </row>
    <row r="1558" spans="1:1" x14ac:dyDescent="0.3">
      <c r="A1558" s="2" t="s">
        <v>49</v>
      </c>
    </row>
    <row r="1559" spans="1:1" x14ac:dyDescent="0.3">
      <c r="A1559" s="1" t="s">
        <v>33</v>
      </c>
    </row>
    <row r="1560" spans="1:1" x14ac:dyDescent="0.3">
      <c r="A1560" s="2" t="s">
        <v>33</v>
      </c>
    </row>
    <row r="1561" spans="1:1" x14ac:dyDescent="0.3">
      <c r="A1561" s="1" t="s">
        <v>33</v>
      </c>
    </row>
    <row r="1562" spans="1:1" x14ac:dyDescent="0.3">
      <c r="A1562" s="2" t="s">
        <v>33</v>
      </c>
    </row>
    <row r="1563" spans="1:1" x14ac:dyDescent="0.3">
      <c r="A1563" s="1" t="s">
        <v>33</v>
      </c>
    </row>
    <row r="1564" spans="1:1" x14ac:dyDescent="0.3">
      <c r="A1564" s="2" t="s">
        <v>33</v>
      </c>
    </row>
    <row r="1565" spans="1:1" x14ac:dyDescent="0.3">
      <c r="A1565" s="1" t="s">
        <v>49</v>
      </c>
    </row>
    <row r="1566" spans="1:1" x14ac:dyDescent="0.3">
      <c r="A1566" s="2" t="s">
        <v>49</v>
      </c>
    </row>
    <row r="1567" spans="1:1" x14ac:dyDescent="0.3">
      <c r="A1567" s="1" t="s">
        <v>74</v>
      </c>
    </row>
    <row r="1568" spans="1:1" x14ac:dyDescent="0.3">
      <c r="A1568" s="2" t="s">
        <v>33</v>
      </c>
    </row>
    <row r="1569" spans="1:1" x14ac:dyDescent="0.3">
      <c r="A1569" s="1" t="s">
        <v>49</v>
      </c>
    </row>
    <row r="1570" spans="1:1" x14ac:dyDescent="0.3">
      <c r="A1570" s="2" t="s">
        <v>49</v>
      </c>
    </row>
    <row r="1571" spans="1:1" x14ac:dyDescent="0.3">
      <c r="A1571" s="1" t="s">
        <v>49</v>
      </c>
    </row>
    <row r="1572" spans="1:1" x14ac:dyDescent="0.3">
      <c r="A1572" s="2" t="s">
        <v>33</v>
      </c>
    </row>
    <row r="1573" spans="1:1" x14ac:dyDescent="0.3">
      <c r="A1573" s="1" t="s">
        <v>49</v>
      </c>
    </row>
    <row r="1574" spans="1:1" x14ac:dyDescent="0.3">
      <c r="A1574" s="2" t="s">
        <v>33</v>
      </c>
    </row>
    <row r="1575" spans="1:1" x14ac:dyDescent="0.3">
      <c r="A1575" s="1" t="s">
        <v>33</v>
      </c>
    </row>
    <row r="1576" spans="1:1" x14ac:dyDescent="0.3">
      <c r="A1576" s="2" t="s">
        <v>74</v>
      </c>
    </row>
    <row r="1577" spans="1:1" x14ac:dyDescent="0.3">
      <c r="A1577" s="1" t="s">
        <v>33</v>
      </c>
    </row>
    <row r="1578" spans="1:1" x14ac:dyDescent="0.3">
      <c r="A1578" s="2" t="s">
        <v>33</v>
      </c>
    </row>
    <row r="1579" spans="1:1" x14ac:dyDescent="0.3">
      <c r="A1579" s="1" t="s">
        <v>74</v>
      </c>
    </row>
    <row r="1580" spans="1:1" x14ac:dyDescent="0.3">
      <c r="A1580" s="2" t="s">
        <v>33</v>
      </c>
    </row>
    <row r="1581" spans="1:1" x14ac:dyDescent="0.3">
      <c r="A1581" s="1" t="s">
        <v>49</v>
      </c>
    </row>
    <row r="1582" spans="1:1" x14ac:dyDescent="0.3">
      <c r="A1582" s="2" t="s">
        <v>49</v>
      </c>
    </row>
    <row r="1583" spans="1:1" x14ac:dyDescent="0.3">
      <c r="A1583" s="1" t="s">
        <v>33</v>
      </c>
    </row>
    <row r="1584" spans="1:1" x14ac:dyDescent="0.3">
      <c r="A1584" s="2" t="s">
        <v>33</v>
      </c>
    </row>
    <row r="1585" spans="1:1" x14ac:dyDescent="0.3">
      <c r="A1585" s="1" t="s">
        <v>33</v>
      </c>
    </row>
    <row r="1586" spans="1:1" x14ac:dyDescent="0.3">
      <c r="A1586" s="2" t="s">
        <v>49</v>
      </c>
    </row>
    <row r="1587" spans="1:1" x14ac:dyDescent="0.3">
      <c r="A1587" s="1" t="s">
        <v>49</v>
      </c>
    </row>
    <row r="1588" spans="1:1" x14ac:dyDescent="0.3">
      <c r="A1588" s="2" t="s">
        <v>49</v>
      </c>
    </row>
    <row r="1589" spans="1:1" x14ac:dyDescent="0.3">
      <c r="A1589" s="1" t="s">
        <v>49</v>
      </c>
    </row>
    <row r="1590" spans="1:1" x14ac:dyDescent="0.3">
      <c r="A1590" s="2" t="s">
        <v>33</v>
      </c>
    </row>
    <row r="1591" spans="1:1" x14ac:dyDescent="0.3">
      <c r="A1591" s="1" t="s">
        <v>49</v>
      </c>
    </row>
    <row r="1592" spans="1:1" x14ac:dyDescent="0.3">
      <c r="A1592" s="2" t="s">
        <v>33</v>
      </c>
    </row>
    <row r="1593" spans="1:1" x14ac:dyDescent="0.3">
      <c r="A1593" s="1" t="s">
        <v>74</v>
      </c>
    </row>
    <row r="1594" spans="1:1" x14ac:dyDescent="0.3">
      <c r="A1594" s="2" t="s">
        <v>49</v>
      </c>
    </row>
    <row r="1595" spans="1:1" x14ac:dyDescent="0.3">
      <c r="A1595" s="1" t="s">
        <v>49</v>
      </c>
    </row>
    <row r="1596" spans="1:1" x14ac:dyDescent="0.3">
      <c r="A1596" s="2" t="s">
        <v>49</v>
      </c>
    </row>
    <row r="1597" spans="1:1" x14ac:dyDescent="0.3">
      <c r="A1597" s="1" t="s">
        <v>49</v>
      </c>
    </row>
    <row r="1598" spans="1:1" x14ac:dyDescent="0.3">
      <c r="A1598" s="2" t="s">
        <v>74</v>
      </c>
    </row>
    <row r="1599" spans="1:1" x14ac:dyDescent="0.3">
      <c r="A1599" s="1" t="s">
        <v>49</v>
      </c>
    </row>
    <row r="1600" spans="1:1" x14ac:dyDescent="0.3">
      <c r="A1600" s="2" t="s">
        <v>74</v>
      </c>
    </row>
    <row r="1601" spans="1:1" x14ac:dyDescent="0.3">
      <c r="A1601" s="1" t="s">
        <v>33</v>
      </c>
    </row>
    <row r="1602" spans="1:1" x14ac:dyDescent="0.3">
      <c r="A1602" s="2" t="s">
        <v>33</v>
      </c>
    </row>
    <row r="1603" spans="1:1" x14ac:dyDescent="0.3">
      <c r="A1603" s="1" t="s">
        <v>49</v>
      </c>
    </row>
    <row r="1604" spans="1:1" x14ac:dyDescent="0.3">
      <c r="A1604" s="2" t="s">
        <v>49</v>
      </c>
    </row>
    <row r="1605" spans="1:1" x14ac:dyDescent="0.3">
      <c r="A1605" s="1" t="s">
        <v>49</v>
      </c>
    </row>
    <row r="1606" spans="1:1" x14ac:dyDescent="0.3">
      <c r="A1606" s="2" t="s">
        <v>33</v>
      </c>
    </row>
    <row r="1607" spans="1:1" x14ac:dyDescent="0.3">
      <c r="A1607" s="1" t="s">
        <v>33</v>
      </c>
    </row>
    <row r="1608" spans="1:1" x14ac:dyDescent="0.3">
      <c r="A1608" s="2" t="s">
        <v>49</v>
      </c>
    </row>
    <row r="1609" spans="1:1" x14ac:dyDescent="0.3">
      <c r="A1609" s="1" t="s">
        <v>49</v>
      </c>
    </row>
    <row r="1610" spans="1:1" x14ac:dyDescent="0.3">
      <c r="A1610" s="2" t="s">
        <v>49</v>
      </c>
    </row>
    <row r="1611" spans="1:1" x14ac:dyDescent="0.3">
      <c r="A1611" s="1" t="s">
        <v>49</v>
      </c>
    </row>
    <row r="1612" spans="1:1" x14ac:dyDescent="0.3">
      <c r="A1612" s="2" t="s">
        <v>49</v>
      </c>
    </row>
    <row r="1613" spans="1:1" x14ac:dyDescent="0.3">
      <c r="A1613" s="1" t="s">
        <v>49</v>
      </c>
    </row>
    <row r="1614" spans="1:1" x14ac:dyDescent="0.3">
      <c r="A1614" s="2" t="s">
        <v>33</v>
      </c>
    </row>
    <row r="1615" spans="1:1" x14ac:dyDescent="0.3">
      <c r="A1615" s="1" t="s">
        <v>33</v>
      </c>
    </row>
    <row r="1616" spans="1:1" x14ac:dyDescent="0.3">
      <c r="A1616" s="2" t="s">
        <v>74</v>
      </c>
    </row>
    <row r="1617" spans="1:1" x14ac:dyDescent="0.3">
      <c r="A1617" s="1" t="s">
        <v>33</v>
      </c>
    </row>
    <row r="1618" spans="1:1" x14ac:dyDescent="0.3">
      <c r="A1618" s="2" t="s">
        <v>49</v>
      </c>
    </row>
    <row r="1619" spans="1:1" x14ac:dyDescent="0.3">
      <c r="A1619" s="1" t="s">
        <v>33</v>
      </c>
    </row>
    <row r="1620" spans="1:1" x14ac:dyDescent="0.3">
      <c r="A1620" s="2" t="s">
        <v>33</v>
      </c>
    </row>
    <row r="1621" spans="1:1" x14ac:dyDescent="0.3">
      <c r="A1621" s="1" t="s">
        <v>33</v>
      </c>
    </row>
    <row r="1622" spans="1:1" x14ac:dyDescent="0.3">
      <c r="A1622" s="2" t="s">
        <v>33</v>
      </c>
    </row>
    <row r="1623" spans="1:1" x14ac:dyDescent="0.3">
      <c r="A1623" s="1" t="s">
        <v>33</v>
      </c>
    </row>
    <row r="1624" spans="1:1" x14ac:dyDescent="0.3">
      <c r="A1624" s="2" t="s">
        <v>33</v>
      </c>
    </row>
    <row r="1625" spans="1:1" x14ac:dyDescent="0.3">
      <c r="A1625" s="1" t="s">
        <v>33</v>
      </c>
    </row>
    <row r="1626" spans="1:1" x14ac:dyDescent="0.3">
      <c r="A1626" s="2" t="s">
        <v>49</v>
      </c>
    </row>
    <row r="1627" spans="1:1" x14ac:dyDescent="0.3">
      <c r="A1627" s="1" t="s">
        <v>33</v>
      </c>
    </row>
    <row r="1628" spans="1:1" x14ac:dyDescent="0.3">
      <c r="A1628" s="2" t="s">
        <v>74</v>
      </c>
    </row>
    <row r="1629" spans="1:1" x14ac:dyDescent="0.3">
      <c r="A1629" s="1" t="s">
        <v>33</v>
      </c>
    </row>
    <row r="1630" spans="1:1" x14ac:dyDescent="0.3">
      <c r="A1630" s="2" t="s">
        <v>49</v>
      </c>
    </row>
    <row r="1631" spans="1:1" x14ac:dyDescent="0.3">
      <c r="A1631" s="1" t="s">
        <v>49</v>
      </c>
    </row>
    <row r="1632" spans="1:1" x14ac:dyDescent="0.3">
      <c r="A1632" s="2" t="s">
        <v>49</v>
      </c>
    </row>
    <row r="1633" spans="1:1" x14ac:dyDescent="0.3">
      <c r="A1633" s="1" t="s">
        <v>49</v>
      </c>
    </row>
    <row r="1634" spans="1:1" x14ac:dyDescent="0.3">
      <c r="A1634" s="2" t="s">
        <v>33</v>
      </c>
    </row>
    <row r="1635" spans="1:1" x14ac:dyDescent="0.3">
      <c r="A1635" s="1" t="s">
        <v>49</v>
      </c>
    </row>
    <row r="1636" spans="1:1" x14ac:dyDescent="0.3">
      <c r="A1636" s="2" t="s">
        <v>49</v>
      </c>
    </row>
    <row r="1637" spans="1:1" x14ac:dyDescent="0.3">
      <c r="A1637" s="1" t="s">
        <v>33</v>
      </c>
    </row>
    <row r="1638" spans="1:1" x14ac:dyDescent="0.3">
      <c r="A1638" s="2" t="s">
        <v>49</v>
      </c>
    </row>
    <row r="1639" spans="1:1" x14ac:dyDescent="0.3">
      <c r="A1639" s="1" t="s">
        <v>49</v>
      </c>
    </row>
    <row r="1640" spans="1:1" x14ac:dyDescent="0.3">
      <c r="A1640" s="2" t="s">
        <v>33</v>
      </c>
    </row>
    <row r="1641" spans="1:1" x14ac:dyDescent="0.3">
      <c r="A1641" s="1" t="s">
        <v>33</v>
      </c>
    </row>
    <row r="1642" spans="1:1" x14ac:dyDescent="0.3">
      <c r="A1642" s="2" t="s">
        <v>49</v>
      </c>
    </row>
    <row r="1643" spans="1:1" x14ac:dyDescent="0.3">
      <c r="A1643" s="1" t="s">
        <v>49</v>
      </c>
    </row>
    <row r="1644" spans="1:1" x14ac:dyDescent="0.3">
      <c r="A1644" s="2" t="s">
        <v>33</v>
      </c>
    </row>
    <row r="1645" spans="1:1" x14ac:dyDescent="0.3">
      <c r="A1645" s="1" t="s">
        <v>49</v>
      </c>
    </row>
    <row r="1646" spans="1:1" x14ac:dyDescent="0.3">
      <c r="A1646" s="2" t="s">
        <v>49</v>
      </c>
    </row>
    <row r="1647" spans="1:1" x14ac:dyDescent="0.3">
      <c r="A1647" s="1" t="s">
        <v>49</v>
      </c>
    </row>
    <row r="1648" spans="1:1" x14ac:dyDescent="0.3">
      <c r="A1648" s="2" t="s">
        <v>33</v>
      </c>
    </row>
    <row r="1649" spans="1:1" x14ac:dyDescent="0.3">
      <c r="A1649" s="1" t="s">
        <v>33</v>
      </c>
    </row>
    <row r="1650" spans="1:1" x14ac:dyDescent="0.3">
      <c r="A1650" s="2" t="s">
        <v>33</v>
      </c>
    </row>
    <row r="1651" spans="1:1" x14ac:dyDescent="0.3">
      <c r="A1651" s="1" t="s">
        <v>33</v>
      </c>
    </row>
    <row r="1652" spans="1:1" x14ac:dyDescent="0.3">
      <c r="A1652" s="2" t="s">
        <v>33</v>
      </c>
    </row>
    <row r="1653" spans="1:1" x14ac:dyDescent="0.3">
      <c r="A1653" s="1" t="s">
        <v>33</v>
      </c>
    </row>
    <row r="1654" spans="1:1" x14ac:dyDescent="0.3">
      <c r="A1654" s="2" t="s">
        <v>49</v>
      </c>
    </row>
    <row r="1655" spans="1:1" x14ac:dyDescent="0.3">
      <c r="A1655" s="1" t="s">
        <v>49</v>
      </c>
    </row>
    <row r="1656" spans="1:1" x14ac:dyDescent="0.3">
      <c r="A1656" s="2" t="s">
        <v>49</v>
      </c>
    </row>
    <row r="1657" spans="1:1" x14ac:dyDescent="0.3">
      <c r="A1657" s="1" t="s">
        <v>49</v>
      </c>
    </row>
    <row r="1658" spans="1:1" x14ac:dyDescent="0.3">
      <c r="A1658" s="2" t="s">
        <v>49</v>
      </c>
    </row>
    <row r="1659" spans="1:1" x14ac:dyDescent="0.3">
      <c r="A1659" s="1" t="s">
        <v>49</v>
      </c>
    </row>
    <row r="1660" spans="1:1" x14ac:dyDescent="0.3">
      <c r="A1660" s="2" t="s">
        <v>33</v>
      </c>
    </row>
    <row r="1661" spans="1:1" x14ac:dyDescent="0.3">
      <c r="A1661" s="1" t="s">
        <v>49</v>
      </c>
    </row>
    <row r="1662" spans="1:1" x14ac:dyDescent="0.3">
      <c r="A1662" s="2" t="s">
        <v>33</v>
      </c>
    </row>
    <row r="1663" spans="1:1" x14ac:dyDescent="0.3">
      <c r="A1663" s="1" t="s">
        <v>33</v>
      </c>
    </row>
    <row r="1664" spans="1:1" x14ac:dyDescent="0.3">
      <c r="A1664" s="2" t="s">
        <v>49</v>
      </c>
    </row>
    <row r="1665" spans="1:1" x14ac:dyDescent="0.3">
      <c r="A1665" s="1" t="s">
        <v>49</v>
      </c>
    </row>
    <row r="1666" spans="1:1" x14ac:dyDescent="0.3">
      <c r="A1666" s="2" t="s">
        <v>49</v>
      </c>
    </row>
    <row r="1667" spans="1:1" x14ac:dyDescent="0.3">
      <c r="A1667" s="1" t="s">
        <v>49</v>
      </c>
    </row>
    <row r="1668" spans="1:1" x14ac:dyDescent="0.3">
      <c r="A1668" s="2" t="s">
        <v>49</v>
      </c>
    </row>
    <row r="1669" spans="1:1" x14ac:dyDescent="0.3">
      <c r="A1669" s="1" t="s">
        <v>49</v>
      </c>
    </row>
    <row r="1670" spans="1:1" x14ac:dyDescent="0.3">
      <c r="A1670" s="2" t="s">
        <v>49</v>
      </c>
    </row>
    <row r="1671" spans="1:1" x14ac:dyDescent="0.3">
      <c r="A1671" s="1" t="s">
        <v>33</v>
      </c>
    </row>
    <row r="1672" spans="1:1" x14ac:dyDescent="0.3">
      <c r="A1672" s="2" t="s">
        <v>49</v>
      </c>
    </row>
    <row r="1673" spans="1:1" x14ac:dyDescent="0.3">
      <c r="A1673" s="1" t="s">
        <v>33</v>
      </c>
    </row>
    <row r="1674" spans="1:1" x14ac:dyDescent="0.3">
      <c r="A1674" s="2" t="s">
        <v>49</v>
      </c>
    </row>
    <row r="1675" spans="1:1" x14ac:dyDescent="0.3">
      <c r="A1675" s="1" t="s">
        <v>49</v>
      </c>
    </row>
    <row r="1676" spans="1:1" x14ac:dyDescent="0.3">
      <c r="A1676" s="2" t="s">
        <v>33</v>
      </c>
    </row>
    <row r="1677" spans="1:1" x14ac:dyDescent="0.3">
      <c r="A1677" s="1" t="s">
        <v>33</v>
      </c>
    </row>
    <row r="1678" spans="1:1" x14ac:dyDescent="0.3">
      <c r="A1678" s="2" t="s">
        <v>33</v>
      </c>
    </row>
    <row r="1679" spans="1:1" x14ac:dyDescent="0.3">
      <c r="A1679" s="1" t="s">
        <v>49</v>
      </c>
    </row>
    <row r="1680" spans="1:1" x14ac:dyDescent="0.3">
      <c r="A1680" s="2" t="s">
        <v>49</v>
      </c>
    </row>
    <row r="1681" spans="1:1" x14ac:dyDescent="0.3">
      <c r="A1681" s="1" t="s">
        <v>49</v>
      </c>
    </row>
    <row r="1682" spans="1:1" x14ac:dyDescent="0.3">
      <c r="A1682" s="2" t="s">
        <v>49</v>
      </c>
    </row>
    <row r="1683" spans="1:1" x14ac:dyDescent="0.3">
      <c r="A1683" s="1" t="s">
        <v>33</v>
      </c>
    </row>
    <row r="1684" spans="1:1" x14ac:dyDescent="0.3">
      <c r="A1684" s="2" t="s">
        <v>49</v>
      </c>
    </row>
    <row r="1685" spans="1:1" x14ac:dyDescent="0.3">
      <c r="A1685" s="1" t="s">
        <v>49</v>
      </c>
    </row>
    <row r="1686" spans="1:1" x14ac:dyDescent="0.3">
      <c r="A1686" s="2" t="s">
        <v>49</v>
      </c>
    </row>
    <row r="1687" spans="1:1" x14ac:dyDescent="0.3">
      <c r="A1687" s="1" t="s">
        <v>49</v>
      </c>
    </row>
    <row r="1688" spans="1:1" x14ac:dyDescent="0.3">
      <c r="A1688" s="2" t="s">
        <v>49</v>
      </c>
    </row>
    <row r="1689" spans="1:1" x14ac:dyDescent="0.3">
      <c r="A1689" s="1" t="s">
        <v>33</v>
      </c>
    </row>
    <row r="1690" spans="1:1" x14ac:dyDescent="0.3">
      <c r="A1690" s="2" t="s">
        <v>49</v>
      </c>
    </row>
    <row r="1691" spans="1:1" x14ac:dyDescent="0.3">
      <c r="A1691" s="1" t="s">
        <v>49</v>
      </c>
    </row>
    <row r="1692" spans="1:1" x14ac:dyDescent="0.3">
      <c r="A1692" s="2" t="s">
        <v>33</v>
      </c>
    </row>
    <row r="1693" spans="1:1" x14ac:dyDescent="0.3">
      <c r="A1693" s="1" t="s">
        <v>33</v>
      </c>
    </row>
    <row r="1694" spans="1:1" x14ac:dyDescent="0.3">
      <c r="A1694" s="2" t="s">
        <v>49</v>
      </c>
    </row>
    <row r="1695" spans="1:1" x14ac:dyDescent="0.3">
      <c r="A1695" s="1" t="s">
        <v>33</v>
      </c>
    </row>
    <row r="1696" spans="1:1" x14ac:dyDescent="0.3">
      <c r="A1696" s="2" t="s">
        <v>33</v>
      </c>
    </row>
    <row r="1697" spans="1:1" x14ac:dyDescent="0.3">
      <c r="A1697" s="1" t="s">
        <v>49</v>
      </c>
    </row>
    <row r="1698" spans="1:1" x14ac:dyDescent="0.3">
      <c r="A1698" s="2" t="s">
        <v>49</v>
      </c>
    </row>
    <row r="1699" spans="1:1" x14ac:dyDescent="0.3">
      <c r="A1699" s="1" t="s">
        <v>49</v>
      </c>
    </row>
    <row r="1700" spans="1:1" x14ac:dyDescent="0.3">
      <c r="A1700" s="2" t="s">
        <v>49</v>
      </c>
    </row>
    <row r="1701" spans="1:1" x14ac:dyDescent="0.3">
      <c r="A1701" s="1" t="s">
        <v>49</v>
      </c>
    </row>
    <row r="1702" spans="1:1" x14ac:dyDescent="0.3">
      <c r="A1702" s="2" t="s">
        <v>49</v>
      </c>
    </row>
    <row r="1703" spans="1:1" x14ac:dyDescent="0.3">
      <c r="A1703" s="1" t="s">
        <v>49</v>
      </c>
    </row>
    <row r="1704" spans="1:1" x14ac:dyDescent="0.3">
      <c r="A1704" s="2" t="s">
        <v>49</v>
      </c>
    </row>
    <row r="1705" spans="1:1" x14ac:dyDescent="0.3">
      <c r="A1705" s="1" t="s">
        <v>49</v>
      </c>
    </row>
    <row r="1706" spans="1:1" x14ac:dyDescent="0.3">
      <c r="A1706" s="2" t="s">
        <v>33</v>
      </c>
    </row>
    <row r="1707" spans="1:1" x14ac:dyDescent="0.3">
      <c r="A1707" s="1" t="s">
        <v>33</v>
      </c>
    </row>
    <row r="1708" spans="1:1" x14ac:dyDescent="0.3">
      <c r="A1708" s="2" t="s">
        <v>33</v>
      </c>
    </row>
    <row r="1709" spans="1:1" x14ac:dyDescent="0.3">
      <c r="A1709" s="1" t="s">
        <v>49</v>
      </c>
    </row>
    <row r="1710" spans="1:1" x14ac:dyDescent="0.3">
      <c r="A1710" s="2" t="s">
        <v>49</v>
      </c>
    </row>
    <row r="1711" spans="1:1" x14ac:dyDescent="0.3">
      <c r="A1711" s="1" t="s">
        <v>49</v>
      </c>
    </row>
    <row r="1712" spans="1:1" x14ac:dyDescent="0.3">
      <c r="A1712" s="2" t="s">
        <v>49</v>
      </c>
    </row>
    <row r="1713" spans="1:1" x14ac:dyDescent="0.3">
      <c r="A1713" s="1" t="s">
        <v>49</v>
      </c>
    </row>
    <row r="1714" spans="1:1" x14ac:dyDescent="0.3">
      <c r="A1714" s="2" t="s">
        <v>49</v>
      </c>
    </row>
    <row r="1715" spans="1:1" x14ac:dyDescent="0.3">
      <c r="A1715" s="1" t="s">
        <v>49</v>
      </c>
    </row>
    <row r="1716" spans="1:1" x14ac:dyDescent="0.3">
      <c r="A1716" s="2" t="s">
        <v>49</v>
      </c>
    </row>
    <row r="1717" spans="1:1" x14ac:dyDescent="0.3">
      <c r="A1717" s="1" t="s">
        <v>49</v>
      </c>
    </row>
    <row r="1718" spans="1:1" x14ac:dyDescent="0.3">
      <c r="A1718" s="2" t="s">
        <v>49</v>
      </c>
    </row>
    <row r="1719" spans="1:1" x14ac:dyDescent="0.3">
      <c r="A1719" s="1" t="s">
        <v>49</v>
      </c>
    </row>
    <row r="1720" spans="1:1" x14ac:dyDescent="0.3">
      <c r="A1720" s="2" t="s">
        <v>49</v>
      </c>
    </row>
    <row r="1721" spans="1:1" x14ac:dyDescent="0.3">
      <c r="A1721" s="1" t="s">
        <v>49</v>
      </c>
    </row>
    <row r="1722" spans="1:1" x14ac:dyDescent="0.3">
      <c r="A1722" s="2" t="s">
        <v>49</v>
      </c>
    </row>
    <row r="1723" spans="1:1" x14ac:dyDescent="0.3">
      <c r="A1723" s="1" t="s">
        <v>49</v>
      </c>
    </row>
    <row r="1724" spans="1:1" x14ac:dyDescent="0.3">
      <c r="A1724" s="2" t="s">
        <v>33</v>
      </c>
    </row>
    <row r="1725" spans="1:1" x14ac:dyDescent="0.3">
      <c r="A1725" s="1" t="s">
        <v>49</v>
      </c>
    </row>
    <row r="1726" spans="1:1" x14ac:dyDescent="0.3">
      <c r="A1726" s="2" t="s">
        <v>49</v>
      </c>
    </row>
    <row r="1727" spans="1:1" x14ac:dyDescent="0.3">
      <c r="A1727" s="1" t="s">
        <v>49</v>
      </c>
    </row>
    <row r="1728" spans="1:1" x14ac:dyDescent="0.3">
      <c r="A1728" s="2" t="s">
        <v>49</v>
      </c>
    </row>
    <row r="1729" spans="1:1" x14ac:dyDescent="0.3">
      <c r="A1729" s="1" t="s">
        <v>33</v>
      </c>
    </row>
    <row r="1730" spans="1:1" x14ac:dyDescent="0.3">
      <c r="A1730" s="2" t="s">
        <v>33</v>
      </c>
    </row>
    <row r="1731" spans="1:1" x14ac:dyDescent="0.3">
      <c r="A1731" s="1" t="s">
        <v>33</v>
      </c>
    </row>
    <row r="1732" spans="1:1" x14ac:dyDescent="0.3">
      <c r="A1732" s="2" t="s">
        <v>49</v>
      </c>
    </row>
    <row r="1733" spans="1:1" x14ac:dyDescent="0.3">
      <c r="A1733" s="1" t="s">
        <v>49</v>
      </c>
    </row>
    <row r="1734" spans="1:1" x14ac:dyDescent="0.3">
      <c r="A1734" s="2" t="s">
        <v>33</v>
      </c>
    </row>
    <row r="1735" spans="1:1" x14ac:dyDescent="0.3">
      <c r="A1735" s="1" t="s">
        <v>33</v>
      </c>
    </row>
    <row r="1736" spans="1:1" x14ac:dyDescent="0.3">
      <c r="A1736" s="2" t="s">
        <v>33</v>
      </c>
    </row>
    <row r="1737" spans="1:1" x14ac:dyDescent="0.3">
      <c r="A1737" s="1" t="s">
        <v>49</v>
      </c>
    </row>
    <row r="1738" spans="1:1" x14ac:dyDescent="0.3">
      <c r="A1738" s="2" t="s">
        <v>49</v>
      </c>
    </row>
    <row r="1739" spans="1:1" x14ac:dyDescent="0.3">
      <c r="A1739" s="1" t="s">
        <v>49</v>
      </c>
    </row>
    <row r="1740" spans="1:1" x14ac:dyDescent="0.3">
      <c r="A1740" s="2" t="s">
        <v>49</v>
      </c>
    </row>
    <row r="1741" spans="1:1" x14ac:dyDescent="0.3">
      <c r="A1741" s="1" t="s">
        <v>49</v>
      </c>
    </row>
    <row r="1742" spans="1:1" x14ac:dyDescent="0.3">
      <c r="A1742" s="2" t="s">
        <v>33</v>
      </c>
    </row>
    <row r="1743" spans="1:1" x14ac:dyDescent="0.3">
      <c r="A1743" s="1" t="s">
        <v>33</v>
      </c>
    </row>
    <row r="1744" spans="1:1" x14ac:dyDescent="0.3">
      <c r="A1744" s="2" t="s">
        <v>33</v>
      </c>
    </row>
    <row r="1745" spans="1:1" x14ac:dyDescent="0.3">
      <c r="A1745" s="1" t="s">
        <v>49</v>
      </c>
    </row>
    <row r="1746" spans="1:1" x14ac:dyDescent="0.3">
      <c r="A1746" s="2" t="s">
        <v>49</v>
      </c>
    </row>
    <row r="1747" spans="1:1" x14ac:dyDescent="0.3">
      <c r="A1747" s="1" t="s">
        <v>49</v>
      </c>
    </row>
    <row r="1748" spans="1:1" x14ac:dyDescent="0.3">
      <c r="A1748" s="2" t="s">
        <v>49</v>
      </c>
    </row>
    <row r="1749" spans="1:1" x14ac:dyDescent="0.3">
      <c r="A1749" s="1" t="s">
        <v>33</v>
      </c>
    </row>
    <row r="1750" spans="1:1" x14ac:dyDescent="0.3">
      <c r="A1750" s="2" t="s">
        <v>49</v>
      </c>
    </row>
    <row r="1751" spans="1:1" x14ac:dyDescent="0.3">
      <c r="A1751" s="1" t="s">
        <v>49</v>
      </c>
    </row>
    <row r="1752" spans="1:1" x14ac:dyDescent="0.3">
      <c r="A1752" s="2" t="s">
        <v>49</v>
      </c>
    </row>
    <row r="1753" spans="1:1" x14ac:dyDescent="0.3">
      <c r="A1753" s="1" t="s">
        <v>49</v>
      </c>
    </row>
    <row r="1754" spans="1:1" x14ac:dyDescent="0.3">
      <c r="A1754" s="2" t="s">
        <v>49</v>
      </c>
    </row>
    <row r="1755" spans="1:1" x14ac:dyDescent="0.3">
      <c r="A1755" s="1" t="s">
        <v>49</v>
      </c>
    </row>
    <row r="1756" spans="1:1" x14ac:dyDescent="0.3">
      <c r="A1756" s="2" t="s">
        <v>49</v>
      </c>
    </row>
    <row r="1757" spans="1:1" x14ac:dyDescent="0.3">
      <c r="A1757" s="1" t="s">
        <v>49</v>
      </c>
    </row>
    <row r="1758" spans="1:1" x14ac:dyDescent="0.3">
      <c r="A1758" s="2" t="s">
        <v>49</v>
      </c>
    </row>
    <row r="1759" spans="1:1" x14ac:dyDescent="0.3">
      <c r="A1759" s="1" t="s">
        <v>49</v>
      </c>
    </row>
    <row r="1760" spans="1:1" x14ac:dyDescent="0.3">
      <c r="A1760" s="2" t="s">
        <v>49</v>
      </c>
    </row>
    <row r="1761" spans="1:1" x14ac:dyDescent="0.3">
      <c r="A1761" s="1" t="s">
        <v>33</v>
      </c>
    </row>
    <row r="1762" spans="1:1" x14ac:dyDescent="0.3">
      <c r="A1762" s="2" t="s">
        <v>49</v>
      </c>
    </row>
    <row r="1763" spans="1:1" x14ac:dyDescent="0.3">
      <c r="A1763" s="1" t="s">
        <v>49</v>
      </c>
    </row>
    <row r="1764" spans="1:1" x14ac:dyDescent="0.3">
      <c r="A1764" s="2" t="s">
        <v>33</v>
      </c>
    </row>
    <row r="1765" spans="1:1" x14ac:dyDescent="0.3">
      <c r="A1765" s="1" t="s">
        <v>49</v>
      </c>
    </row>
    <row r="1766" spans="1:1" x14ac:dyDescent="0.3">
      <c r="A1766" s="2" t="s">
        <v>49</v>
      </c>
    </row>
    <row r="1767" spans="1:1" x14ac:dyDescent="0.3">
      <c r="A1767" s="1" t="s">
        <v>49</v>
      </c>
    </row>
    <row r="1768" spans="1:1" x14ac:dyDescent="0.3">
      <c r="A1768" s="2" t="s">
        <v>49</v>
      </c>
    </row>
    <row r="1769" spans="1:1" x14ac:dyDescent="0.3">
      <c r="A1769" s="1" t="s">
        <v>33</v>
      </c>
    </row>
    <row r="1770" spans="1:1" x14ac:dyDescent="0.3">
      <c r="A1770" s="2" t="s">
        <v>33</v>
      </c>
    </row>
    <row r="1771" spans="1:1" x14ac:dyDescent="0.3">
      <c r="A1771" s="1" t="s">
        <v>33</v>
      </c>
    </row>
    <row r="1772" spans="1:1" x14ac:dyDescent="0.3">
      <c r="A1772" s="2" t="s">
        <v>74</v>
      </c>
    </row>
    <row r="1773" spans="1:1" x14ac:dyDescent="0.3">
      <c r="A1773" s="1" t="s">
        <v>33</v>
      </c>
    </row>
    <row r="1774" spans="1:1" x14ac:dyDescent="0.3">
      <c r="A1774" s="2" t="s">
        <v>33</v>
      </c>
    </row>
    <row r="1775" spans="1:1" x14ac:dyDescent="0.3">
      <c r="A1775" s="1" t="s">
        <v>33</v>
      </c>
    </row>
    <row r="1776" spans="1:1" x14ac:dyDescent="0.3">
      <c r="A1776" s="2" t="s">
        <v>33</v>
      </c>
    </row>
    <row r="1777" spans="1:1" x14ac:dyDescent="0.3">
      <c r="A1777" s="1" t="s">
        <v>33</v>
      </c>
    </row>
    <row r="1778" spans="1:1" x14ac:dyDescent="0.3">
      <c r="A1778" s="2" t="s">
        <v>33</v>
      </c>
    </row>
    <row r="1779" spans="1:1" x14ac:dyDescent="0.3">
      <c r="A1779" s="1" t="s">
        <v>49</v>
      </c>
    </row>
    <row r="1780" spans="1:1" x14ac:dyDescent="0.3">
      <c r="A1780" s="2" t="s">
        <v>49</v>
      </c>
    </row>
    <row r="1781" spans="1:1" x14ac:dyDescent="0.3">
      <c r="A1781" s="1" t="s">
        <v>49</v>
      </c>
    </row>
    <row r="1782" spans="1:1" x14ac:dyDescent="0.3">
      <c r="A1782" s="2" t="s">
        <v>49</v>
      </c>
    </row>
    <row r="1783" spans="1:1" x14ac:dyDescent="0.3">
      <c r="A1783" s="1" t="s">
        <v>49</v>
      </c>
    </row>
    <row r="1784" spans="1:1" x14ac:dyDescent="0.3">
      <c r="A1784" s="2" t="s">
        <v>49</v>
      </c>
    </row>
    <row r="1785" spans="1:1" x14ac:dyDescent="0.3">
      <c r="A1785" s="1" t="s">
        <v>49</v>
      </c>
    </row>
    <row r="1786" spans="1:1" x14ac:dyDescent="0.3">
      <c r="A1786" s="2" t="s">
        <v>49</v>
      </c>
    </row>
    <row r="1787" spans="1:1" x14ac:dyDescent="0.3">
      <c r="A1787" s="1" t="s">
        <v>49</v>
      </c>
    </row>
    <row r="1788" spans="1:1" x14ac:dyDescent="0.3">
      <c r="A1788" s="2" t="s">
        <v>33</v>
      </c>
    </row>
    <row r="1789" spans="1:1" x14ac:dyDescent="0.3">
      <c r="A1789" s="1" t="s">
        <v>49</v>
      </c>
    </row>
    <row r="1790" spans="1:1" x14ac:dyDescent="0.3">
      <c r="A1790" s="2" t="s">
        <v>49</v>
      </c>
    </row>
    <row r="1791" spans="1:1" x14ac:dyDescent="0.3">
      <c r="A1791" s="1" t="s">
        <v>33</v>
      </c>
    </row>
    <row r="1792" spans="1:1" x14ac:dyDescent="0.3">
      <c r="A1792" s="2" t="s">
        <v>33</v>
      </c>
    </row>
    <row r="1793" spans="1:1" x14ac:dyDescent="0.3">
      <c r="A1793" s="1" t="s">
        <v>33</v>
      </c>
    </row>
    <row r="1794" spans="1:1" x14ac:dyDescent="0.3">
      <c r="A1794" s="2" t="s">
        <v>33</v>
      </c>
    </row>
    <row r="1795" spans="1:1" x14ac:dyDescent="0.3">
      <c r="A1795" s="1" t="s">
        <v>33</v>
      </c>
    </row>
    <row r="1796" spans="1:1" x14ac:dyDescent="0.3">
      <c r="A1796" s="2" t="s">
        <v>49</v>
      </c>
    </row>
    <row r="1797" spans="1:1" x14ac:dyDescent="0.3">
      <c r="A1797" s="1" t="s">
        <v>33</v>
      </c>
    </row>
    <row r="1798" spans="1:1" x14ac:dyDescent="0.3">
      <c r="A1798" s="2" t="s">
        <v>49</v>
      </c>
    </row>
    <row r="1799" spans="1:1" x14ac:dyDescent="0.3">
      <c r="A1799" s="1" t="s">
        <v>49</v>
      </c>
    </row>
    <row r="1800" spans="1:1" x14ac:dyDescent="0.3">
      <c r="A1800" s="2" t="s">
        <v>49</v>
      </c>
    </row>
    <row r="1801" spans="1:1" x14ac:dyDescent="0.3">
      <c r="A1801" s="1" t="s">
        <v>49</v>
      </c>
    </row>
    <row r="1802" spans="1:1" x14ac:dyDescent="0.3">
      <c r="A1802" s="2" t="s">
        <v>49</v>
      </c>
    </row>
    <row r="1803" spans="1:1" x14ac:dyDescent="0.3">
      <c r="A1803" s="1" t="s">
        <v>49</v>
      </c>
    </row>
    <row r="1804" spans="1:1" x14ac:dyDescent="0.3">
      <c r="A1804" s="2" t="s">
        <v>49</v>
      </c>
    </row>
    <row r="1805" spans="1:1" x14ac:dyDescent="0.3">
      <c r="A1805" s="1" t="s">
        <v>49</v>
      </c>
    </row>
    <row r="1806" spans="1:1" x14ac:dyDescent="0.3">
      <c r="A1806" s="2" t="s">
        <v>49</v>
      </c>
    </row>
    <row r="1807" spans="1:1" x14ac:dyDescent="0.3">
      <c r="A1807" s="1" t="s">
        <v>33</v>
      </c>
    </row>
    <row r="1808" spans="1:1" x14ac:dyDescent="0.3">
      <c r="A1808" s="2" t="s">
        <v>33</v>
      </c>
    </row>
    <row r="1809" spans="1:1" x14ac:dyDescent="0.3">
      <c r="A1809" s="1" t="s">
        <v>33</v>
      </c>
    </row>
    <row r="1810" spans="1:1" x14ac:dyDescent="0.3">
      <c r="A1810" s="2" t="s">
        <v>49</v>
      </c>
    </row>
    <row r="1811" spans="1:1" x14ac:dyDescent="0.3">
      <c r="A1811" s="1" t="s">
        <v>49</v>
      </c>
    </row>
    <row r="1812" spans="1:1" x14ac:dyDescent="0.3">
      <c r="A1812" s="2" t="s">
        <v>49</v>
      </c>
    </row>
    <row r="1813" spans="1:1" x14ac:dyDescent="0.3">
      <c r="A1813" s="1" t="s">
        <v>49</v>
      </c>
    </row>
    <row r="1814" spans="1:1" x14ac:dyDescent="0.3">
      <c r="A1814" s="2" t="s">
        <v>49</v>
      </c>
    </row>
    <row r="1815" spans="1:1" x14ac:dyDescent="0.3">
      <c r="A1815" s="1" t="s">
        <v>33</v>
      </c>
    </row>
    <row r="1816" spans="1:1" x14ac:dyDescent="0.3">
      <c r="A1816" s="2" t="s">
        <v>33</v>
      </c>
    </row>
    <row r="1817" spans="1:1" x14ac:dyDescent="0.3">
      <c r="A1817" s="1" t="s">
        <v>49</v>
      </c>
    </row>
    <row r="1818" spans="1:1" x14ac:dyDescent="0.3">
      <c r="A1818" s="2" t="s">
        <v>49</v>
      </c>
    </row>
    <row r="1819" spans="1:1" x14ac:dyDescent="0.3">
      <c r="A1819" s="1" t="s">
        <v>49</v>
      </c>
    </row>
    <row r="1820" spans="1:1" x14ac:dyDescent="0.3">
      <c r="A1820" s="2" t="s">
        <v>33</v>
      </c>
    </row>
    <row r="1821" spans="1:1" x14ac:dyDescent="0.3">
      <c r="A1821" s="1" t="s">
        <v>33</v>
      </c>
    </row>
    <row r="1822" spans="1:1" x14ac:dyDescent="0.3">
      <c r="A1822" s="2" t="s">
        <v>33</v>
      </c>
    </row>
    <row r="1823" spans="1:1" x14ac:dyDescent="0.3">
      <c r="A1823" s="1" t="s">
        <v>49</v>
      </c>
    </row>
    <row r="1824" spans="1:1" x14ac:dyDescent="0.3">
      <c r="A1824" s="2" t="s">
        <v>49</v>
      </c>
    </row>
    <row r="1825" spans="1:1" x14ac:dyDescent="0.3">
      <c r="A1825" s="1" t="s">
        <v>49</v>
      </c>
    </row>
    <row r="1826" spans="1:1" x14ac:dyDescent="0.3">
      <c r="A1826" s="2" t="s">
        <v>49</v>
      </c>
    </row>
    <row r="1827" spans="1:1" x14ac:dyDescent="0.3">
      <c r="A1827" s="1" t="s">
        <v>49</v>
      </c>
    </row>
    <row r="1828" spans="1:1" x14ac:dyDescent="0.3">
      <c r="A1828" s="2" t="s">
        <v>49</v>
      </c>
    </row>
    <row r="1829" spans="1:1" x14ac:dyDescent="0.3">
      <c r="A1829" s="1" t="s">
        <v>49</v>
      </c>
    </row>
    <row r="1830" spans="1:1" x14ac:dyDescent="0.3">
      <c r="A1830" s="2" t="s">
        <v>49</v>
      </c>
    </row>
    <row r="1831" spans="1:1" x14ac:dyDescent="0.3">
      <c r="A1831" s="1" t="s">
        <v>49</v>
      </c>
    </row>
    <row r="1832" spans="1:1" x14ac:dyDescent="0.3">
      <c r="A1832" s="2" t="s">
        <v>33</v>
      </c>
    </row>
    <row r="1833" spans="1:1" x14ac:dyDescent="0.3">
      <c r="A1833" s="1" t="s">
        <v>49</v>
      </c>
    </row>
    <row r="1834" spans="1:1" x14ac:dyDescent="0.3">
      <c r="A1834" s="2" t="s">
        <v>49</v>
      </c>
    </row>
    <row r="1835" spans="1:1" x14ac:dyDescent="0.3">
      <c r="A1835" s="1" t="s">
        <v>49</v>
      </c>
    </row>
    <row r="1836" spans="1:1" x14ac:dyDescent="0.3">
      <c r="A1836" s="2" t="s">
        <v>49</v>
      </c>
    </row>
    <row r="1837" spans="1:1" x14ac:dyDescent="0.3">
      <c r="A1837" s="1" t="s">
        <v>49</v>
      </c>
    </row>
    <row r="1838" spans="1:1" x14ac:dyDescent="0.3">
      <c r="A1838" s="2" t="s">
        <v>49</v>
      </c>
    </row>
    <row r="1839" spans="1:1" x14ac:dyDescent="0.3">
      <c r="A1839" s="1" t="s">
        <v>74</v>
      </c>
    </row>
    <row r="1840" spans="1:1" x14ac:dyDescent="0.3">
      <c r="A1840" s="2" t="s">
        <v>49</v>
      </c>
    </row>
    <row r="1841" spans="1:1" x14ac:dyDescent="0.3">
      <c r="A1841" s="1" t="s">
        <v>49</v>
      </c>
    </row>
    <row r="1842" spans="1:1" x14ac:dyDescent="0.3">
      <c r="A1842" s="2" t="s">
        <v>49</v>
      </c>
    </row>
    <row r="1843" spans="1:1" x14ac:dyDescent="0.3">
      <c r="A1843" s="1" t="s">
        <v>49</v>
      </c>
    </row>
    <row r="1844" spans="1:1" x14ac:dyDescent="0.3">
      <c r="A1844" s="2" t="s">
        <v>33</v>
      </c>
    </row>
    <row r="1845" spans="1:1" x14ac:dyDescent="0.3">
      <c r="A1845" s="1" t="s">
        <v>33</v>
      </c>
    </row>
    <row r="1846" spans="1:1" x14ac:dyDescent="0.3">
      <c r="A1846" s="2" t="s">
        <v>49</v>
      </c>
    </row>
    <row r="1847" spans="1:1" x14ac:dyDescent="0.3">
      <c r="A1847" s="1" t="s">
        <v>33</v>
      </c>
    </row>
    <row r="1848" spans="1:1" x14ac:dyDescent="0.3">
      <c r="A1848" s="2" t="s">
        <v>33</v>
      </c>
    </row>
    <row r="1849" spans="1:1" x14ac:dyDescent="0.3">
      <c r="A1849" s="1" t="s">
        <v>33</v>
      </c>
    </row>
    <row r="1850" spans="1:1" x14ac:dyDescent="0.3">
      <c r="A1850" s="2" t="s">
        <v>33</v>
      </c>
    </row>
    <row r="1851" spans="1:1" x14ac:dyDescent="0.3">
      <c r="A1851" s="1" t="s">
        <v>49</v>
      </c>
    </row>
    <row r="1852" spans="1:1" x14ac:dyDescent="0.3">
      <c r="A1852" s="2" t="s">
        <v>49</v>
      </c>
    </row>
    <row r="1853" spans="1:1" x14ac:dyDescent="0.3">
      <c r="A1853" s="1" t="s">
        <v>49</v>
      </c>
    </row>
    <row r="1854" spans="1:1" x14ac:dyDescent="0.3">
      <c r="A1854" s="2" t="s">
        <v>49</v>
      </c>
    </row>
    <row r="1855" spans="1:1" x14ac:dyDescent="0.3">
      <c r="A1855" s="1" t="s">
        <v>49</v>
      </c>
    </row>
    <row r="1856" spans="1:1" x14ac:dyDescent="0.3">
      <c r="A1856" s="2" t="s">
        <v>49</v>
      </c>
    </row>
    <row r="1857" spans="1:1" x14ac:dyDescent="0.3">
      <c r="A1857" s="1" t="s">
        <v>49</v>
      </c>
    </row>
    <row r="1858" spans="1:1" x14ac:dyDescent="0.3">
      <c r="A1858" s="2" t="s">
        <v>33</v>
      </c>
    </row>
    <row r="1859" spans="1:1" x14ac:dyDescent="0.3">
      <c r="A1859" s="1" t="s">
        <v>49</v>
      </c>
    </row>
    <row r="1860" spans="1:1" x14ac:dyDescent="0.3">
      <c r="A1860" s="2" t="s">
        <v>49</v>
      </c>
    </row>
    <row r="1861" spans="1:1" x14ac:dyDescent="0.3">
      <c r="A1861" s="1" t="s">
        <v>49</v>
      </c>
    </row>
    <row r="1862" spans="1:1" x14ac:dyDescent="0.3">
      <c r="A1862" s="2" t="s">
        <v>49</v>
      </c>
    </row>
    <row r="1863" spans="1:1" x14ac:dyDescent="0.3">
      <c r="A1863" s="1" t="s">
        <v>49</v>
      </c>
    </row>
    <row r="1864" spans="1:1" x14ac:dyDescent="0.3">
      <c r="A1864" s="2" t="s">
        <v>49</v>
      </c>
    </row>
    <row r="1865" spans="1:1" x14ac:dyDescent="0.3">
      <c r="A1865" s="1" t="s">
        <v>49</v>
      </c>
    </row>
    <row r="1866" spans="1:1" x14ac:dyDescent="0.3">
      <c r="A1866" s="2" t="s">
        <v>49</v>
      </c>
    </row>
    <row r="1867" spans="1:1" x14ac:dyDescent="0.3">
      <c r="A1867" s="1" t="s">
        <v>49</v>
      </c>
    </row>
    <row r="1868" spans="1:1" x14ac:dyDescent="0.3">
      <c r="A1868" s="2" t="s">
        <v>49</v>
      </c>
    </row>
    <row r="1869" spans="1:1" x14ac:dyDescent="0.3">
      <c r="A1869" s="1" t="s">
        <v>33</v>
      </c>
    </row>
    <row r="1870" spans="1:1" x14ac:dyDescent="0.3">
      <c r="A1870" s="2" t="s">
        <v>33</v>
      </c>
    </row>
    <row r="1871" spans="1:1" x14ac:dyDescent="0.3">
      <c r="A1871" s="1" t="s">
        <v>49</v>
      </c>
    </row>
    <row r="1872" spans="1:1" x14ac:dyDescent="0.3">
      <c r="A1872" s="2" t="s">
        <v>49</v>
      </c>
    </row>
    <row r="1873" spans="1:1" x14ac:dyDescent="0.3">
      <c r="A1873" s="1" t="s">
        <v>49</v>
      </c>
    </row>
    <row r="1874" spans="1:1" x14ac:dyDescent="0.3">
      <c r="A1874" s="2" t="s">
        <v>49</v>
      </c>
    </row>
    <row r="1875" spans="1:1" x14ac:dyDescent="0.3">
      <c r="A1875" s="1" t="s">
        <v>49</v>
      </c>
    </row>
    <row r="1876" spans="1:1" x14ac:dyDescent="0.3">
      <c r="A1876" s="2" t="s">
        <v>49</v>
      </c>
    </row>
    <row r="1877" spans="1:1" x14ac:dyDescent="0.3">
      <c r="A1877" s="1" t="s">
        <v>49</v>
      </c>
    </row>
    <row r="1878" spans="1:1" x14ac:dyDescent="0.3">
      <c r="A1878" s="2" t="s">
        <v>49</v>
      </c>
    </row>
    <row r="1879" spans="1:1" x14ac:dyDescent="0.3">
      <c r="A1879" s="1" t="s">
        <v>49</v>
      </c>
    </row>
    <row r="1880" spans="1:1" x14ac:dyDescent="0.3">
      <c r="A1880" s="2" t="s">
        <v>49</v>
      </c>
    </row>
    <row r="1881" spans="1:1" x14ac:dyDescent="0.3">
      <c r="A1881" s="1" t="s">
        <v>49</v>
      </c>
    </row>
    <row r="1882" spans="1:1" x14ac:dyDescent="0.3">
      <c r="A1882" s="2" t="s">
        <v>49</v>
      </c>
    </row>
    <row r="1883" spans="1:1" x14ac:dyDescent="0.3">
      <c r="A1883" s="1" t="s">
        <v>49</v>
      </c>
    </row>
    <row r="1884" spans="1:1" x14ac:dyDescent="0.3">
      <c r="A1884" s="2" t="s">
        <v>49</v>
      </c>
    </row>
    <row r="1885" spans="1:1" x14ac:dyDescent="0.3">
      <c r="A1885" s="1" t="s">
        <v>49</v>
      </c>
    </row>
    <row r="1886" spans="1:1" x14ac:dyDescent="0.3">
      <c r="A1886" s="2" t="s">
        <v>49</v>
      </c>
    </row>
    <row r="1887" spans="1:1" x14ac:dyDescent="0.3">
      <c r="A1887" s="1" t="s">
        <v>49</v>
      </c>
    </row>
    <row r="1888" spans="1:1" x14ac:dyDescent="0.3">
      <c r="A1888" s="2" t="s">
        <v>33</v>
      </c>
    </row>
    <row r="1889" spans="1:1" x14ac:dyDescent="0.3">
      <c r="A1889" s="1" t="s">
        <v>33</v>
      </c>
    </row>
    <row r="1890" spans="1:1" x14ac:dyDescent="0.3">
      <c r="A1890" s="2" t="s">
        <v>33</v>
      </c>
    </row>
    <row r="1891" spans="1:1" x14ac:dyDescent="0.3">
      <c r="A1891" s="1" t="s">
        <v>33</v>
      </c>
    </row>
    <row r="1892" spans="1:1" x14ac:dyDescent="0.3">
      <c r="A1892" s="2" t="s">
        <v>49</v>
      </c>
    </row>
    <row r="1893" spans="1:1" x14ac:dyDescent="0.3">
      <c r="A1893" s="1" t="s">
        <v>49</v>
      </c>
    </row>
    <row r="1894" spans="1:1" x14ac:dyDescent="0.3">
      <c r="A1894" s="2" t="s">
        <v>49</v>
      </c>
    </row>
    <row r="1895" spans="1:1" x14ac:dyDescent="0.3">
      <c r="A1895" s="1" t="s">
        <v>49</v>
      </c>
    </row>
    <row r="1896" spans="1:1" x14ac:dyDescent="0.3">
      <c r="A1896" s="2" t="s">
        <v>33</v>
      </c>
    </row>
    <row r="1897" spans="1:1" x14ac:dyDescent="0.3">
      <c r="A1897" s="1" t="s">
        <v>49</v>
      </c>
    </row>
    <row r="1898" spans="1:1" x14ac:dyDescent="0.3">
      <c r="A1898" s="2" t="s">
        <v>49</v>
      </c>
    </row>
    <row r="1899" spans="1:1" x14ac:dyDescent="0.3">
      <c r="A1899" s="1" t="s">
        <v>49</v>
      </c>
    </row>
    <row r="1900" spans="1:1" x14ac:dyDescent="0.3">
      <c r="A1900" s="2" t="s">
        <v>49</v>
      </c>
    </row>
    <row r="1901" spans="1:1" x14ac:dyDescent="0.3">
      <c r="A1901" s="1" t="s">
        <v>33</v>
      </c>
    </row>
    <row r="1902" spans="1:1" x14ac:dyDescent="0.3">
      <c r="A1902" s="2" t="s">
        <v>33</v>
      </c>
    </row>
    <row r="1903" spans="1:1" x14ac:dyDescent="0.3">
      <c r="A1903" s="1" t="s">
        <v>49</v>
      </c>
    </row>
    <row r="1904" spans="1:1" x14ac:dyDescent="0.3">
      <c r="A1904" s="2" t="s">
        <v>49</v>
      </c>
    </row>
    <row r="1905" spans="1:1" x14ac:dyDescent="0.3">
      <c r="A1905" s="1" t="s">
        <v>33</v>
      </c>
    </row>
    <row r="1906" spans="1:1" x14ac:dyDescent="0.3">
      <c r="A1906" s="2" t="s">
        <v>49</v>
      </c>
    </row>
    <row r="1907" spans="1:1" x14ac:dyDescent="0.3">
      <c r="A1907" s="1" t="s">
        <v>33</v>
      </c>
    </row>
    <row r="1908" spans="1:1" x14ac:dyDescent="0.3">
      <c r="A1908" s="2" t="s">
        <v>33</v>
      </c>
    </row>
    <row r="1909" spans="1:1" x14ac:dyDescent="0.3">
      <c r="A1909" s="1" t="s">
        <v>49</v>
      </c>
    </row>
    <row r="1910" spans="1:1" x14ac:dyDescent="0.3">
      <c r="A1910" s="2" t="s">
        <v>49</v>
      </c>
    </row>
    <row r="1911" spans="1:1" x14ac:dyDescent="0.3">
      <c r="A1911" s="1" t="s">
        <v>49</v>
      </c>
    </row>
    <row r="1912" spans="1:1" x14ac:dyDescent="0.3">
      <c r="A1912" s="2" t="s">
        <v>49</v>
      </c>
    </row>
    <row r="1913" spans="1:1" x14ac:dyDescent="0.3">
      <c r="A1913" s="1" t="s">
        <v>33</v>
      </c>
    </row>
    <row r="1914" spans="1:1" x14ac:dyDescent="0.3">
      <c r="A1914" s="2" t="s">
        <v>49</v>
      </c>
    </row>
    <row r="1915" spans="1:1" x14ac:dyDescent="0.3">
      <c r="A1915" s="1" t="s">
        <v>49</v>
      </c>
    </row>
    <row r="1916" spans="1:1" x14ac:dyDescent="0.3">
      <c r="A1916" s="2" t="s">
        <v>33</v>
      </c>
    </row>
    <row r="1917" spans="1:1" x14ac:dyDescent="0.3">
      <c r="A1917" s="1" t="s">
        <v>49</v>
      </c>
    </row>
    <row r="1918" spans="1:1" x14ac:dyDescent="0.3">
      <c r="A1918" s="2" t="s">
        <v>49</v>
      </c>
    </row>
    <row r="1919" spans="1:1" x14ac:dyDescent="0.3">
      <c r="A1919" s="1" t="s">
        <v>49</v>
      </c>
    </row>
    <row r="1920" spans="1:1" x14ac:dyDescent="0.3">
      <c r="A1920" s="2" t="s">
        <v>49</v>
      </c>
    </row>
    <row r="1921" spans="1:1" x14ac:dyDescent="0.3">
      <c r="A1921" s="1" t="s">
        <v>49</v>
      </c>
    </row>
    <row r="1922" spans="1:1" x14ac:dyDescent="0.3">
      <c r="A1922" s="2" t="s">
        <v>49</v>
      </c>
    </row>
    <row r="1923" spans="1:1" x14ac:dyDescent="0.3">
      <c r="A1923" s="1" t="s">
        <v>49</v>
      </c>
    </row>
    <row r="1924" spans="1:1" x14ac:dyDescent="0.3">
      <c r="A1924" s="2" t="s">
        <v>49</v>
      </c>
    </row>
    <row r="1925" spans="1:1" x14ac:dyDescent="0.3">
      <c r="A1925" s="1" t="s">
        <v>49</v>
      </c>
    </row>
    <row r="1926" spans="1:1" x14ac:dyDescent="0.3">
      <c r="A1926" s="2" t="s">
        <v>49</v>
      </c>
    </row>
    <row r="1927" spans="1:1" x14ac:dyDescent="0.3">
      <c r="A1927" s="1" t="s">
        <v>49</v>
      </c>
    </row>
    <row r="1928" spans="1:1" x14ac:dyDescent="0.3">
      <c r="A1928" s="2" t="s">
        <v>49</v>
      </c>
    </row>
    <row r="1929" spans="1:1" x14ac:dyDescent="0.3">
      <c r="A1929" s="1" t="s">
        <v>49</v>
      </c>
    </row>
    <row r="1930" spans="1:1" x14ac:dyDescent="0.3">
      <c r="A1930" s="2" t="s">
        <v>49</v>
      </c>
    </row>
    <row r="1931" spans="1:1" x14ac:dyDescent="0.3">
      <c r="A1931" s="1" t="s">
        <v>74</v>
      </c>
    </row>
    <row r="1932" spans="1:1" x14ac:dyDescent="0.3">
      <c r="A1932" s="2" t="s">
        <v>49</v>
      </c>
    </row>
    <row r="1933" spans="1:1" x14ac:dyDescent="0.3">
      <c r="A1933" s="1" t="s">
        <v>49</v>
      </c>
    </row>
    <row r="1934" spans="1:1" x14ac:dyDescent="0.3">
      <c r="A1934" s="2" t="s">
        <v>49</v>
      </c>
    </row>
    <row r="1935" spans="1:1" x14ac:dyDescent="0.3">
      <c r="A1935" s="1" t="s">
        <v>49</v>
      </c>
    </row>
    <row r="1936" spans="1:1" x14ac:dyDescent="0.3">
      <c r="A1936" s="2" t="s">
        <v>49</v>
      </c>
    </row>
    <row r="1937" spans="1:1" x14ac:dyDescent="0.3">
      <c r="A1937" s="1" t="s">
        <v>49</v>
      </c>
    </row>
    <row r="1938" spans="1:1" x14ac:dyDescent="0.3">
      <c r="A1938" s="2" t="s">
        <v>33</v>
      </c>
    </row>
    <row r="1939" spans="1:1" x14ac:dyDescent="0.3">
      <c r="A1939" s="1" t="s">
        <v>33</v>
      </c>
    </row>
    <row r="1940" spans="1:1" x14ac:dyDescent="0.3">
      <c r="A1940" s="2" t="s">
        <v>49</v>
      </c>
    </row>
    <row r="1941" spans="1:1" x14ac:dyDescent="0.3">
      <c r="A1941" s="1" t="s">
        <v>49</v>
      </c>
    </row>
    <row r="1942" spans="1:1" x14ac:dyDescent="0.3">
      <c r="A1942" s="2" t="s">
        <v>49</v>
      </c>
    </row>
    <row r="1943" spans="1:1" x14ac:dyDescent="0.3">
      <c r="A1943" s="1" t="s">
        <v>33</v>
      </c>
    </row>
    <row r="1944" spans="1:1" x14ac:dyDescent="0.3">
      <c r="A1944" s="2" t="s">
        <v>49</v>
      </c>
    </row>
    <row r="1945" spans="1:1" x14ac:dyDescent="0.3">
      <c r="A1945" s="1" t="s">
        <v>49</v>
      </c>
    </row>
    <row r="1946" spans="1:1" x14ac:dyDescent="0.3">
      <c r="A1946" s="2" t="s">
        <v>33</v>
      </c>
    </row>
    <row r="1947" spans="1:1" x14ac:dyDescent="0.3">
      <c r="A1947" s="1" t="s">
        <v>33</v>
      </c>
    </row>
    <row r="1948" spans="1:1" x14ac:dyDescent="0.3">
      <c r="A1948" s="2" t="s">
        <v>49</v>
      </c>
    </row>
    <row r="1949" spans="1:1" x14ac:dyDescent="0.3">
      <c r="A1949" s="1" t="s">
        <v>49</v>
      </c>
    </row>
    <row r="1950" spans="1:1" x14ac:dyDescent="0.3">
      <c r="A1950" s="2" t="s">
        <v>49</v>
      </c>
    </row>
    <row r="1951" spans="1:1" x14ac:dyDescent="0.3">
      <c r="A1951" s="1" t="s">
        <v>49</v>
      </c>
    </row>
    <row r="1952" spans="1:1" x14ac:dyDescent="0.3">
      <c r="A1952" s="2" t="s">
        <v>33</v>
      </c>
    </row>
    <row r="1953" spans="1:1" x14ac:dyDescent="0.3">
      <c r="A1953" s="1" t="s">
        <v>33</v>
      </c>
    </row>
    <row r="1954" spans="1:1" x14ac:dyDescent="0.3">
      <c r="A1954" s="2" t="s">
        <v>33</v>
      </c>
    </row>
    <row r="1955" spans="1:1" x14ac:dyDescent="0.3">
      <c r="A1955" s="1" t="s">
        <v>33</v>
      </c>
    </row>
    <row r="1956" spans="1:1" x14ac:dyDescent="0.3">
      <c r="A1956" s="2" t="s">
        <v>33</v>
      </c>
    </row>
    <row r="1957" spans="1:1" x14ac:dyDescent="0.3">
      <c r="A1957" s="1" t="s">
        <v>33</v>
      </c>
    </row>
    <row r="1958" spans="1:1" x14ac:dyDescent="0.3">
      <c r="A1958" s="2" t="s">
        <v>33</v>
      </c>
    </row>
    <row r="1959" spans="1:1" x14ac:dyDescent="0.3">
      <c r="A1959" s="1" t="s">
        <v>33</v>
      </c>
    </row>
    <row r="1960" spans="1:1" x14ac:dyDescent="0.3">
      <c r="A1960" s="2" t="s">
        <v>33</v>
      </c>
    </row>
    <row r="1961" spans="1:1" x14ac:dyDescent="0.3">
      <c r="A1961" s="1" t="s">
        <v>33</v>
      </c>
    </row>
    <row r="1962" spans="1:1" x14ac:dyDescent="0.3">
      <c r="A1962" s="2" t="s">
        <v>33</v>
      </c>
    </row>
    <row r="1963" spans="1:1" x14ac:dyDescent="0.3">
      <c r="A1963" s="1" t="s">
        <v>33</v>
      </c>
    </row>
    <row r="1964" spans="1:1" x14ac:dyDescent="0.3">
      <c r="A1964" s="2" t="s">
        <v>33</v>
      </c>
    </row>
    <row r="1965" spans="1:1" x14ac:dyDescent="0.3">
      <c r="A1965" s="1" t="s">
        <v>33</v>
      </c>
    </row>
    <row r="1966" spans="1:1" x14ac:dyDescent="0.3">
      <c r="A1966" s="2" t="s">
        <v>33</v>
      </c>
    </row>
    <row r="1967" spans="1:1" x14ac:dyDescent="0.3">
      <c r="A1967" s="1" t="s">
        <v>33</v>
      </c>
    </row>
    <row r="1968" spans="1:1" x14ac:dyDescent="0.3">
      <c r="A1968" s="2" t="s">
        <v>33</v>
      </c>
    </row>
    <row r="1969" spans="1:1" x14ac:dyDescent="0.3">
      <c r="A1969" s="1" t="s">
        <v>33</v>
      </c>
    </row>
    <row r="1970" spans="1:1" x14ac:dyDescent="0.3">
      <c r="A1970" s="2" t="s">
        <v>33</v>
      </c>
    </row>
    <row r="1971" spans="1:1" x14ac:dyDescent="0.3">
      <c r="A1971" s="1" t="s">
        <v>33</v>
      </c>
    </row>
    <row r="1972" spans="1:1" x14ac:dyDescent="0.3">
      <c r="A1972" s="2" t="s">
        <v>33</v>
      </c>
    </row>
    <row r="1973" spans="1:1" x14ac:dyDescent="0.3">
      <c r="A1973" s="1" t="s">
        <v>33</v>
      </c>
    </row>
    <row r="1974" spans="1:1" x14ac:dyDescent="0.3">
      <c r="A1974" s="2" t="s">
        <v>33</v>
      </c>
    </row>
    <row r="1975" spans="1:1" x14ac:dyDescent="0.3">
      <c r="A1975" s="1" t="s">
        <v>33</v>
      </c>
    </row>
    <row r="1976" spans="1:1" x14ac:dyDescent="0.3">
      <c r="A1976" s="2" t="s">
        <v>33</v>
      </c>
    </row>
    <row r="1977" spans="1:1" x14ac:dyDescent="0.3">
      <c r="A1977" s="1" t="s">
        <v>49</v>
      </c>
    </row>
    <row r="1978" spans="1:1" x14ac:dyDescent="0.3">
      <c r="A1978" s="2" t="s">
        <v>33</v>
      </c>
    </row>
    <row r="1979" spans="1:1" x14ac:dyDescent="0.3">
      <c r="A1979" s="1" t="s">
        <v>33</v>
      </c>
    </row>
    <row r="1980" spans="1:1" x14ac:dyDescent="0.3">
      <c r="A1980" s="2" t="s">
        <v>49</v>
      </c>
    </row>
    <row r="1981" spans="1:1" x14ac:dyDescent="0.3">
      <c r="A1981" s="1" t="s">
        <v>49</v>
      </c>
    </row>
    <row r="1982" spans="1:1" x14ac:dyDescent="0.3">
      <c r="A1982" s="2" t="s">
        <v>49</v>
      </c>
    </row>
    <row r="1983" spans="1:1" x14ac:dyDescent="0.3">
      <c r="A1983" s="1" t="s">
        <v>49</v>
      </c>
    </row>
    <row r="1984" spans="1:1" x14ac:dyDescent="0.3">
      <c r="A1984" s="2" t="s">
        <v>49</v>
      </c>
    </row>
    <row r="1985" spans="1:1" x14ac:dyDescent="0.3">
      <c r="A1985" s="1" t="s">
        <v>49</v>
      </c>
    </row>
    <row r="1986" spans="1:1" x14ac:dyDescent="0.3">
      <c r="A1986" s="2" t="s">
        <v>49</v>
      </c>
    </row>
    <row r="1987" spans="1:1" x14ac:dyDescent="0.3">
      <c r="A1987" s="1" t="s">
        <v>49</v>
      </c>
    </row>
    <row r="1988" spans="1:1" x14ac:dyDescent="0.3">
      <c r="A1988" s="2" t="s">
        <v>49</v>
      </c>
    </row>
    <row r="1989" spans="1:1" x14ac:dyDescent="0.3">
      <c r="A1989" s="1" t="s">
        <v>74</v>
      </c>
    </row>
    <row r="1990" spans="1:1" x14ac:dyDescent="0.3">
      <c r="A1990" s="2" t="s">
        <v>49</v>
      </c>
    </row>
    <row r="1991" spans="1:1" x14ac:dyDescent="0.3">
      <c r="A1991" s="1" t="s">
        <v>74</v>
      </c>
    </row>
    <row r="1992" spans="1:1" x14ac:dyDescent="0.3">
      <c r="A1992" s="2" t="s">
        <v>49</v>
      </c>
    </row>
    <row r="1993" spans="1:1" x14ac:dyDescent="0.3">
      <c r="A1993" s="1" t="s">
        <v>33</v>
      </c>
    </row>
    <row r="1994" spans="1:1" x14ac:dyDescent="0.3">
      <c r="A1994" s="2" t="s">
        <v>49</v>
      </c>
    </row>
    <row r="1995" spans="1:1" x14ac:dyDescent="0.3">
      <c r="A1995" s="1" t="s">
        <v>33</v>
      </c>
    </row>
    <row r="1996" spans="1:1" x14ac:dyDescent="0.3">
      <c r="A1996" s="2" t="s">
        <v>49</v>
      </c>
    </row>
    <row r="1997" spans="1:1" x14ac:dyDescent="0.3">
      <c r="A1997" s="1" t="s">
        <v>49</v>
      </c>
    </row>
    <row r="1998" spans="1:1" x14ac:dyDescent="0.3">
      <c r="A1998" s="2" t="s">
        <v>49</v>
      </c>
    </row>
    <row r="1999" spans="1:1" x14ac:dyDescent="0.3">
      <c r="A1999" s="1" t="s">
        <v>49</v>
      </c>
    </row>
    <row r="2000" spans="1:1" x14ac:dyDescent="0.3">
      <c r="A2000" s="2" t="s">
        <v>49</v>
      </c>
    </row>
    <row r="2001" spans="1:1" x14ac:dyDescent="0.3">
      <c r="A2001" s="1" t="s">
        <v>49</v>
      </c>
    </row>
    <row r="2002" spans="1:1" x14ac:dyDescent="0.3">
      <c r="A2002" s="2" t="s">
        <v>49</v>
      </c>
    </row>
    <row r="2003" spans="1:1" x14ac:dyDescent="0.3">
      <c r="A2003" s="1" t="s">
        <v>33</v>
      </c>
    </row>
    <row r="2004" spans="1:1" x14ac:dyDescent="0.3">
      <c r="A2004" s="2" t="s">
        <v>49</v>
      </c>
    </row>
    <row r="2005" spans="1:1" x14ac:dyDescent="0.3">
      <c r="A2005" s="1" t="s">
        <v>49</v>
      </c>
    </row>
    <row r="2006" spans="1:1" x14ac:dyDescent="0.3">
      <c r="A2006" s="2" t="s">
        <v>49</v>
      </c>
    </row>
    <row r="2007" spans="1:1" x14ac:dyDescent="0.3">
      <c r="A2007" s="1" t="s">
        <v>49</v>
      </c>
    </row>
    <row r="2008" spans="1:1" x14ac:dyDescent="0.3">
      <c r="A2008" s="2" t="s">
        <v>74</v>
      </c>
    </row>
    <row r="2009" spans="1:1" x14ac:dyDescent="0.3">
      <c r="A2009" s="1" t="s">
        <v>33</v>
      </c>
    </row>
    <row r="2010" spans="1:1" x14ac:dyDescent="0.3">
      <c r="A2010" s="2" t="s">
        <v>49</v>
      </c>
    </row>
    <row r="2011" spans="1:1" x14ac:dyDescent="0.3">
      <c r="A2011" s="1" t="s">
        <v>33</v>
      </c>
    </row>
    <row r="2012" spans="1:1" x14ac:dyDescent="0.3">
      <c r="A2012" s="2" t="s">
        <v>33</v>
      </c>
    </row>
    <row r="2013" spans="1:1" x14ac:dyDescent="0.3">
      <c r="A2013" s="1" t="s">
        <v>33</v>
      </c>
    </row>
    <row r="2014" spans="1:1" x14ac:dyDescent="0.3">
      <c r="A2014" s="2" t="s">
        <v>49</v>
      </c>
    </row>
    <row r="2015" spans="1:1" x14ac:dyDescent="0.3">
      <c r="A2015" s="1" t="s">
        <v>49</v>
      </c>
    </row>
    <row r="2016" spans="1:1" x14ac:dyDescent="0.3">
      <c r="A2016" s="2" t="s">
        <v>49</v>
      </c>
    </row>
    <row r="2017" spans="1:1" x14ac:dyDescent="0.3">
      <c r="A2017" s="1" t="s">
        <v>74</v>
      </c>
    </row>
    <row r="2018" spans="1:1" x14ac:dyDescent="0.3">
      <c r="A2018" s="2" t="s">
        <v>49</v>
      </c>
    </row>
    <row r="2019" spans="1:1" x14ac:dyDescent="0.3">
      <c r="A2019" s="1" t="s">
        <v>33</v>
      </c>
    </row>
    <row r="2020" spans="1:1" x14ac:dyDescent="0.3">
      <c r="A2020" s="2" t="s">
        <v>33</v>
      </c>
    </row>
    <row r="2021" spans="1:1" x14ac:dyDescent="0.3">
      <c r="A2021" s="1" t="s">
        <v>33</v>
      </c>
    </row>
    <row r="2022" spans="1:1" x14ac:dyDescent="0.3">
      <c r="A2022" s="2" t="s">
        <v>33</v>
      </c>
    </row>
    <row r="2023" spans="1:1" x14ac:dyDescent="0.3">
      <c r="A2023" s="1" t="s">
        <v>33</v>
      </c>
    </row>
    <row r="2024" spans="1:1" x14ac:dyDescent="0.3">
      <c r="A2024" s="2" t="s">
        <v>33</v>
      </c>
    </row>
    <row r="2025" spans="1:1" x14ac:dyDescent="0.3">
      <c r="A2025" s="1" t="s">
        <v>33</v>
      </c>
    </row>
    <row r="2026" spans="1:1" x14ac:dyDescent="0.3">
      <c r="A2026" s="2" t="s">
        <v>49</v>
      </c>
    </row>
    <row r="2027" spans="1:1" x14ac:dyDescent="0.3">
      <c r="A2027" s="1" t="s">
        <v>49</v>
      </c>
    </row>
    <row r="2028" spans="1:1" x14ac:dyDescent="0.3">
      <c r="A2028" s="2" t="s">
        <v>33</v>
      </c>
    </row>
    <row r="2029" spans="1:1" x14ac:dyDescent="0.3">
      <c r="A2029" s="1" t="s">
        <v>33</v>
      </c>
    </row>
    <row r="2030" spans="1:1" x14ac:dyDescent="0.3">
      <c r="A2030" s="2" t="s">
        <v>33</v>
      </c>
    </row>
    <row r="2031" spans="1:1" x14ac:dyDescent="0.3">
      <c r="A2031" s="1" t="s">
        <v>33</v>
      </c>
    </row>
    <row r="2032" spans="1:1" x14ac:dyDescent="0.3">
      <c r="A2032" s="2" t="s">
        <v>74</v>
      </c>
    </row>
    <row r="2033" spans="1:1" x14ac:dyDescent="0.3">
      <c r="A2033" s="1" t="s">
        <v>49</v>
      </c>
    </row>
    <row r="2034" spans="1:1" x14ac:dyDescent="0.3">
      <c r="A2034" s="2" t="s">
        <v>49</v>
      </c>
    </row>
    <row r="2035" spans="1:1" x14ac:dyDescent="0.3">
      <c r="A2035" s="1" t="s">
        <v>74</v>
      </c>
    </row>
    <row r="2036" spans="1:1" x14ac:dyDescent="0.3">
      <c r="A2036" s="2" t="s">
        <v>33</v>
      </c>
    </row>
    <row r="2037" spans="1:1" x14ac:dyDescent="0.3">
      <c r="A2037" s="1" t="s">
        <v>33</v>
      </c>
    </row>
    <row r="2038" spans="1:1" x14ac:dyDescent="0.3">
      <c r="A2038" s="2" t="s">
        <v>49</v>
      </c>
    </row>
    <row r="2039" spans="1:1" x14ac:dyDescent="0.3">
      <c r="A2039" s="1" t="s">
        <v>33</v>
      </c>
    </row>
    <row r="2040" spans="1:1" x14ac:dyDescent="0.3">
      <c r="A2040" s="2" t="s">
        <v>33</v>
      </c>
    </row>
    <row r="2041" spans="1:1" x14ac:dyDescent="0.3">
      <c r="A2041" s="1" t="s">
        <v>33</v>
      </c>
    </row>
    <row r="2042" spans="1:1" x14ac:dyDescent="0.3">
      <c r="A2042" s="2" t="s">
        <v>49</v>
      </c>
    </row>
    <row r="2043" spans="1:1" x14ac:dyDescent="0.3">
      <c r="A2043" s="1" t="s">
        <v>49</v>
      </c>
    </row>
    <row r="2044" spans="1:1" x14ac:dyDescent="0.3">
      <c r="A2044" s="2" t="s">
        <v>49</v>
      </c>
    </row>
    <row r="2045" spans="1:1" x14ac:dyDescent="0.3">
      <c r="A2045" s="1" t="s">
        <v>33</v>
      </c>
    </row>
    <row r="2046" spans="1:1" x14ac:dyDescent="0.3">
      <c r="A2046" s="2" t="s">
        <v>49</v>
      </c>
    </row>
    <row r="2047" spans="1:1" x14ac:dyDescent="0.3">
      <c r="A2047" s="1" t="s">
        <v>49</v>
      </c>
    </row>
    <row r="2048" spans="1:1" x14ac:dyDescent="0.3">
      <c r="A2048" s="2" t="s">
        <v>49</v>
      </c>
    </row>
    <row r="2049" spans="1:1" x14ac:dyDescent="0.3">
      <c r="A2049" s="1" t="s">
        <v>33</v>
      </c>
    </row>
    <row r="2050" spans="1:1" x14ac:dyDescent="0.3">
      <c r="A2050" s="2" t="s">
        <v>33</v>
      </c>
    </row>
    <row r="2051" spans="1:1" x14ac:dyDescent="0.3">
      <c r="A2051" s="1" t="s">
        <v>33</v>
      </c>
    </row>
    <row r="2052" spans="1:1" x14ac:dyDescent="0.3">
      <c r="A2052" s="2" t="s">
        <v>33</v>
      </c>
    </row>
    <row r="2053" spans="1:1" x14ac:dyDescent="0.3">
      <c r="A2053" s="1" t="s">
        <v>33</v>
      </c>
    </row>
    <row r="2054" spans="1:1" x14ac:dyDescent="0.3">
      <c r="A2054" s="2" t="s">
        <v>49</v>
      </c>
    </row>
    <row r="2055" spans="1:1" x14ac:dyDescent="0.3">
      <c r="A2055" s="1" t="s">
        <v>49</v>
      </c>
    </row>
    <row r="2056" spans="1:1" x14ac:dyDescent="0.3">
      <c r="A2056" s="2" t="s">
        <v>49</v>
      </c>
    </row>
    <row r="2057" spans="1:1" x14ac:dyDescent="0.3">
      <c r="A2057" s="1" t="s">
        <v>49</v>
      </c>
    </row>
    <row r="2058" spans="1:1" x14ac:dyDescent="0.3">
      <c r="A2058" s="2" t="s">
        <v>33</v>
      </c>
    </row>
    <row r="2059" spans="1:1" x14ac:dyDescent="0.3">
      <c r="A2059" s="1" t="s">
        <v>49</v>
      </c>
    </row>
    <row r="2060" spans="1:1" x14ac:dyDescent="0.3">
      <c r="A2060" s="2" t="s">
        <v>49</v>
      </c>
    </row>
    <row r="2061" spans="1:1" x14ac:dyDescent="0.3">
      <c r="A2061" s="1" t="s">
        <v>33</v>
      </c>
    </row>
    <row r="2062" spans="1:1" x14ac:dyDescent="0.3">
      <c r="A2062" s="2" t="s">
        <v>33</v>
      </c>
    </row>
    <row r="2063" spans="1:1" x14ac:dyDescent="0.3">
      <c r="A2063" s="1" t="s">
        <v>33</v>
      </c>
    </row>
    <row r="2064" spans="1:1" x14ac:dyDescent="0.3">
      <c r="A2064" s="2" t="s">
        <v>33</v>
      </c>
    </row>
    <row r="2065" spans="1:1" x14ac:dyDescent="0.3">
      <c r="A2065" s="1" t="s">
        <v>33</v>
      </c>
    </row>
    <row r="2066" spans="1:1" x14ac:dyDescent="0.3">
      <c r="A2066" s="2" t="s">
        <v>33</v>
      </c>
    </row>
    <row r="2067" spans="1:1" x14ac:dyDescent="0.3">
      <c r="A2067" s="1" t="s">
        <v>33</v>
      </c>
    </row>
    <row r="2068" spans="1:1" x14ac:dyDescent="0.3">
      <c r="A2068" s="2" t="s">
        <v>33</v>
      </c>
    </row>
    <row r="2069" spans="1:1" x14ac:dyDescent="0.3">
      <c r="A2069" s="1" t="s">
        <v>33</v>
      </c>
    </row>
    <row r="2070" spans="1:1" x14ac:dyDescent="0.3">
      <c r="A2070" s="2" t="s">
        <v>33</v>
      </c>
    </row>
    <row r="2071" spans="1:1" x14ac:dyDescent="0.3">
      <c r="A2071" s="1" t="s">
        <v>33</v>
      </c>
    </row>
    <row r="2072" spans="1:1" x14ac:dyDescent="0.3">
      <c r="A2072" s="2" t="s">
        <v>49</v>
      </c>
    </row>
    <row r="2073" spans="1:1" x14ac:dyDescent="0.3">
      <c r="A2073" s="1" t="s">
        <v>49</v>
      </c>
    </row>
    <row r="2074" spans="1:1" x14ac:dyDescent="0.3">
      <c r="A2074" s="2" t="s">
        <v>49</v>
      </c>
    </row>
    <row r="2075" spans="1:1" x14ac:dyDescent="0.3">
      <c r="A2075" s="1" t="s">
        <v>49</v>
      </c>
    </row>
    <row r="2076" spans="1:1" x14ac:dyDescent="0.3">
      <c r="A2076" s="2" t="s">
        <v>74</v>
      </c>
    </row>
    <row r="2077" spans="1:1" x14ac:dyDescent="0.3">
      <c r="A2077" s="1" t="s">
        <v>49</v>
      </c>
    </row>
    <row r="2078" spans="1:1" x14ac:dyDescent="0.3">
      <c r="A2078" s="2" t="s">
        <v>49</v>
      </c>
    </row>
    <row r="2079" spans="1:1" x14ac:dyDescent="0.3">
      <c r="A2079" s="1" t="s">
        <v>49</v>
      </c>
    </row>
    <row r="2080" spans="1:1" x14ac:dyDescent="0.3">
      <c r="A2080" s="2" t="s">
        <v>49</v>
      </c>
    </row>
    <row r="2081" spans="1:1" x14ac:dyDescent="0.3">
      <c r="A2081" s="1" t="s">
        <v>49</v>
      </c>
    </row>
    <row r="2082" spans="1:1" x14ac:dyDescent="0.3">
      <c r="A2082" s="2" t="s">
        <v>49</v>
      </c>
    </row>
    <row r="2083" spans="1:1" x14ac:dyDescent="0.3">
      <c r="A2083" s="1" t="s">
        <v>49</v>
      </c>
    </row>
    <row r="2084" spans="1:1" x14ac:dyDescent="0.3">
      <c r="A2084" s="2" t="s">
        <v>33</v>
      </c>
    </row>
    <row r="2085" spans="1:1" x14ac:dyDescent="0.3">
      <c r="A2085" s="1" t="s">
        <v>33</v>
      </c>
    </row>
    <row r="2086" spans="1:1" x14ac:dyDescent="0.3">
      <c r="A2086" s="2" t="s">
        <v>49</v>
      </c>
    </row>
    <row r="2087" spans="1:1" x14ac:dyDescent="0.3">
      <c r="A2087" s="1" t="s">
        <v>33</v>
      </c>
    </row>
    <row r="2088" spans="1:1" x14ac:dyDescent="0.3">
      <c r="A2088" s="2" t="s">
        <v>33</v>
      </c>
    </row>
    <row r="2089" spans="1:1" x14ac:dyDescent="0.3">
      <c r="A2089" s="1" t="s">
        <v>49</v>
      </c>
    </row>
    <row r="2090" spans="1:1" x14ac:dyDescent="0.3">
      <c r="A2090" s="2" t="s">
        <v>49</v>
      </c>
    </row>
    <row r="2091" spans="1:1" x14ac:dyDescent="0.3">
      <c r="A2091" s="1" t="s">
        <v>49</v>
      </c>
    </row>
    <row r="2092" spans="1:1" x14ac:dyDescent="0.3">
      <c r="A2092" s="2" t="s">
        <v>49</v>
      </c>
    </row>
    <row r="2093" spans="1:1" x14ac:dyDescent="0.3">
      <c r="A2093" s="1" t="s">
        <v>49</v>
      </c>
    </row>
    <row r="2094" spans="1:1" x14ac:dyDescent="0.3">
      <c r="A2094" s="2" t="s">
        <v>49</v>
      </c>
    </row>
    <row r="2095" spans="1:1" x14ac:dyDescent="0.3">
      <c r="A2095" s="1" t="s">
        <v>49</v>
      </c>
    </row>
    <row r="2096" spans="1:1" x14ac:dyDescent="0.3">
      <c r="A2096" s="2" t="s">
        <v>49</v>
      </c>
    </row>
    <row r="2097" spans="1:1" x14ac:dyDescent="0.3">
      <c r="A2097" s="1" t="s">
        <v>49</v>
      </c>
    </row>
    <row r="2098" spans="1:1" x14ac:dyDescent="0.3">
      <c r="A2098" s="2" t="s">
        <v>49</v>
      </c>
    </row>
    <row r="2099" spans="1:1" x14ac:dyDescent="0.3">
      <c r="A2099" s="1" t="s">
        <v>33</v>
      </c>
    </row>
    <row r="2100" spans="1:1" x14ac:dyDescent="0.3">
      <c r="A2100" s="2" t="s">
        <v>49</v>
      </c>
    </row>
    <row r="2101" spans="1:1" x14ac:dyDescent="0.3">
      <c r="A2101" s="1" t="s">
        <v>49</v>
      </c>
    </row>
    <row r="2102" spans="1:1" x14ac:dyDescent="0.3">
      <c r="A2102" s="2" t="s">
        <v>33</v>
      </c>
    </row>
    <row r="2103" spans="1:1" x14ac:dyDescent="0.3">
      <c r="A2103" s="1" t="s">
        <v>33</v>
      </c>
    </row>
    <row r="2104" spans="1:1" x14ac:dyDescent="0.3">
      <c r="A2104" s="2" t="s">
        <v>33</v>
      </c>
    </row>
    <row r="2105" spans="1:1" x14ac:dyDescent="0.3">
      <c r="A2105" s="1" t="s">
        <v>33</v>
      </c>
    </row>
    <row r="2106" spans="1:1" x14ac:dyDescent="0.3">
      <c r="A2106" s="2" t="s">
        <v>33</v>
      </c>
    </row>
    <row r="2107" spans="1:1" x14ac:dyDescent="0.3">
      <c r="A2107" s="1" t="s">
        <v>33</v>
      </c>
    </row>
    <row r="2108" spans="1:1" x14ac:dyDescent="0.3">
      <c r="A2108" s="2" t="s">
        <v>33</v>
      </c>
    </row>
    <row r="2109" spans="1:1" x14ac:dyDescent="0.3">
      <c r="A2109" s="1" t="s">
        <v>33</v>
      </c>
    </row>
    <row r="2110" spans="1:1" x14ac:dyDescent="0.3">
      <c r="A2110" s="2" t="s">
        <v>74</v>
      </c>
    </row>
    <row r="2111" spans="1:1" x14ac:dyDescent="0.3">
      <c r="A2111" s="1" t="s">
        <v>74</v>
      </c>
    </row>
    <row r="2112" spans="1:1" x14ac:dyDescent="0.3">
      <c r="A2112" s="2" t="s">
        <v>49</v>
      </c>
    </row>
    <row r="2113" spans="1:1" x14ac:dyDescent="0.3">
      <c r="A2113" s="1" t="s">
        <v>33</v>
      </c>
    </row>
    <row r="2114" spans="1:1" x14ac:dyDescent="0.3">
      <c r="A2114" s="2" t="s">
        <v>33</v>
      </c>
    </row>
    <row r="2115" spans="1:1" x14ac:dyDescent="0.3">
      <c r="A2115" s="1" t="s">
        <v>49</v>
      </c>
    </row>
    <row r="2116" spans="1:1" x14ac:dyDescent="0.3">
      <c r="A2116" s="2" t="s">
        <v>49</v>
      </c>
    </row>
    <row r="2117" spans="1:1" x14ac:dyDescent="0.3">
      <c r="A2117" s="1" t="s">
        <v>49</v>
      </c>
    </row>
    <row r="2118" spans="1:1" x14ac:dyDescent="0.3">
      <c r="A2118" s="2" t="s">
        <v>49</v>
      </c>
    </row>
    <row r="2119" spans="1:1" x14ac:dyDescent="0.3">
      <c r="A2119" s="1" t="s">
        <v>49</v>
      </c>
    </row>
    <row r="2120" spans="1:1" x14ac:dyDescent="0.3">
      <c r="A2120" s="2" t="s">
        <v>49</v>
      </c>
    </row>
    <row r="2121" spans="1:1" x14ac:dyDescent="0.3">
      <c r="A2121" s="1" t="s">
        <v>33</v>
      </c>
    </row>
    <row r="2122" spans="1:1" x14ac:dyDescent="0.3">
      <c r="A2122" s="2" t="s">
        <v>49</v>
      </c>
    </row>
    <row r="2123" spans="1:1" x14ac:dyDescent="0.3">
      <c r="A2123" s="1" t="s">
        <v>49</v>
      </c>
    </row>
    <row r="2124" spans="1:1" x14ac:dyDescent="0.3">
      <c r="A2124" s="2" t="s">
        <v>49</v>
      </c>
    </row>
    <row r="2125" spans="1:1" x14ac:dyDescent="0.3">
      <c r="A2125" s="1" t="s">
        <v>49</v>
      </c>
    </row>
    <row r="2126" spans="1:1" x14ac:dyDescent="0.3">
      <c r="A2126" s="2" t="s">
        <v>49</v>
      </c>
    </row>
    <row r="2127" spans="1:1" x14ac:dyDescent="0.3">
      <c r="A2127" s="1" t="s">
        <v>49</v>
      </c>
    </row>
    <row r="2128" spans="1:1" x14ac:dyDescent="0.3">
      <c r="A2128" s="2" t="s">
        <v>49</v>
      </c>
    </row>
    <row r="2129" spans="1:1" x14ac:dyDescent="0.3">
      <c r="A2129" s="1" t="s">
        <v>49</v>
      </c>
    </row>
    <row r="2130" spans="1:1" x14ac:dyDescent="0.3">
      <c r="A2130" s="2" t="s">
        <v>49</v>
      </c>
    </row>
    <row r="2131" spans="1:1" x14ac:dyDescent="0.3">
      <c r="A2131" s="1" t="s">
        <v>49</v>
      </c>
    </row>
    <row r="2132" spans="1:1" x14ac:dyDescent="0.3">
      <c r="A2132" s="2" t="s">
        <v>49</v>
      </c>
    </row>
    <row r="2133" spans="1:1" x14ac:dyDescent="0.3">
      <c r="A2133" s="1" t="s">
        <v>49</v>
      </c>
    </row>
    <row r="2134" spans="1:1" x14ac:dyDescent="0.3">
      <c r="A2134" s="2" t="s">
        <v>49</v>
      </c>
    </row>
    <row r="2135" spans="1:1" x14ac:dyDescent="0.3">
      <c r="A2135" s="1" t="s">
        <v>49</v>
      </c>
    </row>
    <row r="2136" spans="1:1" x14ac:dyDescent="0.3">
      <c r="A2136" s="2" t="s">
        <v>49</v>
      </c>
    </row>
    <row r="2137" spans="1:1" x14ac:dyDescent="0.3">
      <c r="A2137" s="1" t="s">
        <v>49</v>
      </c>
    </row>
    <row r="2138" spans="1:1" x14ac:dyDescent="0.3">
      <c r="A2138" s="2" t="s">
        <v>49</v>
      </c>
    </row>
    <row r="2139" spans="1:1" x14ac:dyDescent="0.3">
      <c r="A2139" s="1" t="s">
        <v>49</v>
      </c>
    </row>
    <row r="2140" spans="1:1" x14ac:dyDescent="0.3">
      <c r="A2140" s="2" t="s">
        <v>49</v>
      </c>
    </row>
    <row r="2141" spans="1:1" x14ac:dyDescent="0.3">
      <c r="A2141" s="1" t="s">
        <v>49</v>
      </c>
    </row>
    <row r="2142" spans="1:1" x14ac:dyDescent="0.3">
      <c r="A2142" s="2" t="s">
        <v>49</v>
      </c>
    </row>
    <row r="2143" spans="1:1" x14ac:dyDescent="0.3">
      <c r="A2143" s="1" t="s">
        <v>33</v>
      </c>
    </row>
    <row r="2144" spans="1:1" x14ac:dyDescent="0.3">
      <c r="A2144" s="2" t="s">
        <v>49</v>
      </c>
    </row>
    <row r="2145" spans="1:1" x14ac:dyDescent="0.3">
      <c r="A2145" s="1" t="s">
        <v>49</v>
      </c>
    </row>
    <row r="2146" spans="1:1" x14ac:dyDescent="0.3">
      <c r="A2146" s="2" t="s">
        <v>49</v>
      </c>
    </row>
    <row r="2147" spans="1:1" x14ac:dyDescent="0.3">
      <c r="A2147" s="1" t="s">
        <v>33</v>
      </c>
    </row>
    <row r="2148" spans="1:1" x14ac:dyDescent="0.3">
      <c r="A2148" s="2" t="s">
        <v>33</v>
      </c>
    </row>
    <row r="2149" spans="1:1" x14ac:dyDescent="0.3">
      <c r="A2149" s="1" t="s">
        <v>49</v>
      </c>
    </row>
    <row r="2150" spans="1:1" x14ac:dyDescent="0.3">
      <c r="A2150" s="2" t="s">
        <v>33</v>
      </c>
    </row>
    <row r="2151" spans="1:1" x14ac:dyDescent="0.3">
      <c r="A2151" s="1" t="s">
        <v>33</v>
      </c>
    </row>
    <row r="2152" spans="1:1" x14ac:dyDescent="0.3">
      <c r="A2152" s="2" t="s">
        <v>49</v>
      </c>
    </row>
    <row r="2153" spans="1:1" x14ac:dyDescent="0.3">
      <c r="A2153" s="1" t="s">
        <v>49</v>
      </c>
    </row>
    <row r="2154" spans="1:1" x14ac:dyDescent="0.3">
      <c r="A2154" s="2" t="s">
        <v>49</v>
      </c>
    </row>
    <row r="2155" spans="1:1" x14ac:dyDescent="0.3">
      <c r="A2155" s="1" t="s">
        <v>33</v>
      </c>
    </row>
    <row r="2156" spans="1:1" x14ac:dyDescent="0.3">
      <c r="A2156" s="2" t="s">
        <v>33</v>
      </c>
    </row>
    <row r="2157" spans="1:1" x14ac:dyDescent="0.3">
      <c r="A2157" s="1" t="s">
        <v>33</v>
      </c>
    </row>
    <row r="2158" spans="1:1" x14ac:dyDescent="0.3">
      <c r="A2158" s="2" t="s">
        <v>33</v>
      </c>
    </row>
    <row r="2159" spans="1:1" x14ac:dyDescent="0.3">
      <c r="A2159" s="1" t="s">
        <v>49</v>
      </c>
    </row>
    <row r="2160" spans="1:1" x14ac:dyDescent="0.3">
      <c r="A2160" s="2" t="s">
        <v>49</v>
      </c>
    </row>
    <row r="2161" spans="1:1" x14ac:dyDescent="0.3">
      <c r="A2161" s="1" t="s">
        <v>74</v>
      </c>
    </row>
    <row r="2162" spans="1:1" x14ac:dyDescent="0.3">
      <c r="A2162" s="2" t="s">
        <v>49</v>
      </c>
    </row>
    <row r="2163" spans="1:1" x14ac:dyDescent="0.3">
      <c r="A2163" s="1" t="s">
        <v>49</v>
      </c>
    </row>
    <row r="2164" spans="1:1" x14ac:dyDescent="0.3">
      <c r="A2164" s="2" t="s">
        <v>49</v>
      </c>
    </row>
    <row r="2165" spans="1:1" x14ac:dyDescent="0.3">
      <c r="A2165" s="1" t="s">
        <v>49</v>
      </c>
    </row>
    <row r="2166" spans="1:1" x14ac:dyDescent="0.3">
      <c r="A2166" s="2" t="s">
        <v>49</v>
      </c>
    </row>
    <row r="2167" spans="1:1" x14ac:dyDescent="0.3">
      <c r="A2167" s="1" t="s">
        <v>74</v>
      </c>
    </row>
    <row r="2168" spans="1:1" x14ac:dyDescent="0.3">
      <c r="A2168" s="2" t="s">
        <v>74</v>
      </c>
    </row>
    <row r="2169" spans="1:1" x14ac:dyDescent="0.3">
      <c r="A2169" s="1" t="s">
        <v>74</v>
      </c>
    </row>
    <row r="2170" spans="1:1" x14ac:dyDescent="0.3">
      <c r="A2170" s="2" t="s">
        <v>74</v>
      </c>
    </row>
    <row r="2171" spans="1:1" x14ac:dyDescent="0.3">
      <c r="A2171" s="1" t="s">
        <v>74</v>
      </c>
    </row>
    <row r="2172" spans="1:1" x14ac:dyDescent="0.3">
      <c r="A2172" s="2" t="s">
        <v>49</v>
      </c>
    </row>
    <row r="2173" spans="1:1" x14ac:dyDescent="0.3">
      <c r="A2173" s="1" t="s">
        <v>49</v>
      </c>
    </row>
    <row r="2174" spans="1:1" x14ac:dyDescent="0.3">
      <c r="A2174" s="2" t="s">
        <v>49</v>
      </c>
    </row>
    <row r="2175" spans="1:1" x14ac:dyDescent="0.3">
      <c r="A2175" s="1" t="s">
        <v>49</v>
      </c>
    </row>
    <row r="2176" spans="1:1" x14ac:dyDescent="0.3">
      <c r="A2176" s="2" t="s">
        <v>49</v>
      </c>
    </row>
    <row r="2177" spans="1:1" x14ac:dyDescent="0.3">
      <c r="A2177" s="1" t="s">
        <v>49</v>
      </c>
    </row>
    <row r="2178" spans="1:1" x14ac:dyDescent="0.3">
      <c r="A2178" s="2" t="s">
        <v>49</v>
      </c>
    </row>
    <row r="2179" spans="1:1" x14ac:dyDescent="0.3">
      <c r="A2179" s="1" t="s">
        <v>49</v>
      </c>
    </row>
    <row r="2180" spans="1:1" x14ac:dyDescent="0.3">
      <c r="A2180" s="2" t="s">
        <v>49</v>
      </c>
    </row>
    <row r="2181" spans="1:1" x14ac:dyDescent="0.3">
      <c r="A2181" s="1" t="s">
        <v>74</v>
      </c>
    </row>
    <row r="2182" spans="1:1" x14ac:dyDescent="0.3">
      <c r="A2182" s="2" t="s">
        <v>49</v>
      </c>
    </row>
    <row r="2183" spans="1:1" x14ac:dyDescent="0.3">
      <c r="A2183" s="1" t="s">
        <v>33</v>
      </c>
    </row>
    <row r="2184" spans="1:1" x14ac:dyDescent="0.3">
      <c r="A2184" s="2" t="s">
        <v>49</v>
      </c>
    </row>
    <row r="2185" spans="1:1" x14ac:dyDescent="0.3">
      <c r="A2185" s="1" t="s">
        <v>49</v>
      </c>
    </row>
    <row r="2186" spans="1:1" x14ac:dyDescent="0.3">
      <c r="A2186" s="2" t="s">
        <v>49</v>
      </c>
    </row>
    <row r="2187" spans="1:1" x14ac:dyDescent="0.3">
      <c r="A2187" s="1" t="s">
        <v>49</v>
      </c>
    </row>
    <row r="2188" spans="1:1" x14ac:dyDescent="0.3">
      <c r="A2188" s="2" t="s">
        <v>49</v>
      </c>
    </row>
    <row r="2189" spans="1:1" x14ac:dyDescent="0.3">
      <c r="A2189" s="1" t="s">
        <v>49</v>
      </c>
    </row>
    <row r="2190" spans="1:1" x14ac:dyDescent="0.3">
      <c r="A2190" s="2" t="s">
        <v>49</v>
      </c>
    </row>
    <row r="2191" spans="1:1" x14ac:dyDescent="0.3">
      <c r="A2191" s="1" t="s">
        <v>49</v>
      </c>
    </row>
    <row r="2192" spans="1:1" x14ac:dyDescent="0.3">
      <c r="A2192" s="2" t="s">
        <v>74</v>
      </c>
    </row>
    <row r="2193" spans="1:1" x14ac:dyDescent="0.3">
      <c r="A2193" s="1" t="s">
        <v>33</v>
      </c>
    </row>
    <row r="2194" spans="1:1" x14ac:dyDescent="0.3">
      <c r="A2194" s="2" t="s">
        <v>74</v>
      </c>
    </row>
    <row r="2195" spans="1:1" x14ac:dyDescent="0.3">
      <c r="A2195" s="1" t="s">
        <v>33</v>
      </c>
    </row>
    <row r="2196" spans="1:1" x14ac:dyDescent="0.3">
      <c r="A2196" s="2" t="s">
        <v>33</v>
      </c>
    </row>
    <row r="2197" spans="1:1" x14ac:dyDescent="0.3">
      <c r="A2197" s="1" t="s">
        <v>33</v>
      </c>
    </row>
    <row r="2198" spans="1:1" x14ac:dyDescent="0.3">
      <c r="A2198" s="2" t="s">
        <v>33</v>
      </c>
    </row>
    <row r="2199" spans="1:1" x14ac:dyDescent="0.3">
      <c r="A2199" s="1" t="s">
        <v>33</v>
      </c>
    </row>
    <row r="2200" spans="1:1" x14ac:dyDescent="0.3">
      <c r="A2200" s="2" t="s">
        <v>33</v>
      </c>
    </row>
    <row r="2201" spans="1:1" x14ac:dyDescent="0.3">
      <c r="A2201" s="1" t="s">
        <v>33</v>
      </c>
    </row>
    <row r="2202" spans="1:1" x14ac:dyDescent="0.3">
      <c r="A2202" s="2" t="s">
        <v>33</v>
      </c>
    </row>
    <row r="2203" spans="1:1" x14ac:dyDescent="0.3">
      <c r="A2203" s="1" t="s">
        <v>33</v>
      </c>
    </row>
    <row r="2204" spans="1:1" x14ac:dyDescent="0.3">
      <c r="A2204" s="2" t="s">
        <v>49</v>
      </c>
    </row>
    <row r="2205" spans="1:1" x14ac:dyDescent="0.3">
      <c r="A2205" s="1" t="s">
        <v>33</v>
      </c>
    </row>
    <row r="2206" spans="1:1" x14ac:dyDescent="0.3">
      <c r="A2206" s="2" t="s">
        <v>49</v>
      </c>
    </row>
    <row r="2207" spans="1:1" x14ac:dyDescent="0.3">
      <c r="A2207" s="1" t="s">
        <v>49</v>
      </c>
    </row>
    <row r="2208" spans="1:1" x14ac:dyDescent="0.3">
      <c r="A2208" s="2" t="s">
        <v>33</v>
      </c>
    </row>
    <row r="2209" spans="1:1" x14ac:dyDescent="0.3">
      <c r="A2209" s="1" t="s">
        <v>33</v>
      </c>
    </row>
    <row r="2210" spans="1:1" x14ac:dyDescent="0.3">
      <c r="A2210" s="2" t="s">
        <v>33</v>
      </c>
    </row>
    <row r="2211" spans="1:1" x14ac:dyDescent="0.3">
      <c r="A2211" s="1" t="s">
        <v>33</v>
      </c>
    </row>
    <row r="2212" spans="1:1" x14ac:dyDescent="0.3">
      <c r="A2212" s="2" t="s">
        <v>49</v>
      </c>
    </row>
    <row r="2213" spans="1:1" x14ac:dyDescent="0.3">
      <c r="A2213" s="1" t="s">
        <v>49</v>
      </c>
    </row>
    <row r="2214" spans="1:1" x14ac:dyDescent="0.3">
      <c r="A2214" s="2" t="s">
        <v>49</v>
      </c>
    </row>
    <row r="2215" spans="1:1" x14ac:dyDescent="0.3">
      <c r="A2215" s="1" t="s">
        <v>49</v>
      </c>
    </row>
    <row r="2216" spans="1:1" x14ac:dyDescent="0.3">
      <c r="A2216" s="2" t="s">
        <v>49</v>
      </c>
    </row>
    <row r="2217" spans="1:1" x14ac:dyDescent="0.3">
      <c r="A2217" s="1" t="s">
        <v>49</v>
      </c>
    </row>
    <row r="2218" spans="1:1" x14ac:dyDescent="0.3">
      <c r="A2218" s="2" t="s">
        <v>49</v>
      </c>
    </row>
    <row r="2219" spans="1:1" x14ac:dyDescent="0.3">
      <c r="A2219" s="1" t="s">
        <v>49</v>
      </c>
    </row>
    <row r="2220" spans="1:1" x14ac:dyDescent="0.3">
      <c r="A2220" s="2" t="s">
        <v>49</v>
      </c>
    </row>
    <row r="2221" spans="1:1" x14ac:dyDescent="0.3">
      <c r="A2221" s="1" t="s">
        <v>49</v>
      </c>
    </row>
    <row r="2222" spans="1:1" x14ac:dyDescent="0.3">
      <c r="A2222" s="2" t="s">
        <v>49</v>
      </c>
    </row>
    <row r="2223" spans="1:1" x14ac:dyDescent="0.3">
      <c r="A2223" s="1" t="s">
        <v>49</v>
      </c>
    </row>
    <row r="2224" spans="1:1" x14ac:dyDescent="0.3">
      <c r="A2224" s="2" t="s">
        <v>49</v>
      </c>
    </row>
    <row r="2225" spans="1:1" x14ac:dyDescent="0.3">
      <c r="A2225" s="1" t="s">
        <v>49</v>
      </c>
    </row>
    <row r="2226" spans="1:1" x14ac:dyDescent="0.3">
      <c r="A2226" s="2" t="s">
        <v>49</v>
      </c>
    </row>
    <row r="2227" spans="1:1" x14ac:dyDescent="0.3">
      <c r="A2227" s="1" t="s">
        <v>49</v>
      </c>
    </row>
    <row r="2228" spans="1:1" x14ac:dyDescent="0.3">
      <c r="A2228" s="2" t="s">
        <v>49</v>
      </c>
    </row>
    <row r="2229" spans="1:1" x14ac:dyDescent="0.3">
      <c r="A2229" s="1" t="s">
        <v>49</v>
      </c>
    </row>
    <row r="2230" spans="1:1" x14ac:dyDescent="0.3">
      <c r="A2230" s="2" t="s">
        <v>49</v>
      </c>
    </row>
    <row r="2231" spans="1:1" x14ac:dyDescent="0.3">
      <c r="A2231" s="1" t="s">
        <v>33</v>
      </c>
    </row>
    <row r="2232" spans="1:1" x14ac:dyDescent="0.3">
      <c r="A2232" s="2" t="s">
        <v>49</v>
      </c>
    </row>
    <row r="2233" spans="1:1" x14ac:dyDescent="0.3">
      <c r="A2233" s="1" t="s">
        <v>49</v>
      </c>
    </row>
    <row r="2234" spans="1:1" x14ac:dyDescent="0.3">
      <c r="A2234" s="2" t="s">
        <v>33</v>
      </c>
    </row>
    <row r="2235" spans="1:1" x14ac:dyDescent="0.3">
      <c r="A2235" s="1" t="s">
        <v>33</v>
      </c>
    </row>
    <row r="2236" spans="1:1" x14ac:dyDescent="0.3">
      <c r="A2236" s="2" t="s">
        <v>33</v>
      </c>
    </row>
    <row r="2237" spans="1:1" x14ac:dyDescent="0.3">
      <c r="A2237" s="1" t="s">
        <v>33</v>
      </c>
    </row>
    <row r="2238" spans="1:1" x14ac:dyDescent="0.3">
      <c r="A2238" s="2" t="s">
        <v>33</v>
      </c>
    </row>
    <row r="2239" spans="1:1" x14ac:dyDescent="0.3">
      <c r="A2239" s="1" t="s">
        <v>49</v>
      </c>
    </row>
    <row r="2240" spans="1:1" x14ac:dyDescent="0.3">
      <c r="A2240" s="2" t="s">
        <v>49</v>
      </c>
    </row>
    <row r="2241" spans="1:1" x14ac:dyDescent="0.3">
      <c r="A2241" s="1" t="s">
        <v>49</v>
      </c>
    </row>
    <row r="2242" spans="1:1" x14ac:dyDescent="0.3">
      <c r="A2242" s="2" t="s">
        <v>49</v>
      </c>
    </row>
    <row r="2243" spans="1:1" x14ac:dyDescent="0.3">
      <c r="A2243" s="1" t="s">
        <v>49</v>
      </c>
    </row>
    <row r="2244" spans="1:1" x14ac:dyDescent="0.3">
      <c r="A2244" s="2" t="s">
        <v>49</v>
      </c>
    </row>
    <row r="2245" spans="1:1" x14ac:dyDescent="0.3">
      <c r="A2245" s="1" t="s">
        <v>49</v>
      </c>
    </row>
    <row r="2246" spans="1:1" x14ac:dyDescent="0.3">
      <c r="A2246" s="2" t="s">
        <v>49</v>
      </c>
    </row>
    <row r="2247" spans="1:1" x14ac:dyDescent="0.3">
      <c r="A2247" s="1" t="s">
        <v>49</v>
      </c>
    </row>
    <row r="2248" spans="1:1" x14ac:dyDescent="0.3">
      <c r="A2248" s="2" t="s">
        <v>49</v>
      </c>
    </row>
    <row r="2249" spans="1:1" x14ac:dyDescent="0.3">
      <c r="A2249" s="1" t="s">
        <v>49</v>
      </c>
    </row>
    <row r="2250" spans="1:1" x14ac:dyDescent="0.3">
      <c r="A2250" s="2" t="s">
        <v>49</v>
      </c>
    </row>
    <row r="2251" spans="1:1" x14ac:dyDescent="0.3">
      <c r="A2251" s="1" t="s">
        <v>49</v>
      </c>
    </row>
    <row r="2252" spans="1:1" x14ac:dyDescent="0.3">
      <c r="A2252" s="2" t="s">
        <v>49</v>
      </c>
    </row>
    <row r="2253" spans="1:1" x14ac:dyDescent="0.3">
      <c r="A2253" s="1" t="s">
        <v>49</v>
      </c>
    </row>
    <row r="2254" spans="1:1" x14ac:dyDescent="0.3">
      <c r="A2254" s="2" t="s">
        <v>49</v>
      </c>
    </row>
    <row r="2255" spans="1:1" x14ac:dyDescent="0.3">
      <c r="A2255" s="1" t="s">
        <v>49</v>
      </c>
    </row>
    <row r="2256" spans="1:1" x14ac:dyDescent="0.3">
      <c r="A2256" s="2" t="s">
        <v>49</v>
      </c>
    </row>
    <row r="2257" spans="1:1" x14ac:dyDescent="0.3">
      <c r="A2257" s="1" t="s">
        <v>49</v>
      </c>
    </row>
    <row r="2258" spans="1:1" x14ac:dyDescent="0.3">
      <c r="A2258" s="2" t="s">
        <v>49</v>
      </c>
    </row>
    <row r="2259" spans="1:1" x14ac:dyDescent="0.3">
      <c r="A2259" s="1" t="s">
        <v>49</v>
      </c>
    </row>
    <row r="2260" spans="1:1" x14ac:dyDescent="0.3">
      <c r="A2260" s="2" t="s">
        <v>49</v>
      </c>
    </row>
    <row r="2261" spans="1:1" x14ac:dyDescent="0.3">
      <c r="A2261" s="1" t="s">
        <v>49</v>
      </c>
    </row>
    <row r="2262" spans="1:1" x14ac:dyDescent="0.3">
      <c r="A2262" s="2" t="s">
        <v>33</v>
      </c>
    </row>
    <row r="2263" spans="1:1" x14ac:dyDescent="0.3">
      <c r="A2263" s="1" t="s">
        <v>49</v>
      </c>
    </row>
    <row r="2264" spans="1:1" x14ac:dyDescent="0.3">
      <c r="A2264" s="2" t="s">
        <v>49</v>
      </c>
    </row>
    <row r="2265" spans="1:1" x14ac:dyDescent="0.3">
      <c r="A2265" s="1" t="s">
        <v>49</v>
      </c>
    </row>
    <row r="2266" spans="1:1" x14ac:dyDescent="0.3">
      <c r="A2266" s="2" t="s">
        <v>49</v>
      </c>
    </row>
    <row r="2267" spans="1:1" x14ac:dyDescent="0.3">
      <c r="A2267" s="1" t="s">
        <v>49</v>
      </c>
    </row>
    <row r="2268" spans="1:1" x14ac:dyDescent="0.3">
      <c r="A2268" s="2" t="s">
        <v>49</v>
      </c>
    </row>
    <row r="2269" spans="1:1" x14ac:dyDescent="0.3">
      <c r="A2269" s="1" t="s">
        <v>49</v>
      </c>
    </row>
    <row r="2270" spans="1:1" x14ac:dyDescent="0.3">
      <c r="A2270" s="2" t="s">
        <v>49</v>
      </c>
    </row>
    <row r="2271" spans="1:1" x14ac:dyDescent="0.3">
      <c r="A2271" s="1" t="s">
        <v>49</v>
      </c>
    </row>
    <row r="2272" spans="1:1" x14ac:dyDescent="0.3">
      <c r="A2272" s="2" t="s">
        <v>49</v>
      </c>
    </row>
    <row r="2273" spans="1:1" x14ac:dyDescent="0.3">
      <c r="A2273" s="1" t="s">
        <v>49</v>
      </c>
    </row>
    <row r="2274" spans="1:1" x14ac:dyDescent="0.3">
      <c r="A2274" s="2" t="s">
        <v>49</v>
      </c>
    </row>
    <row r="2275" spans="1:1" x14ac:dyDescent="0.3">
      <c r="A2275" s="1" t="s">
        <v>49</v>
      </c>
    </row>
    <row r="2276" spans="1:1" x14ac:dyDescent="0.3">
      <c r="A2276" s="2" t="s">
        <v>33</v>
      </c>
    </row>
    <row r="2277" spans="1:1" x14ac:dyDescent="0.3">
      <c r="A2277" s="1" t="s">
        <v>33</v>
      </c>
    </row>
    <row r="2278" spans="1:1" x14ac:dyDescent="0.3">
      <c r="A2278" s="2" t="s">
        <v>33</v>
      </c>
    </row>
    <row r="2279" spans="1:1" x14ac:dyDescent="0.3">
      <c r="A2279" s="1" t="s">
        <v>49</v>
      </c>
    </row>
    <row r="2280" spans="1:1" x14ac:dyDescent="0.3">
      <c r="A2280" s="2" t="s">
        <v>49</v>
      </c>
    </row>
    <row r="2281" spans="1:1" x14ac:dyDescent="0.3">
      <c r="A2281" s="1" t="s">
        <v>49</v>
      </c>
    </row>
    <row r="2282" spans="1:1" x14ac:dyDescent="0.3">
      <c r="A2282" s="2" t="s">
        <v>49</v>
      </c>
    </row>
    <row r="2283" spans="1:1" x14ac:dyDescent="0.3">
      <c r="A2283" s="1" t="s">
        <v>33</v>
      </c>
    </row>
    <row r="2284" spans="1:1" x14ac:dyDescent="0.3">
      <c r="A2284" s="2" t="s">
        <v>33</v>
      </c>
    </row>
    <row r="2285" spans="1:1" x14ac:dyDescent="0.3">
      <c r="A2285" s="1" t="s">
        <v>49</v>
      </c>
    </row>
    <row r="2286" spans="1:1" x14ac:dyDescent="0.3">
      <c r="A2286" s="2" t="s">
        <v>49</v>
      </c>
    </row>
    <row r="2287" spans="1:1" x14ac:dyDescent="0.3">
      <c r="A2287" s="1" t="s">
        <v>49</v>
      </c>
    </row>
    <row r="2288" spans="1:1" x14ac:dyDescent="0.3">
      <c r="A2288" s="2" t="s">
        <v>49</v>
      </c>
    </row>
    <row r="2289" spans="1:1" x14ac:dyDescent="0.3">
      <c r="A2289" s="1" t="s">
        <v>49</v>
      </c>
    </row>
    <row r="2290" spans="1:1" x14ac:dyDescent="0.3">
      <c r="A2290" s="2" t="s">
        <v>49</v>
      </c>
    </row>
    <row r="2291" spans="1:1" x14ac:dyDescent="0.3">
      <c r="A2291" s="1" t="s">
        <v>49</v>
      </c>
    </row>
    <row r="2292" spans="1:1" x14ac:dyDescent="0.3">
      <c r="A2292" s="2" t="s">
        <v>49</v>
      </c>
    </row>
    <row r="2293" spans="1:1" x14ac:dyDescent="0.3">
      <c r="A2293" s="1" t="s">
        <v>33</v>
      </c>
    </row>
    <row r="2294" spans="1:1" x14ac:dyDescent="0.3">
      <c r="A2294" s="2" t="s">
        <v>49</v>
      </c>
    </row>
    <row r="2295" spans="1:1" x14ac:dyDescent="0.3">
      <c r="A2295" s="1" t="s">
        <v>49</v>
      </c>
    </row>
    <row r="2296" spans="1:1" x14ac:dyDescent="0.3">
      <c r="A2296" s="2" t="s">
        <v>33</v>
      </c>
    </row>
    <row r="2297" spans="1:1" x14ac:dyDescent="0.3">
      <c r="A2297" s="1" t="s">
        <v>49</v>
      </c>
    </row>
    <row r="2298" spans="1:1" x14ac:dyDescent="0.3">
      <c r="A2298" s="2" t="s">
        <v>49</v>
      </c>
    </row>
    <row r="2299" spans="1:1" x14ac:dyDescent="0.3">
      <c r="A2299" s="1" t="s">
        <v>33</v>
      </c>
    </row>
    <row r="2300" spans="1:1" x14ac:dyDescent="0.3">
      <c r="A2300" s="2" t="s">
        <v>33</v>
      </c>
    </row>
    <row r="2301" spans="1:1" x14ac:dyDescent="0.3">
      <c r="A2301" s="1" t="s">
        <v>49</v>
      </c>
    </row>
    <row r="2302" spans="1:1" x14ac:dyDescent="0.3">
      <c r="A2302" s="2" t="s">
        <v>33</v>
      </c>
    </row>
    <row r="2303" spans="1:1" x14ac:dyDescent="0.3">
      <c r="A2303" s="1" t="s">
        <v>33</v>
      </c>
    </row>
    <row r="2304" spans="1:1" x14ac:dyDescent="0.3">
      <c r="A2304" s="2" t="s">
        <v>33</v>
      </c>
    </row>
    <row r="2305" spans="1:1" x14ac:dyDescent="0.3">
      <c r="A2305" s="1" t="s">
        <v>74</v>
      </c>
    </row>
    <row r="2306" spans="1:1" x14ac:dyDescent="0.3">
      <c r="A2306" s="2" t="s">
        <v>49</v>
      </c>
    </row>
    <row r="2307" spans="1:1" x14ac:dyDescent="0.3">
      <c r="A2307" s="1" t="s">
        <v>49</v>
      </c>
    </row>
    <row r="2308" spans="1:1" x14ac:dyDescent="0.3">
      <c r="A2308" s="2" t="s">
        <v>33</v>
      </c>
    </row>
    <row r="2309" spans="1:1" x14ac:dyDescent="0.3">
      <c r="A2309" s="1" t="s">
        <v>33</v>
      </c>
    </row>
    <row r="2310" spans="1:1" x14ac:dyDescent="0.3">
      <c r="A2310" s="2" t="s">
        <v>33</v>
      </c>
    </row>
    <row r="2311" spans="1:1" x14ac:dyDescent="0.3">
      <c r="A2311" s="1" t="s">
        <v>49</v>
      </c>
    </row>
    <row r="2312" spans="1:1" x14ac:dyDescent="0.3">
      <c r="A2312" s="2" t="s">
        <v>49</v>
      </c>
    </row>
    <row r="2313" spans="1:1" x14ac:dyDescent="0.3">
      <c r="A2313" s="1" t="s">
        <v>49</v>
      </c>
    </row>
    <row r="2314" spans="1:1" x14ac:dyDescent="0.3">
      <c r="A2314" s="2" t="s">
        <v>49</v>
      </c>
    </row>
    <row r="2315" spans="1:1" x14ac:dyDescent="0.3">
      <c r="A2315" s="1" t="s">
        <v>33</v>
      </c>
    </row>
    <row r="2316" spans="1:1" x14ac:dyDescent="0.3">
      <c r="A2316" s="2" t="s">
        <v>33</v>
      </c>
    </row>
    <row r="2317" spans="1:1" x14ac:dyDescent="0.3">
      <c r="A2317" s="1" t="s">
        <v>49</v>
      </c>
    </row>
    <row r="2318" spans="1:1" x14ac:dyDescent="0.3">
      <c r="A2318" s="2" t="s">
        <v>49</v>
      </c>
    </row>
    <row r="2319" spans="1:1" x14ac:dyDescent="0.3">
      <c r="A2319" s="1" t="s">
        <v>33</v>
      </c>
    </row>
    <row r="2320" spans="1:1" x14ac:dyDescent="0.3">
      <c r="A2320" s="2" t="s">
        <v>33</v>
      </c>
    </row>
    <row r="2321" spans="1:1" x14ac:dyDescent="0.3">
      <c r="A2321" s="1" t="s">
        <v>33</v>
      </c>
    </row>
    <row r="2322" spans="1:1" x14ac:dyDescent="0.3">
      <c r="A2322" s="2" t="s">
        <v>49</v>
      </c>
    </row>
    <row r="2323" spans="1:1" x14ac:dyDescent="0.3">
      <c r="A2323" s="1" t="s">
        <v>49</v>
      </c>
    </row>
    <row r="2324" spans="1:1" x14ac:dyDescent="0.3">
      <c r="A2324" s="2" t="s">
        <v>49</v>
      </c>
    </row>
    <row r="2325" spans="1:1" x14ac:dyDescent="0.3">
      <c r="A2325" s="1" t="s">
        <v>49</v>
      </c>
    </row>
    <row r="2326" spans="1:1" x14ac:dyDescent="0.3">
      <c r="A2326" s="2" t="s">
        <v>33</v>
      </c>
    </row>
    <row r="2327" spans="1:1" x14ac:dyDescent="0.3">
      <c r="A2327" s="1" t="s">
        <v>33</v>
      </c>
    </row>
    <row r="2328" spans="1:1" x14ac:dyDescent="0.3">
      <c r="A2328" s="2" t="s">
        <v>33</v>
      </c>
    </row>
    <row r="2329" spans="1:1" x14ac:dyDescent="0.3">
      <c r="A2329" s="1" t="s">
        <v>33</v>
      </c>
    </row>
    <row r="2330" spans="1:1" x14ac:dyDescent="0.3">
      <c r="A2330" s="2" t="s">
        <v>49</v>
      </c>
    </row>
    <row r="2331" spans="1:1" x14ac:dyDescent="0.3">
      <c r="A2331" s="1" t="s">
        <v>49</v>
      </c>
    </row>
    <row r="2332" spans="1:1" x14ac:dyDescent="0.3">
      <c r="A2332" s="2" t="s">
        <v>33</v>
      </c>
    </row>
    <row r="2333" spans="1:1" x14ac:dyDescent="0.3">
      <c r="A2333" s="1" t="s">
        <v>33</v>
      </c>
    </row>
    <row r="2334" spans="1:1" x14ac:dyDescent="0.3">
      <c r="A2334" s="2" t="s">
        <v>33</v>
      </c>
    </row>
    <row r="2335" spans="1:1" x14ac:dyDescent="0.3">
      <c r="A2335" s="1" t="s">
        <v>49</v>
      </c>
    </row>
    <row r="2336" spans="1:1" x14ac:dyDescent="0.3">
      <c r="A2336" s="2" t="s">
        <v>49</v>
      </c>
    </row>
    <row r="2337" spans="1:1" x14ac:dyDescent="0.3">
      <c r="A2337" s="1" t="s">
        <v>49</v>
      </c>
    </row>
    <row r="2338" spans="1:1" x14ac:dyDescent="0.3">
      <c r="A2338" s="2" t="s">
        <v>74</v>
      </c>
    </row>
    <row r="2339" spans="1:1" x14ac:dyDescent="0.3">
      <c r="A2339" s="1" t="s">
        <v>49</v>
      </c>
    </row>
    <row r="2340" spans="1:1" x14ac:dyDescent="0.3">
      <c r="A2340" s="2" t="s">
        <v>74</v>
      </c>
    </row>
    <row r="2341" spans="1:1" x14ac:dyDescent="0.3">
      <c r="A2341" s="1" t="s">
        <v>49</v>
      </c>
    </row>
    <row r="2342" spans="1:1" x14ac:dyDescent="0.3">
      <c r="A2342" s="2" t="s">
        <v>49</v>
      </c>
    </row>
    <row r="2343" spans="1:1" x14ac:dyDescent="0.3">
      <c r="A2343" s="1" t="s">
        <v>49</v>
      </c>
    </row>
    <row r="2344" spans="1:1" x14ac:dyDescent="0.3">
      <c r="A2344" s="2" t="s">
        <v>33</v>
      </c>
    </row>
    <row r="2345" spans="1:1" x14ac:dyDescent="0.3">
      <c r="A2345" s="1" t="s">
        <v>49</v>
      </c>
    </row>
    <row r="2346" spans="1:1" x14ac:dyDescent="0.3">
      <c r="A2346" s="2" t="s">
        <v>74</v>
      </c>
    </row>
    <row r="2347" spans="1:1" x14ac:dyDescent="0.3">
      <c r="A2347" s="1" t="s">
        <v>49</v>
      </c>
    </row>
    <row r="2348" spans="1:1" x14ac:dyDescent="0.3">
      <c r="A2348" s="2" t="s">
        <v>49</v>
      </c>
    </row>
    <row r="2349" spans="1:1" x14ac:dyDescent="0.3">
      <c r="A2349" s="1" t="s">
        <v>49</v>
      </c>
    </row>
    <row r="2350" spans="1:1" x14ac:dyDescent="0.3">
      <c r="A2350" s="2" t="s">
        <v>33</v>
      </c>
    </row>
    <row r="2351" spans="1:1" x14ac:dyDescent="0.3">
      <c r="A2351" s="1" t="s">
        <v>49</v>
      </c>
    </row>
    <row r="2352" spans="1:1" x14ac:dyDescent="0.3">
      <c r="A2352" s="2" t="s">
        <v>49</v>
      </c>
    </row>
    <row r="2353" spans="1:1" x14ac:dyDescent="0.3">
      <c r="A2353" s="1" t="s">
        <v>49</v>
      </c>
    </row>
    <row r="2354" spans="1:1" x14ac:dyDescent="0.3">
      <c r="A2354" s="2" t="s">
        <v>49</v>
      </c>
    </row>
    <row r="2355" spans="1:1" x14ac:dyDescent="0.3">
      <c r="A2355" s="1" t="s">
        <v>49</v>
      </c>
    </row>
    <row r="2356" spans="1:1" x14ac:dyDescent="0.3">
      <c r="A2356" s="2" t="s">
        <v>49</v>
      </c>
    </row>
    <row r="2357" spans="1:1" x14ac:dyDescent="0.3">
      <c r="A2357" s="1" t="s">
        <v>49</v>
      </c>
    </row>
    <row r="2358" spans="1:1" x14ac:dyDescent="0.3">
      <c r="A2358" s="2" t="s">
        <v>33</v>
      </c>
    </row>
    <row r="2359" spans="1:1" x14ac:dyDescent="0.3">
      <c r="A2359" s="1" t="s">
        <v>33</v>
      </c>
    </row>
    <row r="2360" spans="1:1" x14ac:dyDescent="0.3">
      <c r="A2360" s="2" t="s">
        <v>33</v>
      </c>
    </row>
    <row r="2361" spans="1:1" x14ac:dyDescent="0.3">
      <c r="A2361" s="1" t="s">
        <v>49</v>
      </c>
    </row>
    <row r="2362" spans="1:1" x14ac:dyDescent="0.3">
      <c r="A2362" s="2" t="s">
        <v>49</v>
      </c>
    </row>
    <row r="2363" spans="1:1" x14ac:dyDescent="0.3">
      <c r="A2363" s="1" t="s">
        <v>33</v>
      </c>
    </row>
    <row r="2364" spans="1:1" x14ac:dyDescent="0.3">
      <c r="A2364" s="2" t="s">
        <v>74</v>
      </c>
    </row>
    <row r="2365" spans="1:1" x14ac:dyDescent="0.3">
      <c r="A2365" s="1" t="s">
        <v>74</v>
      </c>
    </row>
    <row r="2366" spans="1:1" x14ac:dyDescent="0.3">
      <c r="A2366" s="2" t="s">
        <v>74</v>
      </c>
    </row>
    <row r="2367" spans="1:1" x14ac:dyDescent="0.3">
      <c r="A2367" s="1" t="s">
        <v>49</v>
      </c>
    </row>
    <row r="2368" spans="1:1" x14ac:dyDescent="0.3">
      <c r="A2368" s="2" t="s">
        <v>33</v>
      </c>
    </row>
    <row r="2369" spans="1:1" x14ac:dyDescent="0.3">
      <c r="A2369" s="1" t="s">
        <v>33</v>
      </c>
    </row>
    <row r="2370" spans="1:1" x14ac:dyDescent="0.3">
      <c r="A2370" s="2" t="s">
        <v>33</v>
      </c>
    </row>
    <row r="2371" spans="1:1" x14ac:dyDescent="0.3">
      <c r="A2371" s="1" t="s">
        <v>49</v>
      </c>
    </row>
    <row r="2372" spans="1:1" x14ac:dyDescent="0.3">
      <c r="A2372" s="2" t="s">
        <v>33</v>
      </c>
    </row>
    <row r="2373" spans="1:1" x14ac:dyDescent="0.3">
      <c r="A2373" s="1" t="s">
        <v>33</v>
      </c>
    </row>
    <row r="2374" spans="1:1" x14ac:dyDescent="0.3">
      <c r="A2374" s="2" t="s">
        <v>49</v>
      </c>
    </row>
    <row r="2375" spans="1:1" x14ac:dyDescent="0.3">
      <c r="A2375" s="1" t="s">
        <v>49</v>
      </c>
    </row>
    <row r="2376" spans="1:1" x14ac:dyDescent="0.3">
      <c r="A2376" s="2" t="s">
        <v>49</v>
      </c>
    </row>
    <row r="2377" spans="1:1" x14ac:dyDescent="0.3">
      <c r="A2377" s="1" t="s">
        <v>49</v>
      </c>
    </row>
    <row r="2378" spans="1:1" x14ac:dyDescent="0.3">
      <c r="A2378" s="2" t="s">
        <v>49</v>
      </c>
    </row>
    <row r="2379" spans="1:1" x14ac:dyDescent="0.3">
      <c r="A2379" s="1" t="s">
        <v>33</v>
      </c>
    </row>
    <row r="2380" spans="1:1" x14ac:dyDescent="0.3">
      <c r="A2380" s="2" t="s">
        <v>33</v>
      </c>
    </row>
    <row r="2381" spans="1:1" x14ac:dyDescent="0.3">
      <c r="A2381" s="1" t="s">
        <v>33</v>
      </c>
    </row>
    <row r="2382" spans="1:1" x14ac:dyDescent="0.3">
      <c r="A2382" s="2" t="s">
        <v>49</v>
      </c>
    </row>
    <row r="2383" spans="1:1" x14ac:dyDescent="0.3">
      <c r="A2383" s="1" t="s">
        <v>49</v>
      </c>
    </row>
    <row r="2384" spans="1:1" x14ac:dyDescent="0.3">
      <c r="A2384" s="2" t="s">
        <v>49</v>
      </c>
    </row>
    <row r="2385" spans="1:1" x14ac:dyDescent="0.3">
      <c r="A2385" s="1" t="s">
        <v>33</v>
      </c>
    </row>
    <row r="2386" spans="1:1" x14ac:dyDescent="0.3">
      <c r="A2386" s="2" t="s">
        <v>74</v>
      </c>
    </row>
    <row r="2387" spans="1:1" x14ac:dyDescent="0.3">
      <c r="A2387" s="1" t="s">
        <v>49</v>
      </c>
    </row>
    <row r="2388" spans="1:1" x14ac:dyDescent="0.3">
      <c r="A2388" s="2" t="s">
        <v>49</v>
      </c>
    </row>
    <row r="2389" spans="1:1" x14ac:dyDescent="0.3">
      <c r="A2389" s="1" t="s">
        <v>33</v>
      </c>
    </row>
    <row r="2390" spans="1:1" x14ac:dyDescent="0.3">
      <c r="A2390" s="2" t="s">
        <v>49</v>
      </c>
    </row>
    <row r="2391" spans="1:1" x14ac:dyDescent="0.3">
      <c r="A2391" s="1" t="s">
        <v>49</v>
      </c>
    </row>
    <row r="2392" spans="1:1" x14ac:dyDescent="0.3">
      <c r="A2392" s="2" t="s">
        <v>33</v>
      </c>
    </row>
    <row r="2393" spans="1:1" x14ac:dyDescent="0.3">
      <c r="A2393" s="1" t="s">
        <v>33</v>
      </c>
    </row>
    <row r="2394" spans="1:1" x14ac:dyDescent="0.3">
      <c r="A2394" s="2" t="s">
        <v>49</v>
      </c>
    </row>
    <row r="2395" spans="1:1" x14ac:dyDescent="0.3">
      <c r="A2395" s="1" t="s">
        <v>49</v>
      </c>
    </row>
    <row r="2396" spans="1:1" x14ac:dyDescent="0.3">
      <c r="A2396" s="2" t="s">
        <v>49</v>
      </c>
    </row>
    <row r="2397" spans="1:1" x14ac:dyDescent="0.3">
      <c r="A2397" s="1" t="s">
        <v>49</v>
      </c>
    </row>
    <row r="2398" spans="1:1" x14ac:dyDescent="0.3">
      <c r="A2398" s="2" t="s">
        <v>49</v>
      </c>
    </row>
    <row r="2399" spans="1:1" x14ac:dyDescent="0.3">
      <c r="A2399" s="1" t="s">
        <v>33</v>
      </c>
    </row>
    <row r="2400" spans="1:1" x14ac:dyDescent="0.3">
      <c r="A2400" s="2" t="s">
        <v>49</v>
      </c>
    </row>
    <row r="2401" spans="1:1" x14ac:dyDescent="0.3">
      <c r="A2401" s="1" t="s">
        <v>49</v>
      </c>
    </row>
    <row r="2402" spans="1:1" x14ac:dyDescent="0.3">
      <c r="A2402" s="2" t="s">
        <v>49</v>
      </c>
    </row>
    <row r="2403" spans="1:1" x14ac:dyDescent="0.3">
      <c r="A2403" s="1" t="s">
        <v>49</v>
      </c>
    </row>
    <row r="2404" spans="1:1" x14ac:dyDescent="0.3">
      <c r="A2404" s="2" t="s">
        <v>49</v>
      </c>
    </row>
    <row r="2405" spans="1:1" x14ac:dyDescent="0.3">
      <c r="A2405" s="1" t="s">
        <v>49</v>
      </c>
    </row>
    <row r="2406" spans="1:1" x14ac:dyDescent="0.3">
      <c r="A2406" s="2" t="s">
        <v>49</v>
      </c>
    </row>
    <row r="2407" spans="1:1" x14ac:dyDescent="0.3">
      <c r="A2407" s="1" t="s">
        <v>49</v>
      </c>
    </row>
    <row r="2408" spans="1:1" x14ac:dyDescent="0.3">
      <c r="A2408" s="2" t="s">
        <v>33</v>
      </c>
    </row>
    <row r="2409" spans="1:1" x14ac:dyDescent="0.3">
      <c r="A2409" s="1" t="s">
        <v>49</v>
      </c>
    </row>
    <row r="2410" spans="1:1" x14ac:dyDescent="0.3">
      <c r="A2410" s="2" t="s">
        <v>49</v>
      </c>
    </row>
    <row r="2411" spans="1:1" x14ac:dyDescent="0.3">
      <c r="A2411" s="1" t="s">
        <v>49</v>
      </c>
    </row>
    <row r="2412" spans="1:1" x14ac:dyDescent="0.3">
      <c r="A2412" s="2" t="s">
        <v>33</v>
      </c>
    </row>
    <row r="2413" spans="1:1" x14ac:dyDescent="0.3">
      <c r="A2413" s="1" t="s">
        <v>49</v>
      </c>
    </row>
    <row r="2414" spans="1:1" x14ac:dyDescent="0.3">
      <c r="A2414" s="2" t="s">
        <v>33</v>
      </c>
    </row>
    <row r="2415" spans="1:1" x14ac:dyDescent="0.3">
      <c r="A2415" s="1" t="s">
        <v>49</v>
      </c>
    </row>
    <row r="2416" spans="1:1" x14ac:dyDescent="0.3">
      <c r="A2416" s="2" t="s">
        <v>49</v>
      </c>
    </row>
    <row r="2417" spans="1:1" x14ac:dyDescent="0.3">
      <c r="A2417" s="1" t="s">
        <v>49</v>
      </c>
    </row>
    <row r="2418" spans="1:1" x14ac:dyDescent="0.3">
      <c r="A2418" s="2" t="s">
        <v>49</v>
      </c>
    </row>
    <row r="2419" spans="1:1" x14ac:dyDescent="0.3">
      <c r="A2419" s="1" t="s">
        <v>33</v>
      </c>
    </row>
    <row r="2420" spans="1:1" x14ac:dyDescent="0.3">
      <c r="A2420" s="2" t="s">
        <v>49</v>
      </c>
    </row>
    <row r="2421" spans="1:1" x14ac:dyDescent="0.3">
      <c r="A2421" s="1" t="s">
        <v>49</v>
      </c>
    </row>
    <row r="2422" spans="1:1" x14ac:dyDescent="0.3">
      <c r="A2422" s="2" t="s">
        <v>49</v>
      </c>
    </row>
    <row r="2423" spans="1:1" x14ac:dyDescent="0.3">
      <c r="A2423" s="1" t="s">
        <v>33</v>
      </c>
    </row>
    <row r="2424" spans="1:1" x14ac:dyDescent="0.3">
      <c r="A2424" s="2" t="s">
        <v>49</v>
      </c>
    </row>
    <row r="2425" spans="1:1" x14ac:dyDescent="0.3">
      <c r="A2425" s="1" t="s">
        <v>49</v>
      </c>
    </row>
    <row r="2426" spans="1:1" x14ac:dyDescent="0.3">
      <c r="A2426" s="2" t="s">
        <v>49</v>
      </c>
    </row>
    <row r="2427" spans="1:1" x14ac:dyDescent="0.3">
      <c r="A2427" s="1" t="s">
        <v>49</v>
      </c>
    </row>
    <row r="2428" spans="1:1" x14ac:dyDescent="0.3">
      <c r="A2428" s="2" t="s">
        <v>49</v>
      </c>
    </row>
    <row r="2429" spans="1:1" x14ac:dyDescent="0.3">
      <c r="A2429" s="1" t="s">
        <v>49</v>
      </c>
    </row>
    <row r="2430" spans="1:1" x14ac:dyDescent="0.3">
      <c r="A2430" s="2" t="s">
        <v>49</v>
      </c>
    </row>
    <row r="2431" spans="1:1" x14ac:dyDescent="0.3">
      <c r="A2431" s="1" t="s">
        <v>49</v>
      </c>
    </row>
    <row r="2432" spans="1:1" x14ac:dyDescent="0.3">
      <c r="A2432" s="2" t="s">
        <v>33</v>
      </c>
    </row>
    <row r="2433" spans="1:1" x14ac:dyDescent="0.3">
      <c r="A2433" s="1" t="s">
        <v>33</v>
      </c>
    </row>
    <row r="2434" spans="1:1" x14ac:dyDescent="0.3">
      <c r="A2434" s="2" t="s">
        <v>33</v>
      </c>
    </row>
    <row r="2435" spans="1:1" x14ac:dyDescent="0.3">
      <c r="A2435" s="1" t="s">
        <v>33</v>
      </c>
    </row>
    <row r="2436" spans="1:1" x14ac:dyDescent="0.3">
      <c r="A2436" s="2" t="s">
        <v>49</v>
      </c>
    </row>
    <row r="2437" spans="1:1" x14ac:dyDescent="0.3">
      <c r="A2437" s="1" t="s">
        <v>49</v>
      </c>
    </row>
    <row r="2438" spans="1:1" x14ac:dyDescent="0.3">
      <c r="A2438" s="2" t="s">
        <v>49</v>
      </c>
    </row>
    <row r="2439" spans="1:1" x14ac:dyDescent="0.3">
      <c r="A2439" s="1" t="s">
        <v>49</v>
      </c>
    </row>
    <row r="2440" spans="1:1" x14ac:dyDescent="0.3">
      <c r="A2440" s="2" t="s">
        <v>49</v>
      </c>
    </row>
    <row r="2441" spans="1:1" x14ac:dyDescent="0.3">
      <c r="A2441" s="1" t="s">
        <v>49</v>
      </c>
    </row>
    <row r="2442" spans="1:1" x14ac:dyDescent="0.3">
      <c r="A2442" s="2" t="s">
        <v>49</v>
      </c>
    </row>
    <row r="2443" spans="1:1" x14ac:dyDescent="0.3">
      <c r="A2443" s="1" t="s">
        <v>49</v>
      </c>
    </row>
    <row r="2444" spans="1:1" x14ac:dyDescent="0.3">
      <c r="A2444" s="2" t="s">
        <v>49</v>
      </c>
    </row>
    <row r="2445" spans="1:1" x14ac:dyDescent="0.3">
      <c r="A2445" s="1" t="s">
        <v>49</v>
      </c>
    </row>
    <row r="2446" spans="1:1" x14ac:dyDescent="0.3">
      <c r="A2446" s="2" t="s">
        <v>49</v>
      </c>
    </row>
    <row r="2447" spans="1:1" x14ac:dyDescent="0.3">
      <c r="A2447" s="1" t="s">
        <v>33</v>
      </c>
    </row>
    <row r="2448" spans="1:1" x14ac:dyDescent="0.3">
      <c r="A2448" s="2" t="s">
        <v>74</v>
      </c>
    </row>
    <row r="2449" spans="1:1" x14ac:dyDescent="0.3">
      <c r="A2449" s="1" t="s">
        <v>49</v>
      </c>
    </row>
    <row r="2450" spans="1:1" x14ac:dyDescent="0.3">
      <c r="A2450" s="2" t="s">
        <v>49</v>
      </c>
    </row>
    <row r="2451" spans="1:1" x14ac:dyDescent="0.3">
      <c r="A2451" s="1" t="s">
        <v>33</v>
      </c>
    </row>
    <row r="2452" spans="1:1" x14ac:dyDescent="0.3">
      <c r="A2452" s="2" t="s">
        <v>33</v>
      </c>
    </row>
    <row r="2453" spans="1:1" x14ac:dyDescent="0.3">
      <c r="A2453" s="1" t="s">
        <v>49</v>
      </c>
    </row>
    <row r="2454" spans="1:1" x14ac:dyDescent="0.3">
      <c r="A2454" s="2" t="s">
        <v>49</v>
      </c>
    </row>
    <row r="2455" spans="1:1" x14ac:dyDescent="0.3">
      <c r="A2455" s="1" t="s">
        <v>33</v>
      </c>
    </row>
    <row r="2456" spans="1:1" x14ac:dyDescent="0.3">
      <c r="A2456" s="2" t="s">
        <v>33</v>
      </c>
    </row>
    <row r="2457" spans="1:1" x14ac:dyDescent="0.3">
      <c r="A2457" s="1" t="s">
        <v>33</v>
      </c>
    </row>
    <row r="2458" spans="1:1" x14ac:dyDescent="0.3">
      <c r="A2458" s="2" t="s">
        <v>49</v>
      </c>
    </row>
    <row r="2459" spans="1:1" x14ac:dyDescent="0.3">
      <c r="A2459" s="1" t="s">
        <v>49</v>
      </c>
    </row>
    <row r="2460" spans="1:1" x14ac:dyDescent="0.3">
      <c r="A2460" s="2" t="s">
        <v>49</v>
      </c>
    </row>
    <row r="2461" spans="1:1" x14ac:dyDescent="0.3">
      <c r="A2461" s="1" t="s">
        <v>33</v>
      </c>
    </row>
    <row r="2462" spans="1:1" x14ac:dyDescent="0.3">
      <c r="A2462" s="2" t="s">
        <v>33</v>
      </c>
    </row>
    <row r="2463" spans="1:1" x14ac:dyDescent="0.3">
      <c r="A2463" s="1" t="s">
        <v>49</v>
      </c>
    </row>
    <row r="2464" spans="1:1" x14ac:dyDescent="0.3">
      <c r="A2464" s="2" t="s">
        <v>49</v>
      </c>
    </row>
    <row r="2465" spans="1:1" x14ac:dyDescent="0.3">
      <c r="A2465" s="1" t="s">
        <v>49</v>
      </c>
    </row>
    <row r="2466" spans="1:1" x14ac:dyDescent="0.3">
      <c r="A2466" s="2" t="s">
        <v>49</v>
      </c>
    </row>
    <row r="2467" spans="1:1" x14ac:dyDescent="0.3">
      <c r="A2467" s="1" t="s">
        <v>49</v>
      </c>
    </row>
    <row r="2468" spans="1:1" x14ac:dyDescent="0.3">
      <c r="A2468" s="2" t="s">
        <v>49</v>
      </c>
    </row>
    <row r="2469" spans="1:1" x14ac:dyDescent="0.3">
      <c r="A2469" s="1" t="s">
        <v>49</v>
      </c>
    </row>
    <row r="2470" spans="1:1" x14ac:dyDescent="0.3">
      <c r="A2470" s="2" t="s">
        <v>49</v>
      </c>
    </row>
    <row r="2471" spans="1:1" x14ac:dyDescent="0.3">
      <c r="A2471" s="1" t="s">
        <v>49</v>
      </c>
    </row>
    <row r="2472" spans="1:1" x14ac:dyDescent="0.3">
      <c r="A2472" s="2" t="s">
        <v>49</v>
      </c>
    </row>
    <row r="2473" spans="1:1" x14ac:dyDescent="0.3">
      <c r="A2473" s="1" t="s">
        <v>49</v>
      </c>
    </row>
    <row r="2474" spans="1:1" x14ac:dyDescent="0.3">
      <c r="A2474" s="2" t="s">
        <v>49</v>
      </c>
    </row>
    <row r="2475" spans="1:1" x14ac:dyDescent="0.3">
      <c r="A2475" s="1" t="s">
        <v>49</v>
      </c>
    </row>
    <row r="2476" spans="1:1" x14ac:dyDescent="0.3">
      <c r="A2476" s="2" t="s">
        <v>49</v>
      </c>
    </row>
    <row r="2477" spans="1:1" x14ac:dyDescent="0.3">
      <c r="A2477" s="1" t="s">
        <v>49</v>
      </c>
    </row>
    <row r="2478" spans="1:1" x14ac:dyDescent="0.3">
      <c r="A2478" s="2" t="s">
        <v>49</v>
      </c>
    </row>
    <row r="2479" spans="1:1" x14ac:dyDescent="0.3">
      <c r="A2479" s="1" t="s">
        <v>49</v>
      </c>
    </row>
    <row r="2480" spans="1:1" x14ac:dyDescent="0.3">
      <c r="A2480" s="2" t="s">
        <v>33</v>
      </c>
    </row>
    <row r="2481" spans="1:1" x14ac:dyDescent="0.3">
      <c r="A2481" s="1" t="s">
        <v>33</v>
      </c>
    </row>
    <row r="2482" spans="1:1" x14ac:dyDescent="0.3">
      <c r="A2482" s="2" t="s">
        <v>33</v>
      </c>
    </row>
    <row r="2483" spans="1:1" x14ac:dyDescent="0.3">
      <c r="A2483" s="1" t="s">
        <v>49</v>
      </c>
    </row>
    <row r="2484" spans="1:1" x14ac:dyDescent="0.3">
      <c r="A2484" s="2" t="s">
        <v>49</v>
      </c>
    </row>
    <row r="2485" spans="1:1" x14ac:dyDescent="0.3">
      <c r="A2485" s="1" t="s">
        <v>33</v>
      </c>
    </row>
    <row r="2486" spans="1:1" x14ac:dyDescent="0.3">
      <c r="A2486" s="2" t="s">
        <v>49</v>
      </c>
    </row>
    <row r="2487" spans="1:1" x14ac:dyDescent="0.3">
      <c r="A2487" s="1" t="s">
        <v>74</v>
      </c>
    </row>
    <row r="2488" spans="1:1" x14ac:dyDescent="0.3">
      <c r="A2488" s="2" t="s">
        <v>49</v>
      </c>
    </row>
    <row r="2489" spans="1:1" x14ac:dyDescent="0.3">
      <c r="A2489" s="1" t="s">
        <v>49</v>
      </c>
    </row>
    <row r="2490" spans="1:1" x14ac:dyDescent="0.3">
      <c r="A2490" s="2" t="s">
        <v>49</v>
      </c>
    </row>
    <row r="2491" spans="1:1" x14ac:dyDescent="0.3">
      <c r="A2491" s="1" t="s">
        <v>74</v>
      </c>
    </row>
    <row r="2492" spans="1:1" x14ac:dyDescent="0.3">
      <c r="A2492" s="2" t="s">
        <v>49</v>
      </c>
    </row>
    <row r="2493" spans="1:1" x14ac:dyDescent="0.3">
      <c r="A2493" s="1" t="s">
        <v>33</v>
      </c>
    </row>
    <row r="2494" spans="1:1" x14ac:dyDescent="0.3">
      <c r="A2494" s="2" t="s">
        <v>49</v>
      </c>
    </row>
    <row r="2495" spans="1:1" x14ac:dyDescent="0.3">
      <c r="A2495" s="1" t="s">
        <v>49</v>
      </c>
    </row>
    <row r="2496" spans="1:1" x14ac:dyDescent="0.3">
      <c r="A2496" s="2" t="s">
        <v>49</v>
      </c>
    </row>
    <row r="2497" spans="1:1" x14ac:dyDescent="0.3">
      <c r="A2497" s="1" t="s">
        <v>49</v>
      </c>
    </row>
    <row r="2498" spans="1:1" x14ac:dyDescent="0.3">
      <c r="A2498" s="2" t="s">
        <v>49</v>
      </c>
    </row>
    <row r="2499" spans="1:1" x14ac:dyDescent="0.3">
      <c r="A2499" s="1" t="s">
        <v>49</v>
      </c>
    </row>
    <row r="2500" spans="1:1" x14ac:dyDescent="0.3">
      <c r="A2500" s="2" t="s">
        <v>49</v>
      </c>
    </row>
    <row r="2501" spans="1:1" x14ac:dyDescent="0.3">
      <c r="A2501" s="1" t="s">
        <v>49</v>
      </c>
    </row>
    <row r="2502" spans="1:1" x14ac:dyDescent="0.3">
      <c r="A2502" s="2" t="s">
        <v>74</v>
      </c>
    </row>
    <row r="2503" spans="1:1" x14ac:dyDescent="0.3">
      <c r="A2503" s="1" t="s">
        <v>74</v>
      </c>
    </row>
    <row r="2504" spans="1:1" x14ac:dyDescent="0.3">
      <c r="A2504" s="2" t="s">
        <v>49</v>
      </c>
    </row>
    <row r="2505" spans="1:1" x14ac:dyDescent="0.3">
      <c r="A2505" s="1" t="s">
        <v>49</v>
      </c>
    </row>
    <row r="2506" spans="1:1" x14ac:dyDescent="0.3">
      <c r="A2506" s="2" t="s">
        <v>33</v>
      </c>
    </row>
    <row r="2507" spans="1:1" x14ac:dyDescent="0.3">
      <c r="A2507" s="1" t="s">
        <v>33</v>
      </c>
    </row>
    <row r="2508" spans="1:1" x14ac:dyDescent="0.3">
      <c r="A2508" s="2" t="s">
        <v>33</v>
      </c>
    </row>
    <row r="2509" spans="1:1" x14ac:dyDescent="0.3">
      <c r="A2509" s="1" t="s">
        <v>33</v>
      </c>
    </row>
    <row r="2510" spans="1:1" x14ac:dyDescent="0.3">
      <c r="A2510" s="2" t="s">
        <v>33</v>
      </c>
    </row>
    <row r="2511" spans="1:1" x14ac:dyDescent="0.3">
      <c r="A2511" s="1" t="s">
        <v>33</v>
      </c>
    </row>
    <row r="2512" spans="1:1" x14ac:dyDescent="0.3">
      <c r="A2512" s="2" t="s">
        <v>49</v>
      </c>
    </row>
    <row r="2513" spans="1:1" x14ac:dyDescent="0.3">
      <c r="A2513" s="1" t="s">
        <v>49</v>
      </c>
    </row>
    <row r="2514" spans="1:1" x14ac:dyDescent="0.3">
      <c r="A2514" s="2" t="s">
        <v>49</v>
      </c>
    </row>
    <row r="2515" spans="1:1" x14ac:dyDescent="0.3">
      <c r="A2515" s="1" t="s">
        <v>49</v>
      </c>
    </row>
    <row r="2516" spans="1:1" x14ac:dyDescent="0.3">
      <c r="A2516" s="2" t="s">
        <v>49</v>
      </c>
    </row>
    <row r="2517" spans="1:1" x14ac:dyDescent="0.3">
      <c r="A2517" s="1" t="s">
        <v>49</v>
      </c>
    </row>
    <row r="2518" spans="1:1" x14ac:dyDescent="0.3">
      <c r="A2518" s="2" t="s">
        <v>33</v>
      </c>
    </row>
    <row r="2519" spans="1:1" x14ac:dyDescent="0.3">
      <c r="A2519" s="1" t="s">
        <v>49</v>
      </c>
    </row>
    <row r="2520" spans="1:1" x14ac:dyDescent="0.3">
      <c r="A2520" s="2" t="s">
        <v>33</v>
      </c>
    </row>
    <row r="2521" spans="1:1" x14ac:dyDescent="0.3">
      <c r="A2521" s="1" t="s">
        <v>33</v>
      </c>
    </row>
    <row r="2522" spans="1:1" x14ac:dyDescent="0.3">
      <c r="A2522" s="2" t="s">
        <v>74</v>
      </c>
    </row>
    <row r="2523" spans="1:1" x14ac:dyDescent="0.3">
      <c r="A2523" s="1" t="s">
        <v>49</v>
      </c>
    </row>
    <row r="2524" spans="1:1" x14ac:dyDescent="0.3">
      <c r="A2524" s="2" t="s">
        <v>49</v>
      </c>
    </row>
    <row r="2525" spans="1:1" x14ac:dyDescent="0.3">
      <c r="A2525" s="1" t="s">
        <v>33</v>
      </c>
    </row>
    <row r="2526" spans="1:1" x14ac:dyDescent="0.3">
      <c r="A2526" s="2" t="s">
        <v>33</v>
      </c>
    </row>
    <row r="2527" spans="1:1" x14ac:dyDescent="0.3">
      <c r="A2527" s="1" t="s">
        <v>33</v>
      </c>
    </row>
    <row r="2528" spans="1:1" x14ac:dyDescent="0.3">
      <c r="A2528" s="2" t="s">
        <v>49</v>
      </c>
    </row>
    <row r="2529" spans="1:1" x14ac:dyDescent="0.3">
      <c r="A2529" s="1" t="s">
        <v>49</v>
      </c>
    </row>
    <row r="2530" spans="1:1" x14ac:dyDescent="0.3">
      <c r="A2530" s="2" t="s">
        <v>49</v>
      </c>
    </row>
    <row r="2531" spans="1:1" x14ac:dyDescent="0.3">
      <c r="A2531" s="1" t="s">
        <v>49</v>
      </c>
    </row>
    <row r="2532" spans="1:1" x14ac:dyDescent="0.3">
      <c r="A2532" s="2" t="s">
        <v>33</v>
      </c>
    </row>
    <row r="2533" spans="1:1" x14ac:dyDescent="0.3">
      <c r="A2533" s="1" t="s">
        <v>49</v>
      </c>
    </row>
    <row r="2534" spans="1:1" x14ac:dyDescent="0.3">
      <c r="A2534" s="2" t="s">
        <v>49</v>
      </c>
    </row>
    <row r="2535" spans="1:1" x14ac:dyDescent="0.3">
      <c r="A2535" s="1" t="s">
        <v>49</v>
      </c>
    </row>
    <row r="2536" spans="1:1" x14ac:dyDescent="0.3">
      <c r="A2536" s="2" t="s">
        <v>49</v>
      </c>
    </row>
    <row r="2537" spans="1:1" x14ac:dyDescent="0.3">
      <c r="A2537" s="1" t="s">
        <v>49</v>
      </c>
    </row>
    <row r="2538" spans="1:1" x14ac:dyDescent="0.3">
      <c r="A2538" s="2" t="s">
        <v>49</v>
      </c>
    </row>
    <row r="2539" spans="1:1" x14ac:dyDescent="0.3">
      <c r="A2539" s="1" t="s">
        <v>49</v>
      </c>
    </row>
    <row r="2540" spans="1:1" x14ac:dyDescent="0.3">
      <c r="A2540" s="2" t="s">
        <v>33</v>
      </c>
    </row>
    <row r="2541" spans="1:1" x14ac:dyDescent="0.3">
      <c r="A2541" s="1" t="s">
        <v>49</v>
      </c>
    </row>
    <row r="2542" spans="1:1" x14ac:dyDescent="0.3">
      <c r="A2542" s="2" t="s">
        <v>49</v>
      </c>
    </row>
    <row r="2543" spans="1:1" x14ac:dyDescent="0.3">
      <c r="A2543" s="1" t="s">
        <v>49</v>
      </c>
    </row>
    <row r="2544" spans="1:1" x14ac:dyDescent="0.3">
      <c r="A2544" s="2" t="s">
        <v>49</v>
      </c>
    </row>
    <row r="2545" spans="1:1" x14ac:dyDescent="0.3">
      <c r="A2545" s="1" t="s">
        <v>49</v>
      </c>
    </row>
    <row r="2546" spans="1:1" x14ac:dyDescent="0.3">
      <c r="A2546" s="2" t="s">
        <v>49</v>
      </c>
    </row>
    <row r="2547" spans="1:1" x14ac:dyDescent="0.3">
      <c r="A2547" s="1" t="s">
        <v>33</v>
      </c>
    </row>
    <row r="2548" spans="1:1" x14ac:dyDescent="0.3">
      <c r="A2548" s="2" t="s">
        <v>33</v>
      </c>
    </row>
    <row r="2549" spans="1:1" x14ac:dyDescent="0.3">
      <c r="A2549" s="1" t="s">
        <v>49</v>
      </c>
    </row>
    <row r="2550" spans="1:1" x14ac:dyDescent="0.3">
      <c r="A2550" s="2" t="s">
        <v>49</v>
      </c>
    </row>
    <row r="2551" spans="1:1" x14ac:dyDescent="0.3">
      <c r="A2551" s="1" t="s">
        <v>49</v>
      </c>
    </row>
    <row r="2552" spans="1:1" x14ac:dyDescent="0.3">
      <c r="A2552" s="2" t="s">
        <v>49</v>
      </c>
    </row>
    <row r="2553" spans="1:1" x14ac:dyDescent="0.3">
      <c r="A2553" s="1" t="s">
        <v>49</v>
      </c>
    </row>
    <row r="2554" spans="1:1" x14ac:dyDescent="0.3">
      <c r="A2554" s="2" t="s">
        <v>49</v>
      </c>
    </row>
    <row r="2555" spans="1:1" x14ac:dyDescent="0.3">
      <c r="A2555" s="1" t="s">
        <v>49</v>
      </c>
    </row>
    <row r="2556" spans="1:1" x14ac:dyDescent="0.3">
      <c r="A2556" s="2" t="s">
        <v>49</v>
      </c>
    </row>
    <row r="2557" spans="1:1" x14ac:dyDescent="0.3">
      <c r="A2557" s="1" t="s">
        <v>49</v>
      </c>
    </row>
    <row r="2558" spans="1:1" x14ac:dyDescent="0.3">
      <c r="A2558" s="2" t="s">
        <v>49</v>
      </c>
    </row>
    <row r="2559" spans="1:1" x14ac:dyDescent="0.3">
      <c r="A2559" s="1" t="s">
        <v>49</v>
      </c>
    </row>
    <row r="2560" spans="1:1" x14ac:dyDescent="0.3">
      <c r="A2560" s="2" t="s">
        <v>49</v>
      </c>
    </row>
    <row r="2561" spans="1:1" x14ac:dyDescent="0.3">
      <c r="A2561" s="1" t="s">
        <v>49</v>
      </c>
    </row>
    <row r="2562" spans="1:1" x14ac:dyDescent="0.3">
      <c r="A2562" s="2" t="s">
        <v>49</v>
      </c>
    </row>
    <row r="2563" spans="1:1" x14ac:dyDescent="0.3">
      <c r="A2563" s="1" t="s">
        <v>49</v>
      </c>
    </row>
    <row r="2564" spans="1:1" x14ac:dyDescent="0.3">
      <c r="A2564" s="2" t="s">
        <v>49</v>
      </c>
    </row>
    <row r="2565" spans="1:1" x14ac:dyDescent="0.3">
      <c r="A2565" s="1" t="s">
        <v>49</v>
      </c>
    </row>
    <row r="2566" spans="1:1" x14ac:dyDescent="0.3">
      <c r="A2566" s="2" t="s">
        <v>49</v>
      </c>
    </row>
    <row r="2567" spans="1:1" x14ac:dyDescent="0.3">
      <c r="A2567" s="1" t="s">
        <v>33</v>
      </c>
    </row>
    <row r="2568" spans="1:1" x14ac:dyDescent="0.3">
      <c r="A2568" s="2" t="s">
        <v>49</v>
      </c>
    </row>
    <row r="2569" spans="1:1" x14ac:dyDescent="0.3">
      <c r="A2569" s="1" t="s">
        <v>33</v>
      </c>
    </row>
    <row r="2570" spans="1:1" x14ac:dyDescent="0.3">
      <c r="A2570" s="2" t="s">
        <v>74</v>
      </c>
    </row>
    <row r="2571" spans="1:1" x14ac:dyDescent="0.3">
      <c r="A2571" s="1" t="s">
        <v>33</v>
      </c>
    </row>
    <row r="2572" spans="1:1" x14ac:dyDescent="0.3">
      <c r="A2572" s="2" t="s">
        <v>33</v>
      </c>
    </row>
    <row r="2573" spans="1:1" x14ac:dyDescent="0.3">
      <c r="A2573" s="1" t="s">
        <v>33</v>
      </c>
    </row>
    <row r="2574" spans="1:1" x14ac:dyDescent="0.3">
      <c r="A2574" s="2" t="s">
        <v>33</v>
      </c>
    </row>
    <row r="2575" spans="1:1" x14ac:dyDescent="0.3">
      <c r="A2575" s="1" t="s">
        <v>33</v>
      </c>
    </row>
    <row r="2576" spans="1:1" x14ac:dyDescent="0.3">
      <c r="A2576" s="2" t="s">
        <v>33</v>
      </c>
    </row>
    <row r="2577" spans="1:1" x14ac:dyDescent="0.3">
      <c r="A2577" s="1" t="s">
        <v>33</v>
      </c>
    </row>
    <row r="2578" spans="1:1" x14ac:dyDescent="0.3">
      <c r="A2578" s="2" t="s">
        <v>33</v>
      </c>
    </row>
    <row r="2579" spans="1:1" x14ac:dyDescent="0.3">
      <c r="A2579" s="1" t="s">
        <v>33</v>
      </c>
    </row>
    <row r="2580" spans="1:1" x14ac:dyDescent="0.3">
      <c r="A2580" s="2" t="s">
        <v>33</v>
      </c>
    </row>
    <row r="2581" spans="1:1" x14ac:dyDescent="0.3">
      <c r="A2581" s="1" t="s">
        <v>33</v>
      </c>
    </row>
    <row r="2582" spans="1:1" x14ac:dyDescent="0.3">
      <c r="A2582" s="2" t="s">
        <v>49</v>
      </c>
    </row>
    <row r="2583" spans="1:1" x14ac:dyDescent="0.3">
      <c r="A2583" s="1" t="s">
        <v>49</v>
      </c>
    </row>
    <row r="2584" spans="1:1" x14ac:dyDescent="0.3">
      <c r="A2584" s="2" t="s">
        <v>49</v>
      </c>
    </row>
    <row r="2585" spans="1:1" x14ac:dyDescent="0.3">
      <c r="A2585" s="1" t="s">
        <v>49</v>
      </c>
    </row>
    <row r="2586" spans="1:1" x14ac:dyDescent="0.3">
      <c r="A2586" s="2" t="s">
        <v>74</v>
      </c>
    </row>
    <row r="2587" spans="1:1" x14ac:dyDescent="0.3">
      <c r="A2587" s="1" t="s">
        <v>33</v>
      </c>
    </row>
    <row r="2588" spans="1:1" x14ac:dyDescent="0.3">
      <c r="A2588" s="2" t="s">
        <v>49</v>
      </c>
    </row>
    <row r="2589" spans="1:1" x14ac:dyDescent="0.3">
      <c r="A2589" s="1" t="s">
        <v>33</v>
      </c>
    </row>
    <row r="2590" spans="1:1" x14ac:dyDescent="0.3">
      <c r="A2590" s="2" t="s">
        <v>49</v>
      </c>
    </row>
    <row r="2591" spans="1:1" x14ac:dyDescent="0.3">
      <c r="A2591" s="1" t="s">
        <v>49</v>
      </c>
    </row>
    <row r="2592" spans="1:1" x14ac:dyDescent="0.3">
      <c r="A2592" s="2" t="s">
        <v>49</v>
      </c>
    </row>
    <row r="2593" spans="1:1" x14ac:dyDescent="0.3">
      <c r="A2593" s="1" t="s">
        <v>49</v>
      </c>
    </row>
    <row r="2594" spans="1:1" x14ac:dyDescent="0.3">
      <c r="A2594" s="2" t="s">
        <v>49</v>
      </c>
    </row>
    <row r="2595" spans="1:1" x14ac:dyDescent="0.3">
      <c r="A2595" s="1" t="s">
        <v>49</v>
      </c>
    </row>
    <row r="2596" spans="1:1" x14ac:dyDescent="0.3">
      <c r="A2596" s="2" t="s">
        <v>49</v>
      </c>
    </row>
    <row r="2597" spans="1:1" x14ac:dyDescent="0.3">
      <c r="A2597" s="1" t="s">
        <v>49</v>
      </c>
    </row>
    <row r="2598" spans="1:1" x14ac:dyDescent="0.3">
      <c r="A2598" s="2" t="s">
        <v>49</v>
      </c>
    </row>
    <row r="2599" spans="1:1" x14ac:dyDescent="0.3">
      <c r="A2599" s="1" t="s">
        <v>49</v>
      </c>
    </row>
    <row r="2600" spans="1:1" x14ac:dyDescent="0.3">
      <c r="A2600" s="2" t="s">
        <v>49</v>
      </c>
    </row>
    <row r="2601" spans="1:1" x14ac:dyDescent="0.3">
      <c r="A2601" s="1" t="s">
        <v>49</v>
      </c>
    </row>
    <row r="2602" spans="1:1" x14ac:dyDescent="0.3">
      <c r="A2602" s="2" t="s">
        <v>49</v>
      </c>
    </row>
    <row r="2603" spans="1:1" x14ac:dyDescent="0.3">
      <c r="A2603" s="1" t="s">
        <v>49</v>
      </c>
    </row>
    <row r="2604" spans="1:1" x14ac:dyDescent="0.3">
      <c r="A2604" s="2" t="s">
        <v>74</v>
      </c>
    </row>
    <row r="2605" spans="1:1" x14ac:dyDescent="0.3">
      <c r="A2605" s="1" t="s">
        <v>33</v>
      </c>
    </row>
    <row r="2606" spans="1:1" x14ac:dyDescent="0.3">
      <c r="A2606" s="2" t="s">
        <v>49</v>
      </c>
    </row>
    <row r="2607" spans="1:1" x14ac:dyDescent="0.3">
      <c r="A2607" s="1" t="s">
        <v>33</v>
      </c>
    </row>
    <row r="2608" spans="1:1" x14ac:dyDescent="0.3">
      <c r="A2608" s="2" t="s">
        <v>49</v>
      </c>
    </row>
    <row r="2609" spans="1:1" x14ac:dyDescent="0.3">
      <c r="A2609" s="1" t="s">
        <v>49</v>
      </c>
    </row>
    <row r="2610" spans="1:1" x14ac:dyDescent="0.3">
      <c r="A2610" s="2" t="s">
        <v>49</v>
      </c>
    </row>
    <row r="2611" spans="1:1" x14ac:dyDescent="0.3">
      <c r="A2611" s="1" t="s">
        <v>49</v>
      </c>
    </row>
    <row r="2612" spans="1:1" x14ac:dyDescent="0.3">
      <c r="A2612" s="2" t="s">
        <v>33</v>
      </c>
    </row>
    <row r="2613" spans="1:1" x14ac:dyDescent="0.3">
      <c r="A2613" s="1" t="s">
        <v>33</v>
      </c>
    </row>
    <row r="2614" spans="1:1" x14ac:dyDescent="0.3">
      <c r="A2614" s="2" t="s">
        <v>33</v>
      </c>
    </row>
    <row r="2615" spans="1:1" x14ac:dyDescent="0.3">
      <c r="A2615" s="1" t="s">
        <v>33</v>
      </c>
    </row>
    <row r="2616" spans="1:1" x14ac:dyDescent="0.3">
      <c r="A2616" s="2" t="s">
        <v>33</v>
      </c>
    </row>
    <row r="2617" spans="1:1" x14ac:dyDescent="0.3">
      <c r="A2617" s="1" t="s">
        <v>33</v>
      </c>
    </row>
    <row r="2618" spans="1:1" x14ac:dyDescent="0.3">
      <c r="A2618" s="2" t="s">
        <v>33</v>
      </c>
    </row>
    <row r="2619" spans="1:1" x14ac:dyDescent="0.3">
      <c r="A2619" s="1" t="s">
        <v>49</v>
      </c>
    </row>
    <row r="2620" spans="1:1" x14ac:dyDescent="0.3">
      <c r="A2620" s="2" t="s">
        <v>33</v>
      </c>
    </row>
    <row r="2621" spans="1:1" x14ac:dyDescent="0.3">
      <c r="A2621" s="1" t="s">
        <v>33</v>
      </c>
    </row>
    <row r="2622" spans="1:1" x14ac:dyDescent="0.3">
      <c r="A2622" s="2" t="s">
        <v>49</v>
      </c>
    </row>
    <row r="2623" spans="1:1" x14ac:dyDescent="0.3">
      <c r="A2623" s="1" t="s">
        <v>49</v>
      </c>
    </row>
    <row r="2624" spans="1:1" x14ac:dyDescent="0.3">
      <c r="A2624" s="2" t="s">
        <v>49</v>
      </c>
    </row>
    <row r="2625" spans="1:1" x14ac:dyDescent="0.3">
      <c r="A2625" s="1" t="s">
        <v>49</v>
      </c>
    </row>
    <row r="2626" spans="1:1" x14ac:dyDescent="0.3">
      <c r="A2626" s="2" t="s">
        <v>49</v>
      </c>
    </row>
    <row r="2627" spans="1:1" x14ac:dyDescent="0.3">
      <c r="A2627" s="1" t="s">
        <v>49</v>
      </c>
    </row>
    <row r="2628" spans="1:1" x14ac:dyDescent="0.3">
      <c r="A2628" s="2" t="s">
        <v>49</v>
      </c>
    </row>
    <row r="2629" spans="1:1" x14ac:dyDescent="0.3">
      <c r="A2629" s="1" t="s">
        <v>49</v>
      </c>
    </row>
    <row r="2630" spans="1:1" x14ac:dyDescent="0.3">
      <c r="A2630" s="2" t="s">
        <v>49</v>
      </c>
    </row>
    <row r="2631" spans="1:1" x14ac:dyDescent="0.3">
      <c r="A2631" s="1" t="s">
        <v>49</v>
      </c>
    </row>
    <row r="2632" spans="1:1" x14ac:dyDescent="0.3">
      <c r="A2632" s="2" t="s">
        <v>49</v>
      </c>
    </row>
    <row r="2633" spans="1:1" x14ac:dyDescent="0.3">
      <c r="A2633" s="1" t="s">
        <v>49</v>
      </c>
    </row>
    <row r="2634" spans="1:1" x14ac:dyDescent="0.3">
      <c r="A2634" s="2" t="s">
        <v>49</v>
      </c>
    </row>
    <row r="2635" spans="1:1" x14ac:dyDescent="0.3">
      <c r="A2635" s="1" t="s">
        <v>49</v>
      </c>
    </row>
    <row r="2636" spans="1:1" x14ac:dyDescent="0.3">
      <c r="A2636" s="2" t="s">
        <v>49</v>
      </c>
    </row>
    <row r="2637" spans="1:1" x14ac:dyDescent="0.3">
      <c r="A2637" s="1" t="s">
        <v>33</v>
      </c>
    </row>
    <row r="2638" spans="1:1" x14ac:dyDescent="0.3">
      <c r="A2638" s="2" t="s">
        <v>49</v>
      </c>
    </row>
    <row r="2639" spans="1:1" x14ac:dyDescent="0.3">
      <c r="A2639" s="1" t="s">
        <v>49</v>
      </c>
    </row>
    <row r="2640" spans="1:1" x14ac:dyDescent="0.3">
      <c r="A2640" s="2" t="s">
        <v>49</v>
      </c>
    </row>
    <row r="2641" spans="1:1" x14ac:dyDescent="0.3">
      <c r="A2641" s="1" t="s">
        <v>49</v>
      </c>
    </row>
    <row r="2642" spans="1:1" x14ac:dyDescent="0.3">
      <c r="A2642" s="2" t="s">
        <v>49</v>
      </c>
    </row>
    <row r="2643" spans="1:1" x14ac:dyDescent="0.3">
      <c r="A2643" s="1" t="s">
        <v>49</v>
      </c>
    </row>
    <row r="2644" spans="1:1" x14ac:dyDescent="0.3">
      <c r="A2644" s="2" t="s">
        <v>49</v>
      </c>
    </row>
    <row r="2645" spans="1:1" x14ac:dyDescent="0.3">
      <c r="A2645" s="1" t="s">
        <v>49</v>
      </c>
    </row>
    <row r="2646" spans="1:1" x14ac:dyDescent="0.3">
      <c r="A2646" s="2" t="s">
        <v>49</v>
      </c>
    </row>
    <row r="2647" spans="1:1" x14ac:dyDescent="0.3">
      <c r="A2647" s="1" t="s">
        <v>49</v>
      </c>
    </row>
    <row r="2648" spans="1:1" x14ac:dyDescent="0.3">
      <c r="A2648" s="2" t="s">
        <v>33</v>
      </c>
    </row>
    <row r="2649" spans="1:1" x14ac:dyDescent="0.3">
      <c r="A2649" s="1" t="s">
        <v>33</v>
      </c>
    </row>
    <row r="2650" spans="1:1" x14ac:dyDescent="0.3">
      <c r="A2650" s="2" t="s">
        <v>49</v>
      </c>
    </row>
    <row r="2651" spans="1:1" x14ac:dyDescent="0.3">
      <c r="A2651" s="1" t="s">
        <v>49</v>
      </c>
    </row>
    <row r="2652" spans="1:1" x14ac:dyDescent="0.3">
      <c r="A2652" s="2" t="s">
        <v>49</v>
      </c>
    </row>
    <row r="2653" spans="1:1" x14ac:dyDescent="0.3">
      <c r="A2653" s="1" t="s">
        <v>33</v>
      </c>
    </row>
    <row r="2654" spans="1:1" x14ac:dyDescent="0.3">
      <c r="A2654" s="2" t="s">
        <v>33</v>
      </c>
    </row>
    <row r="2655" spans="1:1" x14ac:dyDescent="0.3">
      <c r="A2655" s="1" t="s">
        <v>33</v>
      </c>
    </row>
    <row r="2656" spans="1:1" x14ac:dyDescent="0.3">
      <c r="A2656" s="2" t="s">
        <v>49</v>
      </c>
    </row>
    <row r="2657" spans="1:1" x14ac:dyDescent="0.3">
      <c r="A2657" s="1" t="s">
        <v>49</v>
      </c>
    </row>
    <row r="2658" spans="1:1" x14ac:dyDescent="0.3">
      <c r="A2658" s="2" t="s">
        <v>49</v>
      </c>
    </row>
    <row r="2659" spans="1:1" x14ac:dyDescent="0.3">
      <c r="A2659" s="1" t="s">
        <v>49</v>
      </c>
    </row>
    <row r="2660" spans="1:1" x14ac:dyDescent="0.3">
      <c r="A2660" s="2" t="s">
        <v>74</v>
      </c>
    </row>
    <row r="2661" spans="1:1" x14ac:dyDescent="0.3">
      <c r="A2661" s="1" t="s">
        <v>33</v>
      </c>
    </row>
    <row r="2662" spans="1:1" x14ac:dyDescent="0.3">
      <c r="A2662" s="2" t="s">
        <v>33</v>
      </c>
    </row>
    <row r="2663" spans="1:1" x14ac:dyDescent="0.3">
      <c r="A2663" s="1" t="s">
        <v>49</v>
      </c>
    </row>
    <row r="2664" spans="1:1" x14ac:dyDescent="0.3">
      <c r="A2664" s="2" t="s">
        <v>33</v>
      </c>
    </row>
    <row r="2665" spans="1:1" x14ac:dyDescent="0.3">
      <c r="A2665" s="1" t="s">
        <v>33</v>
      </c>
    </row>
    <row r="2666" spans="1:1" x14ac:dyDescent="0.3">
      <c r="A2666" s="2" t="s">
        <v>33</v>
      </c>
    </row>
    <row r="2667" spans="1:1" x14ac:dyDescent="0.3">
      <c r="A2667" s="1" t="s">
        <v>49</v>
      </c>
    </row>
    <row r="2668" spans="1:1" x14ac:dyDescent="0.3">
      <c r="A2668" s="2" t="s">
        <v>49</v>
      </c>
    </row>
    <row r="2669" spans="1:1" x14ac:dyDescent="0.3">
      <c r="A2669" s="1" t="s">
        <v>49</v>
      </c>
    </row>
    <row r="2670" spans="1:1" x14ac:dyDescent="0.3">
      <c r="A2670" s="2" t="s">
        <v>49</v>
      </c>
    </row>
    <row r="2671" spans="1:1" x14ac:dyDescent="0.3">
      <c r="A2671" s="1" t="s">
        <v>49</v>
      </c>
    </row>
    <row r="2672" spans="1:1" x14ac:dyDescent="0.3">
      <c r="A2672" s="2" t="s">
        <v>49</v>
      </c>
    </row>
    <row r="2673" spans="1:1" x14ac:dyDescent="0.3">
      <c r="A2673" s="1" t="s">
        <v>49</v>
      </c>
    </row>
    <row r="2674" spans="1:1" x14ac:dyDescent="0.3">
      <c r="A2674" s="2" t="s">
        <v>49</v>
      </c>
    </row>
    <row r="2675" spans="1:1" x14ac:dyDescent="0.3">
      <c r="A2675" s="1" t="s">
        <v>49</v>
      </c>
    </row>
    <row r="2676" spans="1:1" x14ac:dyDescent="0.3">
      <c r="A2676" s="2" t="s">
        <v>33</v>
      </c>
    </row>
    <row r="2677" spans="1:1" x14ac:dyDescent="0.3">
      <c r="A2677" s="1" t="s">
        <v>33</v>
      </c>
    </row>
    <row r="2678" spans="1:1" x14ac:dyDescent="0.3">
      <c r="A2678" s="2" t="s">
        <v>49</v>
      </c>
    </row>
    <row r="2679" spans="1:1" x14ac:dyDescent="0.3">
      <c r="A2679" s="1" t="s">
        <v>49</v>
      </c>
    </row>
    <row r="2680" spans="1:1" x14ac:dyDescent="0.3">
      <c r="A2680" s="2" t="s">
        <v>49</v>
      </c>
    </row>
    <row r="2681" spans="1:1" x14ac:dyDescent="0.3">
      <c r="A2681" s="1" t="s">
        <v>49</v>
      </c>
    </row>
    <row r="2682" spans="1:1" x14ac:dyDescent="0.3">
      <c r="A2682" s="2" t="s">
        <v>49</v>
      </c>
    </row>
    <row r="2683" spans="1:1" x14ac:dyDescent="0.3">
      <c r="A2683" s="1" t="s">
        <v>49</v>
      </c>
    </row>
    <row r="2684" spans="1:1" x14ac:dyDescent="0.3">
      <c r="A2684" s="2" t="s">
        <v>49</v>
      </c>
    </row>
    <row r="2685" spans="1:1" x14ac:dyDescent="0.3">
      <c r="A2685" s="1" t="s">
        <v>49</v>
      </c>
    </row>
    <row r="2686" spans="1:1" x14ac:dyDescent="0.3">
      <c r="A2686" s="2" t="s">
        <v>49</v>
      </c>
    </row>
    <row r="2687" spans="1:1" x14ac:dyDescent="0.3">
      <c r="A2687" s="1" t="s">
        <v>49</v>
      </c>
    </row>
    <row r="2688" spans="1:1" x14ac:dyDescent="0.3">
      <c r="A2688" s="2" t="s">
        <v>49</v>
      </c>
    </row>
    <row r="2689" spans="1:1" x14ac:dyDescent="0.3">
      <c r="A2689" s="1" t="s">
        <v>49</v>
      </c>
    </row>
    <row r="2690" spans="1:1" x14ac:dyDescent="0.3">
      <c r="A2690" s="2" t="s">
        <v>49</v>
      </c>
    </row>
    <row r="2691" spans="1:1" x14ac:dyDescent="0.3">
      <c r="A2691" s="1" t="s">
        <v>49</v>
      </c>
    </row>
    <row r="2692" spans="1:1" x14ac:dyDescent="0.3">
      <c r="A2692" s="2" t="s">
        <v>49</v>
      </c>
    </row>
    <row r="2693" spans="1:1" x14ac:dyDescent="0.3">
      <c r="A2693" s="1" t="s">
        <v>49</v>
      </c>
    </row>
    <row r="2694" spans="1:1" x14ac:dyDescent="0.3">
      <c r="A2694" s="2" t="s">
        <v>74</v>
      </c>
    </row>
    <row r="2695" spans="1:1" x14ac:dyDescent="0.3">
      <c r="A2695" s="1" t="s">
        <v>33</v>
      </c>
    </row>
    <row r="2696" spans="1:1" x14ac:dyDescent="0.3">
      <c r="A2696" s="2" t="s">
        <v>33</v>
      </c>
    </row>
    <row r="2697" spans="1:1" x14ac:dyDescent="0.3">
      <c r="A2697" s="1" t="s">
        <v>49</v>
      </c>
    </row>
    <row r="2698" spans="1:1" x14ac:dyDescent="0.3">
      <c r="A2698" s="2" t="s">
        <v>49</v>
      </c>
    </row>
    <row r="2699" spans="1:1" x14ac:dyDescent="0.3">
      <c r="A2699" s="1" t="s">
        <v>49</v>
      </c>
    </row>
    <row r="2700" spans="1:1" x14ac:dyDescent="0.3">
      <c r="A2700" s="2" t="s">
        <v>49</v>
      </c>
    </row>
    <row r="2701" spans="1:1" x14ac:dyDescent="0.3">
      <c r="A2701" s="1" t="s">
        <v>49</v>
      </c>
    </row>
    <row r="2702" spans="1:1" x14ac:dyDescent="0.3">
      <c r="A2702" s="2" t="s">
        <v>49</v>
      </c>
    </row>
    <row r="2703" spans="1:1" x14ac:dyDescent="0.3">
      <c r="A2703" s="1" t="s">
        <v>49</v>
      </c>
    </row>
    <row r="2704" spans="1:1" x14ac:dyDescent="0.3">
      <c r="A2704" s="2" t="s">
        <v>33</v>
      </c>
    </row>
    <row r="2705" spans="1:1" x14ac:dyDescent="0.3">
      <c r="A2705" s="1" t="s">
        <v>49</v>
      </c>
    </row>
    <row r="2706" spans="1:1" x14ac:dyDescent="0.3">
      <c r="A2706" s="2" t="s">
        <v>49</v>
      </c>
    </row>
    <row r="2707" spans="1:1" x14ac:dyDescent="0.3">
      <c r="A2707" s="1" t="s">
        <v>49</v>
      </c>
    </row>
    <row r="2708" spans="1:1" x14ac:dyDescent="0.3">
      <c r="A2708" s="2" t="s">
        <v>49</v>
      </c>
    </row>
    <row r="2709" spans="1:1" x14ac:dyDescent="0.3">
      <c r="A2709" s="1" t="s">
        <v>33</v>
      </c>
    </row>
    <row r="2710" spans="1:1" x14ac:dyDescent="0.3">
      <c r="A2710" s="2" t="s">
        <v>33</v>
      </c>
    </row>
    <row r="2711" spans="1:1" x14ac:dyDescent="0.3">
      <c r="A2711" s="1" t="s">
        <v>33</v>
      </c>
    </row>
    <row r="2712" spans="1:1" x14ac:dyDescent="0.3">
      <c r="A2712" s="2" t="s">
        <v>49</v>
      </c>
    </row>
    <row r="2713" spans="1:1" x14ac:dyDescent="0.3">
      <c r="A2713" s="1" t="s">
        <v>49</v>
      </c>
    </row>
    <row r="2714" spans="1:1" x14ac:dyDescent="0.3">
      <c r="A2714" s="2" t="s">
        <v>49</v>
      </c>
    </row>
    <row r="2715" spans="1:1" x14ac:dyDescent="0.3">
      <c r="A2715" s="1" t="s">
        <v>49</v>
      </c>
    </row>
    <row r="2716" spans="1:1" x14ac:dyDescent="0.3">
      <c r="A2716" s="2" t="s">
        <v>49</v>
      </c>
    </row>
    <row r="2717" spans="1:1" x14ac:dyDescent="0.3">
      <c r="A2717" s="1" t="s">
        <v>33</v>
      </c>
    </row>
    <row r="2718" spans="1:1" x14ac:dyDescent="0.3">
      <c r="A2718" s="2" t="s">
        <v>49</v>
      </c>
    </row>
    <row r="2719" spans="1:1" x14ac:dyDescent="0.3">
      <c r="A2719" s="1" t="s">
        <v>49</v>
      </c>
    </row>
    <row r="2720" spans="1:1" x14ac:dyDescent="0.3">
      <c r="A2720" s="2" t="s">
        <v>49</v>
      </c>
    </row>
    <row r="2721" spans="1:1" x14ac:dyDescent="0.3">
      <c r="A2721" s="1" t="s">
        <v>49</v>
      </c>
    </row>
    <row r="2722" spans="1:1" x14ac:dyDescent="0.3">
      <c r="A2722" s="2" t="s">
        <v>49</v>
      </c>
    </row>
    <row r="2723" spans="1:1" x14ac:dyDescent="0.3">
      <c r="A2723" s="1" t="s">
        <v>33</v>
      </c>
    </row>
    <row r="2724" spans="1:1" x14ac:dyDescent="0.3">
      <c r="A2724" s="2" t="s">
        <v>33</v>
      </c>
    </row>
    <row r="2725" spans="1:1" x14ac:dyDescent="0.3">
      <c r="A2725" s="1" t="s">
        <v>49</v>
      </c>
    </row>
    <row r="2726" spans="1:1" x14ac:dyDescent="0.3">
      <c r="A2726" s="2" t="s">
        <v>49</v>
      </c>
    </row>
    <row r="2727" spans="1:1" x14ac:dyDescent="0.3">
      <c r="A2727" s="1" t="s">
        <v>49</v>
      </c>
    </row>
    <row r="2728" spans="1:1" x14ac:dyDescent="0.3">
      <c r="A2728" s="2" t="s">
        <v>33</v>
      </c>
    </row>
    <row r="2729" spans="1:1" x14ac:dyDescent="0.3">
      <c r="A2729" s="1" t="s">
        <v>49</v>
      </c>
    </row>
    <row r="2730" spans="1:1" x14ac:dyDescent="0.3">
      <c r="A2730" s="2" t="s">
        <v>49</v>
      </c>
    </row>
    <row r="2731" spans="1:1" x14ac:dyDescent="0.3">
      <c r="A2731" s="1" t="s">
        <v>49</v>
      </c>
    </row>
    <row r="2732" spans="1:1" x14ac:dyDescent="0.3">
      <c r="A2732" s="2" t="s">
        <v>49</v>
      </c>
    </row>
    <row r="2733" spans="1:1" x14ac:dyDescent="0.3">
      <c r="A2733" s="1" t="s">
        <v>49</v>
      </c>
    </row>
    <row r="2734" spans="1:1" x14ac:dyDescent="0.3">
      <c r="A2734" s="2" t="s">
        <v>49</v>
      </c>
    </row>
    <row r="2735" spans="1:1" x14ac:dyDescent="0.3">
      <c r="A2735" s="1" t="s">
        <v>49</v>
      </c>
    </row>
    <row r="2736" spans="1:1" x14ac:dyDescent="0.3">
      <c r="A2736" s="2" t="s">
        <v>49</v>
      </c>
    </row>
    <row r="2737" spans="1:1" x14ac:dyDescent="0.3">
      <c r="A2737" s="1" t="s">
        <v>49</v>
      </c>
    </row>
    <row r="2738" spans="1:1" x14ac:dyDescent="0.3">
      <c r="A2738" s="2" t="s">
        <v>33</v>
      </c>
    </row>
    <row r="2739" spans="1:1" x14ac:dyDescent="0.3">
      <c r="A2739" s="1" t="s">
        <v>49</v>
      </c>
    </row>
    <row r="2740" spans="1:1" x14ac:dyDescent="0.3">
      <c r="A2740" s="2" t="s">
        <v>49</v>
      </c>
    </row>
    <row r="2741" spans="1:1" x14ac:dyDescent="0.3">
      <c r="A2741" s="1" t="s">
        <v>49</v>
      </c>
    </row>
    <row r="2742" spans="1:1" x14ac:dyDescent="0.3">
      <c r="A2742" s="2" t="s">
        <v>49</v>
      </c>
    </row>
    <row r="2743" spans="1:1" x14ac:dyDescent="0.3">
      <c r="A2743" s="1" t="s">
        <v>49</v>
      </c>
    </row>
    <row r="2744" spans="1:1" x14ac:dyDescent="0.3">
      <c r="A2744" s="2" t="s">
        <v>49</v>
      </c>
    </row>
    <row r="2745" spans="1:1" x14ac:dyDescent="0.3">
      <c r="A2745" s="1" t="s">
        <v>33</v>
      </c>
    </row>
    <row r="2746" spans="1:1" x14ac:dyDescent="0.3">
      <c r="A2746" s="2" t="s">
        <v>49</v>
      </c>
    </row>
    <row r="2747" spans="1:1" x14ac:dyDescent="0.3">
      <c r="A2747" s="1" t="s">
        <v>33</v>
      </c>
    </row>
    <row r="2748" spans="1:1" x14ac:dyDescent="0.3">
      <c r="A2748" s="2" t="s">
        <v>33</v>
      </c>
    </row>
    <row r="2749" spans="1:1" x14ac:dyDescent="0.3">
      <c r="A2749" s="1" t="s">
        <v>49</v>
      </c>
    </row>
    <row r="2750" spans="1:1" x14ac:dyDescent="0.3">
      <c r="A2750" s="2" t="s">
        <v>33</v>
      </c>
    </row>
    <row r="2751" spans="1:1" x14ac:dyDescent="0.3">
      <c r="A2751" s="1" t="s">
        <v>33</v>
      </c>
    </row>
    <row r="2752" spans="1:1" x14ac:dyDescent="0.3">
      <c r="A2752" s="2" t="s">
        <v>33</v>
      </c>
    </row>
    <row r="2753" spans="1:1" x14ac:dyDescent="0.3">
      <c r="A2753" s="1" t="s">
        <v>33</v>
      </c>
    </row>
    <row r="2754" spans="1:1" x14ac:dyDescent="0.3">
      <c r="A2754" s="2" t="s">
        <v>33</v>
      </c>
    </row>
    <row r="2755" spans="1:1" x14ac:dyDescent="0.3">
      <c r="A2755" s="1" t="s">
        <v>33</v>
      </c>
    </row>
    <row r="2756" spans="1:1" x14ac:dyDescent="0.3">
      <c r="A2756" s="2" t="s">
        <v>49</v>
      </c>
    </row>
    <row r="2757" spans="1:1" x14ac:dyDescent="0.3">
      <c r="A2757" s="1" t="s">
        <v>33</v>
      </c>
    </row>
    <row r="2758" spans="1:1" x14ac:dyDescent="0.3">
      <c r="A2758" s="2" t="s">
        <v>33</v>
      </c>
    </row>
    <row r="2759" spans="1:1" x14ac:dyDescent="0.3">
      <c r="A2759" s="1" t="s">
        <v>33</v>
      </c>
    </row>
    <row r="2760" spans="1:1" x14ac:dyDescent="0.3">
      <c r="A2760" s="2" t="s">
        <v>49</v>
      </c>
    </row>
    <row r="2761" spans="1:1" x14ac:dyDescent="0.3">
      <c r="A2761" s="1" t="s">
        <v>33</v>
      </c>
    </row>
    <row r="2762" spans="1:1" x14ac:dyDescent="0.3">
      <c r="A2762" s="2" t="s">
        <v>33</v>
      </c>
    </row>
    <row r="2763" spans="1:1" x14ac:dyDescent="0.3">
      <c r="A2763" s="1" t="s">
        <v>33</v>
      </c>
    </row>
    <row r="2764" spans="1:1" x14ac:dyDescent="0.3">
      <c r="A2764" s="2" t="s">
        <v>49</v>
      </c>
    </row>
    <row r="2765" spans="1:1" x14ac:dyDescent="0.3">
      <c r="A2765" s="1" t="s">
        <v>33</v>
      </c>
    </row>
    <row r="2766" spans="1:1" x14ac:dyDescent="0.3">
      <c r="A2766" s="2" t="s">
        <v>49</v>
      </c>
    </row>
    <row r="2767" spans="1:1" x14ac:dyDescent="0.3">
      <c r="A2767" s="1" t="s">
        <v>49</v>
      </c>
    </row>
    <row r="2768" spans="1:1" x14ac:dyDescent="0.3">
      <c r="A2768" s="2" t="s">
        <v>49</v>
      </c>
    </row>
    <row r="2769" spans="1:1" x14ac:dyDescent="0.3">
      <c r="A2769" s="1" t="s">
        <v>49</v>
      </c>
    </row>
    <row r="2770" spans="1:1" x14ac:dyDescent="0.3">
      <c r="A2770" s="2" t="s">
        <v>33</v>
      </c>
    </row>
    <row r="2771" spans="1:1" x14ac:dyDescent="0.3">
      <c r="A2771" s="1" t="s">
        <v>33</v>
      </c>
    </row>
    <row r="2772" spans="1:1" x14ac:dyDescent="0.3">
      <c r="A2772" s="2" t="s">
        <v>49</v>
      </c>
    </row>
    <row r="2773" spans="1:1" x14ac:dyDescent="0.3">
      <c r="A2773" s="1" t="s">
        <v>49</v>
      </c>
    </row>
    <row r="2774" spans="1:1" x14ac:dyDescent="0.3">
      <c r="A2774" s="2" t="s">
        <v>74</v>
      </c>
    </row>
    <row r="2775" spans="1:1" x14ac:dyDescent="0.3">
      <c r="A2775" s="1" t="s">
        <v>49</v>
      </c>
    </row>
    <row r="2776" spans="1:1" x14ac:dyDescent="0.3">
      <c r="A2776" s="2" t="s">
        <v>49</v>
      </c>
    </row>
    <row r="2777" spans="1:1" x14ac:dyDescent="0.3">
      <c r="A2777" s="1" t="s">
        <v>49</v>
      </c>
    </row>
    <row r="2778" spans="1:1" x14ac:dyDescent="0.3">
      <c r="A2778" s="2" t="s">
        <v>49</v>
      </c>
    </row>
    <row r="2779" spans="1:1" x14ac:dyDescent="0.3">
      <c r="A2779" s="1" t="s">
        <v>49</v>
      </c>
    </row>
    <row r="2780" spans="1:1" x14ac:dyDescent="0.3">
      <c r="A2780" s="2" t="s">
        <v>49</v>
      </c>
    </row>
    <row r="2781" spans="1:1" x14ac:dyDescent="0.3">
      <c r="A2781" s="1" t="s">
        <v>49</v>
      </c>
    </row>
    <row r="2782" spans="1:1" x14ac:dyDescent="0.3">
      <c r="A2782" s="2" t="s">
        <v>49</v>
      </c>
    </row>
    <row r="2783" spans="1:1" x14ac:dyDescent="0.3">
      <c r="A2783" s="1" t="s">
        <v>49</v>
      </c>
    </row>
    <row r="2784" spans="1:1" x14ac:dyDescent="0.3">
      <c r="A2784" s="2" t="s">
        <v>74</v>
      </c>
    </row>
    <row r="2785" spans="1:1" x14ac:dyDescent="0.3">
      <c r="A2785" s="1" t="s">
        <v>49</v>
      </c>
    </row>
    <row r="2786" spans="1:1" x14ac:dyDescent="0.3">
      <c r="A2786" s="2" t="s">
        <v>49</v>
      </c>
    </row>
    <row r="2787" spans="1:1" x14ac:dyDescent="0.3">
      <c r="A2787" s="1" t="s">
        <v>49</v>
      </c>
    </row>
    <row r="2788" spans="1:1" x14ac:dyDescent="0.3">
      <c r="A2788" s="2" t="s">
        <v>49</v>
      </c>
    </row>
    <row r="2789" spans="1:1" x14ac:dyDescent="0.3">
      <c r="A2789" s="1" t="s">
        <v>33</v>
      </c>
    </row>
    <row r="2790" spans="1:1" x14ac:dyDescent="0.3">
      <c r="A2790" s="2" t="s">
        <v>49</v>
      </c>
    </row>
    <row r="2791" spans="1:1" x14ac:dyDescent="0.3">
      <c r="A2791" s="1" t="s">
        <v>49</v>
      </c>
    </row>
    <row r="2792" spans="1:1" x14ac:dyDescent="0.3">
      <c r="A2792" s="2" t="s">
        <v>49</v>
      </c>
    </row>
    <row r="2793" spans="1:1" x14ac:dyDescent="0.3">
      <c r="A2793" s="1" t="s">
        <v>49</v>
      </c>
    </row>
    <row r="2794" spans="1:1" x14ac:dyDescent="0.3">
      <c r="A2794" s="2" t="s">
        <v>49</v>
      </c>
    </row>
    <row r="2795" spans="1:1" x14ac:dyDescent="0.3">
      <c r="A2795" s="1" t="s">
        <v>49</v>
      </c>
    </row>
    <row r="2796" spans="1:1" x14ac:dyDescent="0.3">
      <c r="A2796" s="2" t="s">
        <v>33</v>
      </c>
    </row>
    <row r="2797" spans="1:1" x14ac:dyDescent="0.3">
      <c r="A2797" s="1" t="s">
        <v>49</v>
      </c>
    </row>
    <row r="2798" spans="1:1" x14ac:dyDescent="0.3">
      <c r="A2798" s="2" t="s">
        <v>49</v>
      </c>
    </row>
    <row r="2799" spans="1:1" x14ac:dyDescent="0.3">
      <c r="A2799" s="1" t="s">
        <v>49</v>
      </c>
    </row>
    <row r="2800" spans="1:1" x14ac:dyDescent="0.3">
      <c r="A2800" s="2" t="s">
        <v>49</v>
      </c>
    </row>
    <row r="2801" spans="1:1" x14ac:dyDescent="0.3">
      <c r="A2801" s="1" t="s">
        <v>33</v>
      </c>
    </row>
    <row r="2802" spans="1:1" x14ac:dyDescent="0.3">
      <c r="A2802" s="2" t="s">
        <v>33</v>
      </c>
    </row>
    <row r="2803" spans="1:1" x14ac:dyDescent="0.3">
      <c r="A2803" s="1" t="s">
        <v>49</v>
      </c>
    </row>
    <row r="2804" spans="1:1" x14ac:dyDescent="0.3">
      <c r="A2804" s="2" t="s">
        <v>49</v>
      </c>
    </row>
    <row r="2805" spans="1:1" x14ac:dyDescent="0.3">
      <c r="A2805" s="1" t="s">
        <v>49</v>
      </c>
    </row>
    <row r="2806" spans="1:1" x14ac:dyDescent="0.3">
      <c r="A2806" s="2" t="s">
        <v>49</v>
      </c>
    </row>
    <row r="2807" spans="1:1" x14ac:dyDescent="0.3">
      <c r="A2807" s="1" t="s">
        <v>33</v>
      </c>
    </row>
    <row r="2808" spans="1:1" x14ac:dyDescent="0.3">
      <c r="A2808" s="2" t="s">
        <v>33</v>
      </c>
    </row>
    <row r="2809" spans="1:1" x14ac:dyDescent="0.3">
      <c r="A2809" s="1" t="s">
        <v>49</v>
      </c>
    </row>
    <row r="2810" spans="1:1" x14ac:dyDescent="0.3">
      <c r="A2810" s="2" t="s">
        <v>49</v>
      </c>
    </row>
    <row r="2811" spans="1:1" x14ac:dyDescent="0.3">
      <c r="A2811" s="1" t="s">
        <v>49</v>
      </c>
    </row>
    <row r="2812" spans="1:1" x14ac:dyDescent="0.3">
      <c r="A2812" s="2" t="s">
        <v>49</v>
      </c>
    </row>
    <row r="2813" spans="1:1" x14ac:dyDescent="0.3">
      <c r="A2813" s="1" t="s">
        <v>49</v>
      </c>
    </row>
    <row r="2814" spans="1:1" x14ac:dyDescent="0.3">
      <c r="A2814" s="2" t="s">
        <v>49</v>
      </c>
    </row>
    <row r="2815" spans="1:1" x14ac:dyDescent="0.3">
      <c r="A2815" s="1" t="s">
        <v>49</v>
      </c>
    </row>
    <row r="2816" spans="1:1" x14ac:dyDescent="0.3">
      <c r="A2816" s="2" t="s">
        <v>33</v>
      </c>
    </row>
    <row r="2817" spans="1:1" x14ac:dyDescent="0.3">
      <c r="A2817" s="1" t="s">
        <v>33</v>
      </c>
    </row>
    <row r="2818" spans="1:1" x14ac:dyDescent="0.3">
      <c r="A2818" s="2" t="s">
        <v>74</v>
      </c>
    </row>
    <row r="2819" spans="1:1" x14ac:dyDescent="0.3">
      <c r="A2819" s="1" t="s">
        <v>49</v>
      </c>
    </row>
    <row r="2820" spans="1:1" x14ac:dyDescent="0.3">
      <c r="A2820" s="2" t="s">
        <v>49</v>
      </c>
    </row>
    <row r="2821" spans="1:1" x14ac:dyDescent="0.3">
      <c r="A2821" s="1" t="s">
        <v>49</v>
      </c>
    </row>
    <row r="2822" spans="1:1" x14ac:dyDescent="0.3">
      <c r="A2822" s="2" t="s">
        <v>49</v>
      </c>
    </row>
    <row r="2823" spans="1:1" x14ac:dyDescent="0.3">
      <c r="A2823" s="1" t="s">
        <v>33</v>
      </c>
    </row>
    <row r="2824" spans="1:1" x14ac:dyDescent="0.3">
      <c r="A2824" s="2" t="s">
        <v>33</v>
      </c>
    </row>
    <row r="2825" spans="1:1" x14ac:dyDescent="0.3">
      <c r="A2825" s="1" t="s">
        <v>49</v>
      </c>
    </row>
    <row r="2826" spans="1:1" x14ac:dyDescent="0.3">
      <c r="A2826" s="2" t="s">
        <v>49</v>
      </c>
    </row>
    <row r="2827" spans="1:1" x14ac:dyDescent="0.3">
      <c r="A2827" s="1" t="s">
        <v>49</v>
      </c>
    </row>
    <row r="2828" spans="1:1" x14ac:dyDescent="0.3">
      <c r="A2828" s="2" t="s">
        <v>33</v>
      </c>
    </row>
    <row r="2829" spans="1:1" x14ac:dyDescent="0.3">
      <c r="A2829" s="1" t="s">
        <v>49</v>
      </c>
    </row>
    <row r="2830" spans="1:1" x14ac:dyDescent="0.3">
      <c r="A2830" s="2" t="s">
        <v>49</v>
      </c>
    </row>
    <row r="2831" spans="1:1" x14ac:dyDescent="0.3">
      <c r="A2831" s="1" t="s">
        <v>49</v>
      </c>
    </row>
    <row r="2832" spans="1:1" x14ac:dyDescent="0.3">
      <c r="A2832" s="2" t="s">
        <v>49</v>
      </c>
    </row>
    <row r="2833" spans="1:1" x14ac:dyDescent="0.3">
      <c r="A2833" s="1" t="s">
        <v>33</v>
      </c>
    </row>
    <row r="2834" spans="1:1" x14ac:dyDescent="0.3">
      <c r="A2834" s="2" t="s">
        <v>74</v>
      </c>
    </row>
    <row r="2835" spans="1:1" x14ac:dyDescent="0.3">
      <c r="A2835" s="1" t="s">
        <v>49</v>
      </c>
    </row>
    <row r="2836" spans="1:1" x14ac:dyDescent="0.3">
      <c r="A2836" s="2" t="s">
        <v>49</v>
      </c>
    </row>
    <row r="2837" spans="1:1" x14ac:dyDescent="0.3">
      <c r="A2837" s="1" t="s">
        <v>49</v>
      </c>
    </row>
    <row r="2838" spans="1:1" x14ac:dyDescent="0.3">
      <c r="A2838" s="2" t="s">
        <v>49</v>
      </c>
    </row>
    <row r="2839" spans="1:1" x14ac:dyDescent="0.3">
      <c r="A2839" s="1" t="s">
        <v>49</v>
      </c>
    </row>
    <row r="2840" spans="1:1" x14ac:dyDescent="0.3">
      <c r="A2840" s="2" t="s">
        <v>49</v>
      </c>
    </row>
    <row r="2841" spans="1:1" x14ac:dyDescent="0.3">
      <c r="A2841" s="1" t="s">
        <v>49</v>
      </c>
    </row>
    <row r="2842" spans="1:1" x14ac:dyDescent="0.3">
      <c r="A2842" s="2" t="s">
        <v>49</v>
      </c>
    </row>
    <row r="2843" spans="1:1" x14ac:dyDescent="0.3">
      <c r="A2843" s="1" t="s">
        <v>49</v>
      </c>
    </row>
    <row r="2844" spans="1:1" x14ac:dyDescent="0.3">
      <c r="A2844" s="2" t="s">
        <v>49</v>
      </c>
    </row>
    <row r="2845" spans="1:1" x14ac:dyDescent="0.3">
      <c r="A2845" s="1" t="s">
        <v>49</v>
      </c>
    </row>
    <row r="2846" spans="1:1" x14ac:dyDescent="0.3">
      <c r="A2846" s="2" t="s">
        <v>49</v>
      </c>
    </row>
    <row r="2847" spans="1:1" x14ac:dyDescent="0.3">
      <c r="A2847" s="1" t="s">
        <v>49</v>
      </c>
    </row>
    <row r="2848" spans="1:1" x14ac:dyDescent="0.3">
      <c r="A2848" s="2" t="s">
        <v>49</v>
      </c>
    </row>
    <row r="2849" spans="1:1" x14ac:dyDescent="0.3">
      <c r="A2849" s="1" t="s">
        <v>49</v>
      </c>
    </row>
    <row r="2850" spans="1:1" x14ac:dyDescent="0.3">
      <c r="A2850" s="2" t="s">
        <v>49</v>
      </c>
    </row>
    <row r="2851" spans="1:1" x14ac:dyDescent="0.3">
      <c r="A2851" s="1" t="s">
        <v>49</v>
      </c>
    </row>
    <row r="2852" spans="1:1" x14ac:dyDescent="0.3">
      <c r="A2852" s="2" t="s">
        <v>49</v>
      </c>
    </row>
    <row r="2853" spans="1:1" x14ac:dyDescent="0.3">
      <c r="A2853" s="1" t="s">
        <v>49</v>
      </c>
    </row>
    <row r="2854" spans="1:1" x14ac:dyDescent="0.3">
      <c r="A2854" s="2" t="s">
        <v>49</v>
      </c>
    </row>
    <row r="2855" spans="1:1" x14ac:dyDescent="0.3">
      <c r="A2855" s="1" t="s">
        <v>49</v>
      </c>
    </row>
    <row r="2856" spans="1:1" x14ac:dyDescent="0.3">
      <c r="A2856" s="2" t="s">
        <v>33</v>
      </c>
    </row>
    <row r="2857" spans="1:1" x14ac:dyDescent="0.3">
      <c r="A2857" s="1" t="s">
        <v>49</v>
      </c>
    </row>
    <row r="2858" spans="1:1" x14ac:dyDescent="0.3">
      <c r="A2858" s="2" t="s">
        <v>49</v>
      </c>
    </row>
    <row r="2859" spans="1:1" x14ac:dyDescent="0.3">
      <c r="A2859" s="1" t="s">
        <v>49</v>
      </c>
    </row>
    <row r="2860" spans="1:1" x14ac:dyDescent="0.3">
      <c r="A2860" s="2" t="s">
        <v>49</v>
      </c>
    </row>
    <row r="2861" spans="1:1" x14ac:dyDescent="0.3">
      <c r="A2861" s="1" t="s">
        <v>49</v>
      </c>
    </row>
    <row r="2862" spans="1:1" x14ac:dyDescent="0.3">
      <c r="A2862" s="2" t="s">
        <v>49</v>
      </c>
    </row>
    <row r="2863" spans="1:1" x14ac:dyDescent="0.3">
      <c r="A2863" s="1" t="s">
        <v>33</v>
      </c>
    </row>
    <row r="2864" spans="1:1" x14ac:dyDescent="0.3">
      <c r="A2864" s="2" t="s">
        <v>33</v>
      </c>
    </row>
    <row r="2865" spans="1:1" x14ac:dyDescent="0.3">
      <c r="A2865" s="1" t="s">
        <v>49</v>
      </c>
    </row>
    <row r="2866" spans="1:1" x14ac:dyDescent="0.3">
      <c r="A2866" s="2" t="s">
        <v>49</v>
      </c>
    </row>
    <row r="2867" spans="1:1" x14ac:dyDescent="0.3">
      <c r="A2867" s="1" t="s">
        <v>49</v>
      </c>
    </row>
    <row r="2868" spans="1:1" x14ac:dyDescent="0.3">
      <c r="A2868" s="2" t="s">
        <v>49</v>
      </c>
    </row>
    <row r="2869" spans="1:1" x14ac:dyDescent="0.3">
      <c r="A2869" s="1" t="s">
        <v>33</v>
      </c>
    </row>
    <row r="2870" spans="1:1" x14ac:dyDescent="0.3">
      <c r="A2870" s="2" t="s">
        <v>33</v>
      </c>
    </row>
    <row r="2871" spans="1:1" x14ac:dyDescent="0.3">
      <c r="A2871" s="1" t="s">
        <v>49</v>
      </c>
    </row>
    <row r="2872" spans="1:1" x14ac:dyDescent="0.3">
      <c r="A2872" s="2" t="s">
        <v>33</v>
      </c>
    </row>
    <row r="2873" spans="1:1" x14ac:dyDescent="0.3">
      <c r="A2873" s="1" t="s">
        <v>33</v>
      </c>
    </row>
    <row r="2874" spans="1:1" x14ac:dyDescent="0.3">
      <c r="A2874" s="2" t="s">
        <v>33</v>
      </c>
    </row>
    <row r="2875" spans="1:1" x14ac:dyDescent="0.3">
      <c r="A2875" s="1" t="s">
        <v>49</v>
      </c>
    </row>
    <row r="2876" spans="1:1" x14ac:dyDescent="0.3">
      <c r="A2876" s="2" t="s">
        <v>49</v>
      </c>
    </row>
    <row r="2877" spans="1:1" x14ac:dyDescent="0.3">
      <c r="A2877" s="1" t="s">
        <v>49</v>
      </c>
    </row>
    <row r="2878" spans="1:1" x14ac:dyDescent="0.3">
      <c r="A2878" s="2" t="s">
        <v>49</v>
      </c>
    </row>
    <row r="2879" spans="1:1" x14ac:dyDescent="0.3">
      <c r="A2879" s="1" t="s">
        <v>49</v>
      </c>
    </row>
    <row r="2880" spans="1:1" x14ac:dyDescent="0.3">
      <c r="A2880" s="2" t="s">
        <v>49</v>
      </c>
    </row>
    <row r="2881" spans="1:1" x14ac:dyDescent="0.3">
      <c r="A2881" s="1" t="s">
        <v>49</v>
      </c>
    </row>
    <row r="2882" spans="1:1" x14ac:dyDescent="0.3">
      <c r="A2882" s="2" t="s">
        <v>49</v>
      </c>
    </row>
    <row r="2883" spans="1:1" x14ac:dyDescent="0.3">
      <c r="A2883" s="1" t="s">
        <v>33</v>
      </c>
    </row>
    <row r="2884" spans="1:1" x14ac:dyDescent="0.3">
      <c r="A2884" s="2" t="s">
        <v>74</v>
      </c>
    </row>
    <row r="2885" spans="1:1" x14ac:dyDescent="0.3">
      <c r="A2885" s="1" t="s">
        <v>49</v>
      </c>
    </row>
    <row r="2886" spans="1:1" x14ac:dyDescent="0.3">
      <c r="A2886" s="2" t="s">
        <v>49</v>
      </c>
    </row>
    <row r="2887" spans="1:1" x14ac:dyDescent="0.3">
      <c r="A2887" s="1" t="s">
        <v>49</v>
      </c>
    </row>
    <row r="2888" spans="1:1" x14ac:dyDescent="0.3">
      <c r="A2888" s="2" t="s">
        <v>33</v>
      </c>
    </row>
    <row r="2889" spans="1:1" x14ac:dyDescent="0.3">
      <c r="A2889" s="1" t="s">
        <v>74</v>
      </c>
    </row>
    <row r="2890" spans="1:1" x14ac:dyDescent="0.3">
      <c r="A2890" s="2" t="s">
        <v>33</v>
      </c>
    </row>
    <row r="2891" spans="1:1" x14ac:dyDescent="0.3">
      <c r="A2891" s="1" t="s">
        <v>33</v>
      </c>
    </row>
    <row r="2892" spans="1:1" x14ac:dyDescent="0.3">
      <c r="A2892" s="2" t="s">
        <v>49</v>
      </c>
    </row>
    <row r="2893" spans="1:1" x14ac:dyDescent="0.3">
      <c r="A2893" s="1" t="s">
        <v>49</v>
      </c>
    </row>
    <row r="2894" spans="1:1" x14ac:dyDescent="0.3">
      <c r="A2894" s="2" t="s">
        <v>49</v>
      </c>
    </row>
    <row r="2895" spans="1:1" x14ac:dyDescent="0.3">
      <c r="A2895" s="1" t="s">
        <v>49</v>
      </c>
    </row>
    <row r="2896" spans="1:1" x14ac:dyDescent="0.3">
      <c r="A2896" s="2" t="s">
        <v>49</v>
      </c>
    </row>
    <row r="2897" spans="1:1" x14ac:dyDescent="0.3">
      <c r="A2897" s="1" t="s">
        <v>49</v>
      </c>
    </row>
    <row r="2898" spans="1:1" x14ac:dyDescent="0.3">
      <c r="A2898" s="2" t="s">
        <v>49</v>
      </c>
    </row>
    <row r="2899" spans="1:1" x14ac:dyDescent="0.3">
      <c r="A2899" s="1" t="s">
        <v>33</v>
      </c>
    </row>
    <row r="2900" spans="1:1" x14ac:dyDescent="0.3">
      <c r="A2900" s="2" t="s">
        <v>49</v>
      </c>
    </row>
    <row r="2901" spans="1:1" x14ac:dyDescent="0.3">
      <c r="A2901" s="1" t="s">
        <v>49</v>
      </c>
    </row>
    <row r="2902" spans="1:1" x14ac:dyDescent="0.3">
      <c r="A2902" s="2" t="s">
        <v>33</v>
      </c>
    </row>
    <row r="2903" spans="1:1" x14ac:dyDescent="0.3">
      <c r="A2903" s="1" t="s">
        <v>49</v>
      </c>
    </row>
    <row r="2904" spans="1:1" x14ac:dyDescent="0.3">
      <c r="A2904" s="2" t="s">
        <v>49</v>
      </c>
    </row>
    <row r="2905" spans="1:1" x14ac:dyDescent="0.3">
      <c r="A2905" s="1" t="s">
        <v>49</v>
      </c>
    </row>
    <row r="2906" spans="1:1" x14ac:dyDescent="0.3">
      <c r="A2906" s="2" t="s">
        <v>33</v>
      </c>
    </row>
    <row r="2907" spans="1:1" x14ac:dyDescent="0.3">
      <c r="A2907" s="1" t="s">
        <v>33</v>
      </c>
    </row>
    <row r="2908" spans="1:1" x14ac:dyDescent="0.3">
      <c r="A2908" s="2" t="s">
        <v>49</v>
      </c>
    </row>
    <row r="2909" spans="1:1" x14ac:dyDescent="0.3">
      <c r="A2909" s="1" t="s">
        <v>49</v>
      </c>
    </row>
    <row r="2910" spans="1:1" x14ac:dyDescent="0.3">
      <c r="A2910" s="2" t="s">
        <v>33</v>
      </c>
    </row>
    <row r="2911" spans="1:1" x14ac:dyDescent="0.3">
      <c r="A2911" s="1" t="s">
        <v>33</v>
      </c>
    </row>
    <row r="2912" spans="1:1" x14ac:dyDescent="0.3">
      <c r="A2912" s="2" t="s">
        <v>49</v>
      </c>
    </row>
    <row r="2913" spans="1:1" x14ac:dyDescent="0.3">
      <c r="A2913" s="1" t="s">
        <v>49</v>
      </c>
    </row>
    <row r="2914" spans="1:1" x14ac:dyDescent="0.3">
      <c r="A2914" s="2" t="s">
        <v>49</v>
      </c>
    </row>
    <row r="2915" spans="1:1" x14ac:dyDescent="0.3">
      <c r="A2915" s="1" t="s">
        <v>49</v>
      </c>
    </row>
    <row r="2916" spans="1:1" x14ac:dyDescent="0.3">
      <c r="A2916" s="2" t="s">
        <v>49</v>
      </c>
    </row>
    <row r="2917" spans="1:1" x14ac:dyDescent="0.3">
      <c r="A2917" s="1" t="s">
        <v>49</v>
      </c>
    </row>
    <row r="2918" spans="1:1" x14ac:dyDescent="0.3">
      <c r="A2918" s="2" t="s">
        <v>49</v>
      </c>
    </row>
    <row r="2919" spans="1:1" x14ac:dyDescent="0.3">
      <c r="A2919" s="1" t="s">
        <v>49</v>
      </c>
    </row>
    <row r="2920" spans="1:1" x14ac:dyDescent="0.3">
      <c r="A2920" s="2" t="s">
        <v>49</v>
      </c>
    </row>
    <row r="2921" spans="1:1" x14ac:dyDescent="0.3">
      <c r="A2921" s="1" t="s">
        <v>49</v>
      </c>
    </row>
    <row r="2922" spans="1:1" x14ac:dyDescent="0.3">
      <c r="A2922" s="2" t="s">
        <v>49</v>
      </c>
    </row>
    <row r="2923" spans="1:1" x14ac:dyDescent="0.3">
      <c r="A2923" s="1" t="s">
        <v>33</v>
      </c>
    </row>
    <row r="2924" spans="1:1" x14ac:dyDescent="0.3">
      <c r="A2924" s="2" t="s">
        <v>33</v>
      </c>
    </row>
    <row r="2925" spans="1:1" x14ac:dyDescent="0.3">
      <c r="A2925" s="1" t="s">
        <v>33</v>
      </c>
    </row>
    <row r="2926" spans="1:1" x14ac:dyDescent="0.3">
      <c r="A2926" s="2" t="s">
        <v>74</v>
      </c>
    </row>
    <row r="2927" spans="1:1" x14ac:dyDescent="0.3">
      <c r="A2927" s="1" t="s">
        <v>74</v>
      </c>
    </row>
    <row r="2928" spans="1:1" x14ac:dyDescent="0.3">
      <c r="A2928" s="2" t="s">
        <v>33</v>
      </c>
    </row>
    <row r="2929" spans="1:1" x14ac:dyDescent="0.3">
      <c r="A2929" s="1" t="s">
        <v>33</v>
      </c>
    </row>
    <row r="2930" spans="1:1" x14ac:dyDescent="0.3">
      <c r="A2930" s="2" t="s">
        <v>33</v>
      </c>
    </row>
    <row r="2931" spans="1:1" x14ac:dyDescent="0.3">
      <c r="A2931" s="1" t="s">
        <v>49</v>
      </c>
    </row>
    <row r="2932" spans="1:1" x14ac:dyDescent="0.3">
      <c r="A2932" s="2" t="s">
        <v>49</v>
      </c>
    </row>
    <row r="2933" spans="1:1" x14ac:dyDescent="0.3">
      <c r="A2933" s="1" t="s">
        <v>49</v>
      </c>
    </row>
    <row r="2934" spans="1:1" x14ac:dyDescent="0.3">
      <c r="A2934" s="2" t="s">
        <v>49</v>
      </c>
    </row>
    <row r="2935" spans="1:1" x14ac:dyDescent="0.3">
      <c r="A2935" s="1" t="s">
        <v>49</v>
      </c>
    </row>
    <row r="2936" spans="1:1" x14ac:dyDescent="0.3">
      <c r="A2936" s="2" t="s">
        <v>33</v>
      </c>
    </row>
    <row r="2937" spans="1:1" x14ac:dyDescent="0.3">
      <c r="A2937" s="1" t="s">
        <v>49</v>
      </c>
    </row>
    <row r="2938" spans="1:1" x14ac:dyDescent="0.3">
      <c r="A2938" s="2" t="s">
        <v>33</v>
      </c>
    </row>
    <row r="2939" spans="1:1" x14ac:dyDescent="0.3">
      <c r="A2939" s="1" t="s">
        <v>49</v>
      </c>
    </row>
    <row r="2940" spans="1:1" x14ac:dyDescent="0.3">
      <c r="A2940" s="2" t="s">
        <v>49</v>
      </c>
    </row>
    <row r="2941" spans="1:1" x14ac:dyDescent="0.3">
      <c r="A2941" s="1" t="s">
        <v>33</v>
      </c>
    </row>
    <row r="2942" spans="1:1" x14ac:dyDescent="0.3">
      <c r="A2942" s="2" t="s">
        <v>49</v>
      </c>
    </row>
    <row r="2943" spans="1:1" x14ac:dyDescent="0.3">
      <c r="A2943" s="1" t="s">
        <v>33</v>
      </c>
    </row>
    <row r="2944" spans="1:1" x14ac:dyDescent="0.3">
      <c r="A2944" s="2" t="s">
        <v>33</v>
      </c>
    </row>
    <row r="2945" spans="1:1" x14ac:dyDescent="0.3">
      <c r="A2945" s="1" t="s">
        <v>49</v>
      </c>
    </row>
    <row r="2946" spans="1:1" x14ac:dyDescent="0.3">
      <c r="A2946" s="2" t="s">
        <v>33</v>
      </c>
    </row>
    <row r="2947" spans="1:1" x14ac:dyDescent="0.3">
      <c r="A2947" s="1" t="s">
        <v>33</v>
      </c>
    </row>
    <row r="2948" spans="1:1" x14ac:dyDescent="0.3">
      <c r="A2948" s="2" t="s">
        <v>33</v>
      </c>
    </row>
    <row r="2949" spans="1:1" x14ac:dyDescent="0.3">
      <c r="A2949" s="1" t="s">
        <v>33</v>
      </c>
    </row>
    <row r="2950" spans="1:1" x14ac:dyDescent="0.3">
      <c r="A2950" s="2" t="s">
        <v>49</v>
      </c>
    </row>
    <row r="2951" spans="1:1" x14ac:dyDescent="0.3">
      <c r="A2951" s="1" t="s">
        <v>33</v>
      </c>
    </row>
    <row r="2952" spans="1:1" x14ac:dyDescent="0.3">
      <c r="A2952" s="2" t="s">
        <v>33</v>
      </c>
    </row>
    <row r="2953" spans="1:1" x14ac:dyDescent="0.3">
      <c r="A2953" s="1" t="s">
        <v>33</v>
      </c>
    </row>
    <row r="2954" spans="1:1" x14ac:dyDescent="0.3">
      <c r="A2954" s="2" t="s">
        <v>33</v>
      </c>
    </row>
    <row r="2955" spans="1:1" x14ac:dyDescent="0.3">
      <c r="A2955" s="1" t="s">
        <v>33</v>
      </c>
    </row>
    <row r="2956" spans="1:1" x14ac:dyDescent="0.3">
      <c r="A2956" s="2" t="s">
        <v>49</v>
      </c>
    </row>
    <row r="2957" spans="1:1" x14ac:dyDescent="0.3">
      <c r="A2957" s="1" t="s">
        <v>49</v>
      </c>
    </row>
    <row r="2958" spans="1:1" x14ac:dyDescent="0.3">
      <c r="A2958" s="2" t="s">
        <v>49</v>
      </c>
    </row>
    <row r="2959" spans="1:1" x14ac:dyDescent="0.3">
      <c r="A2959" s="1" t="s">
        <v>49</v>
      </c>
    </row>
    <row r="2960" spans="1:1" x14ac:dyDescent="0.3">
      <c r="A2960" s="2" t="s">
        <v>33</v>
      </c>
    </row>
    <row r="2961" spans="1:1" x14ac:dyDescent="0.3">
      <c r="A2961" s="1" t="s">
        <v>49</v>
      </c>
    </row>
    <row r="2962" spans="1:1" x14ac:dyDescent="0.3">
      <c r="A2962" s="2" t="s">
        <v>49</v>
      </c>
    </row>
    <row r="2963" spans="1:1" x14ac:dyDescent="0.3">
      <c r="A2963" s="1" t="s">
        <v>33</v>
      </c>
    </row>
    <row r="2964" spans="1:1" x14ac:dyDescent="0.3">
      <c r="A2964" s="2" t="s">
        <v>49</v>
      </c>
    </row>
    <row r="2965" spans="1:1" x14ac:dyDescent="0.3">
      <c r="A2965" s="1" t="s">
        <v>33</v>
      </c>
    </row>
    <row r="2966" spans="1:1" x14ac:dyDescent="0.3">
      <c r="A2966" s="2" t="s">
        <v>33</v>
      </c>
    </row>
    <row r="2967" spans="1:1" x14ac:dyDescent="0.3">
      <c r="A2967" s="1" t="s">
        <v>49</v>
      </c>
    </row>
    <row r="2968" spans="1:1" x14ac:dyDescent="0.3">
      <c r="A2968" s="2" t="s">
        <v>49</v>
      </c>
    </row>
    <row r="2969" spans="1:1" x14ac:dyDescent="0.3">
      <c r="A2969" s="1" t="s">
        <v>49</v>
      </c>
    </row>
    <row r="2970" spans="1:1" x14ac:dyDescent="0.3">
      <c r="A2970" s="2" t="s">
        <v>49</v>
      </c>
    </row>
    <row r="2971" spans="1:1" x14ac:dyDescent="0.3">
      <c r="A2971" s="1" t="s">
        <v>49</v>
      </c>
    </row>
    <row r="2972" spans="1:1" x14ac:dyDescent="0.3">
      <c r="A2972" s="2" t="s">
        <v>33</v>
      </c>
    </row>
    <row r="2973" spans="1:1" x14ac:dyDescent="0.3">
      <c r="A2973" s="1" t="s">
        <v>49</v>
      </c>
    </row>
    <row r="2974" spans="1:1" x14ac:dyDescent="0.3">
      <c r="A2974" s="2" t="s">
        <v>49</v>
      </c>
    </row>
    <row r="2975" spans="1:1" x14ac:dyDescent="0.3">
      <c r="A2975" s="1" t="s">
        <v>33</v>
      </c>
    </row>
    <row r="2976" spans="1:1" x14ac:dyDescent="0.3">
      <c r="A2976" s="2" t="s">
        <v>74</v>
      </c>
    </row>
    <row r="2977" spans="1:1" x14ac:dyDescent="0.3">
      <c r="A2977" s="1" t="s">
        <v>74</v>
      </c>
    </row>
    <row r="2978" spans="1:1" x14ac:dyDescent="0.3">
      <c r="A2978" s="2" t="s">
        <v>33</v>
      </c>
    </row>
    <row r="2979" spans="1:1" x14ac:dyDescent="0.3">
      <c r="A2979" s="1" t="s">
        <v>49</v>
      </c>
    </row>
    <row r="2980" spans="1:1" x14ac:dyDescent="0.3">
      <c r="A2980" s="2" t="s">
        <v>49</v>
      </c>
    </row>
    <row r="2981" spans="1:1" x14ac:dyDescent="0.3">
      <c r="A2981" s="3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D6D3-452F-4896-A03C-129D5C1530FA}">
  <dimension ref="A1:E922"/>
  <sheetViews>
    <sheetView workbookViewId="0">
      <selection activeCell="E6" sqref="E6"/>
    </sheetView>
  </sheetViews>
  <sheetFormatPr baseColWidth="10" defaultRowHeight="14.4" x14ac:dyDescent="0.3"/>
  <cols>
    <col min="1" max="1" width="8.6640625" bestFit="1" customWidth="1"/>
  </cols>
  <sheetData>
    <row r="1" spans="1:5" x14ac:dyDescent="0.3">
      <c r="A1" t="s">
        <v>173</v>
      </c>
      <c r="C1" t="str" cm="1">
        <f t="array" ref="C1:C2">_xlfn.UNIQUE(A1:A922)</f>
        <v>Público</v>
      </c>
      <c r="D1">
        <f>COUNTIF(A1:A922,C1)</f>
        <v>369</v>
      </c>
      <c r="E1" s="48">
        <f>D1/$D$3*100</f>
        <v>40.021691973969631</v>
      </c>
    </row>
    <row r="2" spans="1:5" x14ac:dyDescent="0.3">
      <c r="A2" t="s">
        <v>173</v>
      </c>
      <c r="C2" t="str">
        <v>Privado</v>
      </c>
      <c r="D2">
        <f>COUNTIF(A1:A922,C2)</f>
        <v>553</v>
      </c>
      <c r="E2" s="48">
        <f>D2/$D$3*100</f>
        <v>59.978308026030369</v>
      </c>
    </row>
    <row r="3" spans="1:5" x14ac:dyDescent="0.3">
      <c r="A3" t="s">
        <v>173</v>
      </c>
      <c r="D3">
        <f>SUM(D1:D2)</f>
        <v>922</v>
      </c>
      <c r="E3">
        <f>SUM(E1:E2)</f>
        <v>100</v>
      </c>
    </row>
    <row r="4" spans="1:5" x14ac:dyDescent="0.3">
      <c r="A4" t="s">
        <v>173</v>
      </c>
    </row>
    <row r="5" spans="1:5" x14ac:dyDescent="0.3">
      <c r="A5" t="s">
        <v>173</v>
      </c>
    </row>
    <row r="6" spans="1:5" x14ac:dyDescent="0.3">
      <c r="A6" t="s">
        <v>173</v>
      </c>
    </row>
    <row r="7" spans="1:5" x14ac:dyDescent="0.3">
      <c r="A7" t="s">
        <v>173</v>
      </c>
    </row>
    <row r="8" spans="1:5" x14ac:dyDescent="0.3">
      <c r="A8" t="s">
        <v>173</v>
      </c>
    </row>
    <row r="9" spans="1:5" x14ac:dyDescent="0.3">
      <c r="A9" t="s">
        <v>173</v>
      </c>
    </row>
    <row r="10" spans="1:5" x14ac:dyDescent="0.3">
      <c r="A10" t="s">
        <v>173</v>
      </c>
    </row>
    <row r="11" spans="1:5" x14ac:dyDescent="0.3">
      <c r="A11" t="s">
        <v>173</v>
      </c>
    </row>
    <row r="12" spans="1:5" x14ac:dyDescent="0.3">
      <c r="A12" t="s">
        <v>173</v>
      </c>
    </row>
    <row r="13" spans="1:5" x14ac:dyDescent="0.3">
      <c r="A13" t="s">
        <v>173</v>
      </c>
    </row>
    <row r="14" spans="1:5" x14ac:dyDescent="0.3">
      <c r="A14" t="s">
        <v>173</v>
      </c>
    </row>
    <row r="15" spans="1:5" x14ac:dyDescent="0.3">
      <c r="A15" t="s">
        <v>173</v>
      </c>
    </row>
    <row r="16" spans="1:5" x14ac:dyDescent="0.3">
      <c r="A16" t="s">
        <v>173</v>
      </c>
    </row>
    <row r="17" spans="1:1" x14ac:dyDescent="0.3">
      <c r="A17" t="s">
        <v>173</v>
      </c>
    </row>
    <row r="18" spans="1:1" x14ac:dyDescent="0.3">
      <c r="A18" t="s">
        <v>173</v>
      </c>
    </row>
    <row r="19" spans="1:1" x14ac:dyDescent="0.3">
      <c r="A19" t="s">
        <v>173</v>
      </c>
    </row>
    <row r="20" spans="1:1" x14ac:dyDescent="0.3">
      <c r="A20" t="s">
        <v>173</v>
      </c>
    </row>
    <row r="21" spans="1:1" x14ac:dyDescent="0.3">
      <c r="A21" t="s">
        <v>173</v>
      </c>
    </row>
    <row r="22" spans="1:1" x14ac:dyDescent="0.3">
      <c r="A22" t="s">
        <v>173</v>
      </c>
    </row>
    <row r="23" spans="1:1" x14ac:dyDescent="0.3">
      <c r="A23" t="s">
        <v>173</v>
      </c>
    </row>
    <row r="24" spans="1:1" x14ac:dyDescent="0.3">
      <c r="A24" t="s">
        <v>173</v>
      </c>
    </row>
    <row r="25" spans="1:1" x14ac:dyDescent="0.3">
      <c r="A25" t="s">
        <v>173</v>
      </c>
    </row>
    <row r="26" spans="1:1" x14ac:dyDescent="0.3">
      <c r="A26" t="s">
        <v>173</v>
      </c>
    </row>
    <row r="27" spans="1:1" x14ac:dyDescent="0.3">
      <c r="A27" t="s">
        <v>173</v>
      </c>
    </row>
    <row r="28" spans="1:1" x14ac:dyDescent="0.3">
      <c r="A28" t="s">
        <v>173</v>
      </c>
    </row>
    <row r="29" spans="1:1" x14ac:dyDescent="0.3">
      <c r="A29" t="s">
        <v>173</v>
      </c>
    </row>
    <row r="30" spans="1:1" x14ac:dyDescent="0.3">
      <c r="A30" t="s">
        <v>173</v>
      </c>
    </row>
    <row r="31" spans="1:1" x14ac:dyDescent="0.3">
      <c r="A31" t="s">
        <v>173</v>
      </c>
    </row>
    <row r="32" spans="1:1" x14ac:dyDescent="0.3">
      <c r="A32" t="s">
        <v>173</v>
      </c>
    </row>
    <row r="33" spans="1:1" x14ac:dyDescent="0.3">
      <c r="A33" t="s">
        <v>173</v>
      </c>
    </row>
    <row r="34" spans="1:1" x14ac:dyDescent="0.3">
      <c r="A34" t="s">
        <v>173</v>
      </c>
    </row>
    <row r="35" spans="1:1" x14ac:dyDescent="0.3">
      <c r="A35" t="s">
        <v>173</v>
      </c>
    </row>
    <row r="36" spans="1:1" x14ac:dyDescent="0.3">
      <c r="A36" t="s">
        <v>173</v>
      </c>
    </row>
    <row r="37" spans="1:1" x14ac:dyDescent="0.3">
      <c r="A37" t="s">
        <v>173</v>
      </c>
    </row>
    <row r="38" spans="1:1" x14ac:dyDescent="0.3">
      <c r="A38" t="s">
        <v>173</v>
      </c>
    </row>
    <row r="39" spans="1:1" x14ac:dyDescent="0.3">
      <c r="A39" t="s">
        <v>173</v>
      </c>
    </row>
    <row r="40" spans="1:1" x14ac:dyDescent="0.3">
      <c r="A40" t="s">
        <v>173</v>
      </c>
    </row>
    <row r="41" spans="1:1" x14ac:dyDescent="0.3">
      <c r="A41" t="s">
        <v>173</v>
      </c>
    </row>
    <row r="42" spans="1:1" x14ac:dyDescent="0.3">
      <c r="A42" t="s">
        <v>173</v>
      </c>
    </row>
    <row r="43" spans="1:1" x14ac:dyDescent="0.3">
      <c r="A43" t="s">
        <v>173</v>
      </c>
    </row>
    <row r="44" spans="1:1" x14ac:dyDescent="0.3">
      <c r="A44" t="s">
        <v>173</v>
      </c>
    </row>
    <row r="45" spans="1:1" x14ac:dyDescent="0.3">
      <c r="A45" t="s">
        <v>173</v>
      </c>
    </row>
    <row r="46" spans="1:1" x14ac:dyDescent="0.3">
      <c r="A46" t="s">
        <v>173</v>
      </c>
    </row>
    <row r="47" spans="1:1" x14ac:dyDescent="0.3">
      <c r="A47" t="s">
        <v>173</v>
      </c>
    </row>
    <row r="48" spans="1:1" x14ac:dyDescent="0.3">
      <c r="A48" t="s">
        <v>173</v>
      </c>
    </row>
    <row r="49" spans="1:1" x14ac:dyDescent="0.3">
      <c r="A49" t="s">
        <v>173</v>
      </c>
    </row>
    <row r="50" spans="1:1" x14ac:dyDescent="0.3">
      <c r="A50" t="s">
        <v>173</v>
      </c>
    </row>
    <row r="51" spans="1:1" x14ac:dyDescent="0.3">
      <c r="A51" t="s">
        <v>173</v>
      </c>
    </row>
    <row r="52" spans="1:1" x14ac:dyDescent="0.3">
      <c r="A52" t="s">
        <v>173</v>
      </c>
    </row>
    <row r="53" spans="1:1" x14ac:dyDescent="0.3">
      <c r="A53" t="s">
        <v>173</v>
      </c>
    </row>
    <row r="54" spans="1:1" x14ac:dyDescent="0.3">
      <c r="A54" t="s">
        <v>173</v>
      </c>
    </row>
    <row r="55" spans="1:1" x14ac:dyDescent="0.3">
      <c r="A55" t="s">
        <v>173</v>
      </c>
    </row>
    <row r="56" spans="1:1" x14ac:dyDescent="0.3">
      <c r="A56" t="s">
        <v>173</v>
      </c>
    </row>
    <row r="57" spans="1:1" x14ac:dyDescent="0.3">
      <c r="A57" t="s">
        <v>173</v>
      </c>
    </row>
    <row r="58" spans="1:1" x14ac:dyDescent="0.3">
      <c r="A58" t="s">
        <v>173</v>
      </c>
    </row>
    <row r="59" spans="1:1" x14ac:dyDescent="0.3">
      <c r="A59" t="s">
        <v>173</v>
      </c>
    </row>
    <row r="60" spans="1:1" x14ac:dyDescent="0.3">
      <c r="A60" t="s">
        <v>173</v>
      </c>
    </row>
    <row r="61" spans="1:1" x14ac:dyDescent="0.3">
      <c r="A61" t="s">
        <v>173</v>
      </c>
    </row>
    <row r="62" spans="1:1" x14ac:dyDescent="0.3">
      <c r="A62" t="s">
        <v>173</v>
      </c>
    </row>
    <row r="63" spans="1:1" x14ac:dyDescent="0.3">
      <c r="A63" t="s">
        <v>24</v>
      </c>
    </row>
    <row r="64" spans="1:1" x14ac:dyDescent="0.3">
      <c r="A64" t="s">
        <v>173</v>
      </c>
    </row>
    <row r="65" spans="1:1" x14ac:dyDescent="0.3">
      <c r="A65" t="s">
        <v>173</v>
      </c>
    </row>
    <row r="66" spans="1:1" x14ac:dyDescent="0.3">
      <c r="A66" t="s">
        <v>173</v>
      </c>
    </row>
    <row r="67" spans="1:1" x14ac:dyDescent="0.3">
      <c r="A67" t="s">
        <v>173</v>
      </c>
    </row>
    <row r="68" spans="1:1" x14ac:dyDescent="0.3">
      <c r="A68" t="s">
        <v>173</v>
      </c>
    </row>
    <row r="69" spans="1:1" x14ac:dyDescent="0.3">
      <c r="A69" t="s">
        <v>173</v>
      </c>
    </row>
    <row r="70" spans="1:1" x14ac:dyDescent="0.3">
      <c r="A70" t="s">
        <v>173</v>
      </c>
    </row>
    <row r="71" spans="1:1" x14ac:dyDescent="0.3">
      <c r="A71" t="s">
        <v>173</v>
      </c>
    </row>
    <row r="72" spans="1:1" x14ac:dyDescent="0.3">
      <c r="A72" t="s">
        <v>173</v>
      </c>
    </row>
    <row r="73" spans="1:1" x14ac:dyDescent="0.3">
      <c r="A73" t="s">
        <v>173</v>
      </c>
    </row>
    <row r="74" spans="1:1" x14ac:dyDescent="0.3">
      <c r="A74" t="s">
        <v>173</v>
      </c>
    </row>
    <row r="75" spans="1:1" x14ac:dyDescent="0.3">
      <c r="A75" t="s">
        <v>173</v>
      </c>
    </row>
    <row r="76" spans="1:1" x14ac:dyDescent="0.3">
      <c r="A76" t="s">
        <v>173</v>
      </c>
    </row>
    <row r="77" spans="1:1" x14ac:dyDescent="0.3">
      <c r="A77" t="s">
        <v>173</v>
      </c>
    </row>
    <row r="78" spans="1:1" x14ac:dyDescent="0.3">
      <c r="A78" t="s">
        <v>173</v>
      </c>
    </row>
    <row r="79" spans="1:1" x14ac:dyDescent="0.3">
      <c r="A79" t="s">
        <v>173</v>
      </c>
    </row>
    <row r="80" spans="1:1" x14ac:dyDescent="0.3">
      <c r="A80" t="s">
        <v>173</v>
      </c>
    </row>
    <row r="81" spans="1:1" x14ac:dyDescent="0.3">
      <c r="A81" t="s">
        <v>173</v>
      </c>
    </row>
    <row r="82" spans="1:1" x14ac:dyDescent="0.3">
      <c r="A82" t="s">
        <v>173</v>
      </c>
    </row>
    <row r="83" spans="1:1" x14ac:dyDescent="0.3">
      <c r="A83" t="s">
        <v>173</v>
      </c>
    </row>
    <row r="84" spans="1:1" x14ac:dyDescent="0.3">
      <c r="A84" t="s">
        <v>173</v>
      </c>
    </row>
    <row r="85" spans="1:1" x14ac:dyDescent="0.3">
      <c r="A85" t="s">
        <v>173</v>
      </c>
    </row>
    <row r="86" spans="1:1" x14ac:dyDescent="0.3">
      <c r="A86" t="s">
        <v>173</v>
      </c>
    </row>
    <row r="87" spans="1:1" x14ac:dyDescent="0.3">
      <c r="A87" t="s">
        <v>173</v>
      </c>
    </row>
    <row r="88" spans="1:1" x14ac:dyDescent="0.3">
      <c r="A88" t="s">
        <v>173</v>
      </c>
    </row>
    <row r="89" spans="1:1" x14ac:dyDescent="0.3">
      <c r="A89" t="s">
        <v>173</v>
      </c>
    </row>
    <row r="90" spans="1:1" x14ac:dyDescent="0.3">
      <c r="A90" t="s">
        <v>173</v>
      </c>
    </row>
    <row r="91" spans="1:1" x14ac:dyDescent="0.3">
      <c r="A91" t="s">
        <v>173</v>
      </c>
    </row>
    <row r="92" spans="1:1" x14ac:dyDescent="0.3">
      <c r="A92" t="s">
        <v>173</v>
      </c>
    </row>
    <row r="93" spans="1:1" x14ac:dyDescent="0.3">
      <c r="A93" t="s">
        <v>173</v>
      </c>
    </row>
    <row r="94" spans="1:1" x14ac:dyDescent="0.3">
      <c r="A94" t="s">
        <v>173</v>
      </c>
    </row>
    <row r="95" spans="1:1" x14ac:dyDescent="0.3">
      <c r="A95" t="s">
        <v>173</v>
      </c>
    </row>
    <row r="96" spans="1:1" x14ac:dyDescent="0.3">
      <c r="A96" t="s">
        <v>173</v>
      </c>
    </row>
    <row r="97" spans="1:1" x14ac:dyDescent="0.3">
      <c r="A97" t="s">
        <v>173</v>
      </c>
    </row>
    <row r="98" spans="1:1" x14ac:dyDescent="0.3">
      <c r="A98" t="s">
        <v>173</v>
      </c>
    </row>
    <row r="99" spans="1:1" x14ac:dyDescent="0.3">
      <c r="A99" t="s">
        <v>173</v>
      </c>
    </row>
    <row r="100" spans="1:1" x14ac:dyDescent="0.3">
      <c r="A100" t="s">
        <v>173</v>
      </c>
    </row>
    <row r="101" spans="1:1" x14ac:dyDescent="0.3">
      <c r="A101" t="s">
        <v>173</v>
      </c>
    </row>
    <row r="102" spans="1:1" x14ac:dyDescent="0.3">
      <c r="A102" t="s">
        <v>173</v>
      </c>
    </row>
    <row r="103" spans="1:1" x14ac:dyDescent="0.3">
      <c r="A103" t="s">
        <v>173</v>
      </c>
    </row>
    <row r="104" spans="1:1" x14ac:dyDescent="0.3">
      <c r="A104" t="s">
        <v>173</v>
      </c>
    </row>
    <row r="105" spans="1:1" x14ac:dyDescent="0.3">
      <c r="A105" t="s">
        <v>173</v>
      </c>
    </row>
    <row r="106" spans="1:1" x14ac:dyDescent="0.3">
      <c r="A106" t="s">
        <v>173</v>
      </c>
    </row>
    <row r="107" spans="1:1" x14ac:dyDescent="0.3">
      <c r="A107" t="s">
        <v>173</v>
      </c>
    </row>
    <row r="108" spans="1:1" x14ac:dyDescent="0.3">
      <c r="A108" t="s">
        <v>173</v>
      </c>
    </row>
    <row r="109" spans="1:1" x14ac:dyDescent="0.3">
      <c r="A109" t="s">
        <v>173</v>
      </c>
    </row>
    <row r="110" spans="1:1" x14ac:dyDescent="0.3">
      <c r="A110" t="s">
        <v>173</v>
      </c>
    </row>
    <row r="111" spans="1:1" x14ac:dyDescent="0.3">
      <c r="A111" t="s">
        <v>173</v>
      </c>
    </row>
    <row r="112" spans="1:1" x14ac:dyDescent="0.3">
      <c r="A112" t="s">
        <v>173</v>
      </c>
    </row>
    <row r="113" spans="1:1" x14ac:dyDescent="0.3">
      <c r="A113" t="s">
        <v>173</v>
      </c>
    </row>
    <row r="114" spans="1:1" x14ac:dyDescent="0.3">
      <c r="A114" t="s">
        <v>173</v>
      </c>
    </row>
    <row r="115" spans="1:1" x14ac:dyDescent="0.3">
      <c r="A115" t="s">
        <v>173</v>
      </c>
    </row>
    <row r="116" spans="1:1" x14ac:dyDescent="0.3">
      <c r="A116" t="s">
        <v>173</v>
      </c>
    </row>
    <row r="117" spans="1:1" x14ac:dyDescent="0.3">
      <c r="A117" t="s">
        <v>173</v>
      </c>
    </row>
    <row r="118" spans="1:1" x14ac:dyDescent="0.3">
      <c r="A118" t="s">
        <v>173</v>
      </c>
    </row>
    <row r="119" spans="1:1" x14ac:dyDescent="0.3">
      <c r="A119" t="s">
        <v>173</v>
      </c>
    </row>
    <row r="120" spans="1:1" x14ac:dyDescent="0.3">
      <c r="A120" t="s">
        <v>173</v>
      </c>
    </row>
    <row r="121" spans="1:1" x14ac:dyDescent="0.3">
      <c r="A121" t="s">
        <v>173</v>
      </c>
    </row>
    <row r="122" spans="1:1" x14ac:dyDescent="0.3">
      <c r="A122" t="s">
        <v>173</v>
      </c>
    </row>
    <row r="123" spans="1:1" x14ac:dyDescent="0.3">
      <c r="A123" t="s">
        <v>173</v>
      </c>
    </row>
    <row r="124" spans="1:1" x14ac:dyDescent="0.3">
      <c r="A124" t="s">
        <v>173</v>
      </c>
    </row>
    <row r="125" spans="1:1" x14ac:dyDescent="0.3">
      <c r="A125" t="s">
        <v>173</v>
      </c>
    </row>
    <row r="126" spans="1:1" x14ac:dyDescent="0.3">
      <c r="A126" t="s">
        <v>173</v>
      </c>
    </row>
    <row r="127" spans="1:1" x14ac:dyDescent="0.3">
      <c r="A127" t="s">
        <v>173</v>
      </c>
    </row>
    <row r="128" spans="1:1" x14ac:dyDescent="0.3">
      <c r="A128" t="s">
        <v>173</v>
      </c>
    </row>
    <row r="129" spans="1:1" x14ac:dyDescent="0.3">
      <c r="A129" t="s">
        <v>173</v>
      </c>
    </row>
    <row r="130" spans="1:1" x14ac:dyDescent="0.3">
      <c r="A130" t="s">
        <v>173</v>
      </c>
    </row>
    <row r="131" spans="1:1" x14ac:dyDescent="0.3">
      <c r="A131" t="s">
        <v>173</v>
      </c>
    </row>
    <row r="132" spans="1:1" x14ac:dyDescent="0.3">
      <c r="A132" t="s">
        <v>173</v>
      </c>
    </row>
    <row r="133" spans="1:1" x14ac:dyDescent="0.3">
      <c r="A133" t="s">
        <v>173</v>
      </c>
    </row>
    <row r="134" spans="1:1" x14ac:dyDescent="0.3">
      <c r="A134" t="s">
        <v>173</v>
      </c>
    </row>
    <row r="135" spans="1:1" x14ac:dyDescent="0.3">
      <c r="A135" t="s">
        <v>173</v>
      </c>
    </row>
    <row r="136" spans="1:1" x14ac:dyDescent="0.3">
      <c r="A136" t="s">
        <v>173</v>
      </c>
    </row>
    <row r="137" spans="1:1" x14ac:dyDescent="0.3">
      <c r="A137" t="s">
        <v>173</v>
      </c>
    </row>
    <row r="138" spans="1:1" x14ac:dyDescent="0.3">
      <c r="A138" t="s">
        <v>173</v>
      </c>
    </row>
    <row r="139" spans="1:1" x14ac:dyDescent="0.3">
      <c r="A139" t="s">
        <v>173</v>
      </c>
    </row>
    <row r="140" spans="1:1" x14ac:dyDescent="0.3">
      <c r="A140" t="s">
        <v>173</v>
      </c>
    </row>
    <row r="141" spans="1:1" x14ac:dyDescent="0.3">
      <c r="A141" t="s">
        <v>173</v>
      </c>
    </row>
    <row r="142" spans="1:1" x14ac:dyDescent="0.3">
      <c r="A142" t="s">
        <v>173</v>
      </c>
    </row>
    <row r="143" spans="1:1" x14ac:dyDescent="0.3">
      <c r="A143" t="s">
        <v>173</v>
      </c>
    </row>
    <row r="144" spans="1:1" x14ac:dyDescent="0.3">
      <c r="A144" t="s">
        <v>173</v>
      </c>
    </row>
    <row r="145" spans="1:1" x14ac:dyDescent="0.3">
      <c r="A145" t="s">
        <v>173</v>
      </c>
    </row>
    <row r="146" spans="1:1" x14ac:dyDescent="0.3">
      <c r="A146" t="s">
        <v>173</v>
      </c>
    </row>
    <row r="147" spans="1:1" x14ac:dyDescent="0.3">
      <c r="A147" t="s">
        <v>173</v>
      </c>
    </row>
    <row r="148" spans="1:1" x14ac:dyDescent="0.3">
      <c r="A148" t="s">
        <v>173</v>
      </c>
    </row>
    <row r="149" spans="1:1" x14ac:dyDescent="0.3">
      <c r="A149" t="s">
        <v>173</v>
      </c>
    </row>
    <row r="150" spans="1:1" x14ac:dyDescent="0.3">
      <c r="A150" t="s">
        <v>173</v>
      </c>
    </row>
    <row r="151" spans="1:1" x14ac:dyDescent="0.3">
      <c r="A151" t="s">
        <v>173</v>
      </c>
    </row>
    <row r="152" spans="1:1" x14ac:dyDescent="0.3">
      <c r="A152" t="s">
        <v>173</v>
      </c>
    </row>
    <row r="153" spans="1:1" x14ac:dyDescent="0.3">
      <c r="A153" t="s">
        <v>173</v>
      </c>
    </row>
    <row r="154" spans="1:1" x14ac:dyDescent="0.3">
      <c r="A154" t="s">
        <v>173</v>
      </c>
    </row>
    <row r="155" spans="1:1" x14ac:dyDescent="0.3">
      <c r="A155" t="s">
        <v>173</v>
      </c>
    </row>
    <row r="156" spans="1:1" x14ac:dyDescent="0.3">
      <c r="A156" t="s">
        <v>24</v>
      </c>
    </row>
    <row r="157" spans="1:1" x14ac:dyDescent="0.3">
      <c r="A157" t="s">
        <v>24</v>
      </c>
    </row>
    <row r="158" spans="1:1" x14ac:dyDescent="0.3">
      <c r="A158" t="s">
        <v>173</v>
      </c>
    </row>
    <row r="159" spans="1:1" x14ac:dyDescent="0.3">
      <c r="A159" t="s">
        <v>24</v>
      </c>
    </row>
    <row r="160" spans="1:1" x14ac:dyDescent="0.3">
      <c r="A160" t="s">
        <v>24</v>
      </c>
    </row>
    <row r="161" spans="1:1" x14ac:dyDescent="0.3">
      <c r="A161" t="s">
        <v>24</v>
      </c>
    </row>
    <row r="162" spans="1:1" x14ac:dyDescent="0.3">
      <c r="A162" t="s">
        <v>24</v>
      </c>
    </row>
    <row r="163" spans="1:1" x14ac:dyDescent="0.3">
      <c r="A163" t="s">
        <v>173</v>
      </c>
    </row>
    <row r="164" spans="1:1" x14ac:dyDescent="0.3">
      <c r="A164" t="s">
        <v>173</v>
      </c>
    </row>
    <row r="165" spans="1:1" x14ac:dyDescent="0.3">
      <c r="A165" t="s">
        <v>173</v>
      </c>
    </row>
    <row r="166" spans="1:1" x14ac:dyDescent="0.3">
      <c r="A166" t="s">
        <v>173</v>
      </c>
    </row>
    <row r="167" spans="1:1" x14ac:dyDescent="0.3">
      <c r="A167" t="s">
        <v>173</v>
      </c>
    </row>
    <row r="168" spans="1:1" x14ac:dyDescent="0.3">
      <c r="A168" t="s">
        <v>24</v>
      </c>
    </row>
    <row r="169" spans="1:1" x14ac:dyDescent="0.3">
      <c r="A169" t="s">
        <v>173</v>
      </c>
    </row>
    <row r="170" spans="1:1" x14ac:dyDescent="0.3">
      <c r="A170" t="s">
        <v>24</v>
      </c>
    </row>
    <row r="171" spans="1:1" x14ac:dyDescent="0.3">
      <c r="A171" t="s">
        <v>173</v>
      </c>
    </row>
    <row r="172" spans="1:1" x14ac:dyDescent="0.3">
      <c r="A172" t="s">
        <v>24</v>
      </c>
    </row>
    <row r="173" spans="1:1" x14ac:dyDescent="0.3">
      <c r="A173" t="s">
        <v>173</v>
      </c>
    </row>
    <row r="174" spans="1:1" x14ac:dyDescent="0.3">
      <c r="A174" t="s">
        <v>173</v>
      </c>
    </row>
    <row r="175" spans="1:1" x14ac:dyDescent="0.3">
      <c r="A175" t="s">
        <v>173</v>
      </c>
    </row>
    <row r="176" spans="1:1" x14ac:dyDescent="0.3">
      <c r="A176" t="s">
        <v>173</v>
      </c>
    </row>
    <row r="177" spans="1:1" x14ac:dyDescent="0.3">
      <c r="A177" t="s">
        <v>173</v>
      </c>
    </row>
    <row r="178" spans="1:1" x14ac:dyDescent="0.3">
      <c r="A178" t="s">
        <v>173</v>
      </c>
    </row>
    <row r="179" spans="1:1" x14ac:dyDescent="0.3">
      <c r="A179" t="s">
        <v>173</v>
      </c>
    </row>
    <row r="180" spans="1:1" x14ac:dyDescent="0.3">
      <c r="A180" t="s">
        <v>173</v>
      </c>
    </row>
    <row r="181" spans="1:1" x14ac:dyDescent="0.3">
      <c r="A181" t="s">
        <v>173</v>
      </c>
    </row>
    <row r="182" spans="1:1" x14ac:dyDescent="0.3">
      <c r="A182" t="s">
        <v>173</v>
      </c>
    </row>
    <row r="183" spans="1:1" x14ac:dyDescent="0.3">
      <c r="A183" t="s">
        <v>173</v>
      </c>
    </row>
    <row r="184" spans="1:1" x14ac:dyDescent="0.3">
      <c r="A184" t="s">
        <v>173</v>
      </c>
    </row>
    <row r="185" spans="1:1" x14ac:dyDescent="0.3">
      <c r="A185" t="s">
        <v>173</v>
      </c>
    </row>
    <row r="186" spans="1:1" x14ac:dyDescent="0.3">
      <c r="A186" t="s">
        <v>24</v>
      </c>
    </row>
    <row r="187" spans="1:1" x14ac:dyDescent="0.3">
      <c r="A187" t="s">
        <v>24</v>
      </c>
    </row>
    <row r="188" spans="1:1" x14ac:dyDescent="0.3">
      <c r="A188" t="s">
        <v>24</v>
      </c>
    </row>
    <row r="189" spans="1:1" x14ac:dyDescent="0.3">
      <c r="A189" t="s">
        <v>24</v>
      </c>
    </row>
    <row r="190" spans="1:1" x14ac:dyDescent="0.3">
      <c r="A190" t="s">
        <v>173</v>
      </c>
    </row>
    <row r="191" spans="1:1" x14ac:dyDescent="0.3">
      <c r="A191" t="s">
        <v>24</v>
      </c>
    </row>
    <row r="192" spans="1:1" x14ac:dyDescent="0.3">
      <c r="A192" t="s">
        <v>24</v>
      </c>
    </row>
    <row r="193" spans="1:1" x14ac:dyDescent="0.3">
      <c r="A193" t="s">
        <v>24</v>
      </c>
    </row>
    <row r="194" spans="1:1" x14ac:dyDescent="0.3">
      <c r="A194" t="s">
        <v>173</v>
      </c>
    </row>
    <row r="195" spans="1:1" x14ac:dyDescent="0.3">
      <c r="A195" t="s">
        <v>24</v>
      </c>
    </row>
    <row r="196" spans="1:1" x14ac:dyDescent="0.3">
      <c r="A196" t="s">
        <v>173</v>
      </c>
    </row>
    <row r="197" spans="1:1" x14ac:dyDescent="0.3">
      <c r="A197" t="s">
        <v>24</v>
      </c>
    </row>
    <row r="198" spans="1:1" x14ac:dyDescent="0.3">
      <c r="A198" t="s">
        <v>173</v>
      </c>
    </row>
    <row r="199" spans="1:1" x14ac:dyDescent="0.3">
      <c r="A199" t="s">
        <v>173</v>
      </c>
    </row>
    <row r="200" spans="1:1" x14ac:dyDescent="0.3">
      <c r="A200" t="s">
        <v>173</v>
      </c>
    </row>
    <row r="201" spans="1:1" x14ac:dyDescent="0.3">
      <c r="A201" t="s">
        <v>173</v>
      </c>
    </row>
    <row r="202" spans="1:1" x14ac:dyDescent="0.3">
      <c r="A202" t="s">
        <v>173</v>
      </c>
    </row>
    <row r="203" spans="1:1" x14ac:dyDescent="0.3">
      <c r="A203" t="s">
        <v>24</v>
      </c>
    </row>
    <row r="204" spans="1:1" x14ac:dyDescent="0.3">
      <c r="A204" t="s">
        <v>24</v>
      </c>
    </row>
    <row r="205" spans="1:1" x14ac:dyDescent="0.3">
      <c r="A205" t="s">
        <v>24</v>
      </c>
    </row>
    <row r="206" spans="1:1" x14ac:dyDescent="0.3">
      <c r="A206" t="s">
        <v>173</v>
      </c>
    </row>
    <row r="207" spans="1:1" x14ac:dyDescent="0.3">
      <c r="A207" t="s">
        <v>24</v>
      </c>
    </row>
    <row r="208" spans="1:1" x14ac:dyDescent="0.3">
      <c r="A208" t="s">
        <v>24</v>
      </c>
    </row>
    <row r="209" spans="1:1" x14ac:dyDescent="0.3">
      <c r="A209" t="s">
        <v>24</v>
      </c>
    </row>
    <row r="210" spans="1:1" x14ac:dyDescent="0.3">
      <c r="A210" t="s">
        <v>24</v>
      </c>
    </row>
    <row r="211" spans="1:1" x14ac:dyDescent="0.3">
      <c r="A211" t="s">
        <v>24</v>
      </c>
    </row>
    <row r="212" spans="1:1" x14ac:dyDescent="0.3">
      <c r="A212" t="s">
        <v>24</v>
      </c>
    </row>
    <row r="213" spans="1:1" x14ac:dyDescent="0.3">
      <c r="A213" t="s">
        <v>24</v>
      </c>
    </row>
    <row r="214" spans="1:1" x14ac:dyDescent="0.3">
      <c r="A214" t="s">
        <v>24</v>
      </c>
    </row>
    <row r="215" spans="1:1" x14ac:dyDescent="0.3">
      <c r="A215" t="s">
        <v>24</v>
      </c>
    </row>
    <row r="216" spans="1:1" x14ac:dyDescent="0.3">
      <c r="A216" t="s">
        <v>173</v>
      </c>
    </row>
    <row r="217" spans="1:1" x14ac:dyDescent="0.3">
      <c r="A217" t="s">
        <v>173</v>
      </c>
    </row>
    <row r="218" spans="1:1" x14ac:dyDescent="0.3">
      <c r="A218" t="s">
        <v>24</v>
      </c>
    </row>
    <row r="219" spans="1:1" x14ac:dyDescent="0.3">
      <c r="A219" t="s">
        <v>24</v>
      </c>
    </row>
    <row r="220" spans="1:1" x14ac:dyDescent="0.3">
      <c r="A220" t="s">
        <v>24</v>
      </c>
    </row>
    <row r="221" spans="1:1" x14ac:dyDescent="0.3">
      <c r="A221" t="s">
        <v>24</v>
      </c>
    </row>
    <row r="222" spans="1:1" x14ac:dyDescent="0.3">
      <c r="A222" t="s">
        <v>24</v>
      </c>
    </row>
    <row r="223" spans="1:1" x14ac:dyDescent="0.3">
      <c r="A223" t="s">
        <v>24</v>
      </c>
    </row>
    <row r="224" spans="1:1" x14ac:dyDescent="0.3">
      <c r="A224" t="s">
        <v>173</v>
      </c>
    </row>
    <row r="225" spans="1:1" x14ac:dyDescent="0.3">
      <c r="A225" t="s">
        <v>173</v>
      </c>
    </row>
    <row r="226" spans="1:1" x14ac:dyDescent="0.3">
      <c r="A226" t="s">
        <v>24</v>
      </c>
    </row>
    <row r="227" spans="1:1" x14ac:dyDescent="0.3">
      <c r="A227" t="s">
        <v>24</v>
      </c>
    </row>
    <row r="228" spans="1:1" x14ac:dyDescent="0.3">
      <c r="A228" t="s">
        <v>24</v>
      </c>
    </row>
    <row r="229" spans="1:1" x14ac:dyDescent="0.3">
      <c r="A229" t="s">
        <v>24</v>
      </c>
    </row>
    <row r="230" spans="1:1" x14ac:dyDescent="0.3">
      <c r="A230" t="s">
        <v>24</v>
      </c>
    </row>
    <row r="231" spans="1:1" x14ac:dyDescent="0.3">
      <c r="A231" t="s">
        <v>24</v>
      </c>
    </row>
    <row r="232" spans="1:1" x14ac:dyDescent="0.3">
      <c r="A232" t="s">
        <v>24</v>
      </c>
    </row>
    <row r="233" spans="1:1" x14ac:dyDescent="0.3">
      <c r="A233" t="s">
        <v>24</v>
      </c>
    </row>
    <row r="234" spans="1:1" x14ac:dyDescent="0.3">
      <c r="A234" t="s">
        <v>24</v>
      </c>
    </row>
    <row r="235" spans="1:1" x14ac:dyDescent="0.3">
      <c r="A235" t="s">
        <v>173</v>
      </c>
    </row>
    <row r="236" spans="1:1" x14ac:dyDescent="0.3">
      <c r="A236" t="s">
        <v>173</v>
      </c>
    </row>
    <row r="237" spans="1:1" x14ac:dyDescent="0.3">
      <c r="A237" t="s">
        <v>173</v>
      </c>
    </row>
    <row r="238" spans="1:1" x14ac:dyDescent="0.3">
      <c r="A238" t="s">
        <v>173</v>
      </c>
    </row>
    <row r="239" spans="1:1" x14ac:dyDescent="0.3">
      <c r="A239" t="s">
        <v>173</v>
      </c>
    </row>
    <row r="240" spans="1:1" x14ac:dyDescent="0.3">
      <c r="A240" t="s">
        <v>24</v>
      </c>
    </row>
    <row r="241" spans="1:1" x14ac:dyDescent="0.3">
      <c r="A241" t="s">
        <v>24</v>
      </c>
    </row>
    <row r="242" spans="1:1" x14ac:dyDescent="0.3">
      <c r="A242" t="s">
        <v>24</v>
      </c>
    </row>
    <row r="243" spans="1:1" x14ac:dyDescent="0.3">
      <c r="A243" t="s">
        <v>173</v>
      </c>
    </row>
    <row r="244" spans="1:1" x14ac:dyDescent="0.3">
      <c r="A244" t="s">
        <v>24</v>
      </c>
    </row>
    <row r="245" spans="1:1" x14ac:dyDescent="0.3">
      <c r="A245" t="s">
        <v>24</v>
      </c>
    </row>
    <row r="246" spans="1:1" x14ac:dyDescent="0.3">
      <c r="A246" t="s">
        <v>24</v>
      </c>
    </row>
    <row r="247" spans="1:1" x14ac:dyDescent="0.3">
      <c r="A247" t="s">
        <v>24</v>
      </c>
    </row>
    <row r="248" spans="1:1" x14ac:dyDescent="0.3">
      <c r="A248" t="s">
        <v>24</v>
      </c>
    </row>
    <row r="249" spans="1:1" x14ac:dyDescent="0.3">
      <c r="A249" t="s">
        <v>24</v>
      </c>
    </row>
    <row r="250" spans="1:1" x14ac:dyDescent="0.3">
      <c r="A250" t="s">
        <v>24</v>
      </c>
    </row>
    <row r="251" spans="1:1" x14ac:dyDescent="0.3">
      <c r="A251" t="s">
        <v>24</v>
      </c>
    </row>
    <row r="252" spans="1:1" x14ac:dyDescent="0.3">
      <c r="A252" t="s">
        <v>24</v>
      </c>
    </row>
    <row r="253" spans="1:1" x14ac:dyDescent="0.3">
      <c r="A253" t="s">
        <v>173</v>
      </c>
    </row>
    <row r="254" spans="1:1" x14ac:dyDescent="0.3">
      <c r="A254" t="s">
        <v>173</v>
      </c>
    </row>
    <row r="255" spans="1:1" x14ac:dyDescent="0.3">
      <c r="A255" t="s">
        <v>173</v>
      </c>
    </row>
    <row r="256" spans="1:1" x14ac:dyDescent="0.3">
      <c r="A256" t="s">
        <v>24</v>
      </c>
    </row>
    <row r="257" spans="1:1" x14ac:dyDescent="0.3">
      <c r="A257" t="s">
        <v>24</v>
      </c>
    </row>
    <row r="258" spans="1:1" x14ac:dyDescent="0.3">
      <c r="A258" t="s">
        <v>24</v>
      </c>
    </row>
    <row r="259" spans="1:1" x14ac:dyDescent="0.3">
      <c r="A259" t="s">
        <v>24</v>
      </c>
    </row>
    <row r="260" spans="1:1" x14ac:dyDescent="0.3">
      <c r="A260" t="s">
        <v>24</v>
      </c>
    </row>
    <row r="261" spans="1:1" x14ac:dyDescent="0.3">
      <c r="A261" t="s">
        <v>24</v>
      </c>
    </row>
    <row r="262" spans="1:1" x14ac:dyDescent="0.3">
      <c r="A262" t="s">
        <v>24</v>
      </c>
    </row>
    <row r="263" spans="1:1" x14ac:dyDescent="0.3">
      <c r="A263" t="s">
        <v>24</v>
      </c>
    </row>
    <row r="264" spans="1:1" x14ac:dyDescent="0.3">
      <c r="A264" t="s">
        <v>24</v>
      </c>
    </row>
    <row r="265" spans="1:1" x14ac:dyDescent="0.3">
      <c r="A265" t="s">
        <v>24</v>
      </c>
    </row>
    <row r="266" spans="1:1" x14ac:dyDescent="0.3">
      <c r="A266" t="s">
        <v>24</v>
      </c>
    </row>
    <row r="267" spans="1:1" x14ac:dyDescent="0.3">
      <c r="A267" t="s">
        <v>24</v>
      </c>
    </row>
    <row r="268" spans="1:1" x14ac:dyDescent="0.3">
      <c r="A268" t="s">
        <v>24</v>
      </c>
    </row>
    <row r="269" spans="1:1" x14ac:dyDescent="0.3">
      <c r="A269" t="s">
        <v>24</v>
      </c>
    </row>
    <row r="270" spans="1:1" x14ac:dyDescent="0.3">
      <c r="A270" t="s">
        <v>24</v>
      </c>
    </row>
    <row r="271" spans="1:1" x14ac:dyDescent="0.3">
      <c r="A271" t="s">
        <v>24</v>
      </c>
    </row>
    <row r="272" spans="1:1" x14ac:dyDescent="0.3">
      <c r="A272" t="s">
        <v>24</v>
      </c>
    </row>
    <row r="273" spans="1:1" x14ac:dyDescent="0.3">
      <c r="A273" t="s">
        <v>24</v>
      </c>
    </row>
    <row r="274" spans="1:1" x14ac:dyDescent="0.3">
      <c r="A274" t="s">
        <v>24</v>
      </c>
    </row>
    <row r="275" spans="1:1" x14ac:dyDescent="0.3">
      <c r="A275" t="s">
        <v>24</v>
      </c>
    </row>
    <row r="276" spans="1:1" x14ac:dyDescent="0.3">
      <c r="A276" t="s">
        <v>24</v>
      </c>
    </row>
    <row r="277" spans="1:1" x14ac:dyDescent="0.3">
      <c r="A277" t="s">
        <v>24</v>
      </c>
    </row>
    <row r="278" spans="1:1" x14ac:dyDescent="0.3">
      <c r="A278" t="s">
        <v>24</v>
      </c>
    </row>
    <row r="279" spans="1:1" x14ac:dyDescent="0.3">
      <c r="A279" t="s">
        <v>24</v>
      </c>
    </row>
    <row r="280" spans="1:1" x14ac:dyDescent="0.3">
      <c r="A280" t="s">
        <v>24</v>
      </c>
    </row>
    <row r="281" spans="1:1" x14ac:dyDescent="0.3">
      <c r="A281" t="s">
        <v>24</v>
      </c>
    </row>
    <row r="282" spans="1:1" x14ac:dyDescent="0.3">
      <c r="A282" t="s">
        <v>24</v>
      </c>
    </row>
    <row r="283" spans="1:1" x14ac:dyDescent="0.3">
      <c r="A283" t="s">
        <v>24</v>
      </c>
    </row>
    <row r="284" spans="1:1" x14ac:dyDescent="0.3">
      <c r="A284" t="s">
        <v>24</v>
      </c>
    </row>
    <row r="285" spans="1:1" x14ac:dyDescent="0.3">
      <c r="A285" t="s">
        <v>24</v>
      </c>
    </row>
    <row r="286" spans="1:1" x14ac:dyDescent="0.3">
      <c r="A286" t="s">
        <v>24</v>
      </c>
    </row>
    <row r="287" spans="1:1" x14ac:dyDescent="0.3">
      <c r="A287" t="s">
        <v>24</v>
      </c>
    </row>
    <row r="288" spans="1:1" x14ac:dyDescent="0.3">
      <c r="A288" t="s">
        <v>24</v>
      </c>
    </row>
    <row r="289" spans="1:1" x14ac:dyDescent="0.3">
      <c r="A289" t="s">
        <v>24</v>
      </c>
    </row>
    <row r="290" spans="1:1" x14ac:dyDescent="0.3">
      <c r="A290" t="s">
        <v>24</v>
      </c>
    </row>
    <row r="291" spans="1:1" x14ac:dyDescent="0.3">
      <c r="A291" t="s">
        <v>24</v>
      </c>
    </row>
    <row r="292" spans="1:1" x14ac:dyDescent="0.3">
      <c r="A292" t="s">
        <v>24</v>
      </c>
    </row>
    <row r="293" spans="1:1" x14ac:dyDescent="0.3">
      <c r="A293" t="s">
        <v>24</v>
      </c>
    </row>
    <row r="294" spans="1:1" x14ac:dyDescent="0.3">
      <c r="A294" t="s">
        <v>24</v>
      </c>
    </row>
    <row r="295" spans="1:1" x14ac:dyDescent="0.3">
      <c r="A295" t="s">
        <v>24</v>
      </c>
    </row>
    <row r="296" spans="1:1" x14ac:dyDescent="0.3">
      <c r="A296" t="s">
        <v>24</v>
      </c>
    </row>
    <row r="297" spans="1:1" x14ac:dyDescent="0.3">
      <c r="A297" t="s">
        <v>24</v>
      </c>
    </row>
    <row r="298" spans="1:1" x14ac:dyDescent="0.3">
      <c r="A298" t="s">
        <v>24</v>
      </c>
    </row>
    <row r="299" spans="1:1" x14ac:dyDescent="0.3">
      <c r="A299" t="s">
        <v>24</v>
      </c>
    </row>
    <row r="300" spans="1:1" x14ac:dyDescent="0.3">
      <c r="A300" t="s">
        <v>24</v>
      </c>
    </row>
    <row r="301" spans="1:1" x14ac:dyDescent="0.3">
      <c r="A301" t="s">
        <v>24</v>
      </c>
    </row>
    <row r="302" spans="1:1" x14ac:dyDescent="0.3">
      <c r="A302" t="s">
        <v>24</v>
      </c>
    </row>
    <row r="303" spans="1:1" x14ac:dyDescent="0.3">
      <c r="A303" t="s">
        <v>24</v>
      </c>
    </row>
    <row r="304" spans="1:1" x14ac:dyDescent="0.3">
      <c r="A304" t="s">
        <v>24</v>
      </c>
    </row>
    <row r="305" spans="1:1" x14ac:dyDescent="0.3">
      <c r="A305" t="s">
        <v>24</v>
      </c>
    </row>
    <row r="306" spans="1:1" x14ac:dyDescent="0.3">
      <c r="A306" t="s">
        <v>24</v>
      </c>
    </row>
    <row r="307" spans="1:1" x14ac:dyDescent="0.3">
      <c r="A307" t="s">
        <v>24</v>
      </c>
    </row>
    <row r="308" spans="1:1" x14ac:dyDescent="0.3">
      <c r="A308" t="s">
        <v>24</v>
      </c>
    </row>
    <row r="309" spans="1:1" x14ac:dyDescent="0.3">
      <c r="A309" t="s">
        <v>24</v>
      </c>
    </row>
    <row r="310" spans="1:1" x14ac:dyDescent="0.3">
      <c r="A310" t="s">
        <v>24</v>
      </c>
    </row>
    <row r="311" spans="1:1" x14ac:dyDescent="0.3">
      <c r="A311" t="s">
        <v>24</v>
      </c>
    </row>
    <row r="312" spans="1:1" x14ac:dyDescent="0.3">
      <c r="A312" t="s">
        <v>24</v>
      </c>
    </row>
    <row r="313" spans="1:1" x14ac:dyDescent="0.3">
      <c r="A313" t="s">
        <v>24</v>
      </c>
    </row>
    <row r="314" spans="1:1" x14ac:dyDescent="0.3">
      <c r="A314" t="s">
        <v>173</v>
      </c>
    </row>
    <row r="315" spans="1:1" x14ac:dyDescent="0.3">
      <c r="A315" t="s">
        <v>24</v>
      </c>
    </row>
    <row r="316" spans="1:1" x14ac:dyDescent="0.3">
      <c r="A316" t="s">
        <v>24</v>
      </c>
    </row>
    <row r="317" spans="1:1" x14ac:dyDescent="0.3">
      <c r="A317" t="s">
        <v>24</v>
      </c>
    </row>
    <row r="318" spans="1:1" x14ac:dyDescent="0.3">
      <c r="A318" t="s">
        <v>24</v>
      </c>
    </row>
    <row r="319" spans="1:1" x14ac:dyDescent="0.3">
      <c r="A319" t="s">
        <v>24</v>
      </c>
    </row>
    <row r="320" spans="1:1" x14ac:dyDescent="0.3">
      <c r="A320" t="s">
        <v>24</v>
      </c>
    </row>
    <row r="321" spans="1:1" x14ac:dyDescent="0.3">
      <c r="A321" t="s">
        <v>173</v>
      </c>
    </row>
    <row r="322" spans="1:1" x14ac:dyDescent="0.3">
      <c r="A322" t="s">
        <v>173</v>
      </c>
    </row>
    <row r="323" spans="1:1" x14ac:dyDescent="0.3">
      <c r="A323" t="s">
        <v>173</v>
      </c>
    </row>
    <row r="324" spans="1:1" x14ac:dyDescent="0.3">
      <c r="A324" t="s">
        <v>173</v>
      </c>
    </row>
    <row r="325" spans="1:1" x14ac:dyDescent="0.3">
      <c r="A325" t="s">
        <v>173</v>
      </c>
    </row>
    <row r="326" spans="1:1" x14ac:dyDescent="0.3">
      <c r="A326" t="s">
        <v>173</v>
      </c>
    </row>
    <row r="327" spans="1:1" x14ac:dyDescent="0.3">
      <c r="A327" t="s">
        <v>173</v>
      </c>
    </row>
    <row r="328" spans="1:1" x14ac:dyDescent="0.3">
      <c r="A328" t="s">
        <v>173</v>
      </c>
    </row>
    <row r="329" spans="1:1" x14ac:dyDescent="0.3">
      <c r="A329" t="s">
        <v>173</v>
      </c>
    </row>
    <row r="330" spans="1:1" x14ac:dyDescent="0.3">
      <c r="A330" t="s">
        <v>173</v>
      </c>
    </row>
    <row r="331" spans="1:1" x14ac:dyDescent="0.3">
      <c r="A331" t="s">
        <v>173</v>
      </c>
    </row>
    <row r="332" spans="1:1" x14ac:dyDescent="0.3">
      <c r="A332" t="s">
        <v>24</v>
      </c>
    </row>
    <row r="333" spans="1:1" x14ac:dyDescent="0.3">
      <c r="A333" t="s">
        <v>24</v>
      </c>
    </row>
    <row r="334" spans="1:1" x14ac:dyDescent="0.3">
      <c r="A334" t="s">
        <v>173</v>
      </c>
    </row>
    <row r="335" spans="1:1" x14ac:dyDescent="0.3">
      <c r="A335" t="s">
        <v>24</v>
      </c>
    </row>
    <row r="336" spans="1:1" x14ac:dyDescent="0.3">
      <c r="A336" t="s">
        <v>24</v>
      </c>
    </row>
    <row r="337" spans="1:1" x14ac:dyDescent="0.3">
      <c r="A337" t="s">
        <v>173</v>
      </c>
    </row>
    <row r="338" spans="1:1" x14ac:dyDescent="0.3">
      <c r="A338" t="s">
        <v>173</v>
      </c>
    </row>
    <row r="339" spans="1:1" x14ac:dyDescent="0.3">
      <c r="A339" t="s">
        <v>173</v>
      </c>
    </row>
    <row r="340" spans="1:1" x14ac:dyDescent="0.3">
      <c r="A340" t="s">
        <v>24</v>
      </c>
    </row>
    <row r="341" spans="1:1" x14ac:dyDescent="0.3">
      <c r="A341" t="s">
        <v>24</v>
      </c>
    </row>
    <row r="342" spans="1:1" x14ac:dyDescent="0.3">
      <c r="A342" t="s">
        <v>24</v>
      </c>
    </row>
    <row r="343" spans="1:1" x14ac:dyDescent="0.3">
      <c r="A343" t="s">
        <v>24</v>
      </c>
    </row>
    <row r="344" spans="1:1" x14ac:dyDescent="0.3">
      <c r="A344" t="s">
        <v>24</v>
      </c>
    </row>
    <row r="345" spans="1:1" x14ac:dyDescent="0.3">
      <c r="A345" t="s">
        <v>24</v>
      </c>
    </row>
    <row r="346" spans="1:1" x14ac:dyDescent="0.3">
      <c r="A346" t="s">
        <v>173</v>
      </c>
    </row>
    <row r="347" spans="1:1" x14ac:dyDescent="0.3">
      <c r="A347" t="s">
        <v>24</v>
      </c>
    </row>
    <row r="348" spans="1:1" x14ac:dyDescent="0.3">
      <c r="A348" t="s">
        <v>24</v>
      </c>
    </row>
    <row r="349" spans="1:1" x14ac:dyDescent="0.3">
      <c r="A349" t="s">
        <v>24</v>
      </c>
    </row>
    <row r="350" spans="1:1" x14ac:dyDescent="0.3">
      <c r="A350" t="s">
        <v>24</v>
      </c>
    </row>
    <row r="351" spans="1:1" x14ac:dyDescent="0.3">
      <c r="A351" t="s">
        <v>24</v>
      </c>
    </row>
    <row r="352" spans="1:1" x14ac:dyDescent="0.3">
      <c r="A352" t="s">
        <v>24</v>
      </c>
    </row>
    <row r="353" spans="1:1" x14ac:dyDescent="0.3">
      <c r="A353" t="s">
        <v>24</v>
      </c>
    </row>
    <row r="354" spans="1:1" x14ac:dyDescent="0.3">
      <c r="A354" t="s">
        <v>24</v>
      </c>
    </row>
    <row r="355" spans="1:1" x14ac:dyDescent="0.3">
      <c r="A355" t="s">
        <v>24</v>
      </c>
    </row>
    <row r="356" spans="1:1" x14ac:dyDescent="0.3">
      <c r="A356" t="s">
        <v>24</v>
      </c>
    </row>
    <row r="357" spans="1:1" x14ac:dyDescent="0.3">
      <c r="A357" t="s">
        <v>24</v>
      </c>
    </row>
    <row r="358" spans="1:1" x14ac:dyDescent="0.3">
      <c r="A358" t="s">
        <v>24</v>
      </c>
    </row>
    <row r="359" spans="1:1" x14ac:dyDescent="0.3">
      <c r="A359" t="s">
        <v>24</v>
      </c>
    </row>
    <row r="360" spans="1:1" x14ac:dyDescent="0.3">
      <c r="A360" t="s">
        <v>24</v>
      </c>
    </row>
    <row r="361" spans="1:1" x14ac:dyDescent="0.3">
      <c r="A361" t="s">
        <v>24</v>
      </c>
    </row>
    <row r="362" spans="1:1" x14ac:dyDescent="0.3">
      <c r="A362" t="s">
        <v>173</v>
      </c>
    </row>
    <row r="363" spans="1:1" x14ac:dyDescent="0.3">
      <c r="A363" t="s">
        <v>173</v>
      </c>
    </row>
    <row r="364" spans="1:1" x14ac:dyDescent="0.3">
      <c r="A364" t="s">
        <v>24</v>
      </c>
    </row>
    <row r="365" spans="1:1" x14ac:dyDescent="0.3">
      <c r="A365" t="s">
        <v>24</v>
      </c>
    </row>
    <row r="366" spans="1:1" x14ac:dyDescent="0.3">
      <c r="A366" t="s">
        <v>173</v>
      </c>
    </row>
    <row r="367" spans="1:1" x14ac:dyDescent="0.3">
      <c r="A367" t="s">
        <v>24</v>
      </c>
    </row>
    <row r="368" spans="1:1" x14ac:dyDescent="0.3">
      <c r="A368" t="s">
        <v>24</v>
      </c>
    </row>
    <row r="369" spans="1:1" x14ac:dyDescent="0.3">
      <c r="A369" t="s">
        <v>24</v>
      </c>
    </row>
    <row r="370" spans="1:1" x14ac:dyDescent="0.3">
      <c r="A370" t="s">
        <v>24</v>
      </c>
    </row>
    <row r="371" spans="1:1" x14ac:dyDescent="0.3">
      <c r="A371" t="s">
        <v>24</v>
      </c>
    </row>
    <row r="372" spans="1:1" x14ac:dyDescent="0.3">
      <c r="A372" t="s">
        <v>173</v>
      </c>
    </row>
    <row r="373" spans="1:1" x14ac:dyDescent="0.3">
      <c r="A373" t="s">
        <v>24</v>
      </c>
    </row>
    <row r="374" spans="1:1" x14ac:dyDescent="0.3">
      <c r="A374" t="s">
        <v>24</v>
      </c>
    </row>
    <row r="375" spans="1:1" x14ac:dyDescent="0.3">
      <c r="A375" t="s">
        <v>173</v>
      </c>
    </row>
    <row r="376" spans="1:1" x14ac:dyDescent="0.3">
      <c r="A376" t="s">
        <v>173</v>
      </c>
    </row>
    <row r="377" spans="1:1" x14ac:dyDescent="0.3">
      <c r="A377" t="s">
        <v>24</v>
      </c>
    </row>
    <row r="378" spans="1:1" x14ac:dyDescent="0.3">
      <c r="A378" t="s">
        <v>24</v>
      </c>
    </row>
    <row r="379" spans="1:1" x14ac:dyDescent="0.3">
      <c r="A379" t="s">
        <v>173</v>
      </c>
    </row>
    <row r="380" spans="1:1" x14ac:dyDescent="0.3">
      <c r="A380" t="s">
        <v>173</v>
      </c>
    </row>
    <row r="381" spans="1:1" x14ac:dyDescent="0.3">
      <c r="A381" t="s">
        <v>173</v>
      </c>
    </row>
    <row r="382" spans="1:1" x14ac:dyDescent="0.3">
      <c r="A382" t="s">
        <v>24</v>
      </c>
    </row>
    <row r="383" spans="1:1" x14ac:dyDescent="0.3">
      <c r="A383" t="s">
        <v>24</v>
      </c>
    </row>
    <row r="384" spans="1:1" x14ac:dyDescent="0.3">
      <c r="A384" t="s">
        <v>173</v>
      </c>
    </row>
    <row r="385" spans="1:1" x14ac:dyDescent="0.3">
      <c r="A385" t="s">
        <v>24</v>
      </c>
    </row>
    <row r="386" spans="1:1" x14ac:dyDescent="0.3">
      <c r="A386" t="s">
        <v>24</v>
      </c>
    </row>
    <row r="387" spans="1:1" x14ac:dyDescent="0.3">
      <c r="A387" t="s">
        <v>24</v>
      </c>
    </row>
    <row r="388" spans="1:1" x14ac:dyDescent="0.3">
      <c r="A388" t="s">
        <v>173</v>
      </c>
    </row>
    <row r="389" spans="1:1" x14ac:dyDescent="0.3">
      <c r="A389" t="s">
        <v>173</v>
      </c>
    </row>
    <row r="390" spans="1:1" x14ac:dyDescent="0.3">
      <c r="A390" t="s">
        <v>173</v>
      </c>
    </row>
    <row r="391" spans="1:1" x14ac:dyDescent="0.3">
      <c r="A391" t="s">
        <v>173</v>
      </c>
    </row>
    <row r="392" spans="1:1" x14ac:dyDescent="0.3">
      <c r="A392" t="s">
        <v>173</v>
      </c>
    </row>
    <row r="393" spans="1:1" x14ac:dyDescent="0.3">
      <c r="A393" t="s">
        <v>24</v>
      </c>
    </row>
    <row r="394" spans="1:1" x14ac:dyDescent="0.3">
      <c r="A394" t="s">
        <v>173</v>
      </c>
    </row>
    <row r="395" spans="1:1" x14ac:dyDescent="0.3">
      <c r="A395" t="s">
        <v>173</v>
      </c>
    </row>
    <row r="396" spans="1:1" x14ac:dyDescent="0.3">
      <c r="A396" t="s">
        <v>173</v>
      </c>
    </row>
    <row r="397" spans="1:1" x14ac:dyDescent="0.3">
      <c r="A397" t="s">
        <v>173</v>
      </c>
    </row>
    <row r="398" spans="1:1" x14ac:dyDescent="0.3">
      <c r="A398" t="s">
        <v>173</v>
      </c>
    </row>
    <row r="399" spans="1:1" x14ac:dyDescent="0.3">
      <c r="A399" t="s">
        <v>173</v>
      </c>
    </row>
    <row r="400" spans="1:1" x14ac:dyDescent="0.3">
      <c r="A400" t="s">
        <v>173</v>
      </c>
    </row>
    <row r="401" spans="1:1" x14ac:dyDescent="0.3">
      <c r="A401" t="s">
        <v>173</v>
      </c>
    </row>
    <row r="402" spans="1:1" x14ac:dyDescent="0.3">
      <c r="A402" t="s">
        <v>24</v>
      </c>
    </row>
    <row r="403" spans="1:1" x14ac:dyDescent="0.3">
      <c r="A403" t="s">
        <v>24</v>
      </c>
    </row>
    <row r="404" spans="1:1" x14ac:dyDescent="0.3">
      <c r="A404" t="s">
        <v>173</v>
      </c>
    </row>
    <row r="405" spans="1:1" x14ac:dyDescent="0.3">
      <c r="A405" t="s">
        <v>173</v>
      </c>
    </row>
    <row r="406" spans="1:1" x14ac:dyDescent="0.3">
      <c r="A406" t="s">
        <v>24</v>
      </c>
    </row>
    <row r="407" spans="1:1" x14ac:dyDescent="0.3">
      <c r="A407" t="s">
        <v>24</v>
      </c>
    </row>
    <row r="408" spans="1:1" x14ac:dyDescent="0.3">
      <c r="A408" t="s">
        <v>173</v>
      </c>
    </row>
    <row r="409" spans="1:1" x14ac:dyDescent="0.3">
      <c r="A409" t="s">
        <v>173</v>
      </c>
    </row>
    <row r="410" spans="1:1" x14ac:dyDescent="0.3">
      <c r="A410" t="s">
        <v>24</v>
      </c>
    </row>
    <row r="411" spans="1:1" x14ac:dyDescent="0.3">
      <c r="A411" t="s">
        <v>173</v>
      </c>
    </row>
    <row r="412" spans="1:1" x14ac:dyDescent="0.3">
      <c r="A412" t="s">
        <v>24</v>
      </c>
    </row>
    <row r="413" spans="1:1" x14ac:dyDescent="0.3">
      <c r="A413" t="s">
        <v>24</v>
      </c>
    </row>
    <row r="414" spans="1:1" x14ac:dyDescent="0.3">
      <c r="A414" t="s">
        <v>173</v>
      </c>
    </row>
    <row r="415" spans="1:1" x14ac:dyDescent="0.3">
      <c r="A415" t="s">
        <v>173</v>
      </c>
    </row>
    <row r="416" spans="1:1" x14ac:dyDescent="0.3">
      <c r="A416" t="s">
        <v>24</v>
      </c>
    </row>
    <row r="417" spans="1:1" x14ac:dyDescent="0.3">
      <c r="A417" t="s">
        <v>24</v>
      </c>
    </row>
    <row r="418" spans="1:1" x14ac:dyDescent="0.3">
      <c r="A418" t="s">
        <v>24</v>
      </c>
    </row>
    <row r="419" spans="1:1" x14ac:dyDescent="0.3">
      <c r="A419" t="s">
        <v>24</v>
      </c>
    </row>
    <row r="420" spans="1:1" x14ac:dyDescent="0.3">
      <c r="A420" t="s">
        <v>24</v>
      </c>
    </row>
    <row r="421" spans="1:1" x14ac:dyDescent="0.3">
      <c r="A421" t="s">
        <v>24</v>
      </c>
    </row>
    <row r="422" spans="1:1" x14ac:dyDescent="0.3">
      <c r="A422" t="s">
        <v>173</v>
      </c>
    </row>
    <row r="423" spans="1:1" x14ac:dyDescent="0.3">
      <c r="A423" t="s">
        <v>173</v>
      </c>
    </row>
    <row r="424" spans="1:1" x14ac:dyDescent="0.3">
      <c r="A424" t="s">
        <v>24</v>
      </c>
    </row>
    <row r="425" spans="1:1" x14ac:dyDescent="0.3">
      <c r="A425" t="s">
        <v>173</v>
      </c>
    </row>
    <row r="426" spans="1:1" x14ac:dyDescent="0.3">
      <c r="A426" t="s">
        <v>24</v>
      </c>
    </row>
    <row r="427" spans="1:1" x14ac:dyDescent="0.3">
      <c r="A427" t="s">
        <v>24</v>
      </c>
    </row>
    <row r="428" spans="1:1" x14ac:dyDescent="0.3">
      <c r="A428" t="s">
        <v>173</v>
      </c>
    </row>
    <row r="429" spans="1:1" x14ac:dyDescent="0.3">
      <c r="A429" t="s">
        <v>24</v>
      </c>
    </row>
    <row r="430" spans="1:1" x14ac:dyDescent="0.3">
      <c r="A430" t="s">
        <v>173</v>
      </c>
    </row>
    <row r="431" spans="1:1" x14ac:dyDescent="0.3">
      <c r="A431" t="s">
        <v>173</v>
      </c>
    </row>
    <row r="432" spans="1:1" x14ac:dyDescent="0.3">
      <c r="A432" t="s">
        <v>24</v>
      </c>
    </row>
    <row r="433" spans="1:1" x14ac:dyDescent="0.3">
      <c r="A433" t="s">
        <v>24</v>
      </c>
    </row>
    <row r="434" spans="1:1" x14ac:dyDescent="0.3">
      <c r="A434" t="s">
        <v>24</v>
      </c>
    </row>
    <row r="435" spans="1:1" x14ac:dyDescent="0.3">
      <c r="A435" t="s">
        <v>24</v>
      </c>
    </row>
    <row r="436" spans="1:1" x14ac:dyDescent="0.3">
      <c r="A436" t="s">
        <v>24</v>
      </c>
    </row>
    <row r="437" spans="1:1" x14ac:dyDescent="0.3">
      <c r="A437" t="s">
        <v>173</v>
      </c>
    </row>
    <row r="438" spans="1:1" x14ac:dyDescent="0.3">
      <c r="A438" t="s">
        <v>173</v>
      </c>
    </row>
    <row r="439" spans="1:1" x14ac:dyDescent="0.3">
      <c r="A439" t="s">
        <v>173</v>
      </c>
    </row>
    <row r="440" spans="1:1" x14ac:dyDescent="0.3">
      <c r="A440" t="s">
        <v>24</v>
      </c>
    </row>
    <row r="441" spans="1:1" x14ac:dyDescent="0.3">
      <c r="A441" t="s">
        <v>173</v>
      </c>
    </row>
    <row r="442" spans="1:1" x14ac:dyDescent="0.3">
      <c r="A442" t="s">
        <v>173</v>
      </c>
    </row>
    <row r="443" spans="1:1" x14ac:dyDescent="0.3">
      <c r="A443" t="s">
        <v>24</v>
      </c>
    </row>
    <row r="444" spans="1:1" x14ac:dyDescent="0.3">
      <c r="A444" t="s">
        <v>24</v>
      </c>
    </row>
    <row r="445" spans="1:1" x14ac:dyDescent="0.3">
      <c r="A445" t="s">
        <v>24</v>
      </c>
    </row>
    <row r="446" spans="1:1" x14ac:dyDescent="0.3">
      <c r="A446" t="s">
        <v>173</v>
      </c>
    </row>
    <row r="447" spans="1:1" x14ac:dyDescent="0.3">
      <c r="A447" t="s">
        <v>24</v>
      </c>
    </row>
    <row r="448" spans="1:1" x14ac:dyDescent="0.3">
      <c r="A448" t="s">
        <v>173</v>
      </c>
    </row>
    <row r="449" spans="1:1" x14ac:dyDescent="0.3">
      <c r="A449" t="s">
        <v>24</v>
      </c>
    </row>
    <row r="450" spans="1:1" x14ac:dyDescent="0.3">
      <c r="A450" t="s">
        <v>173</v>
      </c>
    </row>
    <row r="451" spans="1:1" x14ac:dyDescent="0.3">
      <c r="A451" t="s">
        <v>24</v>
      </c>
    </row>
    <row r="452" spans="1:1" x14ac:dyDescent="0.3">
      <c r="A452" t="s">
        <v>24</v>
      </c>
    </row>
    <row r="453" spans="1:1" x14ac:dyDescent="0.3">
      <c r="A453" t="s">
        <v>24</v>
      </c>
    </row>
    <row r="454" spans="1:1" x14ac:dyDescent="0.3">
      <c r="A454" t="s">
        <v>173</v>
      </c>
    </row>
    <row r="455" spans="1:1" x14ac:dyDescent="0.3">
      <c r="A455" t="s">
        <v>24</v>
      </c>
    </row>
    <row r="456" spans="1:1" x14ac:dyDescent="0.3">
      <c r="A456" t="s">
        <v>24</v>
      </c>
    </row>
    <row r="457" spans="1:1" x14ac:dyDescent="0.3">
      <c r="A457" t="s">
        <v>173</v>
      </c>
    </row>
    <row r="458" spans="1:1" x14ac:dyDescent="0.3">
      <c r="A458" t="s">
        <v>24</v>
      </c>
    </row>
    <row r="459" spans="1:1" x14ac:dyDescent="0.3">
      <c r="A459" t="s">
        <v>24</v>
      </c>
    </row>
    <row r="460" spans="1:1" x14ac:dyDescent="0.3">
      <c r="A460" t="s">
        <v>24</v>
      </c>
    </row>
    <row r="461" spans="1:1" x14ac:dyDescent="0.3">
      <c r="A461" t="s">
        <v>24</v>
      </c>
    </row>
    <row r="462" spans="1:1" x14ac:dyDescent="0.3">
      <c r="A462" t="s">
        <v>24</v>
      </c>
    </row>
    <row r="463" spans="1:1" x14ac:dyDescent="0.3">
      <c r="A463" t="s">
        <v>24</v>
      </c>
    </row>
    <row r="464" spans="1:1" x14ac:dyDescent="0.3">
      <c r="A464" t="s">
        <v>24</v>
      </c>
    </row>
    <row r="465" spans="1:1" x14ac:dyDescent="0.3">
      <c r="A465" t="s">
        <v>24</v>
      </c>
    </row>
    <row r="466" spans="1:1" x14ac:dyDescent="0.3">
      <c r="A466" t="s">
        <v>24</v>
      </c>
    </row>
    <row r="467" spans="1:1" x14ac:dyDescent="0.3">
      <c r="A467" t="s">
        <v>24</v>
      </c>
    </row>
    <row r="468" spans="1:1" x14ac:dyDescent="0.3">
      <c r="A468" t="s">
        <v>24</v>
      </c>
    </row>
    <row r="469" spans="1:1" x14ac:dyDescent="0.3">
      <c r="A469" t="s">
        <v>173</v>
      </c>
    </row>
    <row r="470" spans="1:1" x14ac:dyDescent="0.3">
      <c r="A470" t="s">
        <v>173</v>
      </c>
    </row>
    <row r="471" spans="1:1" x14ac:dyDescent="0.3">
      <c r="A471" t="s">
        <v>173</v>
      </c>
    </row>
    <row r="472" spans="1:1" x14ac:dyDescent="0.3">
      <c r="A472" t="s">
        <v>173</v>
      </c>
    </row>
    <row r="473" spans="1:1" x14ac:dyDescent="0.3">
      <c r="A473" t="s">
        <v>173</v>
      </c>
    </row>
    <row r="474" spans="1:1" x14ac:dyDescent="0.3">
      <c r="A474" t="s">
        <v>24</v>
      </c>
    </row>
    <row r="475" spans="1:1" x14ac:dyDescent="0.3">
      <c r="A475" t="s">
        <v>24</v>
      </c>
    </row>
    <row r="476" spans="1:1" x14ac:dyDescent="0.3">
      <c r="A476" t="s">
        <v>24</v>
      </c>
    </row>
    <row r="477" spans="1:1" x14ac:dyDescent="0.3">
      <c r="A477" t="s">
        <v>24</v>
      </c>
    </row>
    <row r="478" spans="1:1" x14ac:dyDescent="0.3">
      <c r="A478" t="s">
        <v>173</v>
      </c>
    </row>
    <row r="479" spans="1:1" x14ac:dyDescent="0.3">
      <c r="A479" t="s">
        <v>173</v>
      </c>
    </row>
    <row r="480" spans="1:1" x14ac:dyDescent="0.3">
      <c r="A480" t="s">
        <v>173</v>
      </c>
    </row>
    <row r="481" spans="1:1" x14ac:dyDescent="0.3">
      <c r="A481" t="s">
        <v>24</v>
      </c>
    </row>
    <row r="482" spans="1:1" x14ac:dyDescent="0.3">
      <c r="A482" t="s">
        <v>24</v>
      </c>
    </row>
    <row r="483" spans="1:1" x14ac:dyDescent="0.3">
      <c r="A483" t="s">
        <v>24</v>
      </c>
    </row>
    <row r="484" spans="1:1" x14ac:dyDescent="0.3">
      <c r="A484" t="s">
        <v>24</v>
      </c>
    </row>
    <row r="485" spans="1:1" x14ac:dyDescent="0.3">
      <c r="A485" t="s">
        <v>24</v>
      </c>
    </row>
    <row r="486" spans="1:1" x14ac:dyDescent="0.3">
      <c r="A486" t="s">
        <v>24</v>
      </c>
    </row>
    <row r="487" spans="1:1" x14ac:dyDescent="0.3">
      <c r="A487" t="s">
        <v>24</v>
      </c>
    </row>
    <row r="488" spans="1:1" x14ac:dyDescent="0.3">
      <c r="A488" t="s">
        <v>24</v>
      </c>
    </row>
    <row r="489" spans="1:1" x14ac:dyDescent="0.3">
      <c r="A489" t="s">
        <v>24</v>
      </c>
    </row>
    <row r="490" spans="1:1" x14ac:dyDescent="0.3">
      <c r="A490" t="s">
        <v>24</v>
      </c>
    </row>
    <row r="491" spans="1:1" x14ac:dyDescent="0.3">
      <c r="A491" t="s">
        <v>24</v>
      </c>
    </row>
    <row r="492" spans="1:1" x14ac:dyDescent="0.3">
      <c r="A492" t="s">
        <v>24</v>
      </c>
    </row>
    <row r="493" spans="1:1" x14ac:dyDescent="0.3">
      <c r="A493" t="s">
        <v>24</v>
      </c>
    </row>
    <row r="494" spans="1:1" x14ac:dyDescent="0.3">
      <c r="A494" t="s">
        <v>24</v>
      </c>
    </row>
    <row r="495" spans="1:1" x14ac:dyDescent="0.3">
      <c r="A495" t="s">
        <v>173</v>
      </c>
    </row>
    <row r="496" spans="1:1" x14ac:dyDescent="0.3">
      <c r="A496" t="s">
        <v>173</v>
      </c>
    </row>
    <row r="497" spans="1:1" x14ac:dyDescent="0.3">
      <c r="A497" t="s">
        <v>24</v>
      </c>
    </row>
    <row r="498" spans="1:1" x14ac:dyDescent="0.3">
      <c r="A498" t="s">
        <v>24</v>
      </c>
    </row>
    <row r="499" spans="1:1" x14ac:dyDescent="0.3">
      <c r="A499" t="s">
        <v>173</v>
      </c>
    </row>
    <row r="500" spans="1:1" x14ac:dyDescent="0.3">
      <c r="A500" t="s">
        <v>24</v>
      </c>
    </row>
    <row r="501" spans="1:1" x14ac:dyDescent="0.3">
      <c r="A501" t="s">
        <v>24</v>
      </c>
    </row>
    <row r="502" spans="1:1" x14ac:dyDescent="0.3">
      <c r="A502" t="s">
        <v>173</v>
      </c>
    </row>
    <row r="503" spans="1:1" x14ac:dyDescent="0.3">
      <c r="A503" t="s">
        <v>173</v>
      </c>
    </row>
    <row r="504" spans="1:1" x14ac:dyDescent="0.3">
      <c r="A504" t="s">
        <v>173</v>
      </c>
    </row>
    <row r="505" spans="1:1" x14ac:dyDescent="0.3">
      <c r="A505" t="s">
        <v>173</v>
      </c>
    </row>
    <row r="506" spans="1:1" x14ac:dyDescent="0.3">
      <c r="A506" t="s">
        <v>24</v>
      </c>
    </row>
    <row r="507" spans="1:1" x14ac:dyDescent="0.3">
      <c r="A507" t="s">
        <v>173</v>
      </c>
    </row>
    <row r="508" spans="1:1" x14ac:dyDescent="0.3">
      <c r="A508" t="s">
        <v>173</v>
      </c>
    </row>
    <row r="509" spans="1:1" x14ac:dyDescent="0.3">
      <c r="A509" t="s">
        <v>173</v>
      </c>
    </row>
    <row r="510" spans="1:1" x14ac:dyDescent="0.3">
      <c r="A510" t="s">
        <v>173</v>
      </c>
    </row>
    <row r="511" spans="1:1" x14ac:dyDescent="0.3">
      <c r="A511" t="s">
        <v>173</v>
      </c>
    </row>
    <row r="512" spans="1:1" x14ac:dyDescent="0.3">
      <c r="A512" t="s">
        <v>173</v>
      </c>
    </row>
    <row r="513" spans="1:1" x14ac:dyDescent="0.3">
      <c r="A513" t="s">
        <v>173</v>
      </c>
    </row>
    <row r="514" spans="1:1" x14ac:dyDescent="0.3">
      <c r="A514" t="s">
        <v>173</v>
      </c>
    </row>
    <row r="515" spans="1:1" x14ac:dyDescent="0.3">
      <c r="A515" t="s">
        <v>173</v>
      </c>
    </row>
    <row r="516" spans="1:1" x14ac:dyDescent="0.3">
      <c r="A516" t="s">
        <v>173</v>
      </c>
    </row>
    <row r="517" spans="1:1" x14ac:dyDescent="0.3">
      <c r="A517" t="s">
        <v>173</v>
      </c>
    </row>
    <row r="518" spans="1:1" x14ac:dyDescent="0.3">
      <c r="A518" t="s">
        <v>173</v>
      </c>
    </row>
    <row r="519" spans="1:1" x14ac:dyDescent="0.3">
      <c r="A519" t="s">
        <v>173</v>
      </c>
    </row>
    <row r="520" spans="1:1" x14ac:dyDescent="0.3">
      <c r="A520" t="s">
        <v>24</v>
      </c>
    </row>
    <row r="521" spans="1:1" x14ac:dyDescent="0.3">
      <c r="A521" t="s">
        <v>173</v>
      </c>
    </row>
    <row r="522" spans="1:1" x14ac:dyDescent="0.3">
      <c r="A522" t="s">
        <v>173</v>
      </c>
    </row>
    <row r="523" spans="1:1" x14ac:dyDescent="0.3">
      <c r="A523" t="s">
        <v>173</v>
      </c>
    </row>
    <row r="524" spans="1:1" x14ac:dyDescent="0.3">
      <c r="A524" t="s">
        <v>173</v>
      </c>
    </row>
    <row r="525" spans="1:1" x14ac:dyDescent="0.3">
      <c r="A525" t="s">
        <v>173</v>
      </c>
    </row>
    <row r="526" spans="1:1" x14ac:dyDescent="0.3">
      <c r="A526" t="s">
        <v>173</v>
      </c>
    </row>
    <row r="527" spans="1:1" x14ac:dyDescent="0.3">
      <c r="A527" t="s">
        <v>24</v>
      </c>
    </row>
    <row r="528" spans="1:1" x14ac:dyDescent="0.3">
      <c r="A528" t="s">
        <v>173</v>
      </c>
    </row>
    <row r="529" spans="1:1" x14ac:dyDescent="0.3">
      <c r="A529" t="s">
        <v>173</v>
      </c>
    </row>
    <row r="530" spans="1:1" x14ac:dyDescent="0.3">
      <c r="A530" t="s">
        <v>173</v>
      </c>
    </row>
    <row r="531" spans="1:1" x14ac:dyDescent="0.3">
      <c r="A531" t="s">
        <v>173</v>
      </c>
    </row>
    <row r="532" spans="1:1" x14ac:dyDescent="0.3">
      <c r="A532" t="s">
        <v>173</v>
      </c>
    </row>
    <row r="533" spans="1:1" x14ac:dyDescent="0.3">
      <c r="A533" t="s">
        <v>173</v>
      </c>
    </row>
    <row r="534" spans="1:1" x14ac:dyDescent="0.3">
      <c r="A534" t="s">
        <v>24</v>
      </c>
    </row>
    <row r="535" spans="1:1" x14ac:dyDescent="0.3">
      <c r="A535" t="s">
        <v>24</v>
      </c>
    </row>
    <row r="536" spans="1:1" x14ac:dyDescent="0.3">
      <c r="A536" t="s">
        <v>24</v>
      </c>
    </row>
    <row r="537" spans="1:1" x14ac:dyDescent="0.3">
      <c r="A537" t="s">
        <v>24</v>
      </c>
    </row>
    <row r="538" spans="1:1" x14ac:dyDescent="0.3">
      <c r="A538" t="s">
        <v>24</v>
      </c>
    </row>
    <row r="539" spans="1:1" x14ac:dyDescent="0.3">
      <c r="A539" t="s">
        <v>24</v>
      </c>
    </row>
    <row r="540" spans="1:1" x14ac:dyDescent="0.3">
      <c r="A540" t="s">
        <v>173</v>
      </c>
    </row>
    <row r="541" spans="1:1" x14ac:dyDescent="0.3">
      <c r="A541" t="s">
        <v>173</v>
      </c>
    </row>
    <row r="542" spans="1:1" x14ac:dyDescent="0.3">
      <c r="A542" t="s">
        <v>173</v>
      </c>
    </row>
    <row r="543" spans="1:1" x14ac:dyDescent="0.3">
      <c r="A543" t="s">
        <v>173</v>
      </c>
    </row>
    <row r="544" spans="1:1" x14ac:dyDescent="0.3">
      <c r="A544" t="s">
        <v>173</v>
      </c>
    </row>
    <row r="545" spans="1:1" x14ac:dyDescent="0.3">
      <c r="A545" t="s">
        <v>173</v>
      </c>
    </row>
    <row r="546" spans="1:1" x14ac:dyDescent="0.3">
      <c r="A546" t="s">
        <v>173</v>
      </c>
    </row>
    <row r="547" spans="1:1" x14ac:dyDescent="0.3">
      <c r="A547" t="s">
        <v>173</v>
      </c>
    </row>
    <row r="548" spans="1:1" x14ac:dyDescent="0.3">
      <c r="A548" t="s">
        <v>173</v>
      </c>
    </row>
    <row r="549" spans="1:1" x14ac:dyDescent="0.3">
      <c r="A549" t="s">
        <v>24</v>
      </c>
    </row>
    <row r="550" spans="1:1" x14ac:dyDescent="0.3">
      <c r="A550" t="s">
        <v>173</v>
      </c>
    </row>
    <row r="551" spans="1:1" x14ac:dyDescent="0.3">
      <c r="A551" t="s">
        <v>24</v>
      </c>
    </row>
    <row r="552" spans="1:1" x14ac:dyDescent="0.3">
      <c r="A552" t="s">
        <v>173</v>
      </c>
    </row>
    <row r="553" spans="1:1" x14ac:dyDescent="0.3">
      <c r="A553" t="s">
        <v>24</v>
      </c>
    </row>
    <row r="554" spans="1:1" x14ac:dyDescent="0.3">
      <c r="A554" t="s">
        <v>173</v>
      </c>
    </row>
    <row r="555" spans="1:1" x14ac:dyDescent="0.3">
      <c r="A555" t="s">
        <v>173</v>
      </c>
    </row>
    <row r="556" spans="1:1" x14ac:dyDescent="0.3">
      <c r="A556" t="s">
        <v>173</v>
      </c>
    </row>
    <row r="557" spans="1:1" x14ac:dyDescent="0.3">
      <c r="A557" t="s">
        <v>173</v>
      </c>
    </row>
    <row r="558" spans="1:1" x14ac:dyDescent="0.3">
      <c r="A558" t="s">
        <v>24</v>
      </c>
    </row>
    <row r="559" spans="1:1" x14ac:dyDescent="0.3">
      <c r="A559" t="s">
        <v>173</v>
      </c>
    </row>
    <row r="560" spans="1:1" x14ac:dyDescent="0.3">
      <c r="A560" t="s">
        <v>173</v>
      </c>
    </row>
    <row r="561" spans="1:1" x14ac:dyDescent="0.3">
      <c r="A561" t="s">
        <v>173</v>
      </c>
    </row>
    <row r="562" spans="1:1" x14ac:dyDescent="0.3">
      <c r="A562" t="s">
        <v>24</v>
      </c>
    </row>
    <row r="563" spans="1:1" x14ac:dyDescent="0.3">
      <c r="A563" t="s">
        <v>24</v>
      </c>
    </row>
    <row r="564" spans="1:1" x14ac:dyDescent="0.3">
      <c r="A564" t="s">
        <v>173</v>
      </c>
    </row>
    <row r="565" spans="1:1" x14ac:dyDescent="0.3">
      <c r="A565" t="s">
        <v>173</v>
      </c>
    </row>
    <row r="566" spans="1:1" x14ac:dyDescent="0.3">
      <c r="A566" t="s">
        <v>173</v>
      </c>
    </row>
    <row r="567" spans="1:1" x14ac:dyDescent="0.3">
      <c r="A567" t="s">
        <v>173</v>
      </c>
    </row>
    <row r="568" spans="1:1" x14ac:dyDescent="0.3">
      <c r="A568" t="s">
        <v>173</v>
      </c>
    </row>
    <row r="569" spans="1:1" x14ac:dyDescent="0.3">
      <c r="A569" t="s">
        <v>173</v>
      </c>
    </row>
    <row r="570" spans="1:1" x14ac:dyDescent="0.3">
      <c r="A570" t="s">
        <v>173</v>
      </c>
    </row>
    <row r="571" spans="1:1" x14ac:dyDescent="0.3">
      <c r="A571" t="s">
        <v>24</v>
      </c>
    </row>
    <row r="572" spans="1:1" x14ac:dyDescent="0.3">
      <c r="A572" t="s">
        <v>173</v>
      </c>
    </row>
    <row r="573" spans="1:1" x14ac:dyDescent="0.3">
      <c r="A573" t="s">
        <v>24</v>
      </c>
    </row>
    <row r="574" spans="1:1" x14ac:dyDescent="0.3">
      <c r="A574" t="s">
        <v>24</v>
      </c>
    </row>
    <row r="575" spans="1:1" x14ac:dyDescent="0.3">
      <c r="A575" t="s">
        <v>173</v>
      </c>
    </row>
    <row r="576" spans="1:1" x14ac:dyDescent="0.3">
      <c r="A576" t="s">
        <v>173</v>
      </c>
    </row>
    <row r="577" spans="1:1" x14ac:dyDescent="0.3">
      <c r="A577" t="s">
        <v>173</v>
      </c>
    </row>
    <row r="578" spans="1:1" x14ac:dyDescent="0.3">
      <c r="A578" t="s">
        <v>173</v>
      </c>
    </row>
    <row r="579" spans="1:1" x14ac:dyDescent="0.3">
      <c r="A579" t="s">
        <v>173</v>
      </c>
    </row>
    <row r="580" spans="1:1" x14ac:dyDescent="0.3">
      <c r="A580" t="s">
        <v>24</v>
      </c>
    </row>
    <row r="581" spans="1:1" x14ac:dyDescent="0.3">
      <c r="A581" t="s">
        <v>24</v>
      </c>
    </row>
    <row r="582" spans="1:1" x14ac:dyDescent="0.3">
      <c r="A582" t="s">
        <v>24</v>
      </c>
    </row>
    <row r="583" spans="1:1" x14ac:dyDescent="0.3">
      <c r="A583" t="s">
        <v>173</v>
      </c>
    </row>
    <row r="584" spans="1:1" x14ac:dyDescent="0.3">
      <c r="A584" t="s">
        <v>173</v>
      </c>
    </row>
    <row r="585" spans="1:1" x14ac:dyDescent="0.3">
      <c r="A585" t="s">
        <v>173</v>
      </c>
    </row>
    <row r="586" spans="1:1" x14ac:dyDescent="0.3">
      <c r="A586" t="s">
        <v>173</v>
      </c>
    </row>
    <row r="587" spans="1:1" x14ac:dyDescent="0.3">
      <c r="A587" t="s">
        <v>24</v>
      </c>
    </row>
    <row r="588" spans="1:1" x14ac:dyDescent="0.3">
      <c r="A588" t="s">
        <v>173</v>
      </c>
    </row>
    <row r="589" spans="1:1" x14ac:dyDescent="0.3">
      <c r="A589" t="s">
        <v>173</v>
      </c>
    </row>
    <row r="590" spans="1:1" x14ac:dyDescent="0.3">
      <c r="A590" t="s">
        <v>24</v>
      </c>
    </row>
    <row r="591" spans="1:1" x14ac:dyDescent="0.3">
      <c r="A591" t="s">
        <v>24</v>
      </c>
    </row>
    <row r="592" spans="1:1" x14ac:dyDescent="0.3">
      <c r="A592" t="s">
        <v>24</v>
      </c>
    </row>
    <row r="593" spans="1:1" x14ac:dyDescent="0.3">
      <c r="A593" t="s">
        <v>173</v>
      </c>
    </row>
    <row r="594" spans="1:1" x14ac:dyDescent="0.3">
      <c r="A594" t="s">
        <v>173</v>
      </c>
    </row>
    <row r="595" spans="1:1" x14ac:dyDescent="0.3">
      <c r="A595" t="s">
        <v>24</v>
      </c>
    </row>
    <row r="596" spans="1:1" x14ac:dyDescent="0.3">
      <c r="A596" t="s">
        <v>24</v>
      </c>
    </row>
    <row r="597" spans="1:1" x14ac:dyDescent="0.3">
      <c r="A597" t="s">
        <v>24</v>
      </c>
    </row>
    <row r="598" spans="1:1" x14ac:dyDescent="0.3">
      <c r="A598" t="s">
        <v>173</v>
      </c>
    </row>
    <row r="599" spans="1:1" x14ac:dyDescent="0.3">
      <c r="A599" t="s">
        <v>173</v>
      </c>
    </row>
    <row r="600" spans="1:1" x14ac:dyDescent="0.3">
      <c r="A600" t="s">
        <v>24</v>
      </c>
    </row>
    <row r="601" spans="1:1" x14ac:dyDescent="0.3">
      <c r="A601" t="s">
        <v>24</v>
      </c>
    </row>
    <row r="602" spans="1:1" x14ac:dyDescent="0.3">
      <c r="A602" t="s">
        <v>24</v>
      </c>
    </row>
    <row r="603" spans="1:1" x14ac:dyDescent="0.3">
      <c r="A603" t="s">
        <v>24</v>
      </c>
    </row>
    <row r="604" spans="1:1" x14ac:dyDescent="0.3">
      <c r="A604" t="s">
        <v>24</v>
      </c>
    </row>
    <row r="605" spans="1:1" x14ac:dyDescent="0.3">
      <c r="A605" t="s">
        <v>173</v>
      </c>
    </row>
    <row r="606" spans="1:1" x14ac:dyDescent="0.3">
      <c r="A606" t="s">
        <v>173</v>
      </c>
    </row>
    <row r="607" spans="1:1" x14ac:dyDescent="0.3">
      <c r="A607" t="s">
        <v>24</v>
      </c>
    </row>
    <row r="608" spans="1:1" x14ac:dyDescent="0.3">
      <c r="A608" t="s">
        <v>24</v>
      </c>
    </row>
    <row r="609" spans="1:1" x14ac:dyDescent="0.3">
      <c r="A609" t="s">
        <v>173</v>
      </c>
    </row>
    <row r="610" spans="1:1" x14ac:dyDescent="0.3">
      <c r="A610" t="s">
        <v>24</v>
      </c>
    </row>
    <row r="611" spans="1:1" x14ac:dyDescent="0.3">
      <c r="A611" t="s">
        <v>24</v>
      </c>
    </row>
    <row r="612" spans="1:1" x14ac:dyDescent="0.3">
      <c r="A612" t="s">
        <v>24</v>
      </c>
    </row>
    <row r="613" spans="1:1" x14ac:dyDescent="0.3">
      <c r="A613" t="s">
        <v>24</v>
      </c>
    </row>
    <row r="614" spans="1:1" x14ac:dyDescent="0.3">
      <c r="A614" t="s">
        <v>173</v>
      </c>
    </row>
    <row r="615" spans="1:1" x14ac:dyDescent="0.3">
      <c r="A615" t="s">
        <v>24</v>
      </c>
    </row>
    <row r="616" spans="1:1" x14ac:dyDescent="0.3">
      <c r="A616" t="s">
        <v>24</v>
      </c>
    </row>
    <row r="617" spans="1:1" x14ac:dyDescent="0.3">
      <c r="A617" t="s">
        <v>24</v>
      </c>
    </row>
    <row r="618" spans="1:1" x14ac:dyDescent="0.3">
      <c r="A618" t="s">
        <v>24</v>
      </c>
    </row>
    <row r="619" spans="1:1" x14ac:dyDescent="0.3">
      <c r="A619" t="s">
        <v>24</v>
      </c>
    </row>
    <row r="620" spans="1:1" x14ac:dyDescent="0.3">
      <c r="A620" t="s">
        <v>173</v>
      </c>
    </row>
    <row r="621" spans="1:1" x14ac:dyDescent="0.3">
      <c r="A621" t="s">
        <v>24</v>
      </c>
    </row>
    <row r="622" spans="1:1" x14ac:dyDescent="0.3">
      <c r="A622" t="s">
        <v>24</v>
      </c>
    </row>
    <row r="623" spans="1:1" x14ac:dyDescent="0.3">
      <c r="A623" t="s">
        <v>173</v>
      </c>
    </row>
    <row r="624" spans="1:1" x14ac:dyDescent="0.3">
      <c r="A624" t="s">
        <v>173</v>
      </c>
    </row>
    <row r="625" spans="1:1" x14ac:dyDescent="0.3">
      <c r="A625" t="s">
        <v>24</v>
      </c>
    </row>
    <row r="626" spans="1:1" x14ac:dyDescent="0.3">
      <c r="A626" t="s">
        <v>173</v>
      </c>
    </row>
    <row r="627" spans="1:1" x14ac:dyDescent="0.3">
      <c r="A627" t="s">
        <v>24</v>
      </c>
    </row>
    <row r="628" spans="1:1" x14ac:dyDescent="0.3">
      <c r="A628" t="s">
        <v>173</v>
      </c>
    </row>
    <row r="629" spans="1:1" x14ac:dyDescent="0.3">
      <c r="A629" t="s">
        <v>24</v>
      </c>
    </row>
    <row r="630" spans="1:1" x14ac:dyDescent="0.3">
      <c r="A630" t="s">
        <v>173</v>
      </c>
    </row>
    <row r="631" spans="1:1" x14ac:dyDescent="0.3">
      <c r="A631" t="s">
        <v>173</v>
      </c>
    </row>
    <row r="632" spans="1:1" x14ac:dyDescent="0.3">
      <c r="A632" t="s">
        <v>24</v>
      </c>
    </row>
    <row r="633" spans="1:1" x14ac:dyDescent="0.3">
      <c r="A633" t="s">
        <v>24</v>
      </c>
    </row>
    <row r="634" spans="1:1" x14ac:dyDescent="0.3">
      <c r="A634" t="s">
        <v>24</v>
      </c>
    </row>
    <row r="635" spans="1:1" x14ac:dyDescent="0.3">
      <c r="A635" t="s">
        <v>24</v>
      </c>
    </row>
    <row r="636" spans="1:1" x14ac:dyDescent="0.3">
      <c r="A636" t="s">
        <v>24</v>
      </c>
    </row>
    <row r="637" spans="1:1" x14ac:dyDescent="0.3">
      <c r="A637" t="s">
        <v>24</v>
      </c>
    </row>
    <row r="638" spans="1:1" x14ac:dyDescent="0.3">
      <c r="A638" t="s">
        <v>24</v>
      </c>
    </row>
    <row r="639" spans="1:1" x14ac:dyDescent="0.3">
      <c r="A639" t="s">
        <v>24</v>
      </c>
    </row>
    <row r="640" spans="1:1" x14ac:dyDescent="0.3">
      <c r="A640" t="s">
        <v>24</v>
      </c>
    </row>
    <row r="641" spans="1:1" x14ac:dyDescent="0.3">
      <c r="A641" t="s">
        <v>173</v>
      </c>
    </row>
    <row r="642" spans="1:1" x14ac:dyDescent="0.3">
      <c r="A642" t="s">
        <v>24</v>
      </c>
    </row>
    <row r="643" spans="1:1" x14ac:dyDescent="0.3">
      <c r="A643" t="s">
        <v>24</v>
      </c>
    </row>
    <row r="644" spans="1:1" x14ac:dyDescent="0.3">
      <c r="A644" t="s">
        <v>24</v>
      </c>
    </row>
    <row r="645" spans="1:1" x14ac:dyDescent="0.3">
      <c r="A645" t="s">
        <v>24</v>
      </c>
    </row>
    <row r="646" spans="1:1" x14ac:dyDescent="0.3">
      <c r="A646" t="s">
        <v>24</v>
      </c>
    </row>
    <row r="647" spans="1:1" x14ac:dyDescent="0.3">
      <c r="A647" t="s">
        <v>24</v>
      </c>
    </row>
    <row r="648" spans="1:1" x14ac:dyDescent="0.3">
      <c r="A648" t="s">
        <v>24</v>
      </c>
    </row>
    <row r="649" spans="1:1" x14ac:dyDescent="0.3">
      <c r="A649" t="s">
        <v>24</v>
      </c>
    </row>
    <row r="650" spans="1:1" x14ac:dyDescent="0.3">
      <c r="A650" t="s">
        <v>24</v>
      </c>
    </row>
    <row r="651" spans="1:1" x14ac:dyDescent="0.3">
      <c r="A651" t="s">
        <v>24</v>
      </c>
    </row>
    <row r="652" spans="1:1" x14ac:dyDescent="0.3">
      <c r="A652" t="s">
        <v>24</v>
      </c>
    </row>
    <row r="653" spans="1:1" x14ac:dyDescent="0.3">
      <c r="A653" t="s">
        <v>24</v>
      </c>
    </row>
    <row r="654" spans="1:1" x14ac:dyDescent="0.3">
      <c r="A654" t="s">
        <v>24</v>
      </c>
    </row>
    <row r="655" spans="1:1" x14ac:dyDescent="0.3">
      <c r="A655" t="s">
        <v>24</v>
      </c>
    </row>
    <row r="656" spans="1:1" x14ac:dyDescent="0.3">
      <c r="A656" t="s">
        <v>24</v>
      </c>
    </row>
    <row r="657" spans="1:1" x14ac:dyDescent="0.3">
      <c r="A657" t="s">
        <v>24</v>
      </c>
    </row>
    <row r="658" spans="1:1" x14ac:dyDescent="0.3">
      <c r="A658" t="s">
        <v>24</v>
      </c>
    </row>
    <row r="659" spans="1:1" x14ac:dyDescent="0.3">
      <c r="A659" t="s">
        <v>24</v>
      </c>
    </row>
    <row r="660" spans="1:1" x14ac:dyDescent="0.3">
      <c r="A660" t="s">
        <v>24</v>
      </c>
    </row>
    <row r="661" spans="1:1" x14ac:dyDescent="0.3">
      <c r="A661" t="s">
        <v>173</v>
      </c>
    </row>
    <row r="662" spans="1:1" x14ac:dyDescent="0.3">
      <c r="A662" t="s">
        <v>24</v>
      </c>
    </row>
    <row r="663" spans="1:1" x14ac:dyDescent="0.3">
      <c r="A663" t="s">
        <v>24</v>
      </c>
    </row>
    <row r="664" spans="1:1" x14ac:dyDescent="0.3">
      <c r="A664" t="s">
        <v>24</v>
      </c>
    </row>
    <row r="665" spans="1:1" x14ac:dyDescent="0.3">
      <c r="A665" t="s">
        <v>24</v>
      </c>
    </row>
    <row r="666" spans="1:1" x14ac:dyDescent="0.3">
      <c r="A666" t="s">
        <v>24</v>
      </c>
    </row>
    <row r="667" spans="1:1" x14ac:dyDescent="0.3">
      <c r="A667" t="s">
        <v>24</v>
      </c>
    </row>
    <row r="668" spans="1:1" x14ac:dyDescent="0.3">
      <c r="A668" t="s">
        <v>24</v>
      </c>
    </row>
    <row r="669" spans="1:1" x14ac:dyDescent="0.3">
      <c r="A669" t="s">
        <v>24</v>
      </c>
    </row>
    <row r="670" spans="1:1" x14ac:dyDescent="0.3">
      <c r="A670" t="s">
        <v>24</v>
      </c>
    </row>
    <row r="671" spans="1:1" x14ac:dyDescent="0.3">
      <c r="A671" t="s">
        <v>24</v>
      </c>
    </row>
    <row r="672" spans="1:1" x14ac:dyDescent="0.3">
      <c r="A672" t="s">
        <v>173</v>
      </c>
    </row>
    <row r="673" spans="1:1" x14ac:dyDescent="0.3">
      <c r="A673" t="s">
        <v>24</v>
      </c>
    </row>
    <row r="674" spans="1:1" x14ac:dyDescent="0.3">
      <c r="A674" t="s">
        <v>24</v>
      </c>
    </row>
    <row r="675" spans="1:1" x14ac:dyDescent="0.3">
      <c r="A675" t="s">
        <v>24</v>
      </c>
    </row>
    <row r="676" spans="1:1" x14ac:dyDescent="0.3">
      <c r="A676" t="s">
        <v>24</v>
      </c>
    </row>
    <row r="677" spans="1:1" x14ac:dyDescent="0.3">
      <c r="A677" t="s">
        <v>24</v>
      </c>
    </row>
    <row r="678" spans="1:1" x14ac:dyDescent="0.3">
      <c r="A678" t="s">
        <v>24</v>
      </c>
    </row>
    <row r="679" spans="1:1" x14ac:dyDescent="0.3">
      <c r="A679" t="s">
        <v>24</v>
      </c>
    </row>
    <row r="680" spans="1:1" x14ac:dyDescent="0.3">
      <c r="A680" t="s">
        <v>24</v>
      </c>
    </row>
    <row r="681" spans="1:1" x14ac:dyDescent="0.3">
      <c r="A681" t="s">
        <v>24</v>
      </c>
    </row>
    <row r="682" spans="1:1" x14ac:dyDescent="0.3">
      <c r="A682" t="s">
        <v>24</v>
      </c>
    </row>
    <row r="683" spans="1:1" x14ac:dyDescent="0.3">
      <c r="A683" t="s">
        <v>24</v>
      </c>
    </row>
    <row r="684" spans="1:1" x14ac:dyDescent="0.3">
      <c r="A684" t="s">
        <v>24</v>
      </c>
    </row>
    <row r="685" spans="1:1" x14ac:dyDescent="0.3">
      <c r="A685" t="s">
        <v>24</v>
      </c>
    </row>
    <row r="686" spans="1:1" x14ac:dyDescent="0.3">
      <c r="A686" t="s">
        <v>24</v>
      </c>
    </row>
    <row r="687" spans="1:1" x14ac:dyDescent="0.3">
      <c r="A687" t="s">
        <v>24</v>
      </c>
    </row>
    <row r="688" spans="1:1" x14ac:dyDescent="0.3">
      <c r="A688" t="s">
        <v>24</v>
      </c>
    </row>
    <row r="689" spans="1:1" x14ac:dyDescent="0.3">
      <c r="A689" t="s">
        <v>24</v>
      </c>
    </row>
    <row r="690" spans="1:1" x14ac:dyDescent="0.3">
      <c r="A690" t="s">
        <v>24</v>
      </c>
    </row>
    <row r="691" spans="1:1" x14ac:dyDescent="0.3">
      <c r="A691" t="s">
        <v>24</v>
      </c>
    </row>
    <row r="692" spans="1:1" x14ac:dyDescent="0.3">
      <c r="A692" t="s">
        <v>24</v>
      </c>
    </row>
    <row r="693" spans="1:1" x14ac:dyDescent="0.3">
      <c r="A693" t="s">
        <v>173</v>
      </c>
    </row>
    <row r="694" spans="1:1" x14ac:dyDescent="0.3">
      <c r="A694" t="s">
        <v>24</v>
      </c>
    </row>
    <row r="695" spans="1:1" x14ac:dyDescent="0.3">
      <c r="A695" t="s">
        <v>24</v>
      </c>
    </row>
    <row r="696" spans="1:1" x14ac:dyDescent="0.3">
      <c r="A696" t="s">
        <v>24</v>
      </c>
    </row>
    <row r="697" spans="1:1" x14ac:dyDescent="0.3">
      <c r="A697" t="s">
        <v>24</v>
      </c>
    </row>
    <row r="698" spans="1:1" x14ac:dyDescent="0.3">
      <c r="A698" t="s">
        <v>173</v>
      </c>
    </row>
    <row r="699" spans="1:1" x14ac:dyDescent="0.3">
      <c r="A699" t="s">
        <v>24</v>
      </c>
    </row>
    <row r="700" spans="1:1" x14ac:dyDescent="0.3">
      <c r="A700" t="s">
        <v>24</v>
      </c>
    </row>
    <row r="701" spans="1:1" x14ac:dyDescent="0.3">
      <c r="A701" t="s">
        <v>24</v>
      </c>
    </row>
    <row r="702" spans="1:1" x14ac:dyDescent="0.3">
      <c r="A702" t="s">
        <v>173</v>
      </c>
    </row>
    <row r="703" spans="1:1" x14ac:dyDescent="0.3">
      <c r="A703" t="s">
        <v>24</v>
      </c>
    </row>
    <row r="704" spans="1:1" x14ac:dyDescent="0.3">
      <c r="A704" t="s">
        <v>24</v>
      </c>
    </row>
    <row r="705" spans="1:1" x14ac:dyDescent="0.3">
      <c r="A705" t="s">
        <v>24</v>
      </c>
    </row>
    <row r="706" spans="1:1" x14ac:dyDescent="0.3">
      <c r="A706" t="s">
        <v>24</v>
      </c>
    </row>
    <row r="707" spans="1:1" x14ac:dyDescent="0.3">
      <c r="A707" t="s">
        <v>24</v>
      </c>
    </row>
    <row r="708" spans="1:1" x14ac:dyDescent="0.3">
      <c r="A708" t="s">
        <v>24</v>
      </c>
    </row>
    <row r="709" spans="1:1" x14ac:dyDescent="0.3">
      <c r="A709" t="s">
        <v>24</v>
      </c>
    </row>
    <row r="710" spans="1:1" x14ac:dyDescent="0.3">
      <c r="A710" t="s">
        <v>24</v>
      </c>
    </row>
    <row r="711" spans="1:1" x14ac:dyDescent="0.3">
      <c r="A711" t="s">
        <v>24</v>
      </c>
    </row>
    <row r="712" spans="1:1" x14ac:dyDescent="0.3">
      <c r="A712" t="s">
        <v>24</v>
      </c>
    </row>
    <row r="713" spans="1:1" x14ac:dyDescent="0.3">
      <c r="A713" t="s">
        <v>24</v>
      </c>
    </row>
    <row r="714" spans="1:1" x14ac:dyDescent="0.3">
      <c r="A714" t="s">
        <v>24</v>
      </c>
    </row>
    <row r="715" spans="1:1" x14ac:dyDescent="0.3">
      <c r="A715" t="s">
        <v>24</v>
      </c>
    </row>
    <row r="716" spans="1:1" x14ac:dyDescent="0.3">
      <c r="A716" t="s">
        <v>24</v>
      </c>
    </row>
    <row r="717" spans="1:1" x14ac:dyDescent="0.3">
      <c r="A717" t="s">
        <v>24</v>
      </c>
    </row>
    <row r="718" spans="1:1" x14ac:dyDescent="0.3">
      <c r="A718" t="s">
        <v>24</v>
      </c>
    </row>
    <row r="719" spans="1:1" x14ac:dyDescent="0.3">
      <c r="A719" t="s">
        <v>24</v>
      </c>
    </row>
    <row r="720" spans="1:1" x14ac:dyDescent="0.3">
      <c r="A720" t="s">
        <v>24</v>
      </c>
    </row>
    <row r="721" spans="1:1" x14ac:dyDescent="0.3">
      <c r="A721" t="s">
        <v>24</v>
      </c>
    </row>
    <row r="722" spans="1:1" x14ac:dyDescent="0.3">
      <c r="A722" t="s">
        <v>24</v>
      </c>
    </row>
    <row r="723" spans="1:1" x14ac:dyDescent="0.3">
      <c r="A723" t="s">
        <v>24</v>
      </c>
    </row>
    <row r="724" spans="1:1" x14ac:dyDescent="0.3">
      <c r="A724" t="s">
        <v>24</v>
      </c>
    </row>
    <row r="725" spans="1:1" x14ac:dyDescent="0.3">
      <c r="A725" t="s">
        <v>24</v>
      </c>
    </row>
    <row r="726" spans="1:1" x14ac:dyDescent="0.3">
      <c r="A726" t="s">
        <v>24</v>
      </c>
    </row>
    <row r="727" spans="1:1" x14ac:dyDescent="0.3">
      <c r="A727" t="s">
        <v>173</v>
      </c>
    </row>
    <row r="728" spans="1:1" x14ac:dyDescent="0.3">
      <c r="A728" t="s">
        <v>24</v>
      </c>
    </row>
    <row r="729" spans="1:1" x14ac:dyDescent="0.3">
      <c r="A729" t="s">
        <v>24</v>
      </c>
    </row>
    <row r="730" spans="1:1" x14ac:dyDescent="0.3">
      <c r="A730" t="s">
        <v>24</v>
      </c>
    </row>
    <row r="731" spans="1:1" x14ac:dyDescent="0.3">
      <c r="A731" t="s">
        <v>24</v>
      </c>
    </row>
    <row r="732" spans="1:1" x14ac:dyDescent="0.3">
      <c r="A732" t="s">
        <v>24</v>
      </c>
    </row>
    <row r="733" spans="1:1" x14ac:dyDescent="0.3">
      <c r="A733" t="s">
        <v>173</v>
      </c>
    </row>
    <row r="734" spans="1:1" x14ac:dyDescent="0.3">
      <c r="A734" t="s">
        <v>24</v>
      </c>
    </row>
    <row r="735" spans="1:1" x14ac:dyDescent="0.3">
      <c r="A735" t="s">
        <v>24</v>
      </c>
    </row>
    <row r="736" spans="1:1" x14ac:dyDescent="0.3">
      <c r="A736" t="s">
        <v>24</v>
      </c>
    </row>
    <row r="737" spans="1:1" x14ac:dyDescent="0.3">
      <c r="A737" t="s">
        <v>24</v>
      </c>
    </row>
    <row r="738" spans="1:1" x14ac:dyDescent="0.3">
      <c r="A738" t="s">
        <v>24</v>
      </c>
    </row>
    <row r="739" spans="1:1" x14ac:dyDescent="0.3">
      <c r="A739" t="s">
        <v>24</v>
      </c>
    </row>
    <row r="740" spans="1:1" x14ac:dyDescent="0.3">
      <c r="A740" t="s">
        <v>24</v>
      </c>
    </row>
    <row r="741" spans="1:1" x14ac:dyDescent="0.3">
      <c r="A741" t="s">
        <v>24</v>
      </c>
    </row>
    <row r="742" spans="1:1" x14ac:dyDescent="0.3">
      <c r="A742" t="s">
        <v>24</v>
      </c>
    </row>
    <row r="743" spans="1:1" x14ac:dyDescent="0.3">
      <c r="A743" t="s">
        <v>24</v>
      </c>
    </row>
    <row r="744" spans="1:1" x14ac:dyDescent="0.3">
      <c r="A744" t="s">
        <v>24</v>
      </c>
    </row>
    <row r="745" spans="1:1" x14ac:dyDescent="0.3">
      <c r="A745" t="s">
        <v>24</v>
      </c>
    </row>
    <row r="746" spans="1:1" x14ac:dyDescent="0.3">
      <c r="A746" t="s">
        <v>24</v>
      </c>
    </row>
    <row r="747" spans="1:1" x14ac:dyDescent="0.3">
      <c r="A747" t="s">
        <v>24</v>
      </c>
    </row>
    <row r="748" spans="1:1" x14ac:dyDescent="0.3">
      <c r="A748" t="s">
        <v>24</v>
      </c>
    </row>
    <row r="749" spans="1:1" x14ac:dyDescent="0.3">
      <c r="A749" t="s">
        <v>24</v>
      </c>
    </row>
    <row r="750" spans="1:1" x14ac:dyDescent="0.3">
      <c r="A750" t="s">
        <v>24</v>
      </c>
    </row>
    <row r="751" spans="1:1" x14ac:dyDescent="0.3">
      <c r="A751" t="s">
        <v>24</v>
      </c>
    </row>
    <row r="752" spans="1:1" x14ac:dyDescent="0.3">
      <c r="A752" t="s">
        <v>24</v>
      </c>
    </row>
    <row r="753" spans="1:1" x14ac:dyDescent="0.3">
      <c r="A753" t="s">
        <v>24</v>
      </c>
    </row>
    <row r="754" spans="1:1" x14ac:dyDescent="0.3">
      <c r="A754" t="s">
        <v>24</v>
      </c>
    </row>
    <row r="755" spans="1:1" x14ac:dyDescent="0.3">
      <c r="A755" t="s">
        <v>24</v>
      </c>
    </row>
    <row r="756" spans="1:1" x14ac:dyDescent="0.3">
      <c r="A756" t="s">
        <v>24</v>
      </c>
    </row>
    <row r="757" spans="1:1" x14ac:dyDescent="0.3">
      <c r="A757" t="s">
        <v>24</v>
      </c>
    </row>
    <row r="758" spans="1:1" x14ac:dyDescent="0.3">
      <c r="A758" t="s">
        <v>24</v>
      </c>
    </row>
    <row r="759" spans="1:1" x14ac:dyDescent="0.3">
      <c r="A759" t="s">
        <v>24</v>
      </c>
    </row>
    <row r="760" spans="1:1" x14ac:dyDescent="0.3">
      <c r="A760" t="s">
        <v>24</v>
      </c>
    </row>
    <row r="761" spans="1:1" x14ac:dyDescent="0.3">
      <c r="A761" t="s">
        <v>24</v>
      </c>
    </row>
    <row r="762" spans="1:1" x14ac:dyDescent="0.3">
      <c r="A762" t="s">
        <v>24</v>
      </c>
    </row>
    <row r="763" spans="1:1" x14ac:dyDescent="0.3">
      <c r="A763" t="s">
        <v>24</v>
      </c>
    </row>
    <row r="764" spans="1:1" x14ac:dyDescent="0.3">
      <c r="A764" t="s">
        <v>24</v>
      </c>
    </row>
    <row r="765" spans="1:1" x14ac:dyDescent="0.3">
      <c r="A765" t="s">
        <v>24</v>
      </c>
    </row>
    <row r="766" spans="1:1" x14ac:dyDescent="0.3">
      <c r="A766" t="s">
        <v>24</v>
      </c>
    </row>
    <row r="767" spans="1:1" x14ac:dyDescent="0.3">
      <c r="A767" t="s">
        <v>24</v>
      </c>
    </row>
    <row r="768" spans="1:1" x14ac:dyDescent="0.3">
      <c r="A768" t="s">
        <v>24</v>
      </c>
    </row>
    <row r="769" spans="1:1" x14ac:dyDescent="0.3">
      <c r="A769" t="s">
        <v>173</v>
      </c>
    </row>
    <row r="770" spans="1:1" x14ac:dyDescent="0.3">
      <c r="A770" t="s">
        <v>24</v>
      </c>
    </row>
    <row r="771" spans="1:1" x14ac:dyDescent="0.3">
      <c r="A771" t="s">
        <v>24</v>
      </c>
    </row>
    <row r="772" spans="1:1" x14ac:dyDescent="0.3">
      <c r="A772" t="s">
        <v>24</v>
      </c>
    </row>
    <row r="773" spans="1:1" x14ac:dyDescent="0.3">
      <c r="A773" t="s">
        <v>24</v>
      </c>
    </row>
    <row r="774" spans="1:1" x14ac:dyDescent="0.3">
      <c r="A774" t="s">
        <v>24</v>
      </c>
    </row>
    <row r="775" spans="1:1" x14ac:dyDescent="0.3">
      <c r="A775" t="s">
        <v>24</v>
      </c>
    </row>
    <row r="776" spans="1:1" x14ac:dyDescent="0.3">
      <c r="A776" t="s">
        <v>24</v>
      </c>
    </row>
    <row r="777" spans="1:1" x14ac:dyDescent="0.3">
      <c r="A777" t="s">
        <v>24</v>
      </c>
    </row>
    <row r="778" spans="1:1" x14ac:dyDescent="0.3">
      <c r="A778" t="s">
        <v>24</v>
      </c>
    </row>
    <row r="779" spans="1:1" x14ac:dyDescent="0.3">
      <c r="A779" t="s">
        <v>24</v>
      </c>
    </row>
    <row r="780" spans="1:1" x14ac:dyDescent="0.3">
      <c r="A780" t="s">
        <v>24</v>
      </c>
    </row>
    <row r="781" spans="1:1" x14ac:dyDescent="0.3">
      <c r="A781" t="s">
        <v>173</v>
      </c>
    </row>
    <row r="782" spans="1:1" x14ac:dyDescent="0.3">
      <c r="A782" t="s">
        <v>173</v>
      </c>
    </row>
    <row r="783" spans="1:1" x14ac:dyDescent="0.3">
      <c r="A783" t="s">
        <v>24</v>
      </c>
    </row>
    <row r="784" spans="1:1" x14ac:dyDescent="0.3">
      <c r="A784" t="s">
        <v>24</v>
      </c>
    </row>
    <row r="785" spans="1:1" x14ac:dyDescent="0.3">
      <c r="A785" t="s">
        <v>24</v>
      </c>
    </row>
    <row r="786" spans="1:1" x14ac:dyDescent="0.3">
      <c r="A786" t="s">
        <v>24</v>
      </c>
    </row>
    <row r="787" spans="1:1" x14ac:dyDescent="0.3">
      <c r="A787" t="s">
        <v>24</v>
      </c>
    </row>
    <row r="788" spans="1:1" x14ac:dyDescent="0.3">
      <c r="A788" t="s">
        <v>24</v>
      </c>
    </row>
    <row r="789" spans="1:1" x14ac:dyDescent="0.3">
      <c r="A789" t="s">
        <v>24</v>
      </c>
    </row>
    <row r="790" spans="1:1" x14ac:dyDescent="0.3">
      <c r="A790" t="s">
        <v>24</v>
      </c>
    </row>
    <row r="791" spans="1:1" x14ac:dyDescent="0.3">
      <c r="A791" t="s">
        <v>24</v>
      </c>
    </row>
    <row r="792" spans="1:1" x14ac:dyDescent="0.3">
      <c r="A792" t="s">
        <v>24</v>
      </c>
    </row>
    <row r="793" spans="1:1" x14ac:dyDescent="0.3">
      <c r="A793" t="s">
        <v>24</v>
      </c>
    </row>
    <row r="794" spans="1:1" x14ac:dyDescent="0.3">
      <c r="A794" t="s">
        <v>24</v>
      </c>
    </row>
    <row r="795" spans="1:1" x14ac:dyDescent="0.3">
      <c r="A795" t="s">
        <v>24</v>
      </c>
    </row>
    <row r="796" spans="1:1" x14ac:dyDescent="0.3">
      <c r="A796" t="s">
        <v>24</v>
      </c>
    </row>
    <row r="797" spans="1:1" x14ac:dyDescent="0.3">
      <c r="A797" t="s">
        <v>24</v>
      </c>
    </row>
    <row r="798" spans="1:1" x14ac:dyDescent="0.3">
      <c r="A798" t="s">
        <v>24</v>
      </c>
    </row>
    <row r="799" spans="1:1" x14ac:dyDescent="0.3">
      <c r="A799" t="s">
        <v>24</v>
      </c>
    </row>
    <row r="800" spans="1:1" x14ac:dyDescent="0.3">
      <c r="A800" t="s">
        <v>24</v>
      </c>
    </row>
    <row r="801" spans="1:1" x14ac:dyDescent="0.3">
      <c r="A801" t="s">
        <v>24</v>
      </c>
    </row>
    <row r="802" spans="1:1" x14ac:dyDescent="0.3">
      <c r="A802" t="s">
        <v>24</v>
      </c>
    </row>
    <row r="803" spans="1:1" x14ac:dyDescent="0.3">
      <c r="A803" t="s">
        <v>24</v>
      </c>
    </row>
    <row r="804" spans="1:1" x14ac:dyDescent="0.3">
      <c r="A804" t="s">
        <v>173</v>
      </c>
    </row>
    <row r="805" spans="1:1" x14ac:dyDescent="0.3">
      <c r="A805" t="s">
        <v>24</v>
      </c>
    </row>
    <row r="806" spans="1:1" x14ac:dyDescent="0.3">
      <c r="A806" t="s">
        <v>24</v>
      </c>
    </row>
    <row r="807" spans="1:1" x14ac:dyDescent="0.3">
      <c r="A807" t="s">
        <v>24</v>
      </c>
    </row>
    <row r="808" spans="1:1" x14ac:dyDescent="0.3">
      <c r="A808" t="s">
        <v>24</v>
      </c>
    </row>
    <row r="809" spans="1:1" x14ac:dyDescent="0.3">
      <c r="A809" t="s">
        <v>24</v>
      </c>
    </row>
    <row r="810" spans="1:1" x14ac:dyDescent="0.3">
      <c r="A810" t="s">
        <v>24</v>
      </c>
    </row>
    <row r="811" spans="1:1" x14ac:dyDescent="0.3">
      <c r="A811" t="s">
        <v>24</v>
      </c>
    </row>
    <row r="812" spans="1:1" x14ac:dyDescent="0.3">
      <c r="A812" t="s">
        <v>24</v>
      </c>
    </row>
    <row r="813" spans="1:1" x14ac:dyDescent="0.3">
      <c r="A813" t="s">
        <v>173</v>
      </c>
    </row>
    <row r="814" spans="1:1" x14ac:dyDescent="0.3">
      <c r="A814" t="s">
        <v>24</v>
      </c>
    </row>
    <row r="815" spans="1:1" x14ac:dyDescent="0.3">
      <c r="A815" t="s">
        <v>24</v>
      </c>
    </row>
    <row r="816" spans="1:1" x14ac:dyDescent="0.3">
      <c r="A816" t="s">
        <v>24</v>
      </c>
    </row>
    <row r="817" spans="1:1" x14ac:dyDescent="0.3">
      <c r="A817" t="s">
        <v>24</v>
      </c>
    </row>
    <row r="818" spans="1:1" x14ac:dyDescent="0.3">
      <c r="A818" t="s">
        <v>24</v>
      </c>
    </row>
    <row r="819" spans="1:1" x14ac:dyDescent="0.3">
      <c r="A819" t="s">
        <v>24</v>
      </c>
    </row>
    <row r="820" spans="1:1" x14ac:dyDescent="0.3">
      <c r="A820" t="s">
        <v>24</v>
      </c>
    </row>
    <row r="821" spans="1:1" x14ac:dyDescent="0.3">
      <c r="A821" t="s">
        <v>24</v>
      </c>
    </row>
    <row r="822" spans="1:1" x14ac:dyDescent="0.3">
      <c r="A822" t="s">
        <v>24</v>
      </c>
    </row>
    <row r="823" spans="1:1" x14ac:dyDescent="0.3">
      <c r="A823" t="s">
        <v>24</v>
      </c>
    </row>
    <row r="824" spans="1:1" x14ac:dyDescent="0.3">
      <c r="A824" t="s">
        <v>24</v>
      </c>
    </row>
    <row r="825" spans="1:1" x14ac:dyDescent="0.3">
      <c r="A825" t="s">
        <v>24</v>
      </c>
    </row>
    <row r="826" spans="1:1" x14ac:dyDescent="0.3">
      <c r="A826" t="s">
        <v>24</v>
      </c>
    </row>
    <row r="827" spans="1:1" x14ac:dyDescent="0.3">
      <c r="A827" t="s">
        <v>24</v>
      </c>
    </row>
    <row r="828" spans="1:1" x14ac:dyDescent="0.3">
      <c r="A828" t="s">
        <v>24</v>
      </c>
    </row>
    <row r="829" spans="1:1" x14ac:dyDescent="0.3">
      <c r="A829" t="s">
        <v>24</v>
      </c>
    </row>
    <row r="830" spans="1:1" x14ac:dyDescent="0.3">
      <c r="A830" t="s">
        <v>24</v>
      </c>
    </row>
    <row r="831" spans="1:1" x14ac:dyDescent="0.3">
      <c r="A831" t="s">
        <v>24</v>
      </c>
    </row>
    <row r="832" spans="1:1" x14ac:dyDescent="0.3">
      <c r="A832" t="s">
        <v>24</v>
      </c>
    </row>
    <row r="833" spans="1:1" x14ac:dyDescent="0.3">
      <c r="A833" t="s">
        <v>24</v>
      </c>
    </row>
    <row r="834" spans="1:1" x14ac:dyDescent="0.3">
      <c r="A834" t="s">
        <v>24</v>
      </c>
    </row>
    <row r="835" spans="1:1" x14ac:dyDescent="0.3">
      <c r="A835" t="s">
        <v>24</v>
      </c>
    </row>
    <row r="836" spans="1:1" x14ac:dyDescent="0.3">
      <c r="A836" t="s">
        <v>24</v>
      </c>
    </row>
    <row r="837" spans="1:1" x14ac:dyDescent="0.3">
      <c r="A837" t="s">
        <v>24</v>
      </c>
    </row>
    <row r="838" spans="1:1" x14ac:dyDescent="0.3">
      <c r="A838" t="s">
        <v>24</v>
      </c>
    </row>
    <row r="839" spans="1:1" x14ac:dyDescent="0.3">
      <c r="A839" t="s">
        <v>24</v>
      </c>
    </row>
    <row r="840" spans="1:1" x14ac:dyDescent="0.3">
      <c r="A840" t="s">
        <v>24</v>
      </c>
    </row>
    <row r="841" spans="1:1" x14ac:dyDescent="0.3">
      <c r="A841" t="s">
        <v>24</v>
      </c>
    </row>
    <row r="842" spans="1:1" x14ac:dyDescent="0.3">
      <c r="A842" t="s">
        <v>24</v>
      </c>
    </row>
    <row r="843" spans="1:1" x14ac:dyDescent="0.3">
      <c r="A843" t="s">
        <v>24</v>
      </c>
    </row>
    <row r="844" spans="1:1" x14ac:dyDescent="0.3">
      <c r="A844" t="s">
        <v>24</v>
      </c>
    </row>
    <row r="845" spans="1:1" x14ac:dyDescent="0.3">
      <c r="A845" t="s">
        <v>24</v>
      </c>
    </row>
    <row r="846" spans="1:1" x14ac:dyDescent="0.3">
      <c r="A846" t="s">
        <v>24</v>
      </c>
    </row>
    <row r="847" spans="1:1" x14ac:dyDescent="0.3">
      <c r="A847" t="s">
        <v>24</v>
      </c>
    </row>
    <row r="848" spans="1:1" x14ac:dyDescent="0.3">
      <c r="A848" t="s">
        <v>24</v>
      </c>
    </row>
    <row r="849" spans="1:1" x14ac:dyDescent="0.3">
      <c r="A849" t="s">
        <v>24</v>
      </c>
    </row>
    <row r="850" spans="1:1" x14ac:dyDescent="0.3">
      <c r="A850" t="s">
        <v>24</v>
      </c>
    </row>
    <row r="851" spans="1:1" x14ac:dyDescent="0.3">
      <c r="A851" t="s">
        <v>24</v>
      </c>
    </row>
    <row r="852" spans="1:1" x14ac:dyDescent="0.3">
      <c r="A852" t="s">
        <v>24</v>
      </c>
    </row>
    <row r="853" spans="1:1" x14ac:dyDescent="0.3">
      <c r="A853" t="s">
        <v>24</v>
      </c>
    </row>
    <row r="854" spans="1:1" x14ac:dyDescent="0.3">
      <c r="A854" t="s">
        <v>24</v>
      </c>
    </row>
    <row r="855" spans="1:1" x14ac:dyDescent="0.3">
      <c r="A855" t="s">
        <v>24</v>
      </c>
    </row>
    <row r="856" spans="1:1" x14ac:dyDescent="0.3">
      <c r="A856" t="s">
        <v>24</v>
      </c>
    </row>
    <row r="857" spans="1:1" x14ac:dyDescent="0.3">
      <c r="A857" t="s">
        <v>24</v>
      </c>
    </row>
    <row r="858" spans="1:1" x14ac:dyDescent="0.3">
      <c r="A858" t="s">
        <v>24</v>
      </c>
    </row>
    <row r="859" spans="1:1" x14ac:dyDescent="0.3">
      <c r="A859" t="s">
        <v>24</v>
      </c>
    </row>
    <row r="860" spans="1:1" x14ac:dyDescent="0.3">
      <c r="A860" t="s">
        <v>24</v>
      </c>
    </row>
    <row r="861" spans="1:1" x14ac:dyDescent="0.3">
      <c r="A861" t="s">
        <v>24</v>
      </c>
    </row>
    <row r="862" spans="1:1" x14ac:dyDescent="0.3">
      <c r="A862" t="s">
        <v>24</v>
      </c>
    </row>
    <row r="863" spans="1:1" x14ac:dyDescent="0.3">
      <c r="A863" t="s">
        <v>24</v>
      </c>
    </row>
    <row r="864" spans="1:1" x14ac:dyDescent="0.3">
      <c r="A864" t="s">
        <v>24</v>
      </c>
    </row>
    <row r="865" spans="1:1" x14ac:dyDescent="0.3">
      <c r="A865" t="s">
        <v>24</v>
      </c>
    </row>
    <row r="866" spans="1:1" x14ac:dyDescent="0.3">
      <c r="A866" t="s">
        <v>24</v>
      </c>
    </row>
    <row r="867" spans="1:1" x14ac:dyDescent="0.3">
      <c r="A867" t="s">
        <v>24</v>
      </c>
    </row>
    <row r="868" spans="1:1" x14ac:dyDescent="0.3">
      <c r="A868" t="s">
        <v>24</v>
      </c>
    </row>
    <row r="869" spans="1:1" x14ac:dyDescent="0.3">
      <c r="A869" t="s">
        <v>173</v>
      </c>
    </row>
    <row r="870" spans="1:1" x14ac:dyDescent="0.3">
      <c r="A870" t="s">
        <v>24</v>
      </c>
    </row>
    <row r="871" spans="1:1" x14ac:dyDescent="0.3">
      <c r="A871" t="s">
        <v>24</v>
      </c>
    </row>
    <row r="872" spans="1:1" x14ac:dyDescent="0.3">
      <c r="A872" t="s">
        <v>24</v>
      </c>
    </row>
    <row r="873" spans="1:1" x14ac:dyDescent="0.3">
      <c r="A873" t="s">
        <v>24</v>
      </c>
    </row>
    <row r="874" spans="1:1" x14ac:dyDescent="0.3">
      <c r="A874" t="s">
        <v>24</v>
      </c>
    </row>
    <row r="875" spans="1:1" x14ac:dyDescent="0.3">
      <c r="A875" t="s">
        <v>24</v>
      </c>
    </row>
    <row r="876" spans="1:1" x14ac:dyDescent="0.3">
      <c r="A876" t="s">
        <v>24</v>
      </c>
    </row>
    <row r="877" spans="1:1" x14ac:dyDescent="0.3">
      <c r="A877" t="s">
        <v>24</v>
      </c>
    </row>
    <row r="878" spans="1:1" x14ac:dyDescent="0.3">
      <c r="A878" t="s">
        <v>24</v>
      </c>
    </row>
    <row r="879" spans="1:1" x14ac:dyDescent="0.3">
      <c r="A879" t="s">
        <v>24</v>
      </c>
    </row>
    <row r="880" spans="1:1" x14ac:dyDescent="0.3">
      <c r="A880" t="s">
        <v>24</v>
      </c>
    </row>
    <row r="881" spans="1:1" x14ac:dyDescent="0.3">
      <c r="A881" t="s">
        <v>24</v>
      </c>
    </row>
    <row r="882" spans="1:1" x14ac:dyDescent="0.3">
      <c r="A882" t="s">
        <v>24</v>
      </c>
    </row>
    <row r="883" spans="1:1" x14ac:dyDescent="0.3">
      <c r="A883" t="s">
        <v>24</v>
      </c>
    </row>
    <row r="884" spans="1:1" x14ac:dyDescent="0.3">
      <c r="A884" t="s">
        <v>24</v>
      </c>
    </row>
    <row r="885" spans="1:1" x14ac:dyDescent="0.3">
      <c r="A885" t="s">
        <v>24</v>
      </c>
    </row>
    <row r="886" spans="1:1" x14ac:dyDescent="0.3">
      <c r="A886" t="s">
        <v>24</v>
      </c>
    </row>
    <row r="887" spans="1:1" x14ac:dyDescent="0.3">
      <c r="A887" t="s">
        <v>24</v>
      </c>
    </row>
    <row r="888" spans="1:1" x14ac:dyDescent="0.3">
      <c r="A888" t="s">
        <v>24</v>
      </c>
    </row>
    <row r="889" spans="1:1" x14ac:dyDescent="0.3">
      <c r="A889" t="s">
        <v>24</v>
      </c>
    </row>
    <row r="890" spans="1:1" x14ac:dyDescent="0.3">
      <c r="A890" t="s">
        <v>24</v>
      </c>
    </row>
    <row r="891" spans="1:1" x14ac:dyDescent="0.3">
      <c r="A891" t="s">
        <v>24</v>
      </c>
    </row>
    <row r="892" spans="1:1" x14ac:dyDescent="0.3">
      <c r="A892" t="s">
        <v>24</v>
      </c>
    </row>
    <row r="893" spans="1:1" x14ac:dyDescent="0.3">
      <c r="A893" t="s">
        <v>24</v>
      </c>
    </row>
    <row r="894" spans="1:1" x14ac:dyDescent="0.3">
      <c r="A894" t="s">
        <v>24</v>
      </c>
    </row>
    <row r="895" spans="1:1" x14ac:dyDescent="0.3">
      <c r="A895" t="s">
        <v>24</v>
      </c>
    </row>
    <row r="896" spans="1:1" x14ac:dyDescent="0.3">
      <c r="A896" t="s">
        <v>24</v>
      </c>
    </row>
    <row r="897" spans="1:1" x14ac:dyDescent="0.3">
      <c r="A897" t="s">
        <v>173</v>
      </c>
    </row>
    <row r="898" spans="1:1" x14ac:dyDescent="0.3">
      <c r="A898" t="s">
        <v>24</v>
      </c>
    </row>
    <row r="899" spans="1:1" x14ac:dyDescent="0.3">
      <c r="A899" t="s">
        <v>24</v>
      </c>
    </row>
    <row r="900" spans="1:1" x14ac:dyDescent="0.3">
      <c r="A900" t="s">
        <v>24</v>
      </c>
    </row>
    <row r="901" spans="1:1" x14ac:dyDescent="0.3">
      <c r="A901" t="s">
        <v>24</v>
      </c>
    </row>
    <row r="902" spans="1:1" x14ac:dyDescent="0.3">
      <c r="A902" t="s">
        <v>24</v>
      </c>
    </row>
    <row r="903" spans="1:1" x14ac:dyDescent="0.3">
      <c r="A903" t="s">
        <v>24</v>
      </c>
    </row>
    <row r="904" spans="1:1" x14ac:dyDescent="0.3">
      <c r="A904" t="s">
        <v>24</v>
      </c>
    </row>
    <row r="905" spans="1:1" x14ac:dyDescent="0.3">
      <c r="A905" t="s">
        <v>24</v>
      </c>
    </row>
    <row r="906" spans="1:1" x14ac:dyDescent="0.3">
      <c r="A906" t="s">
        <v>24</v>
      </c>
    </row>
    <row r="907" spans="1:1" x14ac:dyDescent="0.3">
      <c r="A907" t="s">
        <v>24</v>
      </c>
    </row>
    <row r="908" spans="1:1" x14ac:dyDescent="0.3">
      <c r="A908" t="s">
        <v>24</v>
      </c>
    </row>
    <row r="909" spans="1:1" x14ac:dyDescent="0.3">
      <c r="A909" t="s">
        <v>24</v>
      </c>
    </row>
    <row r="910" spans="1:1" x14ac:dyDescent="0.3">
      <c r="A910" t="s">
        <v>24</v>
      </c>
    </row>
    <row r="911" spans="1:1" x14ac:dyDescent="0.3">
      <c r="A911" t="s">
        <v>173</v>
      </c>
    </row>
    <row r="912" spans="1:1" x14ac:dyDescent="0.3">
      <c r="A912" t="s">
        <v>24</v>
      </c>
    </row>
    <row r="913" spans="1:1" x14ac:dyDescent="0.3">
      <c r="A913" t="s">
        <v>24</v>
      </c>
    </row>
    <row r="914" spans="1:1" x14ac:dyDescent="0.3">
      <c r="A914" t="s">
        <v>24</v>
      </c>
    </row>
    <row r="915" spans="1:1" x14ac:dyDescent="0.3">
      <c r="A915" t="s">
        <v>24</v>
      </c>
    </row>
    <row r="916" spans="1:1" x14ac:dyDescent="0.3">
      <c r="A916" t="s">
        <v>24</v>
      </c>
    </row>
    <row r="917" spans="1:1" x14ac:dyDescent="0.3">
      <c r="A917" t="s">
        <v>24</v>
      </c>
    </row>
    <row r="918" spans="1:1" x14ac:dyDescent="0.3">
      <c r="A918" t="s">
        <v>24</v>
      </c>
    </row>
    <row r="919" spans="1:1" x14ac:dyDescent="0.3">
      <c r="A919" t="s">
        <v>24</v>
      </c>
    </row>
    <row r="920" spans="1:1" x14ac:dyDescent="0.3">
      <c r="A920" t="s">
        <v>24</v>
      </c>
    </row>
    <row r="921" spans="1:1" x14ac:dyDescent="0.3">
      <c r="A921" t="s">
        <v>24</v>
      </c>
    </row>
    <row r="922" spans="1:1" x14ac:dyDescent="0.3">
      <c r="A922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A3D5-BA2F-4179-A429-17A29F2E79DA}">
  <dimension ref="A1:E2981"/>
  <sheetViews>
    <sheetView workbookViewId="0">
      <selection activeCell="G6" sqref="G6"/>
    </sheetView>
  </sheetViews>
  <sheetFormatPr baseColWidth="10" defaultRowHeight="14.4" x14ac:dyDescent="0.3"/>
  <sheetData>
    <row r="1" spans="1:5" x14ac:dyDescent="0.3">
      <c r="A1" s="1" t="s">
        <v>28</v>
      </c>
      <c r="C1" t="str" cm="1">
        <f t="array" ref="C1:C2">_xlfn.UNIQUE(A1:A2981)</f>
        <v>Marca</v>
      </c>
      <c r="D1">
        <f>COUNTIF($A$1:$A$2981,C1)</f>
        <v>2104</v>
      </c>
      <c r="E1" s="48">
        <f>D1/$D$3*100</f>
        <v>70.580342167058035</v>
      </c>
    </row>
    <row r="2" spans="1:5" x14ac:dyDescent="0.3">
      <c r="A2" s="2" t="s">
        <v>28</v>
      </c>
      <c r="C2" t="str">
        <v>Genérico</v>
      </c>
      <c r="D2">
        <f>COUNTIF($A$1:$A$2981,C2)</f>
        <v>877</v>
      </c>
      <c r="E2" s="48">
        <f>D2/$D$3*100</f>
        <v>29.419657832941965</v>
      </c>
    </row>
    <row r="3" spans="1:5" x14ac:dyDescent="0.3">
      <c r="A3" s="1" t="s">
        <v>28</v>
      </c>
      <c r="D3">
        <f>SUM(D1:D2)</f>
        <v>2981</v>
      </c>
      <c r="E3">
        <f>SUM(E1:E2)</f>
        <v>100</v>
      </c>
    </row>
    <row r="4" spans="1:5" x14ac:dyDescent="0.3">
      <c r="A4" s="2" t="s">
        <v>28</v>
      </c>
    </row>
    <row r="5" spans="1:5" x14ac:dyDescent="0.3">
      <c r="A5" s="1" t="s">
        <v>28</v>
      </c>
    </row>
    <row r="6" spans="1:5" x14ac:dyDescent="0.3">
      <c r="A6" s="2" t="s">
        <v>28</v>
      </c>
    </row>
    <row r="7" spans="1:5" x14ac:dyDescent="0.3">
      <c r="A7" s="1" t="s">
        <v>28</v>
      </c>
    </row>
    <row r="8" spans="1:5" x14ac:dyDescent="0.3">
      <c r="A8" s="2" t="s">
        <v>28</v>
      </c>
    </row>
    <row r="9" spans="1:5" x14ac:dyDescent="0.3">
      <c r="A9" s="1" t="s">
        <v>28</v>
      </c>
    </row>
    <row r="10" spans="1:5" x14ac:dyDescent="0.3">
      <c r="A10" s="2" t="s">
        <v>28</v>
      </c>
    </row>
    <row r="11" spans="1:5" x14ac:dyDescent="0.3">
      <c r="A11" s="1" t="s">
        <v>28</v>
      </c>
    </row>
    <row r="12" spans="1:5" x14ac:dyDescent="0.3">
      <c r="A12" s="2" t="s">
        <v>28</v>
      </c>
    </row>
    <row r="13" spans="1:5" x14ac:dyDescent="0.3">
      <c r="A13" s="1" t="s">
        <v>28</v>
      </c>
    </row>
    <row r="14" spans="1:5" x14ac:dyDescent="0.3">
      <c r="A14" s="2" t="s">
        <v>28</v>
      </c>
    </row>
    <row r="15" spans="1:5" x14ac:dyDescent="0.3">
      <c r="A15" s="1" t="s">
        <v>28</v>
      </c>
    </row>
    <row r="16" spans="1:5" x14ac:dyDescent="0.3">
      <c r="A16" s="2" t="s">
        <v>28</v>
      </c>
    </row>
    <row r="17" spans="1:1" x14ac:dyDescent="0.3">
      <c r="A17" s="1" t="s">
        <v>28</v>
      </c>
    </row>
    <row r="18" spans="1:1" x14ac:dyDescent="0.3">
      <c r="A18" s="2" t="s">
        <v>28</v>
      </c>
    </row>
    <row r="19" spans="1:1" x14ac:dyDescent="0.3">
      <c r="A19" s="1" t="s">
        <v>28</v>
      </c>
    </row>
    <row r="20" spans="1:1" x14ac:dyDescent="0.3">
      <c r="A20" s="2" t="s">
        <v>28</v>
      </c>
    </row>
    <row r="21" spans="1:1" x14ac:dyDescent="0.3">
      <c r="A21" s="1" t="s">
        <v>28</v>
      </c>
    </row>
    <row r="22" spans="1:1" x14ac:dyDescent="0.3">
      <c r="A22" s="2" t="s">
        <v>28</v>
      </c>
    </row>
    <row r="23" spans="1:1" x14ac:dyDescent="0.3">
      <c r="A23" s="1" t="s">
        <v>28</v>
      </c>
    </row>
    <row r="24" spans="1:1" x14ac:dyDescent="0.3">
      <c r="A24" s="2" t="s">
        <v>28</v>
      </c>
    </row>
    <row r="25" spans="1:1" x14ac:dyDescent="0.3">
      <c r="A25" s="1" t="s">
        <v>28</v>
      </c>
    </row>
    <row r="26" spans="1:1" x14ac:dyDescent="0.3">
      <c r="A26" s="2" t="s">
        <v>28</v>
      </c>
    </row>
    <row r="27" spans="1:1" x14ac:dyDescent="0.3">
      <c r="A27" s="1" t="s">
        <v>28</v>
      </c>
    </row>
    <row r="28" spans="1:1" x14ac:dyDescent="0.3">
      <c r="A28" s="2" t="s">
        <v>28</v>
      </c>
    </row>
    <row r="29" spans="1:1" x14ac:dyDescent="0.3">
      <c r="A29" s="1" t="s">
        <v>28</v>
      </c>
    </row>
    <row r="30" spans="1:1" x14ac:dyDescent="0.3">
      <c r="A30" s="2" t="s">
        <v>28</v>
      </c>
    </row>
    <row r="31" spans="1:1" x14ac:dyDescent="0.3">
      <c r="A31" s="1" t="s">
        <v>28</v>
      </c>
    </row>
    <row r="32" spans="1:1" x14ac:dyDescent="0.3">
      <c r="A32" s="2" t="s">
        <v>28</v>
      </c>
    </row>
    <row r="33" spans="1:1" x14ac:dyDescent="0.3">
      <c r="A33" s="1" t="s">
        <v>28</v>
      </c>
    </row>
    <row r="34" spans="1:1" x14ac:dyDescent="0.3">
      <c r="A34" s="2" t="s">
        <v>28</v>
      </c>
    </row>
    <row r="35" spans="1:1" x14ac:dyDescent="0.3">
      <c r="A35" s="1" t="s">
        <v>28</v>
      </c>
    </row>
    <row r="36" spans="1:1" x14ac:dyDescent="0.3">
      <c r="A36" s="2" t="s">
        <v>28</v>
      </c>
    </row>
    <row r="37" spans="1:1" x14ac:dyDescent="0.3">
      <c r="A37" s="1" t="s">
        <v>28</v>
      </c>
    </row>
    <row r="38" spans="1:1" x14ac:dyDescent="0.3">
      <c r="A38" s="2" t="s">
        <v>28</v>
      </c>
    </row>
    <row r="39" spans="1:1" x14ac:dyDescent="0.3">
      <c r="A39" s="1" t="s">
        <v>28</v>
      </c>
    </row>
    <row r="40" spans="1:1" x14ac:dyDescent="0.3">
      <c r="A40" s="2" t="s">
        <v>28</v>
      </c>
    </row>
    <row r="41" spans="1:1" x14ac:dyDescent="0.3">
      <c r="A41" s="1" t="s">
        <v>28</v>
      </c>
    </row>
    <row r="42" spans="1:1" x14ac:dyDescent="0.3">
      <c r="A42" s="2" t="s">
        <v>28</v>
      </c>
    </row>
    <row r="43" spans="1:1" x14ac:dyDescent="0.3">
      <c r="A43" s="1" t="s">
        <v>28</v>
      </c>
    </row>
    <row r="44" spans="1:1" x14ac:dyDescent="0.3">
      <c r="A44" s="2" t="s">
        <v>28</v>
      </c>
    </row>
    <row r="45" spans="1:1" x14ac:dyDescent="0.3">
      <c r="A45" s="1" t="s">
        <v>28</v>
      </c>
    </row>
    <row r="46" spans="1:1" x14ac:dyDescent="0.3">
      <c r="A46" s="2" t="s">
        <v>28</v>
      </c>
    </row>
    <row r="47" spans="1:1" x14ac:dyDescent="0.3">
      <c r="A47" s="1" t="s">
        <v>28</v>
      </c>
    </row>
    <row r="48" spans="1:1" x14ac:dyDescent="0.3">
      <c r="A48" s="2" t="s">
        <v>28</v>
      </c>
    </row>
    <row r="49" spans="1:1" x14ac:dyDescent="0.3">
      <c r="A49" s="1" t="s">
        <v>28</v>
      </c>
    </row>
    <row r="50" spans="1:1" x14ac:dyDescent="0.3">
      <c r="A50" s="2" t="s">
        <v>28</v>
      </c>
    </row>
    <row r="51" spans="1:1" x14ac:dyDescent="0.3">
      <c r="A51" s="1" t="s">
        <v>28</v>
      </c>
    </row>
    <row r="52" spans="1:1" x14ac:dyDescent="0.3">
      <c r="A52" s="2" t="s">
        <v>28</v>
      </c>
    </row>
    <row r="53" spans="1:1" x14ac:dyDescent="0.3">
      <c r="A53" s="1" t="s">
        <v>28</v>
      </c>
    </row>
    <row r="54" spans="1:1" x14ac:dyDescent="0.3">
      <c r="A54" s="2" t="s">
        <v>28</v>
      </c>
    </row>
    <row r="55" spans="1:1" x14ac:dyDescent="0.3">
      <c r="A55" s="1" t="s">
        <v>28</v>
      </c>
    </row>
    <row r="56" spans="1:1" x14ac:dyDescent="0.3">
      <c r="A56" s="2" t="s">
        <v>89</v>
      </c>
    </row>
    <row r="57" spans="1:1" x14ac:dyDescent="0.3">
      <c r="A57" s="1" t="s">
        <v>89</v>
      </c>
    </row>
    <row r="58" spans="1:1" x14ac:dyDescent="0.3">
      <c r="A58" s="2" t="s">
        <v>28</v>
      </c>
    </row>
    <row r="59" spans="1:1" x14ac:dyDescent="0.3">
      <c r="A59" s="1" t="s">
        <v>28</v>
      </c>
    </row>
    <row r="60" spans="1:1" x14ac:dyDescent="0.3">
      <c r="A60" s="2" t="s">
        <v>28</v>
      </c>
    </row>
    <row r="61" spans="1:1" x14ac:dyDescent="0.3">
      <c r="A61" s="1" t="s">
        <v>28</v>
      </c>
    </row>
    <row r="62" spans="1:1" x14ac:dyDescent="0.3">
      <c r="A62" s="2" t="s">
        <v>89</v>
      </c>
    </row>
    <row r="63" spans="1:1" x14ac:dyDescent="0.3">
      <c r="A63" s="1" t="s">
        <v>89</v>
      </c>
    </row>
    <row r="64" spans="1:1" x14ac:dyDescent="0.3">
      <c r="A64" s="2" t="s">
        <v>28</v>
      </c>
    </row>
    <row r="65" spans="1:1" x14ac:dyDescent="0.3">
      <c r="A65" s="1" t="s">
        <v>28</v>
      </c>
    </row>
    <row r="66" spans="1:1" x14ac:dyDescent="0.3">
      <c r="A66" s="2" t="s">
        <v>28</v>
      </c>
    </row>
    <row r="67" spans="1:1" x14ac:dyDescent="0.3">
      <c r="A67" s="1" t="s">
        <v>28</v>
      </c>
    </row>
    <row r="68" spans="1:1" x14ac:dyDescent="0.3">
      <c r="A68" s="2" t="s">
        <v>28</v>
      </c>
    </row>
    <row r="69" spans="1:1" x14ac:dyDescent="0.3">
      <c r="A69" s="1" t="s">
        <v>28</v>
      </c>
    </row>
    <row r="70" spans="1:1" x14ac:dyDescent="0.3">
      <c r="A70" s="2" t="s">
        <v>28</v>
      </c>
    </row>
    <row r="71" spans="1:1" x14ac:dyDescent="0.3">
      <c r="A71" s="1" t="s">
        <v>28</v>
      </c>
    </row>
    <row r="72" spans="1:1" x14ac:dyDescent="0.3">
      <c r="A72" s="2" t="s">
        <v>28</v>
      </c>
    </row>
    <row r="73" spans="1:1" x14ac:dyDescent="0.3">
      <c r="A73" s="1" t="s">
        <v>28</v>
      </c>
    </row>
    <row r="74" spans="1:1" x14ac:dyDescent="0.3">
      <c r="A74" s="2" t="s">
        <v>28</v>
      </c>
    </row>
    <row r="75" spans="1:1" x14ac:dyDescent="0.3">
      <c r="A75" s="1" t="s">
        <v>28</v>
      </c>
    </row>
    <row r="76" spans="1:1" x14ac:dyDescent="0.3">
      <c r="A76" s="2" t="s">
        <v>28</v>
      </c>
    </row>
    <row r="77" spans="1:1" x14ac:dyDescent="0.3">
      <c r="A77" s="1" t="s">
        <v>28</v>
      </c>
    </row>
    <row r="78" spans="1:1" x14ac:dyDescent="0.3">
      <c r="A78" s="2" t="s">
        <v>28</v>
      </c>
    </row>
    <row r="79" spans="1:1" x14ac:dyDescent="0.3">
      <c r="A79" s="1" t="s">
        <v>28</v>
      </c>
    </row>
    <row r="80" spans="1:1" x14ac:dyDescent="0.3">
      <c r="A80" s="2" t="s">
        <v>28</v>
      </c>
    </row>
    <row r="81" spans="1:1" x14ac:dyDescent="0.3">
      <c r="A81" s="1" t="s">
        <v>28</v>
      </c>
    </row>
    <row r="82" spans="1:1" x14ac:dyDescent="0.3">
      <c r="A82" s="2" t="s">
        <v>28</v>
      </c>
    </row>
    <row r="83" spans="1:1" x14ac:dyDescent="0.3">
      <c r="A83" s="1" t="s">
        <v>28</v>
      </c>
    </row>
    <row r="84" spans="1:1" x14ac:dyDescent="0.3">
      <c r="A84" s="2" t="s">
        <v>89</v>
      </c>
    </row>
    <row r="85" spans="1:1" x14ac:dyDescent="0.3">
      <c r="A85" s="1" t="s">
        <v>89</v>
      </c>
    </row>
    <row r="86" spans="1:1" x14ac:dyDescent="0.3">
      <c r="A86" s="2" t="s">
        <v>89</v>
      </c>
    </row>
    <row r="87" spans="1:1" x14ac:dyDescent="0.3">
      <c r="A87" s="1" t="s">
        <v>89</v>
      </c>
    </row>
    <row r="88" spans="1:1" x14ac:dyDescent="0.3">
      <c r="A88" s="2" t="s">
        <v>89</v>
      </c>
    </row>
    <row r="89" spans="1:1" x14ac:dyDescent="0.3">
      <c r="A89" s="1" t="s">
        <v>28</v>
      </c>
    </row>
    <row r="90" spans="1:1" x14ac:dyDescent="0.3">
      <c r="A90" s="2" t="s">
        <v>28</v>
      </c>
    </row>
    <row r="91" spans="1:1" x14ac:dyDescent="0.3">
      <c r="A91" s="1" t="s">
        <v>28</v>
      </c>
    </row>
    <row r="92" spans="1:1" x14ac:dyDescent="0.3">
      <c r="A92" s="2" t="s">
        <v>28</v>
      </c>
    </row>
    <row r="93" spans="1:1" x14ac:dyDescent="0.3">
      <c r="A93" s="1" t="s">
        <v>28</v>
      </c>
    </row>
    <row r="94" spans="1:1" x14ac:dyDescent="0.3">
      <c r="A94" s="2" t="s">
        <v>28</v>
      </c>
    </row>
    <row r="95" spans="1:1" x14ac:dyDescent="0.3">
      <c r="A95" s="1" t="s">
        <v>28</v>
      </c>
    </row>
    <row r="96" spans="1:1" x14ac:dyDescent="0.3">
      <c r="A96" s="2" t="s">
        <v>28</v>
      </c>
    </row>
    <row r="97" spans="1:1" x14ac:dyDescent="0.3">
      <c r="A97" s="1" t="s">
        <v>28</v>
      </c>
    </row>
    <row r="98" spans="1:1" x14ac:dyDescent="0.3">
      <c r="A98" s="2" t="s">
        <v>28</v>
      </c>
    </row>
    <row r="99" spans="1:1" x14ac:dyDescent="0.3">
      <c r="A99" s="1" t="s">
        <v>28</v>
      </c>
    </row>
    <row r="100" spans="1:1" x14ac:dyDescent="0.3">
      <c r="A100" s="2" t="s">
        <v>89</v>
      </c>
    </row>
    <row r="101" spans="1:1" x14ac:dyDescent="0.3">
      <c r="A101" s="1" t="s">
        <v>28</v>
      </c>
    </row>
    <row r="102" spans="1:1" x14ac:dyDescent="0.3">
      <c r="A102" s="2" t="s">
        <v>28</v>
      </c>
    </row>
    <row r="103" spans="1:1" x14ac:dyDescent="0.3">
      <c r="A103" s="1" t="s">
        <v>28</v>
      </c>
    </row>
    <row r="104" spans="1:1" x14ac:dyDescent="0.3">
      <c r="A104" s="2" t="s">
        <v>28</v>
      </c>
    </row>
    <row r="105" spans="1:1" x14ac:dyDescent="0.3">
      <c r="A105" s="1" t="s">
        <v>28</v>
      </c>
    </row>
    <row r="106" spans="1:1" x14ac:dyDescent="0.3">
      <c r="A106" s="2" t="s">
        <v>89</v>
      </c>
    </row>
    <row r="107" spans="1:1" x14ac:dyDescent="0.3">
      <c r="A107" s="1" t="s">
        <v>89</v>
      </c>
    </row>
    <row r="108" spans="1:1" x14ac:dyDescent="0.3">
      <c r="A108" s="2" t="s">
        <v>89</v>
      </c>
    </row>
    <row r="109" spans="1:1" x14ac:dyDescent="0.3">
      <c r="A109" s="1" t="s">
        <v>89</v>
      </c>
    </row>
    <row r="110" spans="1:1" x14ac:dyDescent="0.3">
      <c r="A110" s="2" t="s">
        <v>89</v>
      </c>
    </row>
    <row r="111" spans="1:1" x14ac:dyDescent="0.3">
      <c r="A111" s="1" t="s">
        <v>89</v>
      </c>
    </row>
    <row r="112" spans="1:1" x14ac:dyDescent="0.3">
      <c r="A112" s="2" t="s">
        <v>89</v>
      </c>
    </row>
    <row r="113" spans="1:1" x14ac:dyDescent="0.3">
      <c r="A113" s="1" t="s">
        <v>89</v>
      </c>
    </row>
    <row r="114" spans="1:1" x14ac:dyDescent="0.3">
      <c r="A114" s="2" t="s">
        <v>28</v>
      </c>
    </row>
    <row r="115" spans="1:1" x14ac:dyDescent="0.3">
      <c r="A115" s="1" t="s">
        <v>28</v>
      </c>
    </row>
    <row r="116" spans="1:1" x14ac:dyDescent="0.3">
      <c r="A116" s="2" t="s">
        <v>28</v>
      </c>
    </row>
    <row r="117" spans="1:1" x14ac:dyDescent="0.3">
      <c r="A117" s="1" t="s">
        <v>28</v>
      </c>
    </row>
    <row r="118" spans="1:1" x14ac:dyDescent="0.3">
      <c r="A118" s="2" t="s">
        <v>28</v>
      </c>
    </row>
    <row r="119" spans="1:1" x14ac:dyDescent="0.3">
      <c r="A119" s="1" t="s">
        <v>28</v>
      </c>
    </row>
    <row r="120" spans="1:1" x14ac:dyDescent="0.3">
      <c r="A120" s="2" t="s">
        <v>28</v>
      </c>
    </row>
    <row r="121" spans="1:1" x14ac:dyDescent="0.3">
      <c r="A121" s="1" t="s">
        <v>28</v>
      </c>
    </row>
    <row r="122" spans="1:1" x14ac:dyDescent="0.3">
      <c r="A122" s="2" t="s">
        <v>28</v>
      </c>
    </row>
    <row r="123" spans="1:1" x14ac:dyDescent="0.3">
      <c r="A123" s="1" t="s">
        <v>28</v>
      </c>
    </row>
    <row r="124" spans="1:1" x14ac:dyDescent="0.3">
      <c r="A124" s="2" t="s">
        <v>89</v>
      </c>
    </row>
    <row r="125" spans="1:1" x14ac:dyDescent="0.3">
      <c r="A125" s="1" t="s">
        <v>89</v>
      </c>
    </row>
    <row r="126" spans="1:1" x14ac:dyDescent="0.3">
      <c r="A126" s="2" t="s">
        <v>89</v>
      </c>
    </row>
    <row r="127" spans="1:1" x14ac:dyDescent="0.3">
      <c r="A127" s="1" t="s">
        <v>89</v>
      </c>
    </row>
    <row r="128" spans="1:1" x14ac:dyDescent="0.3">
      <c r="A128" s="2" t="s">
        <v>89</v>
      </c>
    </row>
    <row r="129" spans="1:1" x14ac:dyDescent="0.3">
      <c r="A129" s="1" t="s">
        <v>89</v>
      </c>
    </row>
    <row r="130" spans="1:1" x14ac:dyDescent="0.3">
      <c r="A130" s="2" t="s">
        <v>89</v>
      </c>
    </row>
    <row r="131" spans="1:1" x14ac:dyDescent="0.3">
      <c r="A131" s="1" t="s">
        <v>89</v>
      </c>
    </row>
    <row r="132" spans="1:1" x14ac:dyDescent="0.3">
      <c r="A132" s="2" t="s">
        <v>89</v>
      </c>
    </row>
    <row r="133" spans="1:1" x14ac:dyDescent="0.3">
      <c r="A133" s="1" t="s">
        <v>89</v>
      </c>
    </row>
    <row r="134" spans="1:1" x14ac:dyDescent="0.3">
      <c r="A134" s="2" t="s">
        <v>89</v>
      </c>
    </row>
    <row r="135" spans="1:1" x14ac:dyDescent="0.3">
      <c r="A135" s="1" t="s">
        <v>89</v>
      </c>
    </row>
    <row r="136" spans="1:1" x14ac:dyDescent="0.3">
      <c r="A136" s="2" t="s">
        <v>89</v>
      </c>
    </row>
    <row r="137" spans="1:1" x14ac:dyDescent="0.3">
      <c r="A137" s="1" t="s">
        <v>89</v>
      </c>
    </row>
    <row r="138" spans="1:1" x14ac:dyDescent="0.3">
      <c r="A138" s="2" t="s">
        <v>89</v>
      </c>
    </row>
    <row r="139" spans="1:1" x14ac:dyDescent="0.3">
      <c r="A139" s="1" t="s">
        <v>89</v>
      </c>
    </row>
    <row r="140" spans="1:1" x14ac:dyDescent="0.3">
      <c r="A140" s="2" t="s">
        <v>28</v>
      </c>
    </row>
    <row r="141" spans="1:1" x14ac:dyDescent="0.3">
      <c r="A141" s="1" t="s">
        <v>89</v>
      </c>
    </row>
    <row r="142" spans="1:1" x14ac:dyDescent="0.3">
      <c r="A142" s="2" t="s">
        <v>89</v>
      </c>
    </row>
    <row r="143" spans="1:1" x14ac:dyDescent="0.3">
      <c r="A143" s="1" t="s">
        <v>89</v>
      </c>
    </row>
    <row r="144" spans="1:1" x14ac:dyDescent="0.3">
      <c r="A144" s="2" t="s">
        <v>89</v>
      </c>
    </row>
    <row r="145" spans="1:1" x14ac:dyDescent="0.3">
      <c r="A145" s="1" t="s">
        <v>89</v>
      </c>
    </row>
    <row r="146" spans="1:1" x14ac:dyDescent="0.3">
      <c r="A146" s="2" t="s">
        <v>28</v>
      </c>
    </row>
    <row r="147" spans="1:1" x14ac:dyDescent="0.3">
      <c r="A147" s="1" t="s">
        <v>28</v>
      </c>
    </row>
    <row r="148" spans="1:1" x14ac:dyDescent="0.3">
      <c r="A148" s="2" t="s">
        <v>28</v>
      </c>
    </row>
    <row r="149" spans="1:1" x14ac:dyDescent="0.3">
      <c r="A149" s="1" t="s">
        <v>28</v>
      </c>
    </row>
    <row r="150" spans="1:1" x14ac:dyDescent="0.3">
      <c r="A150" s="2" t="s">
        <v>89</v>
      </c>
    </row>
    <row r="151" spans="1:1" x14ac:dyDescent="0.3">
      <c r="A151" s="1" t="s">
        <v>89</v>
      </c>
    </row>
    <row r="152" spans="1:1" x14ac:dyDescent="0.3">
      <c r="A152" s="2" t="s">
        <v>28</v>
      </c>
    </row>
    <row r="153" spans="1:1" x14ac:dyDescent="0.3">
      <c r="A153" s="1" t="s">
        <v>89</v>
      </c>
    </row>
    <row r="154" spans="1:1" x14ac:dyDescent="0.3">
      <c r="A154" s="2" t="s">
        <v>89</v>
      </c>
    </row>
    <row r="155" spans="1:1" x14ac:dyDescent="0.3">
      <c r="A155" s="1" t="s">
        <v>28</v>
      </c>
    </row>
    <row r="156" spans="1:1" x14ac:dyDescent="0.3">
      <c r="A156" s="2" t="s">
        <v>89</v>
      </c>
    </row>
    <row r="157" spans="1:1" x14ac:dyDescent="0.3">
      <c r="A157" s="1" t="s">
        <v>28</v>
      </c>
    </row>
    <row r="158" spans="1:1" x14ac:dyDescent="0.3">
      <c r="A158" s="2" t="s">
        <v>89</v>
      </c>
    </row>
    <row r="159" spans="1:1" x14ac:dyDescent="0.3">
      <c r="A159" s="1" t="s">
        <v>28</v>
      </c>
    </row>
    <row r="160" spans="1:1" x14ac:dyDescent="0.3">
      <c r="A160" s="2" t="s">
        <v>28</v>
      </c>
    </row>
    <row r="161" spans="1:1" x14ac:dyDescent="0.3">
      <c r="A161" s="1" t="s">
        <v>89</v>
      </c>
    </row>
    <row r="162" spans="1:1" x14ac:dyDescent="0.3">
      <c r="A162" s="2" t="s">
        <v>28</v>
      </c>
    </row>
    <row r="163" spans="1:1" x14ac:dyDescent="0.3">
      <c r="A163" s="1" t="s">
        <v>89</v>
      </c>
    </row>
    <row r="164" spans="1:1" x14ac:dyDescent="0.3">
      <c r="A164" s="2" t="s">
        <v>89</v>
      </c>
    </row>
    <row r="165" spans="1:1" x14ac:dyDescent="0.3">
      <c r="A165" s="1" t="s">
        <v>89</v>
      </c>
    </row>
    <row r="166" spans="1:1" x14ac:dyDescent="0.3">
      <c r="A166" s="2" t="s">
        <v>28</v>
      </c>
    </row>
    <row r="167" spans="1:1" x14ac:dyDescent="0.3">
      <c r="A167" s="1" t="s">
        <v>28</v>
      </c>
    </row>
    <row r="168" spans="1:1" x14ac:dyDescent="0.3">
      <c r="A168" s="2" t="s">
        <v>89</v>
      </c>
    </row>
    <row r="169" spans="1:1" x14ac:dyDescent="0.3">
      <c r="A169" s="1" t="s">
        <v>28</v>
      </c>
    </row>
    <row r="170" spans="1:1" x14ac:dyDescent="0.3">
      <c r="A170" s="2" t="s">
        <v>89</v>
      </c>
    </row>
    <row r="171" spans="1:1" x14ac:dyDescent="0.3">
      <c r="A171" s="1" t="s">
        <v>28</v>
      </c>
    </row>
    <row r="172" spans="1:1" x14ac:dyDescent="0.3">
      <c r="A172" s="2" t="s">
        <v>28</v>
      </c>
    </row>
    <row r="173" spans="1:1" x14ac:dyDescent="0.3">
      <c r="A173" s="1" t="s">
        <v>89</v>
      </c>
    </row>
    <row r="174" spans="1:1" x14ac:dyDescent="0.3">
      <c r="A174" s="2" t="s">
        <v>89</v>
      </c>
    </row>
    <row r="175" spans="1:1" x14ac:dyDescent="0.3">
      <c r="A175" s="1" t="s">
        <v>28</v>
      </c>
    </row>
    <row r="176" spans="1:1" x14ac:dyDescent="0.3">
      <c r="A176" s="2" t="s">
        <v>28</v>
      </c>
    </row>
    <row r="177" spans="1:1" x14ac:dyDescent="0.3">
      <c r="A177" s="1" t="s">
        <v>28</v>
      </c>
    </row>
    <row r="178" spans="1:1" x14ac:dyDescent="0.3">
      <c r="A178" s="2" t="s">
        <v>28</v>
      </c>
    </row>
    <row r="179" spans="1:1" x14ac:dyDescent="0.3">
      <c r="A179" s="1" t="s">
        <v>28</v>
      </c>
    </row>
    <row r="180" spans="1:1" x14ac:dyDescent="0.3">
      <c r="A180" s="2" t="s">
        <v>28</v>
      </c>
    </row>
    <row r="181" spans="1:1" x14ac:dyDescent="0.3">
      <c r="A181" s="1" t="s">
        <v>28</v>
      </c>
    </row>
    <row r="182" spans="1:1" x14ac:dyDescent="0.3">
      <c r="A182" s="2" t="s">
        <v>28</v>
      </c>
    </row>
    <row r="183" spans="1:1" x14ac:dyDescent="0.3">
      <c r="A183" s="1" t="s">
        <v>28</v>
      </c>
    </row>
    <row r="184" spans="1:1" x14ac:dyDescent="0.3">
      <c r="A184" s="2" t="s">
        <v>28</v>
      </c>
    </row>
    <row r="185" spans="1:1" x14ac:dyDescent="0.3">
      <c r="A185" s="1" t="s">
        <v>28</v>
      </c>
    </row>
    <row r="186" spans="1:1" x14ac:dyDescent="0.3">
      <c r="A186" s="2" t="s">
        <v>89</v>
      </c>
    </row>
    <row r="187" spans="1:1" x14ac:dyDescent="0.3">
      <c r="A187" s="1" t="s">
        <v>28</v>
      </c>
    </row>
    <row r="188" spans="1:1" x14ac:dyDescent="0.3">
      <c r="A188" s="2" t="s">
        <v>89</v>
      </c>
    </row>
    <row r="189" spans="1:1" x14ac:dyDescent="0.3">
      <c r="A189" s="1" t="s">
        <v>28</v>
      </c>
    </row>
    <row r="190" spans="1:1" x14ac:dyDescent="0.3">
      <c r="A190" s="2" t="s">
        <v>89</v>
      </c>
    </row>
    <row r="191" spans="1:1" x14ac:dyDescent="0.3">
      <c r="A191" s="1" t="s">
        <v>28</v>
      </c>
    </row>
    <row r="192" spans="1:1" x14ac:dyDescent="0.3">
      <c r="A192" s="2" t="s">
        <v>89</v>
      </c>
    </row>
    <row r="193" spans="1:1" x14ac:dyDescent="0.3">
      <c r="A193" s="1" t="s">
        <v>28</v>
      </c>
    </row>
    <row r="194" spans="1:1" x14ac:dyDescent="0.3">
      <c r="A194" s="2" t="s">
        <v>28</v>
      </c>
    </row>
    <row r="195" spans="1:1" x14ac:dyDescent="0.3">
      <c r="A195" s="1" t="s">
        <v>28</v>
      </c>
    </row>
    <row r="196" spans="1:1" x14ac:dyDescent="0.3">
      <c r="A196" s="2" t="s">
        <v>28</v>
      </c>
    </row>
    <row r="197" spans="1:1" x14ac:dyDescent="0.3">
      <c r="A197" s="1" t="s">
        <v>28</v>
      </c>
    </row>
    <row r="198" spans="1:1" x14ac:dyDescent="0.3">
      <c r="A198" s="2" t="s">
        <v>89</v>
      </c>
    </row>
    <row r="199" spans="1:1" x14ac:dyDescent="0.3">
      <c r="A199" s="1" t="s">
        <v>89</v>
      </c>
    </row>
    <row r="200" spans="1:1" x14ac:dyDescent="0.3">
      <c r="A200" s="2" t="s">
        <v>89</v>
      </c>
    </row>
    <row r="201" spans="1:1" x14ac:dyDescent="0.3">
      <c r="A201" s="1" t="s">
        <v>28</v>
      </c>
    </row>
    <row r="202" spans="1:1" x14ac:dyDescent="0.3">
      <c r="A202" s="2" t="s">
        <v>28</v>
      </c>
    </row>
    <row r="203" spans="1:1" x14ac:dyDescent="0.3">
      <c r="A203" s="1" t="s">
        <v>28</v>
      </c>
    </row>
    <row r="204" spans="1:1" x14ac:dyDescent="0.3">
      <c r="A204" s="2" t="s">
        <v>28</v>
      </c>
    </row>
    <row r="205" spans="1:1" x14ac:dyDescent="0.3">
      <c r="A205" s="1" t="s">
        <v>28</v>
      </c>
    </row>
    <row r="206" spans="1:1" x14ac:dyDescent="0.3">
      <c r="A206" s="2" t="s">
        <v>89</v>
      </c>
    </row>
    <row r="207" spans="1:1" x14ac:dyDescent="0.3">
      <c r="A207" s="1" t="s">
        <v>28</v>
      </c>
    </row>
    <row r="208" spans="1:1" x14ac:dyDescent="0.3">
      <c r="A208" s="2" t="s">
        <v>89</v>
      </c>
    </row>
    <row r="209" spans="1:1" x14ac:dyDescent="0.3">
      <c r="A209" s="1" t="s">
        <v>89</v>
      </c>
    </row>
    <row r="210" spans="1:1" x14ac:dyDescent="0.3">
      <c r="A210" s="2" t="s">
        <v>28</v>
      </c>
    </row>
    <row r="211" spans="1:1" x14ac:dyDescent="0.3">
      <c r="A211" s="1" t="s">
        <v>28</v>
      </c>
    </row>
    <row r="212" spans="1:1" x14ac:dyDescent="0.3">
      <c r="A212" s="2" t="s">
        <v>89</v>
      </c>
    </row>
    <row r="213" spans="1:1" x14ac:dyDescent="0.3">
      <c r="A213" s="1" t="s">
        <v>89</v>
      </c>
    </row>
    <row r="214" spans="1:1" x14ac:dyDescent="0.3">
      <c r="A214" s="2" t="s">
        <v>28</v>
      </c>
    </row>
    <row r="215" spans="1:1" x14ac:dyDescent="0.3">
      <c r="A215" s="1" t="s">
        <v>28</v>
      </c>
    </row>
    <row r="216" spans="1:1" x14ac:dyDescent="0.3">
      <c r="A216" s="2" t="s">
        <v>28</v>
      </c>
    </row>
    <row r="217" spans="1:1" x14ac:dyDescent="0.3">
      <c r="A217" s="1" t="s">
        <v>89</v>
      </c>
    </row>
    <row r="218" spans="1:1" x14ac:dyDescent="0.3">
      <c r="A218" s="2" t="s">
        <v>28</v>
      </c>
    </row>
    <row r="219" spans="1:1" x14ac:dyDescent="0.3">
      <c r="A219" s="1" t="s">
        <v>89</v>
      </c>
    </row>
    <row r="220" spans="1:1" x14ac:dyDescent="0.3">
      <c r="A220" s="2" t="s">
        <v>28</v>
      </c>
    </row>
    <row r="221" spans="1:1" x14ac:dyDescent="0.3">
      <c r="A221" s="1" t="s">
        <v>28</v>
      </c>
    </row>
    <row r="222" spans="1:1" x14ac:dyDescent="0.3">
      <c r="A222" s="2" t="s">
        <v>28</v>
      </c>
    </row>
    <row r="223" spans="1:1" x14ac:dyDescent="0.3">
      <c r="A223" s="1" t="s">
        <v>28</v>
      </c>
    </row>
    <row r="224" spans="1:1" x14ac:dyDescent="0.3">
      <c r="A224" s="2" t="s">
        <v>28</v>
      </c>
    </row>
    <row r="225" spans="1:1" x14ac:dyDescent="0.3">
      <c r="A225" s="1" t="s">
        <v>28</v>
      </c>
    </row>
    <row r="226" spans="1:1" x14ac:dyDescent="0.3">
      <c r="A226" s="2" t="s">
        <v>28</v>
      </c>
    </row>
    <row r="227" spans="1:1" x14ac:dyDescent="0.3">
      <c r="A227" s="1" t="s">
        <v>28</v>
      </c>
    </row>
    <row r="228" spans="1:1" x14ac:dyDescent="0.3">
      <c r="A228" s="2" t="s">
        <v>28</v>
      </c>
    </row>
    <row r="229" spans="1:1" x14ac:dyDescent="0.3">
      <c r="A229" s="1" t="s">
        <v>28</v>
      </c>
    </row>
    <row r="230" spans="1:1" x14ac:dyDescent="0.3">
      <c r="A230" s="2" t="s">
        <v>28</v>
      </c>
    </row>
    <row r="231" spans="1:1" x14ac:dyDescent="0.3">
      <c r="A231" s="1" t="s">
        <v>28</v>
      </c>
    </row>
    <row r="232" spans="1:1" x14ac:dyDescent="0.3">
      <c r="A232" s="2" t="s">
        <v>28</v>
      </c>
    </row>
    <row r="233" spans="1:1" x14ac:dyDescent="0.3">
      <c r="A233" s="1" t="s">
        <v>28</v>
      </c>
    </row>
    <row r="234" spans="1:1" x14ac:dyDescent="0.3">
      <c r="A234" s="2" t="s">
        <v>28</v>
      </c>
    </row>
    <row r="235" spans="1:1" x14ac:dyDescent="0.3">
      <c r="A235" s="1" t="s">
        <v>28</v>
      </c>
    </row>
    <row r="236" spans="1:1" x14ac:dyDescent="0.3">
      <c r="A236" s="2" t="s">
        <v>28</v>
      </c>
    </row>
    <row r="237" spans="1:1" x14ac:dyDescent="0.3">
      <c r="A237" s="1" t="s">
        <v>28</v>
      </c>
    </row>
    <row r="238" spans="1:1" x14ac:dyDescent="0.3">
      <c r="A238" s="2" t="s">
        <v>28</v>
      </c>
    </row>
    <row r="239" spans="1:1" x14ac:dyDescent="0.3">
      <c r="A239" s="1" t="s">
        <v>28</v>
      </c>
    </row>
    <row r="240" spans="1:1" x14ac:dyDescent="0.3">
      <c r="A240" s="2" t="s">
        <v>28</v>
      </c>
    </row>
    <row r="241" spans="1:1" x14ac:dyDescent="0.3">
      <c r="A241" s="1" t="s">
        <v>28</v>
      </c>
    </row>
    <row r="242" spans="1:1" x14ac:dyDescent="0.3">
      <c r="A242" s="2" t="s">
        <v>28</v>
      </c>
    </row>
    <row r="243" spans="1:1" x14ac:dyDescent="0.3">
      <c r="A243" s="1" t="s">
        <v>28</v>
      </c>
    </row>
    <row r="244" spans="1:1" x14ac:dyDescent="0.3">
      <c r="A244" s="2" t="s">
        <v>28</v>
      </c>
    </row>
    <row r="245" spans="1:1" x14ac:dyDescent="0.3">
      <c r="A245" s="1" t="s">
        <v>28</v>
      </c>
    </row>
    <row r="246" spans="1:1" x14ac:dyDescent="0.3">
      <c r="A246" s="2" t="s">
        <v>28</v>
      </c>
    </row>
    <row r="247" spans="1:1" x14ac:dyDescent="0.3">
      <c r="A247" s="1" t="s">
        <v>28</v>
      </c>
    </row>
    <row r="248" spans="1:1" x14ac:dyDescent="0.3">
      <c r="A248" s="2" t="s">
        <v>28</v>
      </c>
    </row>
    <row r="249" spans="1:1" x14ac:dyDescent="0.3">
      <c r="A249" s="1" t="s">
        <v>28</v>
      </c>
    </row>
    <row r="250" spans="1:1" x14ac:dyDescent="0.3">
      <c r="A250" s="2" t="s">
        <v>28</v>
      </c>
    </row>
    <row r="251" spans="1:1" x14ac:dyDescent="0.3">
      <c r="A251" s="1" t="s">
        <v>28</v>
      </c>
    </row>
    <row r="252" spans="1:1" x14ac:dyDescent="0.3">
      <c r="A252" s="2" t="s">
        <v>28</v>
      </c>
    </row>
    <row r="253" spans="1:1" x14ac:dyDescent="0.3">
      <c r="A253" s="1" t="s">
        <v>28</v>
      </c>
    </row>
    <row r="254" spans="1:1" x14ac:dyDescent="0.3">
      <c r="A254" s="2" t="s">
        <v>28</v>
      </c>
    </row>
    <row r="255" spans="1:1" x14ac:dyDescent="0.3">
      <c r="A255" s="1" t="s">
        <v>28</v>
      </c>
    </row>
    <row r="256" spans="1:1" x14ac:dyDescent="0.3">
      <c r="A256" s="2" t="s">
        <v>28</v>
      </c>
    </row>
    <row r="257" spans="1:1" x14ac:dyDescent="0.3">
      <c r="A257" s="1" t="s">
        <v>28</v>
      </c>
    </row>
    <row r="258" spans="1:1" x14ac:dyDescent="0.3">
      <c r="A258" s="2" t="s">
        <v>28</v>
      </c>
    </row>
    <row r="259" spans="1:1" x14ac:dyDescent="0.3">
      <c r="A259" s="1" t="s">
        <v>28</v>
      </c>
    </row>
    <row r="260" spans="1:1" x14ac:dyDescent="0.3">
      <c r="A260" s="2" t="s">
        <v>28</v>
      </c>
    </row>
    <row r="261" spans="1:1" x14ac:dyDescent="0.3">
      <c r="A261" s="1" t="s">
        <v>28</v>
      </c>
    </row>
    <row r="262" spans="1:1" x14ac:dyDescent="0.3">
      <c r="A262" s="2" t="s">
        <v>28</v>
      </c>
    </row>
    <row r="263" spans="1:1" x14ac:dyDescent="0.3">
      <c r="A263" s="1" t="s">
        <v>28</v>
      </c>
    </row>
    <row r="264" spans="1:1" x14ac:dyDescent="0.3">
      <c r="A264" s="2" t="s">
        <v>28</v>
      </c>
    </row>
    <row r="265" spans="1:1" x14ac:dyDescent="0.3">
      <c r="A265" s="1" t="s">
        <v>28</v>
      </c>
    </row>
    <row r="266" spans="1:1" x14ac:dyDescent="0.3">
      <c r="A266" s="2" t="s">
        <v>28</v>
      </c>
    </row>
    <row r="267" spans="1:1" x14ac:dyDescent="0.3">
      <c r="A267" s="1" t="s">
        <v>28</v>
      </c>
    </row>
    <row r="268" spans="1:1" x14ac:dyDescent="0.3">
      <c r="A268" s="2" t="s">
        <v>28</v>
      </c>
    </row>
    <row r="269" spans="1:1" x14ac:dyDescent="0.3">
      <c r="A269" s="1" t="s">
        <v>28</v>
      </c>
    </row>
    <row r="270" spans="1:1" x14ac:dyDescent="0.3">
      <c r="A270" s="2" t="s">
        <v>28</v>
      </c>
    </row>
    <row r="271" spans="1:1" x14ac:dyDescent="0.3">
      <c r="A271" s="1" t="s">
        <v>28</v>
      </c>
    </row>
    <row r="272" spans="1:1" x14ac:dyDescent="0.3">
      <c r="A272" s="2" t="s">
        <v>28</v>
      </c>
    </row>
    <row r="273" spans="1:1" x14ac:dyDescent="0.3">
      <c r="A273" s="1" t="s">
        <v>28</v>
      </c>
    </row>
    <row r="274" spans="1:1" x14ac:dyDescent="0.3">
      <c r="A274" s="2" t="s">
        <v>28</v>
      </c>
    </row>
    <row r="275" spans="1:1" x14ac:dyDescent="0.3">
      <c r="A275" s="1" t="s">
        <v>28</v>
      </c>
    </row>
    <row r="276" spans="1:1" x14ac:dyDescent="0.3">
      <c r="A276" s="2" t="s">
        <v>28</v>
      </c>
    </row>
    <row r="277" spans="1:1" x14ac:dyDescent="0.3">
      <c r="A277" s="1" t="s">
        <v>28</v>
      </c>
    </row>
    <row r="278" spans="1:1" x14ac:dyDescent="0.3">
      <c r="A278" s="2" t="s">
        <v>28</v>
      </c>
    </row>
    <row r="279" spans="1:1" x14ac:dyDescent="0.3">
      <c r="A279" s="1" t="s">
        <v>28</v>
      </c>
    </row>
    <row r="280" spans="1:1" x14ac:dyDescent="0.3">
      <c r="A280" s="2" t="s">
        <v>28</v>
      </c>
    </row>
    <row r="281" spans="1:1" x14ac:dyDescent="0.3">
      <c r="A281" s="1" t="s">
        <v>28</v>
      </c>
    </row>
    <row r="282" spans="1:1" x14ac:dyDescent="0.3">
      <c r="A282" s="2" t="s">
        <v>28</v>
      </c>
    </row>
    <row r="283" spans="1:1" x14ac:dyDescent="0.3">
      <c r="A283" s="1" t="s">
        <v>28</v>
      </c>
    </row>
    <row r="284" spans="1:1" x14ac:dyDescent="0.3">
      <c r="A284" s="2" t="s">
        <v>89</v>
      </c>
    </row>
    <row r="285" spans="1:1" x14ac:dyDescent="0.3">
      <c r="A285" s="1" t="s">
        <v>28</v>
      </c>
    </row>
    <row r="286" spans="1:1" x14ac:dyDescent="0.3">
      <c r="A286" s="2" t="s">
        <v>28</v>
      </c>
    </row>
    <row r="287" spans="1:1" x14ac:dyDescent="0.3">
      <c r="A287" s="1" t="s">
        <v>28</v>
      </c>
    </row>
    <row r="288" spans="1:1" x14ac:dyDescent="0.3">
      <c r="A288" s="2" t="s">
        <v>28</v>
      </c>
    </row>
    <row r="289" spans="1:1" x14ac:dyDescent="0.3">
      <c r="A289" s="1" t="s">
        <v>28</v>
      </c>
    </row>
    <row r="290" spans="1:1" x14ac:dyDescent="0.3">
      <c r="A290" s="2" t="s">
        <v>28</v>
      </c>
    </row>
    <row r="291" spans="1:1" x14ac:dyDescent="0.3">
      <c r="A291" s="1" t="s">
        <v>28</v>
      </c>
    </row>
    <row r="292" spans="1:1" x14ac:dyDescent="0.3">
      <c r="A292" s="2" t="s">
        <v>28</v>
      </c>
    </row>
    <row r="293" spans="1:1" x14ac:dyDescent="0.3">
      <c r="A293" s="1" t="s">
        <v>28</v>
      </c>
    </row>
    <row r="294" spans="1:1" x14ac:dyDescent="0.3">
      <c r="A294" s="2" t="s">
        <v>28</v>
      </c>
    </row>
    <row r="295" spans="1:1" x14ac:dyDescent="0.3">
      <c r="A295" s="1" t="s">
        <v>28</v>
      </c>
    </row>
    <row r="296" spans="1:1" x14ac:dyDescent="0.3">
      <c r="A296" s="2" t="s">
        <v>28</v>
      </c>
    </row>
    <row r="297" spans="1:1" x14ac:dyDescent="0.3">
      <c r="A297" s="1" t="s">
        <v>28</v>
      </c>
    </row>
    <row r="298" spans="1:1" x14ac:dyDescent="0.3">
      <c r="A298" s="2" t="s">
        <v>28</v>
      </c>
    </row>
    <row r="299" spans="1:1" x14ac:dyDescent="0.3">
      <c r="A299" s="1" t="s">
        <v>28</v>
      </c>
    </row>
    <row r="300" spans="1:1" x14ac:dyDescent="0.3">
      <c r="A300" s="2" t="s">
        <v>28</v>
      </c>
    </row>
    <row r="301" spans="1:1" x14ac:dyDescent="0.3">
      <c r="A301" s="1" t="s">
        <v>28</v>
      </c>
    </row>
    <row r="302" spans="1:1" x14ac:dyDescent="0.3">
      <c r="A302" s="2" t="s">
        <v>28</v>
      </c>
    </row>
    <row r="303" spans="1:1" x14ac:dyDescent="0.3">
      <c r="A303" s="1" t="s">
        <v>28</v>
      </c>
    </row>
    <row r="304" spans="1:1" x14ac:dyDescent="0.3">
      <c r="A304" s="2" t="s">
        <v>28</v>
      </c>
    </row>
    <row r="305" spans="1:1" x14ac:dyDescent="0.3">
      <c r="A305" s="1" t="s">
        <v>28</v>
      </c>
    </row>
    <row r="306" spans="1:1" x14ac:dyDescent="0.3">
      <c r="A306" s="2" t="s">
        <v>28</v>
      </c>
    </row>
    <row r="307" spans="1:1" x14ac:dyDescent="0.3">
      <c r="A307" s="1" t="s">
        <v>28</v>
      </c>
    </row>
    <row r="308" spans="1:1" x14ac:dyDescent="0.3">
      <c r="A308" s="2" t="s">
        <v>28</v>
      </c>
    </row>
    <row r="309" spans="1:1" x14ac:dyDescent="0.3">
      <c r="A309" s="1" t="s">
        <v>28</v>
      </c>
    </row>
    <row r="310" spans="1:1" x14ac:dyDescent="0.3">
      <c r="A310" s="2" t="s">
        <v>28</v>
      </c>
    </row>
    <row r="311" spans="1:1" x14ac:dyDescent="0.3">
      <c r="A311" s="1" t="s">
        <v>89</v>
      </c>
    </row>
    <row r="312" spans="1:1" x14ac:dyDescent="0.3">
      <c r="A312" s="2" t="s">
        <v>89</v>
      </c>
    </row>
    <row r="313" spans="1:1" x14ac:dyDescent="0.3">
      <c r="A313" s="1" t="s">
        <v>28</v>
      </c>
    </row>
    <row r="314" spans="1:1" x14ac:dyDescent="0.3">
      <c r="A314" s="2" t="s">
        <v>89</v>
      </c>
    </row>
    <row r="315" spans="1:1" x14ac:dyDescent="0.3">
      <c r="A315" s="1" t="s">
        <v>89</v>
      </c>
    </row>
    <row r="316" spans="1:1" x14ac:dyDescent="0.3">
      <c r="A316" s="2" t="s">
        <v>28</v>
      </c>
    </row>
    <row r="317" spans="1:1" x14ac:dyDescent="0.3">
      <c r="A317" s="1" t="s">
        <v>28</v>
      </c>
    </row>
    <row r="318" spans="1:1" x14ac:dyDescent="0.3">
      <c r="A318" s="2" t="s">
        <v>28</v>
      </c>
    </row>
    <row r="319" spans="1:1" x14ac:dyDescent="0.3">
      <c r="A319" s="1" t="s">
        <v>28</v>
      </c>
    </row>
    <row r="320" spans="1:1" x14ac:dyDescent="0.3">
      <c r="A320" s="2" t="s">
        <v>89</v>
      </c>
    </row>
    <row r="321" spans="1:1" x14ac:dyDescent="0.3">
      <c r="A321" s="1" t="s">
        <v>28</v>
      </c>
    </row>
    <row r="322" spans="1:1" x14ac:dyDescent="0.3">
      <c r="A322" s="2" t="s">
        <v>89</v>
      </c>
    </row>
    <row r="323" spans="1:1" x14ac:dyDescent="0.3">
      <c r="A323" s="1" t="s">
        <v>28</v>
      </c>
    </row>
    <row r="324" spans="1:1" x14ac:dyDescent="0.3">
      <c r="A324" s="2" t="s">
        <v>28</v>
      </c>
    </row>
    <row r="325" spans="1:1" x14ac:dyDescent="0.3">
      <c r="A325" s="1" t="s">
        <v>89</v>
      </c>
    </row>
    <row r="326" spans="1:1" x14ac:dyDescent="0.3">
      <c r="A326" s="2" t="s">
        <v>89</v>
      </c>
    </row>
    <row r="327" spans="1:1" x14ac:dyDescent="0.3">
      <c r="A327" s="1" t="s">
        <v>28</v>
      </c>
    </row>
    <row r="328" spans="1:1" x14ac:dyDescent="0.3">
      <c r="A328" s="2" t="s">
        <v>28</v>
      </c>
    </row>
    <row r="329" spans="1:1" x14ac:dyDescent="0.3">
      <c r="A329" s="1" t="s">
        <v>28</v>
      </c>
    </row>
    <row r="330" spans="1:1" x14ac:dyDescent="0.3">
      <c r="A330" s="2" t="s">
        <v>28</v>
      </c>
    </row>
    <row r="331" spans="1:1" x14ac:dyDescent="0.3">
      <c r="A331" s="1" t="s">
        <v>89</v>
      </c>
    </row>
    <row r="332" spans="1:1" x14ac:dyDescent="0.3">
      <c r="A332" s="2" t="s">
        <v>28</v>
      </c>
    </row>
    <row r="333" spans="1:1" x14ac:dyDescent="0.3">
      <c r="A333" s="1" t="s">
        <v>89</v>
      </c>
    </row>
    <row r="334" spans="1:1" x14ac:dyDescent="0.3">
      <c r="A334" s="2" t="s">
        <v>28</v>
      </c>
    </row>
    <row r="335" spans="1:1" x14ac:dyDescent="0.3">
      <c r="A335" s="1" t="s">
        <v>89</v>
      </c>
    </row>
    <row r="336" spans="1:1" x14ac:dyDescent="0.3">
      <c r="A336" s="2" t="s">
        <v>28</v>
      </c>
    </row>
    <row r="337" spans="1:1" x14ac:dyDescent="0.3">
      <c r="A337" s="1" t="s">
        <v>28</v>
      </c>
    </row>
    <row r="338" spans="1:1" x14ac:dyDescent="0.3">
      <c r="A338" s="2" t="s">
        <v>28</v>
      </c>
    </row>
    <row r="339" spans="1:1" x14ac:dyDescent="0.3">
      <c r="A339" s="1" t="s">
        <v>28</v>
      </c>
    </row>
    <row r="340" spans="1:1" x14ac:dyDescent="0.3">
      <c r="A340" s="2" t="s">
        <v>28</v>
      </c>
    </row>
    <row r="341" spans="1:1" x14ac:dyDescent="0.3">
      <c r="A341" s="1" t="s">
        <v>28</v>
      </c>
    </row>
    <row r="342" spans="1:1" x14ac:dyDescent="0.3">
      <c r="A342" s="2" t="s">
        <v>28</v>
      </c>
    </row>
    <row r="343" spans="1:1" x14ac:dyDescent="0.3">
      <c r="A343" s="1" t="s">
        <v>89</v>
      </c>
    </row>
    <row r="344" spans="1:1" x14ac:dyDescent="0.3">
      <c r="A344" s="2" t="s">
        <v>89</v>
      </c>
    </row>
    <row r="345" spans="1:1" x14ac:dyDescent="0.3">
      <c r="A345" s="1" t="s">
        <v>89</v>
      </c>
    </row>
    <row r="346" spans="1:1" x14ac:dyDescent="0.3">
      <c r="A346" s="2" t="s">
        <v>89</v>
      </c>
    </row>
    <row r="347" spans="1:1" x14ac:dyDescent="0.3">
      <c r="A347" s="1" t="s">
        <v>28</v>
      </c>
    </row>
    <row r="348" spans="1:1" x14ac:dyDescent="0.3">
      <c r="A348" s="2" t="s">
        <v>89</v>
      </c>
    </row>
    <row r="349" spans="1:1" x14ac:dyDescent="0.3">
      <c r="A349" s="1" t="s">
        <v>89</v>
      </c>
    </row>
    <row r="350" spans="1:1" x14ac:dyDescent="0.3">
      <c r="A350" s="2" t="s">
        <v>89</v>
      </c>
    </row>
    <row r="351" spans="1:1" x14ac:dyDescent="0.3">
      <c r="A351" s="1" t="s">
        <v>28</v>
      </c>
    </row>
    <row r="352" spans="1:1" x14ac:dyDescent="0.3">
      <c r="A352" s="2" t="s">
        <v>28</v>
      </c>
    </row>
    <row r="353" spans="1:1" x14ac:dyDescent="0.3">
      <c r="A353" s="1" t="s">
        <v>89</v>
      </c>
    </row>
    <row r="354" spans="1:1" x14ac:dyDescent="0.3">
      <c r="A354" s="2" t="s">
        <v>28</v>
      </c>
    </row>
    <row r="355" spans="1:1" x14ac:dyDescent="0.3">
      <c r="A355" s="1" t="s">
        <v>28</v>
      </c>
    </row>
    <row r="356" spans="1:1" x14ac:dyDescent="0.3">
      <c r="A356" s="2" t="s">
        <v>28</v>
      </c>
    </row>
    <row r="357" spans="1:1" x14ac:dyDescent="0.3">
      <c r="A357" s="1" t="s">
        <v>28</v>
      </c>
    </row>
    <row r="358" spans="1:1" x14ac:dyDescent="0.3">
      <c r="A358" s="2" t="s">
        <v>28</v>
      </c>
    </row>
    <row r="359" spans="1:1" x14ac:dyDescent="0.3">
      <c r="A359" s="1" t="s">
        <v>28</v>
      </c>
    </row>
    <row r="360" spans="1:1" x14ac:dyDescent="0.3">
      <c r="A360" s="2" t="s">
        <v>28</v>
      </c>
    </row>
    <row r="361" spans="1:1" x14ac:dyDescent="0.3">
      <c r="A361" s="1" t="s">
        <v>28</v>
      </c>
    </row>
    <row r="362" spans="1:1" x14ac:dyDescent="0.3">
      <c r="A362" s="2" t="s">
        <v>28</v>
      </c>
    </row>
    <row r="363" spans="1:1" x14ac:dyDescent="0.3">
      <c r="A363" s="1" t="s">
        <v>28</v>
      </c>
    </row>
    <row r="364" spans="1:1" x14ac:dyDescent="0.3">
      <c r="A364" s="2" t="s">
        <v>28</v>
      </c>
    </row>
    <row r="365" spans="1:1" x14ac:dyDescent="0.3">
      <c r="A365" s="1" t="s">
        <v>89</v>
      </c>
    </row>
    <row r="366" spans="1:1" x14ac:dyDescent="0.3">
      <c r="A366" s="2" t="s">
        <v>28</v>
      </c>
    </row>
    <row r="367" spans="1:1" x14ac:dyDescent="0.3">
      <c r="A367" s="1" t="s">
        <v>28</v>
      </c>
    </row>
    <row r="368" spans="1:1" x14ac:dyDescent="0.3">
      <c r="A368" s="2" t="s">
        <v>28</v>
      </c>
    </row>
    <row r="369" spans="1:1" x14ac:dyDescent="0.3">
      <c r="A369" s="1" t="s">
        <v>89</v>
      </c>
    </row>
    <row r="370" spans="1:1" x14ac:dyDescent="0.3">
      <c r="A370" s="2" t="s">
        <v>89</v>
      </c>
    </row>
    <row r="371" spans="1:1" x14ac:dyDescent="0.3">
      <c r="A371" s="1" t="s">
        <v>28</v>
      </c>
    </row>
    <row r="372" spans="1:1" x14ac:dyDescent="0.3">
      <c r="A372" s="2" t="s">
        <v>28</v>
      </c>
    </row>
    <row r="373" spans="1:1" x14ac:dyDescent="0.3">
      <c r="A373" s="1" t="s">
        <v>28</v>
      </c>
    </row>
    <row r="374" spans="1:1" x14ac:dyDescent="0.3">
      <c r="A374" s="2" t="s">
        <v>28</v>
      </c>
    </row>
    <row r="375" spans="1:1" x14ac:dyDescent="0.3">
      <c r="A375" s="1" t="s">
        <v>89</v>
      </c>
    </row>
    <row r="376" spans="1:1" x14ac:dyDescent="0.3">
      <c r="A376" s="2" t="s">
        <v>89</v>
      </c>
    </row>
    <row r="377" spans="1:1" x14ac:dyDescent="0.3">
      <c r="A377" s="1" t="s">
        <v>28</v>
      </c>
    </row>
    <row r="378" spans="1:1" x14ac:dyDescent="0.3">
      <c r="A378" s="2" t="s">
        <v>89</v>
      </c>
    </row>
    <row r="379" spans="1:1" x14ac:dyDescent="0.3">
      <c r="A379" s="1" t="s">
        <v>28</v>
      </c>
    </row>
    <row r="380" spans="1:1" x14ac:dyDescent="0.3">
      <c r="A380" s="2" t="s">
        <v>28</v>
      </c>
    </row>
    <row r="381" spans="1:1" x14ac:dyDescent="0.3">
      <c r="A381" s="1" t="s">
        <v>89</v>
      </c>
    </row>
    <row r="382" spans="1:1" x14ac:dyDescent="0.3">
      <c r="A382" s="2" t="s">
        <v>28</v>
      </c>
    </row>
    <row r="383" spans="1:1" x14ac:dyDescent="0.3">
      <c r="A383" s="1" t="s">
        <v>28</v>
      </c>
    </row>
    <row r="384" spans="1:1" x14ac:dyDescent="0.3">
      <c r="A384" s="2" t="s">
        <v>28</v>
      </c>
    </row>
    <row r="385" spans="1:1" x14ac:dyDescent="0.3">
      <c r="A385" s="1" t="s">
        <v>89</v>
      </c>
    </row>
    <row r="386" spans="1:1" x14ac:dyDescent="0.3">
      <c r="A386" s="2" t="s">
        <v>28</v>
      </c>
    </row>
    <row r="387" spans="1:1" x14ac:dyDescent="0.3">
      <c r="A387" s="1" t="s">
        <v>28</v>
      </c>
    </row>
    <row r="388" spans="1:1" x14ac:dyDescent="0.3">
      <c r="A388" s="2" t="s">
        <v>28</v>
      </c>
    </row>
    <row r="389" spans="1:1" x14ac:dyDescent="0.3">
      <c r="A389" s="1" t="s">
        <v>28</v>
      </c>
    </row>
    <row r="390" spans="1:1" x14ac:dyDescent="0.3">
      <c r="A390" s="2" t="s">
        <v>89</v>
      </c>
    </row>
    <row r="391" spans="1:1" x14ac:dyDescent="0.3">
      <c r="A391" s="1" t="s">
        <v>89</v>
      </c>
    </row>
    <row r="392" spans="1:1" x14ac:dyDescent="0.3">
      <c r="A392" s="2" t="s">
        <v>89</v>
      </c>
    </row>
    <row r="393" spans="1:1" x14ac:dyDescent="0.3">
      <c r="A393" s="1" t="s">
        <v>28</v>
      </c>
    </row>
    <row r="394" spans="1:1" x14ac:dyDescent="0.3">
      <c r="A394" s="2" t="s">
        <v>28</v>
      </c>
    </row>
    <row r="395" spans="1:1" x14ac:dyDescent="0.3">
      <c r="A395" s="1" t="s">
        <v>28</v>
      </c>
    </row>
    <row r="396" spans="1:1" x14ac:dyDescent="0.3">
      <c r="A396" s="2" t="s">
        <v>28</v>
      </c>
    </row>
    <row r="397" spans="1:1" x14ac:dyDescent="0.3">
      <c r="A397" s="1" t="s">
        <v>28</v>
      </c>
    </row>
    <row r="398" spans="1:1" x14ac:dyDescent="0.3">
      <c r="A398" s="2" t="s">
        <v>89</v>
      </c>
    </row>
    <row r="399" spans="1:1" x14ac:dyDescent="0.3">
      <c r="A399" s="1" t="s">
        <v>89</v>
      </c>
    </row>
    <row r="400" spans="1:1" x14ac:dyDescent="0.3">
      <c r="A400" s="2" t="s">
        <v>28</v>
      </c>
    </row>
    <row r="401" spans="1:1" x14ac:dyDescent="0.3">
      <c r="A401" s="1" t="s">
        <v>28</v>
      </c>
    </row>
    <row r="402" spans="1:1" x14ac:dyDescent="0.3">
      <c r="A402" s="2" t="s">
        <v>89</v>
      </c>
    </row>
    <row r="403" spans="1:1" x14ac:dyDescent="0.3">
      <c r="A403" s="1" t="s">
        <v>89</v>
      </c>
    </row>
    <row r="404" spans="1:1" x14ac:dyDescent="0.3">
      <c r="A404" s="2" t="s">
        <v>89</v>
      </c>
    </row>
    <row r="405" spans="1:1" x14ac:dyDescent="0.3">
      <c r="A405" s="1" t="s">
        <v>28</v>
      </c>
    </row>
    <row r="406" spans="1:1" x14ac:dyDescent="0.3">
      <c r="A406" s="2" t="s">
        <v>89</v>
      </c>
    </row>
    <row r="407" spans="1:1" x14ac:dyDescent="0.3">
      <c r="A407" s="1" t="s">
        <v>89</v>
      </c>
    </row>
    <row r="408" spans="1:1" x14ac:dyDescent="0.3">
      <c r="A408" s="2" t="s">
        <v>28</v>
      </c>
    </row>
    <row r="409" spans="1:1" x14ac:dyDescent="0.3">
      <c r="A409" s="1" t="s">
        <v>28</v>
      </c>
    </row>
    <row r="410" spans="1:1" x14ac:dyDescent="0.3">
      <c r="A410" s="2" t="s">
        <v>89</v>
      </c>
    </row>
    <row r="411" spans="1:1" x14ac:dyDescent="0.3">
      <c r="A411" s="1" t="s">
        <v>28</v>
      </c>
    </row>
    <row r="412" spans="1:1" x14ac:dyDescent="0.3">
      <c r="A412" s="2" t="s">
        <v>28</v>
      </c>
    </row>
    <row r="413" spans="1:1" x14ac:dyDescent="0.3">
      <c r="A413" s="1" t="s">
        <v>89</v>
      </c>
    </row>
    <row r="414" spans="1:1" x14ac:dyDescent="0.3">
      <c r="A414" s="2" t="s">
        <v>89</v>
      </c>
    </row>
    <row r="415" spans="1:1" x14ac:dyDescent="0.3">
      <c r="A415" s="1" t="s">
        <v>28</v>
      </c>
    </row>
    <row r="416" spans="1:1" x14ac:dyDescent="0.3">
      <c r="A416" s="2" t="s">
        <v>28</v>
      </c>
    </row>
    <row r="417" spans="1:1" x14ac:dyDescent="0.3">
      <c r="A417" s="1" t="s">
        <v>89</v>
      </c>
    </row>
    <row r="418" spans="1:1" x14ac:dyDescent="0.3">
      <c r="A418" s="2" t="s">
        <v>89</v>
      </c>
    </row>
    <row r="419" spans="1:1" x14ac:dyDescent="0.3">
      <c r="A419" s="1" t="s">
        <v>89</v>
      </c>
    </row>
    <row r="420" spans="1:1" x14ac:dyDescent="0.3">
      <c r="A420" s="2" t="s">
        <v>89</v>
      </c>
    </row>
    <row r="421" spans="1:1" x14ac:dyDescent="0.3">
      <c r="A421" s="1" t="s">
        <v>89</v>
      </c>
    </row>
    <row r="422" spans="1:1" x14ac:dyDescent="0.3">
      <c r="A422" s="2" t="s">
        <v>28</v>
      </c>
    </row>
    <row r="423" spans="1:1" x14ac:dyDescent="0.3">
      <c r="A423" s="1" t="s">
        <v>89</v>
      </c>
    </row>
    <row r="424" spans="1:1" x14ac:dyDescent="0.3">
      <c r="A424" s="2" t="s">
        <v>89</v>
      </c>
    </row>
    <row r="425" spans="1:1" x14ac:dyDescent="0.3">
      <c r="A425" s="1" t="s">
        <v>89</v>
      </c>
    </row>
    <row r="426" spans="1:1" x14ac:dyDescent="0.3">
      <c r="A426" s="2" t="s">
        <v>89</v>
      </c>
    </row>
    <row r="427" spans="1:1" x14ac:dyDescent="0.3">
      <c r="A427" s="1" t="s">
        <v>28</v>
      </c>
    </row>
    <row r="428" spans="1:1" x14ac:dyDescent="0.3">
      <c r="A428" s="2" t="s">
        <v>28</v>
      </c>
    </row>
    <row r="429" spans="1:1" x14ac:dyDescent="0.3">
      <c r="A429" s="1" t="s">
        <v>28</v>
      </c>
    </row>
    <row r="430" spans="1:1" x14ac:dyDescent="0.3">
      <c r="A430" s="2" t="s">
        <v>28</v>
      </c>
    </row>
    <row r="431" spans="1:1" x14ac:dyDescent="0.3">
      <c r="A431" s="1" t="s">
        <v>89</v>
      </c>
    </row>
    <row r="432" spans="1:1" x14ac:dyDescent="0.3">
      <c r="A432" s="2" t="s">
        <v>28</v>
      </c>
    </row>
    <row r="433" spans="1:1" x14ac:dyDescent="0.3">
      <c r="A433" s="1" t="s">
        <v>89</v>
      </c>
    </row>
    <row r="434" spans="1:1" x14ac:dyDescent="0.3">
      <c r="A434" s="2" t="s">
        <v>28</v>
      </c>
    </row>
    <row r="435" spans="1:1" x14ac:dyDescent="0.3">
      <c r="A435" s="1" t="s">
        <v>28</v>
      </c>
    </row>
    <row r="436" spans="1:1" x14ac:dyDescent="0.3">
      <c r="A436" s="2" t="s">
        <v>89</v>
      </c>
    </row>
    <row r="437" spans="1:1" x14ac:dyDescent="0.3">
      <c r="A437" s="1" t="s">
        <v>89</v>
      </c>
    </row>
    <row r="438" spans="1:1" x14ac:dyDescent="0.3">
      <c r="A438" s="2" t="s">
        <v>28</v>
      </c>
    </row>
    <row r="439" spans="1:1" x14ac:dyDescent="0.3">
      <c r="A439" s="1" t="s">
        <v>89</v>
      </c>
    </row>
    <row r="440" spans="1:1" x14ac:dyDescent="0.3">
      <c r="A440" s="2" t="s">
        <v>89</v>
      </c>
    </row>
    <row r="441" spans="1:1" x14ac:dyDescent="0.3">
      <c r="A441" s="1" t="s">
        <v>89</v>
      </c>
    </row>
    <row r="442" spans="1:1" x14ac:dyDescent="0.3">
      <c r="A442" s="2" t="s">
        <v>89</v>
      </c>
    </row>
    <row r="443" spans="1:1" x14ac:dyDescent="0.3">
      <c r="A443" s="1" t="s">
        <v>89</v>
      </c>
    </row>
    <row r="444" spans="1:1" x14ac:dyDescent="0.3">
      <c r="A444" s="2" t="s">
        <v>89</v>
      </c>
    </row>
    <row r="445" spans="1:1" x14ac:dyDescent="0.3">
      <c r="A445" s="1" t="s">
        <v>28</v>
      </c>
    </row>
    <row r="446" spans="1:1" x14ac:dyDescent="0.3">
      <c r="A446" s="2" t="s">
        <v>89</v>
      </c>
    </row>
    <row r="447" spans="1:1" x14ac:dyDescent="0.3">
      <c r="A447" s="1" t="s">
        <v>28</v>
      </c>
    </row>
    <row r="448" spans="1:1" x14ac:dyDescent="0.3">
      <c r="A448" s="2" t="s">
        <v>89</v>
      </c>
    </row>
    <row r="449" spans="1:1" x14ac:dyDescent="0.3">
      <c r="A449" s="1" t="s">
        <v>28</v>
      </c>
    </row>
    <row r="450" spans="1:1" x14ac:dyDescent="0.3">
      <c r="A450" s="2" t="s">
        <v>89</v>
      </c>
    </row>
    <row r="451" spans="1:1" x14ac:dyDescent="0.3">
      <c r="A451" s="1" t="s">
        <v>28</v>
      </c>
    </row>
    <row r="452" spans="1:1" x14ac:dyDescent="0.3">
      <c r="A452" s="2" t="s">
        <v>28</v>
      </c>
    </row>
    <row r="453" spans="1:1" x14ac:dyDescent="0.3">
      <c r="A453" s="1" t="s">
        <v>89</v>
      </c>
    </row>
    <row r="454" spans="1:1" x14ac:dyDescent="0.3">
      <c r="A454" s="2" t="s">
        <v>28</v>
      </c>
    </row>
    <row r="455" spans="1:1" x14ac:dyDescent="0.3">
      <c r="A455" s="1" t="s">
        <v>28</v>
      </c>
    </row>
    <row r="456" spans="1:1" x14ac:dyDescent="0.3">
      <c r="A456" s="2" t="s">
        <v>89</v>
      </c>
    </row>
    <row r="457" spans="1:1" x14ac:dyDescent="0.3">
      <c r="A457" s="1" t="s">
        <v>28</v>
      </c>
    </row>
    <row r="458" spans="1:1" x14ac:dyDescent="0.3">
      <c r="A458" s="2" t="s">
        <v>28</v>
      </c>
    </row>
    <row r="459" spans="1:1" x14ac:dyDescent="0.3">
      <c r="A459" s="1" t="s">
        <v>28</v>
      </c>
    </row>
    <row r="460" spans="1:1" x14ac:dyDescent="0.3">
      <c r="A460" s="2" t="s">
        <v>89</v>
      </c>
    </row>
    <row r="461" spans="1:1" x14ac:dyDescent="0.3">
      <c r="A461" s="1" t="s">
        <v>28</v>
      </c>
    </row>
    <row r="462" spans="1:1" x14ac:dyDescent="0.3">
      <c r="A462" s="2" t="s">
        <v>89</v>
      </c>
    </row>
    <row r="463" spans="1:1" x14ac:dyDescent="0.3">
      <c r="A463" s="1" t="s">
        <v>28</v>
      </c>
    </row>
    <row r="464" spans="1:1" x14ac:dyDescent="0.3">
      <c r="A464" s="2" t="s">
        <v>28</v>
      </c>
    </row>
    <row r="465" spans="1:1" x14ac:dyDescent="0.3">
      <c r="A465" s="1" t="s">
        <v>28</v>
      </c>
    </row>
    <row r="466" spans="1:1" x14ac:dyDescent="0.3">
      <c r="A466" s="2" t="s">
        <v>28</v>
      </c>
    </row>
    <row r="467" spans="1:1" x14ac:dyDescent="0.3">
      <c r="A467" s="1" t="s">
        <v>28</v>
      </c>
    </row>
    <row r="468" spans="1:1" x14ac:dyDescent="0.3">
      <c r="A468" s="2" t="s">
        <v>28</v>
      </c>
    </row>
    <row r="469" spans="1:1" x14ac:dyDescent="0.3">
      <c r="A469" s="1" t="s">
        <v>89</v>
      </c>
    </row>
    <row r="470" spans="1:1" x14ac:dyDescent="0.3">
      <c r="A470" s="2" t="s">
        <v>89</v>
      </c>
    </row>
    <row r="471" spans="1:1" x14ac:dyDescent="0.3">
      <c r="A471" s="1" t="s">
        <v>89</v>
      </c>
    </row>
    <row r="472" spans="1:1" x14ac:dyDescent="0.3">
      <c r="A472" s="2" t="s">
        <v>89</v>
      </c>
    </row>
    <row r="473" spans="1:1" x14ac:dyDescent="0.3">
      <c r="A473" s="1" t="s">
        <v>89</v>
      </c>
    </row>
    <row r="474" spans="1:1" x14ac:dyDescent="0.3">
      <c r="A474" s="2" t="s">
        <v>28</v>
      </c>
    </row>
    <row r="475" spans="1:1" x14ac:dyDescent="0.3">
      <c r="A475" s="1" t="s">
        <v>28</v>
      </c>
    </row>
    <row r="476" spans="1:1" x14ac:dyDescent="0.3">
      <c r="A476" s="2" t="s">
        <v>28</v>
      </c>
    </row>
    <row r="477" spans="1:1" x14ac:dyDescent="0.3">
      <c r="A477" s="1" t="s">
        <v>89</v>
      </c>
    </row>
    <row r="478" spans="1:1" x14ac:dyDescent="0.3">
      <c r="A478" s="2" t="s">
        <v>28</v>
      </c>
    </row>
    <row r="479" spans="1:1" x14ac:dyDescent="0.3">
      <c r="A479" s="1" t="s">
        <v>28</v>
      </c>
    </row>
    <row r="480" spans="1:1" x14ac:dyDescent="0.3">
      <c r="A480" s="2" t="s">
        <v>28</v>
      </c>
    </row>
    <row r="481" spans="1:1" x14ac:dyDescent="0.3">
      <c r="A481" s="1" t="s">
        <v>89</v>
      </c>
    </row>
    <row r="482" spans="1:1" x14ac:dyDescent="0.3">
      <c r="A482" s="2" t="s">
        <v>89</v>
      </c>
    </row>
    <row r="483" spans="1:1" x14ac:dyDescent="0.3">
      <c r="A483" s="1" t="s">
        <v>89</v>
      </c>
    </row>
    <row r="484" spans="1:1" x14ac:dyDescent="0.3">
      <c r="A484" s="2" t="s">
        <v>89</v>
      </c>
    </row>
    <row r="485" spans="1:1" x14ac:dyDescent="0.3">
      <c r="A485" s="1" t="s">
        <v>89</v>
      </c>
    </row>
    <row r="486" spans="1:1" x14ac:dyDescent="0.3">
      <c r="A486" s="2" t="s">
        <v>89</v>
      </c>
    </row>
    <row r="487" spans="1:1" x14ac:dyDescent="0.3">
      <c r="A487" s="1" t="s">
        <v>89</v>
      </c>
    </row>
    <row r="488" spans="1:1" x14ac:dyDescent="0.3">
      <c r="A488" s="2" t="s">
        <v>89</v>
      </c>
    </row>
    <row r="489" spans="1:1" x14ac:dyDescent="0.3">
      <c r="A489" s="1" t="s">
        <v>28</v>
      </c>
    </row>
    <row r="490" spans="1:1" x14ac:dyDescent="0.3">
      <c r="A490" s="2" t="s">
        <v>28</v>
      </c>
    </row>
    <row r="491" spans="1:1" x14ac:dyDescent="0.3">
      <c r="A491" s="1" t="s">
        <v>28</v>
      </c>
    </row>
    <row r="492" spans="1:1" x14ac:dyDescent="0.3">
      <c r="A492" s="2" t="s">
        <v>28</v>
      </c>
    </row>
    <row r="493" spans="1:1" x14ac:dyDescent="0.3">
      <c r="A493" s="1" t="s">
        <v>28</v>
      </c>
    </row>
    <row r="494" spans="1:1" x14ac:dyDescent="0.3">
      <c r="A494" s="2" t="s">
        <v>28</v>
      </c>
    </row>
    <row r="495" spans="1:1" x14ac:dyDescent="0.3">
      <c r="A495" s="1" t="s">
        <v>28</v>
      </c>
    </row>
    <row r="496" spans="1:1" x14ac:dyDescent="0.3">
      <c r="A496" s="2" t="s">
        <v>89</v>
      </c>
    </row>
    <row r="497" spans="1:1" x14ac:dyDescent="0.3">
      <c r="A497" s="1" t="s">
        <v>89</v>
      </c>
    </row>
    <row r="498" spans="1:1" x14ac:dyDescent="0.3">
      <c r="A498" s="2" t="s">
        <v>89</v>
      </c>
    </row>
    <row r="499" spans="1:1" x14ac:dyDescent="0.3">
      <c r="A499" s="1" t="s">
        <v>89</v>
      </c>
    </row>
    <row r="500" spans="1:1" x14ac:dyDescent="0.3">
      <c r="A500" s="2" t="s">
        <v>28</v>
      </c>
    </row>
    <row r="501" spans="1:1" x14ac:dyDescent="0.3">
      <c r="A501" s="1" t="s">
        <v>28</v>
      </c>
    </row>
    <row r="502" spans="1:1" x14ac:dyDescent="0.3">
      <c r="A502" s="2" t="s">
        <v>89</v>
      </c>
    </row>
    <row r="503" spans="1:1" x14ac:dyDescent="0.3">
      <c r="A503" s="1" t="s">
        <v>89</v>
      </c>
    </row>
    <row r="504" spans="1:1" x14ac:dyDescent="0.3">
      <c r="A504" s="2" t="s">
        <v>89</v>
      </c>
    </row>
    <row r="505" spans="1:1" x14ac:dyDescent="0.3">
      <c r="A505" s="1" t="s">
        <v>89</v>
      </c>
    </row>
    <row r="506" spans="1:1" x14ac:dyDescent="0.3">
      <c r="A506" s="2" t="s">
        <v>28</v>
      </c>
    </row>
    <row r="507" spans="1:1" x14ac:dyDescent="0.3">
      <c r="A507" s="1" t="s">
        <v>89</v>
      </c>
    </row>
    <row r="508" spans="1:1" x14ac:dyDescent="0.3">
      <c r="A508" s="2" t="s">
        <v>28</v>
      </c>
    </row>
    <row r="509" spans="1:1" x14ac:dyDescent="0.3">
      <c r="A509" s="1" t="s">
        <v>89</v>
      </c>
    </row>
    <row r="510" spans="1:1" x14ac:dyDescent="0.3">
      <c r="A510" s="2" t="s">
        <v>89</v>
      </c>
    </row>
    <row r="511" spans="1:1" x14ac:dyDescent="0.3">
      <c r="A511" s="1" t="s">
        <v>89</v>
      </c>
    </row>
    <row r="512" spans="1:1" x14ac:dyDescent="0.3">
      <c r="A512" s="2" t="s">
        <v>89</v>
      </c>
    </row>
    <row r="513" spans="1:1" x14ac:dyDescent="0.3">
      <c r="A513" s="1" t="s">
        <v>89</v>
      </c>
    </row>
    <row r="514" spans="1:1" x14ac:dyDescent="0.3">
      <c r="A514" s="2" t="s">
        <v>89</v>
      </c>
    </row>
    <row r="515" spans="1:1" x14ac:dyDescent="0.3">
      <c r="A515" s="1" t="s">
        <v>89</v>
      </c>
    </row>
    <row r="516" spans="1:1" x14ac:dyDescent="0.3">
      <c r="A516" s="2" t="s">
        <v>89</v>
      </c>
    </row>
    <row r="517" spans="1:1" x14ac:dyDescent="0.3">
      <c r="A517" s="1" t="s">
        <v>89</v>
      </c>
    </row>
    <row r="518" spans="1:1" x14ac:dyDescent="0.3">
      <c r="A518" s="2" t="s">
        <v>89</v>
      </c>
    </row>
    <row r="519" spans="1:1" x14ac:dyDescent="0.3">
      <c r="A519" s="1" t="s">
        <v>89</v>
      </c>
    </row>
    <row r="520" spans="1:1" x14ac:dyDescent="0.3">
      <c r="A520" s="2" t="s">
        <v>28</v>
      </c>
    </row>
    <row r="521" spans="1:1" x14ac:dyDescent="0.3">
      <c r="A521" s="1" t="s">
        <v>28</v>
      </c>
    </row>
    <row r="522" spans="1:1" x14ac:dyDescent="0.3">
      <c r="A522" s="2" t="s">
        <v>89</v>
      </c>
    </row>
    <row r="523" spans="1:1" x14ac:dyDescent="0.3">
      <c r="A523" s="1" t="s">
        <v>89</v>
      </c>
    </row>
    <row r="524" spans="1:1" x14ac:dyDescent="0.3">
      <c r="A524" s="2" t="s">
        <v>89</v>
      </c>
    </row>
    <row r="525" spans="1:1" x14ac:dyDescent="0.3">
      <c r="A525" s="1" t="s">
        <v>28</v>
      </c>
    </row>
    <row r="526" spans="1:1" x14ac:dyDescent="0.3">
      <c r="A526" s="2" t="s">
        <v>28</v>
      </c>
    </row>
    <row r="527" spans="1:1" x14ac:dyDescent="0.3">
      <c r="A527" s="1" t="s">
        <v>28</v>
      </c>
    </row>
    <row r="528" spans="1:1" x14ac:dyDescent="0.3">
      <c r="A528" s="2" t="s">
        <v>89</v>
      </c>
    </row>
    <row r="529" spans="1:1" x14ac:dyDescent="0.3">
      <c r="A529" s="1" t="s">
        <v>89</v>
      </c>
    </row>
    <row r="530" spans="1:1" x14ac:dyDescent="0.3">
      <c r="A530" s="2" t="s">
        <v>28</v>
      </c>
    </row>
    <row r="531" spans="1:1" x14ac:dyDescent="0.3">
      <c r="A531" s="1" t="s">
        <v>28</v>
      </c>
    </row>
    <row r="532" spans="1:1" x14ac:dyDescent="0.3">
      <c r="A532" s="2" t="s">
        <v>28</v>
      </c>
    </row>
    <row r="533" spans="1:1" x14ac:dyDescent="0.3">
      <c r="A533" s="1" t="s">
        <v>28</v>
      </c>
    </row>
    <row r="534" spans="1:1" x14ac:dyDescent="0.3">
      <c r="A534" s="2" t="s">
        <v>28</v>
      </c>
    </row>
    <row r="535" spans="1:1" x14ac:dyDescent="0.3">
      <c r="A535" s="1" t="s">
        <v>28</v>
      </c>
    </row>
    <row r="536" spans="1:1" x14ac:dyDescent="0.3">
      <c r="A536" s="2" t="s">
        <v>89</v>
      </c>
    </row>
    <row r="537" spans="1:1" x14ac:dyDescent="0.3">
      <c r="A537" s="1" t="s">
        <v>89</v>
      </c>
    </row>
    <row r="538" spans="1:1" x14ac:dyDescent="0.3">
      <c r="A538" s="2" t="s">
        <v>89</v>
      </c>
    </row>
    <row r="539" spans="1:1" x14ac:dyDescent="0.3">
      <c r="A539" s="1" t="s">
        <v>28</v>
      </c>
    </row>
    <row r="540" spans="1:1" x14ac:dyDescent="0.3">
      <c r="A540" s="2" t="s">
        <v>89</v>
      </c>
    </row>
    <row r="541" spans="1:1" x14ac:dyDescent="0.3">
      <c r="A541" s="1" t="s">
        <v>89</v>
      </c>
    </row>
    <row r="542" spans="1:1" x14ac:dyDescent="0.3">
      <c r="A542" s="2" t="s">
        <v>89</v>
      </c>
    </row>
    <row r="543" spans="1:1" x14ac:dyDescent="0.3">
      <c r="A543" s="1" t="s">
        <v>89</v>
      </c>
    </row>
    <row r="544" spans="1:1" x14ac:dyDescent="0.3">
      <c r="A544" s="2" t="s">
        <v>89</v>
      </c>
    </row>
    <row r="545" spans="1:1" x14ac:dyDescent="0.3">
      <c r="A545" s="1" t="s">
        <v>89</v>
      </c>
    </row>
    <row r="546" spans="1:1" x14ac:dyDescent="0.3">
      <c r="A546" s="2" t="s">
        <v>89</v>
      </c>
    </row>
    <row r="547" spans="1:1" x14ac:dyDescent="0.3">
      <c r="A547" s="1" t="s">
        <v>89</v>
      </c>
    </row>
    <row r="548" spans="1:1" x14ac:dyDescent="0.3">
      <c r="A548" s="2" t="s">
        <v>89</v>
      </c>
    </row>
    <row r="549" spans="1:1" x14ac:dyDescent="0.3">
      <c r="A549" s="1" t="s">
        <v>89</v>
      </c>
    </row>
    <row r="550" spans="1:1" x14ac:dyDescent="0.3">
      <c r="A550" s="2" t="s">
        <v>28</v>
      </c>
    </row>
    <row r="551" spans="1:1" x14ac:dyDescent="0.3">
      <c r="A551" s="1" t="s">
        <v>28</v>
      </c>
    </row>
    <row r="552" spans="1:1" x14ac:dyDescent="0.3">
      <c r="A552" s="2" t="s">
        <v>89</v>
      </c>
    </row>
    <row r="553" spans="1:1" x14ac:dyDescent="0.3">
      <c r="A553" s="1" t="s">
        <v>89</v>
      </c>
    </row>
    <row r="554" spans="1:1" x14ac:dyDescent="0.3">
      <c r="A554" s="2" t="s">
        <v>28</v>
      </c>
    </row>
    <row r="555" spans="1:1" x14ac:dyDescent="0.3">
      <c r="A555" s="1" t="s">
        <v>28</v>
      </c>
    </row>
    <row r="556" spans="1:1" x14ac:dyDescent="0.3">
      <c r="A556" s="2" t="s">
        <v>89</v>
      </c>
    </row>
    <row r="557" spans="1:1" x14ac:dyDescent="0.3">
      <c r="A557" s="1" t="s">
        <v>89</v>
      </c>
    </row>
    <row r="558" spans="1:1" x14ac:dyDescent="0.3">
      <c r="A558" s="2" t="s">
        <v>89</v>
      </c>
    </row>
    <row r="559" spans="1:1" x14ac:dyDescent="0.3">
      <c r="A559" s="1" t="s">
        <v>28</v>
      </c>
    </row>
    <row r="560" spans="1:1" x14ac:dyDescent="0.3">
      <c r="A560" s="2" t="s">
        <v>28</v>
      </c>
    </row>
    <row r="561" spans="1:1" x14ac:dyDescent="0.3">
      <c r="A561" s="1" t="s">
        <v>89</v>
      </c>
    </row>
    <row r="562" spans="1:1" x14ac:dyDescent="0.3">
      <c r="A562" s="2" t="s">
        <v>89</v>
      </c>
    </row>
    <row r="563" spans="1:1" x14ac:dyDescent="0.3">
      <c r="A563" s="1" t="s">
        <v>28</v>
      </c>
    </row>
    <row r="564" spans="1:1" x14ac:dyDescent="0.3">
      <c r="A564" s="2" t="s">
        <v>89</v>
      </c>
    </row>
    <row r="565" spans="1:1" x14ac:dyDescent="0.3">
      <c r="A565" s="1" t="s">
        <v>89</v>
      </c>
    </row>
    <row r="566" spans="1:1" x14ac:dyDescent="0.3">
      <c r="A566" s="2" t="s">
        <v>89</v>
      </c>
    </row>
    <row r="567" spans="1:1" x14ac:dyDescent="0.3">
      <c r="A567" s="1" t="s">
        <v>89</v>
      </c>
    </row>
    <row r="568" spans="1:1" x14ac:dyDescent="0.3">
      <c r="A568" s="2" t="s">
        <v>89</v>
      </c>
    </row>
    <row r="569" spans="1:1" x14ac:dyDescent="0.3">
      <c r="A569" s="1" t="s">
        <v>28</v>
      </c>
    </row>
    <row r="570" spans="1:1" x14ac:dyDescent="0.3">
      <c r="A570" s="2" t="s">
        <v>89</v>
      </c>
    </row>
    <row r="571" spans="1:1" x14ac:dyDescent="0.3">
      <c r="A571" s="1" t="s">
        <v>89</v>
      </c>
    </row>
    <row r="572" spans="1:1" x14ac:dyDescent="0.3">
      <c r="A572" s="2" t="s">
        <v>28</v>
      </c>
    </row>
    <row r="573" spans="1:1" x14ac:dyDescent="0.3">
      <c r="A573" s="1" t="s">
        <v>89</v>
      </c>
    </row>
    <row r="574" spans="1:1" x14ac:dyDescent="0.3">
      <c r="A574" s="2" t="s">
        <v>89</v>
      </c>
    </row>
    <row r="575" spans="1:1" x14ac:dyDescent="0.3">
      <c r="A575" s="1" t="s">
        <v>89</v>
      </c>
    </row>
    <row r="576" spans="1:1" x14ac:dyDescent="0.3">
      <c r="A576" s="2" t="s">
        <v>28</v>
      </c>
    </row>
    <row r="577" spans="1:1" x14ac:dyDescent="0.3">
      <c r="A577" s="1" t="s">
        <v>89</v>
      </c>
    </row>
    <row r="578" spans="1:1" x14ac:dyDescent="0.3">
      <c r="A578" s="2" t="s">
        <v>89</v>
      </c>
    </row>
    <row r="579" spans="1:1" x14ac:dyDescent="0.3">
      <c r="A579" s="1" t="s">
        <v>89</v>
      </c>
    </row>
    <row r="580" spans="1:1" x14ac:dyDescent="0.3">
      <c r="A580" s="2" t="s">
        <v>89</v>
      </c>
    </row>
    <row r="581" spans="1:1" x14ac:dyDescent="0.3">
      <c r="A581" s="1" t="s">
        <v>89</v>
      </c>
    </row>
    <row r="582" spans="1:1" x14ac:dyDescent="0.3">
      <c r="A582" s="2" t="s">
        <v>89</v>
      </c>
    </row>
    <row r="583" spans="1:1" x14ac:dyDescent="0.3">
      <c r="A583" s="1" t="s">
        <v>89</v>
      </c>
    </row>
    <row r="584" spans="1:1" x14ac:dyDescent="0.3">
      <c r="A584" s="2" t="s">
        <v>28</v>
      </c>
    </row>
    <row r="585" spans="1:1" x14ac:dyDescent="0.3">
      <c r="A585" s="1" t="s">
        <v>89</v>
      </c>
    </row>
    <row r="586" spans="1:1" x14ac:dyDescent="0.3">
      <c r="A586" s="2" t="s">
        <v>89</v>
      </c>
    </row>
    <row r="587" spans="1:1" x14ac:dyDescent="0.3">
      <c r="A587" s="1" t="s">
        <v>89</v>
      </c>
    </row>
    <row r="588" spans="1:1" x14ac:dyDescent="0.3">
      <c r="A588" s="2" t="s">
        <v>28</v>
      </c>
    </row>
    <row r="589" spans="1:1" x14ac:dyDescent="0.3">
      <c r="A589" s="1" t="s">
        <v>89</v>
      </c>
    </row>
    <row r="590" spans="1:1" x14ac:dyDescent="0.3">
      <c r="A590" s="2" t="s">
        <v>28</v>
      </c>
    </row>
    <row r="591" spans="1:1" x14ac:dyDescent="0.3">
      <c r="A591" s="1" t="s">
        <v>28</v>
      </c>
    </row>
    <row r="592" spans="1:1" x14ac:dyDescent="0.3">
      <c r="A592" s="2" t="s">
        <v>28</v>
      </c>
    </row>
    <row r="593" spans="1:1" x14ac:dyDescent="0.3">
      <c r="A593" s="1" t="s">
        <v>28</v>
      </c>
    </row>
    <row r="594" spans="1:1" x14ac:dyDescent="0.3">
      <c r="A594" s="2" t="s">
        <v>28</v>
      </c>
    </row>
    <row r="595" spans="1:1" x14ac:dyDescent="0.3">
      <c r="A595" s="1" t="s">
        <v>89</v>
      </c>
    </row>
    <row r="596" spans="1:1" x14ac:dyDescent="0.3">
      <c r="A596" s="2" t="s">
        <v>89</v>
      </c>
    </row>
    <row r="597" spans="1:1" x14ac:dyDescent="0.3">
      <c r="A597" s="1" t="s">
        <v>28</v>
      </c>
    </row>
    <row r="598" spans="1:1" x14ac:dyDescent="0.3">
      <c r="A598" s="2" t="s">
        <v>89</v>
      </c>
    </row>
    <row r="599" spans="1:1" x14ac:dyDescent="0.3">
      <c r="A599" s="1" t="s">
        <v>89</v>
      </c>
    </row>
    <row r="600" spans="1:1" x14ac:dyDescent="0.3">
      <c r="A600" s="2" t="s">
        <v>28</v>
      </c>
    </row>
    <row r="601" spans="1:1" x14ac:dyDescent="0.3">
      <c r="A601" s="1" t="s">
        <v>28</v>
      </c>
    </row>
    <row r="602" spans="1:1" x14ac:dyDescent="0.3">
      <c r="A602" s="2" t="s">
        <v>28</v>
      </c>
    </row>
    <row r="603" spans="1:1" x14ac:dyDescent="0.3">
      <c r="A603" s="1" t="s">
        <v>28</v>
      </c>
    </row>
    <row r="604" spans="1:1" x14ac:dyDescent="0.3">
      <c r="A604" s="2" t="s">
        <v>28</v>
      </c>
    </row>
    <row r="605" spans="1:1" x14ac:dyDescent="0.3">
      <c r="A605" s="1" t="s">
        <v>28</v>
      </c>
    </row>
    <row r="606" spans="1:1" x14ac:dyDescent="0.3">
      <c r="A606" s="2" t="s">
        <v>28</v>
      </c>
    </row>
    <row r="607" spans="1:1" x14ac:dyDescent="0.3">
      <c r="A607" s="1" t="s">
        <v>89</v>
      </c>
    </row>
    <row r="608" spans="1:1" x14ac:dyDescent="0.3">
      <c r="A608" s="2" t="s">
        <v>89</v>
      </c>
    </row>
    <row r="609" spans="1:1" x14ac:dyDescent="0.3">
      <c r="A609" s="1" t="s">
        <v>28</v>
      </c>
    </row>
    <row r="610" spans="1:1" x14ac:dyDescent="0.3">
      <c r="A610" s="2" t="s">
        <v>28</v>
      </c>
    </row>
    <row r="611" spans="1:1" x14ac:dyDescent="0.3">
      <c r="A611" s="1" t="s">
        <v>28</v>
      </c>
    </row>
    <row r="612" spans="1:1" x14ac:dyDescent="0.3">
      <c r="A612" s="2" t="s">
        <v>28</v>
      </c>
    </row>
    <row r="613" spans="1:1" x14ac:dyDescent="0.3">
      <c r="A613" s="1" t="s">
        <v>28</v>
      </c>
    </row>
    <row r="614" spans="1:1" x14ac:dyDescent="0.3">
      <c r="A614" s="2" t="s">
        <v>28</v>
      </c>
    </row>
    <row r="615" spans="1:1" x14ac:dyDescent="0.3">
      <c r="A615" s="1" t="s">
        <v>89</v>
      </c>
    </row>
    <row r="616" spans="1:1" x14ac:dyDescent="0.3">
      <c r="A616" s="2" t="s">
        <v>28</v>
      </c>
    </row>
    <row r="617" spans="1:1" x14ac:dyDescent="0.3">
      <c r="A617" s="1" t="s">
        <v>28</v>
      </c>
    </row>
    <row r="618" spans="1:1" x14ac:dyDescent="0.3">
      <c r="A618" s="2" t="s">
        <v>89</v>
      </c>
    </row>
    <row r="619" spans="1:1" x14ac:dyDescent="0.3">
      <c r="A619" s="1" t="s">
        <v>28</v>
      </c>
    </row>
    <row r="620" spans="1:1" x14ac:dyDescent="0.3">
      <c r="A620" s="2" t="s">
        <v>28</v>
      </c>
    </row>
    <row r="621" spans="1:1" x14ac:dyDescent="0.3">
      <c r="A621" s="1" t="s">
        <v>28</v>
      </c>
    </row>
    <row r="622" spans="1:1" x14ac:dyDescent="0.3">
      <c r="A622" s="2" t="s">
        <v>28</v>
      </c>
    </row>
    <row r="623" spans="1:1" x14ac:dyDescent="0.3">
      <c r="A623" s="1" t="s">
        <v>89</v>
      </c>
    </row>
    <row r="624" spans="1:1" x14ac:dyDescent="0.3">
      <c r="A624" s="2" t="s">
        <v>28</v>
      </c>
    </row>
    <row r="625" spans="1:1" x14ac:dyDescent="0.3">
      <c r="A625" s="1" t="s">
        <v>28</v>
      </c>
    </row>
    <row r="626" spans="1:1" x14ac:dyDescent="0.3">
      <c r="A626" s="2" t="s">
        <v>28</v>
      </c>
    </row>
    <row r="627" spans="1:1" x14ac:dyDescent="0.3">
      <c r="A627" s="1" t="s">
        <v>28</v>
      </c>
    </row>
    <row r="628" spans="1:1" x14ac:dyDescent="0.3">
      <c r="A628" s="2" t="s">
        <v>28</v>
      </c>
    </row>
    <row r="629" spans="1:1" x14ac:dyDescent="0.3">
      <c r="A629" s="1" t="s">
        <v>89</v>
      </c>
    </row>
    <row r="630" spans="1:1" x14ac:dyDescent="0.3">
      <c r="A630" s="2" t="s">
        <v>28</v>
      </c>
    </row>
    <row r="631" spans="1:1" x14ac:dyDescent="0.3">
      <c r="A631" s="1" t="s">
        <v>28</v>
      </c>
    </row>
    <row r="632" spans="1:1" x14ac:dyDescent="0.3">
      <c r="A632" s="2" t="s">
        <v>28</v>
      </c>
    </row>
    <row r="633" spans="1:1" x14ac:dyDescent="0.3">
      <c r="A633" s="1" t="s">
        <v>28</v>
      </c>
    </row>
    <row r="634" spans="1:1" x14ac:dyDescent="0.3">
      <c r="A634" s="2" t="s">
        <v>89</v>
      </c>
    </row>
    <row r="635" spans="1:1" x14ac:dyDescent="0.3">
      <c r="A635" s="1" t="s">
        <v>89</v>
      </c>
    </row>
    <row r="636" spans="1:1" x14ac:dyDescent="0.3">
      <c r="A636" s="2" t="s">
        <v>89</v>
      </c>
    </row>
    <row r="637" spans="1:1" x14ac:dyDescent="0.3">
      <c r="A637" s="1" t="s">
        <v>28</v>
      </c>
    </row>
    <row r="638" spans="1:1" x14ac:dyDescent="0.3">
      <c r="A638" s="2" t="s">
        <v>28</v>
      </c>
    </row>
    <row r="639" spans="1:1" x14ac:dyDescent="0.3">
      <c r="A639" s="1" t="s">
        <v>89</v>
      </c>
    </row>
    <row r="640" spans="1:1" x14ac:dyDescent="0.3">
      <c r="A640" s="2" t="s">
        <v>28</v>
      </c>
    </row>
    <row r="641" spans="1:1" x14ac:dyDescent="0.3">
      <c r="A641" s="1" t="s">
        <v>28</v>
      </c>
    </row>
    <row r="642" spans="1:1" x14ac:dyDescent="0.3">
      <c r="A642" s="2" t="s">
        <v>28</v>
      </c>
    </row>
    <row r="643" spans="1:1" x14ac:dyDescent="0.3">
      <c r="A643" s="1" t="s">
        <v>28</v>
      </c>
    </row>
    <row r="644" spans="1:1" x14ac:dyDescent="0.3">
      <c r="A644" s="2" t="s">
        <v>89</v>
      </c>
    </row>
    <row r="645" spans="1:1" x14ac:dyDescent="0.3">
      <c r="A645" s="1" t="s">
        <v>89</v>
      </c>
    </row>
    <row r="646" spans="1:1" x14ac:dyDescent="0.3">
      <c r="A646" s="2" t="s">
        <v>89</v>
      </c>
    </row>
    <row r="647" spans="1:1" x14ac:dyDescent="0.3">
      <c r="A647" s="1" t="s">
        <v>89</v>
      </c>
    </row>
    <row r="648" spans="1:1" x14ac:dyDescent="0.3">
      <c r="A648" s="2" t="s">
        <v>28</v>
      </c>
    </row>
    <row r="649" spans="1:1" x14ac:dyDescent="0.3">
      <c r="A649" s="1" t="s">
        <v>28</v>
      </c>
    </row>
    <row r="650" spans="1:1" x14ac:dyDescent="0.3">
      <c r="A650" s="2" t="s">
        <v>28</v>
      </c>
    </row>
    <row r="651" spans="1:1" x14ac:dyDescent="0.3">
      <c r="A651" s="1" t="s">
        <v>28</v>
      </c>
    </row>
    <row r="652" spans="1:1" x14ac:dyDescent="0.3">
      <c r="A652" s="2" t="s">
        <v>28</v>
      </c>
    </row>
    <row r="653" spans="1:1" x14ac:dyDescent="0.3">
      <c r="A653" s="1" t="s">
        <v>28</v>
      </c>
    </row>
    <row r="654" spans="1:1" x14ac:dyDescent="0.3">
      <c r="A654" s="2" t="s">
        <v>28</v>
      </c>
    </row>
    <row r="655" spans="1:1" x14ac:dyDescent="0.3">
      <c r="A655" s="1" t="s">
        <v>28</v>
      </c>
    </row>
    <row r="656" spans="1:1" x14ac:dyDescent="0.3">
      <c r="A656" s="2" t="s">
        <v>28</v>
      </c>
    </row>
    <row r="657" spans="1:1" x14ac:dyDescent="0.3">
      <c r="A657" s="1" t="s">
        <v>28</v>
      </c>
    </row>
    <row r="658" spans="1:1" x14ac:dyDescent="0.3">
      <c r="A658" s="2" t="s">
        <v>28</v>
      </c>
    </row>
    <row r="659" spans="1:1" x14ac:dyDescent="0.3">
      <c r="A659" s="1" t="s">
        <v>28</v>
      </c>
    </row>
    <row r="660" spans="1:1" x14ac:dyDescent="0.3">
      <c r="A660" s="2" t="s">
        <v>28</v>
      </c>
    </row>
    <row r="661" spans="1:1" x14ac:dyDescent="0.3">
      <c r="A661" s="1" t="s">
        <v>89</v>
      </c>
    </row>
    <row r="662" spans="1:1" x14ac:dyDescent="0.3">
      <c r="A662" s="2" t="s">
        <v>28</v>
      </c>
    </row>
    <row r="663" spans="1:1" x14ac:dyDescent="0.3">
      <c r="A663" s="1" t="s">
        <v>28</v>
      </c>
    </row>
    <row r="664" spans="1:1" x14ac:dyDescent="0.3">
      <c r="A664" s="2" t="s">
        <v>89</v>
      </c>
    </row>
    <row r="665" spans="1:1" x14ac:dyDescent="0.3">
      <c r="A665" s="1" t="s">
        <v>89</v>
      </c>
    </row>
    <row r="666" spans="1:1" x14ac:dyDescent="0.3">
      <c r="A666" s="2" t="s">
        <v>28</v>
      </c>
    </row>
    <row r="667" spans="1:1" x14ac:dyDescent="0.3">
      <c r="A667" s="1" t="s">
        <v>28</v>
      </c>
    </row>
    <row r="668" spans="1:1" x14ac:dyDescent="0.3">
      <c r="A668" s="2" t="s">
        <v>28</v>
      </c>
    </row>
    <row r="669" spans="1:1" x14ac:dyDescent="0.3">
      <c r="A669" s="1" t="s">
        <v>28</v>
      </c>
    </row>
    <row r="670" spans="1:1" x14ac:dyDescent="0.3">
      <c r="A670" s="2" t="s">
        <v>28</v>
      </c>
    </row>
    <row r="671" spans="1:1" x14ac:dyDescent="0.3">
      <c r="A671" s="1" t="s">
        <v>28</v>
      </c>
    </row>
    <row r="672" spans="1:1" x14ac:dyDescent="0.3">
      <c r="A672" s="2" t="s">
        <v>28</v>
      </c>
    </row>
    <row r="673" spans="1:1" x14ac:dyDescent="0.3">
      <c r="A673" s="1" t="s">
        <v>89</v>
      </c>
    </row>
    <row r="674" spans="1:1" x14ac:dyDescent="0.3">
      <c r="A674" s="2" t="s">
        <v>89</v>
      </c>
    </row>
    <row r="675" spans="1:1" x14ac:dyDescent="0.3">
      <c r="A675" s="1" t="s">
        <v>28</v>
      </c>
    </row>
    <row r="676" spans="1:1" x14ac:dyDescent="0.3">
      <c r="A676" s="2" t="s">
        <v>28</v>
      </c>
    </row>
    <row r="677" spans="1:1" x14ac:dyDescent="0.3">
      <c r="A677" s="1" t="s">
        <v>28</v>
      </c>
    </row>
    <row r="678" spans="1:1" x14ac:dyDescent="0.3">
      <c r="A678" s="2" t="s">
        <v>28</v>
      </c>
    </row>
    <row r="679" spans="1:1" x14ac:dyDescent="0.3">
      <c r="A679" s="1" t="s">
        <v>28</v>
      </c>
    </row>
    <row r="680" spans="1:1" x14ac:dyDescent="0.3">
      <c r="A680" s="2" t="s">
        <v>28</v>
      </c>
    </row>
    <row r="681" spans="1:1" x14ac:dyDescent="0.3">
      <c r="A681" s="1" t="s">
        <v>28</v>
      </c>
    </row>
    <row r="682" spans="1:1" x14ac:dyDescent="0.3">
      <c r="A682" s="2" t="s">
        <v>28</v>
      </c>
    </row>
    <row r="683" spans="1:1" x14ac:dyDescent="0.3">
      <c r="A683" s="1" t="s">
        <v>28</v>
      </c>
    </row>
    <row r="684" spans="1:1" x14ac:dyDescent="0.3">
      <c r="A684" s="2" t="s">
        <v>28</v>
      </c>
    </row>
    <row r="685" spans="1:1" x14ac:dyDescent="0.3">
      <c r="A685" s="1" t="s">
        <v>28</v>
      </c>
    </row>
    <row r="686" spans="1:1" x14ac:dyDescent="0.3">
      <c r="A686" s="2" t="s">
        <v>28</v>
      </c>
    </row>
    <row r="687" spans="1:1" x14ac:dyDescent="0.3">
      <c r="A687" s="1" t="s">
        <v>28</v>
      </c>
    </row>
    <row r="688" spans="1:1" x14ac:dyDescent="0.3">
      <c r="A688" s="2" t="s">
        <v>28</v>
      </c>
    </row>
    <row r="689" spans="1:1" x14ac:dyDescent="0.3">
      <c r="A689" s="1" t="s">
        <v>28</v>
      </c>
    </row>
    <row r="690" spans="1:1" x14ac:dyDescent="0.3">
      <c r="A690" s="2" t="s">
        <v>28</v>
      </c>
    </row>
    <row r="691" spans="1:1" x14ac:dyDescent="0.3">
      <c r="A691" s="1" t="s">
        <v>28</v>
      </c>
    </row>
    <row r="692" spans="1:1" x14ac:dyDescent="0.3">
      <c r="A692" s="2" t="s">
        <v>28</v>
      </c>
    </row>
    <row r="693" spans="1:1" x14ac:dyDescent="0.3">
      <c r="A693" s="1" t="s">
        <v>89</v>
      </c>
    </row>
    <row r="694" spans="1:1" x14ac:dyDescent="0.3">
      <c r="A694" s="2" t="s">
        <v>28</v>
      </c>
    </row>
    <row r="695" spans="1:1" x14ac:dyDescent="0.3">
      <c r="A695" s="1" t="s">
        <v>28</v>
      </c>
    </row>
    <row r="696" spans="1:1" x14ac:dyDescent="0.3">
      <c r="A696" s="2" t="s">
        <v>28</v>
      </c>
    </row>
    <row r="697" spans="1:1" x14ac:dyDescent="0.3">
      <c r="A697" s="1" t="s">
        <v>89</v>
      </c>
    </row>
    <row r="698" spans="1:1" x14ac:dyDescent="0.3">
      <c r="A698" s="2" t="s">
        <v>28</v>
      </c>
    </row>
    <row r="699" spans="1:1" x14ac:dyDescent="0.3">
      <c r="A699" s="1" t="s">
        <v>28</v>
      </c>
    </row>
    <row r="700" spans="1:1" x14ac:dyDescent="0.3">
      <c r="A700" s="2" t="s">
        <v>28</v>
      </c>
    </row>
    <row r="701" spans="1:1" x14ac:dyDescent="0.3">
      <c r="A701" s="1" t="s">
        <v>89</v>
      </c>
    </row>
    <row r="702" spans="1:1" x14ac:dyDescent="0.3">
      <c r="A702" s="2" t="s">
        <v>28</v>
      </c>
    </row>
    <row r="703" spans="1:1" x14ac:dyDescent="0.3">
      <c r="A703" s="1" t="s">
        <v>28</v>
      </c>
    </row>
    <row r="704" spans="1:1" x14ac:dyDescent="0.3">
      <c r="A704" s="2" t="s">
        <v>28</v>
      </c>
    </row>
    <row r="705" spans="1:1" x14ac:dyDescent="0.3">
      <c r="A705" s="1" t="s">
        <v>28</v>
      </c>
    </row>
    <row r="706" spans="1:1" x14ac:dyDescent="0.3">
      <c r="A706" s="2" t="s">
        <v>28</v>
      </c>
    </row>
    <row r="707" spans="1:1" x14ac:dyDescent="0.3">
      <c r="A707" s="1" t="s">
        <v>28</v>
      </c>
    </row>
    <row r="708" spans="1:1" x14ac:dyDescent="0.3">
      <c r="A708" s="2" t="s">
        <v>28</v>
      </c>
    </row>
    <row r="709" spans="1:1" x14ac:dyDescent="0.3">
      <c r="A709" s="1" t="s">
        <v>28</v>
      </c>
    </row>
    <row r="710" spans="1:1" x14ac:dyDescent="0.3">
      <c r="A710" s="2" t="s">
        <v>89</v>
      </c>
    </row>
    <row r="711" spans="1:1" x14ac:dyDescent="0.3">
      <c r="A711" s="1" t="s">
        <v>89</v>
      </c>
    </row>
    <row r="712" spans="1:1" x14ac:dyDescent="0.3">
      <c r="A712" s="2" t="s">
        <v>28</v>
      </c>
    </row>
    <row r="713" spans="1:1" x14ac:dyDescent="0.3">
      <c r="A713" s="1" t="s">
        <v>89</v>
      </c>
    </row>
    <row r="714" spans="1:1" x14ac:dyDescent="0.3">
      <c r="A714" s="2" t="s">
        <v>89</v>
      </c>
    </row>
    <row r="715" spans="1:1" x14ac:dyDescent="0.3">
      <c r="A715" s="1" t="s">
        <v>89</v>
      </c>
    </row>
    <row r="716" spans="1:1" x14ac:dyDescent="0.3">
      <c r="A716" s="2" t="s">
        <v>28</v>
      </c>
    </row>
    <row r="717" spans="1:1" x14ac:dyDescent="0.3">
      <c r="A717" s="1" t="s">
        <v>28</v>
      </c>
    </row>
    <row r="718" spans="1:1" x14ac:dyDescent="0.3">
      <c r="A718" s="2" t="s">
        <v>89</v>
      </c>
    </row>
    <row r="719" spans="1:1" x14ac:dyDescent="0.3">
      <c r="A719" s="1" t="s">
        <v>89</v>
      </c>
    </row>
    <row r="720" spans="1:1" x14ac:dyDescent="0.3">
      <c r="A720" s="2" t="s">
        <v>89</v>
      </c>
    </row>
    <row r="721" spans="1:1" x14ac:dyDescent="0.3">
      <c r="A721" s="1" t="s">
        <v>28</v>
      </c>
    </row>
    <row r="722" spans="1:1" x14ac:dyDescent="0.3">
      <c r="A722" s="2" t="s">
        <v>28</v>
      </c>
    </row>
    <row r="723" spans="1:1" x14ac:dyDescent="0.3">
      <c r="A723" s="1" t="s">
        <v>28</v>
      </c>
    </row>
    <row r="724" spans="1:1" x14ac:dyDescent="0.3">
      <c r="A724" s="2" t="s">
        <v>28</v>
      </c>
    </row>
    <row r="725" spans="1:1" x14ac:dyDescent="0.3">
      <c r="A725" s="1" t="s">
        <v>89</v>
      </c>
    </row>
    <row r="726" spans="1:1" x14ac:dyDescent="0.3">
      <c r="A726" s="2" t="s">
        <v>89</v>
      </c>
    </row>
    <row r="727" spans="1:1" x14ac:dyDescent="0.3">
      <c r="A727" s="1" t="s">
        <v>89</v>
      </c>
    </row>
    <row r="728" spans="1:1" x14ac:dyDescent="0.3">
      <c r="A728" s="2" t="s">
        <v>28</v>
      </c>
    </row>
    <row r="729" spans="1:1" x14ac:dyDescent="0.3">
      <c r="A729" s="1" t="s">
        <v>28</v>
      </c>
    </row>
    <row r="730" spans="1:1" x14ac:dyDescent="0.3">
      <c r="A730" s="2" t="s">
        <v>89</v>
      </c>
    </row>
    <row r="731" spans="1:1" x14ac:dyDescent="0.3">
      <c r="A731" s="1" t="s">
        <v>28</v>
      </c>
    </row>
    <row r="732" spans="1:1" x14ac:dyDescent="0.3">
      <c r="A732" s="2" t="s">
        <v>28</v>
      </c>
    </row>
    <row r="733" spans="1:1" x14ac:dyDescent="0.3">
      <c r="A733" s="1" t="s">
        <v>89</v>
      </c>
    </row>
    <row r="734" spans="1:1" x14ac:dyDescent="0.3">
      <c r="A734" s="2" t="s">
        <v>28</v>
      </c>
    </row>
    <row r="735" spans="1:1" x14ac:dyDescent="0.3">
      <c r="A735" s="1" t="s">
        <v>89</v>
      </c>
    </row>
    <row r="736" spans="1:1" x14ac:dyDescent="0.3">
      <c r="A736" s="2" t="s">
        <v>28</v>
      </c>
    </row>
    <row r="737" spans="1:1" x14ac:dyDescent="0.3">
      <c r="A737" s="1" t="s">
        <v>28</v>
      </c>
    </row>
    <row r="738" spans="1:1" x14ac:dyDescent="0.3">
      <c r="A738" s="2" t="s">
        <v>28</v>
      </c>
    </row>
    <row r="739" spans="1:1" x14ac:dyDescent="0.3">
      <c r="A739" s="1" t="s">
        <v>28</v>
      </c>
    </row>
    <row r="740" spans="1:1" x14ac:dyDescent="0.3">
      <c r="A740" s="2" t="s">
        <v>28</v>
      </c>
    </row>
    <row r="741" spans="1:1" x14ac:dyDescent="0.3">
      <c r="A741" s="1" t="s">
        <v>89</v>
      </c>
    </row>
    <row r="742" spans="1:1" x14ac:dyDescent="0.3">
      <c r="A742" s="2" t="s">
        <v>28</v>
      </c>
    </row>
    <row r="743" spans="1:1" x14ac:dyDescent="0.3">
      <c r="A743" s="1" t="s">
        <v>28</v>
      </c>
    </row>
    <row r="744" spans="1:1" x14ac:dyDescent="0.3">
      <c r="A744" s="2" t="s">
        <v>28</v>
      </c>
    </row>
    <row r="745" spans="1:1" x14ac:dyDescent="0.3">
      <c r="A745" s="1" t="s">
        <v>28</v>
      </c>
    </row>
    <row r="746" spans="1:1" x14ac:dyDescent="0.3">
      <c r="A746" s="2" t="s">
        <v>28</v>
      </c>
    </row>
    <row r="747" spans="1:1" x14ac:dyDescent="0.3">
      <c r="A747" s="1" t="s">
        <v>28</v>
      </c>
    </row>
    <row r="748" spans="1:1" x14ac:dyDescent="0.3">
      <c r="A748" s="2" t="s">
        <v>28</v>
      </c>
    </row>
    <row r="749" spans="1:1" x14ac:dyDescent="0.3">
      <c r="A749" s="1" t="s">
        <v>28</v>
      </c>
    </row>
    <row r="750" spans="1:1" x14ac:dyDescent="0.3">
      <c r="A750" s="2" t="s">
        <v>89</v>
      </c>
    </row>
    <row r="751" spans="1:1" x14ac:dyDescent="0.3">
      <c r="A751" s="1" t="s">
        <v>28</v>
      </c>
    </row>
    <row r="752" spans="1:1" x14ac:dyDescent="0.3">
      <c r="A752" s="2" t="s">
        <v>28</v>
      </c>
    </row>
    <row r="753" spans="1:1" x14ac:dyDescent="0.3">
      <c r="A753" s="1" t="s">
        <v>28</v>
      </c>
    </row>
    <row r="754" spans="1:1" x14ac:dyDescent="0.3">
      <c r="A754" s="2" t="s">
        <v>28</v>
      </c>
    </row>
    <row r="755" spans="1:1" x14ac:dyDescent="0.3">
      <c r="A755" s="1" t="s">
        <v>28</v>
      </c>
    </row>
    <row r="756" spans="1:1" x14ac:dyDescent="0.3">
      <c r="A756" s="2" t="s">
        <v>89</v>
      </c>
    </row>
    <row r="757" spans="1:1" x14ac:dyDescent="0.3">
      <c r="A757" s="1" t="s">
        <v>89</v>
      </c>
    </row>
    <row r="758" spans="1:1" x14ac:dyDescent="0.3">
      <c r="A758" s="2" t="s">
        <v>28</v>
      </c>
    </row>
    <row r="759" spans="1:1" x14ac:dyDescent="0.3">
      <c r="A759" s="1" t="s">
        <v>28</v>
      </c>
    </row>
    <row r="760" spans="1:1" x14ac:dyDescent="0.3">
      <c r="A760" s="2" t="s">
        <v>28</v>
      </c>
    </row>
    <row r="761" spans="1:1" x14ac:dyDescent="0.3">
      <c r="A761" s="1" t="s">
        <v>28</v>
      </c>
    </row>
    <row r="762" spans="1:1" x14ac:dyDescent="0.3">
      <c r="A762" s="2" t="s">
        <v>28</v>
      </c>
    </row>
    <row r="763" spans="1:1" x14ac:dyDescent="0.3">
      <c r="A763" s="1" t="s">
        <v>28</v>
      </c>
    </row>
    <row r="764" spans="1:1" x14ac:dyDescent="0.3">
      <c r="A764" s="2" t="s">
        <v>28</v>
      </c>
    </row>
    <row r="765" spans="1:1" x14ac:dyDescent="0.3">
      <c r="A765" s="1" t="s">
        <v>28</v>
      </c>
    </row>
    <row r="766" spans="1:1" x14ac:dyDescent="0.3">
      <c r="A766" s="2" t="s">
        <v>28</v>
      </c>
    </row>
    <row r="767" spans="1:1" x14ac:dyDescent="0.3">
      <c r="A767" s="1" t="s">
        <v>28</v>
      </c>
    </row>
    <row r="768" spans="1:1" x14ac:dyDescent="0.3">
      <c r="A768" s="2" t="s">
        <v>89</v>
      </c>
    </row>
    <row r="769" spans="1:1" x14ac:dyDescent="0.3">
      <c r="A769" s="1" t="s">
        <v>89</v>
      </c>
    </row>
    <row r="770" spans="1:1" x14ac:dyDescent="0.3">
      <c r="A770" s="2" t="s">
        <v>89</v>
      </c>
    </row>
    <row r="771" spans="1:1" x14ac:dyDescent="0.3">
      <c r="A771" s="1" t="s">
        <v>28</v>
      </c>
    </row>
    <row r="772" spans="1:1" x14ac:dyDescent="0.3">
      <c r="A772" s="2" t="s">
        <v>28</v>
      </c>
    </row>
    <row r="773" spans="1:1" x14ac:dyDescent="0.3">
      <c r="A773" s="1" t="s">
        <v>28</v>
      </c>
    </row>
    <row r="774" spans="1:1" x14ac:dyDescent="0.3">
      <c r="A774" s="2" t="s">
        <v>28</v>
      </c>
    </row>
    <row r="775" spans="1:1" x14ac:dyDescent="0.3">
      <c r="A775" s="1" t="s">
        <v>28</v>
      </c>
    </row>
    <row r="776" spans="1:1" x14ac:dyDescent="0.3">
      <c r="A776" s="2" t="s">
        <v>89</v>
      </c>
    </row>
    <row r="777" spans="1:1" x14ac:dyDescent="0.3">
      <c r="A777" s="1" t="s">
        <v>28</v>
      </c>
    </row>
    <row r="778" spans="1:1" x14ac:dyDescent="0.3">
      <c r="A778" s="2" t="s">
        <v>28</v>
      </c>
    </row>
    <row r="779" spans="1:1" x14ac:dyDescent="0.3">
      <c r="A779" s="1" t="s">
        <v>89</v>
      </c>
    </row>
    <row r="780" spans="1:1" x14ac:dyDescent="0.3">
      <c r="A780" s="2" t="s">
        <v>28</v>
      </c>
    </row>
    <row r="781" spans="1:1" x14ac:dyDescent="0.3">
      <c r="A781" s="1" t="s">
        <v>89</v>
      </c>
    </row>
    <row r="782" spans="1:1" x14ac:dyDescent="0.3">
      <c r="A782" s="2" t="s">
        <v>89</v>
      </c>
    </row>
    <row r="783" spans="1:1" x14ac:dyDescent="0.3">
      <c r="A783" s="1" t="s">
        <v>89</v>
      </c>
    </row>
    <row r="784" spans="1:1" x14ac:dyDescent="0.3">
      <c r="A784" s="2" t="s">
        <v>28</v>
      </c>
    </row>
    <row r="785" spans="1:1" x14ac:dyDescent="0.3">
      <c r="A785" s="1" t="s">
        <v>28</v>
      </c>
    </row>
    <row r="786" spans="1:1" x14ac:dyDescent="0.3">
      <c r="A786" s="2" t="s">
        <v>28</v>
      </c>
    </row>
    <row r="787" spans="1:1" x14ac:dyDescent="0.3">
      <c r="A787" s="1" t="s">
        <v>28</v>
      </c>
    </row>
    <row r="788" spans="1:1" x14ac:dyDescent="0.3">
      <c r="A788" s="2" t="s">
        <v>28</v>
      </c>
    </row>
    <row r="789" spans="1:1" x14ac:dyDescent="0.3">
      <c r="A789" s="1" t="s">
        <v>28</v>
      </c>
    </row>
    <row r="790" spans="1:1" x14ac:dyDescent="0.3">
      <c r="A790" s="2" t="s">
        <v>28</v>
      </c>
    </row>
    <row r="791" spans="1:1" x14ac:dyDescent="0.3">
      <c r="A791" s="1" t="s">
        <v>28</v>
      </c>
    </row>
    <row r="792" spans="1:1" x14ac:dyDescent="0.3">
      <c r="A792" s="2" t="s">
        <v>28</v>
      </c>
    </row>
    <row r="793" spans="1:1" x14ac:dyDescent="0.3">
      <c r="A793" s="1" t="s">
        <v>28</v>
      </c>
    </row>
    <row r="794" spans="1:1" x14ac:dyDescent="0.3">
      <c r="A794" s="2" t="s">
        <v>28</v>
      </c>
    </row>
    <row r="795" spans="1:1" x14ac:dyDescent="0.3">
      <c r="A795" s="1" t="s">
        <v>28</v>
      </c>
    </row>
    <row r="796" spans="1:1" x14ac:dyDescent="0.3">
      <c r="A796" s="2" t="s">
        <v>89</v>
      </c>
    </row>
    <row r="797" spans="1:1" x14ac:dyDescent="0.3">
      <c r="A797" s="1" t="s">
        <v>89</v>
      </c>
    </row>
    <row r="798" spans="1:1" x14ac:dyDescent="0.3">
      <c r="A798" s="2" t="s">
        <v>89</v>
      </c>
    </row>
    <row r="799" spans="1:1" x14ac:dyDescent="0.3">
      <c r="A799" s="1" t="s">
        <v>89</v>
      </c>
    </row>
    <row r="800" spans="1:1" x14ac:dyDescent="0.3">
      <c r="A800" s="2" t="s">
        <v>89</v>
      </c>
    </row>
    <row r="801" spans="1:1" x14ac:dyDescent="0.3">
      <c r="A801" s="1" t="s">
        <v>89</v>
      </c>
    </row>
    <row r="802" spans="1:1" x14ac:dyDescent="0.3">
      <c r="A802" s="2" t="s">
        <v>89</v>
      </c>
    </row>
    <row r="803" spans="1:1" x14ac:dyDescent="0.3">
      <c r="A803" s="1" t="s">
        <v>89</v>
      </c>
    </row>
    <row r="804" spans="1:1" x14ac:dyDescent="0.3">
      <c r="A804" s="2" t="s">
        <v>28</v>
      </c>
    </row>
    <row r="805" spans="1:1" x14ac:dyDescent="0.3">
      <c r="A805" s="1" t="s">
        <v>89</v>
      </c>
    </row>
    <row r="806" spans="1:1" x14ac:dyDescent="0.3">
      <c r="A806" s="2" t="s">
        <v>28</v>
      </c>
    </row>
    <row r="807" spans="1:1" x14ac:dyDescent="0.3">
      <c r="A807" s="1" t="s">
        <v>28</v>
      </c>
    </row>
    <row r="808" spans="1:1" x14ac:dyDescent="0.3">
      <c r="A808" s="2" t="s">
        <v>28</v>
      </c>
    </row>
    <row r="809" spans="1:1" x14ac:dyDescent="0.3">
      <c r="A809" s="1" t="s">
        <v>28</v>
      </c>
    </row>
    <row r="810" spans="1:1" x14ac:dyDescent="0.3">
      <c r="A810" s="2" t="s">
        <v>28</v>
      </c>
    </row>
    <row r="811" spans="1:1" x14ac:dyDescent="0.3">
      <c r="A811" s="1" t="s">
        <v>89</v>
      </c>
    </row>
    <row r="812" spans="1:1" x14ac:dyDescent="0.3">
      <c r="A812" s="2" t="s">
        <v>28</v>
      </c>
    </row>
    <row r="813" spans="1:1" x14ac:dyDescent="0.3">
      <c r="A813" s="1" t="s">
        <v>89</v>
      </c>
    </row>
    <row r="814" spans="1:1" x14ac:dyDescent="0.3">
      <c r="A814" s="2" t="s">
        <v>28</v>
      </c>
    </row>
    <row r="815" spans="1:1" x14ac:dyDescent="0.3">
      <c r="A815" s="1" t="s">
        <v>28</v>
      </c>
    </row>
    <row r="816" spans="1:1" x14ac:dyDescent="0.3">
      <c r="A816" s="2" t="s">
        <v>28</v>
      </c>
    </row>
    <row r="817" spans="1:1" x14ac:dyDescent="0.3">
      <c r="A817" s="1" t="s">
        <v>28</v>
      </c>
    </row>
    <row r="818" spans="1:1" x14ac:dyDescent="0.3">
      <c r="A818" s="2" t="s">
        <v>28</v>
      </c>
    </row>
    <row r="819" spans="1:1" x14ac:dyDescent="0.3">
      <c r="A819" s="1" t="s">
        <v>28</v>
      </c>
    </row>
    <row r="820" spans="1:1" x14ac:dyDescent="0.3">
      <c r="A820" s="2" t="s">
        <v>89</v>
      </c>
    </row>
    <row r="821" spans="1:1" x14ac:dyDescent="0.3">
      <c r="A821" s="1" t="s">
        <v>89</v>
      </c>
    </row>
    <row r="822" spans="1:1" x14ac:dyDescent="0.3">
      <c r="A822" s="2" t="s">
        <v>89</v>
      </c>
    </row>
    <row r="823" spans="1:1" x14ac:dyDescent="0.3">
      <c r="A823" s="1" t="s">
        <v>89</v>
      </c>
    </row>
    <row r="824" spans="1:1" x14ac:dyDescent="0.3">
      <c r="A824" s="2" t="s">
        <v>89</v>
      </c>
    </row>
    <row r="825" spans="1:1" x14ac:dyDescent="0.3">
      <c r="A825" s="1" t="s">
        <v>89</v>
      </c>
    </row>
    <row r="826" spans="1:1" x14ac:dyDescent="0.3">
      <c r="A826" s="2" t="s">
        <v>89</v>
      </c>
    </row>
    <row r="827" spans="1:1" x14ac:dyDescent="0.3">
      <c r="A827" s="1" t="s">
        <v>89</v>
      </c>
    </row>
    <row r="828" spans="1:1" x14ac:dyDescent="0.3">
      <c r="A828" s="2" t="s">
        <v>89</v>
      </c>
    </row>
    <row r="829" spans="1:1" x14ac:dyDescent="0.3">
      <c r="A829" s="1" t="s">
        <v>89</v>
      </c>
    </row>
    <row r="830" spans="1:1" x14ac:dyDescent="0.3">
      <c r="A830" s="2" t="s">
        <v>89</v>
      </c>
    </row>
    <row r="831" spans="1:1" x14ac:dyDescent="0.3">
      <c r="A831" s="1" t="s">
        <v>89</v>
      </c>
    </row>
    <row r="832" spans="1:1" x14ac:dyDescent="0.3">
      <c r="A832" s="2" t="s">
        <v>89</v>
      </c>
    </row>
    <row r="833" spans="1:1" x14ac:dyDescent="0.3">
      <c r="A833" s="1" t="s">
        <v>89</v>
      </c>
    </row>
    <row r="834" spans="1:1" x14ac:dyDescent="0.3">
      <c r="A834" s="2" t="s">
        <v>89</v>
      </c>
    </row>
    <row r="835" spans="1:1" x14ac:dyDescent="0.3">
      <c r="A835" s="1" t="s">
        <v>89</v>
      </c>
    </row>
    <row r="836" spans="1:1" x14ac:dyDescent="0.3">
      <c r="A836" s="2" t="s">
        <v>89</v>
      </c>
    </row>
    <row r="837" spans="1:1" x14ac:dyDescent="0.3">
      <c r="A837" s="1" t="s">
        <v>89</v>
      </c>
    </row>
    <row r="838" spans="1:1" x14ac:dyDescent="0.3">
      <c r="A838" s="2" t="s">
        <v>89</v>
      </c>
    </row>
    <row r="839" spans="1:1" x14ac:dyDescent="0.3">
      <c r="A839" s="1" t="s">
        <v>89</v>
      </c>
    </row>
    <row r="840" spans="1:1" x14ac:dyDescent="0.3">
      <c r="A840" s="2" t="s">
        <v>89</v>
      </c>
    </row>
    <row r="841" spans="1:1" x14ac:dyDescent="0.3">
      <c r="A841" s="1" t="s">
        <v>89</v>
      </c>
    </row>
    <row r="842" spans="1:1" x14ac:dyDescent="0.3">
      <c r="A842" s="2" t="s">
        <v>89</v>
      </c>
    </row>
    <row r="843" spans="1:1" x14ac:dyDescent="0.3">
      <c r="A843" s="1" t="s">
        <v>89</v>
      </c>
    </row>
    <row r="844" spans="1:1" x14ac:dyDescent="0.3">
      <c r="A844" s="2" t="s">
        <v>89</v>
      </c>
    </row>
    <row r="845" spans="1:1" x14ac:dyDescent="0.3">
      <c r="A845" s="1" t="s">
        <v>89</v>
      </c>
    </row>
    <row r="846" spans="1:1" x14ac:dyDescent="0.3">
      <c r="A846" s="2" t="s">
        <v>89</v>
      </c>
    </row>
    <row r="847" spans="1:1" x14ac:dyDescent="0.3">
      <c r="A847" s="1" t="s">
        <v>89</v>
      </c>
    </row>
    <row r="848" spans="1:1" x14ac:dyDescent="0.3">
      <c r="A848" s="2" t="s">
        <v>89</v>
      </c>
    </row>
    <row r="849" spans="1:1" x14ac:dyDescent="0.3">
      <c r="A849" s="1" t="s">
        <v>89</v>
      </c>
    </row>
    <row r="850" spans="1:1" x14ac:dyDescent="0.3">
      <c r="A850" s="2" t="s">
        <v>89</v>
      </c>
    </row>
    <row r="851" spans="1:1" x14ac:dyDescent="0.3">
      <c r="A851" s="1" t="s">
        <v>28</v>
      </c>
    </row>
    <row r="852" spans="1:1" x14ac:dyDescent="0.3">
      <c r="A852" s="2" t="s">
        <v>28</v>
      </c>
    </row>
    <row r="853" spans="1:1" x14ac:dyDescent="0.3">
      <c r="A853" s="1" t="s">
        <v>28</v>
      </c>
    </row>
    <row r="854" spans="1:1" x14ac:dyDescent="0.3">
      <c r="A854" s="2" t="s">
        <v>28</v>
      </c>
    </row>
    <row r="855" spans="1:1" x14ac:dyDescent="0.3">
      <c r="A855" s="1" t="s">
        <v>28</v>
      </c>
    </row>
    <row r="856" spans="1:1" x14ac:dyDescent="0.3">
      <c r="A856" s="2" t="s">
        <v>28</v>
      </c>
    </row>
    <row r="857" spans="1:1" x14ac:dyDescent="0.3">
      <c r="A857" s="1" t="s">
        <v>89</v>
      </c>
    </row>
    <row r="858" spans="1:1" x14ac:dyDescent="0.3">
      <c r="A858" s="2" t="s">
        <v>28</v>
      </c>
    </row>
    <row r="859" spans="1:1" x14ac:dyDescent="0.3">
      <c r="A859" s="1" t="s">
        <v>28</v>
      </c>
    </row>
    <row r="860" spans="1:1" x14ac:dyDescent="0.3">
      <c r="A860" s="2" t="s">
        <v>28</v>
      </c>
    </row>
    <row r="861" spans="1:1" x14ac:dyDescent="0.3">
      <c r="A861" s="1" t="s">
        <v>89</v>
      </c>
    </row>
    <row r="862" spans="1:1" x14ac:dyDescent="0.3">
      <c r="A862" s="2" t="s">
        <v>89</v>
      </c>
    </row>
    <row r="863" spans="1:1" x14ac:dyDescent="0.3">
      <c r="A863" s="1" t="s">
        <v>28</v>
      </c>
    </row>
    <row r="864" spans="1:1" x14ac:dyDescent="0.3">
      <c r="A864" s="2" t="s">
        <v>28</v>
      </c>
    </row>
    <row r="865" spans="1:1" x14ac:dyDescent="0.3">
      <c r="A865" s="1" t="s">
        <v>28</v>
      </c>
    </row>
    <row r="866" spans="1:1" x14ac:dyDescent="0.3">
      <c r="A866" s="2" t="s">
        <v>28</v>
      </c>
    </row>
    <row r="867" spans="1:1" x14ac:dyDescent="0.3">
      <c r="A867" s="1" t="s">
        <v>28</v>
      </c>
    </row>
    <row r="868" spans="1:1" x14ac:dyDescent="0.3">
      <c r="A868" s="2" t="s">
        <v>28</v>
      </c>
    </row>
    <row r="869" spans="1:1" x14ac:dyDescent="0.3">
      <c r="A869" s="1" t="s">
        <v>28</v>
      </c>
    </row>
    <row r="870" spans="1:1" x14ac:dyDescent="0.3">
      <c r="A870" s="2" t="s">
        <v>28</v>
      </c>
    </row>
    <row r="871" spans="1:1" x14ac:dyDescent="0.3">
      <c r="A871" s="1" t="s">
        <v>28</v>
      </c>
    </row>
    <row r="872" spans="1:1" x14ac:dyDescent="0.3">
      <c r="A872" s="2" t="s">
        <v>28</v>
      </c>
    </row>
    <row r="873" spans="1:1" x14ac:dyDescent="0.3">
      <c r="A873" s="1" t="s">
        <v>28</v>
      </c>
    </row>
    <row r="874" spans="1:1" x14ac:dyDescent="0.3">
      <c r="A874" s="2" t="s">
        <v>28</v>
      </c>
    </row>
    <row r="875" spans="1:1" x14ac:dyDescent="0.3">
      <c r="A875" s="1" t="s">
        <v>89</v>
      </c>
    </row>
    <row r="876" spans="1:1" x14ac:dyDescent="0.3">
      <c r="A876" s="2" t="s">
        <v>28</v>
      </c>
    </row>
    <row r="877" spans="1:1" x14ac:dyDescent="0.3">
      <c r="A877" s="1" t="s">
        <v>28</v>
      </c>
    </row>
    <row r="878" spans="1:1" x14ac:dyDescent="0.3">
      <c r="A878" s="2" t="s">
        <v>89</v>
      </c>
    </row>
    <row r="879" spans="1:1" x14ac:dyDescent="0.3">
      <c r="A879" s="1" t="s">
        <v>28</v>
      </c>
    </row>
    <row r="880" spans="1:1" x14ac:dyDescent="0.3">
      <c r="A880" s="2" t="s">
        <v>89</v>
      </c>
    </row>
    <row r="881" spans="1:1" x14ac:dyDescent="0.3">
      <c r="A881" s="1" t="s">
        <v>28</v>
      </c>
    </row>
    <row r="882" spans="1:1" x14ac:dyDescent="0.3">
      <c r="A882" s="2" t="s">
        <v>28</v>
      </c>
    </row>
    <row r="883" spans="1:1" x14ac:dyDescent="0.3">
      <c r="A883" s="1" t="s">
        <v>28</v>
      </c>
    </row>
    <row r="884" spans="1:1" x14ac:dyDescent="0.3">
      <c r="A884" s="2" t="s">
        <v>28</v>
      </c>
    </row>
    <row r="885" spans="1:1" x14ac:dyDescent="0.3">
      <c r="A885" s="1" t="s">
        <v>28</v>
      </c>
    </row>
    <row r="886" spans="1:1" x14ac:dyDescent="0.3">
      <c r="A886" s="2" t="s">
        <v>89</v>
      </c>
    </row>
    <row r="887" spans="1:1" x14ac:dyDescent="0.3">
      <c r="A887" s="1" t="s">
        <v>89</v>
      </c>
    </row>
    <row r="888" spans="1:1" x14ac:dyDescent="0.3">
      <c r="A888" s="2" t="s">
        <v>28</v>
      </c>
    </row>
    <row r="889" spans="1:1" x14ac:dyDescent="0.3">
      <c r="A889" s="1" t="s">
        <v>28</v>
      </c>
    </row>
    <row r="890" spans="1:1" x14ac:dyDescent="0.3">
      <c r="A890" s="2" t="s">
        <v>28</v>
      </c>
    </row>
    <row r="891" spans="1:1" x14ac:dyDescent="0.3">
      <c r="A891" s="1" t="s">
        <v>28</v>
      </c>
    </row>
    <row r="892" spans="1:1" x14ac:dyDescent="0.3">
      <c r="A892" s="2" t="s">
        <v>28</v>
      </c>
    </row>
    <row r="893" spans="1:1" x14ac:dyDescent="0.3">
      <c r="A893" s="1" t="s">
        <v>28</v>
      </c>
    </row>
    <row r="894" spans="1:1" x14ac:dyDescent="0.3">
      <c r="A894" s="2" t="s">
        <v>28</v>
      </c>
    </row>
    <row r="895" spans="1:1" x14ac:dyDescent="0.3">
      <c r="A895" s="1" t="s">
        <v>89</v>
      </c>
    </row>
    <row r="896" spans="1:1" x14ac:dyDescent="0.3">
      <c r="A896" s="2" t="s">
        <v>28</v>
      </c>
    </row>
    <row r="897" spans="1:1" x14ac:dyDescent="0.3">
      <c r="A897" s="1" t="s">
        <v>28</v>
      </c>
    </row>
    <row r="898" spans="1:1" x14ac:dyDescent="0.3">
      <c r="A898" s="2" t="s">
        <v>89</v>
      </c>
    </row>
    <row r="899" spans="1:1" x14ac:dyDescent="0.3">
      <c r="A899" s="1" t="s">
        <v>28</v>
      </c>
    </row>
    <row r="900" spans="1:1" x14ac:dyDescent="0.3">
      <c r="A900" s="2" t="s">
        <v>28</v>
      </c>
    </row>
    <row r="901" spans="1:1" x14ac:dyDescent="0.3">
      <c r="A901" s="1" t="s">
        <v>28</v>
      </c>
    </row>
    <row r="902" spans="1:1" x14ac:dyDescent="0.3">
      <c r="A902" s="2" t="s">
        <v>28</v>
      </c>
    </row>
    <row r="903" spans="1:1" x14ac:dyDescent="0.3">
      <c r="A903" s="1" t="s">
        <v>28</v>
      </c>
    </row>
    <row r="904" spans="1:1" x14ac:dyDescent="0.3">
      <c r="A904" s="2" t="s">
        <v>28</v>
      </c>
    </row>
    <row r="905" spans="1:1" x14ac:dyDescent="0.3">
      <c r="A905" s="1" t="s">
        <v>28</v>
      </c>
    </row>
    <row r="906" spans="1:1" x14ac:dyDescent="0.3">
      <c r="A906" s="2" t="s">
        <v>28</v>
      </c>
    </row>
    <row r="907" spans="1:1" x14ac:dyDescent="0.3">
      <c r="A907" s="1" t="s">
        <v>28</v>
      </c>
    </row>
    <row r="908" spans="1:1" x14ac:dyDescent="0.3">
      <c r="A908" s="2" t="s">
        <v>89</v>
      </c>
    </row>
    <row r="909" spans="1:1" x14ac:dyDescent="0.3">
      <c r="A909" s="1" t="s">
        <v>28</v>
      </c>
    </row>
    <row r="910" spans="1:1" x14ac:dyDescent="0.3">
      <c r="A910" s="2" t="s">
        <v>28</v>
      </c>
    </row>
    <row r="911" spans="1:1" x14ac:dyDescent="0.3">
      <c r="A911" s="1" t="s">
        <v>28</v>
      </c>
    </row>
    <row r="912" spans="1:1" x14ac:dyDescent="0.3">
      <c r="A912" s="2" t="s">
        <v>28</v>
      </c>
    </row>
    <row r="913" spans="1:1" x14ac:dyDescent="0.3">
      <c r="A913" s="1" t="s">
        <v>89</v>
      </c>
    </row>
    <row r="914" spans="1:1" x14ac:dyDescent="0.3">
      <c r="A914" s="2" t="s">
        <v>89</v>
      </c>
    </row>
    <row r="915" spans="1:1" x14ac:dyDescent="0.3">
      <c r="A915" s="1" t="s">
        <v>28</v>
      </c>
    </row>
    <row r="916" spans="1:1" x14ac:dyDescent="0.3">
      <c r="A916" s="2" t="s">
        <v>28</v>
      </c>
    </row>
    <row r="917" spans="1:1" x14ac:dyDescent="0.3">
      <c r="A917" s="1" t="s">
        <v>28</v>
      </c>
    </row>
    <row r="918" spans="1:1" x14ac:dyDescent="0.3">
      <c r="A918" s="2" t="s">
        <v>28</v>
      </c>
    </row>
    <row r="919" spans="1:1" x14ac:dyDescent="0.3">
      <c r="A919" s="1" t="s">
        <v>28</v>
      </c>
    </row>
    <row r="920" spans="1:1" x14ac:dyDescent="0.3">
      <c r="A920" s="2" t="s">
        <v>28</v>
      </c>
    </row>
    <row r="921" spans="1:1" x14ac:dyDescent="0.3">
      <c r="A921" s="1" t="s">
        <v>89</v>
      </c>
    </row>
    <row r="922" spans="1:1" x14ac:dyDescent="0.3">
      <c r="A922" s="2" t="s">
        <v>89</v>
      </c>
    </row>
    <row r="923" spans="1:1" x14ac:dyDescent="0.3">
      <c r="A923" s="1" t="s">
        <v>89</v>
      </c>
    </row>
    <row r="924" spans="1:1" x14ac:dyDescent="0.3">
      <c r="A924" s="2" t="s">
        <v>28</v>
      </c>
    </row>
    <row r="925" spans="1:1" x14ac:dyDescent="0.3">
      <c r="A925" s="1" t="s">
        <v>28</v>
      </c>
    </row>
    <row r="926" spans="1:1" x14ac:dyDescent="0.3">
      <c r="A926" s="2" t="s">
        <v>28</v>
      </c>
    </row>
    <row r="927" spans="1:1" x14ac:dyDescent="0.3">
      <c r="A927" s="1" t="s">
        <v>89</v>
      </c>
    </row>
    <row r="928" spans="1:1" x14ac:dyDescent="0.3">
      <c r="A928" s="2" t="s">
        <v>89</v>
      </c>
    </row>
    <row r="929" spans="1:1" x14ac:dyDescent="0.3">
      <c r="A929" s="1" t="s">
        <v>89</v>
      </c>
    </row>
    <row r="930" spans="1:1" x14ac:dyDescent="0.3">
      <c r="A930" s="2" t="s">
        <v>89</v>
      </c>
    </row>
    <row r="931" spans="1:1" x14ac:dyDescent="0.3">
      <c r="A931" s="1" t="s">
        <v>89</v>
      </c>
    </row>
    <row r="932" spans="1:1" x14ac:dyDescent="0.3">
      <c r="A932" s="2" t="s">
        <v>89</v>
      </c>
    </row>
    <row r="933" spans="1:1" x14ac:dyDescent="0.3">
      <c r="A933" s="1" t="s">
        <v>28</v>
      </c>
    </row>
    <row r="934" spans="1:1" x14ac:dyDescent="0.3">
      <c r="A934" s="2" t="s">
        <v>89</v>
      </c>
    </row>
    <row r="935" spans="1:1" x14ac:dyDescent="0.3">
      <c r="A935" s="1" t="s">
        <v>89</v>
      </c>
    </row>
    <row r="936" spans="1:1" x14ac:dyDescent="0.3">
      <c r="A936" s="2" t="s">
        <v>28</v>
      </c>
    </row>
    <row r="937" spans="1:1" x14ac:dyDescent="0.3">
      <c r="A937" s="1" t="s">
        <v>28</v>
      </c>
    </row>
    <row r="938" spans="1:1" x14ac:dyDescent="0.3">
      <c r="A938" s="2" t="s">
        <v>89</v>
      </c>
    </row>
    <row r="939" spans="1:1" x14ac:dyDescent="0.3">
      <c r="A939" s="1" t="s">
        <v>28</v>
      </c>
    </row>
    <row r="940" spans="1:1" x14ac:dyDescent="0.3">
      <c r="A940" s="2" t="s">
        <v>89</v>
      </c>
    </row>
    <row r="941" spans="1:1" x14ac:dyDescent="0.3">
      <c r="A941" s="1" t="s">
        <v>89</v>
      </c>
    </row>
    <row r="942" spans="1:1" x14ac:dyDescent="0.3">
      <c r="A942" s="2" t="s">
        <v>89</v>
      </c>
    </row>
    <row r="943" spans="1:1" x14ac:dyDescent="0.3">
      <c r="A943" s="1" t="s">
        <v>89</v>
      </c>
    </row>
    <row r="944" spans="1:1" x14ac:dyDescent="0.3">
      <c r="A944" s="2" t="s">
        <v>89</v>
      </c>
    </row>
    <row r="945" spans="1:1" x14ac:dyDescent="0.3">
      <c r="A945" s="1" t="s">
        <v>89</v>
      </c>
    </row>
    <row r="946" spans="1:1" x14ac:dyDescent="0.3">
      <c r="A946" s="2" t="s">
        <v>28</v>
      </c>
    </row>
    <row r="947" spans="1:1" x14ac:dyDescent="0.3">
      <c r="A947" s="1" t="s">
        <v>28</v>
      </c>
    </row>
    <row r="948" spans="1:1" x14ac:dyDescent="0.3">
      <c r="A948" s="2" t="s">
        <v>89</v>
      </c>
    </row>
    <row r="949" spans="1:1" x14ac:dyDescent="0.3">
      <c r="A949" s="1" t="s">
        <v>28</v>
      </c>
    </row>
    <row r="950" spans="1:1" x14ac:dyDescent="0.3">
      <c r="A950" s="2" t="s">
        <v>89</v>
      </c>
    </row>
    <row r="951" spans="1:1" x14ac:dyDescent="0.3">
      <c r="A951" s="1" t="s">
        <v>28</v>
      </c>
    </row>
    <row r="952" spans="1:1" x14ac:dyDescent="0.3">
      <c r="A952" s="2" t="s">
        <v>89</v>
      </c>
    </row>
    <row r="953" spans="1:1" x14ac:dyDescent="0.3">
      <c r="A953" s="1" t="s">
        <v>89</v>
      </c>
    </row>
    <row r="954" spans="1:1" x14ac:dyDescent="0.3">
      <c r="A954" s="2" t="s">
        <v>89</v>
      </c>
    </row>
    <row r="955" spans="1:1" x14ac:dyDescent="0.3">
      <c r="A955" s="1" t="s">
        <v>89</v>
      </c>
    </row>
    <row r="956" spans="1:1" x14ac:dyDescent="0.3">
      <c r="A956" s="2" t="s">
        <v>28</v>
      </c>
    </row>
    <row r="957" spans="1:1" x14ac:dyDescent="0.3">
      <c r="A957" s="1" t="s">
        <v>28</v>
      </c>
    </row>
    <row r="958" spans="1:1" x14ac:dyDescent="0.3">
      <c r="A958" s="2" t="s">
        <v>28</v>
      </c>
    </row>
    <row r="959" spans="1:1" x14ac:dyDescent="0.3">
      <c r="A959" s="1" t="s">
        <v>89</v>
      </c>
    </row>
    <row r="960" spans="1:1" x14ac:dyDescent="0.3">
      <c r="A960" s="2" t="s">
        <v>89</v>
      </c>
    </row>
    <row r="961" spans="1:1" x14ac:dyDescent="0.3">
      <c r="A961" s="1" t="s">
        <v>28</v>
      </c>
    </row>
    <row r="962" spans="1:1" x14ac:dyDescent="0.3">
      <c r="A962" s="2" t="s">
        <v>28</v>
      </c>
    </row>
    <row r="963" spans="1:1" x14ac:dyDescent="0.3">
      <c r="A963" s="1" t="s">
        <v>28</v>
      </c>
    </row>
    <row r="964" spans="1:1" x14ac:dyDescent="0.3">
      <c r="A964" s="2" t="s">
        <v>89</v>
      </c>
    </row>
    <row r="965" spans="1:1" x14ac:dyDescent="0.3">
      <c r="A965" s="1" t="s">
        <v>89</v>
      </c>
    </row>
    <row r="966" spans="1:1" x14ac:dyDescent="0.3">
      <c r="A966" s="2" t="s">
        <v>89</v>
      </c>
    </row>
    <row r="967" spans="1:1" x14ac:dyDescent="0.3">
      <c r="A967" s="1" t="s">
        <v>28</v>
      </c>
    </row>
    <row r="968" spans="1:1" x14ac:dyDescent="0.3">
      <c r="A968" s="2" t="s">
        <v>28</v>
      </c>
    </row>
    <row r="969" spans="1:1" x14ac:dyDescent="0.3">
      <c r="A969" s="1" t="s">
        <v>89</v>
      </c>
    </row>
    <row r="970" spans="1:1" x14ac:dyDescent="0.3">
      <c r="A970" s="2" t="s">
        <v>89</v>
      </c>
    </row>
    <row r="971" spans="1:1" x14ac:dyDescent="0.3">
      <c r="A971" s="1" t="s">
        <v>89</v>
      </c>
    </row>
    <row r="972" spans="1:1" x14ac:dyDescent="0.3">
      <c r="A972" s="2" t="s">
        <v>28</v>
      </c>
    </row>
    <row r="973" spans="1:1" x14ac:dyDescent="0.3">
      <c r="A973" s="1" t="s">
        <v>89</v>
      </c>
    </row>
    <row r="974" spans="1:1" x14ac:dyDescent="0.3">
      <c r="A974" s="2" t="s">
        <v>28</v>
      </c>
    </row>
    <row r="975" spans="1:1" x14ac:dyDescent="0.3">
      <c r="A975" s="1" t="s">
        <v>89</v>
      </c>
    </row>
    <row r="976" spans="1:1" x14ac:dyDescent="0.3">
      <c r="A976" s="2" t="s">
        <v>89</v>
      </c>
    </row>
    <row r="977" spans="1:1" x14ac:dyDescent="0.3">
      <c r="A977" s="1" t="s">
        <v>89</v>
      </c>
    </row>
    <row r="978" spans="1:1" x14ac:dyDescent="0.3">
      <c r="A978" s="2" t="s">
        <v>89</v>
      </c>
    </row>
    <row r="979" spans="1:1" x14ac:dyDescent="0.3">
      <c r="A979" s="1" t="s">
        <v>89</v>
      </c>
    </row>
    <row r="980" spans="1:1" x14ac:dyDescent="0.3">
      <c r="A980" s="2" t="s">
        <v>89</v>
      </c>
    </row>
    <row r="981" spans="1:1" x14ac:dyDescent="0.3">
      <c r="A981" s="1" t="s">
        <v>89</v>
      </c>
    </row>
    <row r="982" spans="1:1" x14ac:dyDescent="0.3">
      <c r="A982" s="2" t="s">
        <v>89</v>
      </c>
    </row>
    <row r="983" spans="1:1" x14ac:dyDescent="0.3">
      <c r="A983" s="1" t="s">
        <v>28</v>
      </c>
    </row>
    <row r="984" spans="1:1" x14ac:dyDescent="0.3">
      <c r="A984" s="2" t="s">
        <v>28</v>
      </c>
    </row>
    <row r="985" spans="1:1" x14ac:dyDescent="0.3">
      <c r="A985" s="1" t="s">
        <v>89</v>
      </c>
    </row>
    <row r="986" spans="1:1" x14ac:dyDescent="0.3">
      <c r="A986" s="2" t="s">
        <v>28</v>
      </c>
    </row>
    <row r="987" spans="1:1" x14ac:dyDescent="0.3">
      <c r="A987" s="1" t="s">
        <v>89</v>
      </c>
    </row>
    <row r="988" spans="1:1" x14ac:dyDescent="0.3">
      <c r="A988" s="2" t="s">
        <v>89</v>
      </c>
    </row>
    <row r="989" spans="1:1" x14ac:dyDescent="0.3">
      <c r="A989" s="1" t="s">
        <v>89</v>
      </c>
    </row>
    <row r="990" spans="1:1" x14ac:dyDescent="0.3">
      <c r="A990" s="2" t="s">
        <v>89</v>
      </c>
    </row>
    <row r="991" spans="1:1" x14ac:dyDescent="0.3">
      <c r="A991" s="1" t="s">
        <v>89</v>
      </c>
    </row>
    <row r="992" spans="1:1" x14ac:dyDescent="0.3">
      <c r="A992" s="2" t="s">
        <v>89</v>
      </c>
    </row>
    <row r="993" spans="1:1" x14ac:dyDescent="0.3">
      <c r="A993" s="1" t="s">
        <v>28</v>
      </c>
    </row>
    <row r="994" spans="1:1" x14ac:dyDescent="0.3">
      <c r="A994" s="2" t="s">
        <v>28</v>
      </c>
    </row>
    <row r="995" spans="1:1" x14ac:dyDescent="0.3">
      <c r="A995" s="1" t="s">
        <v>89</v>
      </c>
    </row>
    <row r="996" spans="1:1" x14ac:dyDescent="0.3">
      <c r="A996" s="2" t="s">
        <v>89</v>
      </c>
    </row>
    <row r="997" spans="1:1" x14ac:dyDescent="0.3">
      <c r="A997" s="1" t="s">
        <v>89</v>
      </c>
    </row>
    <row r="998" spans="1:1" x14ac:dyDescent="0.3">
      <c r="A998" s="2" t="s">
        <v>28</v>
      </c>
    </row>
    <row r="999" spans="1:1" x14ac:dyDescent="0.3">
      <c r="A999" s="1" t="s">
        <v>28</v>
      </c>
    </row>
    <row r="1000" spans="1:1" x14ac:dyDescent="0.3">
      <c r="A1000" s="2" t="s">
        <v>28</v>
      </c>
    </row>
    <row r="1001" spans="1:1" x14ac:dyDescent="0.3">
      <c r="A1001" s="1" t="s">
        <v>89</v>
      </c>
    </row>
    <row r="1002" spans="1:1" x14ac:dyDescent="0.3">
      <c r="A1002" s="2" t="s">
        <v>89</v>
      </c>
    </row>
    <row r="1003" spans="1:1" x14ac:dyDescent="0.3">
      <c r="A1003" s="1" t="s">
        <v>28</v>
      </c>
    </row>
    <row r="1004" spans="1:1" x14ac:dyDescent="0.3">
      <c r="A1004" s="2" t="s">
        <v>28</v>
      </c>
    </row>
    <row r="1005" spans="1:1" x14ac:dyDescent="0.3">
      <c r="A1005" s="1" t="s">
        <v>28</v>
      </c>
    </row>
    <row r="1006" spans="1:1" x14ac:dyDescent="0.3">
      <c r="A1006" s="2" t="s">
        <v>28</v>
      </c>
    </row>
    <row r="1007" spans="1:1" x14ac:dyDescent="0.3">
      <c r="A1007" s="1" t="s">
        <v>89</v>
      </c>
    </row>
    <row r="1008" spans="1:1" x14ac:dyDescent="0.3">
      <c r="A1008" s="2" t="s">
        <v>28</v>
      </c>
    </row>
    <row r="1009" spans="1:1" x14ac:dyDescent="0.3">
      <c r="A1009" s="1" t="s">
        <v>89</v>
      </c>
    </row>
    <row r="1010" spans="1:1" x14ac:dyDescent="0.3">
      <c r="A1010" s="2" t="s">
        <v>28</v>
      </c>
    </row>
    <row r="1011" spans="1:1" x14ac:dyDescent="0.3">
      <c r="A1011" s="1" t="s">
        <v>28</v>
      </c>
    </row>
    <row r="1012" spans="1:1" x14ac:dyDescent="0.3">
      <c r="A1012" s="2" t="s">
        <v>28</v>
      </c>
    </row>
    <row r="1013" spans="1:1" x14ac:dyDescent="0.3">
      <c r="A1013" s="1" t="s">
        <v>89</v>
      </c>
    </row>
    <row r="1014" spans="1:1" x14ac:dyDescent="0.3">
      <c r="A1014" s="2" t="s">
        <v>28</v>
      </c>
    </row>
    <row r="1015" spans="1:1" x14ac:dyDescent="0.3">
      <c r="A1015" s="1" t="s">
        <v>89</v>
      </c>
    </row>
    <row r="1016" spans="1:1" x14ac:dyDescent="0.3">
      <c r="A1016" s="2" t="s">
        <v>89</v>
      </c>
    </row>
    <row r="1017" spans="1:1" x14ac:dyDescent="0.3">
      <c r="A1017" s="1" t="s">
        <v>28</v>
      </c>
    </row>
    <row r="1018" spans="1:1" x14ac:dyDescent="0.3">
      <c r="A1018" s="2" t="s">
        <v>28</v>
      </c>
    </row>
    <row r="1019" spans="1:1" x14ac:dyDescent="0.3">
      <c r="A1019" s="1" t="s">
        <v>28</v>
      </c>
    </row>
    <row r="1020" spans="1:1" x14ac:dyDescent="0.3">
      <c r="A1020" s="2" t="s">
        <v>28</v>
      </c>
    </row>
    <row r="1021" spans="1:1" x14ac:dyDescent="0.3">
      <c r="A1021" s="1" t="s">
        <v>28</v>
      </c>
    </row>
    <row r="1022" spans="1:1" x14ac:dyDescent="0.3">
      <c r="A1022" s="2" t="s">
        <v>28</v>
      </c>
    </row>
    <row r="1023" spans="1:1" x14ac:dyDescent="0.3">
      <c r="A1023" s="1" t="s">
        <v>28</v>
      </c>
    </row>
    <row r="1024" spans="1:1" x14ac:dyDescent="0.3">
      <c r="A1024" s="2" t="s">
        <v>28</v>
      </c>
    </row>
    <row r="1025" spans="1:1" x14ac:dyDescent="0.3">
      <c r="A1025" s="1" t="s">
        <v>28</v>
      </c>
    </row>
    <row r="1026" spans="1:1" x14ac:dyDescent="0.3">
      <c r="A1026" s="2" t="s">
        <v>28</v>
      </c>
    </row>
    <row r="1027" spans="1:1" x14ac:dyDescent="0.3">
      <c r="A1027" s="1" t="s">
        <v>28</v>
      </c>
    </row>
    <row r="1028" spans="1:1" x14ac:dyDescent="0.3">
      <c r="A1028" s="2" t="s">
        <v>28</v>
      </c>
    </row>
    <row r="1029" spans="1:1" x14ac:dyDescent="0.3">
      <c r="A1029" s="1" t="s">
        <v>89</v>
      </c>
    </row>
    <row r="1030" spans="1:1" x14ac:dyDescent="0.3">
      <c r="A1030" s="2" t="s">
        <v>89</v>
      </c>
    </row>
    <row r="1031" spans="1:1" x14ac:dyDescent="0.3">
      <c r="A1031" s="1" t="s">
        <v>89</v>
      </c>
    </row>
    <row r="1032" spans="1:1" x14ac:dyDescent="0.3">
      <c r="A1032" s="2" t="s">
        <v>89</v>
      </c>
    </row>
    <row r="1033" spans="1:1" x14ac:dyDescent="0.3">
      <c r="A1033" s="1" t="s">
        <v>28</v>
      </c>
    </row>
    <row r="1034" spans="1:1" x14ac:dyDescent="0.3">
      <c r="A1034" s="2" t="s">
        <v>89</v>
      </c>
    </row>
    <row r="1035" spans="1:1" x14ac:dyDescent="0.3">
      <c r="A1035" s="1" t="s">
        <v>28</v>
      </c>
    </row>
    <row r="1036" spans="1:1" x14ac:dyDescent="0.3">
      <c r="A1036" s="2" t="s">
        <v>28</v>
      </c>
    </row>
    <row r="1037" spans="1:1" x14ac:dyDescent="0.3">
      <c r="A1037" s="1" t="s">
        <v>28</v>
      </c>
    </row>
    <row r="1038" spans="1:1" x14ac:dyDescent="0.3">
      <c r="A1038" s="2" t="s">
        <v>89</v>
      </c>
    </row>
    <row r="1039" spans="1:1" x14ac:dyDescent="0.3">
      <c r="A1039" s="1" t="s">
        <v>28</v>
      </c>
    </row>
    <row r="1040" spans="1:1" x14ac:dyDescent="0.3">
      <c r="A1040" s="2" t="s">
        <v>28</v>
      </c>
    </row>
    <row r="1041" spans="1:1" x14ac:dyDescent="0.3">
      <c r="A1041" s="1" t="s">
        <v>28</v>
      </c>
    </row>
    <row r="1042" spans="1:1" x14ac:dyDescent="0.3">
      <c r="A1042" s="2" t="s">
        <v>28</v>
      </c>
    </row>
    <row r="1043" spans="1:1" x14ac:dyDescent="0.3">
      <c r="A1043" s="1" t="s">
        <v>28</v>
      </c>
    </row>
    <row r="1044" spans="1:1" x14ac:dyDescent="0.3">
      <c r="A1044" s="2" t="s">
        <v>28</v>
      </c>
    </row>
    <row r="1045" spans="1:1" x14ac:dyDescent="0.3">
      <c r="A1045" s="1" t="s">
        <v>28</v>
      </c>
    </row>
    <row r="1046" spans="1:1" x14ac:dyDescent="0.3">
      <c r="A1046" s="2" t="s">
        <v>28</v>
      </c>
    </row>
    <row r="1047" spans="1:1" x14ac:dyDescent="0.3">
      <c r="A1047" s="1" t="s">
        <v>28</v>
      </c>
    </row>
    <row r="1048" spans="1:1" x14ac:dyDescent="0.3">
      <c r="A1048" s="2" t="s">
        <v>28</v>
      </c>
    </row>
    <row r="1049" spans="1:1" x14ac:dyDescent="0.3">
      <c r="A1049" s="1" t="s">
        <v>89</v>
      </c>
    </row>
    <row r="1050" spans="1:1" x14ac:dyDescent="0.3">
      <c r="A1050" s="2" t="s">
        <v>28</v>
      </c>
    </row>
    <row r="1051" spans="1:1" x14ac:dyDescent="0.3">
      <c r="A1051" s="1" t="s">
        <v>28</v>
      </c>
    </row>
    <row r="1052" spans="1:1" x14ac:dyDescent="0.3">
      <c r="A1052" s="2" t="s">
        <v>28</v>
      </c>
    </row>
    <row r="1053" spans="1:1" x14ac:dyDescent="0.3">
      <c r="A1053" s="1" t="s">
        <v>28</v>
      </c>
    </row>
    <row r="1054" spans="1:1" x14ac:dyDescent="0.3">
      <c r="A1054" s="2" t="s">
        <v>89</v>
      </c>
    </row>
    <row r="1055" spans="1:1" x14ac:dyDescent="0.3">
      <c r="A1055" s="1" t="s">
        <v>28</v>
      </c>
    </row>
    <row r="1056" spans="1:1" x14ac:dyDescent="0.3">
      <c r="A1056" s="2" t="s">
        <v>28</v>
      </c>
    </row>
    <row r="1057" spans="1:1" x14ac:dyDescent="0.3">
      <c r="A1057" s="1" t="s">
        <v>89</v>
      </c>
    </row>
    <row r="1058" spans="1:1" x14ac:dyDescent="0.3">
      <c r="A1058" s="2" t="s">
        <v>28</v>
      </c>
    </row>
    <row r="1059" spans="1:1" x14ac:dyDescent="0.3">
      <c r="A1059" s="1" t="s">
        <v>89</v>
      </c>
    </row>
    <row r="1060" spans="1:1" x14ac:dyDescent="0.3">
      <c r="A1060" s="2" t="s">
        <v>89</v>
      </c>
    </row>
    <row r="1061" spans="1:1" x14ac:dyDescent="0.3">
      <c r="A1061" s="1" t="s">
        <v>89</v>
      </c>
    </row>
    <row r="1062" spans="1:1" x14ac:dyDescent="0.3">
      <c r="A1062" s="2" t="s">
        <v>28</v>
      </c>
    </row>
    <row r="1063" spans="1:1" x14ac:dyDescent="0.3">
      <c r="A1063" s="1" t="s">
        <v>28</v>
      </c>
    </row>
    <row r="1064" spans="1:1" x14ac:dyDescent="0.3">
      <c r="A1064" s="2" t="s">
        <v>89</v>
      </c>
    </row>
    <row r="1065" spans="1:1" x14ac:dyDescent="0.3">
      <c r="A1065" s="1" t="s">
        <v>89</v>
      </c>
    </row>
    <row r="1066" spans="1:1" x14ac:dyDescent="0.3">
      <c r="A1066" s="2" t="s">
        <v>89</v>
      </c>
    </row>
    <row r="1067" spans="1:1" x14ac:dyDescent="0.3">
      <c r="A1067" s="1" t="s">
        <v>89</v>
      </c>
    </row>
    <row r="1068" spans="1:1" x14ac:dyDescent="0.3">
      <c r="A1068" s="2" t="s">
        <v>28</v>
      </c>
    </row>
    <row r="1069" spans="1:1" x14ac:dyDescent="0.3">
      <c r="A1069" s="1" t="s">
        <v>28</v>
      </c>
    </row>
    <row r="1070" spans="1:1" x14ac:dyDescent="0.3">
      <c r="A1070" s="2" t="s">
        <v>28</v>
      </c>
    </row>
    <row r="1071" spans="1:1" x14ac:dyDescent="0.3">
      <c r="A1071" s="1" t="s">
        <v>28</v>
      </c>
    </row>
    <row r="1072" spans="1:1" x14ac:dyDescent="0.3">
      <c r="A1072" s="2" t="s">
        <v>28</v>
      </c>
    </row>
    <row r="1073" spans="1:1" x14ac:dyDescent="0.3">
      <c r="A1073" s="1" t="s">
        <v>28</v>
      </c>
    </row>
    <row r="1074" spans="1:1" x14ac:dyDescent="0.3">
      <c r="A1074" s="2" t="s">
        <v>28</v>
      </c>
    </row>
    <row r="1075" spans="1:1" x14ac:dyDescent="0.3">
      <c r="A1075" s="1" t="s">
        <v>28</v>
      </c>
    </row>
    <row r="1076" spans="1:1" x14ac:dyDescent="0.3">
      <c r="A1076" s="2" t="s">
        <v>28</v>
      </c>
    </row>
    <row r="1077" spans="1:1" x14ac:dyDescent="0.3">
      <c r="A1077" s="1" t="s">
        <v>89</v>
      </c>
    </row>
    <row r="1078" spans="1:1" x14ac:dyDescent="0.3">
      <c r="A1078" s="2" t="s">
        <v>89</v>
      </c>
    </row>
    <row r="1079" spans="1:1" x14ac:dyDescent="0.3">
      <c r="A1079" s="1" t="s">
        <v>28</v>
      </c>
    </row>
    <row r="1080" spans="1:1" x14ac:dyDescent="0.3">
      <c r="A1080" s="2" t="s">
        <v>89</v>
      </c>
    </row>
    <row r="1081" spans="1:1" x14ac:dyDescent="0.3">
      <c r="A1081" s="1" t="s">
        <v>28</v>
      </c>
    </row>
    <row r="1082" spans="1:1" x14ac:dyDescent="0.3">
      <c r="A1082" s="2" t="s">
        <v>89</v>
      </c>
    </row>
    <row r="1083" spans="1:1" x14ac:dyDescent="0.3">
      <c r="A1083" s="1" t="s">
        <v>28</v>
      </c>
    </row>
    <row r="1084" spans="1:1" x14ac:dyDescent="0.3">
      <c r="A1084" s="2" t="s">
        <v>89</v>
      </c>
    </row>
    <row r="1085" spans="1:1" x14ac:dyDescent="0.3">
      <c r="A1085" s="1" t="s">
        <v>89</v>
      </c>
    </row>
    <row r="1086" spans="1:1" x14ac:dyDescent="0.3">
      <c r="A1086" s="2" t="s">
        <v>89</v>
      </c>
    </row>
    <row r="1087" spans="1:1" x14ac:dyDescent="0.3">
      <c r="A1087" s="1" t="s">
        <v>89</v>
      </c>
    </row>
    <row r="1088" spans="1:1" x14ac:dyDescent="0.3">
      <c r="A1088" s="2" t="s">
        <v>28</v>
      </c>
    </row>
    <row r="1089" spans="1:1" x14ac:dyDescent="0.3">
      <c r="A1089" s="1" t="s">
        <v>28</v>
      </c>
    </row>
    <row r="1090" spans="1:1" x14ac:dyDescent="0.3">
      <c r="A1090" s="2" t="s">
        <v>89</v>
      </c>
    </row>
    <row r="1091" spans="1:1" x14ac:dyDescent="0.3">
      <c r="A1091" s="1" t="s">
        <v>89</v>
      </c>
    </row>
    <row r="1092" spans="1:1" x14ac:dyDescent="0.3">
      <c r="A1092" s="2" t="s">
        <v>28</v>
      </c>
    </row>
    <row r="1093" spans="1:1" x14ac:dyDescent="0.3">
      <c r="A1093" s="1" t="s">
        <v>28</v>
      </c>
    </row>
    <row r="1094" spans="1:1" x14ac:dyDescent="0.3">
      <c r="A1094" s="2" t="s">
        <v>28</v>
      </c>
    </row>
    <row r="1095" spans="1:1" x14ac:dyDescent="0.3">
      <c r="A1095" s="1" t="s">
        <v>28</v>
      </c>
    </row>
    <row r="1096" spans="1:1" x14ac:dyDescent="0.3">
      <c r="A1096" s="2" t="s">
        <v>28</v>
      </c>
    </row>
    <row r="1097" spans="1:1" x14ac:dyDescent="0.3">
      <c r="A1097" s="1" t="s">
        <v>89</v>
      </c>
    </row>
    <row r="1098" spans="1:1" x14ac:dyDescent="0.3">
      <c r="A1098" s="2" t="s">
        <v>89</v>
      </c>
    </row>
    <row r="1099" spans="1:1" x14ac:dyDescent="0.3">
      <c r="A1099" s="1" t="s">
        <v>89</v>
      </c>
    </row>
    <row r="1100" spans="1:1" x14ac:dyDescent="0.3">
      <c r="A1100" s="2" t="s">
        <v>28</v>
      </c>
    </row>
    <row r="1101" spans="1:1" x14ac:dyDescent="0.3">
      <c r="A1101" s="1" t="s">
        <v>89</v>
      </c>
    </row>
    <row r="1102" spans="1:1" x14ac:dyDescent="0.3">
      <c r="A1102" s="2" t="s">
        <v>89</v>
      </c>
    </row>
    <row r="1103" spans="1:1" x14ac:dyDescent="0.3">
      <c r="A1103" s="1" t="s">
        <v>28</v>
      </c>
    </row>
    <row r="1104" spans="1:1" x14ac:dyDescent="0.3">
      <c r="A1104" s="2" t="s">
        <v>89</v>
      </c>
    </row>
    <row r="1105" spans="1:1" x14ac:dyDescent="0.3">
      <c r="A1105" s="1" t="s">
        <v>89</v>
      </c>
    </row>
    <row r="1106" spans="1:1" x14ac:dyDescent="0.3">
      <c r="A1106" s="2" t="s">
        <v>89</v>
      </c>
    </row>
    <row r="1107" spans="1:1" x14ac:dyDescent="0.3">
      <c r="A1107" s="1" t="s">
        <v>89</v>
      </c>
    </row>
    <row r="1108" spans="1:1" x14ac:dyDescent="0.3">
      <c r="A1108" s="2" t="s">
        <v>89</v>
      </c>
    </row>
    <row r="1109" spans="1:1" x14ac:dyDescent="0.3">
      <c r="A1109" s="1" t="s">
        <v>89</v>
      </c>
    </row>
    <row r="1110" spans="1:1" x14ac:dyDescent="0.3">
      <c r="A1110" s="2" t="s">
        <v>89</v>
      </c>
    </row>
    <row r="1111" spans="1:1" x14ac:dyDescent="0.3">
      <c r="A1111" s="1" t="s">
        <v>28</v>
      </c>
    </row>
    <row r="1112" spans="1:1" x14ac:dyDescent="0.3">
      <c r="A1112" s="2" t="s">
        <v>28</v>
      </c>
    </row>
    <row r="1113" spans="1:1" x14ac:dyDescent="0.3">
      <c r="A1113" s="1" t="s">
        <v>28</v>
      </c>
    </row>
    <row r="1114" spans="1:1" x14ac:dyDescent="0.3">
      <c r="A1114" s="2" t="s">
        <v>28</v>
      </c>
    </row>
    <row r="1115" spans="1:1" x14ac:dyDescent="0.3">
      <c r="A1115" s="1" t="s">
        <v>28</v>
      </c>
    </row>
    <row r="1116" spans="1:1" x14ac:dyDescent="0.3">
      <c r="A1116" s="2" t="s">
        <v>28</v>
      </c>
    </row>
    <row r="1117" spans="1:1" x14ac:dyDescent="0.3">
      <c r="A1117" s="1" t="s">
        <v>28</v>
      </c>
    </row>
    <row r="1118" spans="1:1" x14ac:dyDescent="0.3">
      <c r="A1118" s="2" t="s">
        <v>28</v>
      </c>
    </row>
    <row r="1119" spans="1:1" x14ac:dyDescent="0.3">
      <c r="A1119" s="1" t="s">
        <v>89</v>
      </c>
    </row>
    <row r="1120" spans="1:1" x14ac:dyDescent="0.3">
      <c r="A1120" s="2" t="s">
        <v>28</v>
      </c>
    </row>
    <row r="1121" spans="1:1" x14ac:dyDescent="0.3">
      <c r="A1121" s="1" t="s">
        <v>28</v>
      </c>
    </row>
    <row r="1122" spans="1:1" x14ac:dyDescent="0.3">
      <c r="A1122" s="2" t="s">
        <v>89</v>
      </c>
    </row>
    <row r="1123" spans="1:1" x14ac:dyDescent="0.3">
      <c r="A1123" s="1" t="s">
        <v>89</v>
      </c>
    </row>
    <row r="1124" spans="1:1" x14ac:dyDescent="0.3">
      <c r="A1124" s="2" t="s">
        <v>28</v>
      </c>
    </row>
    <row r="1125" spans="1:1" x14ac:dyDescent="0.3">
      <c r="A1125" s="1" t="s">
        <v>28</v>
      </c>
    </row>
    <row r="1126" spans="1:1" x14ac:dyDescent="0.3">
      <c r="A1126" s="2" t="s">
        <v>89</v>
      </c>
    </row>
    <row r="1127" spans="1:1" x14ac:dyDescent="0.3">
      <c r="A1127" s="1" t="s">
        <v>28</v>
      </c>
    </row>
    <row r="1128" spans="1:1" x14ac:dyDescent="0.3">
      <c r="A1128" s="2" t="s">
        <v>28</v>
      </c>
    </row>
    <row r="1129" spans="1:1" x14ac:dyDescent="0.3">
      <c r="A1129" s="1" t="s">
        <v>28</v>
      </c>
    </row>
    <row r="1130" spans="1:1" x14ac:dyDescent="0.3">
      <c r="A1130" s="2" t="s">
        <v>28</v>
      </c>
    </row>
    <row r="1131" spans="1:1" x14ac:dyDescent="0.3">
      <c r="A1131" s="1" t="s">
        <v>28</v>
      </c>
    </row>
    <row r="1132" spans="1:1" x14ac:dyDescent="0.3">
      <c r="A1132" s="2" t="s">
        <v>28</v>
      </c>
    </row>
    <row r="1133" spans="1:1" x14ac:dyDescent="0.3">
      <c r="A1133" s="1" t="s">
        <v>28</v>
      </c>
    </row>
    <row r="1134" spans="1:1" x14ac:dyDescent="0.3">
      <c r="A1134" s="2" t="s">
        <v>28</v>
      </c>
    </row>
    <row r="1135" spans="1:1" x14ac:dyDescent="0.3">
      <c r="A1135" s="1" t="s">
        <v>28</v>
      </c>
    </row>
    <row r="1136" spans="1:1" x14ac:dyDescent="0.3">
      <c r="A1136" s="2" t="s">
        <v>28</v>
      </c>
    </row>
    <row r="1137" spans="1:1" x14ac:dyDescent="0.3">
      <c r="A1137" s="1" t="s">
        <v>28</v>
      </c>
    </row>
    <row r="1138" spans="1:1" x14ac:dyDescent="0.3">
      <c r="A1138" s="2" t="s">
        <v>28</v>
      </c>
    </row>
    <row r="1139" spans="1:1" x14ac:dyDescent="0.3">
      <c r="A1139" s="1" t="s">
        <v>28</v>
      </c>
    </row>
    <row r="1140" spans="1:1" x14ac:dyDescent="0.3">
      <c r="A1140" s="2" t="s">
        <v>28</v>
      </c>
    </row>
    <row r="1141" spans="1:1" x14ac:dyDescent="0.3">
      <c r="A1141" s="1" t="s">
        <v>89</v>
      </c>
    </row>
    <row r="1142" spans="1:1" x14ac:dyDescent="0.3">
      <c r="A1142" s="2" t="s">
        <v>28</v>
      </c>
    </row>
    <row r="1143" spans="1:1" x14ac:dyDescent="0.3">
      <c r="A1143" s="1" t="s">
        <v>28</v>
      </c>
    </row>
    <row r="1144" spans="1:1" x14ac:dyDescent="0.3">
      <c r="A1144" s="2" t="s">
        <v>28</v>
      </c>
    </row>
    <row r="1145" spans="1:1" x14ac:dyDescent="0.3">
      <c r="A1145" s="1" t="s">
        <v>89</v>
      </c>
    </row>
    <row r="1146" spans="1:1" x14ac:dyDescent="0.3">
      <c r="A1146" s="2" t="s">
        <v>89</v>
      </c>
    </row>
    <row r="1147" spans="1:1" x14ac:dyDescent="0.3">
      <c r="A1147" s="1" t="s">
        <v>28</v>
      </c>
    </row>
    <row r="1148" spans="1:1" x14ac:dyDescent="0.3">
      <c r="A1148" s="2" t="s">
        <v>89</v>
      </c>
    </row>
    <row r="1149" spans="1:1" x14ac:dyDescent="0.3">
      <c r="A1149" s="1" t="s">
        <v>28</v>
      </c>
    </row>
    <row r="1150" spans="1:1" x14ac:dyDescent="0.3">
      <c r="A1150" s="2" t="s">
        <v>89</v>
      </c>
    </row>
    <row r="1151" spans="1:1" x14ac:dyDescent="0.3">
      <c r="A1151" s="1" t="s">
        <v>89</v>
      </c>
    </row>
    <row r="1152" spans="1:1" x14ac:dyDescent="0.3">
      <c r="A1152" s="2" t="s">
        <v>28</v>
      </c>
    </row>
    <row r="1153" spans="1:1" x14ac:dyDescent="0.3">
      <c r="A1153" s="1" t="s">
        <v>89</v>
      </c>
    </row>
    <row r="1154" spans="1:1" x14ac:dyDescent="0.3">
      <c r="A1154" s="2" t="s">
        <v>28</v>
      </c>
    </row>
    <row r="1155" spans="1:1" x14ac:dyDescent="0.3">
      <c r="A1155" s="1" t="s">
        <v>28</v>
      </c>
    </row>
    <row r="1156" spans="1:1" x14ac:dyDescent="0.3">
      <c r="A1156" s="2" t="s">
        <v>28</v>
      </c>
    </row>
    <row r="1157" spans="1:1" x14ac:dyDescent="0.3">
      <c r="A1157" s="1" t="s">
        <v>28</v>
      </c>
    </row>
    <row r="1158" spans="1:1" x14ac:dyDescent="0.3">
      <c r="A1158" s="2" t="s">
        <v>89</v>
      </c>
    </row>
    <row r="1159" spans="1:1" x14ac:dyDescent="0.3">
      <c r="A1159" s="1" t="s">
        <v>28</v>
      </c>
    </row>
    <row r="1160" spans="1:1" x14ac:dyDescent="0.3">
      <c r="A1160" s="2" t="s">
        <v>89</v>
      </c>
    </row>
    <row r="1161" spans="1:1" x14ac:dyDescent="0.3">
      <c r="A1161" s="1" t="s">
        <v>28</v>
      </c>
    </row>
    <row r="1162" spans="1:1" x14ac:dyDescent="0.3">
      <c r="A1162" s="2" t="s">
        <v>28</v>
      </c>
    </row>
    <row r="1163" spans="1:1" x14ac:dyDescent="0.3">
      <c r="A1163" s="1" t="s">
        <v>28</v>
      </c>
    </row>
    <row r="1164" spans="1:1" x14ac:dyDescent="0.3">
      <c r="A1164" s="2" t="s">
        <v>28</v>
      </c>
    </row>
    <row r="1165" spans="1:1" x14ac:dyDescent="0.3">
      <c r="A1165" s="1" t="s">
        <v>89</v>
      </c>
    </row>
    <row r="1166" spans="1:1" x14ac:dyDescent="0.3">
      <c r="A1166" s="2" t="s">
        <v>28</v>
      </c>
    </row>
    <row r="1167" spans="1:1" x14ac:dyDescent="0.3">
      <c r="A1167" s="1" t="s">
        <v>28</v>
      </c>
    </row>
    <row r="1168" spans="1:1" x14ac:dyDescent="0.3">
      <c r="A1168" s="2" t="s">
        <v>89</v>
      </c>
    </row>
    <row r="1169" spans="1:1" x14ac:dyDescent="0.3">
      <c r="A1169" s="1" t="s">
        <v>89</v>
      </c>
    </row>
    <row r="1170" spans="1:1" x14ac:dyDescent="0.3">
      <c r="A1170" s="2" t="s">
        <v>28</v>
      </c>
    </row>
    <row r="1171" spans="1:1" x14ac:dyDescent="0.3">
      <c r="A1171" s="1" t="s">
        <v>28</v>
      </c>
    </row>
    <row r="1172" spans="1:1" x14ac:dyDescent="0.3">
      <c r="A1172" s="2" t="s">
        <v>28</v>
      </c>
    </row>
    <row r="1173" spans="1:1" x14ac:dyDescent="0.3">
      <c r="A1173" s="1" t="s">
        <v>28</v>
      </c>
    </row>
    <row r="1174" spans="1:1" x14ac:dyDescent="0.3">
      <c r="A1174" s="2" t="s">
        <v>28</v>
      </c>
    </row>
    <row r="1175" spans="1:1" x14ac:dyDescent="0.3">
      <c r="A1175" s="1" t="s">
        <v>28</v>
      </c>
    </row>
    <row r="1176" spans="1:1" x14ac:dyDescent="0.3">
      <c r="A1176" s="2" t="s">
        <v>28</v>
      </c>
    </row>
    <row r="1177" spans="1:1" x14ac:dyDescent="0.3">
      <c r="A1177" s="1" t="s">
        <v>28</v>
      </c>
    </row>
    <row r="1178" spans="1:1" x14ac:dyDescent="0.3">
      <c r="A1178" s="2" t="s">
        <v>28</v>
      </c>
    </row>
    <row r="1179" spans="1:1" x14ac:dyDescent="0.3">
      <c r="A1179" s="1" t="s">
        <v>89</v>
      </c>
    </row>
    <row r="1180" spans="1:1" x14ac:dyDescent="0.3">
      <c r="A1180" s="2" t="s">
        <v>89</v>
      </c>
    </row>
    <row r="1181" spans="1:1" x14ac:dyDescent="0.3">
      <c r="A1181" s="1" t="s">
        <v>28</v>
      </c>
    </row>
    <row r="1182" spans="1:1" x14ac:dyDescent="0.3">
      <c r="A1182" s="2" t="s">
        <v>28</v>
      </c>
    </row>
    <row r="1183" spans="1:1" x14ac:dyDescent="0.3">
      <c r="A1183" s="1" t="s">
        <v>28</v>
      </c>
    </row>
    <row r="1184" spans="1:1" x14ac:dyDescent="0.3">
      <c r="A1184" s="2" t="s">
        <v>28</v>
      </c>
    </row>
    <row r="1185" spans="1:1" x14ac:dyDescent="0.3">
      <c r="A1185" s="1" t="s">
        <v>89</v>
      </c>
    </row>
    <row r="1186" spans="1:1" x14ac:dyDescent="0.3">
      <c r="A1186" s="2" t="s">
        <v>28</v>
      </c>
    </row>
    <row r="1187" spans="1:1" x14ac:dyDescent="0.3">
      <c r="A1187" s="1" t="s">
        <v>28</v>
      </c>
    </row>
    <row r="1188" spans="1:1" x14ac:dyDescent="0.3">
      <c r="A1188" s="2" t="s">
        <v>28</v>
      </c>
    </row>
    <row r="1189" spans="1:1" x14ac:dyDescent="0.3">
      <c r="A1189" s="1" t="s">
        <v>28</v>
      </c>
    </row>
    <row r="1190" spans="1:1" x14ac:dyDescent="0.3">
      <c r="A1190" s="2" t="s">
        <v>28</v>
      </c>
    </row>
    <row r="1191" spans="1:1" x14ac:dyDescent="0.3">
      <c r="A1191" s="1" t="s">
        <v>28</v>
      </c>
    </row>
    <row r="1192" spans="1:1" x14ac:dyDescent="0.3">
      <c r="A1192" s="2" t="s">
        <v>28</v>
      </c>
    </row>
    <row r="1193" spans="1:1" x14ac:dyDescent="0.3">
      <c r="A1193" s="1" t="s">
        <v>28</v>
      </c>
    </row>
    <row r="1194" spans="1:1" x14ac:dyDescent="0.3">
      <c r="A1194" s="2" t="s">
        <v>28</v>
      </c>
    </row>
    <row r="1195" spans="1:1" x14ac:dyDescent="0.3">
      <c r="A1195" s="1" t="s">
        <v>28</v>
      </c>
    </row>
    <row r="1196" spans="1:1" x14ac:dyDescent="0.3">
      <c r="A1196" s="2" t="s">
        <v>28</v>
      </c>
    </row>
    <row r="1197" spans="1:1" x14ac:dyDescent="0.3">
      <c r="A1197" s="1" t="s">
        <v>89</v>
      </c>
    </row>
    <row r="1198" spans="1:1" x14ac:dyDescent="0.3">
      <c r="A1198" s="2" t="s">
        <v>89</v>
      </c>
    </row>
    <row r="1199" spans="1:1" x14ac:dyDescent="0.3">
      <c r="A1199" s="1" t="s">
        <v>28</v>
      </c>
    </row>
    <row r="1200" spans="1:1" x14ac:dyDescent="0.3">
      <c r="A1200" s="2" t="s">
        <v>28</v>
      </c>
    </row>
    <row r="1201" spans="1:1" x14ac:dyDescent="0.3">
      <c r="A1201" s="1" t="s">
        <v>89</v>
      </c>
    </row>
    <row r="1202" spans="1:1" x14ac:dyDescent="0.3">
      <c r="A1202" s="2" t="s">
        <v>28</v>
      </c>
    </row>
    <row r="1203" spans="1:1" x14ac:dyDescent="0.3">
      <c r="A1203" s="1" t="s">
        <v>28</v>
      </c>
    </row>
    <row r="1204" spans="1:1" x14ac:dyDescent="0.3">
      <c r="A1204" s="2" t="s">
        <v>28</v>
      </c>
    </row>
    <row r="1205" spans="1:1" x14ac:dyDescent="0.3">
      <c r="A1205" s="1" t="s">
        <v>28</v>
      </c>
    </row>
    <row r="1206" spans="1:1" x14ac:dyDescent="0.3">
      <c r="A1206" s="2" t="s">
        <v>89</v>
      </c>
    </row>
    <row r="1207" spans="1:1" x14ac:dyDescent="0.3">
      <c r="A1207" s="1" t="s">
        <v>28</v>
      </c>
    </row>
    <row r="1208" spans="1:1" x14ac:dyDescent="0.3">
      <c r="A1208" s="2" t="s">
        <v>28</v>
      </c>
    </row>
    <row r="1209" spans="1:1" x14ac:dyDescent="0.3">
      <c r="A1209" s="1" t="s">
        <v>28</v>
      </c>
    </row>
    <row r="1210" spans="1:1" x14ac:dyDescent="0.3">
      <c r="A1210" s="2" t="s">
        <v>28</v>
      </c>
    </row>
    <row r="1211" spans="1:1" x14ac:dyDescent="0.3">
      <c r="A1211" s="1" t="s">
        <v>28</v>
      </c>
    </row>
    <row r="1212" spans="1:1" x14ac:dyDescent="0.3">
      <c r="A1212" s="2" t="s">
        <v>28</v>
      </c>
    </row>
    <row r="1213" spans="1:1" x14ac:dyDescent="0.3">
      <c r="A1213" s="1" t="s">
        <v>28</v>
      </c>
    </row>
    <row r="1214" spans="1:1" x14ac:dyDescent="0.3">
      <c r="A1214" s="2" t="s">
        <v>28</v>
      </c>
    </row>
    <row r="1215" spans="1:1" x14ac:dyDescent="0.3">
      <c r="A1215" s="1" t="s">
        <v>28</v>
      </c>
    </row>
    <row r="1216" spans="1:1" x14ac:dyDescent="0.3">
      <c r="A1216" s="2" t="s">
        <v>89</v>
      </c>
    </row>
    <row r="1217" spans="1:1" x14ac:dyDescent="0.3">
      <c r="A1217" s="1" t="s">
        <v>28</v>
      </c>
    </row>
    <row r="1218" spans="1:1" x14ac:dyDescent="0.3">
      <c r="A1218" s="2" t="s">
        <v>89</v>
      </c>
    </row>
    <row r="1219" spans="1:1" x14ac:dyDescent="0.3">
      <c r="A1219" s="1" t="s">
        <v>28</v>
      </c>
    </row>
    <row r="1220" spans="1:1" x14ac:dyDescent="0.3">
      <c r="A1220" s="2" t="s">
        <v>89</v>
      </c>
    </row>
    <row r="1221" spans="1:1" x14ac:dyDescent="0.3">
      <c r="A1221" s="1" t="s">
        <v>28</v>
      </c>
    </row>
    <row r="1222" spans="1:1" x14ac:dyDescent="0.3">
      <c r="A1222" s="2" t="s">
        <v>28</v>
      </c>
    </row>
    <row r="1223" spans="1:1" x14ac:dyDescent="0.3">
      <c r="A1223" s="1" t="s">
        <v>28</v>
      </c>
    </row>
    <row r="1224" spans="1:1" x14ac:dyDescent="0.3">
      <c r="A1224" s="2" t="s">
        <v>89</v>
      </c>
    </row>
    <row r="1225" spans="1:1" x14ac:dyDescent="0.3">
      <c r="A1225" s="1" t="s">
        <v>28</v>
      </c>
    </row>
    <row r="1226" spans="1:1" x14ac:dyDescent="0.3">
      <c r="A1226" s="2" t="s">
        <v>28</v>
      </c>
    </row>
    <row r="1227" spans="1:1" x14ac:dyDescent="0.3">
      <c r="A1227" s="1" t="s">
        <v>28</v>
      </c>
    </row>
    <row r="1228" spans="1:1" x14ac:dyDescent="0.3">
      <c r="A1228" s="2" t="s">
        <v>89</v>
      </c>
    </row>
    <row r="1229" spans="1:1" x14ac:dyDescent="0.3">
      <c r="A1229" s="1" t="s">
        <v>28</v>
      </c>
    </row>
    <row r="1230" spans="1:1" x14ac:dyDescent="0.3">
      <c r="A1230" s="2" t="s">
        <v>28</v>
      </c>
    </row>
    <row r="1231" spans="1:1" x14ac:dyDescent="0.3">
      <c r="A1231" s="1" t="s">
        <v>28</v>
      </c>
    </row>
    <row r="1232" spans="1:1" x14ac:dyDescent="0.3">
      <c r="A1232" s="2" t="s">
        <v>28</v>
      </c>
    </row>
    <row r="1233" spans="1:1" x14ac:dyDescent="0.3">
      <c r="A1233" s="1" t="s">
        <v>89</v>
      </c>
    </row>
    <row r="1234" spans="1:1" x14ac:dyDescent="0.3">
      <c r="A1234" s="2" t="s">
        <v>28</v>
      </c>
    </row>
    <row r="1235" spans="1:1" x14ac:dyDescent="0.3">
      <c r="A1235" s="1" t="s">
        <v>89</v>
      </c>
    </row>
    <row r="1236" spans="1:1" x14ac:dyDescent="0.3">
      <c r="A1236" s="2" t="s">
        <v>28</v>
      </c>
    </row>
    <row r="1237" spans="1:1" x14ac:dyDescent="0.3">
      <c r="A1237" s="1" t="s">
        <v>28</v>
      </c>
    </row>
    <row r="1238" spans="1:1" x14ac:dyDescent="0.3">
      <c r="A1238" s="2" t="s">
        <v>28</v>
      </c>
    </row>
    <row r="1239" spans="1:1" x14ac:dyDescent="0.3">
      <c r="A1239" s="1" t="s">
        <v>28</v>
      </c>
    </row>
    <row r="1240" spans="1:1" x14ac:dyDescent="0.3">
      <c r="A1240" s="2" t="s">
        <v>28</v>
      </c>
    </row>
    <row r="1241" spans="1:1" x14ac:dyDescent="0.3">
      <c r="A1241" s="1" t="s">
        <v>28</v>
      </c>
    </row>
    <row r="1242" spans="1:1" x14ac:dyDescent="0.3">
      <c r="A1242" s="2" t="s">
        <v>28</v>
      </c>
    </row>
    <row r="1243" spans="1:1" x14ac:dyDescent="0.3">
      <c r="A1243" s="1" t="s">
        <v>28</v>
      </c>
    </row>
    <row r="1244" spans="1:1" x14ac:dyDescent="0.3">
      <c r="A1244" s="2" t="s">
        <v>28</v>
      </c>
    </row>
    <row r="1245" spans="1:1" x14ac:dyDescent="0.3">
      <c r="A1245" s="1" t="s">
        <v>28</v>
      </c>
    </row>
    <row r="1246" spans="1:1" x14ac:dyDescent="0.3">
      <c r="A1246" s="2" t="s">
        <v>28</v>
      </c>
    </row>
    <row r="1247" spans="1:1" x14ac:dyDescent="0.3">
      <c r="A1247" s="1" t="s">
        <v>28</v>
      </c>
    </row>
    <row r="1248" spans="1:1" x14ac:dyDescent="0.3">
      <c r="A1248" s="2" t="s">
        <v>28</v>
      </c>
    </row>
    <row r="1249" spans="1:1" x14ac:dyDescent="0.3">
      <c r="A1249" s="1" t="s">
        <v>28</v>
      </c>
    </row>
    <row r="1250" spans="1:1" x14ac:dyDescent="0.3">
      <c r="A1250" s="2" t="s">
        <v>28</v>
      </c>
    </row>
    <row r="1251" spans="1:1" x14ac:dyDescent="0.3">
      <c r="A1251" s="1" t="s">
        <v>28</v>
      </c>
    </row>
    <row r="1252" spans="1:1" x14ac:dyDescent="0.3">
      <c r="A1252" s="2" t="s">
        <v>28</v>
      </c>
    </row>
    <row r="1253" spans="1:1" x14ac:dyDescent="0.3">
      <c r="A1253" s="1" t="s">
        <v>28</v>
      </c>
    </row>
    <row r="1254" spans="1:1" x14ac:dyDescent="0.3">
      <c r="A1254" s="2" t="s">
        <v>28</v>
      </c>
    </row>
    <row r="1255" spans="1:1" x14ac:dyDescent="0.3">
      <c r="A1255" s="1" t="s">
        <v>28</v>
      </c>
    </row>
    <row r="1256" spans="1:1" x14ac:dyDescent="0.3">
      <c r="A1256" s="2" t="s">
        <v>89</v>
      </c>
    </row>
    <row r="1257" spans="1:1" x14ac:dyDescent="0.3">
      <c r="A1257" s="1" t="s">
        <v>89</v>
      </c>
    </row>
    <row r="1258" spans="1:1" x14ac:dyDescent="0.3">
      <c r="A1258" s="2" t="s">
        <v>89</v>
      </c>
    </row>
    <row r="1259" spans="1:1" x14ac:dyDescent="0.3">
      <c r="A1259" s="1" t="s">
        <v>28</v>
      </c>
    </row>
    <row r="1260" spans="1:1" x14ac:dyDescent="0.3">
      <c r="A1260" s="2" t="s">
        <v>28</v>
      </c>
    </row>
    <row r="1261" spans="1:1" x14ac:dyDescent="0.3">
      <c r="A1261" s="1" t="s">
        <v>28</v>
      </c>
    </row>
    <row r="1262" spans="1:1" x14ac:dyDescent="0.3">
      <c r="A1262" s="2" t="s">
        <v>28</v>
      </c>
    </row>
    <row r="1263" spans="1:1" x14ac:dyDescent="0.3">
      <c r="A1263" s="1" t="s">
        <v>28</v>
      </c>
    </row>
    <row r="1264" spans="1:1" x14ac:dyDescent="0.3">
      <c r="A1264" s="2" t="s">
        <v>28</v>
      </c>
    </row>
    <row r="1265" spans="1:1" x14ac:dyDescent="0.3">
      <c r="A1265" s="1" t="s">
        <v>89</v>
      </c>
    </row>
    <row r="1266" spans="1:1" x14ac:dyDescent="0.3">
      <c r="A1266" s="2" t="s">
        <v>28</v>
      </c>
    </row>
    <row r="1267" spans="1:1" x14ac:dyDescent="0.3">
      <c r="A1267" s="1" t="s">
        <v>28</v>
      </c>
    </row>
    <row r="1268" spans="1:1" x14ac:dyDescent="0.3">
      <c r="A1268" s="2" t="s">
        <v>28</v>
      </c>
    </row>
    <row r="1269" spans="1:1" x14ac:dyDescent="0.3">
      <c r="A1269" s="1" t="s">
        <v>28</v>
      </c>
    </row>
    <row r="1270" spans="1:1" x14ac:dyDescent="0.3">
      <c r="A1270" s="2" t="s">
        <v>28</v>
      </c>
    </row>
    <row r="1271" spans="1:1" x14ac:dyDescent="0.3">
      <c r="A1271" s="1" t="s">
        <v>28</v>
      </c>
    </row>
    <row r="1272" spans="1:1" x14ac:dyDescent="0.3">
      <c r="A1272" s="2" t="s">
        <v>28</v>
      </c>
    </row>
    <row r="1273" spans="1:1" x14ac:dyDescent="0.3">
      <c r="A1273" s="1" t="s">
        <v>28</v>
      </c>
    </row>
    <row r="1274" spans="1:1" x14ac:dyDescent="0.3">
      <c r="A1274" s="2" t="s">
        <v>28</v>
      </c>
    </row>
    <row r="1275" spans="1:1" x14ac:dyDescent="0.3">
      <c r="A1275" s="1" t="s">
        <v>28</v>
      </c>
    </row>
    <row r="1276" spans="1:1" x14ac:dyDescent="0.3">
      <c r="A1276" s="2" t="s">
        <v>28</v>
      </c>
    </row>
    <row r="1277" spans="1:1" x14ac:dyDescent="0.3">
      <c r="A1277" s="1" t="s">
        <v>28</v>
      </c>
    </row>
    <row r="1278" spans="1:1" x14ac:dyDescent="0.3">
      <c r="A1278" s="2" t="s">
        <v>89</v>
      </c>
    </row>
    <row r="1279" spans="1:1" x14ac:dyDescent="0.3">
      <c r="A1279" s="1" t="s">
        <v>28</v>
      </c>
    </row>
    <row r="1280" spans="1:1" x14ac:dyDescent="0.3">
      <c r="A1280" s="2" t="s">
        <v>89</v>
      </c>
    </row>
    <row r="1281" spans="1:1" x14ac:dyDescent="0.3">
      <c r="A1281" s="1" t="s">
        <v>89</v>
      </c>
    </row>
    <row r="1282" spans="1:1" x14ac:dyDescent="0.3">
      <c r="A1282" s="2" t="s">
        <v>89</v>
      </c>
    </row>
    <row r="1283" spans="1:1" x14ac:dyDescent="0.3">
      <c r="A1283" s="1" t="s">
        <v>89</v>
      </c>
    </row>
    <row r="1284" spans="1:1" x14ac:dyDescent="0.3">
      <c r="A1284" s="2" t="s">
        <v>89</v>
      </c>
    </row>
    <row r="1285" spans="1:1" x14ac:dyDescent="0.3">
      <c r="A1285" s="1" t="s">
        <v>28</v>
      </c>
    </row>
    <row r="1286" spans="1:1" x14ac:dyDescent="0.3">
      <c r="A1286" s="2" t="s">
        <v>28</v>
      </c>
    </row>
    <row r="1287" spans="1:1" x14ac:dyDescent="0.3">
      <c r="A1287" s="1" t="s">
        <v>28</v>
      </c>
    </row>
    <row r="1288" spans="1:1" x14ac:dyDescent="0.3">
      <c r="A1288" s="2" t="s">
        <v>89</v>
      </c>
    </row>
    <row r="1289" spans="1:1" x14ac:dyDescent="0.3">
      <c r="A1289" s="1" t="s">
        <v>28</v>
      </c>
    </row>
    <row r="1290" spans="1:1" x14ac:dyDescent="0.3">
      <c r="A1290" s="2" t="s">
        <v>28</v>
      </c>
    </row>
    <row r="1291" spans="1:1" x14ac:dyDescent="0.3">
      <c r="A1291" s="1" t="s">
        <v>28</v>
      </c>
    </row>
    <row r="1292" spans="1:1" x14ac:dyDescent="0.3">
      <c r="A1292" s="2" t="s">
        <v>28</v>
      </c>
    </row>
    <row r="1293" spans="1:1" x14ac:dyDescent="0.3">
      <c r="A1293" s="1" t="s">
        <v>28</v>
      </c>
    </row>
    <row r="1294" spans="1:1" x14ac:dyDescent="0.3">
      <c r="A1294" s="2" t="s">
        <v>28</v>
      </c>
    </row>
    <row r="1295" spans="1:1" x14ac:dyDescent="0.3">
      <c r="A1295" s="1" t="s">
        <v>28</v>
      </c>
    </row>
    <row r="1296" spans="1:1" x14ac:dyDescent="0.3">
      <c r="A1296" s="2" t="s">
        <v>28</v>
      </c>
    </row>
    <row r="1297" spans="1:1" x14ac:dyDescent="0.3">
      <c r="A1297" s="1" t="s">
        <v>89</v>
      </c>
    </row>
    <row r="1298" spans="1:1" x14ac:dyDescent="0.3">
      <c r="A1298" s="2" t="s">
        <v>89</v>
      </c>
    </row>
    <row r="1299" spans="1:1" x14ac:dyDescent="0.3">
      <c r="A1299" s="1" t="s">
        <v>28</v>
      </c>
    </row>
    <row r="1300" spans="1:1" x14ac:dyDescent="0.3">
      <c r="A1300" s="2" t="s">
        <v>28</v>
      </c>
    </row>
    <row r="1301" spans="1:1" x14ac:dyDescent="0.3">
      <c r="A1301" s="1" t="s">
        <v>28</v>
      </c>
    </row>
    <row r="1302" spans="1:1" x14ac:dyDescent="0.3">
      <c r="A1302" s="2" t="s">
        <v>28</v>
      </c>
    </row>
    <row r="1303" spans="1:1" x14ac:dyDescent="0.3">
      <c r="A1303" s="1" t="s">
        <v>28</v>
      </c>
    </row>
    <row r="1304" spans="1:1" x14ac:dyDescent="0.3">
      <c r="A1304" s="2" t="s">
        <v>89</v>
      </c>
    </row>
    <row r="1305" spans="1:1" x14ac:dyDescent="0.3">
      <c r="A1305" s="1" t="s">
        <v>28</v>
      </c>
    </row>
    <row r="1306" spans="1:1" x14ac:dyDescent="0.3">
      <c r="A1306" s="2" t="s">
        <v>28</v>
      </c>
    </row>
    <row r="1307" spans="1:1" x14ac:dyDescent="0.3">
      <c r="A1307" s="1" t="s">
        <v>28</v>
      </c>
    </row>
    <row r="1308" spans="1:1" x14ac:dyDescent="0.3">
      <c r="A1308" s="2" t="s">
        <v>89</v>
      </c>
    </row>
    <row r="1309" spans="1:1" x14ac:dyDescent="0.3">
      <c r="A1309" s="1" t="s">
        <v>28</v>
      </c>
    </row>
    <row r="1310" spans="1:1" x14ac:dyDescent="0.3">
      <c r="A1310" s="2" t="s">
        <v>28</v>
      </c>
    </row>
    <row r="1311" spans="1:1" x14ac:dyDescent="0.3">
      <c r="A1311" s="1" t="s">
        <v>28</v>
      </c>
    </row>
    <row r="1312" spans="1:1" x14ac:dyDescent="0.3">
      <c r="A1312" s="2" t="s">
        <v>28</v>
      </c>
    </row>
    <row r="1313" spans="1:1" x14ac:dyDescent="0.3">
      <c r="A1313" s="1" t="s">
        <v>28</v>
      </c>
    </row>
    <row r="1314" spans="1:1" x14ac:dyDescent="0.3">
      <c r="A1314" s="2" t="s">
        <v>89</v>
      </c>
    </row>
    <row r="1315" spans="1:1" x14ac:dyDescent="0.3">
      <c r="A1315" s="1" t="s">
        <v>28</v>
      </c>
    </row>
    <row r="1316" spans="1:1" x14ac:dyDescent="0.3">
      <c r="A1316" s="2" t="s">
        <v>28</v>
      </c>
    </row>
    <row r="1317" spans="1:1" x14ac:dyDescent="0.3">
      <c r="A1317" s="1" t="s">
        <v>28</v>
      </c>
    </row>
    <row r="1318" spans="1:1" x14ac:dyDescent="0.3">
      <c r="A1318" s="2" t="s">
        <v>89</v>
      </c>
    </row>
    <row r="1319" spans="1:1" x14ac:dyDescent="0.3">
      <c r="A1319" s="1" t="s">
        <v>89</v>
      </c>
    </row>
    <row r="1320" spans="1:1" x14ac:dyDescent="0.3">
      <c r="A1320" s="2" t="s">
        <v>89</v>
      </c>
    </row>
    <row r="1321" spans="1:1" x14ac:dyDescent="0.3">
      <c r="A1321" s="1" t="s">
        <v>28</v>
      </c>
    </row>
    <row r="1322" spans="1:1" x14ac:dyDescent="0.3">
      <c r="A1322" s="2" t="s">
        <v>28</v>
      </c>
    </row>
    <row r="1323" spans="1:1" x14ac:dyDescent="0.3">
      <c r="A1323" s="1" t="s">
        <v>28</v>
      </c>
    </row>
    <row r="1324" spans="1:1" x14ac:dyDescent="0.3">
      <c r="A1324" s="2" t="s">
        <v>28</v>
      </c>
    </row>
    <row r="1325" spans="1:1" x14ac:dyDescent="0.3">
      <c r="A1325" s="1" t="s">
        <v>28</v>
      </c>
    </row>
    <row r="1326" spans="1:1" x14ac:dyDescent="0.3">
      <c r="A1326" s="2" t="s">
        <v>89</v>
      </c>
    </row>
    <row r="1327" spans="1:1" x14ac:dyDescent="0.3">
      <c r="A1327" s="1" t="s">
        <v>28</v>
      </c>
    </row>
    <row r="1328" spans="1:1" x14ac:dyDescent="0.3">
      <c r="A1328" s="2" t="s">
        <v>89</v>
      </c>
    </row>
    <row r="1329" spans="1:1" x14ac:dyDescent="0.3">
      <c r="A1329" s="1" t="s">
        <v>28</v>
      </c>
    </row>
    <row r="1330" spans="1:1" x14ac:dyDescent="0.3">
      <c r="A1330" s="2" t="s">
        <v>28</v>
      </c>
    </row>
    <row r="1331" spans="1:1" x14ac:dyDescent="0.3">
      <c r="A1331" s="1" t="s">
        <v>28</v>
      </c>
    </row>
    <row r="1332" spans="1:1" x14ac:dyDescent="0.3">
      <c r="A1332" s="2" t="s">
        <v>28</v>
      </c>
    </row>
    <row r="1333" spans="1:1" x14ac:dyDescent="0.3">
      <c r="A1333" s="1" t="s">
        <v>28</v>
      </c>
    </row>
    <row r="1334" spans="1:1" x14ac:dyDescent="0.3">
      <c r="A1334" s="2" t="s">
        <v>28</v>
      </c>
    </row>
    <row r="1335" spans="1:1" x14ac:dyDescent="0.3">
      <c r="A1335" s="1" t="s">
        <v>89</v>
      </c>
    </row>
    <row r="1336" spans="1:1" x14ac:dyDescent="0.3">
      <c r="A1336" s="2" t="s">
        <v>28</v>
      </c>
    </row>
    <row r="1337" spans="1:1" x14ac:dyDescent="0.3">
      <c r="A1337" s="1" t="s">
        <v>89</v>
      </c>
    </row>
    <row r="1338" spans="1:1" x14ac:dyDescent="0.3">
      <c r="A1338" s="2" t="s">
        <v>28</v>
      </c>
    </row>
    <row r="1339" spans="1:1" x14ac:dyDescent="0.3">
      <c r="A1339" s="1" t="s">
        <v>28</v>
      </c>
    </row>
    <row r="1340" spans="1:1" x14ac:dyDescent="0.3">
      <c r="A1340" s="2" t="s">
        <v>28</v>
      </c>
    </row>
    <row r="1341" spans="1:1" x14ac:dyDescent="0.3">
      <c r="A1341" s="1" t="s">
        <v>89</v>
      </c>
    </row>
    <row r="1342" spans="1:1" x14ac:dyDescent="0.3">
      <c r="A1342" s="2" t="s">
        <v>89</v>
      </c>
    </row>
    <row r="1343" spans="1:1" x14ac:dyDescent="0.3">
      <c r="A1343" s="1" t="s">
        <v>28</v>
      </c>
    </row>
    <row r="1344" spans="1:1" x14ac:dyDescent="0.3">
      <c r="A1344" s="2" t="s">
        <v>28</v>
      </c>
    </row>
    <row r="1345" spans="1:1" x14ac:dyDescent="0.3">
      <c r="A1345" s="1" t="s">
        <v>28</v>
      </c>
    </row>
    <row r="1346" spans="1:1" x14ac:dyDescent="0.3">
      <c r="A1346" s="2" t="s">
        <v>28</v>
      </c>
    </row>
    <row r="1347" spans="1:1" x14ac:dyDescent="0.3">
      <c r="A1347" s="1" t="s">
        <v>28</v>
      </c>
    </row>
    <row r="1348" spans="1:1" x14ac:dyDescent="0.3">
      <c r="A1348" s="2" t="s">
        <v>89</v>
      </c>
    </row>
    <row r="1349" spans="1:1" x14ac:dyDescent="0.3">
      <c r="A1349" s="1" t="s">
        <v>28</v>
      </c>
    </row>
    <row r="1350" spans="1:1" x14ac:dyDescent="0.3">
      <c r="A1350" s="2" t="s">
        <v>89</v>
      </c>
    </row>
    <row r="1351" spans="1:1" x14ac:dyDescent="0.3">
      <c r="A1351" s="1" t="s">
        <v>28</v>
      </c>
    </row>
    <row r="1352" spans="1:1" x14ac:dyDescent="0.3">
      <c r="A1352" s="2" t="s">
        <v>28</v>
      </c>
    </row>
    <row r="1353" spans="1:1" x14ac:dyDescent="0.3">
      <c r="A1353" s="1" t="s">
        <v>89</v>
      </c>
    </row>
    <row r="1354" spans="1:1" x14ac:dyDescent="0.3">
      <c r="A1354" s="2" t="s">
        <v>28</v>
      </c>
    </row>
    <row r="1355" spans="1:1" x14ac:dyDescent="0.3">
      <c r="A1355" s="1" t="s">
        <v>28</v>
      </c>
    </row>
    <row r="1356" spans="1:1" x14ac:dyDescent="0.3">
      <c r="A1356" s="2" t="s">
        <v>28</v>
      </c>
    </row>
    <row r="1357" spans="1:1" x14ac:dyDescent="0.3">
      <c r="A1357" s="1" t="s">
        <v>28</v>
      </c>
    </row>
    <row r="1358" spans="1:1" x14ac:dyDescent="0.3">
      <c r="A1358" s="2" t="s">
        <v>28</v>
      </c>
    </row>
    <row r="1359" spans="1:1" x14ac:dyDescent="0.3">
      <c r="A1359" s="1" t="s">
        <v>89</v>
      </c>
    </row>
    <row r="1360" spans="1:1" x14ac:dyDescent="0.3">
      <c r="A1360" s="2" t="s">
        <v>28</v>
      </c>
    </row>
    <row r="1361" spans="1:1" x14ac:dyDescent="0.3">
      <c r="A1361" s="1" t="s">
        <v>89</v>
      </c>
    </row>
    <row r="1362" spans="1:1" x14ac:dyDescent="0.3">
      <c r="A1362" s="2" t="s">
        <v>28</v>
      </c>
    </row>
    <row r="1363" spans="1:1" x14ac:dyDescent="0.3">
      <c r="A1363" s="1" t="s">
        <v>28</v>
      </c>
    </row>
    <row r="1364" spans="1:1" x14ac:dyDescent="0.3">
      <c r="A1364" s="2" t="s">
        <v>28</v>
      </c>
    </row>
    <row r="1365" spans="1:1" x14ac:dyDescent="0.3">
      <c r="A1365" s="1" t="s">
        <v>28</v>
      </c>
    </row>
    <row r="1366" spans="1:1" x14ac:dyDescent="0.3">
      <c r="A1366" s="2" t="s">
        <v>89</v>
      </c>
    </row>
    <row r="1367" spans="1:1" x14ac:dyDescent="0.3">
      <c r="A1367" s="1" t="s">
        <v>89</v>
      </c>
    </row>
    <row r="1368" spans="1:1" x14ac:dyDescent="0.3">
      <c r="A1368" s="2" t="s">
        <v>89</v>
      </c>
    </row>
    <row r="1369" spans="1:1" x14ac:dyDescent="0.3">
      <c r="A1369" s="1" t="s">
        <v>89</v>
      </c>
    </row>
    <row r="1370" spans="1:1" x14ac:dyDescent="0.3">
      <c r="A1370" s="2" t="s">
        <v>28</v>
      </c>
    </row>
    <row r="1371" spans="1:1" x14ac:dyDescent="0.3">
      <c r="A1371" s="1" t="s">
        <v>28</v>
      </c>
    </row>
    <row r="1372" spans="1:1" x14ac:dyDescent="0.3">
      <c r="A1372" s="2" t="s">
        <v>28</v>
      </c>
    </row>
    <row r="1373" spans="1:1" x14ac:dyDescent="0.3">
      <c r="A1373" s="1" t="s">
        <v>28</v>
      </c>
    </row>
    <row r="1374" spans="1:1" x14ac:dyDescent="0.3">
      <c r="A1374" s="2" t="s">
        <v>89</v>
      </c>
    </row>
    <row r="1375" spans="1:1" x14ac:dyDescent="0.3">
      <c r="A1375" s="1" t="s">
        <v>89</v>
      </c>
    </row>
    <row r="1376" spans="1:1" x14ac:dyDescent="0.3">
      <c r="A1376" s="2" t="s">
        <v>28</v>
      </c>
    </row>
    <row r="1377" spans="1:1" x14ac:dyDescent="0.3">
      <c r="A1377" s="1" t="s">
        <v>28</v>
      </c>
    </row>
    <row r="1378" spans="1:1" x14ac:dyDescent="0.3">
      <c r="A1378" s="2" t="s">
        <v>28</v>
      </c>
    </row>
    <row r="1379" spans="1:1" x14ac:dyDescent="0.3">
      <c r="A1379" s="1" t="s">
        <v>28</v>
      </c>
    </row>
    <row r="1380" spans="1:1" x14ac:dyDescent="0.3">
      <c r="A1380" s="2" t="s">
        <v>89</v>
      </c>
    </row>
    <row r="1381" spans="1:1" x14ac:dyDescent="0.3">
      <c r="A1381" s="1" t="s">
        <v>28</v>
      </c>
    </row>
    <row r="1382" spans="1:1" x14ac:dyDescent="0.3">
      <c r="A1382" s="2" t="s">
        <v>28</v>
      </c>
    </row>
    <row r="1383" spans="1:1" x14ac:dyDescent="0.3">
      <c r="A1383" s="1" t="s">
        <v>28</v>
      </c>
    </row>
    <row r="1384" spans="1:1" x14ac:dyDescent="0.3">
      <c r="A1384" s="2" t="s">
        <v>28</v>
      </c>
    </row>
    <row r="1385" spans="1:1" x14ac:dyDescent="0.3">
      <c r="A1385" s="1" t="s">
        <v>28</v>
      </c>
    </row>
    <row r="1386" spans="1:1" x14ac:dyDescent="0.3">
      <c r="A1386" s="2" t="s">
        <v>28</v>
      </c>
    </row>
    <row r="1387" spans="1:1" x14ac:dyDescent="0.3">
      <c r="A1387" s="1" t="s">
        <v>28</v>
      </c>
    </row>
    <row r="1388" spans="1:1" x14ac:dyDescent="0.3">
      <c r="A1388" s="2" t="s">
        <v>28</v>
      </c>
    </row>
    <row r="1389" spans="1:1" x14ac:dyDescent="0.3">
      <c r="A1389" s="1" t="s">
        <v>28</v>
      </c>
    </row>
    <row r="1390" spans="1:1" x14ac:dyDescent="0.3">
      <c r="A1390" s="2" t="s">
        <v>89</v>
      </c>
    </row>
    <row r="1391" spans="1:1" x14ac:dyDescent="0.3">
      <c r="A1391" s="1" t="s">
        <v>28</v>
      </c>
    </row>
    <row r="1392" spans="1:1" x14ac:dyDescent="0.3">
      <c r="A1392" s="2" t="s">
        <v>28</v>
      </c>
    </row>
    <row r="1393" spans="1:1" x14ac:dyDescent="0.3">
      <c r="A1393" s="1" t="s">
        <v>28</v>
      </c>
    </row>
    <row r="1394" spans="1:1" x14ac:dyDescent="0.3">
      <c r="A1394" s="2" t="s">
        <v>28</v>
      </c>
    </row>
    <row r="1395" spans="1:1" x14ac:dyDescent="0.3">
      <c r="A1395" s="1" t="s">
        <v>28</v>
      </c>
    </row>
    <row r="1396" spans="1:1" x14ac:dyDescent="0.3">
      <c r="A1396" s="2" t="s">
        <v>28</v>
      </c>
    </row>
    <row r="1397" spans="1:1" x14ac:dyDescent="0.3">
      <c r="A1397" s="1" t="s">
        <v>28</v>
      </c>
    </row>
    <row r="1398" spans="1:1" x14ac:dyDescent="0.3">
      <c r="A1398" s="2" t="s">
        <v>28</v>
      </c>
    </row>
    <row r="1399" spans="1:1" x14ac:dyDescent="0.3">
      <c r="A1399" s="1" t="s">
        <v>28</v>
      </c>
    </row>
    <row r="1400" spans="1:1" x14ac:dyDescent="0.3">
      <c r="A1400" s="2" t="s">
        <v>28</v>
      </c>
    </row>
    <row r="1401" spans="1:1" x14ac:dyDescent="0.3">
      <c r="A1401" s="1" t="s">
        <v>28</v>
      </c>
    </row>
    <row r="1402" spans="1:1" x14ac:dyDescent="0.3">
      <c r="A1402" s="2" t="s">
        <v>28</v>
      </c>
    </row>
    <row r="1403" spans="1:1" x14ac:dyDescent="0.3">
      <c r="A1403" s="1" t="s">
        <v>28</v>
      </c>
    </row>
    <row r="1404" spans="1:1" x14ac:dyDescent="0.3">
      <c r="A1404" s="2" t="s">
        <v>89</v>
      </c>
    </row>
    <row r="1405" spans="1:1" x14ac:dyDescent="0.3">
      <c r="A1405" s="1" t="s">
        <v>89</v>
      </c>
    </row>
    <row r="1406" spans="1:1" x14ac:dyDescent="0.3">
      <c r="A1406" s="2" t="s">
        <v>28</v>
      </c>
    </row>
    <row r="1407" spans="1:1" x14ac:dyDescent="0.3">
      <c r="A1407" s="1" t="s">
        <v>28</v>
      </c>
    </row>
    <row r="1408" spans="1:1" x14ac:dyDescent="0.3">
      <c r="A1408" s="2" t="s">
        <v>28</v>
      </c>
    </row>
    <row r="1409" spans="1:1" x14ac:dyDescent="0.3">
      <c r="A1409" s="1" t="s">
        <v>28</v>
      </c>
    </row>
    <row r="1410" spans="1:1" x14ac:dyDescent="0.3">
      <c r="A1410" s="2" t="s">
        <v>89</v>
      </c>
    </row>
    <row r="1411" spans="1:1" x14ac:dyDescent="0.3">
      <c r="A1411" s="1" t="s">
        <v>28</v>
      </c>
    </row>
    <row r="1412" spans="1:1" x14ac:dyDescent="0.3">
      <c r="A1412" s="2" t="s">
        <v>28</v>
      </c>
    </row>
    <row r="1413" spans="1:1" x14ac:dyDescent="0.3">
      <c r="A1413" s="1" t="s">
        <v>28</v>
      </c>
    </row>
    <row r="1414" spans="1:1" x14ac:dyDescent="0.3">
      <c r="A1414" s="2" t="s">
        <v>89</v>
      </c>
    </row>
    <row r="1415" spans="1:1" x14ac:dyDescent="0.3">
      <c r="A1415" s="1" t="s">
        <v>89</v>
      </c>
    </row>
    <row r="1416" spans="1:1" x14ac:dyDescent="0.3">
      <c r="A1416" s="2" t="s">
        <v>89</v>
      </c>
    </row>
    <row r="1417" spans="1:1" x14ac:dyDescent="0.3">
      <c r="A1417" s="1" t="s">
        <v>28</v>
      </c>
    </row>
    <row r="1418" spans="1:1" x14ac:dyDescent="0.3">
      <c r="A1418" s="2" t="s">
        <v>28</v>
      </c>
    </row>
    <row r="1419" spans="1:1" x14ac:dyDescent="0.3">
      <c r="A1419" s="1" t="s">
        <v>89</v>
      </c>
    </row>
    <row r="1420" spans="1:1" x14ac:dyDescent="0.3">
      <c r="A1420" s="2" t="s">
        <v>28</v>
      </c>
    </row>
    <row r="1421" spans="1:1" x14ac:dyDescent="0.3">
      <c r="A1421" s="1" t="s">
        <v>28</v>
      </c>
    </row>
    <row r="1422" spans="1:1" x14ac:dyDescent="0.3">
      <c r="A1422" s="2" t="s">
        <v>28</v>
      </c>
    </row>
    <row r="1423" spans="1:1" x14ac:dyDescent="0.3">
      <c r="A1423" s="1" t="s">
        <v>28</v>
      </c>
    </row>
    <row r="1424" spans="1:1" x14ac:dyDescent="0.3">
      <c r="A1424" s="2" t="s">
        <v>28</v>
      </c>
    </row>
    <row r="1425" spans="1:1" x14ac:dyDescent="0.3">
      <c r="A1425" s="1" t="s">
        <v>28</v>
      </c>
    </row>
    <row r="1426" spans="1:1" x14ac:dyDescent="0.3">
      <c r="A1426" s="2" t="s">
        <v>28</v>
      </c>
    </row>
    <row r="1427" spans="1:1" x14ac:dyDescent="0.3">
      <c r="A1427" s="1" t="s">
        <v>28</v>
      </c>
    </row>
    <row r="1428" spans="1:1" x14ac:dyDescent="0.3">
      <c r="A1428" s="2" t="s">
        <v>28</v>
      </c>
    </row>
    <row r="1429" spans="1:1" x14ac:dyDescent="0.3">
      <c r="A1429" s="1" t="s">
        <v>28</v>
      </c>
    </row>
    <row r="1430" spans="1:1" x14ac:dyDescent="0.3">
      <c r="A1430" s="2" t="s">
        <v>28</v>
      </c>
    </row>
    <row r="1431" spans="1:1" x14ac:dyDescent="0.3">
      <c r="A1431" s="1" t="s">
        <v>28</v>
      </c>
    </row>
    <row r="1432" spans="1:1" x14ac:dyDescent="0.3">
      <c r="A1432" s="2" t="s">
        <v>28</v>
      </c>
    </row>
    <row r="1433" spans="1:1" x14ac:dyDescent="0.3">
      <c r="A1433" s="1" t="s">
        <v>28</v>
      </c>
    </row>
    <row r="1434" spans="1:1" x14ac:dyDescent="0.3">
      <c r="A1434" s="2" t="s">
        <v>89</v>
      </c>
    </row>
    <row r="1435" spans="1:1" x14ac:dyDescent="0.3">
      <c r="A1435" s="1" t="s">
        <v>89</v>
      </c>
    </row>
    <row r="1436" spans="1:1" x14ac:dyDescent="0.3">
      <c r="A1436" s="2" t="s">
        <v>89</v>
      </c>
    </row>
    <row r="1437" spans="1:1" x14ac:dyDescent="0.3">
      <c r="A1437" s="1" t="s">
        <v>28</v>
      </c>
    </row>
    <row r="1438" spans="1:1" x14ac:dyDescent="0.3">
      <c r="A1438" s="2" t="s">
        <v>28</v>
      </c>
    </row>
    <row r="1439" spans="1:1" x14ac:dyDescent="0.3">
      <c r="A1439" s="1" t="s">
        <v>28</v>
      </c>
    </row>
    <row r="1440" spans="1:1" x14ac:dyDescent="0.3">
      <c r="A1440" s="2" t="s">
        <v>89</v>
      </c>
    </row>
    <row r="1441" spans="1:1" x14ac:dyDescent="0.3">
      <c r="A1441" s="1" t="s">
        <v>89</v>
      </c>
    </row>
    <row r="1442" spans="1:1" x14ac:dyDescent="0.3">
      <c r="A1442" s="2" t="s">
        <v>89</v>
      </c>
    </row>
    <row r="1443" spans="1:1" x14ac:dyDescent="0.3">
      <c r="A1443" s="1" t="s">
        <v>28</v>
      </c>
    </row>
    <row r="1444" spans="1:1" x14ac:dyDescent="0.3">
      <c r="A1444" s="2" t="s">
        <v>89</v>
      </c>
    </row>
    <row r="1445" spans="1:1" x14ac:dyDescent="0.3">
      <c r="A1445" s="1" t="s">
        <v>89</v>
      </c>
    </row>
    <row r="1446" spans="1:1" x14ac:dyDescent="0.3">
      <c r="A1446" s="2" t="s">
        <v>28</v>
      </c>
    </row>
    <row r="1447" spans="1:1" x14ac:dyDescent="0.3">
      <c r="A1447" s="1" t="s">
        <v>89</v>
      </c>
    </row>
    <row r="1448" spans="1:1" x14ac:dyDescent="0.3">
      <c r="A1448" s="2" t="s">
        <v>28</v>
      </c>
    </row>
    <row r="1449" spans="1:1" x14ac:dyDescent="0.3">
      <c r="A1449" s="1" t="s">
        <v>28</v>
      </c>
    </row>
    <row r="1450" spans="1:1" x14ac:dyDescent="0.3">
      <c r="A1450" s="2" t="s">
        <v>89</v>
      </c>
    </row>
    <row r="1451" spans="1:1" x14ac:dyDescent="0.3">
      <c r="A1451" s="1" t="s">
        <v>28</v>
      </c>
    </row>
    <row r="1452" spans="1:1" x14ac:dyDescent="0.3">
      <c r="A1452" s="2" t="s">
        <v>89</v>
      </c>
    </row>
    <row r="1453" spans="1:1" x14ac:dyDescent="0.3">
      <c r="A1453" s="1" t="s">
        <v>89</v>
      </c>
    </row>
    <row r="1454" spans="1:1" x14ac:dyDescent="0.3">
      <c r="A1454" s="2" t="s">
        <v>28</v>
      </c>
    </row>
    <row r="1455" spans="1:1" x14ac:dyDescent="0.3">
      <c r="A1455" s="1" t="s">
        <v>28</v>
      </c>
    </row>
    <row r="1456" spans="1:1" x14ac:dyDescent="0.3">
      <c r="A1456" s="2" t="s">
        <v>28</v>
      </c>
    </row>
    <row r="1457" spans="1:1" x14ac:dyDescent="0.3">
      <c r="A1457" s="1" t="s">
        <v>89</v>
      </c>
    </row>
    <row r="1458" spans="1:1" x14ac:dyDescent="0.3">
      <c r="A1458" s="2" t="s">
        <v>28</v>
      </c>
    </row>
    <row r="1459" spans="1:1" x14ac:dyDescent="0.3">
      <c r="A1459" s="1" t="s">
        <v>28</v>
      </c>
    </row>
    <row r="1460" spans="1:1" x14ac:dyDescent="0.3">
      <c r="A1460" s="2" t="s">
        <v>28</v>
      </c>
    </row>
    <row r="1461" spans="1:1" x14ac:dyDescent="0.3">
      <c r="A1461" s="1" t="s">
        <v>28</v>
      </c>
    </row>
    <row r="1462" spans="1:1" x14ac:dyDescent="0.3">
      <c r="A1462" s="2" t="s">
        <v>28</v>
      </c>
    </row>
    <row r="1463" spans="1:1" x14ac:dyDescent="0.3">
      <c r="A1463" s="1" t="s">
        <v>28</v>
      </c>
    </row>
    <row r="1464" spans="1:1" x14ac:dyDescent="0.3">
      <c r="A1464" s="2" t="s">
        <v>28</v>
      </c>
    </row>
    <row r="1465" spans="1:1" x14ac:dyDescent="0.3">
      <c r="A1465" s="1" t="s">
        <v>28</v>
      </c>
    </row>
    <row r="1466" spans="1:1" x14ac:dyDescent="0.3">
      <c r="A1466" s="2" t="s">
        <v>28</v>
      </c>
    </row>
    <row r="1467" spans="1:1" x14ac:dyDescent="0.3">
      <c r="A1467" s="1" t="s">
        <v>28</v>
      </c>
    </row>
    <row r="1468" spans="1:1" x14ac:dyDescent="0.3">
      <c r="A1468" s="2" t="s">
        <v>28</v>
      </c>
    </row>
    <row r="1469" spans="1:1" x14ac:dyDescent="0.3">
      <c r="A1469" s="1" t="s">
        <v>28</v>
      </c>
    </row>
    <row r="1470" spans="1:1" x14ac:dyDescent="0.3">
      <c r="A1470" s="2" t="s">
        <v>89</v>
      </c>
    </row>
    <row r="1471" spans="1:1" x14ac:dyDescent="0.3">
      <c r="A1471" s="1" t="s">
        <v>28</v>
      </c>
    </row>
    <row r="1472" spans="1:1" x14ac:dyDescent="0.3">
      <c r="A1472" s="2" t="s">
        <v>89</v>
      </c>
    </row>
    <row r="1473" spans="1:1" x14ac:dyDescent="0.3">
      <c r="A1473" s="1" t="s">
        <v>28</v>
      </c>
    </row>
    <row r="1474" spans="1:1" x14ac:dyDescent="0.3">
      <c r="A1474" s="2" t="s">
        <v>28</v>
      </c>
    </row>
    <row r="1475" spans="1:1" x14ac:dyDescent="0.3">
      <c r="A1475" s="1" t="s">
        <v>28</v>
      </c>
    </row>
    <row r="1476" spans="1:1" x14ac:dyDescent="0.3">
      <c r="A1476" s="2" t="s">
        <v>28</v>
      </c>
    </row>
    <row r="1477" spans="1:1" x14ac:dyDescent="0.3">
      <c r="A1477" s="1" t="s">
        <v>28</v>
      </c>
    </row>
    <row r="1478" spans="1:1" x14ac:dyDescent="0.3">
      <c r="A1478" s="2" t="s">
        <v>89</v>
      </c>
    </row>
    <row r="1479" spans="1:1" x14ac:dyDescent="0.3">
      <c r="A1479" s="1" t="s">
        <v>28</v>
      </c>
    </row>
    <row r="1480" spans="1:1" x14ac:dyDescent="0.3">
      <c r="A1480" s="2" t="s">
        <v>28</v>
      </c>
    </row>
    <row r="1481" spans="1:1" x14ac:dyDescent="0.3">
      <c r="A1481" s="1" t="s">
        <v>28</v>
      </c>
    </row>
    <row r="1482" spans="1:1" x14ac:dyDescent="0.3">
      <c r="A1482" s="2" t="s">
        <v>28</v>
      </c>
    </row>
    <row r="1483" spans="1:1" x14ac:dyDescent="0.3">
      <c r="A1483" s="1" t="s">
        <v>28</v>
      </c>
    </row>
    <row r="1484" spans="1:1" x14ac:dyDescent="0.3">
      <c r="A1484" s="2" t="s">
        <v>28</v>
      </c>
    </row>
    <row r="1485" spans="1:1" x14ac:dyDescent="0.3">
      <c r="A1485" s="1" t="s">
        <v>28</v>
      </c>
    </row>
    <row r="1486" spans="1:1" x14ac:dyDescent="0.3">
      <c r="A1486" s="2" t="s">
        <v>28</v>
      </c>
    </row>
    <row r="1487" spans="1:1" x14ac:dyDescent="0.3">
      <c r="A1487" s="1" t="s">
        <v>28</v>
      </c>
    </row>
    <row r="1488" spans="1:1" x14ac:dyDescent="0.3">
      <c r="A1488" s="2" t="s">
        <v>28</v>
      </c>
    </row>
    <row r="1489" spans="1:1" x14ac:dyDescent="0.3">
      <c r="A1489" s="1" t="s">
        <v>28</v>
      </c>
    </row>
    <row r="1490" spans="1:1" x14ac:dyDescent="0.3">
      <c r="A1490" s="2" t="s">
        <v>28</v>
      </c>
    </row>
    <row r="1491" spans="1:1" x14ac:dyDescent="0.3">
      <c r="A1491" s="1" t="s">
        <v>89</v>
      </c>
    </row>
    <row r="1492" spans="1:1" x14ac:dyDescent="0.3">
      <c r="A1492" s="2" t="s">
        <v>89</v>
      </c>
    </row>
    <row r="1493" spans="1:1" x14ac:dyDescent="0.3">
      <c r="A1493" s="1" t="s">
        <v>89</v>
      </c>
    </row>
    <row r="1494" spans="1:1" x14ac:dyDescent="0.3">
      <c r="A1494" s="2" t="s">
        <v>89</v>
      </c>
    </row>
    <row r="1495" spans="1:1" x14ac:dyDescent="0.3">
      <c r="A1495" s="1" t="s">
        <v>28</v>
      </c>
    </row>
    <row r="1496" spans="1:1" x14ac:dyDescent="0.3">
      <c r="A1496" s="2" t="s">
        <v>28</v>
      </c>
    </row>
    <row r="1497" spans="1:1" x14ac:dyDescent="0.3">
      <c r="A1497" s="1" t="s">
        <v>28</v>
      </c>
    </row>
    <row r="1498" spans="1:1" x14ac:dyDescent="0.3">
      <c r="A1498" s="2" t="s">
        <v>28</v>
      </c>
    </row>
    <row r="1499" spans="1:1" x14ac:dyDescent="0.3">
      <c r="A1499" s="1" t="s">
        <v>28</v>
      </c>
    </row>
    <row r="1500" spans="1:1" x14ac:dyDescent="0.3">
      <c r="A1500" s="2" t="s">
        <v>28</v>
      </c>
    </row>
    <row r="1501" spans="1:1" x14ac:dyDescent="0.3">
      <c r="A1501" s="1" t="s">
        <v>89</v>
      </c>
    </row>
    <row r="1502" spans="1:1" x14ac:dyDescent="0.3">
      <c r="A1502" s="2" t="s">
        <v>28</v>
      </c>
    </row>
    <row r="1503" spans="1:1" x14ac:dyDescent="0.3">
      <c r="A1503" s="1" t="s">
        <v>28</v>
      </c>
    </row>
    <row r="1504" spans="1:1" x14ac:dyDescent="0.3">
      <c r="A1504" s="2" t="s">
        <v>89</v>
      </c>
    </row>
    <row r="1505" spans="1:1" x14ac:dyDescent="0.3">
      <c r="A1505" s="1" t="s">
        <v>89</v>
      </c>
    </row>
    <row r="1506" spans="1:1" x14ac:dyDescent="0.3">
      <c r="A1506" s="2" t="s">
        <v>89</v>
      </c>
    </row>
    <row r="1507" spans="1:1" x14ac:dyDescent="0.3">
      <c r="A1507" s="1" t="s">
        <v>89</v>
      </c>
    </row>
    <row r="1508" spans="1:1" x14ac:dyDescent="0.3">
      <c r="A1508" s="2" t="s">
        <v>28</v>
      </c>
    </row>
    <row r="1509" spans="1:1" x14ac:dyDescent="0.3">
      <c r="A1509" s="1" t="s">
        <v>28</v>
      </c>
    </row>
    <row r="1510" spans="1:1" x14ac:dyDescent="0.3">
      <c r="A1510" s="2" t="s">
        <v>28</v>
      </c>
    </row>
    <row r="1511" spans="1:1" x14ac:dyDescent="0.3">
      <c r="A1511" s="1" t="s">
        <v>89</v>
      </c>
    </row>
    <row r="1512" spans="1:1" x14ac:dyDescent="0.3">
      <c r="A1512" s="2" t="s">
        <v>28</v>
      </c>
    </row>
    <row r="1513" spans="1:1" x14ac:dyDescent="0.3">
      <c r="A1513" s="1" t="s">
        <v>89</v>
      </c>
    </row>
    <row r="1514" spans="1:1" x14ac:dyDescent="0.3">
      <c r="A1514" s="2" t="s">
        <v>89</v>
      </c>
    </row>
    <row r="1515" spans="1:1" x14ac:dyDescent="0.3">
      <c r="A1515" s="1" t="s">
        <v>89</v>
      </c>
    </row>
    <row r="1516" spans="1:1" x14ac:dyDescent="0.3">
      <c r="A1516" s="2" t="s">
        <v>89</v>
      </c>
    </row>
    <row r="1517" spans="1:1" x14ac:dyDescent="0.3">
      <c r="A1517" s="1" t="s">
        <v>28</v>
      </c>
    </row>
    <row r="1518" spans="1:1" x14ac:dyDescent="0.3">
      <c r="A1518" s="2" t="s">
        <v>89</v>
      </c>
    </row>
    <row r="1519" spans="1:1" x14ac:dyDescent="0.3">
      <c r="A1519" s="1" t="s">
        <v>28</v>
      </c>
    </row>
    <row r="1520" spans="1:1" x14ac:dyDescent="0.3">
      <c r="A1520" s="2" t="s">
        <v>89</v>
      </c>
    </row>
    <row r="1521" spans="1:1" x14ac:dyDescent="0.3">
      <c r="A1521" s="1" t="s">
        <v>28</v>
      </c>
    </row>
    <row r="1522" spans="1:1" x14ac:dyDescent="0.3">
      <c r="A1522" s="2" t="s">
        <v>28</v>
      </c>
    </row>
    <row r="1523" spans="1:1" x14ac:dyDescent="0.3">
      <c r="A1523" s="1" t="s">
        <v>28</v>
      </c>
    </row>
    <row r="1524" spans="1:1" x14ac:dyDescent="0.3">
      <c r="A1524" s="2" t="s">
        <v>89</v>
      </c>
    </row>
    <row r="1525" spans="1:1" x14ac:dyDescent="0.3">
      <c r="A1525" s="1" t="s">
        <v>89</v>
      </c>
    </row>
    <row r="1526" spans="1:1" x14ac:dyDescent="0.3">
      <c r="A1526" s="2" t="s">
        <v>28</v>
      </c>
    </row>
    <row r="1527" spans="1:1" x14ac:dyDescent="0.3">
      <c r="A1527" s="1" t="s">
        <v>89</v>
      </c>
    </row>
    <row r="1528" spans="1:1" x14ac:dyDescent="0.3">
      <c r="A1528" s="2" t="s">
        <v>28</v>
      </c>
    </row>
    <row r="1529" spans="1:1" x14ac:dyDescent="0.3">
      <c r="A1529" s="1" t="s">
        <v>28</v>
      </c>
    </row>
    <row r="1530" spans="1:1" x14ac:dyDescent="0.3">
      <c r="A1530" s="2" t="s">
        <v>28</v>
      </c>
    </row>
    <row r="1531" spans="1:1" x14ac:dyDescent="0.3">
      <c r="A1531" s="1" t="s">
        <v>28</v>
      </c>
    </row>
    <row r="1532" spans="1:1" x14ac:dyDescent="0.3">
      <c r="A1532" s="2" t="s">
        <v>28</v>
      </c>
    </row>
    <row r="1533" spans="1:1" x14ac:dyDescent="0.3">
      <c r="A1533" s="1" t="s">
        <v>28</v>
      </c>
    </row>
    <row r="1534" spans="1:1" x14ac:dyDescent="0.3">
      <c r="A1534" s="2" t="s">
        <v>28</v>
      </c>
    </row>
    <row r="1535" spans="1:1" x14ac:dyDescent="0.3">
      <c r="A1535" s="1" t="s">
        <v>89</v>
      </c>
    </row>
    <row r="1536" spans="1:1" x14ac:dyDescent="0.3">
      <c r="A1536" s="2" t="s">
        <v>89</v>
      </c>
    </row>
    <row r="1537" spans="1:1" x14ac:dyDescent="0.3">
      <c r="A1537" s="1" t="s">
        <v>28</v>
      </c>
    </row>
    <row r="1538" spans="1:1" x14ac:dyDescent="0.3">
      <c r="A1538" s="2" t="s">
        <v>28</v>
      </c>
    </row>
    <row r="1539" spans="1:1" x14ac:dyDescent="0.3">
      <c r="A1539" s="1" t="s">
        <v>28</v>
      </c>
    </row>
    <row r="1540" spans="1:1" x14ac:dyDescent="0.3">
      <c r="A1540" s="2" t="s">
        <v>28</v>
      </c>
    </row>
    <row r="1541" spans="1:1" x14ac:dyDescent="0.3">
      <c r="A1541" s="1" t="s">
        <v>89</v>
      </c>
    </row>
    <row r="1542" spans="1:1" x14ac:dyDescent="0.3">
      <c r="A1542" s="2" t="s">
        <v>28</v>
      </c>
    </row>
    <row r="1543" spans="1:1" x14ac:dyDescent="0.3">
      <c r="A1543" s="1" t="s">
        <v>28</v>
      </c>
    </row>
    <row r="1544" spans="1:1" x14ac:dyDescent="0.3">
      <c r="A1544" s="2" t="s">
        <v>28</v>
      </c>
    </row>
    <row r="1545" spans="1:1" x14ac:dyDescent="0.3">
      <c r="A1545" s="1" t="s">
        <v>28</v>
      </c>
    </row>
    <row r="1546" spans="1:1" x14ac:dyDescent="0.3">
      <c r="A1546" s="2" t="s">
        <v>28</v>
      </c>
    </row>
    <row r="1547" spans="1:1" x14ac:dyDescent="0.3">
      <c r="A1547" s="1" t="s">
        <v>28</v>
      </c>
    </row>
    <row r="1548" spans="1:1" x14ac:dyDescent="0.3">
      <c r="A1548" s="2" t="s">
        <v>28</v>
      </c>
    </row>
    <row r="1549" spans="1:1" x14ac:dyDescent="0.3">
      <c r="A1549" s="1" t="s">
        <v>28</v>
      </c>
    </row>
    <row r="1550" spans="1:1" x14ac:dyDescent="0.3">
      <c r="A1550" s="2" t="s">
        <v>28</v>
      </c>
    </row>
    <row r="1551" spans="1:1" x14ac:dyDescent="0.3">
      <c r="A1551" s="1" t="s">
        <v>28</v>
      </c>
    </row>
    <row r="1552" spans="1:1" x14ac:dyDescent="0.3">
      <c r="A1552" s="2" t="s">
        <v>28</v>
      </c>
    </row>
    <row r="1553" spans="1:1" x14ac:dyDescent="0.3">
      <c r="A1553" s="1" t="s">
        <v>28</v>
      </c>
    </row>
    <row r="1554" spans="1:1" x14ac:dyDescent="0.3">
      <c r="A1554" s="2" t="s">
        <v>28</v>
      </c>
    </row>
    <row r="1555" spans="1:1" x14ac:dyDescent="0.3">
      <c r="A1555" s="1" t="s">
        <v>28</v>
      </c>
    </row>
    <row r="1556" spans="1:1" x14ac:dyDescent="0.3">
      <c r="A1556" s="2" t="s">
        <v>89</v>
      </c>
    </row>
    <row r="1557" spans="1:1" x14ac:dyDescent="0.3">
      <c r="A1557" s="1" t="s">
        <v>28</v>
      </c>
    </row>
    <row r="1558" spans="1:1" x14ac:dyDescent="0.3">
      <c r="A1558" s="2" t="s">
        <v>28</v>
      </c>
    </row>
    <row r="1559" spans="1:1" x14ac:dyDescent="0.3">
      <c r="A1559" s="1" t="s">
        <v>28</v>
      </c>
    </row>
    <row r="1560" spans="1:1" x14ac:dyDescent="0.3">
      <c r="A1560" s="2" t="s">
        <v>89</v>
      </c>
    </row>
    <row r="1561" spans="1:1" x14ac:dyDescent="0.3">
      <c r="A1561" s="1" t="s">
        <v>89</v>
      </c>
    </row>
    <row r="1562" spans="1:1" x14ac:dyDescent="0.3">
      <c r="A1562" s="2" t="s">
        <v>89</v>
      </c>
    </row>
    <row r="1563" spans="1:1" x14ac:dyDescent="0.3">
      <c r="A1563" s="1" t="s">
        <v>28</v>
      </c>
    </row>
    <row r="1564" spans="1:1" x14ac:dyDescent="0.3">
      <c r="A1564" s="2" t="s">
        <v>28</v>
      </c>
    </row>
    <row r="1565" spans="1:1" x14ac:dyDescent="0.3">
      <c r="A1565" s="1" t="s">
        <v>28</v>
      </c>
    </row>
    <row r="1566" spans="1:1" x14ac:dyDescent="0.3">
      <c r="A1566" s="2" t="s">
        <v>28</v>
      </c>
    </row>
    <row r="1567" spans="1:1" x14ac:dyDescent="0.3">
      <c r="A1567" s="1" t="s">
        <v>28</v>
      </c>
    </row>
    <row r="1568" spans="1:1" x14ac:dyDescent="0.3">
      <c r="A1568" s="2" t="s">
        <v>28</v>
      </c>
    </row>
    <row r="1569" spans="1:1" x14ac:dyDescent="0.3">
      <c r="A1569" s="1" t="s">
        <v>28</v>
      </c>
    </row>
    <row r="1570" spans="1:1" x14ac:dyDescent="0.3">
      <c r="A1570" s="2" t="s">
        <v>28</v>
      </c>
    </row>
    <row r="1571" spans="1:1" x14ac:dyDescent="0.3">
      <c r="A1571" s="1" t="s">
        <v>28</v>
      </c>
    </row>
    <row r="1572" spans="1:1" x14ac:dyDescent="0.3">
      <c r="A1572" s="2" t="s">
        <v>28</v>
      </c>
    </row>
    <row r="1573" spans="1:1" x14ac:dyDescent="0.3">
      <c r="A1573" s="1" t="s">
        <v>28</v>
      </c>
    </row>
    <row r="1574" spans="1:1" x14ac:dyDescent="0.3">
      <c r="A1574" s="2" t="s">
        <v>28</v>
      </c>
    </row>
    <row r="1575" spans="1:1" x14ac:dyDescent="0.3">
      <c r="A1575" s="1" t="s">
        <v>28</v>
      </c>
    </row>
    <row r="1576" spans="1:1" x14ac:dyDescent="0.3">
      <c r="A1576" s="2" t="s">
        <v>28</v>
      </c>
    </row>
    <row r="1577" spans="1:1" x14ac:dyDescent="0.3">
      <c r="A1577" s="1" t="s">
        <v>28</v>
      </c>
    </row>
    <row r="1578" spans="1:1" x14ac:dyDescent="0.3">
      <c r="A1578" s="2" t="s">
        <v>28</v>
      </c>
    </row>
    <row r="1579" spans="1:1" x14ac:dyDescent="0.3">
      <c r="A1579" s="1" t="s">
        <v>28</v>
      </c>
    </row>
    <row r="1580" spans="1:1" x14ac:dyDescent="0.3">
      <c r="A1580" s="2" t="s">
        <v>28</v>
      </c>
    </row>
    <row r="1581" spans="1:1" x14ac:dyDescent="0.3">
      <c r="A1581" s="1" t="s">
        <v>28</v>
      </c>
    </row>
    <row r="1582" spans="1:1" x14ac:dyDescent="0.3">
      <c r="A1582" s="2" t="s">
        <v>28</v>
      </c>
    </row>
    <row r="1583" spans="1:1" x14ac:dyDescent="0.3">
      <c r="A1583" s="1" t="s">
        <v>28</v>
      </c>
    </row>
    <row r="1584" spans="1:1" x14ac:dyDescent="0.3">
      <c r="A1584" s="2" t="s">
        <v>28</v>
      </c>
    </row>
    <row r="1585" spans="1:1" x14ac:dyDescent="0.3">
      <c r="A1585" s="1" t="s">
        <v>28</v>
      </c>
    </row>
    <row r="1586" spans="1:1" x14ac:dyDescent="0.3">
      <c r="A1586" s="2" t="s">
        <v>28</v>
      </c>
    </row>
    <row r="1587" spans="1:1" x14ac:dyDescent="0.3">
      <c r="A1587" s="1" t="s">
        <v>28</v>
      </c>
    </row>
    <row r="1588" spans="1:1" x14ac:dyDescent="0.3">
      <c r="A1588" s="2" t="s">
        <v>28</v>
      </c>
    </row>
    <row r="1589" spans="1:1" x14ac:dyDescent="0.3">
      <c r="A1589" s="1" t="s">
        <v>28</v>
      </c>
    </row>
    <row r="1590" spans="1:1" x14ac:dyDescent="0.3">
      <c r="A1590" s="2" t="s">
        <v>28</v>
      </c>
    </row>
    <row r="1591" spans="1:1" x14ac:dyDescent="0.3">
      <c r="A1591" s="1" t="s">
        <v>28</v>
      </c>
    </row>
    <row r="1592" spans="1:1" x14ac:dyDescent="0.3">
      <c r="A1592" s="2" t="s">
        <v>28</v>
      </c>
    </row>
    <row r="1593" spans="1:1" x14ac:dyDescent="0.3">
      <c r="A1593" s="1" t="s">
        <v>28</v>
      </c>
    </row>
    <row r="1594" spans="1:1" x14ac:dyDescent="0.3">
      <c r="A1594" s="2" t="s">
        <v>28</v>
      </c>
    </row>
    <row r="1595" spans="1:1" x14ac:dyDescent="0.3">
      <c r="A1595" s="1" t="s">
        <v>89</v>
      </c>
    </row>
    <row r="1596" spans="1:1" x14ac:dyDescent="0.3">
      <c r="A1596" s="2" t="s">
        <v>28</v>
      </c>
    </row>
    <row r="1597" spans="1:1" x14ac:dyDescent="0.3">
      <c r="A1597" s="1" t="s">
        <v>28</v>
      </c>
    </row>
    <row r="1598" spans="1:1" x14ac:dyDescent="0.3">
      <c r="A1598" s="2" t="s">
        <v>28</v>
      </c>
    </row>
    <row r="1599" spans="1:1" x14ac:dyDescent="0.3">
      <c r="A1599" s="1" t="s">
        <v>28</v>
      </c>
    </row>
    <row r="1600" spans="1:1" x14ac:dyDescent="0.3">
      <c r="A1600" s="2" t="s">
        <v>28</v>
      </c>
    </row>
    <row r="1601" spans="1:1" x14ac:dyDescent="0.3">
      <c r="A1601" s="1" t="s">
        <v>28</v>
      </c>
    </row>
    <row r="1602" spans="1:1" x14ac:dyDescent="0.3">
      <c r="A1602" s="2" t="s">
        <v>28</v>
      </c>
    </row>
    <row r="1603" spans="1:1" x14ac:dyDescent="0.3">
      <c r="A1603" s="1" t="s">
        <v>28</v>
      </c>
    </row>
    <row r="1604" spans="1:1" x14ac:dyDescent="0.3">
      <c r="A1604" s="2" t="s">
        <v>28</v>
      </c>
    </row>
    <row r="1605" spans="1:1" x14ac:dyDescent="0.3">
      <c r="A1605" s="1" t="s">
        <v>28</v>
      </c>
    </row>
    <row r="1606" spans="1:1" x14ac:dyDescent="0.3">
      <c r="A1606" s="2" t="s">
        <v>89</v>
      </c>
    </row>
    <row r="1607" spans="1:1" x14ac:dyDescent="0.3">
      <c r="A1607" s="1" t="s">
        <v>28</v>
      </c>
    </row>
    <row r="1608" spans="1:1" x14ac:dyDescent="0.3">
      <c r="A1608" s="2" t="s">
        <v>28</v>
      </c>
    </row>
    <row r="1609" spans="1:1" x14ac:dyDescent="0.3">
      <c r="A1609" s="1" t="s">
        <v>28</v>
      </c>
    </row>
    <row r="1610" spans="1:1" x14ac:dyDescent="0.3">
      <c r="A1610" s="2" t="s">
        <v>28</v>
      </c>
    </row>
    <row r="1611" spans="1:1" x14ac:dyDescent="0.3">
      <c r="A1611" s="1" t="s">
        <v>28</v>
      </c>
    </row>
    <row r="1612" spans="1:1" x14ac:dyDescent="0.3">
      <c r="A1612" s="2" t="s">
        <v>28</v>
      </c>
    </row>
    <row r="1613" spans="1:1" x14ac:dyDescent="0.3">
      <c r="A1613" s="1" t="s">
        <v>28</v>
      </c>
    </row>
    <row r="1614" spans="1:1" x14ac:dyDescent="0.3">
      <c r="A1614" s="2" t="s">
        <v>28</v>
      </c>
    </row>
    <row r="1615" spans="1:1" x14ac:dyDescent="0.3">
      <c r="A1615" s="1" t="s">
        <v>28</v>
      </c>
    </row>
    <row r="1616" spans="1:1" x14ac:dyDescent="0.3">
      <c r="A1616" s="2" t="s">
        <v>89</v>
      </c>
    </row>
    <row r="1617" spans="1:1" x14ac:dyDescent="0.3">
      <c r="A1617" s="1" t="s">
        <v>28</v>
      </c>
    </row>
    <row r="1618" spans="1:1" x14ac:dyDescent="0.3">
      <c r="A1618" s="2" t="s">
        <v>28</v>
      </c>
    </row>
    <row r="1619" spans="1:1" x14ac:dyDescent="0.3">
      <c r="A1619" s="1" t="s">
        <v>89</v>
      </c>
    </row>
    <row r="1620" spans="1:1" x14ac:dyDescent="0.3">
      <c r="A1620" s="2" t="s">
        <v>28</v>
      </c>
    </row>
    <row r="1621" spans="1:1" x14ac:dyDescent="0.3">
      <c r="A1621" s="1" t="s">
        <v>28</v>
      </c>
    </row>
    <row r="1622" spans="1:1" x14ac:dyDescent="0.3">
      <c r="A1622" s="2" t="s">
        <v>28</v>
      </c>
    </row>
    <row r="1623" spans="1:1" x14ac:dyDescent="0.3">
      <c r="A1623" s="1" t="s">
        <v>28</v>
      </c>
    </row>
    <row r="1624" spans="1:1" x14ac:dyDescent="0.3">
      <c r="A1624" s="2" t="s">
        <v>28</v>
      </c>
    </row>
    <row r="1625" spans="1:1" x14ac:dyDescent="0.3">
      <c r="A1625" s="1" t="s">
        <v>28</v>
      </c>
    </row>
    <row r="1626" spans="1:1" x14ac:dyDescent="0.3">
      <c r="A1626" s="2" t="s">
        <v>28</v>
      </c>
    </row>
    <row r="1627" spans="1:1" x14ac:dyDescent="0.3">
      <c r="A1627" s="1" t="s">
        <v>28</v>
      </c>
    </row>
    <row r="1628" spans="1:1" x14ac:dyDescent="0.3">
      <c r="A1628" s="2" t="s">
        <v>28</v>
      </c>
    </row>
    <row r="1629" spans="1:1" x14ac:dyDescent="0.3">
      <c r="A1629" s="1" t="s">
        <v>28</v>
      </c>
    </row>
    <row r="1630" spans="1:1" x14ac:dyDescent="0.3">
      <c r="A1630" s="2" t="s">
        <v>28</v>
      </c>
    </row>
    <row r="1631" spans="1:1" x14ac:dyDescent="0.3">
      <c r="A1631" s="1" t="s">
        <v>28</v>
      </c>
    </row>
    <row r="1632" spans="1:1" x14ac:dyDescent="0.3">
      <c r="A1632" s="2" t="s">
        <v>28</v>
      </c>
    </row>
    <row r="1633" spans="1:1" x14ac:dyDescent="0.3">
      <c r="A1633" s="1" t="s">
        <v>28</v>
      </c>
    </row>
    <row r="1634" spans="1:1" x14ac:dyDescent="0.3">
      <c r="A1634" s="2" t="s">
        <v>28</v>
      </c>
    </row>
    <row r="1635" spans="1:1" x14ac:dyDescent="0.3">
      <c r="A1635" s="1" t="s">
        <v>28</v>
      </c>
    </row>
    <row r="1636" spans="1:1" x14ac:dyDescent="0.3">
      <c r="A1636" s="2" t="s">
        <v>28</v>
      </c>
    </row>
    <row r="1637" spans="1:1" x14ac:dyDescent="0.3">
      <c r="A1637" s="1" t="s">
        <v>28</v>
      </c>
    </row>
    <row r="1638" spans="1:1" x14ac:dyDescent="0.3">
      <c r="A1638" s="2" t="s">
        <v>89</v>
      </c>
    </row>
    <row r="1639" spans="1:1" x14ac:dyDescent="0.3">
      <c r="A1639" s="1" t="s">
        <v>28</v>
      </c>
    </row>
    <row r="1640" spans="1:1" x14ac:dyDescent="0.3">
      <c r="A1640" s="2" t="s">
        <v>89</v>
      </c>
    </row>
    <row r="1641" spans="1:1" x14ac:dyDescent="0.3">
      <c r="A1641" s="1" t="s">
        <v>89</v>
      </c>
    </row>
    <row r="1642" spans="1:1" x14ac:dyDescent="0.3">
      <c r="A1642" s="2" t="s">
        <v>28</v>
      </c>
    </row>
    <row r="1643" spans="1:1" x14ac:dyDescent="0.3">
      <c r="A1643" s="1" t="s">
        <v>89</v>
      </c>
    </row>
    <row r="1644" spans="1:1" x14ac:dyDescent="0.3">
      <c r="A1644" s="2" t="s">
        <v>28</v>
      </c>
    </row>
    <row r="1645" spans="1:1" x14ac:dyDescent="0.3">
      <c r="A1645" s="1" t="s">
        <v>28</v>
      </c>
    </row>
    <row r="1646" spans="1:1" x14ac:dyDescent="0.3">
      <c r="A1646" s="2" t="s">
        <v>28</v>
      </c>
    </row>
    <row r="1647" spans="1:1" x14ac:dyDescent="0.3">
      <c r="A1647" s="1" t="s">
        <v>28</v>
      </c>
    </row>
    <row r="1648" spans="1:1" x14ac:dyDescent="0.3">
      <c r="A1648" s="2" t="s">
        <v>28</v>
      </c>
    </row>
    <row r="1649" spans="1:1" x14ac:dyDescent="0.3">
      <c r="A1649" s="1" t="s">
        <v>28</v>
      </c>
    </row>
    <row r="1650" spans="1:1" x14ac:dyDescent="0.3">
      <c r="A1650" s="2" t="s">
        <v>89</v>
      </c>
    </row>
    <row r="1651" spans="1:1" x14ac:dyDescent="0.3">
      <c r="A1651" s="1" t="s">
        <v>28</v>
      </c>
    </row>
    <row r="1652" spans="1:1" x14ac:dyDescent="0.3">
      <c r="A1652" s="2" t="s">
        <v>28</v>
      </c>
    </row>
    <row r="1653" spans="1:1" x14ac:dyDescent="0.3">
      <c r="A1653" s="1" t="s">
        <v>89</v>
      </c>
    </row>
    <row r="1654" spans="1:1" x14ac:dyDescent="0.3">
      <c r="A1654" s="2" t="s">
        <v>28</v>
      </c>
    </row>
    <row r="1655" spans="1:1" x14ac:dyDescent="0.3">
      <c r="A1655" s="1" t="s">
        <v>28</v>
      </c>
    </row>
    <row r="1656" spans="1:1" x14ac:dyDescent="0.3">
      <c r="A1656" s="2" t="s">
        <v>28</v>
      </c>
    </row>
    <row r="1657" spans="1:1" x14ac:dyDescent="0.3">
      <c r="A1657" s="1" t="s">
        <v>28</v>
      </c>
    </row>
    <row r="1658" spans="1:1" x14ac:dyDescent="0.3">
      <c r="A1658" s="2" t="s">
        <v>28</v>
      </c>
    </row>
    <row r="1659" spans="1:1" x14ac:dyDescent="0.3">
      <c r="A1659" s="1" t="s">
        <v>89</v>
      </c>
    </row>
    <row r="1660" spans="1:1" x14ac:dyDescent="0.3">
      <c r="A1660" s="2" t="s">
        <v>89</v>
      </c>
    </row>
    <row r="1661" spans="1:1" x14ac:dyDescent="0.3">
      <c r="A1661" s="1" t="s">
        <v>28</v>
      </c>
    </row>
    <row r="1662" spans="1:1" x14ac:dyDescent="0.3">
      <c r="A1662" s="2" t="s">
        <v>28</v>
      </c>
    </row>
    <row r="1663" spans="1:1" x14ac:dyDescent="0.3">
      <c r="A1663" s="1" t="s">
        <v>28</v>
      </c>
    </row>
    <row r="1664" spans="1:1" x14ac:dyDescent="0.3">
      <c r="A1664" s="2" t="s">
        <v>89</v>
      </c>
    </row>
    <row r="1665" spans="1:1" x14ac:dyDescent="0.3">
      <c r="A1665" s="1" t="s">
        <v>89</v>
      </c>
    </row>
    <row r="1666" spans="1:1" x14ac:dyDescent="0.3">
      <c r="A1666" s="2" t="s">
        <v>28</v>
      </c>
    </row>
    <row r="1667" spans="1:1" x14ac:dyDescent="0.3">
      <c r="A1667" s="1" t="s">
        <v>28</v>
      </c>
    </row>
    <row r="1668" spans="1:1" x14ac:dyDescent="0.3">
      <c r="A1668" s="2" t="s">
        <v>28</v>
      </c>
    </row>
    <row r="1669" spans="1:1" x14ac:dyDescent="0.3">
      <c r="A1669" s="1" t="s">
        <v>89</v>
      </c>
    </row>
    <row r="1670" spans="1:1" x14ac:dyDescent="0.3">
      <c r="A1670" s="2" t="s">
        <v>89</v>
      </c>
    </row>
    <row r="1671" spans="1:1" x14ac:dyDescent="0.3">
      <c r="A1671" s="1" t="s">
        <v>28</v>
      </c>
    </row>
    <row r="1672" spans="1:1" x14ac:dyDescent="0.3">
      <c r="A1672" s="2" t="s">
        <v>28</v>
      </c>
    </row>
    <row r="1673" spans="1:1" x14ac:dyDescent="0.3">
      <c r="A1673" s="1" t="s">
        <v>28</v>
      </c>
    </row>
    <row r="1674" spans="1:1" x14ac:dyDescent="0.3">
      <c r="A1674" s="2" t="s">
        <v>28</v>
      </c>
    </row>
    <row r="1675" spans="1:1" x14ac:dyDescent="0.3">
      <c r="A1675" s="1" t="s">
        <v>89</v>
      </c>
    </row>
    <row r="1676" spans="1:1" x14ac:dyDescent="0.3">
      <c r="A1676" s="2" t="s">
        <v>28</v>
      </c>
    </row>
    <row r="1677" spans="1:1" x14ac:dyDescent="0.3">
      <c r="A1677" s="1" t="s">
        <v>28</v>
      </c>
    </row>
    <row r="1678" spans="1:1" x14ac:dyDescent="0.3">
      <c r="A1678" s="2" t="s">
        <v>28</v>
      </c>
    </row>
    <row r="1679" spans="1:1" x14ac:dyDescent="0.3">
      <c r="A1679" s="1" t="s">
        <v>28</v>
      </c>
    </row>
    <row r="1680" spans="1:1" x14ac:dyDescent="0.3">
      <c r="A1680" s="2" t="s">
        <v>28</v>
      </c>
    </row>
    <row r="1681" spans="1:1" x14ac:dyDescent="0.3">
      <c r="A1681" s="1" t="s">
        <v>89</v>
      </c>
    </row>
    <row r="1682" spans="1:1" x14ac:dyDescent="0.3">
      <c r="A1682" s="2" t="s">
        <v>89</v>
      </c>
    </row>
    <row r="1683" spans="1:1" x14ac:dyDescent="0.3">
      <c r="A1683" s="1" t="s">
        <v>89</v>
      </c>
    </row>
    <row r="1684" spans="1:1" x14ac:dyDescent="0.3">
      <c r="A1684" s="2" t="s">
        <v>89</v>
      </c>
    </row>
    <row r="1685" spans="1:1" x14ac:dyDescent="0.3">
      <c r="A1685" s="1" t="s">
        <v>89</v>
      </c>
    </row>
    <row r="1686" spans="1:1" x14ac:dyDescent="0.3">
      <c r="A1686" s="2" t="s">
        <v>28</v>
      </c>
    </row>
    <row r="1687" spans="1:1" x14ac:dyDescent="0.3">
      <c r="A1687" s="1" t="s">
        <v>28</v>
      </c>
    </row>
    <row r="1688" spans="1:1" x14ac:dyDescent="0.3">
      <c r="A1688" s="2" t="s">
        <v>89</v>
      </c>
    </row>
    <row r="1689" spans="1:1" x14ac:dyDescent="0.3">
      <c r="A1689" s="1" t="s">
        <v>89</v>
      </c>
    </row>
    <row r="1690" spans="1:1" x14ac:dyDescent="0.3">
      <c r="A1690" s="2" t="s">
        <v>28</v>
      </c>
    </row>
    <row r="1691" spans="1:1" x14ac:dyDescent="0.3">
      <c r="A1691" s="1" t="s">
        <v>89</v>
      </c>
    </row>
    <row r="1692" spans="1:1" x14ac:dyDescent="0.3">
      <c r="A1692" s="2" t="s">
        <v>28</v>
      </c>
    </row>
    <row r="1693" spans="1:1" x14ac:dyDescent="0.3">
      <c r="A1693" s="1" t="s">
        <v>28</v>
      </c>
    </row>
    <row r="1694" spans="1:1" x14ac:dyDescent="0.3">
      <c r="A1694" s="2" t="s">
        <v>28</v>
      </c>
    </row>
    <row r="1695" spans="1:1" x14ac:dyDescent="0.3">
      <c r="A1695" s="1" t="s">
        <v>89</v>
      </c>
    </row>
    <row r="1696" spans="1:1" x14ac:dyDescent="0.3">
      <c r="A1696" s="2" t="s">
        <v>28</v>
      </c>
    </row>
    <row r="1697" spans="1:1" x14ac:dyDescent="0.3">
      <c r="A1697" s="1" t="s">
        <v>28</v>
      </c>
    </row>
    <row r="1698" spans="1:1" x14ac:dyDescent="0.3">
      <c r="A1698" s="2" t="s">
        <v>28</v>
      </c>
    </row>
    <row r="1699" spans="1:1" x14ac:dyDescent="0.3">
      <c r="A1699" s="1" t="s">
        <v>28</v>
      </c>
    </row>
    <row r="1700" spans="1:1" x14ac:dyDescent="0.3">
      <c r="A1700" s="2" t="s">
        <v>28</v>
      </c>
    </row>
    <row r="1701" spans="1:1" x14ac:dyDescent="0.3">
      <c r="A1701" s="1" t="s">
        <v>28</v>
      </c>
    </row>
    <row r="1702" spans="1:1" x14ac:dyDescent="0.3">
      <c r="A1702" s="2" t="s">
        <v>28</v>
      </c>
    </row>
    <row r="1703" spans="1:1" x14ac:dyDescent="0.3">
      <c r="A1703" s="1" t="s">
        <v>89</v>
      </c>
    </row>
    <row r="1704" spans="1:1" x14ac:dyDescent="0.3">
      <c r="A1704" s="2" t="s">
        <v>89</v>
      </c>
    </row>
    <row r="1705" spans="1:1" x14ac:dyDescent="0.3">
      <c r="A1705" s="1" t="s">
        <v>28</v>
      </c>
    </row>
    <row r="1706" spans="1:1" x14ac:dyDescent="0.3">
      <c r="A1706" s="2" t="s">
        <v>28</v>
      </c>
    </row>
    <row r="1707" spans="1:1" x14ac:dyDescent="0.3">
      <c r="A1707" s="1" t="s">
        <v>28</v>
      </c>
    </row>
    <row r="1708" spans="1:1" x14ac:dyDescent="0.3">
      <c r="A1708" s="2" t="s">
        <v>28</v>
      </c>
    </row>
    <row r="1709" spans="1:1" x14ac:dyDescent="0.3">
      <c r="A1709" s="1" t="s">
        <v>28</v>
      </c>
    </row>
    <row r="1710" spans="1:1" x14ac:dyDescent="0.3">
      <c r="A1710" s="2" t="s">
        <v>28</v>
      </c>
    </row>
    <row r="1711" spans="1:1" x14ac:dyDescent="0.3">
      <c r="A1711" s="1" t="s">
        <v>28</v>
      </c>
    </row>
    <row r="1712" spans="1:1" x14ac:dyDescent="0.3">
      <c r="A1712" s="2" t="s">
        <v>28</v>
      </c>
    </row>
    <row r="1713" spans="1:1" x14ac:dyDescent="0.3">
      <c r="A1713" s="1" t="s">
        <v>28</v>
      </c>
    </row>
    <row r="1714" spans="1:1" x14ac:dyDescent="0.3">
      <c r="A1714" s="2" t="s">
        <v>28</v>
      </c>
    </row>
    <row r="1715" spans="1:1" x14ac:dyDescent="0.3">
      <c r="A1715" s="1" t="s">
        <v>28</v>
      </c>
    </row>
    <row r="1716" spans="1:1" x14ac:dyDescent="0.3">
      <c r="A1716" s="2" t="s">
        <v>28</v>
      </c>
    </row>
    <row r="1717" spans="1:1" x14ac:dyDescent="0.3">
      <c r="A1717" s="1" t="s">
        <v>28</v>
      </c>
    </row>
    <row r="1718" spans="1:1" x14ac:dyDescent="0.3">
      <c r="A1718" s="2" t="s">
        <v>28</v>
      </c>
    </row>
    <row r="1719" spans="1:1" x14ac:dyDescent="0.3">
      <c r="A1719" s="1" t="s">
        <v>28</v>
      </c>
    </row>
    <row r="1720" spans="1:1" x14ac:dyDescent="0.3">
      <c r="A1720" s="2" t="s">
        <v>28</v>
      </c>
    </row>
    <row r="1721" spans="1:1" x14ac:dyDescent="0.3">
      <c r="A1721" s="1" t="s">
        <v>28</v>
      </c>
    </row>
    <row r="1722" spans="1:1" x14ac:dyDescent="0.3">
      <c r="A1722" s="2" t="s">
        <v>28</v>
      </c>
    </row>
    <row r="1723" spans="1:1" x14ac:dyDescent="0.3">
      <c r="A1723" s="1" t="s">
        <v>28</v>
      </c>
    </row>
    <row r="1724" spans="1:1" x14ac:dyDescent="0.3">
      <c r="A1724" s="2" t="s">
        <v>28</v>
      </c>
    </row>
    <row r="1725" spans="1:1" x14ac:dyDescent="0.3">
      <c r="A1725" s="1" t="s">
        <v>28</v>
      </c>
    </row>
    <row r="1726" spans="1:1" x14ac:dyDescent="0.3">
      <c r="A1726" s="2" t="s">
        <v>28</v>
      </c>
    </row>
    <row r="1727" spans="1:1" x14ac:dyDescent="0.3">
      <c r="A1727" s="1" t="s">
        <v>28</v>
      </c>
    </row>
    <row r="1728" spans="1:1" x14ac:dyDescent="0.3">
      <c r="A1728" s="2" t="s">
        <v>28</v>
      </c>
    </row>
    <row r="1729" spans="1:1" x14ac:dyDescent="0.3">
      <c r="A1729" s="1" t="s">
        <v>28</v>
      </c>
    </row>
    <row r="1730" spans="1:1" x14ac:dyDescent="0.3">
      <c r="A1730" s="2" t="s">
        <v>89</v>
      </c>
    </row>
    <row r="1731" spans="1:1" x14ac:dyDescent="0.3">
      <c r="A1731" s="1" t="s">
        <v>89</v>
      </c>
    </row>
    <row r="1732" spans="1:1" x14ac:dyDescent="0.3">
      <c r="A1732" s="2" t="s">
        <v>28</v>
      </c>
    </row>
    <row r="1733" spans="1:1" x14ac:dyDescent="0.3">
      <c r="A1733" s="1" t="s">
        <v>28</v>
      </c>
    </row>
    <row r="1734" spans="1:1" x14ac:dyDescent="0.3">
      <c r="A1734" s="2" t="s">
        <v>28</v>
      </c>
    </row>
    <row r="1735" spans="1:1" x14ac:dyDescent="0.3">
      <c r="A1735" s="1" t="s">
        <v>28</v>
      </c>
    </row>
    <row r="1736" spans="1:1" x14ac:dyDescent="0.3">
      <c r="A1736" s="2" t="s">
        <v>28</v>
      </c>
    </row>
    <row r="1737" spans="1:1" x14ac:dyDescent="0.3">
      <c r="A1737" s="1" t="s">
        <v>28</v>
      </c>
    </row>
    <row r="1738" spans="1:1" x14ac:dyDescent="0.3">
      <c r="A1738" s="2" t="s">
        <v>28</v>
      </c>
    </row>
    <row r="1739" spans="1:1" x14ac:dyDescent="0.3">
      <c r="A1739" s="1" t="s">
        <v>28</v>
      </c>
    </row>
    <row r="1740" spans="1:1" x14ac:dyDescent="0.3">
      <c r="A1740" s="2" t="s">
        <v>28</v>
      </c>
    </row>
    <row r="1741" spans="1:1" x14ac:dyDescent="0.3">
      <c r="A1741" s="1" t="s">
        <v>28</v>
      </c>
    </row>
    <row r="1742" spans="1:1" x14ac:dyDescent="0.3">
      <c r="A1742" s="2" t="s">
        <v>28</v>
      </c>
    </row>
    <row r="1743" spans="1:1" x14ac:dyDescent="0.3">
      <c r="A1743" s="1" t="s">
        <v>28</v>
      </c>
    </row>
    <row r="1744" spans="1:1" x14ac:dyDescent="0.3">
      <c r="A1744" s="2" t="s">
        <v>89</v>
      </c>
    </row>
    <row r="1745" spans="1:1" x14ac:dyDescent="0.3">
      <c r="A1745" s="1" t="s">
        <v>28</v>
      </c>
    </row>
    <row r="1746" spans="1:1" x14ac:dyDescent="0.3">
      <c r="A1746" s="2" t="s">
        <v>89</v>
      </c>
    </row>
    <row r="1747" spans="1:1" x14ac:dyDescent="0.3">
      <c r="A1747" s="1" t="s">
        <v>28</v>
      </c>
    </row>
    <row r="1748" spans="1:1" x14ac:dyDescent="0.3">
      <c r="A1748" s="2" t="s">
        <v>28</v>
      </c>
    </row>
    <row r="1749" spans="1:1" x14ac:dyDescent="0.3">
      <c r="A1749" s="1" t="s">
        <v>28</v>
      </c>
    </row>
    <row r="1750" spans="1:1" x14ac:dyDescent="0.3">
      <c r="A1750" s="2" t="s">
        <v>89</v>
      </c>
    </row>
    <row r="1751" spans="1:1" x14ac:dyDescent="0.3">
      <c r="A1751" s="1" t="s">
        <v>89</v>
      </c>
    </row>
    <row r="1752" spans="1:1" x14ac:dyDescent="0.3">
      <c r="A1752" s="2" t="s">
        <v>89</v>
      </c>
    </row>
    <row r="1753" spans="1:1" x14ac:dyDescent="0.3">
      <c r="A1753" s="1" t="s">
        <v>89</v>
      </c>
    </row>
    <row r="1754" spans="1:1" x14ac:dyDescent="0.3">
      <c r="A1754" s="2" t="s">
        <v>28</v>
      </c>
    </row>
    <row r="1755" spans="1:1" x14ac:dyDescent="0.3">
      <c r="A1755" s="1" t="s">
        <v>28</v>
      </c>
    </row>
    <row r="1756" spans="1:1" x14ac:dyDescent="0.3">
      <c r="A1756" s="2" t="s">
        <v>28</v>
      </c>
    </row>
    <row r="1757" spans="1:1" x14ac:dyDescent="0.3">
      <c r="A1757" s="1" t="s">
        <v>28</v>
      </c>
    </row>
    <row r="1758" spans="1:1" x14ac:dyDescent="0.3">
      <c r="A1758" s="2" t="s">
        <v>89</v>
      </c>
    </row>
    <row r="1759" spans="1:1" x14ac:dyDescent="0.3">
      <c r="A1759" s="1" t="s">
        <v>28</v>
      </c>
    </row>
    <row r="1760" spans="1:1" x14ac:dyDescent="0.3">
      <c r="A1760" s="2" t="s">
        <v>28</v>
      </c>
    </row>
    <row r="1761" spans="1:1" x14ac:dyDescent="0.3">
      <c r="A1761" s="1" t="s">
        <v>89</v>
      </c>
    </row>
    <row r="1762" spans="1:1" x14ac:dyDescent="0.3">
      <c r="A1762" s="2" t="s">
        <v>28</v>
      </c>
    </row>
    <row r="1763" spans="1:1" x14ac:dyDescent="0.3">
      <c r="A1763" s="1" t="s">
        <v>28</v>
      </c>
    </row>
    <row r="1764" spans="1:1" x14ac:dyDescent="0.3">
      <c r="A1764" s="2" t="s">
        <v>28</v>
      </c>
    </row>
    <row r="1765" spans="1:1" x14ac:dyDescent="0.3">
      <c r="A1765" s="1" t="s">
        <v>28</v>
      </c>
    </row>
    <row r="1766" spans="1:1" x14ac:dyDescent="0.3">
      <c r="A1766" s="2" t="s">
        <v>89</v>
      </c>
    </row>
    <row r="1767" spans="1:1" x14ac:dyDescent="0.3">
      <c r="A1767" s="1" t="s">
        <v>28</v>
      </c>
    </row>
    <row r="1768" spans="1:1" x14ac:dyDescent="0.3">
      <c r="A1768" s="2" t="s">
        <v>89</v>
      </c>
    </row>
    <row r="1769" spans="1:1" x14ac:dyDescent="0.3">
      <c r="A1769" s="1" t="s">
        <v>28</v>
      </c>
    </row>
    <row r="1770" spans="1:1" x14ac:dyDescent="0.3">
      <c r="A1770" s="2" t="s">
        <v>28</v>
      </c>
    </row>
    <row r="1771" spans="1:1" x14ac:dyDescent="0.3">
      <c r="A1771" s="1" t="s">
        <v>28</v>
      </c>
    </row>
    <row r="1772" spans="1:1" x14ac:dyDescent="0.3">
      <c r="A1772" s="2" t="s">
        <v>28</v>
      </c>
    </row>
    <row r="1773" spans="1:1" x14ac:dyDescent="0.3">
      <c r="A1773" s="1" t="s">
        <v>28</v>
      </c>
    </row>
    <row r="1774" spans="1:1" x14ac:dyDescent="0.3">
      <c r="A1774" s="2" t="s">
        <v>28</v>
      </c>
    </row>
    <row r="1775" spans="1:1" x14ac:dyDescent="0.3">
      <c r="A1775" s="1" t="s">
        <v>28</v>
      </c>
    </row>
    <row r="1776" spans="1:1" x14ac:dyDescent="0.3">
      <c r="A1776" s="2" t="s">
        <v>28</v>
      </c>
    </row>
    <row r="1777" spans="1:1" x14ac:dyDescent="0.3">
      <c r="A1777" s="1" t="s">
        <v>28</v>
      </c>
    </row>
    <row r="1778" spans="1:1" x14ac:dyDescent="0.3">
      <c r="A1778" s="2" t="s">
        <v>28</v>
      </c>
    </row>
    <row r="1779" spans="1:1" x14ac:dyDescent="0.3">
      <c r="A1779" s="1" t="s">
        <v>89</v>
      </c>
    </row>
    <row r="1780" spans="1:1" x14ac:dyDescent="0.3">
      <c r="A1780" s="2" t="s">
        <v>28</v>
      </c>
    </row>
    <row r="1781" spans="1:1" x14ac:dyDescent="0.3">
      <c r="A1781" s="1" t="s">
        <v>28</v>
      </c>
    </row>
    <row r="1782" spans="1:1" x14ac:dyDescent="0.3">
      <c r="A1782" s="2" t="s">
        <v>28</v>
      </c>
    </row>
    <row r="1783" spans="1:1" x14ac:dyDescent="0.3">
      <c r="A1783" s="1" t="s">
        <v>28</v>
      </c>
    </row>
    <row r="1784" spans="1:1" x14ac:dyDescent="0.3">
      <c r="A1784" s="2" t="s">
        <v>28</v>
      </c>
    </row>
    <row r="1785" spans="1:1" x14ac:dyDescent="0.3">
      <c r="A1785" s="1" t="s">
        <v>28</v>
      </c>
    </row>
    <row r="1786" spans="1:1" x14ac:dyDescent="0.3">
      <c r="A1786" s="2" t="s">
        <v>28</v>
      </c>
    </row>
    <row r="1787" spans="1:1" x14ac:dyDescent="0.3">
      <c r="A1787" s="1" t="s">
        <v>28</v>
      </c>
    </row>
    <row r="1788" spans="1:1" x14ac:dyDescent="0.3">
      <c r="A1788" s="2" t="s">
        <v>28</v>
      </c>
    </row>
    <row r="1789" spans="1:1" x14ac:dyDescent="0.3">
      <c r="A1789" s="1" t="s">
        <v>28</v>
      </c>
    </row>
    <row r="1790" spans="1:1" x14ac:dyDescent="0.3">
      <c r="A1790" s="2" t="s">
        <v>28</v>
      </c>
    </row>
    <row r="1791" spans="1:1" x14ac:dyDescent="0.3">
      <c r="A1791" s="1" t="s">
        <v>28</v>
      </c>
    </row>
    <row r="1792" spans="1:1" x14ac:dyDescent="0.3">
      <c r="A1792" s="2" t="s">
        <v>28</v>
      </c>
    </row>
    <row r="1793" spans="1:1" x14ac:dyDescent="0.3">
      <c r="A1793" s="1" t="s">
        <v>28</v>
      </c>
    </row>
    <row r="1794" spans="1:1" x14ac:dyDescent="0.3">
      <c r="A1794" s="2" t="s">
        <v>28</v>
      </c>
    </row>
    <row r="1795" spans="1:1" x14ac:dyDescent="0.3">
      <c r="A1795" s="1" t="s">
        <v>28</v>
      </c>
    </row>
    <row r="1796" spans="1:1" x14ac:dyDescent="0.3">
      <c r="A1796" s="2" t="s">
        <v>89</v>
      </c>
    </row>
    <row r="1797" spans="1:1" x14ac:dyDescent="0.3">
      <c r="A1797" s="1" t="s">
        <v>89</v>
      </c>
    </row>
    <row r="1798" spans="1:1" x14ac:dyDescent="0.3">
      <c r="A1798" s="2" t="s">
        <v>28</v>
      </c>
    </row>
    <row r="1799" spans="1:1" x14ac:dyDescent="0.3">
      <c r="A1799" s="1" t="s">
        <v>28</v>
      </c>
    </row>
    <row r="1800" spans="1:1" x14ac:dyDescent="0.3">
      <c r="A1800" s="2" t="s">
        <v>28</v>
      </c>
    </row>
    <row r="1801" spans="1:1" x14ac:dyDescent="0.3">
      <c r="A1801" s="1" t="s">
        <v>28</v>
      </c>
    </row>
    <row r="1802" spans="1:1" x14ac:dyDescent="0.3">
      <c r="A1802" s="2" t="s">
        <v>28</v>
      </c>
    </row>
    <row r="1803" spans="1:1" x14ac:dyDescent="0.3">
      <c r="A1803" s="1" t="s">
        <v>28</v>
      </c>
    </row>
    <row r="1804" spans="1:1" x14ac:dyDescent="0.3">
      <c r="A1804" s="2" t="s">
        <v>28</v>
      </c>
    </row>
    <row r="1805" spans="1:1" x14ac:dyDescent="0.3">
      <c r="A1805" s="1" t="s">
        <v>89</v>
      </c>
    </row>
    <row r="1806" spans="1:1" x14ac:dyDescent="0.3">
      <c r="A1806" s="2" t="s">
        <v>89</v>
      </c>
    </row>
    <row r="1807" spans="1:1" x14ac:dyDescent="0.3">
      <c r="A1807" s="1" t="s">
        <v>89</v>
      </c>
    </row>
    <row r="1808" spans="1:1" x14ac:dyDescent="0.3">
      <c r="A1808" s="2" t="s">
        <v>89</v>
      </c>
    </row>
    <row r="1809" spans="1:1" x14ac:dyDescent="0.3">
      <c r="A1809" s="1" t="s">
        <v>89</v>
      </c>
    </row>
    <row r="1810" spans="1:1" x14ac:dyDescent="0.3">
      <c r="A1810" s="2" t="s">
        <v>28</v>
      </c>
    </row>
    <row r="1811" spans="1:1" x14ac:dyDescent="0.3">
      <c r="A1811" s="1" t="s">
        <v>89</v>
      </c>
    </row>
    <row r="1812" spans="1:1" x14ac:dyDescent="0.3">
      <c r="A1812" s="2" t="s">
        <v>89</v>
      </c>
    </row>
    <row r="1813" spans="1:1" x14ac:dyDescent="0.3">
      <c r="A1813" s="1" t="s">
        <v>89</v>
      </c>
    </row>
    <row r="1814" spans="1:1" x14ac:dyDescent="0.3">
      <c r="A1814" s="2" t="s">
        <v>89</v>
      </c>
    </row>
    <row r="1815" spans="1:1" x14ac:dyDescent="0.3">
      <c r="A1815" s="1" t="s">
        <v>89</v>
      </c>
    </row>
    <row r="1816" spans="1:1" x14ac:dyDescent="0.3">
      <c r="A1816" s="2" t="s">
        <v>89</v>
      </c>
    </row>
    <row r="1817" spans="1:1" x14ac:dyDescent="0.3">
      <c r="A1817" s="1" t="s">
        <v>89</v>
      </c>
    </row>
    <row r="1818" spans="1:1" x14ac:dyDescent="0.3">
      <c r="A1818" s="2" t="s">
        <v>89</v>
      </c>
    </row>
    <row r="1819" spans="1:1" x14ac:dyDescent="0.3">
      <c r="A1819" s="1" t="s">
        <v>28</v>
      </c>
    </row>
    <row r="1820" spans="1:1" x14ac:dyDescent="0.3">
      <c r="A1820" s="2" t="s">
        <v>28</v>
      </c>
    </row>
    <row r="1821" spans="1:1" x14ac:dyDescent="0.3">
      <c r="A1821" s="1" t="s">
        <v>28</v>
      </c>
    </row>
    <row r="1822" spans="1:1" x14ac:dyDescent="0.3">
      <c r="A1822" s="2" t="s">
        <v>28</v>
      </c>
    </row>
    <row r="1823" spans="1:1" x14ac:dyDescent="0.3">
      <c r="A1823" s="1" t="s">
        <v>28</v>
      </c>
    </row>
    <row r="1824" spans="1:1" x14ac:dyDescent="0.3">
      <c r="A1824" s="2" t="s">
        <v>28</v>
      </c>
    </row>
    <row r="1825" spans="1:1" x14ac:dyDescent="0.3">
      <c r="A1825" s="1" t="s">
        <v>28</v>
      </c>
    </row>
    <row r="1826" spans="1:1" x14ac:dyDescent="0.3">
      <c r="A1826" s="2" t="s">
        <v>28</v>
      </c>
    </row>
    <row r="1827" spans="1:1" x14ac:dyDescent="0.3">
      <c r="A1827" s="1" t="s">
        <v>28</v>
      </c>
    </row>
    <row r="1828" spans="1:1" x14ac:dyDescent="0.3">
      <c r="A1828" s="2" t="s">
        <v>28</v>
      </c>
    </row>
    <row r="1829" spans="1:1" x14ac:dyDescent="0.3">
      <c r="A1829" s="1" t="s">
        <v>28</v>
      </c>
    </row>
    <row r="1830" spans="1:1" x14ac:dyDescent="0.3">
      <c r="A1830" s="2" t="s">
        <v>28</v>
      </c>
    </row>
    <row r="1831" spans="1:1" x14ac:dyDescent="0.3">
      <c r="A1831" s="1" t="s">
        <v>89</v>
      </c>
    </row>
    <row r="1832" spans="1:1" x14ac:dyDescent="0.3">
      <c r="A1832" s="2" t="s">
        <v>89</v>
      </c>
    </row>
    <row r="1833" spans="1:1" x14ac:dyDescent="0.3">
      <c r="A1833" s="1" t="s">
        <v>89</v>
      </c>
    </row>
    <row r="1834" spans="1:1" x14ac:dyDescent="0.3">
      <c r="A1834" s="2" t="s">
        <v>89</v>
      </c>
    </row>
    <row r="1835" spans="1:1" x14ac:dyDescent="0.3">
      <c r="A1835" s="1" t="s">
        <v>28</v>
      </c>
    </row>
    <row r="1836" spans="1:1" x14ac:dyDescent="0.3">
      <c r="A1836" s="2" t="s">
        <v>28</v>
      </c>
    </row>
    <row r="1837" spans="1:1" x14ac:dyDescent="0.3">
      <c r="A1837" s="1" t="s">
        <v>89</v>
      </c>
    </row>
    <row r="1838" spans="1:1" x14ac:dyDescent="0.3">
      <c r="A1838" s="2" t="s">
        <v>89</v>
      </c>
    </row>
    <row r="1839" spans="1:1" x14ac:dyDescent="0.3">
      <c r="A1839" s="1" t="s">
        <v>89</v>
      </c>
    </row>
    <row r="1840" spans="1:1" x14ac:dyDescent="0.3">
      <c r="A1840" s="2" t="s">
        <v>89</v>
      </c>
    </row>
    <row r="1841" spans="1:1" x14ac:dyDescent="0.3">
      <c r="A1841" s="1" t="s">
        <v>28</v>
      </c>
    </row>
    <row r="1842" spans="1:1" x14ac:dyDescent="0.3">
      <c r="A1842" s="2" t="s">
        <v>28</v>
      </c>
    </row>
    <row r="1843" spans="1:1" x14ac:dyDescent="0.3">
      <c r="A1843" s="1" t="s">
        <v>28</v>
      </c>
    </row>
    <row r="1844" spans="1:1" x14ac:dyDescent="0.3">
      <c r="A1844" s="2" t="s">
        <v>28</v>
      </c>
    </row>
    <row r="1845" spans="1:1" x14ac:dyDescent="0.3">
      <c r="A1845" s="1" t="s">
        <v>28</v>
      </c>
    </row>
    <row r="1846" spans="1:1" x14ac:dyDescent="0.3">
      <c r="A1846" s="2" t="s">
        <v>28</v>
      </c>
    </row>
    <row r="1847" spans="1:1" x14ac:dyDescent="0.3">
      <c r="A1847" s="1" t="s">
        <v>28</v>
      </c>
    </row>
    <row r="1848" spans="1:1" x14ac:dyDescent="0.3">
      <c r="A1848" s="2" t="s">
        <v>28</v>
      </c>
    </row>
    <row r="1849" spans="1:1" x14ac:dyDescent="0.3">
      <c r="A1849" s="1" t="s">
        <v>28</v>
      </c>
    </row>
    <row r="1850" spans="1:1" x14ac:dyDescent="0.3">
      <c r="A1850" s="2" t="s">
        <v>28</v>
      </c>
    </row>
    <row r="1851" spans="1:1" x14ac:dyDescent="0.3">
      <c r="A1851" s="1" t="s">
        <v>28</v>
      </c>
    </row>
    <row r="1852" spans="1:1" x14ac:dyDescent="0.3">
      <c r="A1852" s="2" t="s">
        <v>89</v>
      </c>
    </row>
    <row r="1853" spans="1:1" x14ac:dyDescent="0.3">
      <c r="A1853" s="1" t="s">
        <v>89</v>
      </c>
    </row>
    <row r="1854" spans="1:1" x14ac:dyDescent="0.3">
      <c r="A1854" s="2" t="s">
        <v>28</v>
      </c>
    </row>
    <row r="1855" spans="1:1" x14ac:dyDescent="0.3">
      <c r="A1855" s="1" t="s">
        <v>28</v>
      </c>
    </row>
    <row r="1856" spans="1:1" x14ac:dyDescent="0.3">
      <c r="A1856" s="2" t="s">
        <v>89</v>
      </c>
    </row>
    <row r="1857" spans="1:1" x14ac:dyDescent="0.3">
      <c r="A1857" s="1" t="s">
        <v>28</v>
      </c>
    </row>
    <row r="1858" spans="1:1" x14ac:dyDescent="0.3">
      <c r="A1858" s="2" t="s">
        <v>89</v>
      </c>
    </row>
    <row r="1859" spans="1:1" x14ac:dyDescent="0.3">
      <c r="A1859" s="1" t="s">
        <v>89</v>
      </c>
    </row>
    <row r="1860" spans="1:1" x14ac:dyDescent="0.3">
      <c r="A1860" s="2" t="s">
        <v>89</v>
      </c>
    </row>
    <row r="1861" spans="1:1" x14ac:dyDescent="0.3">
      <c r="A1861" s="1" t="s">
        <v>89</v>
      </c>
    </row>
    <row r="1862" spans="1:1" x14ac:dyDescent="0.3">
      <c r="A1862" s="2" t="s">
        <v>89</v>
      </c>
    </row>
    <row r="1863" spans="1:1" x14ac:dyDescent="0.3">
      <c r="A1863" s="1" t="s">
        <v>28</v>
      </c>
    </row>
    <row r="1864" spans="1:1" x14ac:dyDescent="0.3">
      <c r="A1864" s="2" t="s">
        <v>28</v>
      </c>
    </row>
    <row r="1865" spans="1:1" x14ac:dyDescent="0.3">
      <c r="A1865" s="1" t="s">
        <v>28</v>
      </c>
    </row>
    <row r="1866" spans="1:1" x14ac:dyDescent="0.3">
      <c r="A1866" s="2" t="s">
        <v>28</v>
      </c>
    </row>
    <row r="1867" spans="1:1" x14ac:dyDescent="0.3">
      <c r="A1867" s="1" t="s">
        <v>89</v>
      </c>
    </row>
    <row r="1868" spans="1:1" x14ac:dyDescent="0.3">
      <c r="A1868" s="2" t="s">
        <v>89</v>
      </c>
    </row>
    <row r="1869" spans="1:1" x14ac:dyDescent="0.3">
      <c r="A1869" s="1" t="s">
        <v>89</v>
      </c>
    </row>
    <row r="1870" spans="1:1" x14ac:dyDescent="0.3">
      <c r="A1870" s="2" t="s">
        <v>28</v>
      </c>
    </row>
    <row r="1871" spans="1:1" x14ac:dyDescent="0.3">
      <c r="A1871" s="1" t="s">
        <v>28</v>
      </c>
    </row>
    <row r="1872" spans="1:1" x14ac:dyDescent="0.3">
      <c r="A1872" s="2" t="s">
        <v>28</v>
      </c>
    </row>
    <row r="1873" spans="1:1" x14ac:dyDescent="0.3">
      <c r="A1873" s="1" t="s">
        <v>28</v>
      </c>
    </row>
    <row r="1874" spans="1:1" x14ac:dyDescent="0.3">
      <c r="A1874" s="2" t="s">
        <v>28</v>
      </c>
    </row>
    <row r="1875" spans="1:1" x14ac:dyDescent="0.3">
      <c r="A1875" s="1" t="s">
        <v>28</v>
      </c>
    </row>
    <row r="1876" spans="1:1" x14ac:dyDescent="0.3">
      <c r="A1876" s="2" t="s">
        <v>28</v>
      </c>
    </row>
    <row r="1877" spans="1:1" x14ac:dyDescent="0.3">
      <c r="A1877" s="1" t="s">
        <v>28</v>
      </c>
    </row>
    <row r="1878" spans="1:1" x14ac:dyDescent="0.3">
      <c r="A1878" s="2" t="s">
        <v>28</v>
      </c>
    </row>
    <row r="1879" spans="1:1" x14ac:dyDescent="0.3">
      <c r="A1879" s="1" t="s">
        <v>28</v>
      </c>
    </row>
    <row r="1880" spans="1:1" x14ac:dyDescent="0.3">
      <c r="A1880" s="2" t="s">
        <v>28</v>
      </c>
    </row>
    <row r="1881" spans="1:1" x14ac:dyDescent="0.3">
      <c r="A1881" s="1" t="s">
        <v>28</v>
      </c>
    </row>
    <row r="1882" spans="1:1" x14ac:dyDescent="0.3">
      <c r="A1882" s="2" t="s">
        <v>28</v>
      </c>
    </row>
    <row r="1883" spans="1:1" x14ac:dyDescent="0.3">
      <c r="A1883" s="1" t="s">
        <v>28</v>
      </c>
    </row>
    <row r="1884" spans="1:1" x14ac:dyDescent="0.3">
      <c r="A1884" s="2" t="s">
        <v>28</v>
      </c>
    </row>
    <row r="1885" spans="1:1" x14ac:dyDescent="0.3">
      <c r="A1885" s="1" t="s">
        <v>89</v>
      </c>
    </row>
    <row r="1886" spans="1:1" x14ac:dyDescent="0.3">
      <c r="A1886" s="2" t="s">
        <v>28</v>
      </c>
    </row>
    <row r="1887" spans="1:1" x14ac:dyDescent="0.3">
      <c r="A1887" s="1" t="s">
        <v>28</v>
      </c>
    </row>
    <row r="1888" spans="1:1" x14ac:dyDescent="0.3">
      <c r="A1888" s="2" t="s">
        <v>28</v>
      </c>
    </row>
    <row r="1889" spans="1:1" x14ac:dyDescent="0.3">
      <c r="A1889" s="1" t="s">
        <v>89</v>
      </c>
    </row>
    <row r="1890" spans="1:1" x14ac:dyDescent="0.3">
      <c r="A1890" s="2" t="s">
        <v>28</v>
      </c>
    </row>
    <row r="1891" spans="1:1" x14ac:dyDescent="0.3">
      <c r="A1891" s="1" t="s">
        <v>89</v>
      </c>
    </row>
    <row r="1892" spans="1:1" x14ac:dyDescent="0.3">
      <c r="A1892" s="2" t="s">
        <v>28</v>
      </c>
    </row>
    <row r="1893" spans="1:1" x14ac:dyDescent="0.3">
      <c r="A1893" s="1" t="s">
        <v>28</v>
      </c>
    </row>
    <row r="1894" spans="1:1" x14ac:dyDescent="0.3">
      <c r="A1894" s="2" t="s">
        <v>89</v>
      </c>
    </row>
    <row r="1895" spans="1:1" x14ac:dyDescent="0.3">
      <c r="A1895" s="1" t="s">
        <v>89</v>
      </c>
    </row>
    <row r="1896" spans="1:1" x14ac:dyDescent="0.3">
      <c r="A1896" s="2" t="s">
        <v>89</v>
      </c>
    </row>
    <row r="1897" spans="1:1" x14ac:dyDescent="0.3">
      <c r="A1897" s="1" t="s">
        <v>89</v>
      </c>
    </row>
    <row r="1898" spans="1:1" x14ac:dyDescent="0.3">
      <c r="A1898" s="2" t="s">
        <v>28</v>
      </c>
    </row>
    <row r="1899" spans="1:1" x14ac:dyDescent="0.3">
      <c r="A1899" s="1" t="s">
        <v>28</v>
      </c>
    </row>
    <row r="1900" spans="1:1" x14ac:dyDescent="0.3">
      <c r="A1900" s="2" t="s">
        <v>89</v>
      </c>
    </row>
    <row r="1901" spans="1:1" x14ac:dyDescent="0.3">
      <c r="A1901" s="1" t="s">
        <v>89</v>
      </c>
    </row>
    <row r="1902" spans="1:1" x14ac:dyDescent="0.3">
      <c r="A1902" s="2" t="s">
        <v>89</v>
      </c>
    </row>
    <row r="1903" spans="1:1" x14ac:dyDescent="0.3">
      <c r="A1903" s="1" t="s">
        <v>28</v>
      </c>
    </row>
    <row r="1904" spans="1:1" x14ac:dyDescent="0.3">
      <c r="A1904" s="2" t="s">
        <v>28</v>
      </c>
    </row>
    <row r="1905" spans="1:1" x14ac:dyDescent="0.3">
      <c r="A1905" s="1" t="s">
        <v>28</v>
      </c>
    </row>
    <row r="1906" spans="1:1" x14ac:dyDescent="0.3">
      <c r="A1906" s="2" t="s">
        <v>89</v>
      </c>
    </row>
    <row r="1907" spans="1:1" x14ac:dyDescent="0.3">
      <c r="A1907" s="1" t="s">
        <v>28</v>
      </c>
    </row>
    <row r="1908" spans="1:1" x14ac:dyDescent="0.3">
      <c r="A1908" s="2" t="s">
        <v>89</v>
      </c>
    </row>
    <row r="1909" spans="1:1" x14ac:dyDescent="0.3">
      <c r="A1909" s="1" t="s">
        <v>28</v>
      </c>
    </row>
    <row r="1910" spans="1:1" x14ac:dyDescent="0.3">
      <c r="A1910" s="2" t="s">
        <v>28</v>
      </c>
    </row>
    <row r="1911" spans="1:1" x14ac:dyDescent="0.3">
      <c r="A1911" s="1" t="s">
        <v>28</v>
      </c>
    </row>
    <row r="1912" spans="1:1" x14ac:dyDescent="0.3">
      <c r="A1912" s="2" t="s">
        <v>28</v>
      </c>
    </row>
    <row r="1913" spans="1:1" x14ac:dyDescent="0.3">
      <c r="A1913" s="1" t="s">
        <v>89</v>
      </c>
    </row>
    <row r="1914" spans="1:1" x14ac:dyDescent="0.3">
      <c r="A1914" s="2" t="s">
        <v>28</v>
      </c>
    </row>
    <row r="1915" spans="1:1" x14ac:dyDescent="0.3">
      <c r="A1915" s="1" t="s">
        <v>28</v>
      </c>
    </row>
    <row r="1916" spans="1:1" x14ac:dyDescent="0.3">
      <c r="A1916" s="2" t="s">
        <v>28</v>
      </c>
    </row>
    <row r="1917" spans="1:1" x14ac:dyDescent="0.3">
      <c r="A1917" s="1" t="s">
        <v>28</v>
      </c>
    </row>
    <row r="1918" spans="1:1" x14ac:dyDescent="0.3">
      <c r="A1918" s="2" t="s">
        <v>28</v>
      </c>
    </row>
    <row r="1919" spans="1:1" x14ac:dyDescent="0.3">
      <c r="A1919" s="1" t="s">
        <v>28</v>
      </c>
    </row>
    <row r="1920" spans="1:1" x14ac:dyDescent="0.3">
      <c r="A1920" s="2" t="s">
        <v>28</v>
      </c>
    </row>
    <row r="1921" spans="1:1" x14ac:dyDescent="0.3">
      <c r="A1921" s="1" t="s">
        <v>28</v>
      </c>
    </row>
    <row r="1922" spans="1:1" x14ac:dyDescent="0.3">
      <c r="A1922" s="2" t="s">
        <v>28</v>
      </c>
    </row>
    <row r="1923" spans="1:1" x14ac:dyDescent="0.3">
      <c r="A1923" s="1" t="s">
        <v>28</v>
      </c>
    </row>
    <row r="1924" spans="1:1" x14ac:dyDescent="0.3">
      <c r="A1924" s="2" t="s">
        <v>28</v>
      </c>
    </row>
    <row r="1925" spans="1:1" x14ac:dyDescent="0.3">
      <c r="A1925" s="1" t="s">
        <v>28</v>
      </c>
    </row>
    <row r="1926" spans="1:1" x14ac:dyDescent="0.3">
      <c r="A1926" s="2" t="s">
        <v>28</v>
      </c>
    </row>
    <row r="1927" spans="1:1" x14ac:dyDescent="0.3">
      <c r="A1927" s="1" t="s">
        <v>28</v>
      </c>
    </row>
    <row r="1928" spans="1:1" x14ac:dyDescent="0.3">
      <c r="A1928" s="2" t="s">
        <v>28</v>
      </c>
    </row>
    <row r="1929" spans="1:1" x14ac:dyDescent="0.3">
      <c r="A1929" s="1" t="s">
        <v>28</v>
      </c>
    </row>
    <row r="1930" spans="1:1" x14ac:dyDescent="0.3">
      <c r="A1930" s="2" t="s">
        <v>89</v>
      </c>
    </row>
    <row r="1931" spans="1:1" x14ac:dyDescent="0.3">
      <c r="A1931" s="1" t="s">
        <v>89</v>
      </c>
    </row>
    <row r="1932" spans="1:1" x14ac:dyDescent="0.3">
      <c r="A1932" s="2" t="s">
        <v>28</v>
      </c>
    </row>
    <row r="1933" spans="1:1" x14ac:dyDescent="0.3">
      <c r="A1933" s="1" t="s">
        <v>89</v>
      </c>
    </row>
    <row r="1934" spans="1:1" x14ac:dyDescent="0.3">
      <c r="A1934" s="2" t="s">
        <v>28</v>
      </c>
    </row>
    <row r="1935" spans="1:1" x14ac:dyDescent="0.3">
      <c r="A1935" s="1" t="s">
        <v>89</v>
      </c>
    </row>
    <row r="1936" spans="1:1" x14ac:dyDescent="0.3">
      <c r="A1936" s="2" t="s">
        <v>89</v>
      </c>
    </row>
    <row r="1937" spans="1:1" x14ac:dyDescent="0.3">
      <c r="A1937" s="1" t="s">
        <v>28</v>
      </c>
    </row>
    <row r="1938" spans="1:1" x14ac:dyDescent="0.3">
      <c r="A1938" s="2" t="s">
        <v>28</v>
      </c>
    </row>
    <row r="1939" spans="1:1" x14ac:dyDescent="0.3">
      <c r="A1939" s="1" t="s">
        <v>89</v>
      </c>
    </row>
    <row r="1940" spans="1:1" x14ac:dyDescent="0.3">
      <c r="A1940" s="2" t="s">
        <v>28</v>
      </c>
    </row>
    <row r="1941" spans="1:1" x14ac:dyDescent="0.3">
      <c r="A1941" s="1" t="s">
        <v>89</v>
      </c>
    </row>
    <row r="1942" spans="1:1" x14ac:dyDescent="0.3">
      <c r="A1942" s="2" t="s">
        <v>89</v>
      </c>
    </row>
    <row r="1943" spans="1:1" x14ac:dyDescent="0.3">
      <c r="A1943" s="1" t="s">
        <v>28</v>
      </c>
    </row>
    <row r="1944" spans="1:1" x14ac:dyDescent="0.3">
      <c r="A1944" s="2" t="s">
        <v>28</v>
      </c>
    </row>
    <row r="1945" spans="1:1" x14ac:dyDescent="0.3">
      <c r="A1945" s="1" t="s">
        <v>28</v>
      </c>
    </row>
    <row r="1946" spans="1:1" x14ac:dyDescent="0.3">
      <c r="A1946" s="2" t="s">
        <v>28</v>
      </c>
    </row>
    <row r="1947" spans="1:1" x14ac:dyDescent="0.3">
      <c r="A1947" s="1" t="s">
        <v>28</v>
      </c>
    </row>
    <row r="1948" spans="1:1" x14ac:dyDescent="0.3">
      <c r="A1948" s="2" t="s">
        <v>89</v>
      </c>
    </row>
    <row r="1949" spans="1:1" x14ac:dyDescent="0.3">
      <c r="A1949" s="1" t="s">
        <v>28</v>
      </c>
    </row>
    <row r="1950" spans="1:1" x14ac:dyDescent="0.3">
      <c r="A1950" s="2" t="s">
        <v>28</v>
      </c>
    </row>
    <row r="1951" spans="1:1" x14ac:dyDescent="0.3">
      <c r="A1951" s="1" t="s">
        <v>28</v>
      </c>
    </row>
    <row r="1952" spans="1:1" x14ac:dyDescent="0.3">
      <c r="A1952" s="2" t="s">
        <v>28</v>
      </c>
    </row>
    <row r="1953" spans="1:1" x14ac:dyDescent="0.3">
      <c r="A1953" s="1" t="s">
        <v>28</v>
      </c>
    </row>
    <row r="1954" spans="1:1" x14ac:dyDescent="0.3">
      <c r="A1954" s="2" t="s">
        <v>28</v>
      </c>
    </row>
    <row r="1955" spans="1:1" x14ac:dyDescent="0.3">
      <c r="A1955" s="1" t="s">
        <v>28</v>
      </c>
    </row>
    <row r="1956" spans="1:1" x14ac:dyDescent="0.3">
      <c r="A1956" s="2" t="s">
        <v>28</v>
      </c>
    </row>
    <row r="1957" spans="1:1" x14ac:dyDescent="0.3">
      <c r="A1957" s="1" t="s">
        <v>28</v>
      </c>
    </row>
    <row r="1958" spans="1:1" x14ac:dyDescent="0.3">
      <c r="A1958" s="2" t="s">
        <v>28</v>
      </c>
    </row>
    <row r="1959" spans="1:1" x14ac:dyDescent="0.3">
      <c r="A1959" s="1" t="s">
        <v>28</v>
      </c>
    </row>
    <row r="1960" spans="1:1" x14ac:dyDescent="0.3">
      <c r="A1960" s="2" t="s">
        <v>28</v>
      </c>
    </row>
    <row r="1961" spans="1:1" x14ac:dyDescent="0.3">
      <c r="A1961" s="1" t="s">
        <v>28</v>
      </c>
    </row>
    <row r="1962" spans="1:1" x14ac:dyDescent="0.3">
      <c r="A1962" s="2" t="s">
        <v>28</v>
      </c>
    </row>
    <row r="1963" spans="1:1" x14ac:dyDescent="0.3">
      <c r="A1963" s="1" t="s">
        <v>28</v>
      </c>
    </row>
    <row r="1964" spans="1:1" x14ac:dyDescent="0.3">
      <c r="A1964" s="2" t="s">
        <v>28</v>
      </c>
    </row>
    <row r="1965" spans="1:1" x14ac:dyDescent="0.3">
      <c r="A1965" s="1" t="s">
        <v>28</v>
      </c>
    </row>
    <row r="1966" spans="1:1" x14ac:dyDescent="0.3">
      <c r="A1966" s="2" t="s">
        <v>28</v>
      </c>
    </row>
    <row r="1967" spans="1:1" x14ac:dyDescent="0.3">
      <c r="A1967" s="1" t="s">
        <v>28</v>
      </c>
    </row>
    <row r="1968" spans="1:1" x14ac:dyDescent="0.3">
      <c r="A1968" s="2" t="s">
        <v>28</v>
      </c>
    </row>
    <row r="1969" spans="1:1" x14ac:dyDescent="0.3">
      <c r="A1969" s="1" t="s">
        <v>28</v>
      </c>
    </row>
    <row r="1970" spans="1:1" x14ac:dyDescent="0.3">
      <c r="A1970" s="2" t="s">
        <v>28</v>
      </c>
    </row>
    <row r="1971" spans="1:1" x14ac:dyDescent="0.3">
      <c r="A1971" s="1" t="s">
        <v>28</v>
      </c>
    </row>
    <row r="1972" spans="1:1" x14ac:dyDescent="0.3">
      <c r="A1972" s="2" t="s">
        <v>28</v>
      </c>
    </row>
    <row r="1973" spans="1:1" x14ac:dyDescent="0.3">
      <c r="A1973" s="1" t="s">
        <v>28</v>
      </c>
    </row>
    <row r="1974" spans="1:1" x14ac:dyDescent="0.3">
      <c r="A1974" s="2" t="s">
        <v>28</v>
      </c>
    </row>
    <row r="1975" spans="1:1" x14ac:dyDescent="0.3">
      <c r="A1975" s="1" t="s">
        <v>28</v>
      </c>
    </row>
    <row r="1976" spans="1:1" x14ac:dyDescent="0.3">
      <c r="A1976" s="2" t="s">
        <v>28</v>
      </c>
    </row>
    <row r="1977" spans="1:1" x14ac:dyDescent="0.3">
      <c r="A1977" s="1" t="s">
        <v>28</v>
      </c>
    </row>
    <row r="1978" spans="1:1" x14ac:dyDescent="0.3">
      <c r="A1978" s="2" t="s">
        <v>28</v>
      </c>
    </row>
    <row r="1979" spans="1:1" x14ac:dyDescent="0.3">
      <c r="A1979" s="1" t="s">
        <v>89</v>
      </c>
    </row>
    <row r="1980" spans="1:1" x14ac:dyDescent="0.3">
      <c r="A1980" s="2" t="s">
        <v>28</v>
      </c>
    </row>
    <row r="1981" spans="1:1" x14ac:dyDescent="0.3">
      <c r="A1981" s="1" t="s">
        <v>89</v>
      </c>
    </row>
    <row r="1982" spans="1:1" x14ac:dyDescent="0.3">
      <c r="A1982" s="2" t="s">
        <v>89</v>
      </c>
    </row>
    <row r="1983" spans="1:1" x14ac:dyDescent="0.3">
      <c r="A1983" s="1" t="s">
        <v>89</v>
      </c>
    </row>
    <row r="1984" spans="1:1" x14ac:dyDescent="0.3">
      <c r="A1984" s="2" t="s">
        <v>28</v>
      </c>
    </row>
    <row r="1985" spans="1:1" x14ac:dyDescent="0.3">
      <c r="A1985" s="1" t="s">
        <v>28</v>
      </c>
    </row>
    <row r="1986" spans="1:1" x14ac:dyDescent="0.3">
      <c r="A1986" s="2" t="s">
        <v>28</v>
      </c>
    </row>
    <row r="1987" spans="1:1" x14ac:dyDescent="0.3">
      <c r="A1987" s="1" t="s">
        <v>28</v>
      </c>
    </row>
    <row r="1988" spans="1:1" x14ac:dyDescent="0.3">
      <c r="A1988" s="2" t="s">
        <v>28</v>
      </c>
    </row>
    <row r="1989" spans="1:1" x14ac:dyDescent="0.3">
      <c r="A1989" s="1" t="s">
        <v>89</v>
      </c>
    </row>
    <row r="1990" spans="1:1" x14ac:dyDescent="0.3">
      <c r="A1990" s="2" t="s">
        <v>89</v>
      </c>
    </row>
    <row r="1991" spans="1:1" x14ac:dyDescent="0.3">
      <c r="A1991" s="1" t="s">
        <v>28</v>
      </c>
    </row>
    <row r="1992" spans="1:1" x14ac:dyDescent="0.3">
      <c r="A1992" s="2" t="s">
        <v>89</v>
      </c>
    </row>
    <row r="1993" spans="1:1" x14ac:dyDescent="0.3">
      <c r="A1993" s="1" t="s">
        <v>89</v>
      </c>
    </row>
    <row r="1994" spans="1:1" x14ac:dyDescent="0.3">
      <c r="A1994" s="2" t="s">
        <v>28</v>
      </c>
    </row>
    <row r="1995" spans="1:1" x14ac:dyDescent="0.3">
      <c r="A1995" s="1" t="s">
        <v>28</v>
      </c>
    </row>
    <row r="1996" spans="1:1" x14ac:dyDescent="0.3">
      <c r="A1996" s="2" t="s">
        <v>28</v>
      </c>
    </row>
    <row r="1997" spans="1:1" x14ac:dyDescent="0.3">
      <c r="A1997" s="1" t="s">
        <v>89</v>
      </c>
    </row>
    <row r="1998" spans="1:1" x14ac:dyDescent="0.3">
      <c r="A1998" s="2" t="s">
        <v>28</v>
      </c>
    </row>
    <row r="1999" spans="1:1" x14ac:dyDescent="0.3">
      <c r="A1999" s="1" t="s">
        <v>28</v>
      </c>
    </row>
    <row r="2000" spans="1:1" x14ac:dyDescent="0.3">
      <c r="A2000" s="2" t="s">
        <v>28</v>
      </c>
    </row>
    <row r="2001" spans="1:1" x14ac:dyDescent="0.3">
      <c r="A2001" s="1" t="s">
        <v>28</v>
      </c>
    </row>
    <row r="2002" spans="1:1" x14ac:dyDescent="0.3">
      <c r="A2002" s="2" t="s">
        <v>28</v>
      </c>
    </row>
    <row r="2003" spans="1:1" x14ac:dyDescent="0.3">
      <c r="A2003" s="1" t="s">
        <v>89</v>
      </c>
    </row>
    <row r="2004" spans="1:1" x14ac:dyDescent="0.3">
      <c r="A2004" s="2" t="s">
        <v>89</v>
      </c>
    </row>
    <row r="2005" spans="1:1" x14ac:dyDescent="0.3">
      <c r="A2005" s="1" t="s">
        <v>89</v>
      </c>
    </row>
    <row r="2006" spans="1:1" x14ac:dyDescent="0.3">
      <c r="A2006" s="2" t="s">
        <v>28</v>
      </c>
    </row>
    <row r="2007" spans="1:1" x14ac:dyDescent="0.3">
      <c r="A2007" s="1" t="s">
        <v>28</v>
      </c>
    </row>
    <row r="2008" spans="1:1" x14ac:dyDescent="0.3">
      <c r="A2008" s="2" t="s">
        <v>28</v>
      </c>
    </row>
    <row r="2009" spans="1:1" x14ac:dyDescent="0.3">
      <c r="A2009" s="1" t="s">
        <v>28</v>
      </c>
    </row>
    <row r="2010" spans="1:1" x14ac:dyDescent="0.3">
      <c r="A2010" s="2" t="s">
        <v>89</v>
      </c>
    </row>
    <row r="2011" spans="1:1" x14ac:dyDescent="0.3">
      <c r="A2011" s="1" t="s">
        <v>28</v>
      </c>
    </row>
    <row r="2012" spans="1:1" x14ac:dyDescent="0.3">
      <c r="A2012" s="2" t="s">
        <v>28</v>
      </c>
    </row>
    <row r="2013" spans="1:1" x14ac:dyDescent="0.3">
      <c r="A2013" s="1" t="s">
        <v>28</v>
      </c>
    </row>
    <row r="2014" spans="1:1" x14ac:dyDescent="0.3">
      <c r="A2014" s="2" t="s">
        <v>89</v>
      </c>
    </row>
    <row r="2015" spans="1:1" x14ac:dyDescent="0.3">
      <c r="A2015" s="1" t="s">
        <v>89</v>
      </c>
    </row>
    <row r="2016" spans="1:1" x14ac:dyDescent="0.3">
      <c r="A2016" s="2" t="s">
        <v>28</v>
      </c>
    </row>
    <row r="2017" spans="1:1" x14ac:dyDescent="0.3">
      <c r="A2017" s="1" t="s">
        <v>28</v>
      </c>
    </row>
    <row r="2018" spans="1:1" x14ac:dyDescent="0.3">
      <c r="A2018" s="2" t="s">
        <v>28</v>
      </c>
    </row>
    <row r="2019" spans="1:1" x14ac:dyDescent="0.3">
      <c r="A2019" s="1" t="s">
        <v>89</v>
      </c>
    </row>
    <row r="2020" spans="1:1" x14ac:dyDescent="0.3">
      <c r="A2020" s="2" t="s">
        <v>28</v>
      </c>
    </row>
    <row r="2021" spans="1:1" x14ac:dyDescent="0.3">
      <c r="A2021" s="1" t="s">
        <v>28</v>
      </c>
    </row>
    <row r="2022" spans="1:1" x14ac:dyDescent="0.3">
      <c r="A2022" s="2" t="s">
        <v>28</v>
      </c>
    </row>
    <row r="2023" spans="1:1" x14ac:dyDescent="0.3">
      <c r="A2023" s="1" t="s">
        <v>28</v>
      </c>
    </row>
    <row r="2024" spans="1:1" x14ac:dyDescent="0.3">
      <c r="A2024" s="2" t="s">
        <v>28</v>
      </c>
    </row>
    <row r="2025" spans="1:1" x14ac:dyDescent="0.3">
      <c r="A2025" s="1" t="s">
        <v>28</v>
      </c>
    </row>
    <row r="2026" spans="1:1" x14ac:dyDescent="0.3">
      <c r="A2026" s="2" t="s">
        <v>28</v>
      </c>
    </row>
    <row r="2027" spans="1:1" x14ac:dyDescent="0.3">
      <c r="A2027" s="1" t="s">
        <v>28</v>
      </c>
    </row>
    <row r="2028" spans="1:1" x14ac:dyDescent="0.3">
      <c r="A2028" s="2" t="s">
        <v>28</v>
      </c>
    </row>
    <row r="2029" spans="1:1" x14ac:dyDescent="0.3">
      <c r="A2029" s="1" t="s">
        <v>28</v>
      </c>
    </row>
    <row r="2030" spans="1:1" x14ac:dyDescent="0.3">
      <c r="A2030" s="2" t="s">
        <v>28</v>
      </c>
    </row>
    <row r="2031" spans="1:1" x14ac:dyDescent="0.3">
      <c r="A2031" s="1" t="s">
        <v>28</v>
      </c>
    </row>
    <row r="2032" spans="1:1" x14ac:dyDescent="0.3">
      <c r="A2032" s="2" t="s">
        <v>28</v>
      </c>
    </row>
    <row r="2033" spans="1:1" x14ac:dyDescent="0.3">
      <c r="A2033" s="1" t="s">
        <v>28</v>
      </c>
    </row>
    <row r="2034" spans="1:1" x14ac:dyDescent="0.3">
      <c r="A2034" s="2" t="s">
        <v>28</v>
      </c>
    </row>
    <row r="2035" spans="1:1" x14ac:dyDescent="0.3">
      <c r="A2035" s="1" t="s">
        <v>89</v>
      </c>
    </row>
    <row r="2036" spans="1:1" x14ac:dyDescent="0.3">
      <c r="A2036" s="2" t="s">
        <v>28</v>
      </c>
    </row>
    <row r="2037" spans="1:1" x14ac:dyDescent="0.3">
      <c r="A2037" s="1" t="s">
        <v>28</v>
      </c>
    </row>
    <row r="2038" spans="1:1" x14ac:dyDescent="0.3">
      <c r="A2038" s="2" t="s">
        <v>28</v>
      </c>
    </row>
    <row r="2039" spans="1:1" x14ac:dyDescent="0.3">
      <c r="A2039" s="1" t="s">
        <v>28</v>
      </c>
    </row>
    <row r="2040" spans="1:1" x14ac:dyDescent="0.3">
      <c r="A2040" s="2" t="s">
        <v>28</v>
      </c>
    </row>
    <row r="2041" spans="1:1" x14ac:dyDescent="0.3">
      <c r="A2041" s="1" t="s">
        <v>28</v>
      </c>
    </row>
    <row r="2042" spans="1:1" x14ac:dyDescent="0.3">
      <c r="A2042" s="2" t="s">
        <v>28</v>
      </c>
    </row>
    <row r="2043" spans="1:1" x14ac:dyDescent="0.3">
      <c r="A2043" s="1" t="s">
        <v>28</v>
      </c>
    </row>
    <row r="2044" spans="1:1" x14ac:dyDescent="0.3">
      <c r="A2044" s="2" t="s">
        <v>28</v>
      </c>
    </row>
    <row r="2045" spans="1:1" x14ac:dyDescent="0.3">
      <c r="A2045" s="1" t="s">
        <v>89</v>
      </c>
    </row>
    <row r="2046" spans="1:1" x14ac:dyDescent="0.3">
      <c r="A2046" s="2" t="s">
        <v>89</v>
      </c>
    </row>
    <row r="2047" spans="1:1" x14ac:dyDescent="0.3">
      <c r="A2047" s="1" t="s">
        <v>28</v>
      </c>
    </row>
    <row r="2048" spans="1:1" x14ac:dyDescent="0.3">
      <c r="A2048" s="2" t="s">
        <v>28</v>
      </c>
    </row>
    <row r="2049" spans="1:1" x14ac:dyDescent="0.3">
      <c r="A2049" s="1" t="s">
        <v>89</v>
      </c>
    </row>
    <row r="2050" spans="1:1" x14ac:dyDescent="0.3">
      <c r="A2050" s="2" t="s">
        <v>89</v>
      </c>
    </row>
    <row r="2051" spans="1:1" x14ac:dyDescent="0.3">
      <c r="A2051" s="1" t="s">
        <v>89</v>
      </c>
    </row>
    <row r="2052" spans="1:1" x14ac:dyDescent="0.3">
      <c r="A2052" s="2" t="s">
        <v>28</v>
      </c>
    </row>
    <row r="2053" spans="1:1" x14ac:dyDescent="0.3">
      <c r="A2053" s="1" t="s">
        <v>28</v>
      </c>
    </row>
    <row r="2054" spans="1:1" x14ac:dyDescent="0.3">
      <c r="A2054" s="2" t="s">
        <v>89</v>
      </c>
    </row>
    <row r="2055" spans="1:1" x14ac:dyDescent="0.3">
      <c r="A2055" s="1" t="s">
        <v>28</v>
      </c>
    </row>
    <row r="2056" spans="1:1" x14ac:dyDescent="0.3">
      <c r="A2056" s="2" t="s">
        <v>28</v>
      </c>
    </row>
    <row r="2057" spans="1:1" x14ac:dyDescent="0.3">
      <c r="A2057" s="1" t="s">
        <v>28</v>
      </c>
    </row>
    <row r="2058" spans="1:1" x14ac:dyDescent="0.3">
      <c r="A2058" s="2" t="s">
        <v>28</v>
      </c>
    </row>
    <row r="2059" spans="1:1" x14ac:dyDescent="0.3">
      <c r="A2059" s="1" t="s">
        <v>28</v>
      </c>
    </row>
    <row r="2060" spans="1:1" x14ac:dyDescent="0.3">
      <c r="A2060" s="2" t="s">
        <v>28</v>
      </c>
    </row>
    <row r="2061" spans="1:1" x14ac:dyDescent="0.3">
      <c r="A2061" s="1" t="s">
        <v>89</v>
      </c>
    </row>
    <row r="2062" spans="1:1" x14ac:dyDescent="0.3">
      <c r="A2062" s="2" t="s">
        <v>28</v>
      </c>
    </row>
    <row r="2063" spans="1:1" x14ac:dyDescent="0.3">
      <c r="A2063" s="1" t="s">
        <v>89</v>
      </c>
    </row>
    <row r="2064" spans="1:1" x14ac:dyDescent="0.3">
      <c r="A2064" s="2" t="s">
        <v>89</v>
      </c>
    </row>
    <row r="2065" spans="1:1" x14ac:dyDescent="0.3">
      <c r="A2065" s="1" t="s">
        <v>28</v>
      </c>
    </row>
    <row r="2066" spans="1:1" x14ac:dyDescent="0.3">
      <c r="A2066" s="2" t="s">
        <v>28</v>
      </c>
    </row>
    <row r="2067" spans="1:1" x14ac:dyDescent="0.3">
      <c r="A2067" s="1" t="s">
        <v>28</v>
      </c>
    </row>
    <row r="2068" spans="1:1" x14ac:dyDescent="0.3">
      <c r="A2068" s="2" t="s">
        <v>28</v>
      </c>
    </row>
    <row r="2069" spans="1:1" x14ac:dyDescent="0.3">
      <c r="A2069" s="1" t="s">
        <v>89</v>
      </c>
    </row>
    <row r="2070" spans="1:1" x14ac:dyDescent="0.3">
      <c r="A2070" s="2" t="s">
        <v>89</v>
      </c>
    </row>
    <row r="2071" spans="1:1" x14ac:dyDescent="0.3">
      <c r="A2071" s="1" t="s">
        <v>28</v>
      </c>
    </row>
    <row r="2072" spans="1:1" x14ac:dyDescent="0.3">
      <c r="A2072" s="2" t="s">
        <v>89</v>
      </c>
    </row>
    <row r="2073" spans="1:1" x14ac:dyDescent="0.3">
      <c r="A2073" s="1" t="s">
        <v>28</v>
      </c>
    </row>
    <row r="2074" spans="1:1" x14ac:dyDescent="0.3">
      <c r="A2074" s="2" t="s">
        <v>28</v>
      </c>
    </row>
    <row r="2075" spans="1:1" x14ac:dyDescent="0.3">
      <c r="A2075" s="1" t="s">
        <v>28</v>
      </c>
    </row>
    <row r="2076" spans="1:1" x14ac:dyDescent="0.3">
      <c r="A2076" s="2" t="s">
        <v>89</v>
      </c>
    </row>
    <row r="2077" spans="1:1" x14ac:dyDescent="0.3">
      <c r="A2077" s="1" t="s">
        <v>28</v>
      </c>
    </row>
    <row r="2078" spans="1:1" x14ac:dyDescent="0.3">
      <c r="A2078" s="2" t="s">
        <v>28</v>
      </c>
    </row>
    <row r="2079" spans="1:1" x14ac:dyDescent="0.3">
      <c r="A2079" s="1" t="s">
        <v>28</v>
      </c>
    </row>
    <row r="2080" spans="1:1" x14ac:dyDescent="0.3">
      <c r="A2080" s="2" t="s">
        <v>89</v>
      </c>
    </row>
    <row r="2081" spans="1:1" x14ac:dyDescent="0.3">
      <c r="A2081" s="1" t="s">
        <v>89</v>
      </c>
    </row>
    <row r="2082" spans="1:1" x14ac:dyDescent="0.3">
      <c r="A2082" s="2" t="s">
        <v>89</v>
      </c>
    </row>
    <row r="2083" spans="1:1" x14ac:dyDescent="0.3">
      <c r="A2083" s="1" t="s">
        <v>28</v>
      </c>
    </row>
    <row r="2084" spans="1:1" x14ac:dyDescent="0.3">
      <c r="A2084" s="2" t="s">
        <v>89</v>
      </c>
    </row>
    <row r="2085" spans="1:1" x14ac:dyDescent="0.3">
      <c r="A2085" s="1" t="s">
        <v>89</v>
      </c>
    </row>
    <row r="2086" spans="1:1" x14ac:dyDescent="0.3">
      <c r="A2086" s="2" t="s">
        <v>28</v>
      </c>
    </row>
    <row r="2087" spans="1:1" x14ac:dyDescent="0.3">
      <c r="A2087" s="1" t="s">
        <v>28</v>
      </c>
    </row>
    <row r="2088" spans="1:1" x14ac:dyDescent="0.3">
      <c r="A2088" s="2" t="s">
        <v>89</v>
      </c>
    </row>
    <row r="2089" spans="1:1" x14ac:dyDescent="0.3">
      <c r="A2089" s="1" t="s">
        <v>28</v>
      </c>
    </row>
    <row r="2090" spans="1:1" x14ac:dyDescent="0.3">
      <c r="A2090" s="2" t="s">
        <v>28</v>
      </c>
    </row>
    <row r="2091" spans="1:1" x14ac:dyDescent="0.3">
      <c r="A2091" s="1" t="s">
        <v>28</v>
      </c>
    </row>
    <row r="2092" spans="1:1" x14ac:dyDescent="0.3">
      <c r="A2092" s="2" t="s">
        <v>28</v>
      </c>
    </row>
    <row r="2093" spans="1:1" x14ac:dyDescent="0.3">
      <c r="A2093" s="1" t="s">
        <v>28</v>
      </c>
    </row>
    <row r="2094" spans="1:1" x14ac:dyDescent="0.3">
      <c r="A2094" s="2" t="s">
        <v>28</v>
      </c>
    </row>
    <row r="2095" spans="1:1" x14ac:dyDescent="0.3">
      <c r="A2095" s="1" t="s">
        <v>28</v>
      </c>
    </row>
    <row r="2096" spans="1:1" x14ac:dyDescent="0.3">
      <c r="A2096" s="2" t="s">
        <v>28</v>
      </c>
    </row>
    <row r="2097" spans="1:1" x14ac:dyDescent="0.3">
      <c r="A2097" s="1" t="s">
        <v>89</v>
      </c>
    </row>
    <row r="2098" spans="1:1" x14ac:dyDescent="0.3">
      <c r="A2098" s="2" t="s">
        <v>28</v>
      </c>
    </row>
    <row r="2099" spans="1:1" x14ac:dyDescent="0.3">
      <c r="A2099" s="1" t="s">
        <v>89</v>
      </c>
    </row>
    <row r="2100" spans="1:1" x14ac:dyDescent="0.3">
      <c r="A2100" s="2" t="s">
        <v>89</v>
      </c>
    </row>
    <row r="2101" spans="1:1" x14ac:dyDescent="0.3">
      <c r="A2101" s="1" t="s">
        <v>89</v>
      </c>
    </row>
    <row r="2102" spans="1:1" x14ac:dyDescent="0.3">
      <c r="A2102" s="2" t="s">
        <v>28</v>
      </c>
    </row>
    <row r="2103" spans="1:1" x14ac:dyDescent="0.3">
      <c r="A2103" s="1" t="s">
        <v>89</v>
      </c>
    </row>
    <row r="2104" spans="1:1" x14ac:dyDescent="0.3">
      <c r="A2104" s="2" t="s">
        <v>28</v>
      </c>
    </row>
    <row r="2105" spans="1:1" x14ac:dyDescent="0.3">
      <c r="A2105" s="1" t="s">
        <v>89</v>
      </c>
    </row>
    <row r="2106" spans="1:1" x14ac:dyDescent="0.3">
      <c r="A2106" s="2" t="s">
        <v>28</v>
      </c>
    </row>
    <row r="2107" spans="1:1" x14ac:dyDescent="0.3">
      <c r="A2107" s="1" t="s">
        <v>89</v>
      </c>
    </row>
    <row r="2108" spans="1:1" x14ac:dyDescent="0.3">
      <c r="A2108" s="2" t="s">
        <v>28</v>
      </c>
    </row>
    <row r="2109" spans="1:1" x14ac:dyDescent="0.3">
      <c r="A2109" s="1" t="s">
        <v>28</v>
      </c>
    </row>
    <row r="2110" spans="1:1" x14ac:dyDescent="0.3">
      <c r="A2110" s="2" t="s">
        <v>28</v>
      </c>
    </row>
    <row r="2111" spans="1:1" x14ac:dyDescent="0.3">
      <c r="A2111" s="1" t="s">
        <v>28</v>
      </c>
    </row>
    <row r="2112" spans="1:1" x14ac:dyDescent="0.3">
      <c r="A2112" s="2" t="s">
        <v>28</v>
      </c>
    </row>
    <row r="2113" spans="1:1" x14ac:dyDescent="0.3">
      <c r="A2113" s="1" t="s">
        <v>28</v>
      </c>
    </row>
    <row r="2114" spans="1:1" x14ac:dyDescent="0.3">
      <c r="A2114" s="2" t="s">
        <v>28</v>
      </c>
    </row>
    <row r="2115" spans="1:1" x14ac:dyDescent="0.3">
      <c r="A2115" s="1" t="s">
        <v>89</v>
      </c>
    </row>
    <row r="2116" spans="1:1" x14ac:dyDescent="0.3">
      <c r="A2116" s="2" t="s">
        <v>28</v>
      </c>
    </row>
    <row r="2117" spans="1:1" x14ac:dyDescent="0.3">
      <c r="A2117" s="1" t="s">
        <v>28</v>
      </c>
    </row>
    <row r="2118" spans="1:1" x14ac:dyDescent="0.3">
      <c r="A2118" s="2" t="s">
        <v>28</v>
      </c>
    </row>
    <row r="2119" spans="1:1" x14ac:dyDescent="0.3">
      <c r="A2119" s="1" t="s">
        <v>28</v>
      </c>
    </row>
    <row r="2120" spans="1:1" x14ac:dyDescent="0.3">
      <c r="A2120" s="2" t="s">
        <v>89</v>
      </c>
    </row>
    <row r="2121" spans="1:1" x14ac:dyDescent="0.3">
      <c r="A2121" s="1" t="s">
        <v>28</v>
      </c>
    </row>
    <row r="2122" spans="1:1" x14ac:dyDescent="0.3">
      <c r="A2122" s="2" t="s">
        <v>28</v>
      </c>
    </row>
    <row r="2123" spans="1:1" x14ac:dyDescent="0.3">
      <c r="A2123" s="1" t="s">
        <v>28</v>
      </c>
    </row>
    <row r="2124" spans="1:1" x14ac:dyDescent="0.3">
      <c r="A2124" s="2" t="s">
        <v>28</v>
      </c>
    </row>
    <row r="2125" spans="1:1" x14ac:dyDescent="0.3">
      <c r="A2125" s="1" t="s">
        <v>28</v>
      </c>
    </row>
    <row r="2126" spans="1:1" x14ac:dyDescent="0.3">
      <c r="A2126" s="2" t="s">
        <v>28</v>
      </c>
    </row>
    <row r="2127" spans="1:1" x14ac:dyDescent="0.3">
      <c r="A2127" s="1" t="s">
        <v>28</v>
      </c>
    </row>
    <row r="2128" spans="1:1" x14ac:dyDescent="0.3">
      <c r="A2128" s="2" t="s">
        <v>28</v>
      </c>
    </row>
    <row r="2129" spans="1:1" x14ac:dyDescent="0.3">
      <c r="A2129" s="1" t="s">
        <v>28</v>
      </c>
    </row>
    <row r="2130" spans="1:1" x14ac:dyDescent="0.3">
      <c r="A2130" s="2" t="s">
        <v>28</v>
      </c>
    </row>
    <row r="2131" spans="1:1" x14ac:dyDescent="0.3">
      <c r="A2131" s="1" t="s">
        <v>28</v>
      </c>
    </row>
    <row r="2132" spans="1:1" x14ac:dyDescent="0.3">
      <c r="A2132" s="2" t="s">
        <v>89</v>
      </c>
    </row>
    <row r="2133" spans="1:1" x14ac:dyDescent="0.3">
      <c r="A2133" s="1" t="s">
        <v>28</v>
      </c>
    </row>
    <row r="2134" spans="1:1" x14ac:dyDescent="0.3">
      <c r="A2134" s="2" t="s">
        <v>28</v>
      </c>
    </row>
    <row r="2135" spans="1:1" x14ac:dyDescent="0.3">
      <c r="A2135" s="1" t="s">
        <v>28</v>
      </c>
    </row>
    <row r="2136" spans="1:1" x14ac:dyDescent="0.3">
      <c r="A2136" s="2" t="s">
        <v>28</v>
      </c>
    </row>
    <row r="2137" spans="1:1" x14ac:dyDescent="0.3">
      <c r="A2137" s="1" t="s">
        <v>28</v>
      </c>
    </row>
    <row r="2138" spans="1:1" x14ac:dyDescent="0.3">
      <c r="A2138" s="2" t="s">
        <v>28</v>
      </c>
    </row>
    <row r="2139" spans="1:1" x14ac:dyDescent="0.3">
      <c r="A2139" s="1" t="s">
        <v>89</v>
      </c>
    </row>
    <row r="2140" spans="1:1" x14ac:dyDescent="0.3">
      <c r="A2140" s="2" t="s">
        <v>89</v>
      </c>
    </row>
    <row r="2141" spans="1:1" x14ac:dyDescent="0.3">
      <c r="A2141" s="1" t="s">
        <v>28</v>
      </c>
    </row>
    <row r="2142" spans="1:1" x14ac:dyDescent="0.3">
      <c r="A2142" s="2" t="s">
        <v>89</v>
      </c>
    </row>
    <row r="2143" spans="1:1" x14ac:dyDescent="0.3">
      <c r="A2143" s="1" t="s">
        <v>28</v>
      </c>
    </row>
    <row r="2144" spans="1:1" x14ac:dyDescent="0.3">
      <c r="A2144" s="2" t="s">
        <v>28</v>
      </c>
    </row>
    <row r="2145" spans="1:1" x14ac:dyDescent="0.3">
      <c r="A2145" s="1" t="s">
        <v>89</v>
      </c>
    </row>
    <row r="2146" spans="1:1" x14ac:dyDescent="0.3">
      <c r="A2146" s="2" t="s">
        <v>28</v>
      </c>
    </row>
    <row r="2147" spans="1:1" x14ac:dyDescent="0.3">
      <c r="A2147" s="1" t="s">
        <v>89</v>
      </c>
    </row>
    <row r="2148" spans="1:1" x14ac:dyDescent="0.3">
      <c r="A2148" s="2" t="s">
        <v>28</v>
      </c>
    </row>
    <row r="2149" spans="1:1" x14ac:dyDescent="0.3">
      <c r="A2149" s="1" t="s">
        <v>28</v>
      </c>
    </row>
    <row r="2150" spans="1:1" x14ac:dyDescent="0.3">
      <c r="A2150" s="2" t="s">
        <v>28</v>
      </c>
    </row>
    <row r="2151" spans="1:1" x14ac:dyDescent="0.3">
      <c r="A2151" s="1" t="s">
        <v>28</v>
      </c>
    </row>
    <row r="2152" spans="1:1" x14ac:dyDescent="0.3">
      <c r="A2152" s="2" t="s">
        <v>28</v>
      </c>
    </row>
    <row r="2153" spans="1:1" x14ac:dyDescent="0.3">
      <c r="A2153" s="1" t="s">
        <v>28</v>
      </c>
    </row>
    <row r="2154" spans="1:1" x14ac:dyDescent="0.3">
      <c r="A2154" s="2" t="s">
        <v>28</v>
      </c>
    </row>
    <row r="2155" spans="1:1" x14ac:dyDescent="0.3">
      <c r="A2155" s="1" t="s">
        <v>28</v>
      </c>
    </row>
    <row r="2156" spans="1:1" x14ac:dyDescent="0.3">
      <c r="A2156" s="2" t="s">
        <v>28</v>
      </c>
    </row>
    <row r="2157" spans="1:1" x14ac:dyDescent="0.3">
      <c r="A2157" s="1" t="s">
        <v>28</v>
      </c>
    </row>
    <row r="2158" spans="1:1" x14ac:dyDescent="0.3">
      <c r="A2158" s="2" t="s">
        <v>28</v>
      </c>
    </row>
    <row r="2159" spans="1:1" x14ac:dyDescent="0.3">
      <c r="A2159" s="1" t="s">
        <v>28</v>
      </c>
    </row>
    <row r="2160" spans="1:1" x14ac:dyDescent="0.3">
      <c r="A2160" s="2" t="s">
        <v>89</v>
      </c>
    </row>
    <row r="2161" spans="1:1" x14ac:dyDescent="0.3">
      <c r="A2161" s="1" t="s">
        <v>28</v>
      </c>
    </row>
    <row r="2162" spans="1:1" x14ac:dyDescent="0.3">
      <c r="A2162" s="2" t="s">
        <v>28</v>
      </c>
    </row>
    <row r="2163" spans="1:1" x14ac:dyDescent="0.3">
      <c r="A2163" s="1" t="s">
        <v>28</v>
      </c>
    </row>
    <row r="2164" spans="1:1" x14ac:dyDescent="0.3">
      <c r="A2164" s="2" t="s">
        <v>28</v>
      </c>
    </row>
    <row r="2165" spans="1:1" x14ac:dyDescent="0.3">
      <c r="A2165" s="1" t="s">
        <v>28</v>
      </c>
    </row>
    <row r="2166" spans="1:1" x14ac:dyDescent="0.3">
      <c r="A2166" s="2" t="s">
        <v>89</v>
      </c>
    </row>
    <row r="2167" spans="1:1" x14ac:dyDescent="0.3">
      <c r="A2167" s="1" t="s">
        <v>89</v>
      </c>
    </row>
    <row r="2168" spans="1:1" x14ac:dyDescent="0.3">
      <c r="A2168" s="2" t="s">
        <v>89</v>
      </c>
    </row>
    <row r="2169" spans="1:1" x14ac:dyDescent="0.3">
      <c r="A2169" s="1" t="s">
        <v>89</v>
      </c>
    </row>
    <row r="2170" spans="1:1" x14ac:dyDescent="0.3">
      <c r="A2170" s="2" t="s">
        <v>89</v>
      </c>
    </row>
    <row r="2171" spans="1:1" x14ac:dyDescent="0.3">
      <c r="A2171" s="1" t="s">
        <v>89</v>
      </c>
    </row>
    <row r="2172" spans="1:1" x14ac:dyDescent="0.3">
      <c r="A2172" s="2" t="s">
        <v>28</v>
      </c>
    </row>
    <row r="2173" spans="1:1" x14ac:dyDescent="0.3">
      <c r="A2173" s="1" t="s">
        <v>28</v>
      </c>
    </row>
    <row r="2174" spans="1:1" x14ac:dyDescent="0.3">
      <c r="A2174" s="2" t="s">
        <v>28</v>
      </c>
    </row>
    <row r="2175" spans="1:1" x14ac:dyDescent="0.3">
      <c r="A2175" s="1" t="s">
        <v>28</v>
      </c>
    </row>
    <row r="2176" spans="1:1" x14ac:dyDescent="0.3">
      <c r="A2176" s="2" t="s">
        <v>28</v>
      </c>
    </row>
    <row r="2177" spans="1:1" x14ac:dyDescent="0.3">
      <c r="A2177" s="1" t="s">
        <v>89</v>
      </c>
    </row>
    <row r="2178" spans="1:1" x14ac:dyDescent="0.3">
      <c r="A2178" s="2" t="s">
        <v>89</v>
      </c>
    </row>
    <row r="2179" spans="1:1" x14ac:dyDescent="0.3">
      <c r="A2179" s="1" t="s">
        <v>28</v>
      </c>
    </row>
    <row r="2180" spans="1:1" x14ac:dyDescent="0.3">
      <c r="A2180" s="2" t="s">
        <v>28</v>
      </c>
    </row>
    <row r="2181" spans="1:1" x14ac:dyDescent="0.3">
      <c r="A2181" s="1" t="s">
        <v>89</v>
      </c>
    </row>
    <row r="2182" spans="1:1" x14ac:dyDescent="0.3">
      <c r="A2182" s="2" t="s">
        <v>28</v>
      </c>
    </row>
    <row r="2183" spans="1:1" x14ac:dyDescent="0.3">
      <c r="A2183" s="1" t="s">
        <v>28</v>
      </c>
    </row>
    <row r="2184" spans="1:1" x14ac:dyDescent="0.3">
      <c r="A2184" s="2" t="s">
        <v>28</v>
      </c>
    </row>
    <row r="2185" spans="1:1" x14ac:dyDescent="0.3">
      <c r="A2185" s="1" t="s">
        <v>89</v>
      </c>
    </row>
    <row r="2186" spans="1:1" x14ac:dyDescent="0.3">
      <c r="A2186" s="2" t="s">
        <v>28</v>
      </c>
    </row>
    <row r="2187" spans="1:1" x14ac:dyDescent="0.3">
      <c r="A2187" s="1" t="s">
        <v>28</v>
      </c>
    </row>
    <row r="2188" spans="1:1" x14ac:dyDescent="0.3">
      <c r="A2188" s="2" t="s">
        <v>89</v>
      </c>
    </row>
    <row r="2189" spans="1:1" x14ac:dyDescent="0.3">
      <c r="A2189" s="1" t="s">
        <v>89</v>
      </c>
    </row>
    <row r="2190" spans="1:1" x14ac:dyDescent="0.3">
      <c r="A2190" s="2" t="s">
        <v>89</v>
      </c>
    </row>
    <row r="2191" spans="1:1" x14ac:dyDescent="0.3">
      <c r="A2191" s="1" t="s">
        <v>28</v>
      </c>
    </row>
    <row r="2192" spans="1:1" x14ac:dyDescent="0.3">
      <c r="A2192" s="2" t="s">
        <v>28</v>
      </c>
    </row>
    <row r="2193" spans="1:1" x14ac:dyDescent="0.3">
      <c r="A2193" s="1" t="s">
        <v>28</v>
      </c>
    </row>
    <row r="2194" spans="1:1" x14ac:dyDescent="0.3">
      <c r="A2194" s="2" t="s">
        <v>89</v>
      </c>
    </row>
    <row r="2195" spans="1:1" x14ac:dyDescent="0.3">
      <c r="A2195" s="1" t="s">
        <v>28</v>
      </c>
    </row>
    <row r="2196" spans="1:1" x14ac:dyDescent="0.3">
      <c r="A2196" s="2" t="s">
        <v>28</v>
      </c>
    </row>
    <row r="2197" spans="1:1" x14ac:dyDescent="0.3">
      <c r="A2197" s="1" t="s">
        <v>28</v>
      </c>
    </row>
    <row r="2198" spans="1:1" x14ac:dyDescent="0.3">
      <c r="A2198" s="2" t="s">
        <v>28</v>
      </c>
    </row>
    <row r="2199" spans="1:1" x14ac:dyDescent="0.3">
      <c r="A2199" s="1" t="s">
        <v>28</v>
      </c>
    </row>
    <row r="2200" spans="1:1" x14ac:dyDescent="0.3">
      <c r="A2200" s="2" t="s">
        <v>28</v>
      </c>
    </row>
    <row r="2201" spans="1:1" x14ac:dyDescent="0.3">
      <c r="A2201" s="1" t="s">
        <v>28</v>
      </c>
    </row>
    <row r="2202" spans="1:1" x14ac:dyDescent="0.3">
      <c r="A2202" s="2" t="s">
        <v>28</v>
      </c>
    </row>
    <row r="2203" spans="1:1" x14ac:dyDescent="0.3">
      <c r="A2203" s="1" t="s">
        <v>28</v>
      </c>
    </row>
    <row r="2204" spans="1:1" x14ac:dyDescent="0.3">
      <c r="A2204" s="2" t="s">
        <v>28</v>
      </c>
    </row>
    <row r="2205" spans="1:1" x14ac:dyDescent="0.3">
      <c r="A2205" s="1" t="s">
        <v>28</v>
      </c>
    </row>
    <row r="2206" spans="1:1" x14ac:dyDescent="0.3">
      <c r="A2206" s="2" t="s">
        <v>28</v>
      </c>
    </row>
    <row r="2207" spans="1:1" x14ac:dyDescent="0.3">
      <c r="A2207" s="1" t="s">
        <v>28</v>
      </c>
    </row>
    <row r="2208" spans="1:1" x14ac:dyDescent="0.3">
      <c r="A2208" s="2" t="s">
        <v>28</v>
      </c>
    </row>
    <row r="2209" spans="1:1" x14ac:dyDescent="0.3">
      <c r="A2209" s="1" t="s">
        <v>28</v>
      </c>
    </row>
    <row r="2210" spans="1:1" x14ac:dyDescent="0.3">
      <c r="A2210" s="2" t="s">
        <v>28</v>
      </c>
    </row>
    <row r="2211" spans="1:1" x14ac:dyDescent="0.3">
      <c r="A2211" s="1" t="s">
        <v>28</v>
      </c>
    </row>
    <row r="2212" spans="1:1" x14ac:dyDescent="0.3">
      <c r="A2212" s="2" t="s">
        <v>89</v>
      </c>
    </row>
    <row r="2213" spans="1:1" x14ac:dyDescent="0.3">
      <c r="A2213" s="1" t="s">
        <v>89</v>
      </c>
    </row>
    <row r="2214" spans="1:1" x14ac:dyDescent="0.3">
      <c r="A2214" s="2" t="s">
        <v>89</v>
      </c>
    </row>
    <row r="2215" spans="1:1" x14ac:dyDescent="0.3">
      <c r="A2215" s="1" t="s">
        <v>89</v>
      </c>
    </row>
    <row r="2216" spans="1:1" x14ac:dyDescent="0.3">
      <c r="A2216" s="2" t="s">
        <v>28</v>
      </c>
    </row>
    <row r="2217" spans="1:1" x14ac:dyDescent="0.3">
      <c r="A2217" s="1" t="s">
        <v>28</v>
      </c>
    </row>
    <row r="2218" spans="1:1" x14ac:dyDescent="0.3">
      <c r="A2218" s="2" t="s">
        <v>28</v>
      </c>
    </row>
    <row r="2219" spans="1:1" x14ac:dyDescent="0.3">
      <c r="A2219" s="1" t="s">
        <v>28</v>
      </c>
    </row>
    <row r="2220" spans="1:1" x14ac:dyDescent="0.3">
      <c r="A2220" s="2" t="s">
        <v>28</v>
      </c>
    </row>
    <row r="2221" spans="1:1" x14ac:dyDescent="0.3">
      <c r="A2221" s="1" t="s">
        <v>28</v>
      </c>
    </row>
    <row r="2222" spans="1:1" x14ac:dyDescent="0.3">
      <c r="A2222" s="2" t="s">
        <v>89</v>
      </c>
    </row>
    <row r="2223" spans="1:1" x14ac:dyDescent="0.3">
      <c r="A2223" s="1" t="s">
        <v>28</v>
      </c>
    </row>
    <row r="2224" spans="1:1" x14ac:dyDescent="0.3">
      <c r="A2224" s="2" t="s">
        <v>28</v>
      </c>
    </row>
    <row r="2225" spans="1:1" x14ac:dyDescent="0.3">
      <c r="A2225" s="1" t="s">
        <v>28</v>
      </c>
    </row>
    <row r="2226" spans="1:1" x14ac:dyDescent="0.3">
      <c r="A2226" s="2" t="s">
        <v>28</v>
      </c>
    </row>
    <row r="2227" spans="1:1" x14ac:dyDescent="0.3">
      <c r="A2227" s="1" t="s">
        <v>89</v>
      </c>
    </row>
    <row r="2228" spans="1:1" x14ac:dyDescent="0.3">
      <c r="A2228" s="2" t="s">
        <v>89</v>
      </c>
    </row>
    <row r="2229" spans="1:1" x14ac:dyDescent="0.3">
      <c r="A2229" s="1" t="s">
        <v>89</v>
      </c>
    </row>
    <row r="2230" spans="1:1" x14ac:dyDescent="0.3">
      <c r="A2230" s="2" t="s">
        <v>28</v>
      </c>
    </row>
    <row r="2231" spans="1:1" x14ac:dyDescent="0.3">
      <c r="A2231" s="1" t="s">
        <v>28</v>
      </c>
    </row>
    <row r="2232" spans="1:1" x14ac:dyDescent="0.3">
      <c r="A2232" s="2" t="s">
        <v>28</v>
      </c>
    </row>
    <row r="2233" spans="1:1" x14ac:dyDescent="0.3">
      <c r="A2233" s="1" t="s">
        <v>89</v>
      </c>
    </row>
    <row r="2234" spans="1:1" x14ac:dyDescent="0.3">
      <c r="A2234" s="2" t="s">
        <v>28</v>
      </c>
    </row>
    <row r="2235" spans="1:1" x14ac:dyDescent="0.3">
      <c r="A2235" s="1" t="s">
        <v>28</v>
      </c>
    </row>
    <row r="2236" spans="1:1" x14ac:dyDescent="0.3">
      <c r="A2236" s="2" t="s">
        <v>28</v>
      </c>
    </row>
    <row r="2237" spans="1:1" x14ac:dyDescent="0.3">
      <c r="A2237" s="1" t="s">
        <v>28</v>
      </c>
    </row>
    <row r="2238" spans="1:1" x14ac:dyDescent="0.3">
      <c r="A2238" s="2" t="s">
        <v>28</v>
      </c>
    </row>
    <row r="2239" spans="1:1" x14ac:dyDescent="0.3">
      <c r="A2239" s="1" t="s">
        <v>28</v>
      </c>
    </row>
    <row r="2240" spans="1:1" x14ac:dyDescent="0.3">
      <c r="A2240" s="2" t="s">
        <v>28</v>
      </c>
    </row>
    <row r="2241" spans="1:1" x14ac:dyDescent="0.3">
      <c r="A2241" s="1" t="s">
        <v>28</v>
      </c>
    </row>
    <row r="2242" spans="1:1" x14ac:dyDescent="0.3">
      <c r="A2242" s="2" t="s">
        <v>28</v>
      </c>
    </row>
    <row r="2243" spans="1:1" x14ac:dyDescent="0.3">
      <c r="A2243" s="1" t="s">
        <v>28</v>
      </c>
    </row>
    <row r="2244" spans="1:1" x14ac:dyDescent="0.3">
      <c r="A2244" s="2" t="s">
        <v>28</v>
      </c>
    </row>
    <row r="2245" spans="1:1" x14ac:dyDescent="0.3">
      <c r="A2245" s="1" t="s">
        <v>28</v>
      </c>
    </row>
    <row r="2246" spans="1:1" x14ac:dyDescent="0.3">
      <c r="A2246" s="2" t="s">
        <v>28</v>
      </c>
    </row>
    <row r="2247" spans="1:1" x14ac:dyDescent="0.3">
      <c r="A2247" s="1" t="s">
        <v>28</v>
      </c>
    </row>
    <row r="2248" spans="1:1" x14ac:dyDescent="0.3">
      <c r="A2248" s="2" t="s">
        <v>28</v>
      </c>
    </row>
    <row r="2249" spans="1:1" x14ac:dyDescent="0.3">
      <c r="A2249" s="1" t="s">
        <v>28</v>
      </c>
    </row>
    <row r="2250" spans="1:1" x14ac:dyDescent="0.3">
      <c r="A2250" s="2" t="s">
        <v>28</v>
      </c>
    </row>
    <row r="2251" spans="1:1" x14ac:dyDescent="0.3">
      <c r="A2251" s="1" t="s">
        <v>28</v>
      </c>
    </row>
    <row r="2252" spans="1:1" x14ac:dyDescent="0.3">
      <c r="A2252" s="2" t="s">
        <v>28</v>
      </c>
    </row>
    <row r="2253" spans="1:1" x14ac:dyDescent="0.3">
      <c r="A2253" s="1" t="s">
        <v>28</v>
      </c>
    </row>
    <row r="2254" spans="1:1" x14ac:dyDescent="0.3">
      <c r="A2254" s="2" t="s">
        <v>28</v>
      </c>
    </row>
    <row r="2255" spans="1:1" x14ac:dyDescent="0.3">
      <c r="A2255" s="1" t="s">
        <v>28</v>
      </c>
    </row>
    <row r="2256" spans="1:1" x14ac:dyDescent="0.3">
      <c r="A2256" s="2" t="s">
        <v>28</v>
      </c>
    </row>
    <row r="2257" spans="1:1" x14ac:dyDescent="0.3">
      <c r="A2257" s="1" t="s">
        <v>28</v>
      </c>
    </row>
    <row r="2258" spans="1:1" x14ac:dyDescent="0.3">
      <c r="A2258" s="2" t="s">
        <v>28</v>
      </c>
    </row>
    <row r="2259" spans="1:1" x14ac:dyDescent="0.3">
      <c r="A2259" s="1" t="s">
        <v>28</v>
      </c>
    </row>
    <row r="2260" spans="1:1" x14ac:dyDescent="0.3">
      <c r="A2260" s="2" t="s">
        <v>28</v>
      </c>
    </row>
    <row r="2261" spans="1:1" x14ac:dyDescent="0.3">
      <c r="A2261" s="1" t="s">
        <v>28</v>
      </c>
    </row>
    <row r="2262" spans="1:1" x14ac:dyDescent="0.3">
      <c r="A2262" s="2" t="s">
        <v>28</v>
      </c>
    </row>
    <row r="2263" spans="1:1" x14ac:dyDescent="0.3">
      <c r="A2263" s="1" t="s">
        <v>28</v>
      </c>
    </row>
    <row r="2264" spans="1:1" x14ac:dyDescent="0.3">
      <c r="A2264" s="2" t="s">
        <v>28</v>
      </c>
    </row>
    <row r="2265" spans="1:1" x14ac:dyDescent="0.3">
      <c r="A2265" s="1" t="s">
        <v>28</v>
      </c>
    </row>
    <row r="2266" spans="1:1" x14ac:dyDescent="0.3">
      <c r="A2266" s="2" t="s">
        <v>28</v>
      </c>
    </row>
    <row r="2267" spans="1:1" x14ac:dyDescent="0.3">
      <c r="A2267" s="1" t="s">
        <v>28</v>
      </c>
    </row>
    <row r="2268" spans="1:1" x14ac:dyDescent="0.3">
      <c r="A2268" s="2" t="s">
        <v>28</v>
      </c>
    </row>
    <row r="2269" spans="1:1" x14ac:dyDescent="0.3">
      <c r="A2269" s="1" t="s">
        <v>28</v>
      </c>
    </row>
    <row r="2270" spans="1:1" x14ac:dyDescent="0.3">
      <c r="A2270" s="2" t="s">
        <v>28</v>
      </c>
    </row>
    <row r="2271" spans="1:1" x14ac:dyDescent="0.3">
      <c r="A2271" s="1" t="s">
        <v>28</v>
      </c>
    </row>
    <row r="2272" spans="1:1" x14ac:dyDescent="0.3">
      <c r="A2272" s="2" t="s">
        <v>28</v>
      </c>
    </row>
    <row r="2273" spans="1:1" x14ac:dyDescent="0.3">
      <c r="A2273" s="1" t="s">
        <v>28</v>
      </c>
    </row>
    <row r="2274" spans="1:1" x14ac:dyDescent="0.3">
      <c r="A2274" s="2" t="s">
        <v>28</v>
      </c>
    </row>
    <row r="2275" spans="1:1" x14ac:dyDescent="0.3">
      <c r="A2275" s="1" t="s">
        <v>28</v>
      </c>
    </row>
    <row r="2276" spans="1:1" x14ac:dyDescent="0.3">
      <c r="A2276" s="2" t="s">
        <v>28</v>
      </c>
    </row>
    <row r="2277" spans="1:1" x14ac:dyDescent="0.3">
      <c r="A2277" s="1" t="s">
        <v>28</v>
      </c>
    </row>
    <row r="2278" spans="1:1" x14ac:dyDescent="0.3">
      <c r="A2278" s="2" t="s">
        <v>28</v>
      </c>
    </row>
    <row r="2279" spans="1:1" x14ac:dyDescent="0.3">
      <c r="A2279" s="1" t="s">
        <v>89</v>
      </c>
    </row>
    <row r="2280" spans="1:1" x14ac:dyDescent="0.3">
      <c r="A2280" s="2" t="s">
        <v>28</v>
      </c>
    </row>
    <row r="2281" spans="1:1" x14ac:dyDescent="0.3">
      <c r="A2281" s="1" t="s">
        <v>28</v>
      </c>
    </row>
    <row r="2282" spans="1:1" x14ac:dyDescent="0.3">
      <c r="A2282" s="2" t="s">
        <v>89</v>
      </c>
    </row>
    <row r="2283" spans="1:1" x14ac:dyDescent="0.3">
      <c r="A2283" s="1" t="s">
        <v>89</v>
      </c>
    </row>
    <row r="2284" spans="1:1" x14ac:dyDescent="0.3">
      <c r="A2284" s="2" t="s">
        <v>89</v>
      </c>
    </row>
    <row r="2285" spans="1:1" x14ac:dyDescent="0.3">
      <c r="A2285" s="1" t="s">
        <v>28</v>
      </c>
    </row>
    <row r="2286" spans="1:1" x14ac:dyDescent="0.3">
      <c r="A2286" s="2" t="s">
        <v>28</v>
      </c>
    </row>
    <row r="2287" spans="1:1" x14ac:dyDescent="0.3">
      <c r="A2287" s="1" t="s">
        <v>28</v>
      </c>
    </row>
    <row r="2288" spans="1:1" x14ac:dyDescent="0.3">
      <c r="A2288" s="2" t="s">
        <v>89</v>
      </c>
    </row>
    <row r="2289" spans="1:1" x14ac:dyDescent="0.3">
      <c r="A2289" s="1" t="s">
        <v>89</v>
      </c>
    </row>
    <row r="2290" spans="1:1" x14ac:dyDescent="0.3">
      <c r="A2290" s="2" t="s">
        <v>89</v>
      </c>
    </row>
    <row r="2291" spans="1:1" x14ac:dyDescent="0.3">
      <c r="A2291" s="1" t="s">
        <v>28</v>
      </c>
    </row>
    <row r="2292" spans="1:1" x14ac:dyDescent="0.3">
      <c r="A2292" s="2" t="s">
        <v>28</v>
      </c>
    </row>
    <row r="2293" spans="1:1" x14ac:dyDescent="0.3">
      <c r="A2293" s="1" t="s">
        <v>28</v>
      </c>
    </row>
    <row r="2294" spans="1:1" x14ac:dyDescent="0.3">
      <c r="A2294" s="2" t="s">
        <v>28</v>
      </c>
    </row>
    <row r="2295" spans="1:1" x14ac:dyDescent="0.3">
      <c r="A2295" s="1" t="s">
        <v>28</v>
      </c>
    </row>
    <row r="2296" spans="1:1" x14ac:dyDescent="0.3">
      <c r="A2296" s="2" t="s">
        <v>28</v>
      </c>
    </row>
    <row r="2297" spans="1:1" x14ac:dyDescent="0.3">
      <c r="A2297" s="1" t="s">
        <v>28</v>
      </c>
    </row>
    <row r="2298" spans="1:1" x14ac:dyDescent="0.3">
      <c r="A2298" s="2" t="s">
        <v>28</v>
      </c>
    </row>
    <row r="2299" spans="1:1" x14ac:dyDescent="0.3">
      <c r="A2299" s="1" t="s">
        <v>89</v>
      </c>
    </row>
    <row r="2300" spans="1:1" x14ac:dyDescent="0.3">
      <c r="A2300" s="2" t="s">
        <v>28</v>
      </c>
    </row>
    <row r="2301" spans="1:1" x14ac:dyDescent="0.3">
      <c r="A2301" s="1" t="s">
        <v>28</v>
      </c>
    </row>
    <row r="2302" spans="1:1" x14ac:dyDescent="0.3">
      <c r="A2302" s="2" t="s">
        <v>89</v>
      </c>
    </row>
    <row r="2303" spans="1:1" x14ac:dyDescent="0.3">
      <c r="A2303" s="1" t="s">
        <v>89</v>
      </c>
    </row>
    <row r="2304" spans="1:1" x14ac:dyDescent="0.3">
      <c r="A2304" s="2" t="s">
        <v>28</v>
      </c>
    </row>
    <row r="2305" spans="1:1" x14ac:dyDescent="0.3">
      <c r="A2305" s="1" t="s">
        <v>28</v>
      </c>
    </row>
    <row r="2306" spans="1:1" x14ac:dyDescent="0.3">
      <c r="A2306" s="2" t="s">
        <v>28</v>
      </c>
    </row>
    <row r="2307" spans="1:1" x14ac:dyDescent="0.3">
      <c r="A2307" s="1" t="s">
        <v>28</v>
      </c>
    </row>
    <row r="2308" spans="1:1" x14ac:dyDescent="0.3">
      <c r="A2308" s="2" t="s">
        <v>28</v>
      </c>
    </row>
    <row r="2309" spans="1:1" x14ac:dyDescent="0.3">
      <c r="A2309" s="1" t="s">
        <v>28</v>
      </c>
    </row>
    <row r="2310" spans="1:1" x14ac:dyDescent="0.3">
      <c r="A2310" s="2" t="s">
        <v>28</v>
      </c>
    </row>
    <row r="2311" spans="1:1" x14ac:dyDescent="0.3">
      <c r="A2311" s="1" t="s">
        <v>28</v>
      </c>
    </row>
    <row r="2312" spans="1:1" x14ac:dyDescent="0.3">
      <c r="A2312" s="2" t="s">
        <v>28</v>
      </c>
    </row>
    <row r="2313" spans="1:1" x14ac:dyDescent="0.3">
      <c r="A2313" s="1" t="s">
        <v>28</v>
      </c>
    </row>
    <row r="2314" spans="1:1" x14ac:dyDescent="0.3">
      <c r="A2314" s="2" t="s">
        <v>28</v>
      </c>
    </row>
    <row r="2315" spans="1:1" x14ac:dyDescent="0.3">
      <c r="A2315" s="1" t="s">
        <v>89</v>
      </c>
    </row>
    <row r="2316" spans="1:1" x14ac:dyDescent="0.3">
      <c r="A2316" s="2" t="s">
        <v>28</v>
      </c>
    </row>
    <row r="2317" spans="1:1" x14ac:dyDescent="0.3">
      <c r="A2317" s="1" t="s">
        <v>28</v>
      </c>
    </row>
    <row r="2318" spans="1:1" x14ac:dyDescent="0.3">
      <c r="A2318" s="2" t="s">
        <v>28</v>
      </c>
    </row>
    <row r="2319" spans="1:1" x14ac:dyDescent="0.3">
      <c r="A2319" s="1" t="s">
        <v>28</v>
      </c>
    </row>
    <row r="2320" spans="1:1" x14ac:dyDescent="0.3">
      <c r="A2320" s="2" t="s">
        <v>28</v>
      </c>
    </row>
    <row r="2321" spans="1:1" x14ac:dyDescent="0.3">
      <c r="A2321" s="1" t="s">
        <v>89</v>
      </c>
    </row>
    <row r="2322" spans="1:1" x14ac:dyDescent="0.3">
      <c r="A2322" s="2" t="s">
        <v>28</v>
      </c>
    </row>
    <row r="2323" spans="1:1" x14ac:dyDescent="0.3">
      <c r="A2323" s="1" t="s">
        <v>28</v>
      </c>
    </row>
    <row r="2324" spans="1:1" x14ac:dyDescent="0.3">
      <c r="A2324" s="2" t="s">
        <v>89</v>
      </c>
    </row>
    <row r="2325" spans="1:1" x14ac:dyDescent="0.3">
      <c r="A2325" s="1" t="s">
        <v>28</v>
      </c>
    </row>
    <row r="2326" spans="1:1" x14ac:dyDescent="0.3">
      <c r="A2326" s="2" t="s">
        <v>28</v>
      </c>
    </row>
    <row r="2327" spans="1:1" x14ac:dyDescent="0.3">
      <c r="A2327" s="1" t="s">
        <v>28</v>
      </c>
    </row>
    <row r="2328" spans="1:1" x14ac:dyDescent="0.3">
      <c r="A2328" s="2" t="s">
        <v>28</v>
      </c>
    </row>
    <row r="2329" spans="1:1" x14ac:dyDescent="0.3">
      <c r="A2329" s="1" t="s">
        <v>28</v>
      </c>
    </row>
    <row r="2330" spans="1:1" x14ac:dyDescent="0.3">
      <c r="A2330" s="2" t="s">
        <v>28</v>
      </c>
    </row>
    <row r="2331" spans="1:1" x14ac:dyDescent="0.3">
      <c r="A2331" s="1" t="s">
        <v>28</v>
      </c>
    </row>
    <row r="2332" spans="1:1" x14ac:dyDescent="0.3">
      <c r="A2332" s="2" t="s">
        <v>28</v>
      </c>
    </row>
    <row r="2333" spans="1:1" x14ac:dyDescent="0.3">
      <c r="A2333" s="1" t="s">
        <v>28</v>
      </c>
    </row>
    <row r="2334" spans="1:1" x14ac:dyDescent="0.3">
      <c r="A2334" s="2" t="s">
        <v>28</v>
      </c>
    </row>
    <row r="2335" spans="1:1" x14ac:dyDescent="0.3">
      <c r="A2335" s="1" t="s">
        <v>89</v>
      </c>
    </row>
    <row r="2336" spans="1:1" x14ac:dyDescent="0.3">
      <c r="A2336" s="2" t="s">
        <v>28</v>
      </c>
    </row>
    <row r="2337" spans="1:1" x14ac:dyDescent="0.3">
      <c r="A2337" s="1" t="s">
        <v>89</v>
      </c>
    </row>
    <row r="2338" spans="1:1" x14ac:dyDescent="0.3">
      <c r="A2338" s="2" t="s">
        <v>89</v>
      </c>
    </row>
    <row r="2339" spans="1:1" x14ac:dyDescent="0.3">
      <c r="A2339" s="1" t="s">
        <v>89</v>
      </c>
    </row>
    <row r="2340" spans="1:1" x14ac:dyDescent="0.3">
      <c r="A2340" s="2" t="s">
        <v>28</v>
      </c>
    </row>
    <row r="2341" spans="1:1" x14ac:dyDescent="0.3">
      <c r="A2341" s="1" t="s">
        <v>28</v>
      </c>
    </row>
    <row r="2342" spans="1:1" x14ac:dyDescent="0.3">
      <c r="A2342" s="2" t="s">
        <v>28</v>
      </c>
    </row>
    <row r="2343" spans="1:1" x14ac:dyDescent="0.3">
      <c r="A2343" s="1" t="s">
        <v>28</v>
      </c>
    </row>
    <row r="2344" spans="1:1" x14ac:dyDescent="0.3">
      <c r="A2344" s="2" t="s">
        <v>89</v>
      </c>
    </row>
    <row r="2345" spans="1:1" x14ac:dyDescent="0.3">
      <c r="A2345" s="1" t="s">
        <v>28</v>
      </c>
    </row>
    <row r="2346" spans="1:1" x14ac:dyDescent="0.3">
      <c r="A2346" s="2" t="s">
        <v>28</v>
      </c>
    </row>
    <row r="2347" spans="1:1" x14ac:dyDescent="0.3">
      <c r="A2347" s="1" t="s">
        <v>28</v>
      </c>
    </row>
    <row r="2348" spans="1:1" x14ac:dyDescent="0.3">
      <c r="A2348" s="2" t="s">
        <v>28</v>
      </c>
    </row>
    <row r="2349" spans="1:1" x14ac:dyDescent="0.3">
      <c r="A2349" s="1" t="s">
        <v>28</v>
      </c>
    </row>
    <row r="2350" spans="1:1" x14ac:dyDescent="0.3">
      <c r="A2350" s="2" t="s">
        <v>89</v>
      </c>
    </row>
    <row r="2351" spans="1:1" x14ac:dyDescent="0.3">
      <c r="A2351" s="1" t="s">
        <v>28</v>
      </c>
    </row>
    <row r="2352" spans="1:1" x14ac:dyDescent="0.3">
      <c r="A2352" s="2" t="s">
        <v>28</v>
      </c>
    </row>
    <row r="2353" spans="1:1" x14ac:dyDescent="0.3">
      <c r="A2353" s="1" t="s">
        <v>28</v>
      </c>
    </row>
    <row r="2354" spans="1:1" x14ac:dyDescent="0.3">
      <c r="A2354" s="2" t="s">
        <v>28</v>
      </c>
    </row>
    <row r="2355" spans="1:1" x14ac:dyDescent="0.3">
      <c r="A2355" s="1" t="s">
        <v>28</v>
      </c>
    </row>
    <row r="2356" spans="1:1" x14ac:dyDescent="0.3">
      <c r="A2356" s="2" t="s">
        <v>28</v>
      </c>
    </row>
    <row r="2357" spans="1:1" x14ac:dyDescent="0.3">
      <c r="A2357" s="1" t="s">
        <v>28</v>
      </c>
    </row>
    <row r="2358" spans="1:1" x14ac:dyDescent="0.3">
      <c r="A2358" s="2" t="s">
        <v>89</v>
      </c>
    </row>
    <row r="2359" spans="1:1" x14ac:dyDescent="0.3">
      <c r="A2359" s="1" t="s">
        <v>28</v>
      </c>
    </row>
    <row r="2360" spans="1:1" x14ac:dyDescent="0.3">
      <c r="A2360" s="2" t="s">
        <v>28</v>
      </c>
    </row>
    <row r="2361" spans="1:1" x14ac:dyDescent="0.3">
      <c r="A2361" s="1" t="s">
        <v>28</v>
      </c>
    </row>
    <row r="2362" spans="1:1" x14ac:dyDescent="0.3">
      <c r="A2362" s="2" t="s">
        <v>28</v>
      </c>
    </row>
    <row r="2363" spans="1:1" x14ac:dyDescent="0.3">
      <c r="A2363" s="1" t="s">
        <v>28</v>
      </c>
    </row>
    <row r="2364" spans="1:1" x14ac:dyDescent="0.3">
      <c r="A2364" s="2" t="s">
        <v>89</v>
      </c>
    </row>
    <row r="2365" spans="1:1" x14ac:dyDescent="0.3">
      <c r="A2365" s="1" t="s">
        <v>28</v>
      </c>
    </row>
    <row r="2366" spans="1:1" x14ac:dyDescent="0.3">
      <c r="A2366" s="2" t="s">
        <v>28</v>
      </c>
    </row>
    <row r="2367" spans="1:1" x14ac:dyDescent="0.3">
      <c r="A2367" s="1" t="s">
        <v>28</v>
      </c>
    </row>
    <row r="2368" spans="1:1" x14ac:dyDescent="0.3">
      <c r="A2368" s="2" t="s">
        <v>28</v>
      </c>
    </row>
    <row r="2369" spans="1:1" x14ac:dyDescent="0.3">
      <c r="A2369" s="1" t="s">
        <v>89</v>
      </c>
    </row>
    <row r="2370" spans="1:1" x14ac:dyDescent="0.3">
      <c r="A2370" s="2" t="s">
        <v>89</v>
      </c>
    </row>
    <row r="2371" spans="1:1" x14ac:dyDescent="0.3">
      <c r="A2371" s="1" t="s">
        <v>28</v>
      </c>
    </row>
    <row r="2372" spans="1:1" x14ac:dyDescent="0.3">
      <c r="A2372" s="2" t="s">
        <v>89</v>
      </c>
    </row>
    <row r="2373" spans="1:1" x14ac:dyDescent="0.3">
      <c r="A2373" s="1" t="s">
        <v>89</v>
      </c>
    </row>
    <row r="2374" spans="1:1" x14ac:dyDescent="0.3">
      <c r="A2374" s="2" t="s">
        <v>28</v>
      </c>
    </row>
    <row r="2375" spans="1:1" x14ac:dyDescent="0.3">
      <c r="A2375" s="1" t="s">
        <v>28</v>
      </c>
    </row>
    <row r="2376" spans="1:1" x14ac:dyDescent="0.3">
      <c r="A2376" s="2" t="s">
        <v>28</v>
      </c>
    </row>
    <row r="2377" spans="1:1" x14ac:dyDescent="0.3">
      <c r="A2377" s="1" t="s">
        <v>28</v>
      </c>
    </row>
    <row r="2378" spans="1:1" x14ac:dyDescent="0.3">
      <c r="A2378" s="2" t="s">
        <v>28</v>
      </c>
    </row>
    <row r="2379" spans="1:1" x14ac:dyDescent="0.3">
      <c r="A2379" s="1" t="s">
        <v>28</v>
      </c>
    </row>
    <row r="2380" spans="1:1" x14ac:dyDescent="0.3">
      <c r="A2380" s="2" t="s">
        <v>28</v>
      </c>
    </row>
    <row r="2381" spans="1:1" x14ac:dyDescent="0.3">
      <c r="A2381" s="1" t="s">
        <v>28</v>
      </c>
    </row>
    <row r="2382" spans="1:1" x14ac:dyDescent="0.3">
      <c r="A2382" s="2" t="s">
        <v>28</v>
      </c>
    </row>
    <row r="2383" spans="1:1" x14ac:dyDescent="0.3">
      <c r="A2383" s="1" t="s">
        <v>89</v>
      </c>
    </row>
    <row r="2384" spans="1:1" x14ac:dyDescent="0.3">
      <c r="A2384" s="2" t="s">
        <v>28</v>
      </c>
    </row>
    <row r="2385" spans="1:1" x14ac:dyDescent="0.3">
      <c r="A2385" s="1" t="s">
        <v>28</v>
      </c>
    </row>
    <row r="2386" spans="1:1" x14ac:dyDescent="0.3">
      <c r="A2386" s="2" t="s">
        <v>89</v>
      </c>
    </row>
    <row r="2387" spans="1:1" x14ac:dyDescent="0.3">
      <c r="A2387" s="1" t="s">
        <v>28</v>
      </c>
    </row>
    <row r="2388" spans="1:1" x14ac:dyDescent="0.3">
      <c r="A2388" s="2" t="s">
        <v>28</v>
      </c>
    </row>
    <row r="2389" spans="1:1" x14ac:dyDescent="0.3">
      <c r="A2389" s="1" t="s">
        <v>28</v>
      </c>
    </row>
    <row r="2390" spans="1:1" x14ac:dyDescent="0.3">
      <c r="A2390" s="2" t="s">
        <v>28</v>
      </c>
    </row>
    <row r="2391" spans="1:1" x14ac:dyDescent="0.3">
      <c r="A2391" s="1" t="s">
        <v>89</v>
      </c>
    </row>
    <row r="2392" spans="1:1" x14ac:dyDescent="0.3">
      <c r="A2392" s="2" t="s">
        <v>89</v>
      </c>
    </row>
    <row r="2393" spans="1:1" x14ac:dyDescent="0.3">
      <c r="A2393" s="1" t="s">
        <v>89</v>
      </c>
    </row>
    <row r="2394" spans="1:1" x14ac:dyDescent="0.3">
      <c r="A2394" s="2" t="s">
        <v>89</v>
      </c>
    </row>
    <row r="2395" spans="1:1" x14ac:dyDescent="0.3">
      <c r="A2395" s="1" t="s">
        <v>89</v>
      </c>
    </row>
    <row r="2396" spans="1:1" x14ac:dyDescent="0.3">
      <c r="A2396" s="2" t="s">
        <v>89</v>
      </c>
    </row>
    <row r="2397" spans="1:1" x14ac:dyDescent="0.3">
      <c r="A2397" s="1" t="s">
        <v>89</v>
      </c>
    </row>
    <row r="2398" spans="1:1" x14ac:dyDescent="0.3">
      <c r="A2398" s="2" t="s">
        <v>89</v>
      </c>
    </row>
    <row r="2399" spans="1:1" x14ac:dyDescent="0.3">
      <c r="A2399" s="1" t="s">
        <v>89</v>
      </c>
    </row>
    <row r="2400" spans="1:1" x14ac:dyDescent="0.3">
      <c r="A2400" s="2" t="s">
        <v>28</v>
      </c>
    </row>
    <row r="2401" spans="1:1" x14ac:dyDescent="0.3">
      <c r="A2401" s="1" t="s">
        <v>28</v>
      </c>
    </row>
    <row r="2402" spans="1:1" x14ac:dyDescent="0.3">
      <c r="A2402" s="2" t="s">
        <v>28</v>
      </c>
    </row>
    <row r="2403" spans="1:1" x14ac:dyDescent="0.3">
      <c r="A2403" s="1" t="s">
        <v>28</v>
      </c>
    </row>
    <row r="2404" spans="1:1" x14ac:dyDescent="0.3">
      <c r="A2404" s="2" t="s">
        <v>28</v>
      </c>
    </row>
    <row r="2405" spans="1:1" x14ac:dyDescent="0.3">
      <c r="A2405" s="1" t="s">
        <v>28</v>
      </c>
    </row>
    <row r="2406" spans="1:1" x14ac:dyDescent="0.3">
      <c r="A2406" s="2" t="s">
        <v>28</v>
      </c>
    </row>
    <row r="2407" spans="1:1" x14ac:dyDescent="0.3">
      <c r="A2407" s="1" t="s">
        <v>28</v>
      </c>
    </row>
    <row r="2408" spans="1:1" x14ac:dyDescent="0.3">
      <c r="A2408" s="2" t="s">
        <v>28</v>
      </c>
    </row>
    <row r="2409" spans="1:1" x14ac:dyDescent="0.3">
      <c r="A2409" s="1" t="s">
        <v>28</v>
      </c>
    </row>
    <row r="2410" spans="1:1" x14ac:dyDescent="0.3">
      <c r="A2410" s="2" t="s">
        <v>89</v>
      </c>
    </row>
    <row r="2411" spans="1:1" x14ac:dyDescent="0.3">
      <c r="A2411" s="1" t="s">
        <v>28</v>
      </c>
    </row>
    <row r="2412" spans="1:1" x14ac:dyDescent="0.3">
      <c r="A2412" s="2" t="s">
        <v>28</v>
      </c>
    </row>
    <row r="2413" spans="1:1" x14ac:dyDescent="0.3">
      <c r="A2413" s="1" t="s">
        <v>89</v>
      </c>
    </row>
    <row r="2414" spans="1:1" x14ac:dyDescent="0.3">
      <c r="A2414" s="2" t="s">
        <v>89</v>
      </c>
    </row>
    <row r="2415" spans="1:1" x14ac:dyDescent="0.3">
      <c r="A2415" s="1" t="s">
        <v>28</v>
      </c>
    </row>
    <row r="2416" spans="1:1" x14ac:dyDescent="0.3">
      <c r="A2416" s="2" t="s">
        <v>28</v>
      </c>
    </row>
    <row r="2417" spans="1:1" x14ac:dyDescent="0.3">
      <c r="A2417" s="1" t="s">
        <v>28</v>
      </c>
    </row>
    <row r="2418" spans="1:1" x14ac:dyDescent="0.3">
      <c r="A2418" s="2" t="s">
        <v>28</v>
      </c>
    </row>
    <row r="2419" spans="1:1" x14ac:dyDescent="0.3">
      <c r="A2419" s="1" t="s">
        <v>28</v>
      </c>
    </row>
    <row r="2420" spans="1:1" x14ac:dyDescent="0.3">
      <c r="A2420" s="2" t="s">
        <v>28</v>
      </c>
    </row>
    <row r="2421" spans="1:1" x14ac:dyDescent="0.3">
      <c r="A2421" s="1" t="s">
        <v>28</v>
      </c>
    </row>
    <row r="2422" spans="1:1" x14ac:dyDescent="0.3">
      <c r="A2422" s="2" t="s">
        <v>89</v>
      </c>
    </row>
    <row r="2423" spans="1:1" x14ac:dyDescent="0.3">
      <c r="A2423" s="1" t="s">
        <v>89</v>
      </c>
    </row>
    <row r="2424" spans="1:1" x14ac:dyDescent="0.3">
      <c r="A2424" s="2" t="s">
        <v>28</v>
      </c>
    </row>
    <row r="2425" spans="1:1" x14ac:dyDescent="0.3">
      <c r="A2425" s="1" t="s">
        <v>28</v>
      </c>
    </row>
    <row r="2426" spans="1:1" x14ac:dyDescent="0.3">
      <c r="A2426" s="2" t="s">
        <v>28</v>
      </c>
    </row>
    <row r="2427" spans="1:1" x14ac:dyDescent="0.3">
      <c r="A2427" s="1" t="s">
        <v>28</v>
      </c>
    </row>
    <row r="2428" spans="1:1" x14ac:dyDescent="0.3">
      <c r="A2428" s="2" t="s">
        <v>28</v>
      </c>
    </row>
    <row r="2429" spans="1:1" x14ac:dyDescent="0.3">
      <c r="A2429" s="1" t="s">
        <v>28</v>
      </c>
    </row>
    <row r="2430" spans="1:1" x14ac:dyDescent="0.3">
      <c r="A2430" s="2" t="s">
        <v>28</v>
      </c>
    </row>
    <row r="2431" spans="1:1" x14ac:dyDescent="0.3">
      <c r="A2431" s="1" t="s">
        <v>28</v>
      </c>
    </row>
    <row r="2432" spans="1:1" x14ac:dyDescent="0.3">
      <c r="A2432" s="2" t="s">
        <v>28</v>
      </c>
    </row>
    <row r="2433" spans="1:1" x14ac:dyDescent="0.3">
      <c r="A2433" s="1" t="s">
        <v>89</v>
      </c>
    </row>
    <row r="2434" spans="1:1" x14ac:dyDescent="0.3">
      <c r="A2434" s="2" t="s">
        <v>89</v>
      </c>
    </row>
    <row r="2435" spans="1:1" x14ac:dyDescent="0.3">
      <c r="A2435" s="1" t="s">
        <v>28</v>
      </c>
    </row>
    <row r="2436" spans="1:1" x14ac:dyDescent="0.3">
      <c r="A2436" s="2" t="s">
        <v>28</v>
      </c>
    </row>
    <row r="2437" spans="1:1" x14ac:dyDescent="0.3">
      <c r="A2437" s="1" t="s">
        <v>28</v>
      </c>
    </row>
    <row r="2438" spans="1:1" x14ac:dyDescent="0.3">
      <c r="A2438" s="2" t="s">
        <v>28</v>
      </c>
    </row>
    <row r="2439" spans="1:1" x14ac:dyDescent="0.3">
      <c r="A2439" s="1" t="s">
        <v>28</v>
      </c>
    </row>
    <row r="2440" spans="1:1" x14ac:dyDescent="0.3">
      <c r="A2440" s="2" t="s">
        <v>28</v>
      </c>
    </row>
    <row r="2441" spans="1:1" x14ac:dyDescent="0.3">
      <c r="A2441" s="1" t="s">
        <v>28</v>
      </c>
    </row>
    <row r="2442" spans="1:1" x14ac:dyDescent="0.3">
      <c r="A2442" s="2" t="s">
        <v>28</v>
      </c>
    </row>
    <row r="2443" spans="1:1" x14ac:dyDescent="0.3">
      <c r="A2443" s="1" t="s">
        <v>89</v>
      </c>
    </row>
    <row r="2444" spans="1:1" x14ac:dyDescent="0.3">
      <c r="A2444" s="2" t="s">
        <v>89</v>
      </c>
    </row>
    <row r="2445" spans="1:1" x14ac:dyDescent="0.3">
      <c r="A2445" s="1" t="s">
        <v>89</v>
      </c>
    </row>
    <row r="2446" spans="1:1" x14ac:dyDescent="0.3">
      <c r="A2446" s="2" t="s">
        <v>89</v>
      </c>
    </row>
    <row r="2447" spans="1:1" x14ac:dyDescent="0.3">
      <c r="A2447" s="1" t="s">
        <v>28</v>
      </c>
    </row>
    <row r="2448" spans="1:1" x14ac:dyDescent="0.3">
      <c r="A2448" s="2" t="s">
        <v>28</v>
      </c>
    </row>
    <row r="2449" spans="1:1" x14ac:dyDescent="0.3">
      <c r="A2449" s="1" t="s">
        <v>28</v>
      </c>
    </row>
    <row r="2450" spans="1:1" x14ac:dyDescent="0.3">
      <c r="A2450" s="2" t="s">
        <v>28</v>
      </c>
    </row>
    <row r="2451" spans="1:1" x14ac:dyDescent="0.3">
      <c r="A2451" s="1" t="s">
        <v>28</v>
      </c>
    </row>
    <row r="2452" spans="1:1" x14ac:dyDescent="0.3">
      <c r="A2452" s="2" t="s">
        <v>28</v>
      </c>
    </row>
    <row r="2453" spans="1:1" x14ac:dyDescent="0.3">
      <c r="A2453" s="1" t="s">
        <v>28</v>
      </c>
    </row>
    <row r="2454" spans="1:1" x14ac:dyDescent="0.3">
      <c r="A2454" s="2" t="s">
        <v>28</v>
      </c>
    </row>
    <row r="2455" spans="1:1" x14ac:dyDescent="0.3">
      <c r="A2455" s="1" t="s">
        <v>28</v>
      </c>
    </row>
    <row r="2456" spans="1:1" x14ac:dyDescent="0.3">
      <c r="A2456" s="2" t="s">
        <v>28</v>
      </c>
    </row>
    <row r="2457" spans="1:1" x14ac:dyDescent="0.3">
      <c r="A2457" s="1" t="s">
        <v>28</v>
      </c>
    </row>
    <row r="2458" spans="1:1" x14ac:dyDescent="0.3">
      <c r="A2458" s="2" t="s">
        <v>28</v>
      </c>
    </row>
    <row r="2459" spans="1:1" x14ac:dyDescent="0.3">
      <c r="A2459" s="1" t="s">
        <v>28</v>
      </c>
    </row>
    <row r="2460" spans="1:1" x14ac:dyDescent="0.3">
      <c r="A2460" s="2" t="s">
        <v>28</v>
      </c>
    </row>
    <row r="2461" spans="1:1" x14ac:dyDescent="0.3">
      <c r="A2461" s="1" t="s">
        <v>28</v>
      </c>
    </row>
    <row r="2462" spans="1:1" x14ac:dyDescent="0.3">
      <c r="A2462" s="2" t="s">
        <v>28</v>
      </c>
    </row>
    <row r="2463" spans="1:1" x14ac:dyDescent="0.3">
      <c r="A2463" s="1" t="s">
        <v>28</v>
      </c>
    </row>
    <row r="2464" spans="1:1" x14ac:dyDescent="0.3">
      <c r="A2464" s="2" t="s">
        <v>28</v>
      </c>
    </row>
    <row r="2465" spans="1:1" x14ac:dyDescent="0.3">
      <c r="A2465" s="1" t="s">
        <v>28</v>
      </c>
    </row>
    <row r="2466" spans="1:1" x14ac:dyDescent="0.3">
      <c r="A2466" s="2" t="s">
        <v>28</v>
      </c>
    </row>
    <row r="2467" spans="1:1" x14ac:dyDescent="0.3">
      <c r="A2467" s="1" t="s">
        <v>28</v>
      </c>
    </row>
    <row r="2468" spans="1:1" x14ac:dyDescent="0.3">
      <c r="A2468" s="2" t="s">
        <v>28</v>
      </c>
    </row>
    <row r="2469" spans="1:1" x14ac:dyDescent="0.3">
      <c r="A2469" s="1" t="s">
        <v>28</v>
      </c>
    </row>
    <row r="2470" spans="1:1" x14ac:dyDescent="0.3">
      <c r="A2470" s="2" t="s">
        <v>28</v>
      </c>
    </row>
    <row r="2471" spans="1:1" x14ac:dyDescent="0.3">
      <c r="A2471" s="1" t="s">
        <v>28</v>
      </c>
    </row>
    <row r="2472" spans="1:1" x14ac:dyDescent="0.3">
      <c r="A2472" s="2" t="s">
        <v>28</v>
      </c>
    </row>
    <row r="2473" spans="1:1" x14ac:dyDescent="0.3">
      <c r="A2473" s="1" t="s">
        <v>28</v>
      </c>
    </row>
    <row r="2474" spans="1:1" x14ac:dyDescent="0.3">
      <c r="A2474" s="2" t="s">
        <v>28</v>
      </c>
    </row>
    <row r="2475" spans="1:1" x14ac:dyDescent="0.3">
      <c r="A2475" s="1" t="s">
        <v>28</v>
      </c>
    </row>
    <row r="2476" spans="1:1" x14ac:dyDescent="0.3">
      <c r="A2476" s="2" t="s">
        <v>28</v>
      </c>
    </row>
    <row r="2477" spans="1:1" x14ac:dyDescent="0.3">
      <c r="A2477" s="1" t="s">
        <v>28</v>
      </c>
    </row>
    <row r="2478" spans="1:1" x14ac:dyDescent="0.3">
      <c r="A2478" s="2" t="s">
        <v>28</v>
      </c>
    </row>
    <row r="2479" spans="1:1" x14ac:dyDescent="0.3">
      <c r="A2479" s="1" t="s">
        <v>89</v>
      </c>
    </row>
    <row r="2480" spans="1:1" x14ac:dyDescent="0.3">
      <c r="A2480" s="2" t="s">
        <v>28</v>
      </c>
    </row>
    <row r="2481" spans="1:1" x14ac:dyDescent="0.3">
      <c r="A2481" s="1" t="s">
        <v>89</v>
      </c>
    </row>
    <row r="2482" spans="1:1" x14ac:dyDescent="0.3">
      <c r="A2482" s="2" t="s">
        <v>28</v>
      </c>
    </row>
    <row r="2483" spans="1:1" x14ac:dyDescent="0.3">
      <c r="A2483" s="1" t="s">
        <v>28</v>
      </c>
    </row>
    <row r="2484" spans="1:1" x14ac:dyDescent="0.3">
      <c r="A2484" s="2" t="s">
        <v>89</v>
      </c>
    </row>
    <row r="2485" spans="1:1" x14ac:dyDescent="0.3">
      <c r="A2485" s="1" t="s">
        <v>89</v>
      </c>
    </row>
    <row r="2486" spans="1:1" x14ac:dyDescent="0.3">
      <c r="A2486" s="2" t="s">
        <v>28</v>
      </c>
    </row>
    <row r="2487" spans="1:1" x14ac:dyDescent="0.3">
      <c r="A2487" s="1" t="s">
        <v>89</v>
      </c>
    </row>
    <row r="2488" spans="1:1" x14ac:dyDescent="0.3">
      <c r="A2488" s="2" t="s">
        <v>28</v>
      </c>
    </row>
    <row r="2489" spans="1:1" x14ac:dyDescent="0.3">
      <c r="A2489" s="1" t="s">
        <v>28</v>
      </c>
    </row>
    <row r="2490" spans="1:1" x14ac:dyDescent="0.3">
      <c r="A2490" s="2" t="s">
        <v>28</v>
      </c>
    </row>
    <row r="2491" spans="1:1" x14ac:dyDescent="0.3">
      <c r="A2491" s="1" t="s">
        <v>89</v>
      </c>
    </row>
    <row r="2492" spans="1:1" x14ac:dyDescent="0.3">
      <c r="A2492" s="2" t="s">
        <v>89</v>
      </c>
    </row>
    <row r="2493" spans="1:1" x14ac:dyDescent="0.3">
      <c r="A2493" s="1" t="s">
        <v>89</v>
      </c>
    </row>
    <row r="2494" spans="1:1" x14ac:dyDescent="0.3">
      <c r="A2494" s="2" t="s">
        <v>28</v>
      </c>
    </row>
    <row r="2495" spans="1:1" x14ac:dyDescent="0.3">
      <c r="A2495" s="1" t="s">
        <v>28</v>
      </c>
    </row>
    <row r="2496" spans="1:1" x14ac:dyDescent="0.3">
      <c r="A2496" s="2" t="s">
        <v>28</v>
      </c>
    </row>
    <row r="2497" spans="1:1" x14ac:dyDescent="0.3">
      <c r="A2497" s="1" t="s">
        <v>28</v>
      </c>
    </row>
    <row r="2498" spans="1:1" x14ac:dyDescent="0.3">
      <c r="A2498" s="2" t="s">
        <v>28</v>
      </c>
    </row>
    <row r="2499" spans="1:1" x14ac:dyDescent="0.3">
      <c r="A2499" s="1" t="s">
        <v>28</v>
      </c>
    </row>
    <row r="2500" spans="1:1" x14ac:dyDescent="0.3">
      <c r="A2500" s="2" t="s">
        <v>28</v>
      </c>
    </row>
    <row r="2501" spans="1:1" x14ac:dyDescent="0.3">
      <c r="A2501" s="1" t="s">
        <v>28</v>
      </c>
    </row>
    <row r="2502" spans="1:1" x14ac:dyDescent="0.3">
      <c r="A2502" s="2" t="s">
        <v>89</v>
      </c>
    </row>
    <row r="2503" spans="1:1" x14ac:dyDescent="0.3">
      <c r="A2503" s="1" t="s">
        <v>89</v>
      </c>
    </row>
    <row r="2504" spans="1:1" x14ac:dyDescent="0.3">
      <c r="A2504" s="2" t="s">
        <v>28</v>
      </c>
    </row>
    <row r="2505" spans="1:1" x14ac:dyDescent="0.3">
      <c r="A2505" s="1" t="s">
        <v>28</v>
      </c>
    </row>
    <row r="2506" spans="1:1" x14ac:dyDescent="0.3">
      <c r="A2506" s="2" t="s">
        <v>28</v>
      </c>
    </row>
    <row r="2507" spans="1:1" x14ac:dyDescent="0.3">
      <c r="A2507" s="1" t="s">
        <v>28</v>
      </c>
    </row>
    <row r="2508" spans="1:1" x14ac:dyDescent="0.3">
      <c r="A2508" s="2" t="s">
        <v>28</v>
      </c>
    </row>
    <row r="2509" spans="1:1" x14ac:dyDescent="0.3">
      <c r="A2509" s="1" t="s">
        <v>28</v>
      </c>
    </row>
    <row r="2510" spans="1:1" x14ac:dyDescent="0.3">
      <c r="A2510" s="2" t="s">
        <v>28</v>
      </c>
    </row>
    <row r="2511" spans="1:1" x14ac:dyDescent="0.3">
      <c r="A2511" s="1" t="s">
        <v>28</v>
      </c>
    </row>
    <row r="2512" spans="1:1" x14ac:dyDescent="0.3">
      <c r="A2512" s="2" t="s">
        <v>28</v>
      </c>
    </row>
    <row r="2513" spans="1:1" x14ac:dyDescent="0.3">
      <c r="A2513" s="1" t="s">
        <v>28</v>
      </c>
    </row>
    <row r="2514" spans="1:1" x14ac:dyDescent="0.3">
      <c r="A2514" s="2" t="s">
        <v>28</v>
      </c>
    </row>
    <row r="2515" spans="1:1" x14ac:dyDescent="0.3">
      <c r="A2515" s="1" t="s">
        <v>28</v>
      </c>
    </row>
    <row r="2516" spans="1:1" x14ac:dyDescent="0.3">
      <c r="A2516" s="2" t="s">
        <v>28</v>
      </c>
    </row>
    <row r="2517" spans="1:1" x14ac:dyDescent="0.3">
      <c r="A2517" s="1" t="s">
        <v>28</v>
      </c>
    </row>
    <row r="2518" spans="1:1" x14ac:dyDescent="0.3">
      <c r="A2518" s="2" t="s">
        <v>28</v>
      </c>
    </row>
    <row r="2519" spans="1:1" x14ac:dyDescent="0.3">
      <c r="A2519" s="1" t="s">
        <v>28</v>
      </c>
    </row>
    <row r="2520" spans="1:1" x14ac:dyDescent="0.3">
      <c r="A2520" s="2" t="s">
        <v>28</v>
      </c>
    </row>
    <row r="2521" spans="1:1" x14ac:dyDescent="0.3">
      <c r="A2521" s="1" t="s">
        <v>89</v>
      </c>
    </row>
    <row r="2522" spans="1:1" x14ac:dyDescent="0.3">
      <c r="A2522" s="2" t="s">
        <v>28</v>
      </c>
    </row>
    <row r="2523" spans="1:1" x14ac:dyDescent="0.3">
      <c r="A2523" s="1" t="s">
        <v>28</v>
      </c>
    </row>
    <row r="2524" spans="1:1" x14ac:dyDescent="0.3">
      <c r="A2524" s="2" t="s">
        <v>28</v>
      </c>
    </row>
    <row r="2525" spans="1:1" x14ac:dyDescent="0.3">
      <c r="A2525" s="1" t="s">
        <v>28</v>
      </c>
    </row>
    <row r="2526" spans="1:1" x14ac:dyDescent="0.3">
      <c r="A2526" s="2" t="s">
        <v>28</v>
      </c>
    </row>
    <row r="2527" spans="1:1" x14ac:dyDescent="0.3">
      <c r="A2527" s="1" t="s">
        <v>89</v>
      </c>
    </row>
    <row r="2528" spans="1:1" x14ac:dyDescent="0.3">
      <c r="A2528" s="2" t="s">
        <v>28</v>
      </c>
    </row>
    <row r="2529" spans="1:1" x14ac:dyDescent="0.3">
      <c r="A2529" s="1" t="s">
        <v>28</v>
      </c>
    </row>
    <row r="2530" spans="1:1" x14ac:dyDescent="0.3">
      <c r="A2530" s="2" t="s">
        <v>28</v>
      </c>
    </row>
    <row r="2531" spans="1:1" x14ac:dyDescent="0.3">
      <c r="A2531" s="1" t="s">
        <v>28</v>
      </c>
    </row>
    <row r="2532" spans="1:1" x14ac:dyDescent="0.3">
      <c r="A2532" s="2" t="s">
        <v>28</v>
      </c>
    </row>
    <row r="2533" spans="1:1" x14ac:dyDescent="0.3">
      <c r="A2533" s="1" t="s">
        <v>28</v>
      </c>
    </row>
    <row r="2534" spans="1:1" x14ac:dyDescent="0.3">
      <c r="A2534" s="2" t="s">
        <v>28</v>
      </c>
    </row>
    <row r="2535" spans="1:1" x14ac:dyDescent="0.3">
      <c r="A2535" s="1" t="s">
        <v>28</v>
      </c>
    </row>
    <row r="2536" spans="1:1" x14ac:dyDescent="0.3">
      <c r="A2536" s="2" t="s">
        <v>28</v>
      </c>
    </row>
    <row r="2537" spans="1:1" x14ac:dyDescent="0.3">
      <c r="A2537" s="1" t="s">
        <v>28</v>
      </c>
    </row>
    <row r="2538" spans="1:1" x14ac:dyDescent="0.3">
      <c r="A2538" s="2" t="s">
        <v>28</v>
      </c>
    </row>
    <row r="2539" spans="1:1" x14ac:dyDescent="0.3">
      <c r="A2539" s="1" t="s">
        <v>28</v>
      </c>
    </row>
    <row r="2540" spans="1:1" x14ac:dyDescent="0.3">
      <c r="A2540" s="2" t="s">
        <v>28</v>
      </c>
    </row>
    <row r="2541" spans="1:1" x14ac:dyDescent="0.3">
      <c r="A2541" s="1" t="s">
        <v>28</v>
      </c>
    </row>
    <row r="2542" spans="1:1" x14ac:dyDescent="0.3">
      <c r="A2542" s="2" t="s">
        <v>89</v>
      </c>
    </row>
    <row r="2543" spans="1:1" x14ac:dyDescent="0.3">
      <c r="A2543" s="1" t="s">
        <v>28</v>
      </c>
    </row>
    <row r="2544" spans="1:1" x14ac:dyDescent="0.3">
      <c r="A2544" s="2" t="s">
        <v>28</v>
      </c>
    </row>
    <row r="2545" spans="1:1" x14ac:dyDescent="0.3">
      <c r="A2545" s="1" t="s">
        <v>28</v>
      </c>
    </row>
    <row r="2546" spans="1:1" x14ac:dyDescent="0.3">
      <c r="A2546" s="2" t="s">
        <v>28</v>
      </c>
    </row>
    <row r="2547" spans="1:1" x14ac:dyDescent="0.3">
      <c r="A2547" s="1" t="s">
        <v>28</v>
      </c>
    </row>
    <row r="2548" spans="1:1" x14ac:dyDescent="0.3">
      <c r="A2548" s="2" t="s">
        <v>89</v>
      </c>
    </row>
    <row r="2549" spans="1:1" x14ac:dyDescent="0.3">
      <c r="A2549" s="1" t="s">
        <v>28</v>
      </c>
    </row>
    <row r="2550" spans="1:1" x14ac:dyDescent="0.3">
      <c r="A2550" s="2" t="s">
        <v>28</v>
      </c>
    </row>
    <row r="2551" spans="1:1" x14ac:dyDescent="0.3">
      <c r="A2551" s="1" t="s">
        <v>89</v>
      </c>
    </row>
    <row r="2552" spans="1:1" x14ac:dyDescent="0.3">
      <c r="A2552" s="2" t="s">
        <v>89</v>
      </c>
    </row>
    <row r="2553" spans="1:1" x14ac:dyDescent="0.3">
      <c r="A2553" s="1" t="s">
        <v>28</v>
      </c>
    </row>
    <row r="2554" spans="1:1" x14ac:dyDescent="0.3">
      <c r="A2554" s="2" t="s">
        <v>89</v>
      </c>
    </row>
    <row r="2555" spans="1:1" x14ac:dyDescent="0.3">
      <c r="A2555" s="1" t="s">
        <v>89</v>
      </c>
    </row>
    <row r="2556" spans="1:1" x14ac:dyDescent="0.3">
      <c r="A2556" s="2" t="s">
        <v>28</v>
      </c>
    </row>
    <row r="2557" spans="1:1" x14ac:dyDescent="0.3">
      <c r="A2557" s="1" t="s">
        <v>28</v>
      </c>
    </row>
    <row r="2558" spans="1:1" x14ac:dyDescent="0.3">
      <c r="A2558" s="2" t="s">
        <v>28</v>
      </c>
    </row>
    <row r="2559" spans="1:1" x14ac:dyDescent="0.3">
      <c r="A2559" s="1" t="s">
        <v>28</v>
      </c>
    </row>
    <row r="2560" spans="1:1" x14ac:dyDescent="0.3">
      <c r="A2560" s="2" t="s">
        <v>28</v>
      </c>
    </row>
    <row r="2561" spans="1:1" x14ac:dyDescent="0.3">
      <c r="A2561" s="1" t="s">
        <v>28</v>
      </c>
    </row>
    <row r="2562" spans="1:1" x14ac:dyDescent="0.3">
      <c r="A2562" s="2" t="s">
        <v>89</v>
      </c>
    </row>
    <row r="2563" spans="1:1" x14ac:dyDescent="0.3">
      <c r="A2563" s="1" t="s">
        <v>28</v>
      </c>
    </row>
    <row r="2564" spans="1:1" x14ac:dyDescent="0.3">
      <c r="A2564" s="2" t="s">
        <v>89</v>
      </c>
    </row>
    <row r="2565" spans="1:1" x14ac:dyDescent="0.3">
      <c r="A2565" s="1" t="s">
        <v>28</v>
      </c>
    </row>
    <row r="2566" spans="1:1" x14ac:dyDescent="0.3">
      <c r="A2566" s="2" t="s">
        <v>28</v>
      </c>
    </row>
    <row r="2567" spans="1:1" x14ac:dyDescent="0.3">
      <c r="A2567" s="1" t="s">
        <v>28</v>
      </c>
    </row>
    <row r="2568" spans="1:1" x14ac:dyDescent="0.3">
      <c r="A2568" s="2" t="s">
        <v>89</v>
      </c>
    </row>
    <row r="2569" spans="1:1" x14ac:dyDescent="0.3">
      <c r="A2569" s="1" t="s">
        <v>28</v>
      </c>
    </row>
    <row r="2570" spans="1:1" x14ac:dyDescent="0.3">
      <c r="A2570" s="2" t="s">
        <v>28</v>
      </c>
    </row>
    <row r="2571" spans="1:1" x14ac:dyDescent="0.3">
      <c r="A2571" s="1" t="s">
        <v>28</v>
      </c>
    </row>
    <row r="2572" spans="1:1" x14ac:dyDescent="0.3">
      <c r="A2572" s="2" t="s">
        <v>28</v>
      </c>
    </row>
    <row r="2573" spans="1:1" x14ac:dyDescent="0.3">
      <c r="A2573" s="1" t="s">
        <v>28</v>
      </c>
    </row>
    <row r="2574" spans="1:1" x14ac:dyDescent="0.3">
      <c r="A2574" s="2" t="s">
        <v>28</v>
      </c>
    </row>
    <row r="2575" spans="1:1" x14ac:dyDescent="0.3">
      <c r="A2575" s="1" t="s">
        <v>28</v>
      </c>
    </row>
    <row r="2576" spans="1:1" x14ac:dyDescent="0.3">
      <c r="A2576" s="2" t="s">
        <v>28</v>
      </c>
    </row>
    <row r="2577" spans="1:1" x14ac:dyDescent="0.3">
      <c r="A2577" s="1" t="s">
        <v>28</v>
      </c>
    </row>
    <row r="2578" spans="1:1" x14ac:dyDescent="0.3">
      <c r="A2578" s="2" t="s">
        <v>28</v>
      </c>
    </row>
    <row r="2579" spans="1:1" x14ac:dyDescent="0.3">
      <c r="A2579" s="1" t="s">
        <v>28</v>
      </c>
    </row>
    <row r="2580" spans="1:1" x14ac:dyDescent="0.3">
      <c r="A2580" s="2" t="s">
        <v>28</v>
      </c>
    </row>
    <row r="2581" spans="1:1" x14ac:dyDescent="0.3">
      <c r="A2581" s="1" t="s">
        <v>28</v>
      </c>
    </row>
    <row r="2582" spans="1:1" x14ac:dyDescent="0.3">
      <c r="A2582" s="2" t="s">
        <v>89</v>
      </c>
    </row>
    <row r="2583" spans="1:1" x14ac:dyDescent="0.3">
      <c r="A2583" s="1" t="s">
        <v>28</v>
      </c>
    </row>
    <row r="2584" spans="1:1" x14ac:dyDescent="0.3">
      <c r="A2584" s="2" t="s">
        <v>28</v>
      </c>
    </row>
    <row r="2585" spans="1:1" x14ac:dyDescent="0.3">
      <c r="A2585" s="1" t="s">
        <v>89</v>
      </c>
    </row>
    <row r="2586" spans="1:1" x14ac:dyDescent="0.3">
      <c r="A2586" s="2" t="s">
        <v>89</v>
      </c>
    </row>
    <row r="2587" spans="1:1" x14ac:dyDescent="0.3">
      <c r="A2587" s="1" t="s">
        <v>89</v>
      </c>
    </row>
    <row r="2588" spans="1:1" x14ac:dyDescent="0.3">
      <c r="A2588" s="2" t="s">
        <v>28</v>
      </c>
    </row>
    <row r="2589" spans="1:1" x14ac:dyDescent="0.3">
      <c r="A2589" s="1" t="s">
        <v>28</v>
      </c>
    </row>
    <row r="2590" spans="1:1" x14ac:dyDescent="0.3">
      <c r="A2590" s="2" t="s">
        <v>89</v>
      </c>
    </row>
    <row r="2591" spans="1:1" x14ac:dyDescent="0.3">
      <c r="A2591" s="1" t="s">
        <v>28</v>
      </c>
    </row>
    <row r="2592" spans="1:1" x14ac:dyDescent="0.3">
      <c r="A2592" s="2" t="s">
        <v>28</v>
      </c>
    </row>
    <row r="2593" spans="1:1" x14ac:dyDescent="0.3">
      <c r="A2593" s="1" t="s">
        <v>89</v>
      </c>
    </row>
    <row r="2594" spans="1:1" x14ac:dyDescent="0.3">
      <c r="A2594" s="2" t="s">
        <v>28</v>
      </c>
    </row>
    <row r="2595" spans="1:1" x14ac:dyDescent="0.3">
      <c r="A2595" s="1" t="s">
        <v>28</v>
      </c>
    </row>
    <row r="2596" spans="1:1" x14ac:dyDescent="0.3">
      <c r="A2596" s="2" t="s">
        <v>28</v>
      </c>
    </row>
    <row r="2597" spans="1:1" x14ac:dyDescent="0.3">
      <c r="A2597" s="1" t="s">
        <v>28</v>
      </c>
    </row>
    <row r="2598" spans="1:1" x14ac:dyDescent="0.3">
      <c r="A2598" s="2" t="s">
        <v>28</v>
      </c>
    </row>
    <row r="2599" spans="1:1" x14ac:dyDescent="0.3">
      <c r="A2599" s="1" t="s">
        <v>28</v>
      </c>
    </row>
    <row r="2600" spans="1:1" x14ac:dyDescent="0.3">
      <c r="A2600" s="2" t="s">
        <v>28</v>
      </c>
    </row>
    <row r="2601" spans="1:1" x14ac:dyDescent="0.3">
      <c r="A2601" s="1" t="s">
        <v>28</v>
      </c>
    </row>
    <row r="2602" spans="1:1" x14ac:dyDescent="0.3">
      <c r="A2602" s="2" t="s">
        <v>89</v>
      </c>
    </row>
    <row r="2603" spans="1:1" x14ac:dyDescent="0.3">
      <c r="A2603" s="1" t="s">
        <v>28</v>
      </c>
    </row>
    <row r="2604" spans="1:1" x14ac:dyDescent="0.3">
      <c r="A2604" s="2" t="s">
        <v>28</v>
      </c>
    </row>
    <row r="2605" spans="1:1" x14ac:dyDescent="0.3">
      <c r="A2605" s="1" t="s">
        <v>28</v>
      </c>
    </row>
    <row r="2606" spans="1:1" x14ac:dyDescent="0.3">
      <c r="A2606" s="2" t="s">
        <v>28</v>
      </c>
    </row>
    <row r="2607" spans="1:1" x14ac:dyDescent="0.3">
      <c r="A2607" s="1" t="s">
        <v>28</v>
      </c>
    </row>
    <row r="2608" spans="1:1" x14ac:dyDescent="0.3">
      <c r="A2608" s="2" t="s">
        <v>28</v>
      </c>
    </row>
    <row r="2609" spans="1:1" x14ac:dyDescent="0.3">
      <c r="A2609" s="1" t="s">
        <v>28</v>
      </c>
    </row>
    <row r="2610" spans="1:1" x14ac:dyDescent="0.3">
      <c r="A2610" s="2" t="s">
        <v>28</v>
      </c>
    </row>
    <row r="2611" spans="1:1" x14ac:dyDescent="0.3">
      <c r="A2611" s="1" t="s">
        <v>28</v>
      </c>
    </row>
    <row r="2612" spans="1:1" x14ac:dyDescent="0.3">
      <c r="A2612" s="2" t="s">
        <v>28</v>
      </c>
    </row>
    <row r="2613" spans="1:1" x14ac:dyDescent="0.3">
      <c r="A2613" s="1" t="s">
        <v>28</v>
      </c>
    </row>
    <row r="2614" spans="1:1" x14ac:dyDescent="0.3">
      <c r="A2614" s="2" t="s">
        <v>28</v>
      </c>
    </row>
    <row r="2615" spans="1:1" x14ac:dyDescent="0.3">
      <c r="A2615" s="1" t="s">
        <v>28</v>
      </c>
    </row>
    <row r="2616" spans="1:1" x14ac:dyDescent="0.3">
      <c r="A2616" s="2" t="s">
        <v>28</v>
      </c>
    </row>
    <row r="2617" spans="1:1" x14ac:dyDescent="0.3">
      <c r="A2617" s="1" t="s">
        <v>89</v>
      </c>
    </row>
    <row r="2618" spans="1:1" x14ac:dyDescent="0.3">
      <c r="A2618" s="2" t="s">
        <v>28</v>
      </c>
    </row>
    <row r="2619" spans="1:1" x14ac:dyDescent="0.3">
      <c r="A2619" s="1" t="s">
        <v>28</v>
      </c>
    </row>
    <row r="2620" spans="1:1" x14ac:dyDescent="0.3">
      <c r="A2620" s="2" t="s">
        <v>28</v>
      </c>
    </row>
    <row r="2621" spans="1:1" x14ac:dyDescent="0.3">
      <c r="A2621" s="1" t="s">
        <v>28</v>
      </c>
    </row>
    <row r="2622" spans="1:1" x14ac:dyDescent="0.3">
      <c r="A2622" s="2" t="s">
        <v>28</v>
      </c>
    </row>
    <row r="2623" spans="1:1" x14ac:dyDescent="0.3">
      <c r="A2623" s="1" t="s">
        <v>28</v>
      </c>
    </row>
    <row r="2624" spans="1:1" x14ac:dyDescent="0.3">
      <c r="A2624" s="2" t="s">
        <v>28</v>
      </c>
    </row>
    <row r="2625" spans="1:1" x14ac:dyDescent="0.3">
      <c r="A2625" s="1" t="s">
        <v>28</v>
      </c>
    </row>
    <row r="2626" spans="1:1" x14ac:dyDescent="0.3">
      <c r="A2626" s="2" t="s">
        <v>28</v>
      </c>
    </row>
    <row r="2627" spans="1:1" x14ac:dyDescent="0.3">
      <c r="A2627" s="1" t="s">
        <v>28</v>
      </c>
    </row>
    <row r="2628" spans="1:1" x14ac:dyDescent="0.3">
      <c r="A2628" s="2" t="s">
        <v>28</v>
      </c>
    </row>
    <row r="2629" spans="1:1" x14ac:dyDescent="0.3">
      <c r="A2629" s="1" t="s">
        <v>28</v>
      </c>
    </row>
    <row r="2630" spans="1:1" x14ac:dyDescent="0.3">
      <c r="A2630" s="2" t="s">
        <v>28</v>
      </c>
    </row>
    <row r="2631" spans="1:1" x14ac:dyDescent="0.3">
      <c r="A2631" s="1" t="s">
        <v>28</v>
      </c>
    </row>
    <row r="2632" spans="1:1" x14ac:dyDescent="0.3">
      <c r="A2632" s="2" t="s">
        <v>28</v>
      </c>
    </row>
    <row r="2633" spans="1:1" x14ac:dyDescent="0.3">
      <c r="A2633" s="1" t="s">
        <v>28</v>
      </c>
    </row>
    <row r="2634" spans="1:1" x14ac:dyDescent="0.3">
      <c r="A2634" s="2" t="s">
        <v>28</v>
      </c>
    </row>
    <row r="2635" spans="1:1" x14ac:dyDescent="0.3">
      <c r="A2635" s="1" t="s">
        <v>28</v>
      </c>
    </row>
    <row r="2636" spans="1:1" x14ac:dyDescent="0.3">
      <c r="A2636" s="2" t="s">
        <v>89</v>
      </c>
    </row>
    <row r="2637" spans="1:1" x14ac:dyDescent="0.3">
      <c r="A2637" s="1" t="s">
        <v>28</v>
      </c>
    </row>
    <row r="2638" spans="1:1" x14ac:dyDescent="0.3">
      <c r="A2638" s="2" t="s">
        <v>28</v>
      </c>
    </row>
    <row r="2639" spans="1:1" x14ac:dyDescent="0.3">
      <c r="A2639" s="1" t="s">
        <v>28</v>
      </c>
    </row>
    <row r="2640" spans="1:1" x14ac:dyDescent="0.3">
      <c r="A2640" s="2" t="s">
        <v>89</v>
      </c>
    </row>
    <row r="2641" spans="1:1" x14ac:dyDescent="0.3">
      <c r="A2641" s="1" t="s">
        <v>28</v>
      </c>
    </row>
    <row r="2642" spans="1:1" x14ac:dyDescent="0.3">
      <c r="A2642" s="2" t="s">
        <v>28</v>
      </c>
    </row>
    <row r="2643" spans="1:1" x14ac:dyDescent="0.3">
      <c r="A2643" s="1" t="s">
        <v>28</v>
      </c>
    </row>
    <row r="2644" spans="1:1" x14ac:dyDescent="0.3">
      <c r="A2644" s="2" t="s">
        <v>28</v>
      </c>
    </row>
    <row r="2645" spans="1:1" x14ac:dyDescent="0.3">
      <c r="A2645" s="1" t="s">
        <v>28</v>
      </c>
    </row>
    <row r="2646" spans="1:1" x14ac:dyDescent="0.3">
      <c r="A2646" s="2" t="s">
        <v>89</v>
      </c>
    </row>
    <row r="2647" spans="1:1" x14ac:dyDescent="0.3">
      <c r="A2647" s="1" t="s">
        <v>28</v>
      </c>
    </row>
    <row r="2648" spans="1:1" x14ac:dyDescent="0.3">
      <c r="A2648" s="2" t="s">
        <v>89</v>
      </c>
    </row>
    <row r="2649" spans="1:1" x14ac:dyDescent="0.3">
      <c r="A2649" s="1" t="s">
        <v>28</v>
      </c>
    </row>
    <row r="2650" spans="1:1" x14ac:dyDescent="0.3">
      <c r="A2650" s="2" t="s">
        <v>89</v>
      </c>
    </row>
    <row r="2651" spans="1:1" x14ac:dyDescent="0.3">
      <c r="A2651" s="1" t="s">
        <v>28</v>
      </c>
    </row>
    <row r="2652" spans="1:1" x14ac:dyDescent="0.3">
      <c r="A2652" s="2" t="s">
        <v>89</v>
      </c>
    </row>
    <row r="2653" spans="1:1" x14ac:dyDescent="0.3">
      <c r="A2653" s="1" t="s">
        <v>28</v>
      </c>
    </row>
    <row r="2654" spans="1:1" x14ac:dyDescent="0.3">
      <c r="A2654" s="2" t="s">
        <v>28</v>
      </c>
    </row>
    <row r="2655" spans="1:1" x14ac:dyDescent="0.3">
      <c r="A2655" s="1" t="s">
        <v>28</v>
      </c>
    </row>
    <row r="2656" spans="1:1" x14ac:dyDescent="0.3">
      <c r="A2656" s="2" t="s">
        <v>28</v>
      </c>
    </row>
    <row r="2657" spans="1:1" x14ac:dyDescent="0.3">
      <c r="A2657" s="1" t="s">
        <v>28</v>
      </c>
    </row>
    <row r="2658" spans="1:1" x14ac:dyDescent="0.3">
      <c r="A2658" s="2" t="s">
        <v>89</v>
      </c>
    </row>
    <row r="2659" spans="1:1" x14ac:dyDescent="0.3">
      <c r="A2659" s="1" t="s">
        <v>89</v>
      </c>
    </row>
    <row r="2660" spans="1:1" x14ac:dyDescent="0.3">
      <c r="A2660" s="2" t="s">
        <v>28</v>
      </c>
    </row>
    <row r="2661" spans="1:1" x14ac:dyDescent="0.3">
      <c r="A2661" s="1" t="s">
        <v>28</v>
      </c>
    </row>
    <row r="2662" spans="1:1" x14ac:dyDescent="0.3">
      <c r="A2662" s="2" t="s">
        <v>89</v>
      </c>
    </row>
    <row r="2663" spans="1:1" x14ac:dyDescent="0.3">
      <c r="A2663" s="1" t="s">
        <v>28</v>
      </c>
    </row>
    <row r="2664" spans="1:1" x14ac:dyDescent="0.3">
      <c r="A2664" s="2" t="s">
        <v>28</v>
      </c>
    </row>
    <row r="2665" spans="1:1" x14ac:dyDescent="0.3">
      <c r="A2665" s="1" t="s">
        <v>89</v>
      </c>
    </row>
    <row r="2666" spans="1:1" x14ac:dyDescent="0.3">
      <c r="A2666" s="2" t="s">
        <v>89</v>
      </c>
    </row>
    <row r="2667" spans="1:1" x14ac:dyDescent="0.3">
      <c r="A2667" s="1" t="s">
        <v>28</v>
      </c>
    </row>
    <row r="2668" spans="1:1" x14ac:dyDescent="0.3">
      <c r="A2668" s="2" t="s">
        <v>28</v>
      </c>
    </row>
    <row r="2669" spans="1:1" x14ac:dyDescent="0.3">
      <c r="A2669" s="1" t="s">
        <v>28</v>
      </c>
    </row>
    <row r="2670" spans="1:1" x14ac:dyDescent="0.3">
      <c r="A2670" s="2" t="s">
        <v>89</v>
      </c>
    </row>
    <row r="2671" spans="1:1" x14ac:dyDescent="0.3">
      <c r="A2671" s="1" t="s">
        <v>89</v>
      </c>
    </row>
    <row r="2672" spans="1:1" x14ac:dyDescent="0.3">
      <c r="A2672" s="2" t="s">
        <v>89</v>
      </c>
    </row>
    <row r="2673" spans="1:1" x14ac:dyDescent="0.3">
      <c r="A2673" s="1" t="s">
        <v>28</v>
      </c>
    </row>
    <row r="2674" spans="1:1" x14ac:dyDescent="0.3">
      <c r="A2674" s="2" t="s">
        <v>89</v>
      </c>
    </row>
    <row r="2675" spans="1:1" x14ac:dyDescent="0.3">
      <c r="A2675" s="1" t="s">
        <v>89</v>
      </c>
    </row>
    <row r="2676" spans="1:1" x14ac:dyDescent="0.3">
      <c r="A2676" s="2" t="s">
        <v>28</v>
      </c>
    </row>
    <row r="2677" spans="1:1" x14ac:dyDescent="0.3">
      <c r="A2677" s="1" t="s">
        <v>28</v>
      </c>
    </row>
    <row r="2678" spans="1:1" x14ac:dyDescent="0.3">
      <c r="A2678" s="2" t="s">
        <v>28</v>
      </c>
    </row>
    <row r="2679" spans="1:1" x14ac:dyDescent="0.3">
      <c r="A2679" s="1" t="s">
        <v>28</v>
      </c>
    </row>
    <row r="2680" spans="1:1" x14ac:dyDescent="0.3">
      <c r="A2680" s="2" t="s">
        <v>28</v>
      </c>
    </row>
    <row r="2681" spans="1:1" x14ac:dyDescent="0.3">
      <c r="A2681" s="1" t="s">
        <v>28</v>
      </c>
    </row>
    <row r="2682" spans="1:1" x14ac:dyDescent="0.3">
      <c r="A2682" s="2" t="s">
        <v>28</v>
      </c>
    </row>
    <row r="2683" spans="1:1" x14ac:dyDescent="0.3">
      <c r="A2683" s="1" t="s">
        <v>28</v>
      </c>
    </row>
    <row r="2684" spans="1:1" x14ac:dyDescent="0.3">
      <c r="A2684" s="2" t="s">
        <v>28</v>
      </c>
    </row>
    <row r="2685" spans="1:1" x14ac:dyDescent="0.3">
      <c r="A2685" s="1" t="s">
        <v>28</v>
      </c>
    </row>
    <row r="2686" spans="1:1" x14ac:dyDescent="0.3">
      <c r="A2686" s="2" t="s">
        <v>28</v>
      </c>
    </row>
    <row r="2687" spans="1:1" x14ac:dyDescent="0.3">
      <c r="A2687" s="1" t="s">
        <v>28</v>
      </c>
    </row>
    <row r="2688" spans="1:1" x14ac:dyDescent="0.3">
      <c r="A2688" s="2" t="s">
        <v>28</v>
      </c>
    </row>
    <row r="2689" spans="1:1" x14ac:dyDescent="0.3">
      <c r="A2689" s="1" t="s">
        <v>28</v>
      </c>
    </row>
    <row r="2690" spans="1:1" x14ac:dyDescent="0.3">
      <c r="A2690" s="2" t="s">
        <v>28</v>
      </c>
    </row>
    <row r="2691" spans="1:1" x14ac:dyDescent="0.3">
      <c r="A2691" s="1" t="s">
        <v>89</v>
      </c>
    </row>
    <row r="2692" spans="1:1" x14ac:dyDescent="0.3">
      <c r="A2692" s="2" t="s">
        <v>89</v>
      </c>
    </row>
    <row r="2693" spans="1:1" x14ac:dyDescent="0.3">
      <c r="A2693" s="1" t="s">
        <v>89</v>
      </c>
    </row>
    <row r="2694" spans="1:1" x14ac:dyDescent="0.3">
      <c r="A2694" s="2" t="s">
        <v>28</v>
      </c>
    </row>
    <row r="2695" spans="1:1" x14ac:dyDescent="0.3">
      <c r="A2695" s="1" t="s">
        <v>28</v>
      </c>
    </row>
    <row r="2696" spans="1:1" x14ac:dyDescent="0.3">
      <c r="A2696" s="2" t="s">
        <v>89</v>
      </c>
    </row>
    <row r="2697" spans="1:1" x14ac:dyDescent="0.3">
      <c r="A2697" s="1" t="s">
        <v>28</v>
      </c>
    </row>
    <row r="2698" spans="1:1" x14ac:dyDescent="0.3">
      <c r="A2698" s="2" t="s">
        <v>89</v>
      </c>
    </row>
    <row r="2699" spans="1:1" x14ac:dyDescent="0.3">
      <c r="A2699" s="1" t="s">
        <v>89</v>
      </c>
    </row>
    <row r="2700" spans="1:1" x14ac:dyDescent="0.3">
      <c r="A2700" s="2" t="s">
        <v>89</v>
      </c>
    </row>
    <row r="2701" spans="1:1" x14ac:dyDescent="0.3">
      <c r="A2701" s="1" t="s">
        <v>28</v>
      </c>
    </row>
    <row r="2702" spans="1:1" x14ac:dyDescent="0.3">
      <c r="A2702" s="2" t="s">
        <v>89</v>
      </c>
    </row>
    <row r="2703" spans="1:1" x14ac:dyDescent="0.3">
      <c r="A2703" s="1" t="s">
        <v>89</v>
      </c>
    </row>
    <row r="2704" spans="1:1" x14ac:dyDescent="0.3">
      <c r="A2704" s="2" t="s">
        <v>89</v>
      </c>
    </row>
    <row r="2705" spans="1:1" x14ac:dyDescent="0.3">
      <c r="A2705" s="1" t="s">
        <v>28</v>
      </c>
    </row>
    <row r="2706" spans="1:1" x14ac:dyDescent="0.3">
      <c r="A2706" s="2" t="s">
        <v>28</v>
      </c>
    </row>
    <row r="2707" spans="1:1" x14ac:dyDescent="0.3">
      <c r="A2707" s="1" t="s">
        <v>28</v>
      </c>
    </row>
    <row r="2708" spans="1:1" x14ac:dyDescent="0.3">
      <c r="A2708" s="2" t="s">
        <v>28</v>
      </c>
    </row>
    <row r="2709" spans="1:1" x14ac:dyDescent="0.3">
      <c r="A2709" s="1" t="s">
        <v>28</v>
      </c>
    </row>
    <row r="2710" spans="1:1" x14ac:dyDescent="0.3">
      <c r="A2710" s="2" t="s">
        <v>28</v>
      </c>
    </row>
    <row r="2711" spans="1:1" x14ac:dyDescent="0.3">
      <c r="A2711" s="1" t="s">
        <v>89</v>
      </c>
    </row>
    <row r="2712" spans="1:1" x14ac:dyDescent="0.3">
      <c r="A2712" s="2" t="s">
        <v>28</v>
      </c>
    </row>
    <row r="2713" spans="1:1" x14ac:dyDescent="0.3">
      <c r="A2713" s="1" t="s">
        <v>89</v>
      </c>
    </row>
    <row r="2714" spans="1:1" x14ac:dyDescent="0.3">
      <c r="A2714" s="2" t="s">
        <v>28</v>
      </c>
    </row>
    <row r="2715" spans="1:1" x14ac:dyDescent="0.3">
      <c r="A2715" s="1" t="s">
        <v>28</v>
      </c>
    </row>
    <row r="2716" spans="1:1" x14ac:dyDescent="0.3">
      <c r="A2716" s="2" t="s">
        <v>28</v>
      </c>
    </row>
    <row r="2717" spans="1:1" x14ac:dyDescent="0.3">
      <c r="A2717" s="1" t="s">
        <v>28</v>
      </c>
    </row>
    <row r="2718" spans="1:1" x14ac:dyDescent="0.3">
      <c r="A2718" s="2" t="s">
        <v>28</v>
      </c>
    </row>
    <row r="2719" spans="1:1" x14ac:dyDescent="0.3">
      <c r="A2719" s="1" t="s">
        <v>28</v>
      </c>
    </row>
    <row r="2720" spans="1:1" x14ac:dyDescent="0.3">
      <c r="A2720" s="2" t="s">
        <v>28</v>
      </c>
    </row>
    <row r="2721" spans="1:1" x14ac:dyDescent="0.3">
      <c r="A2721" s="1" t="s">
        <v>28</v>
      </c>
    </row>
    <row r="2722" spans="1:1" x14ac:dyDescent="0.3">
      <c r="A2722" s="2" t="s">
        <v>28</v>
      </c>
    </row>
    <row r="2723" spans="1:1" x14ac:dyDescent="0.3">
      <c r="A2723" s="1" t="s">
        <v>28</v>
      </c>
    </row>
    <row r="2724" spans="1:1" x14ac:dyDescent="0.3">
      <c r="A2724" s="2" t="s">
        <v>28</v>
      </c>
    </row>
    <row r="2725" spans="1:1" x14ac:dyDescent="0.3">
      <c r="A2725" s="1" t="s">
        <v>28</v>
      </c>
    </row>
    <row r="2726" spans="1:1" x14ac:dyDescent="0.3">
      <c r="A2726" s="2" t="s">
        <v>28</v>
      </c>
    </row>
    <row r="2727" spans="1:1" x14ac:dyDescent="0.3">
      <c r="A2727" s="1" t="s">
        <v>28</v>
      </c>
    </row>
    <row r="2728" spans="1:1" x14ac:dyDescent="0.3">
      <c r="A2728" s="2" t="s">
        <v>89</v>
      </c>
    </row>
    <row r="2729" spans="1:1" x14ac:dyDescent="0.3">
      <c r="A2729" s="1" t="s">
        <v>89</v>
      </c>
    </row>
    <row r="2730" spans="1:1" x14ac:dyDescent="0.3">
      <c r="A2730" s="2" t="s">
        <v>28</v>
      </c>
    </row>
    <row r="2731" spans="1:1" x14ac:dyDescent="0.3">
      <c r="A2731" s="1" t="s">
        <v>28</v>
      </c>
    </row>
    <row r="2732" spans="1:1" x14ac:dyDescent="0.3">
      <c r="A2732" s="2" t="s">
        <v>28</v>
      </c>
    </row>
    <row r="2733" spans="1:1" x14ac:dyDescent="0.3">
      <c r="A2733" s="1" t="s">
        <v>28</v>
      </c>
    </row>
    <row r="2734" spans="1:1" x14ac:dyDescent="0.3">
      <c r="A2734" s="2" t="s">
        <v>28</v>
      </c>
    </row>
    <row r="2735" spans="1:1" x14ac:dyDescent="0.3">
      <c r="A2735" s="1" t="s">
        <v>28</v>
      </c>
    </row>
    <row r="2736" spans="1:1" x14ac:dyDescent="0.3">
      <c r="A2736" s="2" t="s">
        <v>28</v>
      </c>
    </row>
    <row r="2737" spans="1:1" x14ac:dyDescent="0.3">
      <c r="A2737" s="1" t="s">
        <v>89</v>
      </c>
    </row>
    <row r="2738" spans="1:1" x14ac:dyDescent="0.3">
      <c r="A2738" s="2" t="s">
        <v>28</v>
      </c>
    </row>
    <row r="2739" spans="1:1" x14ac:dyDescent="0.3">
      <c r="A2739" s="1" t="s">
        <v>28</v>
      </c>
    </row>
    <row r="2740" spans="1:1" x14ac:dyDescent="0.3">
      <c r="A2740" s="2" t="s">
        <v>28</v>
      </c>
    </row>
    <row r="2741" spans="1:1" x14ac:dyDescent="0.3">
      <c r="A2741" s="1" t="s">
        <v>28</v>
      </c>
    </row>
    <row r="2742" spans="1:1" x14ac:dyDescent="0.3">
      <c r="A2742" s="2" t="s">
        <v>28</v>
      </c>
    </row>
    <row r="2743" spans="1:1" x14ac:dyDescent="0.3">
      <c r="A2743" s="1" t="s">
        <v>28</v>
      </c>
    </row>
    <row r="2744" spans="1:1" x14ac:dyDescent="0.3">
      <c r="A2744" s="2" t="s">
        <v>28</v>
      </c>
    </row>
    <row r="2745" spans="1:1" x14ac:dyDescent="0.3">
      <c r="A2745" s="1" t="s">
        <v>28</v>
      </c>
    </row>
    <row r="2746" spans="1:1" x14ac:dyDescent="0.3">
      <c r="A2746" s="2" t="s">
        <v>89</v>
      </c>
    </row>
    <row r="2747" spans="1:1" x14ac:dyDescent="0.3">
      <c r="A2747" s="1" t="s">
        <v>89</v>
      </c>
    </row>
    <row r="2748" spans="1:1" x14ac:dyDescent="0.3">
      <c r="A2748" s="2" t="s">
        <v>89</v>
      </c>
    </row>
    <row r="2749" spans="1:1" x14ac:dyDescent="0.3">
      <c r="A2749" s="1" t="s">
        <v>89</v>
      </c>
    </row>
    <row r="2750" spans="1:1" x14ac:dyDescent="0.3">
      <c r="A2750" s="2" t="s">
        <v>28</v>
      </c>
    </row>
    <row r="2751" spans="1:1" x14ac:dyDescent="0.3">
      <c r="A2751" s="1" t="s">
        <v>28</v>
      </c>
    </row>
    <row r="2752" spans="1:1" x14ac:dyDescent="0.3">
      <c r="A2752" s="2" t="s">
        <v>28</v>
      </c>
    </row>
    <row r="2753" spans="1:1" x14ac:dyDescent="0.3">
      <c r="A2753" s="1" t="s">
        <v>28</v>
      </c>
    </row>
    <row r="2754" spans="1:1" x14ac:dyDescent="0.3">
      <c r="A2754" s="2" t="s">
        <v>28</v>
      </c>
    </row>
    <row r="2755" spans="1:1" x14ac:dyDescent="0.3">
      <c r="A2755" s="1" t="s">
        <v>28</v>
      </c>
    </row>
    <row r="2756" spans="1:1" x14ac:dyDescent="0.3">
      <c r="A2756" s="2" t="s">
        <v>28</v>
      </c>
    </row>
    <row r="2757" spans="1:1" x14ac:dyDescent="0.3">
      <c r="A2757" s="1" t="s">
        <v>28</v>
      </c>
    </row>
    <row r="2758" spans="1:1" x14ac:dyDescent="0.3">
      <c r="A2758" s="2" t="s">
        <v>28</v>
      </c>
    </row>
    <row r="2759" spans="1:1" x14ac:dyDescent="0.3">
      <c r="A2759" s="1" t="s">
        <v>28</v>
      </c>
    </row>
    <row r="2760" spans="1:1" x14ac:dyDescent="0.3">
      <c r="A2760" s="2" t="s">
        <v>28</v>
      </c>
    </row>
    <row r="2761" spans="1:1" x14ac:dyDescent="0.3">
      <c r="A2761" s="1" t="s">
        <v>28</v>
      </c>
    </row>
    <row r="2762" spans="1:1" x14ac:dyDescent="0.3">
      <c r="A2762" s="2" t="s">
        <v>28</v>
      </c>
    </row>
    <row r="2763" spans="1:1" x14ac:dyDescent="0.3">
      <c r="A2763" s="1" t="s">
        <v>28</v>
      </c>
    </row>
    <row r="2764" spans="1:1" x14ac:dyDescent="0.3">
      <c r="A2764" s="2" t="s">
        <v>28</v>
      </c>
    </row>
    <row r="2765" spans="1:1" x14ac:dyDescent="0.3">
      <c r="A2765" s="1" t="s">
        <v>28</v>
      </c>
    </row>
    <row r="2766" spans="1:1" x14ac:dyDescent="0.3">
      <c r="A2766" s="2" t="s">
        <v>28</v>
      </c>
    </row>
    <row r="2767" spans="1:1" x14ac:dyDescent="0.3">
      <c r="A2767" s="1" t="s">
        <v>28</v>
      </c>
    </row>
    <row r="2768" spans="1:1" x14ac:dyDescent="0.3">
      <c r="A2768" s="2" t="s">
        <v>28</v>
      </c>
    </row>
    <row r="2769" spans="1:1" x14ac:dyDescent="0.3">
      <c r="A2769" s="1" t="s">
        <v>28</v>
      </c>
    </row>
    <row r="2770" spans="1:1" x14ac:dyDescent="0.3">
      <c r="A2770" s="2" t="s">
        <v>28</v>
      </c>
    </row>
    <row r="2771" spans="1:1" x14ac:dyDescent="0.3">
      <c r="A2771" s="1" t="s">
        <v>28</v>
      </c>
    </row>
    <row r="2772" spans="1:1" x14ac:dyDescent="0.3">
      <c r="A2772" s="2" t="s">
        <v>28</v>
      </c>
    </row>
    <row r="2773" spans="1:1" x14ac:dyDescent="0.3">
      <c r="A2773" s="1" t="s">
        <v>28</v>
      </c>
    </row>
    <row r="2774" spans="1:1" x14ac:dyDescent="0.3">
      <c r="A2774" s="2" t="s">
        <v>28</v>
      </c>
    </row>
    <row r="2775" spans="1:1" x14ac:dyDescent="0.3">
      <c r="A2775" s="1" t="s">
        <v>28</v>
      </c>
    </row>
    <row r="2776" spans="1:1" x14ac:dyDescent="0.3">
      <c r="A2776" s="2" t="s">
        <v>28</v>
      </c>
    </row>
    <row r="2777" spans="1:1" x14ac:dyDescent="0.3">
      <c r="A2777" s="1" t="s">
        <v>28</v>
      </c>
    </row>
    <row r="2778" spans="1:1" x14ac:dyDescent="0.3">
      <c r="A2778" s="2" t="s">
        <v>28</v>
      </c>
    </row>
    <row r="2779" spans="1:1" x14ac:dyDescent="0.3">
      <c r="A2779" s="1" t="s">
        <v>28</v>
      </c>
    </row>
    <row r="2780" spans="1:1" x14ac:dyDescent="0.3">
      <c r="A2780" s="2" t="s">
        <v>28</v>
      </c>
    </row>
    <row r="2781" spans="1:1" x14ac:dyDescent="0.3">
      <c r="A2781" s="1" t="s">
        <v>28</v>
      </c>
    </row>
    <row r="2782" spans="1:1" x14ac:dyDescent="0.3">
      <c r="A2782" s="2" t="s">
        <v>28</v>
      </c>
    </row>
    <row r="2783" spans="1:1" x14ac:dyDescent="0.3">
      <c r="A2783" s="1" t="s">
        <v>28</v>
      </c>
    </row>
    <row r="2784" spans="1:1" x14ac:dyDescent="0.3">
      <c r="A2784" s="2" t="s">
        <v>28</v>
      </c>
    </row>
    <row r="2785" spans="1:1" x14ac:dyDescent="0.3">
      <c r="A2785" s="1" t="s">
        <v>28</v>
      </c>
    </row>
    <row r="2786" spans="1:1" x14ac:dyDescent="0.3">
      <c r="A2786" s="2" t="s">
        <v>89</v>
      </c>
    </row>
    <row r="2787" spans="1:1" x14ac:dyDescent="0.3">
      <c r="A2787" s="1" t="s">
        <v>28</v>
      </c>
    </row>
    <row r="2788" spans="1:1" x14ac:dyDescent="0.3">
      <c r="A2788" s="2" t="s">
        <v>28</v>
      </c>
    </row>
    <row r="2789" spans="1:1" x14ac:dyDescent="0.3">
      <c r="A2789" s="1" t="s">
        <v>28</v>
      </c>
    </row>
    <row r="2790" spans="1:1" x14ac:dyDescent="0.3">
      <c r="A2790" s="2" t="s">
        <v>28</v>
      </c>
    </row>
    <row r="2791" spans="1:1" x14ac:dyDescent="0.3">
      <c r="A2791" s="1" t="s">
        <v>28</v>
      </c>
    </row>
    <row r="2792" spans="1:1" x14ac:dyDescent="0.3">
      <c r="A2792" s="2" t="s">
        <v>28</v>
      </c>
    </row>
    <row r="2793" spans="1:1" x14ac:dyDescent="0.3">
      <c r="A2793" s="1" t="s">
        <v>28</v>
      </c>
    </row>
    <row r="2794" spans="1:1" x14ac:dyDescent="0.3">
      <c r="A2794" s="2" t="s">
        <v>28</v>
      </c>
    </row>
    <row r="2795" spans="1:1" x14ac:dyDescent="0.3">
      <c r="A2795" s="1" t="s">
        <v>28</v>
      </c>
    </row>
    <row r="2796" spans="1:1" x14ac:dyDescent="0.3">
      <c r="A2796" s="2" t="s">
        <v>89</v>
      </c>
    </row>
    <row r="2797" spans="1:1" x14ac:dyDescent="0.3">
      <c r="A2797" s="1" t="s">
        <v>28</v>
      </c>
    </row>
    <row r="2798" spans="1:1" x14ac:dyDescent="0.3">
      <c r="A2798" s="2" t="s">
        <v>28</v>
      </c>
    </row>
    <row r="2799" spans="1:1" x14ac:dyDescent="0.3">
      <c r="A2799" s="1" t="s">
        <v>28</v>
      </c>
    </row>
    <row r="2800" spans="1:1" x14ac:dyDescent="0.3">
      <c r="A2800" s="2" t="s">
        <v>28</v>
      </c>
    </row>
    <row r="2801" spans="1:1" x14ac:dyDescent="0.3">
      <c r="A2801" s="1" t="s">
        <v>28</v>
      </c>
    </row>
    <row r="2802" spans="1:1" x14ac:dyDescent="0.3">
      <c r="A2802" s="2" t="s">
        <v>89</v>
      </c>
    </row>
    <row r="2803" spans="1:1" x14ac:dyDescent="0.3">
      <c r="A2803" s="1" t="s">
        <v>89</v>
      </c>
    </row>
    <row r="2804" spans="1:1" x14ac:dyDescent="0.3">
      <c r="A2804" s="2" t="s">
        <v>28</v>
      </c>
    </row>
    <row r="2805" spans="1:1" x14ac:dyDescent="0.3">
      <c r="A2805" s="1" t="s">
        <v>28</v>
      </c>
    </row>
    <row r="2806" spans="1:1" x14ac:dyDescent="0.3">
      <c r="A2806" s="2" t="s">
        <v>28</v>
      </c>
    </row>
    <row r="2807" spans="1:1" x14ac:dyDescent="0.3">
      <c r="A2807" s="1" t="s">
        <v>28</v>
      </c>
    </row>
    <row r="2808" spans="1:1" x14ac:dyDescent="0.3">
      <c r="A2808" s="2" t="s">
        <v>28</v>
      </c>
    </row>
    <row r="2809" spans="1:1" x14ac:dyDescent="0.3">
      <c r="A2809" s="1" t="s">
        <v>89</v>
      </c>
    </row>
    <row r="2810" spans="1:1" x14ac:dyDescent="0.3">
      <c r="A2810" s="2" t="s">
        <v>28</v>
      </c>
    </row>
    <row r="2811" spans="1:1" x14ac:dyDescent="0.3">
      <c r="A2811" s="1" t="s">
        <v>28</v>
      </c>
    </row>
    <row r="2812" spans="1:1" x14ac:dyDescent="0.3">
      <c r="A2812" s="2" t="s">
        <v>28</v>
      </c>
    </row>
    <row r="2813" spans="1:1" x14ac:dyDescent="0.3">
      <c r="A2813" s="1" t="s">
        <v>28</v>
      </c>
    </row>
    <row r="2814" spans="1:1" x14ac:dyDescent="0.3">
      <c r="A2814" s="2" t="s">
        <v>28</v>
      </c>
    </row>
    <row r="2815" spans="1:1" x14ac:dyDescent="0.3">
      <c r="A2815" s="1" t="s">
        <v>28</v>
      </c>
    </row>
    <row r="2816" spans="1:1" x14ac:dyDescent="0.3">
      <c r="A2816" s="2" t="s">
        <v>28</v>
      </c>
    </row>
    <row r="2817" spans="1:1" x14ac:dyDescent="0.3">
      <c r="A2817" s="1" t="s">
        <v>89</v>
      </c>
    </row>
    <row r="2818" spans="1:1" x14ac:dyDescent="0.3">
      <c r="A2818" s="2" t="s">
        <v>28</v>
      </c>
    </row>
    <row r="2819" spans="1:1" x14ac:dyDescent="0.3">
      <c r="A2819" s="1" t="s">
        <v>89</v>
      </c>
    </row>
    <row r="2820" spans="1:1" x14ac:dyDescent="0.3">
      <c r="A2820" s="2" t="s">
        <v>89</v>
      </c>
    </row>
    <row r="2821" spans="1:1" x14ac:dyDescent="0.3">
      <c r="A2821" s="1" t="s">
        <v>89</v>
      </c>
    </row>
    <row r="2822" spans="1:1" x14ac:dyDescent="0.3">
      <c r="A2822" s="2" t="s">
        <v>28</v>
      </c>
    </row>
    <row r="2823" spans="1:1" x14ac:dyDescent="0.3">
      <c r="A2823" s="1" t="s">
        <v>28</v>
      </c>
    </row>
    <row r="2824" spans="1:1" x14ac:dyDescent="0.3">
      <c r="A2824" s="2" t="s">
        <v>28</v>
      </c>
    </row>
    <row r="2825" spans="1:1" x14ac:dyDescent="0.3">
      <c r="A2825" s="1" t="s">
        <v>28</v>
      </c>
    </row>
    <row r="2826" spans="1:1" x14ac:dyDescent="0.3">
      <c r="A2826" s="2" t="s">
        <v>89</v>
      </c>
    </row>
    <row r="2827" spans="1:1" x14ac:dyDescent="0.3">
      <c r="A2827" s="1" t="s">
        <v>28</v>
      </c>
    </row>
    <row r="2828" spans="1:1" x14ac:dyDescent="0.3">
      <c r="A2828" s="2" t="s">
        <v>28</v>
      </c>
    </row>
    <row r="2829" spans="1:1" x14ac:dyDescent="0.3">
      <c r="A2829" s="1" t="s">
        <v>28</v>
      </c>
    </row>
    <row r="2830" spans="1:1" x14ac:dyDescent="0.3">
      <c r="A2830" s="2" t="s">
        <v>28</v>
      </c>
    </row>
    <row r="2831" spans="1:1" x14ac:dyDescent="0.3">
      <c r="A2831" s="1" t="s">
        <v>89</v>
      </c>
    </row>
    <row r="2832" spans="1:1" x14ac:dyDescent="0.3">
      <c r="A2832" s="2" t="s">
        <v>89</v>
      </c>
    </row>
    <row r="2833" spans="1:1" x14ac:dyDescent="0.3">
      <c r="A2833" s="1" t="s">
        <v>89</v>
      </c>
    </row>
    <row r="2834" spans="1:1" x14ac:dyDescent="0.3">
      <c r="A2834" s="2" t="s">
        <v>28</v>
      </c>
    </row>
    <row r="2835" spans="1:1" x14ac:dyDescent="0.3">
      <c r="A2835" s="1" t="s">
        <v>28</v>
      </c>
    </row>
    <row r="2836" spans="1:1" x14ac:dyDescent="0.3">
      <c r="A2836" s="2" t="s">
        <v>28</v>
      </c>
    </row>
    <row r="2837" spans="1:1" x14ac:dyDescent="0.3">
      <c r="A2837" s="1" t="s">
        <v>28</v>
      </c>
    </row>
    <row r="2838" spans="1:1" x14ac:dyDescent="0.3">
      <c r="A2838" s="2" t="s">
        <v>28</v>
      </c>
    </row>
    <row r="2839" spans="1:1" x14ac:dyDescent="0.3">
      <c r="A2839" s="1" t="s">
        <v>28</v>
      </c>
    </row>
    <row r="2840" spans="1:1" x14ac:dyDescent="0.3">
      <c r="A2840" s="2" t="s">
        <v>28</v>
      </c>
    </row>
    <row r="2841" spans="1:1" x14ac:dyDescent="0.3">
      <c r="A2841" s="1" t="s">
        <v>28</v>
      </c>
    </row>
    <row r="2842" spans="1:1" x14ac:dyDescent="0.3">
      <c r="A2842" s="2" t="s">
        <v>28</v>
      </c>
    </row>
    <row r="2843" spans="1:1" x14ac:dyDescent="0.3">
      <c r="A2843" s="1" t="s">
        <v>28</v>
      </c>
    </row>
    <row r="2844" spans="1:1" x14ac:dyDescent="0.3">
      <c r="A2844" s="2" t="s">
        <v>28</v>
      </c>
    </row>
    <row r="2845" spans="1:1" x14ac:dyDescent="0.3">
      <c r="A2845" s="1" t="s">
        <v>28</v>
      </c>
    </row>
    <row r="2846" spans="1:1" x14ac:dyDescent="0.3">
      <c r="A2846" s="2" t="s">
        <v>28</v>
      </c>
    </row>
    <row r="2847" spans="1:1" x14ac:dyDescent="0.3">
      <c r="A2847" s="1" t="s">
        <v>28</v>
      </c>
    </row>
    <row r="2848" spans="1:1" x14ac:dyDescent="0.3">
      <c r="A2848" s="2" t="s">
        <v>28</v>
      </c>
    </row>
    <row r="2849" spans="1:1" x14ac:dyDescent="0.3">
      <c r="A2849" s="1" t="s">
        <v>28</v>
      </c>
    </row>
    <row r="2850" spans="1:1" x14ac:dyDescent="0.3">
      <c r="A2850" s="2" t="s">
        <v>28</v>
      </c>
    </row>
    <row r="2851" spans="1:1" x14ac:dyDescent="0.3">
      <c r="A2851" s="1" t="s">
        <v>28</v>
      </c>
    </row>
    <row r="2852" spans="1:1" x14ac:dyDescent="0.3">
      <c r="A2852" s="2" t="s">
        <v>28</v>
      </c>
    </row>
    <row r="2853" spans="1:1" x14ac:dyDescent="0.3">
      <c r="A2853" s="1" t="s">
        <v>28</v>
      </c>
    </row>
    <row r="2854" spans="1:1" x14ac:dyDescent="0.3">
      <c r="A2854" s="2" t="s">
        <v>28</v>
      </c>
    </row>
    <row r="2855" spans="1:1" x14ac:dyDescent="0.3">
      <c r="A2855" s="1" t="s">
        <v>28</v>
      </c>
    </row>
    <row r="2856" spans="1:1" x14ac:dyDescent="0.3">
      <c r="A2856" s="2" t="s">
        <v>28</v>
      </c>
    </row>
    <row r="2857" spans="1:1" x14ac:dyDescent="0.3">
      <c r="A2857" s="1" t="s">
        <v>28</v>
      </c>
    </row>
    <row r="2858" spans="1:1" x14ac:dyDescent="0.3">
      <c r="A2858" s="2" t="s">
        <v>89</v>
      </c>
    </row>
    <row r="2859" spans="1:1" x14ac:dyDescent="0.3">
      <c r="A2859" s="1" t="s">
        <v>89</v>
      </c>
    </row>
    <row r="2860" spans="1:1" x14ac:dyDescent="0.3">
      <c r="A2860" s="2" t="s">
        <v>89</v>
      </c>
    </row>
    <row r="2861" spans="1:1" x14ac:dyDescent="0.3">
      <c r="A2861" s="1" t="s">
        <v>89</v>
      </c>
    </row>
    <row r="2862" spans="1:1" x14ac:dyDescent="0.3">
      <c r="A2862" s="2" t="s">
        <v>28</v>
      </c>
    </row>
    <row r="2863" spans="1:1" x14ac:dyDescent="0.3">
      <c r="A2863" s="1" t="s">
        <v>28</v>
      </c>
    </row>
    <row r="2864" spans="1:1" x14ac:dyDescent="0.3">
      <c r="A2864" s="2" t="s">
        <v>28</v>
      </c>
    </row>
    <row r="2865" spans="1:1" x14ac:dyDescent="0.3">
      <c r="A2865" s="1" t="s">
        <v>89</v>
      </c>
    </row>
    <row r="2866" spans="1:1" x14ac:dyDescent="0.3">
      <c r="A2866" s="2" t="s">
        <v>89</v>
      </c>
    </row>
    <row r="2867" spans="1:1" x14ac:dyDescent="0.3">
      <c r="A2867" s="1" t="s">
        <v>28</v>
      </c>
    </row>
    <row r="2868" spans="1:1" x14ac:dyDescent="0.3">
      <c r="A2868" s="2" t="s">
        <v>28</v>
      </c>
    </row>
    <row r="2869" spans="1:1" x14ac:dyDescent="0.3">
      <c r="A2869" s="1" t="s">
        <v>89</v>
      </c>
    </row>
    <row r="2870" spans="1:1" x14ac:dyDescent="0.3">
      <c r="A2870" s="2" t="s">
        <v>28</v>
      </c>
    </row>
    <row r="2871" spans="1:1" x14ac:dyDescent="0.3">
      <c r="A2871" s="1" t="s">
        <v>89</v>
      </c>
    </row>
    <row r="2872" spans="1:1" x14ac:dyDescent="0.3">
      <c r="A2872" s="2" t="s">
        <v>89</v>
      </c>
    </row>
    <row r="2873" spans="1:1" x14ac:dyDescent="0.3">
      <c r="A2873" s="1" t="s">
        <v>28</v>
      </c>
    </row>
    <row r="2874" spans="1:1" x14ac:dyDescent="0.3">
      <c r="A2874" s="2" t="s">
        <v>89</v>
      </c>
    </row>
    <row r="2875" spans="1:1" x14ac:dyDescent="0.3">
      <c r="A2875" s="1" t="s">
        <v>89</v>
      </c>
    </row>
    <row r="2876" spans="1:1" x14ac:dyDescent="0.3">
      <c r="A2876" s="2" t="s">
        <v>89</v>
      </c>
    </row>
    <row r="2877" spans="1:1" x14ac:dyDescent="0.3">
      <c r="A2877" s="1" t="s">
        <v>28</v>
      </c>
    </row>
    <row r="2878" spans="1:1" x14ac:dyDescent="0.3">
      <c r="A2878" s="2" t="s">
        <v>28</v>
      </c>
    </row>
    <row r="2879" spans="1:1" x14ac:dyDescent="0.3">
      <c r="A2879" s="1" t="s">
        <v>89</v>
      </c>
    </row>
    <row r="2880" spans="1:1" x14ac:dyDescent="0.3">
      <c r="A2880" s="2" t="s">
        <v>89</v>
      </c>
    </row>
    <row r="2881" spans="1:1" x14ac:dyDescent="0.3">
      <c r="A2881" s="1" t="s">
        <v>28</v>
      </c>
    </row>
    <row r="2882" spans="1:1" x14ac:dyDescent="0.3">
      <c r="A2882" s="2" t="s">
        <v>89</v>
      </c>
    </row>
    <row r="2883" spans="1:1" x14ac:dyDescent="0.3">
      <c r="A2883" s="1" t="s">
        <v>28</v>
      </c>
    </row>
    <row r="2884" spans="1:1" x14ac:dyDescent="0.3">
      <c r="A2884" s="2" t="s">
        <v>28</v>
      </c>
    </row>
    <row r="2885" spans="1:1" x14ac:dyDescent="0.3">
      <c r="A2885" s="1" t="s">
        <v>28</v>
      </c>
    </row>
    <row r="2886" spans="1:1" x14ac:dyDescent="0.3">
      <c r="A2886" s="2" t="s">
        <v>28</v>
      </c>
    </row>
    <row r="2887" spans="1:1" x14ac:dyDescent="0.3">
      <c r="A2887" s="1" t="s">
        <v>28</v>
      </c>
    </row>
    <row r="2888" spans="1:1" x14ac:dyDescent="0.3">
      <c r="A2888" s="2" t="s">
        <v>28</v>
      </c>
    </row>
    <row r="2889" spans="1:1" x14ac:dyDescent="0.3">
      <c r="A2889" s="1" t="s">
        <v>28</v>
      </c>
    </row>
    <row r="2890" spans="1:1" x14ac:dyDescent="0.3">
      <c r="A2890" s="2" t="s">
        <v>28</v>
      </c>
    </row>
    <row r="2891" spans="1:1" x14ac:dyDescent="0.3">
      <c r="A2891" s="1" t="s">
        <v>28</v>
      </c>
    </row>
    <row r="2892" spans="1:1" x14ac:dyDescent="0.3">
      <c r="A2892" s="2" t="s">
        <v>89</v>
      </c>
    </row>
    <row r="2893" spans="1:1" x14ac:dyDescent="0.3">
      <c r="A2893" s="1" t="s">
        <v>89</v>
      </c>
    </row>
    <row r="2894" spans="1:1" x14ac:dyDescent="0.3">
      <c r="A2894" s="2" t="s">
        <v>89</v>
      </c>
    </row>
    <row r="2895" spans="1:1" x14ac:dyDescent="0.3">
      <c r="A2895" s="1" t="s">
        <v>28</v>
      </c>
    </row>
    <row r="2896" spans="1:1" x14ac:dyDescent="0.3">
      <c r="A2896" s="2" t="s">
        <v>89</v>
      </c>
    </row>
    <row r="2897" spans="1:1" x14ac:dyDescent="0.3">
      <c r="A2897" s="1" t="s">
        <v>28</v>
      </c>
    </row>
    <row r="2898" spans="1:1" x14ac:dyDescent="0.3">
      <c r="A2898" s="2" t="s">
        <v>28</v>
      </c>
    </row>
    <row r="2899" spans="1:1" x14ac:dyDescent="0.3">
      <c r="A2899" s="1" t="s">
        <v>28</v>
      </c>
    </row>
    <row r="2900" spans="1:1" x14ac:dyDescent="0.3">
      <c r="A2900" s="2" t="s">
        <v>89</v>
      </c>
    </row>
    <row r="2901" spans="1:1" x14ac:dyDescent="0.3">
      <c r="A2901" s="1" t="s">
        <v>28</v>
      </c>
    </row>
    <row r="2902" spans="1:1" x14ac:dyDescent="0.3">
      <c r="A2902" s="2" t="s">
        <v>28</v>
      </c>
    </row>
    <row r="2903" spans="1:1" x14ac:dyDescent="0.3">
      <c r="A2903" s="1" t="s">
        <v>89</v>
      </c>
    </row>
    <row r="2904" spans="1:1" x14ac:dyDescent="0.3">
      <c r="A2904" s="2" t="s">
        <v>28</v>
      </c>
    </row>
    <row r="2905" spans="1:1" x14ac:dyDescent="0.3">
      <c r="A2905" s="1" t="s">
        <v>28</v>
      </c>
    </row>
    <row r="2906" spans="1:1" x14ac:dyDescent="0.3">
      <c r="A2906" s="2" t="s">
        <v>89</v>
      </c>
    </row>
    <row r="2907" spans="1:1" x14ac:dyDescent="0.3">
      <c r="A2907" s="1" t="s">
        <v>89</v>
      </c>
    </row>
    <row r="2908" spans="1:1" x14ac:dyDescent="0.3">
      <c r="A2908" s="2" t="s">
        <v>28</v>
      </c>
    </row>
    <row r="2909" spans="1:1" x14ac:dyDescent="0.3">
      <c r="A2909" s="1" t="s">
        <v>28</v>
      </c>
    </row>
    <row r="2910" spans="1:1" x14ac:dyDescent="0.3">
      <c r="A2910" s="2" t="s">
        <v>28</v>
      </c>
    </row>
    <row r="2911" spans="1:1" x14ac:dyDescent="0.3">
      <c r="A2911" s="1" t="s">
        <v>28</v>
      </c>
    </row>
    <row r="2912" spans="1:1" x14ac:dyDescent="0.3">
      <c r="A2912" s="2" t="s">
        <v>28</v>
      </c>
    </row>
    <row r="2913" spans="1:1" x14ac:dyDescent="0.3">
      <c r="A2913" s="1" t="s">
        <v>28</v>
      </c>
    </row>
    <row r="2914" spans="1:1" x14ac:dyDescent="0.3">
      <c r="A2914" s="2" t="s">
        <v>28</v>
      </c>
    </row>
    <row r="2915" spans="1:1" x14ac:dyDescent="0.3">
      <c r="A2915" s="1" t="s">
        <v>28</v>
      </c>
    </row>
    <row r="2916" spans="1:1" x14ac:dyDescent="0.3">
      <c r="A2916" s="2" t="s">
        <v>28</v>
      </c>
    </row>
    <row r="2917" spans="1:1" x14ac:dyDescent="0.3">
      <c r="A2917" s="1" t="s">
        <v>28</v>
      </c>
    </row>
    <row r="2918" spans="1:1" x14ac:dyDescent="0.3">
      <c r="A2918" s="2" t="s">
        <v>28</v>
      </c>
    </row>
    <row r="2919" spans="1:1" x14ac:dyDescent="0.3">
      <c r="A2919" s="1" t="s">
        <v>89</v>
      </c>
    </row>
    <row r="2920" spans="1:1" x14ac:dyDescent="0.3">
      <c r="A2920" s="2" t="s">
        <v>89</v>
      </c>
    </row>
    <row r="2921" spans="1:1" x14ac:dyDescent="0.3">
      <c r="A2921" s="1" t="s">
        <v>28</v>
      </c>
    </row>
    <row r="2922" spans="1:1" x14ac:dyDescent="0.3">
      <c r="A2922" s="2" t="s">
        <v>28</v>
      </c>
    </row>
    <row r="2923" spans="1:1" x14ac:dyDescent="0.3">
      <c r="A2923" s="1" t="s">
        <v>89</v>
      </c>
    </row>
    <row r="2924" spans="1:1" x14ac:dyDescent="0.3">
      <c r="A2924" s="2" t="s">
        <v>28</v>
      </c>
    </row>
    <row r="2925" spans="1:1" x14ac:dyDescent="0.3">
      <c r="A2925" s="1" t="s">
        <v>89</v>
      </c>
    </row>
    <row r="2926" spans="1:1" x14ac:dyDescent="0.3">
      <c r="A2926" s="2" t="s">
        <v>28</v>
      </c>
    </row>
    <row r="2927" spans="1:1" x14ac:dyDescent="0.3">
      <c r="A2927" s="1" t="s">
        <v>28</v>
      </c>
    </row>
    <row r="2928" spans="1:1" x14ac:dyDescent="0.3">
      <c r="A2928" s="2" t="s">
        <v>28</v>
      </c>
    </row>
    <row r="2929" spans="1:1" x14ac:dyDescent="0.3">
      <c r="A2929" s="1" t="s">
        <v>89</v>
      </c>
    </row>
    <row r="2930" spans="1:1" x14ac:dyDescent="0.3">
      <c r="A2930" s="2" t="s">
        <v>89</v>
      </c>
    </row>
    <row r="2931" spans="1:1" x14ac:dyDescent="0.3">
      <c r="A2931" s="1" t="s">
        <v>89</v>
      </c>
    </row>
    <row r="2932" spans="1:1" x14ac:dyDescent="0.3">
      <c r="A2932" s="2" t="s">
        <v>28</v>
      </c>
    </row>
    <row r="2933" spans="1:1" x14ac:dyDescent="0.3">
      <c r="A2933" s="1" t="s">
        <v>89</v>
      </c>
    </row>
    <row r="2934" spans="1:1" x14ac:dyDescent="0.3">
      <c r="A2934" s="2" t="s">
        <v>89</v>
      </c>
    </row>
    <row r="2935" spans="1:1" x14ac:dyDescent="0.3">
      <c r="A2935" s="1" t="s">
        <v>28</v>
      </c>
    </row>
    <row r="2936" spans="1:1" x14ac:dyDescent="0.3">
      <c r="A2936" s="2" t="s">
        <v>89</v>
      </c>
    </row>
    <row r="2937" spans="1:1" x14ac:dyDescent="0.3">
      <c r="A2937" s="1" t="s">
        <v>89</v>
      </c>
    </row>
    <row r="2938" spans="1:1" x14ac:dyDescent="0.3">
      <c r="A2938" s="2" t="s">
        <v>28</v>
      </c>
    </row>
    <row r="2939" spans="1:1" x14ac:dyDescent="0.3">
      <c r="A2939" s="1" t="s">
        <v>28</v>
      </c>
    </row>
    <row r="2940" spans="1:1" x14ac:dyDescent="0.3">
      <c r="A2940" s="2" t="s">
        <v>28</v>
      </c>
    </row>
    <row r="2941" spans="1:1" x14ac:dyDescent="0.3">
      <c r="A2941" s="1" t="s">
        <v>89</v>
      </c>
    </row>
    <row r="2942" spans="1:1" x14ac:dyDescent="0.3">
      <c r="A2942" s="2" t="s">
        <v>28</v>
      </c>
    </row>
    <row r="2943" spans="1:1" x14ac:dyDescent="0.3">
      <c r="A2943" s="1" t="s">
        <v>28</v>
      </c>
    </row>
    <row r="2944" spans="1:1" x14ac:dyDescent="0.3">
      <c r="A2944" s="2" t="s">
        <v>89</v>
      </c>
    </row>
    <row r="2945" spans="1:1" x14ac:dyDescent="0.3">
      <c r="A2945" s="1" t="s">
        <v>28</v>
      </c>
    </row>
    <row r="2946" spans="1:1" x14ac:dyDescent="0.3">
      <c r="A2946" s="2" t="s">
        <v>28</v>
      </c>
    </row>
    <row r="2947" spans="1:1" x14ac:dyDescent="0.3">
      <c r="A2947" s="1" t="s">
        <v>28</v>
      </c>
    </row>
    <row r="2948" spans="1:1" x14ac:dyDescent="0.3">
      <c r="A2948" s="2" t="s">
        <v>28</v>
      </c>
    </row>
    <row r="2949" spans="1:1" x14ac:dyDescent="0.3">
      <c r="A2949" s="1" t="s">
        <v>28</v>
      </c>
    </row>
    <row r="2950" spans="1:1" x14ac:dyDescent="0.3">
      <c r="A2950" s="2" t="s">
        <v>28</v>
      </c>
    </row>
    <row r="2951" spans="1:1" x14ac:dyDescent="0.3">
      <c r="A2951" s="1" t="s">
        <v>28</v>
      </c>
    </row>
    <row r="2952" spans="1:1" x14ac:dyDescent="0.3">
      <c r="A2952" s="2" t="s">
        <v>28</v>
      </c>
    </row>
    <row r="2953" spans="1:1" x14ac:dyDescent="0.3">
      <c r="A2953" s="1" t="s">
        <v>28</v>
      </c>
    </row>
    <row r="2954" spans="1:1" x14ac:dyDescent="0.3">
      <c r="A2954" s="2" t="s">
        <v>28</v>
      </c>
    </row>
    <row r="2955" spans="1:1" x14ac:dyDescent="0.3">
      <c r="A2955" s="1" t="s">
        <v>28</v>
      </c>
    </row>
    <row r="2956" spans="1:1" x14ac:dyDescent="0.3">
      <c r="A2956" s="2" t="s">
        <v>28</v>
      </c>
    </row>
    <row r="2957" spans="1:1" x14ac:dyDescent="0.3">
      <c r="A2957" s="1" t="s">
        <v>89</v>
      </c>
    </row>
    <row r="2958" spans="1:1" x14ac:dyDescent="0.3">
      <c r="A2958" s="2" t="s">
        <v>89</v>
      </c>
    </row>
    <row r="2959" spans="1:1" x14ac:dyDescent="0.3">
      <c r="A2959" s="1" t="s">
        <v>89</v>
      </c>
    </row>
    <row r="2960" spans="1:1" x14ac:dyDescent="0.3">
      <c r="A2960" s="2" t="s">
        <v>89</v>
      </c>
    </row>
    <row r="2961" spans="1:1" x14ac:dyDescent="0.3">
      <c r="A2961" s="1" t="s">
        <v>28</v>
      </c>
    </row>
    <row r="2962" spans="1:1" x14ac:dyDescent="0.3">
      <c r="A2962" s="2" t="s">
        <v>28</v>
      </c>
    </row>
    <row r="2963" spans="1:1" x14ac:dyDescent="0.3">
      <c r="A2963" s="1" t="s">
        <v>89</v>
      </c>
    </row>
    <row r="2964" spans="1:1" x14ac:dyDescent="0.3">
      <c r="A2964" s="2" t="s">
        <v>89</v>
      </c>
    </row>
    <row r="2965" spans="1:1" x14ac:dyDescent="0.3">
      <c r="A2965" s="1" t="s">
        <v>28</v>
      </c>
    </row>
    <row r="2966" spans="1:1" x14ac:dyDescent="0.3">
      <c r="A2966" s="2" t="s">
        <v>28</v>
      </c>
    </row>
    <row r="2967" spans="1:1" x14ac:dyDescent="0.3">
      <c r="A2967" s="1" t="s">
        <v>28</v>
      </c>
    </row>
    <row r="2968" spans="1:1" x14ac:dyDescent="0.3">
      <c r="A2968" s="2" t="s">
        <v>28</v>
      </c>
    </row>
    <row r="2969" spans="1:1" x14ac:dyDescent="0.3">
      <c r="A2969" s="1" t="s">
        <v>28</v>
      </c>
    </row>
    <row r="2970" spans="1:1" x14ac:dyDescent="0.3">
      <c r="A2970" s="2" t="s">
        <v>28</v>
      </c>
    </row>
    <row r="2971" spans="1:1" x14ac:dyDescent="0.3">
      <c r="A2971" s="1" t="s">
        <v>89</v>
      </c>
    </row>
    <row r="2972" spans="1:1" x14ac:dyDescent="0.3">
      <c r="A2972" s="2" t="s">
        <v>28</v>
      </c>
    </row>
    <row r="2973" spans="1:1" x14ac:dyDescent="0.3">
      <c r="A2973" s="1" t="s">
        <v>89</v>
      </c>
    </row>
    <row r="2974" spans="1:1" x14ac:dyDescent="0.3">
      <c r="A2974" s="2" t="s">
        <v>89</v>
      </c>
    </row>
    <row r="2975" spans="1:1" x14ac:dyDescent="0.3">
      <c r="A2975" s="1" t="s">
        <v>28</v>
      </c>
    </row>
    <row r="2976" spans="1:1" x14ac:dyDescent="0.3">
      <c r="A2976" s="2" t="s">
        <v>89</v>
      </c>
    </row>
    <row r="2977" spans="1:1" x14ac:dyDescent="0.3">
      <c r="A2977" s="1" t="s">
        <v>89</v>
      </c>
    </row>
    <row r="2978" spans="1:1" x14ac:dyDescent="0.3">
      <c r="A2978" s="2" t="s">
        <v>28</v>
      </c>
    </row>
    <row r="2979" spans="1:1" x14ac:dyDescent="0.3">
      <c r="A2979" s="1" t="s">
        <v>28</v>
      </c>
    </row>
    <row r="2980" spans="1:1" x14ac:dyDescent="0.3">
      <c r="A2980" s="2" t="s">
        <v>28</v>
      </c>
    </row>
    <row r="2981" spans="1:1" x14ac:dyDescent="0.3">
      <c r="A2981" s="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CC42-52B8-4DBB-B29F-45CFA5BB15C0}">
  <dimension ref="A1:G2981"/>
  <sheetViews>
    <sheetView topLeftCell="A7" workbookViewId="0">
      <selection activeCell="G32" sqref="G32"/>
    </sheetView>
  </sheetViews>
  <sheetFormatPr baseColWidth="10" defaultRowHeight="14.4" x14ac:dyDescent="0.3"/>
  <cols>
    <col min="4" max="4" width="19" bestFit="1" customWidth="1"/>
    <col min="5" max="5" width="4" bestFit="1" customWidth="1"/>
  </cols>
  <sheetData>
    <row r="1" spans="1:7" x14ac:dyDescent="0.3">
      <c r="A1" s="1" t="s">
        <v>3246</v>
      </c>
      <c r="B1" t="str">
        <f>UPPER(A1)</f>
        <v>NACIONAL</v>
      </c>
      <c r="D1" t="str" cm="1">
        <f t="array" ref="D1:D29">_xlfn.UNIQUE(B1:B922)</f>
        <v>NACIONAL</v>
      </c>
      <c r="E1">
        <f>COUNTIF($A$1:$A$922,D1)</f>
        <v>770</v>
      </c>
      <c r="F1" s="48">
        <f>E1/$E$30*100</f>
        <v>83.514099783080269</v>
      </c>
      <c r="G1" s="48"/>
    </row>
    <row r="2" spans="1:7" x14ac:dyDescent="0.3">
      <c r="A2" s="2" t="s">
        <v>701</v>
      </c>
      <c r="B2" t="str">
        <f t="shared" ref="B2:B65" si="0">UPPER(A2)</f>
        <v>FRANCIA</v>
      </c>
      <c r="D2" t="str">
        <v>FRANCIA</v>
      </c>
      <c r="E2">
        <f t="shared" ref="E2:E29" si="1">COUNTIF($A$1:$A$922,D2)</f>
        <v>8</v>
      </c>
      <c r="F2" s="48">
        <f t="shared" ref="F2:F29" si="2">E2/$E$30*100</f>
        <v>0.86767895878524948</v>
      </c>
      <c r="G2" s="48"/>
    </row>
    <row r="3" spans="1:7" x14ac:dyDescent="0.3">
      <c r="A3" s="1" t="s">
        <v>1613</v>
      </c>
      <c r="B3" t="str">
        <f t="shared" si="0"/>
        <v>ITALIA</v>
      </c>
      <c r="D3" t="str">
        <v>ITALIA</v>
      </c>
      <c r="E3">
        <f t="shared" si="1"/>
        <v>9</v>
      </c>
      <c r="F3" s="48">
        <f t="shared" si="2"/>
        <v>0.97613882863340562</v>
      </c>
      <c r="G3" s="48"/>
    </row>
    <row r="4" spans="1:7" x14ac:dyDescent="0.3">
      <c r="A4" s="2" t="s">
        <v>783</v>
      </c>
      <c r="B4" t="str">
        <f t="shared" si="0"/>
        <v>ALEMANIA</v>
      </c>
      <c r="D4" t="str">
        <v>ALEMANIA</v>
      </c>
      <c r="E4">
        <f t="shared" si="1"/>
        <v>20</v>
      </c>
      <c r="F4" s="48">
        <f t="shared" si="2"/>
        <v>2.1691973969631237</v>
      </c>
      <c r="G4" s="48"/>
    </row>
    <row r="5" spans="1:7" x14ac:dyDescent="0.3">
      <c r="A5" s="1" t="s">
        <v>783</v>
      </c>
      <c r="B5" t="str">
        <f t="shared" si="0"/>
        <v>ALEMANIA</v>
      </c>
      <c r="D5" t="str">
        <v>IRLANDA</v>
      </c>
      <c r="E5">
        <f t="shared" si="1"/>
        <v>25</v>
      </c>
      <c r="F5" s="48">
        <f t="shared" si="2"/>
        <v>2.7114967462039048</v>
      </c>
      <c r="G5" s="48"/>
    </row>
    <row r="6" spans="1:7" x14ac:dyDescent="0.3">
      <c r="A6" s="2" t="s">
        <v>783</v>
      </c>
      <c r="B6" t="str">
        <f t="shared" si="0"/>
        <v>ALEMANIA</v>
      </c>
      <c r="D6" t="str">
        <v>PARAGUAY</v>
      </c>
      <c r="E6">
        <f t="shared" si="1"/>
        <v>1</v>
      </c>
      <c r="F6" s="48">
        <f t="shared" si="2"/>
        <v>0.10845986984815618</v>
      </c>
      <c r="G6" s="48"/>
    </row>
    <row r="7" spans="1:7" x14ac:dyDescent="0.3">
      <c r="A7" s="1" t="s">
        <v>701</v>
      </c>
      <c r="B7" t="str">
        <f t="shared" si="0"/>
        <v>FRANCIA</v>
      </c>
      <c r="D7" t="str">
        <v>COREA DEL SUR</v>
      </c>
      <c r="E7">
        <f t="shared" si="1"/>
        <v>2</v>
      </c>
      <c r="F7" s="48">
        <f t="shared" si="2"/>
        <v>0.21691973969631237</v>
      </c>
      <c r="G7" s="48"/>
    </row>
    <row r="8" spans="1:7" x14ac:dyDescent="0.3">
      <c r="A8" s="2" t="s">
        <v>3246</v>
      </c>
      <c r="B8" t="str">
        <f t="shared" si="0"/>
        <v>NACIONAL</v>
      </c>
      <c r="D8" t="str">
        <v>NORUEGA</v>
      </c>
      <c r="E8">
        <f t="shared" si="1"/>
        <v>1</v>
      </c>
      <c r="F8" s="48">
        <f t="shared" si="2"/>
        <v>0.10845986984815618</v>
      </c>
      <c r="G8" s="48"/>
    </row>
    <row r="9" spans="1:7" x14ac:dyDescent="0.3">
      <c r="A9" s="1" t="s">
        <v>3246</v>
      </c>
      <c r="B9" t="str">
        <f t="shared" si="0"/>
        <v>NACIONAL</v>
      </c>
      <c r="D9" t="str">
        <v>COLOMBIA</v>
      </c>
      <c r="E9">
        <f t="shared" si="1"/>
        <v>6</v>
      </c>
      <c r="F9" s="48">
        <f t="shared" si="2"/>
        <v>0.65075921908893708</v>
      </c>
      <c r="G9" s="48"/>
    </row>
    <row r="10" spans="1:7" x14ac:dyDescent="0.3">
      <c r="A10" s="2" t="s">
        <v>3246</v>
      </c>
      <c r="B10" t="str">
        <f t="shared" si="0"/>
        <v>NACIONAL</v>
      </c>
      <c r="D10" t="str">
        <v>EUA</v>
      </c>
      <c r="E10">
        <f t="shared" si="1"/>
        <v>1</v>
      </c>
      <c r="F10" s="48">
        <f t="shared" si="2"/>
        <v>0.10845986984815618</v>
      </c>
      <c r="G10" s="48"/>
    </row>
    <row r="11" spans="1:7" x14ac:dyDescent="0.3">
      <c r="A11" s="1" t="s">
        <v>701</v>
      </c>
      <c r="B11" t="str">
        <f t="shared" si="0"/>
        <v>FRANCIA</v>
      </c>
      <c r="D11" t="str">
        <v>ARGENTINA</v>
      </c>
      <c r="E11">
        <f t="shared" si="1"/>
        <v>8</v>
      </c>
      <c r="F11" s="48">
        <f t="shared" si="2"/>
        <v>0.86767895878524948</v>
      </c>
      <c r="G11" s="48"/>
    </row>
    <row r="12" spans="1:7" x14ac:dyDescent="0.3">
      <c r="A12" s="2" t="s">
        <v>701</v>
      </c>
      <c r="B12" t="str">
        <f t="shared" si="0"/>
        <v>FRANCIA</v>
      </c>
      <c r="D12" t="str">
        <v>TURQUÍA</v>
      </c>
      <c r="E12">
        <f t="shared" si="1"/>
        <v>3</v>
      </c>
      <c r="F12" s="48">
        <f t="shared" si="2"/>
        <v>0.32537960954446854</v>
      </c>
      <c r="G12" s="48"/>
    </row>
    <row r="13" spans="1:7" x14ac:dyDescent="0.3">
      <c r="A13" s="1" t="s">
        <v>701</v>
      </c>
      <c r="B13" t="str">
        <f t="shared" si="0"/>
        <v>FRANCIA</v>
      </c>
      <c r="D13" t="str">
        <v>BÉLGICA</v>
      </c>
      <c r="E13">
        <f t="shared" si="1"/>
        <v>1</v>
      </c>
      <c r="F13" s="48">
        <f t="shared" si="2"/>
        <v>0.10845986984815618</v>
      </c>
      <c r="G13" s="48"/>
    </row>
    <row r="14" spans="1:7" x14ac:dyDescent="0.3">
      <c r="A14" s="2" t="s">
        <v>3246</v>
      </c>
      <c r="B14" t="str">
        <f t="shared" si="0"/>
        <v>NACIONAL</v>
      </c>
      <c r="D14" t="str">
        <v>JAPÓN</v>
      </c>
      <c r="E14">
        <f t="shared" si="1"/>
        <v>1</v>
      </c>
      <c r="F14" s="48">
        <f t="shared" si="2"/>
        <v>0.10845986984815618</v>
      </c>
      <c r="G14" s="48"/>
    </row>
    <row r="15" spans="1:7" x14ac:dyDescent="0.3">
      <c r="A15" s="1" t="s">
        <v>3246</v>
      </c>
      <c r="B15" t="str">
        <f t="shared" si="0"/>
        <v>NACIONAL</v>
      </c>
      <c r="D15" t="str">
        <v>PUERTO RICO</v>
      </c>
      <c r="E15">
        <f t="shared" si="1"/>
        <v>16</v>
      </c>
      <c r="F15" s="48">
        <f t="shared" si="2"/>
        <v>1.735357917570499</v>
      </c>
      <c r="G15" s="48"/>
    </row>
    <row r="16" spans="1:7" x14ac:dyDescent="0.3">
      <c r="A16" s="2" t="s">
        <v>3246</v>
      </c>
      <c r="B16" t="str">
        <f t="shared" si="0"/>
        <v>NACIONAL</v>
      </c>
      <c r="D16" t="str">
        <v>ESPAÑA</v>
      </c>
      <c r="E16">
        <f t="shared" si="1"/>
        <v>3</v>
      </c>
      <c r="F16" s="48">
        <f t="shared" si="2"/>
        <v>0.32537960954446854</v>
      </c>
      <c r="G16" s="48"/>
    </row>
    <row r="17" spans="1:7" x14ac:dyDescent="0.3">
      <c r="A17" s="1" t="s">
        <v>3246</v>
      </c>
      <c r="B17" t="str">
        <f t="shared" si="0"/>
        <v>NACIONAL</v>
      </c>
      <c r="D17" t="str">
        <v>SUIZA</v>
      </c>
      <c r="E17">
        <f t="shared" si="1"/>
        <v>6</v>
      </c>
      <c r="F17" s="48">
        <f t="shared" si="2"/>
        <v>0.65075921908893708</v>
      </c>
      <c r="G17" s="48"/>
    </row>
    <row r="18" spans="1:7" x14ac:dyDescent="0.3">
      <c r="A18" s="2" t="s">
        <v>3246</v>
      </c>
      <c r="B18" t="str">
        <f t="shared" si="0"/>
        <v>NACIONAL</v>
      </c>
      <c r="D18" t="str">
        <v>REPUBLICA DE COREA</v>
      </c>
      <c r="E18">
        <f t="shared" si="1"/>
        <v>1</v>
      </c>
      <c r="F18" s="48">
        <f t="shared" si="2"/>
        <v>0.10845986984815618</v>
      </c>
      <c r="G18" s="48"/>
    </row>
    <row r="19" spans="1:7" x14ac:dyDescent="0.3">
      <c r="A19" s="1" t="s">
        <v>214</v>
      </c>
      <c r="B19" t="str">
        <f t="shared" si="0"/>
        <v>IRLANDA</v>
      </c>
      <c r="D19" t="str">
        <v>SUECIA</v>
      </c>
      <c r="E19">
        <f t="shared" si="1"/>
        <v>2</v>
      </c>
      <c r="F19" s="48">
        <f t="shared" si="2"/>
        <v>0.21691973969631237</v>
      </c>
      <c r="G19" s="48"/>
    </row>
    <row r="20" spans="1:7" x14ac:dyDescent="0.3">
      <c r="A20" s="2" t="s">
        <v>214</v>
      </c>
      <c r="B20" t="str">
        <f t="shared" si="0"/>
        <v>IRLANDA</v>
      </c>
      <c r="D20" t="str">
        <v>SUDÁFRICA</v>
      </c>
      <c r="E20">
        <f t="shared" si="1"/>
        <v>1</v>
      </c>
      <c r="F20" s="48">
        <f t="shared" si="2"/>
        <v>0.10845986984815618</v>
      </c>
      <c r="G20" s="48"/>
    </row>
    <row r="21" spans="1:7" x14ac:dyDescent="0.3">
      <c r="A21" s="1" t="s">
        <v>214</v>
      </c>
      <c r="B21" t="str">
        <f t="shared" si="0"/>
        <v>IRLANDA</v>
      </c>
      <c r="D21" t="str">
        <v>INGLATERRA</v>
      </c>
      <c r="E21">
        <f t="shared" si="1"/>
        <v>2</v>
      </c>
      <c r="F21" s="48">
        <f t="shared" si="2"/>
        <v>0.21691973969631237</v>
      </c>
      <c r="G21" s="48"/>
    </row>
    <row r="22" spans="1:7" x14ac:dyDescent="0.3">
      <c r="A22" s="2" t="s">
        <v>214</v>
      </c>
      <c r="B22" t="str">
        <f t="shared" si="0"/>
        <v>IRLANDA</v>
      </c>
      <c r="D22" t="str">
        <v>ESTADOS UNIDOS</v>
      </c>
      <c r="E22">
        <f t="shared" si="1"/>
        <v>3</v>
      </c>
      <c r="F22" s="48">
        <f t="shared" si="2"/>
        <v>0.32537960954446854</v>
      </c>
      <c r="G22" s="48"/>
    </row>
    <row r="23" spans="1:7" x14ac:dyDescent="0.3">
      <c r="A23" s="1" t="s">
        <v>214</v>
      </c>
      <c r="B23" t="str">
        <f t="shared" si="0"/>
        <v>IRLANDA</v>
      </c>
      <c r="D23" t="str">
        <v>COREA</v>
      </c>
      <c r="E23">
        <f t="shared" si="1"/>
        <v>1</v>
      </c>
      <c r="F23" s="48">
        <f t="shared" si="2"/>
        <v>0.10845986984815618</v>
      </c>
      <c r="G23" s="48"/>
    </row>
    <row r="24" spans="1:7" x14ac:dyDescent="0.3">
      <c r="A24" s="2" t="s">
        <v>214</v>
      </c>
      <c r="B24" t="str">
        <f t="shared" si="0"/>
        <v>IRLANDA</v>
      </c>
      <c r="D24" t="str">
        <v>INDIA</v>
      </c>
      <c r="E24">
        <f t="shared" si="1"/>
        <v>8</v>
      </c>
      <c r="F24" s="48">
        <f t="shared" si="2"/>
        <v>0.86767895878524948</v>
      </c>
      <c r="G24" s="48"/>
    </row>
    <row r="25" spans="1:7" x14ac:dyDescent="0.3">
      <c r="A25" s="1" t="s">
        <v>214</v>
      </c>
      <c r="B25" t="str">
        <f t="shared" si="0"/>
        <v>IRLANDA</v>
      </c>
      <c r="D25" t="str">
        <v>BRASIL</v>
      </c>
      <c r="E25">
        <f t="shared" si="1"/>
        <v>1</v>
      </c>
      <c r="F25" s="48">
        <f t="shared" si="2"/>
        <v>0.10845986984815618</v>
      </c>
      <c r="G25" s="48"/>
    </row>
    <row r="26" spans="1:7" x14ac:dyDescent="0.3">
      <c r="A26" s="2" t="s">
        <v>214</v>
      </c>
      <c r="B26" t="str">
        <f t="shared" si="0"/>
        <v>IRLANDA</v>
      </c>
      <c r="D26" t="str">
        <v>CANADA</v>
      </c>
      <c r="E26">
        <f t="shared" si="1"/>
        <v>6</v>
      </c>
      <c r="F26" s="48">
        <f t="shared" si="2"/>
        <v>0.65075921908893708</v>
      </c>
      <c r="G26" s="48"/>
    </row>
    <row r="27" spans="1:7" x14ac:dyDescent="0.3">
      <c r="A27" s="1" t="s">
        <v>214</v>
      </c>
      <c r="B27" t="str">
        <f t="shared" si="0"/>
        <v>IRLANDA</v>
      </c>
      <c r="D27" t="str">
        <v>TAILANDIA</v>
      </c>
      <c r="E27">
        <f t="shared" si="1"/>
        <v>1</v>
      </c>
      <c r="F27" s="48">
        <f t="shared" si="2"/>
        <v>0.10845986984815618</v>
      </c>
      <c r="G27" s="48"/>
    </row>
    <row r="28" spans="1:7" x14ac:dyDescent="0.3">
      <c r="A28" s="2" t="s">
        <v>214</v>
      </c>
      <c r="B28" t="str">
        <f t="shared" si="0"/>
        <v>IRLANDA</v>
      </c>
      <c r="D28" t="str">
        <v>BELGICA</v>
      </c>
      <c r="E28">
        <f t="shared" si="1"/>
        <v>1</v>
      </c>
      <c r="F28" s="48">
        <f t="shared" si="2"/>
        <v>0.10845986984815618</v>
      </c>
      <c r="G28" s="48"/>
    </row>
    <row r="29" spans="1:7" x14ac:dyDescent="0.3">
      <c r="A29" s="1" t="s">
        <v>214</v>
      </c>
      <c r="B29" t="str">
        <f t="shared" si="0"/>
        <v>IRLANDA</v>
      </c>
      <c r="D29" t="str">
        <v>TRANSNACIONAL</v>
      </c>
      <c r="E29">
        <f t="shared" si="1"/>
        <v>14</v>
      </c>
      <c r="F29" s="48">
        <f t="shared" si="2"/>
        <v>1.5184381778741864</v>
      </c>
      <c r="G29" s="48">
        <f>SUM(F2:F29)</f>
        <v>16.485900216919735</v>
      </c>
    </row>
    <row r="30" spans="1:7" x14ac:dyDescent="0.3">
      <c r="A30" s="2" t="s">
        <v>214</v>
      </c>
      <c r="B30" t="str">
        <f t="shared" si="0"/>
        <v>IRLANDA</v>
      </c>
      <c r="E30">
        <f>SUM(E1:E29)</f>
        <v>922</v>
      </c>
      <c r="F30">
        <f>SUM(F1:F29)</f>
        <v>100.00000000000007</v>
      </c>
    </row>
    <row r="31" spans="1:7" x14ac:dyDescent="0.3">
      <c r="A31" s="1" t="s">
        <v>214</v>
      </c>
      <c r="B31" t="str">
        <f t="shared" si="0"/>
        <v>IRLANDA</v>
      </c>
    </row>
    <row r="32" spans="1:7" x14ac:dyDescent="0.3">
      <c r="A32" s="2" t="s">
        <v>214</v>
      </c>
      <c r="B32" t="str">
        <f t="shared" si="0"/>
        <v>IRLANDA</v>
      </c>
    </row>
    <row r="33" spans="1:2" x14ac:dyDescent="0.3">
      <c r="A33" s="1" t="s">
        <v>3011</v>
      </c>
      <c r="B33" t="str">
        <f t="shared" si="0"/>
        <v>PARAGUAY</v>
      </c>
    </row>
    <row r="34" spans="1:2" x14ac:dyDescent="0.3">
      <c r="A34" s="2" t="s">
        <v>3246</v>
      </c>
      <c r="B34" t="str">
        <f t="shared" si="0"/>
        <v>NACIONAL</v>
      </c>
    </row>
    <row r="35" spans="1:2" x14ac:dyDescent="0.3">
      <c r="A35" s="1" t="s">
        <v>3246</v>
      </c>
      <c r="B35" t="str">
        <f t="shared" si="0"/>
        <v>NACIONAL</v>
      </c>
    </row>
    <row r="36" spans="1:2" x14ac:dyDescent="0.3">
      <c r="A36" s="2" t="s">
        <v>3023</v>
      </c>
      <c r="B36" t="str">
        <f t="shared" si="0"/>
        <v>COREA DEL SUR</v>
      </c>
    </row>
    <row r="37" spans="1:2" x14ac:dyDescent="0.3">
      <c r="A37" s="1" t="s">
        <v>3023</v>
      </c>
      <c r="B37" t="str">
        <f t="shared" si="0"/>
        <v>COREA DEL SUR</v>
      </c>
    </row>
    <row r="38" spans="1:2" x14ac:dyDescent="0.3">
      <c r="A38" s="2" t="s">
        <v>783</v>
      </c>
      <c r="B38" t="str">
        <f t="shared" si="0"/>
        <v>ALEMANIA</v>
      </c>
    </row>
    <row r="39" spans="1:2" x14ac:dyDescent="0.3">
      <c r="A39" s="1" t="s">
        <v>3040</v>
      </c>
      <c r="B39" t="str">
        <f t="shared" si="0"/>
        <v>NORUEGA</v>
      </c>
    </row>
    <row r="40" spans="1:2" x14ac:dyDescent="0.3">
      <c r="A40" s="2" t="s">
        <v>614</v>
      </c>
      <c r="B40" t="str">
        <f t="shared" si="0"/>
        <v>COLOMBIA</v>
      </c>
    </row>
    <row r="41" spans="1:2" x14ac:dyDescent="0.3">
      <c r="A41" s="1" t="s">
        <v>614</v>
      </c>
      <c r="B41" t="str">
        <f t="shared" si="0"/>
        <v>COLOMBIA</v>
      </c>
    </row>
    <row r="42" spans="1:2" x14ac:dyDescent="0.3">
      <c r="A42" s="2" t="s">
        <v>614</v>
      </c>
      <c r="B42" t="str">
        <f t="shared" si="0"/>
        <v>COLOMBIA</v>
      </c>
    </row>
    <row r="43" spans="1:2" x14ac:dyDescent="0.3">
      <c r="A43" s="1" t="s">
        <v>3246</v>
      </c>
      <c r="B43" t="str">
        <f t="shared" si="0"/>
        <v>NACIONAL</v>
      </c>
    </row>
    <row r="44" spans="1:2" x14ac:dyDescent="0.3">
      <c r="A44" s="2" t="s">
        <v>3060</v>
      </c>
      <c r="B44" t="str">
        <f t="shared" si="0"/>
        <v>EUA</v>
      </c>
    </row>
    <row r="45" spans="1:2" x14ac:dyDescent="0.3">
      <c r="A45" s="1" t="s">
        <v>3246</v>
      </c>
      <c r="B45" t="str">
        <f t="shared" si="0"/>
        <v>NACIONAL</v>
      </c>
    </row>
    <row r="46" spans="1:2" x14ac:dyDescent="0.3">
      <c r="A46" s="2" t="s">
        <v>3246</v>
      </c>
      <c r="B46" t="str">
        <f t="shared" si="0"/>
        <v>NACIONAL</v>
      </c>
    </row>
    <row r="47" spans="1:2" x14ac:dyDescent="0.3">
      <c r="A47" s="1" t="s">
        <v>701</v>
      </c>
      <c r="B47" t="str">
        <f t="shared" si="0"/>
        <v>FRANCIA</v>
      </c>
    </row>
    <row r="48" spans="1:2" x14ac:dyDescent="0.3">
      <c r="A48" s="2" t="s">
        <v>3246</v>
      </c>
      <c r="B48" t="str">
        <f t="shared" si="0"/>
        <v>NACIONAL</v>
      </c>
    </row>
    <row r="49" spans="1:2" x14ac:dyDescent="0.3">
      <c r="A49" s="1" t="s">
        <v>3246</v>
      </c>
      <c r="B49" t="str">
        <f t="shared" si="0"/>
        <v>NACIONAL</v>
      </c>
    </row>
    <row r="50" spans="1:2" x14ac:dyDescent="0.3">
      <c r="A50" s="2" t="s">
        <v>3246</v>
      </c>
      <c r="B50" t="str">
        <f t="shared" si="0"/>
        <v>NACIONAL</v>
      </c>
    </row>
    <row r="51" spans="1:2" x14ac:dyDescent="0.3">
      <c r="A51" s="1" t="s">
        <v>3246</v>
      </c>
      <c r="B51" t="str">
        <f t="shared" si="0"/>
        <v>NACIONAL</v>
      </c>
    </row>
    <row r="52" spans="1:2" x14ac:dyDescent="0.3">
      <c r="A52" s="2" t="s">
        <v>3246</v>
      </c>
      <c r="B52" t="str">
        <f t="shared" si="0"/>
        <v>NACIONAL</v>
      </c>
    </row>
    <row r="53" spans="1:2" x14ac:dyDescent="0.3">
      <c r="A53" s="1" t="s">
        <v>408</v>
      </c>
      <c r="B53" t="str">
        <f t="shared" si="0"/>
        <v>ARGENTINA</v>
      </c>
    </row>
    <row r="54" spans="1:2" x14ac:dyDescent="0.3">
      <c r="A54" s="2" t="s">
        <v>3246</v>
      </c>
      <c r="B54" t="str">
        <f t="shared" si="0"/>
        <v>NACIONAL</v>
      </c>
    </row>
    <row r="55" spans="1:2" x14ac:dyDescent="0.3">
      <c r="A55" s="1" t="s">
        <v>3246</v>
      </c>
      <c r="B55" t="str">
        <f t="shared" si="0"/>
        <v>NACIONAL</v>
      </c>
    </row>
    <row r="56" spans="1:2" x14ac:dyDescent="0.3">
      <c r="A56" s="2" t="s">
        <v>3246</v>
      </c>
      <c r="B56" t="str">
        <f t="shared" si="0"/>
        <v>NACIONAL</v>
      </c>
    </row>
    <row r="57" spans="1:2" x14ac:dyDescent="0.3">
      <c r="A57" s="1" t="s">
        <v>3246</v>
      </c>
      <c r="B57" t="str">
        <f t="shared" si="0"/>
        <v>NACIONAL</v>
      </c>
    </row>
    <row r="58" spans="1:2" x14ac:dyDescent="0.3">
      <c r="A58" s="2" t="s">
        <v>3246</v>
      </c>
      <c r="B58" t="str">
        <f t="shared" si="0"/>
        <v>NACIONAL</v>
      </c>
    </row>
    <row r="59" spans="1:2" x14ac:dyDescent="0.3">
      <c r="A59" s="1" t="s">
        <v>3246</v>
      </c>
      <c r="B59" t="str">
        <f t="shared" si="0"/>
        <v>NACIONAL</v>
      </c>
    </row>
    <row r="60" spans="1:2" x14ac:dyDescent="0.3">
      <c r="A60" s="2" t="s">
        <v>3246</v>
      </c>
      <c r="B60" t="str">
        <f t="shared" si="0"/>
        <v>NACIONAL</v>
      </c>
    </row>
    <row r="61" spans="1:2" x14ac:dyDescent="0.3">
      <c r="A61" s="2" t="s">
        <v>3246</v>
      </c>
      <c r="B61" t="str">
        <f t="shared" si="0"/>
        <v>NACIONAL</v>
      </c>
    </row>
    <row r="62" spans="1:2" x14ac:dyDescent="0.3">
      <c r="A62" s="2" t="s">
        <v>3246</v>
      </c>
      <c r="B62" t="str">
        <f t="shared" si="0"/>
        <v>NACIONAL</v>
      </c>
    </row>
    <row r="63" spans="1:2" x14ac:dyDescent="0.3">
      <c r="A63" s="2" t="s">
        <v>3246</v>
      </c>
      <c r="B63" t="str">
        <f t="shared" si="0"/>
        <v>NACIONAL</v>
      </c>
    </row>
    <row r="64" spans="1:2" x14ac:dyDescent="0.3">
      <c r="A64" s="2" t="s">
        <v>3246</v>
      </c>
      <c r="B64" t="str">
        <f t="shared" si="0"/>
        <v>NACIONAL</v>
      </c>
    </row>
    <row r="65" spans="1:2" x14ac:dyDescent="0.3">
      <c r="A65" s="2" t="s">
        <v>3246</v>
      </c>
      <c r="B65" t="str">
        <f t="shared" si="0"/>
        <v>NACIONAL</v>
      </c>
    </row>
    <row r="66" spans="1:2" x14ac:dyDescent="0.3">
      <c r="A66" s="2" t="s">
        <v>3246</v>
      </c>
      <c r="B66" t="str">
        <f t="shared" ref="B66:B129" si="3">UPPER(A66)</f>
        <v>NACIONAL</v>
      </c>
    </row>
    <row r="67" spans="1:2" x14ac:dyDescent="0.3">
      <c r="A67" s="2" t="s">
        <v>3246</v>
      </c>
      <c r="B67" t="str">
        <f t="shared" si="3"/>
        <v>NACIONAL</v>
      </c>
    </row>
    <row r="68" spans="1:2" x14ac:dyDescent="0.3">
      <c r="A68" s="2" t="s">
        <v>3246</v>
      </c>
      <c r="B68" t="str">
        <f t="shared" si="3"/>
        <v>NACIONAL</v>
      </c>
    </row>
    <row r="69" spans="1:2" x14ac:dyDescent="0.3">
      <c r="A69" s="2" t="s">
        <v>3246</v>
      </c>
      <c r="B69" t="str">
        <f t="shared" si="3"/>
        <v>NACIONAL</v>
      </c>
    </row>
    <row r="70" spans="1:2" x14ac:dyDescent="0.3">
      <c r="A70" s="2" t="s">
        <v>3246</v>
      </c>
      <c r="B70" t="str">
        <f t="shared" si="3"/>
        <v>NACIONAL</v>
      </c>
    </row>
    <row r="71" spans="1:2" x14ac:dyDescent="0.3">
      <c r="A71" s="2" t="s">
        <v>3246</v>
      </c>
      <c r="B71" t="str">
        <f t="shared" si="3"/>
        <v>NACIONAL</v>
      </c>
    </row>
    <row r="72" spans="1:2" x14ac:dyDescent="0.3">
      <c r="A72" s="2" t="s">
        <v>3246</v>
      </c>
      <c r="B72" t="str">
        <f t="shared" si="3"/>
        <v>NACIONAL</v>
      </c>
    </row>
    <row r="73" spans="1:2" x14ac:dyDescent="0.3">
      <c r="A73" s="2" t="s">
        <v>3246</v>
      </c>
      <c r="B73" t="str">
        <f t="shared" si="3"/>
        <v>NACIONAL</v>
      </c>
    </row>
    <row r="74" spans="1:2" x14ac:dyDescent="0.3">
      <c r="A74" s="2" t="s">
        <v>3246</v>
      </c>
      <c r="B74" t="str">
        <f t="shared" si="3"/>
        <v>NACIONAL</v>
      </c>
    </row>
    <row r="75" spans="1:2" x14ac:dyDescent="0.3">
      <c r="A75" s="2" t="s">
        <v>3246</v>
      </c>
      <c r="B75" t="str">
        <f t="shared" si="3"/>
        <v>NACIONAL</v>
      </c>
    </row>
    <row r="76" spans="1:2" x14ac:dyDescent="0.3">
      <c r="A76" s="2" t="s">
        <v>3246</v>
      </c>
      <c r="B76" t="str">
        <f t="shared" si="3"/>
        <v>NACIONAL</v>
      </c>
    </row>
    <row r="77" spans="1:2" x14ac:dyDescent="0.3">
      <c r="A77" s="2" t="s">
        <v>3246</v>
      </c>
      <c r="B77" t="str">
        <f t="shared" si="3"/>
        <v>NACIONAL</v>
      </c>
    </row>
    <row r="78" spans="1:2" x14ac:dyDescent="0.3">
      <c r="A78" s="2" t="s">
        <v>3246</v>
      </c>
      <c r="B78" t="str">
        <f t="shared" si="3"/>
        <v>NACIONAL</v>
      </c>
    </row>
    <row r="79" spans="1:2" x14ac:dyDescent="0.3">
      <c r="A79" s="2" t="s">
        <v>3246</v>
      </c>
      <c r="B79" t="str">
        <f t="shared" si="3"/>
        <v>NACIONAL</v>
      </c>
    </row>
    <row r="80" spans="1:2" x14ac:dyDescent="0.3">
      <c r="A80" s="2" t="s">
        <v>3246</v>
      </c>
      <c r="B80" t="str">
        <f t="shared" si="3"/>
        <v>NACIONAL</v>
      </c>
    </row>
    <row r="81" spans="1:2" x14ac:dyDescent="0.3">
      <c r="A81" s="2" t="s">
        <v>3246</v>
      </c>
      <c r="B81" t="str">
        <f t="shared" si="3"/>
        <v>NACIONAL</v>
      </c>
    </row>
    <row r="82" spans="1:2" x14ac:dyDescent="0.3">
      <c r="A82" s="2" t="s">
        <v>3246</v>
      </c>
      <c r="B82" t="str">
        <f t="shared" si="3"/>
        <v>NACIONAL</v>
      </c>
    </row>
    <row r="83" spans="1:2" x14ac:dyDescent="0.3">
      <c r="A83" s="2" t="s">
        <v>3246</v>
      </c>
      <c r="B83" t="str">
        <f t="shared" si="3"/>
        <v>NACIONAL</v>
      </c>
    </row>
    <row r="84" spans="1:2" x14ac:dyDescent="0.3">
      <c r="A84" s="2" t="s">
        <v>3246</v>
      </c>
      <c r="B84" t="str">
        <f t="shared" si="3"/>
        <v>NACIONAL</v>
      </c>
    </row>
    <row r="85" spans="1:2" x14ac:dyDescent="0.3">
      <c r="A85" s="1" t="s">
        <v>3246</v>
      </c>
      <c r="B85" t="str">
        <f t="shared" si="3"/>
        <v>NACIONAL</v>
      </c>
    </row>
    <row r="86" spans="1:2" x14ac:dyDescent="0.3">
      <c r="A86" s="2" t="s">
        <v>3246</v>
      </c>
      <c r="B86" t="str">
        <f t="shared" si="3"/>
        <v>NACIONAL</v>
      </c>
    </row>
    <row r="87" spans="1:2" x14ac:dyDescent="0.3">
      <c r="A87" s="1" t="s">
        <v>3246</v>
      </c>
      <c r="B87" t="str">
        <f t="shared" si="3"/>
        <v>NACIONAL</v>
      </c>
    </row>
    <row r="88" spans="1:2" x14ac:dyDescent="0.3">
      <c r="A88" s="2" t="s">
        <v>3246</v>
      </c>
      <c r="B88" t="str">
        <f t="shared" si="3"/>
        <v>NACIONAL</v>
      </c>
    </row>
    <row r="89" spans="1:2" x14ac:dyDescent="0.3">
      <c r="A89" s="2" t="s">
        <v>3246</v>
      </c>
      <c r="B89" t="str">
        <f t="shared" si="3"/>
        <v>NACIONAL</v>
      </c>
    </row>
    <row r="90" spans="1:2" x14ac:dyDescent="0.3">
      <c r="A90" s="2" t="s">
        <v>3246</v>
      </c>
      <c r="B90" t="str">
        <f t="shared" si="3"/>
        <v>NACIONAL</v>
      </c>
    </row>
    <row r="91" spans="1:2" x14ac:dyDescent="0.3">
      <c r="A91" s="2" t="s">
        <v>3246</v>
      </c>
      <c r="B91" t="str">
        <f t="shared" si="3"/>
        <v>NACIONAL</v>
      </c>
    </row>
    <row r="92" spans="1:2" x14ac:dyDescent="0.3">
      <c r="A92" s="2" t="s">
        <v>3246</v>
      </c>
      <c r="B92" t="str">
        <f t="shared" si="3"/>
        <v>NACIONAL</v>
      </c>
    </row>
    <row r="93" spans="1:2" x14ac:dyDescent="0.3">
      <c r="A93" s="2" t="s">
        <v>3246</v>
      </c>
      <c r="B93" t="str">
        <f t="shared" si="3"/>
        <v>NACIONAL</v>
      </c>
    </row>
    <row r="94" spans="1:2" x14ac:dyDescent="0.3">
      <c r="A94" s="2" t="s">
        <v>3246</v>
      </c>
      <c r="B94" t="str">
        <f t="shared" si="3"/>
        <v>NACIONAL</v>
      </c>
    </row>
    <row r="95" spans="1:2" x14ac:dyDescent="0.3">
      <c r="A95" s="2" t="s">
        <v>3246</v>
      </c>
      <c r="B95" t="str">
        <f t="shared" si="3"/>
        <v>NACIONAL</v>
      </c>
    </row>
    <row r="96" spans="1:2" x14ac:dyDescent="0.3">
      <c r="A96" s="2" t="s">
        <v>1105</v>
      </c>
      <c r="B96" t="str">
        <f t="shared" si="3"/>
        <v>TURQUÍA</v>
      </c>
    </row>
    <row r="97" spans="1:2" x14ac:dyDescent="0.3">
      <c r="A97" s="1" t="s">
        <v>1105</v>
      </c>
      <c r="B97" t="str">
        <f t="shared" si="3"/>
        <v>TURQUÍA</v>
      </c>
    </row>
    <row r="98" spans="1:2" x14ac:dyDescent="0.3">
      <c r="A98" s="2" t="s">
        <v>3246</v>
      </c>
      <c r="B98" t="str">
        <f t="shared" si="3"/>
        <v>NACIONAL</v>
      </c>
    </row>
    <row r="99" spans="1:2" x14ac:dyDescent="0.3">
      <c r="A99" s="1" t="s">
        <v>3246</v>
      </c>
      <c r="B99" t="str">
        <f t="shared" si="3"/>
        <v>NACIONAL</v>
      </c>
    </row>
    <row r="100" spans="1:2" x14ac:dyDescent="0.3">
      <c r="A100" s="2" t="s">
        <v>3246</v>
      </c>
      <c r="B100" t="str">
        <f t="shared" si="3"/>
        <v>NACIONAL</v>
      </c>
    </row>
    <row r="101" spans="1:2" x14ac:dyDescent="0.3">
      <c r="A101" s="1" t="s">
        <v>3246</v>
      </c>
      <c r="B101" t="str">
        <f t="shared" si="3"/>
        <v>NACIONAL</v>
      </c>
    </row>
    <row r="102" spans="1:2" x14ac:dyDescent="0.3">
      <c r="A102" s="2" t="s">
        <v>3246</v>
      </c>
      <c r="B102" t="str">
        <f t="shared" si="3"/>
        <v>NACIONAL</v>
      </c>
    </row>
    <row r="103" spans="1:2" x14ac:dyDescent="0.3">
      <c r="A103" s="1" t="s">
        <v>3246</v>
      </c>
      <c r="B103" t="str">
        <f t="shared" si="3"/>
        <v>NACIONAL</v>
      </c>
    </row>
    <row r="104" spans="1:2" x14ac:dyDescent="0.3">
      <c r="A104" s="2" t="s">
        <v>3246</v>
      </c>
      <c r="B104" t="str">
        <f t="shared" si="3"/>
        <v>NACIONAL</v>
      </c>
    </row>
    <row r="105" spans="1:2" x14ac:dyDescent="0.3">
      <c r="A105" s="1" t="s">
        <v>3246</v>
      </c>
      <c r="B105" t="str">
        <f t="shared" si="3"/>
        <v>NACIONAL</v>
      </c>
    </row>
    <row r="106" spans="1:2" x14ac:dyDescent="0.3">
      <c r="A106" s="2" t="s">
        <v>3246</v>
      </c>
      <c r="B106" t="str">
        <f t="shared" si="3"/>
        <v>NACIONAL</v>
      </c>
    </row>
    <row r="107" spans="1:2" x14ac:dyDescent="0.3">
      <c r="A107" s="1" t="s">
        <v>3246</v>
      </c>
      <c r="B107" t="str">
        <f t="shared" si="3"/>
        <v>NACIONAL</v>
      </c>
    </row>
    <row r="108" spans="1:2" x14ac:dyDescent="0.3">
      <c r="A108" s="2" t="s">
        <v>3246</v>
      </c>
      <c r="B108" t="str">
        <f t="shared" si="3"/>
        <v>NACIONAL</v>
      </c>
    </row>
    <row r="109" spans="1:2" x14ac:dyDescent="0.3">
      <c r="A109" s="1" t="s">
        <v>3246</v>
      </c>
      <c r="B109" t="str">
        <f t="shared" si="3"/>
        <v>NACIONAL</v>
      </c>
    </row>
    <row r="110" spans="1:2" x14ac:dyDescent="0.3">
      <c r="A110" s="2" t="s">
        <v>3246</v>
      </c>
      <c r="B110" t="str">
        <f t="shared" si="3"/>
        <v>NACIONAL</v>
      </c>
    </row>
    <row r="111" spans="1:2" x14ac:dyDescent="0.3">
      <c r="A111" s="1" t="s">
        <v>3246</v>
      </c>
      <c r="B111" t="str">
        <f t="shared" si="3"/>
        <v>NACIONAL</v>
      </c>
    </row>
    <row r="112" spans="1:2" x14ac:dyDescent="0.3">
      <c r="A112" s="2" t="s">
        <v>3246</v>
      </c>
      <c r="B112" t="str">
        <f t="shared" si="3"/>
        <v>NACIONAL</v>
      </c>
    </row>
    <row r="113" spans="1:2" x14ac:dyDescent="0.3">
      <c r="A113" s="1" t="s">
        <v>3246</v>
      </c>
      <c r="B113" t="str">
        <f t="shared" si="3"/>
        <v>NACIONAL</v>
      </c>
    </row>
    <row r="114" spans="1:2" x14ac:dyDescent="0.3">
      <c r="A114" s="2" t="s">
        <v>3246</v>
      </c>
      <c r="B114" t="str">
        <f t="shared" si="3"/>
        <v>NACIONAL</v>
      </c>
    </row>
    <row r="115" spans="1:2" x14ac:dyDescent="0.3">
      <c r="A115" s="1" t="s">
        <v>3246</v>
      </c>
      <c r="B115" t="str">
        <f t="shared" si="3"/>
        <v>NACIONAL</v>
      </c>
    </row>
    <row r="116" spans="1:2" x14ac:dyDescent="0.3">
      <c r="A116" s="2" t="s">
        <v>3246</v>
      </c>
      <c r="B116" t="str">
        <f t="shared" si="3"/>
        <v>NACIONAL</v>
      </c>
    </row>
    <row r="117" spans="1:2" x14ac:dyDescent="0.3">
      <c r="A117" s="1" t="s">
        <v>3246</v>
      </c>
      <c r="B117" t="str">
        <f t="shared" si="3"/>
        <v>NACIONAL</v>
      </c>
    </row>
    <row r="118" spans="1:2" x14ac:dyDescent="0.3">
      <c r="A118" s="2" t="s">
        <v>3246</v>
      </c>
      <c r="B118" t="str">
        <f t="shared" si="3"/>
        <v>NACIONAL</v>
      </c>
    </row>
    <row r="119" spans="1:2" x14ac:dyDescent="0.3">
      <c r="A119" s="1" t="s">
        <v>3246</v>
      </c>
      <c r="B119" t="str">
        <f t="shared" si="3"/>
        <v>NACIONAL</v>
      </c>
    </row>
    <row r="120" spans="1:2" x14ac:dyDescent="0.3">
      <c r="A120" s="2" t="s">
        <v>3246</v>
      </c>
      <c r="B120" t="str">
        <f t="shared" si="3"/>
        <v>NACIONAL</v>
      </c>
    </row>
    <row r="121" spans="1:2" x14ac:dyDescent="0.3">
      <c r="A121" s="1" t="s">
        <v>3246</v>
      </c>
      <c r="B121" t="str">
        <f t="shared" si="3"/>
        <v>NACIONAL</v>
      </c>
    </row>
    <row r="122" spans="1:2" x14ac:dyDescent="0.3">
      <c r="A122" s="2" t="s">
        <v>3246</v>
      </c>
      <c r="B122" t="str">
        <f t="shared" si="3"/>
        <v>NACIONAL</v>
      </c>
    </row>
    <row r="123" spans="1:2" x14ac:dyDescent="0.3">
      <c r="A123" s="1" t="s">
        <v>3246</v>
      </c>
      <c r="B123" t="str">
        <f t="shared" si="3"/>
        <v>NACIONAL</v>
      </c>
    </row>
    <row r="124" spans="1:2" x14ac:dyDescent="0.3">
      <c r="A124" s="2" t="s">
        <v>3246</v>
      </c>
      <c r="B124" t="str">
        <f t="shared" si="3"/>
        <v>NACIONAL</v>
      </c>
    </row>
    <row r="125" spans="1:2" x14ac:dyDescent="0.3">
      <c r="A125" s="1" t="s">
        <v>3246</v>
      </c>
      <c r="B125" t="str">
        <f t="shared" si="3"/>
        <v>NACIONAL</v>
      </c>
    </row>
    <row r="126" spans="1:2" x14ac:dyDescent="0.3">
      <c r="A126" s="2" t="s">
        <v>3246</v>
      </c>
      <c r="B126" t="str">
        <f t="shared" si="3"/>
        <v>NACIONAL</v>
      </c>
    </row>
    <row r="127" spans="1:2" x14ac:dyDescent="0.3">
      <c r="A127" s="1" t="s">
        <v>3246</v>
      </c>
      <c r="B127" t="str">
        <f t="shared" si="3"/>
        <v>NACIONAL</v>
      </c>
    </row>
    <row r="128" spans="1:2" x14ac:dyDescent="0.3">
      <c r="A128" s="2" t="s">
        <v>3246</v>
      </c>
      <c r="B128" t="str">
        <f t="shared" si="3"/>
        <v>NACIONAL</v>
      </c>
    </row>
    <row r="129" spans="1:2" x14ac:dyDescent="0.3">
      <c r="A129" s="1" t="s">
        <v>3246</v>
      </c>
      <c r="B129" t="str">
        <f t="shared" si="3"/>
        <v>NACIONAL</v>
      </c>
    </row>
    <row r="130" spans="1:2" x14ac:dyDescent="0.3">
      <c r="A130" s="2" t="s">
        <v>3246</v>
      </c>
      <c r="B130" t="str">
        <f t="shared" ref="B130:B193" si="4">UPPER(A130)</f>
        <v>NACIONAL</v>
      </c>
    </row>
    <row r="131" spans="1:2" x14ac:dyDescent="0.3">
      <c r="A131" s="1" t="s">
        <v>3246</v>
      </c>
      <c r="B131" t="str">
        <f t="shared" si="4"/>
        <v>NACIONAL</v>
      </c>
    </row>
    <row r="132" spans="1:2" x14ac:dyDescent="0.3">
      <c r="A132" s="2" t="s">
        <v>3246</v>
      </c>
      <c r="B132" t="str">
        <f t="shared" si="4"/>
        <v>NACIONAL</v>
      </c>
    </row>
    <row r="133" spans="1:2" x14ac:dyDescent="0.3">
      <c r="A133" s="1" t="s">
        <v>3246</v>
      </c>
      <c r="B133" t="str">
        <f t="shared" si="4"/>
        <v>NACIONAL</v>
      </c>
    </row>
    <row r="134" spans="1:2" x14ac:dyDescent="0.3">
      <c r="A134" s="2" t="s">
        <v>3246</v>
      </c>
      <c r="B134" t="str">
        <f t="shared" si="4"/>
        <v>NACIONAL</v>
      </c>
    </row>
    <row r="135" spans="1:2" x14ac:dyDescent="0.3">
      <c r="A135" s="1" t="s">
        <v>3246</v>
      </c>
      <c r="B135" t="str">
        <f t="shared" si="4"/>
        <v>NACIONAL</v>
      </c>
    </row>
    <row r="136" spans="1:2" x14ac:dyDescent="0.3">
      <c r="A136" s="2" t="s">
        <v>3246</v>
      </c>
      <c r="B136" t="str">
        <f t="shared" si="4"/>
        <v>NACIONAL</v>
      </c>
    </row>
    <row r="137" spans="1:2" x14ac:dyDescent="0.3">
      <c r="A137" s="1" t="s">
        <v>3246</v>
      </c>
      <c r="B137" t="str">
        <f t="shared" si="4"/>
        <v>NACIONAL</v>
      </c>
    </row>
    <row r="138" spans="1:2" x14ac:dyDescent="0.3">
      <c r="A138" s="2" t="s">
        <v>3246</v>
      </c>
      <c r="B138" t="str">
        <f t="shared" si="4"/>
        <v>NACIONAL</v>
      </c>
    </row>
    <row r="139" spans="1:2" x14ac:dyDescent="0.3">
      <c r="A139" s="1" t="s">
        <v>3246</v>
      </c>
      <c r="B139" t="str">
        <f t="shared" si="4"/>
        <v>NACIONAL</v>
      </c>
    </row>
    <row r="140" spans="1:2" x14ac:dyDescent="0.3">
      <c r="A140" s="2" t="s">
        <v>614</v>
      </c>
      <c r="B140" t="str">
        <f t="shared" si="4"/>
        <v>COLOMBIA</v>
      </c>
    </row>
    <row r="141" spans="1:2" x14ac:dyDescent="0.3">
      <c r="A141" s="1" t="s">
        <v>3246</v>
      </c>
      <c r="B141" t="str">
        <f t="shared" si="4"/>
        <v>NACIONAL</v>
      </c>
    </row>
    <row r="142" spans="1:2" x14ac:dyDescent="0.3">
      <c r="A142" s="2" t="s">
        <v>3246</v>
      </c>
      <c r="B142" t="str">
        <f t="shared" si="4"/>
        <v>NACIONAL</v>
      </c>
    </row>
    <row r="143" spans="1:2" x14ac:dyDescent="0.3">
      <c r="A143" s="1" t="s">
        <v>3246</v>
      </c>
      <c r="B143" t="str">
        <f t="shared" si="4"/>
        <v>NACIONAL</v>
      </c>
    </row>
    <row r="144" spans="1:2" x14ac:dyDescent="0.3">
      <c r="A144" s="2" t="s">
        <v>3246</v>
      </c>
      <c r="B144" t="str">
        <f t="shared" si="4"/>
        <v>NACIONAL</v>
      </c>
    </row>
    <row r="145" spans="1:2" x14ac:dyDescent="0.3">
      <c r="A145" s="1" t="s">
        <v>3246</v>
      </c>
      <c r="B145" t="str">
        <f t="shared" si="4"/>
        <v>NACIONAL</v>
      </c>
    </row>
    <row r="146" spans="1:2" x14ac:dyDescent="0.3">
      <c r="A146" s="2" t="s">
        <v>3246</v>
      </c>
      <c r="B146" t="str">
        <f t="shared" si="4"/>
        <v>NACIONAL</v>
      </c>
    </row>
    <row r="147" spans="1:2" x14ac:dyDescent="0.3">
      <c r="A147" s="1" t="s">
        <v>783</v>
      </c>
      <c r="B147" t="str">
        <f t="shared" si="4"/>
        <v>ALEMANIA</v>
      </c>
    </row>
    <row r="148" spans="1:2" x14ac:dyDescent="0.3">
      <c r="A148" s="2" t="s">
        <v>2769</v>
      </c>
      <c r="B148" t="str">
        <f t="shared" si="4"/>
        <v>BÉLGICA</v>
      </c>
    </row>
    <row r="149" spans="1:2" x14ac:dyDescent="0.3">
      <c r="A149" s="1" t="s">
        <v>3246</v>
      </c>
      <c r="B149" t="str">
        <f t="shared" si="4"/>
        <v>NACIONAL</v>
      </c>
    </row>
    <row r="150" spans="1:2" x14ac:dyDescent="0.3">
      <c r="A150" s="2" t="s">
        <v>3246</v>
      </c>
      <c r="B150" t="str">
        <f t="shared" si="4"/>
        <v>NACIONAL</v>
      </c>
    </row>
    <row r="151" spans="1:2" x14ac:dyDescent="0.3">
      <c r="A151" s="1" t="s">
        <v>3246</v>
      </c>
      <c r="B151" t="str">
        <f t="shared" si="4"/>
        <v>NACIONAL</v>
      </c>
    </row>
    <row r="152" spans="1:2" x14ac:dyDescent="0.3">
      <c r="A152" s="2" t="s">
        <v>3246</v>
      </c>
      <c r="B152" t="str">
        <f t="shared" si="4"/>
        <v>NACIONAL</v>
      </c>
    </row>
    <row r="153" spans="1:2" x14ac:dyDescent="0.3">
      <c r="A153" s="1" t="s">
        <v>3246</v>
      </c>
      <c r="B153" t="str">
        <f t="shared" si="4"/>
        <v>NACIONAL</v>
      </c>
    </row>
    <row r="154" spans="1:2" x14ac:dyDescent="0.3">
      <c r="A154" s="2" t="s">
        <v>3246</v>
      </c>
      <c r="B154" t="str">
        <f t="shared" si="4"/>
        <v>NACIONAL</v>
      </c>
    </row>
    <row r="155" spans="1:2" x14ac:dyDescent="0.3">
      <c r="A155" s="1" t="s">
        <v>783</v>
      </c>
      <c r="B155" t="str">
        <f t="shared" si="4"/>
        <v>ALEMANIA</v>
      </c>
    </row>
    <row r="156" spans="1:2" x14ac:dyDescent="0.3">
      <c r="A156" s="2" t="s">
        <v>3246</v>
      </c>
      <c r="B156" t="str">
        <f t="shared" si="4"/>
        <v>NACIONAL</v>
      </c>
    </row>
    <row r="157" spans="1:2" x14ac:dyDescent="0.3">
      <c r="A157" s="1" t="s">
        <v>3246</v>
      </c>
      <c r="B157" t="str">
        <f t="shared" si="4"/>
        <v>NACIONAL</v>
      </c>
    </row>
    <row r="158" spans="1:2" x14ac:dyDescent="0.3">
      <c r="A158" s="2" t="s">
        <v>3246</v>
      </c>
      <c r="B158" t="str">
        <f t="shared" si="4"/>
        <v>NACIONAL</v>
      </c>
    </row>
    <row r="159" spans="1:2" x14ac:dyDescent="0.3">
      <c r="A159" s="1" t="s">
        <v>3246</v>
      </c>
      <c r="B159" t="str">
        <f t="shared" si="4"/>
        <v>NACIONAL</v>
      </c>
    </row>
    <row r="160" spans="1:2" x14ac:dyDescent="0.3">
      <c r="A160" s="2" t="s">
        <v>3246</v>
      </c>
      <c r="B160" t="str">
        <f t="shared" si="4"/>
        <v>NACIONAL</v>
      </c>
    </row>
    <row r="161" spans="1:2" x14ac:dyDescent="0.3">
      <c r="A161" s="1" t="s">
        <v>3246</v>
      </c>
      <c r="B161" t="str">
        <f t="shared" si="4"/>
        <v>NACIONAL</v>
      </c>
    </row>
    <row r="162" spans="1:2" x14ac:dyDescent="0.3">
      <c r="A162" s="2" t="s">
        <v>3246</v>
      </c>
      <c r="B162" t="str">
        <f t="shared" si="4"/>
        <v>NACIONAL</v>
      </c>
    </row>
    <row r="163" spans="1:2" x14ac:dyDescent="0.3">
      <c r="A163" s="1" t="s">
        <v>3246</v>
      </c>
      <c r="B163" t="str">
        <f t="shared" si="4"/>
        <v>NACIONAL</v>
      </c>
    </row>
    <row r="164" spans="1:2" x14ac:dyDescent="0.3">
      <c r="A164" s="2" t="s">
        <v>3246</v>
      </c>
      <c r="B164" t="str">
        <f t="shared" si="4"/>
        <v>NACIONAL</v>
      </c>
    </row>
    <row r="165" spans="1:2" x14ac:dyDescent="0.3">
      <c r="A165" s="1" t="s">
        <v>3246</v>
      </c>
      <c r="B165" t="str">
        <f t="shared" si="4"/>
        <v>NACIONAL</v>
      </c>
    </row>
    <row r="166" spans="1:2" x14ac:dyDescent="0.3">
      <c r="A166" s="2" t="s">
        <v>6609</v>
      </c>
      <c r="B166" t="str">
        <f t="shared" si="4"/>
        <v>JAPÓN</v>
      </c>
    </row>
    <row r="167" spans="1:2" x14ac:dyDescent="0.3">
      <c r="A167" s="1" t="s">
        <v>3246</v>
      </c>
      <c r="B167" t="str">
        <f t="shared" si="4"/>
        <v>NACIONAL</v>
      </c>
    </row>
    <row r="168" spans="1:2" x14ac:dyDescent="0.3">
      <c r="A168" s="2" t="s">
        <v>3246</v>
      </c>
      <c r="B168" t="str">
        <f t="shared" si="4"/>
        <v>NACIONAL</v>
      </c>
    </row>
    <row r="169" spans="1:2" x14ac:dyDescent="0.3">
      <c r="A169" s="1" t="s">
        <v>3246</v>
      </c>
      <c r="B169" t="str">
        <f t="shared" si="4"/>
        <v>NACIONAL</v>
      </c>
    </row>
    <row r="170" spans="1:2" x14ac:dyDescent="0.3">
      <c r="A170" s="2" t="s">
        <v>3246</v>
      </c>
      <c r="B170" t="str">
        <f t="shared" si="4"/>
        <v>NACIONAL</v>
      </c>
    </row>
    <row r="171" spans="1:2" x14ac:dyDescent="0.3">
      <c r="A171" s="1" t="s">
        <v>3246</v>
      </c>
      <c r="B171" t="str">
        <f t="shared" si="4"/>
        <v>NACIONAL</v>
      </c>
    </row>
    <row r="172" spans="1:2" x14ac:dyDescent="0.3">
      <c r="A172" s="2" t="s">
        <v>3246</v>
      </c>
      <c r="B172" t="str">
        <f t="shared" si="4"/>
        <v>NACIONAL</v>
      </c>
    </row>
    <row r="173" spans="1:2" x14ac:dyDescent="0.3">
      <c r="A173" s="1" t="s">
        <v>3246</v>
      </c>
      <c r="B173" t="str">
        <f t="shared" si="4"/>
        <v>NACIONAL</v>
      </c>
    </row>
    <row r="174" spans="1:2" x14ac:dyDescent="0.3">
      <c r="A174" s="2" t="s">
        <v>3246</v>
      </c>
      <c r="B174" t="str">
        <f t="shared" si="4"/>
        <v>NACIONAL</v>
      </c>
    </row>
    <row r="175" spans="1:2" x14ac:dyDescent="0.3">
      <c r="A175" s="1" t="s">
        <v>1293</v>
      </c>
      <c r="B175" t="str">
        <f t="shared" si="4"/>
        <v>PUERTO RICO</v>
      </c>
    </row>
    <row r="176" spans="1:2" x14ac:dyDescent="0.3">
      <c r="A176" s="2" t="s">
        <v>1293</v>
      </c>
      <c r="B176" t="str">
        <f t="shared" si="4"/>
        <v>PUERTO RICO</v>
      </c>
    </row>
    <row r="177" spans="1:2" x14ac:dyDescent="0.3">
      <c r="A177" s="1" t="s">
        <v>1293</v>
      </c>
      <c r="B177" t="str">
        <f t="shared" si="4"/>
        <v>PUERTO RICO</v>
      </c>
    </row>
    <row r="178" spans="1:2" x14ac:dyDescent="0.3">
      <c r="A178" s="2" t="s">
        <v>1293</v>
      </c>
      <c r="B178" t="str">
        <f t="shared" si="4"/>
        <v>PUERTO RICO</v>
      </c>
    </row>
    <row r="179" spans="1:2" x14ac:dyDescent="0.3">
      <c r="A179" s="1" t="s">
        <v>1293</v>
      </c>
      <c r="B179" t="str">
        <f t="shared" si="4"/>
        <v>PUERTO RICO</v>
      </c>
    </row>
    <row r="180" spans="1:2" x14ac:dyDescent="0.3">
      <c r="A180" s="2" t="s">
        <v>1293</v>
      </c>
      <c r="B180" t="str">
        <f t="shared" si="4"/>
        <v>PUERTO RICO</v>
      </c>
    </row>
    <row r="181" spans="1:2" x14ac:dyDescent="0.3">
      <c r="A181" s="1" t="s">
        <v>1293</v>
      </c>
      <c r="B181" t="str">
        <f t="shared" si="4"/>
        <v>PUERTO RICO</v>
      </c>
    </row>
    <row r="182" spans="1:2" x14ac:dyDescent="0.3">
      <c r="A182" s="2" t="s">
        <v>1293</v>
      </c>
      <c r="B182" t="str">
        <f t="shared" si="4"/>
        <v>PUERTO RICO</v>
      </c>
    </row>
    <row r="183" spans="1:2" x14ac:dyDescent="0.3">
      <c r="A183" s="1" t="s">
        <v>1293</v>
      </c>
      <c r="B183" t="str">
        <f t="shared" si="4"/>
        <v>PUERTO RICO</v>
      </c>
    </row>
    <row r="184" spans="1:2" x14ac:dyDescent="0.3">
      <c r="A184" s="2" t="s">
        <v>1293</v>
      </c>
      <c r="B184" t="str">
        <f t="shared" si="4"/>
        <v>PUERTO RICO</v>
      </c>
    </row>
    <row r="185" spans="1:2" x14ac:dyDescent="0.3">
      <c r="A185" s="1" t="s">
        <v>3246</v>
      </c>
      <c r="B185" t="str">
        <f t="shared" si="4"/>
        <v>NACIONAL</v>
      </c>
    </row>
    <row r="186" spans="1:2" x14ac:dyDescent="0.3">
      <c r="A186" s="2" t="s">
        <v>3246</v>
      </c>
      <c r="B186" t="str">
        <f t="shared" si="4"/>
        <v>NACIONAL</v>
      </c>
    </row>
    <row r="187" spans="1:2" x14ac:dyDescent="0.3">
      <c r="A187" s="1" t="s">
        <v>3246</v>
      </c>
      <c r="B187" t="str">
        <f t="shared" si="4"/>
        <v>NACIONAL</v>
      </c>
    </row>
    <row r="188" spans="1:2" x14ac:dyDescent="0.3">
      <c r="A188" s="2" t="s">
        <v>3246</v>
      </c>
      <c r="B188" t="str">
        <f t="shared" si="4"/>
        <v>NACIONAL</v>
      </c>
    </row>
    <row r="189" spans="1:2" x14ac:dyDescent="0.3">
      <c r="A189" s="1" t="s">
        <v>3246</v>
      </c>
      <c r="B189" t="str">
        <f t="shared" si="4"/>
        <v>NACIONAL</v>
      </c>
    </row>
    <row r="190" spans="1:2" x14ac:dyDescent="0.3">
      <c r="A190" s="2" t="s">
        <v>3246</v>
      </c>
      <c r="B190" t="str">
        <f t="shared" si="4"/>
        <v>NACIONAL</v>
      </c>
    </row>
    <row r="191" spans="1:2" x14ac:dyDescent="0.3">
      <c r="A191" s="1" t="s">
        <v>3246</v>
      </c>
      <c r="B191" t="str">
        <f t="shared" si="4"/>
        <v>NACIONAL</v>
      </c>
    </row>
    <row r="192" spans="1:2" x14ac:dyDescent="0.3">
      <c r="A192" s="2" t="s">
        <v>3246</v>
      </c>
      <c r="B192" t="str">
        <f t="shared" si="4"/>
        <v>NACIONAL</v>
      </c>
    </row>
    <row r="193" spans="1:2" x14ac:dyDescent="0.3">
      <c r="A193" s="1" t="s">
        <v>3246</v>
      </c>
      <c r="B193" t="str">
        <f t="shared" si="4"/>
        <v>NACIONAL</v>
      </c>
    </row>
    <row r="194" spans="1:2" x14ac:dyDescent="0.3">
      <c r="A194" s="2" t="s">
        <v>3246</v>
      </c>
      <c r="B194" t="str">
        <f t="shared" ref="B194:B257" si="5">UPPER(A194)</f>
        <v>NACIONAL</v>
      </c>
    </row>
    <row r="195" spans="1:2" x14ac:dyDescent="0.3">
      <c r="A195" s="1" t="s">
        <v>3246</v>
      </c>
      <c r="B195" t="str">
        <f t="shared" si="5"/>
        <v>NACIONAL</v>
      </c>
    </row>
    <row r="196" spans="1:2" x14ac:dyDescent="0.3">
      <c r="A196" s="2" t="s">
        <v>3246</v>
      </c>
      <c r="B196" t="str">
        <f t="shared" si="5"/>
        <v>NACIONAL</v>
      </c>
    </row>
    <row r="197" spans="1:2" x14ac:dyDescent="0.3">
      <c r="A197" s="1" t="s">
        <v>783</v>
      </c>
      <c r="B197" t="str">
        <f t="shared" si="5"/>
        <v>ALEMANIA</v>
      </c>
    </row>
    <row r="198" spans="1:2" x14ac:dyDescent="0.3">
      <c r="A198" s="2" t="s">
        <v>3246</v>
      </c>
      <c r="B198" t="str">
        <f t="shared" si="5"/>
        <v>NACIONAL</v>
      </c>
    </row>
    <row r="199" spans="1:2" x14ac:dyDescent="0.3">
      <c r="A199" s="1" t="s">
        <v>3246</v>
      </c>
      <c r="B199" t="str">
        <f t="shared" si="5"/>
        <v>NACIONAL</v>
      </c>
    </row>
    <row r="200" spans="1:2" x14ac:dyDescent="0.3">
      <c r="A200" s="2" t="s">
        <v>3246</v>
      </c>
      <c r="B200" t="str">
        <f t="shared" si="5"/>
        <v>NACIONAL</v>
      </c>
    </row>
    <row r="201" spans="1:2" x14ac:dyDescent="0.3">
      <c r="A201" s="1" t="s">
        <v>3246</v>
      </c>
      <c r="B201" t="str">
        <f t="shared" si="5"/>
        <v>NACIONAL</v>
      </c>
    </row>
    <row r="202" spans="1:2" x14ac:dyDescent="0.3">
      <c r="A202" s="2" t="s">
        <v>3246</v>
      </c>
      <c r="B202" t="str">
        <f t="shared" si="5"/>
        <v>NACIONAL</v>
      </c>
    </row>
    <row r="203" spans="1:2" x14ac:dyDescent="0.3">
      <c r="A203" s="1" t="s">
        <v>3246</v>
      </c>
      <c r="B203" t="str">
        <f t="shared" si="5"/>
        <v>NACIONAL</v>
      </c>
    </row>
    <row r="204" spans="1:2" x14ac:dyDescent="0.3">
      <c r="A204" s="2" t="s">
        <v>3246</v>
      </c>
      <c r="B204" t="str">
        <f t="shared" si="5"/>
        <v>NACIONAL</v>
      </c>
    </row>
    <row r="205" spans="1:2" x14ac:dyDescent="0.3">
      <c r="A205" s="1" t="s">
        <v>3246</v>
      </c>
      <c r="B205" t="str">
        <f t="shared" si="5"/>
        <v>NACIONAL</v>
      </c>
    </row>
    <row r="206" spans="1:2" x14ac:dyDescent="0.3">
      <c r="A206" s="2" t="s">
        <v>3246</v>
      </c>
      <c r="B206" t="str">
        <f t="shared" si="5"/>
        <v>NACIONAL</v>
      </c>
    </row>
    <row r="207" spans="1:2" x14ac:dyDescent="0.3">
      <c r="A207" s="1" t="s">
        <v>3246</v>
      </c>
      <c r="B207" t="str">
        <f t="shared" si="5"/>
        <v>NACIONAL</v>
      </c>
    </row>
    <row r="208" spans="1:2" x14ac:dyDescent="0.3">
      <c r="A208" s="2" t="s">
        <v>3246</v>
      </c>
      <c r="B208" t="str">
        <f t="shared" si="5"/>
        <v>NACIONAL</v>
      </c>
    </row>
    <row r="209" spans="1:2" x14ac:dyDescent="0.3">
      <c r="A209" s="1" t="s">
        <v>3246</v>
      </c>
      <c r="B209" t="str">
        <f t="shared" si="5"/>
        <v>NACIONAL</v>
      </c>
    </row>
    <row r="210" spans="1:2" x14ac:dyDescent="0.3">
      <c r="A210" s="2" t="s">
        <v>3246</v>
      </c>
      <c r="B210" t="str">
        <f t="shared" si="5"/>
        <v>NACIONAL</v>
      </c>
    </row>
    <row r="211" spans="1:2" x14ac:dyDescent="0.3">
      <c r="A211" s="1" t="s">
        <v>3246</v>
      </c>
      <c r="B211" t="str">
        <f t="shared" si="5"/>
        <v>NACIONAL</v>
      </c>
    </row>
    <row r="212" spans="1:2" x14ac:dyDescent="0.3">
      <c r="A212" s="2" t="s">
        <v>3246</v>
      </c>
      <c r="B212" t="str">
        <f t="shared" si="5"/>
        <v>NACIONAL</v>
      </c>
    </row>
    <row r="213" spans="1:2" x14ac:dyDescent="0.3">
      <c r="A213" s="1" t="s">
        <v>3246</v>
      </c>
      <c r="B213" t="str">
        <f t="shared" si="5"/>
        <v>NACIONAL</v>
      </c>
    </row>
    <row r="214" spans="1:2" x14ac:dyDescent="0.3">
      <c r="A214" s="2" t="s">
        <v>2705</v>
      </c>
      <c r="B214" t="str">
        <f t="shared" si="5"/>
        <v>ESPAÑA</v>
      </c>
    </row>
    <row r="215" spans="1:2" x14ac:dyDescent="0.3">
      <c r="A215" s="1" t="s">
        <v>3246</v>
      </c>
      <c r="B215" t="str">
        <f t="shared" si="5"/>
        <v>NACIONAL</v>
      </c>
    </row>
    <row r="216" spans="1:2" x14ac:dyDescent="0.3">
      <c r="A216" s="2" t="s">
        <v>3246</v>
      </c>
      <c r="B216" t="str">
        <f t="shared" si="5"/>
        <v>NACIONAL</v>
      </c>
    </row>
    <row r="217" spans="1:2" x14ac:dyDescent="0.3">
      <c r="A217" s="1" t="s">
        <v>3246</v>
      </c>
      <c r="B217" t="str">
        <f t="shared" si="5"/>
        <v>NACIONAL</v>
      </c>
    </row>
    <row r="218" spans="1:2" x14ac:dyDescent="0.3">
      <c r="A218" s="2" t="s">
        <v>3246</v>
      </c>
      <c r="B218" t="str">
        <f t="shared" si="5"/>
        <v>NACIONAL</v>
      </c>
    </row>
    <row r="219" spans="1:2" x14ac:dyDescent="0.3">
      <c r="A219" s="1" t="s">
        <v>3246</v>
      </c>
      <c r="B219" t="str">
        <f t="shared" si="5"/>
        <v>NACIONAL</v>
      </c>
    </row>
    <row r="220" spans="1:2" x14ac:dyDescent="0.3">
      <c r="A220" s="2" t="s">
        <v>3246</v>
      </c>
      <c r="B220" t="str">
        <f t="shared" si="5"/>
        <v>NACIONAL</v>
      </c>
    </row>
    <row r="221" spans="1:2" x14ac:dyDescent="0.3">
      <c r="A221" s="1" t="s">
        <v>3246</v>
      </c>
      <c r="B221" t="str">
        <f t="shared" si="5"/>
        <v>NACIONAL</v>
      </c>
    </row>
    <row r="222" spans="1:2" x14ac:dyDescent="0.3">
      <c r="A222" s="2" t="s">
        <v>3246</v>
      </c>
      <c r="B222" t="str">
        <f t="shared" si="5"/>
        <v>NACIONAL</v>
      </c>
    </row>
    <row r="223" spans="1:2" x14ac:dyDescent="0.3">
      <c r="A223" s="1" t="s">
        <v>3246</v>
      </c>
      <c r="B223" t="str">
        <f t="shared" si="5"/>
        <v>NACIONAL</v>
      </c>
    </row>
    <row r="224" spans="1:2" x14ac:dyDescent="0.3">
      <c r="A224" s="2" t="s">
        <v>3246</v>
      </c>
      <c r="B224" t="str">
        <f t="shared" si="5"/>
        <v>NACIONAL</v>
      </c>
    </row>
    <row r="225" spans="1:2" x14ac:dyDescent="0.3">
      <c r="A225" s="1" t="s">
        <v>3246</v>
      </c>
      <c r="B225" t="str">
        <f t="shared" si="5"/>
        <v>NACIONAL</v>
      </c>
    </row>
    <row r="226" spans="1:2" x14ac:dyDescent="0.3">
      <c r="A226" s="2" t="s">
        <v>3246</v>
      </c>
      <c r="B226" t="str">
        <f t="shared" si="5"/>
        <v>NACIONAL</v>
      </c>
    </row>
    <row r="227" spans="1:2" x14ac:dyDescent="0.3">
      <c r="A227" s="1" t="s">
        <v>408</v>
      </c>
      <c r="B227" t="str">
        <f t="shared" si="5"/>
        <v>ARGENTINA</v>
      </c>
    </row>
    <row r="228" spans="1:2" x14ac:dyDescent="0.3">
      <c r="A228" s="2" t="s">
        <v>408</v>
      </c>
      <c r="B228" t="str">
        <f t="shared" si="5"/>
        <v>ARGENTINA</v>
      </c>
    </row>
    <row r="229" spans="1:2" x14ac:dyDescent="0.3">
      <c r="A229" s="1" t="s">
        <v>408</v>
      </c>
      <c r="B229" t="str">
        <f t="shared" si="5"/>
        <v>ARGENTINA</v>
      </c>
    </row>
    <row r="230" spans="1:2" x14ac:dyDescent="0.3">
      <c r="A230" s="2" t="s">
        <v>3246</v>
      </c>
      <c r="B230" t="str">
        <f t="shared" si="5"/>
        <v>NACIONAL</v>
      </c>
    </row>
    <row r="231" spans="1:2" x14ac:dyDescent="0.3">
      <c r="A231" s="1" t="s">
        <v>2394</v>
      </c>
      <c r="B231" t="str">
        <f t="shared" si="5"/>
        <v>PUERTO RICO</v>
      </c>
    </row>
    <row r="232" spans="1:2" x14ac:dyDescent="0.3">
      <c r="A232" s="2" t="s">
        <v>2394</v>
      </c>
      <c r="B232" t="str">
        <f t="shared" si="5"/>
        <v>PUERTO RICO</v>
      </c>
    </row>
    <row r="233" spans="1:2" x14ac:dyDescent="0.3">
      <c r="A233" s="1" t="s">
        <v>2394</v>
      </c>
      <c r="B233" t="str">
        <f t="shared" si="5"/>
        <v>PUERTO RICO</v>
      </c>
    </row>
    <row r="234" spans="1:2" x14ac:dyDescent="0.3">
      <c r="A234" s="2" t="s">
        <v>2394</v>
      </c>
      <c r="B234" t="str">
        <f t="shared" si="5"/>
        <v>PUERTO RICO</v>
      </c>
    </row>
    <row r="235" spans="1:2" x14ac:dyDescent="0.3">
      <c r="A235" s="1" t="s">
        <v>3246</v>
      </c>
      <c r="B235" t="str">
        <f t="shared" si="5"/>
        <v>NACIONAL</v>
      </c>
    </row>
    <row r="236" spans="1:2" x14ac:dyDescent="0.3">
      <c r="A236" s="2" t="s">
        <v>3246</v>
      </c>
      <c r="B236" t="str">
        <f t="shared" si="5"/>
        <v>NACIONAL</v>
      </c>
    </row>
    <row r="237" spans="1:2" x14ac:dyDescent="0.3">
      <c r="A237" s="1" t="s">
        <v>3246</v>
      </c>
      <c r="B237" t="str">
        <f t="shared" si="5"/>
        <v>NACIONAL</v>
      </c>
    </row>
    <row r="238" spans="1:2" x14ac:dyDescent="0.3">
      <c r="A238" s="2" t="s">
        <v>3246</v>
      </c>
      <c r="B238" t="str">
        <f t="shared" si="5"/>
        <v>NACIONAL</v>
      </c>
    </row>
    <row r="239" spans="1:2" x14ac:dyDescent="0.3">
      <c r="A239" s="1" t="s">
        <v>3246</v>
      </c>
      <c r="B239" t="str">
        <f t="shared" si="5"/>
        <v>NACIONAL</v>
      </c>
    </row>
    <row r="240" spans="1:2" x14ac:dyDescent="0.3">
      <c r="A240" s="2" t="s">
        <v>3246</v>
      </c>
      <c r="B240" t="str">
        <f t="shared" si="5"/>
        <v>NACIONAL</v>
      </c>
    </row>
    <row r="241" spans="1:2" x14ac:dyDescent="0.3">
      <c r="A241" s="1" t="s">
        <v>3246</v>
      </c>
      <c r="B241" t="str">
        <f t="shared" si="5"/>
        <v>NACIONAL</v>
      </c>
    </row>
    <row r="242" spans="1:2" x14ac:dyDescent="0.3">
      <c r="A242" s="2" t="s">
        <v>200</v>
      </c>
      <c r="B242" t="str">
        <f t="shared" si="5"/>
        <v>SUIZA</v>
      </c>
    </row>
    <row r="243" spans="1:2" x14ac:dyDescent="0.3">
      <c r="A243" s="1" t="s">
        <v>783</v>
      </c>
      <c r="B243" t="str">
        <f t="shared" si="5"/>
        <v>ALEMANIA</v>
      </c>
    </row>
    <row r="244" spans="1:2" x14ac:dyDescent="0.3">
      <c r="A244" s="2" t="s">
        <v>3246</v>
      </c>
      <c r="B244" t="str">
        <f t="shared" si="5"/>
        <v>NACIONAL</v>
      </c>
    </row>
    <row r="245" spans="1:2" x14ac:dyDescent="0.3">
      <c r="A245" s="1" t="s">
        <v>3246</v>
      </c>
      <c r="B245" t="str">
        <f t="shared" si="5"/>
        <v>NACIONAL</v>
      </c>
    </row>
    <row r="246" spans="1:2" x14ac:dyDescent="0.3">
      <c r="A246" s="2" t="s">
        <v>3246</v>
      </c>
      <c r="B246" t="str">
        <f t="shared" si="5"/>
        <v>NACIONAL</v>
      </c>
    </row>
    <row r="247" spans="1:2" x14ac:dyDescent="0.3">
      <c r="A247" s="1" t="s">
        <v>3246</v>
      </c>
      <c r="B247" t="str">
        <f t="shared" si="5"/>
        <v>NACIONAL</v>
      </c>
    </row>
    <row r="248" spans="1:2" x14ac:dyDescent="0.3">
      <c r="A248" s="2" t="s">
        <v>3246</v>
      </c>
      <c r="B248" t="str">
        <f t="shared" si="5"/>
        <v>NACIONAL</v>
      </c>
    </row>
    <row r="249" spans="1:2" x14ac:dyDescent="0.3">
      <c r="A249" s="1" t="s">
        <v>3246</v>
      </c>
      <c r="B249" t="str">
        <f t="shared" si="5"/>
        <v>NACIONAL</v>
      </c>
    </row>
    <row r="250" spans="1:2" x14ac:dyDescent="0.3">
      <c r="A250" s="2" t="s">
        <v>3246</v>
      </c>
      <c r="B250" t="str">
        <f t="shared" si="5"/>
        <v>NACIONAL</v>
      </c>
    </row>
    <row r="251" spans="1:2" x14ac:dyDescent="0.3">
      <c r="A251" s="1" t="s">
        <v>3246</v>
      </c>
      <c r="B251" t="str">
        <f t="shared" si="5"/>
        <v>NACIONAL</v>
      </c>
    </row>
    <row r="252" spans="1:2" x14ac:dyDescent="0.3">
      <c r="A252" s="2" t="s">
        <v>3246</v>
      </c>
      <c r="B252" t="str">
        <f t="shared" si="5"/>
        <v>NACIONAL</v>
      </c>
    </row>
    <row r="253" spans="1:2" x14ac:dyDescent="0.3">
      <c r="A253" s="1" t="s">
        <v>3246</v>
      </c>
      <c r="B253" t="str">
        <f t="shared" si="5"/>
        <v>NACIONAL</v>
      </c>
    </row>
    <row r="254" spans="1:2" x14ac:dyDescent="0.3">
      <c r="A254" s="2" t="s">
        <v>3246</v>
      </c>
      <c r="B254" t="str">
        <f t="shared" si="5"/>
        <v>NACIONAL</v>
      </c>
    </row>
    <row r="255" spans="1:2" x14ac:dyDescent="0.3">
      <c r="A255" s="1" t="s">
        <v>3246</v>
      </c>
      <c r="B255" t="str">
        <f t="shared" si="5"/>
        <v>NACIONAL</v>
      </c>
    </row>
    <row r="256" spans="1:2" x14ac:dyDescent="0.3">
      <c r="A256" s="2" t="s">
        <v>3246</v>
      </c>
      <c r="B256" t="str">
        <f t="shared" si="5"/>
        <v>NACIONAL</v>
      </c>
    </row>
    <row r="257" spans="1:2" x14ac:dyDescent="0.3">
      <c r="A257" s="1" t="s">
        <v>3246</v>
      </c>
      <c r="B257" t="str">
        <f t="shared" si="5"/>
        <v>NACIONAL</v>
      </c>
    </row>
    <row r="258" spans="1:2" x14ac:dyDescent="0.3">
      <c r="A258" s="2" t="s">
        <v>3246</v>
      </c>
      <c r="B258" t="str">
        <f t="shared" ref="B258:B321" si="6">UPPER(A258)</f>
        <v>NACIONAL</v>
      </c>
    </row>
    <row r="259" spans="1:2" x14ac:dyDescent="0.3">
      <c r="A259" s="1" t="s">
        <v>3246</v>
      </c>
      <c r="B259" t="str">
        <f t="shared" si="6"/>
        <v>NACIONAL</v>
      </c>
    </row>
    <row r="260" spans="1:2" x14ac:dyDescent="0.3">
      <c r="A260" s="2" t="s">
        <v>3246</v>
      </c>
      <c r="B260" t="str">
        <f t="shared" si="6"/>
        <v>NACIONAL</v>
      </c>
    </row>
    <row r="261" spans="1:2" x14ac:dyDescent="0.3">
      <c r="A261" s="1" t="s">
        <v>214</v>
      </c>
      <c r="B261" t="str">
        <f t="shared" si="6"/>
        <v>IRLANDA</v>
      </c>
    </row>
    <row r="262" spans="1:2" x14ac:dyDescent="0.3">
      <c r="A262" s="2" t="s">
        <v>214</v>
      </c>
      <c r="B262" t="str">
        <f t="shared" si="6"/>
        <v>IRLANDA</v>
      </c>
    </row>
    <row r="263" spans="1:2" x14ac:dyDescent="0.3">
      <c r="A263" s="1" t="s">
        <v>214</v>
      </c>
      <c r="B263" t="str">
        <f t="shared" si="6"/>
        <v>IRLANDA</v>
      </c>
    </row>
    <row r="264" spans="1:2" x14ac:dyDescent="0.3">
      <c r="A264" s="2" t="s">
        <v>214</v>
      </c>
      <c r="B264" t="str">
        <f t="shared" si="6"/>
        <v>IRLANDA</v>
      </c>
    </row>
    <row r="265" spans="1:2" x14ac:dyDescent="0.3">
      <c r="A265" s="1" t="s">
        <v>3246</v>
      </c>
      <c r="B265" t="str">
        <f t="shared" si="6"/>
        <v>NACIONAL</v>
      </c>
    </row>
    <row r="266" spans="1:2" x14ac:dyDescent="0.3">
      <c r="A266" s="2" t="s">
        <v>3246</v>
      </c>
      <c r="B266" t="str">
        <f t="shared" si="6"/>
        <v>NACIONAL</v>
      </c>
    </row>
    <row r="267" spans="1:2" x14ac:dyDescent="0.3">
      <c r="A267" s="1" t="s">
        <v>3246</v>
      </c>
      <c r="B267" t="str">
        <f t="shared" si="6"/>
        <v>NACIONAL</v>
      </c>
    </row>
    <row r="268" spans="1:2" x14ac:dyDescent="0.3">
      <c r="A268" s="2" t="s">
        <v>3246</v>
      </c>
      <c r="B268" t="str">
        <f t="shared" si="6"/>
        <v>NACIONAL</v>
      </c>
    </row>
    <row r="269" spans="1:2" x14ac:dyDescent="0.3">
      <c r="A269" s="1" t="s">
        <v>2498</v>
      </c>
      <c r="B269" t="str">
        <f t="shared" si="6"/>
        <v>REPUBLICA DE COREA</v>
      </c>
    </row>
    <row r="270" spans="1:2" x14ac:dyDescent="0.3">
      <c r="A270" s="2" t="s">
        <v>2394</v>
      </c>
      <c r="B270" t="str">
        <f t="shared" si="6"/>
        <v>PUERTO RICO</v>
      </c>
    </row>
    <row r="271" spans="1:2" x14ac:dyDescent="0.3">
      <c r="A271" s="1" t="s">
        <v>200</v>
      </c>
      <c r="B271" t="str">
        <f t="shared" si="6"/>
        <v>SUIZA</v>
      </c>
    </row>
    <row r="272" spans="1:2" x14ac:dyDescent="0.3">
      <c r="A272" s="2" t="s">
        <v>200</v>
      </c>
      <c r="B272" t="str">
        <f t="shared" si="6"/>
        <v>SUIZA</v>
      </c>
    </row>
    <row r="273" spans="1:2" x14ac:dyDescent="0.3">
      <c r="A273" s="1" t="s">
        <v>3246</v>
      </c>
      <c r="B273" t="str">
        <f t="shared" si="6"/>
        <v>NACIONAL</v>
      </c>
    </row>
    <row r="274" spans="1:2" x14ac:dyDescent="0.3">
      <c r="A274" s="2" t="s">
        <v>783</v>
      </c>
      <c r="B274" t="str">
        <f t="shared" si="6"/>
        <v>ALEMANIA</v>
      </c>
    </row>
    <row r="275" spans="1:2" x14ac:dyDescent="0.3">
      <c r="A275" s="1" t="s">
        <v>783</v>
      </c>
      <c r="B275" t="str">
        <f t="shared" si="6"/>
        <v>ALEMANIA</v>
      </c>
    </row>
    <row r="276" spans="1:2" x14ac:dyDescent="0.3">
      <c r="A276" s="2" t="s">
        <v>783</v>
      </c>
      <c r="B276" t="str">
        <f t="shared" si="6"/>
        <v>ALEMANIA</v>
      </c>
    </row>
    <row r="277" spans="1:2" x14ac:dyDescent="0.3">
      <c r="A277" s="1" t="s">
        <v>783</v>
      </c>
      <c r="B277" t="str">
        <f t="shared" si="6"/>
        <v>ALEMANIA</v>
      </c>
    </row>
    <row r="278" spans="1:2" x14ac:dyDescent="0.3">
      <c r="A278" s="2" t="s">
        <v>783</v>
      </c>
      <c r="B278" t="str">
        <f t="shared" si="6"/>
        <v>ALEMANIA</v>
      </c>
    </row>
    <row r="279" spans="1:2" x14ac:dyDescent="0.3">
      <c r="A279" s="1" t="s">
        <v>214</v>
      </c>
      <c r="B279" t="str">
        <f t="shared" si="6"/>
        <v>IRLANDA</v>
      </c>
    </row>
    <row r="280" spans="1:2" x14ac:dyDescent="0.3">
      <c r="A280" s="2" t="s">
        <v>3246</v>
      </c>
      <c r="B280" t="str">
        <f t="shared" si="6"/>
        <v>NACIONAL</v>
      </c>
    </row>
    <row r="281" spans="1:2" x14ac:dyDescent="0.3">
      <c r="A281" s="1" t="s">
        <v>3246</v>
      </c>
      <c r="B281" t="str">
        <f t="shared" si="6"/>
        <v>NACIONAL</v>
      </c>
    </row>
    <row r="282" spans="1:2" x14ac:dyDescent="0.3">
      <c r="A282" s="2" t="s">
        <v>3246</v>
      </c>
      <c r="B282" t="str">
        <f t="shared" si="6"/>
        <v>NACIONAL</v>
      </c>
    </row>
    <row r="283" spans="1:2" x14ac:dyDescent="0.3">
      <c r="A283" s="1" t="s">
        <v>3246</v>
      </c>
      <c r="B283" t="str">
        <f t="shared" si="6"/>
        <v>NACIONAL</v>
      </c>
    </row>
    <row r="284" spans="1:2" x14ac:dyDescent="0.3">
      <c r="A284" s="2" t="s">
        <v>3246</v>
      </c>
      <c r="B284" t="str">
        <f t="shared" si="6"/>
        <v>NACIONAL</v>
      </c>
    </row>
    <row r="285" spans="1:2" x14ac:dyDescent="0.3">
      <c r="A285" s="1" t="s">
        <v>3246</v>
      </c>
      <c r="B285" t="str">
        <f t="shared" si="6"/>
        <v>NACIONAL</v>
      </c>
    </row>
    <row r="286" spans="1:2" x14ac:dyDescent="0.3">
      <c r="A286" s="2" t="s">
        <v>3246</v>
      </c>
      <c r="B286" t="str">
        <f t="shared" si="6"/>
        <v>NACIONAL</v>
      </c>
    </row>
    <row r="287" spans="1:2" x14ac:dyDescent="0.3">
      <c r="A287" s="1" t="s">
        <v>3246</v>
      </c>
      <c r="B287" t="str">
        <f t="shared" si="6"/>
        <v>NACIONAL</v>
      </c>
    </row>
    <row r="288" spans="1:2" x14ac:dyDescent="0.3">
      <c r="A288" s="2" t="s">
        <v>3246</v>
      </c>
      <c r="B288" t="str">
        <f t="shared" si="6"/>
        <v>NACIONAL</v>
      </c>
    </row>
    <row r="289" spans="1:2" x14ac:dyDescent="0.3">
      <c r="A289" s="1" t="s">
        <v>1613</v>
      </c>
      <c r="B289" t="str">
        <f t="shared" si="6"/>
        <v>ITALIA</v>
      </c>
    </row>
    <row r="290" spans="1:2" x14ac:dyDescent="0.3">
      <c r="A290" s="2" t="s">
        <v>1613</v>
      </c>
      <c r="B290" t="str">
        <f t="shared" si="6"/>
        <v>ITALIA</v>
      </c>
    </row>
    <row r="291" spans="1:2" x14ac:dyDescent="0.3">
      <c r="A291" s="1" t="s">
        <v>1613</v>
      </c>
      <c r="B291" t="str">
        <f t="shared" si="6"/>
        <v>ITALIA</v>
      </c>
    </row>
    <row r="292" spans="1:2" x14ac:dyDescent="0.3">
      <c r="A292" s="2" t="s">
        <v>1613</v>
      </c>
      <c r="B292" t="str">
        <f t="shared" si="6"/>
        <v>ITALIA</v>
      </c>
    </row>
    <row r="293" spans="1:2" x14ac:dyDescent="0.3">
      <c r="A293" s="1" t="s">
        <v>1613</v>
      </c>
      <c r="B293" t="str">
        <f t="shared" si="6"/>
        <v>ITALIA</v>
      </c>
    </row>
    <row r="294" spans="1:2" x14ac:dyDescent="0.3">
      <c r="A294" s="2" t="s">
        <v>214</v>
      </c>
      <c r="B294" t="str">
        <f t="shared" si="6"/>
        <v>IRLANDA</v>
      </c>
    </row>
    <row r="295" spans="1:2" x14ac:dyDescent="0.3">
      <c r="A295" s="1" t="s">
        <v>214</v>
      </c>
      <c r="B295" t="str">
        <f t="shared" si="6"/>
        <v>IRLANDA</v>
      </c>
    </row>
    <row r="296" spans="1:2" x14ac:dyDescent="0.3">
      <c r="A296" s="2" t="s">
        <v>214</v>
      </c>
      <c r="B296" t="str">
        <f t="shared" si="6"/>
        <v>IRLANDA</v>
      </c>
    </row>
    <row r="297" spans="1:2" x14ac:dyDescent="0.3">
      <c r="A297" s="1" t="s">
        <v>214</v>
      </c>
      <c r="B297" t="str">
        <f t="shared" si="6"/>
        <v>IRLANDA</v>
      </c>
    </row>
    <row r="298" spans="1:2" x14ac:dyDescent="0.3">
      <c r="A298" s="2" t="s">
        <v>3246</v>
      </c>
      <c r="B298" t="str">
        <f t="shared" si="6"/>
        <v>NACIONAL</v>
      </c>
    </row>
    <row r="299" spans="1:2" x14ac:dyDescent="0.3">
      <c r="A299" s="1" t="s">
        <v>3246</v>
      </c>
      <c r="B299" t="str">
        <f t="shared" si="6"/>
        <v>NACIONAL</v>
      </c>
    </row>
    <row r="300" spans="1:2" x14ac:dyDescent="0.3">
      <c r="A300" s="2" t="s">
        <v>3246</v>
      </c>
      <c r="B300" t="str">
        <f t="shared" si="6"/>
        <v>NACIONAL</v>
      </c>
    </row>
    <row r="301" spans="1:2" x14ac:dyDescent="0.3">
      <c r="A301" s="1" t="s">
        <v>3246</v>
      </c>
      <c r="B301" t="str">
        <f t="shared" si="6"/>
        <v>NACIONAL</v>
      </c>
    </row>
    <row r="302" spans="1:2" x14ac:dyDescent="0.3">
      <c r="A302" s="2" t="s">
        <v>3246</v>
      </c>
      <c r="B302" t="str">
        <f t="shared" si="6"/>
        <v>NACIONAL</v>
      </c>
    </row>
    <row r="303" spans="1:2" x14ac:dyDescent="0.3">
      <c r="A303" s="1" t="s">
        <v>3246</v>
      </c>
      <c r="B303" t="str">
        <f t="shared" si="6"/>
        <v>NACIONAL</v>
      </c>
    </row>
    <row r="304" spans="1:2" x14ac:dyDescent="0.3">
      <c r="A304" s="2" t="s">
        <v>3246</v>
      </c>
      <c r="B304" t="str">
        <f t="shared" si="6"/>
        <v>NACIONAL</v>
      </c>
    </row>
    <row r="305" spans="1:2" x14ac:dyDescent="0.3">
      <c r="A305" s="1" t="s">
        <v>3246</v>
      </c>
      <c r="B305" t="str">
        <f t="shared" si="6"/>
        <v>NACIONAL</v>
      </c>
    </row>
    <row r="306" spans="1:2" x14ac:dyDescent="0.3">
      <c r="A306" s="2" t="s">
        <v>3246</v>
      </c>
      <c r="B306" t="str">
        <f t="shared" si="6"/>
        <v>NACIONAL</v>
      </c>
    </row>
    <row r="307" spans="1:2" x14ac:dyDescent="0.3">
      <c r="A307" s="1" t="s">
        <v>3246</v>
      </c>
      <c r="B307" t="str">
        <f t="shared" si="6"/>
        <v>NACIONAL</v>
      </c>
    </row>
    <row r="308" spans="1:2" x14ac:dyDescent="0.3">
      <c r="A308" s="2" t="s">
        <v>3246</v>
      </c>
      <c r="B308" t="str">
        <f t="shared" si="6"/>
        <v>NACIONAL</v>
      </c>
    </row>
    <row r="309" spans="1:2" x14ac:dyDescent="0.3">
      <c r="A309" s="1" t="s">
        <v>3246</v>
      </c>
      <c r="B309" t="str">
        <f t="shared" si="6"/>
        <v>NACIONAL</v>
      </c>
    </row>
    <row r="310" spans="1:2" x14ac:dyDescent="0.3">
      <c r="A310" s="2" t="s">
        <v>3246</v>
      </c>
      <c r="B310" t="str">
        <f t="shared" si="6"/>
        <v>NACIONAL</v>
      </c>
    </row>
    <row r="311" spans="1:2" x14ac:dyDescent="0.3">
      <c r="A311" s="1" t="s">
        <v>3246</v>
      </c>
      <c r="B311" t="str">
        <f t="shared" si="6"/>
        <v>NACIONAL</v>
      </c>
    </row>
    <row r="312" spans="1:2" x14ac:dyDescent="0.3">
      <c r="A312" s="2" t="s">
        <v>3246</v>
      </c>
      <c r="B312" t="str">
        <f t="shared" si="6"/>
        <v>NACIONAL</v>
      </c>
    </row>
    <row r="313" spans="1:2" x14ac:dyDescent="0.3">
      <c r="A313" s="1" t="s">
        <v>3246</v>
      </c>
      <c r="B313" t="str">
        <f t="shared" si="6"/>
        <v>NACIONAL</v>
      </c>
    </row>
    <row r="314" spans="1:2" x14ac:dyDescent="0.3">
      <c r="A314" s="2" t="s">
        <v>3246</v>
      </c>
      <c r="B314" t="str">
        <f t="shared" si="6"/>
        <v>NACIONAL</v>
      </c>
    </row>
    <row r="315" spans="1:2" x14ac:dyDescent="0.3">
      <c r="A315" s="1" t="s">
        <v>2368</v>
      </c>
      <c r="B315" t="str">
        <f t="shared" si="6"/>
        <v>SUECIA</v>
      </c>
    </row>
    <row r="316" spans="1:2" x14ac:dyDescent="0.3">
      <c r="A316" s="2" t="s">
        <v>3246</v>
      </c>
      <c r="B316" t="str">
        <f t="shared" si="6"/>
        <v>NACIONAL</v>
      </c>
    </row>
    <row r="317" spans="1:2" x14ac:dyDescent="0.3">
      <c r="A317" s="1" t="s">
        <v>3246</v>
      </c>
      <c r="B317" t="str">
        <f t="shared" si="6"/>
        <v>NACIONAL</v>
      </c>
    </row>
    <row r="318" spans="1:2" x14ac:dyDescent="0.3">
      <c r="A318" s="2" t="s">
        <v>3246</v>
      </c>
      <c r="B318" t="str">
        <f t="shared" si="6"/>
        <v>NACIONAL</v>
      </c>
    </row>
    <row r="319" spans="1:2" x14ac:dyDescent="0.3">
      <c r="A319" s="1" t="s">
        <v>3246</v>
      </c>
      <c r="B319" t="str">
        <f t="shared" si="6"/>
        <v>NACIONAL</v>
      </c>
    </row>
    <row r="320" spans="1:2" x14ac:dyDescent="0.3">
      <c r="A320" s="2" t="s">
        <v>3246</v>
      </c>
      <c r="B320" t="str">
        <f t="shared" si="6"/>
        <v>NACIONAL</v>
      </c>
    </row>
    <row r="321" spans="1:2" x14ac:dyDescent="0.3">
      <c r="A321" s="1" t="s">
        <v>3246</v>
      </c>
      <c r="B321" t="str">
        <f t="shared" si="6"/>
        <v>NACIONAL</v>
      </c>
    </row>
    <row r="322" spans="1:2" x14ac:dyDescent="0.3">
      <c r="A322" s="2" t="s">
        <v>3246</v>
      </c>
      <c r="B322" t="str">
        <f t="shared" ref="B322:B385" si="7">UPPER(A322)</f>
        <v>NACIONAL</v>
      </c>
    </row>
    <row r="323" spans="1:2" x14ac:dyDescent="0.3">
      <c r="A323" s="1" t="s">
        <v>2197</v>
      </c>
      <c r="B323" t="str">
        <f t="shared" si="7"/>
        <v>SUIZA</v>
      </c>
    </row>
    <row r="324" spans="1:2" x14ac:dyDescent="0.3">
      <c r="A324" s="2" t="s">
        <v>3246</v>
      </c>
      <c r="B324" t="str">
        <f t="shared" si="7"/>
        <v>NACIONAL</v>
      </c>
    </row>
    <row r="325" spans="1:2" x14ac:dyDescent="0.3">
      <c r="A325" s="1" t="s">
        <v>3246</v>
      </c>
      <c r="B325" t="str">
        <f t="shared" si="7"/>
        <v>NACIONAL</v>
      </c>
    </row>
    <row r="326" spans="1:2" x14ac:dyDescent="0.3">
      <c r="A326" s="2" t="s">
        <v>3246</v>
      </c>
      <c r="B326" t="str">
        <f t="shared" si="7"/>
        <v>NACIONAL</v>
      </c>
    </row>
    <row r="327" spans="1:2" x14ac:dyDescent="0.3">
      <c r="A327" s="1" t="s">
        <v>3246</v>
      </c>
      <c r="B327" t="str">
        <f t="shared" si="7"/>
        <v>NACIONAL</v>
      </c>
    </row>
    <row r="328" spans="1:2" x14ac:dyDescent="0.3">
      <c r="A328" s="2" t="s">
        <v>408</v>
      </c>
      <c r="B328" t="str">
        <f t="shared" si="7"/>
        <v>ARGENTINA</v>
      </c>
    </row>
    <row r="329" spans="1:2" x14ac:dyDescent="0.3">
      <c r="A329" s="1" t="s">
        <v>3246</v>
      </c>
      <c r="B329" t="str">
        <f t="shared" si="7"/>
        <v>NACIONAL</v>
      </c>
    </row>
    <row r="330" spans="1:2" x14ac:dyDescent="0.3">
      <c r="A330" s="2" t="s">
        <v>2231</v>
      </c>
      <c r="B330" t="str">
        <f t="shared" si="7"/>
        <v>SUDÁFRICA</v>
      </c>
    </row>
    <row r="331" spans="1:2" x14ac:dyDescent="0.3">
      <c r="A331" s="1" t="s">
        <v>3246</v>
      </c>
      <c r="B331" t="str">
        <f t="shared" si="7"/>
        <v>NACIONAL</v>
      </c>
    </row>
    <row r="332" spans="1:2" x14ac:dyDescent="0.3">
      <c r="A332" s="2" t="s">
        <v>3246</v>
      </c>
      <c r="B332" t="str">
        <f t="shared" si="7"/>
        <v>NACIONAL</v>
      </c>
    </row>
    <row r="333" spans="1:2" x14ac:dyDescent="0.3">
      <c r="A333" s="1" t="s">
        <v>3246</v>
      </c>
      <c r="B333" t="str">
        <f t="shared" si="7"/>
        <v>NACIONAL</v>
      </c>
    </row>
    <row r="334" spans="1:2" x14ac:dyDescent="0.3">
      <c r="A334" s="2" t="s">
        <v>3246</v>
      </c>
      <c r="B334" t="str">
        <f t="shared" si="7"/>
        <v>NACIONAL</v>
      </c>
    </row>
    <row r="335" spans="1:2" x14ac:dyDescent="0.3">
      <c r="A335" s="1" t="s">
        <v>3246</v>
      </c>
      <c r="B335" t="str">
        <f t="shared" si="7"/>
        <v>NACIONAL</v>
      </c>
    </row>
    <row r="336" spans="1:2" x14ac:dyDescent="0.3">
      <c r="A336" s="2" t="s">
        <v>3246</v>
      </c>
      <c r="B336" t="str">
        <f t="shared" si="7"/>
        <v>NACIONAL</v>
      </c>
    </row>
    <row r="337" spans="1:2" x14ac:dyDescent="0.3">
      <c r="A337" s="1" t="s">
        <v>3246</v>
      </c>
      <c r="B337" t="str">
        <f t="shared" si="7"/>
        <v>NACIONAL</v>
      </c>
    </row>
    <row r="338" spans="1:2" x14ac:dyDescent="0.3">
      <c r="A338" s="2" t="s">
        <v>3246</v>
      </c>
      <c r="B338" t="str">
        <f t="shared" si="7"/>
        <v>NACIONAL</v>
      </c>
    </row>
    <row r="339" spans="1:2" x14ac:dyDescent="0.3">
      <c r="A339" s="1" t="s">
        <v>3246</v>
      </c>
      <c r="B339" t="str">
        <f t="shared" si="7"/>
        <v>NACIONAL</v>
      </c>
    </row>
    <row r="340" spans="1:2" x14ac:dyDescent="0.3">
      <c r="A340" s="2" t="s">
        <v>3246</v>
      </c>
      <c r="B340" t="str">
        <f t="shared" si="7"/>
        <v>NACIONAL</v>
      </c>
    </row>
    <row r="341" spans="1:2" x14ac:dyDescent="0.3">
      <c r="A341" s="1" t="s">
        <v>3246</v>
      </c>
      <c r="B341" t="str">
        <f t="shared" si="7"/>
        <v>NACIONAL</v>
      </c>
    </row>
    <row r="342" spans="1:2" x14ac:dyDescent="0.3">
      <c r="A342" s="2" t="s">
        <v>3246</v>
      </c>
      <c r="B342" t="str">
        <f t="shared" si="7"/>
        <v>NACIONAL</v>
      </c>
    </row>
    <row r="343" spans="1:2" x14ac:dyDescent="0.3">
      <c r="A343" s="1" t="s">
        <v>3246</v>
      </c>
      <c r="B343" t="str">
        <f t="shared" si="7"/>
        <v>NACIONAL</v>
      </c>
    </row>
    <row r="344" spans="1:2" x14ac:dyDescent="0.3">
      <c r="A344" s="2" t="s">
        <v>3246</v>
      </c>
      <c r="B344" t="str">
        <f t="shared" si="7"/>
        <v>NACIONAL</v>
      </c>
    </row>
    <row r="345" spans="1:2" x14ac:dyDescent="0.3">
      <c r="A345" s="1" t="s">
        <v>3246</v>
      </c>
      <c r="B345" t="str">
        <f t="shared" si="7"/>
        <v>NACIONAL</v>
      </c>
    </row>
    <row r="346" spans="1:2" x14ac:dyDescent="0.3">
      <c r="A346" s="2" t="s">
        <v>3246</v>
      </c>
      <c r="B346" t="str">
        <f t="shared" si="7"/>
        <v>NACIONAL</v>
      </c>
    </row>
    <row r="347" spans="1:2" x14ac:dyDescent="0.3">
      <c r="A347" s="1" t="s">
        <v>3246</v>
      </c>
      <c r="B347" t="str">
        <f t="shared" si="7"/>
        <v>NACIONAL</v>
      </c>
    </row>
    <row r="348" spans="1:2" x14ac:dyDescent="0.3">
      <c r="A348" s="2" t="s">
        <v>3246</v>
      </c>
      <c r="B348" t="str">
        <f t="shared" si="7"/>
        <v>NACIONAL</v>
      </c>
    </row>
    <row r="349" spans="1:2" x14ac:dyDescent="0.3">
      <c r="A349" s="1" t="s">
        <v>3246</v>
      </c>
      <c r="B349" t="str">
        <f t="shared" si="7"/>
        <v>NACIONAL</v>
      </c>
    </row>
    <row r="350" spans="1:2" x14ac:dyDescent="0.3">
      <c r="A350" s="2" t="s">
        <v>3246</v>
      </c>
      <c r="B350" t="str">
        <f t="shared" si="7"/>
        <v>NACIONAL</v>
      </c>
    </row>
    <row r="351" spans="1:2" x14ac:dyDescent="0.3">
      <c r="A351" s="1" t="s">
        <v>3246</v>
      </c>
      <c r="B351" t="str">
        <f t="shared" si="7"/>
        <v>NACIONAL</v>
      </c>
    </row>
    <row r="352" spans="1:2" x14ac:dyDescent="0.3">
      <c r="A352" s="2" t="s">
        <v>3246</v>
      </c>
      <c r="B352" t="str">
        <f t="shared" si="7"/>
        <v>NACIONAL</v>
      </c>
    </row>
    <row r="353" spans="1:2" x14ac:dyDescent="0.3">
      <c r="A353" s="1" t="s">
        <v>3246</v>
      </c>
      <c r="B353" t="str">
        <f t="shared" si="7"/>
        <v>NACIONAL</v>
      </c>
    </row>
    <row r="354" spans="1:2" x14ac:dyDescent="0.3">
      <c r="A354" s="2" t="s">
        <v>3246</v>
      </c>
      <c r="B354" t="str">
        <f t="shared" si="7"/>
        <v>NACIONAL</v>
      </c>
    </row>
    <row r="355" spans="1:2" x14ac:dyDescent="0.3">
      <c r="A355" s="1" t="s">
        <v>3246</v>
      </c>
      <c r="B355" t="str">
        <f t="shared" si="7"/>
        <v>NACIONAL</v>
      </c>
    </row>
    <row r="356" spans="1:2" x14ac:dyDescent="0.3">
      <c r="A356" s="2" t="s">
        <v>3246</v>
      </c>
      <c r="B356" t="str">
        <f t="shared" si="7"/>
        <v>NACIONAL</v>
      </c>
    </row>
    <row r="357" spans="1:2" x14ac:dyDescent="0.3">
      <c r="A357" s="1" t="s">
        <v>3246</v>
      </c>
      <c r="B357" t="str">
        <f t="shared" si="7"/>
        <v>NACIONAL</v>
      </c>
    </row>
    <row r="358" spans="1:2" x14ac:dyDescent="0.3">
      <c r="A358" s="2" t="s">
        <v>3246</v>
      </c>
      <c r="B358" t="str">
        <f t="shared" si="7"/>
        <v>NACIONAL</v>
      </c>
    </row>
    <row r="359" spans="1:2" x14ac:dyDescent="0.3">
      <c r="A359" s="1" t="s">
        <v>3246</v>
      </c>
      <c r="B359" t="str">
        <f t="shared" si="7"/>
        <v>NACIONAL</v>
      </c>
    </row>
    <row r="360" spans="1:2" x14ac:dyDescent="0.3">
      <c r="A360" s="2" t="s">
        <v>3246</v>
      </c>
      <c r="B360" t="str">
        <f t="shared" si="7"/>
        <v>NACIONAL</v>
      </c>
    </row>
    <row r="361" spans="1:2" x14ac:dyDescent="0.3">
      <c r="A361" s="1" t="s">
        <v>3246</v>
      </c>
      <c r="B361" t="str">
        <f t="shared" si="7"/>
        <v>NACIONAL</v>
      </c>
    </row>
    <row r="362" spans="1:2" x14ac:dyDescent="0.3">
      <c r="A362" s="2" t="s">
        <v>3246</v>
      </c>
      <c r="B362" t="str">
        <f t="shared" si="7"/>
        <v>NACIONAL</v>
      </c>
    </row>
    <row r="363" spans="1:2" x14ac:dyDescent="0.3">
      <c r="A363" s="1" t="s">
        <v>3246</v>
      </c>
      <c r="B363" t="str">
        <f t="shared" si="7"/>
        <v>NACIONAL</v>
      </c>
    </row>
    <row r="364" spans="1:2" x14ac:dyDescent="0.3">
      <c r="A364" s="2" t="s">
        <v>3246</v>
      </c>
      <c r="B364" t="str">
        <f t="shared" si="7"/>
        <v>NACIONAL</v>
      </c>
    </row>
    <row r="365" spans="1:2" x14ac:dyDescent="0.3">
      <c r="A365" s="1" t="s">
        <v>3246</v>
      </c>
      <c r="B365" t="str">
        <f t="shared" si="7"/>
        <v>NACIONAL</v>
      </c>
    </row>
    <row r="366" spans="1:2" x14ac:dyDescent="0.3">
      <c r="A366" s="2" t="s">
        <v>3246</v>
      </c>
      <c r="B366" t="str">
        <f t="shared" si="7"/>
        <v>NACIONAL</v>
      </c>
    </row>
    <row r="367" spans="1:2" x14ac:dyDescent="0.3">
      <c r="A367" s="1" t="s">
        <v>3246</v>
      </c>
      <c r="B367" t="str">
        <f t="shared" si="7"/>
        <v>NACIONAL</v>
      </c>
    </row>
    <row r="368" spans="1:2" x14ac:dyDescent="0.3">
      <c r="A368" s="2" t="s">
        <v>3246</v>
      </c>
      <c r="B368" t="str">
        <f t="shared" si="7"/>
        <v>NACIONAL</v>
      </c>
    </row>
    <row r="369" spans="1:2" x14ac:dyDescent="0.3">
      <c r="A369" s="1" t="s">
        <v>3246</v>
      </c>
      <c r="B369" t="str">
        <f t="shared" si="7"/>
        <v>NACIONAL</v>
      </c>
    </row>
    <row r="370" spans="1:2" x14ac:dyDescent="0.3">
      <c r="A370" s="2" t="s">
        <v>3246</v>
      </c>
      <c r="B370" t="str">
        <f t="shared" si="7"/>
        <v>NACIONAL</v>
      </c>
    </row>
    <row r="371" spans="1:2" x14ac:dyDescent="0.3">
      <c r="A371" s="1" t="s">
        <v>3246</v>
      </c>
      <c r="B371" t="str">
        <f t="shared" si="7"/>
        <v>NACIONAL</v>
      </c>
    </row>
    <row r="372" spans="1:2" x14ac:dyDescent="0.3">
      <c r="A372" s="2" t="s">
        <v>3246</v>
      </c>
      <c r="B372" t="str">
        <f t="shared" si="7"/>
        <v>NACIONAL</v>
      </c>
    </row>
    <row r="373" spans="1:2" x14ac:dyDescent="0.3">
      <c r="A373" s="1" t="s">
        <v>3246</v>
      </c>
      <c r="B373" t="str">
        <f t="shared" si="7"/>
        <v>NACIONAL</v>
      </c>
    </row>
    <row r="374" spans="1:2" x14ac:dyDescent="0.3">
      <c r="A374" s="2" t="s">
        <v>3246</v>
      </c>
      <c r="B374" t="str">
        <f t="shared" si="7"/>
        <v>NACIONAL</v>
      </c>
    </row>
    <row r="375" spans="1:2" x14ac:dyDescent="0.3">
      <c r="A375" s="1" t="s">
        <v>3246</v>
      </c>
      <c r="B375" t="str">
        <f t="shared" si="7"/>
        <v>NACIONAL</v>
      </c>
    </row>
    <row r="376" spans="1:2" x14ac:dyDescent="0.3">
      <c r="A376" s="2" t="s">
        <v>3246</v>
      </c>
      <c r="B376" t="str">
        <f t="shared" si="7"/>
        <v>NACIONAL</v>
      </c>
    </row>
    <row r="377" spans="1:2" x14ac:dyDescent="0.3">
      <c r="A377" s="1" t="s">
        <v>3246</v>
      </c>
      <c r="B377" t="str">
        <f t="shared" si="7"/>
        <v>NACIONAL</v>
      </c>
    </row>
    <row r="378" spans="1:2" x14ac:dyDescent="0.3">
      <c r="A378" s="2" t="s">
        <v>3246</v>
      </c>
      <c r="B378" t="str">
        <f t="shared" si="7"/>
        <v>NACIONAL</v>
      </c>
    </row>
    <row r="379" spans="1:2" x14ac:dyDescent="0.3">
      <c r="A379" s="1" t="s">
        <v>3246</v>
      </c>
      <c r="B379" t="str">
        <f t="shared" si="7"/>
        <v>NACIONAL</v>
      </c>
    </row>
    <row r="380" spans="1:2" x14ac:dyDescent="0.3">
      <c r="A380" s="2" t="s">
        <v>3246</v>
      </c>
      <c r="B380" t="str">
        <f t="shared" si="7"/>
        <v>NACIONAL</v>
      </c>
    </row>
    <row r="381" spans="1:2" x14ac:dyDescent="0.3">
      <c r="A381" s="1" t="s">
        <v>3246</v>
      </c>
      <c r="B381" t="str">
        <f t="shared" si="7"/>
        <v>NACIONAL</v>
      </c>
    </row>
    <row r="382" spans="1:2" x14ac:dyDescent="0.3">
      <c r="A382" s="2" t="s">
        <v>3246</v>
      </c>
      <c r="B382" t="str">
        <f t="shared" si="7"/>
        <v>NACIONAL</v>
      </c>
    </row>
    <row r="383" spans="1:2" x14ac:dyDescent="0.3">
      <c r="A383" s="1" t="s">
        <v>3246</v>
      </c>
      <c r="B383" t="str">
        <f t="shared" si="7"/>
        <v>NACIONAL</v>
      </c>
    </row>
    <row r="384" spans="1:2" x14ac:dyDescent="0.3">
      <c r="A384" s="2" t="s">
        <v>3246</v>
      </c>
      <c r="B384" t="str">
        <f t="shared" si="7"/>
        <v>NACIONAL</v>
      </c>
    </row>
    <row r="385" spans="1:2" x14ac:dyDescent="0.3">
      <c r="A385" s="1" t="s">
        <v>3246</v>
      </c>
      <c r="B385" t="str">
        <f t="shared" si="7"/>
        <v>NACIONAL</v>
      </c>
    </row>
    <row r="386" spans="1:2" x14ac:dyDescent="0.3">
      <c r="A386" s="2" t="s">
        <v>3246</v>
      </c>
      <c r="B386" t="str">
        <f t="shared" ref="B386:B449" si="8">UPPER(A386)</f>
        <v>NACIONAL</v>
      </c>
    </row>
    <row r="387" spans="1:2" x14ac:dyDescent="0.3">
      <c r="A387" s="1" t="s">
        <v>3246</v>
      </c>
      <c r="B387" t="str">
        <f t="shared" si="8"/>
        <v>NACIONAL</v>
      </c>
    </row>
    <row r="388" spans="1:2" x14ac:dyDescent="0.3">
      <c r="A388" s="2" t="s">
        <v>3246</v>
      </c>
      <c r="B388" t="str">
        <f t="shared" si="8"/>
        <v>NACIONAL</v>
      </c>
    </row>
    <row r="389" spans="1:2" x14ac:dyDescent="0.3">
      <c r="A389" s="1" t="s">
        <v>3246</v>
      </c>
      <c r="B389" t="str">
        <f t="shared" si="8"/>
        <v>NACIONAL</v>
      </c>
    </row>
    <row r="390" spans="1:2" x14ac:dyDescent="0.3">
      <c r="A390" s="2" t="s">
        <v>3246</v>
      </c>
      <c r="B390" t="str">
        <f t="shared" si="8"/>
        <v>NACIONAL</v>
      </c>
    </row>
    <row r="391" spans="1:2" x14ac:dyDescent="0.3">
      <c r="A391" s="1" t="s">
        <v>3246</v>
      </c>
      <c r="B391" t="str">
        <f t="shared" si="8"/>
        <v>NACIONAL</v>
      </c>
    </row>
    <row r="392" spans="1:2" x14ac:dyDescent="0.3">
      <c r="A392" s="2" t="s">
        <v>3246</v>
      </c>
      <c r="B392" t="str">
        <f t="shared" si="8"/>
        <v>NACIONAL</v>
      </c>
    </row>
    <row r="393" spans="1:2" x14ac:dyDescent="0.3">
      <c r="A393" s="1" t="s">
        <v>3246</v>
      </c>
      <c r="B393" t="str">
        <f t="shared" si="8"/>
        <v>NACIONAL</v>
      </c>
    </row>
    <row r="394" spans="1:2" x14ac:dyDescent="0.3">
      <c r="A394" s="2" t="s">
        <v>3246</v>
      </c>
      <c r="B394" t="str">
        <f t="shared" si="8"/>
        <v>NACIONAL</v>
      </c>
    </row>
    <row r="395" spans="1:2" x14ac:dyDescent="0.3">
      <c r="A395" s="1" t="s">
        <v>3246</v>
      </c>
      <c r="B395" t="str">
        <f t="shared" si="8"/>
        <v>NACIONAL</v>
      </c>
    </row>
    <row r="396" spans="1:2" x14ac:dyDescent="0.3">
      <c r="A396" s="2" t="s">
        <v>3246</v>
      </c>
      <c r="B396" t="str">
        <f t="shared" si="8"/>
        <v>NACIONAL</v>
      </c>
    </row>
    <row r="397" spans="1:2" x14ac:dyDescent="0.3">
      <c r="A397" s="1" t="s">
        <v>3246</v>
      </c>
      <c r="B397" t="str">
        <f t="shared" si="8"/>
        <v>NACIONAL</v>
      </c>
    </row>
    <row r="398" spans="1:2" x14ac:dyDescent="0.3">
      <c r="A398" s="2" t="s">
        <v>3246</v>
      </c>
      <c r="B398" t="str">
        <f t="shared" si="8"/>
        <v>NACIONAL</v>
      </c>
    </row>
    <row r="399" spans="1:2" x14ac:dyDescent="0.3">
      <c r="A399" s="1" t="s">
        <v>3246</v>
      </c>
      <c r="B399" t="str">
        <f t="shared" si="8"/>
        <v>NACIONAL</v>
      </c>
    </row>
    <row r="400" spans="1:2" x14ac:dyDescent="0.3">
      <c r="A400" s="2" t="s">
        <v>2021</v>
      </c>
      <c r="B400" t="str">
        <f t="shared" si="8"/>
        <v>INGLATERRA</v>
      </c>
    </row>
    <row r="401" spans="1:2" x14ac:dyDescent="0.3">
      <c r="A401" s="1" t="s">
        <v>2021</v>
      </c>
      <c r="B401" t="str">
        <f t="shared" si="8"/>
        <v>INGLATERRA</v>
      </c>
    </row>
    <row r="402" spans="1:2" x14ac:dyDescent="0.3">
      <c r="A402" s="2" t="s">
        <v>3246</v>
      </c>
      <c r="B402" t="str">
        <f t="shared" si="8"/>
        <v>NACIONAL</v>
      </c>
    </row>
    <row r="403" spans="1:2" x14ac:dyDescent="0.3">
      <c r="A403" s="1" t="s">
        <v>3246</v>
      </c>
      <c r="B403" t="str">
        <f t="shared" si="8"/>
        <v>NACIONAL</v>
      </c>
    </row>
    <row r="404" spans="1:2" x14ac:dyDescent="0.3">
      <c r="A404" s="2" t="s">
        <v>3246</v>
      </c>
      <c r="B404" t="str">
        <f t="shared" si="8"/>
        <v>NACIONAL</v>
      </c>
    </row>
    <row r="405" spans="1:2" x14ac:dyDescent="0.3">
      <c r="A405" s="1" t="s">
        <v>3246</v>
      </c>
      <c r="B405" t="str">
        <f t="shared" si="8"/>
        <v>NACIONAL</v>
      </c>
    </row>
    <row r="406" spans="1:2" x14ac:dyDescent="0.3">
      <c r="A406" s="2" t="s">
        <v>3246</v>
      </c>
      <c r="B406" t="str">
        <f t="shared" si="8"/>
        <v>NACIONAL</v>
      </c>
    </row>
    <row r="407" spans="1:2" x14ac:dyDescent="0.3">
      <c r="A407" s="1" t="s">
        <v>3246</v>
      </c>
      <c r="B407" t="str">
        <f t="shared" si="8"/>
        <v>NACIONAL</v>
      </c>
    </row>
    <row r="408" spans="1:2" x14ac:dyDescent="0.3">
      <c r="A408" s="2" t="s">
        <v>3246</v>
      </c>
      <c r="B408" t="str">
        <f t="shared" si="8"/>
        <v>NACIONAL</v>
      </c>
    </row>
    <row r="409" spans="1:2" x14ac:dyDescent="0.3">
      <c r="A409" s="1" t="s">
        <v>3246</v>
      </c>
      <c r="B409" t="str">
        <f t="shared" si="8"/>
        <v>NACIONAL</v>
      </c>
    </row>
    <row r="410" spans="1:2" x14ac:dyDescent="0.3">
      <c r="A410" s="2" t="s">
        <v>3246</v>
      </c>
      <c r="B410" t="str">
        <f t="shared" si="8"/>
        <v>NACIONAL</v>
      </c>
    </row>
    <row r="411" spans="1:2" x14ac:dyDescent="0.3">
      <c r="A411" s="1" t="s">
        <v>3246</v>
      </c>
      <c r="B411" t="str">
        <f t="shared" si="8"/>
        <v>NACIONAL</v>
      </c>
    </row>
    <row r="412" spans="1:2" x14ac:dyDescent="0.3">
      <c r="A412" s="2" t="s">
        <v>3246</v>
      </c>
      <c r="B412" t="str">
        <f t="shared" si="8"/>
        <v>NACIONAL</v>
      </c>
    </row>
    <row r="413" spans="1:2" x14ac:dyDescent="0.3">
      <c r="A413" s="1" t="s">
        <v>3246</v>
      </c>
      <c r="B413" t="str">
        <f t="shared" si="8"/>
        <v>NACIONAL</v>
      </c>
    </row>
    <row r="414" spans="1:2" x14ac:dyDescent="0.3">
      <c r="A414" s="2" t="s">
        <v>3246</v>
      </c>
      <c r="B414" t="str">
        <f t="shared" si="8"/>
        <v>NACIONAL</v>
      </c>
    </row>
    <row r="415" spans="1:2" x14ac:dyDescent="0.3">
      <c r="A415" s="1" t="s">
        <v>3246</v>
      </c>
      <c r="B415" t="str">
        <f t="shared" si="8"/>
        <v>NACIONAL</v>
      </c>
    </row>
    <row r="416" spans="1:2" x14ac:dyDescent="0.3">
      <c r="A416" s="2" t="s">
        <v>3246</v>
      </c>
      <c r="B416" t="str">
        <f t="shared" si="8"/>
        <v>NACIONAL</v>
      </c>
    </row>
    <row r="417" spans="1:2" x14ac:dyDescent="0.3">
      <c r="A417" s="1" t="s">
        <v>3246</v>
      </c>
      <c r="B417" t="str">
        <f t="shared" si="8"/>
        <v>NACIONAL</v>
      </c>
    </row>
    <row r="418" spans="1:2" x14ac:dyDescent="0.3">
      <c r="A418" s="2" t="s">
        <v>3246</v>
      </c>
      <c r="B418" t="str">
        <f t="shared" si="8"/>
        <v>NACIONAL</v>
      </c>
    </row>
    <row r="419" spans="1:2" x14ac:dyDescent="0.3">
      <c r="A419" s="1" t="s">
        <v>3246</v>
      </c>
      <c r="B419" t="str">
        <f t="shared" si="8"/>
        <v>NACIONAL</v>
      </c>
    </row>
    <row r="420" spans="1:2" x14ac:dyDescent="0.3">
      <c r="A420" s="2" t="s">
        <v>3246</v>
      </c>
      <c r="B420" t="str">
        <f t="shared" si="8"/>
        <v>NACIONAL</v>
      </c>
    </row>
    <row r="421" spans="1:2" x14ac:dyDescent="0.3">
      <c r="A421" s="1" t="s">
        <v>3246</v>
      </c>
      <c r="B421" t="str">
        <f t="shared" si="8"/>
        <v>NACIONAL</v>
      </c>
    </row>
    <row r="422" spans="1:2" x14ac:dyDescent="0.3">
      <c r="A422" s="2" t="s">
        <v>3246</v>
      </c>
      <c r="B422" t="str">
        <f t="shared" si="8"/>
        <v>NACIONAL</v>
      </c>
    </row>
    <row r="423" spans="1:2" x14ac:dyDescent="0.3">
      <c r="A423" s="1" t="s">
        <v>3246</v>
      </c>
      <c r="B423" t="str">
        <f t="shared" si="8"/>
        <v>NACIONAL</v>
      </c>
    </row>
    <row r="424" spans="1:2" x14ac:dyDescent="0.3">
      <c r="A424" s="2" t="s">
        <v>3246</v>
      </c>
      <c r="B424" t="str">
        <f t="shared" si="8"/>
        <v>NACIONAL</v>
      </c>
    </row>
    <row r="425" spans="1:2" x14ac:dyDescent="0.3">
      <c r="A425" s="1" t="s">
        <v>3246</v>
      </c>
      <c r="B425" t="str">
        <f t="shared" si="8"/>
        <v>NACIONAL</v>
      </c>
    </row>
    <row r="426" spans="1:2" x14ac:dyDescent="0.3">
      <c r="A426" s="2" t="s">
        <v>3246</v>
      </c>
      <c r="B426" t="str">
        <f t="shared" si="8"/>
        <v>NACIONAL</v>
      </c>
    </row>
    <row r="427" spans="1:2" x14ac:dyDescent="0.3">
      <c r="A427" s="1" t="s">
        <v>3246</v>
      </c>
      <c r="B427" t="str">
        <f t="shared" si="8"/>
        <v>NACIONAL</v>
      </c>
    </row>
    <row r="428" spans="1:2" x14ac:dyDescent="0.3">
      <c r="A428" s="2" t="s">
        <v>3246</v>
      </c>
      <c r="B428" t="str">
        <f t="shared" si="8"/>
        <v>NACIONAL</v>
      </c>
    </row>
    <row r="429" spans="1:2" x14ac:dyDescent="0.3">
      <c r="A429" s="1" t="s">
        <v>3246</v>
      </c>
      <c r="B429" t="str">
        <f t="shared" si="8"/>
        <v>NACIONAL</v>
      </c>
    </row>
    <row r="430" spans="1:2" x14ac:dyDescent="0.3">
      <c r="A430" s="2" t="s">
        <v>3246</v>
      </c>
      <c r="B430" t="str">
        <f t="shared" si="8"/>
        <v>NACIONAL</v>
      </c>
    </row>
    <row r="431" spans="1:2" x14ac:dyDescent="0.3">
      <c r="A431" s="1" t="s">
        <v>3246</v>
      </c>
      <c r="B431" t="str">
        <f t="shared" si="8"/>
        <v>NACIONAL</v>
      </c>
    </row>
    <row r="432" spans="1:2" x14ac:dyDescent="0.3">
      <c r="A432" s="2" t="s">
        <v>1056</v>
      </c>
      <c r="B432" t="str">
        <f t="shared" si="8"/>
        <v>ALEMANIA</v>
      </c>
    </row>
    <row r="433" spans="1:2" x14ac:dyDescent="0.3">
      <c r="A433" s="1" t="s">
        <v>3246</v>
      </c>
      <c r="B433" t="str">
        <f t="shared" si="8"/>
        <v>NACIONAL</v>
      </c>
    </row>
    <row r="434" spans="1:2" x14ac:dyDescent="0.3">
      <c r="A434" s="2" t="s">
        <v>3246</v>
      </c>
      <c r="B434" t="str">
        <f t="shared" si="8"/>
        <v>NACIONAL</v>
      </c>
    </row>
    <row r="435" spans="1:2" x14ac:dyDescent="0.3">
      <c r="A435" s="1" t="s">
        <v>3246</v>
      </c>
      <c r="B435" t="str">
        <f t="shared" si="8"/>
        <v>NACIONAL</v>
      </c>
    </row>
    <row r="436" spans="1:2" x14ac:dyDescent="0.3">
      <c r="A436" s="2" t="s">
        <v>3246</v>
      </c>
      <c r="B436" t="str">
        <f t="shared" si="8"/>
        <v>NACIONAL</v>
      </c>
    </row>
    <row r="437" spans="1:2" x14ac:dyDescent="0.3">
      <c r="A437" s="1" t="s">
        <v>3246</v>
      </c>
      <c r="B437" t="str">
        <f t="shared" si="8"/>
        <v>NACIONAL</v>
      </c>
    </row>
    <row r="438" spans="1:2" x14ac:dyDescent="0.3">
      <c r="A438" s="2" t="s">
        <v>1880</v>
      </c>
      <c r="B438" t="str">
        <f t="shared" si="8"/>
        <v>ESTADOS UNIDOS</v>
      </c>
    </row>
    <row r="439" spans="1:2" x14ac:dyDescent="0.3">
      <c r="A439" s="1" t="s">
        <v>3246</v>
      </c>
      <c r="B439" t="str">
        <f t="shared" si="8"/>
        <v>NACIONAL</v>
      </c>
    </row>
    <row r="440" spans="1:2" x14ac:dyDescent="0.3">
      <c r="A440" s="2" t="s">
        <v>3246</v>
      </c>
      <c r="B440" t="str">
        <f t="shared" si="8"/>
        <v>NACIONAL</v>
      </c>
    </row>
    <row r="441" spans="1:2" x14ac:dyDescent="0.3">
      <c r="A441" s="1" t="s">
        <v>3246</v>
      </c>
      <c r="B441" t="str">
        <f t="shared" si="8"/>
        <v>NACIONAL</v>
      </c>
    </row>
    <row r="442" spans="1:2" x14ac:dyDescent="0.3">
      <c r="A442" s="2" t="s">
        <v>3246</v>
      </c>
      <c r="B442" t="str">
        <f t="shared" si="8"/>
        <v>NACIONAL</v>
      </c>
    </row>
    <row r="443" spans="1:2" x14ac:dyDescent="0.3">
      <c r="A443" s="1" t="s">
        <v>3246</v>
      </c>
      <c r="B443" t="str">
        <f t="shared" si="8"/>
        <v>NACIONAL</v>
      </c>
    </row>
    <row r="444" spans="1:2" x14ac:dyDescent="0.3">
      <c r="A444" s="2" t="s">
        <v>3246</v>
      </c>
      <c r="B444" t="str">
        <f t="shared" si="8"/>
        <v>NACIONAL</v>
      </c>
    </row>
    <row r="445" spans="1:2" x14ac:dyDescent="0.3">
      <c r="A445" s="1" t="s">
        <v>3246</v>
      </c>
      <c r="B445" t="str">
        <f t="shared" si="8"/>
        <v>NACIONAL</v>
      </c>
    </row>
    <row r="446" spans="1:2" x14ac:dyDescent="0.3">
      <c r="A446" s="2" t="s">
        <v>3246</v>
      </c>
      <c r="B446" t="str">
        <f t="shared" si="8"/>
        <v>NACIONAL</v>
      </c>
    </row>
    <row r="447" spans="1:2" x14ac:dyDescent="0.3">
      <c r="A447" s="1" t="s">
        <v>3246</v>
      </c>
      <c r="B447" t="str">
        <f t="shared" si="8"/>
        <v>NACIONAL</v>
      </c>
    </row>
    <row r="448" spans="1:2" x14ac:dyDescent="0.3">
      <c r="A448" s="2" t="s">
        <v>3246</v>
      </c>
      <c r="B448" t="str">
        <f t="shared" si="8"/>
        <v>NACIONAL</v>
      </c>
    </row>
    <row r="449" spans="1:2" x14ac:dyDescent="0.3">
      <c r="A449" s="1" t="s">
        <v>3246</v>
      </c>
      <c r="B449" t="str">
        <f t="shared" si="8"/>
        <v>NACIONAL</v>
      </c>
    </row>
    <row r="450" spans="1:2" x14ac:dyDescent="0.3">
      <c r="A450" s="2" t="s">
        <v>3246</v>
      </c>
      <c r="B450" t="str">
        <f t="shared" ref="B450:B513" si="9">UPPER(A450)</f>
        <v>NACIONAL</v>
      </c>
    </row>
    <row r="451" spans="1:2" x14ac:dyDescent="0.3">
      <c r="A451" s="1" t="s">
        <v>3246</v>
      </c>
      <c r="B451" t="str">
        <f t="shared" si="9"/>
        <v>NACIONAL</v>
      </c>
    </row>
    <row r="452" spans="1:2" x14ac:dyDescent="0.3">
      <c r="A452" s="2" t="s">
        <v>3246</v>
      </c>
      <c r="B452" t="str">
        <f t="shared" si="9"/>
        <v>NACIONAL</v>
      </c>
    </row>
    <row r="453" spans="1:2" x14ac:dyDescent="0.3">
      <c r="A453" s="1" t="s">
        <v>3246</v>
      </c>
      <c r="B453" t="str">
        <f t="shared" si="9"/>
        <v>NACIONAL</v>
      </c>
    </row>
    <row r="454" spans="1:2" x14ac:dyDescent="0.3">
      <c r="A454" s="2" t="s">
        <v>783</v>
      </c>
      <c r="B454" t="str">
        <f t="shared" si="9"/>
        <v>ALEMANIA</v>
      </c>
    </row>
    <row r="455" spans="1:2" x14ac:dyDescent="0.3">
      <c r="A455" s="1" t="s">
        <v>3246</v>
      </c>
      <c r="B455" t="str">
        <f t="shared" si="9"/>
        <v>NACIONAL</v>
      </c>
    </row>
    <row r="456" spans="1:2" x14ac:dyDescent="0.3">
      <c r="A456" s="2" t="s">
        <v>3246</v>
      </c>
      <c r="B456" t="str">
        <f t="shared" si="9"/>
        <v>NACIONAL</v>
      </c>
    </row>
    <row r="457" spans="1:2" x14ac:dyDescent="0.3">
      <c r="A457" s="1" t="s">
        <v>3246</v>
      </c>
      <c r="B457" t="str">
        <f t="shared" si="9"/>
        <v>NACIONAL</v>
      </c>
    </row>
    <row r="458" spans="1:2" x14ac:dyDescent="0.3">
      <c r="A458" s="2" t="s">
        <v>3246</v>
      </c>
      <c r="B458" t="str">
        <f t="shared" si="9"/>
        <v>NACIONAL</v>
      </c>
    </row>
    <row r="459" spans="1:2" x14ac:dyDescent="0.3">
      <c r="A459" s="1" t="s">
        <v>3246</v>
      </c>
      <c r="B459" t="str">
        <f t="shared" si="9"/>
        <v>NACIONAL</v>
      </c>
    </row>
    <row r="460" spans="1:2" x14ac:dyDescent="0.3">
      <c r="A460" s="2" t="s">
        <v>3246</v>
      </c>
      <c r="B460" t="str">
        <f t="shared" si="9"/>
        <v>NACIONAL</v>
      </c>
    </row>
    <row r="461" spans="1:2" x14ac:dyDescent="0.3">
      <c r="A461" s="1" t="s">
        <v>3246</v>
      </c>
      <c r="B461" t="str">
        <f t="shared" si="9"/>
        <v>NACIONAL</v>
      </c>
    </row>
    <row r="462" spans="1:2" x14ac:dyDescent="0.3">
      <c r="A462" s="2" t="s">
        <v>3246</v>
      </c>
      <c r="B462" t="str">
        <f t="shared" si="9"/>
        <v>NACIONAL</v>
      </c>
    </row>
    <row r="463" spans="1:2" x14ac:dyDescent="0.3">
      <c r="A463" s="1" t="s">
        <v>3246</v>
      </c>
      <c r="B463" t="str">
        <f t="shared" si="9"/>
        <v>NACIONAL</v>
      </c>
    </row>
    <row r="464" spans="1:2" x14ac:dyDescent="0.3">
      <c r="A464" s="2" t="s">
        <v>3246</v>
      </c>
      <c r="B464" t="str">
        <f t="shared" si="9"/>
        <v>NACIONAL</v>
      </c>
    </row>
    <row r="465" spans="1:2" x14ac:dyDescent="0.3">
      <c r="A465" s="1" t="s">
        <v>3246</v>
      </c>
      <c r="B465" t="str">
        <f t="shared" si="9"/>
        <v>NACIONAL</v>
      </c>
    </row>
    <row r="466" spans="1:2" x14ac:dyDescent="0.3">
      <c r="A466" s="2" t="s">
        <v>1457</v>
      </c>
      <c r="B466" t="str">
        <f t="shared" si="9"/>
        <v>COREA</v>
      </c>
    </row>
    <row r="467" spans="1:2" x14ac:dyDescent="0.3">
      <c r="A467" s="1" t="s">
        <v>3246</v>
      </c>
      <c r="B467" t="str">
        <f t="shared" si="9"/>
        <v>NACIONAL</v>
      </c>
    </row>
    <row r="468" spans="1:2" x14ac:dyDescent="0.3">
      <c r="A468" s="2" t="s">
        <v>3246</v>
      </c>
      <c r="B468" t="str">
        <f t="shared" si="9"/>
        <v>NACIONAL</v>
      </c>
    </row>
    <row r="469" spans="1:2" x14ac:dyDescent="0.3">
      <c r="A469" s="1" t="s">
        <v>3246</v>
      </c>
      <c r="B469" t="str">
        <f t="shared" si="9"/>
        <v>NACIONAL</v>
      </c>
    </row>
    <row r="470" spans="1:2" x14ac:dyDescent="0.3">
      <c r="A470" s="2" t="s">
        <v>3246</v>
      </c>
      <c r="B470" t="str">
        <f t="shared" si="9"/>
        <v>NACIONAL</v>
      </c>
    </row>
    <row r="471" spans="1:2" x14ac:dyDescent="0.3">
      <c r="A471" s="1" t="s">
        <v>3246</v>
      </c>
      <c r="B471" t="str">
        <f t="shared" si="9"/>
        <v>NACIONAL</v>
      </c>
    </row>
    <row r="472" spans="1:2" x14ac:dyDescent="0.3">
      <c r="A472" s="2" t="s">
        <v>3246</v>
      </c>
      <c r="B472" t="str">
        <f t="shared" si="9"/>
        <v>NACIONAL</v>
      </c>
    </row>
    <row r="473" spans="1:2" x14ac:dyDescent="0.3">
      <c r="A473" s="1" t="s">
        <v>3246</v>
      </c>
      <c r="B473" t="str">
        <f t="shared" si="9"/>
        <v>NACIONAL</v>
      </c>
    </row>
    <row r="474" spans="1:2" x14ac:dyDescent="0.3">
      <c r="A474" s="2" t="s">
        <v>3246</v>
      </c>
      <c r="B474" t="str">
        <f t="shared" si="9"/>
        <v>NACIONAL</v>
      </c>
    </row>
    <row r="475" spans="1:2" x14ac:dyDescent="0.3">
      <c r="A475" s="1" t="s">
        <v>3246</v>
      </c>
      <c r="B475" t="str">
        <f t="shared" si="9"/>
        <v>NACIONAL</v>
      </c>
    </row>
    <row r="476" spans="1:2" x14ac:dyDescent="0.3">
      <c r="A476" s="2" t="s">
        <v>3246</v>
      </c>
      <c r="B476" t="str">
        <f t="shared" si="9"/>
        <v>NACIONAL</v>
      </c>
    </row>
    <row r="477" spans="1:2" x14ac:dyDescent="0.3">
      <c r="A477" s="1" t="s">
        <v>3246</v>
      </c>
      <c r="B477" t="str">
        <f t="shared" si="9"/>
        <v>NACIONAL</v>
      </c>
    </row>
    <row r="478" spans="1:2" x14ac:dyDescent="0.3">
      <c r="A478" s="2" t="s">
        <v>3246</v>
      </c>
      <c r="B478" t="str">
        <f t="shared" si="9"/>
        <v>NACIONAL</v>
      </c>
    </row>
    <row r="479" spans="1:2" x14ac:dyDescent="0.3">
      <c r="A479" s="1" t="s">
        <v>3246</v>
      </c>
      <c r="B479" t="str">
        <f t="shared" si="9"/>
        <v>NACIONAL</v>
      </c>
    </row>
    <row r="480" spans="1:2" x14ac:dyDescent="0.3">
      <c r="A480" s="2" t="s">
        <v>3246</v>
      </c>
      <c r="B480" t="str">
        <f t="shared" si="9"/>
        <v>NACIONAL</v>
      </c>
    </row>
    <row r="481" spans="1:2" x14ac:dyDescent="0.3">
      <c r="A481" s="1" t="s">
        <v>3246</v>
      </c>
      <c r="B481" t="str">
        <f t="shared" si="9"/>
        <v>NACIONAL</v>
      </c>
    </row>
    <row r="482" spans="1:2" x14ac:dyDescent="0.3">
      <c r="A482" s="2" t="s">
        <v>3246</v>
      </c>
      <c r="B482" t="str">
        <f t="shared" si="9"/>
        <v>NACIONAL</v>
      </c>
    </row>
    <row r="483" spans="1:2" x14ac:dyDescent="0.3">
      <c r="A483" s="1" t="s">
        <v>3246</v>
      </c>
      <c r="B483" t="str">
        <f t="shared" si="9"/>
        <v>NACIONAL</v>
      </c>
    </row>
    <row r="484" spans="1:2" x14ac:dyDescent="0.3">
      <c r="A484" s="2" t="s">
        <v>3246</v>
      </c>
      <c r="B484" t="str">
        <f t="shared" si="9"/>
        <v>NACIONAL</v>
      </c>
    </row>
    <row r="485" spans="1:2" x14ac:dyDescent="0.3">
      <c r="A485" s="1" t="s">
        <v>3246</v>
      </c>
      <c r="B485" t="str">
        <f t="shared" si="9"/>
        <v>NACIONAL</v>
      </c>
    </row>
    <row r="486" spans="1:2" x14ac:dyDescent="0.3">
      <c r="A486" s="2" t="s">
        <v>3246</v>
      </c>
      <c r="B486" t="str">
        <f t="shared" si="9"/>
        <v>NACIONAL</v>
      </c>
    </row>
    <row r="487" spans="1:2" x14ac:dyDescent="0.3">
      <c r="A487" s="1" t="s">
        <v>3246</v>
      </c>
      <c r="B487" t="str">
        <f t="shared" si="9"/>
        <v>NACIONAL</v>
      </c>
    </row>
    <row r="488" spans="1:2" x14ac:dyDescent="0.3">
      <c r="A488" s="2" t="s">
        <v>3246</v>
      </c>
      <c r="B488" t="str">
        <f t="shared" si="9"/>
        <v>NACIONAL</v>
      </c>
    </row>
    <row r="489" spans="1:2" x14ac:dyDescent="0.3">
      <c r="A489" s="1" t="s">
        <v>3246</v>
      </c>
      <c r="B489" t="str">
        <f t="shared" si="9"/>
        <v>NACIONAL</v>
      </c>
    </row>
    <row r="490" spans="1:2" x14ac:dyDescent="0.3">
      <c r="A490" s="2" t="s">
        <v>3246</v>
      </c>
      <c r="B490" t="str">
        <f t="shared" si="9"/>
        <v>NACIONAL</v>
      </c>
    </row>
    <row r="491" spans="1:2" x14ac:dyDescent="0.3">
      <c r="A491" s="1" t="s">
        <v>3246</v>
      </c>
      <c r="B491" t="str">
        <f t="shared" si="9"/>
        <v>NACIONAL</v>
      </c>
    </row>
    <row r="492" spans="1:2" x14ac:dyDescent="0.3">
      <c r="A492" s="2" t="s">
        <v>3246</v>
      </c>
      <c r="B492" t="str">
        <f t="shared" si="9"/>
        <v>NACIONAL</v>
      </c>
    </row>
    <row r="493" spans="1:2" x14ac:dyDescent="0.3">
      <c r="A493" s="1" t="s">
        <v>3246</v>
      </c>
      <c r="B493" t="str">
        <f t="shared" si="9"/>
        <v>NACIONAL</v>
      </c>
    </row>
    <row r="494" spans="1:2" x14ac:dyDescent="0.3">
      <c r="A494" s="2" t="s">
        <v>3246</v>
      </c>
      <c r="B494" t="str">
        <f t="shared" si="9"/>
        <v>NACIONAL</v>
      </c>
    </row>
    <row r="495" spans="1:2" x14ac:dyDescent="0.3">
      <c r="A495" s="1" t="s">
        <v>3246</v>
      </c>
      <c r="B495" t="str">
        <f t="shared" si="9"/>
        <v>NACIONAL</v>
      </c>
    </row>
    <row r="496" spans="1:2" x14ac:dyDescent="0.3">
      <c r="A496" s="2" t="s">
        <v>3246</v>
      </c>
      <c r="B496" t="str">
        <f t="shared" si="9"/>
        <v>NACIONAL</v>
      </c>
    </row>
    <row r="497" spans="1:2" x14ac:dyDescent="0.3">
      <c r="A497" s="1" t="s">
        <v>3246</v>
      </c>
      <c r="B497" t="str">
        <f t="shared" si="9"/>
        <v>NACIONAL</v>
      </c>
    </row>
    <row r="498" spans="1:2" x14ac:dyDescent="0.3">
      <c r="A498" s="2" t="s">
        <v>3246</v>
      </c>
      <c r="B498" t="str">
        <f t="shared" si="9"/>
        <v>NACIONAL</v>
      </c>
    </row>
    <row r="499" spans="1:2" x14ac:dyDescent="0.3">
      <c r="A499" s="1" t="s">
        <v>186</v>
      </c>
      <c r="B499" t="str">
        <f t="shared" si="9"/>
        <v>INDIA</v>
      </c>
    </row>
    <row r="500" spans="1:2" x14ac:dyDescent="0.3">
      <c r="A500" s="2" t="s">
        <v>3246</v>
      </c>
      <c r="B500" t="str">
        <f t="shared" si="9"/>
        <v>NACIONAL</v>
      </c>
    </row>
    <row r="501" spans="1:2" x14ac:dyDescent="0.3">
      <c r="A501" s="1" t="s">
        <v>3246</v>
      </c>
      <c r="B501" t="str">
        <f t="shared" si="9"/>
        <v>NACIONAL</v>
      </c>
    </row>
    <row r="502" spans="1:2" x14ac:dyDescent="0.3">
      <c r="A502" s="2" t="s">
        <v>3246</v>
      </c>
      <c r="B502" t="str">
        <f t="shared" si="9"/>
        <v>NACIONAL</v>
      </c>
    </row>
    <row r="503" spans="1:2" x14ac:dyDescent="0.3">
      <c r="A503" s="1" t="s">
        <v>3246</v>
      </c>
      <c r="B503" t="str">
        <f t="shared" si="9"/>
        <v>NACIONAL</v>
      </c>
    </row>
    <row r="504" spans="1:2" x14ac:dyDescent="0.3">
      <c r="A504" s="2" t="s">
        <v>3246</v>
      </c>
      <c r="B504" t="str">
        <f t="shared" si="9"/>
        <v>NACIONAL</v>
      </c>
    </row>
    <row r="505" spans="1:2" x14ac:dyDescent="0.3">
      <c r="A505" s="1" t="s">
        <v>3246</v>
      </c>
      <c r="B505" t="str">
        <f t="shared" si="9"/>
        <v>NACIONAL</v>
      </c>
    </row>
    <row r="506" spans="1:2" x14ac:dyDescent="0.3">
      <c r="A506" s="2" t="s">
        <v>3246</v>
      </c>
      <c r="B506" t="str">
        <f t="shared" si="9"/>
        <v>NACIONAL</v>
      </c>
    </row>
    <row r="507" spans="1:2" x14ac:dyDescent="0.3">
      <c r="A507" s="1" t="s">
        <v>3246</v>
      </c>
      <c r="B507" t="str">
        <f t="shared" si="9"/>
        <v>NACIONAL</v>
      </c>
    </row>
    <row r="508" spans="1:2" x14ac:dyDescent="0.3">
      <c r="A508" s="2" t="s">
        <v>783</v>
      </c>
      <c r="B508" t="str">
        <f t="shared" si="9"/>
        <v>ALEMANIA</v>
      </c>
    </row>
    <row r="509" spans="1:2" x14ac:dyDescent="0.3">
      <c r="A509" s="1" t="s">
        <v>3246</v>
      </c>
      <c r="B509" t="str">
        <f t="shared" si="9"/>
        <v>NACIONAL</v>
      </c>
    </row>
    <row r="510" spans="1:2" x14ac:dyDescent="0.3">
      <c r="A510" s="2" t="s">
        <v>3246</v>
      </c>
      <c r="B510" t="str">
        <f t="shared" si="9"/>
        <v>NACIONAL</v>
      </c>
    </row>
    <row r="511" spans="1:2" x14ac:dyDescent="0.3">
      <c r="A511" s="1" t="s">
        <v>3246</v>
      </c>
      <c r="B511" t="str">
        <f t="shared" si="9"/>
        <v>NACIONAL</v>
      </c>
    </row>
    <row r="512" spans="1:2" x14ac:dyDescent="0.3">
      <c r="A512" s="2" t="s">
        <v>3246</v>
      </c>
      <c r="B512" t="str">
        <f t="shared" si="9"/>
        <v>NACIONAL</v>
      </c>
    </row>
    <row r="513" spans="1:2" x14ac:dyDescent="0.3">
      <c r="A513" s="1" t="s">
        <v>3246</v>
      </c>
      <c r="B513" t="str">
        <f t="shared" si="9"/>
        <v>NACIONAL</v>
      </c>
    </row>
    <row r="514" spans="1:2" x14ac:dyDescent="0.3">
      <c r="A514" s="2" t="s">
        <v>3246</v>
      </c>
      <c r="B514" t="str">
        <f t="shared" ref="B514:B577" si="10">UPPER(A514)</f>
        <v>NACIONAL</v>
      </c>
    </row>
    <row r="515" spans="1:2" x14ac:dyDescent="0.3">
      <c r="A515" s="1" t="s">
        <v>3246</v>
      </c>
      <c r="B515" t="str">
        <f t="shared" si="10"/>
        <v>NACIONAL</v>
      </c>
    </row>
    <row r="516" spans="1:2" x14ac:dyDescent="0.3">
      <c r="A516" s="2" t="s">
        <v>3246</v>
      </c>
      <c r="B516" t="str">
        <f t="shared" si="10"/>
        <v>NACIONAL</v>
      </c>
    </row>
    <row r="517" spans="1:2" x14ac:dyDescent="0.3">
      <c r="A517" s="1" t="s">
        <v>3246</v>
      </c>
      <c r="B517" t="str">
        <f t="shared" si="10"/>
        <v>NACIONAL</v>
      </c>
    </row>
    <row r="518" spans="1:2" x14ac:dyDescent="0.3">
      <c r="A518" s="2" t="s">
        <v>3246</v>
      </c>
      <c r="B518" t="str">
        <f t="shared" si="10"/>
        <v>NACIONAL</v>
      </c>
    </row>
    <row r="519" spans="1:2" x14ac:dyDescent="0.3">
      <c r="A519" s="1" t="s">
        <v>3246</v>
      </c>
      <c r="B519" t="str">
        <f t="shared" si="10"/>
        <v>NACIONAL</v>
      </c>
    </row>
    <row r="520" spans="1:2" x14ac:dyDescent="0.3">
      <c r="A520" s="2" t="s">
        <v>3246</v>
      </c>
      <c r="B520" t="str">
        <f t="shared" si="10"/>
        <v>NACIONAL</v>
      </c>
    </row>
    <row r="521" spans="1:2" x14ac:dyDescent="0.3">
      <c r="A521" s="1" t="s">
        <v>3246</v>
      </c>
      <c r="B521" t="str">
        <f t="shared" si="10"/>
        <v>NACIONAL</v>
      </c>
    </row>
    <row r="522" spans="1:2" x14ac:dyDescent="0.3">
      <c r="A522" s="2" t="s">
        <v>3246</v>
      </c>
      <c r="B522" t="str">
        <f t="shared" si="10"/>
        <v>NACIONAL</v>
      </c>
    </row>
    <row r="523" spans="1:2" x14ac:dyDescent="0.3">
      <c r="A523" s="1" t="s">
        <v>3246</v>
      </c>
      <c r="B523" t="str">
        <f t="shared" si="10"/>
        <v>NACIONAL</v>
      </c>
    </row>
    <row r="524" spans="1:2" x14ac:dyDescent="0.3">
      <c r="A524" s="2" t="s">
        <v>3246</v>
      </c>
      <c r="B524" t="str">
        <f t="shared" si="10"/>
        <v>NACIONAL</v>
      </c>
    </row>
    <row r="525" spans="1:2" x14ac:dyDescent="0.3">
      <c r="A525" s="1" t="s">
        <v>3246</v>
      </c>
      <c r="B525" t="str">
        <f t="shared" si="10"/>
        <v>NACIONAL</v>
      </c>
    </row>
    <row r="526" spans="1:2" x14ac:dyDescent="0.3">
      <c r="A526" s="2" t="s">
        <v>3246</v>
      </c>
      <c r="B526" t="str">
        <f t="shared" si="10"/>
        <v>NACIONAL</v>
      </c>
    </row>
    <row r="527" spans="1:2" x14ac:dyDescent="0.3">
      <c r="A527" s="1" t="s">
        <v>1613</v>
      </c>
      <c r="B527" t="str">
        <f t="shared" si="10"/>
        <v>ITALIA</v>
      </c>
    </row>
    <row r="528" spans="1:2" x14ac:dyDescent="0.3">
      <c r="A528" s="2" t="s">
        <v>3246</v>
      </c>
      <c r="B528" t="str">
        <f t="shared" si="10"/>
        <v>NACIONAL</v>
      </c>
    </row>
    <row r="529" spans="1:2" x14ac:dyDescent="0.3">
      <c r="A529" s="1" t="s">
        <v>3246</v>
      </c>
      <c r="B529" t="str">
        <f t="shared" si="10"/>
        <v>NACIONAL</v>
      </c>
    </row>
    <row r="530" spans="1:2" x14ac:dyDescent="0.3">
      <c r="A530" s="2" t="s">
        <v>3246</v>
      </c>
      <c r="B530" t="str">
        <f t="shared" si="10"/>
        <v>NACIONAL</v>
      </c>
    </row>
    <row r="531" spans="1:2" x14ac:dyDescent="0.3">
      <c r="A531" s="1" t="s">
        <v>3246</v>
      </c>
      <c r="B531" t="str">
        <f t="shared" si="10"/>
        <v>NACIONAL</v>
      </c>
    </row>
    <row r="532" spans="1:2" x14ac:dyDescent="0.3">
      <c r="A532" s="2" t="s">
        <v>3246</v>
      </c>
      <c r="B532" t="str">
        <f t="shared" si="10"/>
        <v>NACIONAL</v>
      </c>
    </row>
    <row r="533" spans="1:2" x14ac:dyDescent="0.3">
      <c r="A533" s="1" t="s">
        <v>3246</v>
      </c>
      <c r="B533" t="str">
        <f t="shared" si="10"/>
        <v>NACIONAL</v>
      </c>
    </row>
    <row r="534" spans="1:2" x14ac:dyDescent="0.3">
      <c r="A534" s="2" t="s">
        <v>3246</v>
      </c>
      <c r="B534" t="str">
        <f t="shared" si="10"/>
        <v>NACIONAL</v>
      </c>
    </row>
    <row r="535" spans="1:2" x14ac:dyDescent="0.3">
      <c r="A535" s="1" t="s">
        <v>3246</v>
      </c>
      <c r="B535" t="str">
        <f t="shared" si="10"/>
        <v>NACIONAL</v>
      </c>
    </row>
    <row r="536" spans="1:2" x14ac:dyDescent="0.3">
      <c r="A536" s="2" t="s">
        <v>3246</v>
      </c>
      <c r="B536" t="str">
        <f t="shared" si="10"/>
        <v>NACIONAL</v>
      </c>
    </row>
    <row r="537" spans="1:2" x14ac:dyDescent="0.3">
      <c r="A537" s="1" t="s">
        <v>3246</v>
      </c>
      <c r="B537" t="str">
        <f t="shared" si="10"/>
        <v>NACIONAL</v>
      </c>
    </row>
    <row r="538" spans="1:2" x14ac:dyDescent="0.3">
      <c r="A538" s="2" t="s">
        <v>3246</v>
      </c>
      <c r="B538" t="str">
        <f t="shared" si="10"/>
        <v>NACIONAL</v>
      </c>
    </row>
    <row r="539" spans="1:2" x14ac:dyDescent="0.3">
      <c r="A539" s="1" t="s">
        <v>783</v>
      </c>
      <c r="B539" t="str">
        <f t="shared" si="10"/>
        <v>ALEMANIA</v>
      </c>
    </row>
    <row r="540" spans="1:2" x14ac:dyDescent="0.3">
      <c r="A540" s="2" t="s">
        <v>3246</v>
      </c>
      <c r="B540" t="str">
        <f t="shared" si="10"/>
        <v>NACIONAL</v>
      </c>
    </row>
    <row r="541" spans="1:2" x14ac:dyDescent="0.3">
      <c r="A541" s="1" t="s">
        <v>3246</v>
      </c>
      <c r="B541" t="str">
        <f t="shared" si="10"/>
        <v>NACIONAL</v>
      </c>
    </row>
    <row r="542" spans="1:2" x14ac:dyDescent="0.3">
      <c r="A542" s="2" t="s">
        <v>3246</v>
      </c>
      <c r="B542" t="str">
        <f t="shared" si="10"/>
        <v>NACIONAL</v>
      </c>
    </row>
    <row r="543" spans="1:2" x14ac:dyDescent="0.3">
      <c r="A543" s="1" t="s">
        <v>3246</v>
      </c>
      <c r="B543" t="str">
        <f t="shared" si="10"/>
        <v>NACIONAL</v>
      </c>
    </row>
    <row r="544" spans="1:2" x14ac:dyDescent="0.3">
      <c r="A544" s="2" t="s">
        <v>3246</v>
      </c>
      <c r="B544" t="str">
        <f t="shared" si="10"/>
        <v>NACIONAL</v>
      </c>
    </row>
    <row r="545" spans="1:2" x14ac:dyDescent="0.3">
      <c r="A545" s="1" t="s">
        <v>3246</v>
      </c>
      <c r="B545" t="str">
        <f t="shared" si="10"/>
        <v>NACIONAL</v>
      </c>
    </row>
    <row r="546" spans="1:2" x14ac:dyDescent="0.3">
      <c r="A546" s="2" t="s">
        <v>3246</v>
      </c>
      <c r="B546" t="str">
        <f t="shared" si="10"/>
        <v>NACIONAL</v>
      </c>
    </row>
    <row r="547" spans="1:2" x14ac:dyDescent="0.3">
      <c r="A547" s="1" t="s">
        <v>3246</v>
      </c>
      <c r="B547" t="str">
        <f t="shared" si="10"/>
        <v>NACIONAL</v>
      </c>
    </row>
    <row r="548" spans="1:2" x14ac:dyDescent="0.3">
      <c r="A548" s="2" t="s">
        <v>3246</v>
      </c>
      <c r="B548" t="str">
        <f t="shared" si="10"/>
        <v>NACIONAL</v>
      </c>
    </row>
    <row r="549" spans="1:2" x14ac:dyDescent="0.3">
      <c r="A549" s="1" t="s">
        <v>3246</v>
      </c>
      <c r="B549" t="str">
        <f t="shared" si="10"/>
        <v>NACIONAL</v>
      </c>
    </row>
    <row r="550" spans="1:2" x14ac:dyDescent="0.3">
      <c r="A550" s="2" t="s">
        <v>3246</v>
      </c>
      <c r="B550" t="str">
        <f t="shared" si="10"/>
        <v>NACIONAL</v>
      </c>
    </row>
    <row r="551" spans="1:2" x14ac:dyDescent="0.3">
      <c r="A551" s="1" t="s">
        <v>3246</v>
      </c>
      <c r="B551" t="str">
        <f t="shared" si="10"/>
        <v>NACIONAL</v>
      </c>
    </row>
    <row r="552" spans="1:2" x14ac:dyDescent="0.3">
      <c r="A552" s="2" t="s">
        <v>3246</v>
      </c>
      <c r="B552" t="str">
        <f t="shared" si="10"/>
        <v>NACIONAL</v>
      </c>
    </row>
    <row r="553" spans="1:2" x14ac:dyDescent="0.3">
      <c r="A553" s="1" t="s">
        <v>3246</v>
      </c>
      <c r="B553" t="str">
        <f t="shared" si="10"/>
        <v>NACIONAL</v>
      </c>
    </row>
    <row r="554" spans="1:2" x14ac:dyDescent="0.3">
      <c r="A554" s="2" t="s">
        <v>3246</v>
      </c>
      <c r="B554" t="str">
        <f t="shared" si="10"/>
        <v>NACIONAL</v>
      </c>
    </row>
    <row r="555" spans="1:2" x14ac:dyDescent="0.3">
      <c r="A555" s="1" t="s">
        <v>3246</v>
      </c>
      <c r="B555" t="str">
        <f t="shared" si="10"/>
        <v>NACIONAL</v>
      </c>
    </row>
    <row r="556" spans="1:2" x14ac:dyDescent="0.3">
      <c r="A556" s="2" t="s">
        <v>3246</v>
      </c>
      <c r="B556" t="str">
        <f t="shared" si="10"/>
        <v>NACIONAL</v>
      </c>
    </row>
    <row r="557" spans="1:2" x14ac:dyDescent="0.3">
      <c r="A557" s="1" t="s">
        <v>3246</v>
      </c>
      <c r="B557" t="str">
        <f t="shared" si="10"/>
        <v>NACIONAL</v>
      </c>
    </row>
    <row r="558" spans="1:2" x14ac:dyDescent="0.3">
      <c r="A558" s="2" t="s">
        <v>3246</v>
      </c>
      <c r="B558" t="str">
        <f t="shared" si="10"/>
        <v>NACIONAL</v>
      </c>
    </row>
    <row r="559" spans="1:2" x14ac:dyDescent="0.3">
      <c r="A559" s="1" t="s">
        <v>1293</v>
      </c>
      <c r="B559" t="str">
        <f t="shared" si="10"/>
        <v>PUERTO RICO</v>
      </c>
    </row>
    <row r="560" spans="1:2" x14ac:dyDescent="0.3">
      <c r="A560" s="2" t="s">
        <v>1301</v>
      </c>
      <c r="B560" t="str">
        <f t="shared" si="10"/>
        <v>BRASIL</v>
      </c>
    </row>
    <row r="561" spans="1:2" x14ac:dyDescent="0.3">
      <c r="A561" s="1" t="s">
        <v>3246</v>
      </c>
      <c r="B561" t="str">
        <f t="shared" si="10"/>
        <v>NACIONAL</v>
      </c>
    </row>
    <row r="562" spans="1:2" x14ac:dyDescent="0.3">
      <c r="A562" s="2" t="s">
        <v>1312</v>
      </c>
      <c r="B562" t="str">
        <f t="shared" si="10"/>
        <v>CANADA</v>
      </c>
    </row>
    <row r="563" spans="1:2" x14ac:dyDescent="0.3">
      <c r="A563" s="1" t="s">
        <v>3246</v>
      </c>
      <c r="B563" t="str">
        <f t="shared" si="10"/>
        <v>NACIONAL</v>
      </c>
    </row>
    <row r="564" spans="1:2" x14ac:dyDescent="0.3">
      <c r="A564" s="2" t="s">
        <v>3246</v>
      </c>
      <c r="B564" t="str">
        <f t="shared" si="10"/>
        <v>NACIONAL</v>
      </c>
    </row>
    <row r="565" spans="1:2" x14ac:dyDescent="0.3">
      <c r="A565" s="1" t="s">
        <v>3246</v>
      </c>
      <c r="B565" t="str">
        <f t="shared" si="10"/>
        <v>NACIONAL</v>
      </c>
    </row>
    <row r="566" spans="1:2" x14ac:dyDescent="0.3">
      <c r="A566" s="2" t="s">
        <v>3246</v>
      </c>
      <c r="B566" t="str">
        <f t="shared" si="10"/>
        <v>NACIONAL</v>
      </c>
    </row>
    <row r="567" spans="1:2" x14ac:dyDescent="0.3">
      <c r="A567" s="1" t="s">
        <v>3246</v>
      </c>
      <c r="B567" t="str">
        <f t="shared" si="10"/>
        <v>NACIONAL</v>
      </c>
    </row>
    <row r="568" spans="1:2" x14ac:dyDescent="0.3">
      <c r="A568" s="2" t="s">
        <v>3246</v>
      </c>
      <c r="B568" t="str">
        <f t="shared" si="10"/>
        <v>NACIONAL</v>
      </c>
    </row>
    <row r="569" spans="1:2" x14ac:dyDescent="0.3">
      <c r="A569" s="1" t="s">
        <v>3246</v>
      </c>
      <c r="B569" t="str">
        <f t="shared" si="10"/>
        <v>NACIONAL</v>
      </c>
    </row>
    <row r="570" spans="1:2" x14ac:dyDescent="0.3">
      <c r="A570" s="2" t="s">
        <v>3246</v>
      </c>
      <c r="B570" t="str">
        <f t="shared" si="10"/>
        <v>NACIONAL</v>
      </c>
    </row>
    <row r="571" spans="1:2" x14ac:dyDescent="0.3">
      <c r="A571" s="1" t="s">
        <v>3246</v>
      </c>
      <c r="B571" t="str">
        <f t="shared" si="10"/>
        <v>NACIONAL</v>
      </c>
    </row>
    <row r="572" spans="1:2" x14ac:dyDescent="0.3">
      <c r="A572" s="2" t="s">
        <v>3246</v>
      </c>
      <c r="B572" t="str">
        <f t="shared" si="10"/>
        <v>NACIONAL</v>
      </c>
    </row>
    <row r="573" spans="1:2" x14ac:dyDescent="0.3">
      <c r="A573" s="1" t="s">
        <v>3246</v>
      </c>
      <c r="B573" t="str">
        <f t="shared" si="10"/>
        <v>NACIONAL</v>
      </c>
    </row>
    <row r="574" spans="1:2" x14ac:dyDescent="0.3">
      <c r="A574" s="2" t="s">
        <v>3246</v>
      </c>
      <c r="B574" t="str">
        <f t="shared" si="10"/>
        <v>NACIONAL</v>
      </c>
    </row>
    <row r="575" spans="1:2" x14ac:dyDescent="0.3">
      <c r="A575" s="1" t="s">
        <v>3246</v>
      </c>
      <c r="B575" t="str">
        <f t="shared" si="10"/>
        <v>NACIONAL</v>
      </c>
    </row>
    <row r="576" spans="1:2" x14ac:dyDescent="0.3">
      <c r="A576" s="2" t="s">
        <v>3246</v>
      </c>
      <c r="B576" t="str">
        <f t="shared" si="10"/>
        <v>NACIONAL</v>
      </c>
    </row>
    <row r="577" spans="1:2" x14ac:dyDescent="0.3">
      <c r="A577" s="1" t="s">
        <v>3246</v>
      </c>
      <c r="B577" t="str">
        <f t="shared" si="10"/>
        <v>NACIONAL</v>
      </c>
    </row>
    <row r="578" spans="1:2" x14ac:dyDescent="0.3">
      <c r="A578" s="2" t="s">
        <v>3246</v>
      </c>
      <c r="B578" t="str">
        <f t="shared" ref="B578:B641" si="11">UPPER(A578)</f>
        <v>NACIONAL</v>
      </c>
    </row>
    <row r="579" spans="1:2" x14ac:dyDescent="0.3">
      <c r="A579" s="1" t="s">
        <v>3246</v>
      </c>
      <c r="B579" t="str">
        <f t="shared" si="11"/>
        <v>NACIONAL</v>
      </c>
    </row>
    <row r="580" spans="1:2" x14ac:dyDescent="0.3">
      <c r="A580" s="2" t="s">
        <v>408</v>
      </c>
      <c r="B580" t="str">
        <f t="shared" si="11"/>
        <v>ARGENTINA</v>
      </c>
    </row>
    <row r="581" spans="1:2" x14ac:dyDescent="0.3">
      <c r="A581" s="1" t="s">
        <v>3246</v>
      </c>
      <c r="B581" t="str">
        <f t="shared" si="11"/>
        <v>NACIONAL</v>
      </c>
    </row>
    <row r="582" spans="1:2" x14ac:dyDescent="0.3">
      <c r="A582" s="2" t="s">
        <v>3246</v>
      </c>
      <c r="B582" t="str">
        <f t="shared" si="11"/>
        <v>NACIONAL</v>
      </c>
    </row>
    <row r="583" spans="1:2" x14ac:dyDescent="0.3">
      <c r="A583" s="1" t="s">
        <v>3246</v>
      </c>
      <c r="B583" t="str">
        <f t="shared" si="11"/>
        <v>NACIONAL</v>
      </c>
    </row>
    <row r="584" spans="1:2" x14ac:dyDescent="0.3">
      <c r="A584" s="2" t="s">
        <v>3246</v>
      </c>
      <c r="B584" t="str">
        <f t="shared" si="11"/>
        <v>NACIONAL</v>
      </c>
    </row>
    <row r="585" spans="1:2" x14ac:dyDescent="0.3">
      <c r="A585" s="1" t="s">
        <v>3246</v>
      </c>
      <c r="B585" t="str">
        <f t="shared" si="11"/>
        <v>NACIONAL</v>
      </c>
    </row>
    <row r="586" spans="1:2" x14ac:dyDescent="0.3">
      <c r="A586" s="2" t="s">
        <v>3246</v>
      </c>
      <c r="B586" t="str">
        <f t="shared" si="11"/>
        <v>NACIONAL</v>
      </c>
    </row>
    <row r="587" spans="1:2" x14ac:dyDescent="0.3">
      <c r="A587" s="1" t="s">
        <v>3246</v>
      </c>
      <c r="B587" t="str">
        <f t="shared" si="11"/>
        <v>NACIONAL</v>
      </c>
    </row>
    <row r="588" spans="1:2" x14ac:dyDescent="0.3">
      <c r="A588" s="2" t="s">
        <v>3246</v>
      </c>
      <c r="B588" t="str">
        <f t="shared" si="11"/>
        <v>NACIONAL</v>
      </c>
    </row>
    <row r="589" spans="1:2" x14ac:dyDescent="0.3">
      <c r="A589" s="1" t="s">
        <v>3246</v>
      </c>
      <c r="B589" t="str">
        <f t="shared" si="11"/>
        <v>NACIONAL</v>
      </c>
    </row>
    <row r="590" spans="1:2" x14ac:dyDescent="0.3">
      <c r="A590" s="2" t="s">
        <v>3246</v>
      </c>
      <c r="B590" t="str">
        <f t="shared" si="11"/>
        <v>NACIONAL</v>
      </c>
    </row>
    <row r="591" spans="1:2" x14ac:dyDescent="0.3">
      <c r="A591" s="1" t="s">
        <v>3246</v>
      </c>
      <c r="B591" t="str">
        <f t="shared" si="11"/>
        <v>NACIONAL</v>
      </c>
    </row>
    <row r="592" spans="1:2" x14ac:dyDescent="0.3">
      <c r="A592" s="2" t="s">
        <v>200</v>
      </c>
      <c r="B592" t="str">
        <f t="shared" si="11"/>
        <v>SUIZA</v>
      </c>
    </row>
    <row r="593" spans="1:2" x14ac:dyDescent="0.3">
      <c r="A593" s="1" t="s">
        <v>3246</v>
      </c>
      <c r="B593" t="str">
        <f t="shared" si="11"/>
        <v>NACIONAL</v>
      </c>
    </row>
    <row r="594" spans="1:2" x14ac:dyDescent="0.3">
      <c r="A594" s="2" t="s">
        <v>3246</v>
      </c>
      <c r="B594" t="str">
        <f t="shared" si="11"/>
        <v>NACIONAL</v>
      </c>
    </row>
    <row r="595" spans="1:2" x14ac:dyDescent="0.3">
      <c r="A595" s="1" t="s">
        <v>3246</v>
      </c>
      <c r="B595" t="str">
        <f t="shared" si="11"/>
        <v>NACIONAL</v>
      </c>
    </row>
    <row r="596" spans="1:2" x14ac:dyDescent="0.3">
      <c r="A596" s="2" t="s">
        <v>3246</v>
      </c>
      <c r="B596" t="str">
        <f t="shared" si="11"/>
        <v>NACIONAL</v>
      </c>
    </row>
    <row r="597" spans="1:2" x14ac:dyDescent="0.3">
      <c r="A597" s="1" t="s">
        <v>3246</v>
      </c>
      <c r="B597" t="str">
        <f t="shared" si="11"/>
        <v>NACIONAL</v>
      </c>
    </row>
    <row r="598" spans="1:2" x14ac:dyDescent="0.3">
      <c r="A598" s="2" t="s">
        <v>3246</v>
      </c>
      <c r="B598" t="str">
        <f t="shared" si="11"/>
        <v>NACIONAL</v>
      </c>
    </row>
    <row r="599" spans="1:2" x14ac:dyDescent="0.3">
      <c r="A599" s="1" t="s">
        <v>3246</v>
      </c>
      <c r="B599" t="str">
        <f t="shared" si="11"/>
        <v>NACIONAL</v>
      </c>
    </row>
    <row r="600" spans="1:2" x14ac:dyDescent="0.3">
      <c r="A600" s="2" t="s">
        <v>3246</v>
      </c>
      <c r="B600" t="str">
        <f t="shared" si="11"/>
        <v>NACIONAL</v>
      </c>
    </row>
    <row r="601" spans="1:2" x14ac:dyDescent="0.3">
      <c r="A601" s="1" t="s">
        <v>3246</v>
      </c>
      <c r="B601" t="str">
        <f t="shared" si="11"/>
        <v>NACIONAL</v>
      </c>
    </row>
    <row r="602" spans="1:2" x14ac:dyDescent="0.3">
      <c r="A602" s="2" t="s">
        <v>3246</v>
      </c>
      <c r="B602" t="str">
        <f t="shared" si="11"/>
        <v>NACIONAL</v>
      </c>
    </row>
    <row r="603" spans="1:2" x14ac:dyDescent="0.3">
      <c r="A603" s="1" t="s">
        <v>3246</v>
      </c>
      <c r="B603" t="str">
        <f t="shared" si="11"/>
        <v>NACIONAL</v>
      </c>
    </row>
    <row r="604" spans="1:2" x14ac:dyDescent="0.3">
      <c r="A604" s="2" t="s">
        <v>3246</v>
      </c>
      <c r="B604" t="str">
        <f t="shared" si="11"/>
        <v>NACIONAL</v>
      </c>
    </row>
    <row r="605" spans="1:2" x14ac:dyDescent="0.3">
      <c r="A605" s="1" t="s">
        <v>1056</v>
      </c>
      <c r="B605" t="str">
        <f t="shared" si="11"/>
        <v>ALEMANIA</v>
      </c>
    </row>
    <row r="606" spans="1:2" x14ac:dyDescent="0.3">
      <c r="A606" s="2" t="s">
        <v>3246</v>
      </c>
      <c r="B606" t="str">
        <f t="shared" si="11"/>
        <v>NACIONAL</v>
      </c>
    </row>
    <row r="607" spans="1:2" x14ac:dyDescent="0.3">
      <c r="A607" s="1" t="s">
        <v>316</v>
      </c>
      <c r="B607" t="str">
        <f t="shared" si="11"/>
        <v>ESPAÑA</v>
      </c>
    </row>
    <row r="608" spans="1:2" x14ac:dyDescent="0.3">
      <c r="A608" s="2" t="s">
        <v>3246</v>
      </c>
      <c r="B608" t="str">
        <f t="shared" si="11"/>
        <v>NACIONAL</v>
      </c>
    </row>
    <row r="609" spans="1:2" x14ac:dyDescent="0.3">
      <c r="A609" s="1" t="s">
        <v>3246</v>
      </c>
      <c r="B609" t="str">
        <f t="shared" si="11"/>
        <v>NACIONAL</v>
      </c>
    </row>
    <row r="610" spans="1:2" x14ac:dyDescent="0.3">
      <c r="A610" s="2" t="s">
        <v>3246</v>
      </c>
      <c r="B610" t="str">
        <f t="shared" si="11"/>
        <v>NACIONAL</v>
      </c>
    </row>
    <row r="611" spans="1:2" x14ac:dyDescent="0.3">
      <c r="A611" s="1" t="s">
        <v>3246</v>
      </c>
      <c r="B611" t="str">
        <f t="shared" si="11"/>
        <v>NACIONAL</v>
      </c>
    </row>
    <row r="612" spans="1:2" x14ac:dyDescent="0.3">
      <c r="A612" s="2" t="s">
        <v>1105</v>
      </c>
      <c r="B612" t="str">
        <f t="shared" si="11"/>
        <v>TURQUÍA</v>
      </c>
    </row>
    <row r="613" spans="1:2" x14ac:dyDescent="0.3">
      <c r="A613" s="1" t="s">
        <v>3246</v>
      </c>
      <c r="B613" t="str">
        <f t="shared" si="11"/>
        <v>NACIONAL</v>
      </c>
    </row>
    <row r="614" spans="1:2" x14ac:dyDescent="0.3">
      <c r="A614" s="2" t="s">
        <v>3246</v>
      </c>
      <c r="B614" t="str">
        <f t="shared" si="11"/>
        <v>NACIONAL</v>
      </c>
    </row>
    <row r="615" spans="1:2" x14ac:dyDescent="0.3">
      <c r="A615" s="1" t="s">
        <v>614</v>
      </c>
      <c r="B615" t="str">
        <f t="shared" si="11"/>
        <v>COLOMBIA</v>
      </c>
    </row>
    <row r="616" spans="1:2" x14ac:dyDescent="0.3">
      <c r="A616" s="2" t="s">
        <v>3246</v>
      </c>
      <c r="B616" t="str">
        <f t="shared" si="11"/>
        <v>NACIONAL</v>
      </c>
    </row>
    <row r="617" spans="1:2" x14ac:dyDescent="0.3">
      <c r="A617" s="1" t="s">
        <v>3246</v>
      </c>
      <c r="B617" t="str">
        <f t="shared" si="11"/>
        <v>NACIONAL</v>
      </c>
    </row>
    <row r="618" spans="1:2" x14ac:dyDescent="0.3">
      <c r="A618" s="2" t="s">
        <v>3246</v>
      </c>
      <c r="B618" t="str">
        <f t="shared" si="11"/>
        <v>NACIONAL</v>
      </c>
    </row>
    <row r="619" spans="1:2" x14ac:dyDescent="0.3">
      <c r="A619" s="1" t="s">
        <v>3246</v>
      </c>
      <c r="B619" t="str">
        <f t="shared" si="11"/>
        <v>NACIONAL</v>
      </c>
    </row>
    <row r="620" spans="1:2" x14ac:dyDescent="0.3">
      <c r="A620" s="2" t="s">
        <v>3246</v>
      </c>
      <c r="B620" t="str">
        <f t="shared" si="11"/>
        <v>NACIONAL</v>
      </c>
    </row>
    <row r="621" spans="1:2" x14ac:dyDescent="0.3">
      <c r="A621" s="1" t="s">
        <v>3246</v>
      </c>
      <c r="B621" t="str">
        <f t="shared" si="11"/>
        <v>NACIONAL</v>
      </c>
    </row>
    <row r="622" spans="1:2" x14ac:dyDescent="0.3">
      <c r="A622" s="2" t="s">
        <v>3246</v>
      </c>
      <c r="B622" t="str">
        <f t="shared" si="11"/>
        <v>NACIONAL</v>
      </c>
    </row>
    <row r="623" spans="1:2" x14ac:dyDescent="0.3">
      <c r="A623" s="1" t="s">
        <v>3246</v>
      </c>
      <c r="B623" t="str">
        <f t="shared" si="11"/>
        <v>NACIONAL</v>
      </c>
    </row>
    <row r="624" spans="1:2" x14ac:dyDescent="0.3">
      <c r="A624" s="2" t="s">
        <v>3246</v>
      </c>
      <c r="B624" t="str">
        <f t="shared" si="11"/>
        <v>NACIONAL</v>
      </c>
    </row>
    <row r="625" spans="1:2" x14ac:dyDescent="0.3">
      <c r="A625" s="1" t="s">
        <v>3246</v>
      </c>
      <c r="B625" t="str">
        <f t="shared" si="11"/>
        <v>NACIONAL</v>
      </c>
    </row>
    <row r="626" spans="1:2" x14ac:dyDescent="0.3">
      <c r="A626" s="2" t="s">
        <v>3246</v>
      </c>
      <c r="B626" t="str">
        <f t="shared" si="11"/>
        <v>NACIONAL</v>
      </c>
    </row>
    <row r="627" spans="1:2" x14ac:dyDescent="0.3">
      <c r="A627" s="1" t="s">
        <v>3246</v>
      </c>
      <c r="B627" t="str">
        <f t="shared" si="11"/>
        <v>NACIONAL</v>
      </c>
    </row>
    <row r="628" spans="1:2" x14ac:dyDescent="0.3">
      <c r="A628" s="2" t="s">
        <v>3246</v>
      </c>
      <c r="B628" t="str">
        <f t="shared" si="11"/>
        <v>NACIONAL</v>
      </c>
    </row>
    <row r="629" spans="1:2" x14ac:dyDescent="0.3">
      <c r="A629" s="1" t="s">
        <v>3246</v>
      </c>
      <c r="B629" t="str">
        <f t="shared" si="11"/>
        <v>NACIONAL</v>
      </c>
    </row>
    <row r="630" spans="1:2" x14ac:dyDescent="0.3">
      <c r="A630" s="2" t="s">
        <v>3246</v>
      </c>
      <c r="B630" t="str">
        <f t="shared" si="11"/>
        <v>NACIONAL</v>
      </c>
    </row>
    <row r="631" spans="1:2" x14ac:dyDescent="0.3">
      <c r="A631" s="1" t="s">
        <v>3246</v>
      </c>
      <c r="B631" t="str">
        <f t="shared" si="11"/>
        <v>NACIONAL</v>
      </c>
    </row>
    <row r="632" spans="1:2" x14ac:dyDescent="0.3">
      <c r="A632" s="2" t="s">
        <v>3246</v>
      </c>
      <c r="B632" t="str">
        <f t="shared" si="11"/>
        <v>NACIONAL</v>
      </c>
    </row>
    <row r="633" spans="1:2" x14ac:dyDescent="0.3">
      <c r="A633" s="1" t="s">
        <v>3246</v>
      </c>
      <c r="B633" t="str">
        <f t="shared" si="11"/>
        <v>NACIONAL</v>
      </c>
    </row>
    <row r="634" spans="1:2" x14ac:dyDescent="0.3">
      <c r="A634" s="2" t="s">
        <v>3246</v>
      </c>
      <c r="B634" t="str">
        <f t="shared" si="11"/>
        <v>NACIONAL</v>
      </c>
    </row>
    <row r="635" spans="1:2" x14ac:dyDescent="0.3">
      <c r="A635" s="1" t="s">
        <v>3246</v>
      </c>
      <c r="B635" t="str">
        <f t="shared" si="11"/>
        <v>NACIONAL</v>
      </c>
    </row>
    <row r="636" spans="1:2" x14ac:dyDescent="0.3">
      <c r="A636" s="2" t="s">
        <v>3246</v>
      </c>
      <c r="B636" t="str">
        <f t="shared" si="11"/>
        <v>NACIONAL</v>
      </c>
    </row>
    <row r="637" spans="1:2" x14ac:dyDescent="0.3">
      <c r="A637" s="1" t="s">
        <v>3246</v>
      </c>
      <c r="B637" t="str">
        <f t="shared" si="11"/>
        <v>NACIONAL</v>
      </c>
    </row>
    <row r="638" spans="1:2" x14ac:dyDescent="0.3">
      <c r="A638" s="2" t="s">
        <v>3246</v>
      </c>
      <c r="B638" t="str">
        <f t="shared" si="11"/>
        <v>NACIONAL</v>
      </c>
    </row>
    <row r="639" spans="1:2" x14ac:dyDescent="0.3">
      <c r="A639" s="1" t="s">
        <v>3246</v>
      </c>
      <c r="B639" t="str">
        <f t="shared" si="11"/>
        <v>NACIONAL</v>
      </c>
    </row>
    <row r="640" spans="1:2" x14ac:dyDescent="0.3">
      <c r="A640" s="2" t="s">
        <v>3246</v>
      </c>
      <c r="B640" t="str">
        <f t="shared" si="11"/>
        <v>NACIONAL</v>
      </c>
    </row>
    <row r="641" spans="1:2" x14ac:dyDescent="0.3">
      <c r="A641" s="1" t="s">
        <v>3246</v>
      </c>
      <c r="B641" t="str">
        <f t="shared" si="11"/>
        <v>NACIONAL</v>
      </c>
    </row>
    <row r="642" spans="1:2" x14ac:dyDescent="0.3">
      <c r="A642" s="2" t="s">
        <v>3246</v>
      </c>
      <c r="B642" t="str">
        <f t="shared" ref="B642:B705" si="12">UPPER(A642)</f>
        <v>NACIONAL</v>
      </c>
    </row>
    <row r="643" spans="1:2" x14ac:dyDescent="0.3">
      <c r="A643" s="1" t="s">
        <v>3246</v>
      </c>
      <c r="B643" t="str">
        <f t="shared" si="12"/>
        <v>NACIONAL</v>
      </c>
    </row>
    <row r="644" spans="1:2" x14ac:dyDescent="0.3">
      <c r="A644" s="2" t="s">
        <v>3246</v>
      </c>
      <c r="B644" t="str">
        <f t="shared" si="12"/>
        <v>NACIONAL</v>
      </c>
    </row>
    <row r="645" spans="1:2" x14ac:dyDescent="0.3">
      <c r="A645" s="1" t="s">
        <v>3246</v>
      </c>
      <c r="B645" t="str">
        <f t="shared" si="12"/>
        <v>NACIONAL</v>
      </c>
    </row>
    <row r="646" spans="1:2" x14ac:dyDescent="0.3">
      <c r="A646" s="2" t="s">
        <v>3246</v>
      </c>
      <c r="B646" t="str">
        <f t="shared" si="12"/>
        <v>NACIONAL</v>
      </c>
    </row>
    <row r="647" spans="1:2" x14ac:dyDescent="0.3">
      <c r="A647" s="1" t="s">
        <v>3246</v>
      </c>
      <c r="B647" t="str">
        <f t="shared" si="12"/>
        <v>NACIONAL</v>
      </c>
    </row>
    <row r="648" spans="1:2" x14ac:dyDescent="0.3">
      <c r="A648" s="2" t="s">
        <v>701</v>
      </c>
      <c r="B648" t="str">
        <f t="shared" si="12"/>
        <v>FRANCIA</v>
      </c>
    </row>
    <row r="649" spans="1:2" x14ac:dyDescent="0.3">
      <c r="A649" s="1" t="s">
        <v>186</v>
      </c>
      <c r="B649" t="str">
        <f t="shared" si="12"/>
        <v>INDIA</v>
      </c>
    </row>
    <row r="650" spans="1:2" x14ac:dyDescent="0.3">
      <c r="A650" s="2" t="s">
        <v>3246</v>
      </c>
      <c r="B650" t="str">
        <f t="shared" si="12"/>
        <v>NACIONAL</v>
      </c>
    </row>
    <row r="651" spans="1:2" x14ac:dyDescent="0.3">
      <c r="A651" s="1" t="s">
        <v>3246</v>
      </c>
      <c r="B651" t="str">
        <f t="shared" si="12"/>
        <v>NACIONAL</v>
      </c>
    </row>
    <row r="652" spans="1:2" x14ac:dyDescent="0.3">
      <c r="A652" s="2" t="s">
        <v>3246</v>
      </c>
      <c r="B652" t="str">
        <f t="shared" si="12"/>
        <v>NACIONAL</v>
      </c>
    </row>
    <row r="653" spans="1:2" x14ac:dyDescent="0.3">
      <c r="A653" s="1" t="s">
        <v>3246</v>
      </c>
      <c r="B653" t="str">
        <f t="shared" si="12"/>
        <v>NACIONAL</v>
      </c>
    </row>
    <row r="654" spans="1:2" x14ac:dyDescent="0.3">
      <c r="A654" s="2" t="s">
        <v>3246</v>
      </c>
      <c r="B654" t="str">
        <f t="shared" si="12"/>
        <v>NACIONAL</v>
      </c>
    </row>
    <row r="655" spans="1:2" x14ac:dyDescent="0.3">
      <c r="A655" s="1" t="s">
        <v>3246</v>
      </c>
      <c r="B655" t="str">
        <f t="shared" si="12"/>
        <v>NACIONAL</v>
      </c>
    </row>
    <row r="656" spans="1:2" x14ac:dyDescent="0.3">
      <c r="A656" s="2" t="s">
        <v>3246</v>
      </c>
      <c r="B656" t="str">
        <f t="shared" si="12"/>
        <v>NACIONAL</v>
      </c>
    </row>
    <row r="657" spans="1:2" x14ac:dyDescent="0.3">
      <c r="A657" s="1" t="s">
        <v>3246</v>
      </c>
      <c r="B657" t="str">
        <f t="shared" si="12"/>
        <v>NACIONAL</v>
      </c>
    </row>
    <row r="658" spans="1:2" x14ac:dyDescent="0.3">
      <c r="A658" s="2" t="s">
        <v>3246</v>
      </c>
      <c r="B658" t="str">
        <f t="shared" si="12"/>
        <v>NACIONAL</v>
      </c>
    </row>
    <row r="659" spans="1:2" x14ac:dyDescent="0.3">
      <c r="A659" s="1" t="s">
        <v>3246</v>
      </c>
      <c r="B659" t="str">
        <f t="shared" si="12"/>
        <v>NACIONAL</v>
      </c>
    </row>
    <row r="660" spans="1:2" x14ac:dyDescent="0.3">
      <c r="A660" s="2" t="s">
        <v>3246</v>
      </c>
      <c r="B660" t="str">
        <f t="shared" si="12"/>
        <v>NACIONAL</v>
      </c>
    </row>
    <row r="661" spans="1:2" x14ac:dyDescent="0.3">
      <c r="A661" s="1" t="s">
        <v>3246</v>
      </c>
      <c r="B661" t="str">
        <f t="shared" si="12"/>
        <v>NACIONAL</v>
      </c>
    </row>
    <row r="662" spans="1:2" x14ac:dyDescent="0.3">
      <c r="A662" s="2" t="s">
        <v>3246</v>
      </c>
      <c r="B662" t="str">
        <f t="shared" si="12"/>
        <v>NACIONAL</v>
      </c>
    </row>
    <row r="663" spans="1:2" x14ac:dyDescent="0.3">
      <c r="A663" s="1" t="s">
        <v>3246</v>
      </c>
      <c r="B663" t="str">
        <f t="shared" si="12"/>
        <v>NACIONAL</v>
      </c>
    </row>
    <row r="664" spans="1:2" x14ac:dyDescent="0.3">
      <c r="A664" s="2" t="s">
        <v>3246</v>
      </c>
      <c r="B664" t="str">
        <f t="shared" si="12"/>
        <v>NACIONAL</v>
      </c>
    </row>
    <row r="665" spans="1:2" x14ac:dyDescent="0.3">
      <c r="A665" s="1" t="s">
        <v>3246</v>
      </c>
      <c r="B665" t="str">
        <f t="shared" si="12"/>
        <v>NACIONAL</v>
      </c>
    </row>
    <row r="666" spans="1:2" x14ac:dyDescent="0.3">
      <c r="A666" s="2" t="s">
        <v>3246</v>
      </c>
      <c r="B666" t="str">
        <f t="shared" si="12"/>
        <v>NACIONAL</v>
      </c>
    </row>
    <row r="667" spans="1:2" x14ac:dyDescent="0.3">
      <c r="A667" s="1" t="s">
        <v>3246</v>
      </c>
      <c r="B667" t="str">
        <f t="shared" si="12"/>
        <v>NACIONAL</v>
      </c>
    </row>
    <row r="668" spans="1:2" x14ac:dyDescent="0.3">
      <c r="A668" s="2" t="s">
        <v>783</v>
      </c>
      <c r="B668" t="str">
        <f t="shared" si="12"/>
        <v>ALEMANIA</v>
      </c>
    </row>
    <row r="669" spans="1:2" x14ac:dyDescent="0.3">
      <c r="A669" s="1" t="s">
        <v>783</v>
      </c>
      <c r="B669" t="str">
        <f t="shared" si="12"/>
        <v>ALEMANIA</v>
      </c>
    </row>
    <row r="670" spans="1:2" x14ac:dyDescent="0.3">
      <c r="A670" s="2" t="s">
        <v>3246</v>
      </c>
      <c r="B670" t="str">
        <f t="shared" si="12"/>
        <v>NACIONAL</v>
      </c>
    </row>
    <row r="671" spans="1:2" x14ac:dyDescent="0.3">
      <c r="A671" s="1" t="s">
        <v>3246</v>
      </c>
      <c r="B671" t="str">
        <f t="shared" si="12"/>
        <v>NACIONAL</v>
      </c>
    </row>
    <row r="672" spans="1:2" x14ac:dyDescent="0.3">
      <c r="A672" s="2" t="s">
        <v>3246</v>
      </c>
      <c r="B672" t="str">
        <f t="shared" si="12"/>
        <v>NACIONAL</v>
      </c>
    </row>
    <row r="673" spans="1:2" x14ac:dyDescent="0.3">
      <c r="A673" s="1" t="s">
        <v>3246</v>
      </c>
      <c r="B673" t="str">
        <f t="shared" si="12"/>
        <v>NACIONAL</v>
      </c>
    </row>
    <row r="674" spans="1:2" x14ac:dyDescent="0.3">
      <c r="A674" s="2" t="s">
        <v>3246</v>
      </c>
      <c r="B674" t="str">
        <f t="shared" si="12"/>
        <v>NACIONAL</v>
      </c>
    </row>
    <row r="675" spans="1:2" x14ac:dyDescent="0.3">
      <c r="A675" s="1" t="s">
        <v>3246</v>
      </c>
      <c r="B675" t="str">
        <f t="shared" si="12"/>
        <v>NACIONAL</v>
      </c>
    </row>
    <row r="676" spans="1:2" x14ac:dyDescent="0.3">
      <c r="A676" s="2" t="s">
        <v>3246</v>
      </c>
      <c r="B676" t="str">
        <f t="shared" si="12"/>
        <v>NACIONAL</v>
      </c>
    </row>
    <row r="677" spans="1:2" x14ac:dyDescent="0.3">
      <c r="A677" s="1" t="s">
        <v>3246</v>
      </c>
      <c r="B677" t="str">
        <f t="shared" si="12"/>
        <v>NACIONAL</v>
      </c>
    </row>
    <row r="678" spans="1:2" x14ac:dyDescent="0.3">
      <c r="A678" s="2" t="s">
        <v>3246</v>
      </c>
      <c r="B678" t="str">
        <f t="shared" si="12"/>
        <v>NACIONAL</v>
      </c>
    </row>
    <row r="679" spans="1:2" x14ac:dyDescent="0.3">
      <c r="A679" s="1" t="s">
        <v>3246</v>
      </c>
      <c r="B679" t="str">
        <f t="shared" si="12"/>
        <v>NACIONAL</v>
      </c>
    </row>
    <row r="680" spans="1:2" x14ac:dyDescent="0.3">
      <c r="A680" s="2" t="s">
        <v>3246</v>
      </c>
      <c r="B680" t="str">
        <f t="shared" si="12"/>
        <v>NACIONAL</v>
      </c>
    </row>
    <row r="681" spans="1:2" x14ac:dyDescent="0.3">
      <c r="A681" s="1" t="s">
        <v>3246</v>
      </c>
      <c r="B681" t="str">
        <f t="shared" si="12"/>
        <v>NACIONAL</v>
      </c>
    </row>
    <row r="682" spans="1:2" x14ac:dyDescent="0.3">
      <c r="A682" s="2" t="s">
        <v>852</v>
      </c>
      <c r="B682" t="str">
        <f t="shared" si="12"/>
        <v>TAILANDIA</v>
      </c>
    </row>
    <row r="683" spans="1:2" x14ac:dyDescent="0.3">
      <c r="A683" s="1" t="s">
        <v>3246</v>
      </c>
      <c r="B683" t="str">
        <f t="shared" si="12"/>
        <v>NACIONAL</v>
      </c>
    </row>
    <row r="684" spans="1:2" x14ac:dyDescent="0.3">
      <c r="A684" s="2" t="s">
        <v>3246</v>
      </c>
      <c r="B684" t="str">
        <f t="shared" si="12"/>
        <v>NACIONAL</v>
      </c>
    </row>
    <row r="685" spans="1:2" x14ac:dyDescent="0.3">
      <c r="A685" s="1" t="s">
        <v>3246</v>
      </c>
      <c r="B685" t="str">
        <f t="shared" si="12"/>
        <v>NACIONAL</v>
      </c>
    </row>
    <row r="686" spans="1:2" x14ac:dyDescent="0.3">
      <c r="A686" s="2" t="s">
        <v>3246</v>
      </c>
      <c r="B686" t="str">
        <f t="shared" si="12"/>
        <v>NACIONAL</v>
      </c>
    </row>
    <row r="687" spans="1:2" x14ac:dyDescent="0.3">
      <c r="A687" s="1" t="s">
        <v>3246</v>
      </c>
      <c r="B687" t="str">
        <f t="shared" si="12"/>
        <v>NACIONAL</v>
      </c>
    </row>
    <row r="688" spans="1:2" x14ac:dyDescent="0.3">
      <c r="A688" s="2" t="s">
        <v>3246</v>
      </c>
      <c r="B688" t="str">
        <f t="shared" si="12"/>
        <v>NACIONAL</v>
      </c>
    </row>
    <row r="689" spans="1:2" x14ac:dyDescent="0.3">
      <c r="A689" s="1" t="s">
        <v>3246</v>
      </c>
      <c r="B689" t="str">
        <f t="shared" si="12"/>
        <v>NACIONAL</v>
      </c>
    </row>
    <row r="690" spans="1:2" x14ac:dyDescent="0.3">
      <c r="A690" s="2" t="s">
        <v>3246</v>
      </c>
      <c r="B690" t="str">
        <f t="shared" si="12"/>
        <v>NACIONAL</v>
      </c>
    </row>
    <row r="691" spans="1:2" x14ac:dyDescent="0.3">
      <c r="A691" s="1" t="s">
        <v>3246</v>
      </c>
      <c r="B691" t="str">
        <f t="shared" si="12"/>
        <v>NACIONAL</v>
      </c>
    </row>
    <row r="692" spans="1:2" x14ac:dyDescent="0.3">
      <c r="A692" s="2" t="s">
        <v>3246</v>
      </c>
      <c r="B692" t="str">
        <f t="shared" si="12"/>
        <v>NACIONAL</v>
      </c>
    </row>
    <row r="693" spans="1:2" x14ac:dyDescent="0.3">
      <c r="A693" s="1" t="s">
        <v>3246</v>
      </c>
      <c r="B693" t="str">
        <f t="shared" si="12"/>
        <v>NACIONAL</v>
      </c>
    </row>
    <row r="694" spans="1:2" x14ac:dyDescent="0.3">
      <c r="A694" s="2" t="s">
        <v>3246</v>
      </c>
      <c r="B694" t="str">
        <f t="shared" si="12"/>
        <v>NACIONAL</v>
      </c>
    </row>
    <row r="695" spans="1:2" x14ac:dyDescent="0.3">
      <c r="A695" s="1" t="s">
        <v>3246</v>
      </c>
      <c r="B695" t="str">
        <f t="shared" si="12"/>
        <v>NACIONAL</v>
      </c>
    </row>
    <row r="696" spans="1:2" x14ac:dyDescent="0.3">
      <c r="A696" s="2" t="s">
        <v>3246</v>
      </c>
      <c r="B696" t="str">
        <f t="shared" si="12"/>
        <v>NACIONAL</v>
      </c>
    </row>
    <row r="697" spans="1:2" x14ac:dyDescent="0.3">
      <c r="A697" s="1" t="s">
        <v>3246</v>
      </c>
      <c r="B697" t="str">
        <f t="shared" si="12"/>
        <v>NACIONAL</v>
      </c>
    </row>
    <row r="698" spans="1:2" x14ac:dyDescent="0.3">
      <c r="A698" s="2" t="s">
        <v>3246</v>
      </c>
      <c r="B698" t="str">
        <f t="shared" si="12"/>
        <v>NACIONAL</v>
      </c>
    </row>
    <row r="699" spans="1:2" x14ac:dyDescent="0.3">
      <c r="A699" s="1" t="s">
        <v>3246</v>
      </c>
      <c r="B699" t="str">
        <f t="shared" si="12"/>
        <v>NACIONAL</v>
      </c>
    </row>
    <row r="700" spans="1:2" x14ac:dyDescent="0.3">
      <c r="A700" s="2" t="s">
        <v>3246</v>
      </c>
      <c r="B700" t="str">
        <f t="shared" si="12"/>
        <v>NACIONAL</v>
      </c>
    </row>
    <row r="701" spans="1:2" x14ac:dyDescent="0.3">
      <c r="A701" s="1" t="s">
        <v>922</v>
      </c>
      <c r="B701" t="str">
        <f t="shared" si="12"/>
        <v>SUECIA</v>
      </c>
    </row>
    <row r="702" spans="1:2" x14ac:dyDescent="0.3">
      <c r="A702" s="2" t="s">
        <v>3246</v>
      </c>
      <c r="B702" t="str">
        <f t="shared" si="12"/>
        <v>NACIONAL</v>
      </c>
    </row>
    <row r="703" spans="1:2" x14ac:dyDescent="0.3">
      <c r="A703" s="1" t="s">
        <v>3246</v>
      </c>
      <c r="B703" t="str">
        <f t="shared" si="12"/>
        <v>NACIONAL</v>
      </c>
    </row>
    <row r="704" spans="1:2" x14ac:dyDescent="0.3">
      <c r="A704" s="2" t="s">
        <v>3246</v>
      </c>
      <c r="B704" t="str">
        <f t="shared" si="12"/>
        <v>NACIONAL</v>
      </c>
    </row>
    <row r="705" spans="1:2" x14ac:dyDescent="0.3">
      <c r="A705" s="1" t="s">
        <v>3246</v>
      </c>
      <c r="B705" t="str">
        <f t="shared" si="12"/>
        <v>NACIONAL</v>
      </c>
    </row>
    <row r="706" spans="1:2" x14ac:dyDescent="0.3">
      <c r="A706" s="2" t="s">
        <v>3246</v>
      </c>
      <c r="B706" t="str">
        <f t="shared" ref="B706:B769" si="13">UPPER(A706)</f>
        <v>NACIONAL</v>
      </c>
    </row>
    <row r="707" spans="1:2" x14ac:dyDescent="0.3">
      <c r="A707" s="1" t="s">
        <v>3246</v>
      </c>
      <c r="B707" t="str">
        <f t="shared" si="13"/>
        <v>NACIONAL</v>
      </c>
    </row>
    <row r="708" spans="1:2" x14ac:dyDescent="0.3">
      <c r="A708" s="2" t="s">
        <v>3246</v>
      </c>
      <c r="B708" t="str">
        <f t="shared" si="13"/>
        <v>NACIONAL</v>
      </c>
    </row>
    <row r="709" spans="1:2" x14ac:dyDescent="0.3">
      <c r="A709" s="1" t="s">
        <v>3246</v>
      </c>
      <c r="B709" t="str">
        <f t="shared" si="13"/>
        <v>NACIONAL</v>
      </c>
    </row>
    <row r="710" spans="1:2" x14ac:dyDescent="0.3">
      <c r="A710" s="2" t="s">
        <v>3246</v>
      </c>
      <c r="B710" t="str">
        <f t="shared" si="13"/>
        <v>NACIONAL</v>
      </c>
    </row>
    <row r="711" spans="1:2" x14ac:dyDescent="0.3">
      <c r="A711" s="1" t="s">
        <v>3246</v>
      </c>
      <c r="B711" t="str">
        <f t="shared" si="13"/>
        <v>NACIONAL</v>
      </c>
    </row>
    <row r="712" spans="1:2" x14ac:dyDescent="0.3">
      <c r="A712" s="2" t="s">
        <v>3246</v>
      </c>
      <c r="B712" t="str">
        <f t="shared" si="13"/>
        <v>NACIONAL</v>
      </c>
    </row>
    <row r="713" spans="1:2" x14ac:dyDescent="0.3">
      <c r="A713" s="1" t="s">
        <v>3246</v>
      </c>
      <c r="B713" t="str">
        <f t="shared" si="13"/>
        <v>NACIONAL</v>
      </c>
    </row>
    <row r="714" spans="1:2" x14ac:dyDescent="0.3">
      <c r="A714" s="2" t="s">
        <v>3246</v>
      </c>
      <c r="B714" t="str">
        <f t="shared" si="13"/>
        <v>NACIONAL</v>
      </c>
    </row>
    <row r="715" spans="1:2" x14ac:dyDescent="0.3">
      <c r="A715" s="1" t="s">
        <v>3246</v>
      </c>
      <c r="B715" t="str">
        <f t="shared" si="13"/>
        <v>NACIONAL</v>
      </c>
    </row>
    <row r="716" spans="1:2" x14ac:dyDescent="0.3">
      <c r="A716" s="2" t="s">
        <v>3246</v>
      </c>
      <c r="B716" t="str">
        <f t="shared" si="13"/>
        <v>NACIONAL</v>
      </c>
    </row>
    <row r="717" spans="1:2" x14ac:dyDescent="0.3">
      <c r="A717" s="1" t="s">
        <v>3246</v>
      </c>
      <c r="B717" t="str">
        <f t="shared" si="13"/>
        <v>NACIONAL</v>
      </c>
    </row>
    <row r="718" spans="1:2" x14ac:dyDescent="0.3">
      <c r="A718" s="2" t="s">
        <v>3246</v>
      </c>
      <c r="B718" t="str">
        <f t="shared" si="13"/>
        <v>NACIONAL</v>
      </c>
    </row>
    <row r="719" spans="1:2" x14ac:dyDescent="0.3">
      <c r="A719" s="1" t="s">
        <v>3246</v>
      </c>
      <c r="B719" t="str">
        <f t="shared" si="13"/>
        <v>NACIONAL</v>
      </c>
    </row>
    <row r="720" spans="1:2" x14ac:dyDescent="0.3">
      <c r="A720" s="2" t="s">
        <v>3246</v>
      </c>
      <c r="B720" t="str">
        <f t="shared" si="13"/>
        <v>NACIONAL</v>
      </c>
    </row>
    <row r="721" spans="1:2" x14ac:dyDescent="0.3">
      <c r="A721" s="1" t="s">
        <v>3246</v>
      </c>
      <c r="B721" t="str">
        <f t="shared" si="13"/>
        <v>NACIONAL</v>
      </c>
    </row>
    <row r="722" spans="1:2" x14ac:dyDescent="0.3">
      <c r="A722" s="2" t="s">
        <v>3246</v>
      </c>
      <c r="B722" t="str">
        <f t="shared" si="13"/>
        <v>NACIONAL</v>
      </c>
    </row>
    <row r="723" spans="1:2" x14ac:dyDescent="0.3">
      <c r="A723" s="1" t="s">
        <v>3246</v>
      </c>
      <c r="B723" t="str">
        <f t="shared" si="13"/>
        <v>NACIONAL</v>
      </c>
    </row>
    <row r="724" spans="1:2" x14ac:dyDescent="0.3">
      <c r="A724" s="2" t="s">
        <v>3246</v>
      </c>
      <c r="B724" t="str">
        <f t="shared" si="13"/>
        <v>NACIONAL</v>
      </c>
    </row>
    <row r="725" spans="1:2" x14ac:dyDescent="0.3">
      <c r="A725" s="1" t="s">
        <v>3246</v>
      </c>
      <c r="B725" t="str">
        <f t="shared" si="13"/>
        <v>NACIONAL</v>
      </c>
    </row>
    <row r="726" spans="1:2" x14ac:dyDescent="0.3">
      <c r="A726" s="2" t="s">
        <v>3246</v>
      </c>
      <c r="B726" t="str">
        <f t="shared" si="13"/>
        <v>NACIONAL</v>
      </c>
    </row>
    <row r="727" spans="1:2" x14ac:dyDescent="0.3">
      <c r="A727" s="1" t="s">
        <v>3246</v>
      </c>
      <c r="B727" t="str">
        <f t="shared" si="13"/>
        <v>NACIONAL</v>
      </c>
    </row>
    <row r="728" spans="1:2" x14ac:dyDescent="0.3">
      <c r="A728" s="2" t="s">
        <v>3246</v>
      </c>
      <c r="B728" t="str">
        <f t="shared" si="13"/>
        <v>NACIONAL</v>
      </c>
    </row>
    <row r="729" spans="1:2" x14ac:dyDescent="0.3">
      <c r="A729" s="1" t="s">
        <v>3246</v>
      </c>
      <c r="B729" t="str">
        <f t="shared" si="13"/>
        <v>NACIONAL</v>
      </c>
    </row>
    <row r="730" spans="1:2" x14ac:dyDescent="0.3">
      <c r="A730" s="2" t="s">
        <v>3246</v>
      </c>
      <c r="B730" t="str">
        <f t="shared" si="13"/>
        <v>NACIONAL</v>
      </c>
    </row>
    <row r="731" spans="1:2" x14ac:dyDescent="0.3">
      <c r="A731" s="1" t="s">
        <v>3246</v>
      </c>
      <c r="B731" t="str">
        <f t="shared" si="13"/>
        <v>NACIONAL</v>
      </c>
    </row>
    <row r="732" spans="1:2" x14ac:dyDescent="0.3">
      <c r="A732" s="2" t="s">
        <v>3246</v>
      </c>
      <c r="B732" t="str">
        <f t="shared" si="13"/>
        <v>NACIONAL</v>
      </c>
    </row>
    <row r="733" spans="1:2" x14ac:dyDescent="0.3">
      <c r="A733" s="1" t="s">
        <v>186</v>
      </c>
      <c r="B733" t="str">
        <f t="shared" si="13"/>
        <v>INDIA</v>
      </c>
    </row>
    <row r="734" spans="1:2" x14ac:dyDescent="0.3">
      <c r="A734" s="2" t="s">
        <v>614</v>
      </c>
      <c r="B734" t="str">
        <f t="shared" si="13"/>
        <v>COLOMBIA</v>
      </c>
    </row>
    <row r="735" spans="1:2" x14ac:dyDescent="0.3">
      <c r="A735" s="1" t="s">
        <v>3246</v>
      </c>
      <c r="B735" t="str">
        <f t="shared" si="13"/>
        <v>NACIONAL</v>
      </c>
    </row>
    <row r="736" spans="1:2" x14ac:dyDescent="0.3">
      <c r="A736" s="2" t="s">
        <v>3246</v>
      </c>
      <c r="B736" t="str">
        <f t="shared" si="13"/>
        <v>NACIONAL</v>
      </c>
    </row>
    <row r="737" spans="1:2" x14ac:dyDescent="0.3">
      <c r="A737" s="1" t="s">
        <v>186</v>
      </c>
      <c r="B737" t="str">
        <f t="shared" si="13"/>
        <v>INDIA</v>
      </c>
    </row>
    <row r="738" spans="1:2" x14ac:dyDescent="0.3">
      <c r="A738" s="2" t="s">
        <v>186</v>
      </c>
      <c r="B738" t="str">
        <f t="shared" si="13"/>
        <v>INDIA</v>
      </c>
    </row>
    <row r="739" spans="1:2" x14ac:dyDescent="0.3">
      <c r="A739" s="1" t="s">
        <v>186</v>
      </c>
      <c r="B739" t="str">
        <f t="shared" si="13"/>
        <v>INDIA</v>
      </c>
    </row>
    <row r="740" spans="1:2" x14ac:dyDescent="0.3">
      <c r="A740" s="2" t="s">
        <v>186</v>
      </c>
      <c r="B740" t="str">
        <f t="shared" si="13"/>
        <v>INDIA</v>
      </c>
    </row>
    <row r="741" spans="1:2" x14ac:dyDescent="0.3">
      <c r="A741" s="1" t="s">
        <v>3246</v>
      </c>
      <c r="B741" t="str">
        <f t="shared" si="13"/>
        <v>NACIONAL</v>
      </c>
    </row>
    <row r="742" spans="1:2" x14ac:dyDescent="0.3">
      <c r="A742" s="2" t="s">
        <v>3246</v>
      </c>
      <c r="B742" t="str">
        <f t="shared" si="13"/>
        <v>NACIONAL</v>
      </c>
    </row>
    <row r="743" spans="1:2" x14ac:dyDescent="0.3">
      <c r="A743" s="1" t="s">
        <v>3246</v>
      </c>
      <c r="B743" t="str">
        <f t="shared" si="13"/>
        <v>NACIONAL</v>
      </c>
    </row>
    <row r="744" spans="1:2" x14ac:dyDescent="0.3">
      <c r="A744" s="2" t="s">
        <v>3246</v>
      </c>
      <c r="B744" t="str">
        <f t="shared" si="13"/>
        <v>NACIONAL</v>
      </c>
    </row>
    <row r="745" spans="1:2" x14ac:dyDescent="0.3">
      <c r="A745" s="1" t="s">
        <v>3246</v>
      </c>
      <c r="B745" t="str">
        <f t="shared" si="13"/>
        <v>NACIONAL</v>
      </c>
    </row>
    <row r="746" spans="1:2" x14ac:dyDescent="0.3">
      <c r="A746" s="2" t="s">
        <v>3246</v>
      </c>
      <c r="B746" t="str">
        <f t="shared" si="13"/>
        <v>NACIONAL</v>
      </c>
    </row>
    <row r="747" spans="1:2" x14ac:dyDescent="0.3">
      <c r="A747" s="1" t="s">
        <v>78</v>
      </c>
      <c r="B747" t="str">
        <f t="shared" si="13"/>
        <v>ITALIA</v>
      </c>
    </row>
    <row r="748" spans="1:2" x14ac:dyDescent="0.3">
      <c r="A748" s="2" t="s">
        <v>78</v>
      </c>
      <c r="B748" t="str">
        <f t="shared" si="13"/>
        <v>ITALIA</v>
      </c>
    </row>
    <row r="749" spans="1:2" x14ac:dyDescent="0.3">
      <c r="A749" s="1" t="s">
        <v>3246</v>
      </c>
      <c r="B749" t="str">
        <f t="shared" si="13"/>
        <v>NACIONAL</v>
      </c>
    </row>
    <row r="750" spans="1:2" x14ac:dyDescent="0.3">
      <c r="A750" s="2" t="s">
        <v>3246</v>
      </c>
      <c r="B750" t="str">
        <f t="shared" si="13"/>
        <v>NACIONAL</v>
      </c>
    </row>
    <row r="751" spans="1:2" x14ac:dyDescent="0.3">
      <c r="A751" s="1" t="s">
        <v>3246</v>
      </c>
      <c r="B751" t="str">
        <f t="shared" si="13"/>
        <v>NACIONAL</v>
      </c>
    </row>
    <row r="752" spans="1:2" x14ac:dyDescent="0.3">
      <c r="A752" s="2" t="s">
        <v>3246</v>
      </c>
      <c r="B752" t="str">
        <f t="shared" si="13"/>
        <v>NACIONAL</v>
      </c>
    </row>
    <row r="753" spans="1:2" x14ac:dyDescent="0.3">
      <c r="A753" s="1" t="s">
        <v>3246</v>
      </c>
      <c r="B753" t="str">
        <f t="shared" si="13"/>
        <v>NACIONAL</v>
      </c>
    </row>
    <row r="754" spans="1:2" x14ac:dyDescent="0.3">
      <c r="A754" s="2" t="s">
        <v>3246</v>
      </c>
      <c r="B754" t="str">
        <f t="shared" si="13"/>
        <v>NACIONAL</v>
      </c>
    </row>
    <row r="755" spans="1:2" x14ac:dyDescent="0.3">
      <c r="A755" s="1" t="s">
        <v>3246</v>
      </c>
      <c r="B755" t="str">
        <f t="shared" si="13"/>
        <v>NACIONAL</v>
      </c>
    </row>
    <row r="756" spans="1:2" x14ac:dyDescent="0.3">
      <c r="A756" s="2" t="s">
        <v>3246</v>
      </c>
      <c r="B756" t="str">
        <f t="shared" si="13"/>
        <v>NACIONAL</v>
      </c>
    </row>
    <row r="757" spans="1:2" x14ac:dyDescent="0.3">
      <c r="A757" s="1" t="s">
        <v>3246</v>
      </c>
      <c r="B757" t="str">
        <f t="shared" si="13"/>
        <v>NACIONAL</v>
      </c>
    </row>
    <row r="758" spans="1:2" x14ac:dyDescent="0.3">
      <c r="A758" s="2" t="s">
        <v>3246</v>
      </c>
      <c r="B758" t="str">
        <f t="shared" si="13"/>
        <v>NACIONAL</v>
      </c>
    </row>
    <row r="759" spans="1:2" x14ac:dyDescent="0.3">
      <c r="A759" s="1" t="s">
        <v>139</v>
      </c>
      <c r="B759" t="str">
        <f t="shared" si="13"/>
        <v>ESTADOS UNIDOS</v>
      </c>
    </row>
    <row r="760" spans="1:2" x14ac:dyDescent="0.3">
      <c r="A760" s="2" t="s">
        <v>139</v>
      </c>
      <c r="B760" t="str">
        <f t="shared" si="13"/>
        <v>ESTADOS UNIDOS</v>
      </c>
    </row>
    <row r="761" spans="1:2" x14ac:dyDescent="0.3">
      <c r="A761" s="1" t="s">
        <v>3246</v>
      </c>
      <c r="B761" t="str">
        <f t="shared" si="13"/>
        <v>NACIONAL</v>
      </c>
    </row>
    <row r="762" spans="1:2" x14ac:dyDescent="0.3">
      <c r="A762" s="2" t="s">
        <v>3246</v>
      </c>
      <c r="B762" t="str">
        <f t="shared" si="13"/>
        <v>NACIONAL</v>
      </c>
    </row>
    <row r="763" spans="1:2" x14ac:dyDescent="0.3">
      <c r="A763" s="1" t="s">
        <v>3246</v>
      </c>
      <c r="B763" t="str">
        <f t="shared" si="13"/>
        <v>NACIONAL</v>
      </c>
    </row>
    <row r="764" spans="1:2" x14ac:dyDescent="0.3">
      <c r="A764" s="2" t="s">
        <v>3246</v>
      </c>
      <c r="B764" t="str">
        <f t="shared" si="13"/>
        <v>NACIONAL</v>
      </c>
    </row>
    <row r="765" spans="1:2" x14ac:dyDescent="0.3">
      <c r="A765" s="1" t="s">
        <v>3246</v>
      </c>
      <c r="B765" t="str">
        <f t="shared" si="13"/>
        <v>NACIONAL</v>
      </c>
    </row>
    <row r="766" spans="1:2" x14ac:dyDescent="0.3">
      <c r="A766" s="2" t="s">
        <v>3246</v>
      </c>
      <c r="B766" t="str">
        <f t="shared" si="13"/>
        <v>NACIONAL</v>
      </c>
    </row>
    <row r="767" spans="1:2" x14ac:dyDescent="0.3">
      <c r="A767" s="1" t="s">
        <v>3246</v>
      </c>
      <c r="B767" t="str">
        <f t="shared" si="13"/>
        <v>NACIONAL</v>
      </c>
    </row>
    <row r="768" spans="1:2" x14ac:dyDescent="0.3">
      <c r="A768" s="2" t="s">
        <v>3246</v>
      </c>
      <c r="B768" t="str">
        <f t="shared" si="13"/>
        <v>NACIONAL</v>
      </c>
    </row>
    <row r="769" spans="1:2" x14ac:dyDescent="0.3">
      <c r="A769" s="1" t="s">
        <v>3246</v>
      </c>
      <c r="B769" t="str">
        <f t="shared" si="13"/>
        <v>NACIONAL</v>
      </c>
    </row>
    <row r="770" spans="1:2" x14ac:dyDescent="0.3">
      <c r="A770" s="2" t="s">
        <v>186</v>
      </c>
      <c r="B770" t="str">
        <f t="shared" ref="B770:B833" si="14">UPPER(A770)</f>
        <v>INDIA</v>
      </c>
    </row>
    <row r="771" spans="1:2" x14ac:dyDescent="0.3">
      <c r="A771" s="1" t="s">
        <v>3246</v>
      </c>
      <c r="B771" t="str">
        <f t="shared" si="14"/>
        <v>NACIONAL</v>
      </c>
    </row>
    <row r="772" spans="1:2" x14ac:dyDescent="0.3">
      <c r="A772" s="2" t="s">
        <v>3246</v>
      </c>
      <c r="B772" t="str">
        <f t="shared" si="14"/>
        <v>NACIONAL</v>
      </c>
    </row>
    <row r="773" spans="1:2" x14ac:dyDescent="0.3">
      <c r="A773" s="1" t="s">
        <v>3246</v>
      </c>
      <c r="B773" t="str">
        <f t="shared" si="14"/>
        <v>NACIONAL</v>
      </c>
    </row>
    <row r="774" spans="1:2" x14ac:dyDescent="0.3">
      <c r="A774" s="2" t="s">
        <v>3246</v>
      </c>
      <c r="B774" t="str">
        <f t="shared" si="14"/>
        <v>NACIONAL</v>
      </c>
    </row>
    <row r="775" spans="1:2" x14ac:dyDescent="0.3">
      <c r="A775" s="1" t="s">
        <v>200</v>
      </c>
      <c r="B775" t="str">
        <f t="shared" si="14"/>
        <v>SUIZA</v>
      </c>
    </row>
    <row r="776" spans="1:2" x14ac:dyDescent="0.3">
      <c r="A776" s="2" t="s">
        <v>3246</v>
      </c>
      <c r="B776" t="str">
        <f t="shared" si="14"/>
        <v>NACIONAL</v>
      </c>
    </row>
    <row r="777" spans="1:2" x14ac:dyDescent="0.3">
      <c r="A777" s="1" t="s">
        <v>214</v>
      </c>
      <c r="B777" t="str">
        <f t="shared" si="14"/>
        <v>IRLANDA</v>
      </c>
    </row>
    <row r="778" spans="1:2" x14ac:dyDescent="0.3">
      <c r="A778" s="2" t="s">
        <v>214</v>
      </c>
      <c r="B778" t="str">
        <f t="shared" si="14"/>
        <v>IRLANDA</v>
      </c>
    </row>
    <row r="779" spans="1:2" x14ac:dyDescent="0.3">
      <c r="A779" s="1" t="s">
        <v>3246</v>
      </c>
      <c r="B779" t="str">
        <f t="shared" si="14"/>
        <v>NACIONAL</v>
      </c>
    </row>
    <row r="780" spans="1:2" x14ac:dyDescent="0.3">
      <c r="A780" s="2" t="s">
        <v>3246</v>
      </c>
      <c r="B780" t="str">
        <f t="shared" si="14"/>
        <v>NACIONAL</v>
      </c>
    </row>
    <row r="781" spans="1:2" x14ac:dyDescent="0.3">
      <c r="A781" s="1" t="s">
        <v>3246</v>
      </c>
      <c r="B781" t="str">
        <f t="shared" si="14"/>
        <v>NACIONAL</v>
      </c>
    </row>
    <row r="782" spans="1:2" x14ac:dyDescent="0.3">
      <c r="A782" s="2" t="s">
        <v>3246</v>
      </c>
      <c r="B782" t="str">
        <f t="shared" si="14"/>
        <v>NACIONAL</v>
      </c>
    </row>
    <row r="783" spans="1:2" x14ac:dyDescent="0.3">
      <c r="A783" s="1" t="s">
        <v>3246</v>
      </c>
      <c r="B783" t="str">
        <f t="shared" si="14"/>
        <v>NACIONAL</v>
      </c>
    </row>
    <row r="784" spans="1:2" x14ac:dyDescent="0.3">
      <c r="A784" s="2" t="s">
        <v>3246</v>
      </c>
      <c r="B784" t="str">
        <f t="shared" si="14"/>
        <v>NACIONAL</v>
      </c>
    </row>
    <row r="785" spans="1:2" x14ac:dyDescent="0.3">
      <c r="A785" s="1" t="s">
        <v>3246</v>
      </c>
      <c r="B785" t="str">
        <f t="shared" si="14"/>
        <v>NACIONAL</v>
      </c>
    </row>
    <row r="786" spans="1:2" x14ac:dyDescent="0.3">
      <c r="A786" s="2" t="s">
        <v>3246</v>
      </c>
      <c r="B786" t="str">
        <f t="shared" si="14"/>
        <v>NACIONAL</v>
      </c>
    </row>
    <row r="787" spans="1:2" x14ac:dyDescent="0.3">
      <c r="A787" s="1" t="s">
        <v>278</v>
      </c>
      <c r="B787" t="str">
        <f t="shared" si="14"/>
        <v>BELGICA</v>
      </c>
    </row>
    <row r="788" spans="1:2" x14ac:dyDescent="0.3">
      <c r="A788" s="2" t="s">
        <v>289</v>
      </c>
      <c r="B788" t="str">
        <f t="shared" si="14"/>
        <v>FRANCIA</v>
      </c>
    </row>
    <row r="789" spans="1:2" x14ac:dyDescent="0.3">
      <c r="A789" s="1" t="s">
        <v>298</v>
      </c>
      <c r="B789" t="str">
        <f t="shared" si="14"/>
        <v>CANADA</v>
      </c>
    </row>
    <row r="790" spans="1:2" x14ac:dyDescent="0.3">
      <c r="A790" s="2" t="s">
        <v>298</v>
      </c>
      <c r="B790" t="str">
        <f t="shared" si="14"/>
        <v>CANADA</v>
      </c>
    </row>
    <row r="791" spans="1:2" x14ac:dyDescent="0.3">
      <c r="A791" s="1" t="s">
        <v>298</v>
      </c>
      <c r="B791" t="str">
        <f t="shared" si="14"/>
        <v>CANADA</v>
      </c>
    </row>
    <row r="792" spans="1:2" x14ac:dyDescent="0.3">
      <c r="A792" s="2" t="s">
        <v>298</v>
      </c>
      <c r="B792" t="str">
        <f t="shared" si="14"/>
        <v>CANADA</v>
      </c>
    </row>
    <row r="793" spans="1:2" x14ac:dyDescent="0.3">
      <c r="A793" s="1" t="s">
        <v>298</v>
      </c>
      <c r="B793" t="str">
        <f t="shared" si="14"/>
        <v>CANADA</v>
      </c>
    </row>
    <row r="794" spans="1:2" x14ac:dyDescent="0.3">
      <c r="A794" s="2" t="s">
        <v>3246</v>
      </c>
      <c r="B794" t="str">
        <f t="shared" si="14"/>
        <v>NACIONAL</v>
      </c>
    </row>
    <row r="795" spans="1:2" x14ac:dyDescent="0.3">
      <c r="A795" s="1" t="s">
        <v>316</v>
      </c>
      <c r="B795" t="str">
        <f t="shared" si="14"/>
        <v>ESPAÑA</v>
      </c>
    </row>
    <row r="796" spans="1:2" x14ac:dyDescent="0.3">
      <c r="A796" s="2" t="s">
        <v>3246</v>
      </c>
      <c r="B796" t="str">
        <f t="shared" si="14"/>
        <v>NACIONAL</v>
      </c>
    </row>
    <row r="797" spans="1:2" x14ac:dyDescent="0.3">
      <c r="A797" s="1" t="s">
        <v>3246</v>
      </c>
      <c r="B797" t="str">
        <f t="shared" si="14"/>
        <v>NACIONAL</v>
      </c>
    </row>
    <row r="798" spans="1:2" x14ac:dyDescent="0.3">
      <c r="A798" s="2" t="s">
        <v>3246</v>
      </c>
      <c r="B798" t="str">
        <f t="shared" si="14"/>
        <v>NACIONAL</v>
      </c>
    </row>
    <row r="799" spans="1:2" x14ac:dyDescent="0.3">
      <c r="A799" s="1" t="s">
        <v>3246</v>
      </c>
      <c r="B799" t="str">
        <f t="shared" si="14"/>
        <v>NACIONAL</v>
      </c>
    </row>
    <row r="800" spans="1:2" x14ac:dyDescent="0.3">
      <c r="A800" s="2" t="s">
        <v>3246</v>
      </c>
      <c r="B800" t="str">
        <f t="shared" si="14"/>
        <v>NACIONAL</v>
      </c>
    </row>
    <row r="801" spans="1:2" x14ac:dyDescent="0.3">
      <c r="A801" s="1" t="s">
        <v>3246</v>
      </c>
      <c r="B801" t="str">
        <f t="shared" si="14"/>
        <v>NACIONAL</v>
      </c>
    </row>
    <row r="802" spans="1:2" x14ac:dyDescent="0.3">
      <c r="A802" s="2" t="s">
        <v>3246</v>
      </c>
      <c r="B802" t="str">
        <f t="shared" si="14"/>
        <v>NACIONAL</v>
      </c>
    </row>
    <row r="803" spans="1:2" x14ac:dyDescent="0.3">
      <c r="A803" s="1" t="s">
        <v>3246</v>
      </c>
      <c r="B803" t="str">
        <f t="shared" si="14"/>
        <v>NACIONAL</v>
      </c>
    </row>
    <row r="804" spans="1:2" x14ac:dyDescent="0.3">
      <c r="A804" s="2" t="s">
        <v>3246</v>
      </c>
      <c r="B804" t="str">
        <f t="shared" si="14"/>
        <v>NACIONAL</v>
      </c>
    </row>
    <row r="805" spans="1:2" x14ac:dyDescent="0.3">
      <c r="A805" s="1" t="s">
        <v>3246</v>
      </c>
      <c r="B805" t="str">
        <f t="shared" si="14"/>
        <v>NACIONAL</v>
      </c>
    </row>
    <row r="806" spans="1:2" x14ac:dyDescent="0.3">
      <c r="A806" s="2" t="s">
        <v>3246</v>
      </c>
      <c r="B806" t="str">
        <f t="shared" si="14"/>
        <v>NACIONAL</v>
      </c>
    </row>
    <row r="807" spans="1:2" x14ac:dyDescent="0.3">
      <c r="A807" s="1" t="s">
        <v>3246</v>
      </c>
      <c r="B807" t="str">
        <f t="shared" si="14"/>
        <v>NACIONAL</v>
      </c>
    </row>
    <row r="808" spans="1:2" x14ac:dyDescent="0.3">
      <c r="A808" s="2" t="s">
        <v>3246</v>
      </c>
      <c r="B808" t="str">
        <f t="shared" si="14"/>
        <v>NACIONAL</v>
      </c>
    </row>
    <row r="809" spans="1:2" x14ac:dyDescent="0.3">
      <c r="A809" s="1" t="s">
        <v>3246</v>
      </c>
      <c r="B809" t="str">
        <f t="shared" si="14"/>
        <v>NACIONAL</v>
      </c>
    </row>
    <row r="810" spans="1:2" x14ac:dyDescent="0.3">
      <c r="A810" s="2" t="s">
        <v>3246</v>
      </c>
      <c r="B810" t="str">
        <f t="shared" si="14"/>
        <v>NACIONAL</v>
      </c>
    </row>
    <row r="811" spans="1:2" x14ac:dyDescent="0.3">
      <c r="A811" s="1" t="s">
        <v>3246</v>
      </c>
      <c r="B811" t="str">
        <f t="shared" si="14"/>
        <v>NACIONAL</v>
      </c>
    </row>
    <row r="812" spans="1:2" x14ac:dyDescent="0.3">
      <c r="A812" s="2" t="s">
        <v>3246</v>
      </c>
      <c r="B812" t="str">
        <f t="shared" si="14"/>
        <v>NACIONAL</v>
      </c>
    </row>
    <row r="813" spans="1:2" x14ac:dyDescent="0.3">
      <c r="A813" s="1" t="s">
        <v>3246</v>
      </c>
      <c r="B813" t="str">
        <f t="shared" si="14"/>
        <v>NACIONAL</v>
      </c>
    </row>
    <row r="814" spans="1:2" x14ac:dyDescent="0.3">
      <c r="A814" s="2" t="s">
        <v>3246</v>
      </c>
      <c r="B814" t="str">
        <f t="shared" si="14"/>
        <v>NACIONAL</v>
      </c>
    </row>
    <row r="815" spans="1:2" x14ac:dyDescent="0.3">
      <c r="A815" s="1" t="s">
        <v>3246</v>
      </c>
      <c r="B815" t="str">
        <f t="shared" si="14"/>
        <v>NACIONAL</v>
      </c>
    </row>
    <row r="816" spans="1:2" x14ac:dyDescent="0.3">
      <c r="A816" s="2" t="s">
        <v>3246</v>
      </c>
      <c r="B816" t="str">
        <f t="shared" si="14"/>
        <v>NACIONAL</v>
      </c>
    </row>
    <row r="817" spans="1:2" x14ac:dyDescent="0.3">
      <c r="A817" s="1" t="s">
        <v>3246</v>
      </c>
      <c r="B817" t="str">
        <f t="shared" si="14"/>
        <v>NACIONAL</v>
      </c>
    </row>
    <row r="818" spans="1:2" x14ac:dyDescent="0.3">
      <c r="A818" s="2" t="s">
        <v>3246</v>
      </c>
      <c r="B818" t="str">
        <f t="shared" si="14"/>
        <v>NACIONAL</v>
      </c>
    </row>
    <row r="819" spans="1:2" x14ac:dyDescent="0.3">
      <c r="A819" s="1" t="s">
        <v>3246</v>
      </c>
      <c r="B819" t="str">
        <f t="shared" si="14"/>
        <v>NACIONAL</v>
      </c>
    </row>
    <row r="820" spans="1:2" x14ac:dyDescent="0.3">
      <c r="A820" s="2" t="s">
        <v>3246</v>
      </c>
      <c r="B820" t="str">
        <f t="shared" si="14"/>
        <v>NACIONAL</v>
      </c>
    </row>
    <row r="821" spans="1:2" x14ac:dyDescent="0.3">
      <c r="A821" s="1" t="s">
        <v>3246</v>
      </c>
      <c r="B821" t="str">
        <f t="shared" si="14"/>
        <v>NACIONAL</v>
      </c>
    </row>
    <row r="822" spans="1:2" x14ac:dyDescent="0.3">
      <c r="A822" s="2" t="s">
        <v>3246</v>
      </c>
      <c r="B822" t="str">
        <f t="shared" si="14"/>
        <v>NACIONAL</v>
      </c>
    </row>
    <row r="823" spans="1:2" x14ac:dyDescent="0.3">
      <c r="A823" s="1" t="s">
        <v>3246</v>
      </c>
      <c r="B823" t="str">
        <f t="shared" si="14"/>
        <v>NACIONAL</v>
      </c>
    </row>
    <row r="824" spans="1:2" x14ac:dyDescent="0.3">
      <c r="A824" s="2" t="s">
        <v>3246</v>
      </c>
      <c r="B824" t="str">
        <f t="shared" si="14"/>
        <v>NACIONAL</v>
      </c>
    </row>
    <row r="825" spans="1:2" x14ac:dyDescent="0.3">
      <c r="A825" s="1" t="s">
        <v>3246</v>
      </c>
      <c r="B825" t="str">
        <f t="shared" si="14"/>
        <v>NACIONAL</v>
      </c>
    </row>
    <row r="826" spans="1:2" x14ac:dyDescent="0.3">
      <c r="A826" s="2" t="s">
        <v>3246</v>
      </c>
      <c r="B826" t="str">
        <f t="shared" si="14"/>
        <v>NACIONAL</v>
      </c>
    </row>
    <row r="827" spans="1:2" x14ac:dyDescent="0.3">
      <c r="A827" s="1" t="s">
        <v>3246</v>
      </c>
      <c r="B827" t="str">
        <f t="shared" si="14"/>
        <v>NACIONAL</v>
      </c>
    </row>
    <row r="828" spans="1:2" x14ac:dyDescent="0.3">
      <c r="A828" s="2" t="s">
        <v>3246</v>
      </c>
      <c r="B828" t="str">
        <f t="shared" si="14"/>
        <v>NACIONAL</v>
      </c>
    </row>
    <row r="829" spans="1:2" x14ac:dyDescent="0.3">
      <c r="A829" s="1" t="s">
        <v>3246</v>
      </c>
      <c r="B829" t="str">
        <f t="shared" si="14"/>
        <v>NACIONAL</v>
      </c>
    </row>
    <row r="830" spans="1:2" x14ac:dyDescent="0.3">
      <c r="A830" s="2" t="s">
        <v>3246</v>
      </c>
      <c r="B830" t="str">
        <f t="shared" si="14"/>
        <v>NACIONAL</v>
      </c>
    </row>
    <row r="831" spans="1:2" x14ac:dyDescent="0.3">
      <c r="A831" s="1" t="s">
        <v>3246</v>
      </c>
      <c r="B831" t="str">
        <f t="shared" si="14"/>
        <v>NACIONAL</v>
      </c>
    </row>
    <row r="832" spans="1:2" x14ac:dyDescent="0.3">
      <c r="A832" s="2" t="s">
        <v>3246</v>
      </c>
      <c r="B832" t="str">
        <f t="shared" si="14"/>
        <v>NACIONAL</v>
      </c>
    </row>
    <row r="833" spans="1:2" x14ac:dyDescent="0.3">
      <c r="A833" s="1" t="s">
        <v>3246</v>
      </c>
      <c r="B833" t="str">
        <f t="shared" si="14"/>
        <v>NACIONAL</v>
      </c>
    </row>
    <row r="834" spans="1:2" x14ac:dyDescent="0.3">
      <c r="A834" s="2" t="s">
        <v>3246</v>
      </c>
      <c r="B834" t="str">
        <f t="shared" ref="B834:B897" si="15">UPPER(A834)</f>
        <v>NACIONAL</v>
      </c>
    </row>
    <row r="835" spans="1:2" x14ac:dyDescent="0.3">
      <c r="A835" s="1" t="s">
        <v>3246</v>
      </c>
      <c r="B835" t="str">
        <f t="shared" si="15"/>
        <v>NACIONAL</v>
      </c>
    </row>
    <row r="836" spans="1:2" x14ac:dyDescent="0.3">
      <c r="A836" s="2" t="s">
        <v>3246</v>
      </c>
      <c r="B836" t="str">
        <f t="shared" si="15"/>
        <v>NACIONAL</v>
      </c>
    </row>
    <row r="837" spans="1:2" x14ac:dyDescent="0.3">
      <c r="A837" s="1" t="s">
        <v>3246</v>
      </c>
      <c r="B837" t="str">
        <f t="shared" si="15"/>
        <v>NACIONAL</v>
      </c>
    </row>
    <row r="838" spans="1:2" x14ac:dyDescent="0.3">
      <c r="A838" s="2" t="s">
        <v>3246</v>
      </c>
      <c r="B838" t="str">
        <f t="shared" si="15"/>
        <v>NACIONAL</v>
      </c>
    </row>
    <row r="839" spans="1:2" x14ac:dyDescent="0.3">
      <c r="A839" s="1" t="s">
        <v>3246</v>
      </c>
      <c r="B839" t="str">
        <f t="shared" si="15"/>
        <v>NACIONAL</v>
      </c>
    </row>
    <row r="840" spans="1:2" x14ac:dyDescent="0.3">
      <c r="A840" s="2" t="s">
        <v>3246</v>
      </c>
      <c r="B840" t="str">
        <f t="shared" si="15"/>
        <v>NACIONAL</v>
      </c>
    </row>
    <row r="841" spans="1:2" x14ac:dyDescent="0.3">
      <c r="A841" s="1" t="s">
        <v>3246</v>
      </c>
      <c r="B841" t="str">
        <f t="shared" si="15"/>
        <v>NACIONAL</v>
      </c>
    </row>
    <row r="842" spans="1:2" x14ac:dyDescent="0.3">
      <c r="A842" s="2" t="s">
        <v>3246</v>
      </c>
      <c r="B842" t="str">
        <f t="shared" si="15"/>
        <v>NACIONAL</v>
      </c>
    </row>
    <row r="843" spans="1:2" x14ac:dyDescent="0.3">
      <c r="A843" s="1" t="s">
        <v>3246</v>
      </c>
      <c r="B843" t="str">
        <f t="shared" si="15"/>
        <v>NACIONAL</v>
      </c>
    </row>
    <row r="844" spans="1:2" x14ac:dyDescent="0.3">
      <c r="A844" s="2" t="s">
        <v>3246</v>
      </c>
      <c r="B844" t="str">
        <f t="shared" si="15"/>
        <v>NACIONAL</v>
      </c>
    </row>
    <row r="845" spans="1:2" x14ac:dyDescent="0.3">
      <c r="A845" s="1" t="s">
        <v>3246</v>
      </c>
      <c r="B845" t="str">
        <f t="shared" si="15"/>
        <v>NACIONAL</v>
      </c>
    </row>
    <row r="846" spans="1:2" x14ac:dyDescent="0.3">
      <c r="A846" s="2" t="s">
        <v>3246</v>
      </c>
      <c r="B846" t="str">
        <f t="shared" si="15"/>
        <v>NACIONAL</v>
      </c>
    </row>
    <row r="847" spans="1:2" x14ac:dyDescent="0.3">
      <c r="A847" s="1" t="s">
        <v>3246</v>
      </c>
      <c r="B847" t="str">
        <f t="shared" si="15"/>
        <v>NACIONAL</v>
      </c>
    </row>
    <row r="848" spans="1:2" x14ac:dyDescent="0.3">
      <c r="A848" s="2" t="s">
        <v>3246</v>
      </c>
      <c r="B848" t="str">
        <f t="shared" si="15"/>
        <v>NACIONAL</v>
      </c>
    </row>
    <row r="849" spans="1:2" x14ac:dyDescent="0.3">
      <c r="A849" s="1" t="s">
        <v>3246</v>
      </c>
      <c r="B849" t="str">
        <f t="shared" si="15"/>
        <v>NACIONAL</v>
      </c>
    </row>
    <row r="850" spans="1:2" x14ac:dyDescent="0.3">
      <c r="A850" s="2" t="s">
        <v>3246</v>
      </c>
      <c r="B850" t="str">
        <f t="shared" si="15"/>
        <v>NACIONAL</v>
      </c>
    </row>
    <row r="851" spans="1:2" x14ac:dyDescent="0.3">
      <c r="A851" s="1" t="s">
        <v>408</v>
      </c>
      <c r="B851" t="str">
        <f t="shared" si="15"/>
        <v>ARGENTINA</v>
      </c>
    </row>
    <row r="852" spans="1:2" x14ac:dyDescent="0.3">
      <c r="A852" s="2" t="s">
        <v>3246</v>
      </c>
      <c r="B852" t="str">
        <f t="shared" si="15"/>
        <v>NACIONAL</v>
      </c>
    </row>
    <row r="853" spans="1:2" x14ac:dyDescent="0.3">
      <c r="A853" s="1" t="s">
        <v>3246</v>
      </c>
      <c r="B853" t="str">
        <f t="shared" si="15"/>
        <v>NACIONAL</v>
      </c>
    </row>
    <row r="854" spans="1:2" x14ac:dyDescent="0.3">
      <c r="A854" s="2" t="s">
        <v>408</v>
      </c>
      <c r="B854" t="str">
        <f t="shared" si="15"/>
        <v>ARGENTINA</v>
      </c>
    </row>
    <row r="855" spans="1:2" x14ac:dyDescent="0.3">
      <c r="A855" s="1" t="s">
        <v>3246</v>
      </c>
      <c r="B855" t="str">
        <f t="shared" si="15"/>
        <v>NACIONAL</v>
      </c>
    </row>
    <row r="856" spans="1:2" x14ac:dyDescent="0.3">
      <c r="A856" s="2" t="s">
        <v>3246</v>
      </c>
      <c r="B856" t="str">
        <f t="shared" si="15"/>
        <v>NACIONAL</v>
      </c>
    </row>
    <row r="857" spans="1:2" x14ac:dyDescent="0.3">
      <c r="A857" s="1" t="s">
        <v>3246</v>
      </c>
      <c r="B857" t="str">
        <f t="shared" si="15"/>
        <v>NACIONAL</v>
      </c>
    </row>
    <row r="858" spans="1:2" x14ac:dyDescent="0.3">
      <c r="A858" s="2" t="s">
        <v>3246</v>
      </c>
      <c r="B858" t="str">
        <f t="shared" si="15"/>
        <v>NACIONAL</v>
      </c>
    </row>
    <row r="859" spans="1:2" x14ac:dyDescent="0.3">
      <c r="A859" s="1" t="s">
        <v>3246</v>
      </c>
      <c r="B859" t="str">
        <f t="shared" si="15"/>
        <v>NACIONAL</v>
      </c>
    </row>
    <row r="860" spans="1:2" x14ac:dyDescent="0.3">
      <c r="A860" s="2" t="s">
        <v>3246</v>
      </c>
      <c r="B860" t="str">
        <f t="shared" si="15"/>
        <v>NACIONAL</v>
      </c>
    </row>
    <row r="861" spans="1:2" x14ac:dyDescent="0.3">
      <c r="A861" s="1" t="s">
        <v>3246</v>
      </c>
      <c r="B861" t="str">
        <f t="shared" si="15"/>
        <v>NACIONAL</v>
      </c>
    </row>
    <row r="862" spans="1:2" x14ac:dyDescent="0.3">
      <c r="A862" s="2" t="s">
        <v>3246</v>
      </c>
      <c r="B862" t="str">
        <f t="shared" si="15"/>
        <v>NACIONAL</v>
      </c>
    </row>
    <row r="863" spans="1:2" x14ac:dyDescent="0.3">
      <c r="A863" s="1" t="s">
        <v>3246</v>
      </c>
      <c r="B863" t="str">
        <f t="shared" si="15"/>
        <v>NACIONAL</v>
      </c>
    </row>
    <row r="864" spans="1:2" x14ac:dyDescent="0.3">
      <c r="A864" s="2" t="s">
        <v>3247</v>
      </c>
      <c r="B864" t="str">
        <f t="shared" si="15"/>
        <v>TRANSNACIONAL</v>
      </c>
    </row>
    <row r="865" spans="1:2" x14ac:dyDescent="0.3">
      <c r="A865" s="1" t="s">
        <v>3246</v>
      </c>
      <c r="B865" t="str">
        <f t="shared" si="15"/>
        <v>NACIONAL</v>
      </c>
    </row>
    <row r="866" spans="1:2" x14ac:dyDescent="0.3">
      <c r="A866" s="2" t="s">
        <v>3246</v>
      </c>
      <c r="B866" t="str">
        <f t="shared" si="15"/>
        <v>NACIONAL</v>
      </c>
    </row>
    <row r="867" spans="1:2" x14ac:dyDescent="0.3">
      <c r="A867" s="1" t="s">
        <v>3247</v>
      </c>
      <c r="B867" t="str">
        <f t="shared" si="15"/>
        <v>TRANSNACIONAL</v>
      </c>
    </row>
    <row r="868" spans="1:2" x14ac:dyDescent="0.3">
      <c r="A868" s="2" t="s">
        <v>3246</v>
      </c>
      <c r="B868" t="str">
        <f t="shared" si="15"/>
        <v>NACIONAL</v>
      </c>
    </row>
    <row r="869" spans="1:2" x14ac:dyDescent="0.3">
      <c r="A869" s="1" t="s">
        <v>3246</v>
      </c>
      <c r="B869" t="str">
        <f t="shared" si="15"/>
        <v>NACIONAL</v>
      </c>
    </row>
    <row r="870" spans="1:2" x14ac:dyDescent="0.3">
      <c r="A870" s="2" t="s">
        <v>3246</v>
      </c>
      <c r="B870" t="str">
        <f t="shared" si="15"/>
        <v>NACIONAL</v>
      </c>
    </row>
    <row r="871" spans="1:2" x14ac:dyDescent="0.3">
      <c r="A871" s="1" t="s">
        <v>3246</v>
      </c>
      <c r="B871" t="str">
        <f t="shared" si="15"/>
        <v>NACIONAL</v>
      </c>
    </row>
    <row r="872" spans="1:2" x14ac:dyDescent="0.3">
      <c r="A872" s="2" t="s">
        <v>3246</v>
      </c>
      <c r="B872" t="str">
        <f t="shared" si="15"/>
        <v>NACIONAL</v>
      </c>
    </row>
    <row r="873" spans="1:2" x14ac:dyDescent="0.3">
      <c r="A873" s="1" t="s">
        <v>3246</v>
      </c>
      <c r="B873" t="str">
        <f t="shared" si="15"/>
        <v>NACIONAL</v>
      </c>
    </row>
    <row r="874" spans="1:2" x14ac:dyDescent="0.3">
      <c r="A874" s="2" t="s">
        <v>3246</v>
      </c>
      <c r="B874" t="str">
        <f t="shared" si="15"/>
        <v>NACIONAL</v>
      </c>
    </row>
    <row r="875" spans="1:2" x14ac:dyDescent="0.3">
      <c r="A875" s="1" t="s">
        <v>3246</v>
      </c>
      <c r="B875" t="str">
        <f t="shared" si="15"/>
        <v>NACIONAL</v>
      </c>
    </row>
    <row r="876" spans="1:2" x14ac:dyDescent="0.3">
      <c r="A876" s="2" t="s">
        <v>3246</v>
      </c>
      <c r="B876" t="str">
        <f t="shared" si="15"/>
        <v>NACIONAL</v>
      </c>
    </row>
    <row r="877" spans="1:2" x14ac:dyDescent="0.3">
      <c r="A877" s="1" t="s">
        <v>3246</v>
      </c>
      <c r="B877" t="str">
        <f t="shared" si="15"/>
        <v>NACIONAL</v>
      </c>
    </row>
    <row r="878" spans="1:2" x14ac:dyDescent="0.3">
      <c r="A878" s="2" t="s">
        <v>3246</v>
      </c>
      <c r="B878" t="str">
        <f t="shared" si="15"/>
        <v>NACIONAL</v>
      </c>
    </row>
    <row r="879" spans="1:2" x14ac:dyDescent="0.3">
      <c r="A879" s="1" t="s">
        <v>3246</v>
      </c>
      <c r="B879" t="str">
        <f t="shared" si="15"/>
        <v>NACIONAL</v>
      </c>
    </row>
    <row r="880" spans="1:2" x14ac:dyDescent="0.3">
      <c r="A880" s="2" t="s">
        <v>3246</v>
      </c>
      <c r="B880" t="str">
        <f t="shared" si="15"/>
        <v>NACIONAL</v>
      </c>
    </row>
    <row r="881" spans="1:2" x14ac:dyDescent="0.3">
      <c r="A881" s="1" t="s">
        <v>3246</v>
      </c>
      <c r="B881" t="str">
        <f t="shared" si="15"/>
        <v>NACIONAL</v>
      </c>
    </row>
    <row r="882" spans="1:2" x14ac:dyDescent="0.3">
      <c r="A882" s="2" t="s">
        <v>3246</v>
      </c>
      <c r="B882" t="str">
        <f t="shared" si="15"/>
        <v>NACIONAL</v>
      </c>
    </row>
    <row r="883" spans="1:2" x14ac:dyDescent="0.3">
      <c r="A883" s="1" t="s">
        <v>3247</v>
      </c>
      <c r="B883" t="str">
        <f t="shared" si="15"/>
        <v>TRANSNACIONAL</v>
      </c>
    </row>
    <row r="884" spans="1:2" x14ac:dyDescent="0.3">
      <c r="A884" s="2" t="s">
        <v>3246</v>
      </c>
      <c r="B884" t="str">
        <f t="shared" si="15"/>
        <v>NACIONAL</v>
      </c>
    </row>
    <row r="885" spans="1:2" x14ac:dyDescent="0.3">
      <c r="A885" s="1" t="s">
        <v>3246</v>
      </c>
      <c r="B885" t="str">
        <f t="shared" si="15"/>
        <v>NACIONAL</v>
      </c>
    </row>
    <row r="886" spans="1:2" x14ac:dyDescent="0.3">
      <c r="A886" s="2" t="s">
        <v>3246</v>
      </c>
      <c r="B886" t="str">
        <f t="shared" si="15"/>
        <v>NACIONAL</v>
      </c>
    </row>
    <row r="887" spans="1:2" x14ac:dyDescent="0.3">
      <c r="A887" s="1" t="s">
        <v>3247</v>
      </c>
      <c r="B887" t="str">
        <f t="shared" si="15"/>
        <v>TRANSNACIONAL</v>
      </c>
    </row>
    <row r="888" spans="1:2" x14ac:dyDescent="0.3">
      <c r="A888" s="2" t="s">
        <v>3247</v>
      </c>
      <c r="B888" t="str">
        <f t="shared" si="15"/>
        <v>TRANSNACIONAL</v>
      </c>
    </row>
    <row r="889" spans="1:2" x14ac:dyDescent="0.3">
      <c r="A889" s="1" t="s">
        <v>3247</v>
      </c>
      <c r="B889" t="str">
        <f t="shared" si="15"/>
        <v>TRANSNACIONAL</v>
      </c>
    </row>
    <row r="890" spans="1:2" x14ac:dyDescent="0.3">
      <c r="A890" s="2" t="s">
        <v>3246</v>
      </c>
      <c r="B890" t="str">
        <f t="shared" si="15"/>
        <v>NACIONAL</v>
      </c>
    </row>
    <row r="891" spans="1:2" x14ac:dyDescent="0.3">
      <c r="A891" s="1" t="s">
        <v>3247</v>
      </c>
      <c r="B891" t="str">
        <f t="shared" si="15"/>
        <v>TRANSNACIONAL</v>
      </c>
    </row>
    <row r="892" spans="1:2" x14ac:dyDescent="0.3">
      <c r="A892" s="2" t="s">
        <v>3247</v>
      </c>
      <c r="B892" t="str">
        <f t="shared" si="15"/>
        <v>TRANSNACIONAL</v>
      </c>
    </row>
    <row r="893" spans="1:2" x14ac:dyDescent="0.3">
      <c r="A893" s="1" t="s">
        <v>3247</v>
      </c>
      <c r="B893" t="str">
        <f t="shared" si="15"/>
        <v>TRANSNACIONAL</v>
      </c>
    </row>
    <row r="894" spans="1:2" x14ac:dyDescent="0.3">
      <c r="A894" s="2" t="s">
        <v>3247</v>
      </c>
      <c r="B894" t="str">
        <f t="shared" si="15"/>
        <v>TRANSNACIONAL</v>
      </c>
    </row>
    <row r="895" spans="1:2" x14ac:dyDescent="0.3">
      <c r="A895" s="1" t="s">
        <v>3246</v>
      </c>
      <c r="B895" t="str">
        <f t="shared" si="15"/>
        <v>NACIONAL</v>
      </c>
    </row>
    <row r="896" spans="1:2" x14ac:dyDescent="0.3">
      <c r="A896" s="2" t="s">
        <v>3247</v>
      </c>
      <c r="B896" t="str">
        <f t="shared" si="15"/>
        <v>TRANSNACIONAL</v>
      </c>
    </row>
    <row r="897" spans="1:2" x14ac:dyDescent="0.3">
      <c r="A897" s="1" t="s">
        <v>3246</v>
      </c>
      <c r="B897" t="str">
        <f t="shared" si="15"/>
        <v>NACIONAL</v>
      </c>
    </row>
    <row r="898" spans="1:2" x14ac:dyDescent="0.3">
      <c r="A898" s="2" t="s">
        <v>3246</v>
      </c>
      <c r="B898" t="str">
        <f t="shared" ref="B898:B922" si="16">UPPER(A898)</f>
        <v>NACIONAL</v>
      </c>
    </row>
    <row r="899" spans="1:2" x14ac:dyDescent="0.3">
      <c r="A899" s="1" t="s">
        <v>3246</v>
      </c>
      <c r="B899" t="str">
        <f t="shared" si="16"/>
        <v>NACIONAL</v>
      </c>
    </row>
    <row r="900" spans="1:2" x14ac:dyDescent="0.3">
      <c r="A900" s="2" t="s">
        <v>3246</v>
      </c>
      <c r="B900" t="str">
        <f t="shared" si="16"/>
        <v>NACIONAL</v>
      </c>
    </row>
    <row r="901" spans="1:2" x14ac:dyDescent="0.3">
      <c r="A901" s="1" t="s">
        <v>3246</v>
      </c>
      <c r="B901" t="str">
        <f t="shared" si="16"/>
        <v>NACIONAL</v>
      </c>
    </row>
    <row r="902" spans="1:2" x14ac:dyDescent="0.3">
      <c r="A902" s="2" t="s">
        <v>3246</v>
      </c>
      <c r="B902" t="str">
        <f t="shared" si="16"/>
        <v>NACIONAL</v>
      </c>
    </row>
    <row r="903" spans="1:2" x14ac:dyDescent="0.3">
      <c r="A903" s="1" t="s">
        <v>3246</v>
      </c>
      <c r="B903" t="str">
        <f t="shared" si="16"/>
        <v>NACIONAL</v>
      </c>
    </row>
    <row r="904" spans="1:2" x14ac:dyDescent="0.3">
      <c r="A904" s="2" t="s">
        <v>3246</v>
      </c>
      <c r="B904" t="str">
        <f t="shared" si="16"/>
        <v>NACIONAL</v>
      </c>
    </row>
    <row r="905" spans="1:2" x14ac:dyDescent="0.3">
      <c r="A905" s="1" t="s">
        <v>3246</v>
      </c>
      <c r="B905" t="str">
        <f t="shared" si="16"/>
        <v>NACIONAL</v>
      </c>
    </row>
    <row r="906" spans="1:2" x14ac:dyDescent="0.3">
      <c r="A906" s="2" t="s">
        <v>3246</v>
      </c>
      <c r="B906" t="str">
        <f t="shared" si="16"/>
        <v>NACIONAL</v>
      </c>
    </row>
    <row r="907" spans="1:2" x14ac:dyDescent="0.3">
      <c r="A907" s="1" t="s">
        <v>3247</v>
      </c>
      <c r="B907" t="str">
        <f t="shared" si="16"/>
        <v>TRANSNACIONAL</v>
      </c>
    </row>
    <row r="908" spans="1:2" x14ac:dyDescent="0.3">
      <c r="A908" s="2" t="s">
        <v>3246</v>
      </c>
      <c r="B908" t="str">
        <f t="shared" si="16"/>
        <v>NACIONAL</v>
      </c>
    </row>
    <row r="909" spans="1:2" x14ac:dyDescent="0.3">
      <c r="A909" s="1" t="s">
        <v>3246</v>
      </c>
      <c r="B909" t="str">
        <f t="shared" si="16"/>
        <v>NACIONAL</v>
      </c>
    </row>
    <row r="910" spans="1:2" x14ac:dyDescent="0.3">
      <c r="A910" s="2" t="s">
        <v>3246</v>
      </c>
      <c r="B910" t="str">
        <f t="shared" si="16"/>
        <v>NACIONAL</v>
      </c>
    </row>
    <row r="911" spans="1:2" x14ac:dyDescent="0.3">
      <c r="A911" s="1" t="s">
        <v>3246</v>
      </c>
      <c r="B911" t="str">
        <f t="shared" si="16"/>
        <v>NACIONAL</v>
      </c>
    </row>
    <row r="912" spans="1:2" x14ac:dyDescent="0.3">
      <c r="A912" s="2" t="s">
        <v>3246</v>
      </c>
      <c r="B912" t="str">
        <f t="shared" si="16"/>
        <v>NACIONAL</v>
      </c>
    </row>
    <row r="913" spans="1:2" x14ac:dyDescent="0.3">
      <c r="A913" s="1" t="s">
        <v>3246</v>
      </c>
      <c r="B913" t="str">
        <f t="shared" si="16"/>
        <v>NACIONAL</v>
      </c>
    </row>
    <row r="914" spans="1:2" x14ac:dyDescent="0.3">
      <c r="A914" s="2" t="s">
        <v>3246</v>
      </c>
      <c r="B914" t="str">
        <f t="shared" si="16"/>
        <v>NACIONAL</v>
      </c>
    </row>
    <row r="915" spans="1:2" x14ac:dyDescent="0.3">
      <c r="A915" s="1" t="s">
        <v>3246</v>
      </c>
      <c r="B915" t="str">
        <f t="shared" si="16"/>
        <v>NACIONAL</v>
      </c>
    </row>
    <row r="916" spans="1:2" x14ac:dyDescent="0.3">
      <c r="A916" s="2" t="s">
        <v>3246</v>
      </c>
      <c r="B916" t="str">
        <f t="shared" si="16"/>
        <v>NACIONAL</v>
      </c>
    </row>
    <row r="917" spans="1:2" x14ac:dyDescent="0.3">
      <c r="A917" s="1" t="s">
        <v>3247</v>
      </c>
      <c r="B917" t="str">
        <f t="shared" si="16"/>
        <v>TRANSNACIONAL</v>
      </c>
    </row>
    <row r="918" spans="1:2" x14ac:dyDescent="0.3">
      <c r="A918" s="2" t="s">
        <v>3246</v>
      </c>
      <c r="B918" t="str">
        <f t="shared" si="16"/>
        <v>NACIONAL</v>
      </c>
    </row>
    <row r="919" spans="1:2" x14ac:dyDescent="0.3">
      <c r="A919" s="1" t="s">
        <v>3247</v>
      </c>
      <c r="B919" t="str">
        <f t="shared" si="16"/>
        <v>TRANSNACIONAL</v>
      </c>
    </row>
    <row r="920" spans="1:2" x14ac:dyDescent="0.3">
      <c r="A920" s="2" t="s">
        <v>3246</v>
      </c>
      <c r="B920" t="str">
        <f t="shared" si="16"/>
        <v>NACIONAL</v>
      </c>
    </row>
    <row r="921" spans="1:2" x14ac:dyDescent="0.3">
      <c r="A921" s="1" t="s">
        <v>3246</v>
      </c>
      <c r="B921" t="str">
        <f t="shared" si="16"/>
        <v>NACIONAL</v>
      </c>
    </row>
    <row r="922" spans="1:2" x14ac:dyDescent="0.3">
      <c r="A922" s="2" t="s">
        <v>3246</v>
      </c>
      <c r="B922" t="str">
        <f t="shared" si="16"/>
        <v>NACIONAL</v>
      </c>
    </row>
    <row r="923" spans="1:2" x14ac:dyDescent="0.3">
      <c r="A923" s="1"/>
    </row>
    <row r="924" spans="1:2" x14ac:dyDescent="0.3">
      <c r="A924" s="2"/>
    </row>
    <row r="925" spans="1:2" x14ac:dyDescent="0.3">
      <c r="A925" s="1"/>
    </row>
    <row r="926" spans="1:2" x14ac:dyDescent="0.3">
      <c r="A926" s="2"/>
    </row>
    <row r="927" spans="1:2" x14ac:dyDescent="0.3">
      <c r="A927" s="1"/>
    </row>
    <row r="928" spans="1:2" x14ac:dyDescent="0.3">
      <c r="A928" s="2"/>
    </row>
    <row r="929" spans="1:1" x14ac:dyDescent="0.3">
      <c r="A929" s="1"/>
    </row>
    <row r="930" spans="1:1" x14ac:dyDescent="0.3">
      <c r="A930" s="2"/>
    </row>
    <row r="931" spans="1:1" x14ac:dyDescent="0.3">
      <c r="A931" s="1"/>
    </row>
    <row r="932" spans="1:1" x14ac:dyDescent="0.3">
      <c r="A932" s="2"/>
    </row>
    <row r="933" spans="1:1" x14ac:dyDescent="0.3">
      <c r="A933" s="1"/>
    </row>
    <row r="934" spans="1:1" x14ac:dyDescent="0.3">
      <c r="A934" s="2"/>
    </row>
    <row r="935" spans="1:1" x14ac:dyDescent="0.3">
      <c r="A935" s="1"/>
    </row>
    <row r="936" spans="1:1" x14ac:dyDescent="0.3">
      <c r="A936" s="2"/>
    </row>
    <row r="937" spans="1:1" x14ac:dyDescent="0.3">
      <c r="A937" s="1"/>
    </row>
    <row r="938" spans="1:1" x14ac:dyDescent="0.3">
      <c r="A938" s="2"/>
    </row>
    <row r="939" spans="1:1" x14ac:dyDescent="0.3">
      <c r="A939" s="1"/>
    </row>
    <row r="940" spans="1:1" x14ac:dyDescent="0.3">
      <c r="A940" s="2"/>
    </row>
    <row r="941" spans="1:1" x14ac:dyDescent="0.3">
      <c r="A941" s="1"/>
    </row>
    <row r="942" spans="1:1" x14ac:dyDescent="0.3">
      <c r="A942" s="2"/>
    </row>
    <row r="943" spans="1:1" x14ac:dyDescent="0.3">
      <c r="A943" s="1"/>
    </row>
    <row r="944" spans="1:1" x14ac:dyDescent="0.3">
      <c r="A944" s="2"/>
    </row>
    <row r="945" spans="1:1" x14ac:dyDescent="0.3">
      <c r="A945" s="1"/>
    </row>
    <row r="946" spans="1:1" x14ac:dyDescent="0.3">
      <c r="A946" s="2"/>
    </row>
    <row r="947" spans="1:1" x14ac:dyDescent="0.3">
      <c r="A947" s="1"/>
    </row>
    <row r="948" spans="1:1" x14ac:dyDescent="0.3">
      <c r="A948" s="2"/>
    </row>
    <row r="949" spans="1:1" x14ac:dyDescent="0.3">
      <c r="A949" s="1"/>
    </row>
    <row r="950" spans="1:1" x14ac:dyDescent="0.3">
      <c r="A950" s="2"/>
    </row>
    <row r="951" spans="1:1" x14ac:dyDescent="0.3">
      <c r="A951" s="1"/>
    </row>
    <row r="952" spans="1:1" x14ac:dyDescent="0.3">
      <c r="A952" s="2"/>
    </row>
    <row r="953" spans="1:1" x14ac:dyDescent="0.3">
      <c r="A953" s="1"/>
    </row>
    <row r="954" spans="1:1" x14ac:dyDescent="0.3">
      <c r="A954" s="2"/>
    </row>
    <row r="955" spans="1:1" x14ac:dyDescent="0.3">
      <c r="A955" s="1"/>
    </row>
    <row r="956" spans="1:1" x14ac:dyDescent="0.3">
      <c r="A956" s="2"/>
    </row>
    <row r="957" spans="1:1" x14ac:dyDescent="0.3">
      <c r="A957" s="1"/>
    </row>
    <row r="958" spans="1:1" x14ac:dyDescent="0.3">
      <c r="A958" s="2"/>
    </row>
    <row r="959" spans="1:1" x14ac:dyDescent="0.3">
      <c r="A959" s="1"/>
    </row>
    <row r="960" spans="1:1" x14ac:dyDescent="0.3">
      <c r="A960" s="2"/>
    </row>
    <row r="961" spans="1:1" x14ac:dyDescent="0.3">
      <c r="A961" s="1"/>
    </row>
    <row r="962" spans="1:1" x14ac:dyDescent="0.3">
      <c r="A962" s="2"/>
    </row>
    <row r="963" spans="1:1" x14ac:dyDescent="0.3">
      <c r="A963" s="1"/>
    </row>
    <row r="964" spans="1:1" x14ac:dyDescent="0.3">
      <c r="A964" s="2"/>
    </row>
    <row r="965" spans="1:1" x14ac:dyDescent="0.3">
      <c r="A965" s="1"/>
    </row>
    <row r="966" spans="1:1" x14ac:dyDescent="0.3">
      <c r="A966" s="2"/>
    </row>
    <row r="967" spans="1:1" x14ac:dyDescent="0.3">
      <c r="A967" s="1"/>
    </row>
    <row r="968" spans="1:1" x14ac:dyDescent="0.3">
      <c r="A968" s="2"/>
    </row>
    <row r="969" spans="1:1" x14ac:dyDescent="0.3">
      <c r="A969" s="1"/>
    </row>
    <row r="970" spans="1:1" x14ac:dyDescent="0.3">
      <c r="A970" s="2"/>
    </row>
    <row r="971" spans="1:1" x14ac:dyDescent="0.3">
      <c r="A971" s="1"/>
    </row>
    <row r="972" spans="1:1" x14ac:dyDescent="0.3">
      <c r="A972" s="2"/>
    </row>
    <row r="973" spans="1:1" x14ac:dyDescent="0.3">
      <c r="A973" s="1"/>
    </row>
    <row r="974" spans="1:1" x14ac:dyDescent="0.3">
      <c r="A974" s="2"/>
    </row>
    <row r="975" spans="1:1" x14ac:dyDescent="0.3">
      <c r="A975" s="1"/>
    </row>
    <row r="976" spans="1:1" x14ac:dyDescent="0.3">
      <c r="A976" s="2"/>
    </row>
    <row r="977" spans="1:1" x14ac:dyDescent="0.3">
      <c r="A977" s="1"/>
    </row>
    <row r="978" spans="1:1" x14ac:dyDescent="0.3">
      <c r="A978" s="2"/>
    </row>
    <row r="979" spans="1:1" x14ac:dyDescent="0.3">
      <c r="A979" s="1"/>
    </row>
    <row r="980" spans="1:1" x14ac:dyDescent="0.3">
      <c r="A980" s="2"/>
    </row>
    <row r="981" spans="1:1" x14ac:dyDescent="0.3">
      <c r="A981" s="1"/>
    </row>
    <row r="982" spans="1:1" x14ac:dyDescent="0.3">
      <c r="A982" s="2"/>
    </row>
    <row r="983" spans="1:1" x14ac:dyDescent="0.3">
      <c r="A983" s="1"/>
    </row>
    <row r="984" spans="1:1" x14ac:dyDescent="0.3">
      <c r="A984" s="2"/>
    </row>
    <row r="985" spans="1:1" x14ac:dyDescent="0.3">
      <c r="A985" s="1"/>
    </row>
    <row r="986" spans="1:1" x14ac:dyDescent="0.3">
      <c r="A986" s="2"/>
    </row>
    <row r="987" spans="1:1" x14ac:dyDescent="0.3">
      <c r="A987" s="1"/>
    </row>
    <row r="988" spans="1:1" x14ac:dyDescent="0.3">
      <c r="A988" s="2"/>
    </row>
    <row r="989" spans="1:1" x14ac:dyDescent="0.3">
      <c r="A989" s="1"/>
    </row>
    <row r="990" spans="1:1" x14ac:dyDescent="0.3">
      <c r="A990" s="2"/>
    </row>
    <row r="991" spans="1:1" x14ac:dyDescent="0.3">
      <c r="A991" s="1"/>
    </row>
    <row r="992" spans="1:1" x14ac:dyDescent="0.3">
      <c r="A992" s="2"/>
    </row>
    <row r="993" spans="1:1" x14ac:dyDescent="0.3">
      <c r="A993" s="1"/>
    </row>
    <row r="994" spans="1:1" x14ac:dyDescent="0.3">
      <c r="A994" s="2"/>
    </row>
    <row r="995" spans="1:1" x14ac:dyDescent="0.3">
      <c r="A995" s="1"/>
    </row>
    <row r="996" spans="1:1" x14ac:dyDescent="0.3">
      <c r="A996" s="2"/>
    </row>
    <row r="997" spans="1:1" x14ac:dyDescent="0.3">
      <c r="A997" s="1"/>
    </row>
    <row r="998" spans="1:1" x14ac:dyDescent="0.3">
      <c r="A998" s="2"/>
    </row>
    <row r="999" spans="1:1" x14ac:dyDescent="0.3">
      <c r="A999" s="1"/>
    </row>
    <row r="1000" spans="1:1" x14ac:dyDescent="0.3">
      <c r="A1000" s="2"/>
    </row>
    <row r="1001" spans="1:1" x14ac:dyDescent="0.3">
      <c r="A1001" s="1"/>
    </row>
    <row r="1002" spans="1:1" x14ac:dyDescent="0.3">
      <c r="A1002" s="2"/>
    </row>
    <row r="1003" spans="1:1" x14ac:dyDescent="0.3">
      <c r="A1003" s="1"/>
    </row>
    <row r="1004" spans="1:1" x14ac:dyDescent="0.3">
      <c r="A1004" s="2"/>
    </row>
    <row r="1005" spans="1:1" x14ac:dyDescent="0.3">
      <c r="A1005" s="1"/>
    </row>
    <row r="1006" spans="1:1" x14ac:dyDescent="0.3">
      <c r="A1006" s="2"/>
    </row>
    <row r="1007" spans="1:1" x14ac:dyDescent="0.3">
      <c r="A1007" s="1"/>
    </row>
    <row r="1008" spans="1:1" x14ac:dyDescent="0.3">
      <c r="A1008" s="2"/>
    </row>
    <row r="1009" spans="1:1" x14ac:dyDescent="0.3">
      <c r="A1009" s="1"/>
    </row>
    <row r="1010" spans="1:1" x14ac:dyDescent="0.3">
      <c r="A1010" s="2"/>
    </row>
    <row r="1011" spans="1:1" x14ac:dyDescent="0.3">
      <c r="A1011" s="1"/>
    </row>
    <row r="1012" spans="1:1" x14ac:dyDescent="0.3">
      <c r="A1012" s="2"/>
    </row>
    <row r="1013" spans="1:1" x14ac:dyDescent="0.3">
      <c r="A1013" s="1"/>
    </row>
    <row r="1014" spans="1:1" x14ac:dyDescent="0.3">
      <c r="A1014" s="2"/>
    </row>
    <row r="1015" spans="1:1" x14ac:dyDescent="0.3">
      <c r="A1015" s="1"/>
    </row>
    <row r="1016" spans="1:1" x14ac:dyDescent="0.3">
      <c r="A1016" s="2"/>
    </row>
    <row r="1017" spans="1:1" x14ac:dyDescent="0.3">
      <c r="A1017" s="1"/>
    </row>
    <row r="1018" spans="1:1" x14ac:dyDescent="0.3">
      <c r="A1018" s="2"/>
    </row>
    <row r="1019" spans="1:1" x14ac:dyDescent="0.3">
      <c r="A1019" s="1"/>
    </row>
    <row r="1020" spans="1:1" x14ac:dyDescent="0.3">
      <c r="A1020" s="2"/>
    </row>
    <row r="1021" spans="1:1" x14ac:dyDescent="0.3">
      <c r="A1021" s="1"/>
    </row>
    <row r="1022" spans="1:1" x14ac:dyDescent="0.3">
      <c r="A1022" s="2"/>
    </row>
    <row r="1023" spans="1:1" x14ac:dyDescent="0.3">
      <c r="A1023" s="1"/>
    </row>
    <row r="1024" spans="1:1" x14ac:dyDescent="0.3">
      <c r="A1024" s="2"/>
    </row>
    <row r="1025" spans="1:1" x14ac:dyDescent="0.3">
      <c r="A1025" s="1"/>
    </row>
    <row r="1026" spans="1:1" x14ac:dyDescent="0.3">
      <c r="A1026" s="2"/>
    </row>
    <row r="1027" spans="1:1" x14ac:dyDescent="0.3">
      <c r="A1027" s="1"/>
    </row>
    <row r="1028" spans="1:1" x14ac:dyDescent="0.3">
      <c r="A1028" s="2"/>
    </row>
    <row r="1029" spans="1:1" x14ac:dyDescent="0.3">
      <c r="A1029" s="1"/>
    </row>
    <row r="1030" spans="1:1" x14ac:dyDescent="0.3">
      <c r="A1030" s="2"/>
    </row>
    <row r="1031" spans="1:1" x14ac:dyDescent="0.3">
      <c r="A1031" s="1"/>
    </row>
    <row r="1032" spans="1:1" x14ac:dyDescent="0.3">
      <c r="A1032" s="2"/>
    </row>
    <row r="1033" spans="1:1" x14ac:dyDescent="0.3">
      <c r="A1033" s="1"/>
    </row>
    <row r="1034" spans="1:1" x14ac:dyDescent="0.3">
      <c r="A1034" s="2"/>
    </row>
    <row r="1035" spans="1:1" x14ac:dyDescent="0.3">
      <c r="A1035" s="1"/>
    </row>
    <row r="1036" spans="1:1" x14ac:dyDescent="0.3">
      <c r="A1036" s="2"/>
    </row>
    <row r="1037" spans="1:1" x14ac:dyDescent="0.3">
      <c r="A1037" s="1"/>
    </row>
    <row r="1038" spans="1:1" x14ac:dyDescent="0.3">
      <c r="A1038" s="2"/>
    </row>
    <row r="1039" spans="1:1" x14ac:dyDescent="0.3">
      <c r="A1039" s="1"/>
    </row>
    <row r="1040" spans="1:1" x14ac:dyDescent="0.3">
      <c r="A1040" s="2"/>
    </row>
    <row r="1041" spans="1:1" x14ac:dyDescent="0.3">
      <c r="A1041" s="1"/>
    </row>
    <row r="1042" spans="1:1" x14ac:dyDescent="0.3">
      <c r="A1042" s="2"/>
    </row>
    <row r="1043" spans="1:1" x14ac:dyDescent="0.3">
      <c r="A1043" s="1"/>
    </row>
    <row r="1044" spans="1:1" x14ac:dyDescent="0.3">
      <c r="A1044" s="2"/>
    </row>
    <row r="1045" spans="1:1" x14ac:dyDescent="0.3">
      <c r="A1045" s="1"/>
    </row>
    <row r="1046" spans="1:1" x14ac:dyDescent="0.3">
      <c r="A1046" s="2"/>
    </row>
    <row r="1047" spans="1:1" x14ac:dyDescent="0.3">
      <c r="A1047" s="1"/>
    </row>
    <row r="1048" spans="1:1" x14ac:dyDescent="0.3">
      <c r="A1048" s="2"/>
    </row>
    <row r="1049" spans="1:1" x14ac:dyDescent="0.3">
      <c r="A1049" s="1"/>
    </row>
    <row r="1050" spans="1:1" x14ac:dyDescent="0.3">
      <c r="A1050" s="2"/>
    </row>
    <row r="1051" spans="1:1" x14ac:dyDescent="0.3">
      <c r="A1051" s="1"/>
    </row>
    <row r="1052" spans="1:1" x14ac:dyDescent="0.3">
      <c r="A1052" s="2"/>
    </row>
    <row r="1053" spans="1:1" x14ac:dyDescent="0.3">
      <c r="A1053" s="1"/>
    </row>
    <row r="1054" spans="1:1" x14ac:dyDescent="0.3">
      <c r="A1054" s="2"/>
    </row>
    <row r="1055" spans="1:1" x14ac:dyDescent="0.3">
      <c r="A1055" s="1"/>
    </row>
    <row r="1056" spans="1:1" x14ac:dyDescent="0.3">
      <c r="A1056" s="2"/>
    </row>
    <row r="1057" spans="1:1" x14ac:dyDescent="0.3">
      <c r="A1057" s="1"/>
    </row>
    <row r="1058" spans="1:1" x14ac:dyDescent="0.3">
      <c r="A1058" s="2"/>
    </row>
    <row r="1059" spans="1:1" x14ac:dyDescent="0.3">
      <c r="A1059" s="1"/>
    </row>
    <row r="1060" spans="1:1" x14ac:dyDescent="0.3">
      <c r="A1060" s="2"/>
    </row>
    <row r="1061" spans="1:1" x14ac:dyDescent="0.3">
      <c r="A1061" s="1"/>
    </row>
    <row r="1062" spans="1:1" x14ac:dyDescent="0.3">
      <c r="A1062" s="2"/>
    </row>
    <row r="1063" spans="1:1" x14ac:dyDescent="0.3">
      <c r="A1063" s="1"/>
    </row>
    <row r="1064" spans="1:1" x14ac:dyDescent="0.3">
      <c r="A1064" s="2"/>
    </row>
    <row r="1065" spans="1:1" x14ac:dyDescent="0.3">
      <c r="A1065" s="1"/>
    </row>
    <row r="1066" spans="1:1" x14ac:dyDescent="0.3">
      <c r="A1066" s="2"/>
    </row>
    <row r="1067" spans="1:1" x14ac:dyDescent="0.3">
      <c r="A1067" s="1"/>
    </row>
    <row r="1068" spans="1:1" x14ac:dyDescent="0.3">
      <c r="A1068" s="2"/>
    </row>
    <row r="1069" spans="1:1" x14ac:dyDescent="0.3">
      <c r="A1069" s="1"/>
    </row>
    <row r="1070" spans="1:1" x14ac:dyDescent="0.3">
      <c r="A1070" s="2"/>
    </row>
    <row r="1071" spans="1:1" x14ac:dyDescent="0.3">
      <c r="A1071" s="1"/>
    </row>
    <row r="1072" spans="1:1" x14ac:dyDescent="0.3">
      <c r="A1072" s="2"/>
    </row>
    <row r="1073" spans="1:1" x14ac:dyDescent="0.3">
      <c r="A1073" s="1"/>
    </row>
    <row r="1074" spans="1:1" x14ac:dyDescent="0.3">
      <c r="A1074" s="2"/>
    </row>
    <row r="1075" spans="1:1" x14ac:dyDescent="0.3">
      <c r="A1075" s="1"/>
    </row>
    <row r="1076" spans="1:1" x14ac:dyDescent="0.3">
      <c r="A1076" s="2"/>
    </row>
    <row r="1077" spans="1:1" x14ac:dyDescent="0.3">
      <c r="A1077" s="1"/>
    </row>
    <row r="1078" spans="1:1" x14ac:dyDescent="0.3">
      <c r="A1078" s="2"/>
    </row>
    <row r="1079" spans="1:1" x14ac:dyDescent="0.3">
      <c r="A1079" s="1"/>
    </row>
    <row r="1080" spans="1:1" x14ac:dyDescent="0.3">
      <c r="A1080" s="2"/>
    </row>
    <row r="1081" spans="1:1" x14ac:dyDescent="0.3">
      <c r="A1081" s="1"/>
    </row>
    <row r="1082" spans="1:1" x14ac:dyDescent="0.3">
      <c r="A1082" s="2"/>
    </row>
    <row r="1083" spans="1:1" x14ac:dyDescent="0.3">
      <c r="A1083" s="1"/>
    </row>
    <row r="1084" spans="1:1" x14ac:dyDescent="0.3">
      <c r="A1084" s="2"/>
    </row>
    <row r="1085" spans="1:1" x14ac:dyDescent="0.3">
      <c r="A1085" s="1"/>
    </row>
    <row r="1086" spans="1:1" x14ac:dyDescent="0.3">
      <c r="A1086" s="2"/>
    </row>
    <row r="1087" spans="1:1" x14ac:dyDescent="0.3">
      <c r="A1087" s="1"/>
    </row>
    <row r="1088" spans="1:1" x14ac:dyDescent="0.3">
      <c r="A1088" s="2"/>
    </row>
    <row r="1089" spans="1:1" x14ac:dyDescent="0.3">
      <c r="A1089" s="1"/>
    </row>
    <row r="1090" spans="1:1" x14ac:dyDescent="0.3">
      <c r="A1090" s="2"/>
    </row>
    <row r="1091" spans="1:1" x14ac:dyDescent="0.3">
      <c r="A1091" s="1"/>
    </row>
    <row r="1092" spans="1:1" x14ac:dyDescent="0.3">
      <c r="A1092" s="2"/>
    </row>
    <row r="1093" spans="1:1" x14ac:dyDescent="0.3">
      <c r="A1093" s="1"/>
    </row>
    <row r="1094" spans="1:1" x14ac:dyDescent="0.3">
      <c r="A1094" s="2"/>
    </row>
    <row r="1095" spans="1:1" x14ac:dyDescent="0.3">
      <c r="A1095" s="1"/>
    </row>
    <row r="1096" spans="1:1" x14ac:dyDescent="0.3">
      <c r="A1096" s="2"/>
    </row>
    <row r="1097" spans="1:1" x14ac:dyDescent="0.3">
      <c r="A1097" s="1"/>
    </row>
    <row r="1098" spans="1:1" x14ac:dyDescent="0.3">
      <c r="A1098" s="2"/>
    </row>
    <row r="1099" spans="1:1" x14ac:dyDescent="0.3">
      <c r="A1099" s="1"/>
    </row>
    <row r="1100" spans="1:1" x14ac:dyDescent="0.3">
      <c r="A1100" s="2"/>
    </row>
    <row r="1101" spans="1:1" x14ac:dyDescent="0.3">
      <c r="A1101" s="1"/>
    </row>
    <row r="1102" spans="1:1" x14ac:dyDescent="0.3">
      <c r="A1102" s="2"/>
    </row>
    <row r="1103" spans="1:1" x14ac:dyDescent="0.3">
      <c r="A1103" s="1"/>
    </row>
    <row r="1104" spans="1:1" x14ac:dyDescent="0.3">
      <c r="A1104" s="2"/>
    </row>
    <row r="1105" spans="1:1" x14ac:dyDescent="0.3">
      <c r="A1105" s="1"/>
    </row>
    <row r="1106" spans="1:1" x14ac:dyDescent="0.3">
      <c r="A1106" s="2"/>
    </row>
    <row r="1107" spans="1:1" x14ac:dyDescent="0.3">
      <c r="A1107" s="1"/>
    </row>
    <row r="1108" spans="1:1" x14ac:dyDescent="0.3">
      <c r="A1108" s="2"/>
    </row>
    <row r="1109" spans="1:1" x14ac:dyDescent="0.3">
      <c r="A1109" s="1"/>
    </row>
    <row r="1110" spans="1:1" x14ac:dyDescent="0.3">
      <c r="A1110" s="2"/>
    </row>
    <row r="1111" spans="1:1" x14ac:dyDescent="0.3">
      <c r="A1111" s="1"/>
    </row>
    <row r="1112" spans="1:1" x14ac:dyDescent="0.3">
      <c r="A1112" s="2"/>
    </row>
    <row r="1113" spans="1:1" x14ac:dyDescent="0.3">
      <c r="A1113" s="1"/>
    </row>
    <row r="1114" spans="1:1" x14ac:dyDescent="0.3">
      <c r="A1114" s="2"/>
    </row>
    <row r="1115" spans="1:1" x14ac:dyDescent="0.3">
      <c r="A1115" s="1"/>
    </row>
    <row r="1116" spans="1:1" x14ac:dyDescent="0.3">
      <c r="A1116" s="2"/>
    </row>
    <row r="1117" spans="1:1" x14ac:dyDescent="0.3">
      <c r="A1117" s="1"/>
    </row>
    <row r="1118" spans="1:1" x14ac:dyDescent="0.3">
      <c r="A1118" s="2"/>
    </row>
    <row r="1119" spans="1:1" x14ac:dyDescent="0.3">
      <c r="A1119" s="1"/>
    </row>
    <row r="1120" spans="1:1" x14ac:dyDescent="0.3">
      <c r="A1120" s="2"/>
    </row>
    <row r="1121" spans="1:1" x14ac:dyDescent="0.3">
      <c r="A1121" s="1"/>
    </row>
    <row r="1122" spans="1:1" x14ac:dyDescent="0.3">
      <c r="A1122" s="2"/>
    </row>
    <row r="1123" spans="1:1" x14ac:dyDescent="0.3">
      <c r="A1123" s="1"/>
    </row>
    <row r="1124" spans="1:1" x14ac:dyDescent="0.3">
      <c r="A1124" s="2"/>
    </row>
    <row r="1125" spans="1:1" x14ac:dyDescent="0.3">
      <c r="A1125" s="1"/>
    </row>
    <row r="1126" spans="1:1" x14ac:dyDescent="0.3">
      <c r="A1126" s="2"/>
    </row>
    <row r="1127" spans="1:1" x14ac:dyDescent="0.3">
      <c r="A1127" s="1"/>
    </row>
    <row r="1128" spans="1:1" x14ac:dyDescent="0.3">
      <c r="A1128" s="2"/>
    </row>
    <row r="1129" spans="1:1" x14ac:dyDescent="0.3">
      <c r="A1129" s="1"/>
    </row>
    <row r="1130" spans="1:1" x14ac:dyDescent="0.3">
      <c r="A1130" s="2"/>
    </row>
    <row r="1131" spans="1:1" x14ac:dyDescent="0.3">
      <c r="A1131" s="1"/>
    </row>
    <row r="1132" spans="1:1" x14ac:dyDescent="0.3">
      <c r="A1132" s="2"/>
    </row>
    <row r="1133" spans="1:1" x14ac:dyDescent="0.3">
      <c r="A1133" s="1"/>
    </row>
    <row r="1134" spans="1:1" x14ac:dyDescent="0.3">
      <c r="A1134" s="2"/>
    </row>
    <row r="1135" spans="1:1" x14ac:dyDescent="0.3">
      <c r="A1135" s="1"/>
    </row>
    <row r="1136" spans="1:1" x14ac:dyDescent="0.3">
      <c r="A1136" s="2"/>
    </row>
    <row r="1137" spans="1:1" x14ac:dyDescent="0.3">
      <c r="A1137" s="1"/>
    </row>
    <row r="1138" spans="1:1" x14ac:dyDescent="0.3">
      <c r="A1138" s="2"/>
    </row>
    <row r="1139" spans="1:1" x14ac:dyDescent="0.3">
      <c r="A1139" s="1"/>
    </row>
    <row r="1140" spans="1:1" x14ac:dyDescent="0.3">
      <c r="A1140" s="2"/>
    </row>
    <row r="1141" spans="1:1" x14ac:dyDescent="0.3">
      <c r="A1141" s="1"/>
    </row>
    <row r="1142" spans="1:1" x14ac:dyDescent="0.3">
      <c r="A1142" s="2"/>
    </row>
    <row r="1143" spans="1:1" x14ac:dyDescent="0.3">
      <c r="A1143" s="1"/>
    </row>
    <row r="1144" spans="1:1" x14ac:dyDescent="0.3">
      <c r="A1144" s="2"/>
    </row>
    <row r="1145" spans="1:1" x14ac:dyDescent="0.3">
      <c r="A1145" s="1"/>
    </row>
    <row r="1146" spans="1:1" x14ac:dyDescent="0.3">
      <c r="A1146" s="2"/>
    </row>
    <row r="1147" spans="1:1" x14ac:dyDescent="0.3">
      <c r="A1147" s="1"/>
    </row>
    <row r="1148" spans="1:1" x14ac:dyDescent="0.3">
      <c r="A1148" s="2"/>
    </row>
    <row r="1149" spans="1:1" x14ac:dyDescent="0.3">
      <c r="A1149" s="1"/>
    </row>
    <row r="1150" spans="1:1" x14ac:dyDescent="0.3">
      <c r="A1150" s="2"/>
    </row>
    <row r="1151" spans="1:1" x14ac:dyDescent="0.3">
      <c r="A1151" s="1"/>
    </row>
    <row r="1152" spans="1:1" x14ac:dyDescent="0.3">
      <c r="A1152" s="2"/>
    </row>
    <row r="1153" spans="1:1" x14ac:dyDescent="0.3">
      <c r="A1153" s="1"/>
    </row>
    <row r="1154" spans="1:1" x14ac:dyDescent="0.3">
      <c r="A1154" s="2"/>
    </row>
    <row r="1155" spans="1:1" x14ac:dyDescent="0.3">
      <c r="A1155" s="1"/>
    </row>
    <row r="1156" spans="1:1" x14ac:dyDescent="0.3">
      <c r="A1156" s="2"/>
    </row>
    <row r="1157" spans="1:1" x14ac:dyDescent="0.3">
      <c r="A1157" s="1"/>
    </row>
    <row r="1158" spans="1:1" x14ac:dyDescent="0.3">
      <c r="A1158" s="2"/>
    </row>
    <row r="1159" spans="1:1" x14ac:dyDescent="0.3">
      <c r="A1159" s="1"/>
    </row>
    <row r="1160" spans="1:1" x14ac:dyDescent="0.3">
      <c r="A1160" s="2"/>
    </row>
    <row r="1161" spans="1:1" x14ac:dyDescent="0.3">
      <c r="A1161" s="1"/>
    </row>
    <row r="1162" spans="1:1" x14ac:dyDescent="0.3">
      <c r="A1162" s="2"/>
    </row>
    <row r="1163" spans="1:1" x14ac:dyDescent="0.3">
      <c r="A1163" s="1"/>
    </row>
    <row r="1164" spans="1:1" x14ac:dyDescent="0.3">
      <c r="A1164" s="2"/>
    </row>
    <row r="1165" spans="1:1" x14ac:dyDescent="0.3">
      <c r="A1165" s="1"/>
    </row>
    <row r="1166" spans="1:1" x14ac:dyDescent="0.3">
      <c r="A1166" s="2"/>
    </row>
    <row r="1167" spans="1:1" x14ac:dyDescent="0.3">
      <c r="A1167" s="1"/>
    </row>
    <row r="1168" spans="1:1" x14ac:dyDescent="0.3">
      <c r="A1168" s="2"/>
    </row>
    <row r="1169" spans="1:1" x14ac:dyDescent="0.3">
      <c r="A1169" s="1"/>
    </row>
    <row r="1170" spans="1:1" x14ac:dyDescent="0.3">
      <c r="A1170" s="2"/>
    </row>
    <row r="1171" spans="1:1" x14ac:dyDescent="0.3">
      <c r="A1171" s="1"/>
    </row>
    <row r="1172" spans="1:1" x14ac:dyDescent="0.3">
      <c r="A1172" s="2"/>
    </row>
    <row r="1173" spans="1:1" x14ac:dyDescent="0.3">
      <c r="A1173" s="1"/>
    </row>
    <row r="1174" spans="1:1" x14ac:dyDescent="0.3">
      <c r="A1174" s="2"/>
    </row>
    <row r="1175" spans="1:1" x14ac:dyDescent="0.3">
      <c r="A1175" s="1"/>
    </row>
    <row r="1176" spans="1:1" x14ac:dyDescent="0.3">
      <c r="A1176" s="2"/>
    </row>
    <row r="1177" spans="1:1" x14ac:dyDescent="0.3">
      <c r="A1177" s="1"/>
    </row>
    <row r="1178" spans="1:1" x14ac:dyDescent="0.3">
      <c r="A1178" s="2"/>
    </row>
    <row r="1179" spans="1:1" x14ac:dyDescent="0.3">
      <c r="A1179" s="1"/>
    </row>
    <row r="1180" spans="1:1" x14ac:dyDescent="0.3">
      <c r="A1180" s="2"/>
    </row>
    <row r="1181" spans="1:1" x14ac:dyDescent="0.3">
      <c r="A1181" s="1"/>
    </row>
    <row r="1182" spans="1:1" x14ac:dyDescent="0.3">
      <c r="A1182" s="2"/>
    </row>
    <row r="1183" spans="1:1" x14ac:dyDescent="0.3">
      <c r="A1183" s="1"/>
    </row>
    <row r="1184" spans="1:1" x14ac:dyDescent="0.3">
      <c r="A1184" s="2"/>
    </row>
    <row r="1185" spans="1:1" x14ac:dyDescent="0.3">
      <c r="A1185" s="1"/>
    </row>
    <row r="1186" spans="1:1" x14ac:dyDescent="0.3">
      <c r="A1186" s="2"/>
    </row>
    <row r="1187" spans="1:1" x14ac:dyDescent="0.3">
      <c r="A1187" s="1"/>
    </row>
    <row r="1188" spans="1:1" x14ac:dyDescent="0.3">
      <c r="A1188" s="2"/>
    </row>
    <row r="1189" spans="1:1" x14ac:dyDescent="0.3">
      <c r="A1189" s="1"/>
    </row>
    <row r="1190" spans="1:1" x14ac:dyDescent="0.3">
      <c r="A1190" s="2"/>
    </row>
    <row r="1191" spans="1:1" x14ac:dyDescent="0.3">
      <c r="A1191" s="1"/>
    </row>
    <row r="1192" spans="1:1" x14ac:dyDescent="0.3">
      <c r="A1192" s="2"/>
    </row>
    <row r="1193" spans="1:1" x14ac:dyDescent="0.3">
      <c r="A1193" s="1"/>
    </row>
    <row r="1194" spans="1:1" x14ac:dyDescent="0.3">
      <c r="A1194" s="2"/>
    </row>
    <row r="1195" spans="1:1" x14ac:dyDescent="0.3">
      <c r="A1195" s="1"/>
    </row>
    <row r="1196" spans="1:1" x14ac:dyDescent="0.3">
      <c r="A1196" s="2"/>
    </row>
    <row r="1197" spans="1:1" x14ac:dyDescent="0.3">
      <c r="A1197" s="1"/>
    </row>
    <row r="1198" spans="1:1" x14ac:dyDescent="0.3">
      <c r="A1198" s="2"/>
    </row>
    <row r="1199" spans="1:1" x14ac:dyDescent="0.3">
      <c r="A1199" s="1"/>
    </row>
    <row r="1200" spans="1:1" x14ac:dyDescent="0.3">
      <c r="A1200" s="2"/>
    </row>
    <row r="1201" spans="1:1" x14ac:dyDescent="0.3">
      <c r="A1201" s="1"/>
    </row>
    <row r="1202" spans="1:1" x14ac:dyDescent="0.3">
      <c r="A1202" s="2"/>
    </row>
    <row r="1203" spans="1:1" x14ac:dyDescent="0.3">
      <c r="A1203" s="1"/>
    </row>
    <row r="1204" spans="1:1" x14ac:dyDescent="0.3">
      <c r="A1204" s="2"/>
    </row>
    <row r="1205" spans="1:1" x14ac:dyDescent="0.3">
      <c r="A1205" s="1"/>
    </row>
    <row r="1206" spans="1:1" x14ac:dyDescent="0.3">
      <c r="A1206" s="2"/>
    </row>
    <row r="1207" spans="1:1" x14ac:dyDescent="0.3">
      <c r="A1207" s="1"/>
    </row>
    <row r="1208" spans="1:1" x14ac:dyDescent="0.3">
      <c r="A1208" s="2"/>
    </row>
    <row r="1209" spans="1:1" x14ac:dyDescent="0.3">
      <c r="A1209" s="1"/>
    </row>
    <row r="1210" spans="1:1" x14ac:dyDescent="0.3">
      <c r="A1210" s="2"/>
    </row>
    <row r="1211" spans="1:1" x14ac:dyDescent="0.3">
      <c r="A1211" s="1"/>
    </row>
    <row r="1212" spans="1:1" x14ac:dyDescent="0.3">
      <c r="A1212" s="2"/>
    </row>
    <row r="1213" spans="1:1" x14ac:dyDescent="0.3">
      <c r="A1213" s="1"/>
    </row>
    <row r="1214" spans="1:1" x14ac:dyDescent="0.3">
      <c r="A1214" s="2"/>
    </row>
    <row r="1215" spans="1:1" x14ac:dyDescent="0.3">
      <c r="A1215" s="1"/>
    </row>
    <row r="1216" spans="1:1" x14ac:dyDescent="0.3">
      <c r="A1216" s="2"/>
    </row>
    <row r="1217" spans="1:1" x14ac:dyDescent="0.3">
      <c r="A1217" s="1"/>
    </row>
    <row r="1218" spans="1:1" x14ac:dyDescent="0.3">
      <c r="A1218" s="2"/>
    </row>
    <row r="1219" spans="1:1" x14ac:dyDescent="0.3">
      <c r="A1219" s="1"/>
    </row>
    <row r="1220" spans="1:1" x14ac:dyDescent="0.3">
      <c r="A1220" s="2"/>
    </row>
    <row r="1221" spans="1:1" x14ac:dyDescent="0.3">
      <c r="A1221" s="1"/>
    </row>
    <row r="1222" spans="1:1" x14ac:dyDescent="0.3">
      <c r="A1222" s="2"/>
    </row>
    <row r="1223" spans="1:1" x14ac:dyDescent="0.3">
      <c r="A1223" s="1"/>
    </row>
    <row r="1224" spans="1:1" x14ac:dyDescent="0.3">
      <c r="A1224" s="2"/>
    </row>
    <row r="1225" spans="1:1" x14ac:dyDescent="0.3">
      <c r="A1225" s="1"/>
    </row>
    <row r="1226" spans="1:1" x14ac:dyDescent="0.3">
      <c r="A1226" s="2"/>
    </row>
    <row r="1227" spans="1:1" x14ac:dyDescent="0.3">
      <c r="A1227" s="1"/>
    </row>
    <row r="1228" spans="1:1" x14ac:dyDescent="0.3">
      <c r="A1228" s="2"/>
    </row>
    <row r="1229" spans="1:1" x14ac:dyDescent="0.3">
      <c r="A1229" s="1"/>
    </row>
    <row r="1230" spans="1:1" x14ac:dyDescent="0.3">
      <c r="A1230" s="2"/>
    </row>
    <row r="1231" spans="1:1" x14ac:dyDescent="0.3">
      <c r="A1231" s="1"/>
    </row>
    <row r="1232" spans="1:1" x14ac:dyDescent="0.3">
      <c r="A1232" s="2"/>
    </row>
    <row r="1233" spans="1:1" x14ac:dyDescent="0.3">
      <c r="A1233" s="1"/>
    </row>
    <row r="1234" spans="1:1" x14ac:dyDescent="0.3">
      <c r="A1234" s="2"/>
    </row>
    <row r="1235" spans="1:1" x14ac:dyDescent="0.3">
      <c r="A1235" s="1"/>
    </row>
    <row r="1236" spans="1:1" x14ac:dyDescent="0.3">
      <c r="A1236" s="2"/>
    </row>
    <row r="1237" spans="1:1" x14ac:dyDescent="0.3">
      <c r="A1237" s="1"/>
    </row>
    <row r="1238" spans="1:1" x14ac:dyDescent="0.3">
      <c r="A1238" s="2"/>
    </row>
    <row r="1239" spans="1:1" x14ac:dyDescent="0.3">
      <c r="A1239" s="1"/>
    </row>
    <row r="1240" spans="1:1" x14ac:dyDescent="0.3">
      <c r="A1240" s="2"/>
    </row>
    <row r="1241" spans="1:1" x14ac:dyDescent="0.3">
      <c r="A1241" s="1"/>
    </row>
    <row r="1242" spans="1:1" x14ac:dyDescent="0.3">
      <c r="A1242" s="2"/>
    </row>
    <row r="1243" spans="1:1" x14ac:dyDescent="0.3">
      <c r="A1243" s="1"/>
    </row>
    <row r="1244" spans="1:1" x14ac:dyDescent="0.3">
      <c r="A1244" s="2"/>
    </row>
    <row r="1245" spans="1:1" x14ac:dyDescent="0.3">
      <c r="A1245" s="1"/>
    </row>
    <row r="1246" spans="1:1" x14ac:dyDescent="0.3">
      <c r="A1246" s="2"/>
    </row>
    <row r="1247" spans="1:1" x14ac:dyDescent="0.3">
      <c r="A1247" s="1"/>
    </row>
    <row r="1248" spans="1:1" x14ac:dyDescent="0.3">
      <c r="A1248" s="2"/>
    </row>
    <row r="1249" spans="1:1" x14ac:dyDescent="0.3">
      <c r="A1249" s="1"/>
    </row>
    <row r="1250" spans="1:1" x14ac:dyDescent="0.3">
      <c r="A1250" s="2"/>
    </row>
    <row r="1251" spans="1:1" x14ac:dyDescent="0.3">
      <c r="A1251" s="1"/>
    </row>
    <row r="1252" spans="1:1" x14ac:dyDescent="0.3">
      <c r="A1252" s="2"/>
    </row>
    <row r="1253" spans="1:1" x14ac:dyDescent="0.3">
      <c r="A1253" s="1"/>
    </row>
    <row r="1254" spans="1:1" x14ac:dyDescent="0.3">
      <c r="A1254" s="2"/>
    </row>
    <row r="1255" spans="1:1" x14ac:dyDescent="0.3">
      <c r="A1255" s="1"/>
    </row>
    <row r="1256" spans="1:1" x14ac:dyDescent="0.3">
      <c r="A1256" s="2"/>
    </row>
    <row r="1257" spans="1:1" x14ac:dyDescent="0.3">
      <c r="A1257" s="1"/>
    </row>
    <row r="1258" spans="1:1" x14ac:dyDescent="0.3">
      <c r="A1258" s="2"/>
    </row>
    <row r="1259" spans="1:1" x14ac:dyDescent="0.3">
      <c r="A1259" s="1"/>
    </row>
    <row r="1260" spans="1:1" x14ac:dyDescent="0.3">
      <c r="A1260" s="2"/>
    </row>
    <row r="1261" spans="1:1" x14ac:dyDescent="0.3">
      <c r="A1261" s="1"/>
    </row>
    <row r="1262" spans="1:1" x14ac:dyDescent="0.3">
      <c r="A1262" s="2"/>
    </row>
    <row r="1263" spans="1:1" x14ac:dyDescent="0.3">
      <c r="A1263" s="1"/>
    </row>
    <row r="1264" spans="1:1" x14ac:dyDescent="0.3">
      <c r="A1264" s="2"/>
    </row>
    <row r="1265" spans="1:1" x14ac:dyDescent="0.3">
      <c r="A1265" s="1"/>
    </row>
    <row r="1266" spans="1:1" x14ac:dyDescent="0.3">
      <c r="A1266" s="2"/>
    </row>
    <row r="1267" spans="1:1" x14ac:dyDescent="0.3">
      <c r="A1267" s="1"/>
    </row>
    <row r="1268" spans="1:1" x14ac:dyDescent="0.3">
      <c r="A1268" s="2"/>
    </row>
    <row r="1269" spans="1:1" x14ac:dyDescent="0.3">
      <c r="A1269" s="1"/>
    </row>
    <row r="1270" spans="1:1" x14ac:dyDescent="0.3">
      <c r="A1270" s="2"/>
    </row>
    <row r="1271" spans="1:1" x14ac:dyDescent="0.3">
      <c r="A1271" s="1"/>
    </row>
    <row r="1272" spans="1:1" x14ac:dyDescent="0.3">
      <c r="A1272" s="2"/>
    </row>
    <row r="1273" spans="1:1" x14ac:dyDescent="0.3">
      <c r="A1273" s="1"/>
    </row>
    <row r="1274" spans="1:1" x14ac:dyDescent="0.3">
      <c r="A1274" s="2"/>
    </row>
    <row r="1275" spans="1:1" x14ac:dyDescent="0.3">
      <c r="A1275" s="1"/>
    </row>
    <row r="1276" spans="1:1" x14ac:dyDescent="0.3">
      <c r="A1276" s="2"/>
    </row>
    <row r="1277" spans="1:1" x14ac:dyDescent="0.3">
      <c r="A1277" s="1"/>
    </row>
    <row r="1278" spans="1:1" x14ac:dyDescent="0.3">
      <c r="A1278" s="2"/>
    </row>
    <row r="1279" spans="1:1" x14ac:dyDescent="0.3">
      <c r="A1279" s="1"/>
    </row>
    <row r="1280" spans="1:1" x14ac:dyDescent="0.3">
      <c r="A1280" s="2"/>
    </row>
    <row r="1281" spans="1:1" x14ac:dyDescent="0.3">
      <c r="A1281" s="1"/>
    </row>
    <row r="1282" spans="1:1" x14ac:dyDescent="0.3">
      <c r="A1282" s="2"/>
    </row>
    <row r="1283" spans="1:1" x14ac:dyDescent="0.3">
      <c r="A1283" s="1"/>
    </row>
    <row r="1284" spans="1:1" x14ac:dyDescent="0.3">
      <c r="A1284" s="2"/>
    </row>
    <row r="1285" spans="1:1" x14ac:dyDescent="0.3">
      <c r="A1285" s="1"/>
    </row>
    <row r="1286" spans="1:1" x14ac:dyDescent="0.3">
      <c r="A1286" s="2"/>
    </row>
    <row r="1287" spans="1:1" x14ac:dyDescent="0.3">
      <c r="A1287" s="1"/>
    </row>
    <row r="1288" spans="1:1" x14ac:dyDescent="0.3">
      <c r="A1288" s="2"/>
    </row>
    <row r="1289" spans="1:1" x14ac:dyDescent="0.3">
      <c r="A1289" s="1"/>
    </row>
    <row r="1290" spans="1:1" x14ac:dyDescent="0.3">
      <c r="A1290" s="2"/>
    </row>
    <row r="1291" spans="1:1" x14ac:dyDescent="0.3">
      <c r="A1291" s="1"/>
    </row>
    <row r="1292" spans="1:1" x14ac:dyDescent="0.3">
      <c r="A1292" s="2"/>
    </row>
    <row r="1293" spans="1:1" x14ac:dyDescent="0.3">
      <c r="A1293" s="1"/>
    </row>
    <row r="1294" spans="1:1" x14ac:dyDescent="0.3">
      <c r="A1294" s="2"/>
    </row>
    <row r="1295" spans="1:1" x14ac:dyDescent="0.3">
      <c r="A1295" s="1"/>
    </row>
    <row r="1296" spans="1:1" x14ac:dyDescent="0.3">
      <c r="A1296" s="2"/>
    </row>
    <row r="1297" spans="1:1" x14ac:dyDescent="0.3">
      <c r="A1297" s="1"/>
    </row>
    <row r="1298" spans="1:1" x14ac:dyDescent="0.3">
      <c r="A1298" s="2"/>
    </row>
    <row r="1299" spans="1:1" x14ac:dyDescent="0.3">
      <c r="A1299" s="1"/>
    </row>
    <row r="1300" spans="1:1" x14ac:dyDescent="0.3">
      <c r="A1300" s="2"/>
    </row>
    <row r="1301" spans="1:1" x14ac:dyDescent="0.3">
      <c r="A1301" s="1"/>
    </row>
    <row r="1302" spans="1:1" x14ac:dyDescent="0.3">
      <c r="A1302" s="2"/>
    </row>
    <row r="1303" spans="1:1" x14ac:dyDescent="0.3">
      <c r="A1303" s="1"/>
    </row>
    <row r="1304" spans="1:1" x14ac:dyDescent="0.3">
      <c r="A1304" s="2"/>
    </row>
    <row r="1305" spans="1:1" x14ac:dyDescent="0.3">
      <c r="A1305" s="1"/>
    </row>
    <row r="1306" spans="1:1" x14ac:dyDescent="0.3">
      <c r="A1306" s="2"/>
    </row>
    <row r="1307" spans="1:1" x14ac:dyDescent="0.3">
      <c r="A1307" s="1"/>
    </row>
    <row r="1308" spans="1:1" x14ac:dyDescent="0.3">
      <c r="A1308" s="2"/>
    </row>
    <row r="1309" spans="1:1" x14ac:dyDescent="0.3">
      <c r="A1309" s="1"/>
    </row>
    <row r="1310" spans="1:1" x14ac:dyDescent="0.3">
      <c r="A1310" s="2"/>
    </row>
    <row r="1311" spans="1:1" x14ac:dyDescent="0.3">
      <c r="A1311" s="1"/>
    </row>
    <row r="1312" spans="1:1" x14ac:dyDescent="0.3">
      <c r="A1312" s="2"/>
    </row>
    <row r="1313" spans="1:1" x14ac:dyDescent="0.3">
      <c r="A1313" s="1"/>
    </row>
    <row r="1314" spans="1:1" x14ac:dyDescent="0.3">
      <c r="A1314" s="2"/>
    </row>
    <row r="1315" spans="1:1" x14ac:dyDescent="0.3">
      <c r="A1315" s="1"/>
    </row>
    <row r="1316" spans="1:1" x14ac:dyDescent="0.3">
      <c r="A1316" s="2"/>
    </row>
    <row r="1317" spans="1:1" x14ac:dyDescent="0.3">
      <c r="A1317" s="1"/>
    </row>
    <row r="1318" spans="1:1" x14ac:dyDescent="0.3">
      <c r="A1318" s="2"/>
    </row>
    <row r="1319" spans="1:1" x14ac:dyDescent="0.3">
      <c r="A1319" s="1"/>
    </row>
    <row r="1320" spans="1:1" x14ac:dyDescent="0.3">
      <c r="A1320" s="2"/>
    </row>
    <row r="1321" spans="1:1" x14ac:dyDescent="0.3">
      <c r="A1321" s="1"/>
    </row>
    <row r="1322" spans="1:1" x14ac:dyDescent="0.3">
      <c r="A1322" s="2"/>
    </row>
    <row r="1323" spans="1:1" x14ac:dyDescent="0.3">
      <c r="A1323" s="1"/>
    </row>
    <row r="1324" spans="1:1" x14ac:dyDescent="0.3">
      <c r="A1324" s="2"/>
    </row>
    <row r="1325" spans="1:1" x14ac:dyDescent="0.3">
      <c r="A1325" s="1"/>
    </row>
    <row r="1326" spans="1:1" x14ac:dyDescent="0.3">
      <c r="A1326" s="2"/>
    </row>
    <row r="1327" spans="1:1" x14ac:dyDescent="0.3">
      <c r="A1327" s="1"/>
    </row>
    <row r="1328" spans="1:1" x14ac:dyDescent="0.3">
      <c r="A1328" s="2"/>
    </row>
    <row r="1329" spans="1:1" x14ac:dyDescent="0.3">
      <c r="A1329" s="1"/>
    </row>
    <row r="1330" spans="1:1" x14ac:dyDescent="0.3">
      <c r="A1330" s="2"/>
    </row>
    <row r="1331" spans="1:1" x14ac:dyDescent="0.3">
      <c r="A1331" s="1"/>
    </row>
    <row r="1332" spans="1:1" x14ac:dyDescent="0.3">
      <c r="A1332" s="2"/>
    </row>
    <row r="1333" spans="1:1" x14ac:dyDescent="0.3">
      <c r="A1333" s="1"/>
    </row>
    <row r="1334" spans="1:1" x14ac:dyDescent="0.3">
      <c r="A1334" s="2"/>
    </row>
    <row r="1335" spans="1:1" x14ac:dyDescent="0.3">
      <c r="A1335" s="1"/>
    </row>
    <row r="1336" spans="1:1" x14ac:dyDescent="0.3">
      <c r="A1336" s="2"/>
    </row>
    <row r="1337" spans="1:1" x14ac:dyDescent="0.3">
      <c r="A1337" s="1"/>
    </row>
    <row r="1338" spans="1:1" x14ac:dyDescent="0.3">
      <c r="A1338" s="2"/>
    </row>
    <row r="1339" spans="1:1" x14ac:dyDescent="0.3">
      <c r="A1339" s="1"/>
    </row>
    <row r="1340" spans="1:1" x14ac:dyDescent="0.3">
      <c r="A1340" s="2"/>
    </row>
    <row r="1341" spans="1:1" x14ac:dyDescent="0.3">
      <c r="A1341" s="1"/>
    </row>
    <row r="1342" spans="1:1" x14ac:dyDescent="0.3">
      <c r="A1342" s="2"/>
    </row>
    <row r="1343" spans="1:1" x14ac:dyDescent="0.3">
      <c r="A1343" s="1"/>
    </row>
    <row r="1344" spans="1:1" x14ac:dyDescent="0.3">
      <c r="A1344" s="2"/>
    </row>
    <row r="1345" spans="1:1" x14ac:dyDescent="0.3">
      <c r="A1345" s="1"/>
    </row>
    <row r="1346" spans="1:1" x14ac:dyDescent="0.3">
      <c r="A1346" s="2"/>
    </row>
    <row r="1347" spans="1:1" x14ac:dyDescent="0.3">
      <c r="A1347" s="1"/>
    </row>
    <row r="1348" spans="1:1" x14ac:dyDescent="0.3">
      <c r="A1348" s="2"/>
    </row>
    <row r="1349" spans="1:1" x14ac:dyDescent="0.3">
      <c r="A1349" s="1"/>
    </row>
    <row r="1350" spans="1:1" x14ac:dyDescent="0.3">
      <c r="A1350" s="2"/>
    </row>
    <row r="1351" spans="1:1" x14ac:dyDescent="0.3">
      <c r="A1351" s="1"/>
    </row>
    <row r="1352" spans="1:1" x14ac:dyDescent="0.3">
      <c r="A1352" s="2"/>
    </row>
    <row r="1353" spans="1:1" x14ac:dyDescent="0.3">
      <c r="A1353" s="1"/>
    </row>
    <row r="1354" spans="1:1" x14ac:dyDescent="0.3">
      <c r="A1354" s="2"/>
    </row>
    <row r="1355" spans="1:1" x14ac:dyDescent="0.3">
      <c r="A1355" s="1"/>
    </row>
    <row r="1356" spans="1:1" x14ac:dyDescent="0.3">
      <c r="A1356" s="2"/>
    </row>
    <row r="1357" spans="1:1" x14ac:dyDescent="0.3">
      <c r="A1357" s="1"/>
    </row>
    <row r="1358" spans="1:1" x14ac:dyDescent="0.3">
      <c r="A1358" s="2"/>
    </row>
    <row r="1359" spans="1:1" x14ac:dyDescent="0.3">
      <c r="A1359" s="1"/>
    </row>
    <row r="1360" spans="1:1" x14ac:dyDescent="0.3">
      <c r="A1360" s="2"/>
    </row>
    <row r="1361" spans="1:1" x14ac:dyDescent="0.3">
      <c r="A1361" s="1"/>
    </row>
    <row r="1362" spans="1:1" x14ac:dyDescent="0.3">
      <c r="A1362" s="2"/>
    </row>
    <row r="1363" spans="1:1" x14ac:dyDescent="0.3">
      <c r="A1363" s="1"/>
    </row>
    <row r="1364" spans="1:1" x14ac:dyDescent="0.3">
      <c r="A1364" s="2"/>
    </row>
    <row r="1365" spans="1:1" x14ac:dyDescent="0.3">
      <c r="A1365" s="1"/>
    </row>
    <row r="1366" spans="1:1" x14ac:dyDescent="0.3">
      <c r="A1366" s="2"/>
    </row>
    <row r="1367" spans="1:1" x14ac:dyDescent="0.3">
      <c r="A1367" s="1"/>
    </row>
    <row r="1368" spans="1:1" x14ac:dyDescent="0.3">
      <c r="A1368" s="2"/>
    </row>
    <row r="1369" spans="1:1" x14ac:dyDescent="0.3">
      <c r="A1369" s="1"/>
    </row>
    <row r="1370" spans="1:1" x14ac:dyDescent="0.3">
      <c r="A1370" s="2"/>
    </row>
    <row r="1371" spans="1:1" x14ac:dyDescent="0.3">
      <c r="A1371" s="1"/>
    </row>
    <row r="1372" spans="1:1" x14ac:dyDescent="0.3">
      <c r="A1372" s="2"/>
    </row>
    <row r="1373" spans="1:1" x14ac:dyDescent="0.3">
      <c r="A1373" s="1"/>
    </row>
    <row r="1374" spans="1:1" x14ac:dyDescent="0.3">
      <c r="A1374" s="2"/>
    </row>
    <row r="1375" spans="1:1" x14ac:dyDescent="0.3">
      <c r="A1375" s="1"/>
    </row>
    <row r="1376" spans="1:1" x14ac:dyDescent="0.3">
      <c r="A1376" s="2"/>
    </row>
    <row r="1377" spans="1:1" x14ac:dyDescent="0.3">
      <c r="A1377" s="1"/>
    </row>
    <row r="1378" spans="1:1" x14ac:dyDescent="0.3">
      <c r="A1378" s="2"/>
    </row>
    <row r="1379" spans="1:1" x14ac:dyDescent="0.3">
      <c r="A1379" s="1"/>
    </row>
    <row r="1380" spans="1:1" x14ac:dyDescent="0.3">
      <c r="A1380" s="2"/>
    </row>
    <row r="1381" spans="1:1" x14ac:dyDescent="0.3">
      <c r="A1381" s="1"/>
    </row>
    <row r="1382" spans="1:1" x14ac:dyDescent="0.3">
      <c r="A1382" s="2"/>
    </row>
    <row r="1383" spans="1:1" x14ac:dyDescent="0.3">
      <c r="A1383" s="1"/>
    </row>
    <row r="1384" spans="1:1" x14ac:dyDescent="0.3">
      <c r="A1384" s="2"/>
    </row>
    <row r="1385" spans="1:1" x14ac:dyDescent="0.3">
      <c r="A1385" s="1"/>
    </row>
    <row r="1386" spans="1:1" x14ac:dyDescent="0.3">
      <c r="A1386" s="2"/>
    </row>
    <row r="1387" spans="1:1" x14ac:dyDescent="0.3">
      <c r="A1387" s="1"/>
    </row>
    <row r="1388" spans="1:1" x14ac:dyDescent="0.3">
      <c r="A1388" s="2"/>
    </row>
    <row r="1389" spans="1:1" x14ac:dyDescent="0.3">
      <c r="A1389" s="1"/>
    </row>
    <row r="1390" spans="1:1" x14ac:dyDescent="0.3">
      <c r="A1390" s="2"/>
    </row>
    <row r="1391" spans="1:1" x14ac:dyDescent="0.3">
      <c r="A1391" s="1"/>
    </row>
    <row r="1392" spans="1:1" x14ac:dyDescent="0.3">
      <c r="A1392" s="2"/>
    </row>
    <row r="1393" spans="1:1" x14ac:dyDescent="0.3">
      <c r="A1393" s="1"/>
    </row>
    <row r="1394" spans="1:1" x14ac:dyDescent="0.3">
      <c r="A1394" s="2"/>
    </row>
    <row r="1395" spans="1:1" x14ac:dyDescent="0.3">
      <c r="A1395" s="1"/>
    </row>
    <row r="1396" spans="1:1" x14ac:dyDescent="0.3">
      <c r="A1396" s="2"/>
    </row>
    <row r="1397" spans="1:1" x14ac:dyDescent="0.3">
      <c r="A1397" s="1"/>
    </row>
    <row r="1398" spans="1:1" x14ac:dyDescent="0.3">
      <c r="A1398" s="2"/>
    </row>
    <row r="1399" spans="1:1" x14ac:dyDescent="0.3">
      <c r="A1399" s="1"/>
    </row>
    <row r="1400" spans="1:1" x14ac:dyDescent="0.3">
      <c r="A1400" s="2"/>
    </row>
    <row r="1401" spans="1:1" x14ac:dyDescent="0.3">
      <c r="A1401" s="1"/>
    </row>
    <row r="1402" spans="1:1" x14ac:dyDescent="0.3">
      <c r="A1402" s="2"/>
    </row>
    <row r="1403" spans="1:1" x14ac:dyDescent="0.3">
      <c r="A1403" s="1"/>
    </row>
    <row r="1404" spans="1:1" x14ac:dyDescent="0.3">
      <c r="A1404" s="2"/>
    </row>
    <row r="1405" spans="1:1" x14ac:dyDescent="0.3">
      <c r="A1405" s="1"/>
    </row>
    <row r="1406" spans="1:1" x14ac:dyDescent="0.3">
      <c r="A1406" s="2"/>
    </row>
    <row r="1407" spans="1:1" x14ac:dyDescent="0.3">
      <c r="A1407" s="1"/>
    </row>
    <row r="1408" spans="1:1" x14ac:dyDescent="0.3">
      <c r="A1408" s="2"/>
    </row>
    <row r="1409" spans="1:1" x14ac:dyDescent="0.3">
      <c r="A1409" s="1"/>
    </row>
    <row r="1410" spans="1:1" x14ac:dyDescent="0.3">
      <c r="A1410" s="2"/>
    </row>
    <row r="1411" spans="1:1" x14ac:dyDescent="0.3">
      <c r="A1411" s="1"/>
    </row>
    <row r="1412" spans="1:1" x14ac:dyDescent="0.3">
      <c r="A1412" s="2"/>
    </row>
    <row r="1413" spans="1:1" x14ac:dyDescent="0.3">
      <c r="A1413" s="1"/>
    </row>
    <row r="1414" spans="1:1" x14ac:dyDescent="0.3">
      <c r="A1414" s="2"/>
    </row>
    <row r="1415" spans="1:1" x14ac:dyDescent="0.3">
      <c r="A1415" s="1"/>
    </row>
    <row r="1416" spans="1:1" x14ac:dyDescent="0.3">
      <c r="A1416" s="2"/>
    </row>
    <row r="1417" spans="1:1" x14ac:dyDescent="0.3">
      <c r="A1417" s="1"/>
    </row>
    <row r="1418" spans="1:1" x14ac:dyDescent="0.3">
      <c r="A1418" s="2"/>
    </row>
    <row r="1419" spans="1:1" x14ac:dyDescent="0.3">
      <c r="A1419" s="1"/>
    </row>
    <row r="1420" spans="1:1" x14ac:dyDescent="0.3">
      <c r="A1420" s="2"/>
    </row>
    <row r="1421" spans="1:1" x14ac:dyDescent="0.3">
      <c r="A1421" s="1"/>
    </row>
    <row r="1422" spans="1:1" x14ac:dyDescent="0.3">
      <c r="A1422" s="2"/>
    </row>
    <row r="1423" spans="1:1" x14ac:dyDescent="0.3">
      <c r="A1423" s="1"/>
    </row>
    <row r="1424" spans="1:1" x14ac:dyDescent="0.3">
      <c r="A1424" s="2"/>
    </row>
    <row r="1425" spans="1:1" x14ac:dyDescent="0.3">
      <c r="A1425" s="1"/>
    </row>
    <row r="1426" spans="1:1" x14ac:dyDescent="0.3">
      <c r="A1426" s="2"/>
    </row>
    <row r="1427" spans="1:1" x14ac:dyDescent="0.3">
      <c r="A1427" s="1"/>
    </row>
    <row r="1428" spans="1:1" x14ac:dyDescent="0.3">
      <c r="A1428" s="2"/>
    </row>
    <row r="1429" spans="1:1" x14ac:dyDescent="0.3">
      <c r="A1429" s="1"/>
    </row>
    <row r="1430" spans="1:1" x14ac:dyDescent="0.3">
      <c r="A1430" s="2"/>
    </row>
    <row r="1431" spans="1:1" x14ac:dyDescent="0.3">
      <c r="A1431" s="1"/>
    </row>
    <row r="1432" spans="1:1" x14ac:dyDescent="0.3">
      <c r="A1432" s="2"/>
    </row>
    <row r="1433" spans="1:1" x14ac:dyDescent="0.3">
      <c r="A1433" s="1"/>
    </row>
    <row r="1434" spans="1:1" x14ac:dyDescent="0.3">
      <c r="A1434" s="2"/>
    </row>
    <row r="1435" spans="1:1" x14ac:dyDescent="0.3">
      <c r="A1435" s="1"/>
    </row>
    <row r="1436" spans="1:1" x14ac:dyDescent="0.3">
      <c r="A1436" s="2"/>
    </row>
    <row r="1437" spans="1:1" x14ac:dyDescent="0.3">
      <c r="A1437" s="1"/>
    </row>
    <row r="1438" spans="1:1" x14ac:dyDescent="0.3">
      <c r="A1438" s="2"/>
    </row>
    <row r="1439" spans="1:1" x14ac:dyDescent="0.3">
      <c r="A1439" s="1"/>
    </row>
    <row r="1440" spans="1:1" x14ac:dyDescent="0.3">
      <c r="A1440" s="2"/>
    </row>
    <row r="1441" spans="1:1" x14ac:dyDescent="0.3">
      <c r="A1441" s="1"/>
    </row>
    <row r="1442" spans="1:1" x14ac:dyDescent="0.3">
      <c r="A1442" s="2"/>
    </row>
    <row r="1443" spans="1:1" x14ac:dyDescent="0.3">
      <c r="A1443" s="1"/>
    </row>
    <row r="1444" spans="1:1" x14ac:dyDescent="0.3">
      <c r="A1444" s="2"/>
    </row>
    <row r="1445" spans="1:1" x14ac:dyDescent="0.3">
      <c r="A1445" s="1"/>
    </row>
    <row r="1446" spans="1:1" x14ac:dyDescent="0.3">
      <c r="A1446" s="2"/>
    </row>
    <row r="1447" spans="1:1" x14ac:dyDescent="0.3">
      <c r="A1447" s="1"/>
    </row>
    <row r="1448" spans="1:1" x14ac:dyDescent="0.3">
      <c r="A1448" s="2"/>
    </row>
    <row r="1449" spans="1:1" x14ac:dyDescent="0.3">
      <c r="A1449" s="1"/>
    </row>
    <row r="1450" spans="1:1" x14ac:dyDescent="0.3">
      <c r="A1450" s="2"/>
    </row>
    <row r="1451" spans="1:1" x14ac:dyDescent="0.3">
      <c r="A1451" s="1"/>
    </row>
    <row r="1452" spans="1:1" x14ac:dyDescent="0.3">
      <c r="A1452" s="2"/>
    </row>
    <row r="1453" spans="1:1" x14ac:dyDescent="0.3">
      <c r="A1453" s="1"/>
    </row>
    <row r="1454" spans="1:1" x14ac:dyDescent="0.3">
      <c r="A1454" s="2"/>
    </row>
    <row r="1455" spans="1:1" x14ac:dyDescent="0.3">
      <c r="A1455" s="1"/>
    </row>
    <row r="1456" spans="1:1" x14ac:dyDescent="0.3">
      <c r="A1456" s="2"/>
    </row>
    <row r="1457" spans="1:1" x14ac:dyDescent="0.3">
      <c r="A1457" s="1"/>
    </row>
    <row r="1458" spans="1:1" x14ac:dyDescent="0.3">
      <c r="A1458" s="2"/>
    </row>
    <row r="1459" spans="1:1" x14ac:dyDescent="0.3">
      <c r="A1459" s="1"/>
    </row>
    <row r="1460" spans="1:1" x14ac:dyDescent="0.3">
      <c r="A1460" s="2"/>
    </row>
    <row r="1461" spans="1:1" x14ac:dyDescent="0.3">
      <c r="A1461" s="1"/>
    </row>
    <row r="1462" spans="1:1" x14ac:dyDescent="0.3">
      <c r="A1462" s="2"/>
    </row>
    <row r="1463" spans="1:1" x14ac:dyDescent="0.3">
      <c r="A1463" s="1"/>
    </row>
    <row r="1464" spans="1:1" x14ac:dyDescent="0.3">
      <c r="A1464" s="2"/>
    </row>
    <row r="1465" spans="1:1" x14ac:dyDescent="0.3">
      <c r="A1465" s="1"/>
    </row>
    <row r="1466" spans="1:1" x14ac:dyDescent="0.3">
      <c r="A1466" s="2"/>
    </row>
    <row r="1467" spans="1:1" x14ac:dyDescent="0.3">
      <c r="A1467" s="1"/>
    </row>
    <row r="1468" spans="1:1" x14ac:dyDescent="0.3">
      <c r="A1468" s="2"/>
    </row>
    <row r="1469" spans="1:1" x14ac:dyDescent="0.3">
      <c r="A1469" s="1"/>
    </row>
    <row r="1470" spans="1:1" x14ac:dyDescent="0.3">
      <c r="A1470" s="2"/>
    </row>
    <row r="1471" spans="1:1" x14ac:dyDescent="0.3">
      <c r="A1471" s="1"/>
    </row>
    <row r="1472" spans="1:1" x14ac:dyDescent="0.3">
      <c r="A1472" s="2"/>
    </row>
    <row r="1473" spans="1:1" x14ac:dyDescent="0.3">
      <c r="A1473" s="1"/>
    </row>
    <row r="1474" spans="1:1" x14ac:dyDescent="0.3">
      <c r="A1474" s="2"/>
    </row>
    <row r="1475" spans="1:1" x14ac:dyDescent="0.3">
      <c r="A1475" s="1"/>
    </row>
    <row r="1476" spans="1:1" x14ac:dyDescent="0.3">
      <c r="A1476" s="2"/>
    </row>
    <row r="1477" spans="1:1" x14ac:dyDescent="0.3">
      <c r="A1477" s="1"/>
    </row>
    <row r="1478" spans="1:1" x14ac:dyDescent="0.3">
      <c r="A1478" s="2"/>
    </row>
    <row r="1479" spans="1:1" x14ac:dyDescent="0.3">
      <c r="A1479" s="1"/>
    </row>
    <row r="1480" spans="1:1" x14ac:dyDescent="0.3">
      <c r="A1480" s="2"/>
    </row>
    <row r="1481" spans="1:1" x14ac:dyDescent="0.3">
      <c r="A1481" s="1"/>
    </row>
    <row r="1482" spans="1:1" x14ac:dyDescent="0.3">
      <c r="A1482" s="2"/>
    </row>
    <row r="1483" spans="1:1" x14ac:dyDescent="0.3">
      <c r="A1483" s="1"/>
    </row>
    <row r="1484" spans="1:1" x14ac:dyDescent="0.3">
      <c r="A1484" s="2"/>
    </row>
    <row r="1485" spans="1:1" x14ac:dyDescent="0.3">
      <c r="A1485" s="1"/>
    </row>
    <row r="1486" spans="1:1" x14ac:dyDescent="0.3">
      <c r="A1486" s="2"/>
    </row>
    <row r="1487" spans="1:1" x14ac:dyDescent="0.3">
      <c r="A1487" s="1"/>
    </row>
    <row r="1488" spans="1:1" x14ac:dyDescent="0.3">
      <c r="A1488" s="2"/>
    </row>
    <row r="1489" spans="1:1" x14ac:dyDescent="0.3">
      <c r="A1489" s="1"/>
    </row>
    <row r="1490" spans="1:1" x14ac:dyDescent="0.3">
      <c r="A1490" s="2"/>
    </row>
    <row r="1491" spans="1:1" x14ac:dyDescent="0.3">
      <c r="A1491" s="1"/>
    </row>
    <row r="1492" spans="1:1" x14ac:dyDescent="0.3">
      <c r="A1492" s="2"/>
    </row>
    <row r="1493" spans="1:1" x14ac:dyDescent="0.3">
      <c r="A1493" s="1"/>
    </row>
    <row r="1494" spans="1:1" x14ac:dyDescent="0.3">
      <c r="A1494" s="2"/>
    </row>
    <row r="1495" spans="1:1" x14ac:dyDescent="0.3">
      <c r="A1495" s="1"/>
    </row>
    <row r="1496" spans="1:1" x14ac:dyDescent="0.3">
      <c r="A1496" s="2"/>
    </row>
    <row r="1497" spans="1:1" x14ac:dyDescent="0.3">
      <c r="A1497" s="1"/>
    </row>
    <row r="1498" spans="1:1" x14ac:dyDescent="0.3">
      <c r="A1498" s="2"/>
    </row>
    <row r="1499" spans="1:1" x14ac:dyDescent="0.3">
      <c r="A1499" s="1"/>
    </row>
    <row r="1500" spans="1:1" x14ac:dyDescent="0.3">
      <c r="A1500" s="2"/>
    </row>
    <row r="1501" spans="1:1" x14ac:dyDescent="0.3">
      <c r="A1501" s="1"/>
    </row>
    <row r="1502" spans="1:1" x14ac:dyDescent="0.3">
      <c r="A1502" s="2"/>
    </row>
    <row r="1503" spans="1:1" x14ac:dyDescent="0.3">
      <c r="A1503" s="1"/>
    </row>
    <row r="1504" spans="1:1" x14ac:dyDescent="0.3">
      <c r="A1504" s="2"/>
    </row>
    <row r="1505" spans="1:1" x14ac:dyDescent="0.3">
      <c r="A1505" s="1"/>
    </row>
    <row r="1506" spans="1:1" x14ac:dyDescent="0.3">
      <c r="A1506" s="2"/>
    </row>
    <row r="1507" spans="1:1" x14ac:dyDescent="0.3">
      <c r="A1507" s="1"/>
    </row>
    <row r="1508" spans="1:1" x14ac:dyDescent="0.3">
      <c r="A1508" s="2"/>
    </row>
    <row r="1509" spans="1:1" x14ac:dyDescent="0.3">
      <c r="A1509" s="1"/>
    </row>
    <row r="1510" spans="1:1" x14ac:dyDescent="0.3">
      <c r="A1510" s="2"/>
    </row>
    <row r="1511" spans="1:1" x14ac:dyDescent="0.3">
      <c r="A1511" s="1"/>
    </row>
    <row r="1512" spans="1:1" x14ac:dyDescent="0.3">
      <c r="A1512" s="2"/>
    </row>
    <row r="1513" spans="1:1" x14ac:dyDescent="0.3">
      <c r="A1513" s="1"/>
    </row>
    <row r="1514" spans="1:1" x14ac:dyDescent="0.3">
      <c r="A1514" s="2"/>
    </row>
    <row r="1515" spans="1:1" x14ac:dyDescent="0.3">
      <c r="A1515" s="1"/>
    </row>
    <row r="1516" spans="1:1" x14ac:dyDescent="0.3">
      <c r="A1516" s="2"/>
    </row>
    <row r="1517" spans="1:1" x14ac:dyDescent="0.3">
      <c r="A1517" s="1"/>
    </row>
    <row r="1518" spans="1:1" x14ac:dyDescent="0.3">
      <c r="A1518" s="2"/>
    </row>
    <row r="1519" spans="1:1" x14ac:dyDescent="0.3">
      <c r="A1519" s="1"/>
    </row>
    <row r="1520" spans="1:1" x14ac:dyDescent="0.3">
      <c r="A1520" s="2"/>
    </row>
    <row r="1521" spans="1:1" x14ac:dyDescent="0.3">
      <c r="A1521" s="1"/>
    </row>
    <row r="1522" spans="1:1" x14ac:dyDescent="0.3">
      <c r="A1522" s="2"/>
    </row>
    <row r="1523" spans="1:1" x14ac:dyDescent="0.3">
      <c r="A1523" s="1"/>
    </row>
    <row r="1524" spans="1:1" x14ac:dyDescent="0.3">
      <c r="A1524" s="2"/>
    </row>
    <row r="1525" spans="1:1" x14ac:dyDescent="0.3">
      <c r="A1525" s="1"/>
    </row>
    <row r="1526" spans="1:1" x14ac:dyDescent="0.3">
      <c r="A1526" s="2"/>
    </row>
    <row r="1527" spans="1:1" x14ac:dyDescent="0.3">
      <c r="A1527" s="1"/>
    </row>
    <row r="1528" spans="1:1" x14ac:dyDescent="0.3">
      <c r="A1528" s="2"/>
    </row>
    <row r="1529" spans="1:1" x14ac:dyDescent="0.3">
      <c r="A1529" s="1"/>
    </row>
    <row r="1530" spans="1:1" x14ac:dyDescent="0.3">
      <c r="A1530" s="2"/>
    </row>
    <row r="1531" spans="1:1" x14ac:dyDescent="0.3">
      <c r="A1531" s="1"/>
    </row>
    <row r="1532" spans="1:1" x14ac:dyDescent="0.3">
      <c r="A1532" s="2"/>
    </row>
    <row r="1533" spans="1:1" x14ac:dyDescent="0.3">
      <c r="A1533" s="1"/>
    </row>
    <row r="1534" spans="1:1" x14ac:dyDescent="0.3">
      <c r="A1534" s="2"/>
    </row>
    <row r="1535" spans="1:1" x14ac:dyDescent="0.3">
      <c r="A1535" s="1"/>
    </row>
    <row r="1536" spans="1:1" x14ac:dyDescent="0.3">
      <c r="A1536" s="2"/>
    </row>
    <row r="1537" spans="1:1" x14ac:dyDescent="0.3">
      <c r="A1537" s="1"/>
    </row>
    <row r="1538" spans="1:1" x14ac:dyDescent="0.3">
      <c r="A1538" s="2"/>
    </row>
    <row r="1539" spans="1:1" x14ac:dyDescent="0.3">
      <c r="A1539" s="1"/>
    </row>
    <row r="1540" spans="1:1" x14ac:dyDescent="0.3">
      <c r="A1540" s="2"/>
    </row>
    <row r="1541" spans="1:1" x14ac:dyDescent="0.3">
      <c r="A1541" s="1"/>
    </row>
    <row r="1542" spans="1:1" x14ac:dyDescent="0.3">
      <c r="A1542" s="2"/>
    </row>
    <row r="1543" spans="1:1" x14ac:dyDescent="0.3">
      <c r="A1543" s="1"/>
    </row>
    <row r="1544" spans="1:1" x14ac:dyDescent="0.3">
      <c r="A1544" s="2"/>
    </row>
    <row r="1545" spans="1:1" x14ac:dyDescent="0.3">
      <c r="A1545" s="1"/>
    </row>
    <row r="1546" spans="1:1" x14ac:dyDescent="0.3">
      <c r="A1546" s="2"/>
    </row>
    <row r="1547" spans="1:1" x14ac:dyDescent="0.3">
      <c r="A1547" s="1"/>
    </row>
    <row r="1548" spans="1:1" x14ac:dyDescent="0.3">
      <c r="A1548" s="2"/>
    </row>
    <row r="1549" spans="1:1" x14ac:dyDescent="0.3">
      <c r="A1549" s="1"/>
    </row>
    <row r="1550" spans="1:1" x14ac:dyDescent="0.3">
      <c r="A1550" s="2"/>
    </row>
    <row r="1551" spans="1:1" x14ac:dyDescent="0.3">
      <c r="A1551" s="1"/>
    </row>
    <row r="1552" spans="1:1" x14ac:dyDescent="0.3">
      <c r="A1552" s="2"/>
    </row>
    <row r="1553" spans="1:1" x14ac:dyDescent="0.3">
      <c r="A1553" s="1"/>
    </row>
    <row r="1554" spans="1:1" x14ac:dyDescent="0.3">
      <c r="A1554" s="2"/>
    </row>
    <row r="1555" spans="1:1" x14ac:dyDescent="0.3">
      <c r="A1555" s="1"/>
    </row>
    <row r="1556" spans="1:1" x14ac:dyDescent="0.3">
      <c r="A1556" s="2"/>
    </row>
    <row r="1557" spans="1:1" x14ac:dyDescent="0.3">
      <c r="A1557" s="1"/>
    </row>
    <row r="1558" spans="1:1" x14ac:dyDescent="0.3">
      <c r="A1558" s="2"/>
    </row>
    <row r="1559" spans="1:1" x14ac:dyDescent="0.3">
      <c r="A1559" s="1"/>
    </row>
    <row r="1560" spans="1:1" x14ac:dyDescent="0.3">
      <c r="A1560" s="2"/>
    </row>
    <row r="1561" spans="1:1" x14ac:dyDescent="0.3">
      <c r="A1561" s="1"/>
    </row>
    <row r="1562" spans="1:1" x14ac:dyDescent="0.3">
      <c r="A1562" s="2"/>
    </row>
    <row r="1563" spans="1:1" x14ac:dyDescent="0.3">
      <c r="A1563" s="1"/>
    </row>
    <row r="1564" spans="1:1" x14ac:dyDescent="0.3">
      <c r="A1564" s="2"/>
    </row>
    <row r="1565" spans="1:1" x14ac:dyDescent="0.3">
      <c r="A1565" s="1"/>
    </row>
    <row r="1566" spans="1:1" x14ac:dyDescent="0.3">
      <c r="A1566" s="2"/>
    </row>
    <row r="1567" spans="1:1" x14ac:dyDescent="0.3">
      <c r="A1567" s="1"/>
    </row>
    <row r="1568" spans="1:1" x14ac:dyDescent="0.3">
      <c r="A1568" s="2"/>
    </row>
    <row r="1569" spans="1:1" x14ac:dyDescent="0.3">
      <c r="A1569" s="1"/>
    </row>
    <row r="1570" spans="1:1" x14ac:dyDescent="0.3">
      <c r="A1570" s="2"/>
    </row>
    <row r="1571" spans="1:1" x14ac:dyDescent="0.3">
      <c r="A1571" s="1"/>
    </row>
    <row r="1572" spans="1:1" x14ac:dyDescent="0.3">
      <c r="A1572" s="2"/>
    </row>
    <row r="1573" spans="1:1" x14ac:dyDescent="0.3">
      <c r="A1573" s="1"/>
    </row>
    <row r="1574" spans="1:1" x14ac:dyDescent="0.3">
      <c r="A1574" s="2"/>
    </row>
    <row r="1575" spans="1:1" x14ac:dyDescent="0.3">
      <c r="A1575" s="1"/>
    </row>
    <row r="1576" spans="1:1" x14ac:dyDescent="0.3">
      <c r="A1576" s="2"/>
    </row>
    <row r="1577" spans="1:1" x14ac:dyDescent="0.3">
      <c r="A1577" s="1"/>
    </row>
    <row r="1578" spans="1:1" x14ac:dyDescent="0.3">
      <c r="A1578" s="2"/>
    </row>
    <row r="1579" spans="1:1" x14ac:dyDescent="0.3">
      <c r="A1579" s="1"/>
    </row>
    <row r="1580" spans="1:1" x14ac:dyDescent="0.3">
      <c r="A1580" s="2"/>
    </row>
    <row r="1581" spans="1:1" x14ac:dyDescent="0.3">
      <c r="A1581" s="1"/>
    </row>
    <row r="1582" spans="1:1" x14ac:dyDescent="0.3">
      <c r="A1582" s="2"/>
    </row>
    <row r="1583" spans="1:1" x14ac:dyDescent="0.3">
      <c r="A1583" s="1"/>
    </row>
    <row r="1584" spans="1:1" x14ac:dyDescent="0.3">
      <c r="A1584" s="2"/>
    </row>
    <row r="1585" spans="1:1" x14ac:dyDescent="0.3">
      <c r="A1585" s="1"/>
    </row>
    <row r="1586" spans="1:1" x14ac:dyDescent="0.3">
      <c r="A1586" s="2"/>
    </row>
    <row r="1587" spans="1:1" x14ac:dyDescent="0.3">
      <c r="A1587" s="1"/>
    </row>
    <row r="1588" spans="1:1" x14ac:dyDescent="0.3">
      <c r="A1588" s="2"/>
    </row>
    <row r="1589" spans="1:1" x14ac:dyDescent="0.3">
      <c r="A1589" s="1"/>
    </row>
    <row r="1590" spans="1:1" x14ac:dyDescent="0.3">
      <c r="A1590" s="2"/>
    </row>
    <row r="1591" spans="1:1" x14ac:dyDescent="0.3">
      <c r="A1591" s="1"/>
    </row>
    <row r="1592" spans="1:1" x14ac:dyDescent="0.3">
      <c r="A1592" s="2"/>
    </row>
    <row r="1593" spans="1:1" x14ac:dyDescent="0.3">
      <c r="A1593" s="1"/>
    </row>
    <row r="1594" spans="1:1" x14ac:dyDescent="0.3">
      <c r="A1594" s="2"/>
    </row>
    <row r="1595" spans="1:1" x14ac:dyDescent="0.3">
      <c r="A1595" s="1"/>
    </row>
    <row r="1596" spans="1:1" x14ac:dyDescent="0.3">
      <c r="A1596" s="2"/>
    </row>
    <row r="1597" spans="1:1" x14ac:dyDescent="0.3">
      <c r="A1597" s="1"/>
    </row>
    <row r="1598" spans="1:1" x14ac:dyDescent="0.3">
      <c r="A1598" s="2"/>
    </row>
    <row r="1599" spans="1:1" x14ac:dyDescent="0.3">
      <c r="A1599" s="1"/>
    </row>
    <row r="1600" spans="1:1" x14ac:dyDescent="0.3">
      <c r="A1600" s="2"/>
    </row>
    <row r="1601" spans="1:1" x14ac:dyDescent="0.3">
      <c r="A1601" s="1"/>
    </row>
    <row r="1602" spans="1:1" x14ac:dyDescent="0.3">
      <c r="A1602" s="2"/>
    </row>
    <row r="1603" spans="1:1" x14ac:dyDescent="0.3">
      <c r="A1603" s="1"/>
    </row>
    <row r="1604" spans="1:1" x14ac:dyDescent="0.3">
      <c r="A1604" s="2"/>
    </row>
    <row r="1605" spans="1:1" x14ac:dyDescent="0.3">
      <c r="A1605" s="1"/>
    </row>
    <row r="1606" spans="1:1" x14ac:dyDescent="0.3">
      <c r="A1606" s="2"/>
    </row>
    <row r="1607" spans="1:1" x14ac:dyDescent="0.3">
      <c r="A1607" s="1"/>
    </row>
    <row r="1608" spans="1:1" x14ac:dyDescent="0.3">
      <c r="A1608" s="2"/>
    </row>
    <row r="1609" spans="1:1" x14ac:dyDescent="0.3">
      <c r="A1609" s="1"/>
    </row>
    <row r="1610" spans="1:1" x14ac:dyDescent="0.3">
      <c r="A1610" s="2"/>
    </row>
    <row r="1611" spans="1:1" x14ac:dyDescent="0.3">
      <c r="A1611" s="1"/>
    </row>
    <row r="1612" spans="1:1" x14ac:dyDescent="0.3">
      <c r="A1612" s="2"/>
    </row>
    <row r="1613" spans="1:1" x14ac:dyDescent="0.3">
      <c r="A1613" s="1"/>
    </row>
    <row r="1614" spans="1:1" x14ac:dyDescent="0.3">
      <c r="A1614" s="2"/>
    </row>
    <row r="1615" spans="1:1" x14ac:dyDescent="0.3">
      <c r="A1615" s="1"/>
    </row>
    <row r="1616" spans="1:1" x14ac:dyDescent="0.3">
      <c r="A1616" s="2"/>
    </row>
    <row r="1617" spans="1:1" x14ac:dyDescent="0.3">
      <c r="A1617" s="1"/>
    </row>
    <row r="1618" spans="1:1" x14ac:dyDescent="0.3">
      <c r="A1618" s="2"/>
    </row>
    <row r="1619" spans="1:1" x14ac:dyDescent="0.3">
      <c r="A1619" s="1"/>
    </row>
    <row r="1620" spans="1:1" x14ac:dyDescent="0.3">
      <c r="A1620" s="2"/>
    </row>
    <row r="1621" spans="1:1" x14ac:dyDescent="0.3">
      <c r="A1621" s="1"/>
    </row>
    <row r="1622" spans="1:1" x14ac:dyDescent="0.3">
      <c r="A1622" s="2"/>
    </row>
    <row r="1623" spans="1:1" x14ac:dyDescent="0.3">
      <c r="A1623" s="1"/>
    </row>
    <row r="1624" spans="1:1" x14ac:dyDescent="0.3">
      <c r="A1624" s="2"/>
    </row>
    <row r="1625" spans="1:1" x14ac:dyDescent="0.3">
      <c r="A1625" s="1"/>
    </row>
    <row r="1626" spans="1:1" x14ac:dyDescent="0.3">
      <c r="A1626" s="2"/>
    </row>
    <row r="1627" spans="1:1" x14ac:dyDescent="0.3">
      <c r="A1627" s="1"/>
    </row>
    <row r="1628" spans="1:1" x14ac:dyDescent="0.3">
      <c r="A1628" s="2"/>
    </row>
    <row r="1629" spans="1:1" x14ac:dyDescent="0.3">
      <c r="A1629" s="1"/>
    </row>
    <row r="1630" spans="1:1" x14ac:dyDescent="0.3">
      <c r="A1630" s="2"/>
    </row>
    <row r="1631" spans="1:1" x14ac:dyDescent="0.3">
      <c r="A1631" s="1"/>
    </row>
    <row r="1632" spans="1:1" x14ac:dyDescent="0.3">
      <c r="A1632" s="2"/>
    </row>
    <row r="1633" spans="1:1" x14ac:dyDescent="0.3">
      <c r="A1633" s="1"/>
    </row>
    <row r="1634" spans="1:1" x14ac:dyDescent="0.3">
      <c r="A1634" s="2"/>
    </row>
    <row r="1635" spans="1:1" x14ac:dyDescent="0.3">
      <c r="A1635" s="1"/>
    </row>
    <row r="1636" spans="1:1" x14ac:dyDescent="0.3">
      <c r="A1636" s="2"/>
    </row>
    <row r="1637" spans="1:1" x14ac:dyDescent="0.3">
      <c r="A1637" s="1"/>
    </row>
    <row r="1638" spans="1:1" x14ac:dyDescent="0.3">
      <c r="A1638" s="2"/>
    </row>
    <row r="1639" spans="1:1" x14ac:dyDescent="0.3">
      <c r="A1639" s="1"/>
    </row>
    <row r="1640" spans="1:1" x14ac:dyDescent="0.3">
      <c r="A1640" s="2"/>
    </row>
    <row r="1641" spans="1:1" x14ac:dyDescent="0.3">
      <c r="A1641" s="1"/>
    </row>
    <row r="1642" spans="1:1" x14ac:dyDescent="0.3">
      <c r="A1642" s="2"/>
    </row>
    <row r="1643" spans="1:1" x14ac:dyDescent="0.3">
      <c r="A1643" s="1"/>
    </row>
    <row r="1644" spans="1:1" x14ac:dyDescent="0.3">
      <c r="A1644" s="2"/>
    </row>
    <row r="1645" spans="1:1" x14ac:dyDescent="0.3">
      <c r="A1645" s="1"/>
    </row>
    <row r="1646" spans="1:1" x14ac:dyDescent="0.3">
      <c r="A1646" s="2"/>
    </row>
    <row r="1647" spans="1:1" x14ac:dyDescent="0.3">
      <c r="A1647" s="1"/>
    </row>
    <row r="1648" spans="1:1" x14ac:dyDescent="0.3">
      <c r="A1648" s="2"/>
    </row>
    <row r="1649" spans="1:1" x14ac:dyDescent="0.3">
      <c r="A1649" s="1"/>
    </row>
    <row r="1650" spans="1:1" x14ac:dyDescent="0.3">
      <c r="A1650" s="2"/>
    </row>
    <row r="1651" spans="1:1" x14ac:dyDescent="0.3">
      <c r="A1651" s="1"/>
    </row>
    <row r="1652" spans="1:1" x14ac:dyDescent="0.3">
      <c r="A1652" s="2"/>
    </row>
    <row r="1653" spans="1:1" x14ac:dyDescent="0.3">
      <c r="A1653" s="1"/>
    </row>
    <row r="1654" spans="1:1" x14ac:dyDescent="0.3">
      <c r="A1654" s="2"/>
    </row>
    <row r="1655" spans="1:1" x14ac:dyDescent="0.3">
      <c r="A1655" s="1"/>
    </row>
    <row r="1656" spans="1:1" x14ac:dyDescent="0.3">
      <c r="A1656" s="2"/>
    </row>
    <row r="1657" spans="1:1" x14ac:dyDescent="0.3">
      <c r="A1657" s="1"/>
    </row>
    <row r="1658" spans="1:1" x14ac:dyDescent="0.3">
      <c r="A1658" s="2"/>
    </row>
    <row r="1659" spans="1:1" x14ac:dyDescent="0.3">
      <c r="A1659" s="1"/>
    </row>
    <row r="1660" spans="1:1" x14ac:dyDescent="0.3">
      <c r="A1660" s="2"/>
    </row>
    <row r="1661" spans="1:1" x14ac:dyDescent="0.3">
      <c r="A1661" s="1"/>
    </row>
    <row r="1662" spans="1:1" x14ac:dyDescent="0.3">
      <c r="A1662" s="2"/>
    </row>
    <row r="1663" spans="1:1" x14ac:dyDescent="0.3">
      <c r="A1663" s="1"/>
    </row>
    <row r="1664" spans="1:1" x14ac:dyDescent="0.3">
      <c r="A1664" s="2"/>
    </row>
    <row r="1665" spans="1:1" x14ac:dyDescent="0.3">
      <c r="A1665" s="1"/>
    </row>
    <row r="1666" spans="1:1" x14ac:dyDescent="0.3">
      <c r="A1666" s="2"/>
    </row>
    <row r="1667" spans="1:1" x14ac:dyDescent="0.3">
      <c r="A1667" s="1"/>
    </row>
    <row r="1668" spans="1:1" x14ac:dyDescent="0.3">
      <c r="A1668" s="2"/>
    </row>
    <row r="1669" spans="1:1" x14ac:dyDescent="0.3">
      <c r="A1669" s="1"/>
    </row>
    <row r="1670" spans="1:1" x14ac:dyDescent="0.3">
      <c r="A1670" s="2"/>
    </row>
    <row r="1671" spans="1:1" x14ac:dyDescent="0.3">
      <c r="A1671" s="1"/>
    </row>
    <row r="1672" spans="1:1" x14ac:dyDescent="0.3">
      <c r="A1672" s="2"/>
    </row>
    <row r="1673" spans="1:1" x14ac:dyDescent="0.3">
      <c r="A1673" s="1"/>
    </row>
    <row r="1674" spans="1:1" x14ac:dyDescent="0.3">
      <c r="A1674" s="2"/>
    </row>
    <row r="1675" spans="1:1" x14ac:dyDescent="0.3">
      <c r="A1675" s="1"/>
    </row>
    <row r="1676" spans="1:1" x14ac:dyDescent="0.3">
      <c r="A1676" s="2"/>
    </row>
    <row r="1677" spans="1:1" x14ac:dyDescent="0.3">
      <c r="A1677" s="1"/>
    </row>
    <row r="1678" spans="1:1" x14ac:dyDescent="0.3">
      <c r="A1678" s="2"/>
    </row>
    <row r="1679" spans="1:1" x14ac:dyDescent="0.3">
      <c r="A1679" s="1"/>
    </row>
    <row r="1680" spans="1:1" x14ac:dyDescent="0.3">
      <c r="A1680" s="2"/>
    </row>
    <row r="1681" spans="1:1" x14ac:dyDescent="0.3">
      <c r="A1681" s="1"/>
    </row>
    <row r="1682" spans="1:1" x14ac:dyDescent="0.3">
      <c r="A1682" s="2"/>
    </row>
    <row r="1683" spans="1:1" x14ac:dyDescent="0.3">
      <c r="A1683" s="1"/>
    </row>
    <row r="1684" spans="1:1" x14ac:dyDescent="0.3">
      <c r="A1684" s="2"/>
    </row>
    <row r="1685" spans="1:1" x14ac:dyDescent="0.3">
      <c r="A1685" s="1"/>
    </row>
    <row r="1686" spans="1:1" x14ac:dyDescent="0.3">
      <c r="A1686" s="2"/>
    </row>
    <row r="1687" spans="1:1" x14ac:dyDescent="0.3">
      <c r="A1687" s="1"/>
    </row>
    <row r="1688" spans="1:1" x14ac:dyDescent="0.3">
      <c r="A1688" s="2"/>
    </row>
    <row r="1689" spans="1:1" x14ac:dyDescent="0.3">
      <c r="A1689" s="1"/>
    </row>
    <row r="1690" spans="1:1" x14ac:dyDescent="0.3">
      <c r="A1690" s="2"/>
    </row>
    <row r="1691" spans="1:1" x14ac:dyDescent="0.3">
      <c r="A1691" s="1"/>
    </row>
    <row r="1692" spans="1:1" x14ac:dyDescent="0.3">
      <c r="A1692" s="2"/>
    </row>
    <row r="1693" spans="1:1" x14ac:dyDescent="0.3">
      <c r="A1693" s="1"/>
    </row>
    <row r="1694" spans="1:1" x14ac:dyDescent="0.3">
      <c r="A1694" s="2"/>
    </row>
    <row r="1695" spans="1:1" x14ac:dyDescent="0.3">
      <c r="A1695" s="1"/>
    </row>
    <row r="1696" spans="1:1" x14ac:dyDescent="0.3">
      <c r="A1696" s="2"/>
    </row>
    <row r="1697" spans="1:1" x14ac:dyDescent="0.3">
      <c r="A1697" s="1"/>
    </row>
    <row r="1698" spans="1:1" x14ac:dyDescent="0.3">
      <c r="A1698" s="2"/>
    </row>
    <row r="1699" spans="1:1" x14ac:dyDescent="0.3">
      <c r="A1699" s="1"/>
    </row>
    <row r="1700" spans="1:1" x14ac:dyDescent="0.3">
      <c r="A1700" s="2"/>
    </row>
    <row r="1701" spans="1:1" x14ac:dyDescent="0.3">
      <c r="A1701" s="1"/>
    </row>
    <row r="1702" spans="1:1" x14ac:dyDescent="0.3">
      <c r="A1702" s="2"/>
    </row>
    <row r="1703" spans="1:1" x14ac:dyDescent="0.3">
      <c r="A1703" s="1"/>
    </row>
    <row r="1704" spans="1:1" x14ac:dyDescent="0.3">
      <c r="A1704" s="2"/>
    </row>
    <row r="1705" spans="1:1" x14ac:dyDescent="0.3">
      <c r="A1705" s="1"/>
    </row>
    <row r="1706" spans="1:1" x14ac:dyDescent="0.3">
      <c r="A1706" s="2"/>
    </row>
    <row r="1707" spans="1:1" x14ac:dyDescent="0.3">
      <c r="A1707" s="1"/>
    </row>
    <row r="1708" spans="1:1" x14ac:dyDescent="0.3">
      <c r="A1708" s="2"/>
    </row>
    <row r="1709" spans="1:1" x14ac:dyDescent="0.3">
      <c r="A1709" s="1"/>
    </row>
    <row r="1710" spans="1:1" x14ac:dyDescent="0.3">
      <c r="A1710" s="2"/>
    </row>
    <row r="1711" spans="1:1" x14ac:dyDescent="0.3">
      <c r="A1711" s="1"/>
    </row>
    <row r="1712" spans="1:1" x14ac:dyDescent="0.3">
      <c r="A1712" s="2"/>
    </row>
    <row r="1713" spans="1:1" x14ac:dyDescent="0.3">
      <c r="A1713" s="1"/>
    </row>
    <row r="1714" spans="1:1" x14ac:dyDescent="0.3">
      <c r="A1714" s="2"/>
    </row>
    <row r="1715" spans="1:1" x14ac:dyDescent="0.3">
      <c r="A1715" s="1"/>
    </row>
    <row r="1716" spans="1:1" x14ac:dyDescent="0.3">
      <c r="A1716" s="2"/>
    </row>
    <row r="1717" spans="1:1" x14ac:dyDescent="0.3">
      <c r="A1717" s="1"/>
    </row>
    <row r="1718" spans="1:1" x14ac:dyDescent="0.3">
      <c r="A1718" s="2"/>
    </row>
    <row r="1719" spans="1:1" x14ac:dyDescent="0.3">
      <c r="A1719" s="1"/>
    </row>
    <row r="1720" spans="1:1" x14ac:dyDescent="0.3">
      <c r="A1720" s="2"/>
    </row>
    <row r="1721" spans="1:1" x14ac:dyDescent="0.3">
      <c r="A1721" s="1"/>
    </row>
    <row r="1722" spans="1:1" x14ac:dyDescent="0.3">
      <c r="A1722" s="2"/>
    </row>
    <row r="1723" spans="1:1" x14ac:dyDescent="0.3">
      <c r="A1723" s="1"/>
    </row>
    <row r="1724" spans="1:1" x14ac:dyDescent="0.3">
      <c r="A1724" s="2"/>
    </row>
    <row r="1725" spans="1:1" x14ac:dyDescent="0.3">
      <c r="A1725" s="1"/>
    </row>
    <row r="1726" spans="1:1" x14ac:dyDescent="0.3">
      <c r="A1726" s="2"/>
    </row>
    <row r="1727" spans="1:1" x14ac:dyDescent="0.3">
      <c r="A1727" s="1"/>
    </row>
    <row r="1728" spans="1:1" x14ac:dyDescent="0.3">
      <c r="A1728" s="2"/>
    </row>
    <row r="1729" spans="1:1" x14ac:dyDescent="0.3">
      <c r="A1729" s="1"/>
    </row>
    <row r="1730" spans="1:1" x14ac:dyDescent="0.3">
      <c r="A1730" s="2"/>
    </row>
    <row r="1731" spans="1:1" x14ac:dyDescent="0.3">
      <c r="A1731" s="1"/>
    </row>
    <row r="1732" spans="1:1" x14ac:dyDescent="0.3">
      <c r="A1732" s="2"/>
    </row>
    <row r="1733" spans="1:1" x14ac:dyDescent="0.3">
      <c r="A1733" s="1"/>
    </row>
    <row r="1734" spans="1:1" x14ac:dyDescent="0.3">
      <c r="A1734" s="2"/>
    </row>
    <row r="1735" spans="1:1" x14ac:dyDescent="0.3">
      <c r="A1735" s="1"/>
    </row>
    <row r="1736" spans="1:1" x14ac:dyDescent="0.3">
      <c r="A1736" s="2"/>
    </row>
    <row r="1737" spans="1:1" x14ac:dyDescent="0.3">
      <c r="A1737" s="1"/>
    </row>
    <row r="1738" spans="1:1" x14ac:dyDescent="0.3">
      <c r="A1738" s="2"/>
    </row>
    <row r="1739" spans="1:1" x14ac:dyDescent="0.3">
      <c r="A1739" s="1"/>
    </row>
    <row r="1740" spans="1:1" x14ac:dyDescent="0.3">
      <c r="A1740" s="2"/>
    </row>
    <row r="1741" spans="1:1" x14ac:dyDescent="0.3">
      <c r="A1741" s="1"/>
    </row>
    <row r="1742" spans="1:1" x14ac:dyDescent="0.3">
      <c r="A1742" s="2"/>
    </row>
    <row r="1743" spans="1:1" x14ac:dyDescent="0.3">
      <c r="A1743" s="1"/>
    </row>
    <row r="1744" spans="1:1" x14ac:dyDescent="0.3">
      <c r="A1744" s="2"/>
    </row>
    <row r="1745" spans="1:1" x14ac:dyDescent="0.3">
      <c r="A1745" s="1"/>
    </row>
    <row r="1746" spans="1:1" x14ac:dyDescent="0.3">
      <c r="A1746" s="2"/>
    </row>
    <row r="1747" spans="1:1" x14ac:dyDescent="0.3">
      <c r="A1747" s="1"/>
    </row>
    <row r="1748" spans="1:1" x14ac:dyDescent="0.3">
      <c r="A1748" s="2"/>
    </row>
    <row r="1749" spans="1:1" x14ac:dyDescent="0.3">
      <c r="A1749" s="1"/>
    </row>
    <row r="1750" spans="1:1" x14ac:dyDescent="0.3">
      <c r="A1750" s="2"/>
    </row>
    <row r="1751" spans="1:1" x14ac:dyDescent="0.3">
      <c r="A1751" s="1"/>
    </row>
    <row r="1752" spans="1:1" x14ac:dyDescent="0.3">
      <c r="A1752" s="2"/>
    </row>
    <row r="1753" spans="1:1" x14ac:dyDescent="0.3">
      <c r="A1753" s="1"/>
    </row>
    <row r="1754" spans="1:1" x14ac:dyDescent="0.3">
      <c r="A1754" s="2"/>
    </row>
    <row r="1755" spans="1:1" x14ac:dyDescent="0.3">
      <c r="A1755" s="1"/>
    </row>
    <row r="1756" spans="1:1" x14ac:dyDescent="0.3">
      <c r="A1756" s="2"/>
    </row>
    <row r="1757" spans="1:1" x14ac:dyDescent="0.3">
      <c r="A1757" s="1"/>
    </row>
    <row r="1758" spans="1:1" x14ac:dyDescent="0.3">
      <c r="A1758" s="2"/>
    </row>
    <row r="1759" spans="1:1" x14ac:dyDescent="0.3">
      <c r="A1759" s="1"/>
    </row>
    <row r="1760" spans="1:1" x14ac:dyDescent="0.3">
      <c r="A1760" s="2"/>
    </row>
    <row r="1761" spans="1:1" x14ac:dyDescent="0.3">
      <c r="A1761" s="1"/>
    </row>
    <row r="1762" spans="1:1" x14ac:dyDescent="0.3">
      <c r="A1762" s="2"/>
    </row>
    <row r="1763" spans="1:1" x14ac:dyDescent="0.3">
      <c r="A1763" s="1"/>
    </row>
    <row r="1764" spans="1:1" x14ac:dyDescent="0.3">
      <c r="A1764" s="2"/>
    </row>
    <row r="1765" spans="1:1" x14ac:dyDescent="0.3">
      <c r="A1765" s="1"/>
    </row>
    <row r="1766" spans="1:1" x14ac:dyDescent="0.3">
      <c r="A1766" s="2"/>
    </row>
    <row r="1767" spans="1:1" x14ac:dyDescent="0.3">
      <c r="A1767" s="1"/>
    </row>
    <row r="1768" spans="1:1" x14ac:dyDescent="0.3">
      <c r="A1768" s="2"/>
    </row>
    <row r="1769" spans="1:1" x14ac:dyDescent="0.3">
      <c r="A1769" s="1"/>
    </row>
    <row r="1770" spans="1:1" x14ac:dyDescent="0.3">
      <c r="A1770" s="2"/>
    </row>
    <row r="1771" spans="1:1" x14ac:dyDescent="0.3">
      <c r="A1771" s="1"/>
    </row>
    <row r="1772" spans="1:1" x14ac:dyDescent="0.3">
      <c r="A1772" s="2"/>
    </row>
    <row r="1773" spans="1:1" x14ac:dyDescent="0.3">
      <c r="A1773" s="1"/>
    </row>
    <row r="1774" spans="1:1" x14ac:dyDescent="0.3">
      <c r="A1774" s="2"/>
    </row>
    <row r="1775" spans="1:1" x14ac:dyDescent="0.3">
      <c r="A1775" s="1"/>
    </row>
    <row r="1776" spans="1:1" x14ac:dyDescent="0.3">
      <c r="A1776" s="2"/>
    </row>
    <row r="1777" spans="1:1" x14ac:dyDescent="0.3">
      <c r="A1777" s="1"/>
    </row>
    <row r="1778" spans="1:1" x14ac:dyDescent="0.3">
      <c r="A1778" s="2"/>
    </row>
    <row r="1779" spans="1:1" x14ac:dyDescent="0.3">
      <c r="A1779" s="1"/>
    </row>
    <row r="1780" spans="1:1" x14ac:dyDescent="0.3">
      <c r="A1780" s="2"/>
    </row>
    <row r="1781" spans="1:1" x14ac:dyDescent="0.3">
      <c r="A1781" s="1"/>
    </row>
    <row r="1782" spans="1:1" x14ac:dyDescent="0.3">
      <c r="A1782" s="2"/>
    </row>
    <row r="1783" spans="1:1" x14ac:dyDescent="0.3">
      <c r="A1783" s="1"/>
    </row>
    <row r="1784" spans="1:1" x14ac:dyDescent="0.3">
      <c r="A1784" s="2"/>
    </row>
    <row r="1785" spans="1:1" x14ac:dyDescent="0.3">
      <c r="A1785" s="1"/>
    </row>
    <row r="1786" spans="1:1" x14ac:dyDescent="0.3">
      <c r="A1786" s="2"/>
    </row>
    <row r="1787" spans="1:1" x14ac:dyDescent="0.3">
      <c r="A1787" s="1"/>
    </row>
    <row r="1788" spans="1:1" x14ac:dyDescent="0.3">
      <c r="A1788" s="2"/>
    </row>
    <row r="1789" spans="1:1" x14ac:dyDescent="0.3">
      <c r="A1789" s="1"/>
    </row>
    <row r="1790" spans="1:1" x14ac:dyDescent="0.3">
      <c r="A1790" s="2"/>
    </row>
    <row r="1791" spans="1:1" x14ac:dyDescent="0.3">
      <c r="A1791" s="1"/>
    </row>
    <row r="1792" spans="1:1" x14ac:dyDescent="0.3">
      <c r="A1792" s="2"/>
    </row>
    <row r="1793" spans="1:1" x14ac:dyDescent="0.3">
      <c r="A1793" s="1"/>
    </row>
    <row r="1794" spans="1:1" x14ac:dyDescent="0.3">
      <c r="A1794" s="2"/>
    </row>
    <row r="1795" spans="1:1" x14ac:dyDescent="0.3">
      <c r="A1795" s="1"/>
    </row>
    <row r="1796" spans="1:1" x14ac:dyDescent="0.3">
      <c r="A1796" s="2"/>
    </row>
    <row r="1797" spans="1:1" x14ac:dyDescent="0.3">
      <c r="A1797" s="1"/>
    </row>
    <row r="1798" spans="1:1" x14ac:dyDescent="0.3">
      <c r="A1798" s="2"/>
    </row>
    <row r="1799" spans="1:1" x14ac:dyDescent="0.3">
      <c r="A1799" s="1"/>
    </row>
    <row r="1800" spans="1:1" x14ac:dyDescent="0.3">
      <c r="A1800" s="2"/>
    </row>
    <row r="1801" spans="1:1" x14ac:dyDescent="0.3">
      <c r="A1801" s="1"/>
    </row>
    <row r="1802" spans="1:1" x14ac:dyDescent="0.3">
      <c r="A1802" s="2"/>
    </row>
    <row r="1803" spans="1:1" x14ac:dyDescent="0.3">
      <c r="A1803" s="1"/>
    </row>
    <row r="1804" spans="1:1" x14ac:dyDescent="0.3">
      <c r="A1804" s="2"/>
    </row>
    <row r="1805" spans="1:1" x14ac:dyDescent="0.3">
      <c r="A1805" s="1"/>
    </row>
    <row r="1806" spans="1:1" x14ac:dyDescent="0.3">
      <c r="A1806" s="2"/>
    </row>
    <row r="1807" spans="1:1" x14ac:dyDescent="0.3">
      <c r="A1807" s="1"/>
    </row>
    <row r="1808" spans="1:1" x14ac:dyDescent="0.3">
      <c r="A1808" s="2"/>
    </row>
    <row r="1809" spans="1:1" x14ac:dyDescent="0.3">
      <c r="A1809" s="1"/>
    </row>
    <row r="1810" spans="1:1" x14ac:dyDescent="0.3">
      <c r="A1810" s="2"/>
    </row>
    <row r="1811" spans="1:1" x14ac:dyDescent="0.3">
      <c r="A1811" s="1"/>
    </row>
    <row r="1812" spans="1:1" x14ac:dyDescent="0.3">
      <c r="A1812" s="2"/>
    </row>
    <row r="1813" spans="1:1" x14ac:dyDescent="0.3">
      <c r="A1813" s="1"/>
    </row>
    <row r="1814" spans="1:1" x14ac:dyDescent="0.3">
      <c r="A1814" s="2"/>
    </row>
    <row r="1815" spans="1:1" x14ac:dyDescent="0.3">
      <c r="A1815" s="1"/>
    </row>
    <row r="1816" spans="1:1" x14ac:dyDescent="0.3">
      <c r="A1816" s="2"/>
    </row>
    <row r="1817" spans="1:1" x14ac:dyDescent="0.3">
      <c r="A1817" s="1"/>
    </row>
    <row r="1818" spans="1:1" x14ac:dyDescent="0.3">
      <c r="A1818" s="2"/>
    </row>
    <row r="1819" spans="1:1" x14ac:dyDescent="0.3">
      <c r="A1819" s="1"/>
    </row>
    <row r="1820" spans="1:1" x14ac:dyDescent="0.3">
      <c r="A1820" s="2"/>
    </row>
    <row r="1821" spans="1:1" x14ac:dyDescent="0.3">
      <c r="A1821" s="1"/>
    </row>
    <row r="1822" spans="1:1" x14ac:dyDescent="0.3">
      <c r="A1822" s="2"/>
    </row>
    <row r="1823" spans="1:1" x14ac:dyDescent="0.3">
      <c r="A1823" s="1"/>
    </row>
    <row r="1824" spans="1:1" x14ac:dyDescent="0.3">
      <c r="A1824" s="2"/>
    </row>
    <row r="1825" spans="1:1" x14ac:dyDescent="0.3">
      <c r="A1825" s="1"/>
    </row>
    <row r="1826" spans="1:1" x14ac:dyDescent="0.3">
      <c r="A1826" s="2"/>
    </row>
    <row r="1827" spans="1:1" x14ac:dyDescent="0.3">
      <c r="A1827" s="1"/>
    </row>
    <row r="1828" spans="1:1" x14ac:dyDescent="0.3">
      <c r="A1828" s="2"/>
    </row>
    <row r="1829" spans="1:1" x14ac:dyDescent="0.3">
      <c r="A1829" s="1"/>
    </row>
    <row r="1830" spans="1:1" x14ac:dyDescent="0.3">
      <c r="A1830" s="2"/>
    </row>
    <row r="1831" spans="1:1" x14ac:dyDescent="0.3">
      <c r="A1831" s="1"/>
    </row>
    <row r="1832" spans="1:1" x14ac:dyDescent="0.3">
      <c r="A1832" s="2"/>
    </row>
    <row r="1833" spans="1:1" x14ac:dyDescent="0.3">
      <c r="A1833" s="1"/>
    </row>
    <row r="1834" spans="1:1" x14ac:dyDescent="0.3">
      <c r="A1834" s="2"/>
    </row>
    <row r="1835" spans="1:1" x14ac:dyDescent="0.3">
      <c r="A1835" s="1"/>
    </row>
    <row r="1836" spans="1:1" x14ac:dyDescent="0.3">
      <c r="A1836" s="2"/>
    </row>
    <row r="1837" spans="1:1" x14ac:dyDescent="0.3">
      <c r="A1837" s="1"/>
    </row>
    <row r="1838" spans="1:1" x14ac:dyDescent="0.3">
      <c r="A1838" s="2"/>
    </row>
    <row r="1839" spans="1:1" x14ac:dyDescent="0.3">
      <c r="A1839" s="1"/>
    </row>
    <row r="1840" spans="1:1" x14ac:dyDescent="0.3">
      <c r="A1840" s="2"/>
    </row>
    <row r="1841" spans="1:1" x14ac:dyDescent="0.3">
      <c r="A1841" s="1"/>
    </row>
    <row r="1842" spans="1:1" x14ac:dyDescent="0.3">
      <c r="A1842" s="2"/>
    </row>
    <row r="1843" spans="1:1" x14ac:dyDescent="0.3">
      <c r="A1843" s="1"/>
    </row>
    <row r="1844" spans="1:1" x14ac:dyDescent="0.3">
      <c r="A1844" s="2"/>
    </row>
    <row r="1845" spans="1:1" x14ac:dyDescent="0.3">
      <c r="A1845" s="1"/>
    </row>
    <row r="1846" spans="1:1" x14ac:dyDescent="0.3">
      <c r="A1846" s="2"/>
    </row>
    <row r="1847" spans="1:1" x14ac:dyDescent="0.3">
      <c r="A1847" s="1"/>
    </row>
    <row r="1848" spans="1:1" x14ac:dyDescent="0.3">
      <c r="A1848" s="2"/>
    </row>
    <row r="1849" spans="1:1" x14ac:dyDescent="0.3">
      <c r="A1849" s="1"/>
    </row>
    <row r="1850" spans="1:1" x14ac:dyDescent="0.3">
      <c r="A1850" s="2"/>
    </row>
    <row r="1851" spans="1:1" x14ac:dyDescent="0.3">
      <c r="A1851" s="1"/>
    </row>
    <row r="1852" spans="1:1" x14ac:dyDescent="0.3">
      <c r="A1852" s="2"/>
    </row>
    <row r="1853" spans="1:1" x14ac:dyDescent="0.3">
      <c r="A1853" s="1"/>
    </row>
    <row r="1854" spans="1:1" x14ac:dyDescent="0.3">
      <c r="A1854" s="2"/>
    </row>
    <row r="1855" spans="1:1" x14ac:dyDescent="0.3">
      <c r="A1855" s="1"/>
    </row>
    <row r="1856" spans="1:1" x14ac:dyDescent="0.3">
      <c r="A1856" s="2"/>
    </row>
    <row r="1857" spans="1:1" x14ac:dyDescent="0.3">
      <c r="A1857" s="1"/>
    </row>
    <row r="1858" spans="1:1" x14ac:dyDescent="0.3">
      <c r="A1858" s="2"/>
    </row>
    <row r="1859" spans="1:1" x14ac:dyDescent="0.3">
      <c r="A1859" s="1"/>
    </row>
    <row r="1860" spans="1:1" x14ac:dyDescent="0.3">
      <c r="A1860" s="2"/>
    </row>
    <row r="1861" spans="1:1" x14ac:dyDescent="0.3">
      <c r="A1861" s="1"/>
    </row>
    <row r="1862" spans="1:1" x14ac:dyDescent="0.3">
      <c r="A1862" s="2"/>
    </row>
    <row r="1863" spans="1:1" x14ac:dyDescent="0.3">
      <c r="A1863" s="1"/>
    </row>
    <row r="1864" spans="1:1" x14ac:dyDescent="0.3">
      <c r="A1864" s="2"/>
    </row>
    <row r="1865" spans="1:1" x14ac:dyDescent="0.3">
      <c r="A1865" s="1"/>
    </row>
    <row r="1866" spans="1:1" x14ac:dyDescent="0.3">
      <c r="A1866" s="2"/>
    </row>
    <row r="1867" spans="1:1" x14ac:dyDescent="0.3">
      <c r="A1867" s="1"/>
    </row>
    <row r="1868" spans="1:1" x14ac:dyDescent="0.3">
      <c r="A1868" s="2"/>
    </row>
    <row r="1869" spans="1:1" x14ac:dyDescent="0.3">
      <c r="A1869" s="1"/>
    </row>
    <row r="1870" spans="1:1" x14ac:dyDescent="0.3">
      <c r="A1870" s="2"/>
    </row>
    <row r="1871" spans="1:1" x14ac:dyDescent="0.3">
      <c r="A1871" s="1"/>
    </row>
    <row r="1872" spans="1:1" x14ac:dyDescent="0.3">
      <c r="A1872" s="2"/>
    </row>
    <row r="1873" spans="1:1" x14ac:dyDescent="0.3">
      <c r="A1873" s="1"/>
    </row>
    <row r="1874" spans="1:1" x14ac:dyDescent="0.3">
      <c r="A1874" s="2"/>
    </row>
    <row r="1875" spans="1:1" x14ac:dyDescent="0.3">
      <c r="A1875" s="1"/>
    </row>
    <row r="1876" spans="1:1" x14ac:dyDescent="0.3">
      <c r="A1876" s="2"/>
    </row>
    <row r="1877" spans="1:1" x14ac:dyDescent="0.3">
      <c r="A1877" s="1"/>
    </row>
    <row r="1878" spans="1:1" x14ac:dyDescent="0.3">
      <c r="A1878" s="2"/>
    </row>
    <row r="1879" spans="1:1" x14ac:dyDescent="0.3">
      <c r="A1879" s="1"/>
    </row>
    <row r="1880" spans="1:1" x14ac:dyDescent="0.3">
      <c r="A1880" s="2"/>
    </row>
    <row r="1881" spans="1:1" x14ac:dyDescent="0.3">
      <c r="A1881" s="1"/>
    </row>
    <row r="1882" spans="1:1" x14ac:dyDescent="0.3">
      <c r="A1882" s="2"/>
    </row>
    <row r="1883" spans="1:1" x14ac:dyDescent="0.3">
      <c r="A1883" s="1"/>
    </row>
    <row r="1884" spans="1:1" x14ac:dyDescent="0.3">
      <c r="A1884" s="2"/>
    </row>
    <row r="1885" spans="1:1" x14ac:dyDescent="0.3">
      <c r="A1885" s="1"/>
    </row>
    <row r="1886" spans="1:1" x14ac:dyDescent="0.3">
      <c r="A1886" s="2"/>
    </row>
    <row r="1887" spans="1:1" x14ac:dyDescent="0.3">
      <c r="A1887" s="1"/>
    </row>
    <row r="1888" spans="1:1" x14ac:dyDescent="0.3">
      <c r="A1888" s="2"/>
    </row>
    <row r="1889" spans="1:1" x14ac:dyDescent="0.3">
      <c r="A1889" s="1"/>
    </row>
    <row r="1890" spans="1:1" x14ac:dyDescent="0.3">
      <c r="A1890" s="2"/>
    </row>
    <row r="1891" spans="1:1" x14ac:dyDescent="0.3">
      <c r="A1891" s="1"/>
    </row>
    <row r="1892" spans="1:1" x14ac:dyDescent="0.3">
      <c r="A1892" s="2"/>
    </row>
    <row r="1893" spans="1:1" x14ac:dyDescent="0.3">
      <c r="A1893" s="1"/>
    </row>
    <row r="1894" spans="1:1" x14ac:dyDescent="0.3">
      <c r="A1894" s="2"/>
    </row>
    <row r="1895" spans="1:1" x14ac:dyDescent="0.3">
      <c r="A1895" s="1"/>
    </row>
    <row r="1896" spans="1:1" x14ac:dyDescent="0.3">
      <c r="A1896" s="2"/>
    </row>
    <row r="1897" spans="1:1" x14ac:dyDescent="0.3">
      <c r="A1897" s="1"/>
    </row>
    <row r="1898" spans="1:1" x14ac:dyDescent="0.3">
      <c r="A1898" s="2"/>
    </row>
    <row r="1899" spans="1:1" x14ac:dyDescent="0.3">
      <c r="A1899" s="1"/>
    </row>
    <row r="1900" spans="1:1" x14ac:dyDescent="0.3">
      <c r="A1900" s="2"/>
    </row>
    <row r="1901" spans="1:1" x14ac:dyDescent="0.3">
      <c r="A1901" s="1"/>
    </row>
    <row r="1902" spans="1:1" x14ac:dyDescent="0.3">
      <c r="A1902" s="2"/>
    </row>
    <row r="1903" spans="1:1" x14ac:dyDescent="0.3">
      <c r="A1903" s="1"/>
    </row>
    <row r="1904" spans="1:1" x14ac:dyDescent="0.3">
      <c r="A1904" s="2"/>
    </row>
    <row r="1905" spans="1:1" x14ac:dyDescent="0.3">
      <c r="A1905" s="1"/>
    </row>
    <row r="1906" spans="1:1" x14ac:dyDescent="0.3">
      <c r="A1906" s="2"/>
    </row>
    <row r="1907" spans="1:1" x14ac:dyDescent="0.3">
      <c r="A1907" s="1"/>
    </row>
    <row r="1908" spans="1:1" x14ac:dyDescent="0.3">
      <c r="A1908" s="2"/>
    </row>
    <row r="1909" spans="1:1" x14ac:dyDescent="0.3">
      <c r="A1909" s="1"/>
    </row>
    <row r="1910" spans="1:1" x14ac:dyDescent="0.3">
      <c r="A1910" s="2"/>
    </row>
    <row r="1911" spans="1:1" x14ac:dyDescent="0.3">
      <c r="A1911" s="1"/>
    </row>
    <row r="1912" spans="1:1" x14ac:dyDescent="0.3">
      <c r="A1912" s="2"/>
    </row>
    <row r="1913" spans="1:1" x14ac:dyDescent="0.3">
      <c r="A1913" s="1"/>
    </row>
    <row r="1914" spans="1:1" x14ac:dyDescent="0.3">
      <c r="A1914" s="2"/>
    </row>
    <row r="1915" spans="1:1" x14ac:dyDescent="0.3">
      <c r="A1915" s="1"/>
    </row>
    <row r="1916" spans="1:1" x14ac:dyDescent="0.3">
      <c r="A1916" s="2"/>
    </row>
    <row r="1917" spans="1:1" x14ac:dyDescent="0.3">
      <c r="A1917" s="1"/>
    </row>
    <row r="1918" spans="1:1" x14ac:dyDescent="0.3">
      <c r="A1918" s="2"/>
    </row>
    <row r="1919" spans="1:1" x14ac:dyDescent="0.3">
      <c r="A1919" s="1"/>
    </row>
    <row r="1920" spans="1:1" x14ac:dyDescent="0.3">
      <c r="A1920" s="2"/>
    </row>
    <row r="1921" spans="1:1" x14ac:dyDescent="0.3">
      <c r="A1921" s="1"/>
    </row>
    <row r="1922" spans="1:1" x14ac:dyDescent="0.3">
      <c r="A1922" s="2"/>
    </row>
    <row r="1923" spans="1:1" x14ac:dyDescent="0.3">
      <c r="A1923" s="1"/>
    </row>
    <row r="1924" spans="1:1" x14ac:dyDescent="0.3">
      <c r="A1924" s="2"/>
    </row>
    <row r="1925" spans="1:1" x14ac:dyDescent="0.3">
      <c r="A1925" s="1"/>
    </row>
    <row r="1926" spans="1:1" x14ac:dyDescent="0.3">
      <c r="A1926" s="2"/>
    </row>
    <row r="1927" spans="1:1" x14ac:dyDescent="0.3">
      <c r="A1927" s="1"/>
    </row>
    <row r="1928" spans="1:1" x14ac:dyDescent="0.3">
      <c r="A1928" s="2"/>
    </row>
    <row r="1929" spans="1:1" x14ac:dyDescent="0.3">
      <c r="A1929" s="1"/>
    </row>
    <row r="1930" spans="1:1" x14ac:dyDescent="0.3">
      <c r="A1930" s="2"/>
    </row>
    <row r="1931" spans="1:1" x14ac:dyDescent="0.3">
      <c r="A1931" s="1"/>
    </row>
    <row r="1932" spans="1:1" x14ac:dyDescent="0.3">
      <c r="A1932" s="2"/>
    </row>
    <row r="1933" spans="1:1" x14ac:dyDescent="0.3">
      <c r="A1933" s="1"/>
    </row>
    <row r="1934" spans="1:1" x14ac:dyDescent="0.3">
      <c r="A1934" s="2"/>
    </row>
    <row r="1935" spans="1:1" x14ac:dyDescent="0.3">
      <c r="A1935" s="1"/>
    </row>
    <row r="1936" spans="1:1" x14ac:dyDescent="0.3">
      <c r="A1936" s="2"/>
    </row>
    <row r="1937" spans="1:1" x14ac:dyDescent="0.3">
      <c r="A1937" s="1"/>
    </row>
    <row r="1938" spans="1:1" x14ac:dyDescent="0.3">
      <c r="A1938" s="2"/>
    </row>
    <row r="1939" spans="1:1" x14ac:dyDescent="0.3">
      <c r="A1939" s="1"/>
    </row>
    <row r="1940" spans="1:1" x14ac:dyDescent="0.3">
      <c r="A1940" s="2"/>
    </row>
    <row r="1941" spans="1:1" x14ac:dyDescent="0.3">
      <c r="A1941" s="1"/>
    </row>
    <row r="1942" spans="1:1" x14ac:dyDescent="0.3">
      <c r="A1942" s="2"/>
    </row>
    <row r="1943" spans="1:1" x14ac:dyDescent="0.3">
      <c r="A1943" s="1"/>
    </row>
    <row r="1944" spans="1:1" x14ac:dyDescent="0.3">
      <c r="A1944" s="2"/>
    </row>
    <row r="1945" spans="1:1" x14ac:dyDescent="0.3">
      <c r="A1945" s="1"/>
    </row>
    <row r="1946" spans="1:1" x14ac:dyDescent="0.3">
      <c r="A1946" s="2"/>
    </row>
    <row r="1947" spans="1:1" x14ac:dyDescent="0.3">
      <c r="A1947" s="1"/>
    </row>
    <row r="1948" spans="1:1" x14ac:dyDescent="0.3">
      <c r="A1948" s="2"/>
    </row>
    <row r="1949" spans="1:1" x14ac:dyDescent="0.3">
      <c r="A1949" s="1"/>
    </row>
    <row r="1950" spans="1:1" x14ac:dyDescent="0.3">
      <c r="A1950" s="2"/>
    </row>
    <row r="1951" spans="1:1" x14ac:dyDescent="0.3">
      <c r="A1951" s="1"/>
    </row>
    <row r="1952" spans="1:1" x14ac:dyDescent="0.3">
      <c r="A1952" s="2"/>
    </row>
    <row r="1953" spans="1:1" x14ac:dyDescent="0.3">
      <c r="A1953" s="1"/>
    </row>
    <row r="1954" spans="1:1" x14ac:dyDescent="0.3">
      <c r="A1954" s="2"/>
    </row>
    <row r="1955" spans="1:1" x14ac:dyDescent="0.3">
      <c r="A1955" s="1"/>
    </row>
    <row r="1956" spans="1:1" x14ac:dyDescent="0.3">
      <c r="A1956" s="2"/>
    </row>
    <row r="1957" spans="1:1" x14ac:dyDescent="0.3">
      <c r="A1957" s="1"/>
    </row>
    <row r="1958" spans="1:1" x14ac:dyDescent="0.3">
      <c r="A1958" s="2"/>
    </row>
    <row r="1959" spans="1:1" x14ac:dyDescent="0.3">
      <c r="A1959" s="1"/>
    </row>
    <row r="1960" spans="1:1" x14ac:dyDescent="0.3">
      <c r="A1960" s="2"/>
    </row>
    <row r="1961" spans="1:1" x14ac:dyDescent="0.3">
      <c r="A1961" s="1"/>
    </row>
    <row r="1962" spans="1:1" x14ac:dyDescent="0.3">
      <c r="A1962" s="2"/>
    </row>
    <row r="1963" spans="1:1" x14ac:dyDescent="0.3">
      <c r="A1963" s="1"/>
    </row>
    <row r="1964" spans="1:1" x14ac:dyDescent="0.3">
      <c r="A1964" s="2"/>
    </row>
    <row r="1965" spans="1:1" x14ac:dyDescent="0.3">
      <c r="A1965" s="1"/>
    </row>
    <row r="1966" spans="1:1" x14ac:dyDescent="0.3">
      <c r="A1966" s="2"/>
    </row>
    <row r="1967" spans="1:1" x14ac:dyDescent="0.3">
      <c r="A1967" s="1"/>
    </row>
    <row r="1968" spans="1:1" x14ac:dyDescent="0.3">
      <c r="A1968" s="2"/>
    </row>
    <row r="1969" spans="1:1" x14ac:dyDescent="0.3">
      <c r="A1969" s="1"/>
    </row>
    <row r="1970" spans="1:1" x14ac:dyDescent="0.3">
      <c r="A1970" s="2"/>
    </row>
    <row r="1971" spans="1:1" x14ac:dyDescent="0.3">
      <c r="A1971" s="1"/>
    </row>
    <row r="1972" spans="1:1" x14ac:dyDescent="0.3">
      <c r="A1972" s="2"/>
    </row>
    <row r="1973" spans="1:1" x14ac:dyDescent="0.3">
      <c r="A1973" s="1"/>
    </row>
    <row r="1974" spans="1:1" x14ac:dyDescent="0.3">
      <c r="A1974" s="2"/>
    </row>
    <row r="1975" spans="1:1" x14ac:dyDescent="0.3">
      <c r="A1975" s="1"/>
    </row>
    <row r="1976" spans="1:1" x14ac:dyDescent="0.3">
      <c r="A1976" s="2"/>
    </row>
    <row r="1977" spans="1:1" x14ac:dyDescent="0.3">
      <c r="A1977" s="1"/>
    </row>
    <row r="1978" spans="1:1" x14ac:dyDescent="0.3">
      <c r="A1978" s="2"/>
    </row>
    <row r="1979" spans="1:1" x14ac:dyDescent="0.3">
      <c r="A1979" s="1"/>
    </row>
    <row r="1980" spans="1:1" x14ac:dyDescent="0.3">
      <c r="A1980" s="2"/>
    </row>
    <row r="1981" spans="1:1" x14ac:dyDescent="0.3">
      <c r="A1981" s="1"/>
    </row>
    <row r="1982" spans="1:1" x14ac:dyDescent="0.3">
      <c r="A1982" s="2"/>
    </row>
    <row r="1983" spans="1:1" x14ac:dyDescent="0.3">
      <c r="A1983" s="1"/>
    </row>
    <row r="1984" spans="1:1" x14ac:dyDescent="0.3">
      <c r="A1984" s="2"/>
    </row>
    <row r="1985" spans="1:1" x14ac:dyDescent="0.3">
      <c r="A1985" s="1"/>
    </row>
    <row r="1986" spans="1:1" x14ac:dyDescent="0.3">
      <c r="A1986" s="2"/>
    </row>
    <row r="1987" spans="1:1" x14ac:dyDescent="0.3">
      <c r="A1987" s="1"/>
    </row>
    <row r="1988" spans="1:1" x14ac:dyDescent="0.3">
      <c r="A1988" s="2"/>
    </row>
    <row r="1989" spans="1:1" x14ac:dyDescent="0.3">
      <c r="A1989" s="1"/>
    </row>
    <row r="1990" spans="1:1" x14ac:dyDescent="0.3">
      <c r="A1990" s="2"/>
    </row>
    <row r="1991" spans="1:1" x14ac:dyDescent="0.3">
      <c r="A1991" s="1"/>
    </row>
    <row r="1992" spans="1:1" x14ac:dyDescent="0.3">
      <c r="A1992" s="2"/>
    </row>
    <row r="1993" spans="1:1" x14ac:dyDescent="0.3">
      <c r="A1993" s="1"/>
    </row>
    <row r="1994" spans="1:1" x14ac:dyDescent="0.3">
      <c r="A1994" s="2"/>
    </row>
    <row r="1995" spans="1:1" x14ac:dyDescent="0.3">
      <c r="A1995" s="1"/>
    </row>
    <row r="1996" spans="1:1" x14ac:dyDescent="0.3">
      <c r="A1996" s="2"/>
    </row>
    <row r="1997" spans="1:1" x14ac:dyDescent="0.3">
      <c r="A1997" s="1"/>
    </row>
    <row r="1998" spans="1:1" x14ac:dyDescent="0.3">
      <c r="A1998" s="2"/>
    </row>
    <row r="1999" spans="1:1" x14ac:dyDescent="0.3">
      <c r="A1999" s="1"/>
    </row>
    <row r="2000" spans="1:1" x14ac:dyDescent="0.3">
      <c r="A2000" s="2"/>
    </row>
    <row r="2001" spans="1:1" x14ac:dyDescent="0.3">
      <c r="A2001" s="1"/>
    </row>
    <row r="2002" spans="1:1" x14ac:dyDescent="0.3">
      <c r="A2002" s="2"/>
    </row>
    <row r="2003" spans="1:1" x14ac:dyDescent="0.3">
      <c r="A2003" s="1"/>
    </row>
    <row r="2004" spans="1:1" x14ac:dyDescent="0.3">
      <c r="A2004" s="2"/>
    </row>
    <row r="2005" spans="1:1" x14ac:dyDescent="0.3">
      <c r="A2005" s="1"/>
    </row>
    <row r="2006" spans="1:1" x14ac:dyDescent="0.3">
      <c r="A2006" s="2"/>
    </row>
    <row r="2007" spans="1:1" x14ac:dyDescent="0.3">
      <c r="A2007" s="1"/>
    </row>
    <row r="2008" spans="1:1" x14ac:dyDescent="0.3">
      <c r="A2008" s="2"/>
    </row>
    <row r="2009" spans="1:1" x14ac:dyDescent="0.3">
      <c r="A2009" s="1"/>
    </row>
    <row r="2010" spans="1:1" x14ac:dyDescent="0.3">
      <c r="A2010" s="2"/>
    </row>
    <row r="2011" spans="1:1" x14ac:dyDescent="0.3">
      <c r="A2011" s="1"/>
    </row>
    <row r="2012" spans="1:1" x14ac:dyDescent="0.3">
      <c r="A2012" s="2"/>
    </row>
    <row r="2013" spans="1:1" x14ac:dyDescent="0.3">
      <c r="A2013" s="1"/>
    </row>
    <row r="2014" spans="1:1" x14ac:dyDescent="0.3">
      <c r="A2014" s="2"/>
    </row>
    <row r="2015" spans="1:1" x14ac:dyDescent="0.3">
      <c r="A2015" s="1"/>
    </row>
    <row r="2016" spans="1:1" x14ac:dyDescent="0.3">
      <c r="A2016" s="2"/>
    </row>
    <row r="2017" spans="1:1" x14ac:dyDescent="0.3">
      <c r="A2017" s="1"/>
    </row>
    <row r="2018" spans="1:1" x14ac:dyDescent="0.3">
      <c r="A2018" s="2"/>
    </row>
    <row r="2019" spans="1:1" x14ac:dyDescent="0.3">
      <c r="A2019" s="1"/>
    </row>
    <row r="2020" spans="1:1" x14ac:dyDescent="0.3">
      <c r="A2020" s="2"/>
    </row>
    <row r="2021" spans="1:1" x14ac:dyDescent="0.3">
      <c r="A2021" s="1"/>
    </row>
    <row r="2022" spans="1:1" x14ac:dyDescent="0.3">
      <c r="A2022" s="2"/>
    </row>
    <row r="2023" spans="1:1" x14ac:dyDescent="0.3">
      <c r="A2023" s="1"/>
    </row>
    <row r="2024" spans="1:1" x14ac:dyDescent="0.3">
      <c r="A2024" s="2"/>
    </row>
    <row r="2025" spans="1:1" x14ac:dyDescent="0.3">
      <c r="A2025" s="1"/>
    </row>
    <row r="2026" spans="1:1" x14ac:dyDescent="0.3">
      <c r="A2026" s="2"/>
    </row>
    <row r="2027" spans="1:1" x14ac:dyDescent="0.3">
      <c r="A2027" s="1"/>
    </row>
    <row r="2028" spans="1:1" x14ac:dyDescent="0.3">
      <c r="A2028" s="2"/>
    </row>
    <row r="2029" spans="1:1" x14ac:dyDescent="0.3">
      <c r="A2029" s="1"/>
    </row>
    <row r="2030" spans="1:1" x14ac:dyDescent="0.3">
      <c r="A2030" s="2"/>
    </row>
    <row r="2031" spans="1:1" x14ac:dyDescent="0.3">
      <c r="A2031" s="1"/>
    </row>
    <row r="2032" spans="1:1" x14ac:dyDescent="0.3">
      <c r="A2032" s="2"/>
    </row>
    <row r="2033" spans="1:1" x14ac:dyDescent="0.3">
      <c r="A2033" s="1"/>
    </row>
    <row r="2034" spans="1:1" x14ac:dyDescent="0.3">
      <c r="A2034" s="2"/>
    </row>
    <row r="2035" spans="1:1" x14ac:dyDescent="0.3">
      <c r="A2035" s="1"/>
    </row>
    <row r="2036" spans="1:1" x14ac:dyDescent="0.3">
      <c r="A2036" s="2"/>
    </row>
    <row r="2037" spans="1:1" x14ac:dyDescent="0.3">
      <c r="A2037" s="1"/>
    </row>
    <row r="2038" spans="1:1" x14ac:dyDescent="0.3">
      <c r="A2038" s="2"/>
    </row>
    <row r="2039" spans="1:1" x14ac:dyDescent="0.3">
      <c r="A2039" s="1"/>
    </row>
    <row r="2040" spans="1:1" x14ac:dyDescent="0.3">
      <c r="A2040" s="2"/>
    </row>
    <row r="2041" spans="1:1" x14ac:dyDescent="0.3">
      <c r="A2041" s="1"/>
    </row>
    <row r="2042" spans="1:1" x14ac:dyDescent="0.3">
      <c r="A2042" s="2"/>
    </row>
    <row r="2043" spans="1:1" x14ac:dyDescent="0.3">
      <c r="A2043" s="1"/>
    </row>
    <row r="2044" spans="1:1" x14ac:dyDescent="0.3">
      <c r="A2044" s="2"/>
    </row>
    <row r="2045" spans="1:1" x14ac:dyDescent="0.3">
      <c r="A2045" s="1"/>
    </row>
    <row r="2046" spans="1:1" x14ac:dyDescent="0.3">
      <c r="A2046" s="2"/>
    </row>
    <row r="2047" spans="1:1" x14ac:dyDescent="0.3">
      <c r="A2047" s="1"/>
    </row>
    <row r="2048" spans="1:1" x14ac:dyDescent="0.3">
      <c r="A2048" s="2"/>
    </row>
    <row r="2049" spans="1:1" x14ac:dyDescent="0.3">
      <c r="A2049" s="1"/>
    </row>
    <row r="2050" spans="1:1" x14ac:dyDescent="0.3">
      <c r="A2050" s="2"/>
    </row>
    <row r="2051" spans="1:1" x14ac:dyDescent="0.3">
      <c r="A2051" s="1"/>
    </row>
    <row r="2052" spans="1:1" x14ac:dyDescent="0.3">
      <c r="A2052" s="2"/>
    </row>
    <row r="2053" spans="1:1" x14ac:dyDescent="0.3">
      <c r="A2053" s="1"/>
    </row>
    <row r="2054" spans="1:1" x14ac:dyDescent="0.3">
      <c r="A2054" s="2"/>
    </row>
    <row r="2055" spans="1:1" x14ac:dyDescent="0.3">
      <c r="A2055" s="1"/>
    </row>
    <row r="2056" spans="1:1" x14ac:dyDescent="0.3">
      <c r="A2056" s="2"/>
    </row>
    <row r="2057" spans="1:1" x14ac:dyDescent="0.3">
      <c r="A2057" s="1"/>
    </row>
    <row r="2058" spans="1:1" x14ac:dyDescent="0.3">
      <c r="A2058" s="2"/>
    </row>
    <row r="2059" spans="1:1" x14ac:dyDescent="0.3">
      <c r="A2059" s="1"/>
    </row>
    <row r="2060" spans="1:1" x14ac:dyDescent="0.3">
      <c r="A2060" s="2"/>
    </row>
    <row r="2061" spans="1:1" x14ac:dyDescent="0.3">
      <c r="A2061" s="1"/>
    </row>
    <row r="2062" spans="1:1" x14ac:dyDescent="0.3">
      <c r="A2062" s="2"/>
    </row>
    <row r="2063" spans="1:1" x14ac:dyDescent="0.3">
      <c r="A2063" s="1"/>
    </row>
    <row r="2064" spans="1:1" x14ac:dyDescent="0.3">
      <c r="A2064" s="2"/>
    </row>
    <row r="2065" spans="1:1" x14ac:dyDescent="0.3">
      <c r="A2065" s="1"/>
    </row>
    <row r="2066" spans="1:1" x14ac:dyDescent="0.3">
      <c r="A2066" s="2"/>
    </row>
    <row r="2067" spans="1:1" x14ac:dyDescent="0.3">
      <c r="A2067" s="1"/>
    </row>
    <row r="2068" spans="1:1" x14ac:dyDescent="0.3">
      <c r="A2068" s="2"/>
    </row>
    <row r="2069" spans="1:1" x14ac:dyDescent="0.3">
      <c r="A2069" s="1"/>
    </row>
    <row r="2070" spans="1:1" x14ac:dyDescent="0.3">
      <c r="A2070" s="2"/>
    </row>
    <row r="2071" spans="1:1" x14ac:dyDescent="0.3">
      <c r="A2071" s="1"/>
    </row>
    <row r="2072" spans="1:1" x14ac:dyDescent="0.3">
      <c r="A2072" s="2"/>
    </row>
    <row r="2073" spans="1:1" x14ac:dyDescent="0.3">
      <c r="A2073" s="1"/>
    </row>
    <row r="2074" spans="1:1" x14ac:dyDescent="0.3">
      <c r="A2074" s="2"/>
    </row>
    <row r="2075" spans="1:1" x14ac:dyDescent="0.3">
      <c r="A2075" s="1"/>
    </row>
    <row r="2076" spans="1:1" x14ac:dyDescent="0.3">
      <c r="A2076" s="2"/>
    </row>
    <row r="2077" spans="1:1" x14ac:dyDescent="0.3">
      <c r="A2077" s="1"/>
    </row>
    <row r="2078" spans="1:1" x14ac:dyDescent="0.3">
      <c r="A2078" s="2"/>
    </row>
    <row r="2079" spans="1:1" x14ac:dyDescent="0.3">
      <c r="A2079" s="1"/>
    </row>
    <row r="2080" spans="1:1" x14ac:dyDescent="0.3">
      <c r="A2080" s="2"/>
    </row>
    <row r="2081" spans="1:1" x14ac:dyDescent="0.3">
      <c r="A2081" s="1"/>
    </row>
    <row r="2082" spans="1:1" x14ac:dyDescent="0.3">
      <c r="A2082" s="2"/>
    </row>
    <row r="2083" spans="1:1" x14ac:dyDescent="0.3">
      <c r="A2083" s="1"/>
    </row>
    <row r="2084" spans="1:1" x14ac:dyDescent="0.3">
      <c r="A2084" s="2"/>
    </row>
    <row r="2085" spans="1:1" x14ac:dyDescent="0.3">
      <c r="A2085" s="1"/>
    </row>
    <row r="2086" spans="1:1" x14ac:dyDescent="0.3">
      <c r="A2086" s="2"/>
    </row>
    <row r="2087" spans="1:1" x14ac:dyDescent="0.3">
      <c r="A2087" s="1"/>
    </row>
    <row r="2088" spans="1:1" x14ac:dyDescent="0.3">
      <c r="A2088" s="2"/>
    </row>
    <row r="2089" spans="1:1" x14ac:dyDescent="0.3">
      <c r="A2089" s="1"/>
    </row>
    <row r="2090" spans="1:1" x14ac:dyDescent="0.3">
      <c r="A2090" s="2"/>
    </row>
    <row r="2091" spans="1:1" x14ac:dyDescent="0.3">
      <c r="A2091" s="1"/>
    </row>
    <row r="2092" spans="1:1" x14ac:dyDescent="0.3">
      <c r="A2092" s="2"/>
    </row>
    <row r="2093" spans="1:1" x14ac:dyDescent="0.3">
      <c r="A2093" s="1"/>
    </row>
    <row r="2094" spans="1:1" x14ac:dyDescent="0.3">
      <c r="A2094" s="2"/>
    </row>
    <row r="2095" spans="1:1" x14ac:dyDescent="0.3">
      <c r="A2095" s="1"/>
    </row>
    <row r="2096" spans="1:1" x14ac:dyDescent="0.3">
      <c r="A2096" s="2"/>
    </row>
    <row r="2097" spans="1:1" x14ac:dyDescent="0.3">
      <c r="A2097" s="1"/>
    </row>
    <row r="2098" spans="1:1" x14ac:dyDescent="0.3">
      <c r="A2098" s="2"/>
    </row>
    <row r="2099" spans="1:1" x14ac:dyDescent="0.3">
      <c r="A2099" s="1"/>
    </row>
    <row r="2100" spans="1:1" x14ac:dyDescent="0.3">
      <c r="A2100" s="2"/>
    </row>
    <row r="2101" spans="1:1" x14ac:dyDescent="0.3">
      <c r="A2101" s="1"/>
    </row>
    <row r="2102" spans="1:1" x14ac:dyDescent="0.3">
      <c r="A2102" s="2"/>
    </row>
    <row r="2103" spans="1:1" x14ac:dyDescent="0.3">
      <c r="A2103" s="1"/>
    </row>
    <row r="2104" spans="1:1" x14ac:dyDescent="0.3">
      <c r="A2104" s="2"/>
    </row>
    <row r="2105" spans="1:1" x14ac:dyDescent="0.3">
      <c r="A2105" s="1"/>
    </row>
    <row r="2106" spans="1:1" x14ac:dyDescent="0.3">
      <c r="A2106" s="2"/>
    </row>
    <row r="2107" spans="1:1" x14ac:dyDescent="0.3">
      <c r="A2107" s="1"/>
    </row>
    <row r="2108" spans="1:1" x14ac:dyDescent="0.3">
      <c r="A2108" s="2"/>
    </row>
    <row r="2109" spans="1:1" x14ac:dyDescent="0.3">
      <c r="A2109" s="1"/>
    </row>
    <row r="2110" spans="1:1" x14ac:dyDescent="0.3">
      <c r="A2110" s="2"/>
    </row>
    <row r="2111" spans="1:1" x14ac:dyDescent="0.3">
      <c r="A2111" s="1"/>
    </row>
    <row r="2112" spans="1:1" x14ac:dyDescent="0.3">
      <c r="A2112" s="2"/>
    </row>
    <row r="2113" spans="1:1" x14ac:dyDescent="0.3">
      <c r="A2113" s="1"/>
    </row>
    <row r="2114" spans="1:1" x14ac:dyDescent="0.3">
      <c r="A2114" s="2"/>
    </row>
    <row r="2115" spans="1:1" x14ac:dyDescent="0.3">
      <c r="A2115" s="1"/>
    </row>
    <row r="2116" spans="1:1" x14ac:dyDescent="0.3">
      <c r="A2116" s="2"/>
    </row>
    <row r="2117" spans="1:1" x14ac:dyDescent="0.3">
      <c r="A2117" s="1"/>
    </row>
    <row r="2118" spans="1:1" x14ac:dyDescent="0.3">
      <c r="A2118" s="2"/>
    </row>
    <row r="2119" spans="1:1" x14ac:dyDescent="0.3">
      <c r="A2119" s="1"/>
    </row>
    <row r="2120" spans="1:1" x14ac:dyDescent="0.3">
      <c r="A2120" s="2"/>
    </row>
    <row r="2121" spans="1:1" x14ac:dyDescent="0.3">
      <c r="A2121" s="1"/>
    </row>
    <row r="2122" spans="1:1" x14ac:dyDescent="0.3">
      <c r="A2122" s="2"/>
    </row>
    <row r="2123" spans="1:1" x14ac:dyDescent="0.3">
      <c r="A2123" s="1"/>
    </row>
    <row r="2124" spans="1:1" x14ac:dyDescent="0.3">
      <c r="A2124" s="2"/>
    </row>
    <row r="2125" spans="1:1" x14ac:dyDescent="0.3">
      <c r="A2125" s="1"/>
    </row>
    <row r="2126" spans="1:1" x14ac:dyDescent="0.3">
      <c r="A2126" s="2"/>
    </row>
    <row r="2127" spans="1:1" x14ac:dyDescent="0.3">
      <c r="A2127" s="1"/>
    </row>
    <row r="2128" spans="1:1" x14ac:dyDescent="0.3">
      <c r="A2128" s="2"/>
    </row>
    <row r="2129" spans="1:1" x14ac:dyDescent="0.3">
      <c r="A2129" s="1"/>
    </row>
    <row r="2130" spans="1:1" x14ac:dyDescent="0.3">
      <c r="A2130" s="2"/>
    </row>
    <row r="2131" spans="1:1" x14ac:dyDescent="0.3">
      <c r="A2131" s="1"/>
    </row>
    <row r="2132" spans="1:1" x14ac:dyDescent="0.3">
      <c r="A2132" s="2"/>
    </row>
    <row r="2133" spans="1:1" x14ac:dyDescent="0.3">
      <c r="A2133" s="1"/>
    </row>
    <row r="2134" spans="1:1" x14ac:dyDescent="0.3">
      <c r="A2134" s="2"/>
    </row>
    <row r="2135" spans="1:1" x14ac:dyDescent="0.3">
      <c r="A2135" s="1"/>
    </row>
    <row r="2136" spans="1:1" x14ac:dyDescent="0.3">
      <c r="A2136" s="2"/>
    </row>
    <row r="2137" spans="1:1" x14ac:dyDescent="0.3">
      <c r="A2137" s="1"/>
    </row>
    <row r="2138" spans="1:1" x14ac:dyDescent="0.3">
      <c r="A2138" s="2"/>
    </row>
    <row r="2139" spans="1:1" x14ac:dyDescent="0.3">
      <c r="A2139" s="1"/>
    </row>
    <row r="2140" spans="1:1" x14ac:dyDescent="0.3">
      <c r="A2140" s="2"/>
    </row>
    <row r="2141" spans="1:1" x14ac:dyDescent="0.3">
      <c r="A2141" s="1"/>
    </row>
    <row r="2142" spans="1:1" x14ac:dyDescent="0.3">
      <c r="A2142" s="2"/>
    </row>
    <row r="2143" spans="1:1" x14ac:dyDescent="0.3">
      <c r="A2143" s="1"/>
    </row>
    <row r="2144" spans="1:1" x14ac:dyDescent="0.3">
      <c r="A2144" s="2"/>
    </row>
    <row r="2145" spans="1:1" x14ac:dyDescent="0.3">
      <c r="A2145" s="1"/>
    </row>
    <row r="2146" spans="1:1" x14ac:dyDescent="0.3">
      <c r="A2146" s="2"/>
    </row>
    <row r="2147" spans="1:1" x14ac:dyDescent="0.3">
      <c r="A2147" s="1"/>
    </row>
    <row r="2148" spans="1:1" x14ac:dyDescent="0.3">
      <c r="A2148" s="2"/>
    </row>
    <row r="2149" spans="1:1" x14ac:dyDescent="0.3">
      <c r="A2149" s="1"/>
    </row>
    <row r="2150" spans="1:1" x14ac:dyDescent="0.3">
      <c r="A2150" s="2"/>
    </row>
    <row r="2151" spans="1:1" x14ac:dyDescent="0.3">
      <c r="A2151" s="1"/>
    </row>
    <row r="2152" spans="1:1" x14ac:dyDescent="0.3">
      <c r="A2152" s="2"/>
    </row>
    <row r="2153" spans="1:1" x14ac:dyDescent="0.3">
      <c r="A2153" s="1"/>
    </row>
    <row r="2154" spans="1:1" x14ac:dyDescent="0.3">
      <c r="A2154" s="2"/>
    </row>
    <row r="2155" spans="1:1" x14ac:dyDescent="0.3">
      <c r="A2155" s="1"/>
    </row>
    <row r="2156" spans="1:1" x14ac:dyDescent="0.3">
      <c r="A2156" s="2"/>
    </row>
    <row r="2157" spans="1:1" x14ac:dyDescent="0.3">
      <c r="A2157" s="1"/>
    </row>
    <row r="2158" spans="1:1" x14ac:dyDescent="0.3">
      <c r="A2158" s="2"/>
    </row>
    <row r="2159" spans="1:1" x14ac:dyDescent="0.3">
      <c r="A2159" s="1"/>
    </row>
    <row r="2160" spans="1:1" x14ac:dyDescent="0.3">
      <c r="A2160" s="2"/>
    </row>
    <row r="2161" spans="1:1" x14ac:dyDescent="0.3">
      <c r="A2161" s="1"/>
    </row>
    <row r="2162" spans="1:1" x14ac:dyDescent="0.3">
      <c r="A2162" s="2"/>
    </row>
    <row r="2163" spans="1:1" x14ac:dyDescent="0.3">
      <c r="A2163" s="1"/>
    </row>
    <row r="2164" spans="1:1" x14ac:dyDescent="0.3">
      <c r="A2164" s="2"/>
    </row>
    <row r="2165" spans="1:1" x14ac:dyDescent="0.3">
      <c r="A2165" s="1"/>
    </row>
    <row r="2166" spans="1:1" x14ac:dyDescent="0.3">
      <c r="A2166" s="2"/>
    </row>
    <row r="2167" spans="1:1" x14ac:dyDescent="0.3">
      <c r="A2167" s="1"/>
    </row>
    <row r="2168" spans="1:1" x14ac:dyDescent="0.3">
      <c r="A2168" s="2"/>
    </row>
    <row r="2169" spans="1:1" x14ac:dyDescent="0.3">
      <c r="A2169" s="1"/>
    </row>
    <row r="2170" spans="1:1" x14ac:dyDescent="0.3">
      <c r="A2170" s="2"/>
    </row>
    <row r="2171" spans="1:1" x14ac:dyDescent="0.3">
      <c r="A2171" s="1"/>
    </row>
    <row r="2172" spans="1:1" x14ac:dyDescent="0.3">
      <c r="A2172" s="2"/>
    </row>
    <row r="2173" spans="1:1" x14ac:dyDescent="0.3">
      <c r="A2173" s="1"/>
    </row>
    <row r="2174" spans="1:1" x14ac:dyDescent="0.3">
      <c r="A2174" s="2"/>
    </row>
    <row r="2175" spans="1:1" x14ac:dyDescent="0.3">
      <c r="A2175" s="1"/>
    </row>
    <row r="2176" spans="1:1" x14ac:dyDescent="0.3">
      <c r="A2176" s="2"/>
    </row>
    <row r="2177" spans="1:1" x14ac:dyDescent="0.3">
      <c r="A2177" s="1"/>
    </row>
    <row r="2178" spans="1:1" x14ac:dyDescent="0.3">
      <c r="A2178" s="2"/>
    </row>
    <row r="2179" spans="1:1" x14ac:dyDescent="0.3">
      <c r="A2179" s="1"/>
    </row>
    <row r="2180" spans="1:1" x14ac:dyDescent="0.3">
      <c r="A2180" s="2"/>
    </row>
    <row r="2181" spans="1:1" x14ac:dyDescent="0.3">
      <c r="A2181" s="1"/>
    </row>
    <row r="2182" spans="1:1" x14ac:dyDescent="0.3">
      <c r="A2182" s="2"/>
    </row>
    <row r="2183" spans="1:1" x14ac:dyDescent="0.3">
      <c r="A2183" s="1"/>
    </row>
    <row r="2184" spans="1:1" x14ac:dyDescent="0.3">
      <c r="A2184" s="2"/>
    </row>
    <row r="2185" spans="1:1" x14ac:dyDescent="0.3">
      <c r="A2185" s="1"/>
    </row>
    <row r="2186" spans="1:1" x14ac:dyDescent="0.3">
      <c r="A2186" s="2"/>
    </row>
    <row r="2187" spans="1:1" x14ac:dyDescent="0.3">
      <c r="A2187" s="1"/>
    </row>
    <row r="2188" spans="1:1" x14ac:dyDescent="0.3">
      <c r="A2188" s="2"/>
    </row>
    <row r="2189" spans="1:1" x14ac:dyDescent="0.3">
      <c r="A2189" s="1"/>
    </row>
    <row r="2190" spans="1:1" x14ac:dyDescent="0.3">
      <c r="A2190" s="2"/>
    </row>
    <row r="2191" spans="1:1" x14ac:dyDescent="0.3">
      <c r="A2191" s="1"/>
    </row>
    <row r="2192" spans="1:1" x14ac:dyDescent="0.3">
      <c r="A2192" s="2"/>
    </row>
    <row r="2193" spans="1:1" x14ac:dyDescent="0.3">
      <c r="A2193" s="1"/>
    </row>
    <row r="2194" spans="1:1" x14ac:dyDescent="0.3">
      <c r="A2194" s="2"/>
    </row>
    <row r="2195" spans="1:1" x14ac:dyDescent="0.3">
      <c r="A2195" s="1"/>
    </row>
    <row r="2196" spans="1:1" x14ac:dyDescent="0.3">
      <c r="A2196" s="2"/>
    </row>
    <row r="2197" spans="1:1" x14ac:dyDescent="0.3">
      <c r="A2197" s="1"/>
    </row>
    <row r="2198" spans="1:1" x14ac:dyDescent="0.3">
      <c r="A2198" s="2"/>
    </row>
    <row r="2199" spans="1:1" x14ac:dyDescent="0.3">
      <c r="A2199" s="1"/>
    </row>
    <row r="2200" spans="1:1" x14ac:dyDescent="0.3">
      <c r="A2200" s="2"/>
    </row>
    <row r="2201" spans="1:1" x14ac:dyDescent="0.3">
      <c r="A2201" s="1"/>
    </row>
    <row r="2202" spans="1:1" x14ac:dyDescent="0.3">
      <c r="A2202" s="2"/>
    </row>
    <row r="2203" spans="1:1" x14ac:dyDescent="0.3">
      <c r="A2203" s="1"/>
    </row>
    <row r="2204" spans="1:1" x14ac:dyDescent="0.3">
      <c r="A2204" s="2"/>
    </row>
    <row r="2205" spans="1:1" x14ac:dyDescent="0.3">
      <c r="A2205" s="1"/>
    </row>
    <row r="2206" spans="1:1" x14ac:dyDescent="0.3">
      <c r="A2206" s="2"/>
    </row>
    <row r="2207" spans="1:1" x14ac:dyDescent="0.3">
      <c r="A2207" s="1"/>
    </row>
    <row r="2208" spans="1:1" x14ac:dyDescent="0.3">
      <c r="A2208" s="2"/>
    </row>
    <row r="2209" spans="1:1" x14ac:dyDescent="0.3">
      <c r="A2209" s="1"/>
    </row>
    <row r="2210" spans="1:1" x14ac:dyDescent="0.3">
      <c r="A2210" s="2"/>
    </row>
    <row r="2211" spans="1:1" x14ac:dyDescent="0.3">
      <c r="A2211" s="1"/>
    </row>
    <row r="2212" spans="1:1" x14ac:dyDescent="0.3">
      <c r="A2212" s="2"/>
    </row>
    <row r="2213" spans="1:1" x14ac:dyDescent="0.3">
      <c r="A2213" s="1"/>
    </row>
    <row r="2214" spans="1:1" x14ac:dyDescent="0.3">
      <c r="A2214" s="2"/>
    </row>
    <row r="2215" spans="1:1" x14ac:dyDescent="0.3">
      <c r="A2215" s="1"/>
    </row>
    <row r="2216" spans="1:1" x14ac:dyDescent="0.3">
      <c r="A2216" s="2"/>
    </row>
    <row r="2217" spans="1:1" x14ac:dyDescent="0.3">
      <c r="A2217" s="1"/>
    </row>
    <row r="2218" spans="1:1" x14ac:dyDescent="0.3">
      <c r="A2218" s="2"/>
    </row>
    <row r="2219" spans="1:1" x14ac:dyDescent="0.3">
      <c r="A2219" s="1"/>
    </row>
    <row r="2220" spans="1:1" x14ac:dyDescent="0.3">
      <c r="A2220" s="2"/>
    </row>
    <row r="2221" spans="1:1" x14ac:dyDescent="0.3">
      <c r="A2221" s="1"/>
    </row>
    <row r="2222" spans="1:1" x14ac:dyDescent="0.3">
      <c r="A2222" s="2"/>
    </row>
    <row r="2223" spans="1:1" x14ac:dyDescent="0.3">
      <c r="A2223" s="1"/>
    </row>
    <row r="2224" spans="1:1" x14ac:dyDescent="0.3">
      <c r="A2224" s="2"/>
    </row>
    <row r="2225" spans="1:1" x14ac:dyDescent="0.3">
      <c r="A2225" s="1"/>
    </row>
    <row r="2226" spans="1:1" x14ac:dyDescent="0.3">
      <c r="A2226" s="2"/>
    </row>
    <row r="2227" spans="1:1" x14ac:dyDescent="0.3">
      <c r="A2227" s="1"/>
    </row>
    <row r="2228" spans="1:1" x14ac:dyDescent="0.3">
      <c r="A2228" s="2"/>
    </row>
    <row r="2229" spans="1:1" x14ac:dyDescent="0.3">
      <c r="A2229" s="1"/>
    </row>
    <row r="2230" spans="1:1" x14ac:dyDescent="0.3">
      <c r="A2230" s="2"/>
    </row>
    <row r="2231" spans="1:1" x14ac:dyDescent="0.3">
      <c r="A2231" s="1"/>
    </row>
    <row r="2232" spans="1:1" x14ac:dyDescent="0.3">
      <c r="A2232" s="2"/>
    </row>
    <row r="2233" spans="1:1" x14ac:dyDescent="0.3">
      <c r="A2233" s="1"/>
    </row>
    <row r="2234" spans="1:1" x14ac:dyDescent="0.3">
      <c r="A2234" s="2"/>
    </row>
    <row r="2235" spans="1:1" x14ac:dyDescent="0.3">
      <c r="A2235" s="1"/>
    </row>
    <row r="2236" spans="1:1" x14ac:dyDescent="0.3">
      <c r="A2236" s="2"/>
    </row>
    <row r="2237" spans="1:1" x14ac:dyDescent="0.3">
      <c r="A2237" s="1"/>
    </row>
    <row r="2238" spans="1:1" x14ac:dyDescent="0.3">
      <c r="A2238" s="2"/>
    </row>
    <row r="2239" spans="1:1" x14ac:dyDescent="0.3">
      <c r="A2239" s="1"/>
    </row>
    <row r="2240" spans="1:1" x14ac:dyDescent="0.3">
      <c r="A2240" s="2"/>
    </row>
    <row r="2241" spans="1:1" x14ac:dyDescent="0.3">
      <c r="A2241" s="1"/>
    </row>
    <row r="2242" spans="1:1" x14ac:dyDescent="0.3">
      <c r="A2242" s="2"/>
    </row>
    <row r="2243" spans="1:1" x14ac:dyDescent="0.3">
      <c r="A2243" s="1"/>
    </row>
    <row r="2244" spans="1:1" x14ac:dyDescent="0.3">
      <c r="A2244" s="2"/>
    </row>
    <row r="2245" spans="1:1" x14ac:dyDescent="0.3">
      <c r="A2245" s="1"/>
    </row>
    <row r="2246" spans="1:1" x14ac:dyDescent="0.3">
      <c r="A2246" s="2"/>
    </row>
    <row r="2247" spans="1:1" x14ac:dyDescent="0.3">
      <c r="A2247" s="1"/>
    </row>
    <row r="2248" spans="1:1" x14ac:dyDescent="0.3">
      <c r="A2248" s="2"/>
    </row>
    <row r="2249" spans="1:1" x14ac:dyDescent="0.3">
      <c r="A2249" s="1"/>
    </row>
    <row r="2250" spans="1:1" x14ac:dyDescent="0.3">
      <c r="A2250" s="2"/>
    </row>
    <row r="2251" spans="1:1" x14ac:dyDescent="0.3">
      <c r="A2251" s="1"/>
    </row>
    <row r="2252" spans="1:1" x14ac:dyDescent="0.3">
      <c r="A2252" s="2"/>
    </row>
    <row r="2253" spans="1:1" x14ac:dyDescent="0.3">
      <c r="A2253" s="1"/>
    </row>
    <row r="2254" spans="1:1" x14ac:dyDescent="0.3">
      <c r="A2254" s="2"/>
    </row>
    <row r="2255" spans="1:1" x14ac:dyDescent="0.3">
      <c r="A2255" s="1"/>
    </row>
    <row r="2256" spans="1:1" x14ac:dyDescent="0.3">
      <c r="A2256" s="2"/>
    </row>
    <row r="2257" spans="1:1" x14ac:dyDescent="0.3">
      <c r="A2257" s="1"/>
    </row>
    <row r="2258" spans="1:1" x14ac:dyDescent="0.3">
      <c r="A2258" s="2"/>
    </row>
    <row r="2259" spans="1:1" x14ac:dyDescent="0.3">
      <c r="A2259" s="1"/>
    </row>
    <row r="2260" spans="1:1" x14ac:dyDescent="0.3">
      <c r="A2260" s="2"/>
    </row>
    <row r="2261" spans="1:1" x14ac:dyDescent="0.3">
      <c r="A2261" s="1"/>
    </row>
    <row r="2262" spans="1:1" x14ac:dyDescent="0.3">
      <c r="A2262" s="2"/>
    </row>
    <row r="2263" spans="1:1" x14ac:dyDescent="0.3">
      <c r="A2263" s="1"/>
    </row>
    <row r="2264" spans="1:1" x14ac:dyDescent="0.3">
      <c r="A2264" s="2"/>
    </row>
    <row r="2265" spans="1:1" x14ac:dyDescent="0.3">
      <c r="A2265" s="1"/>
    </row>
    <row r="2266" spans="1:1" x14ac:dyDescent="0.3">
      <c r="A2266" s="2"/>
    </row>
    <row r="2267" spans="1:1" x14ac:dyDescent="0.3">
      <c r="A2267" s="1"/>
    </row>
    <row r="2268" spans="1:1" x14ac:dyDescent="0.3">
      <c r="A2268" s="2"/>
    </row>
    <row r="2269" spans="1:1" x14ac:dyDescent="0.3">
      <c r="A2269" s="1"/>
    </row>
    <row r="2270" spans="1:1" x14ac:dyDescent="0.3">
      <c r="A2270" s="2"/>
    </row>
    <row r="2271" spans="1:1" x14ac:dyDescent="0.3">
      <c r="A2271" s="1"/>
    </row>
    <row r="2272" spans="1:1" x14ac:dyDescent="0.3">
      <c r="A2272" s="2"/>
    </row>
    <row r="2273" spans="1:1" x14ac:dyDescent="0.3">
      <c r="A2273" s="1"/>
    </row>
    <row r="2274" spans="1:1" x14ac:dyDescent="0.3">
      <c r="A2274" s="2"/>
    </row>
    <row r="2275" spans="1:1" x14ac:dyDescent="0.3">
      <c r="A2275" s="1"/>
    </row>
    <row r="2276" spans="1:1" x14ac:dyDescent="0.3">
      <c r="A2276" s="2"/>
    </row>
    <row r="2277" spans="1:1" x14ac:dyDescent="0.3">
      <c r="A2277" s="1"/>
    </row>
    <row r="2278" spans="1:1" x14ac:dyDescent="0.3">
      <c r="A2278" s="2"/>
    </row>
    <row r="2279" spans="1:1" x14ac:dyDescent="0.3">
      <c r="A2279" s="1"/>
    </row>
    <row r="2280" spans="1:1" x14ac:dyDescent="0.3">
      <c r="A2280" s="2"/>
    </row>
    <row r="2281" spans="1:1" x14ac:dyDescent="0.3">
      <c r="A2281" s="1"/>
    </row>
    <row r="2282" spans="1:1" x14ac:dyDescent="0.3">
      <c r="A2282" s="2"/>
    </row>
    <row r="2283" spans="1:1" x14ac:dyDescent="0.3">
      <c r="A2283" s="1"/>
    </row>
    <row r="2284" spans="1:1" x14ac:dyDescent="0.3">
      <c r="A2284" s="2"/>
    </row>
    <row r="2285" spans="1:1" x14ac:dyDescent="0.3">
      <c r="A2285" s="1"/>
    </row>
    <row r="2286" spans="1:1" x14ac:dyDescent="0.3">
      <c r="A2286" s="2"/>
    </row>
    <row r="2287" spans="1:1" x14ac:dyDescent="0.3">
      <c r="A2287" s="1"/>
    </row>
    <row r="2288" spans="1:1" x14ac:dyDescent="0.3">
      <c r="A2288" s="2"/>
    </row>
    <row r="2289" spans="1:1" x14ac:dyDescent="0.3">
      <c r="A2289" s="1"/>
    </row>
    <row r="2290" spans="1:1" x14ac:dyDescent="0.3">
      <c r="A2290" s="2"/>
    </row>
    <row r="2291" spans="1:1" x14ac:dyDescent="0.3">
      <c r="A2291" s="1"/>
    </row>
    <row r="2292" spans="1:1" x14ac:dyDescent="0.3">
      <c r="A2292" s="2"/>
    </row>
    <row r="2293" spans="1:1" x14ac:dyDescent="0.3">
      <c r="A2293" s="1"/>
    </row>
    <row r="2294" spans="1:1" x14ac:dyDescent="0.3">
      <c r="A2294" s="2"/>
    </row>
    <row r="2295" spans="1:1" x14ac:dyDescent="0.3">
      <c r="A2295" s="1"/>
    </row>
    <row r="2296" spans="1:1" x14ac:dyDescent="0.3">
      <c r="A2296" s="2"/>
    </row>
    <row r="2297" spans="1:1" x14ac:dyDescent="0.3">
      <c r="A2297" s="1"/>
    </row>
    <row r="2298" spans="1:1" x14ac:dyDescent="0.3">
      <c r="A2298" s="2"/>
    </row>
    <row r="2299" spans="1:1" x14ac:dyDescent="0.3">
      <c r="A2299" s="1"/>
    </row>
    <row r="2300" spans="1:1" x14ac:dyDescent="0.3">
      <c r="A2300" s="2"/>
    </row>
    <row r="2301" spans="1:1" x14ac:dyDescent="0.3">
      <c r="A2301" s="1"/>
    </row>
    <row r="2302" spans="1:1" x14ac:dyDescent="0.3">
      <c r="A2302" s="2"/>
    </row>
    <row r="2303" spans="1:1" x14ac:dyDescent="0.3">
      <c r="A2303" s="1"/>
    </row>
    <row r="2304" spans="1:1" x14ac:dyDescent="0.3">
      <c r="A2304" s="2"/>
    </row>
    <row r="2305" spans="1:1" x14ac:dyDescent="0.3">
      <c r="A2305" s="1"/>
    </row>
    <row r="2306" spans="1:1" x14ac:dyDescent="0.3">
      <c r="A2306" s="2"/>
    </row>
    <row r="2307" spans="1:1" x14ac:dyDescent="0.3">
      <c r="A2307" s="1"/>
    </row>
    <row r="2308" spans="1:1" x14ac:dyDescent="0.3">
      <c r="A2308" s="2"/>
    </row>
    <row r="2309" spans="1:1" x14ac:dyDescent="0.3">
      <c r="A2309" s="1"/>
    </row>
    <row r="2310" spans="1:1" x14ac:dyDescent="0.3">
      <c r="A2310" s="2"/>
    </row>
    <row r="2311" spans="1:1" x14ac:dyDescent="0.3">
      <c r="A2311" s="1"/>
    </row>
    <row r="2312" spans="1:1" x14ac:dyDescent="0.3">
      <c r="A2312" s="2"/>
    </row>
    <row r="2313" spans="1:1" x14ac:dyDescent="0.3">
      <c r="A2313" s="1"/>
    </row>
    <row r="2314" spans="1:1" x14ac:dyDescent="0.3">
      <c r="A2314" s="2"/>
    </row>
    <row r="2315" spans="1:1" x14ac:dyDescent="0.3">
      <c r="A2315" s="1"/>
    </row>
    <row r="2316" spans="1:1" x14ac:dyDescent="0.3">
      <c r="A2316" s="2"/>
    </row>
    <row r="2317" spans="1:1" x14ac:dyDescent="0.3">
      <c r="A2317" s="1"/>
    </row>
    <row r="2318" spans="1:1" x14ac:dyDescent="0.3">
      <c r="A2318" s="2"/>
    </row>
    <row r="2319" spans="1:1" x14ac:dyDescent="0.3">
      <c r="A2319" s="1"/>
    </row>
    <row r="2320" spans="1:1" x14ac:dyDescent="0.3">
      <c r="A2320" s="2"/>
    </row>
    <row r="2321" spans="1:1" x14ac:dyDescent="0.3">
      <c r="A2321" s="1"/>
    </row>
    <row r="2322" spans="1:1" x14ac:dyDescent="0.3">
      <c r="A2322" s="2"/>
    </row>
    <row r="2323" spans="1:1" x14ac:dyDescent="0.3">
      <c r="A2323" s="1"/>
    </row>
    <row r="2324" spans="1:1" x14ac:dyDescent="0.3">
      <c r="A2324" s="2"/>
    </row>
    <row r="2325" spans="1:1" x14ac:dyDescent="0.3">
      <c r="A2325" s="1"/>
    </row>
    <row r="2326" spans="1:1" x14ac:dyDescent="0.3">
      <c r="A2326" s="2"/>
    </row>
    <row r="2327" spans="1:1" x14ac:dyDescent="0.3">
      <c r="A2327" s="1"/>
    </row>
    <row r="2328" spans="1:1" x14ac:dyDescent="0.3">
      <c r="A2328" s="2"/>
    </row>
    <row r="2329" spans="1:1" x14ac:dyDescent="0.3">
      <c r="A2329" s="1"/>
    </row>
    <row r="2330" spans="1:1" x14ac:dyDescent="0.3">
      <c r="A2330" s="2"/>
    </row>
    <row r="2331" spans="1:1" x14ac:dyDescent="0.3">
      <c r="A2331" s="1"/>
    </row>
    <row r="2332" spans="1:1" x14ac:dyDescent="0.3">
      <c r="A2332" s="2"/>
    </row>
    <row r="2333" spans="1:1" x14ac:dyDescent="0.3">
      <c r="A2333" s="1"/>
    </row>
    <row r="2334" spans="1:1" x14ac:dyDescent="0.3">
      <c r="A2334" s="2"/>
    </row>
    <row r="2335" spans="1:1" x14ac:dyDescent="0.3">
      <c r="A2335" s="1"/>
    </row>
    <row r="2336" spans="1:1" x14ac:dyDescent="0.3">
      <c r="A2336" s="2"/>
    </row>
    <row r="2337" spans="1:1" x14ac:dyDescent="0.3">
      <c r="A2337" s="1"/>
    </row>
    <row r="2338" spans="1:1" x14ac:dyDescent="0.3">
      <c r="A2338" s="2"/>
    </row>
    <row r="2339" spans="1:1" x14ac:dyDescent="0.3">
      <c r="A2339" s="1"/>
    </row>
    <row r="2340" spans="1:1" x14ac:dyDescent="0.3">
      <c r="A2340" s="2"/>
    </row>
    <row r="2341" spans="1:1" x14ac:dyDescent="0.3">
      <c r="A2341" s="1"/>
    </row>
    <row r="2342" spans="1:1" x14ac:dyDescent="0.3">
      <c r="A2342" s="2"/>
    </row>
    <row r="2343" spans="1:1" x14ac:dyDescent="0.3">
      <c r="A2343" s="1"/>
    </row>
    <row r="2344" spans="1:1" x14ac:dyDescent="0.3">
      <c r="A2344" s="2"/>
    </row>
    <row r="2345" spans="1:1" x14ac:dyDescent="0.3">
      <c r="A2345" s="1"/>
    </row>
    <row r="2346" spans="1:1" x14ac:dyDescent="0.3">
      <c r="A2346" s="2"/>
    </row>
    <row r="2347" spans="1:1" x14ac:dyDescent="0.3">
      <c r="A2347" s="1"/>
    </row>
    <row r="2348" spans="1:1" x14ac:dyDescent="0.3">
      <c r="A2348" s="2"/>
    </row>
    <row r="2349" spans="1:1" x14ac:dyDescent="0.3">
      <c r="A2349" s="1"/>
    </row>
    <row r="2350" spans="1:1" x14ac:dyDescent="0.3">
      <c r="A2350" s="2"/>
    </row>
    <row r="2351" spans="1:1" x14ac:dyDescent="0.3">
      <c r="A2351" s="1"/>
    </row>
    <row r="2352" spans="1:1" x14ac:dyDescent="0.3">
      <c r="A2352" s="2"/>
    </row>
    <row r="2353" spans="1:1" x14ac:dyDescent="0.3">
      <c r="A2353" s="1"/>
    </row>
    <row r="2354" spans="1:1" x14ac:dyDescent="0.3">
      <c r="A2354" s="2"/>
    </row>
    <row r="2355" spans="1:1" x14ac:dyDescent="0.3">
      <c r="A2355" s="1"/>
    </row>
    <row r="2356" spans="1:1" x14ac:dyDescent="0.3">
      <c r="A2356" s="2"/>
    </row>
    <row r="2357" spans="1:1" x14ac:dyDescent="0.3">
      <c r="A2357" s="1"/>
    </row>
    <row r="2358" spans="1:1" x14ac:dyDescent="0.3">
      <c r="A2358" s="2"/>
    </row>
    <row r="2359" spans="1:1" x14ac:dyDescent="0.3">
      <c r="A2359" s="1"/>
    </row>
    <row r="2360" spans="1:1" x14ac:dyDescent="0.3">
      <c r="A2360" s="2"/>
    </row>
    <row r="2361" spans="1:1" x14ac:dyDescent="0.3">
      <c r="A2361" s="1"/>
    </row>
    <row r="2362" spans="1:1" x14ac:dyDescent="0.3">
      <c r="A2362" s="2"/>
    </row>
    <row r="2363" spans="1:1" x14ac:dyDescent="0.3">
      <c r="A2363" s="1"/>
    </row>
    <row r="2364" spans="1:1" x14ac:dyDescent="0.3">
      <c r="A2364" s="2"/>
    </row>
    <row r="2365" spans="1:1" x14ac:dyDescent="0.3">
      <c r="A2365" s="1"/>
    </row>
    <row r="2366" spans="1:1" x14ac:dyDescent="0.3">
      <c r="A2366" s="2"/>
    </row>
    <row r="2367" spans="1:1" x14ac:dyDescent="0.3">
      <c r="A2367" s="1"/>
    </row>
    <row r="2368" spans="1:1" x14ac:dyDescent="0.3">
      <c r="A2368" s="2"/>
    </row>
    <row r="2369" spans="1:1" x14ac:dyDescent="0.3">
      <c r="A2369" s="1"/>
    </row>
    <row r="2370" spans="1:1" x14ac:dyDescent="0.3">
      <c r="A2370" s="2"/>
    </row>
    <row r="2371" spans="1:1" x14ac:dyDescent="0.3">
      <c r="A2371" s="1"/>
    </row>
    <row r="2372" spans="1:1" x14ac:dyDescent="0.3">
      <c r="A2372" s="2"/>
    </row>
    <row r="2373" spans="1:1" x14ac:dyDescent="0.3">
      <c r="A2373" s="1"/>
    </row>
    <row r="2374" spans="1:1" x14ac:dyDescent="0.3">
      <c r="A2374" s="2"/>
    </row>
    <row r="2375" spans="1:1" x14ac:dyDescent="0.3">
      <c r="A2375" s="1"/>
    </row>
    <row r="2376" spans="1:1" x14ac:dyDescent="0.3">
      <c r="A2376" s="2"/>
    </row>
    <row r="2377" spans="1:1" x14ac:dyDescent="0.3">
      <c r="A2377" s="1"/>
    </row>
    <row r="2378" spans="1:1" x14ac:dyDescent="0.3">
      <c r="A2378" s="2"/>
    </row>
    <row r="2379" spans="1:1" x14ac:dyDescent="0.3">
      <c r="A2379" s="1"/>
    </row>
    <row r="2380" spans="1:1" x14ac:dyDescent="0.3">
      <c r="A2380" s="2"/>
    </row>
    <row r="2381" spans="1:1" x14ac:dyDescent="0.3">
      <c r="A2381" s="1"/>
    </row>
    <row r="2382" spans="1:1" x14ac:dyDescent="0.3">
      <c r="A2382" s="2"/>
    </row>
    <row r="2383" spans="1:1" x14ac:dyDescent="0.3">
      <c r="A2383" s="1"/>
    </row>
    <row r="2384" spans="1:1" x14ac:dyDescent="0.3">
      <c r="A2384" s="2"/>
    </row>
    <row r="2385" spans="1:1" x14ac:dyDescent="0.3">
      <c r="A2385" s="1"/>
    </row>
    <row r="2386" spans="1:1" x14ac:dyDescent="0.3">
      <c r="A2386" s="2"/>
    </row>
    <row r="2387" spans="1:1" x14ac:dyDescent="0.3">
      <c r="A2387" s="1"/>
    </row>
    <row r="2388" spans="1:1" x14ac:dyDescent="0.3">
      <c r="A2388" s="2"/>
    </row>
    <row r="2389" spans="1:1" x14ac:dyDescent="0.3">
      <c r="A2389" s="1"/>
    </row>
    <row r="2390" spans="1:1" x14ac:dyDescent="0.3">
      <c r="A2390" s="2"/>
    </row>
    <row r="2391" spans="1:1" x14ac:dyDescent="0.3">
      <c r="A2391" s="1"/>
    </row>
    <row r="2392" spans="1:1" x14ac:dyDescent="0.3">
      <c r="A2392" s="2"/>
    </row>
    <row r="2393" spans="1:1" x14ac:dyDescent="0.3">
      <c r="A2393" s="1"/>
    </row>
    <row r="2394" spans="1:1" x14ac:dyDescent="0.3">
      <c r="A2394" s="2"/>
    </row>
    <row r="2395" spans="1:1" x14ac:dyDescent="0.3">
      <c r="A2395" s="1"/>
    </row>
    <row r="2396" spans="1:1" x14ac:dyDescent="0.3">
      <c r="A2396" s="2"/>
    </row>
    <row r="2397" spans="1:1" x14ac:dyDescent="0.3">
      <c r="A2397" s="1"/>
    </row>
    <row r="2398" spans="1:1" x14ac:dyDescent="0.3">
      <c r="A2398" s="2"/>
    </row>
    <row r="2399" spans="1:1" x14ac:dyDescent="0.3">
      <c r="A2399" s="1"/>
    </row>
    <row r="2400" spans="1:1" x14ac:dyDescent="0.3">
      <c r="A2400" s="2"/>
    </row>
    <row r="2401" spans="1:1" x14ac:dyDescent="0.3">
      <c r="A2401" s="1"/>
    </row>
    <row r="2402" spans="1:1" x14ac:dyDescent="0.3">
      <c r="A2402" s="2"/>
    </row>
    <row r="2403" spans="1:1" x14ac:dyDescent="0.3">
      <c r="A2403" s="1"/>
    </row>
    <row r="2404" spans="1:1" x14ac:dyDescent="0.3">
      <c r="A2404" s="2"/>
    </row>
    <row r="2405" spans="1:1" x14ac:dyDescent="0.3">
      <c r="A2405" s="1"/>
    </row>
    <row r="2406" spans="1:1" x14ac:dyDescent="0.3">
      <c r="A2406" s="2"/>
    </row>
    <row r="2407" spans="1:1" x14ac:dyDescent="0.3">
      <c r="A2407" s="1"/>
    </row>
    <row r="2408" spans="1:1" x14ac:dyDescent="0.3">
      <c r="A2408" s="2"/>
    </row>
    <row r="2409" spans="1:1" x14ac:dyDescent="0.3">
      <c r="A2409" s="1"/>
    </row>
    <row r="2410" spans="1:1" x14ac:dyDescent="0.3">
      <c r="A2410" s="2"/>
    </row>
    <row r="2411" spans="1:1" x14ac:dyDescent="0.3">
      <c r="A2411" s="1"/>
    </row>
    <row r="2412" spans="1:1" x14ac:dyDescent="0.3">
      <c r="A2412" s="2"/>
    </row>
    <row r="2413" spans="1:1" x14ac:dyDescent="0.3">
      <c r="A2413" s="1"/>
    </row>
    <row r="2414" spans="1:1" x14ac:dyDescent="0.3">
      <c r="A2414" s="2"/>
    </row>
    <row r="2415" spans="1:1" x14ac:dyDescent="0.3">
      <c r="A2415" s="1"/>
    </row>
    <row r="2416" spans="1:1" x14ac:dyDescent="0.3">
      <c r="A2416" s="2"/>
    </row>
    <row r="2417" spans="1:1" x14ac:dyDescent="0.3">
      <c r="A2417" s="1"/>
    </row>
    <row r="2418" spans="1:1" x14ac:dyDescent="0.3">
      <c r="A2418" s="2"/>
    </row>
    <row r="2419" spans="1:1" x14ac:dyDescent="0.3">
      <c r="A2419" s="1"/>
    </row>
    <row r="2420" spans="1:1" x14ac:dyDescent="0.3">
      <c r="A2420" s="2"/>
    </row>
    <row r="2421" spans="1:1" x14ac:dyDescent="0.3">
      <c r="A2421" s="1"/>
    </row>
    <row r="2422" spans="1:1" x14ac:dyDescent="0.3">
      <c r="A2422" s="2"/>
    </row>
    <row r="2423" spans="1:1" x14ac:dyDescent="0.3">
      <c r="A2423" s="1"/>
    </row>
    <row r="2424" spans="1:1" x14ac:dyDescent="0.3">
      <c r="A2424" s="2"/>
    </row>
    <row r="2425" spans="1:1" x14ac:dyDescent="0.3">
      <c r="A2425" s="1"/>
    </row>
    <row r="2426" spans="1:1" x14ac:dyDescent="0.3">
      <c r="A2426" s="2"/>
    </row>
    <row r="2427" spans="1:1" x14ac:dyDescent="0.3">
      <c r="A2427" s="1"/>
    </row>
    <row r="2428" spans="1:1" x14ac:dyDescent="0.3">
      <c r="A2428" s="2"/>
    </row>
    <row r="2429" spans="1:1" x14ac:dyDescent="0.3">
      <c r="A2429" s="1"/>
    </row>
    <row r="2430" spans="1:1" x14ac:dyDescent="0.3">
      <c r="A2430" s="2"/>
    </row>
    <row r="2431" spans="1:1" x14ac:dyDescent="0.3">
      <c r="A2431" s="1"/>
    </row>
    <row r="2432" spans="1:1" x14ac:dyDescent="0.3">
      <c r="A2432" s="2"/>
    </row>
    <row r="2433" spans="1:1" x14ac:dyDescent="0.3">
      <c r="A2433" s="1"/>
    </row>
    <row r="2434" spans="1:1" x14ac:dyDescent="0.3">
      <c r="A2434" s="2"/>
    </row>
    <row r="2435" spans="1:1" x14ac:dyDescent="0.3">
      <c r="A2435" s="1"/>
    </row>
    <row r="2436" spans="1:1" x14ac:dyDescent="0.3">
      <c r="A2436" s="2"/>
    </row>
    <row r="2437" spans="1:1" x14ac:dyDescent="0.3">
      <c r="A2437" s="1"/>
    </row>
    <row r="2438" spans="1:1" x14ac:dyDescent="0.3">
      <c r="A2438" s="2"/>
    </row>
    <row r="2439" spans="1:1" x14ac:dyDescent="0.3">
      <c r="A2439" s="1"/>
    </row>
    <row r="2440" spans="1:1" x14ac:dyDescent="0.3">
      <c r="A2440" s="2"/>
    </row>
    <row r="2441" spans="1:1" x14ac:dyDescent="0.3">
      <c r="A2441" s="1"/>
    </row>
    <row r="2442" spans="1:1" x14ac:dyDescent="0.3">
      <c r="A2442" s="2"/>
    </row>
    <row r="2443" spans="1:1" x14ac:dyDescent="0.3">
      <c r="A2443" s="1"/>
    </row>
    <row r="2444" spans="1:1" x14ac:dyDescent="0.3">
      <c r="A2444" s="2"/>
    </row>
    <row r="2445" spans="1:1" x14ac:dyDescent="0.3">
      <c r="A2445" s="1"/>
    </row>
    <row r="2446" spans="1:1" x14ac:dyDescent="0.3">
      <c r="A2446" s="2"/>
    </row>
    <row r="2447" spans="1:1" x14ac:dyDescent="0.3">
      <c r="A2447" s="1"/>
    </row>
    <row r="2448" spans="1:1" x14ac:dyDescent="0.3">
      <c r="A2448" s="2"/>
    </row>
    <row r="2449" spans="1:1" x14ac:dyDescent="0.3">
      <c r="A2449" s="1"/>
    </row>
    <row r="2450" spans="1:1" x14ac:dyDescent="0.3">
      <c r="A2450" s="2"/>
    </row>
    <row r="2451" spans="1:1" x14ac:dyDescent="0.3">
      <c r="A2451" s="1"/>
    </row>
    <row r="2452" spans="1:1" x14ac:dyDescent="0.3">
      <c r="A2452" s="2"/>
    </row>
    <row r="2453" spans="1:1" x14ac:dyDescent="0.3">
      <c r="A2453" s="1"/>
    </row>
    <row r="2454" spans="1:1" x14ac:dyDescent="0.3">
      <c r="A2454" s="2"/>
    </row>
    <row r="2455" spans="1:1" x14ac:dyDescent="0.3">
      <c r="A2455" s="1"/>
    </row>
    <row r="2456" spans="1:1" x14ac:dyDescent="0.3">
      <c r="A2456" s="2"/>
    </row>
    <row r="2457" spans="1:1" x14ac:dyDescent="0.3">
      <c r="A2457" s="1"/>
    </row>
    <row r="2458" spans="1:1" x14ac:dyDescent="0.3">
      <c r="A2458" s="2"/>
    </row>
    <row r="2459" spans="1:1" x14ac:dyDescent="0.3">
      <c r="A2459" s="1"/>
    </row>
    <row r="2460" spans="1:1" x14ac:dyDescent="0.3">
      <c r="A2460" s="2"/>
    </row>
    <row r="2461" spans="1:1" x14ac:dyDescent="0.3">
      <c r="A2461" s="1"/>
    </row>
    <row r="2462" spans="1:1" x14ac:dyDescent="0.3">
      <c r="A2462" s="2"/>
    </row>
    <row r="2463" spans="1:1" x14ac:dyDescent="0.3">
      <c r="A2463" s="1"/>
    </row>
    <row r="2464" spans="1:1" x14ac:dyDescent="0.3">
      <c r="A2464" s="2"/>
    </row>
    <row r="2465" spans="1:1" x14ac:dyDescent="0.3">
      <c r="A2465" s="1"/>
    </row>
    <row r="2466" spans="1:1" x14ac:dyDescent="0.3">
      <c r="A2466" s="2"/>
    </row>
    <row r="2467" spans="1:1" x14ac:dyDescent="0.3">
      <c r="A2467" s="1"/>
    </row>
    <row r="2468" spans="1:1" x14ac:dyDescent="0.3">
      <c r="A2468" s="2"/>
    </row>
    <row r="2469" spans="1:1" x14ac:dyDescent="0.3">
      <c r="A2469" s="1"/>
    </row>
    <row r="2470" spans="1:1" x14ac:dyDescent="0.3">
      <c r="A2470" s="2"/>
    </row>
    <row r="2471" spans="1:1" x14ac:dyDescent="0.3">
      <c r="A2471" s="1"/>
    </row>
    <row r="2472" spans="1:1" x14ac:dyDescent="0.3">
      <c r="A2472" s="2"/>
    </row>
    <row r="2473" spans="1:1" x14ac:dyDescent="0.3">
      <c r="A2473" s="1"/>
    </row>
    <row r="2474" spans="1:1" x14ac:dyDescent="0.3">
      <c r="A2474" s="2"/>
    </row>
    <row r="2475" spans="1:1" x14ac:dyDescent="0.3">
      <c r="A2475" s="1"/>
    </row>
    <row r="2476" spans="1:1" x14ac:dyDescent="0.3">
      <c r="A2476" s="2"/>
    </row>
    <row r="2477" spans="1:1" x14ac:dyDescent="0.3">
      <c r="A2477" s="1"/>
    </row>
    <row r="2478" spans="1:1" x14ac:dyDescent="0.3">
      <c r="A2478" s="2"/>
    </row>
    <row r="2479" spans="1:1" x14ac:dyDescent="0.3">
      <c r="A2479" s="1"/>
    </row>
    <row r="2480" spans="1:1" x14ac:dyDescent="0.3">
      <c r="A2480" s="2"/>
    </row>
    <row r="2481" spans="1:1" x14ac:dyDescent="0.3">
      <c r="A2481" s="1"/>
    </row>
    <row r="2482" spans="1:1" x14ac:dyDescent="0.3">
      <c r="A2482" s="2"/>
    </row>
    <row r="2483" spans="1:1" x14ac:dyDescent="0.3">
      <c r="A2483" s="1"/>
    </row>
    <row r="2484" spans="1:1" x14ac:dyDescent="0.3">
      <c r="A2484" s="2"/>
    </row>
    <row r="2485" spans="1:1" x14ac:dyDescent="0.3">
      <c r="A2485" s="1"/>
    </row>
    <row r="2486" spans="1:1" x14ac:dyDescent="0.3">
      <c r="A2486" s="2"/>
    </row>
    <row r="2487" spans="1:1" x14ac:dyDescent="0.3">
      <c r="A2487" s="1"/>
    </row>
    <row r="2488" spans="1:1" x14ac:dyDescent="0.3">
      <c r="A2488" s="2"/>
    </row>
    <row r="2489" spans="1:1" x14ac:dyDescent="0.3">
      <c r="A2489" s="1"/>
    </row>
    <row r="2490" spans="1:1" x14ac:dyDescent="0.3">
      <c r="A2490" s="2"/>
    </row>
    <row r="2491" spans="1:1" x14ac:dyDescent="0.3">
      <c r="A2491" s="1"/>
    </row>
    <row r="2492" spans="1:1" x14ac:dyDescent="0.3">
      <c r="A2492" s="2"/>
    </row>
    <row r="2493" spans="1:1" x14ac:dyDescent="0.3">
      <c r="A2493" s="1"/>
    </row>
    <row r="2494" spans="1:1" x14ac:dyDescent="0.3">
      <c r="A2494" s="2"/>
    </row>
    <row r="2495" spans="1:1" x14ac:dyDescent="0.3">
      <c r="A2495" s="1"/>
    </row>
    <row r="2496" spans="1:1" x14ac:dyDescent="0.3">
      <c r="A2496" s="2"/>
    </row>
    <row r="2497" spans="1:1" x14ac:dyDescent="0.3">
      <c r="A2497" s="1"/>
    </row>
    <row r="2498" spans="1:1" x14ac:dyDescent="0.3">
      <c r="A2498" s="2"/>
    </row>
    <row r="2499" spans="1:1" x14ac:dyDescent="0.3">
      <c r="A2499" s="1"/>
    </row>
    <row r="2500" spans="1:1" x14ac:dyDescent="0.3">
      <c r="A2500" s="2"/>
    </row>
    <row r="2501" spans="1:1" x14ac:dyDescent="0.3">
      <c r="A2501" s="1"/>
    </row>
    <row r="2502" spans="1:1" x14ac:dyDescent="0.3">
      <c r="A2502" s="2"/>
    </row>
    <row r="2503" spans="1:1" x14ac:dyDescent="0.3">
      <c r="A2503" s="1"/>
    </row>
    <row r="2504" spans="1:1" x14ac:dyDescent="0.3">
      <c r="A2504" s="2"/>
    </row>
    <row r="2505" spans="1:1" x14ac:dyDescent="0.3">
      <c r="A2505" s="1"/>
    </row>
    <row r="2506" spans="1:1" x14ac:dyDescent="0.3">
      <c r="A2506" s="2"/>
    </row>
    <row r="2507" spans="1:1" x14ac:dyDescent="0.3">
      <c r="A2507" s="1"/>
    </row>
    <row r="2508" spans="1:1" x14ac:dyDescent="0.3">
      <c r="A2508" s="2"/>
    </row>
    <row r="2509" spans="1:1" x14ac:dyDescent="0.3">
      <c r="A2509" s="1"/>
    </row>
    <row r="2510" spans="1:1" x14ac:dyDescent="0.3">
      <c r="A2510" s="2"/>
    </row>
    <row r="2511" spans="1:1" x14ac:dyDescent="0.3">
      <c r="A2511" s="1"/>
    </row>
    <row r="2512" spans="1:1" x14ac:dyDescent="0.3">
      <c r="A2512" s="2"/>
    </row>
    <row r="2513" spans="1:1" x14ac:dyDescent="0.3">
      <c r="A2513" s="1"/>
    </row>
    <row r="2514" spans="1:1" x14ac:dyDescent="0.3">
      <c r="A2514" s="2"/>
    </row>
    <row r="2515" spans="1:1" x14ac:dyDescent="0.3">
      <c r="A2515" s="1"/>
    </row>
    <row r="2516" spans="1:1" x14ac:dyDescent="0.3">
      <c r="A2516" s="2"/>
    </row>
    <row r="2517" spans="1:1" x14ac:dyDescent="0.3">
      <c r="A2517" s="1"/>
    </row>
    <row r="2518" spans="1:1" x14ac:dyDescent="0.3">
      <c r="A2518" s="2"/>
    </row>
    <row r="2519" spans="1:1" x14ac:dyDescent="0.3">
      <c r="A2519" s="1"/>
    </row>
    <row r="2520" spans="1:1" x14ac:dyDescent="0.3">
      <c r="A2520" s="2"/>
    </row>
    <row r="2521" spans="1:1" x14ac:dyDescent="0.3">
      <c r="A2521" s="1"/>
    </row>
    <row r="2522" spans="1:1" x14ac:dyDescent="0.3">
      <c r="A2522" s="2"/>
    </row>
    <row r="2523" spans="1:1" x14ac:dyDescent="0.3">
      <c r="A2523" s="1"/>
    </row>
    <row r="2524" spans="1:1" x14ac:dyDescent="0.3">
      <c r="A2524" s="2"/>
    </row>
    <row r="2525" spans="1:1" x14ac:dyDescent="0.3">
      <c r="A2525" s="1"/>
    </row>
    <row r="2526" spans="1:1" x14ac:dyDescent="0.3">
      <c r="A2526" s="2"/>
    </row>
    <row r="2527" spans="1:1" x14ac:dyDescent="0.3">
      <c r="A2527" s="1"/>
    </row>
    <row r="2528" spans="1:1" x14ac:dyDescent="0.3">
      <c r="A2528" s="2"/>
    </row>
    <row r="2529" spans="1:1" x14ac:dyDescent="0.3">
      <c r="A2529" s="1"/>
    </row>
    <row r="2530" spans="1:1" x14ac:dyDescent="0.3">
      <c r="A2530" s="2"/>
    </row>
    <row r="2531" spans="1:1" x14ac:dyDescent="0.3">
      <c r="A2531" s="1"/>
    </row>
    <row r="2532" spans="1:1" x14ac:dyDescent="0.3">
      <c r="A2532" s="2"/>
    </row>
    <row r="2533" spans="1:1" x14ac:dyDescent="0.3">
      <c r="A2533" s="1"/>
    </row>
    <row r="2534" spans="1:1" x14ac:dyDescent="0.3">
      <c r="A2534" s="2"/>
    </row>
    <row r="2535" spans="1:1" x14ac:dyDescent="0.3">
      <c r="A2535" s="1"/>
    </row>
    <row r="2536" spans="1:1" x14ac:dyDescent="0.3">
      <c r="A2536" s="2"/>
    </row>
    <row r="2537" spans="1:1" x14ac:dyDescent="0.3">
      <c r="A2537" s="1"/>
    </row>
    <row r="2538" spans="1:1" x14ac:dyDescent="0.3">
      <c r="A2538" s="2"/>
    </row>
    <row r="2539" spans="1:1" x14ac:dyDescent="0.3">
      <c r="A2539" s="1"/>
    </row>
    <row r="2540" spans="1:1" x14ac:dyDescent="0.3">
      <c r="A2540" s="2"/>
    </row>
    <row r="2541" spans="1:1" x14ac:dyDescent="0.3">
      <c r="A2541" s="1"/>
    </row>
    <row r="2542" spans="1:1" x14ac:dyDescent="0.3">
      <c r="A2542" s="2"/>
    </row>
    <row r="2543" spans="1:1" x14ac:dyDescent="0.3">
      <c r="A2543" s="1"/>
    </row>
    <row r="2544" spans="1:1" x14ac:dyDescent="0.3">
      <c r="A2544" s="2"/>
    </row>
    <row r="2545" spans="1:1" x14ac:dyDescent="0.3">
      <c r="A2545" s="1"/>
    </row>
    <row r="2546" spans="1:1" x14ac:dyDescent="0.3">
      <c r="A2546" s="2"/>
    </row>
    <row r="2547" spans="1:1" x14ac:dyDescent="0.3">
      <c r="A2547" s="1"/>
    </row>
    <row r="2548" spans="1:1" x14ac:dyDescent="0.3">
      <c r="A2548" s="2"/>
    </row>
    <row r="2549" spans="1:1" x14ac:dyDescent="0.3">
      <c r="A2549" s="1"/>
    </row>
    <row r="2550" spans="1:1" x14ac:dyDescent="0.3">
      <c r="A2550" s="2"/>
    </row>
    <row r="2551" spans="1:1" x14ac:dyDescent="0.3">
      <c r="A2551" s="1"/>
    </row>
    <row r="2552" spans="1:1" x14ac:dyDescent="0.3">
      <c r="A2552" s="2"/>
    </row>
    <row r="2553" spans="1:1" x14ac:dyDescent="0.3">
      <c r="A2553" s="1"/>
    </row>
    <row r="2554" spans="1:1" x14ac:dyDescent="0.3">
      <c r="A2554" s="2"/>
    </row>
    <row r="2555" spans="1:1" x14ac:dyDescent="0.3">
      <c r="A2555" s="1"/>
    </row>
    <row r="2556" spans="1:1" x14ac:dyDescent="0.3">
      <c r="A2556" s="2"/>
    </row>
    <row r="2557" spans="1:1" x14ac:dyDescent="0.3">
      <c r="A2557" s="1"/>
    </row>
    <row r="2558" spans="1:1" x14ac:dyDescent="0.3">
      <c r="A2558" s="2"/>
    </row>
    <row r="2559" spans="1:1" x14ac:dyDescent="0.3">
      <c r="A2559" s="1"/>
    </row>
    <row r="2560" spans="1:1" x14ac:dyDescent="0.3">
      <c r="A2560" s="2"/>
    </row>
    <row r="2561" spans="1:1" x14ac:dyDescent="0.3">
      <c r="A2561" s="1"/>
    </row>
    <row r="2562" spans="1:1" x14ac:dyDescent="0.3">
      <c r="A2562" s="2"/>
    </row>
    <row r="2563" spans="1:1" x14ac:dyDescent="0.3">
      <c r="A2563" s="1"/>
    </row>
    <row r="2564" spans="1:1" x14ac:dyDescent="0.3">
      <c r="A2564" s="2"/>
    </row>
    <row r="2565" spans="1:1" x14ac:dyDescent="0.3">
      <c r="A2565" s="1"/>
    </row>
    <row r="2566" spans="1:1" x14ac:dyDescent="0.3">
      <c r="A2566" s="2"/>
    </row>
    <row r="2567" spans="1:1" x14ac:dyDescent="0.3">
      <c r="A2567" s="1"/>
    </row>
    <row r="2568" spans="1:1" x14ac:dyDescent="0.3">
      <c r="A2568" s="2"/>
    </row>
    <row r="2569" spans="1:1" x14ac:dyDescent="0.3">
      <c r="A2569" s="1"/>
    </row>
    <row r="2570" spans="1:1" x14ac:dyDescent="0.3">
      <c r="A2570" s="2"/>
    </row>
    <row r="2571" spans="1:1" x14ac:dyDescent="0.3">
      <c r="A2571" s="1"/>
    </row>
    <row r="2572" spans="1:1" x14ac:dyDescent="0.3">
      <c r="A2572" s="2"/>
    </row>
    <row r="2573" spans="1:1" x14ac:dyDescent="0.3">
      <c r="A2573" s="1"/>
    </row>
    <row r="2574" spans="1:1" x14ac:dyDescent="0.3">
      <c r="A2574" s="2"/>
    </row>
    <row r="2575" spans="1:1" x14ac:dyDescent="0.3">
      <c r="A2575" s="1"/>
    </row>
    <row r="2576" spans="1:1" x14ac:dyDescent="0.3">
      <c r="A2576" s="2"/>
    </row>
    <row r="2577" spans="1:1" x14ac:dyDescent="0.3">
      <c r="A2577" s="1"/>
    </row>
    <row r="2578" spans="1:1" x14ac:dyDescent="0.3">
      <c r="A2578" s="2"/>
    </row>
    <row r="2579" spans="1:1" x14ac:dyDescent="0.3">
      <c r="A2579" s="1"/>
    </row>
    <row r="2580" spans="1:1" x14ac:dyDescent="0.3">
      <c r="A2580" s="2"/>
    </row>
    <row r="2581" spans="1:1" x14ac:dyDescent="0.3">
      <c r="A2581" s="1"/>
    </row>
    <row r="2582" spans="1:1" x14ac:dyDescent="0.3">
      <c r="A2582" s="2"/>
    </row>
    <row r="2583" spans="1:1" x14ac:dyDescent="0.3">
      <c r="A2583" s="1"/>
    </row>
    <row r="2584" spans="1:1" x14ac:dyDescent="0.3">
      <c r="A2584" s="2"/>
    </row>
    <row r="2585" spans="1:1" x14ac:dyDescent="0.3">
      <c r="A2585" s="1"/>
    </row>
    <row r="2586" spans="1:1" x14ac:dyDescent="0.3">
      <c r="A2586" s="2"/>
    </row>
    <row r="2587" spans="1:1" x14ac:dyDescent="0.3">
      <c r="A2587" s="1"/>
    </row>
    <row r="2588" spans="1:1" x14ac:dyDescent="0.3">
      <c r="A2588" s="2"/>
    </row>
    <row r="2589" spans="1:1" x14ac:dyDescent="0.3">
      <c r="A2589" s="1"/>
    </row>
    <row r="2590" spans="1:1" x14ac:dyDescent="0.3">
      <c r="A2590" s="2"/>
    </row>
    <row r="2591" spans="1:1" x14ac:dyDescent="0.3">
      <c r="A2591" s="1"/>
    </row>
    <row r="2592" spans="1:1" x14ac:dyDescent="0.3">
      <c r="A2592" s="2"/>
    </row>
    <row r="2593" spans="1:1" x14ac:dyDescent="0.3">
      <c r="A2593" s="1"/>
    </row>
    <row r="2594" spans="1:1" x14ac:dyDescent="0.3">
      <c r="A2594" s="2"/>
    </row>
    <row r="2595" spans="1:1" x14ac:dyDescent="0.3">
      <c r="A2595" s="1"/>
    </row>
    <row r="2596" spans="1:1" x14ac:dyDescent="0.3">
      <c r="A2596" s="2"/>
    </row>
    <row r="2597" spans="1:1" x14ac:dyDescent="0.3">
      <c r="A2597" s="1"/>
    </row>
    <row r="2598" spans="1:1" x14ac:dyDescent="0.3">
      <c r="A2598" s="2"/>
    </row>
    <row r="2599" spans="1:1" x14ac:dyDescent="0.3">
      <c r="A2599" s="1"/>
    </row>
    <row r="2600" spans="1:1" x14ac:dyDescent="0.3">
      <c r="A2600" s="2"/>
    </row>
    <row r="2601" spans="1:1" x14ac:dyDescent="0.3">
      <c r="A2601" s="1"/>
    </row>
    <row r="2602" spans="1:1" x14ac:dyDescent="0.3">
      <c r="A2602" s="2"/>
    </row>
    <row r="2603" spans="1:1" x14ac:dyDescent="0.3">
      <c r="A2603" s="1"/>
    </row>
    <row r="2604" spans="1:1" x14ac:dyDescent="0.3">
      <c r="A2604" s="2"/>
    </row>
    <row r="2605" spans="1:1" x14ac:dyDescent="0.3">
      <c r="A2605" s="1"/>
    </row>
    <row r="2606" spans="1:1" x14ac:dyDescent="0.3">
      <c r="A2606" s="2"/>
    </row>
    <row r="2607" spans="1:1" x14ac:dyDescent="0.3">
      <c r="A2607" s="1"/>
    </row>
    <row r="2608" spans="1:1" x14ac:dyDescent="0.3">
      <c r="A2608" s="2"/>
    </row>
    <row r="2609" spans="1:1" x14ac:dyDescent="0.3">
      <c r="A2609" s="1"/>
    </row>
    <row r="2610" spans="1:1" x14ac:dyDescent="0.3">
      <c r="A2610" s="2"/>
    </row>
    <row r="2611" spans="1:1" x14ac:dyDescent="0.3">
      <c r="A2611" s="1"/>
    </row>
    <row r="2612" spans="1:1" x14ac:dyDescent="0.3">
      <c r="A2612" s="2"/>
    </row>
    <row r="2613" spans="1:1" x14ac:dyDescent="0.3">
      <c r="A2613" s="1"/>
    </row>
    <row r="2614" spans="1:1" x14ac:dyDescent="0.3">
      <c r="A2614" s="2"/>
    </row>
    <row r="2615" spans="1:1" x14ac:dyDescent="0.3">
      <c r="A2615" s="1"/>
    </row>
    <row r="2616" spans="1:1" x14ac:dyDescent="0.3">
      <c r="A2616" s="2"/>
    </row>
    <row r="2617" spans="1:1" x14ac:dyDescent="0.3">
      <c r="A2617" s="1"/>
    </row>
    <row r="2618" spans="1:1" x14ac:dyDescent="0.3">
      <c r="A2618" s="2"/>
    </row>
    <row r="2619" spans="1:1" x14ac:dyDescent="0.3">
      <c r="A2619" s="1"/>
    </row>
    <row r="2620" spans="1:1" x14ac:dyDescent="0.3">
      <c r="A2620" s="2"/>
    </row>
    <row r="2621" spans="1:1" x14ac:dyDescent="0.3">
      <c r="A2621" s="1"/>
    </row>
    <row r="2622" spans="1:1" x14ac:dyDescent="0.3">
      <c r="A2622" s="2"/>
    </row>
    <row r="2623" spans="1:1" x14ac:dyDescent="0.3">
      <c r="A2623" s="1"/>
    </row>
    <row r="2624" spans="1:1" x14ac:dyDescent="0.3">
      <c r="A2624" s="2"/>
    </row>
    <row r="2625" spans="1:1" x14ac:dyDescent="0.3">
      <c r="A2625" s="1"/>
    </row>
    <row r="2626" spans="1:1" x14ac:dyDescent="0.3">
      <c r="A2626" s="2"/>
    </row>
    <row r="2627" spans="1:1" x14ac:dyDescent="0.3">
      <c r="A2627" s="1"/>
    </row>
    <row r="2628" spans="1:1" x14ac:dyDescent="0.3">
      <c r="A2628" s="2"/>
    </row>
    <row r="2629" spans="1:1" x14ac:dyDescent="0.3">
      <c r="A2629" s="1"/>
    </row>
    <row r="2630" spans="1:1" x14ac:dyDescent="0.3">
      <c r="A2630" s="2"/>
    </row>
    <row r="2631" spans="1:1" x14ac:dyDescent="0.3">
      <c r="A2631" s="1"/>
    </row>
    <row r="2632" spans="1:1" x14ac:dyDescent="0.3">
      <c r="A2632" s="2"/>
    </row>
    <row r="2633" spans="1:1" x14ac:dyDescent="0.3">
      <c r="A2633" s="1"/>
    </row>
    <row r="2634" spans="1:1" x14ac:dyDescent="0.3">
      <c r="A2634" s="2"/>
    </row>
    <row r="2635" spans="1:1" x14ac:dyDescent="0.3">
      <c r="A2635" s="1"/>
    </row>
    <row r="2636" spans="1:1" x14ac:dyDescent="0.3">
      <c r="A2636" s="2"/>
    </row>
    <row r="2637" spans="1:1" x14ac:dyDescent="0.3">
      <c r="A2637" s="1"/>
    </row>
    <row r="2638" spans="1:1" x14ac:dyDescent="0.3">
      <c r="A2638" s="2"/>
    </row>
    <row r="2639" spans="1:1" x14ac:dyDescent="0.3">
      <c r="A2639" s="1"/>
    </row>
    <row r="2640" spans="1:1" x14ac:dyDescent="0.3">
      <c r="A2640" s="2"/>
    </row>
    <row r="2641" spans="1:1" x14ac:dyDescent="0.3">
      <c r="A2641" s="1"/>
    </row>
    <row r="2642" spans="1:1" x14ac:dyDescent="0.3">
      <c r="A2642" s="2"/>
    </row>
    <row r="2643" spans="1:1" x14ac:dyDescent="0.3">
      <c r="A2643" s="1"/>
    </row>
    <row r="2644" spans="1:1" x14ac:dyDescent="0.3">
      <c r="A2644" s="2"/>
    </row>
    <row r="2645" spans="1:1" x14ac:dyDescent="0.3">
      <c r="A2645" s="1"/>
    </row>
    <row r="2646" spans="1:1" x14ac:dyDescent="0.3">
      <c r="A2646" s="2"/>
    </row>
    <row r="2647" spans="1:1" x14ac:dyDescent="0.3">
      <c r="A2647" s="1"/>
    </row>
    <row r="2648" spans="1:1" x14ac:dyDescent="0.3">
      <c r="A2648" s="2"/>
    </row>
    <row r="2649" spans="1:1" x14ac:dyDescent="0.3">
      <c r="A2649" s="1"/>
    </row>
    <row r="2650" spans="1:1" x14ac:dyDescent="0.3">
      <c r="A2650" s="2"/>
    </row>
    <row r="2651" spans="1:1" x14ac:dyDescent="0.3">
      <c r="A2651" s="1"/>
    </row>
    <row r="2652" spans="1:1" x14ac:dyDescent="0.3">
      <c r="A2652" s="2"/>
    </row>
    <row r="2653" spans="1:1" x14ac:dyDescent="0.3">
      <c r="A2653" s="1"/>
    </row>
    <row r="2654" spans="1:1" x14ac:dyDescent="0.3">
      <c r="A2654" s="2"/>
    </row>
    <row r="2655" spans="1:1" x14ac:dyDescent="0.3">
      <c r="A2655" s="1"/>
    </row>
    <row r="2656" spans="1:1" x14ac:dyDescent="0.3">
      <c r="A2656" s="2"/>
    </row>
    <row r="2657" spans="1:1" x14ac:dyDescent="0.3">
      <c r="A2657" s="1"/>
    </row>
    <row r="2658" spans="1:1" x14ac:dyDescent="0.3">
      <c r="A2658" s="2"/>
    </row>
    <row r="2659" spans="1:1" x14ac:dyDescent="0.3">
      <c r="A2659" s="1"/>
    </row>
    <row r="2660" spans="1:1" x14ac:dyDescent="0.3">
      <c r="A2660" s="2"/>
    </row>
    <row r="2661" spans="1:1" x14ac:dyDescent="0.3">
      <c r="A2661" s="1"/>
    </row>
    <row r="2662" spans="1:1" x14ac:dyDescent="0.3">
      <c r="A2662" s="2"/>
    </row>
    <row r="2663" spans="1:1" x14ac:dyDescent="0.3">
      <c r="A2663" s="1"/>
    </row>
    <row r="2664" spans="1:1" x14ac:dyDescent="0.3">
      <c r="A2664" s="2"/>
    </row>
    <row r="2665" spans="1:1" x14ac:dyDescent="0.3">
      <c r="A2665" s="1"/>
    </row>
    <row r="2666" spans="1:1" x14ac:dyDescent="0.3">
      <c r="A2666" s="2"/>
    </row>
    <row r="2667" spans="1:1" x14ac:dyDescent="0.3">
      <c r="A2667" s="1"/>
    </row>
    <row r="2668" spans="1:1" x14ac:dyDescent="0.3">
      <c r="A2668" s="2"/>
    </row>
    <row r="2669" spans="1:1" x14ac:dyDescent="0.3">
      <c r="A2669" s="1"/>
    </row>
    <row r="2670" spans="1:1" x14ac:dyDescent="0.3">
      <c r="A2670" s="2"/>
    </row>
    <row r="2671" spans="1:1" x14ac:dyDescent="0.3">
      <c r="A2671" s="1"/>
    </row>
    <row r="2672" spans="1:1" x14ac:dyDescent="0.3">
      <c r="A2672" s="2"/>
    </row>
    <row r="2673" spans="1:1" x14ac:dyDescent="0.3">
      <c r="A2673" s="1"/>
    </row>
    <row r="2674" spans="1:1" x14ac:dyDescent="0.3">
      <c r="A2674" s="2"/>
    </row>
    <row r="2675" spans="1:1" x14ac:dyDescent="0.3">
      <c r="A2675" s="1"/>
    </row>
    <row r="2676" spans="1:1" x14ac:dyDescent="0.3">
      <c r="A2676" s="2"/>
    </row>
    <row r="2677" spans="1:1" x14ac:dyDescent="0.3">
      <c r="A2677" s="1"/>
    </row>
    <row r="2678" spans="1:1" x14ac:dyDescent="0.3">
      <c r="A2678" s="2"/>
    </row>
    <row r="2679" spans="1:1" x14ac:dyDescent="0.3">
      <c r="A2679" s="1"/>
    </row>
    <row r="2680" spans="1:1" x14ac:dyDescent="0.3">
      <c r="A2680" s="2"/>
    </row>
    <row r="2681" spans="1:1" x14ac:dyDescent="0.3">
      <c r="A2681" s="1"/>
    </row>
    <row r="2682" spans="1:1" x14ac:dyDescent="0.3">
      <c r="A2682" s="2"/>
    </row>
    <row r="2683" spans="1:1" x14ac:dyDescent="0.3">
      <c r="A2683" s="1"/>
    </row>
    <row r="2684" spans="1:1" x14ac:dyDescent="0.3">
      <c r="A2684" s="2"/>
    </row>
    <row r="2685" spans="1:1" x14ac:dyDescent="0.3">
      <c r="A2685" s="1"/>
    </row>
    <row r="2686" spans="1:1" x14ac:dyDescent="0.3">
      <c r="A2686" s="2"/>
    </row>
    <row r="2687" spans="1:1" x14ac:dyDescent="0.3">
      <c r="A2687" s="1"/>
    </row>
    <row r="2688" spans="1:1" x14ac:dyDescent="0.3">
      <c r="A2688" s="2"/>
    </row>
    <row r="2689" spans="1:1" x14ac:dyDescent="0.3">
      <c r="A2689" s="1"/>
    </row>
    <row r="2690" spans="1:1" x14ac:dyDescent="0.3">
      <c r="A2690" s="2"/>
    </row>
    <row r="2691" spans="1:1" x14ac:dyDescent="0.3">
      <c r="A2691" s="1"/>
    </row>
    <row r="2692" spans="1:1" x14ac:dyDescent="0.3">
      <c r="A2692" s="2"/>
    </row>
    <row r="2693" spans="1:1" x14ac:dyDescent="0.3">
      <c r="A2693" s="1"/>
    </row>
    <row r="2694" spans="1:1" x14ac:dyDescent="0.3">
      <c r="A2694" s="2"/>
    </row>
    <row r="2695" spans="1:1" x14ac:dyDescent="0.3">
      <c r="A2695" s="1"/>
    </row>
    <row r="2696" spans="1:1" x14ac:dyDescent="0.3">
      <c r="A2696" s="2"/>
    </row>
    <row r="2697" spans="1:1" x14ac:dyDescent="0.3">
      <c r="A2697" s="1"/>
    </row>
    <row r="2698" spans="1:1" x14ac:dyDescent="0.3">
      <c r="A2698" s="2"/>
    </row>
    <row r="2699" spans="1:1" x14ac:dyDescent="0.3">
      <c r="A2699" s="1"/>
    </row>
    <row r="2700" spans="1:1" x14ac:dyDescent="0.3">
      <c r="A2700" s="2"/>
    </row>
    <row r="2701" spans="1:1" x14ac:dyDescent="0.3">
      <c r="A2701" s="1"/>
    </row>
    <row r="2702" spans="1:1" x14ac:dyDescent="0.3">
      <c r="A2702" s="2"/>
    </row>
    <row r="2703" spans="1:1" x14ac:dyDescent="0.3">
      <c r="A2703" s="1"/>
    </row>
    <row r="2704" spans="1:1" x14ac:dyDescent="0.3">
      <c r="A2704" s="2"/>
    </row>
    <row r="2705" spans="1:1" x14ac:dyDescent="0.3">
      <c r="A2705" s="1"/>
    </row>
    <row r="2706" spans="1:1" x14ac:dyDescent="0.3">
      <c r="A2706" s="2"/>
    </row>
    <row r="2707" spans="1:1" x14ac:dyDescent="0.3">
      <c r="A2707" s="1"/>
    </row>
    <row r="2708" spans="1:1" x14ac:dyDescent="0.3">
      <c r="A2708" s="2"/>
    </row>
    <row r="2709" spans="1:1" x14ac:dyDescent="0.3">
      <c r="A2709" s="1"/>
    </row>
    <row r="2710" spans="1:1" x14ac:dyDescent="0.3">
      <c r="A2710" s="2"/>
    </row>
    <row r="2711" spans="1:1" x14ac:dyDescent="0.3">
      <c r="A2711" s="1"/>
    </row>
    <row r="2712" spans="1:1" x14ac:dyDescent="0.3">
      <c r="A2712" s="2"/>
    </row>
    <row r="2713" spans="1:1" x14ac:dyDescent="0.3">
      <c r="A2713" s="1"/>
    </row>
    <row r="2714" spans="1:1" x14ac:dyDescent="0.3">
      <c r="A2714" s="2"/>
    </row>
    <row r="2715" spans="1:1" x14ac:dyDescent="0.3">
      <c r="A2715" s="1"/>
    </row>
    <row r="2716" spans="1:1" x14ac:dyDescent="0.3">
      <c r="A2716" s="2"/>
    </row>
    <row r="2717" spans="1:1" x14ac:dyDescent="0.3">
      <c r="A2717" s="1"/>
    </row>
    <row r="2718" spans="1:1" x14ac:dyDescent="0.3">
      <c r="A2718" s="2"/>
    </row>
    <row r="2719" spans="1:1" x14ac:dyDescent="0.3">
      <c r="A2719" s="1"/>
    </row>
    <row r="2720" spans="1:1" x14ac:dyDescent="0.3">
      <c r="A2720" s="2"/>
    </row>
    <row r="2721" spans="1:1" x14ac:dyDescent="0.3">
      <c r="A2721" s="1"/>
    </row>
    <row r="2722" spans="1:1" x14ac:dyDescent="0.3">
      <c r="A2722" s="2"/>
    </row>
    <row r="2723" spans="1:1" x14ac:dyDescent="0.3">
      <c r="A2723" s="1"/>
    </row>
    <row r="2724" spans="1:1" x14ac:dyDescent="0.3">
      <c r="A2724" s="2"/>
    </row>
    <row r="2725" spans="1:1" x14ac:dyDescent="0.3">
      <c r="A2725" s="1"/>
    </row>
    <row r="2726" spans="1:1" x14ac:dyDescent="0.3">
      <c r="A2726" s="2"/>
    </row>
    <row r="2727" spans="1:1" x14ac:dyDescent="0.3">
      <c r="A2727" s="1"/>
    </row>
    <row r="2728" spans="1:1" x14ac:dyDescent="0.3">
      <c r="A2728" s="2"/>
    </row>
    <row r="2729" spans="1:1" x14ac:dyDescent="0.3">
      <c r="A2729" s="1"/>
    </row>
    <row r="2730" spans="1:1" x14ac:dyDescent="0.3">
      <c r="A2730" s="2"/>
    </row>
    <row r="2731" spans="1:1" x14ac:dyDescent="0.3">
      <c r="A2731" s="1"/>
    </row>
    <row r="2732" spans="1:1" x14ac:dyDescent="0.3">
      <c r="A2732" s="2"/>
    </row>
    <row r="2733" spans="1:1" x14ac:dyDescent="0.3">
      <c r="A2733" s="1"/>
    </row>
    <row r="2734" spans="1:1" x14ac:dyDescent="0.3">
      <c r="A2734" s="2"/>
    </row>
    <row r="2735" spans="1:1" x14ac:dyDescent="0.3">
      <c r="A2735" s="1"/>
    </row>
    <row r="2736" spans="1:1" x14ac:dyDescent="0.3">
      <c r="A2736" s="2"/>
    </row>
    <row r="2737" spans="1:1" x14ac:dyDescent="0.3">
      <c r="A2737" s="1"/>
    </row>
    <row r="2738" spans="1:1" x14ac:dyDescent="0.3">
      <c r="A2738" s="2"/>
    </row>
    <row r="2739" spans="1:1" x14ac:dyDescent="0.3">
      <c r="A2739" s="1"/>
    </row>
    <row r="2740" spans="1:1" x14ac:dyDescent="0.3">
      <c r="A2740" s="2"/>
    </row>
    <row r="2741" spans="1:1" x14ac:dyDescent="0.3">
      <c r="A2741" s="1"/>
    </row>
    <row r="2742" spans="1:1" x14ac:dyDescent="0.3">
      <c r="A2742" s="2"/>
    </row>
    <row r="2743" spans="1:1" x14ac:dyDescent="0.3">
      <c r="A2743" s="1"/>
    </row>
    <row r="2744" spans="1:1" x14ac:dyDescent="0.3">
      <c r="A2744" s="2"/>
    </row>
    <row r="2745" spans="1:1" x14ac:dyDescent="0.3">
      <c r="A2745" s="1"/>
    </row>
    <row r="2746" spans="1:1" x14ac:dyDescent="0.3">
      <c r="A2746" s="2"/>
    </row>
    <row r="2747" spans="1:1" x14ac:dyDescent="0.3">
      <c r="A2747" s="1"/>
    </row>
    <row r="2748" spans="1:1" x14ac:dyDescent="0.3">
      <c r="A2748" s="2"/>
    </row>
    <row r="2749" spans="1:1" x14ac:dyDescent="0.3">
      <c r="A2749" s="1"/>
    </row>
    <row r="2750" spans="1:1" x14ac:dyDescent="0.3">
      <c r="A2750" s="2"/>
    </row>
    <row r="2751" spans="1:1" x14ac:dyDescent="0.3">
      <c r="A2751" s="1"/>
    </row>
    <row r="2752" spans="1:1" x14ac:dyDescent="0.3">
      <c r="A2752" s="2"/>
    </row>
    <row r="2753" spans="1:1" x14ac:dyDescent="0.3">
      <c r="A2753" s="1"/>
    </row>
    <row r="2754" spans="1:1" x14ac:dyDescent="0.3">
      <c r="A2754" s="2"/>
    </row>
    <row r="2755" spans="1:1" x14ac:dyDescent="0.3">
      <c r="A2755" s="1"/>
    </row>
    <row r="2756" spans="1:1" x14ac:dyDescent="0.3">
      <c r="A2756" s="2"/>
    </row>
    <row r="2757" spans="1:1" x14ac:dyDescent="0.3">
      <c r="A2757" s="1"/>
    </row>
    <row r="2758" spans="1:1" x14ac:dyDescent="0.3">
      <c r="A2758" s="2"/>
    </row>
    <row r="2759" spans="1:1" x14ac:dyDescent="0.3">
      <c r="A2759" s="1"/>
    </row>
    <row r="2760" spans="1:1" x14ac:dyDescent="0.3">
      <c r="A2760" s="2"/>
    </row>
    <row r="2761" spans="1:1" x14ac:dyDescent="0.3">
      <c r="A2761" s="1"/>
    </row>
    <row r="2762" spans="1:1" x14ac:dyDescent="0.3">
      <c r="A2762" s="2"/>
    </row>
    <row r="2763" spans="1:1" x14ac:dyDescent="0.3">
      <c r="A2763" s="1"/>
    </row>
    <row r="2764" spans="1:1" x14ac:dyDescent="0.3">
      <c r="A2764" s="2"/>
    </row>
    <row r="2765" spans="1:1" x14ac:dyDescent="0.3">
      <c r="A2765" s="1"/>
    </row>
    <row r="2766" spans="1:1" x14ac:dyDescent="0.3">
      <c r="A2766" s="2"/>
    </row>
    <row r="2767" spans="1:1" x14ac:dyDescent="0.3">
      <c r="A2767" s="1"/>
    </row>
    <row r="2768" spans="1:1" x14ac:dyDescent="0.3">
      <c r="A2768" s="2"/>
    </row>
    <row r="2769" spans="1:1" x14ac:dyDescent="0.3">
      <c r="A2769" s="1"/>
    </row>
    <row r="2770" spans="1:1" x14ac:dyDescent="0.3">
      <c r="A2770" s="2"/>
    </row>
    <row r="2771" spans="1:1" x14ac:dyDescent="0.3">
      <c r="A2771" s="1"/>
    </row>
    <row r="2772" spans="1:1" x14ac:dyDescent="0.3">
      <c r="A2772" s="2"/>
    </row>
    <row r="2773" spans="1:1" x14ac:dyDescent="0.3">
      <c r="A2773" s="1"/>
    </row>
    <row r="2774" spans="1:1" x14ac:dyDescent="0.3">
      <c r="A2774" s="2"/>
    </row>
    <row r="2775" spans="1:1" x14ac:dyDescent="0.3">
      <c r="A2775" s="1"/>
    </row>
    <row r="2776" spans="1:1" x14ac:dyDescent="0.3">
      <c r="A2776" s="2"/>
    </row>
    <row r="2777" spans="1:1" x14ac:dyDescent="0.3">
      <c r="A2777" s="1"/>
    </row>
    <row r="2778" spans="1:1" x14ac:dyDescent="0.3">
      <c r="A2778" s="2"/>
    </row>
    <row r="2779" spans="1:1" x14ac:dyDescent="0.3">
      <c r="A2779" s="1"/>
    </row>
    <row r="2780" spans="1:1" x14ac:dyDescent="0.3">
      <c r="A2780" s="2"/>
    </row>
    <row r="2781" spans="1:1" x14ac:dyDescent="0.3">
      <c r="A2781" s="1"/>
    </row>
    <row r="2782" spans="1:1" x14ac:dyDescent="0.3">
      <c r="A2782" s="2"/>
    </row>
    <row r="2783" spans="1:1" x14ac:dyDescent="0.3">
      <c r="A2783" s="1"/>
    </row>
    <row r="2784" spans="1:1" x14ac:dyDescent="0.3">
      <c r="A2784" s="2"/>
    </row>
    <row r="2785" spans="1:1" x14ac:dyDescent="0.3">
      <c r="A2785" s="1"/>
    </row>
    <row r="2786" spans="1:1" x14ac:dyDescent="0.3">
      <c r="A2786" s="2"/>
    </row>
    <row r="2787" spans="1:1" x14ac:dyDescent="0.3">
      <c r="A2787" s="1"/>
    </row>
    <row r="2788" spans="1:1" x14ac:dyDescent="0.3">
      <c r="A2788" s="2"/>
    </row>
    <row r="2789" spans="1:1" x14ac:dyDescent="0.3">
      <c r="A2789" s="1"/>
    </row>
    <row r="2790" spans="1:1" x14ac:dyDescent="0.3">
      <c r="A2790" s="2"/>
    </row>
    <row r="2791" spans="1:1" x14ac:dyDescent="0.3">
      <c r="A2791" s="1"/>
    </row>
    <row r="2792" spans="1:1" x14ac:dyDescent="0.3">
      <c r="A2792" s="2"/>
    </row>
    <row r="2793" spans="1:1" x14ac:dyDescent="0.3">
      <c r="A2793" s="1"/>
    </row>
    <row r="2794" spans="1:1" x14ac:dyDescent="0.3">
      <c r="A2794" s="2"/>
    </row>
    <row r="2795" spans="1:1" x14ac:dyDescent="0.3">
      <c r="A2795" s="1"/>
    </row>
    <row r="2796" spans="1:1" x14ac:dyDescent="0.3">
      <c r="A2796" s="2"/>
    </row>
    <row r="2797" spans="1:1" x14ac:dyDescent="0.3">
      <c r="A2797" s="1"/>
    </row>
    <row r="2798" spans="1:1" x14ac:dyDescent="0.3">
      <c r="A2798" s="2"/>
    </row>
    <row r="2799" spans="1:1" x14ac:dyDescent="0.3">
      <c r="A2799" s="1"/>
    </row>
    <row r="2800" spans="1:1" x14ac:dyDescent="0.3">
      <c r="A2800" s="2"/>
    </row>
    <row r="2801" spans="1:1" x14ac:dyDescent="0.3">
      <c r="A2801" s="1"/>
    </row>
    <row r="2802" spans="1:1" x14ac:dyDescent="0.3">
      <c r="A2802" s="2"/>
    </row>
    <row r="2803" spans="1:1" x14ac:dyDescent="0.3">
      <c r="A2803" s="1"/>
    </row>
    <row r="2804" spans="1:1" x14ac:dyDescent="0.3">
      <c r="A2804" s="2"/>
    </row>
    <row r="2805" spans="1:1" x14ac:dyDescent="0.3">
      <c r="A2805" s="1"/>
    </row>
    <row r="2806" spans="1:1" x14ac:dyDescent="0.3">
      <c r="A2806" s="2"/>
    </row>
    <row r="2807" spans="1:1" x14ac:dyDescent="0.3">
      <c r="A2807" s="1"/>
    </row>
    <row r="2808" spans="1:1" x14ac:dyDescent="0.3">
      <c r="A2808" s="2"/>
    </row>
    <row r="2809" spans="1:1" x14ac:dyDescent="0.3">
      <c r="A2809" s="1"/>
    </row>
    <row r="2810" spans="1:1" x14ac:dyDescent="0.3">
      <c r="A2810" s="2"/>
    </row>
    <row r="2811" spans="1:1" x14ac:dyDescent="0.3">
      <c r="A2811" s="1"/>
    </row>
    <row r="2812" spans="1:1" x14ac:dyDescent="0.3">
      <c r="A2812" s="2"/>
    </row>
    <row r="2813" spans="1:1" x14ac:dyDescent="0.3">
      <c r="A2813" s="1"/>
    </row>
    <row r="2814" spans="1:1" x14ac:dyDescent="0.3">
      <c r="A2814" s="2"/>
    </row>
    <row r="2815" spans="1:1" x14ac:dyDescent="0.3">
      <c r="A2815" s="1"/>
    </row>
    <row r="2816" spans="1:1" x14ac:dyDescent="0.3">
      <c r="A2816" s="2"/>
    </row>
    <row r="2817" spans="1:1" x14ac:dyDescent="0.3">
      <c r="A2817" s="1"/>
    </row>
    <row r="2818" spans="1:1" x14ac:dyDescent="0.3">
      <c r="A2818" s="2"/>
    </row>
    <row r="2819" spans="1:1" x14ac:dyDescent="0.3">
      <c r="A2819" s="1"/>
    </row>
    <row r="2820" spans="1:1" x14ac:dyDescent="0.3">
      <c r="A2820" s="2"/>
    </row>
    <row r="2821" spans="1:1" x14ac:dyDescent="0.3">
      <c r="A2821" s="1"/>
    </row>
    <row r="2822" spans="1:1" x14ac:dyDescent="0.3">
      <c r="A2822" s="2"/>
    </row>
    <row r="2823" spans="1:1" x14ac:dyDescent="0.3">
      <c r="A2823" s="1"/>
    </row>
    <row r="2824" spans="1:1" x14ac:dyDescent="0.3">
      <c r="A2824" s="2"/>
    </row>
    <row r="2825" spans="1:1" x14ac:dyDescent="0.3">
      <c r="A2825" s="1"/>
    </row>
    <row r="2826" spans="1:1" x14ac:dyDescent="0.3">
      <c r="A2826" s="2"/>
    </row>
    <row r="2827" spans="1:1" x14ac:dyDescent="0.3">
      <c r="A2827" s="1"/>
    </row>
    <row r="2828" spans="1:1" x14ac:dyDescent="0.3">
      <c r="A2828" s="2"/>
    </row>
    <row r="2829" spans="1:1" x14ac:dyDescent="0.3">
      <c r="A2829" s="1"/>
    </row>
    <row r="2830" spans="1:1" x14ac:dyDescent="0.3">
      <c r="A2830" s="2"/>
    </row>
    <row r="2831" spans="1:1" x14ac:dyDescent="0.3">
      <c r="A2831" s="1"/>
    </row>
    <row r="2832" spans="1:1" x14ac:dyDescent="0.3">
      <c r="A2832" s="2"/>
    </row>
    <row r="2833" spans="1:1" x14ac:dyDescent="0.3">
      <c r="A2833" s="1"/>
    </row>
    <row r="2834" spans="1:1" x14ac:dyDescent="0.3">
      <c r="A2834" s="2"/>
    </row>
    <row r="2835" spans="1:1" x14ac:dyDescent="0.3">
      <c r="A2835" s="1"/>
    </row>
    <row r="2836" spans="1:1" x14ac:dyDescent="0.3">
      <c r="A2836" s="2"/>
    </row>
    <row r="2837" spans="1:1" x14ac:dyDescent="0.3">
      <c r="A2837" s="1"/>
    </row>
    <row r="2838" spans="1:1" x14ac:dyDescent="0.3">
      <c r="A2838" s="2"/>
    </row>
    <row r="2839" spans="1:1" x14ac:dyDescent="0.3">
      <c r="A2839" s="1"/>
    </row>
    <row r="2840" spans="1:1" x14ac:dyDescent="0.3">
      <c r="A2840" s="2"/>
    </row>
    <row r="2841" spans="1:1" x14ac:dyDescent="0.3">
      <c r="A2841" s="1"/>
    </row>
    <row r="2842" spans="1:1" x14ac:dyDescent="0.3">
      <c r="A2842" s="2"/>
    </row>
    <row r="2843" spans="1:1" x14ac:dyDescent="0.3">
      <c r="A2843" s="1"/>
    </row>
    <row r="2844" spans="1:1" x14ac:dyDescent="0.3">
      <c r="A2844" s="2"/>
    </row>
    <row r="2845" spans="1:1" x14ac:dyDescent="0.3">
      <c r="A2845" s="1"/>
    </row>
    <row r="2846" spans="1:1" x14ac:dyDescent="0.3">
      <c r="A2846" s="2"/>
    </row>
    <row r="2847" spans="1:1" x14ac:dyDescent="0.3">
      <c r="A2847" s="1"/>
    </row>
    <row r="2848" spans="1:1" x14ac:dyDescent="0.3">
      <c r="A2848" s="2"/>
    </row>
    <row r="2849" spans="1:1" x14ac:dyDescent="0.3">
      <c r="A2849" s="1"/>
    </row>
    <row r="2850" spans="1:1" x14ac:dyDescent="0.3">
      <c r="A2850" s="2"/>
    </row>
    <row r="2851" spans="1:1" x14ac:dyDescent="0.3">
      <c r="A2851" s="1"/>
    </row>
    <row r="2852" spans="1:1" x14ac:dyDescent="0.3">
      <c r="A2852" s="2"/>
    </row>
    <row r="2853" spans="1:1" x14ac:dyDescent="0.3">
      <c r="A2853" s="1"/>
    </row>
    <row r="2854" spans="1:1" x14ac:dyDescent="0.3">
      <c r="A2854" s="2"/>
    </row>
    <row r="2855" spans="1:1" x14ac:dyDescent="0.3">
      <c r="A2855" s="1"/>
    </row>
    <row r="2856" spans="1:1" x14ac:dyDescent="0.3">
      <c r="A2856" s="2"/>
    </row>
    <row r="2857" spans="1:1" x14ac:dyDescent="0.3">
      <c r="A2857" s="1"/>
    </row>
    <row r="2858" spans="1:1" x14ac:dyDescent="0.3">
      <c r="A2858" s="2"/>
    </row>
    <row r="2859" spans="1:1" x14ac:dyDescent="0.3">
      <c r="A2859" s="1"/>
    </row>
    <row r="2860" spans="1:1" x14ac:dyDescent="0.3">
      <c r="A2860" s="2"/>
    </row>
    <row r="2861" spans="1:1" x14ac:dyDescent="0.3">
      <c r="A2861" s="1"/>
    </row>
    <row r="2862" spans="1:1" x14ac:dyDescent="0.3">
      <c r="A2862" s="2"/>
    </row>
    <row r="2863" spans="1:1" x14ac:dyDescent="0.3">
      <c r="A2863" s="1"/>
    </row>
    <row r="2864" spans="1:1" x14ac:dyDescent="0.3">
      <c r="A2864" s="2"/>
    </row>
    <row r="2865" spans="1:1" x14ac:dyDescent="0.3">
      <c r="A2865" s="1"/>
    </row>
    <row r="2866" spans="1:1" x14ac:dyDescent="0.3">
      <c r="A2866" s="2"/>
    </row>
    <row r="2867" spans="1:1" x14ac:dyDescent="0.3">
      <c r="A2867" s="1"/>
    </row>
    <row r="2868" spans="1:1" x14ac:dyDescent="0.3">
      <c r="A2868" s="2"/>
    </row>
    <row r="2869" spans="1:1" x14ac:dyDescent="0.3">
      <c r="A2869" s="1"/>
    </row>
    <row r="2870" spans="1:1" x14ac:dyDescent="0.3">
      <c r="A2870" s="2"/>
    </row>
    <row r="2871" spans="1:1" x14ac:dyDescent="0.3">
      <c r="A2871" s="1"/>
    </row>
    <row r="2872" spans="1:1" x14ac:dyDescent="0.3">
      <c r="A2872" s="2"/>
    </row>
    <row r="2873" spans="1:1" x14ac:dyDescent="0.3">
      <c r="A2873" s="1"/>
    </row>
    <row r="2874" spans="1:1" x14ac:dyDescent="0.3">
      <c r="A2874" s="2"/>
    </row>
    <row r="2875" spans="1:1" x14ac:dyDescent="0.3">
      <c r="A2875" s="1"/>
    </row>
    <row r="2876" spans="1:1" x14ac:dyDescent="0.3">
      <c r="A2876" s="2"/>
    </row>
    <row r="2877" spans="1:1" x14ac:dyDescent="0.3">
      <c r="A2877" s="1"/>
    </row>
    <row r="2878" spans="1:1" x14ac:dyDescent="0.3">
      <c r="A2878" s="2"/>
    </row>
    <row r="2879" spans="1:1" x14ac:dyDescent="0.3">
      <c r="A2879" s="1"/>
    </row>
    <row r="2880" spans="1:1" x14ac:dyDescent="0.3">
      <c r="A2880" s="2"/>
    </row>
    <row r="2881" spans="1:1" x14ac:dyDescent="0.3">
      <c r="A2881" s="1"/>
    </row>
    <row r="2882" spans="1:1" x14ac:dyDescent="0.3">
      <c r="A2882" s="2"/>
    </row>
    <row r="2883" spans="1:1" x14ac:dyDescent="0.3">
      <c r="A2883" s="1"/>
    </row>
    <row r="2884" spans="1:1" x14ac:dyDescent="0.3">
      <c r="A2884" s="2"/>
    </row>
    <row r="2885" spans="1:1" x14ac:dyDescent="0.3">
      <c r="A2885" s="1"/>
    </row>
    <row r="2886" spans="1:1" x14ac:dyDescent="0.3">
      <c r="A2886" s="2"/>
    </row>
    <row r="2887" spans="1:1" x14ac:dyDescent="0.3">
      <c r="A2887" s="1"/>
    </row>
    <row r="2888" spans="1:1" x14ac:dyDescent="0.3">
      <c r="A2888" s="2"/>
    </row>
    <row r="2889" spans="1:1" x14ac:dyDescent="0.3">
      <c r="A2889" s="1"/>
    </row>
    <row r="2890" spans="1:1" x14ac:dyDescent="0.3">
      <c r="A2890" s="2"/>
    </row>
    <row r="2891" spans="1:1" x14ac:dyDescent="0.3">
      <c r="A2891" s="1"/>
    </row>
    <row r="2892" spans="1:1" x14ac:dyDescent="0.3">
      <c r="A2892" s="2"/>
    </row>
    <row r="2893" spans="1:1" x14ac:dyDescent="0.3">
      <c r="A2893" s="1"/>
    </row>
    <row r="2894" spans="1:1" x14ac:dyDescent="0.3">
      <c r="A2894" s="2"/>
    </row>
    <row r="2895" spans="1:1" x14ac:dyDescent="0.3">
      <c r="A2895" s="1"/>
    </row>
    <row r="2896" spans="1:1" x14ac:dyDescent="0.3">
      <c r="A2896" s="2"/>
    </row>
    <row r="2897" spans="1:1" x14ac:dyDescent="0.3">
      <c r="A2897" s="1"/>
    </row>
    <row r="2898" spans="1:1" x14ac:dyDescent="0.3">
      <c r="A2898" s="2"/>
    </row>
    <row r="2899" spans="1:1" x14ac:dyDescent="0.3">
      <c r="A2899" s="1"/>
    </row>
    <row r="2900" spans="1:1" x14ac:dyDescent="0.3">
      <c r="A2900" s="2"/>
    </row>
    <row r="2901" spans="1:1" x14ac:dyDescent="0.3">
      <c r="A2901" s="1"/>
    </row>
    <row r="2902" spans="1:1" x14ac:dyDescent="0.3">
      <c r="A2902" s="2"/>
    </row>
    <row r="2903" spans="1:1" x14ac:dyDescent="0.3">
      <c r="A2903" s="1"/>
    </row>
    <row r="2904" spans="1:1" x14ac:dyDescent="0.3">
      <c r="A2904" s="2"/>
    </row>
    <row r="2905" spans="1:1" x14ac:dyDescent="0.3">
      <c r="A2905" s="1"/>
    </row>
    <row r="2906" spans="1:1" x14ac:dyDescent="0.3">
      <c r="A2906" s="2"/>
    </row>
    <row r="2907" spans="1:1" x14ac:dyDescent="0.3">
      <c r="A2907" s="1"/>
    </row>
    <row r="2908" spans="1:1" x14ac:dyDescent="0.3">
      <c r="A2908" s="2"/>
    </row>
    <row r="2909" spans="1:1" x14ac:dyDescent="0.3">
      <c r="A2909" s="1"/>
    </row>
    <row r="2910" spans="1:1" x14ac:dyDescent="0.3">
      <c r="A2910" s="2"/>
    </row>
    <row r="2911" spans="1:1" x14ac:dyDescent="0.3">
      <c r="A2911" s="1"/>
    </row>
    <row r="2912" spans="1:1" x14ac:dyDescent="0.3">
      <c r="A2912" s="2"/>
    </row>
    <row r="2913" spans="1:1" x14ac:dyDescent="0.3">
      <c r="A2913" s="1"/>
    </row>
    <row r="2914" spans="1:1" x14ac:dyDescent="0.3">
      <c r="A2914" s="2"/>
    </row>
    <row r="2915" spans="1:1" x14ac:dyDescent="0.3">
      <c r="A2915" s="1"/>
    </row>
    <row r="2916" spans="1:1" x14ac:dyDescent="0.3">
      <c r="A2916" s="2"/>
    </row>
    <row r="2917" spans="1:1" x14ac:dyDescent="0.3">
      <c r="A2917" s="1"/>
    </row>
    <row r="2918" spans="1:1" x14ac:dyDescent="0.3">
      <c r="A2918" s="2"/>
    </row>
    <row r="2919" spans="1:1" x14ac:dyDescent="0.3">
      <c r="A2919" s="1"/>
    </row>
    <row r="2920" spans="1:1" x14ac:dyDescent="0.3">
      <c r="A2920" s="2"/>
    </row>
    <row r="2921" spans="1:1" x14ac:dyDescent="0.3">
      <c r="A2921" s="1"/>
    </row>
    <row r="2922" spans="1:1" x14ac:dyDescent="0.3">
      <c r="A2922" s="2"/>
    </row>
    <row r="2923" spans="1:1" x14ac:dyDescent="0.3">
      <c r="A2923" s="1"/>
    </row>
    <row r="2924" spans="1:1" x14ac:dyDescent="0.3">
      <c r="A2924" s="2"/>
    </row>
    <row r="2925" spans="1:1" x14ac:dyDescent="0.3">
      <c r="A2925" s="1"/>
    </row>
    <row r="2926" spans="1:1" x14ac:dyDescent="0.3">
      <c r="A2926" s="2"/>
    </row>
    <row r="2927" spans="1:1" x14ac:dyDescent="0.3">
      <c r="A2927" s="1"/>
    </row>
    <row r="2928" spans="1:1" x14ac:dyDescent="0.3">
      <c r="A2928" s="2"/>
    </row>
    <row r="2929" spans="1:1" x14ac:dyDescent="0.3">
      <c r="A2929" s="1"/>
    </row>
    <row r="2930" spans="1:1" x14ac:dyDescent="0.3">
      <c r="A2930" s="2"/>
    </row>
    <row r="2931" spans="1:1" x14ac:dyDescent="0.3">
      <c r="A2931" s="1"/>
    </row>
    <row r="2932" spans="1:1" x14ac:dyDescent="0.3">
      <c r="A2932" s="2"/>
    </row>
    <row r="2933" spans="1:1" x14ac:dyDescent="0.3">
      <c r="A2933" s="1"/>
    </row>
    <row r="2934" spans="1:1" x14ac:dyDescent="0.3">
      <c r="A2934" s="2"/>
    </row>
    <row r="2935" spans="1:1" x14ac:dyDescent="0.3">
      <c r="A2935" s="1"/>
    </row>
    <row r="2936" spans="1:1" x14ac:dyDescent="0.3">
      <c r="A2936" s="2"/>
    </row>
    <row r="2937" spans="1:1" x14ac:dyDescent="0.3">
      <c r="A2937" s="1"/>
    </row>
    <row r="2938" spans="1:1" x14ac:dyDescent="0.3">
      <c r="A2938" s="2"/>
    </row>
    <row r="2939" spans="1:1" x14ac:dyDescent="0.3">
      <c r="A2939" s="1"/>
    </row>
    <row r="2940" spans="1:1" x14ac:dyDescent="0.3">
      <c r="A2940" s="2"/>
    </row>
    <row r="2941" spans="1:1" x14ac:dyDescent="0.3">
      <c r="A2941" s="1"/>
    </row>
    <row r="2942" spans="1:1" x14ac:dyDescent="0.3">
      <c r="A2942" s="2"/>
    </row>
    <row r="2943" spans="1:1" x14ac:dyDescent="0.3">
      <c r="A2943" s="1"/>
    </row>
    <row r="2944" spans="1:1" x14ac:dyDescent="0.3">
      <c r="A2944" s="2"/>
    </row>
    <row r="2945" spans="1:1" x14ac:dyDescent="0.3">
      <c r="A2945" s="1"/>
    </row>
    <row r="2946" spans="1:1" x14ac:dyDescent="0.3">
      <c r="A2946" s="2"/>
    </row>
    <row r="2947" spans="1:1" x14ac:dyDescent="0.3">
      <c r="A2947" s="1"/>
    </row>
    <row r="2948" spans="1:1" x14ac:dyDescent="0.3">
      <c r="A2948" s="2"/>
    </row>
    <row r="2949" spans="1:1" x14ac:dyDescent="0.3">
      <c r="A2949" s="1"/>
    </row>
    <row r="2950" spans="1:1" x14ac:dyDescent="0.3">
      <c r="A2950" s="2"/>
    </row>
    <row r="2951" spans="1:1" x14ac:dyDescent="0.3">
      <c r="A2951" s="1"/>
    </row>
    <row r="2952" spans="1:1" x14ac:dyDescent="0.3">
      <c r="A2952" s="2"/>
    </row>
    <row r="2953" spans="1:1" x14ac:dyDescent="0.3">
      <c r="A2953" s="1"/>
    </row>
    <row r="2954" spans="1:1" x14ac:dyDescent="0.3">
      <c r="A2954" s="2"/>
    </row>
    <row r="2955" spans="1:1" x14ac:dyDescent="0.3">
      <c r="A2955" s="1"/>
    </row>
    <row r="2956" spans="1:1" x14ac:dyDescent="0.3">
      <c r="A2956" s="2"/>
    </row>
    <row r="2957" spans="1:1" x14ac:dyDescent="0.3">
      <c r="A2957" s="1"/>
    </row>
    <row r="2958" spans="1:1" x14ac:dyDescent="0.3">
      <c r="A2958" s="2"/>
    </row>
    <row r="2959" spans="1:1" x14ac:dyDescent="0.3">
      <c r="A2959" s="1"/>
    </row>
    <row r="2960" spans="1:1" x14ac:dyDescent="0.3">
      <c r="A2960" s="2"/>
    </row>
    <row r="2961" spans="1:1" x14ac:dyDescent="0.3">
      <c r="A2961" s="1"/>
    </row>
    <row r="2962" spans="1:1" x14ac:dyDescent="0.3">
      <c r="A2962" s="2"/>
    </row>
    <row r="2963" spans="1:1" x14ac:dyDescent="0.3">
      <c r="A2963" s="1"/>
    </row>
    <row r="2964" spans="1:1" x14ac:dyDescent="0.3">
      <c r="A2964" s="2"/>
    </row>
    <row r="2965" spans="1:1" x14ac:dyDescent="0.3">
      <c r="A2965" s="1"/>
    </row>
    <row r="2966" spans="1:1" x14ac:dyDescent="0.3">
      <c r="A2966" s="2"/>
    </row>
    <row r="2967" spans="1:1" x14ac:dyDescent="0.3">
      <c r="A2967" s="1"/>
    </row>
    <row r="2968" spans="1:1" x14ac:dyDescent="0.3">
      <c r="A2968" s="2"/>
    </row>
    <row r="2969" spans="1:1" x14ac:dyDescent="0.3">
      <c r="A2969" s="1"/>
    </row>
    <row r="2970" spans="1:1" x14ac:dyDescent="0.3">
      <c r="A2970" s="2"/>
    </row>
    <row r="2971" spans="1:1" x14ac:dyDescent="0.3">
      <c r="A2971" s="1"/>
    </row>
    <row r="2972" spans="1:1" x14ac:dyDescent="0.3">
      <c r="A2972" s="2"/>
    </row>
    <row r="2973" spans="1:1" x14ac:dyDescent="0.3">
      <c r="A2973" s="1"/>
    </row>
    <row r="2974" spans="1:1" x14ac:dyDescent="0.3">
      <c r="A2974" s="2"/>
    </row>
    <row r="2975" spans="1:1" x14ac:dyDescent="0.3">
      <c r="A2975" s="1"/>
    </row>
    <row r="2976" spans="1:1" x14ac:dyDescent="0.3">
      <c r="A2976" s="2"/>
    </row>
    <row r="2977" spans="1:1" x14ac:dyDescent="0.3">
      <c r="A2977" s="1"/>
    </row>
    <row r="2978" spans="1:1" x14ac:dyDescent="0.3">
      <c r="A2978" s="2"/>
    </row>
    <row r="2979" spans="1:1" x14ac:dyDescent="0.3">
      <c r="A2979" s="1"/>
    </row>
    <row r="2980" spans="1:1" x14ac:dyDescent="0.3">
      <c r="A2980" s="2"/>
    </row>
    <row r="2981" spans="1:1" x14ac:dyDescent="0.3">
      <c r="A2981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1B91-7B3E-4414-8805-7AF4EF8D1B2E}">
  <dimension ref="A1:G2986"/>
  <sheetViews>
    <sheetView workbookViewId="0">
      <selection activeCell="G2986" sqref="G2986"/>
    </sheetView>
  </sheetViews>
  <sheetFormatPr baseColWidth="10" defaultRowHeight="14.4" x14ac:dyDescent="0.3"/>
  <cols>
    <col min="1" max="1" width="11.88671875" customWidth="1"/>
    <col min="2" max="2" width="12.77734375" customWidth="1"/>
    <col min="3" max="3" width="15.21875" customWidth="1"/>
  </cols>
  <sheetData>
    <row r="1" spans="1:3" x14ac:dyDescent="0.3">
      <c r="A1" t="s">
        <v>6380</v>
      </c>
      <c r="B1" t="s">
        <v>6381</v>
      </c>
      <c r="C1" t="s">
        <v>6382</v>
      </c>
    </row>
    <row r="2" spans="1:3" x14ac:dyDescent="0.3">
      <c r="A2" t="s">
        <v>6339</v>
      </c>
      <c r="B2" s="4" t="s">
        <v>6361</v>
      </c>
      <c r="C2" t="s">
        <v>6339</v>
      </c>
    </row>
    <row r="3" spans="1:3" x14ac:dyDescent="0.3">
      <c r="A3" t="s">
        <v>6339</v>
      </c>
      <c r="B3" s="4" t="s">
        <v>6361</v>
      </c>
      <c r="C3" t="s">
        <v>6339</v>
      </c>
    </row>
    <row r="4" spans="1:3" x14ac:dyDescent="0.3">
      <c r="A4" t="s">
        <v>6339</v>
      </c>
      <c r="B4" s="4" t="s">
        <v>6361</v>
      </c>
      <c r="C4" t="s">
        <v>6339</v>
      </c>
    </row>
    <row r="5" spans="1:3" x14ac:dyDescent="0.3">
      <c r="A5" t="s">
        <v>6339</v>
      </c>
      <c r="B5" s="4" t="s">
        <v>6361</v>
      </c>
      <c r="C5" t="s">
        <v>6339</v>
      </c>
    </row>
    <row r="6" spans="1:3" x14ac:dyDescent="0.3">
      <c r="A6" t="s">
        <v>6339</v>
      </c>
      <c r="B6" s="4" t="s">
        <v>6361</v>
      </c>
      <c r="C6" t="s">
        <v>6339</v>
      </c>
    </row>
    <row r="7" spans="1:3" x14ac:dyDescent="0.3">
      <c r="A7" t="s">
        <v>6339</v>
      </c>
      <c r="B7" s="4" t="s">
        <v>6361</v>
      </c>
      <c r="C7" t="s">
        <v>6339</v>
      </c>
    </row>
    <row r="8" spans="1:3" x14ac:dyDescent="0.3">
      <c r="A8" t="s">
        <v>6339</v>
      </c>
      <c r="B8" s="4" t="s">
        <v>6361</v>
      </c>
      <c r="C8" t="s">
        <v>6339</v>
      </c>
    </row>
    <row r="9" spans="1:3" x14ac:dyDescent="0.3">
      <c r="A9" t="s">
        <v>6339</v>
      </c>
      <c r="B9" s="4" t="s">
        <v>6371</v>
      </c>
      <c r="C9" t="s">
        <v>6348</v>
      </c>
    </row>
    <row r="10" spans="1:3" x14ac:dyDescent="0.3">
      <c r="A10" t="s">
        <v>6339</v>
      </c>
      <c r="B10" s="4" t="s">
        <v>6371</v>
      </c>
      <c r="C10" t="s">
        <v>6339</v>
      </c>
    </row>
    <row r="11" spans="1:3" x14ac:dyDescent="0.3">
      <c r="A11" t="s">
        <v>6339</v>
      </c>
      <c r="B11" s="4" t="s">
        <v>6371</v>
      </c>
      <c r="C11" t="s">
        <v>6348</v>
      </c>
    </row>
    <row r="12" spans="1:3" x14ac:dyDescent="0.3">
      <c r="A12" t="s">
        <v>6339</v>
      </c>
      <c r="B12" s="4" t="s">
        <v>6371</v>
      </c>
      <c r="C12" t="s">
        <v>6348</v>
      </c>
    </row>
    <row r="13" spans="1:3" x14ac:dyDescent="0.3">
      <c r="A13" t="s">
        <v>6339</v>
      </c>
      <c r="B13" s="4" t="s">
        <v>6371</v>
      </c>
      <c r="C13" t="s">
        <v>6348</v>
      </c>
    </row>
    <row r="14" spans="1:3" x14ac:dyDescent="0.3">
      <c r="A14" t="s">
        <v>6339</v>
      </c>
      <c r="B14" s="4" t="s">
        <v>6371</v>
      </c>
      <c r="C14" t="s">
        <v>6348</v>
      </c>
    </row>
    <row r="15" spans="1:3" x14ac:dyDescent="0.3">
      <c r="A15" t="s">
        <v>6339</v>
      </c>
      <c r="B15" s="4" t="s">
        <v>6371</v>
      </c>
      <c r="C15" t="s">
        <v>6348</v>
      </c>
    </row>
    <row r="16" spans="1:3" x14ac:dyDescent="0.3">
      <c r="A16" t="s">
        <v>6339</v>
      </c>
      <c r="B16" s="4" t="s">
        <v>6371</v>
      </c>
      <c r="C16" t="s">
        <v>6348</v>
      </c>
    </row>
    <row r="17" spans="1:3" x14ac:dyDescent="0.3">
      <c r="A17" t="s">
        <v>6339</v>
      </c>
      <c r="B17" s="4" t="s">
        <v>6371</v>
      </c>
      <c r="C17" t="s">
        <v>6348</v>
      </c>
    </row>
    <row r="18" spans="1:3" x14ac:dyDescent="0.3">
      <c r="A18" t="s">
        <v>6339</v>
      </c>
      <c r="B18" s="4" t="s">
        <v>6371</v>
      </c>
      <c r="C18" t="s">
        <v>6348</v>
      </c>
    </row>
    <row r="19" spans="1:3" x14ac:dyDescent="0.3">
      <c r="A19" t="s">
        <v>6339</v>
      </c>
      <c r="B19" s="4" t="s">
        <v>6371</v>
      </c>
      <c r="C19" t="s">
        <v>6348</v>
      </c>
    </row>
    <row r="20" spans="1:3" x14ac:dyDescent="0.3">
      <c r="A20" t="s">
        <v>6339</v>
      </c>
      <c r="B20" s="4" t="s">
        <v>6371</v>
      </c>
      <c r="C20" t="s">
        <v>6339</v>
      </c>
    </row>
    <row r="21" spans="1:3" x14ac:dyDescent="0.3">
      <c r="A21" t="s">
        <v>6339</v>
      </c>
      <c r="B21" s="4" t="s">
        <v>6371</v>
      </c>
      <c r="C21" t="s">
        <v>6348</v>
      </c>
    </row>
    <row r="22" spans="1:3" x14ac:dyDescent="0.3">
      <c r="A22" t="s">
        <v>6339</v>
      </c>
      <c r="B22" s="4" t="s">
        <v>6371</v>
      </c>
      <c r="C22" t="s">
        <v>6348</v>
      </c>
    </row>
    <row r="23" spans="1:3" x14ac:dyDescent="0.3">
      <c r="A23" t="s">
        <v>6339</v>
      </c>
      <c r="B23" s="4" t="s">
        <v>6371</v>
      </c>
      <c r="C23" t="s">
        <v>6348</v>
      </c>
    </row>
    <row r="24" spans="1:3" x14ac:dyDescent="0.3">
      <c r="A24" t="s">
        <v>6339</v>
      </c>
      <c r="B24" s="4" t="s">
        <v>6371</v>
      </c>
      <c r="C24" t="s">
        <v>6348</v>
      </c>
    </row>
    <row r="25" spans="1:3" x14ac:dyDescent="0.3">
      <c r="A25" t="s">
        <v>6339</v>
      </c>
      <c r="B25" s="4" t="s">
        <v>6371</v>
      </c>
      <c r="C25" t="s">
        <v>6348</v>
      </c>
    </row>
    <row r="26" spans="1:3" x14ac:dyDescent="0.3">
      <c r="A26" t="s">
        <v>6339</v>
      </c>
      <c r="B26" s="4" t="s">
        <v>6371</v>
      </c>
      <c r="C26" t="s">
        <v>6339</v>
      </c>
    </row>
    <row r="27" spans="1:3" x14ac:dyDescent="0.3">
      <c r="A27" t="s">
        <v>6339</v>
      </c>
      <c r="B27" s="4" t="s">
        <v>6371</v>
      </c>
      <c r="C27" t="s">
        <v>6348</v>
      </c>
    </row>
    <row r="28" spans="1:3" x14ac:dyDescent="0.3">
      <c r="A28" t="s">
        <v>6339</v>
      </c>
      <c r="B28" s="4" t="s">
        <v>6371</v>
      </c>
      <c r="C28" t="s">
        <v>6348</v>
      </c>
    </row>
    <row r="29" spans="1:3" x14ac:dyDescent="0.3">
      <c r="A29" t="s">
        <v>6339</v>
      </c>
      <c r="B29" s="4" t="s">
        <v>6371</v>
      </c>
      <c r="C29" t="s">
        <v>6348</v>
      </c>
    </row>
    <row r="30" spans="1:3" x14ac:dyDescent="0.3">
      <c r="A30" t="s">
        <v>6339</v>
      </c>
      <c r="B30" s="4" t="s">
        <v>6371</v>
      </c>
      <c r="C30" t="s">
        <v>6339</v>
      </c>
    </row>
    <row r="31" spans="1:3" x14ac:dyDescent="0.3">
      <c r="A31" t="s">
        <v>6339</v>
      </c>
      <c r="B31" s="4" t="s">
        <v>6371</v>
      </c>
      <c r="C31" t="s">
        <v>6348</v>
      </c>
    </row>
    <row r="32" spans="1:3" x14ac:dyDescent="0.3">
      <c r="A32" t="s">
        <v>6339</v>
      </c>
      <c r="B32" s="4" t="s">
        <v>6371</v>
      </c>
      <c r="C32" t="s">
        <v>6348</v>
      </c>
    </row>
    <row r="33" spans="1:3" x14ac:dyDescent="0.3">
      <c r="A33" t="s">
        <v>6339</v>
      </c>
      <c r="B33" s="4" t="s">
        <v>6371</v>
      </c>
      <c r="C33" t="s">
        <v>6339</v>
      </c>
    </row>
    <row r="34" spans="1:3" x14ac:dyDescent="0.3">
      <c r="A34" t="s">
        <v>6339</v>
      </c>
      <c r="B34" s="4" t="s">
        <v>6371</v>
      </c>
      <c r="C34" t="s">
        <v>6348</v>
      </c>
    </row>
    <row r="35" spans="1:3" x14ac:dyDescent="0.3">
      <c r="A35" t="s">
        <v>6339</v>
      </c>
      <c r="B35" s="4" t="s">
        <v>6371</v>
      </c>
      <c r="C35" t="s">
        <v>6348</v>
      </c>
    </row>
    <row r="36" spans="1:3" x14ac:dyDescent="0.3">
      <c r="A36" t="s">
        <v>6339</v>
      </c>
      <c r="B36" s="4" t="s">
        <v>6371</v>
      </c>
      <c r="C36" t="s">
        <v>6348</v>
      </c>
    </row>
    <row r="37" spans="1:3" x14ac:dyDescent="0.3">
      <c r="A37" t="s">
        <v>6339</v>
      </c>
      <c r="B37" s="4" t="s">
        <v>6371</v>
      </c>
      <c r="C37" t="s">
        <v>6348</v>
      </c>
    </row>
    <row r="38" spans="1:3" x14ac:dyDescent="0.3">
      <c r="A38" t="s">
        <v>6339</v>
      </c>
      <c r="B38" s="4" t="s">
        <v>6371</v>
      </c>
      <c r="C38" t="s">
        <v>6348</v>
      </c>
    </row>
    <row r="39" spans="1:3" x14ac:dyDescent="0.3">
      <c r="A39" t="s">
        <v>6339</v>
      </c>
      <c r="B39" s="4" t="s">
        <v>6371</v>
      </c>
      <c r="C39" t="s">
        <v>6348</v>
      </c>
    </row>
    <row r="40" spans="1:3" x14ac:dyDescent="0.3">
      <c r="A40" t="s">
        <v>6339</v>
      </c>
      <c r="B40" s="4" t="s">
        <v>6371</v>
      </c>
      <c r="C40" t="s">
        <v>6339</v>
      </c>
    </row>
    <row r="41" spans="1:3" x14ac:dyDescent="0.3">
      <c r="A41" t="s">
        <v>6339</v>
      </c>
      <c r="B41" s="4" t="s">
        <v>6371</v>
      </c>
      <c r="C41" t="s">
        <v>6339</v>
      </c>
    </row>
    <row r="42" spans="1:3" x14ac:dyDescent="0.3">
      <c r="A42" t="s">
        <v>6339</v>
      </c>
      <c r="B42" s="4" t="s">
        <v>6371</v>
      </c>
      <c r="C42" t="s">
        <v>6348</v>
      </c>
    </row>
    <row r="43" spans="1:3" x14ac:dyDescent="0.3">
      <c r="A43" t="s">
        <v>6339</v>
      </c>
      <c r="B43" s="4" t="s">
        <v>6371</v>
      </c>
      <c r="C43" t="s">
        <v>6339</v>
      </c>
    </row>
    <row r="44" spans="1:3" x14ac:dyDescent="0.3">
      <c r="A44" t="s">
        <v>6339</v>
      </c>
      <c r="B44" s="4" t="s">
        <v>6371</v>
      </c>
      <c r="C44" t="s">
        <v>6339</v>
      </c>
    </row>
    <row r="45" spans="1:3" x14ac:dyDescent="0.3">
      <c r="A45" t="s">
        <v>6339</v>
      </c>
      <c r="B45" s="4" t="s">
        <v>6371</v>
      </c>
      <c r="C45" t="s">
        <v>6339</v>
      </c>
    </row>
    <row r="46" spans="1:3" x14ac:dyDescent="0.3">
      <c r="A46" t="s">
        <v>6339</v>
      </c>
      <c r="B46" s="4" t="s">
        <v>6371</v>
      </c>
      <c r="C46" t="s">
        <v>6339</v>
      </c>
    </row>
    <row r="47" spans="1:3" x14ac:dyDescent="0.3">
      <c r="A47" t="s">
        <v>6339</v>
      </c>
      <c r="B47" s="4" t="s">
        <v>6371</v>
      </c>
      <c r="C47" t="s">
        <v>6339</v>
      </c>
    </row>
    <row r="48" spans="1:3" x14ac:dyDescent="0.3">
      <c r="A48" t="s">
        <v>6339</v>
      </c>
      <c r="B48" s="4" t="s">
        <v>6371</v>
      </c>
      <c r="C48" t="s">
        <v>6339</v>
      </c>
    </row>
    <row r="49" spans="1:3" x14ac:dyDescent="0.3">
      <c r="A49" t="s">
        <v>6339</v>
      </c>
      <c r="B49" s="4" t="s">
        <v>6371</v>
      </c>
      <c r="C49" t="s">
        <v>6339</v>
      </c>
    </row>
    <row r="50" spans="1:3" x14ac:dyDescent="0.3">
      <c r="A50" t="s">
        <v>6339</v>
      </c>
      <c r="B50" s="4" t="s">
        <v>6371</v>
      </c>
      <c r="C50" t="s">
        <v>6339</v>
      </c>
    </row>
    <row r="51" spans="1:3" x14ac:dyDescent="0.3">
      <c r="A51" t="s">
        <v>6339</v>
      </c>
      <c r="B51" s="4" t="s">
        <v>6371</v>
      </c>
      <c r="C51" t="s">
        <v>6339</v>
      </c>
    </row>
    <row r="52" spans="1:3" x14ac:dyDescent="0.3">
      <c r="A52" t="s">
        <v>6339</v>
      </c>
      <c r="B52" s="4" t="s">
        <v>6371</v>
      </c>
      <c r="C52" t="s">
        <v>6339</v>
      </c>
    </row>
    <row r="53" spans="1:3" x14ac:dyDescent="0.3">
      <c r="A53" t="s">
        <v>6339</v>
      </c>
      <c r="B53" s="4" t="s">
        <v>6371</v>
      </c>
      <c r="C53" t="s">
        <v>6348</v>
      </c>
    </row>
    <row r="54" spans="1:3" x14ac:dyDescent="0.3">
      <c r="A54" t="s">
        <v>6339</v>
      </c>
      <c r="B54" s="4" t="s">
        <v>6371</v>
      </c>
      <c r="C54" t="s">
        <v>6348</v>
      </c>
    </row>
    <row r="55" spans="1:3" x14ac:dyDescent="0.3">
      <c r="A55" t="s">
        <v>6339</v>
      </c>
      <c r="B55" s="4" t="s">
        <v>6371</v>
      </c>
      <c r="C55" t="s">
        <v>6348</v>
      </c>
    </row>
    <row r="56" spans="1:3" x14ac:dyDescent="0.3">
      <c r="A56" t="s">
        <v>6339</v>
      </c>
      <c r="B56" s="4" t="s">
        <v>6371</v>
      </c>
      <c r="C56" t="s">
        <v>6348</v>
      </c>
    </row>
    <row r="57" spans="1:3" x14ac:dyDescent="0.3">
      <c r="A57" t="s">
        <v>6339</v>
      </c>
      <c r="B57" s="4" t="s">
        <v>6371</v>
      </c>
      <c r="C57" t="s">
        <v>6348</v>
      </c>
    </row>
    <row r="58" spans="1:3" x14ac:dyDescent="0.3">
      <c r="A58" t="s">
        <v>6339</v>
      </c>
      <c r="B58" s="4" t="s">
        <v>6371</v>
      </c>
      <c r="C58" t="s">
        <v>6348</v>
      </c>
    </row>
    <row r="59" spans="1:3" x14ac:dyDescent="0.3">
      <c r="A59" t="s">
        <v>6339</v>
      </c>
      <c r="B59" s="4" t="s">
        <v>6371</v>
      </c>
      <c r="C59" t="s">
        <v>6348</v>
      </c>
    </row>
    <row r="60" spans="1:3" x14ac:dyDescent="0.3">
      <c r="A60" t="s">
        <v>6339</v>
      </c>
      <c r="B60" s="4" t="s">
        <v>6371</v>
      </c>
      <c r="C60" t="s">
        <v>6348</v>
      </c>
    </row>
    <row r="61" spans="1:3" x14ac:dyDescent="0.3">
      <c r="A61" t="s">
        <v>6339</v>
      </c>
      <c r="B61" s="4" t="s">
        <v>6371</v>
      </c>
      <c r="C61" t="s">
        <v>6348</v>
      </c>
    </row>
    <row r="62" spans="1:3" x14ac:dyDescent="0.3">
      <c r="A62" t="s">
        <v>6339</v>
      </c>
      <c r="B62" s="4" t="s">
        <v>6371</v>
      </c>
      <c r="C62" t="s">
        <v>6339</v>
      </c>
    </row>
    <row r="63" spans="1:3" x14ac:dyDescent="0.3">
      <c r="A63" t="s">
        <v>6339</v>
      </c>
      <c r="B63" s="4" t="s">
        <v>6371</v>
      </c>
      <c r="C63" t="s">
        <v>6339</v>
      </c>
    </row>
    <row r="64" spans="1:3" x14ac:dyDescent="0.3">
      <c r="A64" t="s">
        <v>6339</v>
      </c>
      <c r="B64" s="4" t="s">
        <v>6371</v>
      </c>
      <c r="C64" t="s">
        <v>6339</v>
      </c>
    </row>
    <row r="65" spans="1:3" x14ac:dyDescent="0.3">
      <c r="A65" t="s">
        <v>6339</v>
      </c>
      <c r="B65" s="4" t="s">
        <v>6371</v>
      </c>
      <c r="C65" t="s">
        <v>6339</v>
      </c>
    </row>
    <row r="66" spans="1:3" x14ac:dyDescent="0.3">
      <c r="A66" t="s">
        <v>6339</v>
      </c>
      <c r="B66" s="4" t="s">
        <v>6371</v>
      </c>
      <c r="C66" t="s">
        <v>6339</v>
      </c>
    </row>
    <row r="67" spans="1:3" x14ac:dyDescent="0.3">
      <c r="A67" t="s">
        <v>6339</v>
      </c>
      <c r="B67" s="4" t="s">
        <v>6371</v>
      </c>
      <c r="C67" t="s">
        <v>6339</v>
      </c>
    </row>
    <row r="68" spans="1:3" x14ac:dyDescent="0.3">
      <c r="A68" t="s">
        <v>6339</v>
      </c>
      <c r="B68" s="4" t="s">
        <v>6371</v>
      </c>
      <c r="C68" t="s">
        <v>6339</v>
      </c>
    </row>
    <row r="69" spans="1:3" x14ac:dyDescent="0.3">
      <c r="A69" t="s">
        <v>6339</v>
      </c>
      <c r="B69" s="4" t="s">
        <v>6371</v>
      </c>
      <c r="C69" t="s">
        <v>6348</v>
      </c>
    </row>
    <row r="70" spans="1:3" x14ac:dyDescent="0.3">
      <c r="A70" t="s">
        <v>6339</v>
      </c>
      <c r="B70" s="4" t="s">
        <v>6371</v>
      </c>
      <c r="C70" t="s">
        <v>6348</v>
      </c>
    </row>
    <row r="71" spans="1:3" x14ac:dyDescent="0.3">
      <c r="A71" t="s">
        <v>6339</v>
      </c>
      <c r="B71" s="4" t="s">
        <v>6371</v>
      </c>
      <c r="C71" t="s">
        <v>6348</v>
      </c>
    </row>
    <row r="72" spans="1:3" x14ac:dyDescent="0.3">
      <c r="A72" t="s">
        <v>6339</v>
      </c>
      <c r="B72" s="4" t="s">
        <v>6371</v>
      </c>
      <c r="C72" t="s">
        <v>6348</v>
      </c>
    </row>
    <row r="73" spans="1:3" x14ac:dyDescent="0.3">
      <c r="A73" t="s">
        <v>6339</v>
      </c>
      <c r="B73" s="4" t="s">
        <v>6371</v>
      </c>
      <c r="C73" t="s">
        <v>6348</v>
      </c>
    </row>
    <row r="74" spans="1:3" x14ac:dyDescent="0.3">
      <c r="A74" t="s">
        <v>6339</v>
      </c>
      <c r="B74" s="4" t="s">
        <v>6371</v>
      </c>
      <c r="C74" t="s">
        <v>6348</v>
      </c>
    </row>
    <row r="75" spans="1:3" x14ac:dyDescent="0.3">
      <c r="A75" t="s">
        <v>6339</v>
      </c>
      <c r="B75" s="4" t="s">
        <v>6371</v>
      </c>
      <c r="C75" t="s">
        <v>6348</v>
      </c>
    </row>
    <row r="76" spans="1:3" x14ac:dyDescent="0.3">
      <c r="A76" t="s">
        <v>6339</v>
      </c>
      <c r="B76" s="4" t="s">
        <v>6371</v>
      </c>
      <c r="C76" t="s">
        <v>6348</v>
      </c>
    </row>
    <row r="77" spans="1:3" x14ac:dyDescent="0.3">
      <c r="A77" t="s">
        <v>6339</v>
      </c>
      <c r="B77" s="4" t="s">
        <v>6371</v>
      </c>
      <c r="C77" t="s">
        <v>6348</v>
      </c>
    </row>
    <row r="78" spans="1:3" x14ac:dyDescent="0.3">
      <c r="A78" t="s">
        <v>6339</v>
      </c>
      <c r="B78" s="4" t="s">
        <v>6371</v>
      </c>
      <c r="C78" t="s">
        <v>6348</v>
      </c>
    </row>
    <row r="79" spans="1:3" x14ac:dyDescent="0.3">
      <c r="A79" t="s">
        <v>6339</v>
      </c>
      <c r="B79" s="4" t="s">
        <v>6371</v>
      </c>
      <c r="C79" t="s">
        <v>6348</v>
      </c>
    </row>
    <row r="80" spans="1:3" x14ac:dyDescent="0.3">
      <c r="A80" t="s">
        <v>6339</v>
      </c>
      <c r="B80" s="4" t="s">
        <v>6371</v>
      </c>
      <c r="C80" t="s">
        <v>6348</v>
      </c>
    </row>
    <row r="81" spans="1:3" x14ac:dyDescent="0.3">
      <c r="A81" t="s">
        <v>6339</v>
      </c>
      <c r="B81" s="4" t="s">
        <v>6371</v>
      </c>
      <c r="C81" t="s">
        <v>6348</v>
      </c>
    </row>
    <row r="82" spans="1:3" x14ac:dyDescent="0.3">
      <c r="A82" t="s">
        <v>6339</v>
      </c>
      <c r="B82" s="4" t="s">
        <v>6371</v>
      </c>
      <c r="C82" t="s">
        <v>6348</v>
      </c>
    </row>
    <row r="83" spans="1:3" x14ac:dyDescent="0.3">
      <c r="A83" t="s">
        <v>6339</v>
      </c>
      <c r="B83" s="4" t="s">
        <v>6371</v>
      </c>
      <c r="C83" t="s">
        <v>6348</v>
      </c>
    </row>
    <row r="84" spans="1:3" x14ac:dyDescent="0.3">
      <c r="A84" t="s">
        <v>6339</v>
      </c>
      <c r="B84" s="4" t="s">
        <v>6371</v>
      </c>
      <c r="C84" t="s">
        <v>6348</v>
      </c>
    </row>
    <row r="85" spans="1:3" x14ac:dyDescent="0.3">
      <c r="A85" t="s">
        <v>6339</v>
      </c>
      <c r="B85" s="4" t="s">
        <v>6371</v>
      </c>
      <c r="C85" t="s">
        <v>6348</v>
      </c>
    </row>
    <row r="86" spans="1:3" x14ac:dyDescent="0.3">
      <c r="A86" t="s">
        <v>6339</v>
      </c>
      <c r="B86" s="4" t="s">
        <v>6371</v>
      </c>
      <c r="C86" t="s">
        <v>6348</v>
      </c>
    </row>
    <row r="87" spans="1:3" x14ac:dyDescent="0.3">
      <c r="A87" t="s">
        <v>6339</v>
      </c>
      <c r="B87" s="4" t="s">
        <v>6371</v>
      </c>
      <c r="C87" t="s">
        <v>6348</v>
      </c>
    </row>
    <row r="88" spans="1:3" x14ac:dyDescent="0.3">
      <c r="A88" t="s">
        <v>6339</v>
      </c>
      <c r="B88" s="4" t="s">
        <v>6371</v>
      </c>
      <c r="C88" t="s">
        <v>6348</v>
      </c>
    </row>
    <row r="89" spans="1:3" x14ac:dyDescent="0.3">
      <c r="A89" t="s">
        <v>6339</v>
      </c>
      <c r="B89" s="4" t="s">
        <v>6371</v>
      </c>
      <c r="C89" t="s">
        <v>6348</v>
      </c>
    </row>
    <row r="90" spans="1:3" x14ac:dyDescent="0.3">
      <c r="A90" t="s">
        <v>6339</v>
      </c>
      <c r="B90" s="4" t="s">
        <v>6371</v>
      </c>
      <c r="C90" t="s">
        <v>6339</v>
      </c>
    </row>
    <row r="91" spans="1:3" x14ac:dyDescent="0.3">
      <c r="A91" t="s">
        <v>6339</v>
      </c>
      <c r="B91" s="4" t="s">
        <v>6371</v>
      </c>
      <c r="C91" t="s">
        <v>6348</v>
      </c>
    </row>
    <row r="92" spans="1:3" x14ac:dyDescent="0.3">
      <c r="A92" t="s">
        <v>6339</v>
      </c>
      <c r="B92" s="4" t="s">
        <v>6371</v>
      </c>
      <c r="C92" t="s">
        <v>6348</v>
      </c>
    </row>
    <row r="93" spans="1:3" x14ac:dyDescent="0.3">
      <c r="A93" t="s">
        <v>6339</v>
      </c>
      <c r="B93" s="4" t="s">
        <v>6371</v>
      </c>
      <c r="C93" t="s">
        <v>6348</v>
      </c>
    </row>
    <row r="94" spans="1:3" x14ac:dyDescent="0.3">
      <c r="A94" t="s">
        <v>6339</v>
      </c>
      <c r="B94" s="4" t="s">
        <v>6371</v>
      </c>
      <c r="C94" t="s">
        <v>6348</v>
      </c>
    </row>
    <row r="95" spans="1:3" x14ac:dyDescent="0.3">
      <c r="A95" t="s">
        <v>6339</v>
      </c>
      <c r="B95" s="4" t="s">
        <v>6371</v>
      </c>
      <c r="C95" t="s">
        <v>6348</v>
      </c>
    </row>
    <row r="96" spans="1:3" x14ac:dyDescent="0.3">
      <c r="A96" t="s">
        <v>6339</v>
      </c>
      <c r="B96" s="4" t="s">
        <v>6371</v>
      </c>
      <c r="C96" t="s">
        <v>6348</v>
      </c>
    </row>
    <row r="97" spans="1:3" x14ac:dyDescent="0.3">
      <c r="A97" t="s">
        <v>6339</v>
      </c>
      <c r="B97" s="4" t="s">
        <v>6371</v>
      </c>
      <c r="C97" t="s">
        <v>6348</v>
      </c>
    </row>
    <row r="98" spans="1:3" x14ac:dyDescent="0.3">
      <c r="A98" t="s">
        <v>6339</v>
      </c>
      <c r="B98" s="4" t="s">
        <v>6371</v>
      </c>
      <c r="C98" t="s">
        <v>6348</v>
      </c>
    </row>
    <row r="99" spans="1:3" x14ac:dyDescent="0.3">
      <c r="A99" t="s">
        <v>6339</v>
      </c>
      <c r="B99" s="4" t="s">
        <v>6371</v>
      </c>
      <c r="C99" t="s">
        <v>6348</v>
      </c>
    </row>
    <row r="100" spans="1:3" x14ac:dyDescent="0.3">
      <c r="A100" t="s">
        <v>6339</v>
      </c>
      <c r="B100" s="4" t="s">
        <v>6371</v>
      </c>
      <c r="C100" t="s">
        <v>6348</v>
      </c>
    </row>
    <row r="101" spans="1:3" x14ac:dyDescent="0.3">
      <c r="A101" t="s">
        <v>6339</v>
      </c>
      <c r="B101" s="4" t="s">
        <v>6371</v>
      </c>
      <c r="C101" t="s">
        <v>6348</v>
      </c>
    </row>
    <row r="102" spans="1:3" x14ac:dyDescent="0.3">
      <c r="A102" t="s">
        <v>6339</v>
      </c>
      <c r="B102" s="4" t="s">
        <v>6371</v>
      </c>
      <c r="C102" t="s">
        <v>6348</v>
      </c>
    </row>
    <row r="103" spans="1:3" x14ac:dyDescent="0.3">
      <c r="A103" t="s">
        <v>6339</v>
      </c>
      <c r="B103" s="4" t="s">
        <v>6371</v>
      </c>
      <c r="C103" t="s">
        <v>6348</v>
      </c>
    </row>
    <row r="104" spans="1:3" x14ac:dyDescent="0.3">
      <c r="A104" t="s">
        <v>6339</v>
      </c>
      <c r="B104" s="4" t="s">
        <v>6371</v>
      </c>
      <c r="C104" t="s">
        <v>6339</v>
      </c>
    </row>
    <row r="105" spans="1:3" x14ac:dyDescent="0.3">
      <c r="A105" t="s">
        <v>6339</v>
      </c>
      <c r="B105" s="4" t="s">
        <v>6371</v>
      </c>
      <c r="C105" t="s">
        <v>6339</v>
      </c>
    </row>
    <row r="106" spans="1:3" x14ac:dyDescent="0.3">
      <c r="A106" t="s">
        <v>6339</v>
      </c>
      <c r="B106" s="4" t="s">
        <v>6371</v>
      </c>
      <c r="C106" t="s">
        <v>6348</v>
      </c>
    </row>
    <row r="107" spans="1:3" x14ac:dyDescent="0.3">
      <c r="A107" t="s">
        <v>6339</v>
      </c>
      <c r="B107" s="4" t="s">
        <v>6371</v>
      </c>
      <c r="C107" t="s">
        <v>6348</v>
      </c>
    </row>
    <row r="108" spans="1:3" x14ac:dyDescent="0.3">
      <c r="A108" t="s">
        <v>6339</v>
      </c>
      <c r="B108" s="4" t="s">
        <v>6371</v>
      </c>
      <c r="C108" t="s">
        <v>6348</v>
      </c>
    </row>
    <row r="109" spans="1:3" x14ac:dyDescent="0.3">
      <c r="A109" t="s">
        <v>6339</v>
      </c>
      <c r="B109" s="4" t="s">
        <v>6371</v>
      </c>
      <c r="C109" t="s">
        <v>6348</v>
      </c>
    </row>
    <row r="110" spans="1:3" x14ac:dyDescent="0.3">
      <c r="A110" t="s">
        <v>6339</v>
      </c>
      <c r="B110" s="4" t="s">
        <v>6371</v>
      </c>
      <c r="C110" t="s">
        <v>6348</v>
      </c>
    </row>
    <row r="111" spans="1:3" x14ac:dyDescent="0.3">
      <c r="A111" t="s">
        <v>6339</v>
      </c>
      <c r="B111" s="4" t="s">
        <v>6371</v>
      </c>
      <c r="C111" t="s">
        <v>6348</v>
      </c>
    </row>
    <row r="112" spans="1:3" x14ac:dyDescent="0.3">
      <c r="A112" t="s">
        <v>6339</v>
      </c>
      <c r="B112" s="4" t="s">
        <v>6371</v>
      </c>
      <c r="C112" t="s">
        <v>6348</v>
      </c>
    </row>
    <row r="113" spans="1:3" x14ac:dyDescent="0.3">
      <c r="A113" t="s">
        <v>6339</v>
      </c>
      <c r="B113" s="4" t="s">
        <v>6371</v>
      </c>
      <c r="C113" t="s">
        <v>6348</v>
      </c>
    </row>
    <row r="114" spans="1:3" x14ac:dyDescent="0.3">
      <c r="A114" t="s">
        <v>6339</v>
      </c>
      <c r="B114" s="4" t="s">
        <v>6371</v>
      </c>
      <c r="C114" t="s">
        <v>6348</v>
      </c>
    </row>
    <row r="115" spans="1:3" x14ac:dyDescent="0.3">
      <c r="A115" t="s">
        <v>6339</v>
      </c>
      <c r="B115" s="4" t="s">
        <v>6371</v>
      </c>
      <c r="C115" t="s">
        <v>6348</v>
      </c>
    </row>
    <row r="116" spans="1:3" x14ac:dyDescent="0.3">
      <c r="A116" t="s">
        <v>6339</v>
      </c>
      <c r="B116" s="4" t="s">
        <v>6371</v>
      </c>
      <c r="C116" t="s">
        <v>6348</v>
      </c>
    </row>
    <row r="117" spans="1:3" x14ac:dyDescent="0.3">
      <c r="A117" t="s">
        <v>6339</v>
      </c>
      <c r="B117" s="4" t="s">
        <v>6357</v>
      </c>
      <c r="C117" t="s">
        <v>6358</v>
      </c>
    </row>
    <row r="118" spans="1:3" x14ac:dyDescent="0.3">
      <c r="A118" t="s">
        <v>6339</v>
      </c>
      <c r="B118" s="4" t="s">
        <v>6357</v>
      </c>
      <c r="C118" t="s">
        <v>6339</v>
      </c>
    </row>
    <row r="119" spans="1:3" x14ac:dyDescent="0.3">
      <c r="A119" t="s">
        <v>6339</v>
      </c>
      <c r="B119" s="4" t="s">
        <v>6357</v>
      </c>
      <c r="C119" t="s">
        <v>6348</v>
      </c>
    </row>
    <row r="120" spans="1:3" x14ac:dyDescent="0.3">
      <c r="A120" t="s">
        <v>6339</v>
      </c>
      <c r="B120" s="4" t="s">
        <v>6357</v>
      </c>
      <c r="C120" t="s">
        <v>6339</v>
      </c>
    </row>
    <row r="121" spans="1:3" x14ac:dyDescent="0.3">
      <c r="A121" t="s">
        <v>6339</v>
      </c>
      <c r="B121" s="4" t="s">
        <v>6357</v>
      </c>
      <c r="C121" t="s">
        <v>6348</v>
      </c>
    </row>
    <row r="122" spans="1:3" x14ac:dyDescent="0.3">
      <c r="A122" t="s">
        <v>6339</v>
      </c>
      <c r="B122" s="4" t="s">
        <v>6357</v>
      </c>
      <c r="C122" t="s">
        <v>6358</v>
      </c>
    </row>
    <row r="123" spans="1:3" x14ac:dyDescent="0.3">
      <c r="A123" t="s">
        <v>6339</v>
      </c>
      <c r="B123" s="4" t="s">
        <v>6357</v>
      </c>
      <c r="C123" t="s">
        <v>6358</v>
      </c>
    </row>
    <row r="124" spans="1:3" x14ac:dyDescent="0.3">
      <c r="A124" t="s">
        <v>6339</v>
      </c>
      <c r="B124" s="4" t="s">
        <v>6357</v>
      </c>
      <c r="C124" t="s">
        <v>6339</v>
      </c>
    </row>
    <row r="125" spans="1:3" x14ac:dyDescent="0.3">
      <c r="A125" t="s">
        <v>6339</v>
      </c>
      <c r="B125" s="4" t="s">
        <v>6357</v>
      </c>
      <c r="C125" t="s">
        <v>6339</v>
      </c>
    </row>
    <row r="126" spans="1:3" x14ac:dyDescent="0.3">
      <c r="A126" t="s">
        <v>6339</v>
      </c>
      <c r="B126" s="4" t="s">
        <v>6357</v>
      </c>
      <c r="C126" t="s">
        <v>6358</v>
      </c>
    </row>
    <row r="127" spans="1:3" x14ac:dyDescent="0.3">
      <c r="A127" t="s">
        <v>6339</v>
      </c>
      <c r="B127" s="4" t="s">
        <v>6357</v>
      </c>
      <c r="C127" t="s">
        <v>6345</v>
      </c>
    </row>
    <row r="128" spans="1:3" x14ac:dyDescent="0.3">
      <c r="A128" t="s">
        <v>6339</v>
      </c>
      <c r="B128" s="4" t="s">
        <v>6357</v>
      </c>
      <c r="C128" t="s">
        <v>6345</v>
      </c>
    </row>
    <row r="129" spans="1:3" x14ac:dyDescent="0.3">
      <c r="A129" t="s">
        <v>6339</v>
      </c>
      <c r="B129" s="4" t="s">
        <v>6357</v>
      </c>
      <c r="C129" t="s">
        <v>6345</v>
      </c>
    </row>
    <row r="130" spans="1:3" x14ac:dyDescent="0.3">
      <c r="A130" t="s">
        <v>6339</v>
      </c>
      <c r="B130" s="4" t="s">
        <v>6357</v>
      </c>
      <c r="C130" t="s">
        <v>6358</v>
      </c>
    </row>
    <row r="131" spans="1:3" x14ac:dyDescent="0.3">
      <c r="A131" t="s">
        <v>6339</v>
      </c>
      <c r="B131" s="4" t="s">
        <v>6357</v>
      </c>
      <c r="C131" t="s">
        <v>6339</v>
      </c>
    </row>
    <row r="132" spans="1:3" x14ac:dyDescent="0.3">
      <c r="A132" t="s">
        <v>6339</v>
      </c>
      <c r="B132" s="4" t="s">
        <v>6357</v>
      </c>
      <c r="C132" t="s">
        <v>6339</v>
      </c>
    </row>
    <row r="133" spans="1:3" x14ac:dyDescent="0.3">
      <c r="A133" t="s">
        <v>6339</v>
      </c>
      <c r="B133" s="4" t="s">
        <v>6357</v>
      </c>
      <c r="C133" t="s">
        <v>6348</v>
      </c>
    </row>
    <row r="134" spans="1:3" x14ac:dyDescent="0.3">
      <c r="A134" t="s">
        <v>6339</v>
      </c>
      <c r="B134" s="4" t="s">
        <v>6357</v>
      </c>
      <c r="C134" t="s">
        <v>6358</v>
      </c>
    </row>
    <row r="135" spans="1:3" x14ac:dyDescent="0.3">
      <c r="A135" t="s">
        <v>6339</v>
      </c>
      <c r="B135" s="4" t="s">
        <v>6357</v>
      </c>
      <c r="C135" t="s">
        <v>6339</v>
      </c>
    </row>
    <row r="136" spans="1:3" x14ac:dyDescent="0.3">
      <c r="A136" t="s">
        <v>6339</v>
      </c>
      <c r="B136" s="4" t="s">
        <v>6357</v>
      </c>
      <c r="C136" t="s">
        <v>6339</v>
      </c>
    </row>
    <row r="137" spans="1:3" x14ac:dyDescent="0.3">
      <c r="A137" t="s">
        <v>6339</v>
      </c>
      <c r="B137" s="4" t="s">
        <v>6357</v>
      </c>
      <c r="C137" t="s">
        <v>6348</v>
      </c>
    </row>
    <row r="138" spans="1:3" x14ac:dyDescent="0.3">
      <c r="A138" t="s">
        <v>6339</v>
      </c>
      <c r="B138" s="4" t="s">
        <v>6357</v>
      </c>
      <c r="C138" t="s">
        <v>6358</v>
      </c>
    </row>
    <row r="139" spans="1:3" x14ac:dyDescent="0.3">
      <c r="A139" t="s">
        <v>6339</v>
      </c>
      <c r="B139" s="4" t="s">
        <v>6357</v>
      </c>
      <c r="C139" t="s">
        <v>6339</v>
      </c>
    </row>
    <row r="140" spans="1:3" x14ac:dyDescent="0.3">
      <c r="A140" t="s">
        <v>6339</v>
      </c>
      <c r="B140" s="4" t="s">
        <v>6357</v>
      </c>
      <c r="C140" t="s">
        <v>6348</v>
      </c>
    </row>
    <row r="141" spans="1:3" x14ac:dyDescent="0.3">
      <c r="A141" t="s">
        <v>6339</v>
      </c>
      <c r="B141" s="4" t="s">
        <v>6357</v>
      </c>
      <c r="C141" t="s">
        <v>6348</v>
      </c>
    </row>
    <row r="142" spans="1:3" x14ac:dyDescent="0.3">
      <c r="A142" t="s">
        <v>6339</v>
      </c>
      <c r="B142" s="4" t="s">
        <v>6357</v>
      </c>
      <c r="C142" t="s">
        <v>6348</v>
      </c>
    </row>
    <row r="143" spans="1:3" x14ac:dyDescent="0.3">
      <c r="A143" t="s">
        <v>6339</v>
      </c>
      <c r="B143" s="4" t="s">
        <v>6357</v>
      </c>
      <c r="C143" t="s">
        <v>6348</v>
      </c>
    </row>
    <row r="144" spans="1:3" x14ac:dyDescent="0.3">
      <c r="A144" t="s">
        <v>6339</v>
      </c>
      <c r="B144" s="4" t="s">
        <v>6357</v>
      </c>
      <c r="C144" t="s">
        <v>6348</v>
      </c>
    </row>
    <row r="145" spans="1:3" x14ac:dyDescent="0.3">
      <c r="A145" t="s">
        <v>6339</v>
      </c>
      <c r="B145" s="4" t="s">
        <v>6357</v>
      </c>
      <c r="C145" t="s">
        <v>6358</v>
      </c>
    </row>
    <row r="146" spans="1:3" x14ac:dyDescent="0.3">
      <c r="A146" t="s">
        <v>6339</v>
      </c>
      <c r="B146" s="4" t="s">
        <v>6357</v>
      </c>
      <c r="C146" t="s">
        <v>6358</v>
      </c>
    </row>
    <row r="147" spans="1:3" x14ac:dyDescent="0.3">
      <c r="A147" t="s">
        <v>6339</v>
      </c>
      <c r="B147" s="4" t="s">
        <v>6357</v>
      </c>
      <c r="C147" t="s">
        <v>6358</v>
      </c>
    </row>
    <row r="148" spans="1:3" x14ac:dyDescent="0.3">
      <c r="A148" t="s">
        <v>6339</v>
      </c>
      <c r="B148" s="4" t="s">
        <v>6357</v>
      </c>
      <c r="C148" t="s">
        <v>6358</v>
      </c>
    </row>
    <row r="149" spans="1:3" x14ac:dyDescent="0.3">
      <c r="A149" t="s">
        <v>6339</v>
      </c>
      <c r="B149" s="4" t="s">
        <v>6357</v>
      </c>
      <c r="C149" t="s">
        <v>6339</v>
      </c>
    </row>
    <row r="150" spans="1:3" x14ac:dyDescent="0.3">
      <c r="A150" t="s">
        <v>6339</v>
      </c>
      <c r="B150" s="4" t="s">
        <v>6357</v>
      </c>
      <c r="C150" t="s">
        <v>6358</v>
      </c>
    </row>
    <row r="151" spans="1:3" x14ac:dyDescent="0.3">
      <c r="A151" t="s">
        <v>6339</v>
      </c>
      <c r="B151" s="4" t="s">
        <v>6357</v>
      </c>
      <c r="C151" t="s">
        <v>6339</v>
      </c>
    </row>
    <row r="152" spans="1:3" x14ac:dyDescent="0.3">
      <c r="A152" t="s">
        <v>6339</v>
      </c>
      <c r="B152" s="4" t="s">
        <v>6357</v>
      </c>
      <c r="C152" t="s">
        <v>6348</v>
      </c>
    </row>
    <row r="153" spans="1:3" x14ac:dyDescent="0.3">
      <c r="A153" t="s">
        <v>6339</v>
      </c>
      <c r="B153" s="4" t="s">
        <v>6357</v>
      </c>
      <c r="C153" t="s">
        <v>6339</v>
      </c>
    </row>
    <row r="154" spans="1:3" x14ac:dyDescent="0.3">
      <c r="A154" t="s">
        <v>6339</v>
      </c>
      <c r="B154" s="4" t="s">
        <v>6357</v>
      </c>
      <c r="C154" t="s">
        <v>6339</v>
      </c>
    </row>
    <row r="155" spans="1:3" x14ac:dyDescent="0.3">
      <c r="A155" t="s">
        <v>6339</v>
      </c>
      <c r="B155" s="4" t="s">
        <v>6357</v>
      </c>
      <c r="C155" t="s">
        <v>6348</v>
      </c>
    </row>
    <row r="156" spans="1:3" x14ac:dyDescent="0.3">
      <c r="A156" t="s">
        <v>6339</v>
      </c>
      <c r="B156" s="4" t="s">
        <v>6357</v>
      </c>
      <c r="C156" t="s">
        <v>6348</v>
      </c>
    </row>
    <row r="157" spans="1:3" x14ac:dyDescent="0.3">
      <c r="A157" t="s">
        <v>6339</v>
      </c>
      <c r="B157" s="4" t="s">
        <v>6357</v>
      </c>
      <c r="C157" t="s">
        <v>6345</v>
      </c>
    </row>
    <row r="158" spans="1:3" x14ac:dyDescent="0.3">
      <c r="A158" t="s">
        <v>6339</v>
      </c>
      <c r="B158" s="4" t="s">
        <v>6357</v>
      </c>
      <c r="C158" t="s">
        <v>6358</v>
      </c>
    </row>
    <row r="159" spans="1:3" x14ac:dyDescent="0.3">
      <c r="A159" t="s">
        <v>6339</v>
      </c>
      <c r="B159" s="4" t="s">
        <v>6357</v>
      </c>
      <c r="C159" t="s">
        <v>6358</v>
      </c>
    </row>
    <row r="160" spans="1:3" x14ac:dyDescent="0.3">
      <c r="A160" t="s">
        <v>6339</v>
      </c>
      <c r="B160" s="4" t="s">
        <v>6357</v>
      </c>
      <c r="C160" t="s">
        <v>6358</v>
      </c>
    </row>
    <row r="161" spans="1:3" x14ac:dyDescent="0.3">
      <c r="A161" t="s">
        <v>6339</v>
      </c>
      <c r="B161" s="4" t="s">
        <v>6357</v>
      </c>
      <c r="C161" t="s">
        <v>6339</v>
      </c>
    </row>
    <row r="162" spans="1:3" x14ac:dyDescent="0.3">
      <c r="A162" t="s">
        <v>6339</v>
      </c>
      <c r="B162" s="4" t="s">
        <v>6357</v>
      </c>
      <c r="C162" t="s">
        <v>958</v>
      </c>
    </row>
    <row r="163" spans="1:3" x14ac:dyDescent="0.3">
      <c r="A163" t="s">
        <v>6339</v>
      </c>
      <c r="B163" s="4" t="s">
        <v>6357</v>
      </c>
      <c r="C163" t="s">
        <v>6358</v>
      </c>
    </row>
    <row r="164" spans="1:3" x14ac:dyDescent="0.3">
      <c r="A164" t="s">
        <v>6339</v>
      </c>
      <c r="B164" s="4" t="s">
        <v>6357</v>
      </c>
      <c r="C164" t="s">
        <v>6358</v>
      </c>
    </row>
    <row r="165" spans="1:3" x14ac:dyDescent="0.3">
      <c r="A165" t="s">
        <v>6339</v>
      </c>
      <c r="B165" s="4" t="s">
        <v>6357</v>
      </c>
      <c r="C165" t="s">
        <v>6339</v>
      </c>
    </row>
    <row r="166" spans="1:3" x14ac:dyDescent="0.3">
      <c r="A166" t="s">
        <v>6339</v>
      </c>
      <c r="B166" s="4" t="s">
        <v>6357</v>
      </c>
      <c r="C166" t="s">
        <v>6339</v>
      </c>
    </row>
    <row r="167" spans="1:3" x14ac:dyDescent="0.3">
      <c r="A167" t="s">
        <v>6339</v>
      </c>
      <c r="B167" s="4" t="s">
        <v>6357</v>
      </c>
      <c r="C167" t="s">
        <v>6339</v>
      </c>
    </row>
    <row r="168" spans="1:3" x14ac:dyDescent="0.3">
      <c r="A168" t="s">
        <v>6339</v>
      </c>
      <c r="B168" s="4" t="s">
        <v>6357</v>
      </c>
      <c r="C168" t="s">
        <v>6342</v>
      </c>
    </row>
    <row r="169" spans="1:3" x14ac:dyDescent="0.3">
      <c r="A169" t="s">
        <v>6339</v>
      </c>
      <c r="B169" s="4" t="s">
        <v>6357</v>
      </c>
      <c r="C169" t="s">
        <v>6339</v>
      </c>
    </row>
    <row r="170" spans="1:3" x14ac:dyDescent="0.3">
      <c r="A170" t="s">
        <v>6339</v>
      </c>
      <c r="B170" s="4" t="s">
        <v>6357</v>
      </c>
      <c r="C170" t="s">
        <v>6339</v>
      </c>
    </row>
    <row r="171" spans="1:3" x14ac:dyDescent="0.3">
      <c r="A171" t="s">
        <v>6339</v>
      </c>
      <c r="B171" s="4" t="s">
        <v>6357</v>
      </c>
      <c r="C171" t="s">
        <v>6339</v>
      </c>
    </row>
    <row r="172" spans="1:3" x14ac:dyDescent="0.3">
      <c r="A172" t="s">
        <v>6339</v>
      </c>
      <c r="B172" s="4" t="s">
        <v>6357</v>
      </c>
      <c r="C172" t="s">
        <v>6339</v>
      </c>
    </row>
    <row r="173" spans="1:3" x14ac:dyDescent="0.3">
      <c r="A173" t="s">
        <v>6339</v>
      </c>
      <c r="B173" s="4" t="s">
        <v>6357</v>
      </c>
      <c r="C173" t="s">
        <v>6339</v>
      </c>
    </row>
    <row r="174" spans="1:3" x14ac:dyDescent="0.3">
      <c r="A174" t="s">
        <v>6339</v>
      </c>
      <c r="B174" s="4" t="s">
        <v>6357</v>
      </c>
      <c r="C174" t="s">
        <v>6339</v>
      </c>
    </row>
    <row r="175" spans="1:3" x14ac:dyDescent="0.3">
      <c r="A175" t="s">
        <v>6339</v>
      </c>
      <c r="B175" s="4" t="s">
        <v>6357</v>
      </c>
      <c r="C175" t="s">
        <v>6345</v>
      </c>
    </row>
    <row r="176" spans="1:3" x14ac:dyDescent="0.3">
      <c r="A176" t="s">
        <v>6339</v>
      </c>
      <c r="B176" s="4" t="s">
        <v>6357</v>
      </c>
      <c r="C176" t="s">
        <v>6345</v>
      </c>
    </row>
    <row r="177" spans="1:3" x14ac:dyDescent="0.3">
      <c r="A177" t="s">
        <v>6339</v>
      </c>
      <c r="B177" s="4" t="s">
        <v>6357</v>
      </c>
      <c r="C177" t="s">
        <v>6358</v>
      </c>
    </row>
    <row r="178" spans="1:3" x14ac:dyDescent="0.3">
      <c r="A178" t="s">
        <v>6339</v>
      </c>
      <c r="B178" s="4" t="s">
        <v>6357</v>
      </c>
      <c r="C178" t="s">
        <v>6348</v>
      </c>
    </row>
    <row r="179" spans="1:3" x14ac:dyDescent="0.3">
      <c r="A179" t="s">
        <v>6339</v>
      </c>
      <c r="B179" s="4" t="s">
        <v>6357</v>
      </c>
      <c r="C179" t="s">
        <v>6358</v>
      </c>
    </row>
    <row r="180" spans="1:3" x14ac:dyDescent="0.3">
      <c r="A180" t="s">
        <v>6339</v>
      </c>
      <c r="B180" s="4" t="s">
        <v>6357</v>
      </c>
      <c r="C180" t="s">
        <v>6358</v>
      </c>
    </row>
    <row r="181" spans="1:3" x14ac:dyDescent="0.3">
      <c r="A181" t="s">
        <v>6339</v>
      </c>
      <c r="B181" s="4" t="s">
        <v>6357</v>
      </c>
      <c r="C181" t="s">
        <v>6339</v>
      </c>
    </row>
    <row r="182" spans="1:3" x14ac:dyDescent="0.3">
      <c r="A182" t="s">
        <v>6339</v>
      </c>
      <c r="B182" s="4" t="s">
        <v>6357</v>
      </c>
      <c r="C182" t="s">
        <v>6339</v>
      </c>
    </row>
    <row r="183" spans="1:3" x14ac:dyDescent="0.3">
      <c r="A183" t="s">
        <v>6339</v>
      </c>
      <c r="B183" s="4" t="s">
        <v>6357</v>
      </c>
      <c r="C183" t="s">
        <v>6339</v>
      </c>
    </row>
    <row r="184" spans="1:3" x14ac:dyDescent="0.3">
      <c r="A184" t="s">
        <v>6339</v>
      </c>
      <c r="B184" s="4" t="s">
        <v>6357</v>
      </c>
      <c r="C184" t="s">
        <v>6339</v>
      </c>
    </row>
    <row r="185" spans="1:3" x14ac:dyDescent="0.3">
      <c r="A185" t="s">
        <v>6339</v>
      </c>
      <c r="B185" s="4" t="s">
        <v>6357</v>
      </c>
      <c r="C185" t="s">
        <v>6339</v>
      </c>
    </row>
    <row r="186" spans="1:3" x14ac:dyDescent="0.3">
      <c r="A186" t="s">
        <v>6339</v>
      </c>
      <c r="B186" s="4" t="s">
        <v>6357</v>
      </c>
      <c r="C186" t="s">
        <v>6348</v>
      </c>
    </row>
    <row r="187" spans="1:3" x14ac:dyDescent="0.3">
      <c r="A187" t="s">
        <v>6339</v>
      </c>
      <c r="B187" s="4" t="s">
        <v>6357</v>
      </c>
      <c r="C187" t="s">
        <v>6348</v>
      </c>
    </row>
    <row r="188" spans="1:3" x14ac:dyDescent="0.3">
      <c r="A188" t="s">
        <v>6339</v>
      </c>
      <c r="B188" s="4" t="s">
        <v>6357</v>
      </c>
      <c r="C188" t="s">
        <v>6348</v>
      </c>
    </row>
    <row r="189" spans="1:3" x14ac:dyDescent="0.3">
      <c r="A189" t="s">
        <v>6339</v>
      </c>
      <c r="B189" s="4" t="s">
        <v>6357</v>
      </c>
      <c r="C189" t="s">
        <v>6348</v>
      </c>
    </row>
    <row r="190" spans="1:3" x14ac:dyDescent="0.3">
      <c r="A190" t="s">
        <v>6339</v>
      </c>
      <c r="B190" s="4" t="s">
        <v>6357</v>
      </c>
      <c r="C190" t="s">
        <v>6348</v>
      </c>
    </row>
    <row r="191" spans="1:3" x14ac:dyDescent="0.3">
      <c r="A191" t="s">
        <v>6339</v>
      </c>
      <c r="B191" s="4" t="s">
        <v>6357</v>
      </c>
      <c r="C191" t="s">
        <v>6348</v>
      </c>
    </row>
    <row r="192" spans="1:3" x14ac:dyDescent="0.3">
      <c r="A192" t="s">
        <v>6339</v>
      </c>
      <c r="B192" s="4" t="s">
        <v>6357</v>
      </c>
      <c r="C192" t="s">
        <v>6348</v>
      </c>
    </row>
    <row r="193" spans="1:3" x14ac:dyDescent="0.3">
      <c r="A193" t="s">
        <v>6339</v>
      </c>
      <c r="B193" s="4" t="s">
        <v>6357</v>
      </c>
      <c r="C193" t="s">
        <v>6348</v>
      </c>
    </row>
    <row r="194" spans="1:3" x14ac:dyDescent="0.3">
      <c r="A194" t="s">
        <v>6339</v>
      </c>
      <c r="B194" s="4" t="s">
        <v>6357</v>
      </c>
      <c r="C194" t="s">
        <v>6348</v>
      </c>
    </row>
    <row r="195" spans="1:3" x14ac:dyDescent="0.3">
      <c r="A195" t="s">
        <v>6339</v>
      </c>
      <c r="B195" s="4" t="s">
        <v>6357</v>
      </c>
      <c r="C195" t="s">
        <v>6348</v>
      </c>
    </row>
    <row r="196" spans="1:3" x14ac:dyDescent="0.3">
      <c r="A196" t="s">
        <v>6339</v>
      </c>
      <c r="B196" s="4" t="s">
        <v>6357</v>
      </c>
      <c r="C196" t="s">
        <v>6342</v>
      </c>
    </row>
    <row r="197" spans="1:3" x14ac:dyDescent="0.3">
      <c r="A197" t="s">
        <v>6339</v>
      </c>
      <c r="B197" s="4" t="s">
        <v>6357</v>
      </c>
      <c r="C197" t="s">
        <v>6358</v>
      </c>
    </row>
    <row r="198" spans="1:3" x14ac:dyDescent="0.3">
      <c r="A198" t="s">
        <v>6339</v>
      </c>
      <c r="B198" s="4" t="s">
        <v>6357</v>
      </c>
      <c r="C198" t="s">
        <v>6358</v>
      </c>
    </row>
    <row r="199" spans="1:3" x14ac:dyDescent="0.3">
      <c r="A199" t="s">
        <v>6339</v>
      </c>
      <c r="B199" s="4" t="s">
        <v>6357</v>
      </c>
      <c r="C199" t="s">
        <v>6358</v>
      </c>
    </row>
    <row r="200" spans="1:3" x14ac:dyDescent="0.3">
      <c r="A200" t="s">
        <v>6339</v>
      </c>
      <c r="B200" s="4" t="s">
        <v>6357</v>
      </c>
      <c r="C200" t="s">
        <v>6358</v>
      </c>
    </row>
    <row r="201" spans="1:3" x14ac:dyDescent="0.3">
      <c r="A201" t="s">
        <v>6339</v>
      </c>
      <c r="B201" s="4" t="s">
        <v>6357</v>
      </c>
      <c r="C201" t="s">
        <v>6358</v>
      </c>
    </row>
    <row r="202" spans="1:3" x14ac:dyDescent="0.3">
      <c r="A202" t="s">
        <v>6339</v>
      </c>
      <c r="B202" s="4" t="s">
        <v>6357</v>
      </c>
      <c r="C202" t="s">
        <v>6358</v>
      </c>
    </row>
    <row r="203" spans="1:3" x14ac:dyDescent="0.3">
      <c r="A203" t="s">
        <v>6339</v>
      </c>
      <c r="B203" s="4" t="s">
        <v>6357</v>
      </c>
      <c r="C203" t="s">
        <v>6358</v>
      </c>
    </row>
    <row r="204" spans="1:3" x14ac:dyDescent="0.3">
      <c r="A204" t="s">
        <v>6339</v>
      </c>
      <c r="B204" s="4" t="s">
        <v>6357</v>
      </c>
      <c r="C204" t="s">
        <v>6358</v>
      </c>
    </row>
    <row r="205" spans="1:3" x14ac:dyDescent="0.3">
      <c r="A205" t="s">
        <v>6339</v>
      </c>
      <c r="B205" s="4" t="s">
        <v>6357</v>
      </c>
      <c r="C205" t="s">
        <v>6358</v>
      </c>
    </row>
    <row r="206" spans="1:3" x14ac:dyDescent="0.3">
      <c r="A206" t="s">
        <v>6339</v>
      </c>
      <c r="B206" s="4" t="s">
        <v>6357</v>
      </c>
      <c r="C206" t="s">
        <v>6358</v>
      </c>
    </row>
    <row r="207" spans="1:3" x14ac:dyDescent="0.3">
      <c r="A207" t="s">
        <v>6339</v>
      </c>
      <c r="B207" s="4" t="s">
        <v>6357</v>
      </c>
      <c r="C207" t="s">
        <v>6358</v>
      </c>
    </row>
    <row r="208" spans="1:3" x14ac:dyDescent="0.3">
      <c r="A208" t="s">
        <v>6339</v>
      </c>
      <c r="B208" s="4" t="s">
        <v>6357</v>
      </c>
      <c r="C208" t="s">
        <v>6339</v>
      </c>
    </row>
    <row r="209" spans="1:3" x14ac:dyDescent="0.3">
      <c r="A209" t="s">
        <v>6339</v>
      </c>
      <c r="B209" s="4" t="s">
        <v>6357</v>
      </c>
      <c r="C209" t="s">
        <v>6339</v>
      </c>
    </row>
    <row r="210" spans="1:3" x14ac:dyDescent="0.3">
      <c r="A210" t="s">
        <v>6339</v>
      </c>
      <c r="B210" s="4" t="s">
        <v>6357</v>
      </c>
      <c r="C210" t="s">
        <v>6339</v>
      </c>
    </row>
    <row r="211" spans="1:3" x14ac:dyDescent="0.3">
      <c r="A211" t="s">
        <v>6339</v>
      </c>
      <c r="B211" s="4" t="s">
        <v>6357</v>
      </c>
      <c r="C211" t="s">
        <v>6339</v>
      </c>
    </row>
    <row r="212" spans="1:3" x14ac:dyDescent="0.3">
      <c r="A212" t="s">
        <v>6339</v>
      </c>
      <c r="B212" s="4" t="s">
        <v>6357</v>
      </c>
      <c r="C212" t="s">
        <v>6339</v>
      </c>
    </row>
    <row r="213" spans="1:3" x14ac:dyDescent="0.3">
      <c r="A213" t="s">
        <v>6339</v>
      </c>
      <c r="B213" s="4" t="s">
        <v>6357</v>
      </c>
      <c r="C213" t="s">
        <v>6339</v>
      </c>
    </row>
    <row r="214" spans="1:3" x14ac:dyDescent="0.3">
      <c r="A214" t="s">
        <v>6339</v>
      </c>
      <c r="B214" s="4" t="s">
        <v>6357</v>
      </c>
      <c r="C214" t="s">
        <v>6339</v>
      </c>
    </row>
    <row r="215" spans="1:3" x14ac:dyDescent="0.3">
      <c r="A215" t="s">
        <v>6339</v>
      </c>
      <c r="B215" s="4" t="s">
        <v>6357</v>
      </c>
      <c r="C215" t="s">
        <v>6339</v>
      </c>
    </row>
    <row r="216" spans="1:3" x14ac:dyDescent="0.3">
      <c r="A216" t="s">
        <v>6339</v>
      </c>
      <c r="B216" s="4" t="s">
        <v>6357</v>
      </c>
      <c r="C216" t="s">
        <v>6339</v>
      </c>
    </row>
    <row r="217" spans="1:3" x14ac:dyDescent="0.3">
      <c r="A217" t="s">
        <v>6339</v>
      </c>
      <c r="B217" s="4" t="s">
        <v>6357</v>
      </c>
      <c r="C217" t="s">
        <v>6339</v>
      </c>
    </row>
    <row r="218" spans="1:3" x14ac:dyDescent="0.3">
      <c r="A218" t="s">
        <v>6339</v>
      </c>
      <c r="B218" s="4" t="s">
        <v>6357</v>
      </c>
      <c r="C218" t="s">
        <v>6339</v>
      </c>
    </row>
    <row r="219" spans="1:3" x14ac:dyDescent="0.3">
      <c r="A219" t="s">
        <v>6339</v>
      </c>
      <c r="B219" s="4" t="s">
        <v>6357</v>
      </c>
      <c r="C219" t="s">
        <v>6339</v>
      </c>
    </row>
    <row r="220" spans="1:3" x14ac:dyDescent="0.3">
      <c r="A220" t="s">
        <v>6339</v>
      </c>
      <c r="B220" s="4" t="s">
        <v>6357</v>
      </c>
      <c r="C220" t="s">
        <v>6339</v>
      </c>
    </row>
    <row r="221" spans="1:3" x14ac:dyDescent="0.3">
      <c r="A221" t="s">
        <v>6339</v>
      </c>
      <c r="B221" s="4" t="s">
        <v>6357</v>
      </c>
      <c r="C221" t="s">
        <v>6339</v>
      </c>
    </row>
    <row r="222" spans="1:3" x14ac:dyDescent="0.3">
      <c r="A222" t="s">
        <v>6339</v>
      </c>
      <c r="B222" s="4" t="s">
        <v>6357</v>
      </c>
      <c r="C222" t="s">
        <v>6339</v>
      </c>
    </row>
    <row r="223" spans="1:3" x14ac:dyDescent="0.3">
      <c r="A223" t="s">
        <v>6339</v>
      </c>
      <c r="B223" s="4" t="s">
        <v>6357</v>
      </c>
      <c r="C223" t="s">
        <v>6339</v>
      </c>
    </row>
    <row r="224" spans="1:3" x14ac:dyDescent="0.3">
      <c r="A224" t="s">
        <v>6339</v>
      </c>
      <c r="B224" s="4" t="s">
        <v>6357</v>
      </c>
      <c r="C224" t="s">
        <v>6339</v>
      </c>
    </row>
    <row r="225" spans="1:3" x14ac:dyDescent="0.3">
      <c r="A225" t="s">
        <v>6339</v>
      </c>
      <c r="B225" s="4" t="s">
        <v>6357</v>
      </c>
      <c r="C225" t="s">
        <v>6348</v>
      </c>
    </row>
    <row r="226" spans="1:3" x14ac:dyDescent="0.3">
      <c r="A226" t="s">
        <v>6339</v>
      </c>
      <c r="B226" s="4" t="s">
        <v>6357</v>
      </c>
      <c r="C226" t="s">
        <v>6348</v>
      </c>
    </row>
    <row r="227" spans="1:3" x14ac:dyDescent="0.3">
      <c r="A227" t="s">
        <v>6339</v>
      </c>
      <c r="B227" s="4" t="s">
        <v>6357</v>
      </c>
      <c r="C227" t="s">
        <v>6348</v>
      </c>
    </row>
    <row r="228" spans="1:3" x14ac:dyDescent="0.3">
      <c r="A228" t="s">
        <v>6339</v>
      </c>
      <c r="B228" s="4" t="s">
        <v>6357</v>
      </c>
      <c r="C228" t="s">
        <v>6348</v>
      </c>
    </row>
    <row r="229" spans="1:3" x14ac:dyDescent="0.3">
      <c r="A229" t="s">
        <v>6339</v>
      </c>
      <c r="B229" s="4" t="s">
        <v>6357</v>
      </c>
      <c r="C229" t="s">
        <v>6348</v>
      </c>
    </row>
    <row r="230" spans="1:3" x14ac:dyDescent="0.3">
      <c r="A230" t="s">
        <v>6339</v>
      </c>
      <c r="B230" s="4" t="s">
        <v>6357</v>
      </c>
      <c r="C230" t="s">
        <v>6348</v>
      </c>
    </row>
    <row r="231" spans="1:3" x14ac:dyDescent="0.3">
      <c r="A231" t="s">
        <v>6339</v>
      </c>
      <c r="B231" s="4" t="s">
        <v>6357</v>
      </c>
      <c r="C231" t="s">
        <v>6348</v>
      </c>
    </row>
    <row r="232" spans="1:3" x14ac:dyDescent="0.3">
      <c r="A232" t="s">
        <v>6339</v>
      </c>
      <c r="B232" s="4" t="s">
        <v>6357</v>
      </c>
      <c r="C232" t="s">
        <v>6348</v>
      </c>
    </row>
    <row r="233" spans="1:3" x14ac:dyDescent="0.3">
      <c r="A233" t="s">
        <v>6339</v>
      </c>
      <c r="B233" s="4" t="s">
        <v>6357</v>
      </c>
      <c r="C233" t="s">
        <v>6348</v>
      </c>
    </row>
    <row r="234" spans="1:3" x14ac:dyDescent="0.3">
      <c r="A234" t="s">
        <v>6339</v>
      </c>
      <c r="B234" s="4" t="s">
        <v>6357</v>
      </c>
      <c r="C234" t="s">
        <v>6348</v>
      </c>
    </row>
    <row r="235" spans="1:3" x14ac:dyDescent="0.3">
      <c r="A235" t="s">
        <v>6339</v>
      </c>
      <c r="B235" s="4" t="s">
        <v>6357</v>
      </c>
      <c r="C235" t="s">
        <v>6348</v>
      </c>
    </row>
    <row r="236" spans="1:3" x14ac:dyDescent="0.3">
      <c r="A236" t="s">
        <v>6339</v>
      </c>
      <c r="B236" s="4" t="s">
        <v>6357</v>
      </c>
      <c r="C236" t="s">
        <v>6342</v>
      </c>
    </row>
    <row r="237" spans="1:3" x14ac:dyDescent="0.3">
      <c r="A237" t="s">
        <v>6339</v>
      </c>
      <c r="B237" s="4" t="s">
        <v>6357</v>
      </c>
      <c r="C237" t="s">
        <v>6358</v>
      </c>
    </row>
    <row r="238" spans="1:3" x14ac:dyDescent="0.3">
      <c r="A238" t="s">
        <v>6339</v>
      </c>
      <c r="B238" s="4" t="s">
        <v>6357</v>
      </c>
      <c r="C238" t="s">
        <v>6358</v>
      </c>
    </row>
    <row r="239" spans="1:3" x14ac:dyDescent="0.3">
      <c r="A239" t="s">
        <v>6339</v>
      </c>
      <c r="B239" s="4" t="s">
        <v>6357</v>
      </c>
      <c r="C239" t="s">
        <v>6358</v>
      </c>
    </row>
    <row r="240" spans="1:3" x14ac:dyDescent="0.3">
      <c r="A240" t="s">
        <v>6339</v>
      </c>
      <c r="B240" s="4" t="s">
        <v>6357</v>
      </c>
      <c r="C240" t="s">
        <v>6358</v>
      </c>
    </row>
    <row r="241" spans="1:3" x14ac:dyDescent="0.3">
      <c r="A241" t="s">
        <v>6339</v>
      </c>
      <c r="B241" s="4" t="s">
        <v>6357</v>
      </c>
      <c r="C241" t="s">
        <v>6358</v>
      </c>
    </row>
    <row r="242" spans="1:3" x14ac:dyDescent="0.3">
      <c r="A242" t="s">
        <v>6339</v>
      </c>
      <c r="B242" s="4" t="s">
        <v>6357</v>
      </c>
      <c r="C242" t="s">
        <v>6358</v>
      </c>
    </row>
    <row r="243" spans="1:3" x14ac:dyDescent="0.3">
      <c r="A243" t="s">
        <v>6339</v>
      </c>
      <c r="B243" s="4" t="s">
        <v>6357</v>
      </c>
      <c r="C243" t="s">
        <v>6358</v>
      </c>
    </row>
    <row r="244" spans="1:3" x14ac:dyDescent="0.3">
      <c r="A244" t="s">
        <v>6339</v>
      </c>
      <c r="B244" s="4" t="s">
        <v>6357</v>
      </c>
      <c r="C244" t="s">
        <v>6358</v>
      </c>
    </row>
    <row r="245" spans="1:3" x14ac:dyDescent="0.3">
      <c r="A245" t="s">
        <v>6339</v>
      </c>
      <c r="B245" s="4" t="s">
        <v>6357</v>
      </c>
      <c r="C245" t="s">
        <v>6358</v>
      </c>
    </row>
    <row r="246" spans="1:3" x14ac:dyDescent="0.3">
      <c r="A246" t="s">
        <v>6339</v>
      </c>
      <c r="B246" s="4" t="s">
        <v>6357</v>
      </c>
      <c r="C246" t="s">
        <v>6358</v>
      </c>
    </row>
    <row r="247" spans="1:3" x14ac:dyDescent="0.3">
      <c r="A247" t="s">
        <v>6339</v>
      </c>
      <c r="B247" s="4" t="s">
        <v>6357</v>
      </c>
      <c r="C247" t="s">
        <v>6358</v>
      </c>
    </row>
    <row r="248" spans="1:3" x14ac:dyDescent="0.3">
      <c r="A248" t="s">
        <v>6339</v>
      </c>
      <c r="B248" s="4" t="s">
        <v>6357</v>
      </c>
      <c r="C248" t="s">
        <v>6358</v>
      </c>
    </row>
    <row r="249" spans="1:3" x14ac:dyDescent="0.3">
      <c r="A249" t="s">
        <v>6339</v>
      </c>
      <c r="B249" s="4" t="s">
        <v>6357</v>
      </c>
      <c r="C249" t="s">
        <v>6358</v>
      </c>
    </row>
    <row r="250" spans="1:3" x14ac:dyDescent="0.3">
      <c r="A250" t="s">
        <v>6339</v>
      </c>
      <c r="B250" s="4" t="s">
        <v>6357</v>
      </c>
      <c r="C250" t="s">
        <v>6358</v>
      </c>
    </row>
    <row r="251" spans="1:3" x14ac:dyDescent="0.3">
      <c r="A251" t="s">
        <v>6339</v>
      </c>
      <c r="B251" s="4" t="s">
        <v>6357</v>
      </c>
      <c r="C251" t="s">
        <v>6339</v>
      </c>
    </row>
    <row r="252" spans="1:3" x14ac:dyDescent="0.3">
      <c r="A252" t="s">
        <v>6339</v>
      </c>
      <c r="B252" s="4" t="s">
        <v>6357</v>
      </c>
      <c r="C252" t="s">
        <v>6339</v>
      </c>
    </row>
    <row r="253" spans="1:3" x14ac:dyDescent="0.3">
      <c r="A253" t="s">
        <v>6339</v>
      </c>
      <c r="B253" s="4" t="s">
        <v>6357</v>
      </c>
      <c r="C253" t="s">
        <v>6339</v>
      </c>
    </row>
    <row r="254" spans="1:3" x14ac:dyDescent="0.3">
      <c r="A254" t="s">
        <v>6339</v>
      </c>
      <c r="B254" s="4" t="s">
        <v>6357</v>
      </c>
      <c r="C254" t="s">
        <v>6339</v>
      </c>
    </row>
    <row r="255" spans="1:3" x14ac:dyDescent="0.3">
      <c r="A255" t="s">
        <v>6339</v>
      </c>
      <c r="B255" s="4" t="s">
        <v>6357</v>
      </c>
      <c r="C255" t="s">
        <v>6339</v>
      </c>
    </row>
    <row r="256" spans="1:3" x14ac:dyDescent="0.3">
      <c r="A256" t="s">
        <v>6339</v>
      </c>
      <c r="B256" s="4" t="s">
        <v>6357</v>
      </c>
      <c r="C256" t="s">
        <v>6339</v>
      </c>
    </row>
    <row r="257" spans="1:3" x14ac:dyDescent="0.3">
      <c r="A257" t="s">
        <v>6339</v>
      </c>
      <c r="B257" s="4" t="s">
        <v>6357</v>
      </c>
      <c r="C257" t="s">
        <v>6339</v>
      </c>
    </row>
    <row r="258" spans="1:3" x14ac:dyDescent="0.3">
      <c r="A258" t="s">
        <v>6339</v>
      </c>
      <c r="B258" s="4" t="s">
        <v>6357</v>
      </c>
      <c r="C258" t="s">
        <v>6339</v>
      </c>
    </row>
    <row r="259" spans="1:3" x14ac:dyDescent="0.3">
      <c r="A259" t="s">
        <v>6339</v>
      </c>
      <c r="B259" s="4" t="s">
        <v>6357</v>
      </c>
      <c r="C259" t="s">
        <v>6339</v>
      </c>
    </row>
    <row r="260" spans="1:3" x14ac:dyDescent="0.3">
      <c r="A260" t="s">
        <v>6339</v>
      </c>
      <c r="B260" s="4" t="s">
        <v>6357</v>
      </c>
      <c r="C260" t="s">
        <v>6339</v>
      </c>
    </row>
    <row r="261" spans="1:3" x14ac:dyDescent="0.3">
      <c r="A261" t="s">
        <v>6339</v>
      </c>
      <c r="B261" s="4" t="s">
        <v>6357</v>
      </c>
      <c r="C261" t="s">
        <v>6339</v>
      </c>
    </row>
    <row r="262" spans="1:3" x14ac:dyDescent="0.3">
      <c r="A262" t="s">
        <v>6339</v>
      </c>
      <c r="B262" s="4" t="s">
        <v>6357</v>
      </c>
      <c r="C262" t="s">
        <v>6348</v>
      </c>
    </row>
    <row r="263" spans="1:3" x14ac:dyDescent="0.3">
      <c r="A263" t="s">
        <v>6339</v>
      </c>
      <c r="B263" s="4" t="s">
        <v>6357</v>
      </c>
      <c r="C263" t="s">
        <v>6348</v>
      </c>
    </row>
    <row r="264" spans="1:3" x14ac:dyDescent="0.3">
      <c r="A264" t="s">
        <v>6339</v>
      </c>
      <c r="B264" s="4" t="s">
        <v>6357</v>
      </c>
      <c r="C264" t="s">
        <v>6348</v>
      </c>
    </row>
    <row r="265" spans="1:3" x14ac:dyDescent="0.3">
      <c r="A265" t="s">
        <v>6339</v>
      </c>
      <c r="B265" s="4" t="s">
        <v>6357</v>
      </c>
      <c r="C265" t="s">
        <v>6348</v>
      </c>
    </row>
    <row r="266" spans="1:3" x14ac:dyDescent="0.3">
      <c r="A266" t="s">
        <v>6339</v>
      </c>
      <c r="B266" s="4" t="s">
        <v>6357</v>
      </c>
      <c r="C266" t="s">
        <v>6348</v>
      </c>
    </row>
    <row r="267" spans="1:3" x14ac:dyDescent="0.3">
      <c r="A267" t="s">
        <v>6339</v>
      </c>
      <c r="B267" s="4" t="s">
        <v>6357</v>
      </c>
      <c r="C267" t="s">
        <v>6348</v>
      </c>
    </row>
    <row r="268" spans="1:3" x14ac:dyDescent="0.3">
      <c r="A268" t="s">
        <v>6339</v>
      </c>
      <c r="B268" s="4" t="s">
        <v>6357</v>
      </c>
      <c r="C268" t="s">
        <v>6348</v>
      </c>
    </row>
    <row r="269" spans="1:3" x14ac:dyDescent="0.3">
      <c r="A269" t="s">
        <v>6339</v>
      </c>
      <c r="B269" s="4" t="s">
        <v>6357</v>
      </c>
      <c r="C269" t="s">
        <v>6348</v>
      </c>
    </row>
    <row r="270" spans="1:3" x14ac:dyDescent="0.3">
      <c r="A270" t="s">
        <v>6339</v>
      </c>
      <c r="B270" s="4" t="s">
        <v>6357</v>
      </c>
      <c r="C270" t="s">
        <v>6348</v>
      </c>
    </row>
    <row r="271" spans="1:3" x14ac:dyDescent="0.3">
      <c r="A271" t="s">
        <v>6339</v>
      </c>
      <c r="B271" s="4" t="s">
        <v>6357</v>
      </c>
      <c r="C271" t="s">
        <v>6348</v>
      </c>
    </row>
    <row r="272" spans="1:3" x14ac:dyDescent="0.3">
      <c r="A272" t="s">
        <v>6339</v>
      </c>
      <c r="B272" s="4" t="s">
        <v>6357</v>
      </c>
      <c r="C272" t="s">
        <v>6358</v>
      </c>
    </row>
    <row r="273" spans="1:3" x14ac:dyDescent="0.3">
      <c r="A273" t="s">
        <v>6339</v>
      </c>
      <c r="B273" s="4" t="s">
        <v>6357</v>
      </c>
      <c r="C273" t="s">
        <v>6358</v>
      </c>
    </row>
    <row r="274" spans="1:3" x14ac:dyDescent="0.3">
      <c r="A274" t="s">
        <v>6339</v>
      </c>
      <c r="B274" s="4" t="s">
        <v>6357</v>
      </c>
      <c r="C274" t="s">
        <v>6358</v>
      </c>
    </row>
    <row r="275" spans="1:3" x14ac:dyDescent="0.3">
      <c r="A275" t="s">
        <v>6339</v>
      </c>
      <c r="B275" s="4" t="s">
        <v>6357</v>
      </c>
      <c r="C275" t="s">
        <v>6358</v>
      </c>
    </row>
    <row r="276" spans="1:3" x14ac:dyDescent="0.3">
      <c r="A276" t="s">
        <v>6339</v>
      </c>
      <c r="B276" s="4" t="s">
        <v>6357</v>
      </c>
      <c r="C276" t="s">
        <v>6358</v>
      </c>
    </row>
    <row r="277" spans="1:3" x14ac:dyDescent="0.3">
      <c r="A277" t="s">
        <v>6339</v>
      </c>
      <c r="B277" s="4" t="s">
        <v>6357</v>
      </c>
      <c r="C277" t="s">
        <v>6339</v>
      </c>
    </row>
    <row r="278" spans="1:3" x14ac:dyDescent="0.3">
      <c r="A278" t="s">
        <v>6339</v>
      </c>
      <c r="B278" s="4" t="s">
        <v>6357</v>
      </c>
      <c r="C278" t="s">
        <v>6339</v>
      </c>
    </row>
    <row r="279" spans="1:3" x14ac:dyDescent="0.3">
      <c r="A279" t="s">
        <v>6339</v>
      </c>
      <c r="B279" s="4" t="s">
        <v>6357</v>
      </c>
      <c r="C279" t="s">
        <v>6348</v>
      </c>
    </row>
    <row r="280" spans="1:3" x14ac:dyDescent="0.3">
      <c r="A280" t="s">
        <v>6339</v>
      </c>
      <c r="B280" s="4" t="s">
        <v>6357</v>
      </c>
      <c r="C280" t="s">
        <v>6358</v>
      </c>
    </row>
    <row r="281" spans="1:3" x14ac:dyDescent="0.3">
      <c r="A281" t="s">
        <v>6339</v>
      </c>
      <c r="B281" s="4" t="s">
        <v>6357</v>
      </c>
      <c r="C281" t="s">
        <v>6358</v>
      </c>
    </row>
    <row r="282" spans="1:3" x14ac:dyDescent="0.3">
      <c r="A282" t="s">
        <v>6339</v>
      </c>
      <c r="B282" s="4" t="s">
        <v>6357</v>
      </c>
      <c r="C282" t="s">
        <v>6358</v>
      </c>
    </row>
    <row r="283" spans="1:3" x14ac:dyDescent="0.3">
      <c r="A283" t="s">
        <v>6339</v>
      </c>
      <c r="B283" s="4" t="s">
        <v>6357</v>
      </c>
      <c r="C283" t="s">
        <v>6358</v>
      </c>
    </row>
    <row r="284" spans="1:3" x14ac:dyDescent="0.3">
      <c r="A284" t="s">
        <v>6339</v>
      </c>
      <c r="B284" s="4" t="s">
        <v>6357</v>
      </c>
      <c r="C284" t="s">
        <v>6358</v>
      </c>
    </row>
    <row r="285" spans="1:3" x14ac:dyDescent="0.3">
      <c r="A285" t="s">
        <v>6339</v>
      </c>
      <c r="B285" s="4" t="s">
        <v>6357</v>
      </c>
      <c r="C285" t="s">
        <v>6358</v>
      </c>
    </row>
    <row r="286" spans="1:3" x14ac:dyDescent="0.3">
      <c r="A286" t="s">
        <v>6339</v>
      </c>
      <c r="B286" s="4" t="s">
        <v>6357</v>
      </c>
      <c r="C286" t="s">
        <v>6358</v>
      </c>
    </row>
    <row r="287" spans="1:3" x14ac:dyDescent="0.3">
      <c r="A287" t="s">
        <v>6339</v>
      </c>
      <c r="B287" s="4" t="s">
        <v>6365</v>
      </c>
      <c r="C287" t="s">
        <v>6339</v>
      </c>
    </row>
    <row r="288" spans="1:3" x14ac:dyDescent="0.3">
      <c r="A288" t="s">
        <v>6339</v>
      </c>
      <c r="B288" s="4" t="s">
        <v>6365</v>
      </c>
      <c r="C288" t="s">
        <v>6339</v>
      </c>
    </row>
    <row r="289" spans="1:3" x14ac:dyDescent="0.3">
      <c r="A289" t="s">
        <v>6339</v>
      </c>
      <c r="B289" s="4" t="s">
        <v>6365</v>
      </c>
      <c r="C289" t="s">
        <v>6339</v>
      </c>
    </row>
    <row r="290" spans="1:3" x14ac:dyDescent="0.3">
      <c r="A290" t="s">
        <v>6339</v>
      </c>
      <c r="B290" s="4" t="s">
        <v>6365</v>
      </c>
      <c r="C290" t="s">
        <v>6339</v>
      </c>
    </row>
    <row r="291" spans="1:3" x14ac:dyDescent="0.3">
      <c r="A291" t="s">
        <v>6339</v>
      </c>
      <c r="B291" s="4" t="s">
        <v>6365</v>
      </c>
      <c r="C291" t="s">
        <v>6339</v>
      </c>
    </row>
    <row r="292" spans="1:3" x14ac:dyDescent="0.3">
      <c r="A292" t="s">
        <v>6339</v>
      </c>
      <c r="B292" s="4" t="s">
        <v>6365</v>
      </c>
      <c r="C292" t="s">
        <v>6339</v>
      </c>
    </row>
    <row r="293" spans="1:3" x14ac:dyDescent="0.3">
      <c r="A293" t="s">
        <v>6339</v>
      </c>
      <c r="B293" s="4" t="s">
        <v>6365</v>
      </c>
      <c r="C293" t="s">
        <v>6339</v>
      </c>
    </row>
    <row r="294" spans="1:3" x14ac:dyDescent="0.3">
      <c r="A294" t="s">
        <v>6339</v>
      </c>
      <c r="B294" s="4" t="s">
        <v>6365</v>
      </c>
      <c r="C294" t="s">
        <v>6339</v>
      </c>
    </row>
    <row r="295" spans="1:3" x14ac:dyDescent="0.3">
      <c r="A295" t="s">
        <v>6339</v>
      </c>
      <c r="B295" s="4" t="s">
        <v>6365</v>
      </c>
      <c r="C295" t="s">
        <v>6339</v>
      </c>
    </row>
    <row r="296" spans="1:3" x14ac:dyDescent="0.3">
      <c r="A296" t="s">
        <v>6339</v>
      </c>
      <c r="B296" s="4" t="s">
        <v>6365</v>
      </c>
      <c r="C296" t="s">
        <v>6339</v>
      </c>
    </row>
    <row r="297" spans="1:3" x14ac:dyDescent="0.3">
      <c r="A297" t="s">
        <v>6339</v>
      </c>
      <c r="B297" s="4" t="s">
        <v>6365</v>
      </c>
      <c r="C297" t="s">
        <v>6339</v>
      </c>
    </row>
    <row r="298" spans="1:3" x14ac:dyDescent="0.3">
      <c r="A298" t="s">
        <v>6339</v>
      </c>
      <c r="B298" s="4" t="s">
        <v>6365</v>
      </c>
      <c r="C298" t="s">
        <v>6339</v>
      </c>
    </row>
    <row r="299" spans="1:3" x14ac:dyDescent="0.3">
      <c r="A299" t="s">
        <v>6339</v>
      </c>
      <c r="B299" s="4" t="s">
        <v>6365</v>
      </c>
      <c r="C299" t="s">
        <v>6339</v>
      </c>
    </row>
    <row r="300" spans="1:3" x14ac:dyDescent="0.3">
      <c r="A300" t="s">
        <v>6339</v>
      </c>
      <c r="B300" s="4" t="s">
        <v>6365</v>
      </c>
      <c r="C300" t="s">
        <v>6339</v>
      </c>
    </row>
    <row r="301" spans="1:3" x14ac:dyDescent="0.3">
      <c r="A301" t="s">
        <v>6339</v>
      </c>
      <c r="B301" s="4" t="s">
        <v>6365</v>
      </c>
      <c r="C301" t="s">
        <v>6339</v>
      </c>
    </row>
    <row r="302" spans="1:3" x14ac:dyDescent="0.3">
      <c r="A302" t="s">
        <v>6339</v>
      </c>
      <c r="B302" s="4" t="s">
        <v>6365</v>
      </c>
      <c r="C302" t="s">
        <v>6339</v>
      </c>
    </row>
    <row r="303" spans="1:3" x14ac:dyDescent="0.3">
      <c r="A303" t="s">
        <v>6339</v>
      </c>
      <c r="B303" s="4" t="s">
        <v>6365</v>
      </c>
      <c r="C303" t="s">
        <v>6339</v>
      </c>
    </row>
    <row r="304" spans="1:3" x14ac:dyDescent="0.3">
      <c r="A304" t="s">
        <v>6339</v>
      </c>
      <c r="B304" s="4" t="s">
        <v>6365</v>
      </c>
      <c r="C304" t="s">
        <v>6339</v>
      </c>
    </row>
    <row r="305" spans="1:3" x14ac:dyDescent="0.3">
      <c r="A305" t="s">
        <v>6339</v>
      </c>
      <c r="B305" s="4" t="s">
        <v>6365</v>
      </c>
      <c r="C305" t="s">
        <v>6339</v>
      </c>
    </row>
    <row r="306" spans="1:3" x14ac:dyDescent="0.3">
      <c r="A306" t="s">
        <v>6339</v>
      </c>
      <c r="B306" s="4" t="s">
        <v>6365</v>
      </c>
      <c r="C306" t="s">
        <v>6339</v>
      </c>
    </row>
    <row r="307" spans="1:3" x14ac:dyDescent="0.3">
      <c r="A307" t="s">
        <v>6339</v>
      </c>
      <c r="B307" s="4" t="s">
        <v>6368</v>
      </c>
      <c r="C307" t="s">
        <v>6339</v>
      </c>
    </row>
    <row r="308" spans="1:3" x14ac:dyDescent="0.3">
      <c r="A308" t="s">
        <v>6339</v>
      </c>
      <c r="B308" s="4" t="s">
        <v>6368</v>
      </c>
      <c r="C308" t="s">
        <v>6339</v>
      </c>
    </row>
    <row r="309" spans="1:3" x14ac:dyDescent="0.3">
      <c r="A309" t="s">
        <v>6339</v>
      </c>
      <c r="B309" s="4" t="s">
        <v>6368</v>
      </c>
      <c r="C309" t="s">
        <v>6339</v>
      </c>
    </row>
    <row r="310" spans="1:3" x14ac:dyDescent="0.3">
      <c r="A310" t="s">
        <v>6339</v>
      </c>
      <c r="B310" s="4" t="s">
        <v>6368</v>
      </c>
      <c r="C310" t="s">
        <v>6339</v>
      </c>
    </row>
    <row r="311" spans="1:3" x14ac:dyDescent="0.3">
      <c r="A311" t="s">
        <v>6339</v>
      </c>
      <c r="B311" s="4" t="s">
        <v>6368</v>
      </c>
      <c r="C311" t="s">
        <v>6339</v>
      </c>
    </row>
    <row r="312" spans="1:3" x14ac:dyDescent="0.3">
      <c r="A312" t="s">
        <v>6339</v>
      </c>
      <c r="B312" s="4" t="s">
        <v>6372</v>
      </c>
      <c r="C312" t="s">
        <v>6339</v>
      </c>
    </row>
    <row r="313" spans="1:3" x14ac:dyDescent="0.3">
      <c r="A313" t="s">
        <v>6339</v>
      </c>
      <c r="B313" s="4" t="s">
        <v>6372</v>
      </c>
      <c r="C313" t="s">
        <v>6339</v>
      </c>
    </row>
    <row r="314" spans="1:3" x14ac:dyDescent="0.3">
      <c r="A314" t="s">
        <v>6339</v>
      </c>
      <c r="B314" s="4" t="s">
        <v>6372</v>
      </c>
      <c r="C314" t="s">
        <v>6339</v>
      </c>
    </row>
    <row r="315" spans="1:3" x14ac:dyDescent="0.3">
      <c r="A315" t="s">
        <v>6339</v>
      </c>
      <c r="B315" s="4" t="s">
        <v>6372</v>
      </c>
      <c r="C315" t="s">
        <v>6339</v>
      </c>
    </row>
    <row r="316" spans="1:3" x14ac:dyDescent="0.3">
      <c r="A316" t="s">
        <v>6339</v>
      </c>
      <c r="B316" s="4" t="s">
        <v>6372</v>
      </c>
      <c r="C316" t="s">
        <v>6339</v>
      </c>
    </row>
    <row r="317" spans="1:3" x14ac:dyDescent="0.3">
      <c r="A317" t="s">
        <v>6339</v>
      </c>
      <c r="B317" s="4" t="s">
        <v>6372</v>
      </c>
      <c r="C317" t="s">
        <v>6339</v>
      </c>
    </row>
    <row r="318" spans="1:3" x14ac:dyDescent="0.3">
      <c r="A318" t="s">
        <v>6339</v>
      </c>
      <c r="B318" s="4" t="s">
        <v>6372</v>
      </c>
      <c r="C318" t="s">
        <v>6339</v>
      </c>
    </row>
    <row r="319" spans="1:3" x14ac:dyDescent="0.3">
      <c r="A319" t="s">
        <v>6339</v>
      </c>
      <c r="B319" s="4" t="s">
        <v>6372</v>
      </c>
      <c r="C319" t="s">
        <v>6339</v>
      </c>
    </row>
    <row r="320" spans="1:3" x14ac:dyDescent="0.3">
      <c r="A320" t="s">
        <v>6339</v>
      </c>
      <c r="B320" s="4" t="s">
        <v>6372</v>
      </c>
      <c r="C320" t="s">
        <v>6339</v>
      </c>
    </row>
    <row r="321" spans="1:3" x14ac:dyDescent="0.3">
      <c r="A321" t="s">
        <v>6339</v>
      </c>
      <c r="B321" s="4" t="s">
        <v>6372</v>
      </c>
      <c r="C321" t="s">
        <v>6339</v>
      </c>
    </row>
    <row r="322" spans="1:3" x14ac:dyDescent="0.3">
      <c r="A322" t="s">
        <v>6339</v>
      </c>
      <c r="B322" s="4" t="s">
        <v>6372</v>
      </c>
      <c r="C322" t="s">
        <v>6339</v>
      </c>
    </row>
    <row r="323" spans="1:3" x14ac:dyDescent="0.3">
      <c r="A323" t="s">
        <v>6339</v>
      </c>
      <c r="B323" s="4" t="s">
        <v>6372</v>
      </c>
      <c r="C323" t="s">
        <v>6339</v>
      </c>
    </row>
    <row r="324" spans="1:3" x14ac:dyDescent="0.3">
      <c r="A324" t="s">
        <v>6339</v>
      </c>
      <c r="B324" s="4" t="s">
        <v>6372</v>
      </c>
      <c r="C324" t="s">
        <v>6339</v>
      </c>
    </row>
    <row r="325" spans="1:3" x14ac:dyDescent="0.3">
      <c r="A325" t="s">
        <v>6339</v>
      </c>
      <c r="B325" s="4" t="s">
        <v>6372</v>
      </c>
      <c r="C325" t="s">
        <v>6339</v>
      </c>
    </row>
    <row r="326" spans="1:3" x14ac:dyDescent="0.3">
      <c r="A326" t="s">
        <v>6339</v>
      </c>
      <c r="B326" s="4" t="s">
        <v>6372</v>
      </c>
      <c r="C326" t="s">
        <v>6339</v>
      </c>
    </row>
    <row r="327" spans="1:3" x14ac:dyDescent="0.3">
      <c r="A327" t="s">
        <v>6339</v>
      </c>
      <c r="B327" s="4" t="s">
        <v>6372</v>
      </c>
      <c r="C327" t="s">
        <v>6339</v>
      </c>
    </row>
    <row r="328" spans="1:3" x14ac:dyDescent="0.3">
      <c r="A328" t="s">
        <v>6339</v>
      </c>
      <c r="B328" s="4" t="s">
        <v>6372</v>
      </c>
      <c r="C328" t="s">
        <v>6339</v>
      </c>
    </row>
    <row r="329" spans="1:3" x14ac:dyDescent="0.3">
      <c r="A329" t="s">
        <v>6339</v>
      </c>
      <c r="B329" s="4" t="s">
        <v>6372</v>
      </c>
      <c r="C329" t="s">
        <v>6339</v>
      </c>
    </row>
    <row r="330" spans="1:3" x14ac:dyDescent="0.3">
      <c r="A330" t="s">
        <v>6339</v>
      </c>
      <c r="B330" s="4" t="s">
        <v>6372</v>
      </c>
      <c r="C330" t="s">
        <v>6339</v>
      </c>
    </row>
    <row r="331" spans="1:3" x14ac:dyDescent="0.3">
      <c r="A331" t="s">
        <v>6339</v>
      </c>
      <c r="B331" s="4" t="s">
        <v>6372</v>
      </c>
      <c r="C331" t="s">
        <v>6339</v>
      </c>
    </row>
    <row r="332" spans="1:3" x14ac:dyDescent="0.3">
      <c r="A332" t="s">
        <v>6339</v>
      </c>
      <c r="B332" s="4" t="s">
        <v>6372</v>
      </c>
      <c r="C332" t="s">
        <v>6339</v>
      </c>
    </row>
    <row r="333" spans="1:3" x14ac:dyDescent="0.3">
      <c r="A333" t="s">
        <v>6339</v>
      </c>
      <c r="B333" s="4" t="s">
        <v>6372</v>
      </c>
      <c r="C333" t="s">
        <v>6339</v>
      </c>
    </row>
    <row r="334" spans="1:3" x14ac:dyDescent="0.3">
      <c r="A334" t="s">
        <v>6339</v>
      </c>
      <c r="B334" s="4" t="s">
        <v>6372</v>
      </c>
      <c r="C334" t="s">
        <v>6339</v>
      </c>
    </row>
    <row r="335" spans="1:3" x14ac:dyDescent="0.3">
      <c r="A335" t="s">
        <v>6339</v>
      </c>
      <c r="B335" s="4" t="s">
        <v>6372</v>
      </c>
      <c r="C335" t="s">
        <v>6339</v>
      </c>
    </row>
    <row r="336" spans="1:3" x14ac:dyDescent="0.3">
      <c r="A336" t="s">
        <v>6339</v>
      </c>
      <c r="B336" s="4" t="s">
        <v>6372</v>
      </c>
      <c r="C336" t="s">
        <v>6339</v>
      </c>
    </row>
    <row r="337" spans="1:3" x14ac:dyDescent="0.3">
      <c r="A337" t="s">
        <v>6339</v>
      </c>
      <c r="B337" s="4" t="s">
        <v>6372</v>
      </c>
      <c r="C337" t="s">
        <v>6339</v>
      </c>
    </row>
    <row r="338" spans="1:3" x14ac:dyDescent="0.3">
      <c r="A338" t="s">
        <v>6339</v>
      </c>
      <c r="B338" s="4" t="s">
        <v>6372</v>
      </c>
      <c r="C338" t="s">
        <v>6339</v>
      </c>
    </row>
    <row r="339" spans="1:3" x14ac:dyDescent="0.3">
      <c r="A339" t="s">
        <v>6339</v>
      </c>
      <c r="B339" s="4" t="s">
        <v>6372</v>
      </c>
      <c r="C339" t="s">
        <v>6339</v>
      </c>
    </row>
    <row r="340" spans="1:3" x14ac:dyDescent="0.3">
      <c r="A340" t="s">
        <v>6339</v>
      </c>
      <c r="B340" s="4" t="s">
        <v>6372</v>
      </c>
      <c r="C340" t="s">
        <v>6339</v>
      </c>
    </row>
    <row r="341" spans="1:3" x14ac:dyDescent="0.3">
      <c r="A341" t="s">
        <v>6339</v>
      </c>
      <c r="B341" s="4" t="s">
        <v>6372</v>
      </c>
      <c r="C341" t="s">
        <v>6339</v>
      </c>
    </row>
    <row r="342" spans="1:3" x14ac:dyDescent="0.3">
      <c r="A342" t="s">
        <v>6339</v>
      </c>
      <c r="B342" s="4" t="s">
        <v>6372</v>
      </c>
      <c r="C342" t="s">
        <v>6339</v>
      </c>
    </row>
    <row r="343" spans="1:3" x14ac:dyDescent="0.3">
      <c r="A343" t="s">
        <v>6339</v>
      </c>
      <c r="B343" s="4" t="s">
        <v>6362</v>
      </c>
      <c r="C343" t="s">
        <v>6339</v>
      </c>
    </row>
    <row r="344" spans="1:3" x14ac:dyDescent="0.3">
      <c r="A344" t="s">
        <v>6339</v>
      </c>
      <c r="B344" s="4" t="s">
        <v>6362</v>
      </c>
      <c r="C344" t="s">
        <v>6339</v>
      </c>
    </row>
    <row r="345" spans="1:3" x14ac:dyDescent="0.3">
      <c r="A345" t="s">
        <v>6339</v>
      </c>
      <c r="B345" s="4" t="s">
        <v>6362</v>
      </c>
      <c r="C345" t="s">
        <v>6345</v>
      </c>
    </row>
    <row r="346" spans="1:3" x14ac:dyDescent="0.3">
      <c r="A346" t="s">
        <v>6339</v>
      </c>
      <c r="B346" s="4" t="s">
        <v>6362</v>
      </c>
      <c r="C346" t="s">
        <v>6345</v>
      </c>
    </row>
    <row r="347" spans="1:3" x14ac:dyDescent="0.3">
      <c r="A347" t="s">
        <v>6339</v>
      </c>
      <c r="B347" s="4" t="s">
        <v>6362</v>
      </c>
      <c r="C347" t="s">
        <v>6342</v>
      </c>
    </row>
    <row r="348" spans="1:3" x14ac:dyDescent="0.3">
      <c r="A348" t="s">
        <v>6339</v>
      </c>
      <c r="B348" s="4" t="s">
        <v>6362</v>
      </c>
      <c r="C348" t="s">
        <v>6339</v>
      </c>
    </row>
    <row r="349" spans="1:3" x14ac:dyDescent="0.3">
      <c r="A349" t="s">
        <v>6339</v>
      </c>
      <c r="B349" s="4" t="s">
        <v>6362</v>
      </c>
      <c r="C349" t="s">
        <v>6345</v>
      </c>
    </row>
    <row r="350" spans="1:3" x14ac:dyDescent="0.3">
      <c r="A350" t="s">
        <v>6339</v>
      </c>
      <c r="B350" s="4" t="s">
        <v>6362</v>
      </c>
      <c r="C350" t="s">
        <v>6339</v>
      </c>
    </row>
    <row r="351" spans="1:3" x14ac:dyDescent="0.3">
      <c r="A351" t="s">
        <v>6339</v>
      </c>
      <c r="B351" s="4" t="s">
        <v>6362</v>
      </c>
      <c r="C351" t="s">
        <v>6339</v>
      </c>
    </row>
    <row r="352" spans="1:3" x14ac:dyDescent="0.3">
      <c r="A352" t="s">
        <v>6339</v>
      </c>
      <c r="B352" s="4" t="s">
        <v>6362</v>
      </c>
      <c r="C352" t="s">
        <v>6345</v>
      </c>
    </row>
    <row r="353" spans="1:3" x14ac:dyDescent="0.3">
      <c r="A353" t="s">
        <v>6339</v>
      </c>
      <c r="B353" s="4" t="s">
        <v>6362</v>
      </c>
      <c r="C353" t="s">
        <v>6345</v>
      </c>
    </row>
    <row r="354" spans="1:3" x14ac:dyDescent="0.3">
      <c r="A354" t="s">
        <v>6339</v>
      </c>
      <c r="B354" s="4" t="s">
        <v>6362</v>
      </c>
      <c r="C354" t="s">
        <v>6345</v>
      </c>
    </row>
    <row r="355" spans="1:3" x14ac:dyDescent="0.3">
      <c r="A355" t="s">
        <v>6339</v>
      </c>
      <c r="B355" s="4" t="s">
        <v>6362</v>
      </c>
      <c r="C355" t="s">
        <v>6358</v>
      </c>
    </row>
    <row r="356" spans="1:3" x14ac:dyDescent="0.3">
      <c r="A356" t="s">
        <v>6339</v>
      </c>
      <c r="B356" s="4" t="s">
        <v>6362</v>
      </c>
      <c r="C356" t="s">
        <v>6358</v>
      </c>
    </row>
    <row r="357" spans="1:3" x14ac:dyDescent="0.3">
      <c r="A357" t="s">
        <v>6339</v>
      </c>
      <c r="B357" s="4" t="s">
        <v>6362</v>
      </c>
      <c r="C357" t="s">
        <v>6339</v>
      </c>
    </row>
    <row r="358" spans="1:3" x14ac:dyDescent="0.3">
      <c r="A358" t="s">
        <v>6339</v>
      </c>
      <c r="B358" s="4" t="s">
        <v>6362</v>
      </c>
      <c r="C358" t="s">
        <v>6339</v>
      </c>
    </row>
    <row r="359" spans="1:3" x14ac:dyDescent="0.3">
      <c r="A359" t="s">
        <v>6339</v>
      </c>
      <c r="B359" s="4" t="s">
        <v>6362</v>
      </c>
      <c r="C359" t="s">
        <v>6342</v>
      </c>
    </row>
    <row r="360" spans="1:3" x14ac:dyDescent="0.3">
      <c r="A360" t="s">
        <v>6339</v>
      </c>
      <c r="B360" s="4" t="s">
        <v>6362</v>
      </c>
      <c r="C360" t="s">
        <v>6339</v>
      </c>
    </row>
    <row r="361" spans="1:3" x14ac:dyDescent="0.3">
      <c r="A361" t="s">
        <v>6339</v>
      </c>
      <c r="B361" s="4" t="s">
        <v>6362</v>
      </c>
      <c r="C361" t="s">
        <v>6339</v>
      </c>
    </row>
    <row r="362" spans="1:3" x14ac:dyDescent="0.3">
      <c r="A362" t="s">
        <v>6339</v>
      </c>
      <c r="B362" s="4" t="s">
        <v>6362</v>
      </c>
      <c r="C362" t="s">
        <v>6345</v>
      </c>
    </row>
    <row r="363" spans="1:3" x14ac:dyDescent="0.3">
      <c r="A363" t="s">
        <v>6339</v>
      </c>
      <c r="B363" s="4" t="s">
        <v>6362</v>
      </c>
      <c r="C363" t="s">
        <v>6342</v>
      </c>
    </row>
    <row r="364" spans="1:3" x14ac:dyDescent="0.3">
      <c r="A364" t="s">
        <v>6339</v>
      </c>
      <c r="B364" s="4" t="s">
        <v>6362</v>
      </c>
      <c r="C364" t="s">
        <v>6342</v>
      </c>
    </row>
    <row r="365" spans="1:3" x14ac:dyDescent="0.3">
      <c r="A365" t="s">
        <v>6339</v>
      </c>
      <c r="B365" s="4" t="s">
        <v>6362</v>
      </c>
      <c r="C365" t="s">
        <v>6342</v>
      </c>
    </row>
    <row r="366" spans="1:3" x14ac:dyDescent="0.3">
      <c r="A366" t="s">
        <v>6339</v>
      </c>
      <c r="B366" s="4" t="s">
        <v>6362</v>
      </c>
      <c r="C366" t="s">
        <v>6342</v>
      </c>
    </row>
    <row r="367" spans="1:3" x14ac:dyDescent="0.3">
      <c r="A367" t="s">
        <v>6339</v>
      </c>
      <c r="B367" s="4" t="s">
        <v>6362</v>
      </c>
      <c r="C367" t="s">
        <v>958</v>
      </c>
    </row>
    <row r="368" spans="1:3" x14ac:dyDescent="0.3">
      <c r="A368" t="s">
        <v>6339</v>
      </c>
      <c r="B368" s="4" t="s">
        <v>6362</v>
      </c>
      <c r="C368" t="s">
        <v>958</v>
      </c>
    </row>
    <row r="369" spans="1:3" x14ac:dyDescent="0.3">
      <c r="A369" t="s">
        <v>6339</v>
      </c>
      <c r="B369" s="4" t="s">
        <v>6362</v>
      </c>
      <c r="C369" t="s">
        <v>6345</v>
      </c>
    </row>
    <row r="370" spans="1:3" x14ac:dyDescent="0.3">
      <c r="A370" t="s">
        <v>6339</v>
      </c>
      <c r="B370" s="4" t="s">
        <v>6362</v>
      </c>
      <c r="C370" t="s">
        <v>6348</v>
      </c>
    </row>
    <row r="371" spans="1:3" x14ac:dyDescent="0.3">
      <c r="A371" t="s">
        <v>6339</v>
      </c>
      <c r="B371" s="4" t="s">
        <v>6362</v>
      </c>
      <c r="C371" t="s">
        <v>6348</v>
      </c>
    </row>
    <row r="372" spans="1:3" x14ac:dyDescent="0.3">
      <c r="A372" t="s">
        <v>6339</v>
      </c>
      <c r="B372" s="4" t="s">
        <v>6362</v>
      </c>
      <c r="C372" t="s">
        <v>6348</v>
      </c>
    </row>
    <row r="373" spans="1:3" x14ac:dyDescent="0.3">
      <c r="A373" t="s">
        <v>6339</v>
      </c>
      <c r="B373" s="4" t="s">
        <v>6362</v>
      </c>
      <c r="C373" t="s">
        <v>6348</v>
      </c>
    </row>
    <row r="374" spans="1:3" x14ac:dyDescent="0.3">
      <c r="A374" t="s">
        <v>6339</v>
      </c>
      <c r="B374" s="4" t="s">
        <v>6362</v>
      </c>
      <c r="C374" t="s">
        <v>6348</v>
      </c>
    </row>
    <row r="375" spans="1:3" x14ac:dyDescent="0.3">
      <c r="A375" t="s">
        <v>6339</v>
      </c>
      <c r="B375" s="4" t="s">
        <v>6362</v>
      </c>
      <c r="C375" t="s">
        <v>6348</v>
      </c>
    </row>
    <row r="376" spans="1:3" x14ac:dyDescent="0.3">
      <c r="A376" t="s">
        <v>6339</v>
      </c>
      <c r="B376" s="4" t="s">
        <v>6362</v>
      </c>
      <c r="C376" t="s">
        <v>958</v>
      </c>
    </row>
    <row r="377" spans="1:3" x14ac:dyDescent="0.3">
      <c r="A377" t="s">
        <v>6339</v>
      </c>
      <c r="B377" s="4" t="s">
        <v>6362</v>
      </c>
      <c r="C377" t="s">
        <v>6345</v>
      </c>
    </row>
    <row r="378" spans="1:3" x14ac:dyDescent="0.3">
      <c r="A378" t="s">
        <v>6339</v>
      </c>
      <c r="B378" s="4" t="s">
        <v>6362</v>
      </c>
      <c r="C378" t="s">
        <v>6345</v>
      </c>
    </row>
    <row r="379" spans="1:3" x14ac:dyDescent="0.3">
      <c r="A379" t="s">
        <v>6339</v>
      </c>
      <c r="B379" s="4" t="s">
        <v>6362</v>
      </c>
      <c r="C379" t="s">
        <v>6342</v>
      </c>
    </row>
    <row r="380" spans="1:3" x14ac:dyDescent="0.3">
      <c r="A380" t="s">
        <v>6339</v>
      </c>
      <c r="B380" s="4" t="s">
        <v>6362</v>
      </c>
      <c r="C380" t="s">
        <v>6342</v>
      </c>
    </row>
    <row r="381" spans="1:3" x14ac:dyDescent="0.3">
      <c r="A381" t="s">
        <v>6339</v>
      </c>
      <c r="B381" s="4" t="s">
        <v>6362</v>
      </c>
      <c r="C381" t="s">
        <v>6342</v>
      </c>
    </row>
    <row r="382" spans="1:3" x14ac:dyDescent="0.3">
      <c r="A382" t="s">
        <v>6339</v>
      </c>
      <c r="B382" s="4" t="s">
        <v>6362</v>
      </c>
      <c r="C382" t="s">
        <v>6342</v>
      </c>
    </row>
    <row r="383" spans="1:3" x14ac:dyDescent="0.3">
      <c r="A383" t="s">
        <v>6339</v>
      </c>
      <c r="B383" s="4" t="s">
        <v>6362</v>
      </c>
      <c r="C383" t="s">
        <v>6339</v>
      </c>
    </row>
    <row r="384" spans="1:3" x14ac:dyDescent="0.3">
      <c r="A384" t="s">
        <v>6339</v>
      </c>
      <c r="B384" s="4" t="s">
        <v>6362</v>
      </c>
      <c r="C384" t="s">
        <v>6339</v>
      </c>
    </row>
    <row r="385" spans="1:3" x14ac:dyDescent="0.3">
      <c r="A385" t="s">
        <v>6339</v>
      </c>
      <c r="B385" s="4" t="s">
        <v>6362</v>
      </c>
      <c r="C385" t="s">
        <v>6339</v>
      </c>
    </row>
    <row r="386" spans="1:3" x14ac:dyDescent="0.3">
      <c r="A386" t="s">
        <v>6339</v>
      </c>
      <c r="B386" s="4" t="s">
        <v>6362</v>
      </c>
      <c r="C386" t="s">
        <v>6339</v>
      </c>
    </row>
    <row r="387" spans="1:3" x14ac:dyDescent="0.3">
      <c r="A387" t="s">
        <v>6339</v>
      </c>
      <c r="B387" s="4" t="s">
        <v>6362</v>
      </c>
      <c r="C387" t="s">
        <v>6339</v>
      </c>
    </row>
    <row r="388" spans="1:3" x14ac:dyDescent="0.3">
      <c r="A388" t="s">
        <v>6339</v>
      </c>
      <c r="B388" s="4" t="s">
        <v>6362</v>
      </c>
      <c r="C388" t="s">
        <v>6339</v>
      </c>
    </row>
    <row r="389" spans="1:3" x14ac:dyDescent="0.3">
      <c r="A389" t="s">
        <v>6339</v>
      </c>
      <c r="B389" s="4" t="s">
        <v>6362</v>
      </c>
      <c r="C389" t="s">
        <v>6339</v>
      </c>
    </row>
    <row r="390" spans="1:3" x14ac:dyDescent="0.3">
      <c r="A390" t="s">
        <v>6339</v>
      </c>
      <c r="B390" s="4" t="s">
        <v>6362</v>
      </c>
      <c r="C390" t="s">
        <v>6339</v>
      </c>
    </row>
    <row r="391" spans="1:3" x14ac:dyDescent="0.3">
      <c r="A391" t="s">
        <v>6339</v>
      </c>
      <c r="B391" s="4" t="s">
        <v>6362</v>
      </c>
      <c r="C391" t="s">
        <v>6339</v>
      </c>
    </row>
    <row r="392" spans="1:3" x14ac:dyDescent="0.3">
      <c r="A392" t="s">
        <v>6339</v>
      </c>
      <c r="B392" s="4" t="s">
        <v>6362</v>
      </c>
      <c r="C392" t="s">
        <v>6339</v>
      </c>
    </row>
    <row r="393" spans="1:3" x14ac:dyDescent="0.3">
      <c r="A393" t="s">
        <v>6339</v>
      </c>
      <c r="B393" s="4" t="s">
        <v>6362</v>
      </c>
      <c r="C393" t="s">
        <v>6339</v>
      </c>
    </row>
    <row r="394" spans="1:3" x14ac:dyDescent="0.3">
      <c r="A394" t="s">
        <v>6339</v>
      </c>
      <c r="B394" s="4" t="s">
        <v>6362</v>
      </c>
      <c r="C394" t="s">
        <v>6339</v>
      </c>
    </row>
    <row r="395" spans="1:3" x14ac:dyDescent="0.3">
      <c r="A395" t="s">
        <v>6339</v>
      </c>
      <c r="B395" s="4" t="s">
        <v>6362</v>
      </c>
      <c r="C395" t="s">
        <v>6339</v>
      </c>
    </row>
    <row r="396" spans="1:3" x14ac:dyDescent="0.3">
      <c r="A396" t="s">
        <v>6339</v>
      </c>
      <c r="B396" s="4" t="s">
        <v>6362</v>
      </c>
      <c r="C396" t="s">
        <v>6339</v>
      </c>
    </row>
    <row r="397" spans="1:3" x14ac:dyDescent="0.3">
      <c r="A397" t="s">
        <v>6339</v>
      </c>
      <c r="B397" s="4" t="s">
        <v>6362</v>
      </c>
      <c r="C397" t="s">
        <v>6339</v>
      </c>
    </row>
    <row r="398" spans="1:3" x14ac:dyDescent="0.3">
      <c r="A398" t="s">
        <v>6339</v>
      </c>
      <c r="B398" s="4" t="s">
        <v>6362</v>
      </c>
      <c r="C398" t="s">
        <v>6339</v>
      </c>
    </row>
    <row r="399" spans="1:3" x14ac:dyDescent="0.3">
      <c r="A399" t="s">
        <v>6339</v>
      </c>
      <c r="B399" s="4" t="s">
        <v>6362</v>
      </c>
      <c r="C399" t="s">
        <v>6339</v>
      </c>
    </row>
    <row r="400" spans="1:3" x14ac:dyDescent="0.3">
      <c r="A400" t="s">
        <v>6339</v>
      </c>
      <c r="B400" s="4" t="s">
        <v>6362</v>
      </c>
      <c r="C400" t="s">
        <v>6339</v>
      </c>
    </row>
    <row r="401" spans="1:3" x14ac:dyDescent="0.3">
      <c r="A401" t="s">
        <v>6339</v>
      </c>
      <c r="B401" s="4" t="s">
        <v>6362</v>
      </c>
      <c r="C401" t="s">
        <v>6339</v>
      </c>
    </row>
    <row r="402" spans="1:3" x14ac:dyDescent="0.3">
      <c r="A402" t="s">
        <v>6339</v>
      </c>
      <c r="B402" s="4" t="s">
        <v>6362</v>
      </c>
      <c r="C402" t="s">
        <v>6339</v>
      </c>
    </row>
    <row r="403" spans="1:3" x14ac:dyDescent="0.3">
      <c r="A403" t="s">
        <v>6339</v>
      </c>
      <c r="B403" s="4" t="s">
        <v>6362</v>
      </c>
      <c r="C403" t="s">
        <v>6339</v>
      </c>
    </row>
    <row r="404" spans="1:3" x14ac:dyDescent="0.3">
      <c r="A404" t="s">
        <v>6339</v>
      </c>
      <c r="B404" s="4" t="s">
        <v>6362</v>
      </c>
      <c r="C404" t="s">
        <v>6348</v>
      </c>
    </row>
    <row r="405" spans="1:3" x14ac:dyDescent="0.3">
      <c r="A405" t="s">
        <v>6339</v>
      </c>
      <c r="B405" s="4" t="s">
        <v>6362</v>
      </c>
      <c r="C405" t="s">
        <v>6348</v>
      </c>
    </row>
    <row r="406" spans="1:3" x14ac:dyDescent="0.3">
      <c r="A406" t="s">
        <v>6339</v>
      </c>
      <c r="B406" s="4" t="s">
        <v>6362</v>
      </c>
      <c r="C406" t="s">
        <v>6348</v>
      </c>
    </row>
    <row r="407" spans="1:3" x14ac:dyDescent="0.3">
      <c r="A407" t="s">
        <v>6339</v>
      </c>
      <c r="B407" s="4" t="s">
        <v>6362</v>
      </c>
      <c r="C407" t="s">
        <v>6348</v>
      </c>
    </row>
    <row r="408" spans="1:3" x14ac:dyDescent="0.3">
      <c r="A408" t="s">
        <v>6339</v>
      </c>
      <c r="B408" s="4" t="s">
        <v>6362</v>
      </c>
      <c r="C408" t="s">
        <v>958</v>
      </c>
    </row>
    <row r="409" spans="1:3" x14ac:dyDescent="0.3">
      <c r="A409" t="s">
        <v>6339</v>
      </c>
      <c r="B409" s="4" t="s">
        <v>6362</v>
      </c>
      <c r="C409" t="s">
        <v>958</v>
      </c>
    </row>
    <row r="410" spans="1:3" x14ac:dyDescent="0.3">
      <c r="A410" t="s">
        <v>6339</v>
      </c>
      <c r="B410" s="4" t="s">
        <v>6362</v>
      </c>
      <c r="C410" t="s">
        <v>6345</v>
      </c>
    </row>
    <row r="411" spans="1:3" x14ac:dyDescent="0.3">
      <c r="A411" t="s">
        <v>6339</v>
      </c>
      <c r="B411" s="4" t="s">
        <v>6362</v>
      </c>
      <c r="C411" t="s">
        <v>6345</v>
      </c>
    </row>
    <row r="412" spans="1:3" x14ac:dyDescent="0.3">
      <c r="A412" t="s">
        <v>6339</v>
      </c>
      <c r="B412" s="4" t="s">
        <v>6362</v>
      </c>
      <c r="C412" t="s">
        <v>6342</v>
      </c>
    </row>
    <row r="413" spans="1:3" x14ac:dyDescent="0.3">
      <c r="A413" t="s">
        <v>6339</v>
      </c>
      <c r="B413" s="4" t="s">
        <v>6362</v>
      </c>
      <c r="C413" t="s">
        <v>6342</v>
      </c>
    </row>
    <row r="414" spans="1:3" x14ac:dyDescent="0.3">
      <c r="A414" t="s">
        <v>6339</v>
      </c>
      <c r="B414" s="4" t="s">
        <v>6362</v>
      </c>
      <c r="C414" t="s">
        <v>6342</v>
      </c>
    </row>
    <row r="415" spans="1:3" x14ac:dyDescent="0.3">
      <c r="A415" t="s">
        <v>6339</v>
      </c>
      <c r="B415" s="4" t="s">
        <v>6362</v>
      </c>
      <c r="C415" t="s">
        <v>6339</v>
      </c>
    </row>
    <row r="416" spans="1:3" x14ac:dyDescent="0.3">
      <c r="A416" t="s">
        <v>6339</v>
      </c>
      <c r="B416" s="4" t="s">
        <v>6362</v>
      </c>
      <c r="C416" t="s">
        <v>6339</v>
      </c>
    </row>
    <row r="417" spans="1:3" x14ac:dyDescent="0.3">
      <c r="A417" t="s">
        <v>6339</v>
      </c>
      <c r="B417" s="4" t="s">
        <v>6362</v>
      </c>
      <c r="C417" t="s">
        <v>6339</v>
      </c>
    </row>
    <row r="418" spans="1:3" x14ac:dyDescent="0.3">
      <c r="A418" t="s">
        <v>6339</v>
      </c>
      <c r="B418" s="4" t="s">
        <v>6362</v>
      </c>
      <c r="C418" t="s">
        <v>6339</v>
      </c>
    </row>
    <row r="419" spans="1:3" x14ac:dyDescent="0.3">
      <c r="A419" t="s">
        <v>6339</v>
      </c>
      <c r="B419" s="4" t="s">
        <v>6362</v>
      </c>
      <c r="C419" t="s">
        <v>6339</v>
      </c>
    </row>
    <row r="420" spans="1:3" x14ac:dyDescent="0.3">
      <c r="A420" t="s">
        <v>6339</v>
      </c>
      <c r="B420" s="4" t="s">
        <v>6362</v>
      </c>
      <c r="C420" t="s">
        <v>6339</v>
      </c>
    </row>
    <row r="421" spans="1:3" x14ac:dyDescent="0.3">
      <c r="A421" t="s">
        <v>6339</v>
      </c>
      <c r="B421" s="4" t="s">
        <v>6362</v>
      </c>
      <c r="C421" t="s">
        <v>6339</v>
      </c>
    </row>
    <row r="422" spans="1:3" x14ac:dyDescent="0.3">
      <c r="A422" t="s">
        <v>6339</v>
      </c>
      <c r="B422" s="4" t="s">
        <v>6362</v>
      </c>
      <c r="C422" t="s">
        <v>6339</v>
      </c>
    </row>
    <row r="423" spans="1:3" x14ac:dyDescent="0.3">
      <c r="A423" t="s">
        <v>6339</v>
      </c>
      <c r="B423" s="4" t="s">
        <v>6362</v>
      </c>
      <c r="C423" t="s">
        <v>6339</v>
      </c>
    </row>
    <row r="424" spans="1:3" x14ac:dyDescent="0.3">
      <c r="A424" t="s">
        <v>6339</v>
      </c>
      <c r="B424" s="4" t="s">
        <v>6362</v>
      </c>
      <c r="C424" t="s">
        <v>6339</v>
      </c>
    </row>
    <row r="425" spans="1:3" x14ac:dyDescent="0.3">
      <c r="A425" t="s">
        <v>6339</v>
      </c>
      <c r="B425" s="4" t="s">
        <v>6362</v>
      </c>
      <c r="C425" t="s">
        <v>6339</v>
      </c>
    </row>
    <row r="426" spans="1:3" x14ac:dyDescent="0.3">
      <c r="A426" t="s">
        <v>6339</v>
      </c>
      <c r="B426" s="4" t="s">
        <v>6362</v>
      </c>
      <c r="C426" t="s">
        <v>6348</v>
      </c>
    </row>
    <row r="427" spans="1:3" x14ac:dyDescent="0.3">
      <c r="A427" t="s">
        <v>6339</v>
      </c>
      <c r="B427" s="4" t="s">
        <v>6362</v>
      </c>
      <c r="C427" t="s">
        <v>6348</v>
      </c>
    </row>
    <row r="428" spans="1:3" x14ac:dyDescent="0.3">
      <c r="A428" t="s">
        <v>6339</v>
      </c>
      <c r="B428" s="4" t="s">
        <v>6362</v>
      </c>
      <c r="C428" t="s">
        <v>6348</v>
      </c>
    </row>
    <row r="429" spans="1:3" x14ac:dyDescent="0.3">
      <c r="A429" t="s">
        <v>6339</v>
      </c>
      <c r="B429" s="4" t="s">
        <v>6362</v>
      </c>
      <c r="C429" t="s">
        <v>6348</v>
      </c>
    </row>
    <row r="430" spans="1:3" x14ac:dyDescent="0.3">
      <c r="A430" t="s">
        <v>6339</v>
      </c>
      <c r="B430" s="4" t="s">
        <v>6362</v>
      </c>
      <c r="C430" t="s">
        <v>958</v>
      </c>
    </row>
    <row r="431" spans="1:3" x14ac:dyDescent="0.3">
      <c r="A431" t="s">
        <v>6339</v>
      </c>
      <c r="B431" s="4" t="s">
        <v>6362</v>
      </c>
      <c r="C431" t="s">
        <v>958</v>
      </c>
    </row>
    <row r="432" spans="1:3" x14ac:dyDescent="0.3">
      <c r="A432" t="s">
        <v>6339</v>
      </c>
      <c r="B432" s="4" t="s">
        <v>6362</v>
      </c>
      <c r="C432" t="s">
        <v>6345</v>
      </c>
    </row>
    <row r="433" spans="1:3" x14ac:dyDescent="0.3">
      <c r="A433" t="s">
        <v>6339</v>
      </c>
      <c r="B433" s="4" t="s">
        <v>6362</v>
      </c>
      <c r="C433" t="s">
        <v>6358</v>
      </c>
    </row>
    <row r="434" spans="1:3" x14ac:dyDescent="0.3">
      <c r="A434" t="s">
        <v>6339</v>
      </c>
      <c r="B434" s="4" t="s">
        <v>6362</v>
      </c>
      <c r="C434" t="s">
        <v>6358</v>
      </c>
    </row>
    <row r="435" spans="1:3" x14ac:dyDescent="0.3">
      <c r="A435" t="s">
        <v>6339</v>
      </c>
      <c r="B435" s="4" t="s">
        <v>6362</v>
      </c>
      <c r="C435" t="s">
        <v>6339</v>
      </c>
    </row>
    <row r="436" spans="1:3" x14ac:dyDescent="0.3">
      <c r="A436" t="s">
        <v>6339</v>
      </c>
      <c r="B436" s="4" t="s">
        <v>6362</v>
      </c>
      <c r="C436" t="s">
        <v>6339</v>
      </c>
    </row>
    <row r="437" spans="1:3" x14ac:dyDescent="0.3">
      <c r="A437" t="s">
        <v>6339</v>
      </c>
      <c r="B437" s="4" t="s">
        <v>6362</v>
      </c>
      <c r="C437" t="s">
        <v>6348</v>
      </c>
    </row>
    <row r="438" spans="1:3" x14ac:dyDescent="0.3">
      <c r="A438" t="s">
        <v>6339</v>
      </c>
      <c r="B438" s="4" t="s">
        <v>6362</v>
      </c>
      <c r="C438" t="s">
        <v>6348</v>
      </c>
    </row>
    <row r="439" spans="1:3" x14ac:dyDescent="0.3">
      <c r="A439" t="s">
        <v>6339</v>
      </c>
      <c r="B439" s="4" t="s">
        <v>6362</v>
      </c>
      <c r="C439" t="s">
        <v>6348</v>
      </c>
    </row>
    <row r="440" spans="1:3" x14ac:dyDescent="0.3">
      <c r="A440" t="s">
        <v>6339</v>
      </c>
      <c r="B440" s="4" t="s">
        <v>6362</v>
      </c>
      <c r="C440" t="s">
        <v>6348</v>
      </c>
    </row>
    <row r="441" spans="1:3" x14ac:dyDescent="0.3">
      <c r="A441" t="s">
        <v>6339</v>
      </c>
      <c r="B441" s="4" t="s">
        <v>6362</v>
      </c>
      <c r="C441" t="s">
        <v>6348</v>
      </c>
    </row>
    <row r="442" spans="1:3" x14ac:dyDescent="0.3">
      <c r="A442" t="s">
        <v>6339</v>
      </c>
      <c r="B442" s="4" t="s">
        <v>6362</v>
      </c>
      <c r="C442" t="s">
        <v>6348</v>
      </c>
    </row>
    <row r="443" spans="1:3" x14ac:dyDescent="0.3">
      <c r="A443" t="s">
        <v>6339</v>
      </c>
      <c r="B443" s="4" t="s">
        <v>6362</v>
      </c>
      <c r="C443" t="s">
        <v>6348</v>
      </c>
    </row>
    <row r="444" spans="1:3" x14ac:dyDescent="0.3">
      <c r="A444" t="s">
        <v>6339</v>
      </c>
      <c r="B444" s="4" t="s">
        <v>6362</v>
      </c>
      <c r="C444" t="s">
        <v>6348</v>
      </c>
    </row>
    <row r="445" spans="1:3" x14ac:dyDescent="0.3">
      <c r="A445" t="s">
        <v>6339</v>
      </c>
      <c r="B445" s="4" t="s">
        <v>6362</v>
      </c>
      <c r="C445" t="s">
        <v>6348</v>
      </c>
    </row>
    <row r="446" spans="1:3" x14ac:dyDescent="0.3">
      <c r="A446" t="s">
        <v>6339</v>
      </c>
      <c r="B446" s="4" t="s">
        <v>6362</v>
      </c>
      <c r="C446" t="s">
        <v>6348</v>
      </c>
    </row>
    <row r="447" spans="1:3" x14ac:dyDescent="0.3">
      <c r="A447" t="s">
        <v>6339</v>
      </c>
      <c r="B447" s="4" t="s">
        <v>6362</v>
      </c>
      <c r="C447" t="s">
        <v>6348</v>
      </c>
    </row>
    <row r="448" spans="1:3" x14ac:dyDescent="0.3">
      <c r="A448" t="s">
        <v>6339</v>
      </c>
      <c r="B448" s="4" t="s">
        <v>6362</v>
      </c>
      <c r="C448" t="s">
        <v>6348</v>
      </c>
    </row>
    <row r="449" spans="1:3" x14ac:dyDescent="0.3">
      <c r="A449" t="s">
        <v>6339</v>
      </c>
      <c r="B449" s="4" t="s">
        <v>6362</v>
      </c>
      <c r="C449" t="s">
        <v>6348</v>
      </c>
    </row>
    <row r="450" spans="1:3" x14ac:dyDescent="0.3">
      <c r="A450" t="s">
        <v>6339</v>
      </c>
      <c r="B450" s="4" t="s">
        <v>6362</v>
      </c>
      <c r="C450" t="s">
        <v>6348</v>
      </c>
    </row>
    <row r="451" spans="1:3" x14ac:dyDescent="0.3">
      <c r="A451" t="s">
        <v>6339</v>
      </c>
      <c r="B451" s="4" t="s">
        <v>6362</v>
      </c>
      <c r="C451" t="s">
        <v>6348</v>
      </c>
    </row>
    <row r="452" spans="1:3" x14ac:dyDescent="0.3">
      <c r="A452" t="s">
        <v>6339</v>
      </c>
      <c r="B452" s="4" t="s">
        <v>6362</v>
      </c>
      <c r="C452" t="s">
        <v>6348</v>
      </c>
    </row>
    <row r="453" spans="1:3" x14ac:dyDescent="0.3">
      <c r="A453" t="s">
        <v>6339</v>
      </c>
      <c r="B453" s="4" t="s">
        <v>6362</v>
      </c>
      <c r="C453" t="s">
        <v>6348</v>
      </c>
    </row>
    <row r="454" spans="1:3" x14ac:dyDescent="0.3">
      <c r="A454" t="s">
        <v>6339</v>
      </c>
      <c r="B454" s="4" t="s">
        <v>6362</v>
      </c>
      <c r="C454" t="s">
        <v>6348</v>
      </c>
    </row>
    <row r="455" spans="1:3" x14ac:dyDescent="0.3">
      <c r="A455" t="s">
        <v>6339</v>
      </c>
      <c r="B455" s="4" t="s">
        <v>6362</v>
      </c>
      <c r="C455" t="s">
        <v>6348</v>
      </c>
    </row>
    <row r="456" spans="1:3" x14ac:dyDescent="0.3">
      <c r="A456" t="s">
        <v>6339</v>
      </c>
      <c r="B456" s="4" t="s">
        <v>6362</v>
      </c>
      <c r="C456" t="s">
        <v>6348</v>
      </c>
    </row>
    <row r="457" spans="1:3" x14ac:dyDescent="0.3">
      <c r="A457" t="s">
        <v>6339</v>
      </c>
      <c r="B457" s="4" t="s">
        <v>6362</v>
      </c>
      <c r="C457" t="s">
        <v>6345</v>
      </c>
    </row>
    <row r="458" spans="1:3" x14ac:dyDescent="0.3">
      <c r="A458" t="s">
        <v>6339</v>
      </c>
      <c r="B458" s="4" t="s">
        <v>6377</v>
      </c>
      <c r="C458" t="s">
        <v>6339</v>
      </c>
    </row>
    <row r="459" spans="1:3" x14ac:dyDescent="0.3">
      <c r="A459" t="s">
        <v>6339</v>
      </c>
      <c r="B459" s="4" t="s">
        <v>6377</v>
      </c>
      <c r="C459" t="s">
        <v>6339</v>
      </c>
    </row>
    <row r="460" spans="1:3" x14ac:dyDescent="0.3">
      <c r="A460" t="s">
        <v>6339</v>
      </c>
      <c r="B460" s="4" t="s">
        <v>6377</v>
      </c>
      <c r="C460" t="s">
        <v>6339</v>
      </c>
    </row>
    <row r="461" spans="1:3" x14ac:dyDescent="0.3">
      <c r="A461" t="s">
        <v>6339</v>
      </c>
      <c r="B461" s="4" t="s">
        <v>6377</v>
      </c>
      <c r="C461" t="s">
        <v>6339</v>
      </c>
    </row>
    <row r="462" spans="1:3" x14ac:dyDescent="0.3">
      <c r="A462" t="s">
        <v>6339</v>
      </c>
      <c r="B462" s="4" t="s">
        <v>6363</v>
      </c>
      <c r="C462" t="s">
        <v>6339</v>
      </c>
    </row>
    <row r="463" spans="1:3" x14ac:dyDescent="0.3">
      <c r="A463" t="s">
        <v>6339</v>
      </c>
      <c r="B463" s="4" t="s">
        <v>6363</v>
      </c>
      <c r="C463" t="s">
        <v>6339</v>
      </c>
    </row>
    <row r="464" spans="1:3" x14ac:dyDescent="0.3">
      <c r="A464" t="s">
        <v>6339</v>
      </c>
      <c r="B464" s="4" t="s">
        <v>6364</v>
      </c>
      <c r="C464" t="s">
        <v>6348</v>
      </c>
    </row>
    <row r="465" spans="1:3" x14ac:dyDescent="0.3">
      <c r="A465" t="s">
        <v>6339</v>
      </c>
      <c r="B465" s="4" t="s">
        <v>6364</v>
      </c>
      <c r="C465" t="s">
        <v>6348</v>
      </c>
    </row>
    <row r="466" spans="1:3" x14ac:dyDescent="0.3">
      <c r="A466" t="s">
        <v>6339</v>
      </c>
      <c r="B466" s="4" t="s">
        <v>6364</v>
      </c>
      <c r="C466" t="s">
        <v>6348</v>
      </c>
    </row>
    <row r="467" spans="1:3" x14ac:dyDescent="0.3">
      <c r="A467" t="s">
        <v>6339</v>
      </c>
      <c r="B467" s="4" t="s">
        <v>6364</v>
      </c>
      <c r="C467" t="s">
        <v>6348</v>
      </c>
    </row>
    <row r="468" spans="1:3" x14ac:dyDescent="0.3">
      <c r="A468" t="s">
        <v>6339</v>
      </c>
      <c r="B468" s="4" t="s">
        <v>6364</v>
      </c>
      <c r="C468" t="s">
        <v>6348</v>
      </c>
    </row>
    <row r="469" spans="1:3" x14ac:dyDescent="0.3">
      <c r="A469" t="s">
        <v>6339</v>
      </c>
      <c r="B469" s="4" t="s">
        <v>6364</v>
      </c>
      <c r="C469" t="s">
        <v>6348</v>
      </c>
    </row>
    <row r="470" spans="1:3" x14ac:dyDescent="0.3">
      <c r="A470" t="s">
        <v>6339</v>
      </c>
      <c r="B470" s="4" t="s">
        <v>6364</v>
      </c>
      <c r="C470" t="s">
        <v>6348</v>
      </c>
    </row>
    <row r="471" spans="1:3" x14ac:dyDescent="0.3">
      <c r="A471" t="s">
        <v>6339</v>
      </c>
      <c r="B471" s="4" t="s">
        <v>6364</v>
      </c>
      <c r="C471" t="s">
        <v>6348</v>
      </c>
    </row>
    <row r="472" spans="1:3" x14ac:dyDescent="0.3">
      <c r="A472" t="s">
        <v>6339</v>
      </c>
      <c r="B472" s="4" t="s">
        <v>6364</v>
      </c>
      <c r="C472" t="s">
        <v>6348</v>
      </c>
    </row>
    <row r="473" spans="1:3" x14ac:dyDescent="0.3">
      <c r="A473" t="s">
        <v>6339</v>
      </c>
      <c r="B473" s="4" t="s">
        <v>6364</v>
      </c>
      <c r="C473" t="s">
        <v>6348</v>
      </c>
    </row>
    <row r="474" spans="1:3" x14ac:dyDescent="0.3">
      <c r="A474" t="s">
        <v>6339</v>
      </c>
      <c r="B474" s="4" t="s">
        <v>6364</v>
      </c>
      <c r="C474" t="s">
        <v>6348</v>
      </c>
    </row>
    <row r="475" spans="1:3" x14ac:dyDescent="0.3">
      <c r="A475" t="s">
        <v>6339</v>
      </c>
      <c r="B475" s="4" t="s">
        <v>6364</v>
      </c>
      <c r="C475" t="s">
        <v>6348</v>
      </c>
    </row>
    <row r="476" spans="1:3" x14ac:dyDescent="0.3">
      <c r="A476" t="s">
        <v>6339</v>
      </c>
      <c r="B476" s="4" t="s">
        <v>6364</v>
      </c>
      <c r="C476" t="s">
        <v>6348</v>
      </c>
    </row>
    <row r="477" spans="1:3" x14ac:dyDescent="0.3">
      <c r="A477" t="s">
        <v>6339</v>
      </c>
      <c r="B477" s="4" t="s">
        <v>6364</v>
      </c>
      <c r="C477" t="s">
        <v>6348</v>
      </c>
    </row>
    <row r="478" spans="1:3" x14ac:dyDescent="0.3">
      <c r="A478" t="s">
        <v>6339</v>
      </c>
      <c r="B478" s="4" t="s">
        <v>6364</v>
      </c>
      <c r="C478" t="s">
        <v>6348</v>
      </c>
    </row>
    <row r="479" spans="1:3" x14ac:dyDescent="0.3">
      <c r="A479" t="s">
        <v>6339</v>
      </c>
      <c r="B479" s="4" t="s">
        <v>6364</v>
      </c>
      <c r="C479" t="s">
        <v>6348</v>
      </c>
    </row>
    <row r="480" spans="1:3" x14ac:dyDescent="0.3">
      <c r="A480" t="s">
        <v>6339</v>
      </c>
      <c r="B480" s="4" t="s">
        <v>6364</v>
      </c>
      <c r="C480" t="s">
        <v>6348</v>
      </c>
    </row>
    <row r="481" spans="1:3" x14ac:dyDescent="0.3">
      <c r="A481" t="s">
        <v>6339</v>
      </c>
      <c r="B481" s="4" t="s">
        <v>6364</v>
      </c>
      <c r="C481" t="s">
        <v>6348</v>
      </c>
    </row>
    <row r="482" spans="1:3" x14ac:dyDescent="0.3">
      <c r="A482" t="s">
        <v>6339</v>
      </c>
      <c r="B482" s="4" t="s">
        <v>6364</v>
      </c>
      <c r="C482" t="s">
        <v>6348</v>
      </c>
    </row>
    <row r="483" spans="1:3" x14ac:dyDescent="0.3">
      <c r="A483" t="s">
        <v>6339</v>
      </c>
      <c r="B483" s="4" t="s">
        <v>6364</v>
      </c>
      <c r="C483" t="s">
        <v>6348</v>
      </c>
    </row>
    <row r="484" spans="1:3" x14ac:dyDescent="0.3">
      <c r="A484" t="s">
        <v>6339</v>
      </c>
      <c r="B484" s="4" t="s">
        <v>6364</v>
      </c>
      <c r="C484" t="s">
        <v>6348</v>
      </c>
    </row>
    <row r="485" spans="1:3" x14ac:dyDescent="0.3">
      <c r="A485" t="s">
        <v>6339</v>
      </c>
      <c r="B485" s="4" t="s">
        <v>6364</v>
      </c>
      <c r="C485" t="s">
        <v>6348</v>
      </c>
    </row>
    <row r="486" spans="1:3" x14ac:dyDescent="0.3">
      <c r="A486" t="s">
        <v>6339</v>
      </c>
      <c r="B486" s="4" t="s">
        <v>6364</v>
      </c>
      <c r="C486" t="s">
        <v>6348</v>
      </c>
    </row>
    <row r="487" spans="1:3" x14ac:dyDescent="0.3">
      <c r="A487" t="s">
        <v>6339</v>
      </c>
      <c r="B487" s="4" t="s">
        <v>6364</v>
      </c>
      <c r="C487" t="s">
        <v>6348</v>
      </c>
    </row>
    <row r="488" spans="1:3" x14ac:dyDescent="0.3">
      <c r="A488" t="s">
        <v>6339</v>
      </c>
      <c r="B488" s="4" t="s">
        <v>6364</v>
      </c>
      <c r="C488" t="s">
        <v>6348</v>
      </c>
    </row>
    <row r="489" spans="1:3" x14ac:dyDescent="0.3">
      <c r="A489" t="s">
        <v>6339</v>
      </c>
      <c r="B489" s="4" t="s">
        <v>6364</v>
      </c>
      <c r="C489" t="s">
        <v>6348</v>
      </c>
    </row>
    <row r="490" spans="1:3" x14ac:dyDescent="0.3">
      <c r="A490" t="s">
        <v>6339</v>
      </c>
      <c r="B490" s="4" t="s">
        <v>6364</v>
      </c>
      <c r="C490" t="s">
        <v>6348</v>
      </c>
    </row>
    <row r="491" spans="1:3" x14ac:dyDescent="0.3">
      <c r="A491" t="s">
        <v>6339</v>
      </c>
      <c r="B491" s="4" t="s">
        <v>6364</v>
      </c>
      <c r="C491" t="s">
        <v>6348</v>
      </c>
    </row>
    <row r="492" spans="1:3" x14ac:dyDescent="0.3">
      <c r="A492" t="s">
        <v>6339</v>
      </c>
      <c r="B492" s="4" t="s">
        <v>6364</v>
      </c>
      <c r="C492" t="s">
        <v>6348</v>
      </c>
    </row>
    <row r="493" spans="1:3" x14ac:dyDescent="0.3">
      <c r="A493" t="s">
        <v>6339</v>
      </c>
      <c r="B493" s="4" t="s">
        <v>6364</v>
      </c>
      <c r="C493" t="s">
        <v>6348</v>
      </c>
    </row>
    <row r="494" spans="1:3" x14ac:dyDescent="0.3">
      <c r="A494" t="s">
        <v>6339</v>
      </c>
      <c r="B494" s="4" t="s">
        <v>6364</v>
      </c>
      <c r="C494" t="s">
        <v>6348</v>
      </c>
    </row>
    <row r="495" spans="1:3" x14ac:dyDescent="0.3">
      <c r="A495" t="s">
        <v>6339</v>
      </c>
      <c r="B495" s="4" t="s">
        <v>6364</v>
      </c>
      <c r="C495" t="s">
        <v>6339</v>
      </c>
    </row>
    <row r="496" spans="1:3" x14ac:dyDescent="0.3">
      <c r="A496" t="s">
        <v>6339</v>
      </c>
      <c r="B496" s="4" t="s">
        <v>6364</v>
      </c>
      <c r="C496" t="s">
        <v>6348</v>
      </c>
    </row>
    <row r="497" spans="1:3" x14ac:dyDescent="0.3">
      <c r="A497" t="s">
        <v>6339</v>
      </c>
      <c r="B497" s="4" t="s">
        <v>6364</v>
      </c>
      <c r="C497" t="s">
        <v>6348</v>
      </c>
    </row>
    <row r="498" spans="1:3" x14ac:dyDescent="0.3">
      <c r="A498" t="s">
        <v>6339</v>
      </c>
      <c r="B498" s="4" t="s">
        <v>6364</v>
      </c>
      <c r="C498" t="s">
        <v>6348</v>
      </c>
    </row>
    <row r="499" spans="1:3" x14ac:dyDescent="0.3">
      <c r="A499" t="s">
        <v>6339</v>
      </c>
      <c r="B499" s="4" t="s">
        <v>6364</v>
      </c>
      <c r="C499" t="s">
        <v>6348</v>
      </c>
    </row>
    <row r="500" spans="1:3" x14ac:dyDescent="0.3">
      <c r="A500" t="s">
        <v>6339</v>
      </c>
      <c r="B500" s="4" t="s">
        <v>6364</v>
      </c>
      <c r="C500" t="s">
        <v>6339</v>
      </c>
    </row>
    <row r="501" spans="1:3" x14ac:dyDescent="0.3">
      <c r="A501" t="s">
        <v>6339</v>
      </c>
      <c r="B501" s="4" t="s">
        <v>6364</v>
      </c>
      <c r="C501" t="s">
        <v>6348</v>
      </c>
    </row>
    <row r="502" spans="1:3" x14ac:dyDescent="0.3">
      <c r="A502" t="s">
        <v>6339</v>
      </c>
      <c r="B502" s="4" t="s">
        <v>6364</v>
      </c>
      <c r="C502" t="s">
        <v>6348</v>
      </c>
    </row>
    <row r="503" spans="1:3" x14ac:dyDescent="0.3">
      <c r="A503" t="s">
        <v>6339</v>
      </c>
      <c r="B503" s="4" t="s">
        <v>6364</v>
      </c>
      <c r="C503" t="s">
        <v>6348</v>
      </c>
    </row>
    <row r="504" spans="1:3" x14ac:dyDescent="0.3">
      <c r="A504" t="s">
        <v>6339</v>
      </c>
      <c r="B504" s="4" t="s">
        <v>6364</v>
      </c>
      <c r="C504" t="s">
        <v>6348</v>
      </c>
    </row>
    <row r="505" spans="1:3" x14ac:dyDescent="0.3">
      <c r="A505" t="s">
        <v>6339</v>
      </c>
      <c r="B505" s="4" t="s">
        <v>6364</v>
      </c>
      <c r="C505" t="s">
        <v>6348</v>
      </c>
    </row>
    <row r="506" spans="1:3" x14ac:dyDescent="0.3">
      <c r="A506" t="s">
        <v>6339</v>
      </c>
      <c r="B506" s="4" t="s">
        <v>6364</v>
      </c>
      <c r="C506" t="s">
        <v>6348</v>
      </c>
    </row>
    <row r="507" spans="1:3" x14ac:dyDescent="0.3">
      <c r="A507" t="s">
        <v>6339</v>
      </c>
      <c r="B507" s="4" t="s">
        <v>6364</v>
      </c>
      <c r="C507" t="s">
        <v>6348</v>
      </c>
    </row>
    <row r="508" spans="1:3" x14ac:dyDescent="0.3">
      <c r="A508" t="s">
        <v>6339</v>
      </c>
      <c r="B508" s="4" t="s">
        <v>6364</v>
      </c>
      <c r="C508" t="s">
        <v>6348</v>
      </c>
    </row>
    <row r="509" spans="1:3" x14ac:dyDescent="0.3">
      <c r="A509" t="s">
        <v>6339</v>
      </c>
      <c r="B509" s="4" t="s">
        <v>6364</v>
      </c>
      <c r="C509" t="s">
        <v>6348</v>
      </c>
    </row>
    <row r="510" spans="1:3" x14ac:dyDescent="0.3">
      <c r="A510" t="s">
        <v>6339</v>
      </c>
      <c r="B510" s="4" t="s">
        <v>6364</v>
      </c>
      <c r="C510" t="s">
        <v>6348</v>
      </c>
    </row>
    <row r="511" spans="1:3" x14ac:dyDescent="0.3">
      <c r="A511" t="s">
        <v>6339</v>
      </c>
      <c r="B511" s="4" t="s">
        <v>6364</v>
      </c>
      <c r="C511" t="s">
        <v>6348</v>
      </c>
    </row>
    <row r="512" spans="1:3" x14ac:dyDescent="0.3">
      <c r="A512" t="s">
        <v>6339</v>
      </c>
      <c r="B512" s="4" t="s">
        <v>6364</v>
      </c>
      <c r="C512" t="s">
        <v>6348</v>
      </c>
    </row>
    <row r="513" spans="1:3" x14ac:dyDescent="0.3">
      <c r="A513" t="s">
        <v>6339</v>
      </c>
      <c r="B513" s="4" t="s">
        <v>6364</v>
      </c>
      <c r="C513" t="s">
        <v>6348</v>
      </c>
    </row>
    <row r="514" spans="1:3" x14ac:dyDescent="0.3">
      <c r="A514" t="s">
        <v>6339</v>
      </c>
      <c r="B514" s="4" t="s">
        <v>6364</v>
      </c>
      <c r="C514" t="s">
        <v>6348</v>
      </c>
    </row>
    <row r="515" spans="1:3" x14ac:dyDescent="0.3">
      <c r="A515" t="s">
        <v>6339</v>
      </c>
      <c r="B515" s="4" t="s">
        <v>6364</v>
      </c>
      <c r="C515" t="s">
        <v>6348</v>
      </c>
    </row>
    <row r="516" spans="1:3" x14ac:dyDescent="0.3">
      <c r="A516" t="s">
        <v>6339</v>
      </c>
      <c r="B516" s="4" t="s">
        <v>6364</v>
      </c>
      <c r="C516" t="s">
        <v>6348</v>
      </c>
    </row>
    <row r="517" spans="1:3" x14ac:dyDescent="0.3">
      <c r="A517" t="s">
        <v>6339</v>
      </c>
      <c r="B517" s="4" t="s">
        <v>6364</v>
      </c>
      <c r="C517" t="s">
        <v>6348</v>
      </c>
    </row>
    <row r="518" spans="1:3" x14ac:dyDescent="0.3">
      <c r="A518" t="s">
        <v>6339</v>
      </c>
      <c r="B518" s="4" t="s">
        <v>6364</v>
      </c>
      <c r="C518" t="s">
        <v>6348</v>
      </c>
    </row>
    <row r="519" spans="1:3" x14ac:dyDescent="0.3">
      <c r="A519" t="s">
        <v>6339</v>
      </c>
      <c r="B519" s="4" t="s">
        <v>6364</v>
      </c>
      <c r="C519" t="s">
        <v>6348</v>
      </c>
    </row>
    <row r="520" spans="1:3" x14ac:dyDescent="0.3">
      <c r="A520" t="s">
        <v>6339</v>
      </c>
      <c r="B520" s="4" t="s">
        <v>6364</v>
      </c>
      <c r="C520" t="s">
        <v>6348</v>
      </c>
    </row>
    <row r="521" spans="1:3" x14ac:dyDescent="0.3">
      <c r="A521" t="s">
        <v>6339</v>
      </c>
      <c r="B521" s="4" t="s">
        <v>6364</v>
      </c>
      <c r="C521" t="s">
        <v>6348</v>
      </c>
    </row>
    <row r="522" spans="1:3" x14ac:dyDescent="0.3">
      <c r="A522" t="s">
        <v>6339</v>
      </c>
      <c r="B522" s="4" t="s">
        <v>6364</v>
      </c>
      <c r="C522" t="s">
        <v>6348</v>
      </c>
    </row>
    <row r="523" spans="1:3" x14ac:dyDescent="0.3">
      <c r="A523" t="s">
        <v>6339</v>
      </c>
      <c r="B523" s="4" t="s">
        <v>6364</v>
      </c>
      <c r="C523" t="s">
        <v>6348</v>
      </c>
    </row>
    <row r="524" spans="1:3" x14ac:dyDescent="0.3">
      <c r="A524" t="s">
        <v>6339</v>
      </c>
      <c r="B524" s="4" t="s">
        <v>6364</v>
      </c>
      <c r="C524" t="s">
        <v>6348</v>
      </c>
    </row>
    <row r="525" spans="1:3" x14ac:dyDescent="0.3">
      <c r="A525" t="s">
        <v>6339</v>
      </c>
      <c r="B525" s="4" t="s">
        <v>6364</v>
      </c>
      <c r="C525" t="s">
        <v>6348</v>
      </c>
    </row>
    <row r="526" spans="1:3" x14ac:dyDescent="0.3">
      <c r="A526" t="s">
        <v>6339</v>
      </c>
      <c r="B526" s="4" t="s">
        <v>6364</v>
      </c>
      <c r="C526" t="s">
        <v>6348</v>
      </c>
    </row>
    <row r="527" spans="1:3" x14ac:dyDescent="0.3">
      <c r="A527" t="s">
        <v>6339</v>
      </c>
      <c r="B527" s="4" t="s">
        <v>6364</v>
      </c>
      <c r="C527" t="s">
        <v>6348</v>
      </c>
    </row>
    <row r="528" spans="1:3" x14ac:dyDescent="0.3">
      <c r="A528" t="s">
        <v>6339</v>
      </c>
      <c r="B528" s="4" t="s">
        <v>6364</v>
      </c>
      <c r="C528" t="s">
        <v>6348</v>
      </c>
    </row>
    <row r="529" spans="1:3" x14ac:dyDescent="0.3">
      <c r="A529" t="s">
        <v>6339</v>
      </c>
      <c r="B529" s="4" t="s">
        <v>6364</v>
      </c>
      <c r="C529" t="s">
        <v>6348</v>
      </c>
    </row>
    <row r="530" spans="1:3" x14ac:dyDescent="0.3">
      <c r="A530" t="s">
        <v>6339</v>
      </c>
      <c r="B530" s="4" t="s">
        <v>6364</v>
      </c>
      <c r="C530" t="s">
        <v>6348</v>
      </c>
    </row>
    <row r="531" spans="1:3" x14ac:dyDescent="0.3">
      <c r="A531" t="s">
        <v>6339</v>
      </c>
      <c r="B531" s="4" t="s">
        <v>6364</v>
      </c>
      <c r="C531" t="s">
        <v>6348</v>
      </c>
    </row>
    <row r="532" spans="1:3" x14ac:dyDescent="0.3">
      <c r="A532" t="s">
        <v>6339</v>
      </c>
      <c r="B532" s="4" t="s">
        <v>6364</v>
      </c>
      <c r="C532" t="s">
        <v>6348</v>
      </c>
    </row>
    <row r="533" spans="1:3" x14ac:dyDescent="0.3">
      <c r="A533" t="s">
        <v>6339</v>
      </c>
      <c r="B533" s="4" t="s">
        <v>6364</v>
      </c>
      <c r="C533" t="s">
        <v>6348</v>
      </c>
    </row>
    <row r="534" spans="1:3" x14ac:dyDescent="0.3">
      <c r="A534" t="s">
        <v>6339</v>
      </c>
      <c r="B534" s="4" t="s">
        <v>6364</v>
      </c>
      <c r="C534" t="s">
        <v>6348</v>
      </c>
    </row>
    <row r="535" spans="1:3" x14ac:dyDescent="0.3">
      <c r="A535" t="s">
        <v>6339</v>
      </c>
      <c r="B535" s="4" t="s">
        <v>6364</v>
      </c>
      <c r="C535" t="s">
        <v>6348</v>
      </c>
    </row>
    <row r="536" spans="1:3" x14ac:dyDescent="0.3">
      <c r="A536" t="s">
        <v>6339</v>
      </c>
      <c r="B536" s="4" t="s">
        <v>6364</v>
      </c>
      <c r="C536" t="s">
        <v>6348</v>
      </c>
    </row>
    <row r="537" spans="1:3" x14ac:dyDescent="0.3">
      <c r="A537" t="s">
        <v>6339</v>
      </c>
      <c r="B537" s="4" t="s">
        <v>6364</v>
      </c>
      <c r="C537" t="s">
        <v>6348</v>
      </c>
    </row>
    <row r="538" spans="1:3" x14ac:dyDescent="0.3">
      <c r="A538" t="s">
        <v>6339</v>
      </c>
      <c r="B538" s="4" t="s">
        <v>6364</v>
      </c>
      <c r="C538" t="s">
        <v>6348</v>
      </c>
    </row>
    <row r="539" spans="1:3" x14ac:dyDescent="0.3">
      <c r="A539" t="s">
        <v>6339</v>
      </c>
      <c r="B539" s="4" t="s">
        <v>6364</v>
      </c>
      <c r="C539" t="s">
        <v>6348</v>
      </c>
    </row>
    <row r="540" spans="1:3" x14ac:dyDescent="0.3">
      <c r="A540" t="s">
        <v>6339</v>
      </c>
      <c r="B540" s="4" t="s">
        <v>6364</v>
      </c>
      <c r="C540" t="s">
        <v>6348</v>
      </c>
    </row>
    <row r="541" spans="1:3" x14ac:dyDescent="0.3">
      <c r="A541" t="s">
        <v>6339</v>
      </c>
      <c r="B541" s="4" t="s">
        <v>6364</v>
      </c>
      <c r="C541" t="s">
        <v>6348</v>
      </c>
    </row>
    <row r="542" spans="1:3" x14ac:dyDescent="0.3">
      <c r="A542" t="s">
        <v>6339</v>
      </c>
      <c r="B542" s="4" t="s">
        <v>6364</v>
      </c>
      <c r="C542" t="s">
        <v>6348</v>
      </c>
    </row>
    <row r="543" spans="1:3" x14ac:dyDescent="0.3">
      <c r="A543" t="s">
        <v>6339</v>
      </c>
      <c r="B543" s="4" t="s">
        <v>6364</v>
      </c>
      <c r="C543" t="s">
        <v>6348</v>
      </c>
    </row>
    <row r="544" spans="1:3" x14ac:dyDescent="0.3">
      <c r="A544" t="s">
        <v>6339</v>
      </c>
      <c r="B544" s="4" t="s">
        <v>6364</v>
      </c>
      <c r="C544" t="s">
        <v>6348</v>
      </c>
    </row>
    <row r="545" spans="1:3" x14ac:dyDescent="0.3">
      <c r="A545" t="s">
        <v>6339</v>
      </c>
      <c r="B545" s="4" t="s">
        <v>6364</v>
      </c>
      <c r="C545" t="s">
        <v>6348</v>
      </c>
    </row>
    <row r="546" spans="1:3" x14ac:dyDescent="0.3">
      <c r="A546" t="s">
        <v>6339</v>
      </c>
      <c r="B546" s="4" t="s">
        <v>6364</v>
      </c>
      <c r="C546" t="s">
        <v>6348</v>
      </c>
    </row>
    <row r="547" spans="1:3" x14ac:dyDescent="0.3">
      <c r="A547" t="s">
        <v>6339</v>
      </c>
      <c r="B547" s="4" t="s">
        <v>6364</v>
      </c>
      <c r="C547" t="s">
        <v>6348</v>
      </c>
    </row>
    <row r="548" spans="1:3" x14ac:dyDescent="0.3">
      <c r="A548" t="s">
        <v>6339</v>
      </c>
      <c r="B548" s="4" t="s">
        <v>6364</v>
      </c>
      <c r="C548" t="s">
        <v>6348</v>
      </c>
    </row>
    <row r="549" spans="1:3" x14ac:dyDescent="0.3">
      <c r="A549" t="s">
        <v>6339</v>
      </c>
      <c r="B549" s="4" t="s">
        <v>6364</v>
      </c>
      <c r="C549" t="s">
        <v>6348</v>
      </c>
    </row>
    <row r="550" spans="1:3" x14ac:dyDescent="0.3">
      <c r="A550" t="s">
        <v>6339</v>
      </c>
      <c r="B550" s="4" t="s">
        <v>6364</v>
      </c>
      <c r="C550" t="s">
        <v>6348</v>
      </c>
    </row>
    <row r="551" spans="1:3" x14ac:dyDescent="0.3">
      <c r="A551" t="s">
        <v>6339</v>
      </c>
      <c r="B551" s="4" t="s">
        <v>6364</v>
      </c>
      <c r="C551" t="s">
        <v>6348</v>
      </c>
    </row>
    <row r="552" spans="1:3" x14ac:dyDescent="0.3">
      <c r="A552" t="s">
        <v>6339</v>
      </c>
      <c r="B552" s="4" t="s">
        <v>6364</v>
      </c>
      <c r="C552" t="s">
        <v>6348</v>
      </c>
    </row>
    <row r="553" spans="1:3" x14ac:dyDescent="0.3">
      <c r="A553" t="s">
        <v>6339</v>
      </c>
      <c r="B553" s="4" t="s">
        <v>6364</v>
      </c>
      <c r="C553" t="s">
        <v>6348</v>
      </c>
    </row>
    <row r="554" spans="1:3" x14ac:dyDescent="0.3">
      <c r="A554" t="s">
        <v>6339</v>
      </c>
      <c r="B554" s="4" t="s">
        <v>6364</v>
      </c>
      <c r="C554" t="s">
        <v>6348</v>
      </c>
    </row>
    <row r="555" spans="1:3" x14ac:dyDescent="0.3">
      <c r="A555" t="s">
        <v>6339</v>
      </c>
      <c r="B555" s="4" t="s">
        <v>6364</v>
      </c>
      <c r="C555" t="s">
        <v>6348</v>
      </c>
    </row>
    <row r="556" spans="1:3" x14ac:dyDescent="0.3">
      <c r="A556" t="s">
        <v>6339</v>
      </c>
      <c r="B556" s="4" t="s">
        <v>6364</v>
      </c>
      <c r="C556" t="s">
        <v>6348</v>
      </c>
    </row>
    <row r="557" spans="1:3" x14ac:dyDescent="0.3">
      <c r="A557" t="s">
        <v>6339</v>
      </c>
      <c r="B557" s="4" t="s">
        <v>6364</v>
      </c>
      <c r="C557" t="s">
        <v>6348</v>
      </c>
    </row>
    <row r="558" spans="1:3" x14ac:dyDescent="0.3">
      <c r="A558" t="s">
        <v>6339</v>
      </c>
      <c r="B558" s="4" t="s">
        <v>6364</v>
      </c>
      <c r="C558" t="s">
        <v>6348</v>
      </c>
    </row>
    <row r="559" spans="1:3" x14ac:dyDescent="0.3">
      <c r="A559" t="s">
        <v>6339</v>
      </c>
      <c r="B559" s="4" t="s">
        <v>6364</v>
      </c>
      <c r="C559" t="s">
        <v>6348</v>
      </c>
    </row>
    <row r="560" spans="1:3" x14ac:dyDescent="0.3">
      <c r="A560" t="s">
        <v>6339</v>
      </c>
      <c r="B560" s="4" t="s">
        <v>6364</v>
      </c>
      <c r="C560" t="s">
        <v>6348</v>
      </c>
    </row>
    <row r="561" spans="1:3" x14ac:dyDescent="0.3">
      <c r="A561" t="s">
        <v>6339</v>
      </c>
      <c r="B561" s="4" t="s">
        <v>6364</v>
      </c>
      <c r="C561" t="s">
        <v>6348</v>
      </c>
    </row>
    <row r="562" spans="1:3" x14ac:dyDescent="0.3">
      <c r="A562" t="s">
        <v>6339</v>
      </c>
      <c r="B562" s="4" t="s">
        <v>6364</v>
      </c>
      <c r="C562" t="s">
        <v>6348</v>
      </c>
    </row>
    <row r="563" spans="1:3" x14ac:dyDescent="0.3">
      <c r="A563" t="s">
        <v>6339</v>
      </c>
      <c r="B563" s="4" t="s">
        <v>6364</v>
      </c>
      <c r="C563" t="s">
        <v>6348</v>
      </c>
    </row>
    <row r="564" spans="1:3" x14ac:dyDescent="0.3">
      <c r="A564" t="s">
        <v>6339</v>
      </c>
      <c r="B564" s="4" t="s">
        <v>6364</v>
      </c>
      <c r="C564" t="s">
        <v>6348</v>
      </c>
    </row>
    <row r="565" spans="1:3" x14ac:dyDescent="0.3">
      <c r="A565" t="s">
        <v>6339</v>
      </c>
      <c r="B565" s="4" t="s">
        <v>6364</v>
      </c>
      <c r="C565" t="s">
        <v>6348</v>
      </c>
    </row>
    <row r="566" spans="1:3" x14ac:dyDescent="0.3">
      <c r="A566" t="s">
        <v>6339</v>
      </c>
      <c r="B566" s="4" t="s">
        <v>6364</v>
      </c>
      <c r="C566" t="s">
        <v>6348</v>
      </c>
    </row>
    <row r="567" spans="1:3" x14ac:dyDescent="0.3">
      <c r="A567" t="s">
        <v>6339</v>
      </c>
      <c r="B567" s="4" t="s">
        <v>6364</v>
      </c>
      <c r="C567" t="s">
        <v>6348</v>
      </c>
    </row>
    <row r="568" spans="1:3" x14ac:dyDescent="0.3">
      <c r="A568" t="s">
        <v>6339</v>
      </c>
      <c r="B568" s="4" t="s">
        <v>6364</v>
      </c>
      <c r="C568" t="s">
        <v>6348</v>
      </c>
    </row>
    <row r="569" spans="1:3" x14ac:dyDescent="0.3">
      <c r="A569" t="s">
        <v>6339</v>
      </c>
      <c r="B569" s="4" t="s">
        <v>6364</v>
      </c>
      <c r="C569" t="s">
        <v>6348</v>
      </c>
    </row>
    <row r="570" spans="1:3" x14ac:dyDescent="0.3">
      <c r="A570" t="s">
        <v>6339</v>
      </c>
      <c r="B570" s="4" t="s">
        <v>6364</v>
      </c>
      <c r="C570" t="s">
        <v>6348</v>
      </c>
    </row>
    <row r="571" spans="1:3" x14ac:dyDescent="0.3">
      <c r="A571" t="s">
        <v>6339</v>
      </c>
      <c r="B571" s="4" t="s">
        <v>6364</v>
      </c>
      <c r="C571" t="s">
        <v>6348</v>
      </c>
    </row>
    <row r="572" spans="1:3" x14ac:dyDescent="0.3">
      <c r="A572" t="s">
        <v>6339</v>
      </c>
      <c r="B572" s="4" t="s">
        <v>6364</v>
      </c>
      <c r="C572" t="s">
        <v>6348</v>
      </c>
    </row>
    <row r="573" spans="1:3" x14ac:dyDescent="0.3">
      <c r="A573" t="s">
        <v>6339</v>
      </c>
      <c r="B573" s="4" t="s">
        <v>6364</v>
      </c>
      <c r="C573" t="s">
        <v>6348</v>
      </c>
    </row>
    <row r="574" spans="1:3" x14ac:dyDescent="0.3">
      <c r="A574" t="s">
        <v>6339</v>
      </c>
      <c r="B574" s="4" t="s">
        <v>6364</v>
      </c>
      <c r="C574" t="s">
        <v>6348</v>
      </c>
    </row>
    <row r="575" spans="1:3" x14ac:dyDescent="0.3">
      <c r="A575" t="s">
        <v>6339</v>
      </c>
      <c r="B575" s="4" t="s">
        <v>6364</v>
      </c>
      <c r="C575" t="s">
        <v>6348</v>
      </c>
    </row>
    <row r="576" spans="1:3" x14ac:dyDescent="0.3">
      <c r="A576" t="s">
        <v>6339</v>
      </c>
      <c r="B576" s="4" t="s">
        <v>6364</v>
      </c>
      <c r="C576" t="s">
        <v>6348</v>
      </c>
    </row>
    <row r="577" spans="1:3" x14ac:dyDescent="0.3">
      <c r="A577" t="s">
        <v>6339</v>
      </c>
      <c r="B577" s="4" t="s">
        <v>6364</v>
      </c>
      <c r="C577" t="s">
        <v>6348</v>
      </c>
    </row>
    <row r="578" spans="1:3" x14ac:dyDescent="0.3">
      <c r="A578" t="s">
        <v>6339</v>
      </c>
      <c r="B578" s="4" t="s">
        <v>6364</v>
      </c>
      <c r="C578" t="s">
        <v>6348</v>
      </c>
    </row>
    <row r="579" spans="1:3" x14ac:dyDescent="0.3">
      <c r="A579" t="s">
        <v>6339</v>
      </c>
      <c r="B579" s="4" t="s">
        <v>6364</v>
      </c>
      <c r="C579" t="s">
        <v>6348</v>
      </c>
    </row>
    <row r="580" spans="1:3" x14ac:dyDescent="0.3">
      <c r="A580" t="s">
        <v>6339</v>
      </c>
      <c r="B580" s="4" t="s">
        <v>6364</v>
      </c>
      <c r="C580" t="s">
        <v>6348</v>
      </c>
    </row>
    <row r="581" spans="1:3" x14ac:dyDescent="0.3">
      <c r="A581" t="s">
        <v>6339</v>
      </c>
      <c r="B581" s="4" t="s">
        <v>6364</v>
      </c>
      <c r="C581" t="s">
        <v>6348</v>
      </c>
    </row>
    <row r="582" spans="1:3" x14ac:dyDescent="0.3">
      <c r="A582" t="s">
        <v>6339</v>
      </c>
      <c r="B582" s="4" t="s">
        <v>6364</v>
      </c>
      <c r="C582" t="s">
        <v>6348</v>
      </c>
    </row>
    <row r="583" spans="1:3" x14ac:dyDescent="0.3">
      <c r="A583" t="s">
        <v>6339</v>
      </c>
      <c r="B583" s="4" t="s">
        <v>6359</v>
      </c>
      <c r="C583" t="s">
        <v>6345</v>
      </c>
    </row>
    <row r="584" spans="1:3" x14ac:dyDescent="0.3">
      <c r="A584" t="s">
        <v>6339</v>
      </c>
      <c r="B584" s="4" t="s">
        <v>6359</v>
      </c>
      <c r="C584" t="s">
        <v>958</v>
      </c>
    </row>
    <row r="585" spans="1:3" x14ac:dyDescent="0.3">
      <c r="A585" t="s">
        <v>6339</v>
      </c>
      <c r="B585" s="4" t="s">
        <v>6359</v>
      </c>
      <c r="C585" t="s">
        <v>6339</v>
      </c>
    </row>
    <row r="586" spans="1:3" x14ac:dyDescent="0.3">
      <c r="A586" t="s">
        <v>6339</v>
      </c>
      <c r="B586" s="4" t="s">
        <v>6359</v>
      </c>
      <c r="C586" t="s">
        <v>6342</v>
      </c>
    </row>
    <row r="587" spans="1:3" x14ac:dyDescent="0.3">
      <c r="A587" t="s">
        <v>6339</v>
      </c>
      <c r="B587" s="4" t="s">
        <v>6359</v>
      </c>
      <c r="C587" t="s">
        <v>958</v>
      </c>
    </row>
    <row r="588" spans="1:3" x14ac:dyDescent="0.3">
      <c r="A588" t="s">
        <v>6339</v>
      </c>
      <c r="B588" s="4" t="s">
        <v>6359</v>
      </c>
      <c r="C588" t="s">
        <v>6346</v>
      </c>
    </row>
    <row r="589" spans="1:3" x14ac:dyDescent="0.3">
      <c r="A589" t="s">
        <v>6339</v>
      </c>
      <c r="B589" s="4" t="s">
        <v>6359</v>
      </c>
      <c r="C589" t="s">
        <v>6346</v>
      </c>
    </row>
    <row r="590" spans="1:3" x14ac:dyDescent="0.3">
      <c r="A590" t="s">
        <v>6339</v>
      </c>
      <c r="B590" s="4" t="s">
        <v>6359</v>
      </c>
      <c r="C590" t="s">
        <v>6339</v>
      </c>
    </row>
    <row r="591" spans="1:3" x14ac:dyDescent="0.3">
      <c r="A591" t="s">
        <v>6339</v>
      </c>
      <c r="B591" s="4" t="s">
        <v>6359</v>
      </c>
      <c r="C591" t="s">
        <v>6339</v>
      </c>
    </row>
    <row r="592" spans="1:3" x14ac:dyDescent="0.3">
      <c r="A592" t="s">
        <v>6339</v>
      </c>
      <c r="B592" s="4" t="s">
        <v>6359</v>
      </c>
      <c r="C592" t="s">
        <v>6345</v>
      </c>
    </row>
    <row r="593" spans="1:3" x14ac:dyDescent="0.3">
      <c r="A593" t="s">
        <v>6339</v>
      </c>
      <c r="B593" s="4" t="s">
        <v>6359</v>
      </c>
      <c r="C593" t="s">
        <v>6345</v>
      </c>
    </row>
    <row r="594" spans="1:3" x14ac:dyDescent="0.3">
      <c r="A594" t="s">
        <v>6339</v>
      </c>
      <c r="B594" s="4" t="s">
        <v>6359</v>
      </c>
      <c r="C594" t="s">
        <v>6346</v>
      </c>
    </row>
    <row r="595" spans="1:3" x14ac:dyDescent="0.3">
      <c r="A595" t="s">
        <v>6339</v>
      </c>
      <c r="B595" s="4" t="s">
        <v>6359</v>
      </c>
      <c r="C595" t="s">
        <v>6346</v>
      </c>
    </row>
    <row r="596" spans="1:3" x14ac:dyDescent="0.3">
      <c r="A596" t="s">
        <v>6339</v>
      </c>
      <c r="B596" s="4" t="s">
        <v>6359</v>
      </c>
      <c r="C596" t="s">
        <v>6346</v>
      </c>
    </row>
    <row r="597" spans="1:3" x14ac:dyDescent="0.3">
      <c r="A597" t="s">
        <v>6339</v>
      </c>
      <c r="B597" s="4" t="s">
        <v>6359</v>
      </c>
      <c r="C597" t="s">
        <v>6339</v>
      </c>
    </row>
    <row r="598" spans="1:3" x14ac:dyDescent="0.3">
      <c r="A598" t="s">
        <v>6339</v>
      </c>
      <c r="B598" s="4" t="s">
        <v>6359</v>
      </c>
      <c r="C598" t="s">
        <v>6348</v>
      </c>
    </row>
    <row r="599" spans="1:3" x14ac:dyDescent="0.3">
      <c r="A599" t="s">
        <v>6339</v>
      </c>
      <c r="B599" s="4" t="s">
        <v>6359</v>
      </c>
      <c r="C599" t="s">
        <v>958</v>
      </c>
    </row>
    <row r="600" spans="1:3" x14ac:dyDescent="0.3">
      <c r="A600" t="s">
        <v>6339</v>
      </c>
      <c r="B600" s="4" t="s">
        <v>6359</v>
      </c>
      <c r="C600" t="s">
        <v>958</v>
      </c>
    </row>
    <row r="601" spans="1:3" x14ac:dyDescent="0.3">
      <c r="A601" t="s">
        <v>6339</v>
      </c>
      <c r="B601" s="4" t="s">
        <v>6359</v>
      </c>
      <c r="C601" t="s">
        <v>958</v>
      </c>
    </row>
    <row r="602" spans="1:3" x14ac:dyDescent="0.3">
      <c r="A602" t="s">
        <v>6339</v>
      </c>
      <c r="B602" s="4" t="s">
        <v>6359</v>
      </c>
      <c r="C602" t="s">
        <v>958</v>
      </c>
    </row>
    <row r="603" spans="1:3" x14ac:dyDescent="0.3">
      <c r="A603" t="s">
        <v>6339</v>
      </c>
      <c r="B603" s="4" t="s">
        <v>6359</v>
      </c>
      <c r="C603" t="s">
        <v>6346</v>
      </c>
    </row>
    <row r="604" spans="1:3" x14ac:dyDescent="0.3">
      <c r="A604" t="s">
        <v>6339</v>
      </c>
      <c r="B604" s="4" t="s">
        <v>6359</v>
      </c>
      <c r="C604" t="s">
        <v>6345</v>
      </c>
    </row>
    <row r="605" spans="1:3" x14ac:dyDescent="0.3">
      <c r="A605" t="s">
        <v>6339</v>
      </c>
      <c r="B605" s="4" t="s">
        <v>6359</v>
      </c>
      <c r="C605" t="s">
        <v>6345</v>
      </c>
    </row>
    <row r="606" spans="1:3" x14ac:dyDescent="0.3">
      <c r="A606" t="s">
        <v>6339</v>
      </c>
      <c r="B606" s="4" t="s">
        <v>6359</v>
      </c>
      <c r="C606" t="s">
        <v>6346</v>
      </c>
    </row>
    <row r="607" spans="1:3" x14ac:dyDescent="0.3">
      <c r="A607" t="s">
        <v>6339</v>
      </c>
      <c r="B607" s="4" t="s">
        <v>6359</v>
      </c>
      <c r="C607" t="s">
        <v>6339</v>
      </c>
    </row>
    <row r="608" spans="1:3" x14ac:dyDescent="0.3">
      <c r="A608" t="s">
        <v>6339</v>
      </c>
      <c r="B608" s="4" t="s">
        <v>6359</v>
      </c>
      <c r="C608" t="s">
        <v>958</v>
      </c>
    </row>
    <row r="609" spans="1:3" x14ac:dyDescent="0.3">
      <c r="A609" t="s">
        <v>6339</v>
      </c>
      <c r="B609" s="4" t="s">
        <v>6359</v>
      </c>
      <c r="C609" t="s">
        <v>958</v>
      </c>
    </row>
    <row r="610" spans="1:3" x14ac:dyDescent="0.3">
      <c r="A610" t="s">
        <v>6339</v>
      </c>
      <c r="B610" s="4" t="s">
        <v>6359</v>
      </c>
      <c r="C610" t="s">
        <v>6345</v>
      </c>
    </row>
    <row r="611" spans="1:3" x14ac:dyDescent="0.3">
      <c r="A611" t="s">
        <v>6339</v>
      </c>
      <c r="B611" s="4" t="s">
        <v>6359</v>
      </c>
      <c r="C611" t="s">
        <v>6345</v>
      </c>
    </row>
    <row r="612" spans="1:3" x14ac:dyDescent="0.3">
      <c r="A612" t="s">
        <v>6339</v>
      </c>
      <c r="B612" s="4" t="s">
        <v>6359</v>
      </c>
      <c r="C612" t="s">
        <v>6345</v>
      </c>
    </row>
    <row r="613" spans="1:3" x14ac:dyDescent="0.3">
      <c r="A613" t="s">
        <v>6339</v>
      </c>
      <c r="B613" s="4" t="s">
        <v>6359</v>
      </c>
      <c r="C613" t="s">
        <v>6346</v>
      </c>
    </row>
    <row r="614" spans="1:3" x14ac:dyDescent="0.3">
      <c r="A614" t="s">
        <v>6339</v>
      </c>
      <c r="B614" s="4" t="s">
        <v>6359</v>
      </c>
      <c r="C614" t="s">
        <v>6346</v>
      </c>
    </row>
    <row r="615" spans="1:3" x14ac:dyDescent="0.3">
      <c r="A615" t="s">
        <v>6339</v>
      </c>
      <c r="B615" s="4" t="s">
        <v>6359</v>
      </c>
      <c r="C615" t="s">
        <v>6366</v>
      </c>
    </row>
    <row r="616" spans="1:3" x14ac:dyDescent="0.3">
      <c r="A616" t="s">
        <v>6339</v>
      </c>
      <c r="B616" s="4" t="s">
        <v>6359</v>
      </c>
      <c r="C616" t="s">
        <v>958</v>
      </c>
    </row>
    <row r="617" spans="1:3" x14ac:dyDescent="0.3">
      <c r="A617" t="s">
        <v>6339</v>
      </c>
      <c r="B617" s="4" t="s">
        <v>6359</v>
      </c>
      <c r="C617" t="s">
        <v>958</v>
      </c>
    </row>
    <row r="618" spans="1:3" x14ac:dyDescent="0.3">
      <c r="A618" t="s">
        <v>6339</v>
      </c>
      <c r="B618" s="4" t="s">
        <v>6359</v>
      </c>
      <c r="C618" t="s">
        <v>958</v>
      </c>
    </row>
    <row r="619" spans="1:3" x14ac:dyDescent="0.3">
      <c r="A619" t="s">
        <v>6339</v>
      </c>
      <c r="B619" s="4" t="s">
        <v>6359</v>
      </c>
      <c r="C619" t="s">
        <v>958</v>
      </c>
    </row>
    <row r="620" spans="1:3" x14ac:dyDescent="0.3">
      <c r="A620" t="s">
        <v>6339</v>
      </c>
      <c r="B620" s="4" t="s">
        <v>6359</v>
      </c>
      <c r="C620" t="s">
        <v>6345</v>
      </c>
    </row>
    <row r="621" spans="1:3" x14ac:dyDescent="0.3">
      <c r="A621" t="s">
        <v>6339</v>
      </c>
      <c r="B621" s="4" t="s">
        <v>6359</v>
      </c>
      <c r="C621" t="s">
        <v>6345</v>
      </c>
    </row>
    <row r="622" spans="1:3" x14ac:dyDescent="0.3">
      <c r="A622" t="s">
        <v>6339</v>
      </c>
      <c r="B622" s="4" t="s">
        <v>6359</v>
      </c>
      <c r="C622" t="s">
        <v>6345</v>
      </c>
    </row>
    <row r="623" spans="1:3" x14ac:dyDescent="0.3">
      <c r="A623" t="s">
        <v>6339</v>
      </c>
      <c r="B623" s="4" t="s">
        <v>6359</v>
      </c>
      <c r="C623" t="s">
        <v>6345</v>
      </c>
    </row>
    <row r="624" spans="1:3" x14ac:dyDescent="0.3">
      <c r="A624" t="s">
        <v>6339</v>
      </c>
      <c r="B624" s="4" t="s">
        <v>6359</v>
      </c>
      <c r="C624" t="s">
        <v>6345</v>
      </c>
    </row>
    <row r="625" spans="1:3" x14ac:dyDescent="0.3">
      <c r="A625" t="s">
        <v>6339</v>
      </c>
      <c r="B625" s="4" t="s">
        <v>6359</v>
      </c>
      <c r="C625" t="s">
        <v>6345</v>
      </c>
    </row>
    <row r="626" spans="1:3" x14ac:dyDescent="0.3">
      <c r="A626" t="s">
        <v>6339</v>
      </c>
      <c r="B626" s="4" t="s">
        <v>6359</v>
      </c>
      <c r="C626" t="s">
        <v>6346</v>
      </c>
    </row>
    <row r="627" spans="1:3" x14ac:dyDescent="0.3">
      <c r="A627" t="s">
        <v>6339</v>
      </c>
      <c r="B627" s="4" t="s">
        <v>6359</v>
      </c>
      <c r="C627" t="s">
        <v>6346</v>
      </c>
    </row>
    <row r="628" spans="1:3" x14ac:dyDescent="0.3">
      <c r="A628" t="s">
        <v>6339</v>
      </c>
      <c r="B628" s="4" t="s">
        <v>6359</v>
      </c>
      <c r="C628" t="s">
        <v>6366</v>
      </c>
    </row>
    <row r="629" spans="1:3" x14ac:dyDescent="0.3">
      <c r="A629" t="s">
        <v>6339</v>
      </c>
      <c r="B629" s="4" t="s">
        <v>6359</v>
      </c>
      <c r="C629" t="s">
        <v>6366</v>
      </c>
    </row>
    <row r="630" spans="1:3" x14ac:dyDescent="0.3">
      <c r="A630" t="s">
        <v>6339</v>
      </c>
      <c r="B630" s="4" t="s">
        <v>6359</v>
      </c>
      <c r="C630" t="s">
        <v>6366</v>
      </c>
    </row>
    <row r="631" spans="1:3" x14ac:dyDescent="0.3">
      <c r="A631" t="s">
        <v>6339</v>
      </c>
      <c r="B631" s="4" t="s">
        <v>6359</v>
      </c>
      <c r="C631" t="s">
        <v>6345</v>
      </c>
    </row>
    <row r="632" spans="1:3" x14ac:dyDescent="0.3">
      <c r="A632" t="s">
        <v>6339</v>
      </c>
      <c r="B632" s="4" t="s">
        <v>6359</v>
      </c>
      <c r="C632" t="s">
        <v>6346</v>
      </c>
    </row>
    <row r="633" spans="1:3" x14ac:dyDescent="0.3">
      <c r="A633" t="s">
        <v>6339</v>
      </c>
      <c r="B633" s="4" t="s">
        <v>6359</v>
      </c>
      <c r="C633" t="s">
        <v>6366</v>
      </c>
    </row>
    <row r="634" spans="1:3" x14ac:dyDescent="0.3">
      <c r="A634" t="s">
        <v>6339</v>
      </c>
      <c r="B634" s="4" t="s">
        <v>6359</v>
      </c>
      <c r="C634" t="s">
        <v>958</v>
      </c>
    </row>
    <row r="635" spans="1:3" x14ac:dyDescent="0.3">
      <c r="A635" t="s">
        <v>6339</v>
      </c>
      <c r="B635" s="4" t="s">
        <v>6359</v>
      </c>
      <c r="C635" t="s">
        <v>6345</v>
      </c>
    </row>
    <row r="636" spans="1:3" x14ac:dyDescent="0.3">
      <c r="A636" t="s">
        <v>6339</v>
      </c>
      <c r="B636" s="4" t="s">
        <v>6359</v>
      </c>
      <c r="C636" t="s">
        <v>6345</v>
      </c>
    </row>
    <row r="637" spans="1:3" x14ac:dyDescent="0.3">
      <c r="A637" t="s">
        <v>6339</v>
      </c>
      <c r="B637" s="4" t="s">
        <v>6359</v>
      </c>
      <c r="C637" t="s">
        <v>6345</v>
      </c>
    </row>
    <row r="638" spans="1:3" x14ac:dyDescent="0.3">
      <c r="A638" t="s">
        <v>6339</v>
      </c>
      <c r="B638" s="4" t="s">
        <v>6359</v>
      </c>
      <c r="C638" t="s">
        <v>6345</v>
      </c>
    </row>
    <row r="639" spans="1:3" x14ac:dyDescent="0.3">
      <c r="A639" t="s">
        <v>6339</v>
      </c>
      <c r="B639" s="4" t="s">
        <v>6359</v>
      </c>
      <c r="C639" t="s">
        <v>6346</v>
      </c>
    </row>
    <row r="640" spans="1:3" x14ac:dyDescent="0.3">
      <c r="A640" t="s">
        <v>6339</v>
      </c>
      <c r="B640" s="4" t="s">
        <v>6376</v>
      </c>
      <c r="C640" t="s">
        <v>6339</v>
      </c>
    </row>
    <row r="641" spans="1:3" x14ac:dyDescent="0.3">
      <c r="A641" t="s">
        <v>6339</v>
      </c>
      <c r="B641" s="4" t="s">
        <v>6376</v>
      </c>
      <c r="C641" t="s">
        <v>6339</v>
      </c>
    </row>
    <row r="642" spans="1:3" x14ac:dyDescent="0.3">
      <c r="A642" t="s">
        <v>6339</v>
      </c>
      <c r="B642" s="4" t="s">
        <v>6376</v>
      </c>
      <c r="C642" t="s">
        <v>6339</v>
      </c>
    </row>
    <row r="643" spans="1:3" x14ac:dyDescent="0.3">
      <c r="A643" t="s">
        <v>6339</v>
      </c>
      <c r="B643" s="4" t="s">
        <v>6376</v>
      </c>
      <c r="C643" t="s">
        <v>6348</v>
      </c>
    </row>
    <row r="644" spans="1:3" x14ac:dyDescent="0.3">
      <c r="A644" t="s">
        <v>6339</v>
      </c>
      <c r="B644" s="4" t="s">
        <v>6376</v>
      </c>
      <c r="C644" t="s">
        <v>6339</v>
      </c>
    </row>
    <row r="645" spans="1:3" x14ac:dyDescent="0.3">
      <c r="A645" t="s">
        <v>6339</v>
      </c>
      <c r="B645" s="4" t="s">
        <v>6376</v>
      </c>
      <c r="C645" t="s">
        <v>6339</v>
      </c>
    </row>
    <row r="646" spans="1:3" x14ac:dyDescent="0.3">
      <c r="A646" t="s">
        <v>6339</v>
      </c>
      <c r="B646" s="4" t="s">
        <v>6376</v>
      </c>
      <c r="C646" t="s">
        <v>6339</v>
      </c>
    </row>
    <row r="647" spans="1:3" x14ac:dyDescent="0.3">
      <c r="A647" t="s">
        <v>6339</v>
      </c>
      <c r="B647" s="4" t="s">
        <v>6376</v>
      </c>
      <c r="C647" t="s">
        <v>6339</v>
      </c>
    </row>
    <row r="648" spans="1:3" x14ac:dyDescent="0.3">
      <c r="A648" t="s">
        <v>6339</v>
      </c>
      <c r="B648" s="4" t="s">
        <v>6376</v>
      </c>
      <c r="C648" t="s">
        <v>6348</v>
      </c>
    </row>
    <row r="649" spans="1:3" x14ac:dyDescent="0.3">
      <c r="A649" t="s">
        <v>6339</v>
      </c>
      <c r="B649" s="4" t="s">
        <v>6360</v>
      </c>
      <c r="C649" t="s">
        <v>6339</v>
      </c>
    </row>
    <row r="650" spans="1:3" x14ac:dyDescent="0.3">
      <c r="A650" t="s">
        <v>6339</v>
      </c>
      <c r="B650" s="4" t="s">
        <v>6360</v>
      </c>
      <c r="C650" t="s">
        <v>6339</v>
      </c>
    </row>
    <row r="651" spans="1:3" x14ac:dyDescent="0.3">
      <c r="A651" t="s">
        <v>6339</v>
      </c>
      <c r="B651" s="4" t="s">
        <v>6360</v>
      </c>
      <c r="C651" t="s">
        <v>6339</v>
      </c>
    </row>
    <row r="652" spans="1:3" x14ac:dyDescent="0.3">
      <c r="A652" t="s">
        <v>6339</v>
      </c>
      <c r="B652" s="4" t="s">
        <v>6360</v>
      </c>
      <c r="C652" t="s">
        <v>6339</v>
      </c>
    </row>
    <row r="653" spans="1:3" x14ac:dyDescent="0.3">
      <c r="A653" t="s">
        <v>6339</v>
      </c>
      <c r="B653" s="4" t="s">
        <v>6360</v>
      </c>
      <c r="C653" t="s">
        <v>6339</v>
      </c>
    </row>
    <row r="654" spans="1:3" x14ac:dyDescent="0.3">
      <c r="A654" t="s">
        <v>6339</v>
      </c>
      <c r="B654" s="4" t="s">
        <v>6360</v>
      </c>
      <c r="C654" t="s">
        <v>6339</v>
      </c>
    </row>
    <row r="655" spans="1:3" x14ac:dyDescent="0.3">
      <c r="A655" t="s">
        <v>6348</v>
      </c>
      <c r="B655" s="4" t="s">
        <v>6361</v>
      </c>
      <c r="C655" t="s">
        <v>6339</v>
      </c>
    </row>
    <row r="656" spans="1:3" x14ac:dyDescent="0.3">
      <c r="A656" t="s">
        <v>6348</v>
      </c>
      <c r="B656" s="4" t="s">
        <v>6361</v>
      </c>
      <c r="C656" t="s">
        <v>6339</v>
      </c>
    </row>
    <row r="657" spans="1:3" x14ac:dyDescent="0.3">
      <c r="A657" t="s">
        <v>6348</v>
      </c>
      <c r="B657" s="4" t="s">
        <v>6361</v>
      </c>
      <c r="C657" t="s">
        <v>6339</v>
      </c>
    </row>
    <row r="658" spans="1:3" x14ac:dyDescent="0.3">
      <c r="A658" t="s">
        <v>6348</v>
      </c>
      <c r="B658" s="4" t="s">
        <v>6361</v>
      </c>
      <c r="C658" t="s">
        <v>6339</v>
      </c>
    </row>
    <row r="659" spans="1:3" x14ac:dyDescent="0.3">
      <c r="A659" t="s">
        <v>6348</v>
      </c>
      <c r="B659" s="4" t="s">
        <v>6361</v>
      </c>
      <c r="C659" t="s">
        <v>6339</v>
      </c>
    </row>
    <row r="660" spans="1:3" x14ac:dyDescent="0.3">
      <c r="A660" t="s">
        <v>6348</v>
      </c>
      <c r="B660" s="4" t="s">
        <v>6361</v>
      </c>
      <c r="C660" t="s">
        <v>6339</v>
      </c>
    </row>
    <row r="661" spans="1:3" x14ac:dyDescent="0.3">
      <c r="A661" t="s">
        <v>6348</v>
      </c>
      <c r="B661" s="4" t="s">
        <v>6361</v>
      </c>
      <c r="C661" t="s">
        <v>6339</v>
      </c>
    </row>
    <row r="662" spans="1:3" x14ac:dyDescent="0.3">
      <c r="A662" t="s">
        <v>6348</v>
      </c>
      <c r="B662" s="4" t="s">
        <v>6361</v>
      </c>
      <c r="C662" t="s">
        <v>6339</v>
      </c>
    </row>
    <row r="663" spans="1:3" x14ac:dyDescent="0.3">
      <c r="A663" t="s">
        <v>6348</v>
      </c>
      <c r="B663" s="4" t="s">
        <v>6361</v>
      </c>
      <c r="C663" t="s">
        <v>6339</v>
      </c>
    </row>
    <row r="664" spans="1:3" x14ac:dyDescent="0.3">
      <c r="A664" t="s">
        <v>6348</v>
      </c>
      <c r="B664" s="4" t="s">
        <v>6361</v>
      </c>
      <c r="C664" t="s">
        <v>6339</v>
      </c>
    </row>
    <row r="665" spans="1:3" x14ac:dyDescent="0.3">
      <c r="A665" t="s">
        <v>6348</v>
      </c>
      <c r="B665" s="4" t="s">
        <v>6361</v>
      </c>
      <c r="C665" t="s">
        <v>6339</v>
      </c>
    </row>
    <row r="666" spans="1:3" x14ac:dyDescent="0.3">
      <c r="A666" t="s">
        <v>6348</v>
      </c>
      <c r="B666" s="4" t="s">
        <v>6361</v>
      </c>
      <c r="C666" t="s">
        <v>6339</v>
      </c>
    </row>
    <row r="667" spans="1:3" x14ac:dyDescent="0.3">
      <c r="A667" t="s">
        <v>6348</v>
      </c>
      <c r="B667" s="4" t="s">
        <v>6361</v>
      </c>
      <c r="C667" t="s">
        <v>6339</v>
      </c>
    </row>
    <row r="668" spans="1:3" x14ac:dyDescent="0.3">
      <c r="A668" t="s">
        <v>6348</v>
      </c>
      <c r="B668" s="4" t="s">
        <v>6361</v>
      </c>
      <c r="C668" t="s">
        <v>6339</v>
      </c>
    </row>
    <row r="669" spans="1:3" x14ac:dyDescent="0.3">
      <c r="A669" t="s">
        <v>6348</v>
      </c>
      <c r="B669" s="4" t="s">
        <v>6361</v>
      </c>
      <c r="C669" t="s">
        <v>6339</v>
      </c>
    </row>
    <row r="670" spans="1:3" x14ac:dyDescent="0.3">
      <c r="A670" t="s">
        <v>6348</v>
      </c>
      <c r="B670" s="4" t="s">
        <v>6361</v>
      </c>
      <c r="C670" t="s">
        <v>6339</v>
      </c>
    </row>
    <row r="671" spans="1:3" x14ac:dyDescent="0.3">
      <c r="A671" t="s">
        <v>6348</v>
      </c>
      <c r="B671" s="4" t="s">
        <v>6361</v>
      </c>
      <c r="C671" t="s">
        <v>6339</v>
      </c>
    </row>
    <row r="672" spans="1:3" x14ac:dyDescent="0.3">
      <c r="A672" t="s">
        <v>6348</v>
      </c>
      <c r="B672" s="4" t="s">
        <v>6361</v>
      </c>
      <c r="C672" t="s">
        <v>6339</v>
      </c>
    </row>
    <row r="673" spans="1:3" x14ac:dyDescent="0.3">
      <c r="A673" t="s">
        <v>6348</v>
      </c>
      <c r="B673" s="4" t="s">
        <v>6361</v>
      </c>
      <c r="C673" t="s">
        <v>6339</v>
      </c>
    </row>
    <row r="674" spans="1:3" x14ac:dyDescent="0.3">
      <c r="A674" t="s">
        <v>6348</v>
      </c>
      <c r="B674" s="4" t="s">
        <v>6361</v>
      </c>
      <c r="C674" t="s">
        <v>6339</v>
      </c>
    </row>
    <row r="675" spans="1:3" x14ac:dyDescent="0.3">
      <c r="A675" t="s">
        <v>6348</v>
      </c>
      <c r="B675" s="4" t="s">
        <v>6361</v>
      </c>
      <c r="C675" t="s">
        <v>6339</v>
      </c>
    </row>
    <row r="676" spans="1:3" x14ac:dyDescent="0.3">
      <c r="A676" t="s">
        <v>6348</v>
      </c>
      <c r="B676" s="4" t="s">
        <v>6361</v>
      </c>
      <c r="C676" t="s">
        <v>6339</v>
      </c>
    </row>
    <row r="677" spans="1:3" x14ac:dyDescent="0.3">
      <c r="A677" t="s">
        <v>6348</v>
      </c>
      <c r="B677" s="4" t="s">
        <v>6361</v>
      </c>
      <c r="C677" t="s">
        <v>6339</v>
      </c>
    </row>
    <row r="678" spans="1:3" x14ac:dyDescent="0.3">
      <c r="A678" t="s">
        <v>6348</v>
      </c>
      <c r="B678" s="4" t="s">
        <v>6361</v>
      </c>
      <c r="C678" t="s">
        <v>6339</v>
      </c>
    </row>
    <row r="679" spans="1:3" x14ac:dyDescent="0.3">
      <c r="A679" t="s">
        <v>6348</v>
      </c>
      <c r="B679" s="4" t="s">
        <v>6361</v>
      </c>
      <c r="C679" t="s">
        <v>6339</v>
      </c>
    </row>
    <row r="680" spans="1:3" x14ac:dyDescent="0.3">
      <c r="A680" t="s">
        <v>6348</v>
      </c>
      <c r="B680" s="4" t="s">
        <v>6361</v>
      </c>
      <c r="C680" t="s">
        <v>6339</v>
      </c>
    </row>
    <row r="681" spans="1:3" x14ac:dyDescent="0.3">
      <c r="A681" t="s">
        <v>6348</v>
      </c>
      <c r="B681" s="4" t="s">
        <v>6361</v>
      </c>
      <c r="C681" t="s">
        <v>6339</v>
      </c>
    </row>
    <row r="682" spans="1:3" x14ac:dyDescent="0.3">
      <c r="A682" t="s">
        <v>6348</v>
      </c>
      <c r="B682" s="4" t="s">
        <v>6361</v>
      </c>
      <c r="C682" t="s">
        <v>6339</v>
      </c>
    </row>
    <row r="683" spans="1:3" x14ac:dyDescent="0.3">
      <c r="A683" t="s">
        <v>6348</v>
      </c>
      <c r="B683" s="4" t="s">
        <v>6361</v>
      </c>
      <c r="C683" t="s">
        <v>6339</v>
      </c>
    </row>
    <row r="684" spans="1:3" x14ac:dyDescent="0.3">
      <c r="A684" t="s">
        <v>6348</v>
      </c>
      <c r="B684" s="4" t="s">
        <v>6361</v>
      </c>
      <c r="C684" t="s">
        <v>6339</v>
      </c>
    </row>
    <row r="685" spans="1:3" x14ac:dyDescent="0.3">
      <c r="A685" t="s">
        <v>6348</v>
      </c>
      <c r="B685" s="4" t="s">
        <v>6361</v>
      </c>
      <c r="C685" t="s">
        <v>6339</v>
      </c>
    </row>
    <row r="686" spans="1:3" x14ac:dyDescent="0.3">
      <c r="A686" t="s">
        <v>6348</v>
      </c>
      <c r="B686" s="4" t="s">
        <v>6361</v>
      </c>
      <c r="C686" t="s">
        <v>6339</v>
      </c>
    </row>
    <row r="687" spans="1:3" x14ac:dyDescent="0.3">
      <c r="A687" t="s">
        <v>6348</v>
      </c>
      <c r="B687" s="4" t="s">
        <v>6361</v>
      </c>
      <c r="C687" t="s">
        <v>6339</v>
      </c>
    </row>
    <row r="688" spans="1:3" x14ac:dyDescent="0.3">
      <c r="A688" t="s">
        <v>6348</v>
      </c>
      <c r="B688" s="4" t="s">
        <v>6361</v>
      </c>
      <c r="C688" t="s">
        <v>6339</v>
      </c>
    </row>
    <row r="689" spans="1:3" x14ac:dyDescent="0.3">
      <c r="A689" t="s">
        <v>6348</v>
      </c>
      <c r="B689" s="4" t="s">
        <v>6361</v>
      </c>
      <c r="C689" t="s">
        <v>6339</v>
      </c>
    </row>
    <row r="690" spans="1:3" x14ac:dyDescent="0.3">
      <c r="A690" t="s">
        <v>6348</v>
      </c>
      <c r="B690" s="4" t="s">
        <v>6361</v>
      </c>
      <c r="C690" t="s">
        <v>6339</v>
      </c>
    </row>
    <row r="691" spans="1:3" x14ac:dyDescent="0.3">
      <c r="A691" t="s">
        <v>6348</v>
      </c>
      <c r="B691" s="4" t="s">
        <v>6361</v>
      </c>
      <c r="C691" t="s">
        <v>6339</v>
      </c>
    </row>
    <row r="692" spans="1:3" x14ac:dyDescent="0.3">
      <c r="A692" t="s">
        <v>6348</v>
      </c>
      <c r="B692" s="4" t="s">
        <v>6361</v>
      </c>
      <c r="C692" t="s">
        <v>6339</v>
      </c>
    </row>
    <row r="693" spans="1:3" x14ac:dyDescent="0.3">
      <c r="A693" t="s">
        <v>6348</v>
      </c>
      <c r="B693" s="4" t="s">
        <v>6361</v>
      </c>
      <c r="C693" t="s">
        <v>6339</v>
      </c>
    </row>
    <row r="694" spans="1:3" x14ac:dyDescent="0.3">
      <c r="A694" t="s">
        <v>6348</v>
      </c>
      <c r="B694" s="4" t="s">
        <v>6361</v>
      </c>
      <c r="C694" t="s">
        <v>6339</v>
      </c>
    </row>
    <row r="695" spans="1:3" x14ac:dyDescent="0.3">
      <c r="A695" t="s">
        <v>6348</v>
      </c>
      <c r="B695" s="4" t="s">
        <v>6361</v>
      </c>
      <c r="C695" t="s">
        <v>6339</v>
      </c>
    </row>
    <row r="696" spans="1:3" x14ac:dyDescent="0.3">
      <c r="A696" t="s">
        <v>6348</v>
      </c>
      <c r="B696" s="4" t="s">
        <v>6361</v>
      </c>
      <c r="C696" t="s">
        <v>6339</v>
      </c>
    </row>
    <row r="697" spans="1:3" x14ac:dyDescent="0.3">
      <c r="A697" t="s">
        <v>6348</v>
      </c>
      <c r="B697" s="4" t="s">
        <v>6361</v>
      </c>
      <c r="C697" t="s">
        <v>6339</v>
      </c>
    </row>
    <row r="698" spans="1:3" x14ac:dyDescent="0.3">
      <c r="A698" t="s">
        <v>6348</v>
      </c>
      <c r="B698" s="4" t="s">
        <v>6361</v>
      </c>
      <c r="C698" t="s">
        <v>6339</v>
      </c>
    </row>
    <row r="699" spans="1:3" x14ac:dyDescent="0.3">
      <c r="A699" t="s">
        <v>6348</v>
      </c>
      <c r="B699" s="4" t="s">
        <v>6361</v>
      </c>
      <c r="C699" t="s">
        <v>6339</v>
      </c>
    </row>
    <row r="700" spans="1:3" x14ac:dyDescent="0.3">
      <c r="A700" t="s">
        <v>6348</v>
      </c>
      <c r="B700" s="4" t="s">
        <v>6361</v>
      </c>
      <c r="C700" t="s">
        <v>6339</v>
      </c>
    </row>
    <row r="701" spans="1:3" x14ac:dyDescent="0.3">
      <c r="A701" t="s">
        <v>6348</v>
      </c>
      <c r="B701" s="4" t="s">
        <v>6361</v>
      </c>
      <c r="C701" t="s">
        <v>6339</v>
      </c>
    </row>
    <row r="702" spans="1:3" x14ac:dyDescent="0.3">
      <c r="A702" t="s">
        <v>6348</v>
      </c>
      <c r="B702" s="4" t="s">
        <v>6371</v>
      </c>
      <c r="C702" t="s">
        <v>6348</v>
      </c>
    </row>
    <row r="703" spans="1:3" x14ac:dyDescent="0.3">
      <c r="A703" t="s">
        <v>6348</v>
      </c>
      <c r="B703" s="4" t="s">
        <v>6357</v>
      </c>
      <c r="C703" t="s">
        <v>6339</v>
      </c>
    </row>
    <row r="704" spans="1:3" x14ac:dyDescent="0.3">
      <c r="A704" t="s">
        <v>6348</v>
      </c>
      <c r="B704" s="4" t="s">
        <v>6357</v>
      </c>
      <c r="C704" t="s">
        <v>6339</v>
      </c>
    </row>
    <row r="705" spans="1:3" x14ac:dyDescent="0.3">
      <c r="A705" t="s">
        <v>6348</v>
      </c>
      <c r="B705" s="4" t="s">
        <v>6357</v>
      </c>
      <c r="C705" t="s">
        <v>6339</v>
      </c>
    </row>
    <row r="706" spans="1:3" x14ac:dyDescent="0.3">
      <c r="A706" t="s">
        <v>6348</v>
      </c>
      <c r="B706" s="4" t="s">
        <v>6357</v>
      </c>
      <c r="C706" t="s">
        <v>6348</v>
      </c>
    </row>
    <row r="707" spans="1:3" x14ac:dyDescent="0.3">
      <c r="A707" t="s">
        <v>6348</v>
      </c>
      <c r="B707" s="4" t="s">
        <v>6357</v>
      </c>
      <c r="C707" t="s">
        <v>6348</v>
      </c>
    </row>
    <row r="708" spans="1:3" x14ac:dyDescent="0.3">
      <c r="A708" t="s">
        <v>6348</v>
      </c>
      <c r="B708" s="4" t="s">
        <v>6357</v>
      </c>
      <c r="C708" t="s">
        <v>6348</v>
      </c>
    </row>
    <row r="709" spans="1:3" x14ac:dyDescent="0.3">
      <c r="A709" t="s">
        <v>6348</v>
      </c>
      <c r="B709" s="4" t="s">
        <v>6357</v>
      </c>
      <c r="C709" t="s">
        <v>6348</v>
      </c>
    </row>
    <row r="710" spans="1:3" x14ac:dyDescent="0.3">
      <c r="A710" t="s">
        <v>6348</v>
      </c>
      <c r="B710" s="4" t="s">
        <v>6357</v>
      </c>
      <c r="C710" t="s">
        <v>6348</v>
      </c>
    </row>
    <row r="711" spans="1:3" x14ac:dyDescent="0.3">
      <c r="A711" t="s">
        <v>6348</v>
      </c>
      <c r="B711" s="4" t="s">
        <v>6357</v>
      </c>
      <c r="C711" t="s">
        <v>6348</v>
      </c>
    </row>
    <row r="712" spans="1:3" x14ac:dyDescent="0.3">
      <c r="A712" t="s">
        <v>6348</v>
      </c>
      <c r="B712" s="4" t="s">
        <v>6357</v>
      </c>
      <c r="C712" t="s">
        <v>6348</v>
      </c>
    </row>
    <row r="713" spans="1:3" x14ac:dyDescent="0.3">
      <c r="A713" t="s">
        <v>6348</v>
      </c>
      <c r="B713" s="4" t="s">
        <v>6357</v>
      </c>
      <c r="C713" t="s">
        <v>6348</v>
      </c>
    </row>
    <row r="714" spans="1:3" x14ac:dyDescent="0.3">
      <c r="A714" t="s">
        <v>6348</v>
      </c>
      <c r="B714" s="4" t="s">
        <v>6357</v>
      </c>
      <c r="C714" t="s">
        <v>6348</v>
      </c>
    </row>
    <row r="715" spans="1:3" x14ac:dyDescent="0.3">
      <c r="A715" t="s">
        <v>6348</v>
      </c>
      <c r="B715" s="4" t="s">
        <v>6357</v>
      </c>
      <c r="C715" t="s">
        <v>6348</v>
      </c>
    </row>
    <row r="716" spans="1:3" x14ac:dyDescent="0.3">
      <c r="A716" t="s">
        <v>6348</v>
      </c>
      <c r="B716" s="4" t="s">
        <v>6357</v>
      </c>
      <c r="C716" t="s">
        <v>6348</v>
      </c>
    </row>
    <row r="717" spans="1:3" x14ac:dyDescent="0.3">
      <c r="A717" t="s">
        <v>6348</v>
      </c>
      <c r="B717" s="4" t="s">
        <v>6357</v>
      </c>
      <c r="C717" t="s">
        <v>6348</v>
      </c>
    </row>
    <row r="718" spans="1:3" x14ac:dyDescent="0.3">
      <c r="A718" t="s">
        <v>6348</v>
      </c>
      <c r="B718" s="4" t="s">
        <v>6357</v>
      </c>
      <c r="C718" t="s">
        <v>6348</v>
      </c>
    </row>
    <row r="719" spans="1:3" x14ac:dyDescent="0.3">
      <c r="A719" t="s">
        <v>6348</v>
      </c>
      <c r="B719" s="4" t="s">
        <v>6357</v>
      </c>
      <c r="C719" t="s">
        <v>6339</v>
      </c>
    </row>
    <row r="720" spans="1:3" x14ac:dyDescent="0.3">
      <c r="A720" t="s">
        <v>6348</v>
      </c>
      <c r="B720" s="4" t="s">
        <v>6357</v>
      </c>
      <c r="C720" t="s">
        <v>6339</v>
      </c>
    </row>
    <row r="721" spans="1:3" x14ac:dyDescent="0.3">
      <c r="A721" t="s">
        <v>6348</v>
      </c>
      <c r="B721" s="4" t="s">
        <v>6357</v>
      </c>
      <c r="C721" t="s">
        <v>6339</v>
      </c>
    </row>
    <row r="722" spans="1:3" x14ac:dyDescent="0.3">
      <c r="A722" t="s">
        <v>6348</v>
      </c>
      <c r="B722" s="4" t="s">
        <v>6357</v>
      </c>
      <c r="C722" t="s">
        <v>6348</v>
      </c>
    </row>
    <row r="723" spans="1:3" x14ac:dyDescent="0.3">
      <c r="A723" t="s">
        <v>6348</v>
      </c>
      <c r="B723" s="4" t="s">
        <v>6357</v>
      </c>
      <c r="C723" t="s">
        <v>6339</v>
      </c>
    </row>
    <row r="724" spans="1:3" x14ac:dyDescent="0.3">
      <c r="A724" t="s">
        <v>6348</v>
      </c>
      <c r="B724" s="4" t="s">
        <v>6357</v>
      </c>
      <c r="C724" t="s">
        <v>6339</v>
      </c>
    </row>
    <row r="725" spans="1:3" x14ac:dyDescent="0.3">
      <c r="A725" t="s">
        <v>6348</v>
      </c>
      <c r="B725" s="4" t="s">
        <v>6357</v>
      </c>
      <c r="C725" t="s">
        <v>6339</v>
      </c>
    </row>
    <row r="726" spans="1:3" x14ac:dyDescent="0.3">
      <c r="A726" t="s">
        <v>6348</v>
      </c>
      <c r="B726" s="4" t="s">
        <v>6357</v>
      </c>
      <c r="C726" t="s">
        <v>6339</v>
      </c>
    </row>
    <row r="727" spans="1:3" x14ac:dyDescent="0.3">
      <c r="A727" t="s">
        <v>6348</v>
      </c>
      <c r="B727" s="4" t="s">
        <v>6357</v>
      </c>
      <c r="C727" t="s">
        <v>6339</v>
      </c>
    </row>
    <row r="728" spans="1:3" x14ac:dyDescent="0.3">
      <c r="A728" t="s">
        <v>6348</v>
      </c>
      <c r="B728" s="4" t="s">
        <v>6357</v>
      </c>
      <c r="C728" t="s">
        <v>6348</v>
      </c>
    </row>
    <row r="729" spans="1:3" x14ac:dyDescent="0.3">
      <c r="A729" t="s">
        <v>6348</v>
      </c>
      <c r="B729" s="4" t="s">
        <v>6357</v>
      </c>
      <c r="C729" t="s">
        <v>6348</v>
      </c>
    </row>
    <row r="730" spans="1:3" x14ac:dyDescent="0.3">
      <c r="A730" t="s">
        <v>6348</v>
      </c>
      <c r="B730" s="4" t="s">
        <v>6357</v>
      </c>
      <c r="C730" t="s">
        <v>6348</v>
      </c>
    </row>
    <row r="731" spans="1:3" x14ac:dyDescent="0.3">
      <c r="A731" t="s">
        <v>6348</v>
      </c>
      <c r="B731" s="4" t="s">
        <v>6357</v>
      </c>
      <c r="C731" t="s">
        <v>6348</v>
      </c>
    </row>
    <row r="732" spans="1:3" x14ac:dyDescent="0.3">
      <c r="A732" t="s">
        <v>6348</v>
      </c>
      <c r="B732" s="4" t="s">
        <v>6357</v>
      </c>
      <c r="C732" t="s">
        <v>6348</v>
      </c>
    </row>
    <row r="733" spans="1:3" x14ac:dyDescent="0.3">
      <c r="A733" t="s">
        <v>6348</v>
      </c>
      <c r="B733" s="4" t="s">
        <v>6357</v>
      </c>
      <c r="C733" t="s">
        <v>6339</v>
      </c>
    </row>
    <row r="734" spans="1:3" x14ac:dyDescent="0.3">
      <c r="A734" t="s">
        <v>6348</v>
      </c>
      <c r="B734" s="4" t="s">
        <v>6357</v>
      </c>
      <c r="C734" t="s">
        <v>6348</v>
      </c>
    </row>
    <row r="735" spans="1:3" x14ac:dyDescent="0.3">
      <c r="A735" t="s">
        <v>6348</v>
      </c>
      <c r="B735" s="4" t="s">
        <v>6357</v>
      </c>
      <c r="C735" t="s">
        <v>6348</v>
      </c>
    </row>
    <row r="736" spans="1:3" x14ac:dyDescent="0.3">
      <c r="A736" t="s">
        <v>6348</v>
      </c>
      <c r="B736" s="4" t="s">
        <v>6368</v>
      </c>
      <c r="C736" t="s">
        <v>6348</v>
      </c>
    </row>
    <row r="737" spans="1:3" x14ac:dyDescent="0.3">
      <c r="A737" t="s">
        <v>6348</v>
      </c>
      <c r="B737" s="4" t="s">
        <v>6368</v>
      </c>
      <c r="C737" t="s">
        <v>958</v>
      </c>
    </row>
    <row r="738" spans="1:3" x14ac:dyDescent="0.3">
      <c r="A738" t="s">
        <v>6348</v>
      </c>
      <c r="B738" s="4" t="s">
        <v>6368</v>
      </c>
      <c r="C738" t="s">
        <v>958</v>
      </c>
    </row>
    <row r="739" spans="1:3" x14ac:dyDescent="0.3">
      <c r="A739" t="s">
        <v>958</v>
      </c>
      <c r="B739" s="4" t="s">
        <v>6361</v>
      </c>
      <c r="C739" t="s">
        <v>6339</v>
      </c>
    </row>
    <row r="740" spans="1:3" x14ac:dyDescent="0.3">
      <c r="A740" t="s">
        <v>958</v>
      </c>
      <c r="B740" s="4" t="s">
        <v>6361</v>
      </c>
      <c r="C740" t="s">
        <v>6348</v>
      </c>
    </row>
    <row r="741" spans="1:3" x14ac:dyDescent="0.3">
      <c r="A741" t="s">
        <v>958</v>
      </c>
      <c r="B741" s="4" t="s">
        <v>6361</v>
      </c>
      <c r="C741" t="s">
        <v>6348</v>
      </c>
    </row>
    <row r="742" spans="1:3" x14ac:dyDescent="0.3">
      <c r="A742" t="s">
        <v>958</v>
      </c>
      <c r="B742" s="4" t="s">
        <v>6361</v>
      </c>
      <c r="C742" t="s">
        <v>6342</v>
      </c>
    </row>
    <row r="743" spans="1:3" x14ac:dyDescent="0.3">
      <c r="A743" t="s">
        <v>958</v>
      </c>
      <c r="B743" s="4" t="s">
        <v>6361</v>
      </c>
      <c r="C743" t="s">
        <v>6339</v>
      </c>
    </row>
    <row r="744" spans="1:3" x14ac:dyDescent="0.3">
      <c r="A744" t="s">
        <v>958</v>
      </c>
      <c r="B744" s="4" t="s">
        <v>6361</v>
      </c>
      <c r="C744" t="s">
        <v>6339</v>
      </c>
    </row>
    <row r="745" spans="1:3" x14ac:dyDescent="0.3">
      <c r="A745" t="s">
        <v>958</v>
      </c>
      <c r="B745" s="4" t="s">
        <v>6361</v>
      </c>
      <c r="C745" t="s">
        <v>6339</v>
      </c>
    </row>
    <row r="746" spans="1:3" x14ac:dyDescent="0.3">
      <c r="A746" t="s">
        <v>958</v>
      </c>
      <c r="B746" s="4" t="s">
        <v>6361</v>
      </c>
      <c r="C746" t="s">
        <v>6339</v>
      </c>
    </row>
    <row r="747" spans="1:3" x14ac:dyDescent="0.3">
      <c r="A747" t="s">
        <v>958</v>
      </c>
      <c r="B747" s="4" t="s">
        <v>6361</v>
      </c>
      <c r="C747" t="s">
        <v>6345</v>
      </c>
    </row>
    <row r="748" spans="1:3" x14ac:dyDescent="0.3">
      <c r="A748" t="s">
        <v>958</v>
      </c>
      <c r="B748" s="4" t="s">
        <v>6361</v>
      </c>
      <c r="C748" t="s">
        <v>6348</v>
      </c>
    </row>
    <row r="749" spans="1:3" x14ac:dyDescent="0.3">
      <c r="A749" t="s">
        <v>958</v>
      </c>
      <c r="B749" s="4" t="s">
        <v>6361</v>
      </c>
      <c r="C749" t="s">
        <v>6348</v>
      </c>
    </row>
    <row r="750" spans="1:3" x14ac:dyDescent="0.3">
      <c r="A750" t="s">
        <v>958</v>
      </c>
      <c r="B750" s="4" t="s">
        <v>6361</v>
      </c>
      <c r="C750" t="s">
        <v>6348</v>
      </c>
    </row>
    <row r="751" spans="1:3" x14ac:dyDescent="0.3">
      <c r="A751" t="s">
        <v>958</v>
      </c>
      <c r="B751" s="4" t="s">
        <v>6361</v>
      </c>
      <c r="C751" t="s">
        <v>6348</v>
      </c>
    </row>
    <row r="752" spans="1:3" x14ac:dyDescent="0.3">
      <c r="A752" t="s">
        <v>958</v>
      </c>
      <c r="B752" s="4" t="s">
        <v>6361</v>
      </c>
      <c r="C752" t="s">
        <v>6348</v>
      </c>
    </row>
    <row r="753" spans="1:3" x14ac:dyDescent="0.3">
      <c r="A753" t="s">
        <v>958</v>
      </c>
      <c r="B753" s="4" t="s">
        <v>6361</v>
      </c>
      <c r="C753" t="s">
        <v>6348</v>
      </c>
    </row>
    <row r="754" spans="1:3" x14ac:dyDescent="0.3">
      <c r="A754" t="s">
        <v>958</v>
      </c>
      <c r="B754" s="4" t="s">
        <v>6361</v>
      </c>
      <c r="C754" t="s">
        <v>6345</v>
      </c>
    </row>
    <row r="755" spans="1:3" x14ac:dyDescent="0.3">
      <c r="A755" t="s">
        <v>958</v>
      </c>
      <c r="B755" s="4" t="s">
        <v>6361</v>
      </c>
      <c r="C755" t="s">
        <v>6345</v>
      </c>
    </row>
    <row r="756" spans="1:3" x14ac:dyDescent="0.3">
      <c r="A756" t="s">
        <v>958</v>
      </c>
      <c r="B756" s="4" t="s">
        <v>6361</v>
      </c>
      <c r="C756" t="s">
        <v>6345</v>
      </c>
    </row>
    <row r="757" spans="1:3" x14ac:dyDescent="0.3">
      <c r="A757" t="s">
        <v>958</v>
      </c>
      <c r="B757" s="4" t="s">
        <v>6361</v>
      </c>
      <c r="C757" t="s">
        <v>6345</v>
      </c>
    </row>
    <row r="758" spans="1:3" x14ac:dyDescent="0.3">
      <c r="A758" t="s">
        <v>958</v>
      </c>
      <c r="B758" s="4" t="s">
        <v>6361</v>
      </c>
      <c r="C758" t="s">
        <v>6345</v>
      </c>
    </row>
    <row r="759" spans="1:3" x14ac:dyDescent="0.3">
      <c r="A759" t="s">
        <v>958</v>
      </c>
      <c r="B759" s="4" t="s">
        <v>6361</v>
      </c>
      <c r="C759" t="s">
        <v>6345</v>
      </c>
    </row>
    <row r="760" spans="1:3" x14ac:dyDescent="0.3">
      <c r="A760" t="s">
        <v>958</v>
      </c>
      <c r="B760" s="4" t="s">
        <v>6361</v>
      </c>
      <c r="C760" t="s">
        <v>6345</v>
      </c>
    </row>
    <row r="761" spans="1:3" x14ac:dyDescent="0.3">
      <c r="A761" t="s">
        <v>958</v>
      </c>
      <c r="B761" s="4" t="s">
        <v>6361</v>
      </c>
      <c r="C761" t="s">
        <v>6345</v>
      </c>
    </row>
    <row r="762" spans="1:3" x14ac:dyDescent="0.3">
      <c r="A762" t="s">
        <v>958</v>
      </c>
      <c r="B762" s="4" t="s">
        <v>6361</v>
      </c>
      <c r="C762" t="s">
        <v>6348</v>
      </c>
    </row>
    <row r="763" spans="1:3" x14ac:dyDescent="0.3">
      <c r="A763" t="s">
        <v>958</v>
      </c>
      <c r="B763" s="4" t="s">
        <v>6361</v>
      </c>
      <c r="C763" t="s">
        <v>6345</v>
      </c>
    </row>
    <row r="764" spans="1:3" x14ac:dyDescent="0.3">
      <c r="A764" t="s">
        <v>958</v>
      </c>
      <c r="B764" s="4" t="s">
        <v>6361</v>
      </c>
      <c r="C764" t="s">
        <v>6339</v>
      </c>
    </row>
    <row r="765" spans="1:3" x14ac:dyDescent="0.3">
      <c r="A765" t="s">
        <v>958</v>
      </c>
      <c r="B765" s="4" t="s">
        <v>6361</v>
      </c>
      <c r="C765" t="s">
        <v>958</v>
      </c>
    </row>
    <row r="766" spans="1:3" x14ac:dyDescent="0.3">
      <c r="A766" t="s">
        <v>958</v>
      </c>
      <c r="B766" s="4" t="s">
        <v>6361</v>
      </c>
      <c r="C766" t="s">
        <v>6345</v>
      </c>
    </row>
    <row r="767" spans="1:3" x14ac:dyDescent="0.3">
      <c r="A767" t="s">
        <v>958</v>
      </c>
      <c r="B767" s="4" t="s">
        <v>6361</v>
      </c>
      <c r="C767" t="s">
        <v>6345</v>
      </c>
    </row>
    <row r="768" spans="1:3" x14ac:dyDescent="0.3">
      <c r="A768" t="s">
        <v>958</v>
      </c>
      <c r="B768" s="4" t="s">
        <v>6361</v>
      </c>
      <c r="C768" t="s">
        <v>958</v>
      </c>
    </row>
    <row r="769" spans="1:3" x14ac:dyDescent="0.3">
      <c r="A769" t="s">
        <v>958</v>
      </c>
      <c r="B769" s="4" t="s">
        <v>6361</v>
      </c>
      <c r="C769" t="s">
        <v>6345</v>
      </c>
    </row>
    <row r="770" spans="1:3" x14ac:dyDescent="0.3">
      <c r="A770" t="s">
        <v>958</v>
      </c>
      <c r="B770" s="4" t="s">
        <v>6361</v>
      </c>
      <c r="C770" t="s">
        <v>6345</v>
      </c>
    </row>
    <row r="771" spans="1:3" x14ac:dyDescent="0.3">
      <c r="A771" t="s">
        <v>958</v>
      </c>
      <c r="B771" s="4" t="s">
        <v>6361</v>
      </c>
      <c r="C771" t="s">
        <v>6345</v>
      </c>
    </row>
    <row r="772" spans="1:3" x14ac:dyDescent="0.3">
      <c r="A772" t="s">
        <v>958</v>
      </c>
      <c r="B772" s="4" t="s">
        <v>6361</v>
      </c>
      <c r="C772" t="s">
        <v>6345</v>
      </c>
    </row>
    <row r="773" spans="1:3" x14ac:dyDescent="0.3">
      <c r="A773" t="s">
        <v>958</v>
      </c>
      <c r="B773" s="4" t="s">
        <v>6361</v>
      </c>
      <c r="C773" t="s">
        <v>6345</v>
      </c>
    </row>
    <row r="774" spans="1:3" x14ac:dyDescent="0.3">
      <c r="A774" t="s">
        <v>958</v>
      </c>
      <c r="B774" s="4" t="s">
        <v>6361</v>
      </c>
      <c r="C774" t="s">
        <v>6345</v>
      </c>
    </row>
    <row r="775" spans="1:3" x14ac:dyDescent="0.3">
      <c r="A775" t="s">
        <v>958</v>
      </c>
      <c r="B775" s="4" t="s">
        <v>6361</v>
      </c>
      <c r="C775" t="s">
        <v>6345</v>
      </c>
    </row>
    <row r="776" spans="1:3" x14ac:dyDescent="0.3">
      <c r="A776" t="s">
        <v>958</v>
      </c>
      <c r="B776" s="4" t="s">
        <v>6361</v>
      </c>
      <c r="C776" t="s">
        <v>6345</v>
      </c>
    </row>
    <row r="777" spans="1:3" x14ac:dyDescent="0.3">
      <c r="A777" t="s">
        <v>958</v>
      </c>
      <c r="B777" s="4" t="s">
        <v>6361</v>
      </c>
      <c r="C777" t="s">
        <v>6345</v>
      </c>
    </row>
    <row r="778" spans="1:3" x14ac:dyDescent="0.3">
      <c r="A778" t="s">
        <v>958</v>
      </c>
      <c r="B778" s="4" t="s">
        <v>6361</v>
      </c>
      <c r="C778" t="s">
        <v>6345</v>
      </c>
    </row>
    <row r="779" spans="1:3" x14ac:dyDescent="0.3">
      <c r="A779" t="s">
        <v>958</v>
      </c>
      <c r="B779" s="4" t="s">
        <v>6361</v>
      </c>
      <c r="C779" t="s">
        <v>6345</v>
      </c>
    </row>
    <row r="780" spans="1:3" x14ac:dyDescent="0.3">
      <c r="A780" t="s">
        <v>958</v>
      </c>
      <c r="B780" s="4" t="s">
        <v>6361</v>
      </c>
      <c r="C780" t="s">
        <v>6345</v>
      </c>
    </row>
    <row r="781" spans="1:3" x14ac:dyDescent="0.3">
      <c r="A781" t="s">
        <v>958</v>
      </c>
      <c r="B781" s="4" t="s">
        <v>6361</v>
      </c>
      <c r="C781" t="s">
        <v>6345</v>
      </c>
    </row>
    <row r="782" spans="1:3" x14ac:dyDescent="0.3">
      <c r="A782" t="s">
        <v>958</v>
      </c>
      <c r="B782" s="4" t="s">
        <v>6361</v>
      </c>
      <c r="C782" t="s">
        <v>6345</v>
      </c>
    </row>
    <row r="783" spans="1:3" x14ac:dyDescent="0.3">
      <c r="A783" t="s">
        <v>958</v>
      </c>
      <c r="B783" s="4" t="s">
        <v>6371</v>
      </c>
      <c r="C783" t="s">
        <v>958</v>
      </c>
    </row>
    <row r="784" spans="1:3" x14ac:dyDescent="0.3">
      <c r="A784" t="s">
        <v>958</v>
      </c>
      <c r="B784" s="4" t="s">
        <v>6371</v>
      </c>
      <c r="C784" t="s">
        <v>958</v>
      </c>
    </row>
    <row r="785" spans="1:3" x14ac:dyDescent="0.3">
      <c r="A785" t="s">
        <v>958</v>
      </c>
      <c r="B785" s="4" t="s">
        <v>6371</v>
      </c>
      <c r="C785" t="s">
        <v>958</v>
      </c>
    </row>
    <row r="786" spans="1:3" x14ac:dyDescent="0.3">
      <c r="A786" t="s">
        <v>958</v>
      </c>
      <c r="B786" s="4" t="s">
        <v>6371</v>
      </c>
      <c r="C786" t="s">
        <v>958</v>
      </c>
    </row>
    <row r="787" spans="1:3" x14ac:dyDescent="0.3">
      <c r="A787" t="s">
        <v>958</v>
      </c>
      <c r="B787" s="4" t="s">
        <v>6357</v>
      </c>
      <c r="C787" t="s">
        <v>6348</v>
      </c>
    </row>
    <row r="788" spans="1:3" x14ac:dyDescent="0.3">
      <c r="A788" t="s">
        <v>958</v>
      </c>
      <c r="B788" s="4" t="s">
        <v>6357</v>
      </c>
      <c r="C788" t="s">
        <v>6339</v>
      </c>
    </row>
    <row r="789" spans="1:3" x14ac:dyDescent="0.3">
      <c r="A789" t="s">
        <v>958</v>
      </c>
      <c r="B789" s="4" t="s">
        <v>6357</v>
      </c>
      <c r="C789" t="s">
        <v>958</v>
      </c>
    </row>
    <row r="790" spans="1:3" x14ac:dyDescent="0.3">
      <c r="A790" t="s">
        <v>958</v>
      </c>
      <c r="B790" s="4" t="s">
        <v>6357</v>
      </c>
      <c r="C790" t="s">
        <v>958</v>
      </c>
    </row>
    <row r="791" spans="1:3" x14ac:dyDescent="0.3">
      <c r="A791" t="s">
        <v>958</v>
      </c>
      <c r="B791" s="4" t="s">
        <v>6357</v>
      </c>
      <c r="C791" t="s">
        <v>6345</v>
      </c>
    </row>
    <row r="792" spans="1:3" x14ac:dyDescent="0.3">
      <c r="A792" t="s">
        <v>958</v>
      </c>
      <c r="B792" s="4" t="s">
        <v>6357</v>
      </c>
      <c r="C792" t="s">
        <v>958</v>
      </c>
    </row>
    <row r="793" spans="1:3" x14ac:dyDescent="0.3">
      <c r="A793" t="s">
        <v>958</v>
      </c>
      <c r="B793" s="4" t="s">
        <v>6357</v>
      </c>
      <c r="C793" t="s">
        <v>958</v>
      </c>
    </row>
    <row r="794" spans="1:3" x14ac:dyDescent="0.3">
      <c r="A794" t="s">
        <v>958</v>
      </c>
      <c r="B794" s="4" t="s">
        <v>6357</v>
      </c>
      <c r="C794" t="s">
        <v>958</v>
      </c>
    </row>
    <row r="795" spans="1:3" x14ac:dyDescent="0.3">
      <c r="A795" t="s">
        <v>958</v>
      </c>
      <c r="B795" s="4" t="s">
        <v>6357</v>
      </c>
      <c r="C795" t="s">
        <v>6345</v>
      </c>
    </row>
    <row r="796" spans="1:3" x14ac:dyDescent="0.3">
      <c r="A796" t="s">
        <v>958</v>
      </c>
      <c r="B796" s="4" t="s">
        <v>6357</v>
      </c>
      <c r="C796" t="s">
        <v>6339</v>
      </c>
    </row>
    <row r="797" spans="1:3" x14ac:dyDescent="0.3">
      <c r="A797" t="s">
        <v>958</v>
      </c>
      <c r="B797" s="4" t="s">
        <v>6357</v>
      </c>
      <c r="C797" t="s">
        <v>6339</v>
      </c>
    </row>
    <row r="798" spans="1:3" x14ac:dyDescent="0.3">
      <c r="A798" t="s">
        <v>958</v>
      </c>
      <c r="B798" s="4" t="s">
        <v>6357</v>
      </c>
      <c r="C798" t="s">
        <v>6339</v>
      </c>
    </row>
    <row r="799" spans="1:3" x14ac:dyDescent="0.3">
      <c r="A799" t="s">
        <v>958</v>
      </c>
      <c r="B799" s="4" t="s">
        <v>6357</v>
      </c>
      <c r="C799" t="s">
        <v>6345</v>
      </c>
    </row>
    <row r="800" spans="1:3" x14ac:dyDescent="0.3">
      <c r="A800" t="s">
        <v>958</v>
      </c>
      <c r="B800" s="4" t="s">
        <v>6357</v>
      </c>
      <c r="C800" t="s">
        <v>6339</v>
      </c>
    </row>
    <row r="801" spans="1:3" x14ac:dyDescent="0.3">
      <c r="A801" t="s">
        <v>958</v>
      </c>
      <c r="B801" s="4" t="s">
        <v>6357</v>
      </c>
      <c r="C801" t="s">
        <v>6339</v>
      </c>
    </row>
    <row r="802" spans="1:3" x14ac:dyDescent="0.3">
      <c r="A802" t="s">
        <v>958</v>
      </c>
      <c r="B802" s="4" t="s">
        <v>6357</v>
      </c>
      <c r="C802" t="s">
        <v>958</v>
      </c>
    </row>
    <row r="803" spans="1:3" x14ac:dyDescent="0.3">
      <c r="A803" t="s">
        <v>958</v>
      </c>
      <c r="B803" s="4" t="s">
        <v>6357</v>
      </c>
      <c r="C803" t="s">
        <v>958</v>
      </c>
    </row>
    <row r="804" spans="1:3" x14ac:dyDescent="0.3">
      <c r="A804" t="s">
        <v>958</v>
      </c>
      <c r="B804" s="4" t="s">
        <v>6357</v>
      </c>
      <c r="C804" t="s">
        <v>958</v>
      </c>
    </row>
    <row r="805" spans="1:3" x14ac:dyDescent="0.3">
      <c r="A805" t="s">
        <v>958</v>
      </c>
      <c r="B805" s="4" t="s">
        <v>6357</v>
      </c>
      <c r="C805" t="s">
        <v>6339</v>
      </c>
    </row>
    <row r="806" spans="1:3" x14ac:dyDescent="0.3">
      <c r="A806" t="s">
        <v>958</v>
      </c>
      <c r="B806" s="4" t="s">
        <v>6357</v>
      </c>
      <c r="C806" t="s">
        <v>6348</v>
      </c>
    </row>
    <row r="807" spans="1:3" x14ac:dyDescent="0.3">
      <c r="A807" t="s">
        <v>958</v>
      </c>
      <c r="B807" s="4" t="s">
        <v>6357</v>
      </c>
      <c r="C807" t="s">
        <v>6348</v>
      </c>
    </row>
    <row r="808" spans="1:3" x14ac:dyDescent="0.3">
      <c r="A808" t="s">
        <v>958</v>
      </c>
      <c r="B808" s="4" t="s">
        <v>6357</v>
      </c>
      <c r="C808" t="s">
        <v>6348</v>
      </c>
    </row>
    <row r="809" spans="1:3" x14ac:dyDescent="0.3">
      <c r="A809" t="s">
        <v>958</v>
      </c>
      <c r="B809" s="4" t="s">
        <v>6357</v>
      </c>
      <c r="C809" t="s">
        <v>6348</v>
      </c>
    </row>
    <row r="810" spans="1:3" x14ac:dyDescent="0.3">
      <c r="A810" t="s">
        <v>958</v>
      </c>
      <c r="B810" s="4" t="s">
        <v>6357</v>
      </c>
      <c r="C810" t="s">
        <v>6348</v>
      </c>
    </row>
    <row r="811" spans="1:3" x14ac:dyDescent="0.3">
      <c r="A811" t="s">
        <v>958</v>
      </c>
      <c r="B811" s="4" t="s">
        <v>6357</v>
      </c>
      <c r="C811" t="s">
        <v>6348</v>
      </c>
    </row>
    <row r="812" spans="1:3" x14ac:dyDescent="0.3">
      <c r="A812" t="s">
        <v>958</v>
      </c>
      <c r="B812" s="4" t="s">
        <v>6357</v>
      </c>
      <c r="C812" t="s">
        <v>6348</v>
      </c>
    </row>
    <row r="813" spans="1:3" x14ac:dyDescent="0.3">
      <c r="A813" t="s">
        <v>958</v>
      </c>
      <c r="B813" s="4" t="s">
        <v>6357</v>
      </c>
      <c r="C813" t="s">
        <v>958</v>
      </c>
    </row>
    <row r="814" spans="1:3" x14ac:dyDescent="0.3">
      <c r="A814" t="s">
        <v>958</v>
      </c>
      <c r="B814" s="4" t="s">
        <v>6357</v>
      </c>
      <c r="C814" t="s">
        <v>958</v>
      </c>
    </row>
    <row r="815" spans="1:3" x14ac:dyDescent="0.3">
      <c r="A815" t="s">
        <v>958</v>
      </c>
      <c r="B815" s="4" t="s">
        <v>6357</v>
      </c>
      <c r="C815" t="s">
        <v>958</v>
      </c>
    </row>
    <row r="816" spans="1:3" x14ac:dyDescent="0.3">
      <c r="A816" t="s">
        <v>958</v>
      </c>
      <c r="B816" s="4" t="s">
        <v>6357</v>
      </c>
      <c r="C816" t="s">
        <v>958</v>
      </c>
    </row>
    <row r="817" spans="1:3" x14ac:dyDescent="0.3">
      <c r="A817" t="s">
        <v>958</v>
      </c>
      <c r="B817" s="4" t="s">
        <v>6357</v>
      </c>
      <c r="C817" t="s">
        <v>958</v>
      </c>
    </row>
    <row r="818" spans="1:3" x14ac:dyDescent="0.3">
      <c r="A818" t="s">
        <v>958</v>
      </c>
      <c r="B818" s="4" t="s">
        <v>6357</v>
      </c>
      <c r="C818" t="s">
        <v>958</v>
      </c>
    </row>
    <row r="819" spans="1:3" x14ac:dyDescent="0.3">
      <c r="A819" t="s">
        <v>958</v>
      </c>
      <c r="B819" s="4" t="s">
        <v>6357</v>
      </c>
      <c r="C819" t="s">
        <v>958</v>
      </c>
    </row>
    <row r="820" spans="1:3" x14ac:dyDescent="0.3">
      <c r="A820" t="s">
        <v>958</v>
      </c>
      <c r="B820" s="4" t="s">
        <v>6357</v>
      </c>
      <c r="C820" t="s">
        <v>958</v>
      </c>
    </row>
    <row r="821" spans="1:3" x14ac:dyDescent="0.3">
      <c r="A821" t="s">
        <v>958</v>
      </c>
      <c r="B821" s="4" t="s">
        <v>6357</v>
      </c>
      <c r="C821" t="s">
        <v>958</v>
      </c>
    </row>
    <row r="822" spans="1:3" x14ac:dyDescent="0.3">
      <c r="A822" t="s">
        <v>958</v>
      </c>
      <c r="B822" s="4" t="s">
        <v>6357</v>
      </c>
      <c r="C822" t="s">
        <v>958</v>
      </c>
    </row>
    <row r="823" spans="1:3" x14ac:dyDescent="0.3">
      <c r="A823" t="s">
        <v>958</v>
      </c>
      <c r="B823" s="4" t="s">
        <v>6357</v>
      </c>
      <c r="C823" t="s">
        <v>958</v>
      </c>
    </row>
    <row r="824" spans="1:3" x14ac:dyDescent="0.3">
      <c r="A824" t="s">
        <v>958</v>
      </c>
      <c r="B824" s="4" t="s">
        <v>6357</v>
      </c>
      <c r="C824" t="s">
        <v>958</v>
      </c>
    </row>
    <row r="825" spans="1:3" x14ac:dyDescent="0.3">
      <c r="A825" t="s">
        <v>958</v>
      </c>
      <c r="B825" s="4" t="s">
        <v>6357</v>
      </c>
      <c r="C825" t="s">
        <v>6339</v>
      </c>
    </row>
    <row r="826" spans="1:3" x14ac:dyDescent="0.3">
      <c r="A826" t="s">
        <v>958</v>
      </c>
      <c r="B826" s="4" t="s">
        <v>6357</v>
      </c>
      <c r="C826" t="s">
        <v>6339</v>
      </c>
    </row>
    <row r="827" spans="1:3" x14ac:dyDescent="0.3">
      <c r="A827" t="s">
        <v>958</v>
      </c>
      <c r="B827" s="4" t="s">
        <v>6365</v>
      </c>
      <c r="C827" t="s">
        <v>6339</v>
      </c>
    </row>
    <row r="828" spans="1:3" x14ac:dyDescent="0.3">
      <c r="A828" t="s">
        <v>958</v>
      </c>
      <c r="B828" s="4" t="s">
        <v>6365</v>
      </c>
      <c r="C828" t="s">
        <v>6339</v>
      </c>
    </row>
    <row r="829" spans="1:3" x14ac:dyDescent="0.3">
      <c r="A829" t="s">
        <v>958</v>
      </c>
      <c r="B829" s="4" t="s">
        <v>6365</v>
      </c>
      <c r="C829" t="s">
        <v>6339</v>
      </c>
    </row>
    <row r="830" spans="1:3" x14ac:dyDescent="0.3">
      <c r="A830" t="s">
        <v>958</v>
      </c>
      <c r="B830" s="4" t="s">
        <v>6365</v>
      </c>
      <c r="C830" t="s">
        <v>6339</v>
      </c>
    </row>
    <row r="831" spans="1:3" x14ac:dyDescent="0.3">
      <c r="A831" t="s">
        <v>958</v>
      </c>
      <c r="B831" s="4" t="s">
        <v>6365</v>
      </c>
      <c r="C831" t="s">
        <v>6339</v>
      </c>
    </row>
    <row r="832" spans="1:3" x14ac:dyDescent="0.3">
      <c r="A832" t="s">
        <v>958</v>
      </c>
      <c r="B832" s="4" t="s">
        <v>6365</v>
      </c>
      <c r="C832" t="s">
        <v>6339</v>
      </c>
    </row>
    <row r="833" spans="1:3" x14ac:dyDescent="0.3">
      <c r="A833" t="s">
        <v>958</v>
      </c>
      <c r="B833" s="4" t="s">
        <v>6365</v>
      </c>
      <c r="C833" t="s">
        <v>6339</v>
      </c>
    </row>
    <row r="834" spans="1:3" x14ac:dyDescent="0.3">
      <c r="A834" t="s">
        <v>958</v>
      </c>
      <c r="B834" s="4" t="s">
        <v>6365</v>
      </c>
      <c r="C834" t="s">
        <v>6339</v>
      </c>
    </row>
    <row r="835" spans="1:3" x14ac:dyDescent="0.3">
      <c r="A835" t="s">
        <v>958</v>
      </c>
      <c r="B835" s="4" t="s">
        <v>6365</v>
      </c>
      <c r="C835" t="s">
        <v>6339</v>
      </c>
    </row>
    <row r="836" spans="1:3" x14ac:dyDescent="0.3">
      <c r="A836" t="s">
        <v>958</v>
      </c>
      <c r="B836" s="4" t="s">
        <v>6365</v>
      </c>
      <c r="C836" t="s">
        <v>6339</v>
      </c>
    </row>
    <row r="837" spans="1:3" x14ac:dyDescent="0.3">
      <c r="A837" t="s">
        <v>958</v>
      </c>
      <c r="B837" s="4" t="s">
        <v>6365</v>
      </c>
      <c r="C837" t="s">
        <v>6339</v>
      </c>
    </row>
    <row r="838" spans="1:3" x14ac:dyDescent="0.3">
      <c r="A838" t="s">
        <v>958</v>
      </c>
      <c r="B838" s="4" t="s">
        <v>6365</v>
      </c>
      <c r="C838" t="s">
        <v>6339</v>
      </c>
    </row>
    <row r="839" spans="1:3" x14ac:dyDescent="0.3">
      <c r="A839" t="s">
        <v>958</v>
      </c>
      <c r="B839" s="4" t="s">
        <v>6368</v>
      </c>
      <c r="C839" t="s">
        <v>958</v>
      </c>
    </row>
    <row r="840" spans="1:3" x14ac:dyDescent="0.3">
      <c r="A840" t="s">
        <v>958</v>
      </c>
      <c r="B840" s="4" t="s">
        <v>6368</v>
      </c>
      <c r="C840" t="s">
        <v>958</v>
      </c>
    </row>
    <row r="841" spans="1:3" x14ac:dyDescent="0.3">
      <c r="A841" t="s">
        <v>958</v>
      </c>
      <c r="B841" s="4" t="s">
        <v>6368</v>
      </c>
      <c r="C841" t="s">
        <v>958</v>
      </c>
    </row>
    <row r="842" spans="1:3" x14ac:dyDescent="0.3">
      <c r="A842" t="s">
        <v>958</v>
      </c>
      <c r="B842" s="4" t="s">
        <v>6368</v>
      </c>
      <c r="C842" t="s">
        <v>958</v>
      </c>
    </row>
    <row r="843" spans="1:3" x14ac:dyDescent="0.3">
      <c r="A843" t="s">
        <v>958</v>
      </c>
      <c r="B843" s="4" t="s">
        <v>6368</v>
      </c>
      <c r="C843" t="s">
        <v>958</v>
      </c>
    </row>
    <row r="844" spans="1:3" x14ac:dyDescent="0.3">
      <c r="A844" t="s">
        <v>958</v>
      </c>
      <c r="B844" s="4" t="s">
        <v>6368</v>
      </c>
      <c r="C844" t="s">
        <v>958</v>
      </c>
    </row>
    <row r="845" spans="1:3" x14ac:dyDescent="0.3">
      <c r="A845" t="s">
        <v>958</v>
      </c>
      <c r="B845" s="4" t="s">
        <v>6368</v>
      </c>
      <c r="C845" t="s">
        <v>958</v>
      </c>
    </row>
    <row r="846" spans="1:3" x14ac:dyDescent="0.3">
      <c r="A846" t="s">
        <v>958</v>
      </c>
      <c r="B846" s="4" t="s">
        <v>6368</v>
      </c>
      <c r="C846" t="s">
        <v>958</v>
      </c>
    </row>
    <row r="847" spans="1:3" x14ac:dyDescent="0.3">
      <c r="A847" t="s">
        <v>958</v>
      </c>
      <c r="B847" s="4" t="s">
        <v>6368</v>
      </c>
      <c r="C847" t="s">
        <v>958</v>
      </c>
    </row>
    <row r="848" spans="1:3" x14ac:dyDescent="0.3">
      <c r="A848" t="s">
        <v>958</v>
      </c>
      <c r="B848" s="4" t="s">
        <v>6368</v>
      </c>
      <c r="C848" t="s">
        <v>6348</v>
      </c>
    </row>
    <row r="849" spans="1:3" x14ac:dyDescent="0.3">
      <c r="A849" t="s">
        <v>958</v>
      </c>
      <c r="B849" s="4" t="s">
        <v>6368</v>
      </c>
      <c r="C849" t="s">
        <v>958</v>
      </c>
    </row>
    <row r="850" spans="1:3" x14ac:dyDescent="0.3">
      <c r="A850" t="s">
        <v>958</v>
      </c>
      <c r="B850" s="4" t="s">
        <v>6368</v>
      </c>
      <c r="C850" t="s">
        <v>958</v>
      </c>
    </row>
    <row r="851" spans="1:3" x14ac:dyDescent="0.3">
      <c r="A851" t="s">
        <v>958</v>
      </c>
      <c r="B851" s="4" t="s">
        <v>6368</v>
      </c>
      <c r="C851" t="s">
        <v>958</v>
      </c>
    </row>
    <row r="852" spans="1:3" x14ac:dyDescent="0.3">
      <c r="A852" t="s">
        <v>958</v>
      </c>
      <c r="B852" s="4" t="s">
        <v>6368</v>
      </c>
      <c r="C852" t="s">
        <v>958</v>
      </c>
    </row>
    <row r="853" spans="1:3" x14ac:dyDescent="0.3">
      <c r="A853" t="s">
        <v>958</v>
      </c>
      <c r="B853" s="4" t="s">
        <v>6368</v>
      </c>
      <c r="C853" t="s">
        <v>958</v>
      </c>
    </row>
    <row r="854" spans="1:3" x14ac:dyDescent="0.3">
      <c r="A854" t="s">
        <v>958</v>
      </c>
      <c r="B854" s="4" t="s">
        <v>6368</v>
      </c>
      <c r="C854" t="s">
        <v>958</v>
      </c>
    </row>
    <row r="855" spans="1:3" x14ac:dyDescent="0.3">
      <c r="A855" t="s">
        <v>958</v>
      </c>
      <c r="B855" s="4" t="s">
        <v>6368</v>
      </c>
      <c r="C855" t="s">
        <v>958</v>
      </c>
    </row>
    <row r="856" spans="1:3" x14ac:dyDescent="0.3">
      <c r="A856" t="s">
        <v>958</v>
      </c>
      <c r="B856" s="4" t="s">
        <v>6368</v>
      </c>
      <c r="C856" t="s">
        <v>6339</v>
      </c>
    </row>
    <row r="857" spans="1:3" x14ac:dyDescent="0.3">
      <c r="A857" t="s">
        <v>958</v>
      </c>
      <c r="B857" s="4" t="s">
        <v>6368</v>
      </c>
      <c r="C857" t="s">
        <v>6339</v>
      </c>
    </row>
    <row r="858" spans="1:3" x14ac:dyDescent="0.3">
      <c r="A858" t="s">
        <v>958</v>
      </c>
      <c r="B858" s="4" t="s">
        <v>6368</v>
      </c>
      <c r="C858" t="s">
        <v>958</v>
      </c>
    </row>
    <row r="859" spans="1:3" x14ac:dyDescent="0.3">
      <c r="A859" t="s">
        <v>958</v>
      </c>
      <c r="B859" s="4" t="s">
        <v>6368</v>
      </c>
      <c r="C859" t="s">
        <v>6348</v>
      </c>
    </row>
    <row r="860" spans="1:3" x14ac:dyDescent="0.3">
      <c r="A860" t="s">
        <v>958</v>
      </c>
      <c r="B860" s="4" t="s">
        <v>6368</v>
      </c>
      <c r="C860" t="s">
        <v>958</v>
      </c>
    </row>
    <row r="861" spans="1:3" x14ac:dyDescent="0.3">
      <c r="A861" t="s">
        <v>958</v>
      </c>
      <c r="B861" s="4" t="s">
        <v>6368</v>
      </c>
      <c r="C861" t="s">
        <v>958</v>
      </c>
    </row>
    <row r="862" spans="1:3" x14ac:dyDescent="0.3">
      <c r="A862" t="s">
        <v>958</v>
      </c>
      <c r="B862" s="4" t="s">
        <v>6368</v>
      </c>
      <c r="C862" t="s">
        <v>958</v>
      </c>
    </row>
    <row r="863" spans="1:3" x14ac:dyDescent="0.3">
      <c r="A863" t="s">
        <v>958</v>
      </c>
      <c r="B863" s="4" t="s">
        <v>6368</v>
      </c>
      <c r="C863" t="s">
        <v>958</v>
      </c>
    </row>
    <row r="864" spans="1:3" x14ac:dyDescent="0.3">
      <c r="A864" t="s">
        <v>958</v>
      </c>
      <c r="B864" s="4" t="s">
        <v>6362</v>
      </c>
      <c r="C864" t="s">
        <v>6358</v>
      </c>
    </row>
    <row r="865" spans="1:3" x14ac:dyDescent="0.3">
      <c r="A865" t="s">
        <v>958</v>
      </c>
      <c r="B865" s="4" t="s">
        <v>6362</v>
      </c>
      <c r="C865" t="s">
        <v>6339</v>
      </c>
    </row>
    <row r="866" spans="1:3" x14ac:dyDescent="0.3">
      <c r="A866" t="s">
        <v>958</v>
      </c>
      <c r="B866" s="4" t="s">
        <v>6362</v>
      </c>
      <c r="C866" t="s">
        <v>6339</v>
      </c>
    </row>
    <row r="867" spans="1:3" x14ac:dyDescent="0.3">
      <c r="A867" t="s">
        <v>958</v>
      </c>
      <c r="B867" s="4" t="s">
        <v>6362</v>
      </c>
      <c r="C867" t="s">
        <v>6339</v>
      </c>
    </row>
    <row r="868" spans="1:3" x14ac:dyDescent="0.3">
      <c r="A868" t="s">
        <v>958</v>
      </c>
      <c r="B868" s="4" t="s">
        <v>6362</v>
      </c>
      <c r="C868" t="s">
        <v>6339</v>
      </c>
    </row>
    <row r="869" spans="1:3" x14ac:dyDescent="0.3">
      <c r="A869" t="s">
        <v>958</v>
      </c>
      <c r="B869" s="4" t="s">
        <v>6362</v>
      </c>
      <c r="C869" t="s">
        <v>6339</v>
      </c>
    </row>
    <row r="870" spans="1:3" x14ac:dyDescent="0.3">
      <c r="A870" t="s">
        <v>958</v>
      </c>
      <c r="B870" s="4" t="s">
        <v>6362</v>
      </c>
      <c r="C870" t="s">
        <v>6339</v>
      </c>
    </row>
    <row r="871" spans="1:3" x14ac:dyDescent="0.3">
      <c r="A871" t="s">
        <v>958</v>
      </c>
      <c r="B871" s="4" t="s">
        <v>6362</v>
      </c>
      <c r="C871" t="s">
        <v>6339</v>
      </c>
    </row>
    <row r="872" spans="1:3" x14ac:dyDescent="0.3">
      <c r="A872" t="s">
        <v>958</v>
      </c>
      <c r="B872" s="4" t="s">
        <v>6362</v>
      </c>
      <c r="C872" t="s">
        <v>6339</v>
      </c>
    </row>
    <row r="873" spans="1:3" x14ac:dyDescent="0.3">
      <c r="A873" t="s">
        <v>958</v>
      </c>
      <c r="B873" s="4" t="s">
        <v>6362</v>
      </c>
      <c r="C873" t="s">
        <v>6358</v>
      </c>
    </row>
    <row r="874" spans="1:3" x14ac:dyDescent="0.3">
      <c r="A874" t="s">
        <v>958</v>
      </c>
      <c r="B874" s="4" t="s">
        <v>6362</v>
      </c>
      <c r="C874" t="s">
        <v>6358</v>
      </c>
    </row>
    <row r="875" spans="1:3" x14ac:dyDescent="0.3">
      <c r="A875" t="s">
        <v>958</v>
      </c>
      <c r="B875" s="4" t="s">
        <v>6362</v>
      </c>
      <c r="C875" t="s">
        <v>6358</v>
      </c>
    </row>
    <row r="876" spans="1:3" x14ac:dyDescent="0.3">
      <c r="A876" t="s">
        <v>958</v>
      </c>
      <c r="B876" s="4" t="s">
        <v>6362</v>
      </c>
      <c r="C876" t="s">
        <v>6358</v>
      </c>
    </row>
    <row r="877" spans="1:3" x14ac:dyDescent="0.3">
      <c r="A877" t="s">
        <v>958</v>
      </c>
      <c r="B877" s="4" t="s">
        <v>6362</v>
      </c>
      <c r="C877" t="s">
        <v>6358</v>
      </c>
    </row>
    <row r="878" spans="1:3" x14ac:dyDescent="0.3">
      <c r="A878" t="s">
        <v>958</v>
      </c>
      <c r="B878" s="4" t="s">
        <v>6362</v>
      </c>
      <c r="C878" t="s">
        <v>6348</v>
      </c>
    </row>
    <row r="879" spans="1:3" x14ac:dyDescent="0.3">
      <c r="A879" t="s">
        <v>958</v>
      </c>
      <c r="B879" s="4" t="s">
        <v>6362</v>
      </c>
      <c r="C879" t="s">
        <v>6348</v>
      </c>
    </row>
    <row r="880" spans="1:3" x14ac:dyDescent="0.3">
      <c r="A880" t="s">
        <v>958</v>
      </c>
      <c r="B880" s="4" t="s">
        <v>6362</v>
      </c>
      <c r="C880" t="s">
        <v>6339</v>
      </c>
    </row>
    <row r="881" spans="1:3" x14ac:dyDescent="0.3">
      <c r="A881" t="s">
        <v>958</v>
      </c>
      <c r="B881" s="4" t="s">
        <v>6362</v>
      </c>
      <c r="C881" t="s">
        <v>6339</v>
      </c>
    </row>
    <row r="882" spans="1:3" x14ac:dyDescent="0.3">
      <c r="A882" t="s">
        <v>958</v>
      </c>
      <c r="B882" s="4" t="s">
        <v>6362</v>
      </c>
      <c r="C882" t="s">
        <v>6339</v>
      </c>
    </row>
    <row r="883" spans="1:3" x14ac:dyDescent="0.3">
      <c r="A883" t="s">
        <v>958</v>
      </c>
      <c r="B883" s="4" t="s">
        <v>6362</v>
      </c>
      <c r="C883" t="s">
        <v>6339</v>
      </c>
    </row>
    <row r="884" spans="1:3" x14ac:dyDescent="0.3">
      <c r="A884" t="s">
        <v>958</v>
      </c>
      <c r="B884" s="4" t="s">
        <v>6362</v>
      </c>
      <c r="C884" t="s">
        <v>6339</v>
      </c>
    </row>
    <row r="885" spans="1:3" x14ac:dyDescent="0.3">
      <c r="A885" t="s">
        <v>958</v>
      </c>
      <c r="B885" s="4" t="s">
        <v>6362</v>
      </c>
      <c r="C885" t="s">
        <v>6339</v>
      </c>
    </row>
    <row r="886" spans="1:3" x14ac:dyDescent="0.3">
      <c r="A886" t="s">
        <v>958</v>
      </c>
      <c r="B886" s="4" t="s">
        <v>6362</v>
      </c>
      <c r="C886" t="s">
        <v>6339</v>
      </c>
    </row>
    <row r="887" spans="1:3" x14ac:dyDescent="0.3">
      <c r="A887" t="s">
        <v>958</v>
      </c>
      <c r="B887" s="4" t="s">
        <v>6362</v>
      </c>
      <c r="C887" t="s">
        <v>6339</v>
      </c>
    </row>
    <row r="888" spans="1:3" x14ac:dyDescent="0.3">
      <c r="A888" t="s">
        <v>958</v>
      </c>
      <c r="B888" s="4" t="s">
        <v>6362</v>
      </c>
      <c r="C888" t="s">
        <v>6339</v>
      </c>
    </row>
    <row r="889" spans="1:3" x14ac:dyDescent="0.3">
      <c r="A889" t="s">
        <v>958</v>
      </c>
      <c r="B889" s="4" t="s">
        <v>6362</v>
      </c>
      <c r="C889" t="s">
        <v>6339</v>
      </c>
    </row>
    <row r="890" spans="1:3" x14ac:dyDescent="0.3">
      <c r="A890" t="s">
        <v>958</v>
      </c>
      <c r="B890" s="4" t="s">
        <v>6362</v>
      </c>
      <c r="C890" t="s">
        <v>6339</v>
      </c>
    </row>
    <row r="891" spans="1:3" x14ac:dyDescent="0.3">
      <c r="A891" t="s">
        <v>958</v>
      </c>
      <c r="B891" s="4" t="s">
        <v>6362</v>
      </c>
      <c r="C891" t="s">
        <v>6339</v>
      </c>
    </row>
    <row r="892" spans="1:3" x14ac:dyDescent="0.3">
      <c r="A892" t="s">
        <v>958</v>
      </c>
      <c r="B892" s="4" t="s">
        <v>6362</v>
      </c>
      <c r="C892" t="s">
        <v>6348</v>
      </c>
    </row>
    <row r="893" spans="1:3" x14ac:dyDescent="0.3">
      <c r="A893" t="s">
        <v>958</v>
      </c>
      <c r="B893" s="4" t="s">
        <v>6362</v>
      </c>
      <c r="C893" t="s">
        <v>6339</v>
      </c>
    </row>
    <row r="894" spans="1:3" x14ac:dyDescent="0.3">
      <c r="A894" t="s">
        <v>958</v>
      </c>
      <c r="B894" s="4" t="s">
        <v>6362</v>
      </c>
      <c r="C894" t="s">
        <v>6339</v>
      </c>
    </row>
    <row r="895" spans="1:3" x14ac:dyDescent="0.3">
      <c r="A895" t="s">
        <v>958</v>
      </c>
      <c r="B895" s="4" t="s">
        <v>6362</v>
      </c>
      <c r="C895" t="s">
        <v>6339</v>
      </c>
    </row>
    <row r="896" spans="1:3" x14ac:dyDescent="0.3">
      <c r="A896" t="s">
        <v>958</v>
      </c>
      <c r="B896" s="4" t="s">
        <v>6362</v>
      </c>
      <c r="C896" t="s">
        <v>6339</v>
      </c>
    </row>
    <row r="897" spans="1:3" x14ac:dyDescent="0.3">
      <c r="A897" t="s">
        <v>958</v>
      </c>
      <c r="B897" s="4" t="s">
        <v>6362</v>
      </c>
      <c r="C897" t="s">
        <v>6339</v>
      </c>
    </row>
    <row r="898" spans="1:3" x14ac:dyDescent="0.3">
      <c r="A898" t="s">
        <v>958</v>
      </c>
      <c r="B898" s="4" t="s">
        <v>6362</v>
      </c>
      <c r="C898" t="s">
        <v>6339</v>
      </c>
    </row>
    <row r="899" spans="1:3" x14ac:dyDescent="0.3">
      <c r="A899" t="s">
        <v>958</v>
      </c>
      <c r="B899" s="4" t="s">
        <v>6362</v>
      </c>
      <c r="C899" t="s">
        <v>6339</v>
      </c>
    </row>
    <row r="900" spans="1:3" x14ac:dyDescent="0.3">
      <c r="A900" t="s">
        <v>958</v>
      </c>
      <c r="B900" s="4" t="s">
        <v>6362</v>
      </c>
      <c r="C900" t="s">
        <v>6339</v>
      </c>
    </row>
    <row r="901" spans="1:3" x14ac:dyDescent="0.3">
      <c r="A901" t="s">
        <v>958</v>
      </c>
      <c r="B901" s="4" t="s">
        <v>6362</v>
      </c>
      <c r="C901" t="s">
        <v>6339</v>
      </c>
    </row>
    <row r="902" spans="1:3" x14ac:dyDescent="0.3">
      <c r="A902" t="s">
        <v>958</v>
      </c>
      <c r="B902" s="4" t="s">
        <v>6362</v>
      </c>
      <c r="C902" t="s">
        <v>6339</v>
      </c>
    </row>
    <row r="903" spans="1:3" x14ac:dyDescent="0.3">
      <c r="A903" t="s">
        <v>958</v>
      </c>
      <c r="B903" s="4" t="s">
        <v>6362</v>
      </c>
      <c r="C903" t="s">
        <v>6339</v>
      </c>
    </row>
    <row r="904" spans="1:3" x14ac:dyDescent="0.3">
      <c r="A904" t="s">
        <v>958</v>
      </c>
      <c r="B904" s="4" t="s">
        <v>6362</v>
      </c>
      <c r="C904" t="s">
        <v>6339</v>
      </c>
    </row>
    <row r="905" spans="1:3" x14ac:dyDescent="0.3">
      <c r="A905" t="s">
        <v>958</v>
      </c>
      <c r="B905" s="4" t="s">
        <v>6362</v>
      </c>
      <c r="C905" t="s">
        <v>6339</v>
      </c>
    </row>
    <row r="906" spans="1:3" x14ac:dyDescent="0.3">
      <c r="A906" t="s">
        <v>958</v>
      </c>
      <c r="B906" s="4" t="s">
        <v>6377</v>
      </c>
      <c r="C906" t="s">
        <v>958</v>
      </c>
    </row>
    <row r="907" spans="1:3" x14ac:dyDescent="0.3">
      <c r="A907" t="s">
        <v>958</v>
      </c>
      <c r="B907" s="4" t="s">
        <v>6377</v>
      </c>
      <c r="C907" t="s">
        <v>958</v>
      </c>
    </row>
    <row r="908" spans="1:3" x14ac:dyDescent="0.3">
      <c r="A908" t="s">
        <v>958</v>
      </c>
      <c r="B908" s="4" t="s">
        <v>6377</v>
      </c>
      <c r="C908" t="s">
        <v>6345</v>
      </c>
    </row>
    <row r="909" spans="1:3" x14ac:dyDescent="0.3">
      <c r="A909" t="s">
        <v>958</v>
      </c>
      <c r="B909" s="4" t="s">
        <v>6377</v>
      </c>
      <c r="C909" t="s">
        <v>6345</v>
      </c>
    </row>
    <row r="910" spans="1:3" x14ac:dyDescent="0.3">
      <c r="A910" t="s">
        <v>958</v>
      </c>
      <c r="B910" s="4" t="s">
        <v>6377</v>
      </c>
      <c r="C910" t="s">
        <v>6345</v>
      </c>
    </row>
    <row r="911" spans="1:3" x14ac:dyDescent="0.3">
      <c r="A911" t="s">
        <v>958</v>
      </c>
      <c r="B911" s="4" t="s">
        <v>6377</v>
      </c>
      <c r="C911" t="s">
        <v>6346</v>
      </c>
    </row>
    <row r="912" spans="1:3" x14ac:dyDescent="0.3">
      <c r="A912" t="s">
        <v>958</v>
      </c>
      <c r="B912" s="4" t="s">
        <v>6377</v>
      </c>
      <c r="C912" t="s">
        <v>6346</v>
      </c>
    </row>
    <row r="913" spans="1:3" x14ac:dyDescent="0.3">
      <c r="A913" t="s">
        <v>958</v>
      </c>
      <c r="B913" s="4" t="s">
        <v>6377</v>
      </c>
      <c r="C913" t="s">
        <v>6346</v>
      </c>
    </row>
    <row r="914" spans="1:3" x14ac:dyDescent="0.3">
      <c r="A914" t="s">
        <v>958</v>
      </c>
      <c r="B914" s="4" t="s">
        <v>6377</v>
      </c>
      <c r="C914" t="s">
        <v>958</v>
      </c>
    </row>
    <row r="915" spans="1:3" x14ac:dyDescent="0.3">
      <c r="A915" t="s">
        <v>958</v>
      </c>
      <c r="B915" s="4" t="s">
        <v>6377</v>
      </c>
      <c r="C915" t="s">
        <v>958</v>
      </c>
    </row>
    <row r="916" spans="1:3" x14ac:dyDescent="0.3">
      <c r="A916" t="s">
        <v>958</v>
      </c>
      <c r="B916" s="4" t="s">
        <v>6377</v>
      </c>
      <c r="C916" t="s">
        <v>958</v>
      </c>
    </row>
    <row r="917" spans="1:3" x14ac:dyDescent="0.3">
      <c r="A917" t="s">
        <v>958</v>
      </c>
      <c r="B917" s="4" t="s">
        <v>6377</v>
      </c>
      <c r="C917" t="s">
        <v>958</v>
      </c>
    </row>
    <row r="918" spans="1:3" x14ac:dyDescent="0.3">
      <c r="A918" t="s">
        <v>958</v>
      </c>
      <c r="B918" s="4" t="s">
        <v>6377</v>
      </c>
      <c r="C918" t="s">
        <v>958</v>
      </c>
    </row>
    <row r="919" spans="1:3" x14ac:dyDescent="0.3">
      <c r="A919" t="s">
        <v>958</v>
      </c>
      <c r="B919" s="4" t="s">
        <v>6377</v>
      </c>
      <c r="C919" t="s">
        <v>958</v>
      </c>
    </row>
    <row r="920" spans="1:3" x14ac:dyDescent="0.3">
      <c r="A920" t="s">
        <v>958</v>
      </c>
      <c r="B920" s="4" t="s">
        <v>6377</v>
      </c>
      <c r="C920" t="s">
        <v>6345</v>
      </c>
    </row>
    <row r="921" spans="1:3" x14ac:dyDescent="0.3">
      <c r="A921" t="s">
        <v>958</v>
      </c>
      <c r="B921" s="4" t="s">
        <v>6377</v>
      </c>
      <c r="C921" t="s">
        <v>958</v>
      </c>
    </row>
    <row r="922" spans="1:3" x14ac:dyDescent="0.3">
      <c r="A922" t="s">
        <v>958</v>
      </c>
      <c r="B922" s="4" t="s">
        <v>6377</v>
      </c>
      <c r="C922" t="s">
        <v>958</v>
      </c>
    </row>
    <row r="923" spans="1:3" x14ac:dyDescent="0.3">
      <c r="A923" t="s">
        <v>958</v>
      </c>
      <c r="B923" s="4" t="s">
        <v>6377</v>
      </c>
      <c r="C923" t="s">
        <v>958</v>
      </c>
    </row>
    <row r="924" spans="1:3" x14ac:dyDescent="0.3">
      <c r="A924" t="s">
        <v>958</v>
      </c>
      <c r="B924" s="4" t="s">
        <v>6377</v>
      </c>
      <c r="C924" t="s">
        <v>6345</v>
      </c>
    </row>
    <row r="925" spans="1:3" x14ac:dyDescent="0.3">
      <c r="A925" t="s">
        <v>958</v>
      </c>
      <c r="B925" s="4" t="s">
        <v>6377</v>
      </c>
      <c r="C925" t="s">
        <v>6346</v>
      </c>
    </row>
    <row r="926" spans="1:3" x14ac:dyDescent="0.3">
      <c r="A926" t="s">
        <v>958</v>
      </c>
      <c r="B926" s="4" t="s">
        <v>6377</v>
      </c>
      <c r="C926" t="s">
        <v>958</v>
      </c>
    </row>
    <row r="927" spans="1:3" x14ac:dyDescent="0.3">
      <c r="A927" t="s">
        <v>958</v>
      </c>
      <c r="B927" s="4" t="s">
        <v>6377</v>
      </c>
      <c r="C927" t="s">
        <v>958</v>
      </c>
    </row>
    <row r="928" spans="1:3" x14ac:dyDescent="0.3">
      <c r="A928" t="s">
        <v>958</v>
      </c>
      <c r="B928" s="4" t="s">
        <v>6377</v>
      </c>
      <c r="C928" t="s">
        <v>958</v>
      </c>
    </row>
    <row r="929" spans="1:3" x14ac:dyDescent="0.3">
      <c r="A929" t="s">
        <v>958</v>
      </c>
      <c r="B929" s="4" t="s">
        <v>6377</v>
      </c>
      <c r="C929" t="s">
        <v>958</v>
      </c>
    </row>
    <row r="930" spans="1:3" x14ac:dyDescent="0.3">
      <c r="A930" t="s">
        <v>958</v>
      </c>
      <c r="B930" s="4" t="s">
        <v>6377</v>
      </c>
      <c r="C930" t="s">
        <v>958</v>
      </c>
    </row>
    <row r="931" spans="1:3" x14ac:dyDescent="0.3">
      <c r="A931" t="s">
        <v>958</v>
      </c>
      <c r="B931" s="4" t="s">
        <v>6377</v>
      </c>
      <c r="C931" t="s">
        <v>958</v>
      </c>
    </row>
    <row r="932" spans="1:3" x14ac:dyDescent="0.3">
      <c r="A932" t="s">
        <v>958</v>
      </c>
      <c r="B932" s="4" t="s">
        <v>6377</v>
      </c>
      <c r="C932" t="s">
        <v>958</v>
      </c>
    </row>
    <row r="933" spans="1:3" x14ac:dyDescent="0.3">
      <c r="A933" t="s">
        <v>958</v>
      </c>
      <c r="B933" s="4" t="s">
        <v>6377</v>
      </c>
      <c r="C933" t="s">
        <v>6345</v>
      </c>
    </row>
    <row r="934" spans="1:3" x14ac:dyDescent="0.3">
      <c r="A934" t="s">
        <v>958</v>
      </c>
      <c r="B934" s="4" t="s">
        <v>6377</v>
      </c>
      <c r="C934" t="s">
        <v>6345</v>
      </c>
    </row>
    <row r="935" spans="1:3" x14ac:dyDescent="0.3">
      <c r="A935" t="s">
        <v>958</v>
      </c>
      <c r="B935" s="4" t="s">
        <v>6377</v>
      </c>
      <c r="C935" t="s">
        <v>6345</v>
      </c>
    </row>
    <row r="936" spans="1:3" x14ac:dyDescent="0.3">
      <c r="A936" t="s">
        <v>958</v>
      </c>
      <c r="B936" s="4" t="s">
        <v>6377</v>
      </c>
      <c r="C936" t="s">
        <v>6345</v>
      </c>
    </row>
    <row r="937" spans="1:3" x14ac:dyDescent="0.3">
      <c r="A937" t="s">
        <v>958</v>
      </c>
      <c r="B937" s="4" t="s">
        <v>6377</v>
      </c>
      <c r="C937" t="s">
        <v>958</v>
      </c>
    </row>
    <row r="938" spans="1:3" x14ac:dyDescent="0.3">
      <c r="A938" t="s">
        <v>958</v>
      </c>
      <c r="B938" s="4" t="s">
        <v>6377</v>
      </c>
      <c r="C938" t="s">
        <v>958</v>
      </c>
    </row>
    <row r="939" spans="1:3" x14ac:dyDescent="0.3">
      <c r="A939" t="s">
        <v>958</v>
      </c>
      <c r="B939" s="4" t="s">
        <v>6363</v>
      </c>
      <c r="C939" t="s">
        <v>6339</v>
      </c>
    </row>
    <row r="940" spans="1:3" x14ac:dyDescent="0.3">
      <c r="A940" t="s">
        <v>958</v>
      </c>
      <c r="B940" s="4" t="s">
        <v>6363</v>
      </c>
      <c r="C940" t="s">
        <v>6348</v>
      </c>
    </row>
    <row r="941" spans="1:3" x14ac:dyDescent="0.3">
      <c r="A941" t="s">
        <v>958</v>
      </c>
      <c r="B941" s="4" t="s">
        <v>6363</v>
      </c>
      <c r="C941" t="s">
        <v>6348</v>
      </c>
    </row>
    <row r="942" spans="1:3" x14ac:dyDescent="0.3">
      <c r="A942" t="s">
        <v>958</v>
      </c>
      <c r="B942" s="4" t="s">
        <v>6363</v>
      </c>
      <c r="C942" t="s">
        <v>6348</v>
      </c>
    </row>
    <row r="943" spans="1:3" x14ac:dyDescent="0.3">
      <c r="A943" t="s">
        <v>958</v>
      </c>
      <c r="B943" s="4" t="s">
        <v>6363</v>
      </c>
      <c r="C943" t="s">
        <v>6348</v>
      </c>
    </row>
    <row r="944" spans="1:3" x14ac:dyDescent="0.3">
      <c r="A944" t="s">
        <v>958</v>
      </c>
      <c r="B944" s="4" t="s">
        <v>6363</v>
      </c>
      <c r="C944" t="s">
        <v>6348</v>
      </c>
    </row>
    <row r="945" spans="1:3" x14ac:dyDescent="0.3">
      <c r="A945" t="s">
        <v>958</v>
      </c>
      <c r="B945" s="4" t="s">
        <v>6363</v>
      </c>
      <c r="C945" t="s">
        <v>6348</v>
      </c>
    </row>
    <row r="946" spans="1:3" x14ac:dyDescent="0.3">
      <c r="A946" t="s">
        <v>958</v>
      </c>
      <c r="B946" s="4" t="s">
        <v>6363</v>
      </c>
      <c r="C946" t="s">
        <v>6348</v>
      </c>
    </row>
    <row r="947" spans="1:3" x14ac:dyDescent="0.3">
      <c r="A947" t="s">
        <v>958</v>
      </c>
      <c r="B947" s="4" t="s">
        <v>6363</v>
      </c>
      <c r="C947" t="s">
        <v>6348</v>
      </c>
    </row>
    <row r="948" spans="1:3" x14ac:dyDescent="0.3">
      <c r="A948" t="s">
        <v>958</v>
      </c>
      <c r="B948" s="4" t="s">
        <v>6363</v>
      </c>
      <c r="C948" t="s">
        <v>6348</v>
      </c>
    </row>
    <row r="949" spans="1:3" x14ac:dyDescent="0.3">
      <c r="A949" t="s">
        <v>958</v>
      </c>
      <c r="B949" s="4" t="s">
        <v>6363</v>
      </c>
      <c r="C949" t="s">
        <v>6348</v>
      </c>
    </row>
    <row r="950" spans="1:3" x14ac:dyDescent="0.3">
      <c r="A950" t="s">
        <v>958</v>
      </c>
      <c r="B950" s="4" t="s">
        <v>6363</v>
      </c>
      <c r="C950" t="s">
        <v>6348</v>
      </c>
    </row>
    <row r="951" spans="1:3" x14ac:dyDescent="0.3">
      <c r="A951" t="s">
        <v>958</v>
      </c>
      <c r="B951" s="4" t="s">
        <v>6363</v>
      </c>
      <c r="C951" t="s">
        <v>6348</v>
      </c>
    </row>
    <row r="952" spans="1:3" x14ac:dyDescent="0.3">
      <c r="A952" t="s">
        <v>958</v>
      </c>
      <c r="B952" s="4" t="s">
        <v>6363</v>
      </c>
      <c r="C952" t="s">
        <v>6348</v>
      </c>
    </row>
    <row r="953" spans="1:3" x14ac:dyDescent="0.3">
      <c r="A953" t="s">
        <v>958</v>
      </c>
      <c r="B953" s="4" t="s">
        <v>6363</v>
      </c>
      <c r="C953" t="s">
        <v>6348</v>
      </c>
    </row>
    <row r="954" spans="1:3" x14ac:dyDescent="0.3">
      <c r="A954" t="s">
        <v>958</v>
      </c>
      <c r="B954" s="4" t="s">
        <v>6363</v>
      </c>
      <c r="C954" t="s">
        <v>6348</v>
      </c>
    </row>
    <row r="955" spans="1:3" x14ac:dyDescent="0.3">
      <c r="A955" t="s">
        <v>958</v>
      </c>
      <c r="B955" s="4" t="s">
        <v>6363</v>
      </c>
      <c r="C955" t="s">
        <v>6348</v>
      </c>
    </row>
    <row r="956" spans="1:3" x14ac:dyDescent="0.3">
      <c r="A956" t="s">
        <v>958</v>
      </c>
      <c r="B956" s="4" t="s">
        <v>6363</v>
      </c>
      <c r="C956" t="s">
        <v>6348</v>
      </c>
    </row>
    <row r="957" spans="1:3" x14ac:dyDescent="0.3">
      <c r="A957" t="s">
        <v>958</v>
      </c>
      <c r="B957" s="4" t="s">
        <v>6363</v>
      </c>
      <c r="C957" t="s">
        <v>6348</v>
      </c>
    </row>
    <row r="958" spans="1:3" x14ac:dyDescent="0.3">
      <c r="A958" t="s">
        <v>958</v>
      </c>
      <c r="B958" s="4" t="s">
        <v>6363</v>
      </c>
      <c r="C958" t="s">
        <v>6345</v>
      </c>
    </row>
    <row r="959" spans="1:3" x14ac:dyDescent="0.3">
      <c r="A959" t="s">
        <v>958</v>
      </c>
      <c r="B959" s="4" t="s">
        <v>6363</v>
      </c>
      <c r="C959" t="s">
        <v>6345</v>
      </c>
    </row>
    <row r="960" spans="1:3" x14ac:dyDescent="0.3">
      <c r="A960" t="s">
        <v>958</v>
      </c>
      <c r="B960" s="4" t="s">
        <v>6363</v>
      </c>
      <c r="C960" t="s">
        <v>6345</v>
      </c>
    </row>
    <row r="961" spans="1:3" x14ac:dyDescent="0.3">
      <c r="A961" t="s">
        <v>958</v>
      </c>
      <c r="B961" s="4" t="s">
        <v>6363</v>
      </c>
      <c r="C961" t="s">
        <v>6345</v>
      </c>
    </row>
    <row r="962" spans="1:3" x14ac:dyDescent="0.3">
      <c r="A962" t="s">
        <v>958</v>
      </c>
      <c r="B962" s="4" t="s">
        <v>6363</v>
      </c>
      <c r="C962" t="s">
        <v>6345</v>
      </c>
    </row>
    <row r="963" spans="1:3" x14ac:dyDescent="0.3">
      <c r="A963" t="s">
        <v>958</v>
      </c>
      <c r="B963" s="4" t="s">
        <v>6363</v>
      </c>
      <c r="C963" t="s">
        <v>6345</v>
      </c>
    </row>
    <row r="964" spans="1:3" x14ac:dyDescent="0.3">
      <c r="A964" t="s">
        <v>958</v>
      </c>
      <c r="B964" s="4" t="s">
        <v>6363</v>
      </c>
      <c r="C964" t="s">
        <v>6339</v>
      </c>
    </row>
    <row r="965" spans="1:3" x14ac:dyDescent="0.3">
      <c r="A965" t="s">
        <v>958</v>
      </c>
      <c r="B965" s="4" t="s">
        <v>6363</v>
      </c>
      <c r="C965" t="s">
        <v>6339</v>
      </c>
    </row>
    <row r="966" spans="1:3" x14ac:dyDescent="0.3">
      <c r="A966" t="s">
        <v>958</v>
      </c>
      <c r="B966" s="4" t="s">
        <v>6363</v>
      </c>
      <c r="C966" t="s">
        <v>6339</v>
      </c>
    </row>
    <row r="967" spans="1:3" x14ac:dyDescent="0.3">
      <c r="A967" t="s">
        <v>958</v>
      </c>
      <c r="B967" s="4" t="s">
        <v>6363</v>
      </c>
      <c r="C967" t="s">
        <v>6339</v>
      </c>
    </row>
    <row r="968" spans="1:3" x14ac:dyDescent="0.3">
      <c r="A968" t="s">
        <v>958</v>
      </c>
      <c r="B968" s="4" t="s">
        <v>6363</v>
      </c>
      <c r="C968" t="s">
        <v>6339</v>
      </c>
    </row>
    <row r="969" spans="1:3" x14ac:dyDescent="0.3">
      <c r="A969" t="s">
        <v>958</v>
      </c>
      <c r="B969" s="4" t="s">
        <v>6363</v>
      </c>
      <c r="C969" t="s">
        <v>6339</v>
      </c>
    </row>
    <row r="970" spans="1:3" x14ac:dyDescent="0.3">
      <c r="A970" t="s">
        <v>958</v>
      </c>
      <c r="B970" s="4" t="s">
        <v>6363</v>
      </c>
      <c r="C970" t="s">
        <v>6339</v>
      </c>
    </row>
    <row r="971" spans="1:3" x14ac:dyDescent="0.3">
      <c r="A971" t="s">
        <v>958</v>
      </c>
      <c r="B971" s="4" t="s">
        <v>6363</v>
      </c>
      <c r="C971" t="s">
        <v>6339</v>
      </c>
    </row>
    <row r="972" spans="1:3" x14ac:dyDescent="0.3">
      <c r="A972" t="s">
        <v>958</v>
      </c>
      <c r="B972" s="4" t="s">
        <v>6363</v>
      </c>
      <c r="C972" t="s">
        <v>6339</v>
      </c>
    </row>
    <row r="973" spans="1:3" x14ac:dyDescent="0.3">
      <c r="A973" t="s">
        <v>958</v>
      </c>
      <c r="B973" s="4" t="s">
        <v>6363</v>
      </c>
      <c r="C973" t="s">
        <v>6339</v>
      </c>
    </row>
    <row r="974" spans="1:3" x14ac:dyDescent="0.3">
      <c r="A974" t="s">
        <v>958</v>
      </c>
      <c r="B974" s="4" t="s">
        <v>6363</v>
      </c>
      <c r="C974" t="s">
        <v>6339</v>
      </c>
    </row>
    <row r="975" spans="1:3" x14ac:dyDescent="0.3">
      <c r="A975" t="s">
        <v>958</v>
      </c>
      <c r="B975" s="4" t="s">
        <v>6363</v>
      </c>
      <c r="C975" t="s">
        <v>6339</v>
      </c>
    </row>
    <row r="976" spans="1:3" x14ac:dyDescent="0.3">
      <c r="A976" t="s">
        <v>958</v>
      </c>
      <c r="B976" s="4" t="s">
        <v>6363</v>
      </c>
      <c r="C976" t="s">
        <v>6339</v>
      </c>
    </row>
    <row r="977" spans="1:3" x14ac:dyDescent="0.3">
      <c r="A977" t="s">
        <v>958</v>
      </c>
      <c r="B977" s="4" t="s">
        <v>6363</v>
      </c>
      <c r="C977" t="s">
        <v>6339</v>
      </c>
    </row>
    <row r="978" spans="1:3" x14ac:dyDescent="0.3">
      <c r="A978" t="s">
        <v>958</v>
      </c>
      <c r="B978" s="4" t="s">
        <v>6363</v>
      </c>
      <c r="C978" t="s">
        <v>6339</v>
      </c>
    </row>
    <row r="979" spans="1:3" x14ac:dyDescent="0.3">
      <c r="A979" t="s">
        <v>958</v>
      </c>
      <c r="B979" s="4" t="s">
        <v>6363</v>
      </c>
      <c r="C979" t="s">
        <v>6339</v>
      </c>
    </row>
    <row r="980" spans="1:3" x14ac:dyDescent="0.3">
      <c r="A980" t="s">
        <v>958</v>
      </c>
      <c r="B980" s="4" t="s">
        <v>6363</v>
      </c>
      <c r="C980" t="s">
        <v>6339</v>
      </c>
    </row>
    <row r="981" spans="1:3" x14ac:dyDescent="0.3">
      <c r="A981" t="s">
        <v>958</v>
      </c>
      <c r="B981" s="4" t="s">
        <v>6363</v>
      </c>
      <c r="C981" t="s">
        <v>6339</v>
      </c>
    </row>
    <row r="982" spans="1:3" x14ac:dyDescent="0.3">
      <c r="A982" t="s">
        <v>958</v>
      </c>
      <c r="B982" s="4" t="s">
        <v>6363</v>
      </c>
      <c r="C982" t="s">
        <v>6339</v>
      </c>
    </row>
    <row r="983" spans="1:3" x14ac:dyDescent="0.3">
      <c r="A983" t="s">
        <v>958</v>
      </c>
      <c r="B983" s="4" t="s">
        <v>6363</v>
      </c>
      <c r="C983" t="s">
        <v>6339</v>
      </c>
    </row>
    <row r="984" spans="1:3" x14ac:dyDescent="0.3">
      <c r="A984" t="s">
        <v>958</v>
      </c>
      <c r="B984" s="4" t="s">
        <v>6363</v>
      </c>
      <c r="C984" t="s">
        <v>6339</v>
      </c>
    </row>
    <row r="985" spans="1:3" x14ac:dyDescent="0.3">
      <c r="A985" t="s">
        <v>958</v>
      </c>
      <c r="B985" s="4" t="s">
        <v>6363</v>
      </c>
      <c r="C985" t="s">
        <v>6345</v>
      </c>
    </row>
    <row r="986" spans="1:3" x14ac:dyDescent="0.3">
      <c r="A986" t="s">
        <v>958</v>
      </c>
      <c r="B986" s="4" t="s">
        <v>6363</v>
      </c>
      <c r="C986" t="s">
        <v>6339</v>
      </c>
    </row>
    <row r="987" spans="1:3" x14ac:dyDescent="0.3">
      <c r="A987" t="s">
        <v>958</v>
      </c>
      <c r="B987" s="4" t="s">
        <v>6363</v>
      </c>
      <c r="C987" t="s">
        <v>6339</v>
      </c>
    </row>
    <row r="988" spans="1:3" x14ac:dyDescent="0.3">
      <c r="A988" t="s">
        <v>958</v>
      </c>
      <c r="B988" s="4" t="s">
        <v>6363</v>
      </c>
      <c r="C988" t="s">
        <v>6348</v>
      </c>
    </row>
    <row r="989" spans="1:3" x14ac:dyDescent="0.3">
      <c r="A989" t="s">
        <v>958</v>
      </c>
      <c r="B989" s="4" t="s">
        <v>6363</v>
      </c>
      <c r="C989" t="s">
        <v>6348</v>
      </c>
    </row>
    <row r="990" spans="1:3" x14ac:dyDescent="0.3">
      <c r="A990" t="s">
        <v>958</v>
      </c>
      <c r="B990" s="4" t="s">
        <v>6363</v>
      </c>
      <c r="C990" t="s">
        <v>6348</v>
      </c>
    </row>
    <row r="991" spans="1:3" x14ac:dyDescent="0.3">
      <c r="A991" t="s">
        <v>958</v>
      </c>
      <c r="B991" s="4" t="s">
        <v>6363</v>
      </c>
      <c r="C991" t="s">
        <v>6348</v>
      </c>
    </row>
    <row r="992" spans="1:3" x14ac:dyDescent="0.3">
      <c r="A992" t="s">
        <v>958</v>
      </c>
      <c r="B992" s="4" t="s">
        <v>6363</v>
      </c>
      <c r="C992" t="s">
        <v>6348</v>
      </c>
    </row>
    <row r="993" spans="1:3" x14ac:dyDescent="0.3">
      <c r="A993" t="s">
        <v>958</v>
      </c>
      <c r="B993" s="4" t="s">
        <v>6363</v>
      </c>
      <c r="C993" t="s">
        <v>6348</v>
      </c>
    </row>
    <row r="994" spans="1:3" x14ac:dyDescent="0.3">
      <c r="A994" t="s">
        <v>958</v>
      </c>
      <c r="B994" s="4" t="s">
        <v>6363</v>
      </c>
      <c r="C994" t="s">
        <v>6348</v>
      </c>
    </row>
    <row r="995" spans="1:3" x14ac:dyDescent="0.3">
      <c r="A995" t="s">
        <v>958</v>
      </c>
      <c r="B995" s="4" t="s">
        <v>6363</v>
      </c>
      <c r="C995" t="s">
        <v>6345</v>
      </c>
    </row>
    <row r="996" spans="1:3" x14ac:dyDescent="0.3">
      <c r="A996" t="s">
        <v>958</v>
      </c>
      <c r="B996" s="4" t="s">
        <v>6363</v>
      </c>
      <c r="C996" t="s">
        <v>6345</v>
      </c>
    </row>
    <row r="997" spans="1:3" x14ac:dyDescent="0.3">
      <c r="A997" t="s">
        <v>958</v>
      </c>
      <c r="B997" s="4" t="s">
        <v>6363</v>
      </c>
      <c r="C997" t="s">
        <v>6345</v>
      </c>
    </row>
    <row r="998" spans="1:3" x14ac:dyDescent="0.3">
      <c r="A998" t="s">
        <v>958</v>
      </c>
      <c r="B998" s="4" t="s">
        <v>6363</v>
      </c>
      <c r="C998" t="s">
        <v>6345</v>
      </c>
    </row>
    <row r="999" spans="1:3" x14ac:dyDescent="0.3">
      <c r="A999" t="s">
        <v>958</v>
      </c>
      <c r="B999" s="4" t="s">
        <v>6363</v>
      </c>
      <c r="C999" t="s">
        <v>6345</v>
      </c>
    </row>
    <row r="1000" spans="1:3" x14ac:dyDescent="0.3">
      <c r="A1000" t="s">
        <v>958</v>
      </c>
      <c r="B1000" s="4" t="s">
        <v>6363</v>
      </c>
      <c r="C1000" t="s">
        <v>6348</v>
      </c>
    </row>
    <row r="1001" spans="1:3" x14ac:dyDescent="0.3">
      <c r="A1001" t="s">
        <v>958</v>
      </c>
      <c r="B1001" s="4" t="s">
        <v>6363</v>
      </c>
      <c r="C1001" t="s">
        <v>6348</v>
      </c>
    </row>
    <row r="1002" spans="1:3" x14ac:dyDescent="0.3">
      <c r="A1002" t="s">
        <v>958</v>
      </c>
      <c r="B1002" s="4" t="s">
        <v>6363</v>
      </c>
      <c r="C1002" t="s">
        <v>6348</v>
      </c>
    </row>
    <row r="1003" spans="1:3" x14ac:dyDescent="0.3">
      <c r="A1003" t="s">
        <v>958</v>
      </c>
      <c r="B1003" s="4" t="s">
        <v>6363</v>
      </c>
      <c r="C1003" t="s">
        <v>6348</v>
      </c>
    </row>
    <row r="1004" spans="1:3" x14ac:dyDescent="0.3">
      <c r="A1004" t="s">
        <v>958</v>
      </c>
      <c r="B1004" s="4" t="s">
        <v>6363</v>
      </c>
      <c r="C1004" t="s">
        <v>6348</v>
      </c>
    </row>
    <row r="1005" spans="1:3" x14ac:dyDescent="0.3">
      <c r="A1005" t="s">
        <v>958</v>
      </c>
      <c r="B1005" s="4" t="s">
        <v>6363</v>
      </c>
      <c r="C1005" t="s">
        <v>6348</v>
      </c>
    </row>
    <row r="1006" spans="1:3" x14ac:dyDescent="0.3">
      <c r="A1006" t="s">
        <v>958</v>
      </c>
      <c r="B1006" s="4" t="s">
        <v>6363</v>
      </c>
      <c r="C1006" t="s">
        <v>6348</v>
      </c>
    </row>
    <row r="1007" spans="1:3" x14ac:dyDescent="0.3">
      <c r="A1007" t="s">
        <v>958</v>
      </c>
      <c r="B1007" s="4" t="s">
        <v>6363</v>
      </c>
      <c r="C1007" t="s">
        <v>6348</v>
      </c>
    </row>
    <row r="1008" spans="1:3" x14ac:dyDescent="0.3">
      <c r="A1008" t="s">
        <v>958</v>
      </c>
      <c r="B1008" s="4" t="s">
        <v>6363</v>
      </c>
      <c r="C1008" t="s">
        <v>6348</v>
      </c>
    </row>
    <row r="1009" spans="1:3" x14ac:dyDescent="0.3">
      <c r="A1009" t="s">
        <v>958</v>
      </c>
      <c r="B1009" s="4" t="s">
        <v>6363</v>
      </c>
      <c r="C1009" t="s">
        <v>6345</v>
      </c>
    </row>
    <row r="1010" spans="1:3" x14ac:dyDescent="0.3">
      <c r="A1010" t="s">
        <v>958</v>
      </c>
      <c r="B1010" s="4" t="s">
        <v>6363</v>
      </c>
      <c r="C1010" t="s">
        <v>6345</v>
      </c>
    </row>
    <row r="1011" spans="1:3" x14ac:dyDescent="0.3">
      <c r="A1011" t="s">
        <v>958</v>
      </c>
      <c r="B1011" s="4" t="s">
        <v>6363</v>
      </c>
      <c r="C1011" t="s">
        <v>6345</v>
      </c>
    </row>
    <row r="1012" spans="1:3" x14ac:dyDescent="0.3">
      <c r="A1012" t="s">
        <v>958</v>
      </c>
      <c r="B1012" s="4" t="s">
        <v>6363</v>
      </c>
      <c r="C1012" t="s">
        <v>6345</v>
      </c>
    </row>
    <row r="1013" spans="1:3" x14ac:dyDescent="0.3">
      <c r="A1013" t="s">
        <v>958</v>
      </c>
      <c r="B1013" s="4" t="s">
        <v>6363</v>
      </c>
      <c r="C1013" t="s">
        <v>6345</v>
      </c>
    </row>
    <row r="1014" spans="1:3" x14ac:dyDescent="0.3">
      <c r="A1014" t="s">
        <v>958</v>
      </c>
      <c r="B1014" s="4" t="s">
        <v>6363</v>
      </c>
      <c r="C1014" t="s">
        <v>6339</v>
      </c>
    </row>
    <row r="1015" spans="1:3" x14ac:dyDescent="0.3">
      <c r="A1015" t="s">
        <v>958</v>
      </c>
      <c r="B1015" s="4" t="s">
        <v>6363</v>
      </c>
      <c r="C1015" t="s">
        <v>6339</v>
      </c>
    </row>
    <row r="1016" spans="1:3" x14ac:dyDescent="0.3">
      <c r="A1016" t="s">
        <v>958</v>
      </c>
      <c r="B1016" s="4" t="s">
        <v>6363</v>
      </c>
      <c r="C1016" t="s">
        <v>958</v>
      </c>
    </row>
    <row r="1017" spans="1:3" x14ac:dyDescent="0.3">
      <c r="A1017" t="s">
        <v>958</v>
      </c>
      <c r="B1017" s="4" t="s">
        <v>6363</v>
      </c>
      <c r="C1017" t="s">
        <v>958</v>
      </c>
    </row>
    <row r="1018" spans="1:3" x14ac:dyDescent="0.3">
      <c r="A1018" t="s">
        <v>958</v>
      </c>
      <c r="B1018" s="4" t="s">
        <v>6363</v>
      </c>
      <c r="C1018" t="s">
        <v>6345</v>
      </c>
    </row>
    <row r="1019" spans="1:3" x14ac:dyDescent="0.3">
      <c r="A1019" t="s">
        <v>958</v>
      </c>
      <c r="B1019" s="4" t="s">
        <v>6363</v>
      </c>
      <c r="C1019" t="s">
        <v>6345</v>
      </c>
    </row>
    <row r="1020" spans="1:3" x14ac:dyDescent="0.3">
      <c r="A1020" t="s">
        <v>958</v>
      </c>
      <c r="B1020" s="4" t="s">
        <v>6363</v>
      </c>
      <c r="C1020" t="s">
        <v>6345</v>
      </c>
    </row>
    <row r="1021" spans="1:3" x14ac:dyDescent="0.3">
      <c r="A1021" t="s">
        <v>958</v>
      </c>
      <c r="B1021" s="4" t="s">
        <v>6363</v>
      </c>
      <c r="C1021" t="s">
        <v>6345</v>
      </c>
    </row>
    <row r="1022" spans="1:3" x14ac:dyDescent="0.3">
      <c r="A1022" t="s">
        <v>958</v>
      </c>
      <c r="B1022" s="4" t="s">
        <v>6363</v>
      </c>
      <c r="C1022" t="s">
        <v>6345</v>
      </c>
    </row>
    <row r="1023" spans="1:3" x14ac:dyDescent="0.3">
      <c r="A1023" t="s">
        <v>958</v>
      </c>
      <c r="B1023" s="4" t="s">
        <v>6363</v>
      </c>
      <c r="C1023" t="s">
        <v>958</v>
      </c>
    </row>
    <row r="1024" spans="1:3" x14ac:dyDescent="0.3">
      <c r="A1024" t="s">
        <v>958</v>
      </c>
      <c r="B1024" s="4" t="s">
        <v>6363</v>
      </c>
      <c r="C1024" t="s">
        <v>958</v>
      </c>
    </row>
    <row r="1025" spans="1:3" x14ac:dyDescent="0.3">
      <c r="A1025" t="s">
        <v>958</v>
      </c>
      <c r="B1025" s="4" t="s">
        <v>6363</v>
      </c>
      <c r="C1025" t="s">
        <v>958</v>
      </c>
    </row>
    <row r="1026" spans="1:3" x14ac:dyDescent="0.3">
      <c r="A1026" t="s">
        <v>958</v>
      </c>
      <c r="B1026" s="4" t="s">
        <v>6363</v>
      </c>
      <c r="C1026" t="s">
        <v>958</v>
      </c>
    </row>
    <row r="1027" spans="1:3" x14ac:dyDescent="0.3">
      <c r="A1027" t="s">
        <v>958</v>
      </c>
      <c r="B1027" s="4" t="s">
        <v>6363</v>
      </c>
      <c r="C1027" t="s">
        <v>958</v>
      </c>
    </row>
    <row r="1028" spans="1:3" x14ac:dyDescent="0.3">
      <c r="A1028" t="s">
        <v>958</v>
      </c>
      <c r="B1028" s="4" t="s">
        <v>6363</v>
      </c>
      <c r="C1028" t="s">
        <v>6348</v>
      </c>
    </row>
    <row r="1029" spans="1:3" x14ac:dyDescent="0.3">
      <c r="A1029" t="s">
        <v>958</v>
      </c>
      <c r="B1029" s="4" t="s">
        <v>6363</v>
      </c>
      <c r="C1029" t="s">
        <v>6348</v>
      </c>
    </row>
    <row r="1030" spans="1:3" x14ac:dyDescent="0.3">
      <c r="A1030" t="s">
        <v>958</v>
      </c>
      <c r="B1030" s="4" t="s">
        <v>6363</v>
      </c>
      <c r="C1030" t="s">
        <v>6345</v>
      </c>
    </row>
    <row r="1031" spans="1:3" x14ac:dyDescent="0.3">
      <c r="A1031" t="s">
        <v>958</v>
      </c>
      <c r="B1031" s="4" t="s">
        <v>6363</v>
      </c>
      <c r="C1031" t="s">
        <v>958</v>
      </c>
    </row>
    <row r="1032" spans="1:3" x14ac:dyDescent="0.3">
      <c r="A1032" t="s">
        <v>958</v>
      </c>
      <c r="B1032" s="4" t="s">
        <v>6363</v>
      </c>
      <c r="C1032" t="s">
        <v>6345</v>
      </c>
    </row>
    <row r="1033" spans="1:3" x14ac:dyDescent="0.3">
      <c r="A1033" t="s">
        <v>958</v>
      </c>
      <c r="B1033" s="4" t="s">
        <v>6363</v>
      </c>
      <c r="C1033" t="s">
        <v>958</v>
      </c>
    </row>
    <row r="1034" spans="1:3" x14ac:dyDescent="0.3">
      <c r="A1034" t="s">
        <v>958</v>
      </c>
      <c r="B1034" s="4" t="s">
        <v>6363</v>
      </c>
      <c r="C1034" t="s">
        <v>958</v>
      </c>
    </row>
    <row r="1035" spans="1:3" x14ac:dyDescent="0.3">
      <c r="A1035" t="s">
        <v>958</v>
      </c>
      <c r="B1035" s="4" t="s">
        <v>6363</v>
      </c>
      <c r="C1035" t="s">
        <v>958</v>
      </c>
    </row>
    <row r="1036" spans="1:3" x14ac:dyDescent="0.3">
      <c r="A1036" t="s">
        <v>958</v>
      </c>
      <c r="B1036" s="4" t="s">
        <v>6363</v>
      </c>
      <c r="C1036" t="s">
        <v>958</v>
      </c>
    </row>
    <row r="1037" spans="1:3" x14ac:dyDescent="0.3">
      <c r="A1037" t="s">
        <v>958</v>
      </c>
      <c r="B1037" s="4" t="s">
        <v>6363</v>
      </c>
      <c r="C1037" t="s">
        <v>6345</v>
      </c>
    </row>
    <row r="1038" spans="1:3" x14ac:dyDescent="0.3">
      <c r="A1038" t="s">
        <v>958</v>
      </c>
      <c r="B1038" s="4" t="s">
        <v>6363</v>
      </c>
      <c r="C1038" t="s">
        <v>958</v>
      </c>
    </row>
    <row r="1039" spans="1:3" x14ac:dyDescent="0.3">
      <c r="A1039" t="s">
        <v>958</v>
      </c>
      <c r="B1039" s="4" t="s">
        <v>6363</v>
      </c>
      <c r="C1039" t="s">
        <v>6348</v>
      </c>
    </row>
    <row r="1040" spans="1:3" x14ac:dyDescent="0.3">
      <c r="A1040" t="s">
        <v>958</v>
      </c>
      <c r="B1040" s="4" t="s">
        <v>6363</v>
      </c>
      <c r="C1040" t="s">
        <v>6348</v>
      </c>
    </row>
    <row r="1041" spans="1:3" x14ac:dyDescent="0.3">
      <c r="A1041" t="s">
        <v>958</v>
      </c>
      <c r="B1041" s="4" t="s">
        <v>6363</v>
      </c>
      <c r="C1041" t="s">
        <v>6348</v>
      </c>
    </row>
    <row r="1042" spans="1:3" x14ac:dyDescent="0.3">
      <c r="A1042" t="s">
        <v>958</v>
      </c>
      <c r="B1042" s="4" t="s">
        <v>6363</v>
      </c>
      <c r="C1042" t="s">
        <v>958</v>
      </c>
    </row>
    <row r="1043" spans="1:3" x14ac:dyDescent="0.3">
      <c r="A1043" t="s">
        <v>958</v>
      </c>
      <c r="B1043" s="4" t="s">
        <v>6363</v>
      </c>
      <c r="C1043" t="s">
        <v>958</v>
      </c>
    </row>
    <row r="1044" spans="1:3" x14ac:dyDescent="0.3">
      <c r="A1044" t="s">
        <v>958</v>
      </c>
      <c r="B1044" s="4" t="s">
        <v>6363</v>
      </c>
      <c r="C1044" t="s">
        <v>958</v>
      </c>
    </row>
    <row r="1045" spans="1:3" x14ac:dyDescent="0.3">
      <c r="A1045" t="s">
        <v>958</v>
      </c>
      <c r="B1045" s="4" t="s">
        <v>6363</v>
      </c>
      <c r="C1045" t="s">
        <v>958</v>
      </c>
    </row>
    <row r="1046" spans="1:3" x14ac:dyDescent="0.3">
      <c r="A1046" t="s">
        <v>958</v>
      </c>
      <c r="B1046" s="4" t="s">
        <v>6363</v>
      </c>
      <c r="C1046" t="s">
        <v>958</v>
      </c>
    </row>
    <row r="1047" spans="1:3" x14ac:dyDescent="0.3">
      <c r="A1047" t="s">
        <v>958</v>
      </c>
      <c r="B1047" s="4" t="s">
        <v>6363</v>
      </c>
      <c r="C1047" t="s">
        <v>6345</v>
      </c>
    </row>
    <row r="1048" spans="1:3" x14ac:dyDescent="0.3">
      <c r="A1048" t="s">
        <v>958</v>
      </c>
      <c r="B1048" s="4" t="s">
        <v>6363</v>
      </c>
      <c r="C1048" t="s">
        <v>6345</v>
      </c>
    </row>
    <row r="1049" spans="1:3" x14ac:dyDescent="0.3">
      <c r="A1049" t="s">
        <v>958</v>
      </c>
      <c r="B1049" s="4" t="s">
        <v>6363</v>
      </c>
      <c r="C1049" t="s">
        <v>6345</v>
      </c>
    </row>
    <row r="1050" spans="1:3" x14ac:dyDescent="0.3">
      <c r="A1050" t="s">
        <v>958</v>
      </c>
      <c r="B1050" s="4" t="s">
        <v>6363</v>
      </c>
      <c r="C1050" t="s">
        <v>6339</v>
      </c>
    </row>
    <row r="1051" spans="1:3" x14ac:dyDescent="0.3">
      <c r="A1051" t="s">
        <v>958</v>
      </c>
      <c r="B1051" s="4" t="s">
        <v>6363</v>
      </c>
      <c r="C1051" t="s">
        <v>6339</v>
      </c>
    </row>
    <row r="1052" spans="1:3" x14ac:dyDescent="0.3">
      <c r="A1052" t="s">
        <v>958</v>
      </c>
      <c r="B1052" s="4" t="s">
        <v>6363</v>
      </c>
      <c r="C1052" t="s">
        <v>6339</v>
      </c>
    </row>
    <row r="1053" spans="1:3" x14ac:dyDescent="0.3">
      <c r="A1053" t="s">
        <v>958</v>
      </c>
      <c r="B1053" s="4" t="s">
        <v>6363</v>
      </c>
      <c r="C1053" t="s">
        <v>6339</v>
      </c>
    </row>
    <row r="1054" spans="1:3" x14ac:dyDescent="0.3">
      <c r="A1054" t="s">
        <v>958</v>
      </c>
      <c r="B1054" s="4" t="s">
        <v>6363</v>
      </c>
      <c r="C1054" t="s">
        <v>6339</v>
      </c>
    </row>
    <row r="1055" spans="1:3" x14ac:dyDescent="0.3">
      <c r="A1055" t="s">
        <v>958</v>
      </c>
      <c r="B1055" s="4" t="s">
        <v>6363</v>
      </c>
      <c r="C1055" t="s">
        <v>6339</v>
      </c>
    </row>
    <row r="1056" spans="1:3" x14ac:dyDescent="0.3">
      <c r="A1056" t="s">
        <v>958</v>
      </c>
      <c r="B1056" s="4" t="s">
        <v>6363</v>
      </c>
      <c r="C1056" t="s">
        <v>6339</v>
      </c>
    </row>
    <row r="1057" spans="1:3" x14ac:dyDescent="0.3">
      <c r="A1057" t="s">
        <v>958</v>
      </c>
      <c r="B1057" s="4" t="s">
        <v>6363</v>
      </c>
      <c r="C1057" t="s">
        <v>6339</v>
      </c>
    </row>
    <row r="1058" spans="1:3" x14ac:dyDescent="0.3">
      <c r="A1058" t="s">
        <v>958</v>
      </c>
      <c r="B1058" s="4" t="s">
        <v>6363</v>
      </c>
      <c r="C1058" t="s">
        <v>958</v>
      </c>
    </row>
    <row r="1059" spans="1:3" x14ac:dyDescent="0.3">
      <c r="A1059" t="s">
        <v>958</v>
      </c>
      <c r="B1059" s="4" t="s">
        <v>6363</v>
      </c>
      <c r="C1059" t="s">
        <v>958</v>
      </c>
    </row>
    <row r="1060" spans="1:3" x14ac:dyDescent="0.3">
      <c r="A1060" t="s">
        <v>958</v>
      </c>
      <c r="B1060" s="4" t="s">
        <v>6363</v>
      </c>
      <c r="C1060" t="s">
        <v>958</v>
      </c>
    </row>
    <row r="1061" spans="1:3" x14ac:dyDescent="0.3">
      <c r="A1061" t="s">
        <v>958</v>
      </c>
      <c r="B1061" s="4" t="s">
        <v>6363</v>
      </c>
      <c r="C1061" t="s">
        <v>958</v>
      </c>
    </row>
    <row r="1062" spans="1:3" x14ac:dyDescent="0.3">
      <c r="A1062" t="s">
        <v>958</v>
      </c>
      <c r="B1062" s="4" t="s">
        <v>6363</v>
      </c>
      <c r="C1062" t="s">
        <v>958</v>
      </c>
    </row>
    <row r="1063" spans="1:3" x14ac:dyDescent="0.3">
      <c r="A1063" t="s">
        <v>958</v>
      </c>
      <c r="B1063" s="4" t="s">
        <v>6363</v>
      </c>
      <c r="C1063" t="s">
        <v>958</v>
      </c>
    </row>
    <row r="1064" spans="1:3" x14ac:dyDescent="0.3">
      <c r="A1064" t="s">
        <v>958</v>
      </c>
      <c r="B1064" s="4" t="s">
        <v>6363</v>
      </c>
      <c r="C1064" t="s">
        <v>958</v>
      </c>
    </row>
    <row r="1065" spans="1:3" x14ac:dyDescent="0.3">
      <c r="A1065" t="s">
        <v>958</v>
      </c>
      <c r="B1065" s="4" t="s">
        <v>6363</v>
      </c>
      <c r="C1065" t="s">
        <v>958</v>
      </c>
    </row>
    <row r="1066" spans="1:3" x14ac:dyDescent="0.3">
      <c r="A1066" t="s">
        <v>958</v>
      </c>
      <c r="B1066" s="4" t="s">
        <v>6363</v>
      </c>
      <c r="C1066" t="s">
        <v>958</v>
      </c>
    </row>
    <row r="1067" spans="1:3" x14ac:dyDescent="0.3">
      <c r="A1067" t="s">
        <v>958</v>
      </c>
      <c r="B1067" s="4" t="s">
        <v>6363</v>
      </c>
      <c r="C1067" t="s">
        <v>958</v>
      </c>
    </row>
    <row r="1068" spans="1:3" x14ac:dyDescent="0.3">
      <c r="A1068" t="s">
        <v>958</v>
      </c>
      <c r="B1068" s="4" t="s">
        <v>6363</v>
      </c>
      <c r="C1068" t="s">
        <v>958</v>
      </c>
    </row>
    <row r="1069" spans="1:3" x14ac:dyDescent="0.3">
      <c r="A1069" t="s">
        <v>958</v>
      </c>
      <c r="B1069" s="4" t="s">
        <v>6363</v>
      </c>
      <c r="C1069" t="s">
        <v>958</v>
      </c>
    </row>
    <row r="1070" spans="1:3" x14ac:dyDescent="0.3">
      <c r="A1070" t="s">
        <v>958</v>
      </c>
      <c r="B1070" s="4" t="s">
        <v>6363</v>
      </c>
      <c r="C1070" t="s">
        <v>958</v>
      </c>
    </row>
    <row r="1071" spans="1:3" x14ac:dyDescent="0.3">
      <c r="A1071" t="s">
        <v>958</v>
      </c>
      <c r="B1071" s="4" t="s">
        <v>6363</v>
      </c>
      <c r="C1071" t="s">
        <v>958</v>
      </c>
    </row>
    <row r="1072" spans="1:3" x14ac:dyDescent="0.3">
      <c r="A1072" t="s">
        <v>958</v>
      </c>
      <c r="B1072" s="4" t="s">
        <v>6363</v>
      </c>
      <c r="C1072" t="s">
        <v>958</v>
      </c>
    </row>
    <row r="1073" spans="1:3" x14ac:dyDescent="0.3">
      <c r="A1073" t="s">
        <v>958</v>
      </c>
      <c r="B1073" s="4" t="s">
        <v>6363</v>
      </c>
      <c r="C1073" t="s">
        <v>6345</v>
      </c>
    </row>
    <row r="1074" spans="1:3" x14ac:dyDescent="0.3">
      <c r="A1074" t="s">
        <v>958</v>
      </c>
      <c r="B1074" s="4" t="s">
        <v>6363</v>
      </c>
      <c r="C1074" t="s">
        <v>6345</v>
      </c>
    </row>
    <row r="1075" spans="1:3" x14ac:dyDescent="0.3">
      <c r="A1075" t="s">
        <v>958</v>
      </c>
      <c r="B1075" s="4" t="s">
        <v>6363</v>
      </c>
      <c r="C1075" t="s">
        <v>6345</v>
      </c>
    </row>
    <row r="1076" spans="1:3" x14ac:dyDescent="0.3">
      <c r="A1076" t="s">
        <v>958</v>
      </c>
      <c r="B1076" s="4" t="s">
        <v>6363</v>
      </c>
      <c r="C1076" t="s">
        <v>6339</v>
      </c>
    </row>
    <row r="1077" spans="1:3" x14ac:dyDescent="0.3">
      <c r="A1077" t="s">
        <v>958</v>
      </c>
      <c r="B1077" s="4" t="s">
        <v>6363</v>
      </c>
      <c r="C1077" t="s">
        <v>6339</v>
      </c>
    </row>
    <row r="1078" spans="1:3" x14ac:dyDescent="0.3">
      <c r="A1078" t="s">
        <v>958</v>
      </c>
      <c r="B1078" s="4" t="s">
        <v>6363</v>
      </c>
      <c r="C1078" t="s">
        <v>6339</v>
      </c>
    </row>
    <row r="1079" spans="1:3" x14ac:dyDescent="0.3">
      <c r="A1079" t="s">
        <v>958</v>
      </c>
      <c r="B1079" s="4" t="s">
        <v>6363</v>
      </c>
      <c r="C1079" t="s">
        <v>6348</v>
      </c>
    </row>
    <row r="1080" spans="1:3" x14ac:dyDescent="0.3">
      <c r="A1080" t="s">
        <v>958</v>
      </c>
      <c r="B1080" s="4" t="s">
        <v>6363</v>
      </c>
      <c r="C1080" t="s">
        <v>958</v>
      </c>
    </row>
    <row r="1081" spans="1:3" x14ac:dyDescent="0.3">
      <c r="A1081" t="s">
        <v>958</v>
      </c>
      <c r="B1081" s="4" t="s">
        <v>6363</v>
      </c>
      <c r="C1081" t="s">
        <v>958</v>
      </c>
    </row>
    <row r="1082" spans="1:3" x14ac:dyDescent="0.3">
      <c r="A1082" t="s">
        <v>958</v>
      </c>
      <c r="B1082" s="4" t="s">
        <v>6363</v>
      </c>
      <c r="C1082" t="s">
        <v>958</v>
      </c>
    </row>
    <row r="1083" spans="1:3" x14ac:dyDescent="0.3">
      <c r="A1083" t="s">
        <v>958</v>
      </c>
      <c r="B1083" s="4" t="s">
        <v>6363</v>
      </c>
      <c r="C1083" t="s">
        <v>958</v>
      </c>
    </row>
    <row r="1084" spans="1:3" x14ac:dyDescent="0.3">
      <c r="A1084" t="s">
        <v>958</v>
      </c>
      <c r="B1084" s="4" t="s">
        <v>6363</v>
      </c>
      <c r="C1084" t="s">
        <v>958</v>
      </c>
    </row>
    <row r="1085" spans="1:3" x14ac:dyDescent="0.3">
      <c r="A1085" t="s">
        <v>958</v>
      </c>
      <c r="B1085" s="4" t="s">
        <v>6363</v>
      </c>
      <c r="C1085" t="s">
        <v>958</v>
      </c>
    </row>
    <row r="1086" spans="1:3" x14ac:dyDescent="0.3">
      <c r="A1086" t="s">
        <v>958</v>
      </c>
      <c r="B1086" s="4" t="s">
        <v>6363</v>
      </c>
      <c r="C1086" t="s">
        <v>958</v>
      </c>
    </row>
    <row r="1087" spans="1:3" x14ac:dyDescent="0.3">
      <c r="A1087" t="s">
        <v>958</v>
      </c>
      <c r="B1087" s="4" t="s">
        <v>6363</v>
      </c>
      <c r="C1087" t="s">
        <v>958</v>
      </c>
    </row>
    <row r="1088" spans="1:3" x14ac:dyDescent="0.3">
      <c r="A1088" t="s">
        <v>958</v>
      </c>
      <c r="B1088" s="4" t="s">
        <v>6363</v>
      </c>
      <c r="C1088" t="s">
        <v>958</v>
      </c>
    </row>
    <row r="1089" spans="1:3" x14ac:dyDescent="0.3">
      <c r="A1089" t="s">
        <v>958</v>
      </c>
      <c r="B1089" s="4" t="s">
        <v>6363</v>
      </c>
      <c r="C1089" t="s">
        <v>958</v>
      </c>
    </row>
    <row r="1090" spans="1:3" x14ac:dyDescent="0.3">
      <c r="A1090" t="s">
        <v>958</v>
      </c>
      <c r="B1090" s="4" t="s">
        <v>6363</v>
      </c>
      <c r="C1090" t="s">
        <v>958</v>
      </c>
    </row>
    <row r="1091" spans="1:3" x14ac:dyDescent="0.3">
      <c r="A1091" t="s">
        <v>958</v>
      </c>
      <c r="B1091" s="4" t="s">
        <v>6363</v>
      </c>
      <c r="C1091" t="s">
        <v>958</v>
      </c>
    </row>
    <row r="1092" spans="1:3" x14ac:dyDescent="0.3">
      <c r="A1092" t="s">
        <v>958</v>
      </c>
      <c r="B1092" s="4" t="s">
        <v>6363</v>
      </c>
      <c r="C1092" t="s">
        <v>958</v>
      </c>
    </row>
    <row r="1093" spans="1:3" x14ac:dyDescent="0.3">
      <c r="A1093" t="s">
        <v>958</v>
      </c>
      <c r="B1093" s="4" t="s">
        <v>6363</v>
      </c>
      <c r="C1093" t="s">
        <v>6345</v>
      </c>
    </row>
    <row r="1094" spans="1:3" x14ac:dyDescent="0.3">
      <c r="A1094" t="s">
        <v>958</v>
      </c>
      <c r="B1094" s="4" t="s">
        <v>6363</v>
      </c>
      <c r="C1094" t="s">
        <v>6345</v>
      </c>
    </row>
    <row r="1095" spans="1:3" x14ac:dyDescent="0.3">
      <c r="A1095" t="s">
        <v>958</v>
      </c>
      <c r="B1095" s="4" t="s">
        <v>6363</v>
      </c>
      <c r="C1095" t="s">
        <v>6345</v>
      </c>
    </row>
    <row r="1096" spans="1:3" x14ac:dyDescent="0.3">
      <c r="A1096" t="s">
        <v>958</v>
      </c>
      <c r="B1096" s="4" t="s">
        <v>6363</v>
      </c>
      <c r="C1096" t="s">
        <v>6345</v>
      </c>
    </row>
    <row r="1097" spans="1:3" x14ac:dyDescent="0.3">
      <c r="A1097" t="s">
        <v>958</v>
      </c>
      <c r="B1097" s="4" t="s">
        <v>6363</v>
      </c>
      <c r="C1097" t="s">
        <v>6345</v>
      </c>
    </row>
    <row r="1098" spans="1:3" x14ac:dyDescent="0.3">
      <c r="A1098" t="s">
        <v>958</v>
      </c>
      <c r="B1098" s="4" t="s">
        <v>6363</v>
      </c>
      <c r="C1098" t="s">
        <v>6345</v>
      </c>
    </row>
    <row r="1099" spans="1:3" x14ac:dyDescent="0.3">
      <c r="A1099" t="s">
        <v>958</v>
      </c>
      <c r="B1099" s="4" t="s">
        <v>6363</v>
      </c>
      <c r="C1099" t="s">
        <v>6345</v>
      </c>
    </row>
    <row r="1100" spans="1:3" x14ac:dyDescent="0.3">
      <c r="A1100" t="s">
        <v>958</v>
      </c>
      <c r="B1100" s="4" t="s">
        <v>6363</v>
      </c>
      <c r="C1100" t="s">
        <v>6345</v>
      </c>
    </row>
    <row r="1101" spans="1:3" x14ac:dyDescent="0.3">
      <c r="A1101" t="s">
        <v>958</v>
      </c>
      <c r="B1101" s="4" t="s">
        <v>6363</v>
      </c>
      <c r="C1101" t="s">
        <v>6345</v>
      </c>
    </row>
    <row r="1102" spans="1:3" x14ac:dyDescent="0.3">
      <c r="A1102" t="s">
        <v>958</v>
      </c>
      <c r="B1102" s="4" t="s">
        <v>6363</v>
      </c>
      <c r="C1102" t="s">
        <v>6345</v>
      </c>
    </row>
    <row r="1103" spans="1:3" x14ac:dyDescent="0.3">
      <c r="A1103" t="s">
        <v>958</v>
      </c>
      <c r="B1103" s="4" t="s">
        <v>6363</v>
      </c>
      <c r="C1103" t="s">
        <v>6345</v>
      </c>
    </row>
    <row r="1104" spans="1:3" x14ac:dyDescent="0.3">
      <c r="A1104" t="s">
        <v>958</v>
      </c>
      <c r="B1104" s="4" t="s">
        <v>6363</v>
      </c>
      <c r="C1104" t="s">
        <v>6345</v>
      </c>
    </row>
    <row r="1105" spans="1:3" x14ac:dyDescent="0.3">
      <c r="A1105" t="s">
        <v>958</v>
      </c>
      <c r="B1105" s="4" t="s">
        <v>6363</v>
      </c>
      <c r="C1105" t="s">
        <v>6345</v>
      </c>
    </row>
    <row r="1106" spans="1:3" x14ac:dyDescent="0.3">
      <c r="A1106" t="s">
        <v>958</v>
      </c>
      <c r="B1106" s="4" t="s">
        <v>6363</v>
      </c>
      <c r="C1106" t="s">
        <v>6345</v>
      </c>
    </row>
    <row r="1107" spans="1:3" x14ac:dyDescent="0.3">
      <c r="A1107" t="s">
        <v>958</v>
      </c>
      <c r="B1107" s="4" t="s">
        <v>6363</v>
      </c>
      <c r="C1107" t="s">
        <v>6339</v>
      </c>
    </row>
    <row r="1108" spans="1:3" x14ac:dyDescent="0.3">
      <c r="A1108" t="s">
        <v>958</v>
      </c>
      <c r="B1108" s="4" t="s">
        <v>6363</v>
      </c>
      <c r="C1108" t="s">
        <v>958</v>
      </c>
    </row>
    <row r="1109" spans="1:3" x14ac:dyDescent="0.3">
      <c r="A1109" t="s">
        <v>958</v>
      </c>
      <c r="B1109" s="4" t="s">
        <v>6363</v>
      </c>
      <c r="C1109" t="s">
        <v>958</v>
      </c>
    </row>
    <row r="1110" spans="1:3" x14ac:dyDescent="0.3">
      <c r="A1110" t="s">
        <v>958</v>
      </c>
      <c r="B1110" s="4" t="s">
        <v>6363</v>
      </c>
      <c r="C1110" t="s">
        <v>958</v>
      </c>
    </row>
    <row r="1111" spans="1:3" x14ac:dyDescent="0.3">
      <c r="A1111" t="s">
        <v>958</v>
      </c>
      <c r="B1111" s="4" t="s">
        <v>6363</v>
      </c>
      <c r="C1111" t="s">
        <v>6345</v>
      </c>
    </row>
    <row r="1112" spans="1:3" x14ac:dyDescent="0.3">
      <c r="A1112" t="s">
        <v>958</v>
      </c>
      <c r="B1112" s="4" t="s">
        <v>6364</v>
      </c>
      <c r="C1112" t="s">
        <v>6339</v>
      </c>
    </row>
    <row r="1113" spans="1:3" x14ac:dyDescent="0.3">
      <c r="A1113" t="s">
        <v>958</v>
      </c>
      <c r="B1113" s="4" t="s">
        <v>6364</v>
      </c>
      <c r="C1113" t="s">
        <v>6339</v>
      </c>
    </row>
    <row r="1114" spans="1:3" x14ac:dyDescent="0.3">
      <c r="A1114" t="s">
        <v>958</v>
      </c>
      <c r="B1114" s="4" t="s">
        <v>6364</v>
      </c>
      <c r="C1114" t="s">
        <v>6339</v>
      </c>
    </row>
    <row r="1115" spans="1:3" x14ac:dyDescent="0.3">
      <c r="A1115" t="s">
        <v>958</v>
      </c>
      <c r="B1115" s="4" t="s">
        <v>6364</v>
      </c>
      <c r="C1115" t="s">
        <v>6339</v>
      </c>
    </row>
    <row r="1116" spans="1:3" x14ac:dyDescent="0.3">
      <c r="A1116" t="s">
        <v>958</v>
      </c>
      <c r="B1116" s="4" t="s">
        <v>6364</v>
      </c>
      <c r="C1116" t="s">
        <v>6339</v>
      </c>
    </row>
    <row r="1117" spans="1:3" x14ac:dyDescent="0.3">
      <c r="A1117" t="s">
        <v>958</v>
      </c>
      <c r="B1117" s="4" t="s">
        <v>6364</v>
      </c>
      <c r="C1117" t="s">
        <v>6339</v>
      </c>
    </row>
    <row r="1118" spans="1:3" x14ac:dyDescent="0.3">
      <c r="A1118" t="s">
        <v>958</v>
      </c>
      <c r="B1118" s="4" t="s">
        <v>6364</v>
      </c>
      <c r="C1118" t="s">
        <v>6339</v>
      </c>
    </row>
    <row r="1119" spans="1:3" x14ac:dyDescent="0.3">
      <c r="A1119" t="s">
        <v>958</v>
      </c>
      <c r="B1119" s="4" t="s">
        <v>6364</v>
      </c>
      <c r="C1119" t="s">
        <v>6339</v>
      </c>
    </row>
    <row r="1120" spans="1:3" x14ac:dyDescent="0.3">
      <c r="A1120" t="s">
        <v>958</v>
      </c>
      <c r="B1120" s="4" t="s">
        <v>6364</v>
      </c>
      <c r="C1120" t="s">
        <v>6339</v>
      </c>
    </row>
    <row r="1121" spans="1:3" x14ac:dyDescent="0.3">
      <c r="A1121" t="s">
        <v>958</v>
      </c>
      <c r="B1121" s="4" t="s">
        <v>6364</v>
      </c>
      <c r="C1121" t="s">
        <v>6339</v>
      </c>
    </row>
    <row r="1122" spans="1:3" x14ac:dyDescent="0.3">
      <c r="A1122" t="s">
        <v>958</v>
      </c>
      <c r="B1122" s="4" t="s">
        <v>6364</v>
      </c>
      <c r="C1122" t="s">
        <v>6339</v>
      </c>
    </row>
    <row r="1123" spans="1:3" x14ac:dyDescent="0.3">
      <c r="A1123" t="s">
        <v>958</v>
      </c>
      <c r="B1123" s="4" t="s">
        <v>6364</v>
      </c>
      <c r="C1123" t="s">
        <v>6348</v>
      </c>
    </row>
    <row r="1124" spans="1:3" x14ac:dyDescent="0.3">
      <c r="A1124" t="s">
        <v>958</v>
      </c>
      <c r="B1124" s="4" t="s">
        <v>6364</v>
      </c>
      <c r="C1124" t="s">
        <v>6339</v>
      </c>
    </row>
    <row r="1125" spans="1:3" x14ac:dyDescent="0.3">
      <c r="A1125" t="s">
        <v>958</v>
      </c>
      <c r="B1125" s="4" t="s">
        <v>6364</v>
      </c>
      <c r="C1125" t="s">
        <v>6339</v>
      </c>
    </row>
    <row r="1126" spans="1:3" x14ac:dyDescent="0.3">
      <c r="A1126" t="s">
        <v>958</v>
      </c>
      <c r="B1126" s="4" t="s">
        <v>6364</v>
      </c>
      <c r="C1126" t="s">
        <v>6339</v>
      </c>
    </row>
    <row r="1127" spans="1:3" x14ac:dyDescent="0.3">
      <c r="A1127" t="s">
        <v>958</v>
      </c>
      <c r="B1127" s="4" t="s">
        <v>6364</v>
      </c>
      <c r="C1127" t="s">
        <v>6339</v>
      </c>
    </row>
    <row r="1128" spans="1:3" x14ac:dyDescent="0.3">
      <c r="A1128" t="s">
        <v>958</v>
      </c>
      <c r="B1128" s="4" t="s">
        <v>6364</v>
      </c>
      <c r="C1128" t="s">
        <v>6339</v>
      </c>
    </row>
    <row r="1129" spans="1:3" x14ac:dyDescent="0.3">
      <c r="A1129" t="s">
        <v>958</v>
      </c>
      <c r="B1129" s="4" t="s">
        <v>6364</v>
      </c>
      <c r="C1129" t="s">
        <v>6339</v>
      </c>
    </row>
    <row r="1130" spans="1:3" x14ac:dyDescent="0.3">
      <c r="A1130" t="s">
        <v>958</v>
      </c>
      <c r="B1130" s="4" t="s">
        <v>6364</v>
      </c>
      <c r="C1130" t="s">
        <v>6339</v>
      </c>
    </row>
    <row r="1131" spans="1:3" x14ac:dyDescent="0.3">
      <c r="A1131" t="s">
        <v>958</v>
      </c>
      <c r="B1131" s="4" t="s">
        <v>6364</v>
      </c>
      <c r="C1131" t="s">
        <v>6339</v>
      </c>
    </row>
    <row r="1132" spans="1:3" x14ac:dyDescent="0.3">
      <c r="A1132" t="s">
        <v>958</v>
      </c>
      <c r="B1132" s="4" t="s">
        <v>6364</v>
      </c>
      <c r="C1132" t="s">
        <v>6339</v>
      </c>
    </row>
    <row r="1133" spans="1:3" x14ac:dyDescent="0.3">
      <c r="A1133" t="s">
        <v>958</v>
      </c>
      <c r="B1133" s="4" t="s">
        <v>6364</v>
      </c>
      <c r="C1133" t="s">
        <v>6339</v>
      </c>
    </row>
    <row r="1134" spans="1:3" x14ac:dyDescent="0.3">
      <c r="A1134" t="s">
        <v>958</v>
      </c>
      <c r="B1134" s="4" t="s">
        <v>6364</v>
      </c>
      <c r="C1134" t="s">
        <v>6339</v>
      </c>
    </row>
    <row r="1135" spans="1:3" x14ac:dyDescent="0.3">
      <c r="A1135" t="s">
        <v>958</v>
      </c>
      <c r="B1135" s="4" t="s">
        <v>6364</v>
      </c>
      <c r="C1135" t="s">
        <v>6339</v>
      </c>
    </row>
    <row r="1136" spans="1:3" x14ac:dyDescent="0.3">
      <c r="A1136" t="s">
        <v>958</v>
      </c>
      <c r="B1136" s="4" t="s">
        <v>6364</v>
      </c>
      <c r="C1136" t="s">
        <v>6339</v>
      </c>
    </row>
    <row r="1137" spans="1:3" x14ac:dyDescent="0.3">
      <c r="A1137" t="s">
        <v>958</v>
      </c>
      <c r="B1137" s="4" t="s">
        <v>6364</v>
      </c>
      <c r="C1137" t="s">
        <v>6339</v>
      </c>
    </row>
    <row r="1138" spans="1:3" x14ac:dyDescent="0.3">
      <c r="A1138" t="s">
        <v>958</v>
      </c>
      <c r="B1138" s="4" t="s">
        <v>6364</v>
      </c>
      <c r="C1138" t="s">
        <v>6339</v>
      </c>
    </row>
    <row r="1139" spans="1:3" x14ac:dyDescent="0.3">
      <c r="A1139" t="s">
        <v>958</v>
      </c>
      <c r="B1139" s="4" t="s">
        <v>6364</v>
      </c>
      <c r="C1139" t="s">
        <v>6339</v>
      </c>
    </row>
    <row r="1140" spans="1:3" x14ac:dyDescent="0.3">
      <c r="A1140" t="s">
        <v>958</v>
      </c>
      <c r="B1140" s="4" t="s">
        <v>6364</v>
      </c>
      <c r="C1140" t="s">
        <v>6339</v>
      </c>
    </row>
    <row r="1141" spans="1:3" x14ac:dyDescent="0.3">
      <c r="A1141" t="s">
        <v>958</v>
      </c>
      <c r="B1141" s="4" t="s">
        <v>6364</v>
      </c>
      <c r="C1141" t="s">
        <v>6339</v>
      </c>
    </row>
    <row r="1142" spans="1:3" x14ac:dyDescent="0.3">
      <c r="A1142" t="s">
        <v>958</v>
      </c>
      <c r="B1142" s="4" t="s">
        <v>6364</v>
      </c>
      <c r="C1142" t="s">
        <v>6339</v>
      </c>
    </row>
    <row r="1143" spans="1:3" x14ac:dyDescent="0.3">
      <c r="A1143" t="s">
        <v>958</v>
      </c>
      <c r="B1143" s="4" t="s">
        <v>6364</v>
      </c>
      <c r="C1143" t="s">
        <v>6339</v>
      </c>
    </row>
    <row r="1144" spans="1:3" x14ac:dyDescent="0.3">
      <c r="A1144" t="s">
        <v>958</v>
      </c>
      <c r="B1144" s="4" t="s">
        <v>6364</v>
      </c>
      <c r="C1144" t="s">
        <v>6339</v>
      </c>
    </row>
    <row r="1145" spans="1:3" x14ac:dyDescent="0.3">
      <c r="A1145" t="s">
        <v>958</v>
      </c>
      <c r="B1145" s="4" t="s">
        <v>6364</v>
      </c>
      <c r="C1145" t="s">
        <v>6339</v>
      </c>
    </row>
    <row r="1146" spans="1:3" x14ac:dyDescent="0.3">
      <c r="A1146" t="s">
        <v>958</v>
      </c>
      <c r="B1146" s="4" t="s">
        <v>6364</v>
      </c>
      <c r="C1146" t="s">
        <v>6339</v>
      </c>
    </row>
    <row r="1147" spans="1:3" x14ac:dyDescent="0.3">
      <c r="A1147" t="s">
        <v>958</v>
      </c>
      <c r="B1147" s="4" t="s">
        <v>6364</v>
      </c>
      <c r="C1147" t="s">
        <v>6339</v>
      </c>
    </row>
    <row r="1148" spans="1:3" x14ac:dyDescent="0.3">
      <c r="A1148" t="s">
        <v>958</v>
      </c>
      <c r="B1148" s="4" t="s">
        <v>6364</v>
      </c>
      <c r="C1148" t="s">
        <v>6339</v>
      </c>
    </row>
    <row r="1149" spans="1:3" x14ac:dyDescent="0.3">
      <c r="A1149" t="s">
        <v>958</v>
      </c>
      <c r="B1149" s="4" t="s">
        <v>6364</v>
      </c>
      <c r="C1149" t="s">
        <v>6348</v>
      </c>
    </row>
    <row r="1150" spans="1:3" x14ac:dyDescent="0.3">
      <c r="A1150" t="s">
        <v>958</v>
      </c>
      <c r="B1150" s="4" t="s">
        <v>6364</v>
      </c>
      <c r="C1150" t="s">
        <v>6339</v>
      </c>
    </row>
    <row r="1151" spans="1:3" x14ac:dyDescent="0.3">
      <c r="A1151" t="s">
        <v>958</v>
      </c>
      <c r="B1151" s="4" t="s">
        <v>6364</v>
      </c>
      <c r="C1151" t="s">
        <v>6339</v>
      </c>
    </row>
    <row r="1152" spans="1:3" x14ac:dyDescent="0.3">
      <c r="A1152" t="s">
        <v>958</v>
      </c>
      <c r="B1152" s="4" t="s">
        <v>6364</v>
      </c>
      <c r="C1152" t="s">
        <v>6339</v>
      </c>
    </row>
    <row r="1153" spans="1:3" x14ac:dyDescent="0.3">
      <c r="A1153" t="s">
        <v>958</v>
      </c>
      <c r="B1153" s="4" t="s">
        <v>6364</v>
      </c>
      <c r="C1153" t="s">
        <v>6339</v>
      </c>
    </row>
    <row r="1154" spans="1:3" x14ac:dyDescent="0.3">
      <c r="A1154" t="s">
        <v>958</v>
      </c>
      <c r="B1154" s="4" t="s">
        <v>6364</v>
      </c>
      <c r="C1154" t="s">
        <v>6339</v>
      </c>
    </row>
    <row r="1155" spans="1:3" x14ac:dyDescent="0.3">
      <c r="A1155" t="s">
        <v>958</v>
      </c>
      <c r="B1155" s="4" t="s">
        <v>6364</v>
      </c>
      <c r="C1155" t="s">
        <v>6339</v>
      </c>
    </row>
    <row r="1156" spans="1:3" x14ac:dyDescent="0.3">
      <c r="A1156" t="s">
        <v>958</v>
      </c>
      <c r="B1156" s="4" t="s">
        <v>6364</v>
      </c>
      <c r="C1156" t="s">
        <v>6339</v>
      </c>
    </row>
    <row r="1157" spans="1:3" x14ac:dyDescent="0.3">
      <c r="A1157" t="s">
        <v>958</v>
      </c>
      <c r="B1157" s="4" t="s">
        <v>6364</v>
      </c>
      <c r="C1157" t="s">
        <v>6339</v>
      </c>
    </row>
    <row r="1158" spans="1:3" x14ac:dyDescent="0.3">
      <c r="A1158" t="s">
        <v>958</v>
      </c>
      <c r="B1158" s="4" t="s">
        <v>6364</v>
      </c>
      <c r="C1158" t="s">
        <v>6339</v>
      </c>
    </row>
    <row r="1159" spans="1:3" x14ac:dyDescent="0.3">
      <c r="A1159" t="s">
        <v>958</v>
      </c>
      <c r="B1159" s="4" t="s">
        <v>6364</v>
      </c>
      <c r="C1159" t="s">
        <v>6339</v>
      </c>
    </row>
    <row r="1160" spans="1:3" x14ac:dyDescent="0.3">
      <c r="A1160" t="s">
        <v>958</v>
      </c>
      <c r="B1160" s="4" t="s">
        <v>6364</v>
      </c>
      <c r="C1160" t="s">
        <v>6339</v>
      </c>
    </row>
    <row r="1161" spans="1:3" x14ac:dyDescent="0.3">
      <c r="A1161" t="s">
        <v>958</v>
      </c>
      <c r="B1161" s="4" t="s">
        <v>6364</v>
      </c>
      <c r="C1161" t="s">
        <v>6339</v>
      </c>
    </row>
    <row r="1162" spans="1:3" x14ac:dyDescent="0.3">
      <c r="A1162" t="s">
        <v>958</v>
      </c>
      <c r="B1162" s="4" t="s">
        <v>6364</v>
      </c>
      <c r="C1162" t="s">
        <v>6339</v>
      </c>
    </row>
    <row r="1163" spans="1:3" x14ac:dyDescent="0.3">
      <c r="A1163" t="s">
        <v>958</v>
      </c>
      <c r="B1163" s="4" t="s">
        <v>6364</v>
      </c>
      <c r="C1163" t="s">
        <v>6339</v>
      </c>
    </row>
    <row r="1164" spans="1:3" x14ac:dyDescent="0.3">
      <c r="A1164" t="s">
        <v>958</v>
      </c>
      <c r="B1164" s="4" t="s">
        <v>6364</v>
      </c>
      <c r="C1164" t="s">
        <v>6339</v>
      </c>
    </row>
    <row r="1165" spans="1:3" x14ac:dyDescent="0.3">
      <c r="A1165" t="s">
        <v>958</v>
      </c>
      <c r="B1165" s="4" t="s">
        <v>6364</v>
      </c>
      <c r="C1165" t="s">
        <v>6339</v>
      </c>
    </row>
    <row r="1166" spans="1:3" x14ac:dyDescent="0.3">
      <c r="A1166" t="s">
        <v>958</v>
      </c>
      <c r="B1166" s="4" t="s">
        <v>6364</v>
      </c>
      <c r="C1166" t="s">
        <v>6339</v>
      </c>
    </row>
    <row r="1167" spans="1:3" x14ac:dyDescent="0.3">
      <c r="A1167" t="s">
        <v>958</v>
      </c>
      <c r="B1167" s="4" t="s">
        <v>6364</v>
      </c>
      <c r="C1167" t="s">
        <v>6339</v>
      </c>
    </row>
    <row r="1168" spans="1:3" x14ac:dyDescent="0.3">
      <c r="A1168" t="s">
        <v>958</v>
      </c>
      <c r="B1168" s="4" t="s">
        <v>6364</v>
      </c>
      <c r="C1168" t="s">
        <v>6339</v>
      </c>
    </row>
    <row r="1169" spans="1:3" x14ac:dyDescent="0.3">
      <c r="A1169" t="s">
        <v>958</v>
      </c>
      <c r="B1169" s="4" t="s">
        <v>6364</v>
      </c>
      <c r="C1169" t="s">
        <v>6339</v>
      </c>
    </row>
    <row r="1170" spans="1:3" x14ac:dyDescent="0.3">
      <c r="A1170" t="s">
        <v>958</v>
      </c>
      <c r="B1170" s="4" t="s">
        <v>6364</v>
      </c>
      <c r="C1170" t="s">
        <v>6339</v>
      </c>
    </row>
    <row r="1171" spans="1:3" x14ac:dyDescent="0.3">
      <c r="A1171" t="s">
        <v>958</v>
      </c>
      <c r="B1171" s="4" t="s">
        <v>6364</v>
      </c>
      <c r="C1171" t="s">
        <v>6339</v>
      </c>
    </row>
    <row r="1172" spans="1:3" x14ac:dyDescent="0.3">
      <c r="A1172" t="s">
        <v>958</v>
      </c>
      <c r="B1172" s="4" t="s">
        <v>6364</v>
      </c>
      <c r="C1172" t="s">
        <v>6339</v>
      </c>
    </row>
    <row r="1173" spans="1:3" x14ac:dyDescent="0.3">
      <c r="A1173" t="s">
        <v>958</v>
      </c>
      <c r="B1173" s="4" t="s">
        <v>6364</v>
      </c>
      <c r="C1173" t="s">
        <v>6339</v>
      </c>
    </row>
    <row r="1174" spans="1:3" x14ac:dyDescent="0.3">
      <c r="A1174" t="s">
        <v>958</v>
      </c>
      <c r="B1174" s="4" t="s">
        <v>6364</v>
      </c>
      <c r="C1174" t="s">
        <v>6339</v>
      </c>
    </row>
    <row r="1175" spans="1:3" x14ac:dyDescent="0.3">
      <c r="A1175" t="s">
        <v>958</v>
      </c>
      <c r="B1175" s="4" t="s">
        <v>6364</v>
      </c>
      <c r="C1175" t="s">
        <v>6339</v>
      </c>
    </row>
    <row r="1176" spans="1:3" x14ac:dyDescent="0.3">
      <c r="A1176" t="s">
        <v>958</v>
      </c>
      <c r="B1176" s="4" t="s">
        <v>6364</v>
      </c>
      <c r="C1176" t="s">
        <v>6339</v>
      </c>
    </row>
    <row r="1177" spans="1:3" x14ac:dyDescent="0.3">
      <c r="A1177" t="s">
        <v>958</v>
      </c>
      <c r="B1177" s="4" t="s">
        <v>6364</v>
      </c>
      <c r="C1177" t="s">
        <v>6339</v>
      </c>
    </row>
    <row r="1178" spans="1:3" x14ac:dyDescent="0.3">
      <c r="A1178" t="s">
        <v>958</v>
      </c>
      <c r="B1178" s="4" t="s">
        <v>6364</v>
      </c>
      <c r="C1178" t="s">
        <v>6339</v>
      </c>
    </row>
    <row r="1179" spans="1:3" x14ac:dyDescent="0.3">
      <c r="A1179" t="s">
        <v>958</v>
      </c>
      <c r="B1179" s="4" t="s">
        <v>6364</v>
      </c>
      <c r="C1179" t="s">
        <v>6339</v>
      </c>
    </row>
    <row r="1180" spans="1:3" x14ac:dyDescent="0.3">
      <c r="A1180" t="s">
        <v>958</v>
      </c>
      <c r="B1180" s="4" t="s">
        <v>6364</v>
      </c>
      <c r="C1180" t="s">
        <v>6348</v>
      </c>
    </row>
    <row r="1181" spans="1:3" x14ac:dyDescent="0.3">
      <c r="A1181" t="s">
        <v>958</v>
      </c>
      <c r="B1181" s="4" t="s">
        <v>6364</v>
      </c>
      <c r="C1181" t="s">
        <v>6348</v>
      </c>
    </row>
    <row r="1182" spans="1:3" x14ac:dyDescent="0.3">
      <c r="A1182" t="s">
        <v>958</v>
      </c>
      <c r="B1182" s="4" t="s">
        <v>6364</v>
      </c>
      <c r="C1182" t="s">
        <v>6339</v>
      </c>
    </row>
    <row r="1183" spans="1:3" x14ac:dyDescent="0.3">
      <c r="A1183" t="s">
        <v>958</v>
      </c>
      <c r="B1183" s="4" t="s">
        <v>6364</v>
      </c>
      <c r="C1183" t="s">
        <v>6339</v>
      </c>
    </row>
    <row r="1184" spans="1:3" x14ac:dyDescent="0.3">
      <c r="A1184" t="s">
        <v>958</v>
      </c>
      <c r="B1184" s="4" t="s">
        <v>6364</v>
      </c>
      <c r="C1184" t="s">
        <v>6339</v>
      </c>
    </row>
    <row r="1185" spans="1:3" x14ac:dyDescent="0.3">
      <c r="A1185" t="s">
        <v>958</v>
      </c>
      <c r="B1185" s="4" t="s">
        <v>6364</v>
      </c>
      <c r="C1185" t="s">
        <v>6339</v>
      </c>
    </row>
    <row r="1186" spans="1:3" x14ac:dyDescent="0.3">
      <c r="A1186" t="s">
        <v>6345</v>
      </c>
      <c r="B1186" s="4" t="s">
        <v>6361</v>
      </c>
      <c r="C1186" t="s">
        <v>6339</v>
      </c>
    </row>
    <row r="1187" spans="1:3" x14ac:dyDescent="0.3">
      <c r="A1187" t="s">
        <v>6345</v>
      </c>
      <c r="B1187" s="4" t="s">
        <v>6361</v>
      </c>
      <c r="C1187" t="s">
        <v>6339</v>
      </c>
    </row>
    <row r="1188" spans="1:3" x14ac:dyDescent="0.3">
      <c r="A1188" t="s">
        <v>6345</v>
      </c>
      <c r="B1188" s="4" t="s">
        <v>6361</v>
      </c>
      <c r="C1188" t="s">
        <v>6339</v>
      </c>
    </row>
    <row r="1189" spans="1:3" x14ac:dyDescent="0.3">
      <c r="A1189" t="s">
        <v>6345</v>
      </c>
      <c r="B1189" s="4" t="s">
        <v>6361</v>
      </c>
      <c r="C1189" t="s">
        <v>6339</v>
      </c>
    </row>
    <row r="1190" spans="1:3" x14ac:dyDescent="0.3">
      <c r="A1190" t="s">
        <v>6345</v>
      </c>
      <c r="B1190" s="4" t="s">
        <v>6361</v>
      </c>
      <c r="C1190" t="s">
        <v>6339</v>
      </c>
    </row>
    <row r="1191" spans="1:3" x14ac:dyDescent="0.3">
      <c r="A1191" t="s">
        <v>6345</v>
      </c>
      <c r="B1191" s="4" t="s">
        <v>6361</v>
      </c>
      <c r="C1191" t="s">
        <v>6339</v>
      </c>
    </row>
    <row r="1192" spans="1:3" x14ac:dyDescent="0.3">
      <c r="A1192" t="s">
        <v>6345</v>
      </c>
      <c r="B1192" s="4" t="s">
        <v>6361</v>
      </c>
      <c r="C1192" t="s">
        <v>6339</v>
      </c>
    </row>
    <row r="1193" spans="1:3" x14ac:dyDescent="0.3">
      <c r="A1193" t="s">
        <v>6345</v>
      </c>
      <c r="B1193" s="4" t="s">
        <v>6361</v>
      </c>
      <c r="C1193" t="s">
        <v>6339</v>
      </c>
    </row>
    <row r="1194" spans="1:3" x14ac:dyDescent="0.3">
      <c r="A1194" t="s">
        <v>6345</v>
      </c>
      <c r="B1194" s="4" t="s">
        <v>6361</v>
      </c>
      <c r="C1194" t="s">
        <v>6339</v>
      </c>
    </row>
    <row r="1195" spans="1:3" x14ac:dyDescent="0.3">
      <c r="A1195" t="s">
        <v>6345</v>
      </c>
      <c r="B1195" s="4" t="s">
        <v>6361</v>
      </c>
      <c r="C1195" t="s">
        <v>6348</v>
      </c>
    </row>
    <row r="1196" spans="1:3" x14ac:dyDescent="0.3">
      <c r="A1196" t="s">
        <v>6345</v>
      </c>
      <c r="B1196" s="4" t="s">
        <v>6361</v>
      </c>
      <c r="C1196" t="s">
        <v>6339</v>
      </c>
    </row>
    <row r="1197" spans="1:3" x14ac:dyDescent="0.3">
      <c r="A1197" t="s">
        <v>6345</v>
      </c>
      <c r="B1197" s="4" t="s">
        <v>6361</v>
      </c>
      <c r="C1197" t="s">
        <v>6339</v>
      </c>
    </row>
    <row r="1198" spans="1:3" x14ac:dyDescent="0.3">
      <c r="A1198" t="s">
        <v>6345</v>
      </c>
      <c r="B1198" s="4" t="s">
        <v>6361</v>
      </c>
      <c r="C1198" t="s">
        <v>6339</v>
      </c>
    </row>
    <row r="1199" spans="1:3" x14ac:dyDescent="0.3">
      <c r="A1199" t="s">
        <v>6345</v>
      </c>
      <c r="B1199" s="4" t="s">
        <v>6361</v>
      </c>
      <c r="C1199" t="s">
        <v>6339</v>
      </c>
    </row>
    <row r="1200" spans="1:3" x14ac:dyDescent="0.3">
      <c r="A1200" t="s">
        <v>6345</v>
      </c>
      <c r="B1200" s="4" t="s">
        <v>6361</v>
      </c>
      <c r="C1200" t="s">
        <v>6339</v>
      </c>
    </row>
    <row r="1201" spans="1:3" x14ac:dyDescent="0.3">
      <c r="A1201" t="s">
        <v>6345</v>
      </c>
      <c r="B1201" s="4" t="s">
        <v>6361</v>
      </c>
      <c r="C1201" t="s">
        <v>6339</v>
      </c>
    </row>
    <row r="1202" spans="1:3" x14ac:dyDescent="0.3">
      <c r="A1202" t="s">
        <v>6345</v>
      </c>
      <c r="B1202" s="4" t="s">
        <v>6361</v>
      </c>
      <c r="C1202" t="s">
        <v>6339</v>
      </c>
    </row>
    <row r="1203" spans="1:3" x14ac:dyDescent="0.3">
      <c r="A1203" t="s">
        <v>6345</v>
      </c>
      <c r="B1203" s="4" t="s">
        <v>6361</v>
      </c>
      <c r="C1203" t="s">
        <v>6339</v>
      </c>
    </row>
    <row r="1204" spans="1:3" x14ac:dyDescent="0.3">
      <c r="A1204" t="s">
        <v>6345</v>
      </c>
      <c r="B1204" s="4" t="s">
        <v>6361</v>
      </c>
      <c r="C1204" t="s">
        <v>6339</v>
      </c>
    </row>
    <row r="1205" spans="1:3" x14ac:dyDescent="0.3">
      <c r="A1205" t="s">
        <v>6345</v>
      </c>
      <c r="B1205" s="4" t="s">
        <v>6361</v>
      </c>
      <c r="C1205" t="s">
        <v>6339</v>
      </c>
    </row>
    <row r="1206" spans="1:3" x14ac:dyDescent="0.3">
      <c r="A1206" t="s">
        <v>6345</v>
      </c>
      <c r="B1206" s="4" t="s">
        <v>6361</v>
      </c>
      <c r="C1206" t="s">
        <v>6339</v>
      </c>
    </row>
    <row r="1207" spans="1:3" x14ac:dyDescent="0.3">
      <c r="A1207" t="s">
        <v>6345</v>
      </c>
      <c r="B1207" s="4" t="s">
        <v>6361</v>
      </c>
      <c r="C1207" t="s">
        <v>6339</v>
      </c>
    </row>
    <row r="1208" spans="1:3" x14ac:dyDescent="0.3">
      <c r="A1208" t="s">
        <v>6345</v>
      </c>
      <c r="B1208" s="4" t="s">
        <v>6361</v>
      </c>
      <c r="C1208" t="s">
        <v>6339</v>
      </c>
    </row>
    <row r="1209" spans="1:3" x14ac:dyDescent="0.3">
      <c r="A1209" t="s">
        <v>6345</v>
      </c>
      <c r="B1209" s="4" t="s">
        <v>6361</v>
      </c>
      <c r="C1209" t="s">
        <v>6339</v>
      </c>
    </row>
    <row r="1210" spans="1:3" x14ac:dyDescent="0.3">
      <c r="A1210" t="s">
        <v>6345</v>
      </c>
      <c r="B1210" s="4" t="s">
        <v>6371</v>
      </c>
      <c r="C1210" t="s">
        <v>6339</v>
      </c>
    </row>
    <row r="1211" spans="1:3" x14ac:dyDescent="0.3">
      <c r="A1211" t="s">
        <v>6345</v>
      </c>
      <c r="B1211" s="4" t="s">
        <v>6371</v>
      </c>
      <c r="C1211" t="s">
        <v>6339</v>
      </c>
    </row>
    <row r="1212" spans="1:3" x14ac:dyDescent="0.3">
      <c r="A1212" t="s">
        <v>6345</v>
      </c>
      <c r="B1212" s="4" t="s">
        <v>6357</v>
      </c>
      <c r="C1212" t="s">
        <v>6339</v>
      </c>
    </row>
    <row r="1213" spans="1:3" x14ac:dyDescent="0.3">
      <c r="A1213" t="s">
        <v>6345</v>
      </c>
      <c r="B1213" s="4" t="s">
        <v>6357</v>
      </c>
      <c r="C1213" t="s">
        <v>6339</v>
      </c>
    </row>
    <row r="1214" spans="1:3" x14ac:dyDescent="0.3">
      <c r="A1214" t="s">
        <v>6345</v>
      </c>
      <c r="B1214" s="4" t="s">
        <v>6357</v>
      </c>
      <c r="C1214" t="s">
        <v>6339</v>
      </c>
    </row>
    <row r="1215" spans="1:3" x14ac:dyDescent="0.3">
      <c r="A1215" t="s">
        <v>6345</v>
      </c>
      <c r="B1215" s="4" t="s">
        <v>6357</v>
      </c>
      <c r="C1215" t="s">
        <v>6339</v>
      </c>
    </row>
    <row r="1216" spans="1:3" x14ac:dyDescent="0.3">
      <c r="A1216" t="s">
        <v>6345</v>
      </c>
      <c r="B1216" s="4" t="s">
        <v>6357</v>
      </c>
      <c r="C1216" t="s">
        <v>6339</v>
      </c>
    </row>
    <row r="1217" spans="1:3" x14ac:dyDescent="0.3">
      <c r="A1217" t="s">
        <v>6345</v>
      </c>
      <c r="B1217" s="4" t="s">
        <v>6357</v>
      </c>
      <c r="C1217" t="s">
        <v>6339</v>
      </c>
    </row>
    <row r="1218" spans="1:3" x14ac:dyDescent="0.3">
      <c r="A1218" t="s">
        <v>6345</v>
      </c>
      <c r="B1218" s="4" t="s">
        <v>6357</v>
      </c>
      <c r="C1218" t="s">
        <v>6339</v>
      </c>
    </row>
    <row r="1219" spans="1:3" x14ac:dyDescent="0.3">
      <c r="A1219" t="s">
        <v>6345</v>
      </c>
      <c r="B1219" s="4" t="s">
        <v>6372</v>
      </c>
      <c r="C1219" t="s">
        <v>6339</v>
      </c>
    </row>
    <row r="1220" spans="1:3" x14ac:dyDescent="0.3">
      <c r="A1220" t="s">
        <v>6345</v>
      </c>
      <c r="B1220" s="4" t="s">
        <v>6372</v>
      </c>
      <c r="C1220" t="s">
        <v>6339</v>
      </c>
    </row>
    <row r="1221" spans="1:3" x14ac:dyDescent="0.3">
      <c r="A1221" t="s">
        <v>6345</v>
      </c>
      <c r="B1221" s="4" t="s">
        <v>6372</v>
      </c>
      <c r="C1221" t="s">
        <v>6339</v>
      </c>
    </row>
    <row r="1222" spans="1:3" x14ac:dyDescent="0.3">
      <c r="A1222" t="s">
        <v>6345</v>
      </c>
      <c r="B1222" s="4" t="s">
        <v>6372</v>
      </c>
      <c r="C1222" t="s">
        <v>6339</v>
      </c>
    </row>
    <row r="1223" spans="1:3" x14ac:dyDescent="0.3">
      <c r="A1223" t="s">
        <v>6345</v>
      </c>
      <c r="B1223" s="4" t="s">
        <v>6372</v>
      </c>
      <c r="C1223" t="s">
        <v>6339</v>
      </c>
    </row>
    <row r="1224" spans="1:3" x14ac:dyDescent="0.3">
      <c r="A1224" t="s">
        <v>6345</v>
      </c>
      <c r="B1224" s="4" t="s">
        <v>6372</v>
      </c>
      <c r="C1224" t="s">
        <v>6348</v>
      </c>
    </row>
    <row r="1225" spans="1:3" x14ac:dyDescent="0.3">
      <c r="A1225" t="s">
        <v>6345</v>
      </c>
      <c r="B1225" s="4" t="s">
        <v>6372</v>
      </c>
      <c r="C1225" t="s">
        <v>6339</v>
      </c>
    </row>
    <row r="1226" spans="1:3" x14ac:dyDescent="0.3">
      <c r="A1226" t="s">
        <v>6345</v>
      </c>
      <c r="B1226" s="4" t="s">
        <v>6372</v>
      </c>
      <c r="C1226" t="s">
        <v>6339</v>
      </c>
    </row>
    <row r="1227" spans="1:3" x14ac:dyDescent="0.3">
      <c r="A1227" t="s">
        <v>6345</v>
      </c>
      <c r="B1227" s="4" t="s">
        <v>6372</v>
      </c>
      <c r="C1227" t="s">
        <v>6339</v>
      </c>
    </row>
    <row r="1228" spans="1:3" x14ac:dyDescent="0.3">
      <c r="A1228" t="s">
        <v>6345</v>
      </c>
      <c r="B1228" s="4" t="s">
        <v>6372</v>
      </c>
      <c r="C1228" t="s">
        <v>6339</v>
      </c>
    </row>
    <row r="1229" spans="1:3" x14ac:dyDescent="0.3">
      <c r="A1229" t="s">
        <v>6345</v>
      </c>
      <c r="B1229" s="4" t="s">
        <v>6372</v>
      </c>
      <c r="C1229" t="s">
        <v>6339</v>
      </c>
    </row>
    <row r="1230" spans="1:3" x14ac:dyDescent="0.3">
      <c r="A1230" t="s">
        <v>6345</v>
      </c>
      <c r="B1230" s="4" t="s">
        <v>6372</v>
      </c>
      <c r="C1230" t="s">
        <v>6339</v>
      </c>
    </row>
    <row r="1231" spans="1:3" x14ac:dyDescent="0.3">
      <c r="A1231" t="s">
        <v>6345</v>
      </c>
      <c r="B1231" s="4" t="s">
        <v>6372</v>
      </c>
      <c r="C1231" t="s">
        <v>6339</v>
      </c>
    </row>
    <row r="1232" spans="1:3" x14ac:dyDescent="0.3">
      <c r="A1232" t="s">
        <v>6345</v>
      </c>
      <c r="B1232" s="4" t="s">
        <v>6362</v>
      </c>
      <c r="C1232" t="s">
        <v>958</v>
      </c>
    </row>
    <row r="1233" spans="1:3" x14ac:dyDescent="0.3">
      <c r="A1233" t="s">
        <v>6345</v>
      </c>
      <c r="B1233" s="4" t="s">
        <v>6362</v>
      </c>
      <c r="C1233" t="s">
        <v>6339</v>
      </c>
    </row>
    <row r="1234" spans="1:3" x14ac:dyDescent="0.3">
      <c r="A1234" t="s">
        <v>6345</v>
      </c>
      <c r="B1234" s="4" t="s">
        <v>6362</v>
      </c>
      <c r="C1234" t="s">
        <v>6339</v>
      </c>
    </row>
    <row r="1235" spans="1:3" x14ac:dyDescent="0.3">
      <c r="A1235" t="s">
        <v>6345</v>
      </c>
      <c r="B1235" s="4" t="s">
        <v>6362</v>
      </c>
      <c r="C1235" t="s">
        <v>6339</v>
      </c>
    </row>
    <row r="1236" spans="1:3" x14ac:dyDescent="0.3">
      <c r="A1236" t="s">
        <v>6345</v>
      </c>
      <c r="B1236" s="4" t="s">
        <v>6362</v>
      </c>
      <c r="C1236" t="s">
        <v>958</v>
      </c>
    </row>
    <row r="1237" spans="1:3" x14ac:dyDescent="0.3">
      <c r="A1237" t="s">
        <v>6345</v>
      </c>
      <c r="B1237" s="4" t="s">
        <v>6362</v>
      </c>
      <c r="C1237" t="s">
        <v>6348</v>
      </c>
    </row>
    <row r="1238" spans="1:3" x14ac:dyDescent="0.3">
      <c r="A1238" t="s">
        <v>6345</v>
      </c>
      <c r="B1238" s="4" t="s">
        <v>6362</v>
      </c>
      <c r="C1238" t="s">
        <v>6348</v>
      </c>
    </row>
    <row r="1239" spans="1:3" x14ac:dyDescent="0.3">
      <c r="A1239" t="s">
        <v>6345</v>
      </c>
      <c r="B1239" s="4" t="s">
        <v>6362</v>
      </c>
      <c r="C1239" t="s">
        <v>958</v>
      </c>
    </row>
    <row r="1240" spans="1:3" x14ac:dyDescent="0.3">
      <c r="A1240" t="s">
        <v>6345</v>
      </c>
      <c r="B1240" s="4" t="s">
        <v>6362</v>
      </c>
      <c r="C1240" t="s">
        <v>6339</v>
      </c>
    </row>
    <row r="1241" spans="1:3" x14ac:dyDescent="0.3">
      <c r="A1241" t="s">
        <v>6345</v>
      </c>
      <c r="B1241" s="4" t="s">
        <v>6362</v>
      </c>
      <c r="C1241" t="s">
        <v>6348</v>
      </c>
    </row>
    <row r="1242" spans="1:3" x14ac:dyDescent="0.3">
      <c r="A1242" t="s">
        <v>6345</v>
      </c>
      <c r="B1242" s="4" t="s">
        <v>6362</v>
      </c>
      <c r="C1242" t="s">
        <v>6348</v>
      </c>
    </row>
    <row r="1243" spans="1:3" x14ac:dyDescent="0.3">
      <c r="A1243" t="s">
        <v>6345</v>
      </c>
      <c r="B1243" s="4" t="s">
        <v>6362</v>
      </c>
      <c r="C1243" t="s">
        <v>6339</v>
      </c>
    </row>
    <row r="1244" spans="1:3" x14ac:dyDescent="0.3">
      <c r="A1244" t="s">
        <v>6345</v>
      </c>
      <c r="B1244" s="4" t="s">
        <v>6377</v>
      </c>
      <c r="C1244" t="s">
        <v>6339</v>
      </c>
    </row>
    <row r="1245" spans="1:3" x14ac:dyDescent="0.3">
      <c r="A1245" t="s">
        <v>6345</v>
      </c>
      <c r="B1245" s="4" t="s">
        <v>6377</v>
      </c>
      <c r="C1245" t="s">
        <v>6339</v>
      </c>
    </row>
    <row r="1246" spans="1:3" x14ac:dyDescent="0.3">
      <c r="A1246" t="s">
        <v>6345</v>
      </c>
      <c r="B1246" s="4" t="s">
        <v>6377</v>
      </c>
      <c r="C1246" t="s">
        <v>6339</v>
      </c>
    </row>
    <row r="1247" spans="1:3" x14ac:dyDescent="0.3">
      <c r="A1247" t="s">
        <v>6345</v>
      </c>
      <c r="B1247" s="4" t="s">
        <v>6377</v>
      </c>
      <c r="C1247" t="s">
        <v>6339</v>
      </c>
    </row>
    <row r="1248" spans="1:3" x14ac:dyDescent="0.3">
      <c r="A1248" t="s">
        <v>6345</v>
      </c>
      <c r="B1248" s="4" t="s">
        <v>6377</v>
      </c>
      <c r="C1248" t="s">
        <v>6339</v>
      </c>
    </row>
    <row r="1249" spans="1:3" x14ac:dyDescent="0.3">
      <c r="A1249" t="s">
        <v>6345</v>
      </c>
      <c r="B1249" s="4" t="s">
        <v>6377</v>
      </c>
      <c r="C1249" t="s">
        <v>6339</v>
      </c>
    </row>
    <row r="1250" spans="1:3" x14ac:dyDescent="0.3">
      <c r="A1250" t="s">
        <v>6345</v>
      </c>
      <c r="B1250" s="4" t="s">
        <v>6377</v>
      </c>
      <c r="C1250" t="s">
        <v>6339</v>
      </c>
    </row>
    <row r="1251" spans="1:3" x14ac:dyDescent="0.3">
      <c r="A1251" t="s">
        <v>6345</v>
      </c>
      <c r="B1251" s="4" t="s">
        <v>6377</v>
      </c>
      <c r="C1251" t="s">
        <v>6339</v>
      </c>
    </row>
    <row r="1252" spans="1:3" x14ac:dyDescent="0.3">
      <c r="A1252" t="s">
        <v>6345</v>
      </c>
      <c r="B1252" s="4" t="s">
        <v>6377</v>
      </c>
      <c r="C1252" t="s">
        <v>6339</v>
      </c>
    </row>
    <row r="1253" spans="1:3" x14ac:dyDescent="0.3">
      <c r="A1253" t="s">
        <v>6345</v>
      </c>
      <c r="B1253" s="4" t="s">
        <v>6377</v>
      </c>
      <c r="C1253" t="s">
        <v>6339</v>
      </c>
    </row>
    <row r="1254" spans="1:3" x14ac:dyDescent="0.3">
      <c r="A1254" t="s">
        <v>6345</v>
      </c>
      <c r="B1254" s="4" t="s">
        <v>6377</v>
      </c>
      <c r="C1254" t="s">
        <v>6339</v>
      </c>
    </row>
    <row r="1255" spans="1:3" x14ac:dyDescent="0.3">
      <c r="A1255" t="s">
        <v>6345</v>
      </c>
      <c r="B1255" s="4" t="s">
        <v>6377</v>
      </c>
      <c r="C1255" t="s">
        <v>6339</v>
      </c>
    </row>
    <row r="1256" spans="1:3" x14ac:dyDescent="0.3">
      <c r="A1256" t="s">
        <v>6345</v>
      </c>
      <c r="B1256" s="4" t="s">
        <v>6377</v>
      </c>
      <c r="C1256" t="s">
        <v>6339</v>
      </c>
    </row>
    <row r="1257" spans="1:3" x14ac:dyDescent="0.3">
      <c r="A1257" t="s">
        <v>6345</v>
      </c>
      <c r="B1257" s="4" t="s">
        <v>6364</v>
      </c>
      <c r="C1257" t="s">
        <v>6339</v>
      </c>
    </row>
    <row r="1258" spans="1:3" x14ac:dyDescent="0.3">
      <c r="A1258" t="s">
        <v>6345</v>
      </c>
      <c r="B1258" s="4" t="s">
        <v>6364</v>
      </c>
      <c r="C1258" t="s">
        <v>6339</v>
      </c>
    </row>
    <row r="1259" spans="1:3" x14ac:dyDescent="0.3">
      <c r="A1259" t="s">
        <v>6345</v>
      </c>
      <c r="B1259" s="4" t="s">
        <v>6364</v>
      </c>
      <c r="C1259" t="s">
        <v>6339</v>
      </c>
    </row>
    <row r="1260" spans="1:3" x14ac:dyDescent="0.3">
      <c r="A1260" t="s">
        <v>6345</v>
      </c>
      <c r="B1260" s="4" t="s">
        <v>6364</v>
      </c>
      <c r="C1260" t="s">
        <v>6339</v>
      </c>
    </row>
    <row r="1261" spans="1:3" x14ac:dyDescent="0.3">
      <c r="A1261" t="s">
        <v>6345</v>
      </c>
      <c r="B1261" s="4" t="s">
        <v>6364</v>
      </c>
      <c r="C1261" t="s">
        <v>6339</v>
      </c>
    </row>
    <row r="1262" spans="1:3" x14ac:dyDescent="0.3">
      <c r="A1262" t="s">
        <v>6345</v>
      </c>
      <c r="B1262" s="4" t="s">
        <v>6364</v>
      </c>
      <c r="C1262" t="s">
        <v>6339</v>
      </c>
    </row>
    <row r="1263" spans="1:3" x14ac:dyDescent="0.3">
      <c r="A1263" t="s">
        <v>6345</v>
      </c>
      <c r="B1263" s="4" t="s">
        <v>6364</v>
      </c>
      <c r="C1263" t="s">
        <v>6339</v>
      </c>
    </row>
    <row r="1264" spans="1:3" x14ac:dyDescent="0.3">
      <c r="A1264" t="s">
        <v>6345</v>
      </c>
      <c r="B1264" s="4" t="s">
        <v>6364</v>
      </c>
      <c r="C1264" t="s">
        <v>6339</v>
      </c>
    </row>
    <row r="1265" spans="1:3" x14ac:dyDescent="0.3">
      <c r="A1265" t="s">
        <v>6345</v>
      </c>
      <c r="B1265" s="4" t="s">
        <v>6364</v>
      </c>
      <c r="C1265" t="s">
        <v>6339</v>
      </c>
    </row>
    <row r="1266" spans="1:3" x14ac:dyDescent="0.3">
      <c r="A1266" t="s">
        <v>6345</v>
      </c>
      <c r="B1266" s="4" t="s">
        <v>6364</v>
      </c>
      <c r="C1266" t="s">
        <v>6339</v>
      </c>
    </row>
    <row r="1267" spans="1:3" x14ac:dyDescent="0.3">
      <c r="A1267" t="s">
        <v>6345</v>
      </c>
      <c r="B1267" s="4" t="s">
        <v>6359</v>
      </c>
      <c r="C1267" t="s">
        <v>6339</v>
      </c>
    </row>
    <row r="1268" spans="1:3" x14ac:dyDescent="0.3">
      <c r="A1268" t="s">
        <v>6345</v>
      </c>
      <c r="B1268" s="4" t="s">
        <v>6359</v>
      </c>
      <c r="C1268" t="s">
        <v>6339</v>
      </c>
    </row>
    <row r="1269" spans="1:3" x14ac:dyDescent="0.3">
      <c r="A1269" t="s">
        <v>6346</v>
      </c>
      <c r="B1269" s="4" t="s">
        <v>6361</v>
      </c>
      <c r="C1269" t="s">
        <v>6339</v>
      </c>
    </row>
    <row r="1270" spans="1:3" x14ac:dyDescent="0.3">
      <c r="A1270" t="s">
        <v>6346</v>
      </c>
      <c r="B1270" s="4" t="s">
        <v>6361</v>
      </c>
      <c r="C1270" t="s">
        <v>6339</v>
      </c>
    </row>
    <row r="1271" spans="1:3" x14ac:dyDescent="0.3">
      <c r="A1271" t="s">
        <v>6346</v>
      </c>
      <c r="B1271" s="4" t="s">
        <v>6361</v>
      </c>
      <c r="C1271" t="s">
        <v>6339</v>
      </c>
    </row>
    <row r="1272" spans="1:3" x14ac:dyDescent="0.3">
      <c r="A1272" t="s">
        <v>6346</v>
      </c>
      <c r="B1272" s="4" t="s">
        <v>6361</v>
      </c>
      <c r="C1272" t="s">
        <v>6339</v>
      </c>
    </row>
    <row r="1273" spans="1:3" x14ac:dyDescent="0.3">
      <c r="A1273" t="s">
        <v>6346</v>
      </c>
      <c r="B1273" s="4" t="s">
        <v>6361</v>
      </c>
      <c r="C1273" t="s">
        <v>6339</v>
      </c>
    </row>
    <row r="1274" spans="1:3" x14ac:dyDescent="0.3">
      <c r="A1274" t="s">
        <v>6346</v>
      </c>
      <c r="B1274" s="4" t="s">
        <v>6361</v>
      </c>
      <c r="C1274" t="s">
        <v>6339</v>
      </c>
    </row>
    <row r="1275" spans="1:3" x14ac:dyDescent="0.3">
      <c r="A1275" t="s">
        <v>6346</v>
      </c>
      <c r="B1275" s="4" t="s">
        <v>6361</v>
      </c>
      <c r="C1275" t="s">
        <v>6339</v>
      </c>
    </row>
    <row r="1276" spans="1:3" x14ac:dyDescent="0.3">
      <c r="A1276" t="s">
        <v>6346</v>
      </c>
      <c r="B1276" s="4" t="s">
        <v>6361</v>
      </c>
      <c r="C1276" t="s">
        <v>6339</v>
      </c>
    </row>
    <row r="1277" spans="1:3" x14ac:dyDescent="0.3">
      <c r="A1277" t="s">
        <v>6346</v>
      </c>
      <c r="B1277" s="4" t="s">
        <v>6361</v>
      </c>
      <c r="C1277" t="s">
        <v>6339</v>
      </c>
    </row>
    <row r="1278" spans="1:3" x14ac:dyDescent="0.3">
      <c r="A1278" t="s">
        <v>6346</v>
      </c>
      <c r="B1278" s="4" t="s">
        <v>6361</v>
      </c>
      <c r="C1278" t="s">
        <v>6339</v>
      </c>
    </row>
    <row r="1279" spans="1:3" x14ac:dyDescent="0.3">
      <c r="A1279" t="s">
        <v>6346</v>
      </c>
      <c r="B1279" s="4" t="s">
        <v>6361</v>
      </c>
      <c r="C1279" t="s">
        <v>6339</v>
      </c>
    </row>
    <row r="1280" spans="1:3" x14ac:dyDescent="0.3">
      <c r="A1280" t="s">
        <v>6346</v>
      </c>
      <c r="B1280" s="4" t="s">
        <v>6361</v>
      </c>
      <c r="C1280" t="s">
        <v>6339</v>
      </c>
    </row>
    <row r="1281" spans="1:3" x14ac:dyDescent="0.3">
      <c r="A1281" t="s">
        <v>6346</v>
      </c>
      <c r="B1281" s="4" t="s">
        <v>6361</v>
      </c>
      <c r="C1281" t="s">
        <v>6339</v>
      </c>
    </row>
    <row r="1282" spans="1:3" x14ac:dyDescent="0.3">
      <c r="A1282" t="s">
        <v>6346</v>
      </c>
      <c r="B1282" s="4" t="s">
        <v>6361</v>
      </c>
      <c r="C1282" t="s">
        <v>6339</v>
      </c>
    </row>
    <row r="1283" spans="1:3" x14ac:dyDescent="0.3">
      <c r="A1283" t="s">
        <v>6346</v>
      </c>
      <c r="B1283" s="4" t="s">
        <v>6361</v>
      </c>
      <c r="C1283" t="s">
        <v>6339</v>
      </c>
    </row>
    <row r="1284" spans="1:3" x14ac:dyDescent="0.3">
      <c r="A1284" t="s">
        <v>6346</v>
      </c>
      <c r="B1284" s="4" t="s">
        <v>6361</v>
      </c>
      <c r="C1284" t="s">
        <v>6339</v>
      </c>
    </row>
    <row r="1285" spans="1:3" x14ac:dyDescent="0.3">
      <c r="A1285" t="s">
        <v>6346</v>
      </c>
      <c r="B1285" s="4" t="s">
        <v>6361</v>
      </c>
      <c r="C1285" t="s">
        <v>6348</v>
      </c>
    </row>
    <row r="1286" spans="1:3" x14ac:dyDescent="0.3">
      <c r="A1286" t="s">
        <v>6346</v>
      </c>
      <c r="B1286" s="4" t="s">
        <v>6361</v>
      </c>
      <c r="C1286" t="s">
        <v>6339</v>
      </c>
    </row>
    <row r="1287" spans="1:3" x14ac:dyDescent="0.3">
      <c r="A1287" t="s">
        <v>6346</v>
      </c>
      <c r="B1287" s="4" t="s">
        <v>6361</v>
      </c>
      <c r="C1287" t="s">
        <v>6339</v>
      </c>
    </row>
    <row r="1288" spans="1:3" x14ac:dyDescent="0.3">
      <c r="A1288" t="s">
        <v>6346</v>
      </c>
      <c r="B1288" s="4" t="s">
        <v>6361</v>
      </c>
      <c r="C1288" t="s">
        <v>6339</v>
      </c>
    </row>
    <row r="1289" spans="1:3" x14ac:dyDescent="0.3">
      <c r="A1289" t="s">
        <v>6346</v>
      </c>
      <c r="B1289" s="4" t="s">
        <v>6361</v>
      </c>
      <c r="C1289" t="s">
        <v>6339</v>
      </c>
    </row>
    <row r="1290" spans="1:3" x14ac:dyDescent="0.3">
      <c r="A1290" t="s">
        <v>6346</v>
      </c>
      <c r="B1290" s="4" t="s">
        <v>6361</v>
      </c>
      <c r="C1290" t="s">
        <v>6339</v>
      </c>
    </row>
    <row r="1291" spans="1:3" x14ac:dyDescent="0.3">
      <c r="A1291" t="s">
        <v>6346</v>
      </c>
      <c r="B1291" s="4" t="s">
        <v>6371</v>
      </c>
      <c r="C1291" t="s">
        <v>958</v>
      </c>
    </row>
    <row r="1292" spans="1:3" x14ac:dyDescent="0.3">
      <c r="A1292" t="s">
        <v>6346</v>
      </c>
      <c r="B1292" s="4" t="s">
        <v>6371</v>
      </c>
      <c r="C1292" t="s">
        <v>958</v>
      </c>
    </row>
    <row r="1293" spans="1:3" x14ac:dyDescent="0.3">
      <c r="A1293" t="s">
        <v>6346</v>
      </c>
      <c r="B1293" s="4" t="s">
        <v>6357</v>
      </c>
      <c r="C1293" t="s">
        <v>6345</v>
      </c>
    </row>
    <row r="1294" spans="1:3" x14ac:dyDescent="0.3">
      <c r="A1294" t="s">
        <v>6346</v>
      </c>
      <c r="B1294" s="4" t="s">
        <v>6357</v>
      </c>
      <c r="C1294" t="s">
        <v>6337</v>
      </c>
    </row>
    <row r="1295" spans="1:3" x14ac:dyDescent="0.3">
      <c r="A1295" t="s">
        <v>6346</v>
      </c>
      <c r="B1295" s="4" t="s">
        <v>6357</v>
      </c>
      <c r="C1295" t="s">
        <v>6339</v>
      </c>
    </row>
    <row r="1296" spans="1:3" x14ac:dyDescent="0.3">
      <c r="A1296" t="s">
        <v>6346</v>
      </c>
      <c r="B1296" s="4" t="s">
        <v>6357</v>
      </c>
      <c r="C1296" t="s">
        <v>6339</v>
      </c>
    </row>
    <row r="1297" spans="1:3" x14ac:dyDescent="0.3">
      <c r="A1297" t="s">
        <v>6346</v>
      </c>
      <c r="B1297" s="4" t="s">
        <v>6357</v>
      </c>
      <c r="C1297" t="s">
        <v>6345</v>
      </c>
    </row>
    <row r="1298" spans="1:3" x14ac:dyDescent="0.3">
      <c r="A1298" t="s">
        <v>6346</v>
      </c>
      <c r="B1298" s="4" t="s">
        <v>6357</v>
      </c>
      <c r="C1298" t="s">
        <v>6345</v>
      </c>
    </row>
    <row r="1299" spans="1:3" x14ac:dyDescent="0.3">
      <c r="A1299" t="s">
        <v>6346</v>
      </c>
      <c r="B1299" s="4" t="s">
        <v>6357</v>
      </c>
      <c r="C1299" t="s">
        <v>6345</v>
      </c>
    </row>
    <row r="1300" spans="1:3" x14ac:dyDescent="0.3">
      <c r="A1300" t="s">
        <v>6346</v>
      </c>
      <c r="B1300" s="4" t="s">
        <v>6357</v>
      </c>
      <c r="C1300" t="s">
        <v>6345</v>
      </c>
    </row>
    <row r="1301" spans="1:3" x14ac:dyDescent="0.3">
      <c r="A1301" t="s">
        <v>6346</v>
      </c>
      <c r="B1301" s="4" t="s">
        <v>6357</v>
      </c>
      <c r="C1301" t="s">
        <v>6345</v>
      </c>
    </row>
    <row r="1302" spans="1:3" x14ac:dyDescent="0.3">
      <c r="A1302" t="s">
        <v>6346</v>
      </c>
      <c r="B1302" s="4" t="s">
        <v>6357</v>
      </c>
      <c r="C1302" t="s">
        <v>6339</v>
      </c>
    </row>
    <row r="1303" spans="1:3" x14ac:dyDescent="0.3">
      <c r="A1303" t="s">
        <v>6346</v>
      </c>
      <c r="B1303" s="4" t="s">
        <v>6357</v>
      </c>
      <c r="C1303" t="s">
        <v>6339</v>
      </c>
    </row>
    <row r="1304" spans="1:3" x14ac:dyDescent="0.3">
      <c r="A1304" t="s">
        <v>6346</v>
      </c>
      <c r="B1304" s="4" t="s">
        <v>6357</v>
      </c>
      <c r="C1304" t="s">
        <v>6339</v>
      </c>
    </row>
    <row r="1305" spans="1:3" x14ac:dyDescent="0.3">
      <c r="A1305" t="s">
        <v>6346</v>
      </c>
      <c r="B1305" s="4" t="s">
        <v>6357</v>
      </c>
      <c r="C1305" t="s">
        <v>6339</v>
      </c>
    </row>
    <row r="1306" spans="1:3" x14ac:dyDescent="0.3">
      <c r="A1306" t="s">
        <v>6346</v>
      </c>
      <c r="B1306" s="4" t="s">
        <v>6357</v>
      </c>
      <c r="C1306" t="s">
        <v>6339</v>
      </c>
    </row>
    <row r="1307" spans="1:3" x14ac:dyDescent="0.3">
      <c r="A1307" t="s">
        <v>6346</v>
      </c>
      <c r="B1307" s="4" t="s">
        <v>6357</v>
      </c>
      <c r="C1307" t="s">
        <v>6339</v>
      </c>
    </row>
    <row r="1308" spans="1:3" x14ac:dyDescent="0.3">
      <c r="A1308" t="s">
        <v>6346</v>
      </c>
      <c r="B1308" s="4" t="s">
        <v>6357</v>
      </c>
      <c r="C1308" t="s">
        <v>958</v>
      </c>
    </row>
    <row r="1309" spans="1:3" x14ac:dyDescent="0.3">
      <c r="A1309" t="s">
        <v>6346</v>
      </c>
      <c r="B1309" s="4" t="s">
        <v>6357</v>
      </c>
      <c r="C1309" t="s">
        <v>6358</v>
      </c>
    </row>
    <row r="1310" spans="1:3" x14ac:dyDescent="0.3">
      <c r="A1310" t="s">
        <v>6346</v>
      </c>
      <c r="B1310" s="4" t="s">
        <v>6357</v>
      </c>
      <c r="C1310" t="s">
        <v>6358</v>
      </c>
    </row>
    <row r="1311" spans="1:3" x14ac:dyDescent="0.3">
      <c r="A1311" t="s">
        <v>6346</v>
      </c>
      <c r="B1311" s="4" t="s">
        <v>6357</v>
      </c>
      <c r="C1311" t="s">
        <v>6358</v>
      </c>
    </row>
    <row r="1312" spans="1:3" x14ac:dyDescent="0.3">
      <c r="A1312" t="s">
        <v>6346</v>
      </c>
      <c r="B1312" s="4" t="s">
        <v>6357</v>
      </c>
      <c r="C1312" t="s">
        <v>6358</v>
      </c>
    </row>
    <row r="1313" spans="1:3" x14ac:dyDescent="0.3">
      <c r="A1313" t="s">
        <v>6346</v>
      </c>
      <c r="B1313" s="4" t="s">
        <v>6357</v>
      </c>
      <c r="C1313" t="s">
        <v>6358</v>
      </c>
    </row>
    <row r="1314" spans="1:3" x14ac:dyDescent="0.3">
      <c r="A1314" t="s">
        <v>6346</v>
      </c>
      <c r="B1314" s="4" t="s">
        <v>6357</v>
      </c>
      <c r="C1314" t="s">
        <v>6339</v>
      </c>
    </row>
    <row r="1315" spans="1:3" x14ac:dyDescent="0.3">
      <c r="A1315" t="s">
        <v>6346</v>
      </c>
      <c r="B1315" s="4" t="s">
        <v>6357</v>
      </c>
      <c r="C1315" t="s">
        <v>6339</v>
      </c>
    </row>
    <row r="1316" spans="1:3" x14ac:dyDescent="0.3">
      <c r="A1316" t="s">
        <v>6346</v>
      </c>
      <c r="B1316" s="4" t="s">
        <v>6357</v>
      </c>
      <c r="C1316" t="s">
        <v>6339</v>
      </c>
    </row>
    <row r="1317" spans="1:3" x14ac:dyDescent="0.3">
      <c r="A1317" t="s">
        <v>6346</v>
      </c>
      <c r="B1317" s="4" t="s">
        <v>6357</v>
      </c>
      <c r="C1317" t="s">
        <v>6339</v>
      </c>
    </row>
    <row r="1318" spans="1:3" x14ac:dyDescent="0.3">
      <c r="A1318" t="s">
        <v>6346</v>
      </c>
      <c r="B1318" s="4" t="s">
        <v>6357</v>
      </c>
      <c r="C1318" t="s">
        <v>6358</v>
      </c>
    </row>
    <row r="1319" spans="1:3" x14ac:dyDescent="0.3">
      <c r="A1319" t="s">
        <v>6346</v>
      </c>
      <c r="B1319" s="4" t="s">
        <v>6365</v>
      </c>
      <c r="C1319" t="s">
        <v>6348</v>
      </c>
    </row>
    <row r="1320" spans="1:3" x14ac:dyDescent="0.3">
      <c r="A1320" t="s">
        <v>6346</v>
      </c>
      <c r="B1320" s="4" t="s">
        <v>6365</v>
      </c>
      <c r="C1320" t="s">
        <v>958</v>
      </c>
    </row>
    <row r="1321" spans="1:3" x14ac:dyDescent="0.3">
      <c r="A1321" t="s">
        <v>6346</v>
      </c>
      <c r="B1321" s="4" t="s">
        <v>6365</v>
      </c>
      <c r="C1321" t="s">
        <v>958</v>
      </c>
    </row>
    <row r="1322" spans="1:3" x14ac:dyDescent="0.3">
      <c r="A1322" t="s">
        <v>6346</v>
      </c>
      <c r="B1322" s="4" t="s">
        <v>6365</v>
      </c>
      <c r="C1322" t="s">
        <v>6348</v>
      </c>
    </row>
    <row r="1323" spans="1:3" x14ac:dyDescent="0.3">
      <c r="A1323" t="s">
        <v>6346</v>
      </c>
      <c r="B1323" s="4" t="s">
        <v>6365</v>
      </c>
      <c r="C1323" t="s">
        <v>6348</v>
      </c>
    </row>
    <row r="1324" spans="1:3" x14ac:dyDescent="0.3">
      <c r="A1324" t="s">
        <v>6346</v>
      </c>
      <c r="B1324" s="4" t="s">
        <v>6365</v>
      </c>
      <c r="C1324" t="s">
        <v>6348</v>
      </c>
    </row>
    <row r="1325" spans="1:3" x14ac:dyDescent="0.3">
      <c r="A1325" t="s">
        <v>6346</v>
      </c>
      <c r="B1325" s="4" t="s">
        <v>6365</v>
      </c>
      <c r="C1325" t="s">
        <v>6348</v>
      </c>
    </row>
    <row r="1326" spans="1:3" x14ac:dyDescent="0.3">
      <c r="A1326" t="s">
        <v>6346</v>
      </c>
      <c r="B1326" s="4" t="s">
        <v>6365</v>
      </c>
      <c r="C1326" t="s">
        <v>958</v>
      </c>
    </row>
    <row r="1327" spans="1:3" x14ac:dyDescent="0.3">
      <c r="A1327" t="s">
        <v>6346</v>
      </c>
      <c r="B1327" s="4" t="s">
        <v>6365</v>
      </c>
      <c r="C1327" t="s">
        <v>958</v>
      </c>
    </row>
    <row r="1328" spans="1:3" x14ac:dyDescent="0.3">
      <c r="A1328" t="s">
        <v>6346</v>
      </c>
      <c r="B1328" s="4" t="s">
        <v>6365</v>
      </c>
      <c r="C1328" t="s">
        <v>6348</v>
      </c>
    </row>
    <row r="1329" spans="1:3" x14ac:dyDescent="0.3">
      <c r="A1329" t="s">
        <v>6346</v>
      </c>
      <c r="B1329" s="4" t="s">
        <v>6365</v>
      </c>
      <c r="C1329" t="s">
        <v>6348</v>
      </c>
    </row>
    <row r="1330" spans="1:3" x14ac:dyDescent="0.3">
      <c r="A1330" t="s">
        <v>6346</v>
      </c>
      <c r="B1330" s="4" t="s">
        <v>6365</v>
      </c>
      <c r="C1330" t="s">
        <v>6348</v>
      </c>
    </row>
    <row r="1331" spans="1:3" x14ac:dyDescent="0.3">
      <c r="A1331" t="s">
        <v>6346</v>
      </c>
      <c r="B1331" s="4" t="s">
        <v>6365</v>
      </c>
      <c r="C1331" t="s">
        <v>958</v>
      </c>
    </row>
    <row r="1332" spans="1:3" x14ac:dyDescent="0.3">
      <c r="A1332" t="s">
        <v>6346</v>
      </c>
      <c r="B1332" s="4" t="s">
        <v>6365</v>
      </c>
      <c r="C1332" t="s">
        <v>958</v>
      </c>
    </row>
    <row r="1333" spans="1:3" x14ac:dyDescent="0.3">
      <c r="A1333" t="s">
        <v>6346</v>
      </c>
      <c r="B1333" s="4" t="s">
        <v>6365</v>
      </c>
      <c r="C1333" t="s">
        <v>6348</v>
      </c>
    </row>
    <row r="1334" spans="1:3" x14ac:dyDescent="0.3">
      <c r="A1334" t="s">
        <v>6346</v>
      </c>
      <c r="B1334" s="4" t="s">
        <v>6365</v>
      </c>
      <c r="C1334" t="s">
        <v>6348</v>
      </c>
    </row>
    <row r="1335" spans="1:3" x14ac:dyDescent="0.3">
      <c r="A1335" t="s">
        <v>6346</v>
      </c>
      <c r="B1335" s="4" t="s">
        <v>6365</v>
      </c>
      <c r="C1335" t="s">
        <v>958</v>
      </c>
    </row>
    <row r="1336" spans="1:3" x14ac:dyDescent="0.3">
      <c r="A1336" t="s">
        <v>6346</v>
      </c>
      <c r="B1336" s="4" t="s">
        <v>6365</v>
      </c>
      <c r="C1336" t="s">
        <v>958</v>
      </c>
    </row>
    <row r="1337" spans="1:3" x14ac:dyDescent="0.3">
      <c r="A1337" t="s">
        <v>6346</v>
      </c>
      <c r="B1337" s="4" t="s">
        <v>6365</v>
      </c>
      <c r="C1337" t="s">
        <v>6348</v>
      </c>
    </row>
    <row r="1338" spans="1:3" x14ac:dyDescent="0.3">
      <c r="A1338" t="s">
        <v>6366</v>
      </c>
      <c r="B1338" s="4" t="s">
        <v>6371</v>
      </c>
      <c r="C1338" t="s">
        <v>6339</v>
      </c>
    </row>
    <row r="1339" spans="1:3" x14ac:dyDescent="0.3">
      <c r="A1339" t="s">
        <v>6366</v>
      </c>
      <c r="B1339" s="4" t="s">
        <v>6371</v>
      </c>
      <c r="C1339" t="s">
        <v>6339</v>
      </c>
    </row>
    <row r="1340" spans="1:3" x14ac:dyDescent="0.3">
      <c r="A1340" t="s">
        <v>6366</v>
      </c>
      <c r="B1340" s="4" t="s">
        <v>6371</v>
      </c>
      <c r="C1340" t="s">
        <v>6339</v>
      </c>
    </row>
    <row r="1341" spans="1:3" x14ac:dyDescent="0.3">
      <c r="A1341" t="s">
        <v>6366</v>
      </c>
      <c r="B1341" s="4" t="s">
        <v>6371</v>
      </c>
      <c r="C1341" t="s">
        <v>6339</v>
      </c>
    </row>
    <row r="1342" spans="1:3" x14ac:dyDescent="0.3">
      <c r="A1342" t="s">
        <v>6366</v>
      </c>
      <c r="B1342" s="4" t="s">
        <v>6371</v>
      </c>
      <c r="C1342" t="s">
        <v>6339</v>
      </c>
    </row>
    <row r="1343" spans="1:3" x14ac:dyDescent="0.3">
      <c r="A1343" t="s">
        <v>6366</v>
      </c>
      <c r="B1343" s="4" t="s">
        <v>6371</v>
      </c>
      <c r="C1343" t="s">
        <v>6348</v>
      </c>
    </row>
    <row r="1344" spans="1:3" x14ac:dyDescent="0.3">
      <c r="A1344" t="s">
        <v>6366</v>
      </c>
      <c r="B1344" s="4" t="s">
        <v>6371</v>
      </c>
      <c r="C1344" t="s">
        <v>6339</v>
      </c>
    </row>
    <row r="1345" spans="1:3" x14ac:dyDescent="0.3">
      <c r="A1345" t="s">
        <v>6366</v>
      </c>
      <c r="B1345" s="4" t="s">
        <v>6371</v>
      </c>
      <c r="C1345" t="s">
        <v>6339</v>
      </c>
    </row>
    <row r="1346" spans="1:3" x14ac:dyDescent="0.3">
      <c r="A1346" t="s">
        <v>6366</v>
      </c>
      <c r="B1346" s="4" t="s">
        <v>6371</v>
      </c>
      <c r="C1346" t="s">
        <v>6339</v>
      </c>
    </row>
    <row r="1347" spans="1:3" x14ac:dyDescent="0.3">
      <c r="A1347" t="s">
        <v>6366</v>
      </c>
      <c r="B1347" s="4" t="s">
        <v>6371</v>
      </c>
      <c r="C1347" t="s">
        <v>6339</v>
      </c>
    </row>
    <row r="1348" spans="1:3" x14ac:dyDescent="0.3">
      <c r="A1348" t="s">
        <v>6366</v>
      </c>
      <c r="B1348" s="4" t="s">
        <v>6371</v>
      </c>
      <c r="C1348" t="s">
        <v>6339</v>
      </c>
    </row>
    <row r="1349" spans="1:3" x14ac:dyDescent="0.3">
      <c r="A1349" t="s">
        <v>6366</v>
      </c>
      <c r="B1349" s="4" t="s">
        <v>6371</v>
      </c>
      <c r="C1349" t="s">
        <v>6339</v>
      </c>
    </row>
    <row r="1350" spans="1:3" x14ac:dyDescent="0.3">
      <c r="A1350" t="s">
        <v>6366</v>
      </c>
      <c r="B1350" s="4" t="s">
        <v>6371</v>
      </c>
      <c r="C1350" t="s">
        <v>6339</v>
      </c>
    </row>
    <row r="1351" spans="1:3" x14ac:dyDescent="0.3">
      <c r="A1351" t="s">
        <v>6366</v>
      </c>
      <c r="B1351" s="4" t="s">
        <v>6371</v>
      </c>
      <c r="C1351" t="s">
        <v>6339</v>
      </c>
    </row>
    <row r="1352" spans="1:3" x14ac:dyDescent="0.3">
      <c r="A1352" t="s">
        <v>6366</v>
      </c>
      <c r="B1352" s="4" t="s">
        <v>6371</v>
      </c>
      <c r="C1352" t="s">
        <v>6339</v>
      </c>
    </row>
    <row r="1353" spans="1:3" x14ac:dyDescent="0.3">
      <c r="A1353" t="s">
        <v>6366</v>
      </c>
      <c r="B1353" s="4" t="s">
        <v>6371</v>
      </c>
      <c r="C1353" t="s">
        <v>6339</v>
      </c>
    </row>
    <row r="1354" spans="1:3" x14ac:dyDescent="0.3">
      <c r="A1354" t="s">
        <v>6366</v>
      </c>
      <c r="B1354" s="4" t="s">
        <v>6371</v>
      </c>
      <c r="C1354" t="s">
        <v>6339</v>
      </c>
    </row>
    <row r="1355" spans="1:3" x14ac:dyDescent="0.3">
      <c r="A1355" t="s">
        <v>6366</v>
      </c>
      <c r="B1355" s="4" t="s">
        <v>6371</v>
      </c>
      <c r="C1355" t="s">
        <v>6339</v>
      </c>
    </row>
    <row r="1356" spans="1:3" x14ac:dyDescent="0.3">
      <c r="A1356" t="s">
        <v>6366</v>
      </c>
      <c r="B1356" s="4" t="s">
        <v>6371</v>
      </c>
      <c r="C1356" t="s">
        <v>6339</v>
      </c>
    </row>
    <row r="1357" spans="1:3" x14ac:dyDescent="0.3">
      <c r="A1357" t="s">
        <v>6366</v>
      </c>
      <c r="B1357" s="4" t="s">
        <v>6371</v>
      </c>
      <c r="C1357" t="s">
        <v>6339</v>
      </c>
    </row>
    <row r="1358" spans="1:3" x14ac:dyDescent="0.3">
      <c r="A1358" t="s">
        <v>6366</v>
      </c>
      <c r="B1358" s="4" t="s">
        <v>6371</v>
      </c>
      <c r="C1358" t="s">
        <v>6339</v>
      </c>
    </row>
    <row r="1359" spans="1:3" x14ac:dyDescent="0.3">
      <c r="A1359" t="s">
        <v>6366</v>
      </c>
      <c r="B1359" s="4" t="s">
        <v>6371</v>
      </c>
      <c r="C1359" t="s">
        <v>6339</v>
      </c>
    </row>
    <row r="1360" spans="1:3" x14ac:dyDescent="0.3">
      <c r="A1360" t="s">
        <v>6366</v>
      </c>
      <c r="B1360" s="4" t="s">
        <v>6371</v>
      </c>
      <c r="C1360" t="s">
        <v>6339</v>
      </c>
    </row>
    <row r="1361" spans="1:3" x14ac:dyDescent="0.3">
      <c r="A1361" t="s">
        <v>6366</v>
      </c>
      <c r="B1361" s="4" t="s">
        <v>6371</v>
      </c>
      <c r="C1361" t="s">
        <v>6339</v>
      </c>
    </row>
    <row r="1362" spans="1:3" x14ac:dyDescent="0.3">
      <c r="A1362" t="s">
        <v>6366</v>
      </c>
      <c r="B1362" s="4" t="s">
        <v>6371</v>
      </c>
      <c r="C1362" t="s">
        <v>6339</v>
      </c>
    </row>
    <row r="1363" spans="1:3" x14ac:dyDescent="0.3">
      <c r="A1363" t="s">
        <v>6366</v>
      </c>
      <c r="B1363" s="4" t="s">
        <v>6371</v>
      </c>
      <c r="C1363" t="s">
        <v>6339</v>
      </c>
    </row>
    <row r="1364" spans="1:3" x14ac:dyDescent="0.3">
      <c r="A1364" t="s">
        <v>6366</v>
      </c>
      <c r="B1364" s="4" t="s">
        <v>6371</v>
      </c>
      <c r="C1364" t="s">
        <v>6339</v>
      </c>
    </row>
    <row r="1365" spans="1:3" x14ac:dyDescent="0.3">
      <c r="A1365" t="s">
        <v>6366</v>
      </c>
      <c r="B1365" s="4" t="s">
        <v>6371</v>
      </c>
      <c r="C1365" t="s">
        <v>6339</v>
      </c>
    </row>
    <row r="1366" spans="1:3" x14ac:dyDescent="0.3">
      <c r="A1366" t="s">
        <v>6366</v>
      </c>
      <c r="B1366" s="4" t="s">
        <v>6371</v>
      </c>
      <c r="C1366" t="s">
        <v>6339</v>
      </c>
    </row>
    <row r="1367" spans="1:3" x14ac:dyDescent="0.3">
      <c r="A1367" t="s">
        <v>6366</v>
      </c>
      <c r="B1367" s="4" t="s">
        <v>6371</v>
      </c>
      <c r="C1367" t="s">
        <v>6339</v>
      </c>
    </row>
    <row r="1368" spans="1:3" x14ac:dyDescent="0.3">
      <c r="A1368" t="s">
        <v>6366</v>
      </c>
      <c r="B1368" s="4" t="s">
        <v>6371</v>
      </c>
      <c r="C1368" t="s">
        <v>6339</v>
      </c>
    </row>
    <row r="1369" spans="1:3" x14ac:dyDescent="0.3">
      <c r="A1369" t="s">
        <v>6366</v>
      </c>
      <c r="B1369" s="4" t="s">
        <v>6371</v>
      </c>
      <c r="C1369" t="s">
        <v>6339</v>
      </c>
    </row>
    <row r="1370" spans="1:3" x14ac:dyDescent="0.3">
      <c r="A1370" t="s">
        <v>6366</v>
      </c>
      <c r="B1370" s="4" t="s">
        <v>6371</v>
      </c>
      <c r="C1370" t="s">
        <v>6339</v>
      </c>
    </row>
    <row r="1371" spans="1:3" x14ac:dyDescent="0.3">
      <c r="A1371" t="s">
        <v>6366</v>
      </c>
      <c r="B1371" s="4" t="s">
        <v>6371</v>
      </c>
      <c r="C1371" t="s">
        <v>6339</v>
      </c>
    </row>
    <row r="1372" spans="1:3" x14ac:dyDescent="0.3">
      <c r="A1372" t="s">
        <v>6366</v>
      </c>
      <c r="B1372" s="4" t="s">
        <v>6357</v>
      </c>
      <c r="C1372" t="s">
        <v>6339</v>
      </c>
    </row>
    <row r="1373" spans="1:3" x14ac:dyDescent="0.3">
      <c r="A1373" t="s">
        <v>6366</v>
      </c>
      <c r="B1373" s="4" t="s">
        <v>6357</v>
      </c>
      <c r="C1373" t="s">
        <v>6339</v>
      </c>
    </row>
    <row r="1374" spans="1:3" x14ac:dyDescent="0.3">
      <c r="A1374" t="s">
        <v>6366</v>
      </c>
      <c r="B1374" s="4" t="s">
        <v>6357</v>
      </c>
      <c r="C1374" t="s">
        <v>6339</v>
      </c>
    </row>
    <row r="1375" spans="1:3" x14ac:dyDescent="0.3">
      <c r="A1375" t="s">
        <v>6366</v>
      </c>
      <c r="B1375" s="4" t="s">
        <v>6357</v>
      </c>
      <c r="C1375" t="s">
        <v>6339</v>
      </c>
    </row>
    <row r="1376" spans="1:3" x14ac:dyDescent="0.3">
      <c r="A1376" t="s">
        <v>6366</v>
      </c>
      <c r="B1376" s="4" t="s">
        <v>6357</v>
      </c>
      <c r="C1376" t="s">
        <v>6339</v>
      </c>
    </row>
    <row r="1377" spans="1:3" x14ac:dyDescent="0.3">
      <c r="A1377" t="s">
        <v>6366</v>
      </c>
      <c r="B1377" s="4" t="s">
        <v>6357</v>
      </c>
      <c r="C1377" t="s">
        <v>6339</v>
      </c>
    </row>
    <row r="1378" spans="1:3" x14ac:dyDescent="0.3">
      <c r="A1378" t="s">
        <v>6366</v>
      </c>
      <c r="B1378" s="4" t="s">
        <v>6357</v>
      </c>
      <c r="C1378" t="s">
        <v>6339</v>
      </c>
    </row>
    <row r="1379" spans="1:3" x14ac:dyDescent="0.3">
      <c r="A1379" t="s">
        <v>6366</v>
      </c>
      <c r="B1379" s="4" t="s">
        <v>6357</v>
      </c>
      <c r="C1379" t="s">
        <v>6339</v>
      </c>
    </row>
    <row r="1380" spans="1:3" x14ac:dyDescent="0.3">
      <c r="A1380" t="s">
        <v>6366</v>
      </c>
      <c r="B1380" s="4" t="s">
        <v>6357</v>
      </c>
      <c r="C1380" t="s">
        <v>6339</v>
      </c>
    </row>
    <row r="1381" spans="1:3" x14ac:dyDescent="0.3">
      <c r="A1381" t="s">
        <v>6366</v>
      </c>
      <c r="B1381" s="4" t="s">
        <v>6357</v>
      </c>
      <c r="C1381" t="s">
        <v>6339</v>
      </c>
    </row>
    <row r="1382" spans="1:3" x14ac:dyDescent="0.3">
      <c r="A1382" t="s">
        <v>6366</v>
      </c>
      <c r="B1382" s="4" t="s">
        <v>6357</v>
      </c>
      <c r="C1382" t="s">
        <v>6339</v>
      </c>
    </row>
    <row r="1383" spans="1:3" x14ac:dyDescent="0.3">
      <c r="A1383" t="s">
        <v>6366</v>
      </c>
      <c r="B1383" s="4" t="s">
        <v>6365</v>
      </c>
      <c r="C1383" t="s">
        <v>6339</v>
      </c>
    </row>
    <row r="1384" spans="1:3" x14ac:dyDescent="0.3">
      <c r="A1384" t="s">
        <v>6366</v>
      </c>
      <c r="B1384" s="4" t="s">
        <v>6365</v>
      </c>
      <c r="C1384" t="s">
        <v>6339</v>
      </c>
    </row>
    <row r="1385" spans="1:3" x14ac:dyDescent="0.3">
      <c r="A1385" t="s">
        <v>6367</v>
      </c>
      <c r="B1385" s="4" t="s">
        <v>6361</v>
      </c>
      <c r="C1385" t="s">
        <v>6339</v>
      </c>
    </row>
    <row r="1386" spans="1:3" x14ac:dyDescent="0.3">
      <c r="A1386" t="s">
        <v>6367</v>
      </c>
      <c r="B1386" s="4" t="s">
        <v>6361</v>
      </c>
      <c r="C1386" t="s">
        <v>958</v>
      </c>
    </row>
    <row r="1387" spans="1:3" x14ac:dyDescent="0.3">
      <c r="A1387" t="s">
        <v>6367</v>
      </c>
      <c r="B1387" s="4" t="s">
        <v>6361</v>
      </c>
      <c r="C1387" t="s">
        <v>6358</v>
      </c>
    </row>
    <row r="1388" spans="1:3" x14ac:dyDescent="0.3">
      <c r="A1388" t="s">
        <v>6367</v>
      </c>
      <c r="B1388" s="4" t="s">
        <v>6361</v>
      </c>
      <c r="C1388" t="s">
        <v>6358</v>
      </c>
    </row>
    <row r="1389" spans="1:3" x14ac:dyDescent="0.3">
      <c r="A1389" t="s">
        <v>6367</v>
      </c>
      <c r="B1389" s="4" t="s">
        <v>6361</v>
      </c>
      <c r="C1389" t="s">
        <v>6346</v>
      </c>
    </row>
    <row r="1390" spans="1:3" x14ac:dyDescent="0.3">
      <c r="A1390" t="s">
        <v>6367</v>
      </c>
      <c r="B1390" s="4" t="s">
        <v>6361</v>
      </c>
      <c r="C1390" t="s">
        <v>6337</v>
      </c>
    </row>
    <row r="1391" spans="1:3" x14ac:dyDescent="0.3">
      <c r="A1391" t="s">
        <v>6367</v>
      </c>
      <c r="B1391" s="4" t="s">
        <v>6361</v>
      </c>
      <c r="C1391" t="s">
        <v>6345</v>
      </c>
    </row>
    <row r="1392" spans="1:3" x14ac:dyDescent="0.3">
      <c r="A1392" t="s">
        <v>6367</v>
      </c>
      <c r="B1392" s="4" t="s">
        <v>6361</v>
      </c>
      <c r="C1392" t="s">
        <v>6342</v>
      </c>
    </row>
    <row r="1393" spans="1:3" x14ac:dyDescent="0.3">
      <c r="A1393" t="s">
        <v>6367</v>
      </c>
      <c r="B1393" s="4" t="s">
        <v>6361</v>
      </c>
      <c r="C1393" t="s">
        <v>958</v>
      </c>
    </row>
    <row r="1394" spans="1:3" x14ac:dyDescent="0.3">
      <c r="A1394" t="s">
        <v>6367</v>
      </c>
      <c r="B1394" s="4" t="s">
        <v>6361</v>
      </c>
      <c r="C1394" t="s">
        <v>958</v>
      </c>
    </row>
    <row r="1395" spans="1:3" x14ac:dyDescent="0.3">
      <c r="A1395" t="s">
        <v>6367</v>
      </c>
      <c r="B1395" s="4" t="s">
        <v>6361</v>
      </c>
      <c r="C1395" t="s">
        <v>6358</v>
      </c>
    </row>
    <row r="1396" spans="1:3" x14ac:dyDescent="0.3">
      <c r="A1396" t="s">
        <v>6367</v>
      </c>
      <c r="B1396" s="4" t="s">
        <v>6361</v>
      </c>
      <c r="C1396" t="s">
        <v>6358</v>
      </c>
    </row>
    <row r="1397" spans="1:3" x14ac:dyDescent="0.3">
      <c r="A1397" t="s">
        <v>6367</v>
      </c>
      <c r="B1397" s="4" t="s">
        <v>6361</v>
      </c>
      <c r="C1397" t="s">
        <v>6358</v>
      </c>
    </row>
    <row r="1398" spans="1:3" x14ac:dyDescent="0.3">
      <c r="A1398" t="s">
        <v>6367</v>
      </c>
      <c r="B1398" s="4" t="s">
        <v>6361</v>
      </c>
      <c r="C1398" t="s">
        <v>6358</v>
      </c>
    </row>
    <row r="1399" spans="1:3" x14ac:dyDescent="0.3">
      <c r="A1399" t="s">
        <v>6367</v>
      </c>
      <c r="B1399" s="4" t="s">
        <v>6361</v>
      </c>
      <c r="C1399" t="s">
        <v>958</v>
      </c>
    </row>
    <row r="1400" spans="1:3" x14ac:dyDescent="0.3">
      <c r="A1400" t="s">
        <v>6367</v>
      </c>
      <c r="B1400" s="4" t="s">
        <v>6361</v>
      </c>
      <c r="C1400" t="s">
        <v>6337</v>
      </c>
    </row>
    <row r="1401" spans="1:3" x14ac:dyDescent="0.3">
      <c r="A1401" t="s">
        <v>6367</v>
      </c>
      <c r="B1401" s="4" t="s">
        <v>6361</v>
      </c>
      <c r="C1401" t="s">
        <v>6345</v>
      </c>
    </row>
    <row r="1402" spans="1:3" x14ac:dyDescent="0.3">
      <c r="A1402" t="s">
        <v>6367</v>
      </c>
      <c r="B1402" s="4" t="s">
        <v>6361</v>
      </c>
      <c r="C1402" t="s">
        <v>958</v>
      </c>
    </row>
    <row r="1403" spans="1:3" x14ac:dyDescent="0.3">
      <c r="A1403" t="s">
        <v>6367</v>
      </c>
      <c r="B1403" s="4" t="s">
        <v>6361</v>
      </c>
      <c r="C1403" t="s">
        <v>6345</v>
      </c>
    </row>
    <row r="1404" spans="1:3" x14ac:dyDescent="0.3">
      <c r="A1404" t="s">
        <v>6367</v>
      </c>
      <c r="B1404" s="4" t="s">
        <v>6361</v>
      </c>
      <c r="C1404" t="s">
        <v>6358</v>
      </c>
    </row>
    <row r="1405" spans="1:3" x14ac:dyDescent="0.3">
      <c r="A1405" t="s">
        <v>6367</v>
      </c>
      <c r="B1405" s="4" t="s">
        <v>6361</v>
      </c>
      <c r="C1405" t="s">
        <v>6346</v>
      </c>
    </row>
    <row r="1406" spans="1:3" x14ac:dyDescent="0.3">
      <c r="A1406" t="s">
        <v>6367</v>
      </c>
      <c r="B1406" s="4" t="s">
        <v>6361</v>
      </c>
      <c r="C1406" t="s">
        <v>6337</v>
      </c>
    </row>
    <row r="1407" spans="1:3" x14ac:dyDescent="0.3">
      <c r="A1407" t="s">
        <v>6367</v>
      </c>
      <c r="B1407" s="4" t="s">
        <v>6361</v>
      </c>
      <c r="C1407" t="s">
        <v>6345</v>
      </c>
    </row>
    <row r="1408" spans="1:3" x14ac:dyDescent="0.3">
      <c r="A1408" t="s">
        <v>6367</v>
      </c>
      <c r="B1408" s="4" t="s">
        <v>6361</v>
      </c>
      <c r="C1408" t="s">
        <v>6337</v>
      </c>
    </row>
    <row r="1409" spans="1:3" x14ac:dyDescent="0.3">
      <c r="A1409" t="s">
        <v>6367</v>
      </c>
      <c r="B1409" s="4" t="s">
        <v>6361</v>
      </c>
      <c r="C1409" t="s">
        <v>6346</v>
      </c>
    </row>
    <row r="1410" spans="1:3" x14ac:dyDescent="0.3">
      <c r="A1410" t="s">
        <v>6367</v>
      </c>
      <c r="B1410" s="4" t="s">
        <v>6361</v>
      </c>
      <c r="C1410" t="s">
        <v>6369</v>
      </c>
    </row>
    <row r="1411" spans="1:3" x14ac:dyDescent="0.3">
      <c r="A1411" t="s">
        <v>6367</v>
      </c>
      <c r="B1411" s="4" t="s">
        <v>6361</v>
      </c>
      <c r="C1411" t="s">
        <v>6339</v>
      </c>
    </row>
    <row r="1412" spans="1:3" x14ac:dyDescent="0.3">
      <c r="A1412" t="s">
        <v>6367</v>
      </c>
      <c r="B1412" s="4" t="s">
        <v>6361</v>
      </c>
      <c r="C1412" t="s">
        <v>6339</v>
      </c>
    </row>
    <row r="1413" spans="1:3" x14ac:dyDescent="0.3">
      <c r="A1413" t="s">
        <v>6367</v>
      </c>
      <c r="B1413" s="4" t="s">
        <v>6361</v>
      </c>
      <c r="C1413" t="s">
        <v>6339</v>
      </c>
    </row>
    <row r="1414" spans="1:3" x14ac:dyDescent="0.3">
      <c r="A1414" t="s">
        <v>6367</v>
      </c>
      <c r="B1414" s="4" t="s">
        <v>6361</v>
      </c>
      <c r="C1414" t="s">
        <v>6339</v>
      </c>
    </row>
    <row r="1415" spans="1:3" x14ac:dyDescent="0.3">
      <c r="A1415" t="s">
        <v>6367</v>
      </c>
      <c r="B1415" s="4" t="s">
        <v>6361</v>
      </c>
      <c r="C1415" t="s">
        <v>6339</v>
      </c>
    </row>
    <row r="1416" spans="1:3" x14ac:dyDescent="0.3">
      <c r="A1416" t="s">
        <v>6367</v>
      </c>
      <c r="B1416" s="4" t="s">
        <v>6361</v>
      </c>
      <c r="C1416" t="s">
        <v>6339</v>
      </c>
    </row>
    <row r="1417" spans="1:3" x14ac:dyDescent="0.3">
      <c r="A1417" t="s">
        <v>6367</v>
      </c>
      <c r="B1417" s="4" t="s">
        <v>6361</v>
      </c>
      <c r="C1417" t="s">
        <v>6339</v>
      </c>
    </row>
    <row r="1418" spans="1:3" x14ac:dyDescent="0.3">
      <c r="A1418" t="s">
        <v>6367</v>
      </c>
      <c r="B1418" s="4" t="s">
        <v>6361</v>
      </c>
      <c r="C1418" t="s">
        <v>6339</v>
      </c>
    </row>
    <row r="1419" spans="1:3" x14ac:dyDescent="0.3">
      <c r="A1419" t="s">
        <v>6367</v>
      </c>
      <c r="B1419" s="4" t="s">
        <v>6361</v>
      </c>
      <c r="C1419" t="s">
        <v>6339</v>
      </c>
    </row>
    <row r="1420" spans="1:3" x14ac:dyDescent="0.3">
      <c r="A1420" t="s">
        <v>6367</v>
      </c>
      <c r="B1420" s="4" t="s">
        <v>6361</v>
      </c>
      <c r="C1420" t="s">
        <v>6339</v>
      </c>
    </row>
    <row r="1421" spans="1:3" x14ac:dyDescent="0.3">
      <c r="A1421" t="s">
        <v>6367</v>
      </c>
      <c r="B1421" s="4" t="s">
        <v>6361</v>
      </c>
      <c r="C1421" t="s">
        <v>958</v>
      </c>
    </row>
    <row r="1422" spans="1:3" x14ac:dyDescent="0.3">
      <c r="A1422" t="s">
        <v>6367</v>
      </c>
      <c r="B1422" s="4" t="s">
        <v>6361</v>
      </c>
      <c r="C1422" t="s">
        <v>958</v>
      </c>
    </row>
    <row r="1423" spans="1:3" x14ac:dyDescent="0.3">
      <c r="A1423" t="s">
        <v>6367</v>
      </c>
      <c r="B1423" s="4" t="s">
        <v>6361</v>
      </c>
      <c r="C1423" t="s">
        <v>6345</v>
      </c>
    </row>
    <row r="1424" spans="1:3" x14ac:dyDescent="0.3">
      <c r="A1424" t="s">
        <v>6367</v>
      </c>
      <c r="B1424" s="4" t="s">
        <v>6361</v>
      </c>
      <c r="C1424" t="s">
        <v>6369</v>
      </c>
    </row>
    <row r="1425" spans="1:3" x14ac:dyDescent="0.3">
      <c r="A1425" t="s">
        <v>6367</v>
      </c>
      <c r="B1425" s="4" t="s">
        <v>6361</v>
      </c>
      <c r="C1425" t="s">
        <v>6369</v>
      </c>
    </row>
    <row r="1426" spans="1:3" x14ac:dyDescent="0.3">
      <c r="A1426" t="s">
        <v>6367</v>
      </c>
      <c r="B1426" s="4" t="s">
        <v>6361</v>
      </c>
      <c r="C1426" t="s">
        <v>958</v>
      </c>
    </row>
    <row r="1427" spans="1:3" x14ac:dyDescent="0.3">
      <c r="A1427" t="s">
        <v>6367</v>
      </c>
      <c r="B1427" s="4" t="s">
        <v>6361</v>
      </c>
      <c r="C1427" t="s">
        <v>958</v>
      </c>
    </row>
    <row r="1428" spans="1:3" x14ac:dyDescent="0.3">
      <c r="A1428" t="s">
        <v>6367</v>
      </c>
      <c r="B1428" s="4" t="s">
        <v>6361</v>
      </c>
      <c r="C1428" t="s">
        <v>958</v>
      </c>
    </row>
    <row r="1429" spans="1:3" x14ac:dyDescent="0.3">
      <c r="A1429" t="s">
        <v>6367</v>
      </c>
      <c r="B1429" s="4" t="s">
        <v>6361</v>
      </c>
      <c r="C1429" t="s">
        <v>958</v>
      </c>
    </row>
    <row r="1430" spans="1:3" x14ac:dyDescent="0.3">
      <c r="A1430" t="s">
        <v>6367</v>
      </c>
      <c r="B1430" s="4" t="s">
        <v>6361</v>
      </c>
      <c r="C1430" t="s">
        <v>6342</v>
      </c>
    </row>
    <row r="1431" spans="1:3" x14ac:dyDescent="0.3">
      <c r="A1431" t="s">
        <v>6367</v>
      </c>
      <c r="B1431" s="4" t="s">
        <v>6361</v>
      </c>
      <c r="C1431" t="s">
        <v>6369</v>
      </c>
    </row>
    <row r="1432" spans="1:3" x14ac:dyDescent="0.3">
      <c r="A1432" t="s">
        <v>6367</v>
      </c>
      <c r="B1432" s="4" t="s">
        <v>6361</v>
      </c>
      <c r="C1432" t="s">
        <v>6337</v>
      </c>
    </row>
    <row r="1433" spans="1:3" x14ac:dyDescent="0.3">
      <c r="A1433" t="s">
        <v>6367</v>
      </c>
      <c r="B1433" s="4" t="s">
        <v>6361</v>
      </c>
      <c r="C1433" t="s">
        <v>6337</v>
      </c>
    </row>
    <row r="1434" spans="1:3" x14ac:dyDescent="0.3">
      <c r="A1434" t="s">
        <v>6367</v>
      </c>
      <c r="B1434" s="4" t="s">
        <v>6361</v>
      </c>
      <c r="C1434" t="s">
        <v>6337</v>
      </c>
    </row>
    <row r="1435" spans="1:3" x14ac:dyDescent="0.3">
      <c r="A1435" t="s">
        <v>6367</v>
      </c>
      <c r="B1435" s="4" t="s">
        <v>6361</v>
      </c>
      <c r="C1435" t="s">
        <v>6345</v>
      </c>
    </row>
    <row r="1436" spans="1:3" x14ac:dyDescent="0.3">
      <c r="A1436" t="s">
        <v>6367</v>
      </c>
      <c r="B1436" s="4" t="s">
        <v>6361</v>
      </c>
      <c r="C1436" t="s">
        <v>6345</v>
      </c>
    </row>
    <row r="1437" spans="1:3" x14ac:dyDescent="0.3">
      <c r="A1437" t="s">
        <v>6367</v>
      </c>
      <c r="B1437" s="4" t="s">
        <v>6361</v>
      </c>
      <c r="C1437" t="s">
        <v>6345</v>
      </c>
    </row>
    <row r="1438" spans="1:3" x14ac:dyDescent="0.3">
      <c r="A1438" t="s">
        <v>6367</v>
      </c>
      <c r="B1438" s="4" t="s">
        <v>6361</v>
      </c>
      <c r="C1438" t="s">
        <v>6345</v>
      </c>
    </row>
    <row r="1439" spans="1:3" x14ac:dyDescent="0.3">
      <c r="A1439" t="s">
        <v>6367</v>
      </c>
      <c r="B1439" s="4" t="s">
        <v>6361</v>
      </c>
      <c r="C1439" t="s">
        <v>958</v>
      </c>
    </row>
    <row r="1440" spans="1:3" x14ac:dyDescent="0.3">
      <c r="A1440" t="s">
        <v>6367</v>
      </c>
      <c r="B1440" s="4" t="s">
        <v>6361</v>
      </c>
      <c r="C1440" t="s">
        <v>958</v>
      </c>
    </row>
    <row r="1441" spans="1:3" x14ac:dyDescent="0.3">
      <c r="A1441" t="s">
        <v>6367</v>
      </c>
      <c r="B1441" s="4" t="s">
        <v>6361</v>
      </c>
      <c r="C1441" t="s">
        <v>958</v>
      </c>
    </row>
    <row r="1442" spans="1:3" x14ac:dyDescent="0.3">
      <c r="A1442" t="s">
        <v>6367</v>
      </c>
      <c r="B1442" s="4" t="s">
        <v>6361</v>
      </c>
      <c r="C1442" t="s">
        <v>958</v>
      </c>
    </row>
    <row r="1443" spans="1:3" x14ac:dyDescent="0.3">
      <c r="A1443" t="s">
        <v>6367</v>
      </c>
      <c r="B1443" s="4" t="s">
        <v>6361</v>
      </c>
      <c r="C1443" t="s">
        <v>958</v>
      </c>
    </row>
    <row r="1444" spans="1:3" x14ac:dyDescent="0.3">
      <c r="A1444" t="s">
        <v>6367</v>
      </c>
      <c r="B1444" s="4" t="s">
        <v>6361</v>
      </c>
      <c r="C1444" t="s">
        <v>958</v>
      </c>
    </row>
    <row r="1445" spans="1:3" x14ac:dyDescent="0.3">
      <c r="A1445" t="s">
        <v>6367</v>
      </c>
      <c r="B1445" s="4" t="s">
        <v>6361</v>
      </c>
      <c r="C1445" t="s">
        <v>958</v>
      </c>
    </row>
    <row r="1446" spans="1:3" x14ac:dyDescent="0.3">
      <c r="A1446" t="s">
        <v>6367</v>
      </c>
      <c r="B1446" s="4" t="s">
        <v>6361</v>
      </c>
      <c r="C1446" t="s">
        <v>958</v>
      </c>
    </row>
    <row r="1447" spans="1:3" x14ac:dyDescent="0.3">
      <c r="A1447" t="s">
        <v>6367</v>
      </c>
      <c r="B1447" s="4" t="s">
        <v>6361</v>
      </c>
      <c r="C1447" t="s">
        <v>6358</v>
      </c>
    </row>
    <row r="1448" spans="1:3" x14ac:dyDescent="0.3">
      <c r="A1448" t="s">
        <v>6367</v>
      </c>
      <c r="B1448" s="4" t="s">
        <v>6361</v>
      </c>
      <c r="C1448" t="s">
        <v>958</v>
      </c>
    </row>
    <row r="1449" spans="1:3" x14ac:dyDescent="0.3">
      <c r="A1449" t="s">
        <v>6367</v>
      </c>
      <c r="B1449" s="4" t="s">
        <v>6361</v>
      </c>
      <c r="C1449" t="s">
        <v>958</v>
      </c>
    </row>
    <row r="1450" spans="1:3" x14ac:dyDescent="0.3">
      <c r="A1450" t="s">
        <v>6367</v>
      </c>
      <c r="B1450" s="4" t="s">
        <v>6361</v>
      </c>
      <c r="C1450" t="s">
        <v>958</v>
      </c>
    </row>
    <row r="1451" spans="1:3" x14ac:dyDescent="0.3">
      <c r="A1451" t="s">
        <v>6367</v>
      </c>
      <c r="B1451" s="4" t="s">
        <v>6361</v>
      </c>
      <c r="C1451" t="s">
        <v>958</v>
      </c>
    </row>
    <row r="1452" spans="1:3" x14ac:dyDescent="0.3">
      <c r="A1452" t="s">
        <v>6367</v>
      </c>
      <c r="B1452" s="4" t="s">
        <v>6361</v>
      </c>
      <c r="C1452" t="s">
        <v>958</v>
      </c>
    </row>
    <row r="1453" spans="1:3" x14ac:dyDescent="0.3">
      <c r="A1453" t="s">
        <v>6367</v>
      </c>
      <c r="B1453" s="4" t="s">
        <v>6361</v>
      </c>
      <c r="C1453" t="s">
        <v>6348</v>
      </c>
    </row>
    <row r="1454" spans="1:3" x14ac:dyDescent="0.3">
      <c r="A1454" t="s">
        <v>6367</v>
      </c>
      <c r="B1454" s="4" t="s">
        <v>6361</v>
      </c>
      <c r="C1454" t="s">
        <v>958</v>
      </c>
    </row>
    <row r="1455" spans="1:3" x14ac:dyDescent="0.3">
      <c r="A1455" t="s">
        <v>6367</v>
      </c>
      <c r="B1455" s="4" t="s">
        <v>6361</v>
      </c>
      <c r="C1455" t="s">
        <v>6345</v>
      </c>
    </row>
    <row r="1456" spans="1:3" x14ac:dyDescent="0.3">
      <c r="A1456" t="s">
        <v>6367</v>
      </c>
      <c r="B1456" s="4" t="s">
        <v>6361</v>
      </c>
      <c r="C1456" t="s">
        <v>6342</v>
      </c>
    </row>
    <row r="1457" spans="1:3" x14ac:dyDescent="0.3">
      <c r="A1457" t="s">
        <v>6367</v>
      </c>
      <c r="B1457" s="4" t="s">
        <v>6361</v>
      </c>
      <c r="C1457" t="s">
        <v>6369</v>
      </c>
    </row>
    <row r="1458" spans="1:3" x14ac:dyDescent="0.3">
      <c r="A1458" t="s">
        <v>6367</v>
      </c>
      <c r="B1458" s="4" t="s">
        <v>6361</v>
      </c>
      <c r="C1458" t="s">
        <v>6369</v>
      </c>
    </row>
    <row r="1459" spans="1:3" x14ac:dyDescent="0.3">
      <c r="A1459" t="s">
        <v>6367</v>
      </c>
      <c r="B1459" s="4" t="s">
        <v>6361</v>
      </c>
      <c r="C1459" t="s">
        <v>6358</v>
      </c>
    </row>
    <row r="1460" spans="1:3" x14ac:dyDescent="0.3">
      <c r="A1460" t="s">
        <v>6367</v>
      </c>
      <c r="B1460" s="4" t="s">
        <v>6361</v>
      </c>
      <c r="C1460" t="s">
        <v>958</v>
      </c>
    </row>
    <row r="1461" spans="1:3" x14ac:dyDescent="0.3">
      <c r="A1461" t="s">
        <v>6367</v>
      </c>
      <c r="B1461" s="4" t="s">
        <v>6361</v>
      </c>
      <c r="C1461" t="s">
        <v>6369</v>
      </c>
    </row>
    <row r="1462" spans="1:3" x14ac:dyDescent="0.3">
      <c r="A1462" t="s">
        <v>6367</v>
      </c>
      <c r="B1462" s="4" t="s">
        <v>6361</v>
      </c>
      <c r="C1462" t="s">
        <v>6369</v>
      </c>
    </row>
    <row r="1463" spans="1:3" x14ac:dyDescent="0.3">
      <c r="A1463" t="s">
        <v>6367</v>
      </c>
      <c r="B1463" s="4" t="s">
        <v>6361</v>
      </c>
      <c r="C1463" t="s">
        <v>6369</v>
      </c>
    </row>
    <row r="1464" spans="1:3" x14ac:dyDescent="0.3">
      <c r="A1464" t="s">
        <v>6367</v>
      </c>
      <c r="B1464" s="4" t="s">
        <v>6361</v>
      </c>
      <c r="C1464" t="s">
        <v>6369</v>
      </c>
    </row>
    <row r="1465" spans="1:3" x14ac:dyDescent="0.3">
      <c r="A1465" t="s">
        <v>6367</v>
      </c>
      <c r="B1465" s="4" t="s">
        <v>6361</v>
      </c>
      <c r="C1465" t="s">
        <v>958</v>
      </c>
    </row>
    <row r="1466" spans="1:3" x14ac:dyDescent="0.3">
      <c r="A1466" t="s">
        <v>6367</v>
      </c>
      <c r="B1466" s="4" t="s">
        <v>6361</v>
      </c>
      <c r="C1466" t="s">
        <v>6345</v>
      </c>
    </row>
    <row r="1467" spans="1:3" x14ac:dyDescent="0.3">
      <c r="A1467" t="s">
        <v>6367</v>
      </c>
      <c r="B1467" s="4" t="s">
        <v>6361</v>
      </c>
      <c r="C1467" t="s">
        <v>6345</v>
      </c>
    </row>
    <row r="1468" spans="1:3" x14ac:dyDescent="0.3">
      <c r="A1468" t="s">
        <v>6367</v>
      </c>
      <c r="B1468" s="4" t="s">
        <v>6361</v>
      </c>
      <c r="C1468" t="s">
        <v>6345</v>
      </c>
    </row>
    <row r="1469" spans="1:3" x14ac:dyDescent="0.3">
      <c r="A1469" t="s">
        <v>6367</v>
      </c>
      <c r="B1469" s="4" t="s">
        <v>6361</v>
      </c>
      <c r="C1469" t="s">
        <v>6342</v>
      </c>
    </row>
    <row r="1470" spans="1:3" x14ac:dyDescent="0.3">
      <c r="A1470" t="s">
        <v>6367</v>
      </c>
      <c r="B1470" s="4" t="s">
        <v>6361</v>
      </c>
      <c r="C1470" t="s">
        <v>6358</v>
      </c>
    </row>
    <row r="1471" spans="1:3" x14ac:dyDescent="0.3">
      <c r="A1471" t="s">
        <v>6367</v>
      </c>
      <c r="B1471" s="4" t="s">
        <v>6361</v>
      </c>
      <c r="C1471" t="s">
        <v>6369</v>
      </c>
    </row>
    <row r="1472" spans="1:3" x14ac:dyDescent="0.3">
      <c r="A1472" t="s">
        <v>6367</v>
      </c>
      <c r="B1472" s="4" t="s">
        <v>6361</v>
      </c>
      <c r="C1472" t="s">
        <v>6369</v>
      </c>
    </row>
    <row r="1473" spans="1:3" x14ac:dyDescent="0.3">
      <c r="A1473" t="s">
        <v>6367</v>
      </c>
      <c r="B1473" s="4" t="s">
        <v>6361</v>
      </c>
      <c r="C1473" t="s">
        <v>6369</v>
      </c>
    </row>
    <row r="1474" spans="1:3" x14ac:dyDescent="0.3">
      <c r="A1474" t="s">
        <v>6367</v>
      </c>
      <c r="B1474" s="4" t="s">
        <v>6361</v>
      </c>
      <c r="C1474" t="s">
        <v>6337</v>
      </c>
    </row>
    <row r="1475" spans="1:3" x14ac:dyDescent="0.3">
      <c r="A1475" t="s">
        <v>6367</v>
      </c>
      <c r="B1475" s="4" t="s">
        <v>6361</v>
      </c>
      <c r="C1475" t="s">
        <v>6337</v>
      </c>
    </row>
    <row r="1476" spans="1:3" x14ac:dyDescent="0.3">
      <c r="A1476" t="s">
        <v>6367</v>
      </c>
      <c r="B1476" s="4" t="s">
        <v>6361</v>
      </c>
      <c r="C1476" t="s">
        <v>958</v>
      </c>
    </row>
    <row r="1477" spans="1:3" x14ac:dyDescent="0.3">
      <c r="A1477" t="s">
        <v>6367</v>
      </c>
      <c r="B1477" s="4" t="s">
        <v>6361</v>
      </c>
      <c r="C1477" t="s">
        <v>958</v>
      </c>
    </row>
    <row r="1478" spans="1:3" x14ac:dyDescent="0.3">
      <c r="A1478" t="s">
        <v>6367</v>
      </c>
      <c r="B1478" s="4" t="s">
        <v>6361</v>
      </c>
      <c r="C1478" t="s">
        <v>958</v>
      </c>
    </row>
    <row r="1479" spans="1:3" x14ac:dyDescent="0.3">
      <c r="A1479" t="s">
        <v>6367</v>
      </c>
      <c r="B1479" s="4" t="s">
        <v>6361</v>
      </c>
      <c r="C1479" t="s">
        <v>958</v>
      </c>
    </row>
    <row r="1480" spans="1:3" x14ac:dyDescent="0.3">
      <c r="A1480" t="s">
        <v>6367</v>
      </c>
      <c r="B1480" s="4" t="s">
        <v>6361</v>
      </c>
      <c r="C1480" t="s">
        <v>958</v>
      </c>
    </row>
    <row r="1481" spans="1:3" x14ac:dyDescent="0.3">
      <c r="A1481" t="s">
        <v>6367</v>
      </c>
      <c r="B1481" s="4" t="s">
        <v>6361</v>
      </c>
      <c r="C1481" t="s">
        <v>958</v>
      </c>
    </row>
    <row r="1482" spans="1:3" x14ac:dyDescent="0.3">
      <c r="A1482" t="s">
        <v>6367</v>
      </c>
      <c r="B1482" s="4" t="s">
        <v>6361</v>
      </c>
      <c r="C1482" t="s">
        <v>958</v>
      </c>
    </row>
    <row r="1483" spans="1:3" x14ac:dyDescent="0.3">
      <c r="A1483" t="s">
        <v>6367</v>
      </c>
      <c r="B1483" s="4" t="s">
        <v>6361</v>
      </c>
      <c r="C1483" t="s">
        <v>958</v>
      </c>
    </row>
    <row r="1484" spans="1:3" x14ac:dyDescent="0.3">
      <c r="A1484" t="s">
        <v>6367</v>
      </c>
      <c r="B1484" s="4" t="s">
        <v>6361</v>
      </c>
      <c r="C1484" t="s">
        <v>958</v>
      </c>
    </row>
    <row r="1485" spans="1:3" x14ac:dyDescent="0.3">
      <c r="A1485" t="s">
        <v>6367</v>
      </c>
      <c r="B1485" s="4" t="s">
        <v>6361</v>
      </c>
      <c r="C1485" t="s">
        <v>6345</v>
      </c>
    </row>
    <row r="1486" spans="1:3" x14ac:dyDescent="0.3">
      <c r="A1486" t="s">
        <v>6367</v>
      </c>
      <c r="B1486" s="4" t="s">
        <v>6361</v>
      </c>
      <c r="C1486" t="s">
        <v>6345</v>
      </c>
    </row>
    <row r="1487" spans="1:3" x14ac:dyDescent="0.3">
      <c r="A1487" t="s">
        <v>6367</v>
      </c>
      <c r="B1487" s="4" t="s">
        <v>6361</v>
      </c>
      <c r="C1487" t="s">
        <v>6345</v>
      </c>
    </row>
    <row r="1488" spans="1:3" x14ac:dyDescent="0.3">
      <c r="A1488" t="s">
        <v>6367</v>
      </c>
      <c r="B1488" s="4" t="s">
        <v>6361</v>
      </c>
      <c r="C1488" t="s">
        <v>6345</v>
      </c>
    </row>
    <row r="1489" spans="1:3" x14ac:dyDescent="0.3">
      <c r="A1489" t="s">
        <v>6367</v>
      </c>
      <c r="B1489" s="4" t="s">
        <v>6361</v>
      </c>
      <c r="C1489" t="s">
        <v>6345</v>
      </c>
    </row>
    <row r="1490" spans="1:3" x14ac:dyDescent="0.3">
      <c r="A1490" t="s">
        <v>6367</v>
      </c>
      <c r="B1490" s="4" t="s">
        <v>6361</v>
      </c>
      <c r="C1490" t="s">
        <v>6345</v>
      </c>
    </row>
    <row r="1491" spans="1:3" x14ac:dyDescent="0.3">
      <c r="A1491" t="s">
        <v>6367</v>
      </c>
      <c r="B1491" s="4" t="s">
        <v>6361</v>
      </c>
      <c r="C1491" t="s">
        <v>6345</v>
      </c>
    </row>
    <row r="1492" spans="1:3" x14ac:dyDescent="0.3">
      <c r="A1492" t="s">
        <v>6367</v>
      </c>
      <c r="B1492" s="4" t="s">
        <v>6361</v>
      </c>
      <c r="C1492" t="s">
        <v>6345</v>
      </c>
    </row>
    <row r="1493" spans="1:3" x14ac:dyDescent="0.3">
      <c r="A1493" t="s">
        <v>6367</v>
      </c>
      <c r="B1493" s="4" t="s">
        <v>6361</v>
      </c>
      <c r="C1493" t="s">
        <v>6342</v>
      </c>
    </row>
    <row r="1494" spans="1:3" x14ac:dyDescent="0.3">
      <c r="A1494" t="s">
        <v>6367</v>
      </c>
      <c r="B1494" s="4" t="s">
        <v>6361</v>
      </c>
      <c r="C1494" t="s">
        <v>6342</v>
      </c>
    </row>
    <row r="1495" spans="1:3" x14ac:dyDescent="0.3">
      <c r="A1495" t="s">
        <v>6367</v>
      </c>
      <c r="B1495" s="4" t="s">
        <v>6361</v>
      </c>
      <c r="C1495" t="s">
        <v>6342</v>
      </c>
    </row>
    <row r="1496" spans="1:3" x14ac:dyDescent="0.3">
      <c r="A1496" t="s">
        <v>6367</v>
      </c>
      <c r="B1496" s="4" t="s">
        <v>6361</v>
      </c>
      <c r="C1496" t="s">
        <v>6342</v>
      </c>
    </row>
    <row r="1497" spans="1:3" x14ac:dyDescent="0.3">
      <c r="A1497" t="s">
        <v>6367</v>
      </c>
      <c r="B1497" s="4" t="s">
        <v>6361</v>
      </c>
      <c r="C1497" t="s">
        <v>6342</v>
      </c>
    </row>
    <row r="1498" spans="1:3" x14ac:dyDescent="0.3">
      <c r="A1498" t="s">
        <v>6367</v>
      </c>
      <c r="B1498" s="4" t="s">
        <v>6361</v>
      </c>
      <c r="C1498" t="s">
        <v>6342</v>
      </c>
    </row>
    <row r="1499" spans="1:3" x14ac:dyDescent="0.3">
      <c r="A1499" t="s">
        <v>6367</v>
      </c>
      <c r="B1499" s="4" t="s">
        <v>6361</v>
      </c>
      <c r="C1499" t="s">
        <v>6342</v>
      </c>
    </row>
    <row r="1500" spans="1:3" x14ac:dyDescent="0.3">
      <c r="A1500" t="s">
        <v>6367</v>
      </c>
      <c r="B1500" s="4" t="s">
        <v>6361</v>
      </c>
      <c r="C1500" t="s">
        <v>6342</v>
      </c>
    </row>
    <row r="1501" spans="1:3" x14ac:dyDescent="0.3">
      <c r="A1501" t="s">
        <v>6367</v>
      </c>
      <c r="B1501" s="4" t="s">
        <v>6361</v>
      </c>
      <c r="C1501" t="s">
        <v>6342</v>
      </c>
    </row>
    <row r="1502" spans="1:3" x14ac:dyDescent="0.3">
      <c r="A1502" t="s">
        <v>6367</v>
      </c>
      <c r="B1502" s="4" t="s">
        <v>6361</v>
      </c>
      <c r="C1502" t="s">
        <v>6342</v>
      </c>
    </row>
    <row r="1503" spans="1:3" x14ac:dyDescent="0.3">
      <c r="A1503" t="s">
        <v>6367</v>
      </c>
      <c r="B1503" s="4" t="s">
        <v>6361</v>
      </c>
      <c r="C1503" t="s">
        <v>6358</v>
      </c>
    </row>
    <row r="1504" spans="1:3" x14ac:dyDescent="0.3">
      <c r="A1504" t="s">
        <v>6367</v>
      </c>
      <c r="B1504" s="4" t="s">
        <v>6361</v>
      </c>
      <c r="C1504" t="s">
        <v>6358</v>
      </c>
    </row>
    <row r="1505" spans="1:3" x14ac:dyDescent="0.3">
      <c r="A1505" t="s">
        <v>6367</v>
      </c>
      <c r="B1505" s="4" t="s">
        <v>6361</v>
      </c>
      <c r="C1505" t="s">
        <v>6358</v>
      </c>
    </row>
    <row r="1506" spans="1:3" x14ac:dyDescent="0.3">
      <c r="A1506" t="s">
        <v>6367</v>
      </c>
      <c r="B1506" s="4" t="s">
        <v>6361</v>
      </c>
      <c r="C1506" t="s">
        <v>6358</v>
      </c>
    </row>
    <row r="1507" spans="1:3" x14ac:dyDescent="0.3">
      <c r="A1507" t="s">
        <v>6367</v>
      </c>
      <c r="B1507" s="4" t="s">
        <v>6361</v>
      </c>
      <c r="C1507" t="s">
        <v>6358</v>
      </c>
    </row>
    <row r="1508" spans="1:3" x14ac:dyDescent="0.3">
      <c r="A1508" t="s">
        <v>6367</v>
      </c>
      <c r="B1508" s="4" t="s">
        <v>6361</v>
      </c>
      <c r="C1508" t="s">
        <v>6358</v>
      </c>
    </row>
    <row r="1509" spans="1:3" x14ac:dyDescent="0.3">
      <c r="A1509" t="s">
        <v>6367</v>
      </c>
      <c r="B1509" s="4" t="s">
        <v>6361</v>
      </c>
      <c r="C1509" t="s">
        <v>6358</v>
      </c>
    </row>
    <row r="1510" spans="1:3" x14ac:dyDescent="0.3">
      <c r="A1510" t="s">
        <v>6367</v>
      </c>
      <c r="B1510" s="4" t="s">
        <v>6361</v>
      </c>
      <c r="C1510" t="s">
        <v>6358</v>
      </c>
    </row>
    <row r="1511" spans="1:3" x14ac:dyDescent="0.3">
      <c r="A1511" t="s">
        <v>6367</v>
      </c>
      <c r="B1511" s="4" t="s">
        <v>6361</v>
      </c>
      <c r="C1511" t="s">
        <v>6358</v>
      </c>
    </row>
    <row r="1512" spans="1:3" x14ac:dyDescent="0.3">
      <c r="A1512" t="s">
        <v>6367</v>
      </c>
      <c r="B1512" s="4" t="s">
        <v>6361</v>
      </c>
      <c r="C1512" t="s">
        <v>6358</v>
      </c>
    </row>
    <row r="1513" spans="1:3" x14ac:dyDescent="0.3">
      <c r="A1513" t="s">
        <v>6367</v>
      </c>
      <c r="B1513" s="4" t="s">
        <v>6361</v>
      </c>
      <c r="C1513" t="s">
        <v>6358</v>
      </c>
    </row>
    <row r="1514" spans="1:3" x14ac:dyDescent="0.3">
      <c r="A1514" t="s">
        <v>6367</v>
      </c>
      <c r="B1514" s="4" t="s">
        <v>6361</v>
      </c>
      <c r="C1514" t="s">
        <v>6346</v>
      </c>
    </row>
    <row r="1515" spans="1:3" x14ac:dyDescent="0.3">
      <c r="A1515" t="s">
        <v>6367</v>
      </c>
      <c r="B1515" s="4" t="s">
        <v>6361</v>
      </c>
      <c r="C1515" t="s">
        <v>6369</v>
      </c>
    </row>
    <row r="1516" spans="1:3" x14ac:dyDescent="0.3">
      <c r="A1516" t="s">
        <v>6367</v>
      </c>
      <c r="B1516" s="4" t="s">
        <v>6361</v>
      </c>
      <c r="C1516" t="s">
        <v>6369</v>
      </c>
    </row>
    <row r="1517" spans="1:3" x14ac:dyDescent="0.3">
      <c r="A1517" t="s">
        <v>6367</v>
      </c>
      <c r="B1517" s="4" t="s">
        <v>6361</v>
      </c>
      <c r="C1517" t="s">
        <v>6369</v>
      </c>
    </row>
    <row r="1518" spans="1:3" x14ac:dyDescent="0.3">
      <c r="A1518" t="s">
        <v>6367</v>
      </c>
      <c r="B1518" s="4" t="s">
        <v>6361</v>
      </c>
      <c r="C1518" t="s">
        <v>6369</v>
      </c>
    </row>
    <row r="1519" spans="1:3" x14ac:dyDescent="0.3">
      <c r="A1519" t="s">
        <v>6367</v>
      </c>
      <c r="B1519" s="4" t="s">
        <v>6361</v>
      </c>
      <c r="C1519" t="s">
        <v>6369</v>
      </c>
    </row>
    <row r="1520" spans="1:3" x14ac:dyDescent="0.3">
      <c r="A1520" t="s">
        <v>6367</v>
      </c>
      <c r="B1520" s="4" t="s">
        <v>6361</v>
      </c>
      <c r="C1520" t="s">
        <v>6369</v>
      </c>
    </row>
    <row r="1521" spans="1:3" x14ac:dyDescent="0.3">
      <c r="A1521" t="s">
        <v>6367</v>
      </c>
      <c r="B1521" s="4" t="s">
        <v>6361</v>
      </c>
      <c r="C1521" t="s">
        <v>6369</v>
      </c>
    </row>
    <row r="1522" spans="1:3" x14ac:dyDescent="0.3">
      <c r="A1522" t="s">
        <v>6367</v>
      </c>
      <c r="B1522" s="4" t="s">
        <v>6361</v>
      </c>
      <c r="C1522" t="s">
        <v>6337</v>
      </c>
    </row>
    <row r="1523" spans="1:3" x14ac:dyDescent="0.3">
      <c r="A1523" t="s">
        <v>6367</v>
      </c>
      <c r="B1523" s="4" t="s">
        <v>6361</v>
      </c>
      <c r="C1523" t="s">
        <v>6337</v>
      </c>
    </row>
    <row r="1524" spans="1:3" x14ac:dyDescent="0.3">
      <c r="A1524" t="s">
        <v>6367</v>
      </c>
      <c r="B1524" s="4" t="s">
        <v>6361</v>
      </c>
      <c r="C1524" t="s">
        <v>6337</v>
      </c>
    </row>
    <row r="1525" spans="1:3" x14ac:dyDescent="0.3">
      <c r="A1525" t="s">
        <v>6367</v>
      </c>
      <c r="B1525" s="4" t="s">
        <v>6361</v>
      </c>
      <c r="C1525" t="s">
        <v>6337</v>
      </c>
    </row>
    <row r="1526" spans="1:3" x14ac:dyDescent="0.3">
      <c r="A1526" t="s">
        <v>6367</v>
      </c>
      <c r="B1526" s="4" t="s">
        <v>6361</v>
      </c>
      <c r="C1526" t="s">
        <v>6337</v>
      </c>
    </row>
    <row r="1527" spans="1:3" x14ac:dyDescent="0.3">
      <c r="A1527" t="s">
        <v>6367</v>
      </c>
      <c r="B1527" s="4" t="s">
        <v>6361</v>
      </c>
      <c r="C1527" t="s">
        <v>6339</v>
      </c>
    </row>
    <row r="1528" spans="1:3" x14ac:dyDescent="0.3">
      <c r="A1528" t="s">
        <v>6367</v>
      </c>
      <c r="B1528" s="4" t="s">
        <v>6361</v>
      </c>
      <c r="C1528" t="s">
        <v>6339</v>
      </c>
    </row>
    <row r="1529" spans="1:3" x14ac:dyDescent="0.3">
      <c r="A1529" t="s">
        <v>6367</v>
      </c>
      <c r="B1529" s="4" t="s">
        <v>6361</v>
      </c>
      <c r="C1529" t="s">
        <v>958</v>
      </c>
    </row>
    <row r="1530" spans="1:3" x14ac:dyDescent="0.3">
      <c r="A1530" t="s">
        <v>6367</v>
      </c>
      <c r="B1530" s="4" t="s">
        <v>6361</v>
      </c>
      <c r="C1530" t="s">
        <v>958</v>
      </c>
    </row>
    <row r="1531" spans="1:3" x14ac:dyDescent="0.3">
      <c r="A1531" t="s">
        <v>6367</v>
      </c>
      <c r="B1531" s="4" t="s">
        <v>6361</v>
      </c>
      <c r="C1531" t="s">
        <v>958</v>
      </c>
    </row>
    <row r="1532" spans="1:3" x14ac:dyDescent="0.3">
      <c r="A1532" t="s">
        <v>6367</v>
      </c>
      <c r="B1532" s="4" t="s">
        <v>6361</v>
      </c>
      <c r="C1532" t="s">
        <v>958</v>
      </c>
    </row>
    <row r="1533" spans="1:3" x14ac:dyDescent="0.3">
      <c r="A1533" t="s">
        <v>6367</v>
      </c>
      <c r="B1533" s="4" t="s">
        <v>6361</v>
      </c>
      <c r="C1533" t="s">
        <v>958</v>
      </c>
    </row>
    <row r="1534" spans="1:3" x14ac:dyDescent="0.3">
      <c r="A1534" t="s">
        <v>6367</v>
      </c>
      <c r="B1534" s="4" t="s">
        <v>6361</v>
      </c>
      <c r="C1534" t="s">
        <v>958</v>
      </c>
    </row>
    <row r="1535" spans="1:3" x14ac:dyDescent="0.3">
      <c r="A1535" t="s">
        <v>6367</v>
      </c>
      <c r="B1535" s="4" t="s">
        <v>6361</v>
      </c>
      <c r="C1535" t="s">
        <v>958</v>
      </c>
    </row>
    <row r="1536" spans="1:3" x14ac:dyDescent="0.3">
      <c r="A1536" t="s">
        <v>6367</v>
      </c>
      <c r="B1536" s="4" t="s">
        <v>6361</v>
      </c>
      <c r="C1536" t="s">
        <v>958</v>
      </c>
    </row>
    <row r="1537" spans="1:3" x14ac:dyDescent="0.3">
      <c r="A1537" t="s">
        <v>6367</v>
      </c>
      <c r="B1537" s="4" t="s">
        <v>6361</v>
      </c>
      <c r="C1537" t="s">
        <v>958</v>
      </c>
    </row>
    <row r="1538" spans="1:3" x14ac:dyDescent="0.3">
      <c r="A1538" t="s">
        <v>6367</v>
      </c>
      <c r="B1538" s="4" t="s">
        <v>6361</v>
      </c>
      <c r="C1538" t="s">
        <v>958</v>
      </c>
    </row>
    <row r="1539" spans="1:3" x14ac:dyDescent="0.3">
      <c r="A1539" t="s">
        <v>6367</v>
      </c>
      <c r="B1539" s="4" t="s">
        <v>6361</v>
      </c>
      <c r="C1539" t="s">
        <v>958</v>
      </c>
    </row>
    <row r="1540" spans="1:3" x14ac:dyDescent="0.3">
      <c r="A1540" t="s">
        <v>6367</v>
      </c>
      <c r="B1540" s="4" t="s">
        <v>6361</v>
      </c>
      <c r="C1540" t="s">
        <v>958</v>
      </c>
    </row>
    <row r="1541" spans="1:3" x14ac:dyDescent="0.3">
      <c r="A1541" t="s">
        <v>6367</v>
      </c>
      <c r="B1541" s="4" t="s">
        <v>6361</v>
      </c>
      <c r="C1541" t="s">
        <v>958</v>
      </c>
    </row>
    <row r="1542" spans="1:3" x14ac:dyDescent="0.3">
      <c r="A1542" t="s">
        <v>6367</v>
      </c>
      <c r="B1542" s="4" t="s">
        <v>6361</v>
      </c>
      <c r="C1542" t="s">
        <v>958</v>
      </c>
    </row>
    <row r="1543" spans="1:3" x14ac:dyDescent="0.3">
      <c r="A1543" t="s">
        <v>6367</v>
      </c>
      <c r="B1543" s="4" t="s">
        <v>6361</v>
      </c>
      <c r="C1543" t="s">
        <v>958</v>
      </c>
    </row>
    <row r="1544" spans="1:3" x14ac:dyDescent="0.3">
      <c r="A1544" t="s">
        <v>6367</v>
      </c>
      <c r="B1544" s="4" t="s">
        <v>6361</v>
      </c>
      <c r="C1544" t="s">
        <v>958</v>
      </c>
    </row>
    <row r="1545" spans="1:3" x14ac:dyDescent="0.3">
      <c r="A1545" t="s">
        <v>6367</v>
      </c>
      <c r="B1545" s="4" t="s">
        <v>6361</v>
      </c>
      <c r="C1545" t="s">
        <v>958</v>
      </c>
    </row>
    <row r="1546" spans="1:3" x14ac:dyDescent="0.3">
      <c r="A1546" t="s">
        <v>6367</v>
      </c>
      <c r="B1546" s="4" t="s">
        <v>6361</v>
      </c>
      <c r="C1546" t="s">
        <v>958</v>
      </c>
    </row>
    <row r="1547" spans="1:3" x14ac:dyDescent="0.3">
      <c r="A1547" t="s">
        <v>6367</v>
      </c>
      <c r="B1547" s="4" t="s">
        <v>6361</v>
      </c>
      <c r="C1547" t="s">
        <v>958</v>
      </c>
    </row>
    <row r="1548" spans="1:3" x14ac:dyDescent="0.3">
      <c r="A1548" t="s">
        <v>6367</v>
      </c>
      <c r="B1548" s="4" t="s">
        <v>6361</v>
      </c>
      <c r="C1548" t="s">
        <v>958</v>
      </c>
    </row>
    <row r="1549" spans="1:3" x14ac:dyDescent="0.3">
      <c r="A1549" t="s">
        <v>6367</v>
      </c>
      <c r="B1549" s="4" t="s">
        <v>6361</v>
      </c>
      <c r="C1549" t="s">
        <v>958</v>
      </c>
    </row>
    <row r="1550" spans="1:3" x14ac:dyDescent="0.3">
      <c r="A1550" t="s">
        <v>6367</v>
      </c>
      <c r="B1550" s="4" t="s">
        <v>6361</v>
      </c>
      <c r="C1550" t="s">
        <v>958</v>
      </c>
    </row>
    <row r="1551" spans="1:3" x14ac:dyDescent="0.3">
      <c r="A1551" t="s">
        <v>6367</v>
      </c>
      <c r="B1551" s="4" t="s">
        <v>6361</v>
      </c>
      <c r="C1551" t="s">
        <v>958</v>
      </c>
    </row>
    <row r="1552" spans="1:3" x14ac:dyDescent="0.3">
      <c r="A1552" t="s">
        <v>6367</v>
      </c>
      <c r="B1552" s="4" t="s">
        <v>6361</v>
      </c>
      <c r="C1552" t="s">
        <v>958</v>
      </c>
    </row>
    <row r="1553" spans="1:3" x14ac:dyDescent="0.3">
      <c r="A1553" t="s">
        <v>6367</v>
      </c>
      <c r="B1553" s="4" t="s">
        <v>6361</v>
      </c>
      <c r="C1553" t="s">
        <v>958</v>
      </c>
    </row>
    <row r="1554" spans="1:3" x14ac:dyDescent="0.3">
      <c r="A1554" t="s">
        <v>6367</v>
      </c>
      <c r="B1554" s="4" t="s">
        <v>6361</v>
      </c>
      <c r="C1554" t="s">
        <v>958</v>
      </c>
    </row>
    <row r="1555" spans="1:3" x14ac:dyDescent="0.3">
      <c r="A1555" t="s">
        <v>6367</v>
      </c>
      <c r="B1555" s="4" t="s">
        <v>6361</v>
      </c>
      <c r="C1555" t="s">
        <v>958</v>
      </c>
    </row>
    <row r="1556" spans="1:3" x14ac:dyDescent="0.3">
      <c r="A1556" t="s">
        <v>6367</v>
      </c>
      <c r="B1556" s="4" t="s">
        <v>6361</v>
      </c>
      <c r="C1556" t="s">
        <v>958</v>
      </c>
    </row>
    <row r="1557" spans="1:3" x14ac:dyDescent="0.3">
      <c r="A1557" t="s">
        <v>6367</v>
      </c>
      <c r="B1557" s="4" t="s">
        <v>6361</v>
      </c>
      <c r="C1557" t="s">
        <v>958</v>
      </c>
    </row>
    <row r="1558" spans="1:3" x14ac:dyDescent="0.3">
      <c r="A1558" t="s">
        <v>6367</v>
      </c>
      <c r="B1558" s="4" t="s">
        <v>6361</v>
      </c>
      <c r="C1558" t="s">
        <v>958</v>
      </c>
    </row>
    <row r="1559" spans="1:3" x14ac:dyDescent="0.3">
      <c r="A1559" t="s">
        <v>6367</v>
      </c>
      <c r="B1559" s="4" t="s">
        <v>6361</v>
      </c>
      <c r="C1559" t="s">
        <v>958</v>
      </c>
    </row>
    <row r="1560" spans="1:3" x14ac:dyDescent="0.3">
      <c r="A1560" t="s">
        <v>6367</v>
      </c>
      <c r="B1560" s="4" t="s">
        <v>6361</v>
      </c>
      <c r="C1560" t="s">
        <v>958</v>
      </c>
    </row>
    <row r="1561" spans="1:3" x14ac:dyDescent="0.3">
      <c r="A1561" t="s">
        <v>6367</v>
      </c>
      <c r="B1561" s="4" t="s">
        <v>6361</v>
      </c>
      <c r="C1561" t="s">
        <v>958</v>
      </c>
    </row>
    <row r="1562" spans="1:3" x14ac:dyDescent="0.3">
      <c r="A1562" t="s">
        <v>6367</v>
      </c>
      <c r="B1562" s="4" t="s">
        <v>6361</v>
      </c>
      <c r="C1562" t="s">
        <v>958</v>
      </c>
    </row>
    <row r="1563" spans="1:3" x14ac:dyDescent="0.3">
      <c r="A1563" t="s">
        <v>6367</v>
      </c>
      <c r="B1563" s="4" t="s">
        <v>6361</v>
      </c>
      <c r="C1563" t="s">
        <v>6345</v>
      </c>
    </row>
    <row r="1564" spans="1:3" x14ac:dyDescent="0.3">
      <c r="A1564" t="s">
        <v>6367</v>
      </c>
      <c r="B1564" s="4" t="s">
        <v>6361</v>
      </c>
      <c r="C1564" t="s">
        <v>6345</v>
      </c>
    </row>
    <row r="1565" spans="1:3" x14ac:dyDescent="0.3">
      <c r="A1565" t="s">
        <v>6367</v>
      </c>
      <c r="B1565" s="4" t="s">
        <v>6361</v>
      </c>
      <c r="C1565" t="s">
        <v>6345</v>
      </c>
    </row>
    <row r="1566" spans="1:3" x14ac:dyDescent="0.3">
      <c r="A1566" t="s">
        <v>6367</v>
      </c>
      <c r="B1566" s="4" t="s">
        <v>6361</v>
      </c>
      <c r="C1566" t="s">
        <v>6345</v>
      </c>
    </row>
    <row r="1567" spans="1:3" x14ac:dyDescent="0.3">
      <c r="A1567" t="s">
        <v>6367</v>
      </c>
      <c r="B1567" s="4" t="s">
        <v>6361</v>
      </c>
      <c r="C1567" t="s">
        <v>6345</v>
      </c>
    </row>
    <row r="1568" spans="1:3" x14ac:dyDescent="0.3">
      <c r="A1568" t="s">
        <v>6367</v>
      </c>
      <c r="B1568" s="4" t="s">
        <v>6361</v>
      </c>
      <c r="C1568" t="s">
        <v>6345</v>
      </c>
    </row>
    <row r="1569" spans="1:3" x14ac:dyDescent="0.3">
      <c r="A1569" t="s">
        <v>6367</v>
      </c>
      <c r="B1569" s="4" t="s">
        <v>6361</v>
      </c>
      <c r="C1569" t="s">
        <v>6345</v>
      </c>
    </row>
    <row r="1570" spans="1:3" x14ac:dyDescent="0.3">
      <c r="A1570" t="s">
        <v>6367</v>
      </c>
      <c r="B1570" s="4" t="s">
        <v>6361</v>
      </c>
      <c r="C1570" t="s">
        <v>6345</v>
      </c>
    </row>
    <row r="1571" spans="1:3" x14ac:dyDescent="0.3">
      <c r="A1571" t="s">
        <v>6367</v>
      </c>
      <c r="B1571" s="4" t="s">
        <v>6361</v>
      </c>
      <c r="C1571" t="s">
        <v>6345</v>
      </c>
    </row>
    <row r="1572" spans="1:3" x14ac:dyDescent="0.3">
      <c r="A1572" t="s">
        <v>6367</v>
      </c>
      <c r="B1572" s="4" t="s">
        <v>6361</v>
      </c>
      <c r="C1572" t="s">
        <v>6345</v>
      </c>
    </row>
    <row r="1573" spans="1:3" x14ac:dyDescent="0.3">
      <c r="A1573" t="s">
        <v>6367</v>
      </c>
      <c r="B1573" s="4" t="s">
        <v>6361</v>
      </c>
      <c r="C1573" t="s">
        <v>6345</v>
      </c>
    </row>
    <row r="1574" spans="1:3" x14ac:dyDescent="0.3">
      <c r="A1574" t="s">
        <v>6367</v>
      </c>
      <c r="B1574" s="4" t="s">
        <v>6361</v>
      </c>
      <c r="C1574" t="s">
        <v>6345</v>
      </c>
    </row>
    <row r="1575" spans="1:3" x14ac:dyDescent="0.3">
      <c r="A1575" t="s">
        <v>6367</v>
      </c>
      <c r="B1575" s="4" t="s">
        <v>6361</v>
      </c>
      <c r="C1575" t="s">
        <v>6345</v>
      </c>
    </row>
    <row r="1576" spans="1:3" x14ac:dyDescent="0.3">
      <c r="A1576" t="s">
        <v>6367</v>
      </c>
      <c r="B1576" s="4" t="s">
        <v>6361</v>
      </c>
      <c r="C1576" t="s">
        <v>6345</v>
      </c>
    </row>
    <row r="1577" spans="1:3" x14ac:dyDescent="0.3">
      <c r="A1577" t="s">
        <v>6367</v>
      </c>
      <c r="B1577" s="4" t="s">
        <v>6361</v>
      </c>
      <c r="C1577" t="s">
        <v>6345</v>
      </c>
    </row>
    <row r="1578" spans="1:3" x14ac:dyDescent="0.3">
      <c r="A1578" t="s">
        <v>6367</v>
      </c>
      <c r="B1578" s="4" t="s">
        <v>6361</v>
      </c>
      <c r="C1578" t="s">
        <v>6345</v>
      </c>
    </row>
    <row r="1579" spans="1:3" x14ac:dyDescent="0.3">
      <c r="A1579" t="s">
        <v>6367</v>
      </c>
      <c r="B1579" s="4" t="s">
        <v>6361</v>
      </c>
      <c r="C1579" t="s">
        <v>6345</v>
      </c>
    </row>
    <row r="1580" spans="1:3" x14ac:dyDescent="0.3">
      <c r="A1580" t="s">
        <v>6367</v>
      </c>
      <c r="B1580" s="4" t="s">
        <v>6361</v>
      </c>
      <c r="C1580" t="s">
        <v>6345</v>
      </c>
    </row>
    <row r="1581" spans="1:3" x14ac:dyDescent="0.3">
      <c r="A1581" t="s">
        <v>6367</v>
      </c>
      <c r="B1581" s="4" t="s">
        <v>6361</v>
      </c>
      <c r="C1581" t="s">
        <v>6342</v>
      </c>
    </row>
    <row r="1582" spans="1:3" x14ac:dyDescent="0.3">
      <c r="A1582" t="s">
        <v>6367</v>
      </c>
      <c r="B1582" s="4" t="s">
        <v>6361</v>
      </c>
      <c r="C1582" t="s">
        <v>6342</v>
      </c>
    </row>
    <row r="1583" spans="1:3" x14ac:dyDescent="0.3">
      <c r="A1583" t="s">
        <v>6367</v>
      </c>
      <c r="B1583" s="4" t="s">
        <v>6361</v>
      </c>
      <c r="C1583" t="s">
        <v>6342</v>
      </c>
    </row>
    <row r="1584" spans="1:3" x14ac:dyDescent="0.3">
      <c r="A1584" t="s">
        <v>6367</v>
      </c>
      <c r="B1584" s="4" t="s">
        <v>6361</v>
      </c>
      <c r="C1584" t="s">
        <v>6342</v>
      </c>
    </row>
    <row r="1585" spans="1:3" x14ac:dyDescent="0.3">
      <c r="A1585" t="s">
        <v>6367</v>
      </c>
      <c r="B1585" s="4" t="s">
        <v>6361</v>
      </c>
      <c r="C1585" t="s">
        <v>6342</v>
      </c>
    </row>
    <row r="1586" spans="1:3" x14ac:dyDescent="0.3">
      <c r="A1586" t="s">
        <v>6367</v>
      </c>
      <c r="B1586" s="4" t="s">
        <v>6361</v>
      </c>
      <c r="C1586" t="s">
        <v>6342</v>
      </c>
    </row>
    <row r="1587" spans="1:3" x14ac:dyDescent="0.3">
      <c r="A1587" t="s">
        <v>6367</v>
      </c>
      <c r="B1587" s="4" t="s">
        <v>6361</v>
      </c>
      <c r="C1587" t="s">
        <v>6342</v>
      </c>
    </row>
    <row r="1588" spans="1:3" x14ac:dyDescent="0.3">
      <c r="A1588" t="s">
        <v>6367</v>
      </c>
      <c r="B1588" s="4" t="s">
        <v>6361</v>
      </c>
      <c r="C1588" t="s">
        <v>6342</v>
      </c>
    </row>
    <row r="1589" spans="1:3" x14ac:dyDescent="0.3">
      <c r="A1589" t="s">
        <v>6367</v>
      </c>
      <c r="B1589" s="4" t="s">
        <v>6361</v>
      </c>
      <c r="C1589" t="s">
        <v>6342</v>
      </c>
    </row>
    <row r="1590" spans="1:3" x14ac:dyDescent="0.3">
      <c r="A1590" t="s">
        <v>6367</v>
      </c>
      <c r="B1590" s="4" t="s">
        <v>6361</v>
      </c>
      <c r="C1590" t="s">
        <v>6358</v>
      </c>
    </row>
    <row r="1591" spans="1:3" x14ac:dyDescent="0.3">
      <c r="A1591" t="s">
        <v>6367</v>
      </c>
      <c r="B1591" s="4" t="s">
        <v>6361</v>
      </c>
      <c r="C1591" t="s">
        <v>6358</v>
      </c>
    </row>
    <row r="1592" spans="1:3" x14ac:dyDescent="0.3">
      <c r="A1592" t="s">
        <v>6367</v>
      </c>
      <c r="B1592" s="4" t="s">
        <v>6361</v>
      </c>
      <c r="C1592" t="s">
        <v>6358</v>
      </c>
    </row>
    <row r="1593" spans="1:3" x14ac:dyDescent="0.3">
      <c r="A1593" t="s">
        <v>6367</v>
      </c>
      <c r="B1593" s="4" t="s">
        <v>6361</v>
      </c>
      <c r="C1593" t="s">
        <v>6358</v>
      </c>
    </row>
    <row r="1594" spans="1:3" x14ac:dyDescent="0.3">
      <c r="A1594" t="s">
        <v>6367</v>
      </c>
      <c r="B1594" s="4" t="s">
        <v>6361</v>
      </c>
      <c r="C1594" t="s">
        <v>6358</v>
      </c>
    </row>
    <row r="1595" spans="1:3" x14ac:dyDescent="0.3">
      <c r="A1595" t="s">
        <v>6367</v>
      </c>
      <c r="B1595" s="4" t="s">
        <v>6361</v>
      </c>
      <c r="C1595" t="s">
        <v>6358</v>
      </c>
    </row>
    <row r="1596" spans="1:3" x14ac:dyDescent="0.3">
      <c r="A1596" t="s">
        <v>6367</v>
      </c>
      <c r="B1596" s="4" t="s">
        <v>6361</v>
      </c>
      <c r="C1596" t="s">
        <v>6346</v>
      </c>
    </row>
    <row r="1597" spans="1:3" x14ac:dyDescent="0.3">
      <c r="A1597" t="s">
        <v>6367</v>
      </c>
      <c r="B1597" s="4" t="s">
        <v>6361</v>
      </c>
      <c r="C1597" t="s">
        <v>6369</v>
      </c>
    </row>
    <row r="1598" spans="1:3" x14ac:dyDescent="0.3">
      <c r="A1598" t="s">
        <v>6367</v>
      </c>
      <c r="B1598" s="4" t="s">
        <v>6361</v>
      </c>
      <c r="C1598" t="s">
        <v>6369</v>
      </c>
    </row>
    <row r="1599" spans="1:3" x14ac:dyDescent="0.3">
      <c r="A1599" t="s">
        <v>6367</v>
      </c>
      <c r="B1599" s="4" t="s">
        <v>6361</v>
      </c>
      <c r="C1599" t="s">
        <v>6369</v>
      </c>
    </row>
    <row r="1600" spans="1:3" x14ac:dyDescent="0.3">
      <c r="A1600" t="s">
        <v>6367</v>
      </c>
      <c r="B1600" s="4" t="s">
        <v>6361</v>
      </c>
      <c r="C1600" t="s">
        <v>6369</v>
      </c>
    </row>
    <row r="1601" spans="1:3" x14ac:dyDescent="0.3">
      <c r="A1601" t="s">
        <v>6367</v>
      </c>
      <c r="B1601" s="4" t="s">
        <v>6361</v>
      </c>
      <c r="C1601" t="s">
        <v>6369</v>
      </c>
    </row>
    <row r="1602" spans="1:3" x14ac:dyDescent="0.3">
      <c r="A1602" t="s">
        <v>6367</v>
      </c>
      <c r="B1602" s="4" t="s">
        <v>6361</v>
      </c>
      <c r="C1602" t="s">
        <v>6369</v>
      </c>
    </row>
    <row r="1603" spans="1:3" x14ac:dyDescent="0.3">
      <c r="A1603" t="s">
        <v>6367</v>
      </c>
      <c r="B1603" s="4" t="s">
        <v>6361</v>
      </c>
      <c r="C1603" t="s">
        <v>6369</v>
      </c>
    </row>
    <row r="1604" spans="1:3" x14ac:dyDescent="0.3">
      <c r="A1604" t="s">
        <v>6367</v>
      </c>
      <c r="B1604" s="4" t="s">
        <v>6361</v>
      </c>
      <c r="C1604" t="s">
        <v>6369</v>
      </c>
    </row>
    <row r="1605" spans="1:3" x14ac:dyDescent="0.3">
      <c r="A1605" t="s">
        <v>6367</v>
      </c>
      <c r="B1605" s="4" t="s">
        <v>6361</v>
      </c>
      <c r="C1605" t="s">
        <v>6369</v>
      </c>
    </row>
    <row r="1606" spans="1:3" x14ac:dyDescent="0.3">
      <c r="A1606" t="s">
        <v>6367</v>
      </c>
      <c r="B1606" s="4" t="s">
        <v>6361</v>
      </c>
      <c r="C1606" t="s">
        <v>6374</v>
      </c>
    </row>
    <row r="1607" spans="1:3" x14ac:dyDescent="0.3">
      <c r="A1607" t="s">
        <v>6367</v>
      </c>
      <c r="B1607" s="4" t="s">
        <v>6361</v>
      </c>
      <c r="C1607" t="s">
        <v>6337</v>
      </c>
    </row>
    <row r="1608" spans="1:3" x14ac:dyDescent="0.3">
      <c r="A1608" t="s">
        <v>6367</v>
      </c>
      <c r="B1608" s="4" t="s">
        <v>6361</v>
      </c>
      <c r="C1608" t="s">
        <v>6337</v>
      </c>
    </row>
    <row r="1609" spans="1:3" x14ac:dyDescent="0.3">
      <c r="A1609" t="s">
        <v>6367</v>
      </c>
      <c r="B1609" s="4" t="s">
        <v>6361</v>
      </c>
      <c r="C1609" t="s">
        <v>6337</v>
      </c>
    </row>
    <row r="1610" spans="1:3" x14ac:dyDescent="0.3">
      <c r="A1610" t="s">
        <v>6367</v>
      </c>
      <c r="B1610" s="4" t="s">
        <v>6361</v>
      </c>
      <c r="C1610" t="s">
        <v>6337</v>
      </c>
    </row>
    <row r="1611" spans="1:3" x14ac:dyDescent="0.3">
      <c r="A1611" t="s">
        <v>6367</v>
      </c>
      <c r="B1611" s="4" t="s">
        <v>6361</v>
      </c>
      <c r="C1611" t="s">
        <v>6337</v>
      </c>
    </row>
    <row r="1612" spans="1:3" x14ac:dyDescent="0.3">
      <c r="A1612" t="s">
        <v>6367</v>
      </c>
      <c r="B1612" s="4" t="s">
        <v>6361</v>
      </c>
      <c r="C1612" t="s">
        <v>6337</v>
      </c>
    </row>
    <row r="1613" spans="1:3" x14ac:dyDescent="0.3">
      <c r="A1613" t="s">
        <v>6367</v>
      </c>
      <c r="B1613" s="4" t="s">
        <v>6361</v>
      </c>
      <c r="C1613" t="s">
        <v>6337</v>
      </c>
    </row>
    <row r="1614" spans="1:3" x14ac:dyDescent="0.3">
      <c r="A1614" t="s">
        <v>6367</v>
      </c>
      <c r="B1614" s="4" t="s">
        <v>6361</v>
      </c>
      <c r="C1614" t="s">
        <v>6337</v>
      </c>
    </row>
    <row r="1615" spans="1:3" x14ac:dyDescent="0.3">
      <c r="A1615" t="s">
        <v>6367</v>
      </c>
      <c r="B1615" s="4" t="s">
        <v>6361</v>
      </c>
      <c r="C1615" t="s">
        <v>6337</v>
      </c>
    </row>
    <row r="1616" spans="1:3" x14ac:dyDescent="0.3">
      <c r="A1616" t="s">
        <v>6367</v>
      </c>
      <c r="B1616" s="4" t="s">
        <v>6361</v>
      </c>
      <c r="C1616" t="s">
        <v>6337</v>
      </c>
    </row>
    <row r="1617" spans="1:3" x14ac:dyDescent="0.3">
      <c r="A1617" t="s">
        <v>6367</v>
      </c>
      <c r="B1617" s="4" t="s">
        <v>6361</v>
      </c>
      <c r="C1617" t="s">
        <v>6337</v>
      </c>
    </row>
    <row r="1618" spans="1:3" x14ac:dyDescent="0.3">
      <c r="A1618" t="s">
        <v>6367</v>
      </c>
      <c r="B1618" s="4" t="s">
        <v>6361</v>
      </c>
      <c r="C1618" t="s">
        <v>6337</v>
      </c>
    </row>
    <row r="1619" spans="1:3" x14ac:dyDescent="0.3">
      <c r="A1619" t="s">
        <v>6367</v>
      </c>
      <c r="B1619" s="4" t="s">
        <v>6361</v>
      </c>
      <c r="C1619" t="s">
        <v>6337</v>
      </c>
    </row>
    <row r="1620" spans="1:3" x14ac:dyDescent="0.3">
      <c r="A1620" t="s">
        <v>6367</v>
      </c>
      <c r="B1620" s="4" t="s">
        <v>6361</v>
      </c>
      <c r="C1620" t="s">
        <v>6337</v>
      </c>
    </row>
    <row r="1621" spans="1:3" x14ac:dyDescent="0.3">
      <c r="A1621" t="s">
        <v>6367</v>
      </c>
      <c r="B1621" s="4" t="s">
        <v>6361</v>
      </c>
      <c r="C1621" t="s">
        <v>6337</v>
      </c>
    </row>
    <row r="1622" spans="1:3" x14ac:dyDescent="0.3">
      <c r="A1622" t="s">
        <v>6367</v>
      </c>
      <c r="B1622" s="4" t="s">
        <v>6361</v>
      </c>
      <c r="C1622" t="s">
        <v>6339</v>
      </c>
    </row>
    <row r="1623" spans="1:3" x14ac:dyDescent="0.3">
      <c r="A1623" t="s">
        <v>6367</v>
      </c>
      <c r="B1623" s="4" t="s">
        <v>6361</v>
      </c>
      <c r="C1623" t="s">
        <v>6339</v>
      </c>
    </row>
    <row r="1624" spans="1:3" x14ac:dyDescent="0.3">
      <c r="A1624" t="s">
        <v>6367</v>
      </c>
      <c r="B1624" s="4" t="s">
        <v>6361</v>
      </c>
      <c r="C1624" t="s">
        <v>6348</v>
      </c>
    </row>
    <row r="1625" spans="1:3" x14ac:dyDescent="0.3">
      <c r="A1625" t="s">
        <v>6367</v>
      </c>
      <c r="B1625" s="4" t="s">
        <v>6361</v>
      </c>
      <c r="C1625" t="s">
        <v>958</v>
      </c>
    </row>
    <row r="1626" spans="1:3" x14ac:dyDescent="0.3">
      <c r="A1626" t="s">
        <v>6367</v>
      </c>
      <c r="B1626" s="4" t="s">
        <v>6361</v>
      </c>
      <c r="C1626" t="s">
        <v>958</v>
      </c>
    </row>
    <row r="1627" spans="1:3" x14ac:dyDescent="0.3">
      <c r="A1627" t="s">
        <v>6367</v>
      </c>
      <c r="B1627" s="4" t="s">
        <v>6361</v>
      </c>
      <c r="C1627" t="s">
        <v>958</v>
      </c>
    </row>
    <row r="1628" spans="1:3" x14ac:dyDescent="0.3">
      <c r="A1628" t="s">
        <v>6367</v>
      </c>
      <c r="B1628" s="4" t="s">
        <v>6361</v>
      </c>
      <c r="C1628" t="s">
        <v>958</v>
      </c>
    </row>
    <row r="1629" spans="1:3" x14ac:dyDescent="0.3">
      <c r="A1629" t="s">
        <v>6367</v>
      </c>
      <c r="B1629" s="4" t="s">
        <v>6361</v>
      </c>
      <c r="C1629" t="s">
        <v>958</v>
      </c>
    </row>
    <row r="1630" spans="1:3" x14ac:dyDescent="0.3">
      <c r="A1630" t="s">
        <v>6367</v>
      </c>
      <c r="B1630" s="4" t="s">
        <v>6361</v>
      </c>
      <c r="C1630" t="s">
        <v>958</v>
      </c>
    </row>
    <row r="1631" spans="1:3" x14ac:dyDescent="0.3">
      <c r="A1631" t="s">
        <v>6367</v>
      </c>
      <c r="B1631" s="4" t="s">
        <v>6361</v>
      </c>
      <c r="C1631" t="s">
        <v>958</v>
      </c>
    </row>
    <row r="1632" spans="1:3" x14ac:dyDescent="0.3">
      <c r="A1632" t="s">
        <v>6367</v>
      </c>
      <c r="B1632" s="4" t="s">
        <v>6361</v>
      </c>
      <c r="C1632" t="s">
        <v>958</v>
      </c>
    </row>
    <row r="1633" spans="1:3" x14ac:dyDescent="0.3">
      <c r="A1633" t="s">
        <v>6367</v>
      </c>
      <c r="B1633" s="4" t="s">
        <v>6361</v>
      </c>
      <c r="C1633" t="s">
        <v>958</v>
      </c>
    </row>
    <row r="1634" spans="1:3" x14ac:dyDescent="0.3">
      <c r="A1634" t="s">
        <v>6367</v>
      </c>
      <c r="B1634" s="4" t="s">
        <v>6361</v>
      </c>
      <c r="C1634" t="s">
        <v>958</v>
      </c>
    </row>
    <row r="1635" spans="1:3" x14ac:dyDescent="0.3">
      <c r="A1635" t="s">
        <v>6367</v>
      </c>
      <c r="B1635" s="4" t="s">
        <v>6361</v>
      </c>
      <c r="C1635" t="s">
        <v>958</v>
      </c>
    </row>
    <row r="1636" spans="1:3" x14ac:dyDescent="0.3">
      <c r="A1636" t="s">
        <v>6367</v>
      </c>
      <c r="B1636" s="4" t="s">
        <v>6361</v>
      </c>
      <c r="C1636" t="s">
        <v>958</v>
      </c>
    </row>
    <row r="1637" spans="1:3" x14ac:dyDescent="0.3">
      <c r="A1637" t="s">
        <v>6367</v>
      </c>
      <c r="B1637" s="4" t="s">
        <v>6361</v>
      </c>
      <c r="C1637" t="s">
        <v>958</v>
      </c>
    </row>
    <row r="1638" spans="1:3" x14ac:dyDescent="0.3">
      <c r="A1638" t="s">
        <v>6367</v>
      </c>
      <c r="B1638" s="4" t="s">
        <v>6361</v>
      </c>
      <c r="C1638" t="s">
        <v>958</v>
      </c>
    </row>
    <row r="1639" spans="1:3" x14ac:dyDescent="0.3">
      <c r="A1639" t="s">
        <v>6367</v>
      </c>
      <c r="B1639" s="4" t="s">
        <v>6361</v>
      </c>
      <c r="C1639" t="s">
        <v>958</v>
      </c>
    </row>
    <row r="1640" spans="1:3" x14ac:dyDescent="0.3">
      <c r="A1640" t="s">
        <v>6367</v>
      </c>
      <c r="B1640" s="4" t="s">
        <v>6361</v>
      </c>
      <c r="C1640" t="s">
        <v>6345</v>
      </c>
    </row>
    <row r="1641" spans="1:3" x14ac:dyDescent="0.3">
      <c r="A1641" t="s">
        <v>6367</v>
      </c>
      <c r="B1641" s="4" t="s">
        <v>6361</v>
      </c>
      <c r="C1641" t="s">
        <v>6345</v>
      </c>
    </row>
    <row r="1642" spans="1:3" x14ac:dyDescent="0.3">
      <c r="A1642" t="s">
        <v>6367</v>
      </c>
      <c r="B1642" s="4" t="s">
        <v>6361</v>
      </c>
      <c r="C1642" t="s">
        <v>6345</v>
      </c>
    </row>
    <row r="1643" spans="1:3" x14ac:dyDescent="0.3">
      <c r="A1643" t="s">
        <v>6367</v>
      </c>
      <c r="B1643" s="4" t="s">
        <v>6361</v>
      </c>
      <c r="C1643" t="s">
        <v>6345</v>
      </c>
    </row>
    <row r="1644" spans="1:3" x14ac:dyDescent="0.3">
      <c r="A1644" t="s">
        <v>6367</v>
      </c>
      <c r="B1644" s="4" t="s">
        <v>6361</v>
      </c>
      <c r="C1644" t="s">
        <v>6345</v>
      </c>
    </row>
    <row r="1645" spans="1:3" x14ac:dyDescent="0.3">
      <c r="A1645" t="s">
        <v>6367</v>
      </c>
      <c r="B1645" s="4" t="s">
        <v>6361</v>
      </c>
      <c r="C1645" t="s">
        <v>6345</v>
      </c>
    </row>
    <row r="1646" spans="1:3" x14ac:dyDescent="0.3">
      <c r="A1646" t="s">
        <v>6367</v>
      </c>
      <c r="B1646" s="4" t="s">
        <v>6361</v>
      </c>
      <c r="C1646" t="s">
        <v>6345</v>
      </c>
    </row>
    <row r="1647" spans="1:3" x14ac:dyDescent="0.3">
      <c r="A1647" t="s">
        <v>6367</v>
      </c>
      <c r="B1647" s="4" t="s">
        <v>6361</v>
      </c>
      <c r="C1647" t="s">
        <v>6345</v>
      </c>
    </row>
    <row r="1648" spans="1:3" x14ac:dyDescent="0.3">
      <c r="A1648" t="s">
        <v>6367</v>
      </c>
      <c r="B1648" s="4" t="s">
        <v>6361</v>
      </c>
      <c r="C1648" t="s">
        <v>6342</v>
      </c>
    </row>
    <row r="1649" spans="1:3" x14ac:dyDescent="0.3">
      <c r="A1649" t="s">
        <v>6367</v>
      </c>
      <c r="B1649" s="4" t="s">
        <v>6361</v>
      </c>
      <c r="C1649" t="s">
        <v>6342</v>
      </c>
    </row>
    <row r="1650" spans="1:3" x14ac:dyDescent="0.3">
      <c r="A1650" t="s">
        <v>6367</v>
      </c>
      <c r="B1650" s="4" t="s">
        <v>6361</v>
      </c>
      <c r="C1650" t="s">
        <v>6342</v>
      </c>
    </row>
    <row r="1651" spans="1:3" x14ac:dyDescent="0.3">
      <c r="A1651" t="s">
        <v>6367</v>
      </c>
      <c r="B1651" s="4" t="s">
        <v>6361</v>
      </c>
      <c r="C1651" t="s">
        <v>6358</v>
      </c>
    </row>
    <row r="1652" spans="1:3" x14ac:dyDescent="0.3">
      <c r="A1652" t="s">
        <v>6367</v>
      </c>
      <c r="B1652" s="4" t="s">
        <v>6361</v>
      </c>
      <c r="C1652" t="s">
        <v>6358</v>
      </c>
    </row>
    <row r="1653" spans="1:3" x14ac:dyDescent="0.3">
      <c r="A1653" t="s">
        <v>6367</v>
      </c>
      <c r="B1653" s="4" t="s">
        <v>6361</v>
      </c>
      <c r="C1653" t="s">
        <v>6358</v>
      </c>
    </row>
    <row r="1654" spans="1:3" x14ac:dyDescent="0.3">
      <c r="A1654" t="s">
        <v>6367</v>
      </c>
      <c r="B1654" s="4" t="s">
        <v>6361</v>
      </c>
      <c r="C1654" t="s">
        <v>6358</v>
      </c>
    </row>
    <row r="1655" spans="1:3" x14ac:dyDescent="0.3">
      <c r="A1655" t="s">
        <v>6367</v>
      </c>
      <c r="B1655" s="4" t="s">
        <v>6361</v>
      </c>
      <c r="C1655" t="s">
        <v>6358</v>
      </c>
    </row>
    <row r="1656" spans="1:3" x14ac:dyDescent="0.3">
      <c r="A1656" t="s">
        <v>6367</v>
      </c>
      <c r="B1656" s="4" t="s">
        <v>6361</v>
      </c>
      <c r="C1656" t="s">
        <v>6358</v>
      </c>
    </row>
    <row r="1657" spans="1:3" x14ac:dyDescent="0.3">
      <c r="A1657" t="s">
        <v>6367</v>
      </c>
      <c r="B1657" s="4" t="s">
        <v>6361</v>
      </c>
      <c r="C1657" t="s">
        <v>6358</v>
      </c>
    </row>
    <row r="1658" spans="1:3" x14ac:dyDescent="0.3">
      <c r="A1658" t="s">
        <v>6367</v>
      </c>
      <c r="B1658" s="4" t="s">
        <v>6361</v>
      </c>
      <c r="C1658" t="s">
        <v>6358</v>
      </c>
    </row>
    <row r="1659" spans="1:3" x14ac:dyDescent="0.3">
      <c r="A1659" t="s">
        <v>6367</v>
      </c>
      <c r="B1659" s="4" t="s">
        <v>6361</v>
      </c>
      <c r="C1659" t="s">
        <v>6358</v>
      </c>
    </row>
    <row r="1660" spans="1:3" x14ac:dyDescent="0.3">
      <c r="A1660" t="s">
        <v>6367</v>
      </c>
      <c r="B1660" s="4" t="s">
        <v>6361</v>
      </c>
      <c r="C1660" t="s">
        <v>6358</v>
      </c>
    </row>
    <row r="1661" spans="1:3" x14ac:dyDescent="0.3">
      <c r="A1661" t="s">
        <v>6367</v>
      </c>
      <c r="B1661" s="4" t="s">
        <v>6361</v>
      </c>
      <c r="C1661" t="s">
        <v>6346</v>
      </c>
    </row>
    <row r="1662" spans="1:3" x14ac:dyDescent="0.3">
      <c r="A1662" t="s">
        <v>6367</v>
      </c>
      <c r="B1662" s="4" t="s">
        <v>6361</v>
      </c>
      <c r="C1662" t="s">
        <v>6369</v>
      </c>
    </row>
    <row r="1663" spans="1:3" x14ac:dyDescent="0.3">
      <c r="A1663" t="s">
        <v>6367</v>
      </c>
      <c r="B1663" s="4" t="s">
        <v>6361</v>
      </c>
      <c r="C1663" t="s">
        <v>6369</v>
      </c>
    </row>
    <row r="1664" spans="1:3" x14ac:dyDescent="0.3">
      <c r="A1664" t="s">
        <v>6367</v>
      </c>
      <c r="B1664" s="4" t="s">
        <v>6361</v>
      </c>
      <c r="C1664" t="s">
        <v>6369</v>
      </c>
    </row>
    <row r="1665" spans="1:3" x14ac:dyDescent="0.3">
      <c r="A1665" t="s">
        <v>6367</v>
      </c>
      <c r="B1665" s="4" t="s">
        <v>6361</v>
      </c>
      <c r="C1665" t="s">
        <v>6369</v>
      </c>
    </row>
    <row r="1666" spans="1:3" x14ac:dyDescent="0.3">
      <c r="A1666" t="s">
        <v>6367</v>
      </c>
      <c r="B1666" s="4" t="s">
        <v>6361</v>
      </c>
      <c r="C1666" t="s">
        <v>6369</v>
      </c>
    </row>
    <row r="1667" spans="1:3" x14ac:dyDescent="0.3">
      <c r="A1667" t="s">
        <v>6367</v>
      </c>
      <c r="B1667" s="4" t="s">
        <v>6361</v>
      </c>
      <c r="C1667" t="s">
        <v>6369</v>
      </c>
    </row>
    <row r="1668" spans="1:3" x14ac:dyDescent="0.3">
      <c r="A1668" t="s">
        <v>6367</v>
      </c>
      <c r="B1668" s="4" t="s">
        <v>6361</v>
      </c>
      <c r="C1668" t="s">
        <v>6369</v>
      </c>
    </row>
    <row r="1669" spans="1:3" x14ac:dyDescent="0.3">
      <c r="A1669" t="s">
        <v>6367</v>
      </c>
      <c r="B1669" s="4" t="s">
        <v>6361</v>
      </c>
      <c r="C1669" t="s">
        <v>6369</v>
      </c>
    </row>
    <row r="1670" spans="1:3" x14ac:dyDescent="0.3">
      <c r="A1670" t="s">
        <v>6367</v>
      </c>
      <c r="B1670" s="4" t="s">
        <v>6361</v>
      </c>
      <c r="C1670" t="s">
        <v>6369</v>
      </c>
    </row>
    <row r="1671" spans="1:3" x14ac:dyDescent="0.3">
      <c r="A1671" t="s">
        <v>6367</v>
      </c>
      <c r="B1671" s="4" t="s">
        <v>6361</v>
      </c>
      <c r="C1671" t="s">
        <v>6369</v>
      </c>
    </row>
    <row r="1672" spans="1:3" x14ac:dyDescent="0.3">
      <c r="A1672" t="s">
        <v>6367</v>
      </c>
      <c r="B1672" s="4" t="s">
        <v>6361</v>
      </c>
      <c r="C1672" t="s">
        <v>6369</v>
      </c>
    </row>
    <row r="1673" spans="1:3" x14ac:dyDescent="0.3">
      <c r="A1673" t="s">
        <v>6367</v>
      </c>
      <c r="B1673" s="4" t="s">
        <v>6361</v>
      </c>
      <c r="C1673" t="s">
        <v>6369</v>
      </c>
    </row>
    <row r="1674" spans="1:3" x14ac:dyDescent="0.3">
      <c r="A1674" t="s">
        <v>6367</v>
      </c>
      <c r="B1674" s="4" t="s">
        <v>6361</v>
      </c>
      <c r="C1674" t="s">
        <v>6369</v>
      </c>
    </row>
    <row r="1675" spans="1:3" x14ac:dyDescent="0.3">
      <c r="A1675" t="s">
        <v>6367</v>
      </c>
      <c r="B1675" s="4" t="s">
        <v>6361</v>
      </c>
      <c r="C1675" t="s">
        <v>6337</v>
      </c>
    </row>
    <row r="1676" spans="1:3" x14ac:dyDescent="0.3">
      <c r="A1676" t="s">
        <v>6367</v>
      </c>
      <c r="B1676" s="4" t="s">
        <v>6361</v>
      </c>
      <c r="C1676" t="s">
        <v>6337</v>
      </c>
    </row>
    <row r="1677" spans="1:3" x14ac:dyDescent="0.3">
      <c r="A1677" t="s">
        <v>6367</v>
      </c>
      <c r="B1677" s="4" t="s">
        <v>6361</v>
      </c>
      <c r="C1677" t="s">
        <v>6337</v>
      </c>
    </row>
    <row r="1678" spans="1:3" x14ac:dyDescent="0.3">
      <c r="A1678" t="s">
        <v>6367</v>
      </c>
      <c r="B1678" s="4" t="s">
        <v>6361</v>
      </c>
      <c r="C1678" t="s">
        <v>6339</v>
      </c>
    </row>
    <row r="1679" spans="1:3" x14ac:dyDescent="0.3">
      <c r="A1679" t="s">
        <v>6367</v>
      </c>
      <c r="B1679" s="4" t="s">
        <v>6361</v>
      </c>
      <c r="C1679" t="s">
        <v>958</v>
      </c>
    </row>
    <row r="1680" spans="1:3" x14ac:dyDescent="0.3">
      <c r="A1680" t="s">
        <v>6367</v>
      </c>
      <c r="B1680" s="4" t="s">
        <v>6361</v>
      </c>
      <c r="C1680" t="s">
        <v>958</v>
      </c>
    </row>
    <row r="1681" spans="1:3" x14ac:dyDescent="0.3">
      <c r="A1681" t="s">
        <v>6367</v>
      </c>
      <c r="B1681" s="4" t="s">
        <v>6361</v>
      </c>
      <c r="C1681" t="s">
        <v>958</v>
      </c>
    </row>
    <row r="1682" spans="1:3" x14ac:dyDescent="0.3">
      <c r="A1682" t="s">
        <v>6367</v>
      </c>
      <c r="B1682" s="4" t="s">
        <v>6361</v>
      </c>
      <c r="C1682" t="s">
        <v>958</v>
      </c>
    </row>
    <row r="1683" spans="1:3" x14ac:dyDescent="0.3">
      <c r="A1683" t="s">
        <v>6367</v>
      </c>
      <c r="B1683" s="4" t="s">
        <v>6361</v>
      </c>
      <c r="C1683" t="s">
        <v>958</v>
      </c>
    </row>
    <row r="1684" spans="1:3" x14ac:dyDescent="0.3">
      <c r="A1684" t="s">
        <v>6367</v>
      </c>
      <c r="B1684" s="4" t="s">
        <v>6361</v>
      </c>
      <c r="C1684" t="s">
        <v>6345</v>
      </c>
    </row>
    <row r="1685" spans="1:3" x14ac:dyDescent="0.3">
      <c r="A1685" t="s">
        <v>6367</v>
      </c>
      <c r="B1685" s="4" t="s">
        <v>6361</v>
      </c>
      <c r="C1685" t="s">
        <v>6342</v>
      </c>
    </row>
    <row r="1686" spans="1:3" x14ac:dyDescent="0.3">
      <c r="A1686" t="s">
        <v>6367</v>
      </c>
      <c r="B1686" s="4" t="s">
        <v>6361</v>
      </c>
      <c r="C1686" t="s">
        <v>6342</v>
      </c>
    </row>
    <row r="1687" spans="1:3" x14ac:dyDescent="0.3">
      <c r="A1687" t="s">
        <v>6367</v>
      </c>
      <c r="B1687" s="4" t="s">
        <v>6361</v>
      </c>
      <c r="C1687" t="s">
        <v>6342</v>
      </c>
    </row>
    <row r="1688" spans="1:3" x14ac:dyDescent="0.3">
      <c r="A1688" t="s">
        <v>6367</v>
      </c>
      <c r="B1688" s="4" t="s">
        <v>6361</v>
      </c>
      <c r="C1688" t="s">
        <v>6342</v>
      </c>
    </row>
    <row r="1689" spans="1:3" x14ac:dyDescent="0.3">
      <c r="A1689" t="s">
        <v>6367</v>
      </c>
      <c r="B1689" s="4" t="s">
        <v>6361</v>
      </c>
      <c r="C1689" t="s">
        <v>6358</v>
      </c>
    </row>
    <row r="1690" spans="1:3" x14ac:dyDescent="0.3">
      <c r="A1690" t="s">
        <v>6367</v>
      </c>
      <c r="B1690" s="4" t="s">
        <v>6361</v>
      </c>
      <c r="C1690" t="s">
        <v>6346</v>
      </c>
    </row>
    <row r="1691" spans="1:3" x14ac:dyDescent="0.3">
      <c r="A1691" t="s">
        <v>6367</v>
      </c>
      <c r="B1691" s="4" t="s">
        <v>6361</v>
      </c>
      <c r="C1691" t="s">
        <v>6337</v>
      </c>
    </row>
    <row r="1692" spans="1:3" x14ac:dyDescent="0.3">
      <c r="A1692" t="s">
        <v>6367</v>
      </c>
      <c r="B1692" s="4" t="s">
        <v>6361</v>
      </c>
      <c r="C1692" t="s">
        <v>6337</v>
      </c>
    </row>
    <row r="1693" spans="1:3" x14ac:dyDescent="0.3">
      <c r="A1693" t="s">
        <v>6367</v>
      </c>
      <c r="B1693" s="4" t="s">
        <v>6361</v>
      </c>
      <c r="C1693" t="s">
        <v>6337</v>
      </c>
    </row>
    <row r="1694" spans="1:3" x14ac:dyDescent="0.3">
      <c r="A1694" t="s">
        <v>6367</v>
      </c>
      <c r="B1694" s="4" t="s">
        <v>6371</v>
      </c>
      <c r="C1694" t="s">
        <v>6339</v>
      </c>
    </row>
    <row r="1695" spans="1:3" x14ac:dyDescent="0.3">
      <c r="A1695" t="s">
        <v>6367</v>
      </c>
      <c r="B1695" s="4" t="s">
        <v>6371</v>
      </c>
      <c r="C1695" t="s">
        <v>6339</v>
      </c>
    </row>
    <row r="1696" spans="1:3" x14ac:dyDescent="0.3">
      <c r="A1696" t="s">
        <v>6367</v>
      </c>
      <c r="B1696" s="4" t="s">
        <v>6371</v>
      </c>
      <c r="C1696" t="s">
        <v>6339</v>
      </c>
    </row>
    <row r="1697" spans="1:3" x14ac:dyDescent="0.3">
      <c r="A1697" t="s">
        <v>6367</v>
      </c>
      <c r="B1697" s="4" t="s">
        <v>6371</v>
      </c>
      <c r="C1697" t="s">
        <v>6339</v>
      </c>
    </row>
    <row r="1698" spans="1:3" x14ac:dyDescent="0.3">
      <c r="A1698" t="s">
        <v>6367</v>
      </c>
      <c r="B1698" s="4" t="s">
        <v>6371</v>
      </c>
      <c r="C1698" t="s">
        <v>6339</v>
      </c>
    </row>
    <row r="1699" spans="1:3" x14ac:dyDescent="0.3">
      <c r="A1699" t="s">
        <v>6367</v>
      </c>
      <c r="B1699" s="4" t="s">
        <v>6371</v>
      </c>
      <c r="C1699" t="s">
        <v>6339</v>
      </c>
    </row>
    <row r="1700" spans="1:3" x14ac:dyDescent="0.3">
      <c r="A1700" t="s">
        <v>6367</v>
      </c>
      <c r="B1700" s="4" t="s">
        <v>6371</v>
      </c>
      <c r="C1700" t="s">
        <v>6339</v>
      </c>
    </row>
    <row r="1701" spans="1:3" x14ac:dyDescent="0.3">
      <c r="A1701" t="s">
        <v>6367</v>
      </c>
      <c r="B1701" s="4" t="s">
        <v>6371</v>
      </c>
      <c r="C1701" t="s">
        <v>6339</v>
      </c>
    </row>
    <row r="1702" spans="1:3" x14ac:dyDescent="0.3">
      <c r="A1702" t="s">
        <v>6367</v>
      </c>
      <c r="B1702" s="4" t="s">
        <v>6371</v>
      </c>
      <c r="C1702" t="s">
        <v>6339</v>
      </c>
    </row>
    <row r="1703" spans="1:3" x14ac:dyDescent="0.3">
      <c r="A1703" t="s">
        <v>6367</v>
      </c>
      <c r="B1703" s="4" t="s">
        <v>6371</v>
      </c>
      <c r="C1703" t="s">
        <v>6339</v>
      </c>
    </row>
    <row r="1704" spans="1:3" x14ac:dyDescent="0.3">
      <c r="A1704" t="s">
        <v>6367</v>
      </c>
      <c r="B1704" s="4" t="s">
        <v>6371</v>
      </c>
      <c r="C1704" t="s">
        <v>6339</v>
      </c>
    </row>
    <row r="1705" spans="1:3" x14ac:dyDescent="0.3">
      <c r="A1705" t="s">
        <v>6367</v>
      </c>
      <c r="B1705" s="4" t="s">
        <v>6371</v>
      </c>
      <c r="C1705" t="s">
        <v>6339</v>
      </c>
    </row>
    <row r="1706" spans="1:3" x14ac:dyDescent="0.3">
      <c r="A1706" t="s">
        <v>6367</v>
      </c>
      <c r="B1706" s="4" t="s">
        <v>6371</v>
      </c>
      <c r="C1706" t="s">
        <v>6339</v>
      </c>
    </row>
    <row r="1707" spans="1:3" x14ac:dyDescent="0.3">
      <c r="A1707" t="s">
        <v>6367</v>
      </c>
      <c r="B1707" s="4" t="s">
        <v>6371</v>
      </c>
      <c r="C1707" t="s">
        <v>6339</v>
      </c>
    </row>
    <row r="1708" spans="1:3" x14ac:dyDescent="0.3">
      <c r="A1708" t="s">
        <v>6367</v>
      </c>
      <c r="B1708" s="4" t="s">
        <v>6371</v>
      </c>
      <c r="C1708" t="s">
        <v>6339</v>
      </c>
    </row>
    <row r="1709" spans="1:3" x14ac:dyDescent="0.3">
      <c r="A1709" t="s">
        <v>6367</v>
      </c>
      <c r="B1709" s="4" t="s">
        <v>6371</v>
      </c>
      <c r="C1709" t="s">
        <v>6339</v>
      </c>
    </row>
    <row r="1710" spans="1:3" x14ac:dyDescent="0.3">
      <c r="A1710" t="s">
        <v>6367</v>
      </c>
      <c r="B1710" s="4" t="s">
        <v>6371</v>
      </c>
      <c r="C1710" t="s">
        <v>6339</v>
      </c>
    </row>
    <row r="1711" spans="1:3" x14ac:dyDescent="0.3">
      <c r="A1711" t="s">
        <v>6367</v>
      </c>
      <c r="B1711" s="4" t="s">
        <v>6371</v>
      </c>
      <c r="C1711" t="s">
        <v>6339</v>
      </c>
    </row>
    <row r="1712" spans="1:3" x14ac:dyDescent="0.3">
      <c r="A1712" t="s">
        <v>6367</v>
      </c>
      <c r="B1712" s="4" t="s">
        <v>6371</v>
      </c>
      <c r="C1712" t="s">
        <v>6339</v>
      </c>
    </row>
    <row r="1713" spans="1:3" x14ac:dyDescent="0.3">
      <c r="A1713" t="s">
        <v>6367</v>
      </c>
      <c r="B1713" s="4" t="s">
        <v>6371</v>
      </c>
      <c r="C1713" t="s">
        <v>6339</v>
      </c>
    </row>
    <row r="1714" spans="1:3" x14ac:dyDescent="0.3">
      <c r="A1714" t="s">
        <v>6367</v>
      </c>
      <c r="B1714" s="4" t="s">
        <v>6371</v>
      </c>
      <c r="C1714" t="s">
        <v>6339</v>
      </c>
    </row>
    <row r="1715" spans="1:3" x14ac:dyDescent="0.3">
      <c r="A1715" t="s">
        <v>6367</v>
      </c>
      <c r="B1715" s="4" t="s">
        <v>6371</v>
      </c>
      <c r="C1715" t="s">
        <v>6339</v>
      </c>
    </row>
    <row r="1716" spans="1:3" x14ac:dyDescent="0.3">
      <c r="A1716" t="s">
        <v>6367</v>
      </c>
      <c r="B1716" s="4" t="s">
        <v>6371</v>
      </c>
      <c r="C1716" t="s">
        <v>6339</v>
      </c>
    </row>
    <row r="1717" spans="1:3" x14ac:dyDescent="0.3">
      <c r="A1717" t="s">
        <v>6367</v>
      </c>
      <c r="B1717" s="4" t="s">
        <v>6371</v>
      </c>
      <c r="C1717" t="s">
        <v>6339</v>
      </c>
    </row>
    <row r="1718" spans="1:3" x14ac:dyDescent="0.3">
      <c r="A1718" t="s">
        <v>6367</v>
      </c>
      <c r="B1718" s="4" t="s">
        <v>6371</v>
      </c>
      <c r="C1718" t="s">
        <v>6339</v>
      </c>
    </row>
    <row r="1719" spans="1:3" x14ac:dyDescent="0.3">
      <c r="A1719" t="s">
        <v>6367</v>
      </c>
      <c r="B1719" s="4" t="s">
        <v>6371</v>
      </c>
      <c r="C1719" t="s">
        <v>6339</v>
      </c>
    </row>
    <row r="1720" spans="1:3" x14ac:dyDescent="0.3">
      <c r="A1720" t="s">
        <v>6367</v>
      </c>
      <c r="B1720" s="4" t="s">
        <v>6371</v>
      </c>
      <c r="C1720" t="s">
        <v>6339</v>
      </c>
    </row>
    <row r="1721" spans="1:3" x14ac:dyDescent="0.3">
      <c r="A1721" t="s">
        <v>6367</v>
      </c>
      <c r="B1721" s="4" t="s">
        <v>6371</v>
      </c>
      <c r="C1721" t="s">
        <v>6339</v>
      </c>
    </row>
    <row r="1722" spans="1:3" x14ac:dyDescent="0.3">
      <c r="A1722" t="s">
        <v>6367</v>
      </c>
      <c r="B1722" s="4" t="s">
        <v>6371</v>
      </c>
      <c r="C1722" t="s">
        <v>6339</v>
      </c>
    </row>
    <row r="1723" spans="1:3" x14ac:dyDescent="0.3">
      <c r="A1723" t="s">
        <v>6367</v>
      </c>
      <c r="B1723" s="4" t="s">
        <v>6371</v>
      </c>
      <c r="C1723" t="s">
        <v>6339</v>
      </c>
    </row>
    <row r="1724" spans="1:3" x14ac:dyDescent="0.3">
      <c r="A1724" t="s">
        <v>6367</v>
      </c>
      <c r="B1724" s="4" t="s">
        <v>6371</v>
      </c>
      <c r="C1724" t="s">
        <v>6339</v>
      </c>
    </row>
    <row r="1725" spans="1:3" x14ac:dyDescent="0.3">
      <c r="A1725" t="s">
        <v>6367</v>
      </c>
      <c r="B1725" s="4" t="s">
        <v>6371</v>
      </c>
      <c r="C1725" t="s">
        <v>6339</v>
      </c>
    </row>
    <row r="1726" spans="1:3" x14ac:dyDescent="0.3">
      <c r="A1726" t="s">
        <v>6367</v>
      </c>
      <c r="B1726" s="4" t="s">
        <v>6371</v>
      </c>
      <c r="C1726" t="s">
        <v>6339</v>
      </c>
    </row>
    <row r="1727" spans="1:3" x14ac:dyDescent="0.3">
      <c r="A1727" t="s">
        <v>6367</v>
      </c>
      <c r="B1727" s="4" t="s">
        <v>6371</v>
      </c>
      <c r="C1727" t="s">
        <v>6339</v>
      </c>
    </row>
    <row r="1728" spans="1:3" x14ac:dyDescent="0.3">
      <c r="A1728" t="s">
        <v>6367</v>
      </c>
      <c r="B1728" s="4" t="s">
        <v>6371</v>
      </c>
      <c r="C1728" t="s">
        <v>6339</v>
      </c>
    </row>
    <row r="1729" spans="1:3" x14ac:dyDescent="0.3">
      <c r="A1729" t="s">
        <v>6367</v>
      </c>
      <c r="B1729" s="4" t="s">
        <v>6371</v>
      </c>
      <c r="C1729" t="s">
        <v>6339</v>
      </c>
    </row>
    <row r="1730" spans="1:3" x14ac:dyDescent="0.3">
      <c r="A1730" t="s">
        <v>6367</v>
      </c>
      <c r="B1730" s="4" t="s">
        <v>6371</v>
      </c>
      <c r="C1730" t="s">
        <v>6339</v>
      </c>
    </row>
    <row r="1731" spans="1:3" x14ac:dyDescent="0.3">
      <c r="A1731" t="s">
        <v>6367</v>
      </c>
      <c r="B1731" s="4" t="s">
        <v>6368</v>
      </c>
      <c r="C1731" t="s">
        <v>6339</v>
      </c>
    </row>
    <row r="1732" spans="1:3" x14ac:dyDescent="0.3">
      <c r="A1732" t="s">
        <v>6367</v>
      </c>
      <c r="B1732" s="4" t="s">
        <v>6368</v>
      </c>
      <c r="C1732" t="s">
        <v>6339</v>
      </c>
    </row>
    <row r="1733" spans="1:3" x14ac:dyDescent="0.3">
      <c r="A1733" t="s">
        <v>6367</v>
      </c>
      <c r="B1733" s="4" t="s">
        <v>6368</v>
      </c>
      <c r="C1733" t="s">
        <v>6339</v>
      </c>
    </row>
    <row r="1734" spans="1:3" x14ac:dyDescent="0.3">
      <c r="A1734" t="s">
        <v>6367</v>
      </c>
      <c r="B1734" s="4" t="s">
        <v>6368</v>
      </c>
      <c r="C1734" t="s">
        <v>6339</v>
      </c>
    </row>
    <row r="1735" spans="1:3" x14ac:dyDescent="0.3">
      <c r="A1735" t="s">
        <v>6367</v>
      </c>
      <c r="B1735" s="4" t="s">
        <v>6368</v>
      </c>
      <c r="C1735" t="s">
        <v>6339</v>
      </c>
    </row>
    <row r="1736" spans="1:3" x14ac:dyDescent="0.3">
      <c r="A1736" t="s">
        <v>6367</v>
      </c>
      <c r="B1736" s="4" t="s">
        <v>6368</v>
      </c>
      <c r="C1736" t="s">
        <v>6339</v>
      </c>
    </row>
    <row r="1737" spans="1:3" x14ac:dyDescent="0.3">
      <c r="A1737" t="s">
        <v>6367</v>
      </c>
      <c r="B1737" s="4" t="s">
        <v>6368</v>
      </c>
      <c r="C1737" t="s">
        <v>6339</v>
      </c>
    </row>
    <row r="1738" spans="1:3" x14ac:dyDescent="0.3">
      <c r="A1738" t="s">
        <v>6367</v>
      </c>
      <c r="B1738" s="4" t="s">
        <v>6368</v>
      </c>
      <c r="C1738" t="s">
        <v>6339</v>
      </c>
    </row>
    <row r="1739" spans="1:3" x14ac:dyDescent="0.3">
      <c r="A1739" t="s">
        <v>6367</v>
      </c>
      <c r="B1739" s="4" t="s">
        <v>6368</v>
      </c>
      <c r="C1739" t="s">
        <v>6339</v>
      </c>
    </row>
    <row r="1740" spans="1:3" x14ac:dyDescent="0.3">
      <c r="A1740" t="s">
        <v>6367</v>
      </c>
      <c r="B1740" s="4" t="s">
        <v>6368</v>
      </c>
      <c r="C1740" t="s">
        <v>6339</v>
      </c>
    </row>
    <row r="1741" spans="1:3" x14ac:dyDescent="0.3">
      <c r="A1741" t="s">
        <v>6367</v>
      </c>
      <c r="B1741" s="4" t="s">
        <v>6368</v>
      </c>
      <c r="C1741" t="s">
        <v>6339</v>
      </c>
    </row>
    <row r="1742" spans="1:3" x14ac:dyDescent="0.3">
      <c r="A1742" t="s">
        <v>6367</v>
      </c>
      <c r="B1742" s="4" t="s">
        <v>6368</v>
      </c>
      <c r="C1742" t="s">
        <v>6339</v>
      </c>
    </row>
    <row r="1743" spans="1:3" x14ac:dyDescent="0.3">
      <c r="A1743" t="s">
        <v>6367</v>
      </c>
      <c r="B1743" s="4" t="s">
        <v>6368</v>
      </c>
      <c r="C1743" t="s">
        <v>6339</v>
      </c>
    </row>
    <row r="1744" spans="1:3" x14ac:dyDescent="0.3">
      <c r="A1744" t="s">
        <v>6367</v>
      </c>
      <c r="B1744" s="4" t="s">
        <v>6368</v>
      </c>
      <c r="C1744" t="s">
        <v>6339</v>
      </c>
    </row>
    <row r="1745" spans="1:3" x14ac:dyDescent="0.3">
      <c r="A1745" t="s">
        <v>6367</v>
      </c>
      <c r="B1745" s="4" t="s">
        <v>6368</v>
      </c>
      <c r="C1745" t="s">
        <v>6339</v>
      </c>
    </row>
    <row r="1746" spans="1:3" x14ac:dyDescent="0.3">
      <c r="A1746" t="s">
        <v>6367</v>
      </c>
      <c r="B1746" s="4" t="s">
        <v>6368</v>
      </c>
      <c r="C1746" t="s">
        <v>6339</v>
      </c>
    </row>
    <row r="1747" spans="1:3" x14ac:dyDescent="0.3">
      <c r="A1747" t="s">
        <v>6367</v>
      </c>
      <c r="B1747" s="4" t="s">
        <v>6368</v>
      </c>
      <c r="C1747" t="s">
        <v>6339</v>
      </c>
    </row>
    <row r="1748" spans="1:3" x14ac:dyDescent="0.3">
      <c r="A1748" t="s">
        <v>6367</v>
      </c>
      <c r="B1748" s="4" t="s">
        <v>6368</v>
      </c>
      <c r="C1748" t="s">
        <v>6339</v>
      </c>
    </row>
    <row r="1749" spans="1:3" x14ac:dyDescent="0.3">
      <c r="A1749" t="s">
        <v>6367</v>
      </c>
      <c r="B1749" s="4" t="s">
        <v>6368</v>
      </c>
      <c r="C1749" t="s">
        <v>6339</v>
      </c>
    </row>
    <row r="1750" spans="1:3" x14ac:dyDescent="0.3">
      <c r="A1750" t="s">
        <v>6367</v>
      </c>
      <c r="B1750" s="4" t="s">
        <v>6368</v>
      </c>
      <c r="C1750" t="s">
        <v>6339</v>
      </c>
    </row>
    <row r="1751" spans="1:3" x14ac:dyDescent="0.3">
      <c r="A1751" t="s">
        <v>6367</v>
      </c>
      <c r="B1751" s="4" t="s">
        <v>6368</v>
      </c>
      <c r="C1751" t="s">
        <v>6339</v>
      </c>
    </row>
    <row r="1752" spans="1:3" x14ac:dyDescent="0.3">
      <c r="A1752" t="s">
        <v>6367</v>
      </c>
      <c r="B1752" s="4" t="s">
        <v>6368</v>
      </c>
      <c r="C1752" t="s">
        <v>6339</v>
      </c>
    </row>
    <row r="1753" spans="1:3" x14ac:dyDescent="0.3">
      <c r="A1753" t="s">
        <v>6367</v>
      </c>
      <c r="B1753" s="4" t="s">
        <v>6368</v>
      </c>
      <c r="C1753" t="s">
        <v>6339</v>
      </c>
    </row>
    <row r="1754" spans="1:3" x14ac:dyDescent="0.3">
      <c r="A1754" t="s">
        <v>6367</v>
      </c>
      <c r="B1754" s="4" t="s">
        <v>6368</v>
      </c>
      <c r="C1754" t="s">
        <v>6339</v>
      </c>
    </row>
    <row r="1755" spans="1:3" x14ac:dyDescent="0.3">
      <c r="A1755" t="s">
        <v>6367</v>
      </c>
      <c r="B1755" s="4" t="s">
        <v>6368</v>
      </c>
      <c r="C1755" t="s">
        <v>6339</v>
      </c>
    </row>
    <row r="1756" spans="1:3" x14ac:dyDescent="0.3">
      <c r="A1756" t="s">
        <v>6367</v>
      </c>
      <c r="B1756" s="4" t="s">
        <v>6368</v>
      </c>
      <c r="C1756" t="s">
        <v>6339</v>
      </c>
    </row>
    <row r="1757" spans="1:3" x14ac:dyDescent="0.3">
      <c r="A1757" t="s">
        <v>6367</v>
      </c>
      <c r="B1757" s="4" t="s">
        <v>6368</v>
      </c>
      <c r="C1757" t="s">
        <v>6339</v>
      </c>
    </row>
    <row r="1758" spans="1:3" x14ac:dyDescent="0.3">
      <c r="A1758" t="s">
        <v>6367</v>
      </c>
      <c r="B1758" s="4" t="s">
        <v>6368</v>
      </c>
      <c r="C1758" t="s">
        <v>6339</v>
      </c>
    </row>
    <row r="1759" spans="1:3" x14ac:dyDescent="0.3">
      <c r="A1759" t="s">
        <v>6367</v>
      </c>
      <c r="B1759" s="4" t="s">
        <v>6368</v>
      </c>
      <c r="C1759" t="s">
        <v>6339</v>
      </c>
    </row>
    <row r="1760" spans="1:3" x14ac:dyDescent="0.3">
      <c r="A1760" t="s">
        <v>6367</v>
      </c>
      <c r="B1760" s="4" t="s">
        <v>6368</v>
      </c>
      <c r="C1760" t="s">
        <v>6339</v>
      </c>
    </row>
    <row r="1761" spans="1:3" x14ac:dyDescent="0.3">
      <c r="A1761" t="s">
        <v>6367</v>
      </c>
      <c r="B1761" s="4" t="s">
        <v>6372</v>
      </c>
      <c r="C1761" t="s">
        <v>6339</v>
      </c>
    </row>
    <row r="1762" spans="1:3" x14ac:dyDescent="0.3">
      <c r="A1762" t="s">
        <v>6378</v>
      </c>
      <c r="B1762" s="4" t="s">
        <v>6361</v>
      </c>
      <c r="C1762" t="s">
        <v>6348</v>
      </c>
    </row>
    <row r="1763" spans="1:3" x14ac:dyDescent="0.3">
      <c r="A1763" t="s">
        <v>6378</v>
      </c>
      <c r="B1763" s="4" t="s">
        <v>6361</v>
      </c>
      <c r="C1763" t="s">
        <v>6348</v>
      </c>
    </row>
    <row r="1764" spans="1:3" x14ac:dyDescent="0.3">
      <c r="A1764" t="s">
        <v>6378</v>
      </c>
      <c r="B1764" s="4" t="s">
        <v>6361</v>
      </c>
      <c r="C1764" t="s">
        <v>6345</v>
      </c>
    </row>
    <row r="1765" spans="1:3" x14ac:dyDescent="0.3">
      <c r="A1765" t="s">
        <v>6378</v>
      </c>
      <c r="B1765" s="4" t="s">
        <v>6361</v>
      </c>
      <c r="C1765" t="s">
        <v>6337</v>
      </c>
    </row>
    <row r="1766" spans="1:3" x14ac:dyDescent="0.3">
      <c r="A1766" t="s">
        <v>6378</v>
      </c>
      <c r="B1766" s="4" t="s">
        <v>6361</v>
      </c>
      <c r="C1766" t="s">
        <v>6337</v>
      </c>
    </row>
    <row r="1767" spans="1:3" x14ac:dyDescent="0.3">
      <c r="A1767" t="s">
        <v>6378</v>
      </c>
      <c r="B1767" s="4" t="s">
        <v>6357</v>
      </c>
      <c r="C1767" t="s">
        <v>6339</v>
      </c>
    </row>
    <row r="1768" spans="1:3" x14ac:dyDescent="0.3">
      <c r="A1768" t="s">
        <v>6378</v>
      </c>
      <c r="B1768" s="4" t="s">
        <v>6357</v>
      </c>
      <c r="C1768" t="s">
        <v>6339</v>
      </c>
    </row>
    <row r="1769" spans="1:3" x14ac:dyDescent="0.3">
      <c r="A1769" t="s">
        <v>6378</v>
      </c>
      <c r="B1769" s="4" t="s">
        <v>6365</v>
      </c>
      <c r="C1769" t="s">
        <v>6339</v>
      </c>
    </row>
    <row r="1770" spans="1:3" x14ac:dyDescent="0.3">
      <c r="A1770" t="s">
        <v>6378</v>
      </c>
      <c r="B1770" s="4" t="s">
        <v>6365</v>
      </c>
      <c r="C1770" t="s">
        <v>6339</v>
      </c>
    </row>
    <row r="1771" spans="1:3" x14ac:dyDescent="0.3">
      <c r="A1771" t="s">
        <v>6378</v>
      </c>
      <c r="B1771" s="4" t="s">
        <v>6365</v>
      </c>
      <c r="C1771" t="s">
        <v>6339</v>
      </c>
    </row>
    <row r="1772" spans="1:3" x14ac:dyDescent="0.3">
      <c r="A1772" t="s">
        <v>6369</v>
      </c>
      <c r="B1772" s="4" t="s">
        <v>6361</v>
      </c>
      <c r="C1772" t="s">
        <v>6339</v>
      </c>
    </row>
    <row r="1773" spans="1:3" x14ac:dyDescent="0.3">
      <c r="A1773" t="s">
        <v>6369</v>
      </c>
      <c r="B1773" s="4" t="s">
        <v>6361</v>
      </c>
      <c r="C1773" t="s">
        <v>6339</v>
      </c>
    </row>
    <row r="1774" spans="1:3" x14ac:dyDescent="0.3">
      <c r="A1774" t="s">
        <v>6369</v>
      </c>
      <c r="B1774" s="4" t="s">
        <v>6361</v>
      </c>
      <c r="C1774" t="s">
        <v>6339</v>
      </c>
    </row>
    <row r="1775" spans="1:3" x14ac:dyDescent="0.3">
      <c r="A1775" t="s">
        <v>6369</v>
      </c>
      <c r="B1775" s="4" t="s">
        <v>6361</v>
      </c>
      <c r="C1775" t="s">
        <v>6339</v>
      </c>
    </row>
    <row r="1776" spans="1:3" x14ac:dyDescent="0.3">
      <c r="A1776" t="s">
        <v>6369</v>
      </c>
      <c r="B1776" s="4" t="s">
        <v>6361</v>
      </c>
      <c r="C1776" t="s">
        <v>6339</v>
      </c>
    </row>
    <row r="1777" spans="1:3" x14ac:dyDescent="0.3">
      <c r="A1777" t="s">
        <v>6369</v>
      </c>
      <c r="B1777" s="4" t="s">
        <v>6361</v>
      </c>
      <c r="C1777" t="s">
        <v>6339</v>
      </c>
    </row>
    <row r="1778" spans="1:3" x14ac:dyDescent="0.3">
      <c r="A1778" t="s">
        <v>6369</v>
      </c>
      <c r="B1778" s="4" t="s">
        <v>6361</v>
      </c>
      <c r="C1778" t="s">
        <v>6339</v>
      </c>
    </row>
    <row r="1779" spans="1:3" x14ac:dyDescent="0.3">
      <c r="A1779" t="s">
        <v>6369</v>
      </c>
      <c r="B1779" s="4" t="s">
        <v>6361</v>
      </c>
      <c r="C1779" t="s">
        <v>6339</v>
      </c>
    </row>
    <row r="1780" spans="1:3" x14ac:dyDescent="0.3">
      <c r="A1780" t="s">
        <v>6369</v>
      </c>
      <c r="B1780" s="4" t="s">
        <v>6361</v>
      </c>
      <c r="C1780" t="s">
        <v>6339</v>
      </c>
    </row>
    <row r="1781" spans="1:3" x14ac:dyDescent="0.3">
      <c r="A1781" t="s">
        <v>6369</v>
      </c>
      <c r="B1781" s="4" t="s">
        <v>6361</v>
      </c>
      <c r="C1781" t="s">
        <v>6339</v>
      </c>
    </row>
    <row r="1782" spans="1:3" x14ac:dyDescent="0.3">
      <c r="A1782" t="s">
        <v>6369</v>
      </c>
      <c r="B1782" s="4" t="s">
        <v>6361</v>
      </c>
      <c r="C1782" t="s">
        <v>6339</v>
      </c>
    </row>
    <row r="1783" spans="1:3" x14ac:dyDescent="0.3">
      <c r="A1783" t="s">
        <v>6369</v>
      </c>
      <c r="B1783" s="4" t="s">
        <v>6361</v>
      </c>
      <c r="C1783" t="s">
        <v>6339</v>
      </c>
    </row>
    <row r="1784" spans="1:3" x14ac:dyDescent="0.3">
      <c r="A1784" t="s">
        <v>6369</v>
      </c>
      <c r="B1784" s="4" t="s">
        <v>6361</v>
      </c>
      <c r="C1784" t="s">
        <v>6339</v>
      </c>
    </row>
    <row r="1785" spans="1:3" x14ac:dyDescent="0.3">
      <c r="A1785" t="s">
        <v>6369</v>
      </c>
      <c r="B1785" s="4" t="s">
        <v>6361</v>
      </c>
      <c r="C1785" t="s">
        <v>6339</v>
      </c>
    </row>
    <row r="1786" spans="1:3" x14ac:dyDescent="0.3">
      <c r="A1786" t="s">
        <v>6369</v>
      </c>
      <c r="B1786" s="4" t="s">
        <v>6361</v>
      </c>
      <c r="C1786" t="s">
        <v>6339</v>
      </c>
    </row>
    <row r="1787" spans="1:3" x14ac:dyDescent="0.3">
      <c r="A1787" t="s">
        <v>6369</v>
      </c>
      <c r="B1787" s="4" t="s">
        <v>6361</v>
      </c>
      <c r="C1787" t="s">
        <v>6339</v>
      </c>
    </row>
    <row r="1788" spans="1:3" x14ac:dyDescent="0.3">
      <c r="A1788" t="s">
        <v>6369</v>
      </c>
      <c r="B1788" s="4" t="s">
        <v>6361</v>
      </c>
      <c r="C1788" t="s">
        <v>6339</v>
      </c>
    </row>
    <row r="1789" spans="1:3" x14ac:dyDescent="0.3">
      <c r="A1789" t="s">
        <v>6369</v>
      </c>
      <c r="B1789" s="4" t="s">
        <v>6361</v>
      </c>
      <c r="C1789" t="s">
        <v>6339</v>
      </c>
    </row>
    <row r="1790" spans="1:3" x14ac:dyDescent="0.3">
      <c r="A1790" t="s">
        <v>6369</v>
      </c>
      <c r="B1790" s="4" t="s">
        <v>6361</v>
      </c>
      <c r="C1790" t="s">
        <v>6339</v>
      </c>
    </row>
    <row r="1791" spans="1:3" x14ac:dyDescent="0.3">
      <c r="A1791" t="s">
        <v>6369</v>
      </c>
      <c r="B1791" s="4" t="s">
        <v>6361</v>
      </c>
      <c r="C1791" t="s">
        <v>6339</v>
      </c>
    </row>
    <row r="1792" spans="1:3" x14ac:dyDescent="0.3">
      <c r="A1792" t="s">
        <v>6369</v>
      </c>
      <c r="B1792" s="4" t="s">
        <v>6361</v>
      </c>
      <c r="C1792" t="s">
        <v>6339</v>
      </c>
    </row>
    <row r="1793" spans="1:3" x14ac:dyDescent="0.3">
      <c r="A1793" t="s">
        <v>6369</v>
      </c>
      <c r="B1793" s="4" t="s">
        <v>6361</v>
      </c>
      <c r="C1793" t="s">
        <v>6339</v>
      </c>
    </row>
    <row r="1794" spans="1:3" x14ac:dyDescent="0.3">
      <c r="A1794" t="s">
        <v>6369</v>
      </c>
      <c r="B1794" s="4" t="s">
        <v>6361</v>
      </c>
      <c r="C1794" t="s">
        <v>6339</v>
      </c>
    </row>
    <row r="1795" spans="1:3" x14ac:dyDescent="0.3">
      <c r="A1795" t="s">
        <v>6369</v>
      </c>
      <c r="B1795" s="4" t="s">
        <v>6361</v>
      </c>
      <c r="C1795" t="s">
        <v>6339</v>
      </c>
    </row>
    <row r="1796" spans="1:3" x14ac:dyDescent="0.3">
      <c r="A1796" t="s">
        <v>6369</v>
      </c>
      <c r="B1796" s="4" t="s">
        <v>6361</v>
      </c>
      <c r="C1796" t="s">
        <v>6339</v>
      </c>
    </row>
    <row r="1797" spans="1:3" x14ac:dyDescent="0.3">
      <c r="A1797" t="s">
        <v>6369</v>
      </c>
      <c r="B1797" s="4" t="s">
        <v>6361</v>
      </c>
      <c r="C1797" t="s">
        <v>6339</v>
      </c>
    </row>
    <row r="1798" spans="1:3" x14ac:dyDescent="0.3">
      <c r="A1798" t="s">
        <v>6369</v>
      </c>
      <c r="B1798" s="4" t="s">
        <v>6361</v>
      </c>
      <c r="C1798" t="s">
        <v>6339</v>
      </c>
    </row>
    <row r="1799" spans="1:3" x14ac:dyDescent="0.3">
      <c r="A1799" t="s">
        <v>6369</v>
      </c>
      <c r="B1799" s="4" t="s">
        <v>6361</v>
      </c>
      <c r="C1799" t="s">
        <v>6339</v>
      </c>
    </row>
    <row r="1800" spans="1:3" x14ac:dyDescent="0.3">
      <c r="A1800" t="s">
        <v>6369</v>
      </c>
      <c r="B1800" s="4" t="s">
        <v>6361</v>
      </c>
      <c r="C1800" t="s">
        <v>6339</v>
      </c>
    </row>
    <row r="1801" spans="1:3" x14ac:dyDescent="0.3">
      <c r="A1801" t="s">
        <v>6369</v>
      </c>
      <c r="B1801" s="4" t="s">
        <v>6361</v>
      </c>
      <c r="C1801" t="s">
        <v>6339</v>
      </c>
    </row>
    <row r="1802" spans="1:3" x14ac:dyDescent="0.3">
      <c r="A1802" t="s">
        <v>6369</v>
      </c>
      <c r="B1802" s="4" t="s">
        <v>6361</v>
      </c>
      <c r="C1802" t="s">
        <v>6339</v>
      </c>
    </row>
    <row r="1803" spans="1:3" x14ac:dyDescent="0.3">
      <c r="A1803" t="s">
        <v>6369</v>
      </c>
      <c r="B1803" s="4" t="s">
        <v>6361</v>
      </c>
      <c r="C1803" t="s">
        <v>6339</v>
      </c>
    </row>
    <row r="1804" spans="1:3" x14ac:dyDescent="0.3">
      <c r="A1804" t="s">
        <v>6369</v>
      </c>
      <c r="B1804" s="4" t="s">
        <v>6361</v>
      </c>
      <c r="C1804" t="s">
        <v>6339</v>
      </c>
    </row>
    <row r="1805" spans="1:3" x14ac:dyDescent="0.3">
      <c r="A1805" t="s">
        <v>6369</v>
      </c>
      <c r="B1805" s="4" t="s">
        <v>6361</v>
      </c>
      <c r="C1805" t="s">
        <v>6339</v>
      </c>
    </row>
    <row r="1806" spans="1:3" x14ac:dyDescent="0.3">
      <c r="A1806" t="s">
        <v>6369</v>
      </c>
      <c r="B1806" s="4" t="s">
        <v>6361</v>
      </c>
      <c r="C1806" t="s">
        <v>6348</v>
      </c>
    </row>
    <row r="1807" spans="1:3" x14ac:dyDescent="0.3">
      <c r="A1807" t="s">
        <v>6369</v>
      </c>
      <c r="B1807" s="4" t="s">
        <v>6361</v>
      </c>
      <c r="C1807" t="s">
        <v>6339</v>
      </c>
    </row>
    <row r="1808" spans="1:3" x14ac:dyDescent="0.3">
      <c r="A1808" t="s">
        <v>6369</v>
      </c>
      <c r="B1808" s="4" t="s">
        <v>6361</v>
      </c>
      <c r="C1808" t="s">
        <v>6339</v>
      </c>
    </row>
    <row r="1809" spans="1:3" x14ac:dyDescent="0.3">
      <c r="A1809" t="s">
        <v>6369</v>
      </c>
      <c r="B1809" s="4" t="s">
        <v>6361</v>
      </c>
      <c r="C1809" t="s">
        <v>6339</v>
      </c>
    </row>
    <row r="1810" spans="1:3" x14ac:dyDescent="0.3">
      <c r="A1810" t="s">
        <v>6369</v>
      </c>
      <c r="B1810" s="4" t="s">
        <v>6361</v>
      </c>
      <c r="C1810" t="s">
        <v>6339</v>
      </c>
    </row>
    <row r="1811" spans="1:3" x14ac:dyDescent="0.3">
      <c r="A1811" t="s">
        <v>6369</v>
      </c>
      <c r="B1811" s="4" t="s">
        <v>6361</v>
      </c>
      <c r="C1811" t="s">
        <v>6339</v>
      </c>
    </row>
    <row r="1812" spans="1:3" x14ac:dyDescent="0.3">
      <c r="A1812" t="s">
        <v>6369</v>
      </c>
      <c r="B1812" s="4" t="s">
        <v>6361</v>
      </c>
      <c r="C1812" t="s">
        <v>6339</v>
      </c>
    </row>
    <row r="1813" spans="1:3" x14ac:dyDescent="0.3">
      <c r="A1813" t="s">
        <v>6369</v>
      </c>
      <c r="B1813" s="4" t="s">
        <v>6361</v>
      </c>
      <c r="C1813" t="s">
        <v>6339</v>
      </c>
    </row>
    <row r="1814" spans="1:3" x14ac:dyDescent="0.3">
      <c r="A1814" t="s">
        <v>6369</v>
      </c>
      <c r="B1814" s="4" t="s">
        <v>6361</v>
      </c>
      <c r="C1814" t="s">
        <v>6339</v>
      </c>
    </row>
    <row r="1815" spans="1:3" x14ac:dyDescent="0.3">
      <c r="A1815" t="s">
        <v>6369</v>
      </c>
      <c r="B1815" s="4" t="s">
        <v>6361</v>
      </c>
      <c r="C1815" t="s">
        <v>6339</v>
      </c>
    </row>
    <row r="1816" spans="1:3" x14ac:dyDescent="0.3">
      <c r="A1816" t="s">
        <v>6369</v>
      </c>
      <c r="B1816" s="4" t="s">
        <v>6361</v>
      </c>
      <c r="C1816" t="s">
        <v>6339</v>
      </c>
    </row>
    <row r="1817" spans="1:3" x14ac:dyDescent="0.3">
      <c r="A1817" t="s">
        <v>6369</v>
      </c>
      <c r="B1817" s="4" t="s">
        <v>6361</v>
      </c>
      <c r="C1817" t="s">
        <v>6339</v>
      </c>
    </row>
    <row r="1818" spans="1:3" x14ac:dyDescent="0.3">
      <c r="A1818" t="s">
        <v>6369</v>
      </c>
      <c r="B1818" s="4" t="s">
        <v>6361</v>
      </c>
      <c r="C1818" t="s">
        <v>6339</v>
      </c>
    </row>
    <row r="1819" spans="1:3" x14ac:dyDescent="0.3">
      <c r="A1819" t="s">
        <v>6369</v>
      </c>
      <c r="B1819" s="4" t="s">
        <v>6361</v>
      </c>
      <c r="C1819" t="s">
        <v>6339</v>
      </c>
    </row>
    <row r="1820" spans="1:3" x14ac:dyDescent="0.3">
      <c r="A1820" t="s">
        <v>6369</v>
      </c>
      <c r="B1820" s="4" t="s">
        <v>6361</v>
      </c>
      <c r="C1820" t="s">
        <v>6339</v>
      </c>
    </row>
    <row r="1821" spans="1:3" x14ac:dyDescent="0.3">
      <c r="A1821" t="s">
        <v>6369</v>
      </c>
      <c r="B1821" s="4" t="s">
        <v>6361</v>
      </c>
      <c r="C1821" t="s">
        <v>6339</v>
      </c>
    </row>
    <row r="1822" spans="1:3" x14ac:dyDescent="0.3">
      <c r="A1822" t="s">
        <v>6369</v>
      </c>
      <c r="B1822" s="4" t="s">
        <v>6361</v>
      </c>
      <c r="C1822" t="s">
        <v>6339</v>
      </c>
    </row>
    <row r="1823" spans="1:3" x14ac:dyDescent="0.3">
      <c r="A1823" t="s">
        <v>6369</v>
      </c>
      <c r="B1823" s="4" t="s">
        <v>6361</v>
      </c>
      <c r="C1823" t="s">
        <v>6339</v>
      </c>
    </row>
    <row r="1824" spans="1:3" x14ac:dyDescent="0.3">
      <c r="A1824" t="s">
        <v>6369</v>
      </c>
      <c r="B1824" s="4" t="s">
        <v>6361</v>
      </c>
      <c r="C1824" t="s">
        <v>6339</v>
      </c>
    </row>
    <row r="1825" spans="1:3" x14ac:dyDescent="0.3">
      <c r="A1825" t="s">
        <v>6369</v>
      </c>
      <c r="B1825" s="4" t="s">
        <v>6361</v>
      </c>
      <c r="C1825" t="s">
        <v>6339</v>
      </c>
    </row>
    <row r="1826" spans="1:3" x14ac:dyDescent="0.3">
      <c r="A1826" t="s">
        <v>6369</v>
      </c>
      <c r="B1826" s="4" t="s">
        <v>6361</v>
      </c>
      <c r="C1826" t="s">
        <v>6339</v>
      </c>
    </row>
    <row r="1827" spans="1:3" x14ac:dyDescent="0.3">
      <c r="A1827" t="s">
        <v>6369</v>
      </c>
      <c r="B1827" s="4" t="s">
        <v>6361</v>
      </c>
      <c r="C1827" t="s">
        <v>6339</v>
      </c>
    </row>
    <row r="1828" spans="1:3" x14ac:dyDescent="0.3">
      <c r="A1828" t="s">
        <v>6369</v>
      </c>
      <c r="B1828" s="4" t="s">
        <v>6361</v>
      </c>
      <c r="C1828" t="s">
        <v>6339</v>
      </c>
    </row>
    <row r="1829" spans="1:3" x14ac:dyDescent="0.3">
      <c r="A1829" t="s">
        <v>6369</v>
      </c>
      <c r="B1829" s="4" t="s">
        <v>6361</v>
      </c>
      <c r="C1829" t="s">
        <v>6339</v>
      </c>
    </row>
    <row r="1830" spans="1:3" x14ac:dyDescent="0.3">
      <c r="A1830" t="s">
        <v>6369</v>
      </c>
      <c r="B1830" s="4" t="s">
        <v>6361</v>
      </c>
      <c r="C1830" t="s">
        <v>6339</v>
      </c>
    </row>
    <row r="1831" spans="1:3" x14ac:dyDescent="0.3">
      <c r="A1831" t="s">
        <v>6369</v>
      </c>
      <c r="B1831" s="4" t="s">
        <v>6361</v>
      </c>
      <c r="C1831" t="s">
        <v>6339</v>
      </c>
    </row>
    <row r="1832" spans="1:3" x14ac:dyDescent="0.3">
      <c r="A1832" t="s">
        <v>6369</v>
      </c>
      <c r="B1832" s="4" t="s">
        <v>6361</v>
      </c>
      <c r="C1832" t="s">
        <v>6339</v>
      </c>
    </row>
    <row r="1833" spans="1:3" x14ac:dyDescent="0.3">
      <c r="A1833" t="s">
        <v>6369</v>
      </c>
      <c r="B1833" s="4" t="s">
        <v>6361</v>
      </c>
      <c r="C1833" t="s">
        <v>6339</v>
      </c>
    </row>
    <row r="1834" spans="1:3" x14ac:dyDescent="0.3">
      <c r="A1834" t="s">
        <v>6369</v>
      </c>
      <c r="B1834" s="4" t="s">
        <v>6361</v>
      </c>
      <c r="C1834" t="s">
        <v>6339</v>
      </c>
    </row>
    <row r="1835" spans="1:3" x14ac:dyDescent="0.3">
      <c r="A1835" t="s">
        <v>6369</v>
      </c>
      <c r="B1835" s="4" t="s">
        <v>6361</v>
      </c>
      <c r="C1835" t="s">
        <v>6339</v>
      </c>
    </row>
    <row r="1836" spans="1:3" x14ac:dyDescent="0.3">
      <c r="A1836" t="s">
        <v>6369</v>
      </c>
      <c r="B1836" s="4" t="s">
        <v>6361</v>
      </c>
      <c r="C1836" t="s">
        <v>6339</v>
      </c>
    </row>
    <row r="1837" spans="1:3" x14ac:dyDescent="0.3">
      <c r="A1837" t="s">
        <v>6369</v>
      </c>
      <c r="B1837" s="4" t="s">
        <v>6361</v>
      </c>
      <c r="C1837" t="s">
        <v>6339</v>
      </c>
    </row>
    <row r="1838" spans="1:3" x14ac:dyDescent="0.3">
      <c r="A1838" t="s">
        <v>6369</v>
      </c>
      <c r="B1838" s="4" t="s">
        <v>6361</v>
      </c>
      <c r="C1838" t="s">
        <v>6339</v>
      </c>
    </row>
    <row r="1839" spans="1:3" x14ac:dyDescent="0.3">
      <c r="A1839" t="s">
        <v>6369</v>
      </c>
      <c r="B1839" s="4" t="s">
        <v>6361</v>
      </c>
      <c r="C1839" t="s">
        <v>6339</v>
      </c>
    </row>
    <row r="1840" spans="1:3" x14ac:dyDescent="0.3">
      <c r="A1840" t="s">
        <v>6369</v>
      </c>
      <c r="B1840" s="4" t="s">
        <v>6361</v>
      </c>
      <c r="C1840" t="s">
        <v>6339</v>
      </c>
    </row>
    <row r="1841" spans="1:3" x14ac:dyDescent="0.3">
      <c r="A1841" t="s">
        <v>6369</v>
      </c>
      <c r="B1841" s="4" t="s">
        <v>6361</v>
      </c>
      <c r="C1841" t="s">
        <v>6339</v>
      </c>
    </row>
    <row r="1842" spans="1:3" x14ac:dyDescent="0.3">
      <c r="A1842" t="s">
        <v>6369</v>
      </c>
      <c r="B1842" s="4" t="s">
        <v>6361</v>
      </c>
      <c r="C1842" t="s">
        <v>6339</v>
      </c>
    </row>
    <row r="1843" spans="1:3" x14ac:dyDescent="0.3">
      <c r="A1843" t="s">
        <v>6369</v>
      </c>
      <c r="B1843" s="4" t="s">
        <v>6361</v>
      </c>
      <c r="C1843" t="s">
        <v>6339</v>
      </c>
    </row>
    <row r="1844" spans="1:3" x14ac:dyDescent="0.3">
      <c r="A1844" t="s">
        <v>6369</v>
      </c>
      <c r="B1844" s="4" t="s">
        <v>6361</v>
      </c>
      <c r="C1844" t="s">
        <v>6339</v>
      </c>
    </row>
    <row r="1845" spans="1:3" x14ac:dyDescent="0.3">
      <c r="A1845" t="s">
        <v>6369</v>
      </c>
      <c r="B1845" s="4" t="s">
        <v>6361</v>
      </c>
      <c r="C1845" t="s">
        <v>6339</v>
      </c>
    </row>
    <row r="1846" spans="1:3" x14ac:dyDescent="0.3">
      <c r="A1846" t="s">
        <v>6369</v>
      </c>
      <c r="B1846" s="4" t="s">
        <v>6361</v>
      </c>
      <c r="C1846" t="s">
        <v>6339</v>
      </c>
    </row>
    <row r="1847" spans="1:3" x14ac:dyDescent="0.3">
      <c r="A1847" t="s">
        <v>6369</v>
      </c>
      <c r="B1847" s="4" t="s">
        <v>6361</v>
      </c>
      <c r="C1847" t="s">
        <v>6339</v>
      </c>
    </row>
    <row r="1848" spans="1:3" x14ac:dyDescent="0.3">
      <c r="A1848" t="s">
        <v>6369</v>
      </c>
      <c r="B1848" s="4" t="s">
        <v>6361</v>
      </c>
      <c r="C1848" t="s">
        <v>6339</v>
      </c>
    </row>
    <row r="1849" spans="1:3" x14ac:dyDescent="0.3">
      <c r="A1849" t="s">
        <v>6369</v>
      </c>
      <c r="B1849" s="4" t="s">
        <v>6361</v>
      </c>
      <c r="C1849" t="s">
        <v>6339</v>
      </c>
    </row>
    <row r="1850" spans="1:3" x14ac:dyDescent="0.3">
      <c r="A1850" t="s">
        <v>6369</v>
      </c>
      <c r="B1850" s="4" t="s">
        <v>6361</v>
      </c>
      <c r="C1850" t="s">
        <v>6339</v>
      </c>
    </row>
    <row r="1851" spans="1:3" x14ac:dyDescent="0.3">
      <c r="A1851" t="s">
        <v>6369</v>
      </c>
      <c r="B1851" s="4" t="s">
        <v>6361</v>
      </c>
      <c r="C1851" t="s">
        <v>6339</v>
      </c>
    </row>
    <row r="1852" spans="1:3" x14ac:dyDescent="0.3">
      <c r="A1852" t="s">
        <v>6369</v>
      </c>
      <c r="B1852" s="4" t="s">
        <v>6361</v>
      </c>
      <c r="C1852" t="s">
        <v>6339</v>
      </c>
    </row>
    <row r="1853" spans="1:3" x14ac:dyDescent="0.3">
      <c r="A1853" t="s">
        <v>6369</v>
      </c>
      <c r="B1853" s="4" t="s">
        <v>6361</v>
      </c>
      <c r="C1853" t="s">
        <v>6339</v>
      </c>
    </row>
    <row r="1854" spans="1:3" x14ac:dyDescent="0.3">
      <c r="A1854" t="s">
        <v>6369</v>
      </c>
      <c r="B1854" s="4" t="s">
        <v>6361</v>
      </c>
      <c r="C1854" t="s">
        <v>6339</v>
      </c>
    </row>
    <row r="1855" spans="1:3" x14ac:dyDescent="0.3">
      <c r="A1855" t="s">
        <v>6369</v>
      </c>
      <c r="B1855" s="4" t="s">
        <v>6361</v>
      </c>
      <c r="C1855" t="s">
        <v>6339</v>
      </c>
    </row>
    <row r="1856" spans="1:3" x14ac:dyDescent="0.3">
      <c r="A1856" t="s">
        <v>6369</v>
      </c>
      <c r="B1856" s="4" t="s">
        <v>6361</v>
      </c>
      <c r="C1856" t="s">
        <v>6339</v>
      </c>
    </row>
    <row r="1857" spans="1:3" x14ac:dyDescent="0.3">
      <c r="A1857" t="s">
        <v>6369</v>
      </c>
      <c r="B1857" s="4" t="s">
        <v>6361</v>
      </c>
      <c r="C1857" t="s">
        <v>6339</v>
      </c>
    </row>
    <row r="1858" spans="1:3" x14ac:dyDescent="0.3">
      <c r="A1858" t="s">
        <v>6369</v>
      </c>
      <c r="B1858" s="4" t="s">
        <v>6361</v>
      </c>
      <c r="C1858" t="s">
        <v>6339</v>
      </c>
    </row>
    <row r="1859" spans="1:3" x14ac:dyDescent="0.3">
      <c r="A1859" t="s">
        <v>6369</v>
      </c>
      <c r="B1859" s="4" t="s">
        <v>6361</v>
      </c>
      <c r="C1859" t="s">
        <v>6339</v>
      </c>
    </row>
    <row r="1860" spans="1:3" x14ac:dyDescent="0.3">
      <c r="A1860" t="s">
        <v>6369</v>
      </c>
      <c r="B1860" s="4" t="s">
        <v>6361</v>
      </c>
      <c r="C1860" t="s">
        <v>6339</v>
      </c>
    </row>
    <row r="1861" spans="1:3" x14ac:dyDescent="0.3">
      <c r="A1861" t="s">
        <v>6369</v>
      </c>
      <c r="B1861" s="4" t="s">
        <v>6361</v>
      </c>
      <c r="C1861" t="s">
        <v>6339</v>
      </c>
    </row>
    <row r="1862" spans="1:3" x14ac:dyDescent="0.3">
      <c r="A1862" t="s">
        <v>6369</v>
      </c>
      <c r="B1862" s="4" t="s">
        <v>6361</v>
      </c>
      <c r="C1862" t="s">
        <v>6339</v>
      </c>
    </row>
    <row r="1863" spans="1:3" x14ac:dyDescent="0.3">
      <c r="A1863" t="s">
        <v>6369</v>
      </c>
      <c r="B1863" s="4" t="s">
        <v>6361</v>
      </c>
      <c r="C1863" t="s">
        <v>6339</v>
      </c>
    </row>
    <row r="1864" spans="1:3" x14ac:dyDescent="0.3">
      <c r="A1864" t="s">
        <v>6369</v>
      </c>
      <c r="B1864" s="4" t="s">
        <v>6361</v>
      </c>
      <c r="C1864" t="s">
        <v>6339</v>
      </c>
    </row>
    <row r="1865" spans="1:3" x14ac:dyDescent="0.3">
      <c r="A1865" t="s">
        <v>6369</v>
      </c>
      <c r="B1865" s="4" t="s">
        <v>6361</v>
      </c>
      <c r="C1865" t="s">
        <v>6339</v>
      </c>
    </row>
    <row r="1866" spans="1:3" x14ac:dyDescent="0.3">
      <c r="A1866" t="s">
        <v>6369</v>
      </c>
      <c r="B1866" s="4" t="s">
        <v>6361</v>
      </c>
      <c r="C1866" t="s">
        <v>6339</v>
      </c>
    </row>
    <row r="1867" spans="1:3" x14ac:dyDescent="0.3">
      <c r="A1867" t="s">
        <v>6369</v>
      </c>
      <c r="B1867" s="4" t="s">
        <v>6361</v>
      </c>
      <c r="C1867" t="s">
        <v>6339</v>
      </c>
    </row>
    <row r="1868" spans="1:3" x14ac:dyDescent="0.3">
      <c r="A1868" t="s">
        <v>6369</v>
      </c>
      <c r="B1868" s="4" t="s">
        <v>6361</v>
      </c>
      <c r="C1868" t="s">
        <v>6339</v>
      </c>
    </row>
    <row r="1869" spans="1:3" x14ac:dyDescent="0.3">
      <c r="A1869" t="s">
        <v>6369</v>
      </c>
      <c r="B1869" s="4" t="s">
        <v>6361</v>
      </c>
      <c r="C1869" t="s">
        <v>6339</v>
      </c>
    </row>
    <row r="1870" spans="1:3" x14ac:dyDescent="0.3">
      <c r="A1870" t="s">
        <v>6369</v>
      </c>
      <c r="B1870" s="4" t="s">
        <v>6361</v>
      </c>
      <c r="C1870" t="s">
        <v>6339</v>
      </c>
    </row>
    <row r="1871" spans="1:3" x14ac:dyDescent="0.3">
      <c r="A1871" t="s">
        <v>6369</v>
      </c>
      <c r="B1871" s="4" t="s">
        <v>6361</v>
      </c>
      <c r="C1871" t="s">
        <v>6339</v>
      </c>
    </row>
    <row r="1872" spans="1:3" x14ac:dyDescent="0.3">
      <c r="A1872" t="s">
        <v>6369</v>
      </c>
      <c r="B1872" s="4" t="s">
        <v>6361</v>
      </c>
      <c r="C1872" t="s">
        <v>6339</v>
      </c>
    </row>
    <row r="1873" spans="1:3" x14ac:dyDescent="0.3">
      <c r="A1873" t="s">
        <v>6369</v>
      </c>
      <c r="B1873" s="4" t="s">
        <v>6361</v>
      </c>
      <c r="C1873" t="s">
        <v>6339</v>
      </c>
    </row>
    <row r="1874" spans="1:3" x14ac:dyDescent="0.3">
      <c r="A1874" t="s">
        <v>6369</v>
      </c>
      <c r="B1874" s="4" t="s">
        <v>6361</v>
      </c>
      <c r="C1874" t="s">
        <v>6339</v>
      </c>
    </row>
    <row r="1875" spans="1:3" x14ac:dyDescent="0.3">
      <c r="A1875" t="s">
        <v>6369</v>
      </c>
      <c r="B1875" s="4" t="s">
        <v>6361</v>
      </c>
      <c r="C1875" t="s">
        <v>6339</v>
      </c>
    </row>
    <row r="1876" spans="1:3" x14ac:dyDescent="0.3">
      <c r="A1876" t="s">
        <v>6369</v>
      </c>
      <c r="B1876" s="4" t="s">
        <v>6361</v>
      </c>
      <c r="C1876" t="s">
        <v>6339</v>
      </c>
    </row>
    <row r="1877" spans="1:3" x14ac:dyDescent="0.3">
      <c r="A1877" t="s">
        <v>6369</v>
      </c>
      <c r="B1877" s="4" t="s">
        <v>6361</v>
      </c>
      <c r="C1877" t="s">
        <v>6339</v>
      </c>
    </row>
    <row r="1878" spans="1:3" x14ac:dyDescent="0.3">
      <c r="A1878" t="s">
        <v>6369</v>
      </c>
      <c r="B1878" s="4" t="s">
        <v>6361</v>
      </c>
      <c r="C1878" t="s">
        <v>6339</v>
      </c>
    </row>
    <row r="1879" spans="1:3" x14ac:dyDescent="0.3">
      <c r="A1879" t="s">
        <v>6369</v>
      </c>
      <c r="B1879" s="4" t="s">
        <v>6361</v>
      </c>
      <c r="C1879" t="s">
        <v>6339</v>
      </c>
    </row>
    <row r="1880" spans="1:3" x14ac:dyDescent="0.3">
      <c r="A1880" t="s">
        <v>6369</v>
      </c>
      <c r="B1880" s="4" t="s">
        <v>6361</v>
      </c>
      <c r="C1880" t="s">
        <v>6339</v>
      </c>
    </row>
    <row r="1881" spans="1:3" x14ac:dyDescent="0.3">
      <c r="A1881" t="s">
        <v>6369</v>
      </c>
      <c r="B1881" s="4" t="s">
        <v>6361</v>
      </c>
      <c r="C1881" t="s">
        <v>6339</v>
      </c>
    </row>
    <row r="1882" spans="1:3" x14ac:dyDescent="0.3">
      <c r="A1882" t="s">
        <v>6369</v>
      </c>
      <c r="B1882" s="4" t="s">
        <v>6361</v>
      </c>
      <c r="C1882" t="s">
        <v>6339</v>
      </c>
    </row>
    <row r="1883" spans="1:3" x14ac:dyDescent="0.3">
      <c r="A1883" t="s">
        <v>6369</v>
      </c>
      <c r="B1883" s="4" t="s">
        <v>6361</v>
      </c>
      <c r="C1883" t="s">
        <v>6339</v>
      </c>
    </row>
    <row r="1884" spans="1:3" x14ac:dyDescent="0.3">
      <c r="A1884" t="s">
        <v>6369</v>
      </c>
      <c r="B1884" s="4" t="s">
        <v>6361</v>
      </c>
      <c r="C1884" t="s">
        <v>6339</v>
      </c>
    </row>
    <row r="1885" spans="1:3" x14ac:dyDescent="0.3">
      <c r="A1885" t="s">
        <v>6369</v>
      </c>
      <c r="B1885" s="4" t="s">
        <v>6361</v>
      </c>
      <c r="C1885" t="s">
        <v>6339</v>
      </c>
    </row>
    <row r="1886" spans="1:3" x14ac:dyDescent="0.3">
      <c r="A1886" t="s">
        <v>6369</v>
      </c>
      <c r="B1886" s="4" t="s">
        <v>6361</v>
      </c>
      <c r="C1886" t="s">
        <v>6339</v>
      </c>
    </row>
    <row r="1887" spans="1:3" x14ac:dyDescent="0.3">
      <c r="A1887" t="s">
        <v>6369</v>
      </c>
      <c r="B1887" s="4" t="s">
        <v>6361</v>
      </c>
      <c r="C1887" t="s">
        <v>6339</v>
      </c>
    </row>
    <row r="1888" spans="1:3" x14ac:dyDescent="0.3">
      <c r="A1888" t="s">
        <v>6369</v>
      </c>
      <c r="B1888" s="4" t="s">
        <v>6361</v>
      </c>
      <c r="C1888" t="s">
        <v>6339</v>
      </c>
    </row>
    <row r="1889" spans="1:3" x14ac:dyDescent="0.3">
      <c r="A1889" t="s">
        <v>6369</v>
      </c>
      <c r="B1889" s="4" t="s">
        <v>6361</v>
      </c>
      <c r="C1889" t="s">
        <v>6339</v>
      </c>
    </row>
    <row r="1890" spans="1:3" x14ac:dyDescent="0.3">
      <c r="A1890" t="s">
        <v>6369</v>
      </c>
      <c r="B1890" s="4" t="s">
        <v>6361</v>
      </c>
      <c r="C1890" t="s">
        <v>6339</v>
      </c>
    </row>
    <row r="1891" spans="1:3" x14ac:dyDescent="0.3">
      <c r="A1891" t="s">
        <v>6369</v>
      </c>
      <c r="B1891" s="4" t="s">
        <v>6361</v>
      </c>
      <c r="C1891" t="s">
        <v>6339</v>
      </c>
    </row>
    <row r="1892" spans="1:3" x14ac:dyDescent="0.3">
      <c r="A1892" t="s">
        <v>6369</v>
      </c>
      <c r="B1892" s="4" t="s">
        <v>6361</v>
      </c>
      <c r="C1892" t="s">
        <v>6339</v>
      </c>
    </row>
    <row r="1893" spans="1:3" x14ac:dyDescent="0.3">
      <c r="A1893" t="s">
        <v>6369</v>
      </c>
      <c r="B1893" s="4" t="s">
        <v>6361</v>
      </c>
      <c r="C1893" t="s">
        <v>6339</v>
      </c>
    </row>
    <row r="1894" spans="1:3" x14ac:dyDescent="0.3">
      <c r="A1894" t="s">
        <v>6369</v>
      </c>
      <c r="B1894" s="4" t="s">
        <v>6361</v>
      </c>
      <c r="C1894" t="s">
        <v>6339</v>
      </c>
    </row>
    <row r="1895" spans="1:3" x14ac:dyDescent="0.3">
      <c r="A1895" t="s">
        <v>6369</v>
      </c>
      <c r="B1895" s="4" t="s">
        <v>6361</v>
      </c>
      <c r="C1895" t="s">
        <v>6339</v>
      </c>
    </row>
    <row r="1896" spans="1:3" x14ac:dyDescent="0.3">
      <c r="A1896" t="s">
        <v>6369</v>
      </c>
      <c r="B1896" s="4" t="s">
        <v>6361</v>
      </c>
      <c r="C1896" t="s">
        <v>6339</v>
      </c>
    </row>
    <row r="1897" spans="1:3" x14ac:dyDescent="0.3">
      <c r="A1897" t="s">
        <v>6369</v>
      </c>
      <c r="B1897" s="4" t="s">
        <v>6361</v>
      </c>
      <c r="C1897" t="s">
        <v>6339</v>
      </c>
    </row>
    <row r="1898" spans="1:3" x14ac:dyDescent="0.3">
      <c r="A1898" t="s">
        <v>6369</v>
      </c>
      <c r="B1898" s="4" t="s">
        <v>6361</v>
      </c>
      <c r="C1898" t="s">
        <v>6339</v>
      </c>
    </row>
    <row r="1899" spans="1:3" x14ac:dyDescent="0.3">
      <c r="A1899" t="s">
        <v>6369</v>
      </c>
      <c r="B1899" s="4" t="s">
        <v>6361</v>
      </c>
      <c r="C1899" t="s">
        <v>6339</v>
      </c>
    </row>
    <row r="1900" spans="1:3" x14ac:dyDescent="0.3">
      <c r="A1900" t="s">
        <v>6369</v>
      </c>
      <c r="B1900" s="4" t="s">
        <v>6361</v>
      </c>
      <c r="C1900" t="s">
        <v>6339</v>
      </c>
    </row>
    <row r="1901" spans="1:3" x14ac:dyDescent="0.3">
      <c r="A1901" t="s">
        <v>6369</v>
      </c>
      <c r="B1901" s="4" t="s">
        <v>6361</v>
      </c>
      <c r="C1901" t="s">
        <v>6339</v>
      </c>
    </row>
    <row r="1902" spans="1:3" x14ac:dyDescent="0.3">
      <c r="A1902" t="s">
        <v>6369</v>
      </c>
      <c r="B1902" s="4" t="s">
        <v>6361</v>
      </c>
      <c r="C1902" t="s">
        <v>6339</v>
      </c>
    </row>
    <row r="1903" spans="1:3" x14ac:dyDescent="0.3">
      <c r="A1903" t="s">
        <v>6369</v>
      </c>
      <c r="B1903" s="4" t="s">
        <v>6361</v>
      </c>
      <c r="C1903" t="s">
        <v>6339</v>
      </c>
    </row>
    <row r="1904" spans="1:3" x14ac:dyDescent="0.3">
      <c r="A1904" t="s">
        <v>6369</v>
      </c>
      <c r="B1904" s="4" t="s">
        <v>6361</v>
      </c>
      <c r="C1904" t="s">
        <v>6339</v>
      </c>
    </row>
    <row r="1905" spans="1:3" x14ac:dyDescent="0.3">
      <c r="A1905" t="s">
        <v>6369</v>
      </c>
      <c r="B1905" s="4" t="s">
        <v>6361</v>
      </c>
      <c r="C1905" t="s">
        <v>6348</v>
      </c>
    </row>
    <row r="1906" spans="1:3" x14ac:dyDescent="0.3">
      <c r="A1906" t="s">
        <v>6369</v>
      </c>
      <c r="B1906" s="4" t="s">
        <v>6361</v>
      </c>
      <c r="C1906" t="s">
        <v>6339</v>
      </c>
    </row>
    <row r="1907" spans="1:3" x14ac:dyDescent="0.3">
      <c r="A1907" t="s">
        <v>6369</v>
      </c>
      <c r="B1907" s="4" t="s">
        <v>6361</v>
      </c>
      <c r="C1907" t="s">
        <v>6339</v>
      </c>
    </row>
    <row r="1908" spans="1:3" x14ac:dyDescent="0.3">
      <c r="A1908" t="s">
        <v>6369</v>
      </c>
      <c r="B1908" s="4" t="s">
        <v>6361</v>
      </c>
      <c r="C1908" t="s">
        <v>6339</v>
      </c>
    </row>
    <row r="1909" spans="1:3" x14ac:dyDescent="0.3">
      <c r="A1909" t="s">
        <v>6369</v>
      </c>
      <c r="B1909" s="4" t="s">
        <v>6361</v>
      </c>
      <c r="C1909" t="s">
        <v>6339</v>
      </c>
    </row>
    <row r="1910" spans="1:3" x14ac:dyDescent="0.3">
      <c r="A1910" t="s">
        <v>6369</v>
      </c>
      <c r="B1910" s="4" t="s">
        <v>6361</v>
      </c>
      <c r="C1910" t="s">
        <v>6339</v>
      </c>
    </row>
    <row r="1911" spans="1:3" x14ac:dyDescent="0.3">
      <c r="A1911" t="s">
        <v>6369</v>
      </c>
      <c r="B1911" s="4" t="s">
        <v>6361</v>
      </c>
      <c r="C1911" t="s">
        <v>6339</v>
      </c>
    </row>
    <row r="1912" spans="1:3" x14ac:dyDescent="0.3">
      <c r="A1912" t="s">
        <v>6369</v>
      </c>
      <c r="B1912" s="4" t="s">
        <v>6361</v>
      </c>
      <c r="C1912" t="s">
        <v>6339</v>
      </c>
    </row>
    <row r="1913" spans="1:3" x14ac:dyDescent="0.3">
      <c r="A1913" t="s">
        <v>6369</v>
      </c>
      <c r="B1913" s="4" t="s">
        <v>6361</v>
      </c>
      <c r="C1913" t="s">
        <v>6339</v>
      </c>
    </row>
    <row r="1914" spans="1:3" x14ac:dyDescent="0.3">
      <c r="A1914" t="s">
        <v>6369</v>
      </c>
      <c r="B1914" s="4" t="s">
        <v>6361</v>
      </c>
      <c r="C1914" t="s">
        <v>6339</v>
      </c>
    </row>
    <row r="1915" spans="1:3" x14ac:dyDescent="0.3">
      <c r="A1915" t="s">
        <v>6369</v>
      </c>
      <c r="B1915" s="4" t="s">
        <v>6361</v>
      </c>
      <c r="C1915" t="s">
        <v>6339</v>
      </c>
    </row>
    <row r="1916" spans="1:3" x14ac:dyDescent="0.3">
      <c r="A1916" t="s">
        <v>6369</v>
      </c>
      <c r="B1916" s="4" t="s">
        <v>6361</v>
      </c>
      <c r="C1916" t="s">
        <v>6339</v>
      </c>
    </row>
    <row r="1917" spans="1:3" x14ac:dyDescent="0.3">
      <c r="A1917" t="s">
        <v>6369</v>
      </c>
      <c r="B1917" s="4" t="s">
        <v>6361</v>
      </c>
      <c r="C1917" t="s">
        <v>6339</v>
      </c>
    </row>
    <row r="1918" spans="1:3" x14ac:dyDescent="0.3">
      <c r="A1918" t="s">
        <v>6369</v>
      </c>
      <c r="B1918" s="4" t="s">
        <v>6361</v>
      </c>
      <c r="C1918" t="s">
        <v>6339</v>
      </c>
    </row>
    <row r="1919" spans="1:3" x14ac:dyDescent="0.3">
      <c r="A1919" t="s">
        <v>6369</v>
      </c>
      <c r="B1919" s="4" t="s">
        <v>6361</v>
      </c>
      <c r="C1919" t="s">
        <v>6339</v>
      </c>
    </row>
    <row r="1920" spans="1:3" x14ac:dyDescent="0.3">
      <c r="A1920" t="s">
        <v>6369</v>
      </c>
      <c r="B1920" s="4" t="s">
        <v>6361</v>
      </c>
      <c r="C1920" t="s">
        <v>6339</v>
      </c>
    </row>
    <row r="1921" spans="1:3" x14ac:dyDescent="0.3">
      <c r="A1921" t="s">
        <v>6369</v>
      </c>
      <c r="B1921" s="4" t="s">
        <v>6361</v>
      </c>
      <c r="C1921" t="s">
        <v>6339</v>
      </c>
    </row>
    <row r="1922" spans="1:3" x14ac:dyDescent="0.3">
      <c r="A1922" t="s">
        <v>6369</v>
      </c>
      <c r="B1922" s="4" t="s">
        <v>6361</v>
      </c>
      <c r="C1922" t="s">
        <v>6339</v>
      </c>
    </row>
    <row r="1923" spans="1:3" x14ac:dyDescent="0.3">
      <c r="A1923" t="s">
        <v>6369</v>
      </c>
      <c r="B1923" s="4" t="s">
        <v>6361</v>
      </c>
      <c r="C1923" t="s">
        <v>6339</v>
      </c>
    </row>
    <row r="1924" spans="1:3" x14ac:dyDescent="0.3">
      <c r="A1924" t="s">
        <v>6369</v>
      </c>
      <c r="B1924" s="4" t="s">
        <v>6361</v>
      </c>
      <c r="C1924" t="s">
        <v>6339</v>
      </c>
    </row>
    <row r="1925" spans="1:3" x14ac:dyDescent="0.3">
      <c r="A1925" t="s">
        <v>6369</v>
      </c>
      <c r="B1925" s="4" t="s">
        <v>6361</v>
      </c>
      <c r="C1925" t="s">
        <v>6339</v>
      </c>
    </row>
    <row r="1926" spans="1:3" x14ac:dyDescent="0.3">
      <c r="A1926" t="s">
        <v>6369</v>
      </c>
      <c r="B1926" s="4" t="s">
        <v>6361</v>
      </c>
      <c r="C1926" t="s">
        <v>6339</v>
      </c>
    </row>
    <row r="1927" spans="1:3" x14ac:dyDescent="0.3">
      <c r="A1927" t="s">
        <v>6369</v>
      </c>
      <c r="B1927" s="4" t="s">
        <v>6361</v>
      </c>
      <c r="C1927" t="s">
        <v>6339</v>
      </c>
    </row>
    <row r="1928" spans="1:3" x14ac:dyDescent="0.3">
      <c r="A1928" t="s">
        <v>6369</v>
      </c>
      <c r="B1928" s="4" t="s">
        <v>6361</v>
      </c>
      <c r="C1928" t="s">
        <v>6339</v>
      </c>
    </row>
    <row r="1929" spans="1:3" x14ac:dyDescent="0.3">
      <c r="A1929" t="s">
        <v>6369</v>
      </c>
      <c r="B1929" s="4" t="s">
        <v>6361</v>
      </c>
      <c r="C1929" t="s">
        <v>6339</v>
      </c>
    </row>
    <row r="1930" spans="1:3" x14ac:dyDescent="0.3">
      <c r="A1930" t="s">
        <v>6369</v>
      </c>
      <c r="B1930" s="4" t="s">
        <v>6361</v>
      </c>
      <c r="C1930" t="s">
        <v>6339</v>
      </c>
    </row>
    <row r="1931" spans="1:3" x14ac:dyDescent="0.3">
      <c r="A1931" t="s">
        <v>6369</v>
      </c>
      <c r="B1931" s="4" t="s">
        <v>6361</v>
      </c>
      <c r="C1931" t="s">
        <v>6339</v>
      </c>
    </row>
    <row r="1932" spans="1:3" x14ac:dyDescent="0.3">
      <c r="A1932" t="s">
        <v>6369</v>
      </c>
      <c r="B1932" s="4" t="s">
        <v>6361</v>
      </c>
      <c r="C1932" t="s">
        <v>6339</v>
      </c>
    </row>
    <row r="1933" spans="1:3" x14ac:dyDescent="0.3">
      <c r="A1933" t="s">
        <v>6369</v>
      </c>
      <c r="B1933" s="4" t="s">
        <v>6361</v>
      </c>
      <c r="C1933" t="s">
        <v>6339</v>
      </c>
    </row>
    <row r="1934" spans="1:3" x14ac:dyDescent="0.3">
      <c r="A1934" t="s">
        <v>6369</v>
      </c>
      <c r="B1934" s="4" t="s">
        <v>6361</v>
      </c>
      <c r="C1934" t="s">
        <v>6339</v>
      </c>
    </row>
    <row r="1935" spans="1:3" x14ac:dyDescent="0.3">
      <c r="A1935" t="s">
        <v>6369</v>
      </c>
      <c r="B1935" s="4" t="s">
        <v>6361</v>
      </c>
      <c r="C1935" t="s">
        <v>6339</v>
      </c>
    </row>
    <row r="1936" spans="1:3" x14ac:dyDescent="0.3">
      <c r="A1936" t="s">
        <v>6369</v>
      </c>
      <c r="B1936" s="4" t="s">
        <v>6361</v>
      </c>
      <c r="C1936" t="s">
        <v>6339</v>
      </c>
    </row>
    <row r="1937" spans="1:3" x14ac:dyDescent="0.3">
      <c r="A1937" t="s">
        <v>6369</v>
      </c>
      <c r="B1937" s="4" t="s">
        <v>6361</v>
      </c>
      <c r="C1937" t="s">
        <v>6339</v>
      </c>
    </row>
    <row r="1938" spans="1:3" x14ac:dyDescent="0.3">
      <c r="A1938" t="s">
        <v>6369</v>
      </c>
      <c r="B1938" s="4" t="s">
        <v>6361</v>
      </c>
      <c r="C1938" t="s">
        <v>6339</v>
      </c>
    </row>
    <row r="1939" spans="1:3" x14ac:dyDescent="0.3">
      <c r="A1939" t="s">
        <v>6369</v>
      </c>
      <c r="B1939" s="4" t="s">
        <v>6361</v>
      </c>
      <c r="C1939" t="s">
        <v>6339</v>
      </c>
    </row>
    <row r="1940" spans="1:3" x14ac:dyDescent="0.3">
      <c r="A1940" t="s">
        <v>6369</v>
      </c>
      <c r="B1940" s="4" t="s">
        <v>6361</v>
      </c>
      <c r="C1940" t="s">
        <v>6339</v>
      </c>
    </row>
    <row r="1941" spans="1:3" x14ac:dyDescent="0.3">
      <c r="A1941" t="s">
        <v>6369</v>
      </c>
      <c r="B1941" s="4" t="s">
        <v>6361</v>
      </c>
      <c r="C1941" t="s">
        <v>6339</v>
      </c>
    </row>
    <row r="1942" spans="1:3" x14ac:dyDescent="0.3">
      <c r="A1942" t="s">
        <v>6369</v>
      </c>
      <c r="B1942" s="4" t="s">
        <v>6361</v>
      </c>
      <c r="C1942" t="s">
        <v>6339</v>
      </c>
    </row>
    <row r="1943" spans="1:3" x14ac:dyDescent="0.3">
      <c r="A1943" t="s">
        <v>6369</v>
      </c>
      <c r="B1943" s="4" t="s">
        <v>6361</v>
      </c>
      <c r="C1943" t="s">
        <v>6339</v>
      </c>
    </row>
    <row r="1944" spans="1:3" x14ac:dyDescent="0.3">
      <c r="A1944" t="s">
        <v>6369</v>
      </c>
      <c r="B1944" s="4" t="s">
        <v>6361</v>
      </c>
      <c r="C1944" t="s">
        <v>6339</v>
      </c>
    </row>
    <row r="1945" spans="1:3" x14ac:dyDescent="0.3">
      <c r="A1945" t="s">
        <v>6369</v>
      </c>
      <c r="B1945" s="4" t="s">
        <v>6361</v>
      </c>
      <c r="C1945" t="s">
        <v>6339</v>
      </c>
    </row>
    <row r="1946" spans="1:3" x14ac:dyDescent="0.3">
      <c r="A1946" t="s">
        <v>6369</v>
      </c>
      <c r="B1946" s="4" t="s">
        <v>6361</v>
      </c>
      <c r="C1946" t="s">
        <v>6339</v>
      </c>
    </row>
    <row r="1947" spans="1:3" x14ac:dyDescent="0.3">
      <c r="A1947" t="s">
        <v>6369</v>
      </c>
      <c r="B1947" s="4" t="s">
        <v>6361</v>
      </c>
      <c r="C1947" t="s">
        <v>6339</v>
      </c>
    </row>
    <row r="1948" spans="1:3" x14ac:dyDescent="0.3">
      <c r="A1948" t="s">
        <v>6369</v>
      </c>
      <c r="B1948" s="4" t="s">
        <v>6361</v>
      </c>
      <c r="C1948" t="s">
        <v>6339</v>
      </c>
    </row>
    <row r="1949" spans="1:3" x14ac:dyDescent="0.3">
      <c r="A1949" t="s">
        <v>6369</v>
      </c>
      <c r="B1949" s="4" t="s">
        <v>6361</v>
      </c>
      <c r="C1949" t="s">
        <v>6339</v>
      </c>
    </row>
    <row r="1950" spans="1:3" x14ac:dyDescent="0.3">
      <c r="A1950" t="s">
        <v>6369</v>
      </c>
      <c r="B1950" s="4" t="s">
        <v>6361</v>
      </c>
      <c r="C1950" t="s">
        <v>6339</v>
      </c>
    </row>
    <row r="1951" spans="1:3" x14ac:dyDescent="0.3">
      <c r="A1951" t="s">
        <v>6369</v>
      </c>
      <c r="B1951" s="4" t="s">
        <v>6361</v>
      </c>
      <c r="C1951" t="s">
        <v>6339</v>
      </c>
    </row>
    <row r="1952" spans="1:3" x14ac:dyDescent="0.3">
      <c r="A1952" t="s">
        <v>6369</v>
      </c>
      <c r="B1952" s="4" t="s">
        <v>6361</v>
      </c>
      <c r="C1952" t="s">
        <v>6339</v>
      </c>
    </row>
    <row r="1953" spans="1:3" x14ac:dyDescent="0.3">
      <c r="A1953" t="s">
        <v>6369</v>
      </c>
      <c r="B1953" s="4" t="s">
        <v>6361</v>
      </c>
      <c r="C1953" t="s">
        <v>6339</v>
      </c>
    </row>
    <row r="1954" spans="1:3" x14ac:dyDescent="0.3">
      <c r="A1954" t="s">
        <v>6369</v>
      </c>
      <c r="B1954" s="4" t="s">
        <v>6361</v>
      </c>
      <c r="C1954" t="s">
        <v>6339</v>
      </c>
    </row>
    <row r="1955" spans="1:3" x14ac:dyDescent="0.3">
      <c r="A1955" t="s">
        <v>6369</v>
      </c>
      <c r="B1955" s="4" t="s">
        <v>6361</v>
      </c>
      <c r="C1955" t="s">
        <v>6339</v>
      </c>
    </row>
    <row r="1956" spans="1:3" x14ac:dyDescent="0.3">
      <c r="A1956" t="s">
        <v>6369</v>
      </c>
      <c r="B1956" s="4" t="s">
        <v>6361</v>
      </c>
      <c r="C1956" t="s">
        <v>6339</v>
      </c>
    </row>
    <row r="1957" spans="1:3" x14ac:dyDescent="0.3">
      <c r="A1957" t="s">
        <v>6369</v>
      </c>
      <c r="B1957" s="4" t="s">
        <v>6361</v>
      </c>
      <c r="C1957" t="s">
        <v>6339</v>
      </c>
    </row>
    <row r="1958" spans="1:3" x14ac:dyDescent="0.3">
      <c r="A1958" t="s">
        <v>6369</v>
      </c>
      <c r="B1958" s="4" t="s">
        <v>6361</v>
      </c>
      <c r="C1958" t="s">
        <v>6339</v>
      </c>
    </row>
    <row r="1959" spans="1:3" x14ac:dyDescent="0.3">
      <c r="A1959" t="s">
        <v>6369</v>
      </c>
      <c r="B1959" s="4" t="s">
        <v>6361</v>
      </c>
      <c r="C1959" t="s">
        <v>6339</v>
      </c>
    </row>
    <row r="1960" spans="1:3" x14ac:dyDescent="0.3">
      <c r="A1960" t="s">
        <v>6369</v>
      </c>
      <c r="B1960" s="4" t="s">
        <v>6361</v>
      </c>
      <c r="C1960" t="s">
        <v>6339</v>
      </c>
    </row>
    <row r="1961" spans="1:3" x14ac:dyDescent="0.3">
      <c r="A1961" t="s">
        <v>6369</v>
      </c>
      <c r="B1961" s="4" t="s">
        <v>6361</v>
      </c>
      <c r="C1961" t="s">
        <v>6339</v>
      </c>
    </row>
    <row r="1962" spans="1:3" x14ac:dyDescent="0.3">
      <c r="A1962" t="s">
        <v>6369</v>
      </c>
      <c r="B1962" s="4" t="s">
        <v>6361</v>
      </c>
      <c r="C1962" t="s">
        <v>6339</v>
      </c>
    </row>
    <row r="1963" spans="1:3" x14ac:dyDescent="0.3">
      <c r="A1963" t="s">
        <v>6369</v>
      </c>
      <c r="B1963" s="4" t="s">
        <v>6361</v>
      </c>
      <c r="C1963" t="s">
        <v>6339</v>
      </c>
    </row>
    <row r="1964" spans="1:3" x14ac:dyDescent="0.3">
      <c r="A1964" t="s">
        <v>6369</v>
      </c>
      <c r="B1964" s="4" t="s">
        <v>6361</v>
      </c>
      <c r="C1964" t="s">
        <v>6348</v>
      </c>
    </row>
    <row r="1965" spans="1:3" x14ac:dyDescent="0.3">
      <c r="A1965" t="s">
        <v>6369</v>
      </c>
      <c r="B1965" s="4" t="s">
        <v>6361</v>
      </c>
      <c r="C1965" t="s">
        <v>6339</v>
      </c>
    </row>
    <row r="1966" spans="1:3" x14ac:dyDescent="0.3">
      <c r="A1966" t="s">
        <v>6369</v>
      </c>
      <c r="B1966" s="4" t="s">
        <v>6361</v>
      </c>
      <c r="C1966" t="s">
        <v>6339</v>
      </c>
    </row>
    <row r="1967" spans="1:3" x14ac:dyDescent="0.3">
      <c r="A1967" t="s">
        <v>6369</v>
      </c>
      <c r="B1967" s="4" t="s">
        <v>6361</v>
      </c>
      <c r="C1967" t="s">
        <v>6339</v>
      </c>
    </row>
    <row r="1968" spans="1:3" x14ac:dyDescent="0.3">
      <c r="A1968" t="s">
        <v>6369</v>
      </c>
      <c r="B1968" s="4" t="s">
        <v>6361</v>
      </c>
      <c r="C1968" t="s">
        <v>6339</v>
      </c>
    </row>
    <row r="1969" spans="1:3" x14ac:dyDescent="0.3">
      <c r="A1969" t="s">
        <v>6369</v>
      </c>
      <c r="B1969" s="4" t="s">
        <v>6361</v>
      </c>
      <c r="C1969" t="s">
        <v>6339</v>
      </c>
    </row>
    <row r="1970" spans="1:3" x14ac:dyDescent="0.3">
      <c r="A1970" t="s">
        <v>6369</v>
      </c>
      <c r="B1970" s="4" t="s">
        <v>6361</v>
      </c>
      <c r="C1970" t="s">
        <v>6339</v>
      </c>
    </row>
    <row r="1971" spans="1:3" x14ac:dyDescent="0.3">
      <c r="A1971" t="s">
        <v>6369</v>
      </c>
      <c r="B1971" s="4" t="s">
        <v>6361</v>
      </c>
      <c r="C1971" t="s">
        <v>6339</v>
      </c>
    </row>
    <row r="1972" spans="1:3" x14ac:dyDescent="0.3">
      <c r="A1972" t="s">
        <v>6369</v>
      </c>
      <c r="B1972" s="4" t="s">
        <v>6361</v>
      </c>
      <c r="C1972" t="s">
        <v>6339</v>
      </c>
    </row>
    <row r="1973" spans="1:3" x14ac:dyDescent="0.3">
      <c r="A1973" t="s">
        <v>6369</v>
      </c>
      <c r="B1973" s="4" t="s">
        <v>6361</v>
      </c>
      <c r="C1973" t="s">
        <v>6339</v>
      </c>
    </row>
    <row r="1974" spans="1:3" x14ac:dyDescent="0.3">
      <c r="A1974" t="s">
        <v>6369</v>
      </c>
      <c r="B1974" s="4" t="s">
        <v>6361</v>
      </c>
      <c r="C1974" t="s">
        <v>6339</v>
      </c>
    </row>
    <row r="1975" spans="1:3" x14ac:dyDescent="0.3">
      <c r="A1975" t="s">
        <v>6369</v>
      </c>
      <c r="B1975" s="4" t="s">
        <v>6361</v>
      </c>
      <c r="C1975" t="s">
        <v>6339</v>
      </c>
    </row>
    <row r="1976" spans="1:3" x14ac:dyDescent="0.3">
      <c r="A1976" t="s">
        <v>6369</v>
      </c>
      <c r="B1976" s="4" t="s">
        <v>6361</v>
      </c>
      <c r="C1976" t="s">
        <v>6339</v>
      </c>
    </row>
    <row r="1977" spans="1:3" x14ac:dyDescent="0.3">
      <c r="A1977" t="s">
        <v>6369</v>
      </c>
      <c r="B1977" s="4" t="s">
        <v>6361</v>
      </c>
      <c r="C1977" t="s">
        <v>6339</v>
      </c>
    </row>
    <row r="1978" spans="1:3" x14ac:dyDescent="0.3">
      <c r="A1978" t="s">
        <v>6369</v>
      </c>
      <c r="B1978" s="4" t="s">
        <v>6361</v>
      </c>
      <c r="C1978" t="s">
        <v>6339</v>
      </c>
    </row>
    <row r="1979" spans="1:3" x14ac:dyDescent="0.3">
      <c r="A1979" t="s">
        <v>6369</v>
      </c>
      <c r="B1979" s="4" t="s">
        <v>6361</v>
      </c>
      <c r="C1979" t="s">
        <v>6339</v>
      </c>
    </row>
    <row r="1980" spans="1:3" x14ac:dyDescent="0.3">
      <c r="A1980" t="s">
        <v>6369</v>
      </c>
      <c r="B1980" s="4" t="s">
        <v>6361</v>
      </c>
      <c r="C1980" t="s">
        <v>6339</v>
      </c>
    </row>
    <row r="1981" spans="1:3" x14ac:dyDescent="0.3">
      <c r="A1981" t="s">
        <v>6369</v>
      </c>
      <c r="B1981" s="4" t="s">
        <v>6361</v>
      </c>
      <c r="C1981" t="s">
        <v>6339</v>
      </c>
    </row>
    <row r="1982" spans="1:3" x14ac:dyDescent="0.3">
      <c r="A1982" t="s">
        <v>6369</v>
      </c>
      <c r="B1982" s="4" t="s">
        <v>6361</v>
      </c>
      <c r="C1982" t="s">
        <v>6339</v>
      </c>
    </row>
    <row r="1983" spans="1:3" x14ac:dyDescent="0.3">
      <c r="A1983" t="s">
        <v>6369</v>
      </c>
      <c r="B1983" s="4" t="s">
        <v>6361</v>
      </c>
      <c r="C1983" t="s">
        <v>6339</v>
      </c>
    </row>
    <row r="1984" spans="1:3" x14ac:dyDescent="0.3">
      <c r="A1984" t="s">
        <v>6369</v>
      </c>
      <c r="B1984" s="4" t="s">
        <v>6361</v>
      </c>
      <c r="C1984" t="s">
        <v>6339</v>
      </c>
    </row>
    <row r="1985" spans="1:3" x14ac:dyDescent="0.3">
      <c r="A1985" t="s">
        <v>6369</v>
      </c>
      <c r="B1985" s="4" t="s">
        <v>6361</v>
      </c>
      <c r="C1985" t="s">
        <v>6339</v>
      </c>
    </row>
    <row r="1986" spans="1:3" x14ac:dyDescent="0.3">
      <c r="A1986" t="s">
        <v>6369</v>
      </c>
      <c r="B1986" s="4" t="s">
        <v>6361</v>
      </c>
      <c r="C1986" t="s">
        <v>6339</v>
      </c>
    </row>
    <row r="1987" spans="1:3" x14ac:dyDescent="0.3">
      <c r="A1987" t="s">
        <v>6369</v>
      </c>
      <c r="B1987" s="4" t="s">
        <v>6361</v>
      </c>
      <c r="C1987" t="s">
        <v>6339</v>
      </c>
    </row>
    <row r="1988" spans="1:3" x14ac:dyDescent="0.3">
      <c r="A1988" t="s">
        <v>6369</v>
      </c>
      <c r="B1988" s="4" t="s">
        <v>6361</v>
      </c>
      <c r="C1988" t="s">
        <v>6339</v>
      </c>
    </row>
    <row r="1989" spans="1:3" x14ac:dyDescent="0.3">
      <c r="A1989" t="s">
        <v>6369</v>
      </c>
      <c r="B1989" s="4" t="s">
        <v>6361</v>
      </c>
      <c r="C1989" t="s">
        <v>6339</v>
      </c>
    </row>
    <row r="1990" spans="1:3" x14ac:dyDescent="0.3">
      <c r="A1990" t="s">
        <v>6369</v>
      </c>
      <c r="B1990" s="4" t="s">
        <v>6361</v>
      </c>
      <c r="C1990" t="s">
        <v>6339</v>
      </c>
    </row>
    <row r="1991" spans="1:3" x14ac:dyDescent="0.3">
      <c r="A1991" t="s">
        <v>6369</v>
      </c>
      <c r="B1991" s="4" t="s">
        <v>6361</v>
      </c>
      <c r="C1991" t="s">
        <v>6339</v>
      </c>
    </row>
    <row r="1992" spans="1:3" x14ac:dyDescent="0.3">
      <c r="A1992" t="s">
        <v>6369</v>
      </c>
      <c r="B1992" s="4" t="s">
        <v>6361</v>
      </c>
      <c r="C1992" t="s">
        <v>6339</v>
      </c>
    </row>
    <row r="1993" spans="1:3" x14ac:dyDescent="0.3">
      <c r="A1993" t="s">
        <v>6369</v>
      </c>
      <c r="B1993" s="4" t="s">
        <v>6361</v>
      </c>
      <c r="C1993" t="s">
        <v>6339</v>
      </c>
    </row>
    <row r="1994" spans="1:3" x14ac:dyDescent="0.3">
      <c r="A1994" t="s">
        <v>6369</v>
      </c>
      <c r="B1994" s="4" t="s">
        <v>6361</v>
      </c>
      <c r="C1994" t="s">
        <v>6339</v>
      </c>
    </row>
    <row r="1995" spans="1:3" x14ac:dyDescent="0.3">
      <c r="A1995" t="s">
        <v>6369</v>
      </c>
      <c r="B1995" s="4" t="s">
        <v>6361</v>
      </c>
      <c r="C1995" t="s">
        <v>6339</v>
      </c>
    </row>
    <row r="1996" spans="1:3" x14ac:dyDescent="0.3">
      <c r="A1996" t="s">
        <v>6369</v>
      </c>
      <c r="B1996" s="4" t="s">
        <v>6361</v>
      </c>
      <c r="C1996" t="s">
        <v>6339</v>
      </c>
    </row>
    <row r="1997" spans="1:3" x14ac:dyDescent="0.3">
      <c r="A1997" t="s">
        <v>6369</v>
      </c>
      <c r="B1997" s="4" t="s">
        <v>6361</v>
      </c>
      <c r="C1997" t="s">
        <v>6339</v>
      </c>
    </row>
    <row r="1998" spans="1:3" x14ac:dyDescent="0.3">
      <c r="A1998" t="s">
        <v>6369</v>
      </c>
      <c r="B1998" s="4" t="s">
        <v>6361</v>
      </c>
      <c r="C1998" t="s">
        <v>6339</v>
      </c>
    </row>
    <row r="1999" spans="1:3" x14ac:dyDescent="0.3">
      <c r="A1999" t="s">
        <v>6369</v>
      </c>
      <c r="B1999" s="4" t="s">
        <v>6361</v>
      </c>
      <c r="C1999" t="s">
        <v>6339</v>
      </c>
    </row>
    <row r="2000" spans="1:3" x14ac:dyDescent="0.3">
      <c r="A2000" t="s">
        <v>6369</v>
      </c>
      <c r="B2000" s="4" t="s">
        <v>6361</v>
      </c>
      <c r="C2000" t="s">
        <v>6339</v>
      </c>
    </row>
    <row r="2001" spans="1:3" x14ac:dyDescent="0.3">
      <c r="A2001" t="s">
        <v>6369</v>
      </c>
      <c r="B2001" s="4" t="s">
        <v>6361</v>
      </c>
      <c r="C2001" t="s">
        <v>6339</v>
      </c>
    </row>
    <row r="2002" spans="1:3" x14ac:dyDescent="0.3">
      <c r="A2002" t="s">
        <v>6369</v>
      </c>
      <c r="B2002" s="4" t="s">
        <v>6361</v>
      </c>
      <c r="C2002" t="s">
        <v>6339</v>
      </c>
    </row>
    <row r="2003" spans="1:3" x14ac:dyDescent="0.3">
      <c r="A2003" t="s">
        <v>6369</v>
      </c>
      <c r="B2003" s="4" t="s">
        <v>6361</v>
      </c>
      <c r="C2003" t="s">
        <v>6339</v>
      </c>
    </row>
    <row r="2004" spans="1:3" x14ac:dyDescent="0.3">
      <c r="A2004" t="s">
        <v>6369</v>
      </c>
      <c r="B2004" s="4" t="s">
        <v>6361</v>
      </c>
      <c r="C2004" t="s">
        <v>6339</v>
      </c>
    </row>
    <row r="2005" spans="1:3" x14ac:dyDescent="0.3">
      <c r="A2005" t="s">
        <v>6369</v>
      </c>
      <c r="B2005" s="4" t="s">
        <v>6361</v>
      </c>
      <c r="C2005" t="s">
        <v>6339</v>
      </c>
    </row>
    <row r="2006" spans="1:3" x14ac:dyDescent="0.3">
      <c r="A2006" t="s">
        <v>6369</v>
      </c>
      <c r="B2006" s="4" t="s">
        <v>6361</v>
      </c>
      <c r="C2006" t="s">
        <v>6339</v>
      </c>
    </row>
    <row r="2007" spans="1:3" x14ac:dyDescent="0.3">
      <c r="A2007" t="s">
        <v>6369</v>
      </c>
      <c r="B2007" s="4" t="s">
        <v>6361</v>
      </c>
      <c r="C2007" t="s">
        <v>6339</v>
      </c>
    </row>
    <row r="2008" spans="1:3" x14ac:dyDescent="0.3">
      <c r="A2008" t="s">
        <v>6369</v>
      </c>
      <c r="B2008" s="4" t="s">
        <v>6361</v>
      </c>
      <c r="C2008" t="s">
        <v>6339</v>
      </c>
    </row>
    <row r="2009" spans="1:3" x14ac:dyDescent="0.3">
      <c r="A2009" t="s">
        <v>6369</v>
      </c>
      <c r="B2009" s="4" t="s">
        <v>6361</v>
      </c>
      <c r="C2009" t="s">
        <v>6339</v>
      </c>
    </row>
    <row r="2010" spans="1:3" x14ac:dyDescent="0.3">
      <c r="A2010" t="s">
        <v>6369</v>
      </c>
      <c r="B2010" s="4" t="s">
        <v>6361</v>
      </c>
      <c r="C2010" t="s">
        <v>6339</v>
      </c>
    </row>
    <row r="2011" spans="1:3" x14ac:dyDescent="0.3">
      <c r="A2011" t="s">
        <v>6369</v>
      </c>
      <c r="B2011" s="4" t="s">
        <v>6361</v>
      </c>
      <c r="C2011" t="s">
        <v>6339</v>
      </c>
    </row>
    <row r="2012" spans="1:3" x14ac:dyDescent="0.3">
      <c r="A2012" t="s">
        <v>6369</v>
      </c>
      <c r="B2012" s="4" t="s">
        <v>6361</v>
      </c>
      <c r="C2012" t="s">
        <v>6339</v>
      </c>
    </row>
    <row r="2013" spans="1:3" x14ac:dyDescent="0.3">
      <c r="A2013" t="s">
        <v>6369</v>
      </c>
      <c r="B2013" s="4" t="s">
        <v>6361</v>
      </c>
      <c r="C2013" t="s">
        <v>6339</v>
      </c>
    </row>
    <row r="2014" spans="1:3" x14ac:dyDescent="0.3">
      <c r="A2014" t="s">
        <v>6369</v>
      </c>
      <c r="B2014" s="4" t="s">
        <v>6361</v>
      </c>
      <c r="C2014" t="s">
        <v>6339</v>
      </c>
    </row>
    <row r="2015" spans="1:3" x14ac:dyDescent="0.3">
      <c r="A2015" t="s">
        <v>6369</v>
      </c>
      <c r="B2015" s="4" t="s">
        <v>6361</v>
      </c>
      <c r="C2015" t="s">
        <v>6339</v>
      </c>
    </row>
    <row r="2016" spans="1:3" x14ac:dyDescent="0.3">
      <c r="A2016" t="s">
        <v>6369</v>
      </c>
      <c r="B2016" s="4" t="s">
        <v>6361</v>
      </c>
      <c r="C2016" t="s">
        <v>6339</v>
      </c>
    </row>
    <row r="2017" spans="1:3" x14ac:dyDescent="0.3">
      <c r="A2017" t="s">
        <v>6369</v>
      </c>
      <c r="B2017" s="4" t="s">
        <v>6361</v>
      </c>
      <c r="C2017" t="s">
        <v>6339</v>
      </c>
    </row>
    <row r="2018" spans="1:3" x14ac:dyDescent="0.3">
      <c r="A2018" t="s">
        <v>6369</v>
      </c>
      <c r="B2018" s="4" t="s">
        <v>6361</v>
      </c>
      <c r="C2018" t="s">
        <v>6339</v>
      </c>
    </row>
    <row r="2019" spans="1:3" x14ac:dyDescent="0.3">
      <c r="A2019" t="s">
        <v>6369</v>
      </c>
      <c r="B2019" s="4" t="s">
        <v>6361</v>
      </c>
      <c r="C2019" t="s">
        <v>6339</v>
      </c>
    </row>
    <row r="2020" spans="1:3" x14ac:dyDescent="0.3">
      <c r="A2020" t="s">
        <v>6369</v>
      </c>
      <c r="B2020" s="4" t="s">
        <v>6371</v>
      </c>
      <c r="C2020" t="s">
        <v>6339</v>
      </c>
    </row>
    <row r="2021" spans="1:3" x14ac:dyDescent="0.3">
      <c r="A2021" t="s">
        <v>6369</v>
      </c>
      <c r="B2021" s="4" t="s">
        <v>6371</v>
      </c>
      <c r="C2021" t="s">
        <v>6339</v>
      </c>
    </row>
    <row r="2022" spans="1:3" x14ac:dyDescent="0.3">
      <c r="A2022" t="s">
        <v>6369</v>
      </c>
      <c r="B2022" s="4" t="s">
        <v>6371</v>
      </c>
      <c r="C2022" t="s">
        <v>6339</v>
      </c>
    </row>
    <row r="2023" spans="1:3" x14ac:dyDescent="0.3">
      <c r="A2023" t="s">
        <v>6369</v>
      </c>
      <c r="B2023" s="4" t="s">
        <v>6371</v>
      </c>
      <c r="C2023" t="s">
        <v>6339</v>
      </c>
    </row>
    <row r="2024" spans="1:3" x14ac:dyDescent="0.3">
      <c r="A2024" t="s">
        <v>6369</v>
      </c>
      <c r="B2024" s="4" t="s">
        <v>6371</v>
      </c>
      <c r="C2024" t="s">
        <v>6339</v>
      </c>
    </row>
    <row r="2025" spans="1:3" x14ac:dyDescent="0.3">
      <c r="A2025" t="s">
        <v>6369</v>
      </c>
      <c r="B2025" s="4" t="s">
        <v>6371</v>
      </c>
      <c r="C2025" t="s">
        <v>6339</v>
      </c>
    </row>
    <row r="2026" spans="1:3" x14ac:dyDescent="0.3">
      <c r="A2026" t="s">
        <v>6369</v>
      </c>
      <c r="B2026" s="4" t="s">
        <v>6371</v>
      </c>
      <c r="C2026" t="s">
        <v>6339</v>
      </c>
    </row>
    <row r="2027" spans="1:3" x14ac:dyDescent="0.3">
      <c r="A2027" t="s">
        <v>6369</v>
      </c>
      <c r="B2027" s="4" t="s">
        <v>6371</v>
      </c>
      <c r="C2027" t="s">
        <v>6339</v>
      </c>
    </row>
    <row r="2028" spans="1:3" x14ac:dyDescent="0.3">
      <c r="A2028" t="s">
        <v>6369</v>
      </c>
      <c r="B2028" s="4" t="s">
        <v>6371</v>
      </c>
      <c r="C2028" t="s">
        <v>6339</v>
      </c>
    </row>
    <row r="2029" spans="1:3" x14ac:dyDescent="0.3">
      <c r="A2029" t="s">
        <v>6369</v>
      </c>
      <c r="B2029" s="4" t="s">
        <v>6371</v>
      </c>
      <c r="C2029" t="s">
        <v>6339</v>
      </c>
    </row>
    <row r="2030" spans="1:3" x14ac:dyDescent="0.3">
      <c r="A2030" t="s">
        <v>6369</v>
      </c>
      <c r="B2030" s="4" t="s">
        <v>6371</v>
      </c>
      <c r="C2030" t="s">
        <v>6339</v>
      </c>
    </row>
    <row r="2031" spans="1:3" x14ac:dyDescent="0.3">
      <c r="A2031" t="s">
        <v>6369</v>
      </c>
      <c r="B2031" s="4" t="s">
        <v>6371</v>
      </c>
      <c r="C2031" t="s">
        <v>6339</v>
      </c>
    </row>
    <row r="2032" spans="1:3" x14ac:dyDescent="0.3">
      <c r="A2032" t="s">
        <v>6369</v>
      </c>
      <c r="B2032" s="4" t="s">
        <v>6357</v>
      </c>
      <c r="C2032" t="s">
        <v>6348</v>
      </c>
    </row>
    <row r="2033" spans="1:3" x14ac:dyDescent="0.3">
      <c r="A2033" t="s">
        <v>6369</v>
      </c>
      <c r="B2033" s="4" t="s">
        <v>6357</v>
      </c>
      <c r="C2033" t="s">
        <v>6348</v>
      </c>
    </row>
    <row r="2034" spans="1:3" x14ac:dyDescent="0.3">
      <c r="A2034" t="s">
        <v>6369</v>
      </c>
      <c r="B2034" s="4" t="s">
        <v>6357</v>
      </c>
      <c r="C2034" t="s">
        <v>6348</v>
      </c>
    </row>
    <row r="2035" spans="1:3" x14ac:dyDescent="0.3">
      <c r="A2035" t="s">
        <v>6369</v>
      </c>
      <c r="B2035" s="4" t="s">
        <v>6357</v>
      </c>
      <c r="C2035" t="s">
        <v>6348</v>
      </c>
    </row>
    <row r="2036" spans="1:3" x14ac:dyDescent="0.3">
      <c r="A2036" t="s">
        <v>6369</v>
      </c>
      <c r="B2036" s="4" t="s">
        <v>6357</v>
      </c>
      <c r="C2036" t="s">
        <v>6348</v>
      </c>
    </row>
    <row r="2037" spans="1:3" x14ac:dyDescent="0.3">
      <c r="A2037" t="s">
        <v>6369</v>
      </c>
      <c r="B2037" s="4" t="s">
        <v>6357</v>
      </c>
      <c r="C2037" t="s">
        <v>6348</v>
      </c>
    </row>
    <row r="2038" spans="1:3" x14ac:dyDescent="0.3">
      <c r="A2038" t="s">
        <v>6369</v>
      </c>
      <c r="B2038" s="4" t="s">
        <v>6357</v>
      </c>
      <c r="C2038" t="s">
        <v>6348</v>
      </c>
    </row>
    <row r="2039" spans="1:3" x14ac:dyDescent="0.3">
      <c r="A2039" t="s">
        <v>6369</v>
      </c>
      <c r="B2039" s="4" t="s">
        <v>6357</v>
      </c>
      <c r="C2039" t="s">
        <v>6348</v>
      </c>
    </row>
    <row r="2040" spans="1:3" x14ac:dyDescent="0.3">
      <c r="A2040" t="s">
        <v>6369</v>
      </c>
      <c r="B2040" s="4" t="s">
        <v>6357</v>
      </c>
      <c r="C2040" t="s">
        <v>6348</v>
      </c>
    </row>
    <row r="2041" spans="1:3" x14ac:dyDescent="0.3">
      <c r="A2041" t="s">
        <v>6369</v>
      </c>
      <c r="B2041" s="4" t="s">
        <v>6357</v>
      </c>
      <c r="C2041" t="s">
        <v>6348</v>
      </c>
    </row>
    <row r="2042" spans="1:3" x14ac:dyDescent="0.3">
      <c r="A2042" t="s">
        <v>6369</v>
      </c>
      <c r="B2042" s="4" t="s">
        <v>6357</v>
      </c>
      <c r="C2042" t="s">
        <v>6348</v>
      </c>
    </row>
    <row r="2043" spans="1:3" x14ac:dyDescent="0.3">
      <c r="A2043" t="s">
        <v>6369</v>
      </c>
      <c r="B2043" s="4" t="s">
        <v>6357</v>
      </c>
      <c r="C2043" t="s">
        <v>6348</v>
      </c>
    </row>
    <row r="2044" spans="1:3" x14ac:dyDescent="0.3">
      <c r="A2044" t="s">
        <v>6369</v>
      </c>
      <c r="B2044" s="4" t="s">
        <v>6357</v>
      </c>
      <c r="C2044" t="s">
        <v>6348</v>
      </c>
    </row>
    <row r="2045" spans="1:3" x14ac:dyDescent="0.3">
      <c r="A2045" t="s">
        <v>6369</v>
      </c>
      <c r="B2045" s="4" t="s">
        <v>6357</v>
      </c>
      <c r="C2045" t="s">
        <v>6348</v>
      </c>
    </row>
    <row r="2046" spans="1:3" x14ac:dyDescent="0.3">
      <c r="A2046" t="s">
        <v>6369</v>
      </c>
      <c r="B2046" s="4" t="s">
        <v>6357</v>
      </c>
      <c r="C2046" t="s">
        <v>6348</v>
      </c>
    </row>
    <row r="2047" spans="1:3" x14ac:dyDescent="0.3">
      <c r="A2047" t="s">
        <v>6369</v>
      </c>
      <c r="B2047" s="4" t="s">
        <v>6357</v>
      </c>
      <c r="C2047" t="s">
        <v>6348</v>
      </c>
    </row>
    <row r="2048" spans="1:3" x14ac:dyDescent="0.3">
      <c r="A2048" t="s">
        <v>6369</v>
      </c>
      <c r="B2048" s="4" t="s">
        <v>6357</v>
      </c>
      <c r="C2048" t="s">
        <v>6348</v>
      </c>
    </row>
    <row r="2049" spans="1:3" x14ac:dyDescent="0.3">
      <c r="A2049" t="s">
        <v>6369</v>
      </c>
      <c r="B2049" s="4" t="s">
        <v>6365</v>
      </c>
      <c r="C2049" t="s">
        <v>6339</v>
      </c>
    </row>
    <row r="2050" spans="1:3" x14ac:dyDescent="0.3">
      <c r="A2050" t="s">
        <v>6369</v>
      </c>
      <c r="B2050" s="4" t="s">
        <v>6365</v>
      </c>
      <c r="C2050" t="s">
        <v>6339</v>
      </c>
    </row>
    <row r="2051" spans="1:3" x14ac:dyDescent="0.3">
      <c r="A2051" t="s">
        <v>6369</v>
      </c>
      <c r="B2051" s="4" t="s">
        <v>6365</v>
      </c>
      <c r="C2051" t="s">
        <v>6339</v>
      </c>
    </row>
    <row r="2052" spans="1:3" x14ac:dyDescent="0.3">
      <c r="A2052" t="s">
        <v>6369</v>
      </c>
      <c r="B2052" s="4" t="s">
        <v>6365</v>
      </c>
      <c r="C2052" t="s">
        <v>6339</v>
      </c>
    </row>
    <row r="2053" spans="1:3" x14ac:dyDescent="0.3">
      <c r="A2053" t="s">
        <v>6369</v>
      </c>
      <c r="B2053" s="4" t="s">
        <v>6365</v>
      </c>
      <c r="C2053" t="s">
        <v>6339</v>
      </c>
    </row>
    <row r="2054" spans="1:3" x14ac:dyDescent="0.3">
      <c r="A2054" t="s">
        <v>6369</v>
      </c>
      <c r="B2054" s="4" t="s">
        <v>6368</v>
      </c>
      <c r="C2054" t="s">
        <v>6348</v>
      </c>
    </row>
    <row r="2055" spans="1:3" x14ac:dyDescent="0.3">
      <c r="A2055" t="s">
        <v>6369</v>
      </c>
      <c r="B2055" s="4" t="s">
        <v>6368</v>
      </c>
      <c r="C2055" t="s">
        <v>6348</v>
      </c>
    </row>
    <row r="2056" spans="1:3" x14ac:dyDescent="0.3">
      <c r="A2056" t="s">
        <v>6369</v>
      </c>
      <c r="B2056" s="4" t="s">
        <v>6368</v>
      </c>
      <c r="C2056" t="s">
        <v>6348</v>
      </c>
    </row>
    <row r="2057" spans="1:3" x14ac:dyDescent="0.3">
      <c r="A2057" t="s">
        <v>6369</v>
      </c>
      <c r="B2057" s="4" t="s">
        <v>6368</v>
      </c>
      <c r="C2057" t="s">
        <v>6348</v>
      </c>
    </row>
    <row r="2058" spans="1:3" x14ac:dyDescent="0.3">
      <c r="A2058" t="s">
        <v>6369</v>
      </c>
      <c r="B2058" s="4" t="s">
        <v>6368</v>
      </c>
      <c r="C2058" t="s">
        <v>6348</v>
      </c>
    </row>
    <row r="2059" spans="1:3" x14ac:dyDescent="0.3">
      <c r="A2059" t="s">
        <v>6369</v>
      </c>
      <c r="B2059" s="4" t="s">
        <v>6368</v>
      </c>
      <c r="C2059" t="s">
        <v>6348</v>
      </c>
    </row>
    <row r="2060" spans="1:3" x14ac:dyDescent="0.3">
      <c r="A2060" t="s">
        <v>6369</v>
      </c>
      <c r="B2060" s="4" t="s">
        <v>6368</v>
      </c>
      <c r="C2060" t="s">
        <v>6348</v>
      </c>
    </row>
    <row r="2061" spans="1:3" x14ac:dyDescent="0.3">
      <c r="A2061" t="s">
        <v>6369</v>
      </c>
      <c r="B2061" s="4" t="s">
        <v>6368</v>
      </c>
      <c r="C2061" t="s">
        <v>6348</v>
      </c>
    </row>
    <row r="2062" spans="1:3" x14ac:dyDescent="0.3">
      <c r="A2062" t="s">
        <v>6369</v>
      </c>
      <c r="B2062" s="4" t="s">
        <v>6368</v>
      </c>
      <c r="C2062" t="s">
        <v>6348</v>
      </c>
    </row>
    <row r="2063" spans="1:3" x14ac:dyDescent="0.3">
      <c r="A2063" t="s">
        <v>6369</v>
      </c>
      <c r="B2063" s="4" t="s">
        <v>6368</v>
      </c>
      <c r="C2063" t="s">
        <v>6348</v>
      </c>
    </row>
    <row r="2064" spans="1:3" x14ac:dyDescent="0.3">
      <c r="A2064" t="s">
        <v>6369</v>
      </c>
      <c r="B2064" s="4" t="s">
        <v>6368</v>
      </c>
      <c r="C2064" t="s">
        <v>6348</v>
      </c>
    </row>
    <row r="2065" spans="1:3" x14ac:dyDescent="0.3">
      <c r="A2065" t="s">
        <v>6369</v>
      </c>
      <c r="B2065" s="4" t="s">
        <v>6368</v>
      </c>
      <c r="C2065" t="s">
        <v>6348</v>
      </c>
    </row>
    <row r="2066" spans="1:3" x14ac:dyDescent="0.3">
      <c r="A2066" t="s">
        <v>6369</v>
      </c>
      <c r="B2066" s="4" t="s">
        <v>6368</v>
      </c>
      <c r="C2066" t="s">
        <v>6348</v>
      </c>
    </row>
    <row r="2067" spans="1:3" x14ac:dyDescent="0.3">
      <c r="A2067" t="s">
        <v>6369</v>
      </c>
      <c r="B2067" s="4" t="s">
        <v>6368</v>
      </c>
      <c r="C2067" t="s">
        <v>6348</v>
      </c>
    </row>
    <row r="2068" spans="1:3" x14ac:dyDescent="0.3">
      <c r="A2068" t="s">
        <v>6369</v>
      </c>
      <c r="B2068" s="4" t="s">
        <v>6368</v>
      </c>
      <c r="C2068" t="s">
        <v>6348</v>
      </c>
    </row>
    <row r="2069" spans="1:3" x14ac:dyDescent="0.3">
      <c r="A2069" t="s">
        <v>6369</v>
      </c>
      <c r="B2069" s="4" t="s">
        <v>6368</v>
      </c>
      <c r="C2069" t="s">
        <v>6348</v>
      </c>
    </row>
    <row r="2070" spans="1:3" x14ac:dyDescent="0.3">
      <c r="A2070" t="s">
        <v>6369</v>
      </c>
      <c r="B2070" s="4" t="s">
        <v>6368</v>
      </c>
      <c r="C2070" t="s">
        <v>6348</v>
      </c>
    </row>
    <row r="2071" spans="1:3" x14ac:dyDescent="0.3">
      <c r="A2071" t="s">
        <v>6369</v>
      </c>
      <c r="B2071" s="4" t="s">
        <v>6368</v>
      </c>
      <c r="C2071" t="s">
        <v>6348</v>
      </c>
    </row>
    <row r="2072" spans="1:3" x14ac:dyDescent="0.3">
      <c r="A2072" t="s">
        <v>6369</v>
      </c>
      <c r="B2072" s="4" t="s">
        <v>6368</v>
      </c>
      <c r="C2072" t="s">
        <v>6348</v>
      </c>
    </row>
    <row r="2073" spans="1:3" x14ac:dyDescent="0.3">
      <c r="A2073" t="s">
        <v>6369</v>
      </c>
      <c r="B2073" s="4" t="s">
        <v>6368</v>
      </c>
      <c r="C2073" t="s">
        <v>6348</v>
      </c>
    </row>
    <row r="2074" spans="1:3" x14ac:dyDescent="0.3">
      <c r="A2074" t="s">
        <v>6369</v>
      </c>
      <c r="B2074" s="4" t="s">
        <v>6368</v>
      </c>
      <c r="C2074" t="s">
        <v>6348</v>
      </c>
    </row>
    <row r="2075" spans="1:3" x14ac:dyDescent="0.3">
      <c r="A2075" t="s">
        <v>6369</v>
      </c>
      <c r="B2075" s="4" t="s">
        <v>6368</v>
      </c>
      <c r="C2075" t="s">
        <v>6348</v>
      </c>
    </row>
    <row r="2076" spans="1:3" x14ac:dyDescent="0.3">
      <c r="A2076" t="s">
        <v>6369</v>
      </c>
      <c r="B2076" s="4" t="s">
        <v>6368</v>
      </c>
      <c r="C2076" t="s">
        <v>6348</v>
      </c>
    </row>
    <row r="2077" spans="1:3" x14ac:dyDescent="0.3">
      <c r="A2077" t="s">
        <v>6369</v>
      </c>
      <c r="B2077" s="4" t="s">
        <v>6368</v>
      </c>
      <c r="C2077" t="s">
        <v>6348</v>
      </c>
    </row>
    <row r="2078" spans="1:3" x14ac:dyDescent="0.3">
      <c r="A2078" t="s">
        <v>6369</v>
      </c>
      <c r="B2078" s="4" t="s">
        <v>6368</v>
      </c>
      <c r="C2078" t="s">
        <v>6348</v>
      </c>
    </row>
    <row r="2079" spans="1:3" x14ac:dyDescent="0.3">
      <c r="A2079" t="s">
        <v>6369</v>
      </c>
      <c r="B2079" s="4" t="s">
        <v>6368</v>
      </c>
      <c r="C2079" t="s">
        <v>6348</v>
      </c>
    </row>
    <row r="2080" spans="1:3" x14ac:dyDescent="0.3">
      <c r="A2080" t="s">
        <v>6369</v>
      </c>
      <c r="B2080" s="4" t="s">
        <v>6368</v>
      </c>
      <c r="C2080" t="s">
        <v>6348</v>
      </c>
    </row>
    <row r="2081" spans="1:3" x14ac:dyDescent="0.3">
      <c r="A2081" t="s">
        <v>6369</v>
      </c>
      <c r="B2081" s="4" t="s">
        <v>6363</v>
      </c>
      <c r="C2081" t="s">
        <v>6339</v>
      </c>
    </row>
    <row r="2082" spans="1:3" x14ac:dyDescent="0.3">
      <c r="A2082" t="s">
        <v>6369</v>
      </c>
      <c r="B2082" s="4" t="s">
        <v>6363</v>
      </c>
      <c r="C2082" t="s">
        <v>6339</v>
      </c>
    </row>
    <row r="2083" spans="1:3" x14ac:dyDescent="0.3">
      <c r="A2083" t="s">
        <v>6369</v>
      </c>
      <c r="B2083" s="4" t="s">
        <v>6363</v>
      </c>
      <c r="C2083" t="s">
        <v>6339</v>
      </c>
    </row>
    <row r="2084" spans="1:3" x14ac:dyDescent="0.3">
      <c r="A2084" t="s">
        <v>6370</v>
      </c>
      <c r="B2084" s="4" t="s">
        <v>6361</v>
      </c>
      <c r="C2084" t="s">
        <v>6348</v>
      </c>
    </row>
    <row r="2085" spans="1:3" x14ac:dyDescent="0.3">
      <c r="A2085" t="s">
        <v>6370</v>
      </c>
      <c r="B2085" s="4" t="s">
        <v>6361</v>
      </c>
      <c r="C2085" t="s">
        <v>6348</v>
      </c>
    </row>
    <row r="2086" spans="1:3" x14ac:dyDescent="0.3">
      <c r="A2086" t="s">
        <v>6370</v>
      </c>
      <c r="B2086" s="4" t="s">
        <v>6361</v>
      </c>
      <c r="C2086" t="s">
        <v>6348</v>
      </c>
    </row>
    <row r="2087" spans="1:3" x14ac:dyDescent="0.3">
      <c r="A2087" t="s">
        <v>6370</v>
      </c>
      <c r="B2087" s="4" t="s">
        <v>6361</v>
      </c>
      <c r="C2087" t="s">
        <v>6348</v>
      </c>
    </row>
    <row r="2088" spans="1:3" x14ac:dyDescent="0.3">
      <c r="A2088" t="s">
        <v>6370</v>
      </c>
      <c r="B2088" s="4" t="s">
        <v>6361</v>
      </c>
      <c r="C2088" t="s">
        <v>6348</v>
      </c>
    </row>
    <row r="2089" spans="1:3" x14ac:dyDescent="0.3">
      <c r="A2089" t="s">
        <v>6370</v>
      </c>
      <c r="B2089" s="4" t="s">
        <v>6361</v>
      </c>
      <c r="C2089" t="s">
        <v>6348</v>
      </c>
    </row>
    <row r="2090" spans="1:3" x14ac:dyDescent="0.3">
      <c r="A2090" t="s">
        <v>6370</v>
      </c>
      <c r="B2090" s="4" t="s">
        <v>6361</v>
      </c>
      <c r="C2090" t="s">
        <v>6348</v>
      </c>
    </row>
    <row r="2091" spans="1:3" x14ac:dyDescent="0.3">
      <c r="A2091" t="s">
        <v>6370</v>
      </c>
      <c r="B2091" s="4" t="s">
        <v>6361</v>
      </c>
      <c r="C2091" t="s">
        <v>6348</v>
      </c>
    </row>
    <row r="2092" spans="1:3" x14ac:dyDescent="0.3">
      <c r="A2092" t="s">
        <v>6370</v>
      </c>
      <c r="B2092" s="4" t="s">
        <v>6361</v>
      </c>
      <c r="C2092" t="s">
        <v>6348</v>
      </c>
    </row>
    <row r="2093" spans="1:3" x14ac:dyDescent="0.3">
      <c r="A2093" t="s">
        <v>6370</v>
      </c>
      <c r="B2093" s="4" t="s">
        <v>6361</v>
      </c>
      <c r="C2093" t="s">
        <v>6348</v>
      </c>
    </row>
    <row r="2094" spans="1:3" x14ac:dyDescent="0.3">
      <c r="A2094" t="s">
        <v>6370</v>
      </c>
      <c r="B2094" s="4" t="s">
        <v>6361</v>
      </c>
      <c r="C2094" t="s">
        <v>6348</v>
      </c>
    </row>
    <row r="2095" spans="1:3" x14ac:dyDescent="0.3">
      <c r="A2095" t="s">
        <v>6370</v>
      </c>
      <c r="B2095" s="4" t="s">
        <v>6361</v>
      </c>
      <c r="C2095" t="s">
        <v>6348</v>
      </c>
    </row>
    <row r="2096" spans="1:3" x14ac:dyDescent="0.3">
      <c r="A2096" t="s">
        <v>6370</v>
      </c>
      <c r="B2096" s="4" t="s">
        <v>6361</v>
      </c>
      <c r="C2096" t="s">
        <v>6348</v>
      </c>
    </row>
    <row r="2097" spans="1:3" x14ac:dyDescent="0.3">
      <c r="A2097" t="s">
        <v>6370</v>
      </c>
      <c r="B2097" s="4" t="s">
        <v>6361</v>
      </c>
      <c r="C2097" t="s">
        <v>6339</v>
      </c>
    </row>
    <row r="2098" spans="1:3" x14ac:dyDescent="0.3">
      <c r="A2098" t="s">
        <v>6370</v>
      </c>
      <c r="B2098" s="4" t="s">
        <v>6361</v>
      </c>
      <c r="C2098" t="s">
        <v>6348</v>
      </c>
    </row>
    <row r="2099" spans="1:3" x14ac:dyDescent="0.3">
      <c r="A2099" t="s">
        <v>6370</v>
      </c>
      <c r="B2099" s="4" t="s">
        <v>6361</v>
      </c>
      <c r="C2099" t="s">
        <v>6348</v>
      </c>
    </row>
    <row r="2100" spans="1:3" x14ac:dyDescent="0.3">
      <c r="A2100" t="s">
        <v>6370</v>
      </c>
      <c r="B2100" s="4" t="s">
        <v>6361</v>
      </c>
      <c r="C2100" t="s">
        <v>6348</v>
      </c>
    </row>
    <row r="2101" spans="1:3" x14ac:dyDescent="0.3">
      <c r="A2101" t="s">
        <v>6370</v>
      </c>
      <c r="B2101" s="4" t="s">
        <v>6361</v>
      </c>
      <c r="C2101" t="s">
        <v>6348</v>
      </c>
    </row>
    <row r="2102" spans="1:3" x14ac:dyDescent="0.3">
      <c r="A2102" t="s">
        <v>6370</v>
      </c>
      <c r="B2102" s="4" t="s">
        <v>6361</v>
      </c>
      <c r="C2102" t="s">
        <v>6339</v>
      </c>
    </row>
    <row r="2103" spans="1:3" x14ac:dyDescent="0.3">
      <c r="A2103" t="s">
        <v>6370</v>
      </c>
      <c r="B2103" s="4" t="s">
        <v>6361</v>
      </c>
      <c r="C2103" t="s">
        <v>6348</v>
      </c>
    </row>
    <row r="2104" spans="1:3" x14ac:dyDescent="0.3">
      <c r="A2104" t="s">
        <v>6370</v>
      </c>
      <c r="B2104" s="4" t="s">
        <v>6361</v>
      </c>
      <c r="C2104" t="s">
        <v>6348</v>
      </c>
    </row>
    <row r="2105" spans="1:3" x14ac:dyDescent="0.3">
      <c r="A2105" t="s">
        <v>6370</v>
      </c>
      <c r="B2105" s="4" t="s">
        <v>6371</v>
      </c>
      <c r="C2105" t="s">
        <v>6339</v>
      </c>
    </row>
    <row r="2106" spans="1:3" x14ac:dyDescent="0.3">
      <c r="A2106" t="s">
        <v>6370</v>
      </c>
      <c r="B2106" s="4" t="s">
        <v>6371</v>
      </c>
      <c r="C2106" t="s">
        <v>6348</v>
      </c>
    </row>
    <row r="2107" spans="1:3" x14ac:dyDescent="0.3">
      <c r="A2107" t="s">
        <v>6370</v>
      </c>
      <c r="B2107" s="4" t="s">
        <v>6371</v>
      </c>
      <c r="C2107" t="s">
        <v>6348</v>
      </c>
    </row>
    <row r="2108" spans="1:3" x14ac:dyDescent="0.3">
      <c r="A2108" t="s">
        <v>6370</v>
      </c>
      <c r="B2108" s="4" t="s">
        <v>6371</v>
      </c>
      <c r="C2108" t="s">
        <v>6348</v>
      </c>
    </row>
    <row r="2109" spans="1:3" x14ac:dyDescent="0.3">
      <c r="A2109" t="s">
        <v>6370</v>
      </c>
      <c r="B2109" s="4" t="s">
        <v>6371</v>
      </c>
      <c r="C2109" t="s">
        <v>6348</v>
      </c>
    </row>
    <row r="2110" spans="1:3" x14ac:dyDescent="0.3">
      <c r="A2110" t="s">
        <v>6370</v>
      </c>
      <c r="B2110" s="4" t="s">
        <v>6371</v>
      </c>
      <c r="C2110" t="s">
        <v>6348</v>
      </c>
    </row>
    <row r="2111" spans="1:3" x14ac:dyDescent="0.3">
      <c r="A2111" t="s">
        <v>6370</v>
      </c>
      <c r="B2111" s="4" t="s">
        <v>6371</v>
      </c>
      <c r="C2111" t="s">
        <v>6348</v>
      </c>
    </row>
    <row r="2112" spans="1:3" x14ac:dyDescent="0.3">
      <c r="A2112" t="s">
        <v>6370</v>
      </c>
      <c r="B2112" s="4" t="s">
        <v>6371</v>
      </c>
      <c r="C2112" t="s">
        <v>6348</v>
      </c>
    </row>
    <row r="2113" spans="1:3" x14ac:dyDescent="0.3">
      <c r="A2113" t="s">
        <v>6370</v>
      </c>
      <c r="B2113" s="4" t="s">
        <v>6371</v>
      </c>
      <c r="C2113" t="s">
        <v>6348</v>
      </c>
    </row>
    <row r="2114" spans="1:3" x14ac:dyDescent="0.3">
      <c r="A2114" t="s">
        <v>6374</v>
      </c>
      <c r="B2114" s="4" t="s">
        <v>6361</v>
      </c>
      <c r="C2114" t="s">
        <v>6339</v>
      </c>
    </row>
    <row r="2115" spans="1:3" x14ac:dyDescent="0.3">
      <c r="A2115" t="s">
        <v>6370</v>
      </c>
      <c r="B2115" s="4" t="s">
        <v>6371</v>
      </c>
      <c r="C2115" t="s">
        <v>6348</v>
      </c>
    </row>
    <row r="2116" spans="1:3" x14ac:dyDescent="0.3">
      <c r="A2116" t="s">
        <v>6370</v>
      </c>
      <c r="B2116" s="4" t="s">
        <v>6371</v>
      </c>
      <c r="C2116" t="s">
        <v>6348</v>
      </c>
    </row>
    <row r="2117" spans="1:3" x14ac:dyDescent="0.3">
      <c r="A2117" t="s">
        <v>6370</v>
      </c>
      <c r="B2117" s="4" t="s">
        <v>6371</v>
      </c>
      <c r="C2117" t="s">
        <v>6348</v>
      </c>
    </row>
    <row r="2118" spans="1:3" x14ac:dyDescent="0.3">
      <c r="A2118" t="s">
        <v>6370</v>
      </c>
      <c r="B2118" s="4" t="s">
        <v>6371</v>
      </c>
      <c r="C2118" t="s">
        <v>6348</v>
      </c>
    </row>
    <row r="2119" spans="1:3" x14ac:dyDescent="0.3">
      <c r="A2119" t="s">
        <v>6370</v>
      </c>
      <c r="B2119" s="4" t="s">
        <v>6371</v>
      </c>
      <c r="C2119" t="s">
        <v>6348</v>
      </c>
    </row>
    <row r="2120" spans="1:3" x14ac:dyDescent="0.3">
      <c r="A2120" t="s">
        <v>6370</v>
      </c>
      <c r="B2120" s="4" t="s">
        <v>6371</v>
      </c>
      <c r="C2120" t="s">
        <v>6348</v>
      </c>
    </row>
    <row r="2121" spans="1:3" x14ac:dyDescent="0.3">
      <c r="A2121" t="s">
        <v>6370</v>
      </c>
      <c r="B2121" s="4" t="s">
        <v>6371</v>
      </c>
      <c r="C2121" t="s">
        <v>6348</v>
      </c>
    </row>
    <row r="2122" spans="1:3" x14ac:dyDescent="0.3">
      <c r="A2122" t="s">
        <v>6370</v>
      </c>
      <c r="B2122" s="4" t="s">
        <v>6371</v>
      </c>
      <c r="C2122" t="s">
        <v>6348</v>
      </c>
    </row>
    <row r="2123" spans="1:3" x14ac:dyDescent="0.3">
      <c r="A2123" t="s">
        <v>6370</v>
      </c>
      <c r="B2123" s="4" t="s">
        <v>6371</v>
      </c>
      <c r="C2123" t="s">
        <v>6348</v>
      </c>
    </row>
    <row r="2124" spans="1:3" x14ac:dyDescent="0.3">
      <c r="A2124" t="s">
        <v>6370</v>
      </c>
      <c r="B2124" s="4" t="s">
        <v>6371</v>
      </c>
      <c r="C2124" t="s">
        <v>6348</v>
      </c>
    </row>
    <row r="2125" spans="1:3" x14ac:dyDescent="0.3">
      <c r="A2125" t="s">
        <v>6370</v>
      </c>
      <c r="B2125" s="4" t="s">
        <v>6371</v>
      </c>
      <c r="C2125" t="s">
        <v>6348</v>
      </c>
    </row>
    <row r="2126" spans="1:3" x14ac:dyDescent="0.3">
      <c r="A2126" t="s">
        <v>6370</v>
      </c>
      <c r="B2126" s="4" t="s">
        <v>6371</v>
      </c>
      <c r="C2126" t="s">
        <v>6348</v>
      </c>
    </row>
    <row r="2127" spans="1:3" x14ac:dyDescent="0.3">
      <c r="A2127" t="s">
        <v>6370</v>
      </c>
      <c r="B2127" s="4" t="s">
        <v>6371</v>
      </c>
      <c r="C2127" t="s">
        <v>6348</v>
      </c>
    </row>
    <row r="2128" spans="1:3" x14ac:dyDescent="0.3">
      <c r="A2128" t="s">
        <v>6370</v>
      </c>
      <c r="B2128" s="4" t="s">
        <v>6371</v>
      </c>
      <c r="C2128" t="s">
        <v>6348</v>
      </c>
    </row>
    <row r="2129" spans="1:3" x14ac:dyDescent="0.3">
      <c r="A2129" t="s">
        <v>6370</v>
      </c>
      <c r="B2129" s="4" t="s">
        <v>6371</v>
      </c>
      <c r="C2129" t="s">
        <v>6348</v>
      </c>
    </row>
    <row r="2130" spans="1:3" x14ac:dyDescent="0.3">
      <c r="A2130" t="s">
        <v>6370</v>
      </c>
      <c r="B2130" s="4" t="s">
        <v>6371</v>
      </c>
      <c r="C2130" t="s">
        <v>6348</v>
      </c>
    </row>
    <row r="2131" spans="1:3" x14ac:dyDescent="0.3">
      <c r="A2131" t="s">
        <v>6370</v>
      </c>
      <c r="B2131" s="4" t="s">
        <v>6371</v>
      </c>
      <c r="C2131" t="s">
        <v>6339</v>
      </c>
    </row>
    <row r="2132" spans="1:3" x14ac:dyDescent="0.3">
      <c r="A2132" t="s">
        <v>6370</v>
      </c>
      <c r="B2132" s="4" t="s">
        <v>6371</v>
      </c>
      <c r="C2132" t="s">
        <v>6339</v>
      </c>
    </row>
    <row r="2133" spans="1:3" x14ac:dyDescent="0.3">
      <c r="A2133" t="s">
        <v>6370</v>
      </c>
      <c r="B2133" s="4" t="s">
        <v>6371</v>
      </c>
      <c r="C2133" t="s">
        <v>6348</v>
      </c>
    </row>
    <row r="2134" spans="1:3" x14ac:dyDescent="0.3">
      <c r="A2134" t="s">
        <v>6370</v>
      </c>
      <c r="B2134" s="4" t="s">
        <v>6371</v>
      </c>
      <c r="C2134" t="s">
        <v>6348</v>
      </c>
    </row>
    <row r="2135" spans="1:3" x14ac:dyDescent="0.3">
      <c r="A2135" t="s">
        <v>6370</v>
      </c>
      <c r="B2135" s="4" t="s">
        <v>6371</v>
      </c>
      <c r="C2135" t="s">
        <v>6348</v>
      </c>
    </row>
    <row r="2136" spans="1:3" x14ac:dyDescent="0.3">
      <c r="A2136" t="s">
        <v>6370</v>
      </c>
      <c r="B2136" s="4" t="s">
        <v>6371</v>
      </c>
      <c r="C2136" t="s">
        <v>6348</v>
      </c>
    </row>
    <row r="2137" spans="1:3" x14ac:dyDescent="0.3">
      <c r="A2137" t="s">
        <v>6370</v>
      </c>
      <c r="B2137" s="4" t="s">
        <v>6371</v>
      </c>
      <c r="C2137" t="s">
        <v>6348</v>
      </c>
    </row>
    <row r="2138" spans="1:3" x14ac:dyDescent="0.3">
      <c r="A2138" t="s">
        <v>6370</v>
      </c>
      <c r="B2138" s="4" t="s">
        <v>6371</v>
      </c>
      <c r="C2138" t="s">
        <v>6348</v>
      </c>
    </row>
    <row r="2139" spans="1:3" x14ac:dyDescent="0.3">
      <c r="A2139" t="s">
        <v>6370</v>
      </c>
      <c r="B2139" s="4" t="s">
        <v>6371</v>
      </c>
      <c r="C2139" t="s">
        <v>6348</v>
      </c>
    </row>
    <row r="2140" spans="1:3" x14ac:dyDescent="0.3">
      <c r="A2140" t="s">
        <v>6370</v>
      </c>
      <c r="B2140" s="4" t="s">
        <v>6371</v>
      </c>
      <c r="C2140" t="s">
        <v>6348</v>
      </c>
    </row>
    <row r="2141" spans="1:3" x14ac:dyDescent="0.3">
      <c r="A2141" t="s">
        <v>6370</v>
      </c>
      <c r="B2141" s="4" t="s">
        <v>6371</v>
      </c>
      <c r="C2141" t="s">
        <v>6348</v>
      </c>
    </row>
    <row r="2142" spans="1:3" x14ac:dyDescent="0.3">
      <c r="A2142" t="s">
        <v>6370</v>
      </c>
      <c r="B2142" s="4" t="s">
        <v>6371</v>
      </c>
      <c r="C2142" t="s">
        <v>6348</v>
      </c>
    </row>
    <row r="2143" spans="1:3" x14ac:dyDescent="0.3">
      <c r="A2143" t="s">
        <v>6370</v>
      </c>
      <c r="B2143" s="4" t="s">
        <v>6371</v>
      </c>
      <c r="C2143" t="s">
        <v>6348</v>
      </c>
    </row>
    <row r="2144" spans="1:3" x14ac:dyDescent="0.3">
      <c r="A2144" t="s">
        <v>6370</v>
      </c>
      <c r="B2144" s="4" t="s">
        <v>6371</v>
      </c>
      <c r="C2144" t="s">
        <v>6348</v>
      </c>
    </row>
    <row r="2145" spans="1:3" x14ac:dyDescent="0.3">
      <c r="A2145" t="s">
        <v>6370</v>
      </c>
      <c r="B2145" s="4" t="s">
        <v>6371</v>
      </c>
      <c r="C2145" t="s">
        <v>6348</v>
      </c>
    </row>
    <row r="2146" spans="1:3" x14ac:dyDescent="0.3">
      <c r="A2146" t="s">
        <v>6370</v>
      </c>
      <c r="B2146" s="4" t="s">
        <v>6371</v>
      </c>
      <c r="C2146" t="s">
        <v>6348</v>
      </c>
    </row>
    <row r="2147" spans="1:3" x14ac:dyDescent="0.3">
      <c r="A2147" t="s">
        <v>6370</v>
      </c>
      <c r="B2147" s="4" t="s">
        <v>6371</v>
      </c>
      <c r="C2147" t="s">
        <v>6348</v>
      </c>
    </row>
    <row r="2148" spans="1:3" x14ac:dyDescent="0.3">
      <c r="A2148" t="s">
        <v>6370</v>
      </c>
      <c r="B2148" s="4" t="s">
        <v>6371</v>
      </c>
      <c r="C2148" t="s">
        <v>6348</v>
      </c>
    </row>
    <row r="2149" spans="1:3" x14ac:dyDescent="0.3">
      <c r="A2149" t="s">
        <v>6370</v>
      </c>
      <c r="B2149" s="4" t="s">
        <v>6371</v>
      </c>
      <c r="C2149" t="s">
        <v>6348</v>
      </c>
    </row>
    <row r="2150" spans="1:3" x14ac:dyDescent="0.3">
      <c r="A2150" t="s">
        <v>6370</v>
      </c>
      <c r="B2150" s="4" t="s">
        <v>6371</v>
      </c>
      <c r="C2150" t="s">
        <v>6348</v>
      </c>
    </row>
    <row r="2151" spans="1:3" x14ac:dyDescent="0.3">
      <c r="A2151" t="s">
        <v>6370</v>
      </c>
      <c r="B2151" s="4" t="s">
        <v>6371</v>
      </c>
      <c r="C2151" t="s">
        <v>6348</v>
      </c>
    </row>
    <row r="2152" spans="1:3" x14ac:dyDescent="0.3">
      <c r="A2152" t="s">
        <v>6370</v>
      </c>
      <c r="B2152" s="4" t="s">
        <v>6371</v>
      </c>
      <c r="C2152" t="s">
        <v>6348</v>
      </c>
    </row>
    <row r="2153" spans="1:3" x14ac:dyDescent="0.3">
      <c r="A2153" t="s">
        <v>6370</v>
      </c>
      <c r="B2153" s="4" t="s">
        <v>6371</v>
      </c>
      <c r="C2153" t="s">
        <v>6348</v>
      </c>
    </row>
    <row r="2154" spans="1:3" x14ac:dyDescent="0.3">
      <c r="A2154" t="s">
        <v>6370</v>
      </c>
      <c r="B2154" s="4" t="s">
        <v>6371</v>
      </c>
      <c r="C2154" t="s">
        <v>6348</v>
      </c>
    </row>
    <row r="2155" spans="1:3" x14ac:dyDescent="0.3">
      <c r="A2155" t="s">
        <v>6370</v>
      </c>
      <c r="B2155" s="4" t="s">
        <v>6371</v>
      </c>
      <c r="C2155" t="s">
        <v>6339</v>
      </c>
    </row>
    <row r="2156" spans="1:3" x14ac:dyDescent="0.3">
      <c r="A2156" t="s">
        <v>6370</v>
      </c>
      <c r="B2156" s="4" t="s">
        <v>6371</v>
      </c>
      <c r="C2156" t="s">
        <v>6348</v>
      </c>
    </row>
    <row r="2157" spans="1:3" x14ac:dyDescent="0.3">
      <c r="A2157" t="s">
        <v>6370</v>
      </c>
      <c r="B2157" s="4" t="s">
        <v>6371</v>
      </c>
      <c r="C2157" t="s">
        <v>6339</v>
      </c>
    </row>
    <row r="2158" spans="1:3" x14ac:dyDescent="0.3">
      <c r="A2158" t="s">
        <v>6370</v>
      </c>
      <c r="B2158" s="4" t="s">
        <v>6371</v>
      </c>
      <c r="C2158" t="s">
        <v>6348</v>
      </c>
    </row>
    <row r="2159" spans="1:3" x14ac:dyDescent="0.3">
      <c r="A2159" t="s">
        <v>6370</v>
      </c>
      <c r="B2159" s="4" t="s">
        <v>6371</v>
      </c>
      <c r="C2159" t="s">
        <v>6348</v>
      </c>
    </row>
    <row r="2160" spans="1:3" x14ac:dyDescent="0.3">
      <c r="A2160" t="s">
        <v>6370</v>
      </c>
      <c r="B2160" s="4" t="s">
        <v>6371</v>
      </c>
      <c r="C2160" t="s">
        <v>6348</v>
      </c>
    </row>
    <row r="2161" spans="1:3" x14ac:dyDescent="0.3">
      <c r="A2161" t="s">
        <v>6370</v>
      </c>
      <c r="B2161" s="4" t="s">
        <v>6371</v>
      </c>
      <c r="C2161" t="s">
        <v>6348</v>
      </c>
    </row>
    <row r="2162" spans="1:3" x14ac:dyDescent="0.3">
      <c r="A2162" t="s">
        <v>6370</v>
      </c>
      <c r="B2162" s="4" t="s">
        <v>6371</v>
      </c>
      <c r="C2162" t="s">
        <v>6348</v>
      </c>
    </row>
    <row r="2163" spans="1:3" x14ac:dyDescent="0.3">
      <c r="A2163" t="s">
        <v>6370</v>
      </c>
      <c r="B2163" s="4" t="s">
        <v>6371</v>
      </c>
      <c r="C2163" t="s">
        <v>6348</v>
      </c>
    </row>
    <row r="2164" spans="1:3" x14ac:dyDescent="0.3">
      <c r="A2164" t="s">
        <v>6370</v>
      </c>
      <c r="B2164" s="4" t="s">
        <v>6371</v>
      </c>
      <c r="C2164" t="s">
        <v>6348</v>
      </c>
    </row>
    <row r="2165" spans="1:3" x14ac:dyDescent="0.3">
      <c r="A2165" t="s">
        <v>6370</v>
      </c>
      <c r="B2165" s="4" t="s">
        <v>6371</v>
      </c>
      <c r="C2165" t="s">
        <v>6348</v>
      </c>
    </row>
    <row r="2166" spans="1:3" x14ac:dyDescent="0.3">
      <c r="A2166" t="s">
        <v>6370</v>
      </c>
      <c r="B2166" s="4" t="s">
        <v>6371</v>
      </c>
      <c r="C2166" t="s">
        <v>6339</v>
      </c>
    </row>
    <row r="2167" spans="1:3" x14ac:dyDescent="0.3">
      <c r="A2167" t="s">
        <v>6370</v>
      </c>
      <c r="B2167" s="4" t="s">
        <v>6371</v>
      </c>
      <c r="C2167" t="s">
        <v>6348</v>
      </c>
    </row>
    <row r="2168" spans="1:3" x14ac:dyDescent="0.3">
      <c r="A2168" t="s">
        <v>6370</v>
      </c>
      <c r="B2168" s="4" t="s">
        <v>6371</v>
      </c>
      <c r="C2168" t="s">
        <v>6348</v>
      </c>
    </row>
    <row r="2169" spans="1:3" x14ac:dyDescent="0.3">
      <c r="A2169" t="s">
        <v>6370</v>
      </c>
      <c r="B2169" s="4" t="s">
        <v>6371</v>
      </c>
      <c r="C2169" t="s">
        <v>6348</v>
      </c>
    </row>
    <row r="2170" spans="1:3" x14ac:dyDescent="0.3">
      <c r="A2170" t="s">
        <v>6370</v>
      </c>
      <c r="B2170" s="4" t="s">
        <v>6371</v>
      </c>
      <c r="C2170" t="s">
        <v>6339</v>
      </c>
    </row>
    <row r="2171" spans="1:3" x14ac:dyDescent="0.3">
      <c r="A2171" t="s">
        <v>6370</v>
      </c>
      <c r="B2171" s="4" t="s">
        <v>6371</v>
      </c>
      <c r="C2171" t="s">
        <v>6339</v>
      </c>
    </row>
    <row r="2172" spans="1:3" x14ac:dyDescent="0.3">
      <c r="A2172" t="s">
        <v>6370</v>
      </c>
      <c r="B2172" s="4" t="s">
        <v>6371</v>
      </c>
      <c r="C2172" t="s">
        <v>6348</v>
      </c>
    </row>
    <row r="2173" spans="1:3" x14ac:dyDescent="0.3">
      <c r="A2173" t="s">
        <v>6370</v>
      </c>
      <c r="B2173" s="4" t="s">
        <v>6371</v>
      </c>
      <c r="C2173" t="s">
        <v>6348</v>
      </c>
    </row>
    <row r="2174" spans="1:3" x14ac:dyDescent="0.3">
      <c r="A2174" t="s">
        <v>6370</v>
      </c>
      <c r="B2174" s="4" t="s">
        <v>6371</v>
      </c>
      <c r="C2174" t="s">
        <v>6348</v>
      </c>
    </row>
    <row r="2175" spans="1:3" x14ac:dyDescent="0.3">
      <c r="A2175" t="s">
        <v>6370</v>
      </c>
      <c r="B2175" s="4" t="s">
        <v>6371</v>
      </c>
      <c r="C2175" t="s">
        <v>6348</v>
      </c>
    </row>
    <row r="2176" spans="1:3" x14ac:dyDescent="0.3">
      <c r="A2176" t="s">
        <v>6370</v>
      </c>
      <c r="B2176" s="4" t="s">
        <v>6371</v>
      </c>
      <c r="C2176" t="s">
        <v>6348</v>
      </c>
    </row>
    <row r="2177" spans="1:3" x14ac:dyDescent="0.3">
      <c r="A2177" t="s">
        <v>6370</v>
      </c>
      <c r="B2177" s="4" t="s">
        <v>6371</v>
      </c>
      <c r="C2177" t="s">
        <v>6348</v>
      </c>
    </row>
    <row r="2178" spans="1:3" x14ac:dyDescent="0.3">
      <c r="A2178" t="s">
        <v>6370</v>
      </c>
      <c r="B2178" s="4" t="s">
        <v>6371</v>
      </c>
      <c r="C2178" t="s">
        <v>6348</v>
      </c>
    </row>
    <row r="2179" spans="1:3" x14ac:dyDescent="0.3">
      <c r="A2179" t="s">
        <v>6370</v>
      </c>
      <c r="B2179" s="4" t="s">
        <v>6371</v>
      </c>
      <c r="C2179" t="s">
        <v>6348</v>
      </c>
    </row>
    <row r="2180" spans="1:3" x14ac:dyDescent="0.3">
      <c r="A2180" t="s">
        <v>6370</v>
      </c>
      <c r="B2180" s="4" t="s">
        <v>6371</v>
      </c>
      <c r="C2180" t="s">
        <v>6348</v>
      </c>
    </row>
    <row r="2181" spans="1:3" x14ac:dyDescent="0.3">
      <c r="A2181" t="s">
        <v>6370</v>
      </c>
      <c r="B2181" s="4" t="s">
        <v>6371</v>
      </c>
      <c r="C2181" t="s">
        <v>6348</v>
      </c>
    </row>
    <row r="2182" spans="1:3" x14ac:dyDescent="0.3">
      <c r="A2182" t="s">
        <v>6370</v>
      </c>
      <c r="B2182" s="4" t="s">
        <v>6371</v>
      </c>
      <c r="C2182" t="s">
        <v>6348</v>
      </c>
    </row>
    <row r="2183" spans="1:3" x14ac:dyDescent="0.3">
      <c r="A2183" t="s">
        <v>6370</v>
      </c>
      <c r="B2183" s="4" t="s">
        <v>6371</v>
      </c>
      <c r="C2183" t="s">
        <v>6348</v>
      </c>
    </row>
    <row r="2184" spans="1:3" x14ac:dyDescent="0.3">
      <c r="A2184" t="s">
        <v>6370</v>
      </c>
      <c r="B2184" s="4" t="s">
        <v>6371</v>
      </c>
      <c r="C2184" t="s">
        <v>6348</v>
      </c>
    </row>
    <row r="2185" spans="1:3" x14ac:dyDescent="0.3">
      <c r="A2185" t="s">
        <v>6370</v>
      </c>
      <c r="B2185" s="4" t="s">
        <v>6371</v>
      </c>
      <c r="C2185" t="s">
        <v>6348</v>
      </c>
    </row>
    <row r="2186" spans="1:3" x14ac:dyDescent="0.3">
      <c r="A2186" t="s">
        <v>6370</v>
      </c>
      <c r="B2186" s="4" t="s">
        <v>6371</v>
      </c>
      <c r="C2186" t="s">
        <v>6348</v>
      </c>
    </row>
    <row r="2187" spans="1:3" x14ac:dyDescent="0.3">
      <c r="A2187" t="s">
        <v>6370</v>
      </c>
      <c r="B2187" s="4" t="s">
        <v>6371</v>
      </c>
      <c r="C2187" t="s">
        <v>6348</v>
      </c>
    </row>
    <row r="2188" spans="1:3" x14ac:dyDescent="0.3">
      <c r="A2188" t="s">
        <v>6370</v>
      </c>
      <c r="B2188" s="4" t="s">
        <v>6371</v>
      </c>
      <c r="C2188" t="s">
        <v>6348</v>
      </c>
    </row>
    <row r="2189" spans="1:3" x14ac:dyDescent="0.3">
      <c r="A2189" t="s">
        <v>6370</v>
      </c>
      <c r="B2189" s="4" t="s">
        <v>6371</v>
      </c>
      <c r="C2189" t="s">
        <v>6348</v>
      </c>
    </row>
    <row r="2190" spans="1:3" x14ac:dyDescent="0.3">
      <c r="A2190" t="s">
        <v>6370</v>
      </c>
      <c r="B2190" s="4" t="s">
        <v>6371</v>
      </c>
      <c r="C2190" t="s">
        <v>6348</v>
      </c>
    </row>
    <row r="2191" spans="1:3" x14ac:dyDescent="0.3">
      <c r="A2191" t="s">
        <v>6370</v>
      </c>
      <c r="B2191" s="4" t="s">
        <v>6371</v>
      </c>
      <c r="C2191" t="s">
        <v>6348</v>
      </c>
    </row>
    <row r="2192" spans="1:3" x14ac:dyDescent="0.3">
      <c r="A2192" t="s">
        <v>6370</v>
      </c>
      <c r="B2192" s="4" t="s">
        <v>6371</v>
      </c>
      <c r="C2192" t="s">
        <v>6348</v>
      </c>
    </row>
    <row r="2193" spans="1:3" x14ac:dyDescent="0.3">
      <c r="A2193" t="s">
        <v>6370</v>
      </c>
      <c r="B2193" s="4" t="s">
        <v>6371</v>
      </c>
      <c r="C2193" t="s">
        <v>6348</v>
      </c>
    </row>
    <row r="2194" spans="1:3" x14ac:dyDescent="0.3">
      <c r="A2194" t="s">
        <v>6370</v>
      </c>
      <c r="B2194" s="4" t="s">
        <v>6371</v>
      </c>
      <c r="C2194" t="s">
        <v>6348</v>
      </c>
    </row>
    <row r="2195" spans="1:3" x14ac:dyDescent="0.3">
      <c r="A2195" t="s">
        <v>6370</v>
      </c>
      <c r="B2195" s="4" t="s">
        <v>6371</v>
      </c>
      <c r="C2195" t="s">
        <v>6348</v>
      </c>
    </row>
    <row r="2196" spans="1:3" x14ac:dyDescent="0.3">
      <c r="A2196" t="s">
        <v>6370</v>
      </c>
      <c r="B2196" s="4" t="s">
        <v>6371</v>
      </c>
      <c r="C2196" t="s">
        <v>6348</v>
      </c>
    </row>
    <row r="2197" spans="1:3" x14ac:dyDescent="0.3">
      <c r="A2197" t="s">
        <v>6370</v>
      </c>
      <c r="B2197" s="4" t="s">
        <v>6371</v>
      </c>
      <c r="C2197" t="s">
        <v>6348</v>
      </c>
    </row>
    <row r="2198" spans="1:3" x14ac:dyDescent="0.3">
      <c r="A2198" t="s">
        <v>6370</v>
      </c>
      <c r="B2198" s="4" t="s">
        <v>6371</v>
      </c>
      <c r="C2198" t="s">
        <v>6348</v>
      </c>
    </row>
    <row r="2199" spans="1:3" x14ac:dyDescent="0.3">
      <c r="A2199" t="s">
        <v>6370</v>
      </c>
      <c r="B2199" s="4" t="s">
        <v>6371</v>
      </c>
      <c r="C2199" t="s">
        <v>6348</v>
      </c>
    </row>
    <row r="2200" spans="1:3" x14ac:dyDescent="0.3">
      <c r="A2200" t="s">
        <v>6370</v>
      </c>
      <c r="B2200" s="4" t="s">
        <v>6371</v>
      </c>
      <c r="C2200" t="s">
        <v>6348</v>
      </c>
    </row>
    <row r="2201" spans="1:3" x14ac:dyDescent="0.3">
      <c r="A2201" t="s">
        <v>6370</v>
      </c>
      <c r="B2201" s="4" t="s">
        <v>6371</v>
      </c>
      <c r="C2201" t="s">
        <v>6348</v>
      </c>
    </row>
    <row r="2202" spans="1:3" x14ac:dyDescent="0.3">
      <c r="A2202" t="s">
        <v>6370</v>
      </c>
      <c r="B2202" s="4" t="s">
        <v>6371</v>
      </c>
      <c r="C2202" t="s">
        <v>6348</v>
      </c>
    </row>
    <row r="2203" spans="1:3" x14ac:dyDescent="0.3">
      <c r="A2203" t="s">
        <v>6370</v>
      </c>
      <c r="B2203" s="4" t="s">
        <v>6371</v>
      </c>
      <c r="C2203" t="s">
        <v>6348</v>
      </c>
    </row>
    <row r="2204" spans="1:3" x14ac:dyDescent="0.3">
      <c r="A2204" t="s">
        <v>6370</v>
      </c>
      <c r="B2204" s="4" t="s">
        <v>6371</v>
      </c>
      <c r="C2204" t="s">
        <v>6348</v>
      </c>
    </row>
    <row r="2205" spans="1:3" x14ac:dyDescent="0.3">
      <c r="A2205" t="s">
        <v>6370</v>
      </c>
      <c r="B2205" s="4" t="s">
        <v>6371</v>
      </c>
      <c r="C2205" t="s">
        <v>6348</v>
      </c>
    </row>
    <row r="2206" spans="1:3" x14ac:dyDescent="0.3">
      <c r="A2206" t="s">
        <v>6370</v>
      </c>
      <c r="B2206" s="4" t="s">
        <v>6371</v>
      </c>
      <c r="C2206" t="s">
        <v>6348</v>
      </c>
    </row>
    <row r="2207" spans="1:3" x14ac:dyDescent="0.3">
      <c r="A2207" t="s">
        <v>6370</v>
      </c>
      <c r="B2207" s="4" t="s">
        <v>6371</v>
      </c>
      <c r="C2207" t="s">
        <v>6339</v>
      </c>
    </row>
    <row r="2208" spans="1:3" x14ac:dyDescent="0.3">
      <c r="A2208" t="s">
        <v>6370</v>
      </c>
      <c r="B2208" s="4" t="s">
        <v>6371</v>
      </c>
      <c r="C2208" t="s">
        <v>6339</v>
      </c>
    </row>
    <row r="2209" spans="1:3" x14ac:dyDescent="0.3">
      <c r="A2209" t="s">
        <v>6370</v>
      </c>
      <c r="B2209" s="4" t="s">
        <v>6371</v>
      </c>
      <c r="C2209" t="s">
        <v>6339</v>
      </c>
    </row>
    <row r="2210" spans="1:3" x14ac:dyDescent="0.3">
      <c r="A2210" t="s">
        <v>6370</v>
      </c>
      <c r="B2210" s="4" t="s">
        <v>6371</v>
      </c>
      <c r="C2210" t="s">
        <v>6339</v>
      </c>
    </row>
    <row r="2211" spans="1:3" x14ac:dyDescent="0.3">
      <c r="A2211" t="s">
        <v>6370</v>
      </c>
      <c r="B2211" s="4" t="s">
        <v>6371</v>
      </c>
      <c r="C2211" t="s">
        <v>6339</v>
      </c>
    </row>
    <row r="2212" spans="1:3" x14ac:dyDescent="0.3">
      <c r="A2212" t="s">
        <v>6370</v>
      </c>
      <c r="B2212" s="4" t="s">
        <v>6371</v>
      </c>
      <c r="C2212" t="s">
        <v>6339</v>
      </c>
    </row>
    <row r="2213" spans="1:3" x14ac:dyDescent="0.3">
      <c r="A2213" t="s">
        <v>6370</v>
      </c>
      <c r="B2213" s="4" t="s">
        <v>6371</v>
      </c>
      <c r="C2213" t="s">
        <v>6339</v>
      </c>
    </row>
    <row r="2214" spans="1:3" x14ac:dyDescent="0.3">
      <c r="A2214" t="s">
        <v>6370</v>
      </c>
      <c r="B2214" s="4" t="s">
        <v>6371</v>
      </c>
      <c r="C2214" t="s">
        <v>6339</v>
      </c>
    </row>
    <row r="2215" spans="1:3" x14ac:dyDescent="0.3">
      <c r="A2215" t="s">
        <v>6370</v>
      </c>
      <c r="B2215" s="4" t="s">
        <v>6371</v>
      </c>
      <c r="C2215" t="s">
        <v>6348</v>
      </c>
    </row>
    <row r="2216" spans="1:3" x14ac:dyDescent="0.3">
      <c r="A2216" t="s">
        <v>6370</v>
      </c>
      <c r="B2216" s="4" t="s">
        <v>6371</v>
      </c>
      <c r="C2216" t="s">
        <v>6348</v>
      </c>
    </row>
    <row r="2217" spans="1:3" x14ac:dyDescent="0.3">
      <c r="A2217" t="s">
        <v>6370</v>
      </c>
      <c r="B2217" s="4" t="s">
        <v>6371</v>
      </c>
      <c r="C2217" t="s">
        <v>6348</v>
      </c>
    </row>
    <row r="2218" spans="1:3" x14ac:dyDescent="0.3">
      <c r="A2218" t="s">
        <v>6370</v>
      </c>
      <c r="B2218" s="4" t="s">
        <v>6371</v>
      </c>
      <c r="C2218" t="s">
        <v>6348</v>
      </c>
    </row>
    <row r="2219" spans="1:3" x14ac:dyDescent="0.3">
      <c r="A2219" t="s">
        <v>6370</v>
      </c>
      <c r="B2219" s="4" t="s">
        <v>6371</v>
      </c>
      <c r="C2219" t="s">
        <v>6348</v>
      </c>
    </row>
    <row r="2220" spans="1:3" x14ac:dyDescent="0.3">
      <c r="A2220" t="s">
        <v>6370</v>
      </c>
      <c r="B2220" s="4" t="s">
        <v>6371</v>
      </c>
      <c r="C2220" t="s">
        <v>6348</v>
      </c>
    </row>
    <row r="2221" spans="1:3" x14ac:dyDescent="0.3">
      <c r="A2221" t="s">
        <v>6370</v>
      </c>
      <c r="B2221" s="4" t="s">
        <v>6371</v>
      </c>
      <c r="C2221" t="s">
        <v>6348</v>
      </c>
    </row>
    <row r="2222" spans="1:3" x14ac:dyDescent="0.3">
      <c r="A2222" t="s">
        <v>6370</v>
      </c>
      <c r="B2222" s="4" t="s">
        <v>6371</v>
      </c>
      <c r="C2222" t="s">
        <v>6348</v>
      </c>
    </row>
    <row r="2223" spans="1:3" x14ac:dyDescent="0.3">
      <c r="A2223" t="s">
        <v>6370</v>
      </c>
      <c r="B2223" s="4" t="s">
        <v>6371</v>
      </c>
      <c r="C2223" t="s">
        <v>6348</v>
      </c>
    </row>
    <row r="2224" spans="1:3" x14ac:dyDescent="0.3">
      <c r="A2224" t="s">
        <v>6370</v>
      </c>
      <c r="B2224" s="4" t="s">
        <v>6371</v>
      </c>
      <c r="C2224" t="s">
        <v>6348</v>
      </c>
    </row>
    <row r="2225" spans="1:3" x14ac:dyDescent="0.3">
      <c r="A2225" t="s">
        <v>6370</v>
      </c>
      <c r="B2225" s="4" t="s">
        <v>6371</v>
      </c>
      <c r="C2225" t="s">
        <v>6348</v>
      </c>
    </row>
    <row r="2226" spans="1:3" x14ac:dyDescent="0.3">
      <c r="A2226" t="s">
        <v>6370</v>
      </c>
      <c r="B2226" s="4" t="s">
        <v>6371</v>
      </c>
      <c r="C2226" t="s">
        <v>6348</v>
      </c>
    </row>
    <row r="2227" spans="1:3" x14ac:dyDescent="0.3">
      <c r="A2227" t="s">
        <v>6370</v>
      </c>
      <c r="B2227" s="4" t="s">
        <v>6371</v>
      </c>
      <c r="C2227" t="s">
        <v>6348</v>
      </c>
    </row>
    <row r="2228" spans="1:3" x14ac:dyDescent="0.3">
      <c r="A2228" t="s">
        <v>6370</v>
      </c>
      <c r="B2228" s="4" t="s">
        <v>6371</v>
      </c>
      <c r="C2228" t="s">
        <v>6348</v>
      </c>
    </row>
    <row r="2229" spans="1:3" x14ac:dyDescent="0.3">
      <c r="A2229" t="s">
        <v>6370</v>
      </c>
      <c r="B2229" s="4" t="s">
        <v>6371</v>
      </c>
      <c r="C2229" t="s">
        <v>6348</v>
      </c>
    </row>
    <row r="2230" spans="1:3" x14ac:dyDescent="0.3">
      <c r="A2230" t="s">
        <v>6370</v>
      </c>
      <c r="B2230" s="4" t="s">
        <v>6371</v>
      </c>
      <c r="C2230" t="s">
        <v>6348</v>
      </c>
    </row>
    <row r="2231" spans="1:3" x14ac:dyDescent="0.3">
      <c r="A2231" t="s">
        <v>6370</v>
      </c>
      <c r="B2231" s="4" t="s">
        <v>6371</v>
      </c>
      <c r="C2231" t="s">
        <v>6348</v>
      </c>
    </row>
    <row r="2232" spans="1:3" x14ac:dyDescent="0.3">
      <c r="A2232" t="s">
        <v>6370</v>
      </c>
      <c r="B2232" s="4" t="s">
        <v>6371</v>
      </c>
      <c r="C2232" t="s">
        <v>6348</v>
      </c>
    </row>
    <row r="2233" spans="1:3" x14ac:dyDescent="0.3">
      <c r="A2233" t="s">
        <v>6370</v>
      </c>
      <c r="B2233" s="4" t="s">
        <v>6371</v>
      </c>
      <c r="C2233" t="s">
        <v>6348</v>
      </c>
    </row>
    <row r="2234" spans="1:3" x14ac:dyDescent="0.3">
      <c r="A2234" t="s">
        <v>6370</v>
      </c>
      <c r="B2234" s="4" t="s">
        <v>6371</v>
      </c>
      <c r="C2234" t="s">
        <v>6348</v>
      </c>
    </row>
    <row r="2235" spans="1:3" x14ac:dyDescent="0.3">
      <c r="A2235" t="s">
        <v>6370</v>
      </c>
      <c r="B2235" s="4" t="s">
        <v>6371</v>
      </c>
      <c r="C2235" t="s">
        <v>6348</v>
      </c>
    </row>
    <row r="2236" spans="1:3" x14ac:dyDescent="0.3">
      <c r="A2236" t="s">
        <v>6370</v>
      </c>
      <c r="B2236" s="4" t="s">
        <v>6371</v>
      </c>
      <c r="C2236" t="s">
        <v>6348</v>
      </c>
    </row>
    <row r="2237" spans="1:3" x14ac:dyDescent="0.3">
      <c r="A2237" t="s">
        <v>6370</v>
      </c>
      <c r="B2237" s="4" t="s">
        <v>6371</v>
      </c>
      <c r="C2237" t="s">
        <v>6348</v>
      </c>
    </row>
    <row r="2238" spans="1:3" x14ac:dyDescent="0.3">
      <c r="A2238" t="s">
        <v>6370</v>
      </c>
      <c r="B2238" s="4" t="s">
        <v>6371</v>
      </c>
      <c r="C2238" t="s">
        <v>6348</v>
      </c>
    </row>
    <row r="2239" spans="1:3" x14ac:dyDescent="0.3">
      <c r="A2239" t="s">
        <v>6370</v>
      </c>
      <c r="B2239" s="4" t="s">
        <v>6371</v>
      </c>
      <c r="C2239" t="s">
        <v>6348</v>
      </c>
    </row>
    <row r="2240" spans="1:3" x14ac:dyDescent="0.3">
      <c r="A2240" t="s">
        <v>6370</v>
      </c>
      <c r="B2240" s="4" t="s">
        <v>6371</v>
      </c>
      <c r="C2240" t="s">
        <v>6348</v>
      </c>
    </row>
    <row r="2241" spans="1:3" x14ac:dyDescent="0.3">
      <c r="A2241" t="s">
        <v>6370</v>
      </c>
      <c r="B2241" s="4" t="s">
        <v>6371</v>
      </c>
      <c r="C2241" t="s">
        <v>6348</v>
      </c>
    </row>
    <row r="2242" spans="1:3" x14ac:dyDescent="0.3">
      <c r="A2242" t="s">
        <v>6370</v>
      </c>
      <c r="B2242" s="4" t="s">
        <v>6371</v>
      </c>
      <c r="C2242" t="s">
        <v>6348</v>
      </c>
    </row>
    <row r="2243" spans="1:3" x14ac:dyDescent="0.3">
      <c r="A2243" t="s">
        <v>6370</v>
      </c>
      <c r="B2243" s="4" t="s">
        <v>6371</v>
      </c>
      <c r="C2243" t="s">
        <v>6348</v>
      </c>
    </row>
    <row r="2244" spans="1:3" x14ac:dyDescent="0.3">
      <c r="A2244" t="s">
        <v>6370</v>
      </c>
      <c r="B2244" s="4" t="s">
        <v>6371</v>
      </c>
      <c r="C2244" t="s">
        <v>6348</v>
      </c>
    </row>
    <row r="2245" spans="1:3" x14ac:dyDescent="0.3">
      <c r="A2245" t="s">
        <v>6370</v>
      </c>
      <c r="B2245" s="4" t="s">
        <v>6371</v>
      </c>
      <c r="C2245" t="s">
        <v>6348</v>
      </c>
    </row>
    <row r="2246" spans="1:3" x14ac:dyDescent="0.3">
      <c r="A2246" t="s">
        <v>6370</v>
      </c>
      <c r="B2246" s="4" t="s">
        <v>6371</v>
      </c>
      <c r="C2246" t="s">
        <v>6348</v>
      </c>
    </row>
    <row r="2247" spans="1:3" x14ac:dyDescent="0.3">
      <c r="A2247" t="s">
        <v>6370</v>
      </c>
      <c r="B2247" s="4" t="s">
        <v>6371</v>
      </c>
      <c r="C2247" t="s">
        <v>6348</v>
      </c>
    </row>
    <row r="2248" spans="1:3" x14ac:dyDescent="0.3">
      <c r="A2248" t="s">
        <v>6370</v>
      </c>
      <c r="B2248" s="4" t="s">
        <v>6371</v>
      </c>
      <c r="C2248" t="s">
        <v>6348</v>
      </c>
    </row>
    <row r="2249" spans="1:3" x14ac:dyDescent="0.3">
      <c r="A2249" t="s">
        <v>6370</v>
      </c>
      <c r="B2249" s="4" t="s">
        <v>6371</v>
      </c>
      <c r="C2249" t="s">
        <v>6348</v>
      </c>
    </row>
    <row r="2250" spans="1:3" x14ac:dyDescent="0.3">
      <c r="A2250" t="s">
        <v>6370</v>
      </c>
      <c r="B2250" s="4" t="s">
        <v>6371</v>
      </c>
      <c r="C2250" t="s">
        <v>6348</v>
      </c>
    </row>
    <row r="2251" spans="1:3" x14ac:dyDescent="0.3">
      <c r="A2251" t="s">
        <v>6370</v>
      </c>
      <c r="B2251" s="4" t="s">
        <v>6371</v>
      </c>
      <c r="C2251" t="s">
        <v>6348</v>
      </c>
    </row>
    <row r="2252" spans="1:3" x14ac:dyDescent="0.3">
      <c r="A2252" t="s">
        <v>6370</v>
      </c>
      <c r="B2252" s="4" t="s">
        <v>6371</v>
      </c>
      <c r="C2252" t="s">
        <v>6348</v>
      </c>
    </row>
    <row r="2253" spans="1:3" x14ac:dyDescent="0.3">
      <c r="A2253" t="s">
        <v>6370</v>
      </c>
      <c r="B2253" s="4" t="s">
        <v>6371</v>
      </c>
      <c r="C2253" t="s">
        <v>6348</v>
      </c>
    </row>
    <row r="2254" spans="1:3" x14ac:dyDescent="0.3">
      <c r="A2254" t="s">
        <v>6370</v>
      </c>
      <c r="B2254" s="4" t="s">
        <v>6371</v>
      </c>
      <c r="C2254" t="s">
        <v>6348</v>
      </c>
    </row>
    <row r="2255" spans="1:3" x14ac:dyDescent="0.3">
      <c r="A2255" t="s">
        <v>6370</v>
      </c>
      <c r="B2255" s="4" t="s">
        <v>6371</v>
      </c>
      <c r="C2255" t="s">
        <v>6348</v>
      </c>
    </row>
    <row r="2256" spans="1:3" x14ac:dyDescent="0.3">
      <c r="A2256" t="s">
        <v>6370</v>
      </c>
      <c r="B2256" s="4" t="s">
        <v>6371</v>
      </c>
      <c r="C2256" t="s">
        <v>6348</v>
      </c>
    </row>
    <row r="2257" spans="1:3" x14ac:dyDescent="0.3">
      <c r="A2257" t="s">
        <v>6370</v>
      </c>
      <c r="B2257" s="4" t="s">
        <v>6371</v>
      </c>
      <c r="C2257" t="s">
        <v>6348</v>
      </c>
    </row>
    <row r="2258" spans="1:3" x14ac:dyDescent="0.3">
      <c r="A2258" t="s">
        <v>6370</v>
      </c>
      <c r="B2258" s="4" t="s">
        <v>6371</v>
      </c>
      <c r="C2258" t="s">
        <v>6348</v>
      </c>
    </row>
    <row r="2259" spans="1:3" x14ac:dyDescent="0.3">
      <c r="A2259" t="s">
        <v>6370</v>
      </c>
      <c r="B2259" s="4" t="s">
        <v>6371</v>
      </c>
      <c r="C2259" t="s">
        <v>6348</v>
      </c>
    </row>
    <row r="2260" spans="1:3" x14ac:dyDescent="0.3">
      <c r="A2260" t="s">
        <v>6370</v>
      </c>
      <c r="B2260" s="4" t="s">
        <v>6371</v>
      </c>
      <c r="C2260" t="s">
        <v>6348</v>
      </c>
    </row>
    <row r="2261" spans="1:3" x14ac:dyDescent="0.3">
      <c r="A2261" t="s">
        <v>6370</v>
      </c>
      <c r="B2261" s="4" t="s">
        <v>6371</v>
      </c>
      <c r="C2261" t="s">
        <v>6348</v>
      </c>
    </row>
    <row r="2262" spans="1:3" x14ac:dyDescent="0.3">
      <c r="A2262" t="s">
        <v>6370</v>
      </c>
      <c r="B2262" s="4" t="s">
        <v>6371</v>
      </c>
      <c r="C2262" t="s">
        <v>6348</v>
      </c>
    </row>
    <row r="2263" spans="1:3" x14ac:dyDescent="0.3">
      <c r="A2263" t="s">
        <v>6370</v>
      </c>
      <c r="B2263" s="4" t="s">
        <v>6371</v>
      </c>
      <c r="C2263" t="s">
        <v>6348</v>
      </c>
    </row>
    <row r="2264" spans="1:3" x14ac:dyDescent="0.3">
      <c r="A2264" t="s">
        <v>6370</v>
      </c>
      <c r="B2264" s="4" t="s">
        <v>6371</v>
      </c>
      <c r="C2264" t="s">
        <v>6348</v>
      </c>
    </row>
    <row r="2265" spans="1:3" x14ac:dyDescent="0.3">
      <c r="A2265" t="s">
        <v>6370</v>
      </c>
      <c r="B2265" s="4" t="s">
        <v>6371</v>
      </c>
      <c r="C2265" t="s">
        <v>6348</v>
      </c>
    </row>
    <row r="2266" spans="1:3" x14ac:dyDescent="0.3">
      <c r="A2266" t="s">
        <v>6370</v>
      </c>
      <c r="B2266" s="4" t="s">
        <v>6371</v>
      </c>
      <c r="C2266" t="s">
        <v>6348</v>
      </c>
    </row>
    <row r="2267" spans="1:3" x14ac:dyDescent="0.3">
      <c r="A2267" t="s">
        <v>6370</v>
      </c>
      <c r="B2267" s="4" t="s">
        <v>6371</v>
      </c>
      <c r="C2267" t="s">
        <v>6348</v>
      </c>
    </row>
    <row r="2268" spans="1:3" x14ac:dyDescent="0.3">
      <c r="A2268" t="s">
        <v>6370</v>
      </c>
      <c r="B2268" s="4" t="s">
        <v>6371</v>
      </c>
      <c r="C2268" t="s">
        <v>6348</v>
      </c>
    </row>
    <row r="2269" spans="1:3" x14ac:dyDescent="0.3">
      <c r="A2269" t="s">
        <v>6370</v>
      </c>
      <c r="B2269" s="4" t="s">
        <v>6371</v>
      </c>
      <c r="C2269" t="s">
        <v>6348</v>
      </c>
    </row>
    <row r="2270" spans="1:3" x14ac:dyDescent="0.3">
      <c r="A2270" t="s">
        <v>6370</v>
      </c>
      <c r="B2270" s="4" t="s">
        <v>6371</v>
      </c>
      <c r="C2270" t="s">
        <v>6348</v>
      </c>
    </row>
    <row r="2271" spans="1:3" x14ac:dyDescent="0.3">
      <c r="A2271" t="s">
        <v>6370</v>
      </c>
      <c r="B2271" s="4" t="s">
        <v>6371</v>
      </c>
      <c r="C2271" t="s">
        <v>6348</v>
      </c>
    </row>
    <row r="2272" spans="1:3" x14ac:dyDescent="0.3">
      <c r="A2272" t="s">
        <v>6370</v>
      </c>
      <c r="B2272" s="4" t="s">
        <v>6371</v>
      </c>
      <c r="C2272" t="s">
        <v>6348</v>
      </c>
    </row>
    <row r="2273" spans="1:3" x14ac:dyDescent="0.3">
      <c r="A2273" t="s">
        <v>6370</v>
      </c>
      <c r="B2273" s="4" t="s">
        <v>6371</v>
      </c>
      <c r="C2273" t="s">
        <v>6348</v>
      </c>
    </row>
    <row r="2274" spans="1:3" x14ac:dyDescent="0.3">
      <c r="A2274" t="s">
        <v>6370</v>
      </c>
      <c r="B2274" s="4" t="s">
        <v>6371</v>
      </c>
      <c r="C2274" t="s">
        <v>6348</v>
      </c>
    </row>
    <row r="2275" spans="1:3" x14ac:dyDescent="0.3">
      <c r="A2275" t="s">
        <v>6370</v>
      </c>
      <c r="B2275" s="4" t="s">
        <v>6371</v>
      </c>
      <c r="C2275" t="s">
        <v>6348</v>
      </c>
    </row>
    <row r="2276" spans="1:3" x14ac:dyDescent="0.3">
      <c r="A2276" t="s">
        <v>6370</v>
      </c>
      <c r="B2276" s="4" t="s">
        <v>6371</v>
      </c>
      <c r="C2276" t="s">
        <v>6348</v>
      </c>
    </row>
    <row r="2277" spans="1:3" x14ac:dyDescent="0.3">
      <c r="A2277" t="s">
        <v>6370</v>
      </c>
      <c r="B2277" s="4" t="s">
        <v>6371</v>
      </c>
      <c r="C2277" t="s">
        <v>6348</v>
      </c>
    </row>
    <row r="2278" spans="1:3" x14ac:dyDescent="0.3">
      <c r="A2278" t="s">
        <v>6370</v>
      </c>
      <c r="B2278" s="4" t="s">
        <v>6371</v>
      </c>
      <c r="C2278" t="s">
        <v>6348</v>
      </c>
    </row>
    <row r="2279" spans="1:3" x14ac:dyDescent="0.3">
      <c r="A2279" t="s">
        <v>6370</v>
      </c>
      <c r="B2279" s="4" t="s">
        <v>6371</v>
      </c>
      <c r="C2279" t="s">
        <v>6348</v>
      </c>
    </row>
    <row r="2280" spans="1:3" x14ac:dyDescent="0.3">
      <c r="A2280" t="s">
        <v>6370</v>
      </c>
      <c r="B2280" s="4" t="s">
        <v>6371</v>
      </c>
      <c r="C2280" t="s">
        <v>6348</v>
      </c>
    </row>
    <row r="2281" spans="1:3" x14ac:dyDescent="0.3">
      <c r="A2281" t="s">
        <v>6370</v>
      </c>
      <c r="B2281" s="4" t="s">
        <v>6371</v>
      </c>
      <c r="C2281" t="s">
        <v>6348</v>
      </c>
    </row>
    <row r="2282" spans="1:3" x14ac:dyDescent="0.3">
      <c r="A2282" t="s">
        <v>6370</v>
      </c>
      <c r="B2282" s="4" t="s">
        <v>6371</v>
      </c>
      <c r="C2282" t="s">
        <v>6348</v>
      </c>
    </row>
    <row r="2283" spans="1:3" x14ac:dyDescent="0.3">
      <c r="A2283" t="s">
        <v>6370</v>
      </c>
      <c r="B2283" s="4" t="s">
        <v>6371</v>
      </c>
      <c r="C2283" t="s">
        <v>6348</v>
      </c>
    </row>
    <row r="2284" spans="1:3" x14ac:dyDescent="0.3">
      <c r="A2284" t="s">
        <v>6370</v>
      </c>
      <c r="B2284" s="4" t="s">
        <v>6371</v>
      </c>
      <c r="C2284" t="s">
        <v>6348</v>
      </c>
    </row>
    <row r="2285" spans="1:3" x14ac:dyDescent="0.3">
      <c r="A2285" t="s">
        <v>6370</v>
      </c>
      <c r="B2285" s="4" t="s">
        <v>6371</v>
      </c>
      <c r="C2285" t="s">
        <v>6348</v>
      </c>
    </row>
    <row r="2286" spans="1:3" x14ac:dyDescent="0.3">
      <c r="A2286" t="s">
        <v>6370</v>
      </c>
      <c r="B2286" s="4" t="s">
        <v>6371</v>
      </c>
      <c r="C2286" t="s">
        <v>6348</v>
      </c>
    </row>
    <row r="2287" spans="1:3" x14ac:dyDescent="0.3">
      <c r="A2287" t="s">
        <v>6370</v>
      </c>
      <c r="B2287" s="4" t="s">
        <v>6371</v>
      </c>
      <c r="C2287" t="s">
        <v>6348</v>
      </c>
    </row>
    <row r="2288" spans="1:3" x14ac:dyDescent="0.3">
      <c r="A2288" t="s">
        <v>6370</v>
      </c>
      <c r="B2288" s="4" t="s">
        <v>6371</v>
      </c>
      <c r="C2288" t="s">
        <v>6348</v>
      </c>
    </row>
    <row r="2289" spans="1:3" x14ac:dyDescent="0.3">
      <c r="A2289" t="s">
        <v>6370</v>
      </c>
      <c r="B2289" s="4" t="s">
        <v>6371</v>
      </c>
      <c r="C2289" t="s">
        <v>6348</v>
      </c>
    </row>
    <row r="2290" spans="1:3" x14ac:dyDescent="0.3">
      <c r="A2290" t="s">
        <v>6370</v>
      </c>
      <c r="B2290" s="4" t="s">
        <v>6371</v>
      </c>
      <c r="C2290" t="s">
        <v>6348</v>
      </c>
    </row>
    <row r="2291" spans="1:3" x14ac:dyDescent="0.3">
      <c r="A2291" t="s">
        <v>6370</v>
      </c>
      <c r="B2291" s="4" t="s">
        <v>6371</v>
      </c>
      <c r="C2291" t="s">
        <v>6348</v>
      </c>
    </row>
    <row r="2292" spans="1:3" x14ac:dyDescent="0.3">
      <c r="A2292" t="s">
        <v>6370</v>
      </c>
      <c r="B2292" s="4" t="s">
        <v>6371</v>
      </c>
      <c r="C2292" t="s">
        <v>6348</v>
      </c>
    </row>
    <row r="2293" spans="1:3" x14ac:dyDescent="0.3">
      <c r="A2293" t="s">
        <v>6370</v>
      </c>
      <c r="B2293" s="4" t="s">
        <v>6371</v>
      </c>
      <c r="C2293" t="s">
        <v>6348</v>
      </c>
    </row>
    <row r="2294" spans="1:3" x14ac:dyDescent="0.3">
      <c r="A2294" t="s">
        <v>6370</v>
      </c>
      <c r="B2294" s="4" t="s">
        <v>6371</v>
      </c>
      <c r="C2294" t="s">
        <v>6348</v>
      </c>
    </row>
    <row r="2295" spans="1:3" x14ac:dyDescent="0.3">
      <c r="A2295" t="s">
        <v>6370</v>
      </c>
      <c r="B2295" s="4" t="s">
        <v>6371</v>
      </c>
      <c r="C2295" t="s">
        <v>6348</v>
      </c>
    </row>
    <row r="2296" spans="1:3" x14ac:dyDescent="0.3">
      <c r="A2296" t="s">
        <v>6370</v>
      </c>
      <c r="B2296" s="4" t="s">
        <v>6371</v>
      </c>
      <c r="C2296" t="s">
        <v>6348</v>
      </c>
    </row>
    <row r="2297" spans="1:3" x14ac:dyDescent="0.3">
      <c r="A2297" t="s">
        <v>6370</v>
      </c>
      <c r="B2297" s="4" t="s">
        <v>6371</v>
      </c>
      <c r="C2297" t="s">
        <v>6348</v>
      </c>
    </row>
    <row r="2298" spans="1:3" x14ac:dyDescent="0.3">
      <c r="A2298" t="s">
        <v>6370</v>
      </c>
      <c r="B2298" s="4" t="s">
        <v>6371</v>
      </c>
      <c r="C2298" t="s">
        <v>6348</v>
      </c>
    </row>
    <row r="2299" spans="1:3" x14ac:dyDescent="0.3">
      <c r="A2299" t="s">
        <v>6370</v>
      </c>
      <c r="B2299" s="4" t="s">
        <v>6371</v>
      </c>
      <c r="C2299" t="s">
        <v>6348</v>
      </c>
    </row>
    <row r="2300" spans="1:3" x14ac:dyDescent="0.3">
      <c r="A2300" t="s">
        <v>6370</v>
      </c>
      <c r="B2300" s="4" t="s">
        <v>6371</v>
      </c>
      <c r="C2300" t="s">
        <v>6348</v>
      </c>
    </row>
    <row r="2301" spans="1:3" x14ac:dyDescent="0.3">
      <c r="A2301" t="s">
        <v>6370</v>
      </c>
      <c r="B2301" s="4" t="s">
        <v>6371</v>
      </c>
      <c r="C2301" t="s">
        <v>6348</v>
      </c>
    </row>
    <row r="2302" spans="1:3" x14ac:dyDescent="0.3">
      <c r="A2302" t="s">
        <v>6370</v>
      </c>
      <c r="B2302" s="4" t="s">
        <v>6371</v>
      </c>
      <c r="C2302" t="s">
        <v>6348</v>
      </c>
    </row>
    <row r="2303" spans="1:3" x14ac:dyDescent="0.3">
      <c r="A2303" t="s">
        <v>6370</v>
      </c>
      <c r="B2303" s="4" t="s">
        <v>6371</v>
      </c>
      <c r="C2303" t="s">
        <v>958</v>
      </c>
    </row>
    <row r="2304" spans="1:3" x14ac:dyDescent="0.3">
      <c r="A2304" t="s">
        <v>6370</v>
      </c>
      <c r="B2304" s="4" t="s">
        <v>6371</v>
      </c>
      <c r="C2304" t="s">
        <v>958</v>
      </c>
    </row>
    <row r="2305" spans="1:3" x14ac:dyDescent="0.3">
      <c r="A2305" t="s">
        <v>6370</v>
      </c>
      <c r="B2305" s="4" t="s">
        <v>6371</v>
      </c>
      <c r="C2305" t="s">
        <v>958</v>
      </c>
    </row>
    <row r="2306" spans="1:3" x14ac:dyDescent="0.3">
      <c r="A2306" t="s">
        <v>6370</v>
      </c>
      <c r="B2306" s="4" t="s">
        <v>6371</v>
      </c>
      <c r="C2306" t="s">
        <v>958</v>
      </c>
    </row>
    <row r="2307" spans="1:3" x14ac:dyDescent="0.3">
      <c r="A2307" t="s">
        <v>6370</v>
      </c>
      <c r="B2307" s="4" t="s">
        <v>6371</v>
      </c>
      <c r="C2307" t="s">
        <v>958</v>
      </c>
    </row>
    <row r="2308" spans="1:3" x14ac:dyDescent="0.3">
      <c r="A2308" t="s">
        <v>6370</v>
      </c>
      <c r="B2308" s="4" t="s">
        <v>6371</v>
      </c>
      <c r="C2308" t="s">
        <v>958</v>
      </c>
    </row>
    <row r="2309" spans="1:3" x14ac:dyDescent="0.3">
      <c r="A2309" t="s">
        <v>6370</v>
      </c>
      <c r="B2309" s="4" t="s">
        <v>6371</v>
      </c>
      <c r="C2309" t="s">
        <v>958</v>
      </c>
    </row>
    <row r="2310" spans="1:3" x14ac:dyDescent="0.3">
      <c r="A2310" t="s">
        <v>6370</v>
      </c>
      <c r="B2310" s="4" t="s">
        <v>6371</v>
      </c>
      <c r="C2310" t="s">
        <v>958</v>
      </c>
    </row>
    <row r="2311" spans="1:3" x14ac:dyDescent="0.3">
      <c r="A2311" t="s">
        <v>6370</v>
      </c>
      <c r="B2311" s="4" t="s">
        <v>6371</v>
      </c>
      <c r="C2311" t="s">
        <v>958</v>
      </c>
    </row>
    <row r="2312" spans="1:3" x14ac:dyDescent="0.3">
      <c r="A2312" t="s">
        <v>6370</v>
      </c>
      <c r="B2312" s="4" t="s">
        <v>6371</v>
      </c>
      <c r="C2312" t="s">
        <v>958</v>
      </c>
    </row>
    <row r="2313" spans="1:3" x14ac:dyDescent="0.3">
      <c r="A2313" t="s">
        <v>6370</v>
      </c>
      <c r="B2313" s="4" t="s">
        <v>6371</v>
      </c>
      <c r="C2313" t="s">
        <v>958</v>
      </c>
    </row>
    <row r="2314" spans="1:3" x14ac:dyDescent="0.3">
      <c r="A2314" t="s">
        <v>6370</v>
      </c>
      <c r="B2314" s="4" t="s">
        <v>6357</v>
      </c>
      <c r="C2314" t="s">
        <v>6339</v>
      </c>
    </row>
    <row r="2315" spans="1:3" x14ac:dyDescent="0.3">
      <c r="A2315" t="s">
        <v>6370</v>
      </c>
      <c r="B2315" s="4" t="s">
        <v>6357</v>
      </c>
      <c r="C2315" t="s">
        <v>6339</v>
      </c>
    </row>
    <row r="2316" spans="1:3" x14ac:dyDescent="0.3">
      <c r="A2316" t="s">
        <v>6370</v>
      </c>
      <c r="B2316" s="4" t="s">
        <v>6357</v>
      </c>
      <c r="C2316" t="s">
        <v>6339</v>
      </c>
    </row>
    <row r="2317" spans="1:3" x14ac:dyDescent="0.3">
      <c r="A2317" t="s">
        <v>6370</v>
      </c>
      <c r="B2317" s="4" t="s">
        <v>6357</v>
      </c>
      <c r="C2317" t="s">
        <v>6339</v>
      </c>
    </row>
    <row r="2318" spans="1:3" x14ac:dyDescent="0.3">
      <c r="A2318" t="s">
        <v>6370</v>
      </c>
      <c r="B2318" s="4" t="s">
        <v>6357</v>
      </c>
      <c r="C2318" t="s">
        <v>6339</v>
      </c>
    </row>
    <row r="2319" spans="1:3" x14ac:dyDescent="0.3">
      <c r="A2319" t="s">
        <v>6370</v>
      </c>
      <c r="B2319" s="4" t="s">
        <v>6357</v>
      </c>
      <c r="C2319" t="s">
        <v>6339</v>
      </c>
    </row>
    <row r="2320" spans="1:3" x14ac:dyDescent="0.3">
      <c r="A2320" t="s">
        <v>6370</v>
      </c>
      <c r="B2320" s="4" t="s">
        <v>6357</v>
      </c>
      <c r="C2320" t="s">
        <v>6339</v>
      </c>
    </row>
    <row r="2321" spans="1:3" x14ac:dyDescent="0.3">
      <c r="A2321" t="s">
        <v>6370</v>
      </c>
      <c r="B2321" s="4" t="s">
        <v>6357</v>
      </c>
      <c r="C2321" t="s">
        <v>6339</v>
      </c>
    </row>
    <row r="2322" spans="1:3" x14ac:dyDescent="0.3">
      <c r="A2322" t="s">
        <v>6370</v>
      </c>
      <c r="B2322" s="4" t="s">
        <v>6357</v>
      </c>
      <c r="C2322" t="s">
        <v>6339</v>
      </c>
    </row>
    <row r="2323" spans="1:3" x14ac:dyDescent="0.3">
      <c r="A2323" t="s">
        <v>6370</v>
      </c>
      <c r="B2323" s="4" t="s">
        <v>6357</v>
      </c>
      <c r="C2323" t="s">
        <v>6339</v>
      </c>
    </row>
    <row r="2324" spans="1:3" x14ac:dyDescent="0.3">
      <c r="A2324" t="s">
        <v>6370</v>
      </c>
      <c r="B2324" s="4" t="s">
        <v>6357</v>
      </c>
      <c r="C2324" t="s">
        <v>6339</v>
      </c>
    </row>
    <row r="2325" spans="1:3" x14ac:dyDescent="0.3">
      <c r="A2325" t="s">
        <v>6370</v>
      </c>
      <c r="B2325" s="4" t="s">
        <v>6357</v>
      </c>
      <c r="C2325" t="s">
        <v>6339</v>
      </c>
    </row>
    <row r="2326" spans="1:3" x14ac:dyDescent="0.3">
      <c r="A2326" t="s">
        <v>6370</v>
      </c>
      <c r="B2326" s="4" t="s">
        <v>6357</v>
      </c>
      <c r="C2326" t="s">
        <v>6339</v>
      </c>
    </row>
    <row r="2327" spans="1:3" x14ac:dyDescent="0.3">
      <c r="A2327" t="s">
        <v>6370</v>
      </c>
      <c r="B2327" s="4" t="s">
        <v>6357</v>
      </c>
      <c r="C2327" t="s">
        <v>6339</v>
      </c>
    </row>
    <row r="2328" spans="1:3" x14ac:dyDescent="0.3">
      <c r="A2328" t="s">
        <v>6370</v>
      </c>
      <c r="B2328" s="4" t="s">
        <v>6357</v>
      </c>
      <c r="C2328" t="s">
        <v>6339</v>
      </c>
    </row>
    <row r="2329" spans="1:3" x14ac:dyDescent="0.3">
      <c r="A2329" t="s">
        <v>6370</v>
      </c>
      <c r="B2329" s="4" t="s">
        <v>6357</v>
      </c>
      <c r="C2329" t="s">
        <v>6339</v>
      </c>
    </row>
    <row r="2330" spans="1:3" x14ac:dyDescent="0.3">
      <c r="A2330" t="s">
        <v>6370</v>
      </c>
      <c r="B2330" s="4" t="s">
        <v>6357</v>
      </c>
      <c r="C2330" t="s">
        <v>6339</v>
      </c>
    </row>
    <row r="2331" spans="1:3" x14ac:dyDescent="0.3">
      <c r="A2331" t="s">
        <v>6370</v>
      </c>
      <c r="B2331" s="4" t="s">
        <v>6357</v>
      </c>
      <c r="C2331" t="s">
        <v>6339</v>
      </c>
    </row>
    <row r="2332" spans="1:3" x14ac:dyDescent="0.3">
      <c r="A2332" t="s">
        <v>6370</v>
      </c>
      <c r="B2332" s="4" t="s">
        <v>6357</v>
      </c>
      <c r="C2332" t="s">
        <v>6339</v>
      </c>
    </row>
    <row r="2333" spans="1:3" x14ac:dyDescent="0.3">
      <c r="A2333" t="s">
        <v>6370</v>
      </c>
      <c r="B2333" s="4" t="s">
        <v>6357</v>
      </c>
      <c r="C2333" t="s">
        <v>6339</v>
      </c>
    </row>
    <row r="2334" spans="1:3" x14ac:dyDescent="0.3">
      <c r="A2334" t="s">
        <v>6370</v>
      </c>
      <c r="B2334" s="4" t="s">
        <v>6357</v>
      </c>
      <c r="C2334" t="s">
        <v>6339</v>
      </c>
    </row>
    <row r="2335" spans="1:3" x14ac:dyDescent="0.3">
      <c r="A2335" t="s">
        <v>6370</v>
      </c>
      <c r="B2335" s="4" t="s">
        <v>6357</v>
      </c>
      <c r="C2335" t="s">
        <v>6339</v>
      </c>
    </row>
    <row r="2336" spans="1:3" x14ac:dyDescent="0.3">
      <c r="A2336" t="s">
        <v>6370</v>
      </c>
      <c r="B2336" s="4" t="s">
        <v>6357</v>
      </c>
      <c r="C2336" t="s">
        <v>6339</v>
      </c>
    </row>
    <row r="2337" spans="1:3" x14ac:dyDescent="0.3">
      <c r="A2337" t="s">
        <v>6370</v>
      </c>
      <c r="B2337" s="4" t="s">
        <v>6357</v>
      </c>
      <c r="C2337" t="s">
        <v>6339</v>
      </c>
    </row>
    <row r="2338" spans="1:3" x14ac:dyDescent="0.3">
      <c r="A2338" t="s">
        <v>6370</v>
      </c>
      <c r="B2338" s="4" t="s">
        <v>6357</v>
      </c>
      <c r="C2338" t="s">
        <v>6339</v>
      </c>
    </row>
    <row r="2339" spans="1:3" x14ac:dyDescent="0.3">
      <c r="A2339" t="s">
        <v>6370</v>
      </c>
      <c r="B2339" s="4" t="s">
        <v>6357</v>
      </c>
      <c r="C2339" t="s">
        <v>6339</v>
      </c>
    </row>
    <row r="2340" spans="1:3" x14ac:dyDescent="0.3">
      <c r="A2340" t="s">
        <v>6370</v>
      </c>
      <c r="B2340" s="4" t="s">
        <v>6357</v>
      </c>
      <c r="C2340" t="s">
        <v>6339</v>
      </c>
    </row>
    <row r="2341" spans="1:3" x14ac:dyDescent="0.3">
      <c r="A2341" t="s">
        <v>6370</v>
      </c>
      <c r="B2341" s="4" t="s">
        <v>6357</v>
      </c>
      <c r="C2341" t="s">
        <v>6339</v>
      </c>
    </row>
    <row r="2342" spans="1:3" x14ac:dyDescent="0.3">
      <c r="A2342" t="s">
        <v>6370</v>
      </c>
      <c r="B2342" s="4" t="s">
        <v>6357</v>
      </c>
      <c r="C2342" t="s">
        <v>6339</v>
      </c>
    </row>
    <row r="2343" spans="1:3" x14ac:dyDescent="0.3">
      <c r="A2343" t="s">
        <v>6370</v>
      </c>
      <c r="B2343" s="4" t="s">
        <v>6357</v>
      </c>
      <c r="C2343" t="s">
        <v>6339</v>
      </c>
    </row>
    <row r="2344" spans="1:3" x14ac:dyDescent="0.3">
      <c r="A2344" t="s">
        <v>6370</v>
      </c>
      <c r="B2344" s="4" t="s">
        <v>6357</v>
      </c>
      <c r="C2344" t="s">
        <v>6339</v>
      </c>
    </row>
    <row r="2345" spans="1:3" x14ac:dyDescent="0.3">
      <c r="A2345" t="s">
        <v>6370</v>
      </c>
      <c r="B2345" s="4" t="s">
        <v>6357</v>
      </c>
      <c r="C2345" t="s">
        <v>6339</v>
      </c>
    </row>
    <row r="2346" spans="1:3" x14ac:dyDescent="0.3">
      <c r="A2346" t="s">
        <v>6370</v>
      </c>
      <c r="B2346" s="4" t="s">
        <v>6357</v>
      </c>
      <c r="C2346" t="s">
        <v>6339</v>
      </c>
    </row>
    <row r="2347" spans="1:3" x14ac:dyDescent="0.3">
      <c r="A2347" t="s">
        <v>6370</v>
      </c>
      <c r="B2347" s="4" t="s">
        <v>6357</v>
      </c>
      <c r="C2347" t="s">
        <v>6339</v>
      </c>
    </row>
    <row r="2348" spans="1:3" x14ac:dyDescent="0.3">
      <c r="A2348" t="s">
        <v>6370</v>
      </c>
      <c r="B2348" s="4" t="s">
        <v>6357</v>
      </c>
      <c r="C2348" t="s">
        <v>6339</v>
      </c>
    </row>
    <row r="2349" spans="1:3" x14ac:dyDescent="0.3">
      <c r="A2349" t="s">
        <v>6370</v>
      </c>
      <c r="B2349" s="4" t="s">
        <v>6357</v>
      </c>
      <c r="C2349" t="s">
        <v>6339</v>
      </c>
    </row>
    <row r="2350" spans="1:3" x14ac:dyDescent="0.3">
      <c r="A2350" t="s">
        <v>6370</v>
      </c>
      <c r="B2350" s="4" t="s">
        <v>6357</v>
      </c>
      <c r="C2350" t="s">
        <v>6339</v>
      </c>
    </row>
    <row r="2351" spans="1:3" x14ac:dyDescent="0.3">
      <c r="A2351" t="s">
        <v>6370</v>
      </c>
      <c r="B2351" s="4" t="s">
        <v>6357</v>
      </c>
      <c r="C2351" t="s">
        <v>6339</v>
      </c>
    </row>
    <row r="2352" spans="1:3" x14ac:dyDescent="0.3">
      <c r="A2352" t="s">
        <v>6370</v>
      </c>
      <c r="B2352" s="4" t="s">
        <v>6357</v>
      </c>
      <c r="C2352" t="s">
        <v>6339</v>
      </c>
    </row>
    <row r="2353" spans="1:3" x14ac:dyDescent="0.3">
      <c r="A2353" t="s">
        <v>6370</v>
      </c>
      <c r="B2353" s="4" t="s">
        <v>6357</v>
      </c>
      <c r="C2353" t="s">
        <v>6339</v>
      </c>
    </row>
    <row r="2354" spans="1:3" x14ac:dyDescent="0.3">
      <c r="A2354" t="s">
        <v>6370</v>
      </c>
      <c r="B2354" s="4" t="s">
        <v>6357</v>
      </c>
      <c r="C2354" t="s">
        <v>6339</v>
      </c>
    </row>
    <row r="2355" spans="1:3" x14ac:dyDescent="0.3">
      <c r="A2355" t="s">
        <v>6370</v>
      </c>
      <c r="B2355" s="4" t="s">
        <v>6357</v>
      </c>
      <c r="C2355" t="s">
        <v>6339</v>
      </c>
    </row>
    <row r="2356" spans="1:3" x14ac:dyDescent="0.3">
      <c r="A2356" t="s">
        <v>6370</v>
      </c>
      <c r="B2356" s="4" t="s">
        <v>6357</v>
      </c>
      <c r="C2356" t="s">
        <v>6339</v>
      </c>
    </row>
    <row r="2357" spans="1:3" x14ac:dyDescent="0.3">
      <c r="A2357" t="s">
        <v>6370</v>
      </c>
      <c r="B2357" s="4" t="s">
        <v>6357</v>
      </c>
      <c r="C2357" t="s">
        <v>6339</v>
      </c>
    </row>
    <row r="2358" spans="1:3" x14ac:dyDescent="0.3">
      <c r="A2358" t="s">
        <v>6370</v>
      </c>
      <c r="B2358" s="4" t="s">
        <v>6357</v>
      </c>
      <c r="C2358" t="s">
        <v>6339</v>
      </c>
    </row>
    <row r="2359" spans="1:3" x14ac:dyDescent="0.3">
      <c r="A2359" t="s">
        <v>6370</v>
      </c>
      <c r="B2359" s="4" t="s">
        <v>6357</v>
      </c>
      <c r="C2359" t="s">
        <v>6339</v>
      </c>
    </row>
    <row r="2360" spans="1:3" x14ac:dyDescent="0.3">
      <c r="A2360" t="s">
        <v>6370</v>
      </c>
      <c r="B2360" s="4" t="s">
        <v>6357</v>
      </c>
      <c r="C2360" t="s">
        <v>6339</v>
      </c>
    </row>
    <row r="2361" spans="1:3" x14ac:dyDescent="0.3">
      <c r="A2361" t="s">
        <v>6370</v>
      </c>
      <c r="B2361" s="4" t="s">
        <v>6357</v>
      </c>
      <c r="C2361" t="s">
        <v>6339</v>
      </c>
    </row>
    <row r="2362" spans="1:3" x14ac:dyDescent="0.3">
      <c r="A2362" t="s">
        <v>6370</v>
      </c>
      <c r="B2362" s="4" t="s">
        <v>6357</v>
      </c>
      <c r="C2362" t="s">
        <v>6339</v>
      </c>
    </row>
    <row r="2363" spans="1:3" x14ac:dyDescent="0.3">
      <c r="A2363" t="s">
        <v>6370</v>
      </c>
      <c r="B2363" s="4" t="s">
        <v>6357</v>
      </c>
      <c r="C2363" t="s">
        <v>6339</v>
      </c>
    </row>
    <row r="2364" spans="1:3" x14ac:dyDescent="0.3">
      <c r="A2364" t="s">
        <v>6370</v>
      </c>
      <c r="B2364" s="4" t="s">
        <v>6357</v>
      </c>
      <c r="C2364" t="s">
        <v>6339</v>
      </c>
    </row>
    <row r="2365" spans="1:3" x14ac:dyDescent="0.3">
      <c r="A2365" t="s">
        <v>6370</v>
      </c>
      <c r="B2365" s="4" t="s">
        <v>6357</v>
      </c>
      <c r="C2365" t="s">
        <v>6339</v>
      </c>
    </row>
    <row r="2366" spans="1:3" x14ac:dyDescent="0.3">
      <c r="A2366" t="s">
        <v>6370</v>
      </c>
      <c r="B2366" s="4" t="s">
        <v>6357</v>
      </c>
      <c r="C2366" t="s">
        <v>6339</v>
      </c>
    </row>
    <row r="2367" spans="1:3" x14ac:dyDescent="0.3">
      <c r="A2367" t="s">
        <v>6370</v>
      </c>
      <c r="B2367" s="4" t="s">
        <v>6357</v>
      </c>
      <c r="C2367" t="s">
        <v>6339</v>
      </c>
    </row>
    <row r="2368" spans="1:3" x14ac:dyDescent="0.3">
      <c r="A2368" t="s">
        <v>6370</v>
      </c>
      <c r="B2368" s="4" t="s">
        <v>6357</v>
      </c>
      <c r="C2368" t="s">
        <v>6339</v>
      </c>
    </row>
    <row r="2369" spans="1:3" x14ac:dyDescent="0.3">
      <c r="A2369" t="s">
        <v>6370</v>
      </c>
      <c r="B2369" s="4" t="s">
        <v>6357</v>
      </c>
      <c r="C2369" t="s">
        <v>6339</v>
      </c>
    </row>
    <row r="2370" spans="1:3" x14ac:dyDescent="0.3">
      <c r="A2370" t="s">
        <v>6370</v>
      </c>
      <c r="B2370" s="4" t="s">
        <v>6357</v>
      </c>
      <c r="C2370" t="s">
        <v>6339</v>
      </c>
    </row>
    <row r="2371" spans="1:3" x14ac:dyDescent="0.3">
      <c r="A2371" t="s">
        <v>6370</v>
      </c>
      <c r="B2371" s="4" t="s">
        <v>6357</v>
      </c>
      <c r="C2371" t="s">
        <v>6339</v>
      </c>
    </row>
    <row r="2372" spans="1:3" x14ac:dyDescent="0.3">
      <c r="A2372" t="s">
        <v>6370</v>
      </c>
      <c r="B2372" s="4" t="s">
        <v>6357</v>
      </c>
      <c r="C2372" t="s">
        <v>6339</v>
      </c>
    </row>
    <row r="2373" spans="1:3" x14ac:dyDescent="0.3">
      <c r="A2373" t="s">
        <v>6370</v>
      </c>
      <c r="B2373" s="4" t="s">
        <v>6365</v>
      </c>
      <c r="C2373" t="s">
        <v>6348</v>
      </c>
    </row>
    <row r="2374" spans="1:3" x14ac:dyDescent="0.3">
      <c r="A2374" t="s">
        <v>6370</v>
      </c>
      <c r="B2374" s="4" t="s">
        <v>6365</v>
      </c>
      <c r="C2374" t="s">
        <v>6339</v>
      </c>
    </row>
    <row r="2375" spans="1:3" x14ac:dyDescent="0.3">
      <c r="A2375" t="s">
        <v>6370</v>
      </c>
      <c r="B2375" s="4" t="s">
        <v>6365</v>
      </c>
      <c r="C2375" t="s">
        <v>6339</v>
      </c>
    </row>
    <row r="2376" spans="1:3" x14ac:dyDescent="0.3">
      <c r="A2376" t="s">
        <v>6370</v>
      </c>
      <c r="B2376" s="4" t="s">
        <v>6365</v>
      </c>
      <c r="C2376" t="s">
        <v>6339</v>
      </c>
    </row>
    <row r="2377" spans="1:3" x14ac:dyDescent="0.3">
      <c r="A2377" t="s">
        <v>6370</v>
      </c>
      <c r="B2377" s="4" t="s">
        <v>6365</v>
      </c>
      <c r="C2377" t="s">
        <v>6348</v>
      </c>
    </row>
    <row r="2378" spans="1:3" x14ac:dyDescent="0.3">
      <c r="A2378" t="s">
        <v>6370</v>
      </c>
      <c r="B2378" s="4" t="s">
        <v>6365</v>
      </c>
      <c r="C2378" t="s">
        <v>6348</v>
      </c>
    </row>
    <row r="2379" spans="1:3" x14ac:dyDescent="0.3">
      <c r="A2379" t="s">
        <v>6370</v>
      </c>
      <c r="B2379" s="4" t="s">
        <v>6365</v>
      </c>
      <c r="C2379" t="s">
        <v>6348</v>
      </c>
    </row>
    <row r="2380" spans="1:3" x14ac:dyDescent="0.3">
      <c r="A2380" t="s">
        <v>6370</v>
      </c>
      <c r="B2380" s="4" t="s">
        <v>6365</v>
      </c>
      <c r="C2380" t="s">
        <v>6348</v>
      </c>
    </row>
    <row r="2381" spans="1:3" x14ac:dyDescent="0.3">
      <c r="A2381" t="s">
        <v>6370</v>
      </c>
      <c r="B2381" s="4" t="s">
        <v>6365</v>
      </c>
      <c r="C2381" t="s">
        <v>6339</v>
      </c>
    </row>
    <row r="2382" spans="1:3" x14ac:dyDescent="0.3">
      <c r="A2382" t="s">
        <v>6370</v>
      </c>
      <c r="B2382" s="4" t="s">
        <v>6365</v>
      </c>
      <c r="C2382" t="s">
        <v>6348</v>
      </c>
    </row>
    <row r="2383" spans="1:3" x14ac:dyDescent="0.3">
      <c r="A2383" t="s">
        <v>6370</v>
      </c>
      <c r="B2383" s="4" t="s">
        <v>6365</v>
      </c>
      <c r="C2383" t="s">
        <v>6348</v>
      </c>
    </row>
    <row r="2384" spans="1:3" x14ac:dyDescent="0.3">
      <c r="A2384" t="s">
        <v>6370</v>
      </c>
      <c r="B2384" s="4" t="s">
        <v>6365</v>
      </c>
      <c r="C2384" t="s">
        <v>6348</v>
      </c>
    </row>
    <row r="2385" spans="1:3" x14ac:dyDescent="0.3">
      <c r="A2385" t="s">
        <v>6370</v>
      </c>
      <c r="B2385" s="4" t="s">
        <v>6365</v>
      </c>
      <c r="C2385" t="s">
        <v>6348</v>
      </c>
    </row>
    <row r="2386" spans="1:3" x14ac:dyDescent="0.3">
      <c r="A2386" t="s">
        <v>6370</v>
      </c>
      <c r="B2386" s="4" t="s">
        <v>6365</v>
      </c>
      <c r="C2386" t="s">
        <v>6348</v>
      </c>
    </row>
    <row r="2387" spans="1:3" x14ac:dyDescent="0.3">
      <c r="A2387" t="s">
        <v>6370</v>
      </c>
      <c r="B2387" s="4" t="s">
        <v>6365</v>
      </c>
      <c r="C2387" t="s">
        <v>6348</v>
      </c>
    </row>
    <row r="2388" spans="1:3" x14ac:dyDescent="0.3">
      <c r="A2388" t="s">
        <v>6370</v>
      </c>
      <c r="B2388" s="4" t="s">
        <v>6365</v>
      </c>
      <c r="C2388" t="s">
        <v>6348</v>
      </c>
    </row>
    <row r="2389" spans="1:3" x14ac:dyDescent="0.3">
      <c r="A2389" t="s">
        <v>6370</v>
      </c>
      <c r="B2389" s="4" t="s">
        <v>6368</v>
      </c>
      <c r="C2389" t="s">
        <v>6339</v>
      </c>
    </row>
    <row r="2390" spans="1:3" x14ac:dyDescent="0.3">
      <c r="A2390" t="s">
        <v>6370</v>
      </c>
      <c r="B2390" s="4" t="s">
        <v>6368</v>
      </c>
      <c r="C2390" t="s">
        <v>6339</v>
      </c>
    </row>
    <row r="2391" spans="1:3" x14ac:dyDescent="0.3">
      <c r="A2391" t="s">
        <v>6370</v>
      </c>
      <c r="B2391" s="4" t="s">
        <v>6368</v>
      </c>
      <c r="C2391" t="s">
        <v>6348</v>
      </c>
    </row>
    <row r="2392" spans="1:3" x14ac:dyDescent="0.3">
      <c r="A2392" t="s">
        <v>6370</v>
      </c>
      <c r="B2392" s="4" t="s">
        <v>6368</v>
      </c>
      <c r="C2392" t="s">
        <v>6348</v>
      </c>
    </row>
    <row r="2393" spans="1:3" x14ac:dyDescent="0.3">
      <c r="A2393" t="s">
        <v>6370</v>
      </c>
      <c r="B2393" s="4" t="s">
        <v>6368</v>
      </c>
      <c r="C2393" t="s">
        <v>6348</v>
      </c>
    </row>
    <row r="2394" spans="1:3" x14ac:dyDescent="0.3">
      <c r="A2394" t="s">
        <v>6370</v>
      </c>
      <c r="B2394" s="4" t="s">
        <v>6368</v>
      </c>
      <c r="C2394" t="s">
        <v>6348</v>
      </c>
    </row>
    <row r="2395" spans="1:3" x14ac:dyDescent="0.3">
      <c r="A2395" t="s">
        <v>6370</v>
      </c>
      <c r="B2395" s="4" t="s">
        <v>6368</v>
      </c>
      <c r="C2395" t="s">
        <v>958</v>
      </c>
    </row>
    <row r="2396" spans="1:3" x14ac:dyDescent="0.3">
      <c r="A2396" t="s">
        <v>6370</v>
      </c>
      <c r="B2396" s="4" t="s">
        <v>6368</v>
      </c>
      <c r="C2396" t="s">
        <v>958</v>
      </c>
    </row>
    <row r="2397" spans="1:3" x14ac:dyDescent="0.3">
      <c r="A2397" t="s">
        <v>6370</v>
      </c>
      <c r="B2397" s="4" t="s">
        <v>6368</v>
      </c>
      <c r="C2397" t="s">
        <v>6348</v>
      </c>
    </row>
    <row r="2398" spans="1:3" x14ac:dyDescent="0.3">
      <c r="A2398" t="s">
        <v>6370</v>
      </c>
      <c r="B2398" s="4" t="s">
        <v>6368</v>
      </c>
      <c r="C2398" t="s">
        <v>6348</v>
      </c>
    </row>
    <row r="2399" spans="1:3" x14ac:dyDescent="0.3">
      <c r="A2399" t="s">
        <v>6370</v>
      </c>
      <c r="B2399" s="4" t="s">
        <v>6368</v>
      </c>
      <c r="C2399" t="s">
        <v>6339</v>
      </c>
    </row>
    <row r="2400" spans="1:3" x14ac:dyDescent="0.3">
      <c r="A2400" t="s">
        <v>6370</v>
      </c>
      <c r="B2400" s="4" t="s">
        <v>6368</v>
      </c>
      <c r="C2400" t="s">
        <v>6348</v>
      </c>
    </row>
    <row r="2401" spans="1:3" x14ac:dyDescent="0.3">
      <c r="A2401" t="s">
        <v>6370</v>
      </c>
      <c r="B2401" s="4" t="s">
        <v>6368</v>
      </c>
      <c r="C2401" t="s">
        <v>6339</v>
      </c>
    </row>
    <row r="2402" spans="1:3" x14ac:dyDescent="0.3">
      <c r="A2402" t="s">
        <v>6370</v>
      </c>
      <c r="B2402" s="4" t="s">
        <v>6368</v>
      </c>
      <c r="C2402" t="s">
        <v>958</v>
      </c>
    </row>
    <row r="2403" spans="1:3" x14ac:dyDescent="0.3">
      <c r="A2403" t="s">
        <v>6370</v>
      </c>
      <c r="B2403" s="4" t="s">
        <v>6368</v>
      </c>
      <c r="C2403" t="s">
        <v>958</v>
      </c>
    </row>
    <row r="2404" spans="1:3" x14ac:dyDescent="0.3">
      <c r="A2404" t="s">
        <v>6370</v>
      </c>
      <c r="B2404" s="4" t="s">
        <v>6368</v>
      </c>
      <c r="C2404" t="s">
        <v>958</v>
      </c>
    </row>
    <row r="2405" spans="1:3" x14ac:dyDescent="0.3">
      <c r="A2405" t="s">
        <v>6370</v>
      </c>
      <c r="B2405" s="4" t="s">
        <v>6368</v>
      </c>
      <c r="C2405" t="s">
        <v>6339</v>
      </c>
    </row>
    <row r="2406" spans="1:3" x14ac:dyDescent="0.3">
      <c r="A2406" t="s">
        <v>6370</v>
      </c>
      <c r="B2406" s="4" t="s">
        <v>6368</v>
      </c>
      <c r="C2406" t="s">
        <v>6348</v>
      </c>
    </row>
    <row r="2407" spans="1:3" x14ac:dyDescent="0.3">
      <c r="A2407" t="s">
        <v>6370</v>
      </c>
      <c r="B2407" s="4" t="s">
        <v>6368</v>
      </c>
      <c r="C2407" t="s">
        <v>6339</v>
      </c>
    </row>
    <row r="2408" spans="1:3" x14ac:dyDescent="0.3">
      <c r="A2408" t="s">
        <v>6370</v>
      </c>
      <c r="B2408" s="4" t="s">
        <v>6368</v>
      </c>
      <c r="C2408" t="s">
        <v>6339</v>
      </c>
    </row>
    <row r="2409" spans="1:3" x14ac:dyDescent="0.3">
      <c r="A2409" t="s">
        <v>6370</v>
      </c>
      <c r="B2409" s="4" t="s">
        <v>6368</v>
      </c>
      <c r="C2409" t="s">
        <v>6339</v>
      </c>
    </row>
    <row r="2410" spans="1:3" x14ac:dyDescent="0.3">
      <c r="A2410" t="s">
        <v>6370</v>
      </c>
      <c r="B2410" s="4" t="s">
        <v>6368</v>
      </c>
      <c r="C2410" t="s">
        <v>6339</v>
      </c>
    </row>
    <row r="2411" spans="1:3" x14ac:dyDescent="0.3">
      <c r="A2411" t="s">
        <v>6370</v>
      </c>
      <c r="B2411" s="4" t="s">
        <v>6368</v>
      </c>
      <c r="C2411" t="s">
        <v>6339</v>
      </c>
    </row>
    <row r="2412" spans="1:3" x14ac:dyDescent="0.3">
      <c r="A2412" t="s">
        <v>6370</v>
      </c>
      <c r="B2412" s="4" t="s">
        <v>6368</v>
      </c>
      <c r="C2412" t="s">
        <v>6339</v>
      </c>
    </row>
    <row r="2413" spans="1:3" x14ac:dyDescent="0.3">
      <c r="A2413" t="s">
        <v>6370</v>
      </c>
      <c r="B2413" s="4" t="s">
        <v>6368</v>
      </c>
      <c r="C2413" t="s">
        <v>6348</v>
      </c>
    </row>
    <row r="2414" spans="1:3" x14ac:dyDescent="0.3">
      <c r="A2414" t="s">
        <v>6370</v>
      </c>
      <c r="B2414" s="4" t="s">
        <v>6368</v>
      </c>
      <c r="C2414" t="s">
        <v>6348</v>
      </c>
    </row>
    <row r="2415" spans="1:3" x14ac:dyDescent="0.3">
      <c r="A2415" t="s">
        <v>6370</v>
      </c>
      <c r="B2415" s="4" t="s">
        <v>6368</v>
      </c>
      <c r="C2415" t="s">
        <v>6348</v>
      </c>
    </row>
    <row r="2416" spans="1:3" x14ac:dyDescent="0.3">
      <c r="A2416" t="s">
        <v>6370</v>
      </c>
      <c r="B2416" s="4" t="s">
        <v>6368</v>
      </c>
      <c r="C2416" t="s">
        <v>6339</v>
      </c>
    </row>
    <row r="2417" spans="1:3" x14ac:dyDescent="0.3">
      <c r="A2417" t="s">
        <v>6370</v>
      </c>
      <c r="B2417" s="4" t="s">
        <v>6368</v>
      </c>
      <c r="C2417" t="s">
        <v>6339</v>
      </c>
    </row>
    <row r="2418" spans="1:3" x14ac:dyDescent="0.3">
      <c r="A2418" t="s">
        <v>6370</v>
      </c>
      <c r="B2418" s="4" t="s">
        <v>6368</v>
      </c>
      <c r="C2418" t="s">
        <v>958</v>
      </c>
    </row>
    <row r="2419" spans="1:3" x14ac:dyDescent="0.3">
      <c r="A2419" t="s">
        <v>6370</v>
      </c>
      <c r="B2419" s="4" t="s">
        <v>6368</v>
      </c>
      <c r="C2419" t="s">
        <v>6348</v>
      </c>
    </row>
    <row r="2420" spans="1:3" x14ac:dyDescent="0.3">
      <c r="A2420" t="s">
        <v>6370</v>
      </c>
      <c r="B2420" s="4" t="s">
        <v>6372</v>
      </c>
      <c r="C2420" t="s">
        <v>6348</v>
      </c>
    </row>
    <row r="2421" spans="1:3" x14ac:dyDescent="0.3">
      <c r="A2421" t="s">
        <v>6370</v>
      </c>
      <c r="B2421" s="4" t="s">
        <v>6372</v>
      </c>
      <c r="C2421" t="s">
        <v>6339</v>
      </c>
    </row>
    <row r="2422" spans="1:3" x14ac:dyDescent="0.3">
      <c r="A2422" t="s">
        <v>6370</v>
      </c>
      <c r="B2422" s="4" t="s">
        <v>6372</v>
      </c>
      <c r="C2422" t="s">
        <v>6339</v>
      </c>
    </row>
    <row r="2423" spans="1:3" x14ac:dyDescent="0.3">
      <c r="A2423" t="s">
        <v>6370</v>
      </c>
      <c r="B2423" s="4" t="s">
        <v>6372</v>
      </c>
      <c r="C2423" t="s">
        <v>6345</v>
      </c>
    </row>
    <row r="2424" spans="1:3" x14ac:dyDescent="0.3">
      <c r="A2424" t="s">
        <v>6370</v>
      </c>
      <c r="B2424" s="4" t="s">
        <v>6372</v>
      </c>
      <c r="C2424" t="s">
        <v>6348</v>
      </c>
    </row>
    <row r="2425" spans="1:3" x14ac:dyDescent="0.3">
      <c r="A2425" t="s">
        <v>6370</v>
      </c>
      <c r="B2425" s="4" t="s">
        <v>6372</v>
      </c>
      <c r="C2425" t="s">
        <v>6348</v>
      </c>
    </row>
    <row r="2426" spans="1:3" x14ac:dyDescent="0.3">
      <c r="A2426" t="s">
        <v>6370</v>
      </c>
      <c r="B2426" s="4" t="s">
        <v>6372</v>
      </c>
      <c r="C2426" t="s">
        <v>6339</v>
      </c>
    </row>
    <row r="2427" spans="1:3" x14ac:dyDescent="0.3">
      <c r="A2427" t="s">
        <v>6370</v>
      </c>
      <c r="B2427" s="4" t="s">
        <v>6372</v>
      </c>
      <c r="C2427" t="s">
        <v>6339</v>
      </c>
    </row>
    <row r="2428" spans="1:3" x14ac:dyDescent="0.3">
      <c r="A2428" t="s">
        <v>6370</v>
      </c>
      <c r="B2428" s="4" t="s">
        <v>6372</v>
      </c>
      <c r="C2428" t="s">
        <v>6339</v>
      </c>
    </row>
    <row r="2429" spans="1:3" x14ac:dyDescent="0.3">
      <c r="A2429" t="s">
        <v>6370</v>
      </c>
      <c r="B2429" s="4" t="s">
        <v>6372</v>
      </c>
      <c r="C2429" t="s">
        <v>6339</v>
      </c>
    </row>
    <row r="2430" spans="1:3" x14ac:dyDescent="0.3">
      <c r="A2430" t="s">
        <v>6370</v>
      </c>
      <c r="B2430" s="4" t="s">
        <v>6372</v>
      </c>
      <c r="C2430" t="s">
        <v>6339</v>
      </c>
    </row>
    <row r="2431" spans="1:3" x14ac:dyDescent="0.3">
      <c r="A2431" t="s">
        <v>6370</v>
      </c>
      <c r="B2431" s="4" t="s">
        <v>6372</v>
      </c>
      <c r="C2431" t="s">
        <v>6339</v>
      </c>
    </row>
    <row r="2432" spans="1:3" x14ac:dyDescent="0.3">
      <c r="A2432" t="s">
        <v>6370</v>
      </c>
      <c r="B2432" s="4" t="s">
        <v>6372</v>
      </c>
      <c r="C2432" t="s">
        <v>6339</v>
      </c>
    </row>
    <row r="2433" spans="1:3" x14ac:dyDescent="0.3">
      <c r="A2433" t="s">
        <v>6370</v>
      </c>
      <c r="B2433" s="4" t="s">
        <v>6372</v>
      </c>
      <c r="C2433" t="s">
        <v>6339</v>
      </c>
    </row>
    <row r="2434" spans="1:3" x14ac:dyDescent="0.3">
      <c r="A2434" t="s">
        <v>6370</v>
      </c>
      <c r="B2434" s="4" t="s">
        <v>6372</v>
      </c>
      <c r="C2434" t="s">
        <v>6339</v>
      </c>
    </row>
    <row r="2435" spans="1:3" x14ac:dyDescent="0.3">
      <c r="A2435" t="s">
        <v>6370</v>
      </c>
      <c r="B2435" s="4" t="s">
        <v>6372</v>
      </c>
      <c r="C2435" t="s">
        <v>6339</v>
      </c>
    </row>
    <row r="2436" spans="1:3" x14ac:dyDescent="0.3">
      <c r="A2436" t="s">
        <v>6370</v>
      </c>
      <c r="B2436" s="4" t="s">
        <v>6372</v>
      </c>
      <c r="C2436" t="s">
        <v>6339</v>
      </c>
    </row>
    <row r="2437" spans="1:3" x14ac:dyDescent="0.3">
      <c r="A2437" t="s">
        <v>6370</v>
      </c>
      <c r="B2437" s="4" t="s">
        <v>6372</v>
      </c>
      <c r="C2437" t="s">
        <v>6339</v>
      </c>
    </row>
    <row r="2438" spans="1:3" x14ac:dyDescent="0.3">
      <c r="A2438" t="s">
        <v>6370</v>
      </c>
      <c r="B2438" s="4" t="s">
        <v>6372</v>
      </c>
      <c r="C2438" t="s">
        <v>6339</v>
      </c>
    </row>
    <row r="2439" spans="1:3" x14ac:dyDescent="0.3">
      <c r="A2439" t="s">
        <v>6370</v>
      </c>
      <c r="B2439" s="4" t="s">
        <v>6372</v>
      </c>
      <c r="C2439" t="s">
        <v>6339</v>
      </c>
    </row>
    <row r="2440" spans="1:3" x14ac:dyDescent="0.3">
      <c r="A2440" t="s">
        <v>6370</v>
      </c>
      <c r="B2440" s="4" t="s">
        <v>6372</v>
      </c>
      <c r="C2440" t="s">
        <v>6339</v>
      </c>
    </row>
    <row r="2441" spans="1:3" x14ac:dyDescent="0.3">
      <c r="A2441" t="s">
        <v>6370</v>
      </c>
      <c r="B2441" s="4" t="s">
        <v>6372</v>
      </c>
      <c r="C2441" t="s">
        <v>6339</v>
      </c>
    </row>
    <row r="2442" spans="1:3" x14ac:dyDescent="0.3">
      <c r="A2442" t="s">
        <v>6370</v>
      </c>
      <c r="B2442" s="4" t="s">
        <v>6372</v>
      </c>
      <c r="C2442" t="s">
        <v>6339</v>
      </c>
    </row>
    <row r="2443" spans="1:3" x14ac:dyDescent="0.3">
      <c r="A2443" t="s">
        <v>6370</v>
      </c>
      <c r="B2443" s="4" t="s">
        <v>6372</v>
      </c>
      <c r="C2443" t="s">
        <v>6339</v>
      </c>
    </row>
    <row r="2444" spans="1:3" x14ac:dyDescent="0.3">
      <c r="A2444" t="s">
        <v>6370</v>
      </c>
      <c r="B2444" s="4" t="s">
        <v>6372</v>
      </c>
      <c r="C2444" t="s">
        <v>6339</v>
      </c>
    </row>
    <row r="2445" spans="1:3" x14ac:dyDescent="0.3">
      <c r="A2445" t="s">
        <v>6370</v>
      </c>
      <c r="B2445" s="4" t="s">
        <v>6372</v>
      </c>
      <c r="C2445" t="s">
        <v>6339</v>
      </c>
    </row>
    <row r="2446" spans="1:3" x14ac:dyDescent="0.3">
      <c r="A2446" t="s">
        <v>6370</v>
      </c>
      <c r="B2446" s="4" t="s">
        <v>6372</v>
      </c>
      <c r="C2446" t="s">
        <v>6339</v>
      </c>
    </row>
    <row r="2447" spans="1:3" x14ac:dyDescent="0.3">
      <c r="A2447" t="s">
        <v>6370</v>
      </c>
      <c r="B2447" s="4" t="s">
        <v>6372</v>
      </c>
      <c r="C2447" t="s">
        <v>6339</v>
      </c>
    </row>
    <row r="2448" spans="1:3" x14ac:dyDescent="0.3">
      <c r="A2448" t="s">
        <v>6370</v>
      </c>
      <c r="B2448" s="4" t="s">
        <v>6372</v>
      </c>
      <c r="C2448" t="s">
        <v>6339</v>
      </c>
    </row>
    <row r="2449" spans="1:3" x14ac:dyDescent="0.3">
      <c r="A2449" t="s">
        <v>6370</v>
      </c>
      <c r="B2449" s="4" t="s">
        <v>6372</v>
      </c>
      <c r="C2449" t="s">
        <v>6339</v>
      </c>
    </row>
    <row r="2450" spans="1:3" x14ac:dyDescent="0.3">
      <c r="A2450" t="s">
        <v>6370</v>
      </c>
      <c r="B2450" s="4" t="s">
        <v>6372</v>
      </c>
      <c r="C2450" t="s">
        <v>6339</v>
      </c>
    </row>
    <row r="2451" spans="1:3" x14ac:dyDescent="0.3">
      <c r="A2451" t="s">
        <v>6370</v>
      </c>
      <c r="B2451" s="4" t="s">
        <v>6372</v>
      </c>
      <c r="C2451" t="s">
        <v>6339</v>
      </c>
    </row>
    <row r="2452" spans="1:3" x14ac:dyDescent="0.3">
      <c r="A2452" t="s">
        <v>6370</v>
      </c>
      <c r="B2452" s="4" t="s">
        <v>6372</v>
      </c>
      <c r="C2452" t="s">
        <v>6339</v>
      </c>
    </row>
    <row r="2453" spans="1:3" x14ac:dyDescent="0.3">
      <c r="A2453" t="s">
        <v>6370</v>
      </c>
      <c r="B2453" s="4" t="s">
        <v>6372</v>
      </c>
      <c r="C2453" t="s">
        <v>6339</v>
      </c>
    </row>
    <row r="2454" spans="1:3" x14ac:dyDescent="0.3">
      <c r="A2454" t="s">
        <v>6370</v>
      </c>
      <c r="B2454" s="4" t="s">
        <v>6372</v>
      </c>
      <c r="C2454" t="s">
        <v>6339</v>
      </c>
    </row>
    <row r="2455" spans="1:3" x14ac:dyDescent="0.3">
      <c r="A2455" t="s">
        <v>6370</v>
      </c>
      <c r="B2455" s="4" t="s">
        <v>6372</v>
      </c>
      <c r="C2455" t="s">
        <v>6339</v>
      </c>
    </row>
    <row r="2456" spans="1:3" x14ac:dyDescent="0.3">
      <c r="A2456" t="s">
        <v>6370</v>
      </c>
      <c r="B2456" s="4" t="s">
        <v>6372</v>
      </c>
      <c r="C2456" t="s">
        <v>6339</v>
      </c>
    </row>
    <row r="2457" spans="1:3" x14ac:dyDescent="0.3">
      <c r="A2457" t="s">
        <v>6370</v>
      </c>
      <c r="B2457" s="4" t="s">
        <v>6372</v>
      </c>
      <c r="C2457" t="s">
        <v>6339</v>
      </c>
    </row>
    <row r="2458" spans="1:3" x14ac:dyDescent="0.3">
      <c r="A2458" t="s">
        <v>6370</v>
      </c>
      <c r="B2458" s="4" t="s">
        <v>6372</v>
      </c>
      <c r="C2458" t="s">
        <v>6348</v>
      </c>
    </row>
    <row r="2459" spans="1:3" x14ac:dyDescent="0.3">
      <c r="A2459" t="s">
        <v>6370</v>
      </c>
      <c r="B2459" s="4" t="s">
        <v>6372</v>
      </c>
      <c r="C2459" t="s">
        <v>6339</v>
      </c>
    </row>
    <row r="2460" spans="1:3" x14ac:dyDescent="0.3">
      <c r="A2460" t="s">
        <v>6370</v>
      </c>
      <c r="B2460" s="4" t="s">
        <v>6372</v>
      </c>
      <c r="C2460" t="s">
        <v>6339</v>
      </c>
    </row>
    <row r="2461" spans="1:3" x14ac:dyDescent="0.3">
      <c r="A2461" t="s">
        <v>6370</v>
      </c>
      <c r="B2461" s="4" t="s">
        <v>6372</v>
      </c>
      <c r="C2461" t="s">
        <v>6339</v>
      </c>
    </row>
    <row r="2462" spans="1:3" x14ac:dyDescent="0.3">
      <c r="A2462" t="s">
        <v>6370</v>
      </c>
      <c r="B2462" s="4" t="s">
        <v>6372</v>
      </c>
      <c r="C2462" t="s">
        <v>6345</v>
      </c>
    </row>
    <row r="2463" spans="1:3" x14ac:dyDescent="0.3">
      <c r="A2463" t="s">
        <v>6370</v>
      </c>
      <c r="B2463" s="4" t="s">
        <v>6372</v>
      </c>
      <c r="C2463" t="s">
        <v>6339</v>
      </c>
    </row>
    <row r="2464" spans="1:3" x14ac:dyDescent="0.3">
      <c r="A2464" t="s">
        <v>6370</v>
      </c>
      <c r="B2464" s="4" t="s">
        <v>6372</v>
      </c>
      <c r="C2464" t="s">
        <v>6339</v>
      </c>
    </row>
    <row r="2465" spans="1:3" x14ac:dyDescent="0.3">
      <c r="A2465" t="s">
        <v>6370</v>
      </c>
      <c r="B2465" s="4" t="s">
        <v>6372</v>
      </c>
      <c r="C2465" t="s">
        <v>6339</v>
      </c>
    </row>
    <row r="2466" spans="1:3" x14ac:dyDescent="0.3">
      <c r="A2466" t="s">
        <v>6370</v>
      </c>
      <c r="B2466" s="4" t="s">
        <v>6372</v>
      </c>
      <c r="C2466" t="s">
        <v>6339</v>
      </c>
    </row>
    <row r="2467" spans="1:3" x14ac:dyDescent="0.3">
      <c r="A2467" t="s">
        <v>6370</v>
      </c>
      <c r="B2467" s="4" t="s">
        <v>6372</v>
      </c>
      <c r="C2467" t="s">
        <v>6339</v>
      </c>
    </row>
    <row r="2468" spans="1:3" x14ac:dyDescent="0.3">
      <c r="A2468" t="s">
        <v>6370</v>
      </c>
      <c r="B2468" s="4" t="s">
        <v>6372</v>
      </c>
      <c r="C2468" t="s">
        <v>6339</v>
      </c>
    </row>
    <row r="2469" spans="1:3" x14ac:dyDescent="0.3">
      <c r="A2469" t="s">
        <v>6370</v>
      </c>
      <c r="B2469" s="4" t="s">
        <v>6372</v>
      </c>
      <c r="C2469" t="s">
        <v>6339</v>
      </c>
    </row>
    <row r="2470" spans="1:3" x14ac:dyDescent="0.3">
      <c r="A2470" t="s">
        <v>6370</v>
      </c>
      <c r="B2470" s="4" t="s">
        <v>6372</v>
      </c>
      <c r="C2470" t="s">
        <v>6339</v>
      </c>
    </row>
    <row r="2471" spans="1:3" x14ac:dyDescent="0.3">
      <c r="A2471" t="s">
        <v>6370</v>
      </c>
      <c r="B2471" s="4" t="s">
        <v>6372</v>
      </c>
      <c r="C2471" t="s">
        <v>6339</v>
      </c>
    </row>
    <row r="2472" spans="1:3" x14ac:dyDescent="0.3">
      <c r="A2472" t="s">
        <v>6370</v>
      </c>
      <c r="B2472" s="4" t="s">
        <v>6372</v>
      </c>
      <c r="C2472" t="s">
        <v>6348</v>
      </c>
    </row>
    <row r="2473" spans="1:3" x14ac:dyDescent="0.3">
      <c r="A2473" t="s">
        <v>6370</v>
      </c>
      <c r="B2473" s="4" t="s">
        <v>6372</v>
      </c>
      <c r="C2473" t="s">
        <v>6339</v>
      </c>
    </row>
    <row r="2474" spans="1:3" x14ac:dyDescent="0.3">
      <c r="A2474" t="s">
        <v>6370</v>
      </c>
      <c r="B2474" s="4" t="s">
        <v>6372</v>
      </c>
      <c r="C2474" t="s">
        <v>6339</v>
      </c>
    </row>
    <row r="2475" spans="1:3" x14ac:dyDescent="0.3">
      <c r="A2475" t="s">
        <v>6370</v>
      </c>
      <c r="B2475" s="4" t="s">
        <v>6372</v>
      </c>
      <c r="C2475" t="s">
        <v>6339</v>
      </c>
    </row>
    <row r="2476" spans="1:3" x14ac:dyDescent="0.3">
      <c r="A2476" t="s">
        <v>6370</v>
      </c>
      <c r="B2476" s="4" t="s">
        <v>6372</v>
      </c>
      <c r="C2476" t="s">
        <v>6348</v>
      </c>
    </row>
    <row r="2477" spans="1:3" x14ac:dyDescent="0.3">
      <c r="A2477" t="s">
        <v>6370</v>
      </c>
      <c r="B2477" s="4" t="s">
        <v>6372</v>
      </c>
      <c r="C2477" t="s">
        <v>6348</v>
      </c>
    </row>
    <row r="2478" spans="1:3" x14ac:dyDescent="0.3">
      <c r="A2478" t="s">
        <v>6370</v>
      </c>
      <c r="B2478" s="4" t="s">
        <v>6372</v>
      </c>
      <c r="C2478" t="s">
        <v>6348</v>
      </c>
    </row>
    <row r="2479" spans="1:3" x14ac:dyDescent="0.3">
      <c r="A2479" t="s">
        <v>6370</v>
      </c>
      <c r="B2479" s="4" t="s">
        <v>6372</v>
      </c>
      <c r="C2479" t="s">
        <v>6348</v>
      </c>
    </row>
    <row r="2480" spans="1:3" x14ac:dyDescent="0.3">
      <c r="A2480" t="s">
        <v>6370</v>
      </c>
      <c r="B2480" s="4" t="s">
        <v>6372</v>
      </c>
      <c r="C2480" t="s">
        <v>6348</v>
      </c>
    </row>
    <row r="2481" spans="1:3" x14ac:dyDescent="0.3">
      <c r="A2481" t="s">
        <v>6370</v>
      </c>
      <c r="B2481" s="4" t="s">
        <v>6372</v>
      </c>
      <c r="C2481" t="s">
        <v>6348</v>
      </c>
    </row>
    <row r="2482" spans="1:3" x14ac:dyDescent="0.3">
      <c r="A2482" t="s">
        <v>6370</v>
      </c>
      <c r="B2482" s="4" t="s">
        <v>6372</v>
      </c>
      <c r="C2482" t="s">
        <v>6348</v>
      </c>
    </row>
    <row r="2483" spans="1:3" x14ac:dyDescent="0.3">
      <c r="A2483" t="s">
        <v>6370</v>
      </c>
      <c r="B2483" s="4" t="s">
        <v>6372</v>
      </c>
      <c r="C2483" t="s">
        <v>6348</v>
      </c>
    </row>
    <row r="2484" spans="1:3" x14ac:dyDescent="0.3">
      <c r="A2484" t="s">
        <v>6370</v>
      </c>
      <c r="B2484" s="4" t="s">
        <v>6372</v>
      </c>
      <c r="C2484" t="s">
        <v>6348</v>
      </c>
    </row>
    <row r="2485" spans="1:3" x14ac:dyDescent="0.3">
      <c r="A2485" t="s">
        <v>6370</v>
      </c>
      <c r="B2485" s="4" t="s">
        <v>6372</v>
      </c>
      <c r="C2485" t="s">
        <v>6348</v>
      </c>
    </row>
    <row r="2486" spans="1:3" x14ac:dyDescent="0.3">
      <c r="A2486" t="s">
        <v>6370</v>
      </c>
      <c r="B2486" s="4" t="s">
        <v>6372</v>
      </c>
      <c r="C2486" t="s">
        <v>6348</v>
      </c>
    </row>
    <row r="2487" spans="1:3" x14ac:dyDescent="0.3">
      <c r="A2487" t="s">
        <v>6370</v>
      </c>
      <c r="B2487" s="4" t="s">
        <v>6372</v>
      </c>
      <c r="C2487" t="s">
        <v>6348</v>
      </c>
    </row>
    <row r="2488" spans="1:3" x14ac:dyDescent="0.3">
      <c r="A2488" t="s">
        <v>6370</v>
      </c>
      <c r="B2488" s="4" t="s">
        <v>6372</v>
      </c>
      <c r="C2488" t="s">
        <v>6348</v>
      </c>
    </row>
    <row r="2489" spans="1:3" x14ac:dyDescent="0.3">
      <c r="A2489" t="s">
        <v>6370</v>
      </c>
      <c r="B2489" s="4" t="s">
        <v>6372</v>
      </c>
      <c r="C2489" t="s">
        <v>6348</v>
      </c>
    </row>
    <row r="2490" spans="1:3" x14ac:dyDescent="0.3">
      <c r="A2490" t="s">
        <v>6370</v>
      </c>
      <c r="B2490" s="4" t="s">
        <v>6372</v>
      </c>
      <c r="C2490" t="s">
        <v>6348</v>
      </c>
    </row>
    <row r="2491" spans="1:3" x14ac:dyDescent="0.3">
      <c r="A2491" t="s">
        <v>6370</v>
      </c>
      <c r="B2491" s="4" t="s">
        <v>6372</v>
      </c>
      <c r="C2491" t="s">
        <v>6348</v>
      </c>
    </row>
    <row r="2492" spans="1:3" x14ac:dyDescent="0.3">
      <c r="A2492" t="s">
        <v>6370</v>
      </c>
      <c r="B2492" s="4" t="s">
        <v>6372</v>
      </c>
      <c r="C2492" t="s">
        <v>6348</v>
      </c>
    </row>
    <row r="2493" spans="1:3" x14ac:dyDescent="0.3">
      <c r="A2493" t="s">
        <v>6370</v>
      </c>
      <c r="B2493" s="4" t="s">
        <v>6372</v>
      </c>
      <c r="C2493" t="s">
        <v>6348</v>
      </c>
    </row>
    <row r="2494" spans="1:3" x14ac:dyDescent="0.3">
      <c r="A2494" t="s">
        <v>6370</v>
      </c>
      <c r="B2494" s="4" t="s">
        <v>6372</v>
      </c>
      <c r="C2494" t="s">
        <v>6348</v>
      </c>
    </row>
    <row r="2495" spans="1:3" x14ac:dyDescent="0.3">
      <c r="A2495" t="s">
        <v>6370</v>
      </c>
      <c r="B2495" s="4" t="s">
        <v>6372</v>
      </c>
      <c r="C2495" t="s">
        <v>6348</v>
      </c>
    </row>
    <row r="2496" spans="1:3" x14ac:dyDescent="0.3">
      <c r="A2496" t="s">
        <v>6370</v>
      </c>
      <c r="B2496" s="4" t="s">
        <v>6372</v>
      </c>
      <c r="C2496" t="s">
        <v>6348</v>
      </c>
    </row>
    <row r="2497" spans="1:3" x14ac:dyDescent="0.3">
      <c r="A2497" t="s">
        <v>6370</v>
      </c>
      <c r="B2497" s="4" t="s">
        <v>6372</v>
      </c>
      <c r="C2497" t="s">
        <v>6348</v>
      </c>
    </row>
    <row r="2498" spans="1:3" x14ac:dyDescent="0.3">
      <c r="A2498" t="s">
        <v>6370</v>
      </c>
      <c r="B2498" s="4" t="s">
        <v>6372</v>
      </c>
      <c r="C2498" t="s">
        <v>6348</v>
      </c>
    </row>
    <row r="2499" spans="1:3" x14ac:dyDescent="0.3">
      <c r="A2499" t="s">
        <v>6370</v>
      </c>
      <c r="B2499" s="4" t="s">
        <v>6372</v>
      </c>
      <c r="C2499" t="s">
        <v>958</v>
      </c>
    </row>
    <row r="2500" spans="1:3" x14ac:dyDescent="0.3">
      <c r="A2500" t="s">
        <v>6370</v>
      </c>
      <c r="B2500" s="4" t="s">
        <v>6372</v>
      </c>
      <c r="C2500" t="s">
        <v>6345</v>
      </c>
    </row>
    <row r="2501" spans="1:3" x14ac:dyDescent="0.3">
      <c r="A2501" t="s">
        <v>6370</v>
      </c>
      <c r="B2501" s="4" t="s">
        <v>6372</v>
      </c>
      <c r="C2501" t="s">
        <v>6345</v>
      </c>
    </row>
    <row r="2502" spans="1:3" x14ac:dyDescent="0.3">
      <c r="A2502" t="s">
        <v>6370</v>
      </c>
      <c r="B2502" s="4" t="s">
        <v>6372</v>
      </c>
      <c r="C2502" t="s">
        <v>6345</v>
      </c>
    </row>
    <row r="2503" spans="1:3" x14ac:dyDescent="0.3">
      <c r="A2503" t="s">
        <v>6370</v>
      </c>
      <c r="B2503" s="4" t="s">
        <v>6372</v>
      </c>
      <c r="C2503" t="s">
        <v>6345</v>
      </c>
    </row>
    <row r="2504" spans="1:3" x14ac:dyDescent="0.3">
      <c r="A2504" t="s">
        <v>6370</v>
      </c>
      <c r="B2504" s="4" t="s">
        <v>6372</v>
      </c>
      <c r="C2504" t="s">
        <v>6339</v>
      </c>
    </row>
    <row r="2505" spans="1:3" x14ac:dyDescent="0.3">
      <c r="A2505" t="s">
        <v>6370</v>
      </c>
      <c r="B2505" s="4" t="s">
        <v>6372</v>
      </c>
      <c r="C2505" t="s">
        <v>6339</v>
      </c>
    </row>
    <row r="2506" spans="1:3" x14ac:dyDescent="0.3">
      <c r="A2506" t="s">
        <v>6370</v>
      </c>
      <c r="B2506" s="4" t="s">
        <v>6372</v>
      </c>
      <c r="C2506" t="s">
        <v>6339</v>
      </c>
    </row>
    <row r="2507" spans="1:3" x14ac:dyDescent="0.3">
      <c r="A2507" t="s">
        <v>6370</v>
      </c>
      <c r="B2507" s="4" t="s">
        <v>6372</v>
      </c>
      <c r="C2507" t="s">
        <v>6339</v>
      </c>
    </row>
    <row r="2508" spans="1:3" x14ac:dyDescent="0.3">
      <c r="A2508" t="s">
        <v>6370</v>
      </c>
      <c r="B2508" s="4" t="s">
        <v>6372</v>
      </c>
      <c r="C2508" t="s">
        <v>6339</v>
      </c>
    </row>
    <row r="2509" spans="1:3" x14ac:dyDescent="0.3">
      <c r="A2509" t="s">
        <v>6370</v>
      </c>
      <c r="B2509" s="4" t="s">
        <v>6372</v>
      </c>
      <c r="C2509" t="s">
        <v>6339</v>
      </c>
    </row>
    <row r="2510" spans="1:3" x14ac:dyDescent="0.3">
      <c r="A2510" t="s">
        <v>6370</v>
      </c>
      <c r="B2510" s="4" t="s">
        <v>6372</v>
      </c>
      <c r="C2510" t="s">
        <v>958</v>
      </c>
    </row>
    <row r="2511" spans="1:3" x14ac:dyDescent="0.3">
      <c r="A2511" t="s">
        <v>6370</v>
      </c>
      <c r="B2511" s="4" t="s">
        <v>6372</v>
      </c>
      <c r="C2511" t="s">
        <v>6345</v>
      </c>
    </row>
    <row r="2512" spans="1:3" x14ac:dyDescent="0.3">
      <c r="A2512" t="s">
        <v>6370</v>
      </c>
      <c r="B2512" s="4" t="s">
        <v>6362</v>
      </c>
      <c r="C2512" t="s">
        <v>958</v>
      </c>
    </row>
    <row r="2513" spans="1:3" x14ac:dyDescent="0.3">
      <c r="A2513" t="s">
        <v>6370</v>
      </c>
      <c r="B2513" s="4" t="s">
        <v>6362</v>
      </c>
      <c r="C2513" t="s">
        <v>958</v>
      </c>
    </row>
    <row r="2514" spans="1:3" x14ac:dyDescent="0.3">
      <c r="A2514" t="s">
        <v>6370</v>
      </c>
      <c r="B2514" s="4" t="s">
        <v>6362</v>
      </c>
      <c r="C2514" t="s">
        <v>958</v>
      </c>
    </row>
    <row r="2515" spans="1:3" x14ac:dyDescent="0.3">
      <c r="A2515" t="s">
        <v>6370</v>
      </c>
      <c r="B2515" s="4" t="s">
        <v>6362</v>
      </c>
      <c r="C2515" t="s">
        <v>958</v>
      </c>
    </row>
    <row r="2516" spans="1:3" x14ac:dyDescent="0.3">
      <c r="A2516" t="s">
        <v>6370</v>
      </c>
      <c r="B2516" s="4" t="s">
        <v>6362</v>
      </c>
      <c r="C2516" t="s">
        <v>958</v>
      </c>
    </row>
    <row r="2517" spans="1:3" x14ac:dyDescent="0.3">
      <c r="A2517" t="s">
        <v>6370</v>
      </c>
      <c r="B2517" s="4" t="s">
        <v>6362</v>
      </c>
      <c r="C2517" t="s">
        <v>958</v>
      </c>
    </row>
    <row r="2518" spans="1:3" x14ac:dyDescent="0.3">
      <c r="A2518" t="s">
        <v>6370</v>
      </c>
      <c r="B2518" s="4" t="s">
        <v>6362</v>
      </c>
      <c r="C2518" t="s">
        <v>958</v>
      </c>
    </row>
    <row r="2519" spans="1:3" x14ac:dyDescent="0.3">
      <c r="A2519" t="s">
        <v>6370</v>
      </c>
      <c r="B2519" s="4" t="s">
        <v>6362</v>
      </c>
      <c r="C2519" t="s">
        <v>958</v>
      </c>
    </row>
    <row r="2520" spans="1:3" x14ac:dyDescent="0.3">
      <c r="A2520" t="s">
        <v>6373</v>
      </c>
      <c r="B2520" s="4" t="s">
        <v>6361</v>
      </c>
      <c r="C2520" t="s">
        <v>6348</v>
      </c>
    </row>
    <row r="2521" spans="1:3" x14ac:dyDescent="0.3">
      <c r="A2521" t="s">
        <v>6373</v>
      </c>
      <c r="B2521" s="4" t="s">
        <v>6361</v>
      </c>
      <c r="C2521" t="s">
        <v>6339</v>
      </c>
    </row>
    <row r="2522" spans="1:3" x14ac:dyDescent="0.3">
      <c r="A2522" t="s">
        <v>6373</v>
      </c>
      <c r="B2522" s="4" t="s">
        <v>6361</v>
      </c>
      <c r="C2522" t="s">
        <v>6339</v>
      </c>
    </row>
    <row r="2523" spans="1:3" x14ac:dyDescent="0.3">
      <c r="A2523" t="s">
        <v>6373</v>
      </c>
      <c r="B2523" s="4" t="s">
        <v>6361</v>
      </c>
      <c r="C2523" t="s">
        <v>6339</v>
      </c>
    </row>
    <row r="2524" spans="1:3" x14ac:dyDescent="0.3">
      <c r="A2524" t="s">
        <v>6373</v>
      </c>
      <c r="B2524" s="4" t="s">
        <v>6361</v>
      </c>
      <c r="C2524" t="s">
        <v>6339</v>
      </c>
    </row>
    <row r="2525" spans="1:3" x14ac:dyDescent="0.3">
      <c r="A2525" t="s">
        <v>6373</v>
      </c>
      <c r="B2525" s="4" t="s">
        <v>6361</v>
      </c>
      <c r="C2525" t="s">
        <v>6339</v>
      </c>
    </row>
    <row r="2526" spans="1:3" x14ac:dyDescent="0.3">
      <c r="A2526" t="s">
        <v>6373</v>
      </c>
      <c r="B2526" s="4" t="s">
        <v>6361</v>
      </c>
      <c r="C2526" t="s">
        <v>6339</v>
      </c>
    </row>
    <row r="2527" spans="1:3" x14ac:dyDescent="0.3">
      <c r="A2527" t="s">
        <v>6373</v>
      </c>
      <c r="B2527" s="4" t="s">
        <v>6361</v>
      </c>
      <c r="C2527" t="s">
        <v>6339</v>
      </c>
    </row>
    <row r="2528" spans="1:3" x14ac:dyDescent="0.3">
      <c r="A2528" t="s">
        <v>6373</v>
      </c>
      <c r="B2528" s="4" t="s">
        <v>6361</v>
      </c>
      <c r="C2528" t="s">
        <v>6339</v>
      </c>
    </row>
    <row r="2529" spans="1:3" x14ac:dyDescent="0.3">
      <c r="A2529" t="s">
        <v>6373</v>
      </c>
      <c r="B2529" s="4" t="s">
        <v>6361</v>
      </c>
      <c r="C2529" t="s">
        <v>6339</v>
      </c>
    </row>
    <row r="2530" spans="1:3" x14ac:dyDescent="0.3">
      <c r="A2530" t="s">
        <v>6373</v>
      </c>
      <c r="B2530" s="4" t="s">
        <v>6361</v>
      </c>
      <c r="C2530" t="s">
        <v>6339</v>
      </c>
    </row>
    <row r="2531" spans="1:3" x14ac:dyDescent="0.3">
      <c r="A2531" t="s">
        <v>6373</v>
      </c>
      <c r="B2531" s="4" t="s">
        <v>6361</v>
      </c>
      <c r="C2531" t="s">
        <v>6339</v>
      </c>
    </row>
    <row r="2532" spans="1:3" x14ac:dyDescent="0.3">
      <c r="A2532" t="s">
        <v>6373</v>
      </c>
      <c r="B2532" s="4" t="s">
        <v>6361</v>
      </c>
      <c r="C2532" t="s">
        <v>6339</v>
      </c>
    </row>
    <row r="2533" spans="1:3" x14ac:dyDescent="0.3">
      <c r="A2533" t="s">
        <v>6373</v>
      </c>
      <c r="B2533" s="4" t="s">
        <v>6361</v>
      </c>
      <c r="C2533" t="s">
        <v>6339</v>
      </c>
    </row>
    <row r="2534" spans="1:3" x14ac:dyDescent="0.3">
      <c r="A2534" t="s">
        <v>6373</v>
      </c>
      <c r="B2534" s="4" t="s">
        <v>6361</v>
      </c>
      <c r="C2534" t="s">
        <v>6339</v>
      </c>
    </row>
    <row r="2535" spans="1:3" x14ac:dyDescent="0.3">
      <c r="A2535" t="s">
        <v>6373</v>
      </c>
      <c r="B2535" s="4" t="s">
        <v>6361</v>
      </c>
      <c r="C2535" t="s">
        <v>6339</v>
      </c>
    </row>
    <row r="2536" spans="1:3" x14ac:dyDescent="0.3">
      <c r="A2536" t="s">
        <v>6373</v>
      </c>
      <c r="B2536" s="4" t="s">
        <v>6361</v>
      </c>
      <c r="C2536" t="s">
        <v>6348</v>
      </c>
    </row>
    <row r="2537" spans="1:3" x14ac:dyDescent="0.3">
      <c r="A2537" t="s">
        <v>6373</v>
      </c>
      <c r="B2537" s="4" t="s">
        <v>6361</v>
      </c>
      <c r="C2537" t="s">
        <v>6339</v>
      </c>
    </row>
    <row r="2538" spans="1:3" x14ac:dyDescent="0.3">
      <c r="A2538" t="s">
        <v>6373</v>
      </c>
      <c r="B2538" s="4" t="s">
        <v>6361</v>
      </c>
      <c r="C2538" t="s">
        <v>6339</v>
      </c>
    </row>
    <row r="2539" spans="1:3" x14ac:dyDescent="0.3">
      <c r="A2539" t="s">
        <v>6373</v>
      </c>
      <c r="B2539" s="4" t="s">
        <v>6361</v>
      </c>
      <c r="C2539" t="s">
        <v>6339</v>
      </c>
    </row>
    <row r="2540" spans="1:3" x14ac:dyDescent="0.3">
      <c r="A2540" t="s">
        <v>6373</v>
      </c>
      <c r="B2540" s="4" t="s">
        <v>6361</v>
      </c>
      <c r="C2540" t="s">
        <v>6339</v>
      </c>
    </row>
    <row r="2541" spans="1:3" x14ac:dyDescent="0.3">
      <c r="A2541" t="s">
        <v>6373</v>
      </c>
      <c r="B2541" s="4" t="s">
        <v>6361</v>
      </c>
      <c r="C2541" t="s">
        <v>6339</v>
      </c>
    </row>
    <row r="2542" spans="1:3" x14ac:dyDescent="0.3">
      <c r="A2542" t="s">
        <v>6373</v>
      </c>
      <c r="B2542" s="4" t="s">
        <v>6361</v>
      </c>
      <c r="C2542" t="s">
        <v>6339</v>
      </c>
    </row>
    <row r="2543" spans="1:3" x14ac:dyDescent="0.3">
      <c r="A2543" t="s">
        <v>6373</v>
      </c>
      <c r="B2543" s="4" t="s">
        <v>6361</v>
      </c>
      <c r="C2543" t="s">
        <v>6339</v>
      </c>
    </row>
    <row r="2544" spans="1:3" x14ac:dyDescent="0.3">
      <c r="A2544" t="s">
        <v>6373</v>
      </c>
      <c r="B2544" s="4" t="s">
        <v>6361</v>
      </c>
      <c r="C2544" t="s">
        <v>6339</v>
      </c>
    </row>
    <row r="2545" spans="1:3" x14ac:dyDescent="0.3">
      <c r="A2545" t="s">
        <v>6373</v>
      </c>
      <c r="B2545" s="4" t="s">
        <v>6361</v>
      </c>
      <c r="C2545" t="s">
        <v>6339</v>
      </c>
    </row>
    <row r="2546" spans="1:3" x14ac:dyDescent="0.3">
      <c r="A2546" t="s">
        <v>6373</v>
      </c>
      <c r="B2546" s="4" t="s">
        <v>6361</v>
      </c>
      <c r="C2546" t="s">
        <v>6339</v>
      </c>
    </row>
    <row r="2547" spans="1:3" x14ac:dyDescent="0.3">
      <c r="A2547" t="s">
        <v>6373</v>
      </c>
      <c r="B2547" s="4" t="s">
        <v>6361</v>
      </c>
      <c r="C2547" t="s">
        <v>6339</v>
      </c>
    </row>
    <row r="2548" spans="1:3" x14ac:dyDescent="0.3">
      <c r="A2548" t="s">
        <v>6373</v>
      </c>
      <c r="B2548" s="4" t="s">
        <v>6361</v>
      </c>
      <c r="C2548" t="s">
        <v>6339</v>
      </c>
    </row>
    <row r="2549" spans="1:3" x14ac:dyDescent="0.3">
      <c r="A2549" t="s">
        <v>6373</v>
      </c>
      <c r="B2549" s="4" t="s">
        <v>6361</v>
      </c>
      <c r="C2549" t="s">
        <v>6339</v>
      </c>
    </row>
    <row r="2550" spans="1:3" x14ac:dyDescent="0.3">
      <c r="A2550" t="s">
        <v>6373</v>
      </c>
      <c r="B2550" s="4" t="s">
        <v>6361</v>
      </c>
      <c r="C2550" t="s">
        <v>6339</v>
      </c>
    </row>
    <row r="2551" spans="1:3" x14ac:dyDescent="0.3">
      <c r="A2551" t="s">
        <v>6373</v>
      </c>
      <c r="B2551" s="4" t="s">
        <v>6361</v>
      </c>
      <c r="C2551" t="s">
        <v>6339</v>
      </c>
    </row>
    <row r="2552" spans="1:3" x14ac:dyDescent="0.3">
      <c r="A2552" t="s">
        <v>6373</v>
      </c>
      <c r="B2552" s="4" t="s">
        <v>6361</v>
      </c>
      <c r="C2552" t="s">
        <v>6339</v>
      </c>
    </row>
    <row r="2553" spans="1:3" x14ac:dyDescent="0.3">
      <c r="A2553" t="s">
        <v>6373</v>
      </c>
      <c r="B2553" s="4" t="s">
        <v>6361</v>
      </c>
      <c r="C2553" t="s">
        <v>6339</v>
      </c>
    </row>
    <row r="2554" spans="1:3" x14ac:dyDescent="0.3">
      <c r="A2554" t="s">
        <v>6373</v>
      </c>
      <c r="B2554" s="4" t="s">
        <v>6361</v>
      </c>
      <c r="C2554" t="s">
        <v>6339</v>
      </c>
    </row>
    <row r="2555" spans="1:3" x14ac:dyDescent="0.3">
      <c r="A2555" t="s">
        <v>6373</v>
      </c>
      <c r="B2555" s="4" t="s">
        <v>6361</v>
      </c>
      <c r="C2555" t="s">
        <v>6339</v>
      </c>
    </row>
    <row r="2556" spans="1:3" x14ac:dyDescent="0.3">
      <c r="A2556" t="s">
        <v>6373</v>
      </c>
      <c r="B2556" s="4" t="s">
        <v>6361</v>
      </c>
      <c r="C2556" t="s">
        <v>6339</v>
      </c>
    </row>
    <row r="2557" spans="1:3" x14ac:dyDescent="0.3">
      <c r="A2557" t="s">
        <v>6373</v>
      </c>
      <c r="B2557" s="4" t="s">
        <v>6361</v>
      </c>
      <c r="C2557" t="s">
        <v>6339</v>
      </c>
    </row>
    <row r="2558" spans="1:3" x14ac:dyDescent="0.3">
      <c r="A2558" t="s">
        <v>6373</v>
      </c>
      <c r="B2558" s="4" t="s">
        <v>6361</v>
      </c>
      <c r="C2558" t="s">
        <v>6339</v>
      </c>
    </row>
    <row r="2559" spans="1:3" x14ac:dyDescent="0.3">
      <c r="A2559" t="s">
        <v>6373</v>
      </c>
      <c r="B2559" s="4" t="s">
        <v>6361</v>
      </c>
      <c r="C2559" t="s">
        <v>6339</v>
      </c>
    </row>
    <row r="2560" spans="1:3" x14ac:dyDescent="0.3">
      <c r="A2560" t="s">
        <v>6373</v>
      </c>
      <c r="B2560" s="4" t="s">
        <v>6361</v>
      </c>
      <c r="C2560" t="s">
        <v>6339</v>
      </c>
    </row>
    <row r="2561" spans="1:3" x14ac:dyDescent="0.3">
      <c r="A2561" t="s">
        <v>6373</v>
      </c>
      <c r="B2561" s="4" t="s">
        <v>6361</v>
      </c>
      <c r="C2561" t="s">
        <v>6339</v>
      </c>
    </row>
    <row r="2562" spans="1:3" x14ac:dyDescent="0.3">
      <c r="A2562" t="s">
        <v>6373</v>
      </c>
      <c r="B2562" s="4" t="s">
        <v>6361</v>
      </c>
      <c r="C2562" t="s">
        <v>6339</v>
      </c>
    </row>
    <row r="2563" spans="1:3" x14ac:dyDescent="0.3">
      <c r="A2563" t="s">
        <v>6373</v>
      </c>
      <c r="B2563" s="4" t="s">
        <v>6361</v>
      </c>
      <c r="C2563" t="s">
        <v>6339</v>
      </c>
    </row>
    <row r="2564" spans="1:3" x14ac:dyDescent="0.3">
      <c r="A2564" t="s">
        <v>6373</v>
      </c>
      <c r="B2564" s="4" t="s">
        <v>6361</v>
      </c>
      <c r="C2564" t="s">
        <v>6339</v>
      </c>
    </row>
    <row r="2565" spans="1:3" x14ac:dyDescent="0.3">
      <c r="A2565" t="s">
        <v>6373</v>
      </c>
      <c r="B2565" s="4" t="s">
        <v>6361</v>
      </c>
      <c r="C2565" t="s">
        <v>6339</v>
      </c>
    </row>
    <row r="2566" spans="1:3" x14ac:dyDescent="0.3">
      <c r="A2566" t="s">
        <v>6373</v>
      </c>
      <c r="B2566" s="4" t="s">
        <v>6371</v>
      </c>
      <c r="C2566" t="s">
        <v>958</v>
      </c>
    </row>
    <row r="2567" spans="1:3" x14ac:dyDescent="0.3">
      <c r="A2567" t="s">
        <v>6373</v>
      </c>
      <c r="B2567" s="4" t="s">
        <v>6371</v>
      </c>
      <c r="C2567" t="s">
        <v>958</v>
      </c>
    </row>
    <row r="2568" spans="1:3" x14ac:dyDescent="0.3">
      <c r="A2568" t="s">
        <v>6373</v>
      </c>
      <c r="B2568" s="4" t="s">
        <v>6371</v>
      </c>
      <c r="C2568" t="s">
        <v>958</v>
      </c>
    </row>
    <row r="2569" spans="1:3" x14ac:dyDescent="0.3">
      <c r="A2569" t="s">
        <v>6373</v>
      </c>
      <c r="B2569" s="4" t="s">
        <v>6371</v>
      </c>
      <c r="C2569" t="s">
        <v>958</v>
      </c>
    </row>
    <row r="2570" spans="1:3" x14ac:dyDescent="0.3">
      <c r="A2570" t="s">
        <v>6373</v>
      </c>
      <c r="B2570" s="4" t="s">
        <v>6371</v>
      </c>
      <c r="C2570" t="s">
        <v>958</v>
      </c>
    </row>
    <row r="2571" spans="1:3" x14ac:dyDescent="0.3">
      <c r="A2571" t="s">
        <v>6373</v>
      </c>
      <c r="B2571" s="4" t="s">
        <v>6371</v>
      </c>
      <c r="C2571" t="s">
        <v>958</v>
      </c>
    </row>
    <row r="2572" spans="1:3" x14ac:dyDescent="0.3">
      <c r="A2572" t="s">
        <v>6373</v>
      </c>
      <c r="B2572" s="4" t="s">
        <v>6371</v>
      </c>
      <c r="C2572" t="s">
        <v>958</v>
      </c>
    </row>
    <row r="2573" spans="1:3" x14ac:dyDescent="0.3">
      <c r="A2573" t="s">
        <v>6373</v>
      </c>
      <c r="B2573" s="4" t="s">
        <v>6371</v>
      </c>
      <c r="C2573" t="s">
        <v>958</v>
      </c>
    </row>
    <row r="2574" spans="1:3" x14ac:dyDescent="0.3">
      <c r="A2574" t="s">
        <v>6373</v>
      </c>
      <c r="B2574" s="4" t="s">
        <v>6371</v>
      </c>
      <c r="C2574" t="s">
        <v>958</v>
      </c>
    </row>
    <row r="2575" spans="1:3" x14ac:dyDescent="0.3">
      <c r="A2575" t="s">
        <v>6373</v>
      </c>
      <c r="B2575" s="4" t="s">
        <v>6371</v>
      </c>
      <c r="C2575" t="s">
        <v>958</v>
      </c>
    </row>
    <row r="2576" spans="1:3" x14ac:dyDescent="0.3">
      <c r="A2576" t="s">
        <v>6373</v>
      </c>
      <c r="B2576" s="4" t="s">
        <v>6371</v>
      </c>
      <c r="C2576" t="s">
        <v>958</v>
      </c>
    </row>
    <row r="2577" spans="1:3" x14ac:dyDescent="0.3">
      <c r="A2577" t="s">
        <v>6373</v>
      </c>
      <c r="B2577" s="4" t="s">
        <v>6371</v>
      </c>
      <c r="C2577" t="s">
        <v>958</v>
      </c>
    </row>
    <row r="2578" spans="1:3" x14ac:dyDescent="0.3">
      <c r="A2578" t="s">
        <v>6373</v>
      </c>
      <c r="B2578" s="4" t="s">
        <v>6371</v>
      </c>
      <c r="C2578" t="s">
        <v>958</v>
      </c>
    </row>
    <row r="2579" spans="1:3" x14ac:dyDescent="0.3">
      <c r="A2579" t="s">
        <v>6373</v>
      </c>
      <c r="B2579" s="4" t="s">
        <v>6371</v>
      </c>
      <c r="C2579" t="s">
        <v>958</v>
      </c>
    </row>
    <row r="2580" spans="1:3" x14ac:dyDescent="0.3">
      <c r="A2580" t="s">
        <v>6373</v>
      </c>
      <c r="B2580" s="4" t="s">
        <v>6371</v>
      </c>
      <c r="C2580" t="s">
        <v>958</v>
      </c>
    </row>
    <row r="2581" spans="1:3" x14ac:dyDescent="0.3">
      <c r="A2581" t="s">
        <v>6373</v>
      </c>
      <c r="B2581" s="4" t="s">
        <v>6371</v>
      </c>
      <c r="C2581" t="s">
        <v>958</v>
      </c>
    </row>
    <row r="2582" spans="1:3" x14ac:dyDescent="0.3">
      <c r="A2582" t="s">
        <v>6373</v>
      </c>
      <c r="B2582" s="4" t="s">
        <v>6371</v>
      </c>
      <c r="C2582" t="s">
        <v>958</v>
      </c>
    </row>
    <row r="2583" spans="1:3" x14ac:dyDescent="0.3">
      <c r="A2583" t="s">
        <v>6373</v>
      </c>
      <c r="B2583" s="4" t="s">
        <v>6371</v>
      </c>
      <c r="C2583" t="s">
        <v>958</v>
      </c>
    </row>
    <row r="2584" spans="1:3" x14ac:dyDescent="0.3">
      <c r="A2584" t="s">
        <v>6373</v>
      </c>
      <c r="B2584" s="4" t="s">
        <v>6371</v>
      </c>
      <c r="C2584" t="s">
        <v>958</v>
      </c>
    </row>
    <row r="2585" spans="1:3" x14ac:dyDescent="0.3">
      <c r="A2585" t="s">
        <v>6373</v>
      </c>
      <c r="B2585" s="4" t="s">
        <v>6371</v>
      </c>
      <c r="C2585" t="s">
        <v>958</v>
      </c>
    </row>
    <row r="2586" spans="1:3" x14ac:dyDescent="0.3">
      <c r="A2586" t="s">
        <v>6373</v>
      </c>
      <c r="B2586" s="4" t="s">
        <v>6371</v>
      </c>
      <c r="C2586" t="s">
        <v>958</v>
      </c>
    </row>
    <row r="2587" spans="1:3" x14ac:dyDescent="0.3">
      <c r="A2587" t="s">
        <v>6373</v>
      </c>
      <c r="B2587" s="4" t="s">
        <v>6371</v>
      </c>
      <c r="C2587" t="s">
        <v>958</v>
      </c>
    </row>
    <row r="2588" spans="1:3" x14ac:dyDescent="0.3">
      <c r="A2588" t="s">
        <v>6373</v>
      </c>
      <c r="B2588" s="4" t="s">
        <v>6371</v>
      </c>
      <c r="C2588" t="s">
        <v>958</v>
      </c>
    </row>
    <row r="2589" spans="1:3" x14ac:dyDescent="0.3">
      <c r="A2589" t="s">
        <v>6373</v>
      </c>
      <c r="B2589" s="4" t="s">
        <v>6371</v>
      </c>
      <c r="C2589" t="s">
        <v>958</v>
      </c>
    </row>
    <row r="2590" spans="1:3" x14ac:dyDescent="0.3">
      <c r="A2590" t="s">
        <v>6373</v>
      </c>
      <c r="B2590" s="4" t="s">
        <v>6371</v>
      </c>
      <c r="C2590" t="s">
        <v>958</v>
      </c>
    </row>
    <row r="2591" spans="1:3" x14ac:dyDescent="0.3">
      <c r="A2591" t="s">
        <v>6373</v>
      </c>
      <c r="B2591" s="4" t="s">
        <v>6371</v>
      </c>
      <c r="C2591" t="s">
        <v>958</v>
      </c>
    </row>
    <row r="2592" spans="1:3" x14ac:dyDescent="0.3">
      <c r="A2592" t="s">
        <v>6373</v>
      </c>
      <c r="B2592" s="4" t="s">
        <v>6371</v>
      </c>
      <c r="C2592" t="s">
        <v>958</v>
      </c>
    </row>
    <row r="2593" spans="1:3" x14ac:dyDescent="0.3">
      <c r="A2593" t="s">
        <v>6373</v>
      </c>
      <c r="B2593" s="4" t="s">
        <v>6371</v>
      </c>
      <c r="C2593" t="s">
        <v>958</v>
      </c>
    </row>
    <row r="2594" spans="1:3" x14ac:dyDescent="0.3">
      <c r="A2594" t="s">
        <v>6373</v>
      </c>
      <c r="B2594" s="4" t="s">
        <v>6371</v>
      </c>
      <c r="C2594" t="s">
        <v>958</v>
      </c>
    </row>
    <row r="2595" spans="1:3" x14ac:dyDescent="0.3">
      <c r="A2595" t="s">
        <v>6373</v>
      </c>
      <c r="B2595" s="4" t="s">
        <v>6371</v>
      </c>
      <c r="C2595" t="s">
        <v>958</v>
      </c>
    </row>
    <row r="2596" spans="1:3" x14ac:dyDescent="0.3">
      <c r="A2596" t="s">
        <v>6373</v>
      </c>
      <c r="B2596" s="4" t="s">
        <v>6371</v>
      </c>
      <c r="C2596" t="s">
        <v>958</v>
      </c>
    </row>
    <row r="2597" spans="1:3" x14ac:dyDescent="0.3">
      <c r="A2597" t="s">
        <v>6373</v>
      </c>
      <c r="B2597" s="4" t="s">
        <v>6371</v>
      </c>
      <c r="C2597" t="s">
        <v>958</v>
      </c>
    </row>
    <row r="2598" spans="1:3" x14ac:dyDescent="0.3">
      <c r="A2598" t="s">
        <v>6373</v>
      </c>
      <c r="B2598" s="4" t="s">
        <v>6371</v>
      </c>
      <c r="C2598" t="s">
        <v>958</v>
      </c>
    </row>
    <row r="2599" spans="1:3" x14ac:dyDescent="0.3">
      <c r="A2599" t="s">
        <v>6373</v>
      </c>
      <c r="B2599" s="4" t="s">
        <v>6371</v>
      </c>
      <c r="C2599" t="s">
        <v>958</v>
      </c>
    </row>
    <row r="2600" spans="1:3" x14ac:dyDescent="0.3">
      <c r="A2600" t="s">
        <v>6373</v>
      </c>
      <c r="B2600" s="4" t="s">
        <v>6371</v>
      </c>
      <c r="C2600" t="s">
        <v>958</v>
      </c>
    </row>
    <row r="2601" spans="1:3" x14ac:dyDescent="0.3">
      <c r="A2601" t="s">
        <v>6373</v>
      </c>
      <c r="B2601" s="4" t="s">
        <v>6371</v>
      </c>
      <c r="C2601" t="s">
        <v>958</v>
      </c>
    </row>
    <row r="2602" spans="1:3" x14ac:dyDescent="0.3">
      <c r="A2602" t="s">
        <v>6373</v>
      </c>
      <c r="B2602" s="4" t="s">
        <v>6371</v>
      </c>
      <c r="C2602" t="s">
        <v>958</v>
      </c>
    </row>
    <row r="2603" spans="1:3" x14ac:dyDescent="0.3">
      <c r="A2603" t="s">
        <v>6373</v>
      </c>
      <c r="B2603" s="4" t="s">
        <v>6371</v>
      </c>
      <c r="C2603" t="s">
        <v>958</v>
      </c>
    </row>
    <row r="2604" spans="1:3" x14ac:dyDescent="0.3">
      <c r="A2604" t="s">
        <v>6373</v>
      </c>
      <c r="B2604" s="4" t="s">
        <v>6371</v>
      </c>
      <c r="C2604" t="s">
        <v>958</v>
      </c>
    </row>
    <row r="2605" spans="1:3" x14ac:dyDescent="0.3">
      <c r="A2605" t="s">
        <v>6373</v>
      </c>
      <c r="B2605" s="4" t="s">
        <v>6371</v>
      </c>
      <c r="C2605" t="s">
        <v>958</v>
      </c>
    </row>
    <row r="2606" spans="1:3" x14ac:dyDescent="0.3">
      <c r="A2606" t="s">
        <v>6373</v>
      </c>
      <c r="B2606" s="4" t="s">
        <v>6371</v>
      </c>
      <c r="C2606" t="s">
        <v>958</v>
      </c>
    </row>
    <row r="2607" spans="1:3" x14ac:dyDescent="0.3">
      <c r="A2607" t="s">
        <v>6373</v>
      </c>
      <c r="B2607" s="4" t="s">
        <v>6371</v>
      </c>
      <c r="C2607" t="s">
        <v>958</v>
      </c>
    </row>
    <row r="2608" spans="1:3" x14ac:dyDescent="0.3">
      <c r="A2608" t="s">
        <v>6373</v>
      </c>
      <c r="B2608" s="4" t="s">
        <v>6371</v>
      </c>
      <c r="C2608" t="s">
        <v>958</v>
      </c>
    </row>
    <row r="2609" spans="1:3" x14ac:dyDescent="0.3">
      <c r="A2609" t="s">
        <v>6373</v>
      </c>
      <c r="B2609" s="4" t="s">
        <v>6371</v>
      </c>
      <c r="C2609" t="s">
        <v>958</v>
      </c>
    </row>
    <row r="2610" spans="1:3" x14ac:dyDescent="0.3">
      <c r="A2610" t="s">
        <v>6373</v>
      </c>
      <c r="B2610" s="4" t="s">
        <v>6371</v>
      </c>
      <c r="C2610" t="s">
        <v>958</v>
      </c>
    </row>
    <row r="2611" spans="1:3" x14ac:dyDescent="0.3">
      <c r="A2611" t="s">
        <v>6373</v>
      </c>
      <c r="B2611" s="4" t="s">
        <v>6371</v>
      </c>
      <c r="C2611" t="s">
        <v>958</v>
      </c>
    </row>
    <row r="2612" spans="1:3" x14ac:dyDescent="0.3">
      <c r="A2612" t="s">
        <v>6373</v>
      </c>
      <c r="B2612" s="4" t="s">
        <v>6371</v>
      </c>
      <c r="C2612" t="s">
        <v>958</v>
      </c>
    </row>
    <row r="2613" spans="1:3" x14ac:dyDescent="0.3">
      <c r="A2613" t="s">
        <v>6373</v>
      </c>
      <c r="B2613" s="4" t="s">
        <v>6371</v>
      </c>
      <c r="C2613" t="s">
        <v>958</v>
      </c>
    </row>
    <row r="2614" spans="1:3" x14ac:dyDescent="0.3">
      <c r="A2614" t="s">
        <v>6373</v>
      </c>
      <c r="B2614" s="4" t="s">
        <v>6357</v>
      </c>
      <c r="C2614" t="s">
        <v>6339</v>
      </c>
    </row>
    <row r="2615" spans="1:3" x14ac:dyDescent="0.3">
      <c r="A2615" t="s">
        <v>6373</v>
      </c>
      <c r="B2615" s="4" t="s">
        <v>6357</v>
      </c>
      <c r="C2615" t="s">
        <v>6339</v>
      </c>
    </row>
    <row r="2616" spans="1:3" x14ac:dyDescent="0.3">
      <c r="A2616" t="s">
        <v>6373</v>
      </c>
      <c r="B2616" s="4" t="s">
        <v>6357</v>
      </c>
      <c r="C2616" t="s">
        <v>6339</v>
      </c>
    </row>
    <row r="2617" spans="1:3" x14ac:dyDescent="0.3">
      <c r="A2617" t="s">
        <v>6374</v>
      </c>
      <c r="B2617" s="4" t="s">
        <v>6361</v>
      </c>
      <c r="C2617" t="s">
        <v>6339</v>
      </c>
    </row>
    <row r="2618" spans="1:3" x14ac:dyDescent="0.3">
      <c r="A2618" t="s">
        <v>6374</v>
      </c>
      <c r="B2618" s="4" t="s">
        <v>6361</v>
      </c>
      <c r="C2618" t="s">
        <v>6339</v>
      </c>
    </row>
    <row r="2619" spans="1:3" x14ac:dyDescent="0.3">
      <c r="A2619" t="s">
        <v>6374</v>
      </c>
      <c r="B2619" s="4" t="s">
        <v>6361</v>
      </c>
      <c r="C2619" t="s">
        <v>6339</v>
      </c>
    </row>
    <row r="2620" spans="1:3" x14ac:dyDescent="0.3">
      <c r="A2620" t="s">
        <v>6374</v>
      </c>
      <c r="B2620" s="4" t="s">
        <v>6361</v>
      </c>
      <c r="C2620" t="s">
        <v>6339</v>
      </c>
    </row>
    <row r="2621" spans="1:3" x14ac:dyDescent="0.3">
      <c r="A2621" t="s">
        <v>6374</v>
      </c>
      <c r="B2621" s="4" t="s">
        <v>6361</v>
      </c>
      <c r="C2621" t="s">
        <v>6339</v>
      </c>
    </row>
    <row r="2622" spans="1:3" x14ac:dyDescent="0.3">
      <c r="A2622" t="s">
        <v>6374</v>
      </c>
      <c r="B2622" s="4" t="s">
        <v>6361</v>
      </c>
      <c r="C2622" t="s">
        <v>6348</v>
      </c>
    </row>
    <row r="2623" spans="1:3" x14ac:dyDescent="0.3">
      <c r="A2623" t="s">
        <v>6374</v>
      </c>
      <c r="B2623" s="4" t="s">
        <v>6361</v>
      </c>
      <c r="C2623" t="s">
        <v>6339</v>
      </c>
    </row>
    <row r="2624" spans="1:3" x14ac:dyDescent="0.3">
      <c r="A2624" t="s">
        <v>6374</v>
      </c>
      <c r="B2624" s="4" t="s">
        <v>6361</v>
      </c>
      <c r="C2624" t="s">
        <v>6339</v>
      </c>
    </row>
    <row r="2625" spans="1:3" x14ac:dyDescent="0.3">
      <c r="A2625" t="s">
        <v>6374</v>
      </c>
      <c r="B2625" s="4" t="s">
        <v>6361</v>
      </c>
      <c r="C2625" t="s">
        <v>6348</v>
      </c>
    </row>
    <row r="2626" spans="1:3" x14ac:dyDescent="0.3">
      <c r="A2626" t="s">
        <v>6374</v>
      </c>
      <c r="B2626" s="4" t="s">
        <v>6361</v>
      </c>
      <c r="C2626" t="s">
        <v>6339</v>
      </c>
    </row>
    <row r="2627" spans="1:3" x14ac:dyDescent="0.3">
      <c r="A2627" t="s">
        <v>6374</v>
      </c>
      <c r="B2627" s="4" t="s">
        <v>6361</v>
      </c>
      <c r="C2627" t="s">
        <v>6339</v>
      </c>
    </row>
    <row r="2628" spans="1:3" x14ac:dyDescent="0.3">
      <c r="A2628" t="s">
        <v>6374</v>
      </c>
      <c r="B2628" s="4" t="s">
        <v>6361</v>
      </c>
      <c r="C2628" t="s">
        <v>6339</v>
      </c>
    </row>
    <row r="2629" spans="1:3" x14ac:dyDescent="0.3">
      <c r="A2629" t="s">
        <v>6374</v>
      </c>
      <c r="B2629" s="4" t="s">
        <v>6361</v>
      </c>
      <c r="C2629" t="s">
        <v>6339</v>
      </c>
    </row>
    <row r="2630" spans="1:3" x14ac:dyDescent="0.3">
      <c r="A2630" t="s">
        <v>6374</v>
      </c>
      <c r="B2630" s="4" t="s">
        <v>6361</v>
      </c>
      <c r="C2630" t="s">
        <v>6348</v>
      </c>
    </row>
    <row r="2631" spans="1:3" x14ac:dyDescent="0.3">
      <c r="A2631" t="s">
        <v>6374</v>
      </c>
      <c r="B2631" s="4" t="s">
        <v>6361</v>
      </c>
      <c r="C2631" t="s">
        <v>6348</v>
      </c>
    </row>
    <row r="2632" spans="1:3" x14ac:dyDescent="0.3">
      <c r="A2632" t="s">
        <v>6374</v>
      </c>
      <c r="B2632" s="4" t="s">
        <v>6361</v>
      </c>
      <c r="C2632" t="s">
        <v>6348</v>
      </c>
    </row>
    <row r="2633" spans="1:3" x14ac:dyDescent="0.3">
      <c r="A2633" t="s">
        <v>6374</v>
      </c>
      <c r="B2633" s="4" t="s">
        <v>6361</v>
      </c>
      <c r="C2633" t="s">
        <v>6348</v>
      </c>
    </row>
    <row r="2634" spans="1:3" x14ac:dyDescent="0.3">
      <c r="A2634" t="s">
        <v>6374</v>
      </c>
      <c r="B2634" s="4" t="s">
        <v>6361</v>
      </c>
      <c r="C2634" t="s">
        <v>6339</v>
      </c>
    </row>
    <row r="2635" spans="1:3" x14ac:dyDescent="0.3">
      <c r="A2635" t="s">
        <v>6374</v>
      </c>
      <c r="B2635" s="4" t="s">
        <v>6361</v>
      </c>
      <c r="C2635" t="s">
        <v>6348</v>
      </c>
    </row>
    <row r="2636" spans="1:3" x14ac:dyDescent="0.3">
      <c r="A2636" t="s">
        <v>6374</v>
      </c>
      <c r="B2636" s="4" t="s">
        <v>6361</v>
      </c>
      <c r="C2636" t="s">
        <v>6348</v>
      </c>
    </row>
    <row r="2637" spans="1:3" x14ac:dyDescent="0.3">
      <c r="A2637" t="s">
        <v>6374</v>
      </c>
      <c r="B2637" s="4" t="s">
        <v>6361</v>
      </c>
      <c r="C2637" t="s">
        <v>6348</v>
      </c>
    </row>
    <row r="2638" spans="1:3" x14ac:dyDescent="0.3">
      <c r="A2638" t="s">
        <v>6374</v>
      </c>
      <c r="B2638" s="4" t="s">
        <v>6361</v>
      </c>
      <c r="C2638" t="s">
        <v>6348</v>
      </c>
    </row>
    <row r="2639" spans="1:3" x14ac:dyDescent="0.3">
      <c r="A2639" t="s">
        <v>6374</v>
      </c>
      <c r="B2639" s="4" t="s">
        <v>6361</v>
      </c>
      <c r="C2639" t="s">
        <v>6348</v>
      </c>
    </row>
    <row r="2640" spans="1:3" x14ac:dyDescent="0.3">
      <c r="A2640" t="s">
        <v>6374</v>
      </c>
      <c r="B2640" s="4" t="s">
        <v>6361</v>
      </c>
      <c r="C2640" t="s">
        <v>6348</v>
      </c>
    </row>
    <row r="2641" spans="1:3" x14ac:dyDescent="0.3">
      <c r="A2641" t="s">
        <v>6374</v>
      </c>
      <c r="B2641" s="4" t="s">
        <v>6361</v>
      </c>
      <c r="C2641" t="s">
        <v>6339</v>
      </c>
    </row>
    <row r="2642" spans="1:3" x14ac:dyDescent="0.3">
      <c r="A2642" t="s">
        <v>6374</v>
      </c>
      <c r="B2642" s="4" t="s">
        <v>6361</v>
      </c>
      <c r="C2642" t="s">
        <v>6348</v>
      </c>
    </row>
    <row r="2643" spans="1:3" x14ac:dyDescent="0.3">
      <c r="A2643" t="s">
        <v>6374</v>
      </c>
      <c r="B2643" s="4" t="s">
        <v>6361</v>
      </c>
      <c r="C2643" t="s">
        <v>6348</v>
      </c>
    </row>
    <row r="2644" spans="1:3" x14ac:dyDescent="0.3">
      <c r="A2644" t="s">
        <v>6374</v>
      </c>
      <c r="B2644" s="4" t="s">
        <v>6361</v>
      </c>
      <c r="C2644" t="s">
        <v>6348</v>
      </c>
    </row>
    <row r="2645" spans="1:3" x14ac:dyDescent="0.3">
      <c r="A2645" t="s">
        <v>6374</v>
      </c>
      <c r="B2645" s="4" t="s">
        <v>6371</v>
      </c>
      <c r="C2645" t="s">
        <v>6339</v>
      </c>
    </row>
    <row r="2646" spans="1:3" x14ac:dyDescent="0.3">
      <c r="A2646" t="s">
        <v>6374</v>
      </c>
      <c r="B2646" s="4" t="s">
        <v>6371</v>
      </c>
      <c r="C2646" t="s">
        <v>6339</v>
      </c>
    </row>
    <row r="2647" spans="1:3" x14ac:dyDescent="0.3">
      <c r="A2647" t="s">
        <v>6374</v>
      </c>
      <c r="B2647" s="4" t="s">
        <v>6357</v>
      </c>
      <c r="C2647" t="s">
        <v>6345</v>
      </c>
    </row>
    <row r="2648" spans="1:3" x14ac:dyDescent="0.3">
      <c r="A2648" t="s">
        <v>6374</v>
      </c>
      <c r="B2648" s="4" t="s">
        <v>6357</v>
      </c>
      <c r="C2648" t="s">
        <v>958</v>
      </c>
    </row>
    <row r="2649" spans="1:3" x14ac:dyDescent="0.3">
      <c r="A2649" t="s">
        <v>6374</v>
      </c>
      <c r="B2649" s="4" t="s">
        <v>6357</v>
      </c>
      <c r="C2649" t="s">
        <v>958</v>
      </c>
    </row>
    <row r="2650" spans="1:3" x14ac:dyDescent="0.3">
      <c r="A2650" t="s">
        <v>6374</v>
      </c>
      <c r="B2650" s="4" t="s">
        <v>6357</v>
      </c>
      <c r="C2650" t="s">
        <v>6345</v>
      </c>
    </row>
    <row r="2651" spans="1:3" x14ac:dyDescent="0.3">
      <c r="A2651" t="s">
        <v>6374</v>
      </c>
      <c r="B2651" s="4" t="s">
        <v>6357</v>
      </c>
      <c r="C2651" t="s">
        <v>6345</v>
      </c>
    </row>
    <row r="2652" spans="1:3" x14ac:dyDescent="0.3">
      <c r="A2652" t="s">
        <v>6374</v>
      </c>
      <c r="B2652" s="4" t="s">
        <v>6357</v>
      </c>
      <c r="C2652" t="s">
        <v>6339</v>
      </c>
    </row>
    <row r="2653" spans="1:3" x14ac:dyDescent="0.3">
      <c r="A2653" t="s">
        <v>6374</v>
      </c>
      <c r="B2653" s="4" t="s">
        <v>6357</v>
      </c>
      <c r="C2653" t="s">
        <v>958</v>
      </c>
    </row>
    <row r="2654" spans="1:3" x14ac:dyDescent="0.3">
      <c r="A2654" t="s">
        <v>6374</v>
      </c>
      <c r="B2654" s="4" t="s">
        <v>6357</v>
      </c>
      <c r="C2654" t="s">
        <v>6345</v>
      </c>
    </row>
    <row r="2655" spans="1:3" x14ac:dyDescent="0.3">
      <c r="A2655" t="s">
        <v>6374</v>
      </c>
      <c r="B2655" s="4" t="s">
        <v>6357</v>
      </c>
      <c r="C2655" t="s">
        <v>6339</v>
      </c>
    </row>
    <row r="2656" spans="1:3" x14ac:dyDescent="0.3">
      <c r="A2656" t="s">
        <v>6374</v>
      </c>
      <c r="B2656" s="4" t="s">
        <v>6357</v>
      </c>
      <c r="C2656" t="s">
        <v>6348</v>
      </c>
    </row>
    <row r="2657" spans="1:3" x14ac:dyDescent="0.3">
      <c r="A2657" t="s">
        <v>6374</v>
      </c>
      <c r="B2657" s="4" t="s">
        <v>6357</v>
      </c>
      <c r="C2657" t="s">
        <v>6345</v>
      </c>
    </row>
    <row r="2658" spans="1:3" x14ac:dyDescent="0.3">
      <c r="A2658" t="s">
        <v>6374</v>
      </c>
      <c r="B2658" s="4" t="s">
        <v>6357</v>
      </c>
      <c r="C2658" t="s">
        <v>6345</v>
      </c>
    </row>
    <row r="2659" spans="1:3" x14ac:dyDescent="0.3">
      <c r="A2659" t="s">
        <v>6374</v>
      </c>
      <c r="B2659" s="4" t="s">
        <v>6357</v>
      </c>
      <c r="C2659" t="s">
        <v>6345</v>
      </c>
    </row>
    <row r="2660" spans="1:3" x14ac:dyDescent="0.3">
      <c r="A2660" t="s">
        <v>6374</v>
      </c>
      <c r="B2660" s="4" t="s">
        <v>6357</v>
      </c>
      <c r="C2660" t="s">
        <v>6345</v>
      </c>
    </row>
    <row r="2661" spans="1:3" x14ac:dyDescent="0.3">
      <c r="A2661" t="s">
        <v>6374</v>
      </c>
      <c r="B2661" s="4" t="s">
        <v>6357</v>
      </c>
      <c r="C2661" t="s">
        <v>6345</v>
      </c>
    </row>
    <row r="2662" spans="1:3" x14ac:dyDescent="0.3">
      <c r="A2662" t="s">
        <v>6374</v>
      </c>
      <c r="B2662" s="4" t="s">
        <v>6357</v>
      </c>
      <c r="C2662" t="s">
        <v>6345</v>
      </c>
    </row>
    <row r="2663" spans="1:3" x14ac:dyDescent="0.3">
      <c r="A2663" t="s">
        <v>6374</v>
      </c>
      <c r="B2663" s="4" t="s">
        <v>6357</v>
      </c>
      <c r="C2663" t="s">
        <v>6345</v>
      </c>
    </row>
    <row r="2664" spans="1:3" x14ac:dyDescent="0.3">
      <c r="A2664" t="s">
        <v>6374</v>
      </c>
      <c r="B2664" s="4" t="s">
        <v>6357</v>
      </c>
      <c r="C2664" t="s">
        <v>6345</v>
      </c>
    </row>
    <row r="2665" spans="1:3" x14ac:dyDescent="0.3">
      <c r="A2665" t="s">
        <v>6374</v>
      </c>
      <c r="B2665" s="4" t="s">
        <v>6357</v>
      </c>
      <c r="C2665" t="s">
        <v>6345</v>
      </c>
    </row>
    <row r="2666" spans="1:3" x14ac:dyDescent="0.3">
      <c r="A2666" t="s">
        <v>6374</v>
      </c>
      <c r="B2666" s="4" t="s">
        <v>6357</v>
      </c>
      <c r="C2666" t="s">
        <v>6339</v>
      </c>
    </row>
    <row r="2667" spans="1:3" x14ac:dyDescent="0.3">
      <c r="A2667" t="s">
        <v>6374</v>
      </c>
      <c r="B2667" s="4" t="s">
        <v>6357</v>
      </c>
      <c r="C2667" t="s">
        <v>6339</v>
      </c>
    </row>
    <row r="2668" spans="1:3" x14ac:dyDescent="0.3">
      <c r="A2668" t="s">
        <v>6374</v>
      </c>
      <c r="B2668" s="4" t="s">
        <v>6357</v>
      </c>
      <c r="C2668" t="s">
        <v>6348</v>
      </c>
    </row>
    <row r="2669" spans="1:3" x14ac:dyDescent="0.3">
      <c r="A2669" t="s">
        <v>6374</v>
      </c>
      <c r="B2669" s="4" t="s">
        <v>6357</v>
      </c>
      <c r="C2669" t="s">
        <v>6348</v>
      </c>
    </row>
    <row r="2670" spans="1:3" x14ac:dyDescent="0.3">
      <c r="A2670" t="s">
        <v>6374</v>
      </c>
      <c r="B2670" s="4" t="s">
        <v>6357</v>
      </c>
      <c r="C2670" t="s">
        <v>6348</v>
      </c>
    </row>
    <row r="2671" spans="1:3" x14ac:dyDescent="0.3">
      <c r="A2671" t="s">
        <v>6374</v>
      </c>
      <c r="B2671" s="4" t="s">
        <v>6357</v>
      </c>
      <c r="C2671" t="s">
        <v>958</v>
      </c>
    </row>
    <row r="2672" spans="1:3" x14ac:dyDescent="0.3">
      <c r="A2672" t="s">
        <v>6374</v>
      </c>
      <c r="B2672" s="4" t="s">
        <v>6357</v>
      </c>
      <c r="C2672" t="s">
        <v>6345</v>
      </c>
    </row>
    <row r="2673" spans="1:3" x14ac:dyDescent="0.3">
      <c r="A2673" t="s">
        <v>6374</v>
      </c>
      <c r="B2673" s="4" t="s">
        <v>6357</v>
      </c>
      <c r="C2673" t="s">
        <v>6345</v>
      </c>
    </row>
    <row r="2674" spans="1:3" x14ac:dyDescent="0.3">
      <c r="A2674" t="s">
        <v>6374</v>
      </c>
      <c r="B2674" s="4" t="s">
        <v>6357</v>
      </c>
      <c r="C2674" t="s">
        <v>6345</v>
      </c>
    </row>
    <row r="2675" spans="1:3" x14ac:dyDescent="0.3">
      <c r="A2675" t="s">
        <v>6374</v>
      </c>
      <c r="B2675" s="4" t="s">
        <v>6357</v>
      </c>
      <c r="C2675" t="s">
        <v>6339</v>
      </c>
    </row>
    <row r="2676" spans="1:3" x14ac:dyDescent="0.3">
      <c r="A2676" t="s">
        <v>6374</v>
      </c>
      <c r="B2676" s="4" t="s">
        <v>6357</v>
      </c>
      <c r="C2676" t="s">
        <v>6339</v>
      </c>
    </row>
    <row r="2677" spans="1:3" x14ac:dyDescent="0.3">
      <c r="A2677" t="s">
        <v>6374</v>
      </c>
      <c r="B2677" s="4" t="s">
        <v>6357</v>
      </c>
      <c r="C2677" t="s">
        <v>6339</v>
      </c>
    </row>
    <row r="2678" spans="1:3" x14ac:dyDescent="0.3">
      <c r="A2678" t="s">
        <v>6374</v>
      </c>
      <c r="B2678" s="4" t="s">
        <v>6357</v>
      </c>
      <c r="C2678" t="s">
        <v>6348</v>
      </c>
    </row>
    <row r="2679" spans="1:3" x14ac:dyDescent="0.3">
      <c r="A2679" t="s">
        <v>6374</v>
      </c>
      <c r="B2679" s="4" t="s">
        <v>6357</v>
      </c>
      <c r="C2679" t="s">
        <v>6348</v>
      </c>
    </row>
    <row r="2680" spans="1:3" x14ac:dyDescent="0.3">
      <c r="A2680" t="s">
        <v>6374</v>
      </c>
      <c r="B2680" s="4" t="s">
        <v>6357</v>
      </c>
      <c r="C2680" t="s">
        <v>6345</v>
      </c>
    </row>
    <row r="2681" spans="1:3" x14ac:dyDescent="0.3">
      <c r="A2681" t="s">
        <v>6374</v>
      </c>
      <c r="B2681" s="4" t="s">
        <v>6357</v>
      </c>
      <c r="C2681" t="s">
        <v>6345</v>
      </c>
    </row>
    <row r="2682" spans="1:3" x14ac:dyDescent="0.3">
      <c r="A2682" t="s">
        <v>6374</v>
      </c>
      <c r="B2682" s="4" t="s">
        <v>6357</v>
      </c>
      <c r="C2682" t="s">
        <v>6345</v>
      </c>
    </row>
    <row r="2683" spans="1:3" x14ac:dyDescent="0.3">
      <c r="A2683" t="s">
        <v>6374</v>
      </c>
      <c r="B2683" s="4" t="s">
        <v>6357</v>
      </c>
      <c r="C2683" t="s">
        <v>6345</v>
      </c>
    </row>
    <row r="2684" spans="1:3" x14ac:dyDescent="0.3">
      <c r="A2684" t="s">
        <v>6374</v>
      </c>
      <c r="B2684" s="4" t="s">
        <v>6357</v>
      </c>
      <c r="C2684" t="s">
        <v>6339</v>
      </c>
    </row>
    <row r="2685" spans="1:3" x14ac:dyDescent="0.3">
      <c r="A2685" t="s">
        <v>6374</v>
      </c>
      <c r="B2685" s="4" t="s">
        <v>6357</v>
      </c>
      <c r="C2685" t="s">
        <v>6339</v>
      </c>
    </row>
    <row r="2686" spans="1:3" x14ac:dyDescent="0.3">
      <c r="A2686" t="s">
        <v>6374</v>
      </c>
      <c r="B2686" s="4" t="s">
        <v>6357</v>
      </c>
      <c r="C2686" t="s">
        <v>6339</v>
      </c>
    </row>
    <row r="2687" spans="1:3" x14ac:dyDescent="0.3">
      <c r="A2687" t="s">
        <v>6374</v>
      </c>
      <c r="B2687" s="4" t="s">
        <v>6357</v>
      </c>
      <c r="C2687" t="s">
        <v>6339</v>
      </c>
    </row>
    <row r="2688" spans="1:3" x14ac:dyDescent="0.3">
      <c r="A2688" t="s">
        <v>6374</v>
      </c>
      <c r="B2688" s="4" t="s">
        <v>6357</v>
      </c>
      <c r="C2688" t="s">
        <v>6339</v>
      </c>
    </row>
    <row r="2689" spans="1:3" x14ac:dyDescent="0.3">
      <c r="A2689" t="s">
        <v>6374</v>
      </c>
      <c r="B2689" s="4" t="s">
        <v>6357</v>
      </c>
      <c r="C2689" t="s">
        <v>6339</v>
      </c>
    </row>
    <row r="2690" spans="1:3" x14ac:dyDescent="0.3">
      <c r="A2690" t="s">
        <v>6374</v>
      </c>
      <c r="B2690" s="4" t="s">
        <v>6357</v>
      </c>
      <c r="C2690" t="s">
        <v>6339</v>
      </c>
    </row>
    <row r="2691" spans="1:3" x14ac:dyDescent="0.3">
      <c r="A2691" t="s">
        <v>6374</v>
      </c>
      <c r="B2691" s="4" t="s">
        <v>6357</v>
      </c>
      <c r="C2691" t="s">
        <v>6348</v>
      </c>
    </row>
    <row r="2692" spans="1:3" x14ac:dyDescent="0.3">
      <c r="A2692" t="s">
        <v>6374</v>
      </c>
      <c r="B2692" s="4" t="s">
        <v>6357</v>
      </c>
      <c r="C2692" t="s">
        <v>6345</v>
      </c>
    </row>
    <row r="2693" spans="1:3" x14ac:dyDescent="0.3">
      <c r="A2693" t="s">
        <v>6374</v>
      </c>
      <c r="B2693" s="4" t="s">
        <v>6357</v>
      </c>
      <c r="C2693" t="s">
        <v>6345</v>
      </c>
    </row>
    <row r="2694" spans="1:3" x14ac:dyDescent="0.3">
      <c r="A2694" t="s">
        <v>6374</v>
      </c>
      <c r="B2694" s="4" t="s">
        <v>6357</v>
      </c>
      <c r="C2694" t="s">
        <v>6345</v>
      </c>
    </row>
    <row r="2695" spans="1:3" x14ac:dyDescent="0.3">
      <c r="A2695" t="s">
        <v>6374</v>
      </c>
      <c r="B2695" s="4" t="s">
        <v>6357</v>
      </c>
      <c r="C2695" t="s">
        <v>6345</v>
      </c>
    </row>
    <row r="2696" spans="1:3" x14ac:dyDescent="0.3">
      <c r="A2696" t="s">
        <v>6374</v>
      </c>
      <c r="B2696" s="4" t="s">
        <v>6357</v>
      </c>
      <c r="C2696" t="s">
        <v>6345</v>
      </c>
    </row>
    <row r="2697" spans="1:3" x14ac:dyDescent="0.3">
      <c r="A2697" t="s">
        <v>6374</v>
      </c>
      <c r="B2697" s="4" t="s">
        <v>6357</v>
      </c>
      <c r="C2697" t="s">
        <v>6339</v>
      </c>
    </row>
    <row r="2698" spans="1:3" x14ac:dyDescent="0.3">
      <c r="A2698" t="s">
        <v>6374</v>
      </c>
      <c r="B2698" s="4" t="s">
        <v>6357</v>
      </c>
      <c r="C2698" t="s">
        <v>6339</v>
      </c>
    </row>
    <row r="2699" spans="1:3" x14ac:dyDescent="0.3">
      <c r="A2699" t="s">
        <v>6374</v>
      </c>
      <c r="B2699" s="4" t="s">
        <v>6357</v>
      </c>
      <c r="C2699" t="s">
        <v>6345</v>
      </c>
    </row>
    <row r="2700" spans="1:3" x14ac:dyDescent="0.3">
      <c r="A2700" t="s">
        <v>6374</v>
      </c>
      <c r="B2700" s="4" t="s">
        <v>6357</v>
      </c>
      <c r="C2700" t="s">
        <v>6345</v>
      </c>
    </row>
    <row r="2701" spans="1:3" x14ac:dyDescent="0.3">
      <c r="A2701" t="s">
        <v>6374</v>
      </c>
      <c r="B2701" s="4" t="s">
        <v>6368</v>
      </c>
      <c r="C2701" t="s">
        <v>6358</v>
      </c>
    </row>
    <row r="2702" spans="1:3" x14ac:dyDescent="0.3">
      <c r="A2702" t="s">
        <v>6374</v>
      </c>
      <c r="B2702" s="4" t="s">
        <v>6368</v>
      </c>
      <c r="C2702" t="s">
        <v>958</v>
      </c>
    </row>
    <row r="2703" spans="1:3" x14ac:dyDescent="0.3">
      <c r="A2703" t="s">
        <v>6374</v>
      </c>
      <c r="B2703" s="4" t="s">
        <v>6368</v>
      </c>
      <c r="C2703" t="s">
        <v>958</v>
      </c>
    </row>
    <row r="2704" spans="1:3" x14ac:dyDescent="0.3">
      <c r="A2704" t="s">
        <v>6374</v>
      </c>
      <c r="B2704" s="4" t="s">
        <v>6368</v>
      </c>
      <c r="C2704" t="s">
        <v>6345</v>
      </c>
    </row>
    <row r="2705" spans="1:3" x14ac:dyDescent="0.3">
      <c r="A2705" t="s">
        <v>6374</v>
      </c>
      <c r="B2705" s="4" t="s">
        <v>6368</v>
      </c>
      <c r="C2705" t="s">
        <v>6345</v>
      </c>
    </row>
    <row r="2706" spans="1:3" x14ac:dyDescent="0.3">
      <c r="A2706" t="s">
        <v>6374</v>
      </c>
      <c r="B2706" s="4" t="s">
        <v>6368</v>
      </c>
      <c r="C2706" t="s">
        <v>958</v>
      </c>
    </row>
    <row r="2707" spans="1:3" x14ac:dyDescent="0.3">
      <c r="A2707" t="s">
        <v>6374</v>
      </c>
      <c r="B2707" s="4" t="s">
        <v>6368</v>
      </c>
      <c r="C2707" t="s">
        <v>958</v>
      </c>
    </row>
    <row r="2708" spans="1:3" x14ac:dyDescent="0.3">
      <c r="A2708" t="s">
        <v>6374</v>
      </c>
      <c r="B2708" s="4" t="s">
        <v>6368</v>
      </c>
      <c r="C2708" t="s">
        <v>6345</v>
      </c>
    </row>
    <row r="2709" spans="1:3" x14ac:dyDescent="0.3">
      <c r="A2709" t="s">
        <v>6374</v>
      </c>
      <c r="B2709" s="4" t="s">
        <v>6368</v>
      </c>
      <c r="C2709" t="s">
        <v>6358</v>
      </c>
    </row>
    <row r="2710" spans="1:3" x14ac:dyDescent="0.3">
      <c r="A2710" t="s">
        <v>6374</v>
      </c>
      <c r="B2710" s="4" t="s">
        <v>6368</v>
      </c>
      <c r="C2710" t="s">
        <v>958</v>
      </c>
    </row>
    <row r="2711" spans="1:3" x14ac:dyDescent="0.3">
      <c r="A2711" t="s">
        <v>6374</v>
      </c>
      <c r="B2711" s="4" t="s">
        <v>6368</v>
      </c>
      <c r="C2711" t="s">
        <v>958</v>
      </c>
    </row>
    <row r="2712" spans="1:3" x14ac:dyDescent="0.3">
      <c r="A2712" t="s">
        <v>6374</v>
      </c>
      <c r="B2712" s="4" t="s">
        <v>6368</v>
      </c>
      <c r="C2712" t="s">
        <v>958</v>
      </c>
    </row>
    <row r="2713" spans="1:3" x14ac:dyDescent="0.3">
      <c r="A2713" t="s">
        <v>6374</v>
      </c>
      <c r="B2713" s="4" t="s">
        <v>6368</v>
      </c>
      <c r="C2713" t="s">
        <v>6345</v>
      </c>
    </row>
    <row r="2714" spans="1:3" x14ac:dyDescent="0.3">
      <c r="A2714" t="s">
        <v>6374</v>
      </c>
      <c r="B2714" s="4" t="s">
        <v>6368</v>
      </c>
      <c r="C2714" t="s">
        <v>6358</v>
      </c>
    </row>
    <row r="2715" spans="1:3" x14ac:dyDescent="0.3">
      <c r="A2715" t="s">
        <v>6374</v>
      </c>
      <c r="B2715" s="4" t="s">
        <v>6368</v>
      </c>
      <c r="C2715" t="s">
        <v>6358</v>
      </c>
    </row>
    <row r="2716" spans="1:3" x14ac:dyDescent="0.3">
      <c r="A2716" t="s">
        <v>6374</v>
      </c>
      <c r="B2716" s="4" t="s">
        <v>6368</v>
      </c>
      <c r="C2716" t="s">
        <v>6345</v>
      </c>
    </row>
    <row r="2717" spans="1:3" x14ac:dyDescent="0.3">
      <c r="A2717" t="s">
        <v>6374</v>
      </c>
      <c r="B2717" s="4" t="s">
        <v>6368</v>
      </c>
      <c r="C2717" t="s">
        <v>958</v>
      </c>
    </row>
    <row r="2718" spans="1:3" x14ac:dyDescent="0.3">
      <c r="A2718" t="s">
        <v>6374</v>
      </c>
      <c r="B2718" s="4" t="s">
        <v>6368</v>
      </c>
      <c r="C2718" t="s">
        <v>958</v>
      </c>
    </row>
    <row r="2719" spans="1:3" x14ac:dyDescent="0.3">
      <c r="A2719" t="s">
        <v>6374</v>
      </c>
      <c r="B2719" s="4" t="s">
        <v>6368</v>
      </c>
      <c r="C2719" t="s">
        <v>958</v>
      </c>
    </row>
    <row r="2720" spans="1:3" x14ac:dyDescent="0.3">
      <c r="A2720" t="s">
        <v>6374</v>
      </c>
      <c r="B2720" s="4" t="s">
        <v>6368</v>
      </c>
      <c r="C2720" t="s">
        <v>958</v>
      </c>
    </row>
    <row r="2721" spans="1:3" x14ac:dyDescent="0.3">
      <c r="A2721" t="s">
        <v>6374</v>
      </c>
      <c r="B2721" s="4" t="s">
        <v>6368</v>
      </c>
      <c r="C2721" t="s">
        <v>958</v>
      </c>
    </row>
    <row r="2722" spans="1:3" x14ac:dyDescent="0.3">
      <c r="A2722" t="s">
        <v>6374</v>
      </c>
      <c r="B2722" s="4" t="s">
        <v>6368</v>
      </c>
      <c r="C2722" t="s">
        <v>6358</v>
      </c>
    </row>
    <row r="2723" spans="1:3" x14ac:dyDescent="0.3">
      <c r="A2723" t="s">
        <v>6374</v>
      </c>
      <c r="B2723" s="4" t="s">
        <v>6368</v>
      </c>
      <c r="C2723" t="s">
        <v>958</v>
      </c>
    </row>
    <row r="2724" spans="1:3" x14ac:dyDescent="0.3">
      <c r="A2724" t="s">
        <v>6374</v>
      </c>
      <c r="B2724" s="4" t="s">
        <v>6368</v>
      </c>
      <c r="C2724" t="s">
        <v>958</v>
      </c>
    </row>
    <row r="2725" spans="1:3" x14ac:dyDescent="0.3">
      <c r="A2725" t="s">
        <v>6374</v>
      </c>
      <c r="B2725" s="4" t="s">
        <v>6368</v>
      </c>
      <c r="C2725" t="s">
        <v>958</v>
      </c>
    </row>
    <row r="2726" spans="1:3" x14ac:dyDescent="0.3">
      <c r="A2726" t="s">
        <v>6374</v>
      </c>
      <c r="B2726" s="4" t="s">
        <v>6368</v>
      </c>
      <c r="C2726" t="s">
        <v>6345</v>
      </c>
    </row>
    <row r="2727" spans="1:3" x14ac:dyDescent="0.3">
      <c r="A2727" t="s">
        <v>6374</v>
      </c>
      <c r="B2727" s="4" t="s">
        <v>6368</v>
      </c>
      <c r="C2727" t="s">
        <v>6345</v>
      </c>
    </row>
    <row r="2728" spans="1:3" x14ac:dyDescent="0.3">
      <c r="A2728" t="s">
        <v>6374</v>
      </c>
      <c r="B2728" s="4" t="s">
        <v>6368</v>
      </c>
      <c r="C2728" t="s">
        <v>6358</v>
      </c>
    </row>
    <row r="2729" spans="1:3" x14ac:dyDescent="0.3">
      <c r="A2729" t="s">
        <v>6374</v>
      </c>
      <c r="B2729" s="4" t="s">
        <v>6368</v>
      </c>
      <c r="C2729" t="s">
        <v>958</v>
      </c>
    </row>
    <row r="2730" spans="1:3" x14ac:dyDescent="0.3">
      <c r="A2730" t="s">
        <v>6374</v>
      </c>
      <c r="B2730" s="4" t="s">
        <v>6368</v>
      </c>
      <c r="C2730" t="s">
        <v>958</v>
      </c>
    </row>
    <row r="2731" spans="1:3" x14ac:dyDescent="0.3">
      <c r="A2731" t="s">
        <v>6374</v>
      </c>
      <c r="B2731" s="4" t="s">
        <v>6368</v>
      </c>
      <c r="C2731" t="s">
        <v>6337</v>
      </c>
    </row>
    <row r="2732" spans="1:3" x14ac:dyDescent="0.3">
      <c r="A2732" t="s">
        <v>6374</v>
      </c>
      <c r="B2732" s="4" t="s">
        <v>6368</v>
      </c>
      <c r="C2732" t="s">
        <v>6337</v>
      </c>
    </row>
    <row r="2733" spans="1:3" x14ac:dyDescent="0.3">
      <c r="A2733" t="s">
        <v>6374</v>
      </c>
      <c r="B2733" s="4" t="s">
        <v>6368</v>
      </c>
      <c r="C2733" t="s">
        <v>958</v>
      </c>
    </row>
    <row r="2734" spans="1:3" x14ac:dyDescent="0.3">
      <c r="A2734" t="s">
        <v>6374</v>
      </c>
      <c r="B2734" s="4" t="s">
        <v>6368</v>
      </c>
      <c r="C2734" t="s">
        <v>958</v>
      </c>
    </row>
    <row r="2735" spans="1:3" x14ac:dyDescent="0.3">
      <c r="A2735" t="s">
        <v>6374</v>
      </c>
      <c r="B2735" s="4" t="s">
        <v>6368</v>
      </c>
      <c r="C2735" t="s">
        <v>958</v>
      </c>
    </row>
    <row r="2736" spans="1:3" x14ac:dyDescent="0.3">
      <c r="A2736" t="s">
        <v>6374</v>
      </c>
      <c r="B2736" s="4" t="s">
        <v>6368</v>
      </c>
      <c r="C2736" t="s">
        <v>958</v>
      </c>
    </row>
    <row r="2737" spans="1:3" x14ac:dyDescent="0.3">
      <c r="A2737" t="s">
        <v>6374</v>
      </c>
      <c r="B2737" s="4" t="s">
        <v>6368</v>
      </c>
      <c r="C2737" t="s">
        <v>958</v>
      </c>
    </row>
    <row r="2738" spans="1:3" x14ac:dyDescent="0.3">
      <c r="A2738" t="s">
        <v>6374</v>
      </c>
      <c r="B2738" s="4" t="s">
        <v>6368</v>
      </c>
      <c r="C2738" t="s">
        <v>958</v>
      </c>
    </row>
    <row r="2739" spans="1:3" x14ac:dyDescent="0.3">
      <c r="A2739" t="s">
        <v>6374</v>
      </c>
      <c r="B2739" s="4" t="s">
        <v>6368</v>
      </c>
      <c r="C2739" t="s">
        <v>958</v>
      </c>
    </row>
    <row r="2740" spans="1:3" x14ac:dyDescent="0.3">
      <c r="A2740" t="s">
        <v>6374</v>
      </c>
      <c r="B2740" s="4" t="s">
        <v>6368</v>
      </c>
      <c r="C2740" t="s">
        <v>958</v>
      </c>
    </row>
    <row r="2741" spans="1:3" x14ac:dyDescent="0.3">
      <c r="A2741" t="s">
        <v>6374</v>
      </c>
      <c r="B2741" s="4" t="s">
        <v>6368</v>
      </c>
      <c r="C2741" t="s">
        <v>958</v>
      </c>
    </row>
    <row r="2742" spans="1:3" x14ac:dyDescent="0.3">
      <c r="A2742" t="s">
        <v>6374</v>
      </c>
      <c r="B2742" s="4" t="s">
        <v>6368</v>
      </c>
      <c r="C2742" t="s">
        <v>958</v>
      </c>
    </row>
    <row r="2743" spans="1:3" x14ac:dyDescent="0.3">
      <c r="A2743" t="s">
        <v>6374</v>
      </c>
      <c r="B2743" s="4" t="s">
        <v>6368</v>
      </c>
      <c r="C2743" t="s">
        <v>958</v>
      </c>
    </row>
    <row r="2744" spans="1:3" x14ac:dyDescent="0.3">
      <c r="A2744" t="s">
        <v>6374</v>
      </c>
      <c r="B2744" s="4" t="s">
        <v>6368</v>
      </c>
      <c r="C2744" t="s">
        <v>958</v>
      </c>
    </row>
    <row r="2745" spans="1:3" x14ac:dyDescent="0.3">
      <c r="A2745" t="s">
        <v>6374</v>
      </c>
      <c r="B2745" s="4" t="s">
        <v>6368</v>
      </c>
      <c r="C2745" t="s">
        <v>958</v>
      </c>
    </row>
    <row r="2746" spans="1:3" x14ac:dyDescent="0.3">
      <c r="A2746" t="s">
        <v>6374</v>
      </c>
      <c r="B2746" s="4" t="s">
        <v>6368</v>
      </c>
      <c r="C2746" t="s">
        <v>6345</v>
      </c>
    </row>
    <row r="2747" spans="1:3" x14ac:dyDescent="0.3">
      <c r="A2747" t="s">
        <v>6374</v>
      </c>
      <c r="B2747" s="4" t="s">
        <v>6368</v>
      </c>
      <c r="C2747" t="s">
        <v>6345</v>
      </c>
    </row>
    <row r="2748" spans="1:3" x14ac:dyDescent="0.3">
      <c r="A2748" t="s">
        <v>6374</v>
      </c>
      <c r="B2748" s="4" t="s">
        <v>6368</v>
      </c>
      <c r="C2748" t="s">
        <v>6345</v>
      </c>
    </row>
    <row r="2749" spans="1:3" x14ac:dyDescent="0.3">
      <c r="A2749" t="s">
        <v>6374</v>
      </c>
      <c r="B2749" s="4" t="s">
        <v>6368</v>
      </c>
      <c r="C2749" t="s">
        <v>6345</v>
      </c>
    </row>
    <row r="2750" spans="1:3" x14ac:dyDescent="0.3">
      <c r="A2750" t="s">
        <v>6374</v>
      </c>
      <c r="B2750" s="4" t="s">
        <v>6368</v>
      </c>
      <c r="C2750" t="s">
        <v>6345</v>
      </c>
    </row>
    <row r="2751" spans="1:3" x14ac:dyDescent="0.3">
      <c r="A2751" t="s">
        <v>6374</v>
      </c>
      <c r="B2751" s="4" t="s">
        <v>6368</v>
      </c>
      <c r="C2751" t="s">
        <v>6345</v>
      </c>
    </row>
    <row r="2752" spans="1:3" x14ac:dyDescent="0.3">
      <c r="A2752" t="s">
        <v>6374</v>
      </c>
      <c r="B2752" s="4" t="s">
        <v>6368</v>
      </c>
      <c r="C2752" t="s">
        <v>6358</v>
      </c>
    </row>
    <row r="2753" spans="1:3" x14ac:dyDescent="0.3">
      <c r="A2753" t="s">
        <v>6374</v>
      </c>
      <c r="B2753" s="4" t="s">
        <v>6368</v>
      </c>
      <c r="C2753" t="s">
        <v>6358</v>
      </c>
    </row>
    <row r="2754" spans="1:3" x14ac:dyDescent="0.3">
      <c r="A2754" t="s">
        <v>6374</v>
      </c>
      <c r="B2754" s="4" t="s">
        <v>6368</v>
      </c>
      <c r="C2754" t="s">
        <v>6358</v>
      </c>
    </row>
    <row r="2755" spans="1:3" x14ac:dyDescent="0.3">
      <c r="A2755" t="s">
        <v>6374</v>
      </c>
      <c r="B2755" s="4" t="s">
        <v>6368</v>
      </c>
      <c r="C2755" t="s">
        <v>958</v>
      </c>
    </row>
    <row r="2756" spans="1:3" x14ac:dyDescent="0.3">
      <c r="A2756" t="s">
        <v>6374</v>
      </c>
      <c r="B2756" s="4" t="s">
        <v>6368</v>
      </c>
      <c r="C2756" t="s">
        <v>958</v>
      </c>
    </row>
    <row r="2757" spans="1:3" x14ac:dyDescent="0.3">
      <c r="A2757" t="s">
        <v>6374</v>
      </c>
      <c r="B2757" s="4" t="s">
        <v>6368</v>
      </c>
      <c r="C2757" t="s">
        <v>958</v>
      </c>
    </row>
    <row r="2758" spans="1:3" x14ac:dyDescent="0.3">
      <c r="A2758" t="s">
        <v>6374</v>
      </c>
      <c r="B2758" s="4" t="s">
        <v>6368</v>
      </c>
      <c r="C2758" t="s">
        <v>958</v>
      </c>
    </row>
    <row r="2759" spans="1:3" x14ac:dyDescent="0.3">
      <c r="A2759" t="s">
        <v>6374</v>
      </c>
      <c r="B2759" s="4" t="s">
        <v>6368</v>
      </c>
      <c r="C2759" t="s">
        <v>958</v>
      </c>
    </row>
    <row r="2760" spans="1:3" x14ac:dyDescent="0.3">
      <c r="A2760" t="s">
        <v>6374</v>
      </c>
      <c r="B2760" s="4" t="s">
        <v>6368</v>
      </c>
      <c r="C2760" t="s">
        <v>6345</v>
      </c>
    </row>
    <row r="2761" spans="1:3" x14ac:dyDescent="0.3">
      <c r="A2761" t="s">
        <v>6374</v>
      </c>
      <c r="B2761" s="4" t="s">
        <v>6368</v>
      </c>
      <c r="C2761" t="s">
        <v>6345</v>
      </c>
    </row>
    <row r="2762" spans="1:3" x14ac:dyDescent="0.3">
      <c r="A2762" t="s">
        <v>6374</v>
      </c>
      <c r="B2762" s="4" t="s">
        <v>6368</v>
      </c>
      <c r="C2762" t="s">
        <v>6345</v>
      </c>
    </row>
    <row r="2763" spans="1:3" x14ac:dyDescent="0.3">
      <c r="A2763" t="s">
        <v>6374</v>
      </c>
      <c r="B2763" s="4" t="s">
        <v>6368</v>
      </c>
      <c r="C2763" t="s">
        <v>6345</v>
      </c>
    </row>
    <row r="2764" spans="1:3" x14ac:dyDescent="0.3">
      <c r="A2764" t="s">
        <v>6374</v>
      </c>
      <c r="B2764" s="4" t="s">
        <v>6368</v>
      </c>
      <c r="C2764" t="s">
        <v>6345</v>
      </c>
    </row>
    <row r="2765" spans="1:3" x14ac:dyDescent="0.3">
      <c r="A2765" t="s">
        <v>6374</v>
      </c>
      <c r="B2765" s="4" t="s">
        <v>6368</v>
      </c>
      <c r="C2765" t="s">
        <v>6358</v>
      </c>
    </row>
    <row r="2766" spans="1:3" x14ac:dyDescent="0.3">
      <c r="A2766" t="s">
        <v>6374</v>
      </c>
      <c r="B2766" s="4" t="s">
        <v>6368</v>
      </c>
      <c r="C2766" t="s">
        <v>6358</v>
      </c>
    </row>
    <row r="2767" spans="1:3" x14ac:dyDescent="0.3">
      <c r="A2767" t="s">
        <v>6374</v>
      </c>
      <c r="B2767" s="4" t="s">
        <v>6368</v>
      </c>
      <c r="C2767" t="s">
        <v>6358</v>
      </c>
    </row>
    <row r="2768" spans="1:3" x14ac:dyDescent="0.3">
      <c r="A2768" t="s">
        <v>6374</v>
      </c>
      <c r="B2768" s="4" t="s">
        <v>6368</v>
      </c>
      <c r="C2768" t="s">
        <v>6358</v>
      </c>
    </row>
    <row r="2769" spans="1:3" x14ac:dyDescent="0.3">
      <c r="A2769" t="s">
        <v>6374</v>
      </c>
      <c r="B2769" s="4" t="s">
        <v>6368</v>
      </c>
      <c r="C2769" t="s">
        <v>6358</v>
      </c>
    </row>
    <row r="2770" spans="1:3" x14ac:dyDescent="0.3">
      <c r="A2770" t="s">
        <v>6374</v>
      </c>
      <c r="B2770" s="4" t="s">
        <v>6368</v>
      </c>
      <c r="C2770" t="s">
        <v>6358</v>
      </c>
    </row>
    <row r="2771" spans="1:3" x14ac:dyDescent="0.3">
      <c r="A2771" t="s">
        <v>6374</v>
      </c>
      <c r="B2771" s="4" t="s">
        <v>6368</v>
      </c>
      <c r="C2771" t="s">
        <v>6358</v>
      </c>
    </row>
    <row r="2772" spans="1:3" x14ac:dyDescent="0.3">
      <c r="A2772" t="s">
        <v>6374</v>
      </c>
      <c r="B2772" s="4" t="s">
        <v>6368</v>
      </c>
      <c r="C2772" t="s">
        <v>958</v>
      </c>
    </row>
    <row r="2773" spans="1:3" x14ac:dyDescent="0.3">
      <c r="A2773" t="s">
        <v>6374</v>
      </c>
      <c r="B2773" s="4" t="s">
        <v>6368</v>
      </c>
      <c r="C2773" t="s">
        <v>958</v>
      </c>
    </row>
    <row r="2774" spans="1:3" x14ac:dyDescent="0.3">
      <c r="A2774" t="s">
        <v>6374</v>
      </c>
      <c r="B2774" s="4" t="s">
        <v>6368</v>
      </c>
      <c r="C2774" t="s">
        <v>958</v>
      </c>
    </row>
    <row r="2775" spans="1:3" x14ac:dyDescent="0.3">
      <c r="A2775" t="s">
        <v>6374</v>
      </c>
      <c r="B2775" s="4" t="s">
        <v>6368</v>
      </c>
      <c r="C2775" t="s">
        <v>6345</v>
      </c>
    </row>
    <row r="2776" spans="1:3" x14ac:dyDescent="0.3">
      <c r="A2776" t="s">
        <v>6374</v>
      </c>
      <c r="B2776" s="4" t="s">
        <v>6368</v>
      </c>
      <c r="C2776" t="s">
        <v>6358</v>
      </c>
    </row>
    <row r="2777" spans="1:3" x14ac:dyDescent="0.3">
      <c r="A2777" t="s">
        <v>6374</v>
      </c>
      <c r="B2777" s="4" t="s">
        <v>6368</v>
      </c>
      <c r="C2777" t="s">
        <v>958</v>
      </c>
    </row>
    <row r="2778" spans="1:3" x14ac:dyDescent="0.3">
      <c r="A2778" t="s">
        <v>6374</v>
      </c>
      <c r="B2778" s="4" t="s">
        <v>6372</v>
      </c>
      <c r="C2778" t="s">
        <v>6339</v>
      </c>
    </row>
    <row r="2779" spans="1:3" x14ac:dyDescent="0.3">
      <c r="A2779" t="s">
        <v>6374</v>
      </c>
      <c r="B2779" s="4" t="s">
        <v>6372</v>
      </c>
      <c r="C2779" t="s">
        <v>6339</v>
      </c>
    </row>
    <row r="2780" spans="1:3" x14ac:dyDescent="0.3">
      <c r="A2780" t="s">
        <v>6374</v>
      </c>
      <c r="B2780" s="4" t="s">
        <v>6372</v>
      </c>
      <c r="C2780" t="s">
        <v>6339</v>
      </c>
    </row>
    <row r="2781" spans="1:3" x14ac:dyDescent="0.3">
      <c r="A2781" t="s">
        <v>6374</v>
      </c>
      <c r="B2781" s="4" t="s">
        <v>6372</v>
      </c>
      <c r="C2781" t="s">
        <v>6339</v>
      </c>
    </row>
    <row r="2782" spans="1:3" x14ac:dyDescent="0.3">
      <c r="A2782" t="s">
        <v>6374</v>
      </c>
      <c r="B2782" s="4" t="s">
        <v>6372</v>
      </c>
      <c r="C2782" t="s">
        <v>6339</v>
      </c>
    </row>
    <row r="2783" spans="1:3" x14ac:dyDescent="0.3">
      <c r="A2783" t="s">
        <v>6374</v>
      </c>
      <c r="B2783" s="4" t="s">
        <v>6372</v>
      </c>
      <c r="C2783" t="s">
        <v>6339</v>
      </c>
    </row>
    <row r="2784" spans="1:3" x14ac:dyDescent="0.3">
      <c r="A2784" t="s">
        <v>6374</v>
      </c>
      <c r="B2784" s="4" t="s">
        <v>6372</v>
      </c>
      <c r="C2784" t="s">
        <v>6339</v>
      </c>
    </row>
    <row r="2785" spans="1:3" x14ac:dyDescent="0.3">
      <c r="A2785" t="s">
        <v>6374</v>
      </c>
      <c r="B2785" s="4" t="s">
        <v>6372</v>
      </c>
      <c r="C2785" t="s">
        <v>6339</v>
      </c>
    </row>
    <row r="2786" spans="1:3" x14ac:dyDescent="0.3">
      <c r="A2786" t="s">
        <v>6374</v>
      </c>
      <c r="B2786" s="4" t="s">
        <v>6372</v>
      </c>
      <c r="C2786" t="s">
        <v>6339</v>
      </c>
    </row>
    <row r="2787" spans="1:3" x14ac:dyDescent="0.3">
      <c r="A2787" t="s">
        <v>6374</v>
      </c>
      <c r="B2787" s="4" t="s">
        <v>6372</v>
      </c>
      <c r="C2787" t="s">
        <v>6339</v>
      </c>
    </row>
    <row r="2788" spans="1:3" x14ac:dyDescent="0.3">
      <c r="A2788" t="s">
        <v>6374</v>
      </c>
      <c r="B2788" s="4" t="s">
        <v>6372</v>
      </c>
      <c r="C2788" t="s">
        <v>6339</v>
      </c>
    </row>
    <row r="2789" spans="1:3" x14ac:dyDescent="0.3">
      <c r="A2789" t="s">
        <v>6374</v>
      </c>
      <c r="B2789" s="4" t="s">
        <v>6372</v>
      </c>
      <c r="C2789" t="s">
        <v>6339</v>
      </c>
    </row>
    <row r="2790" spans="1:3" x14ac:dyDescent="0.3">
      <c r="A2790" t="s">
        <v>6374</v>
      </c>
      <c r="B2790" s="4" t="s">
        <v>6372</v>
      </c>
      <c r="C2790" t="s">
        <v>6339</v>
      </c>
    </row>
    <row r="2791" spans="1:3" x14ac:dyDescent="0.3">
      <c r="A2791" t="s">
        <v>6374</v>
      </c>
      <c r="B2791" s="4" t="s">
        <v>6372</v>
      </c>
      <c r="C2791" t="s">
        <v>6339</v>
      </c>
    </row>
    <row r="2792" spans="1:3" x14ac:dyDescent="0.3">
      <c r="A2792" t="s">
        <v>6374</v>
      </c>
      <c r="B2792" s="4" t="s">
        <v>6372</v>
      </c>
      <c r="C2792" t="s">
        <v>6339</v>
      </c>
    </row>
    <row r="2793" spans="1:3" x14ac:dyDescent="0.3">
      <c r="A2793" t="s">
        <v>6374</v>
      </c>
      <c r="B2793" s="4" t="s">
        <v>6372</v>
      </c>
      <c r="C2793" t="s">
        <v>6339</v>
      </c>
    </row>
    <row r="2794" spans="1:3" x14ac:dyDescent="0.3">
      <c r="A2794" t="s">
        <v>6374</v>
      </c>
      <c r="B2794" s="4" t="s">
        <v>6372</v>
      </c>
      <c r="C2794" t="s">
        <v>6339</v>
      </c>
    </row>
    <row r="2795" spans="1:3" x14ac:dyDescent="0.3">
      <c r="A2795" t="s">
        <v>6374</v>
      </c>
      <c r="B2795" s="4" t="s">
        <v>6372</v>
      </c>
      <c r="C2795" t="s">
        <v>6339</v>
      </c>
    </row>
    <row r="2796" spans="1:3" x14ac:dyDescent="0.3">
      <c r="A2796" t="s">
        <v>6374</v>
      </c>
      <c r="B2796" s="4" t="s">
        <v>6372</v>
      </c>
      <c r="C2796" t="s">
        <v>6339</v>
      </c>
    </row>
    <row r="2797" spans="1:3" x14ac:dyDescent="0.3">
      <c r="A2797" t="s">
        <v>6374</v>
      </c>
      <c r="B2797" s="4" t="s">
        <v>6372</v>
      </c>
      <c r="C2797" t="s">
        <v>6339</v>
      </c>
    </row>
    <row r="2798" spans="1:3" x14ac:dyDescent="0.3">
      <c r="A2798" t="s">
        <v>6374</v>
      </c>
      <c r="B2798" s="4" t="s">
        <v>6372</v>
      </c>
      <c r="C2798" t="s">
        <v>6339</v>
      </c>
    </row>
    <row r="2799" spans="1:3" x14ac:dyDescent="0.3">
      <c r="A2799" t="s">
        <v>6374</v>
      </c>
      <c r="B2799" s="4" t="s">
        <v>6372</v>
      </c>
      <c r="C2799" t="s">
        <v>6339</v>
      </c>
    </row>
    <row r="2800" spans="1:3" x14ac:dyDescent="0.3">
      <c r="A2800" t="s">
        <v>6374</v>
      </c>
      <c r="B2800" s="4" t="s">
        <v>6372</v>
      </c>
      <c r="C2800" t="s">
        <v>6339</v>
      </c>
    </row>
    <row r="2801" spans="1:3" x14ac:dyDescent="0.3">
      <c r="A2801" t="s">
        <v>6374</v>
      </c>
      <c r="B2801" s="4" t="s">
        <v>6372</v>
      </c>
      <c r="C2801" t="s">
        <v>6339</v>
      </c>
    </row>
    <row r="2802" spans="1:3" x14ac:dyDescent="0.3">
      <c r="A2802" t="s">
        <v>6374</v>
      </c>
      <c r="B2802" s="4" t="s">
        <v>6372</v>
      </c>
      <c r="C2802" t="s">
        <v>6339</v>
      </c>
    </row>
    <row r="2803" spans="1:3" x14ac:dyDescent="0.3">
      <c r="A2803" t="s">
        <v>6374</v>
      </c>
      <c r="B2803" s="4" t="s">
        <v>6372</v>
      </c>
      <c r="C2803" t="s">
        <v>6339</v>
      </c>
    </row>
    <row r="2804" spans="1:3" x14ac:dyDescent="0.3">
      <c r="A2804" t="s">
        <v>6374</v>
      </c>
      <c r="B2804" s="4" t="s">
        <v>6372</v>
      </c>
      <c r="C2804" t="s">
        <v>6339</v>
      </c>
    </row>
    <row r="2805" spans="1:3" x14ac:dyDescent="0.3">
      <c r="A2805" t="s">
        <v>6374</v>
      </c>
      <c r="B2805" s="4" t="s">
        <v>6372</v>
      </c>
      <c r="C2805" t="s">
        <v>6339</v>
      </c>
    </row>
    <row r="2806" spans="1:3" x14ac:dyDescent="0.3">
      <c r="A2806" t="s">
        <v>6374</v>
      </c>
      <c r="B2806" s="4" t="s">
        <v>6372</v>
      </c>
      <c r="C2806" t="s">
        <v>6339</v>
      </c>
    </row>
    <row r="2807" spans="1:3" x14ac:dyDescent="0.3">
      <c r="A2807" t="s">
        <v>6374</v>
      </c>
      <c r="B2807" s="4" t="s">
        <v>6372</v>
      </c>
      <c r="C2807" t="s">
        <v>6339</v>
      </c>
    </row>
    <row r="2808" spans="1:3" x14ac:dyDescent="0.3">
      <c r="A2808" t="s">
        <v>6374</v>
      </c>
      <c r="B2808" s="4" t="s">
        <v>6372</v>
      </c>
      <c r="C2808" t="s">
        <v>6339</v>
      </c>
    </row>
    <row r="2809" spans="1:3" x14ac:dyDescent="0.3">
      <c r="A2809" t="s">
        <v>6374</v>
      </c>
      <c r="B2809" s="4" t="s">
        <v>6372</v>
      </c>
      <c r="C2809" t="s">
        <v>6339</v>
      </c>
    </row>
    <row r="2810" spans="1:3" x14ac:dyDescent="0.3">
      <c r="A2810" t="s">
        <v>6374</v>
      </c>
      <c r="B2810" s="4" t="s">
        <v>6372</v>
      </c>
      <c r="C2810" t="s">
        <v>6339</v>
      </c>
    </row>
    <row r="2811" spans="1:3" x14ac:dyDescent="0.3">
      <c r="A2811" t="s">
        <v>6374</v>
      </c>
      <c r="B2811" s="4" t="s">
        <v>6372</v>
      </c>
      <c r="C2811" t="s">
        <v>6339</v>
      </c>
    </row>
    <row r="2812" spans="1:3" x14ac:dyDescent="0.3">
      <c r="A2812" t="s">
        <v>6374</v>
      </c>
      <c r="B2812" s="4" t="s">
        <v>6372</v>
      </c>
      <c r="C2812" t="s">
        <v>6339</v>
      </c>
    </row>
    <row r="2813" spans="1:3" x14ac:dyDescent="0.3">
      <c r="A2813" t="s">
        <v>6374</v>
      </c>
      <c r="B2813" s="4" t="s">
        <v>6372</v>
      </c>
      <c r="C2813" t="s">
        <v>6339</v>
      </c>
    </row>
    <row r="2814" spans="1:3" x14ac:dyDescent="0.3">
      <c r="A2814" t="s">
        <v>6374</v>
      </c>
      <c r="B2814" s="4" t="s">
        <v>6372</v>
      </c>
      <c r="C2814" t="s">
        <v>6339</v>
      </c>
    </row>
    <row r="2815" spans="1:3" x14ac:dyDescent="0.3">
      <c r="A2815" t="s">
        <v>6374</v>
      </c>
      <c r="B2815" s="4" t="s">
        <v>6372</v>
      </c>
      <c r="C2815" t="s">
        <v>6339</v>
      </c>
    </row>
    <row r="2816" spans="1:3" x14ac:dyDescent="0.3">
      <c r="A2816" t="s">
        <v>6374</v>
      </c>
      <c r="B2816" s="4" t="s">
        <v>6372</v>
      </c>
      <c r="C2816" t="s">
        <v>6339</v>
      </c>
    </row>
    <row r="2817" spans="1:3" x14ac:dyDescent="0.3">
      <c r="A2817" t="s">
        <v>6374</v>
      </c>
      <c r="B2817" s="4" t="s">
        <v>6372</v>
      </c>
      <c r="C2817" t="s">
        <v>6339</v>
      </c>
    </row>
    <row r="2818" spans="1:3" x14ac:dyDescent="0.3">
      <c r="A2818" t="s">
        <v>6374</v>
      </c>
      <c r="B2818" s="4" t="s">
        <v>6372</v>
      </c>
      <c r="C2818" t="s">
        <v>6339</v>
      </c>
    </row>
    <row r="2819" spans="1:3" x14ac:dyDescent="0.3">
      <c r="A2819" t="s">
        <v>6374</v>
      </c>
      <c r="B2819" s="4" t="s">
        <v>6372</v>
      </c>
      <c r="C2819" t="s">
        <v>6339</v>
      </c>
    </row>
    <row r="2820" spans="1:3" x14ac:dyDescent="0.3">
      <c r="A2820" t="s">
        <v>6374</v>
      </c>
      <c r="B2820" s="4" t="s">
        <v>6372</v>
      </c>
      <c r="C2820" t="s">
        <v>6339</v>
      </c>
    </row>
    <row r="2821" spans="1:3" x14ac:dyDescent="0.3">
      <c r="A2821" t="s">
        <v>6374</v>
      </c>
      <c r="B2821" s="4" t="s">
        <v>6372</v>
      </c>
      <c r="C2821" t="s">
        <v>6339</v>
      </c>
    </row>
    <row r="2822" spans="1:3" x14ac:dyDescent="0.3">
      <c r="A2822" t="s">
        <v>6374</v>
      </c>
      <c r="B2822" s="4" t="s">
        <v>6372</v>
      </c>
      <c r="C2822" t="s">
        <v>6339</v>
      </c>
    </row>
    <row r="2823" spans="1:3" x14ac:dyDescent="0.3">
      <c r="A2823" t="s">
        <v>6374</v>
      </c>
      <c r="B2823" s="4" t="s">
        <v>6372</v>
      </c>
      <c r="C2823" t="s">
        <v>6339</v>
      </c>
    </row>
    <row r="2824" spans="1:3" x14ac:dyDescent="0.3">
      <c r="A2824" t="s">
        <v>6374</v>
      </c>
      <c r="B2824" s="4" t="s">
        <v>6372</v>
      </c>
      <c r="C2824" t="s">
        <v>6339</v>
      </c>
    </row>
    <row r="2825" spans="1:3" x14ac:dyDescent="0.3">
      <c r="A2825" t="s">
        <v>6374</v>
      </c>
      <c r="B2825" s="4" t="s">
        <v>6372</v>
      </c>
      <c r="C2825" t="s">
        <v>6339</v>
      </c>
    </row>
    <row r="2826" spans="1:3" x14ac:dyDescent="0.3">
      <c r="A2826" t="s">
        <v>6374</v>
      </c>
      <c r="B2826" s="4" t="s">
        <v>6372</v>
      </c>
      <c r="C2826" t="s">
        <v>6339</v>
      </c>
    </row>
    <row r="2827" spans="1:3" x14ac:dyDescent="0.3">
      <c r="A2827" t="s">
        <v>6374</v>
      </c>
      <c r="B2827" s="4" t="s">
        <v>6372</v>
      </c>
      <c r="C2827" t="s">
        <v>6339</v>
      </c>
    </row>
    <row r="2828" spans="1:3" x14ac:dyDescent="0.3">
      <c r="A2828" t="s">
        <v>6374</v>
      </c>
      <c r="B2828" s="4" t="s">
        <v>6372</v>
      </c>
      <c r="C2828" t="s">
        <v>6339</v>
      </c>
    </row>
    <row r="2829" spans="1:3" x14ac:dyDescent="0.3">
      <c r="A2829" t="s">
        <v>6374</v>
      </c>
      <c r="B2829" s="4" t="s">
        <v>6372</v>
      </c>
      <c r="C2829" t="s">
        <v>6339</v>
      </c>
    </row>
    <row r="2830" spans="1:3" x14ac:dyDescent="0.3">
      <c r="A2830" t="s">
        <v>6374</v>
      </c>
      <c r="B2830" s="4" t="s">
        <v>6372</v>
      </c>
      <c r="C2830" t="s">
        <v>6339</v>
      </c>
    </row>
    <row r="2831" spans="1:3" x14ac:dyDescent="0.3">
      <c r="A2831" t="s">
        <v>6374</v>
      </c>
      <c r="B2831" s="4" t="s">
        <v>6372</v>
      </c>
      <c r="C2831" t="s">
        <v>6339</v>
      </c>
    </row>
    <row r="2832" spans="1:3" x14ac:dyDescent="0.3">
      <c r="A2832" t="s">
        <v>6374</v>
      </c>
      <c r="B2832" s="4" t="s">
        <v>6372</v>
      </c>
      <c r="C2832" t="s">
        <v>6339</v>
      </c>
    </row>
    <row r="2833" spans="1:3" x14ac:dyDescent="0.3">
      <c r="A2833" t="s">
        <v>6374</v>
      </c>
      <c r="B2833" s="4" t="s">
        <v>6372</v>
      </c>
      <c r="C2833" t="s">
        <v>6339</v>
      </c>
    </row>
    <row r="2834" spans="1:3" x14ac:dyDescent="0.3">
      <c r="A2834" t="s">
        <v>6374</v>
      </c>
      <c r="B2834" s="4" t="s">
        <v>6372</v>
      </c>
      <c r="C2834" t="s">
        <v>6339</v>
      </c>
    </row>
    <row r="2835" spans="1:3" x14ac:dyDescent="0.3">
      <c r="A2835" t="s">
        <v>6374</v>
      </c>
      <c r="B2835" s="4" t="s">
        <v>6372</v>
      </c>
      <c r="C2835" t="s">
        <v>6339</v>
      </c>
    </row>
    <row r="2836" spans="1:3" x14ac:dyDescent="0.3">
      <c r="A2836" t="s">
        <v>6374</v>
      </c>
      <c r="B2836" s="4" t="s">
        <v>6372</v>
      </c>
      <c r="C2836" t="s">
        <v>6339</v>
      </c>
    </row>
    <row r="2837" spans="1:3" x14ac:dyDescent="0.3">
      <c r="A2837" t="s">
        <v>6374</v>
      </c>
      <c r="B2837" s="4" t="s">
        <v>6372</v>
      </c>
      <c r="C2837" t="s">
        <v>6339</v>
      </c>
    </row>
    <row r="2838" spans="1:3" x14ac:dyDescent="0.3">
      <c r="A2838" t="s">
        <v>6374</v>
      </c>
      <c r="B2838" s="4" t="s">
        <v>6372</v>
      </c>
      <c r="C2838" t="s">
        <v>6339</v>
      </c>
    </row>
    <row r="2839" spans="1:3" x14ac:dyDescent="0.3">
      <c r="A2839" t="s">
        <v>6374</v>
      </c>
      <c r="B2839" s="4" t="s">
        <v>6372</v>
      </c>
      <c r="C2839" t="s">
        <v>6339</v>
      </c>
    </row>
    <row r="2840" spans="1:3" x14ac:dyDescent="0.3">
      <c r="A2840" t="s">
        <v>6374</v>
      </c>
      <c r="B2840" s="4" t="s">
        <v>6372</v>
      </c>
      <c r="C2840" t="s">
        <v>6339</v>
      </c>
    </row>
    <row r="2841" spans="1:3" x14ac:dyDescent="0.3">
      <c r="A2841" t="s">
        <v>6374</v>
      </c>
      <c r="B2841" s="4" t="s">
        <v>6372</v>
      </c>
      <c r="C2841" t="s">
        <v>6339</v>
      </c>
    </row>
    <row r="2842" spans="1:3" x14ac:dyDescent="0.3">
      <c r="A2842" t="s">
        <v>6374</v>
      </c>
      <c r="B2842" s="4" t="s">
        <v>6372</v>
      </c>
      <c r="C2842" t="s">
        <v>6339</v>
      </c>
    </row>
    <row r="2843" spans="1:3" x14ac:dyDescent="0.3">
      <c r="A2843" t="s">
        <v>6374</v>
      </c>
      <c r="B2843" s="4" t="s">
        <v>6372</v>
      </c>
      <c r="C2843" t="s">
        <v>6339</v>
      </c>
    </row>
    <row r="2844" spans="1:3" x14ac:dyDescent="0.3">
      <c r="A2844" t="s">
        <v>6374</v>
      </c>
      <c r="B2844" s="4" t="s">
        <v>6372</v>
      </c>
      <c r="C2844" t="s">
        <v>6339</v>
      </c>
    </row>
    <row r="2845" spans="1:3" x14ac:dyDescent="0.3">
      <c r="A2845" t="s">
        <v>6374</v>
      </c>
      <c r="B2845" s="4" t="s">
        <v>6372</v>
      </c>
      <c r="C2845" t="s">
        <v>6339</v>
      </c>
    </row>
    <row r="2846" spans="1:3" x14ac:dyDescent="0.3">
      <c r="A2846" t="s">
        <v>6374</v>
      </c>
      <c r="B2846" s="4" t="s">
        <v>6372</v>
      </c>
      <c r="C2846" t="s">
        <v>6339</v>
      </c>
    </row>
    <row r="2847" spans="1:3" x14ac:dyDescent="0.3">
      <c r="A2847" t="s">
        <v>6374</v>
      </c>
      <c r="B2847" s="4" t="s">
        <v>6372</v>
      </c>
      <c r="C2847" t="s">
        <v>6339</v>
      </c>
    </row>
    <row r="2848" spans="1:3" x14ac:dyDescent="0.3">
      <c r="A2848" t="s">
        <v>6374</v>
      </c>
      <c r="B2848" s="4" t="s">
        <v>6372</v>
      </c>
      <c r="C2848" t="s">
        <v>6339</v>
      </c>
    </row>
    <row r="2849" spans="1:3" x14ac:dyDescent="0.3">
      <c r="A2849" t="s">
        <v>6374</v>
      </c>
      <c r="B2849" s="4" t="s">
        <v>6372</v>
      </c>
      <c r="C2849" t="s">
        <v>6339</v>
      </c>
    </row>
    <row r="2850" spans="1:3" x14ac:dyDescent="0.3">
      <c r="A2850" t="s">
        <v>6374</v>
      </c>
      <c r="B2850" s="4" t="s">
        <v>6372</v>
      </c>
      <c r="C2850" t="s">
        <v>6339</v>
      </c>
    </row>
    <row r="2851" spans="1:3" x14ac:dyDescent="0.3">
      <c r="A2851" t="s">
        <v>6374</v>
      </c>
      <c r="B2851" s="4" t="s">
        <v>6372</v>
      </c>
      <c r="C2851" t="s">
        <v>6339</v>
      </c>
    </row>
    <row r="2852" spans="1:3" x14ac:dyDescent="0.3">
      <c r="A2852" t="s">
        <v>6374</v>
      </c>
      <c r="B2852" s="4" t="s">
        <v>6372</v>
      </c>
      <c r="C2852" t="s">
        <v>6339</v>
      </c>
    </row>
    <row r="2853" spans="1:3" x14ac:dyDescent="0.3">
      <c r="A2853" t="s">
        <v>6374</v>
      </c>
      <c r="B2853" s="4" t="s">
        <v>6372</v>
      </c>
      <c r="C2853" t="s">
        <v>6339</v>
      </c>
    </row>
    <row r="2854" spans="1:3" x14ac:dyDescent="0.3">
      <c r="A2854" t="s">
        <v>6374</v>
      </c>
      <c r="B2854" s="4" t="s">
        <v>6372</v>
      </c>
      <c r="C2854" t="s">
        <v>6339</v>
      </c>
    </row>
    <row r="2855" spans="1:3" x14ac:dyDescent="0.3">
      <c r="A2855" t="s">
        <v>6374</v>
      </c>
      <c r="B2855" s="4" t="s">
        <v>6372</v>
      </c>
      <c r="C2855" t="s">
        <v>6339</v>
      </c>
    </row>
    <row r="2856" spans="1:3" x14ac:dyDescent="0.3">
      <c r="A2856" t="s">
        <v>6374</v>
      </c>
      <c r="B2856" s="4" t="s">
        <v>6372</v>
      </c>
      <c r="C2856" t="s">
        <v>6339</v>
      </c>
    </row>
    <row r="2857" spans="1:3" x14ac:dyDescent="0.3">
      <c r="A2857" t="s">
        <v>6374</v>
      </c>
      <c r="B2857" s="4" t="s">
        <v>6372</v>
      </c>
      <c r="C2857" t="s">
        <v>6339</v>
      </c>
    </row>
    <row r="2858" spans="1:3" x14ac:dyDescent="0.3">
      <c r="A2858" t="s">
        <v>6374</v>
      </c>
      <c r="B2858" s="4" t="s">
        <v>6372</v>
      </c>
      <c r="C2858" t="s">
        <v>6339</v>
      </c>
    </row>
    <row r="2859" spans="1:3" x14ac:dyDescent="0.3">
      <c r="A2859" t="s">
        <v>6374</v>
      </c>
      <c r="B2859" s="4" t="s">
        <v>6372</v>
      </c>
      <c r="C2859" t="s">
        <v>6339</v>
      </c>
    </row>
    <row r="2860" spans="1:3" x14ac:dyDescent="0.3">
      <c r="A2860" t="s">
        <v>6374</v>
      </c>
      <c r="B2860" s="4" t="s">
        <v>6372</v>
      </c>
      <c r="C2860" t="s">
        <v>6339</v>
      </c>
    </row>
    <row r="2861" spans="1:3" x14ac:dyDescent="0.3">
      <c r="A2861" t="s">
        <v>6374</v>
      </c>
      <c r="B2861" s="4" t="s">
        <v>6372</v>
      </c>
      <c r="C2861" t="s">
        <v>6339</v>
      </c>
    </row>
    <row r="2862" spans="1:3" x14ac:dyDescent="0.3">
      <c r="A2862" t="s">
        <v>6374</v>
      </c>
      <c r="B2862" s="4" t="s">
        <v>6372</v>
      </c>
      <c r="C2862" t="s">
        <v>6339</v>
      </c>
    </row>
    <row r="2863" spans="1:3" x14ac:dyDescent="0.3">
      <c r="A2863" t="s">
        <v>6374</v>
      </c>
      <c r="B2863" s="4" t="s">
        <v>6372</v>
      </c>
      <c r="C2863" t="s">
        <v>6339</v>
      </c>
    </row>
    <row r="2864" spans="1:3" x14ac:dyDescent="0.3">
      <c r="A2864" t="s">
        <v>6374</v>
      </c>
      <c r="B2864" s="4" t="s">
        <v>6372</v>
      </c>
      <c r="C2864" t="s">
        <v>6339</v>
      </c>
    </row>
    <row r="2865" spans="1:3" x14ac:dyDescent="0.3">
      <c r="A2865" t="s">
        <v>6374</v>
      </c>
      <c r="B2865" s="4" t="s">
        <v>6372</v>
      </c>
      <c r="C2865" t="s">
        <v>6339</v>
      </c>
    </row>
    <row r="2866" spans="1:3" x14ac:dyDescent="0.3">
      <c r="A2866" t="s">
        <v>6374</v>
      </c>
      <c r="B2866" s="4" t="s">
        <v>6372</v>
      </c>
      <c r="C2866" t="s">
        <v>6339</v>
      </c>
    </row>
    <row r="2867" spans="1:3" x14ac:dyDescent="0.3">
      <c r="A2867" t="s">
        <v>6374</v>
      </c>
      <c r="B2867" s="4" t="s">
        <v>6372</v>
      </c>
      <c r="C2867" t="s">
        <v>6339</v>
      </c>
    </row>
    <row r="2868" spans="1:3" x14ac:dyDescent="0.3">
      <c r="A2868" t="s">
        <v>6374</v>
      </c>
      <c r="B2868" s="4" t="s">
        <v>6372</v>
      </c>
      <c r="C2868" t="s">
        <v>6339</v>
      </c>
    </row>
    <row r="2869" spans="1:3" x14ac:dyDescent="0.3">
      <c r="A2869" t="s">
        <v>6374</v>
      </c>
      <c r="B2869" s="4" t="s">
        <v>6372</v>
      </c>
      <c r="C2869" t="s">
        <v>6339</v>
      </c>
    </row>
    <row r="2870" spans="1:3" x14ac:dyDescent="0.3">
      <c r="A2870" t="s">
        <v>6374</v>
      </c>
      <c r="B2870" s="4" t="s">
        <v>6372</v>
      </c>
      <c r="C2870" t="s">
        <v>6339</v>
      </c>
    </row>
    <row r="2871" spans="1:3" x14ac:dyDescent="0.3">
      <c r="A2871" t="s">
        <v>6374</v>
      </c>
      <c r="B2871" s="4" t="s">
        <v>6372</v>
      </c>
      <c r="C2871" t="s">
        <v>6339</v>
      </c>
    </row>
    <row r="2872" spans="1:3" x14ac:dyDescent="0.3">
      <c r="A2872" t="s">
        <v>6374</v>
      </c>
      <c r="B2872" s="4" t="s">
        <v>6372</v>
      </c>
      <c r="C2872" t="s">
        <v>6339</v>
      </c>
    </row>
    <row r="2873" spans="1:3" x14ac:dyDescent="0.3">
      <c r="A2873" t="s">
        <v>6374</v>
      </c>
      <c r="B2873" s="4" t="s">
        <v>6372</v>
      </c>
      <c r="C2873" t="s">
        <v>6339</v>
      </c>
    </row>
    <row r="2874" spans="1:3" x14ac:dyDescent="0.3">
      <c r="A2874" t="s">
        <v>6374</v>
      </c>
      <c r="B2874" s="4" t="s">
        <v>6372</v>
      </c>
      <c r="C2874" t="s">
        <v>6339</v>
      </c>
    </row>
    <row r="2875" spans="1:3" x14ac:dyDescent="0.3">
      <c r="A2875" t="s">
        <v>6374</v>
      </c>
      <c r="B2875" s="4" t="s">
        <v>6372</v>
      </c>
      <c r="C2875" t="s">
        <v>6339</v>
      </c>
    </row>
    <row r="2876" spans="1:3" x14ac:dyDescent="0.3">
      <c r="A2876" t="s">
        <v>6374</v>
      </c>
      <c r="B2876" s="4" t="s">
        <v>6372</v>
      </c>
      <c r="C2876" t="s">
        <v>6339</v>
      </c>
    </row>
    <row r="2877" spans="1:3" x14ac:dyDescent="0.3">
      <c r="A2877" t="s">
        <v>6374</v>
      </c>
      <c r="B2877" s="4" t="s">
        <v>6372</v>
      </c>
      <c r="C2877" t="s">
        <v>6339</v>
      </c>
    </row>
    <row r="2878" spans="1:3" x14ac:dyDescent="0.3">
      <c r="A2878" t="s">
        <v>6374</v>
      </c>
      <c r="B2878" s="4" t="s">
        <v>6372</v>
      </c>
      <c r="C2878" t="s">
        <v>6339</v>
      </c>
    </row>
    <row r="2879" spans="1:3" x14ac:dyDescent="0.3">
      <c r="A2879" t="s">
        <v>6374</v>
      </c>
      <c r="B2879" s="4" t="s">
        <v>6372</v>
      </c>
      <c r="C2879" t="s">
        <v>6339</v>
      </c>
    </row>
    <row r="2880" spans="1:3" x14ac:dyDescent="0.3">
      <c r="A2880" t="s">
        <v>6374</v>
      </c>
      <c r="B2880" s="4" t="s">
        <v>6372</v>
      </c>
      <c r="C2880" t="s">
        <v>6339</v>
      </c>
    </row>
    <row r="2881" spans="1:3" x14ac:dyDescent="0.3">
      <c r="A2881" t="s">
        <v>6374</v>
      </c>
      <c r="B2881" s="4" t="s">
        <v>6372</v>
      </c>
      <c r="C2881" t="s">
        <v>6339</v>
      </c>
    </row>
    <row r="2882" spans="1:3" x14ac:dyDescent="0.3">
      <c r="A2882" t="s">
        <v>6374</v>
      </c>
      <c r="B2882" s="4" t="s">
        <v>6372</v>
      </c>
      <c r="C2882" t="s">
        <v>6339</v>
      </c>
    </row>
    <row r="2883" spans="1:3" x14ac:dyDescent="0.3">
      <c r="A2883" t="s">
        <v>6374</v>
      </c>
      <c r="B2883" s="4" t="s">
        <v>6372</v>
      </c>
      <c r="C2883" t="s">
        <v>6339</v>
      </c>
    </row>
    <row r="2884" spans="1:3" x14ac:dyDescent="0.3">
      <c r="A2884" t="s">
        <v>6374</v>
      </c>
      <c r="B2884" s="4" t="s">
        <v>6372</v>
      </c>
      <c r="C2884" t="s">
        <v>6339</v>
      </c>
    </row>
    <row r="2885" spans="1:3" x14ac:dyDescent="0.3">
      <c r="A2885" t="s">
        <v>6374</v>
      </c>
      <c r="B2885" s="4" t="s">
        <v>6372</v>
      </c>
      <c r="C2885" t="s">
        <v>6339</v>
      </c>
    </row>
    <row r="2886" spans="1:3" x14ac:dyDescent="0.3">
      <c r="A2886" t="s">
        <v>6374</v>
      </c>
      <c r="B2886" s="4" t="s">
        <v>6372</v>
      </c>
      <c r="C2886" t="s">
        <v>6339</v>
      </c>
    </row>
    <row r="2887" spans="1:3" x14ac:dyDescent="0.3">
      <c r="A2887" t="s">
        <v>6374</v>
      </c>
      <c r="B2887" s="4" t="s">
        <v>6372</v>
      </c>
      <c r="C2887" t="s">
        <v>6339</v>
      </c>
    </row>
    <row r="2888" spans="1:3" x14ac:dyDescent="0.3">
      <c r="A2888" t="s">
        <v>6374</v>
      </c>
      <c r="B2888" s="4" t="s">
        <v>6372</v>
      </c>
      <c r="C2888" t="s">
        <v>6339</v>
      </c>
    </row>
    <row r="2889" spans="1:3" x14ac:dyDescent="0.3">
      <c r="A2889" t="s">
        <v>6374</v>
      </c>
      <c r="B2889" s="4" t="s">
        <v>6372</v>
      </c>
      <c r="C2889" t="s">
        <v>6339</v>
      </c>
    </row>
    <row r="2890" spans="1:3" x14ac:dyDescent="0.3">
      <c r="A2890" t="s">
        <v>6374</v>
      </c>
      <c r="B2890" s="4" t="s">
        <v>6372</v>
      </c>
      <c r="C2890" t="s">
        <v>6339</v>
      </c>
    </row>
    <row r="2891" spans="1:3" x14ac:dyDescent="0.3">
      <c r="A2891" t="s">
        <v>6374</v>
      </c>
      <c r="B2891" s="4" t="s">
        <v>6372</v>
      </c>
      <c r="C2891" t="s">
        <v>6339</v>
      </c>
    </row>
    <row r="2892" spans="1:3" x14ac:dyDescent="0.3">
      <c r="A2892" t="s">
        <v>6374</v>
      </c>
      <c r="B2892" s="4" t="s">
        <v>6372</v>
      </c>
      <c r="C2892" t="s">
        <v>6339</v>
      </c>
    </row>
    <row r="2893" spans="1:3" x14ac:dyDescent="0.3">
      <c r="A2893" t="s">
        <v>6374</v>
      </c>
      <c r="B2893" s="4" t="s">
        <v>6372</v>
      </c>
      <c r="C2893" t="s">
        <v>6339</v>
      </c>
    </row>
    <row r="2894" spans="1:3" x14ac:dyDescent="0.3">
      <c r="A2894" t="s">
        <v>6374</v>
      </c>
      <c r="B2894" s="4" t="s">
        <v>6372</v>
      </c>
      <c r="C2894" t="s">
        <v>6339</v>
      </c>
    </row>
    <row r="2895" spans="1:3" x14ac:dyDescent="0.3">
      <c r="A2895" t="s">
        <v>6374</v>
      </c>
      <c r="B2895" s="4" t="s">
        <v>6372</v>
      </c>
      <c r="C2895" t="s">
        <v>6339</v>
      </c>
    </row>
    <row r="2896" spans="1:3" x14ac:dyDescent="0.3">
      <c r="A2896" t="s">
        <v>6374</v>
      </c>
      <c r="B2896" s="4" t="s">
        <v>6372</v>
      </c>
      <c r="C2896" t="s">
        <v>6339</v>
      </c>
    </row>
    <row r="2897" spans="1:3" x14ac:dyDescent="0.3">
      <c r="A2897" t="s">
        <v>6374</v>
      </c>
      <c r="B2897" s="4" t="s">
        <v>6372</v>
      </c>
      <c r="C2897" t="s">
        <v>6339</v>
      </c>
    </row>
    <row r="2898" spans="1:3" x14ac:dyDescent="0.3">
      <c r="A2898" t="s">
        <v>6374</v>
      </c>
      <c r="B2898" s="4" t="s">
        <v>6372</v>
      </c>
      <c r="C2898" t="s">
        <v>6339</v>
      </c>
    </row>
    <row r="2899" spans="1:3" x14ac:dyDescent="0.3">
      <c r="A2899" t="s">
        <v>6374</v>
      </c>
      <c r="B2899" s="4" t="s">
        <v>6372</v>
      </c>
      <c r="C2899" t="s">
        <v>6339</v>
      </c>
    </row>
    <row r="2900" spans="1:3" x14ac:dyDescent="0.3">
      <c r="A2900" t="s">
        <v>6374</v>
      </c>
      <c r="B2900" s="4" t="s">
        <v>6372</v>
      </c>
      <c r="C2900" t="s">
        <v>6339</v>
      </c>
    </row>
    <row r="2901" spans="1:3" x14ac:dyDescent="0.3">
      <c r="A2901" t="s">
        <v>6374</v>
      </c>
      <c r="B2901" s="4" t="s">
        <v>6372</v>
      </c>
      <c r="C2901" t="s">
        <v>6339</v>
      </c>
    </row>
    <row r="2902" spans="1:3" x14ac:dyDescent="0.3">
      <c r="A2902" t="s">
        <v>6374</v>
      </c>
      <c r="B2902" s="4" t="s">
        <v>6372</v>
      </c>
      <c r="C2902" t="s">
        <v>6339</v>
      </c>
    </row>
    <row r="2903" spans="1:3" x14ac:dyDescent="0.3">
      <c r="A2903" t="s">
        <v>6374</v>
      </c>
      <c r="B2903" s="4" t="s">
        <v>6372</v>
      </c>
      <c r="C2903" t="s">
        <v>6339</v>
      </c>
    </row>
    <row r="2904" spans="1:3" x14ac:dyDescent="0.3">
      <c r="A2904" t="s">
        <v>6374</v>
      </c>
      <c r="B2904" s="4" t="s">
        <v>6372</v>
      </c>
      <c r="C2904" t="s">
        <v>6339</v>
      </c>
    </row>
    <row r="2905" spans="1:3" x14ac:dyDescent="0.3">
      <c r="A2905" t="s">
        <v>6374</v>
      </c>
      <c r="B2905" s="4" t="s">
        <v>6372</v>
      </c>
      <c r="C2905" t="s">
        <v>6339</v>
      </c>
    </row>
    <row r="2906" spans="1:3" x14ac:dyDescent="0.3">
      <c r="A2906" t="s">
        <v>6374</v>
      </c>
      <c r="B2906" s="4" t="s">
        <v>6372</v>
      </c>
      <c r="C2906" t="s">
        <v>6339</v>
      </c>
    </row>
    <row r="2907" spans="1:3" x14ac:dyDescent="0.3">
      <c r="A2907" t="s">
        <v>6374</v>
      </c>
      <c r="B2907" s="4" t="s">
        <v>6372</v>
      </c>
      <c r="C2907" t="s">
        <v>6339</v>
      </c>
    </row>
    <row r="2908" spans="1:3" x14ac:dyDescent="0.3">
      <c r="A2908" t="s">
        <v>6374</v>
      </c>
      <c r="B2908" s="4" t="s">
        <v>6372</v>
      </c>
      <c r="C2908" t="s">
        <v>6339</v>
      </c>
    </row>
    <row r="2909" spans="1:3" x14ac:dyDescent="0.3">
      <c r="A2909" t="s">
        <v>6374</v>
      </c>
      <c r="B2909" s="4" t="s">
        <v>6372</v>
      </c>
      <c r="C2909" t="s">
        <v>6339</v>
      </c>
    </row>
    <row r="2910" spans="1:3" x14ac:dyDescent="0.3">
      <c r="A2910" t="s">
        <v>6374</v>
      </c>
      <c r="B2910" s="4" t="s">
        <v>6372</v>
      </c>
      <c r="C2910" t="s">
        <v>6339</v>
      </c>
    </row>
    <row r="2911" spans="1:3" x14ac:dyDescent="0.3">
      <c r="A2911" t="s">
        <v>6374</v>
      </c>
      <c r="B2911" s="4" t="s">
        <v>6372</v>
      </c>
      <c r="C2911" t="s">
        <v>6339</v>
      </c>
    </row>
    <row r="2912" spans="1:3" x14ac:dyDescent="0.3">
      <c r="A2912" t="s">
        <v>6374</v>
      </c>
      <c r="B2912" s="4" t="s">
        <v>6372</v>
      </c>
      <c r="C2912" t="s">
        <v>6339</v>
      </c>
    </row>
    <row r="2913" spans="1:3" x14ac:dyDescent="0.3">
      <c r="A2913" t="s">
        <v>6374</v>
      </c>
      <c r="B2913" s="4" t="s">
        <v>6372</v>
      </c>
      <c r="C2913" t="s">
        <v>6339</v>
      </c>
    </row>
    <row r="2914" spans="1:3" x14ac:dyDescent="0.3">
      <c r="A2914" t="s">
        <v>6374</v>
      </c>
      <c r="B2914" s="4" t="s">
        <v>6372</v>
      </c>
      <c r="C2914" t="s">
        <v>6339</v>
      </c>
    </row>
    <row r="2915" spans="1:3" x14ac:dyDescent="0.3">
      <c r="A2915" t="s">
        <v>6374</v>
      </c>
      <c r="B2915" s="4" t="s">
        <v>6372</v>
      </c>
      <c r="C2915" t="s">
        <v>6339</v>
      </c>
    </row>
    <row r="2916" spans="1:3" x14ac:dyDescent="0.3">
      <c r="A2916" t="s">
        <v>6374</v>
      </c>
      <c r="B2916" s="4" t="s">
        <v>6372</v>
      </c>
      <c r="C2916" t="s">
        <v>6339</v>
      </c>
    </row>
    <row r="2917" spans="1:3" x14ac:dyDescent="0.3">
      <c r="A2917" t="s">
        <v>6374</v>
      </c>
      <c r="B2917" s="4" t="s">
        <v>6372</v>
      </c>
      <c r="C2917" t="s">
        <v>6339</v>
      </c>
    </row>
    <row r="2918" spans="1:3" x14ac:dyDescent="0.3">
      <c r="A2918" t="s">
        <v>6374</v>
      </c>
      <c r="B2918" s="4" t="s">
        <v>6372</v>
      </c>
      <c r="C2918" t="s">
        <v>6339</v>
      </c>
    </row>
    <row r="2919" spans="1:3" x14ac:dyDescent="0.3">
      <c r="A2919" t="s">
        <v>6374</v>
      </c>
      <c r="B2919" s="4" t="s">
        <v>6372</v>
      </c>
      <c r="C2919" t="s">
        <v>6339</v>
      </c>
    </row>
    <row r="2920" spans="1:3" x14ac:dyDescent="0.3">
      <c r="A2920" t="s">
        <v>6374</v>
      </c>
      <c r="B2920" s="4" t="s">
        <v>6372</v>
      </c>
      <c r="C2920" t="s">
        <v>6339</v>
      </c>
    </row>
    <row r="2921" spans="1:3" x14ac:dyDescent="0.3">
      <c r="A2921" t="s">
        <v>6374</v>
      </c>
      <c r="B2921" s="4" t="s">
        <v>6372</v>
      </c>
      <c r="C2921" t="s">
        <v>6339</v>
      </c>
    </row>
    <row r="2922" spans="1:3" x14ac:dyDescent="0.3">
      <c r="A2922" t="s">
        <v>6374</v>
      </c>
      <c r="B2922" s="4" t="s">
        <v>6372</v>
      </c>
      <c r="C2922" t="s">
        <v>6339</v>
      </c>
    </row>
    <row r="2923" spans="1:3" x14ac:dyDescent="0.3">
      <c r="A2923" t="s">
        <v>6374</v>
      </c>
      <c r="B2923" s="4" t="s">
        <v>6372</v>
      </c>
      <c r="C2923" t="s">
        <v>6339</v>
      </c>
    </row>
    <row r="2924" spans="1:3" x14ac:dyDescent="0.3">
      <c r="A2924" t="s">
        <v>6374</v>
      </c>
      <c r="B2924" s="4" t="s">
        <v>6372</v>
      </c>
      <c r="C2924" t="s">
        <v>6339</v>
      </c>
    </row>
    <row r="2925" spans="1:3" x14ac:dyDescent="0.3">
      <c r="A2925" t="s">
        <v>6374</v>
      </c>
      <c r="B2925" s="4" t="s">
        <v>6372</v>
      </c>
      <c r="C2925" t="s">
        <v>6339</v>
      </c>
    </row>
    <row r="2926" spans="1:3" x14ac:dyDescent="0.3">
      <c r="A2926" t="s">
        <v>6374</v>
      </c>
      <c r="B2926" s="4" t="s">
        <v>6372</v>
      </c>
      <c r="C2926" t="s">
        <v>6339</v>
      </c>
    </row>
    <row r="2927" spans="1:3" x14ac:dyDescent="0.3">
      <c r="A2927" t="s">
        <v>6374</v>
      </c>
      <c r="B2927" s="4" t="s">
        <v>6372</v>
      </c>
      <c r="C2927" t="s">
        <v>6339</v>
      </c>
    </row>
    <row r="2928" spans="1:3" x14ac:dyDescent="0.3">
      <c r="A2928" t="s">
        <v>6374</v>
      </c>
      <c r="B2928" s="4" t="s">
        <v>6372</v>
      </c>
      <c r="C2928" t="s">
        <v>6339</v>
      </c>
    </row>
    <row r="2929" spans="1:3" x14ac:dyDescent="0.3">
      <c r="A2929" t="s">
        <v>6374</v>
      </c>
      <c r="B2929" s="4" t="s">
        <v>6372</v>
      </c>
      <c r="C2929" t="s">
        <v>6339</v>
      </c>
    </row>
    <row r="2930" spans="1:3" x14ac:dyDescent="0.3">
      <c r="A2930" t="s">
        <v>6374</v>
      </c>
      <c r="B2930" s="4" t="s">
        <v>6372</v>
      </c>
      <c r="C2930" t="s">
        <v>6339</v>
      </c>
    </row>
    <row r="2931" spans="1:3" x14ac:dyDescent="0.3">
      <c r="A2931" t="s">
        <v>6374</v>
      </c>
      <c r="B2931" s="4" t="s">
        <v>6372</v>
      </c>
      <c r="C2931" t="s">
        <v>6339</v>
      </c>
    </row>
    <row r="2932" spans="1:3" x14ac:dyDescent="0.3">
      <c r="A2932" t="s">
        <v>6374</v>
      </c>
      <c r="B2932" s="4" t="s">
        <v>6372</v>
      </c>
      <c r="C2932" t="s">
        <v>6339</v>
      </c>
    </row>
    <row r="2933" spans="1:3" x14ac:dyDescent="0.3">
      <c r="A2933" t="s">
        <v>6375</v>
      </c>
      <c r="B2933" s="4" t="s">
        <v>6361</v>
      </c>
      <c r="C2933" t="s">
        <v>6339</v>
      </c>
    </row>
    <row r="2934" spans="1:3" x14ac:dyDescent="0.3">
      <c r="A2934" t="s">
        <v>6375</v>
      </c>
      <c r="B2934" s="4" t="s">
        <v>6361</v>
      </c>
      <c r="C2934" t="s">
        <v>6339</v>
      </c>
    </row>
    <row r="2935" spans="1:3" x14ac:dyDescent="0.3">
      <c r="A2935" t="s">
        <v>6375</v>
      </c>
      <c r="B2935" s="4" t="s">
        <v>6361</v>
      </c>
      <c r="C2935" t="s">
        <v>6339</v>
      </c>
    </row>
    <row r="2936" spans="1:3" x14ac:dyDescent="0.3">
      <c r="A2936" t="s">
        <v>6375</v>
      </c>
      <c r="B2936" s="4" t="s">
        <v>6361</v>
      </c>
      <c r="C2936" t="s">
        <v>6339</v>
      </c>
    </row>
    <row r="2937" spans="1:3" x14ac:dyDescent="0.3">
      <c r="A2937" t="s">
        <v>6375</v>
      </c>
      <c r="B2937" s="4" t="s">
        <v>6361</v>
      </c>
      <c r="C2937" t="s">
        <v>6337</v>
      </c>
    </row>
    <row r="2938" spans="1:3" x14ac:dyDescent="0.3">
      <c r="A2938" t="s">
        <v>6375</v>
      </c>
      <c r="B2938" s="4" t="s">
        <v>6361</v>
      </c>
      <c r="C2938" t="s">
        <v>6342</v>
      </c>
    </row>
    <row r="2939" spans="1:3" x14ac:dyDescent="0.3">
      <c r="A2939" t="s">
        <v>6375</v>
      </c>
      <c r="B2939" s="4" t="s">
        <v>6361</v>
      </c>
      <c r="C2939" t="s">
        <v>6350</v>
      </c>
    </row>
    <row r="2940" spans="1:3" x14ac:dyDescent="0.3">
      <c r="A2940" t="s">
        <v>6375</v>
      </c>
      <c r="B2940" s="4" t="s">
        <v>6361</v>
      </c>
      <c r="C2940" t="s">
        <v>6339</v>
      </c>
    </row>
    <row r="2941" spans="1:3" x14ac:dyDescent="0.3">
      <c r="A2941" t="s">
        <v>6375</v>
      </c>
      <c r="B2941" s="4" t="s">
        <v>6361</v>
      </c>
      <c r="C2941" t="s">
        <v>6342</v>
      </c>
    </row>
    <row r="2942" spans="1:3" x14ac:dyDescent="0.3">
      <c r="A2942" t="s">
        <v>6375</v>
      </c>
      <c r="B2942" s="4" t="s">
        <v>6361</v>
      </c>
      <c r="C2942" t="s">
        <v>6346</v>
      </c>
    </row>
    <row r="2943" spans="1:3" x14ac:dyDescent="0.3">
      <c r="A2943" t="s">
        <v>6375</v>
      </c>
      <c r="B2943" s="4" t="s">
        <v>6361</v>
      </c>
      <c r="C2943" t="s">
        <v>6337</v>
      </c>
    </row>
    <row r="2944" spans="1:3" x14ac:dyDescent="0.3">
      <c r="A2944" t="s">
        <v>6375</v>
      </c>
      <c r="B2944" s="4" t="s">
        <v>6361</v>
      </c>
      <c r="C2944" t="s">
        <v>6348</v>
      </c>
    </row>
    <row r="2945" spans="1:3" x14ac:dyDescent="0.3">
      <c r="A2945" t="s">
        <v>6375</v>
      </c>
      <c r="B2945" s="4" t="s">
        <v>6361</v>
      </c>
      <c r="C2945" t="s">
        <v>6342</v>
      </c>
    </row>
    <row r="2946" spans="1:3" x14ac:dyDescent="0.3">
      <c r="A2946" t="s">
        <v>6375</v>
      </c>
      <c r="B2946" s="4" t="s">
        <v>6361</v>
      </c>
      <c r="C2946" t="s">
        <v>6342</v>
      </c>
    </row>
    <row r="2947" spans="1:3" x14ac:dyDescent="0.3">
      <c r="A2947" t="s">
        <v>6375</v>
      </c>
      <c r="B2947" s="4" t="s">
        <v>6361</v>
      </c>
      <c r="C2947" t="s">
        <v>6342</v>
      </c>
    </row>
    <row r="2948" spans="1:3" x14ac:dyDescent="0.3">
      <c r="A2948" t="s">
        <v>6375</v>
      </c>
      <c r="B2948" s="4" t="s">
        <v>6361</v>
      </c>
      <c r="C2948" t="s">
        <v>6342</v>
      </c>
    </row>
    <row r="2949" spans="1:3" x14ac:dyDescent="0.3">
      <c r="A2949" t="s">
        <v>6375</v>
      </c>
      <c r="B2949" s="4" t="s">
        <v>6361</v>
      </c>
      <c r="C2949" t="s">
        <v>6337</v>
      </c>
    </row>
    <row r="2950" spans="1:3" x14ac:dyDescent="0.3">
      <c r="A2950" t="s">
        <v>6375</v>
      </c>
      <c r="B2950" s="4" t="s">
        <v>6361</v>
      </c>
      <c r="C2950" t="s">
        <v>6339</v>
      </c>
    </row>
    <row r="2951" spans="1:3" x14ac:dyDescent="0.3">
      <c r="A2951" t="s">
        <v>6375</v>
      </c>
      <c r="B2951" s="4" t="s">
        <v>6361</v>
      </c>
      <c r="C2951" t="s">
        <v>6346</v>
      </c>
    </row>
    <row r="2952" spans="1:3" x14ac:dyDescent="0.3">
      <c r="A2952" t="s">
        <v>6375</v>
      </c>
      <c r="B2952" s="4" t="s">
        <v>6361</v>
      </c>
      <c r="C2952" t="s">
        <v>6346</v>
      </c>
    </row>
    <row r="2953" spans="1:3" x14ac:dyDescent="0.3">
      <c r="A2953" t="s">
        <v>6375</v>
      </c>
      <c r="B2953" s="4" t="s">
        <v>6361</v>
      </c>
      <c r="C2953" t="s">
        <v>6337</v>
      </c>
    </row>
    <row r="2954" spans="1:3" x14ac:dyDescent="0.3">
      <c r="A2954" t="s">
        <v>6375</v>
      </c>
      <c r="B2954" s="4" t="s">
        <v>6361</v>
      </c>
      <c r="C2954" t="s">
        <v>6348</v>
      </c>
    </row>
    <row r="2955" spans="1:3" x14ac:dyDescent="0.3">
      <c r="A2955" t="s">
        <v>6375</v>
      </c>
      <c r="B2955" s="4" t="s">
        <v>6361</v>
      </c>
      <c r="C2955" t="s">
        <v>6342</v>
      </c>
    </row>
    <row r="2956" spans="1:3" x14ac:dyDescent="0.3">
      <c r="A2956" t="s">
        <v>6375</v>
      </c>
      <c r="B2956" s="4" t="s">
        <v>6361</v>
      </c>
      <c r="C2956" t="s">
        <v>6342</v>
      </c>
    </row>
    <row r="2957" spans="1:3" x14ac:dyDescent="0.3">
      <c r="A2957" t="s">
        <v>6375</v>
      </c>
      <c r="B2957" s="4" t="s">
        <v>6361</v>
      </c>
      <c r="C2957" t="s">
        <v>6342</v>
      </c>
    </row>
    <row r="2958" spans="1:3" x14ac:dyDescent="0.3">
      <c r="A2958" t="s">
        <v>6375</v>
      </c>
      <c r="B2958" s="4" t="s">
        <v>6361</v>
      </c>
      <c r="C2958" t="s">
        <v>6342</v>
      </c>
    </row>
    <row r="2959" spans="1:3" x14ac:dyDescent="0.3">
      <c r="A2959" t="s">
        <v>6375</v>
      </c>
      <c r="B2959" s="4" t="s">
        <v>6361</v>
      </c>
      <c r="C2959" t="s">
        <v>6342</v>
      </c>
    </row>
    <row r="2960" spans="1:3" x14ac:dyDescent="0.3">
      <c r="A2960" t="s">
        <v>6375</v>
      </c>
      <c r="B2960" s="4" t="s">
        <v>6361</v>
      </c>
      <c r="C2960" t="s">
        <v>6346</v>
      </c>
    </row>
    <row r="2961" spans="1:3" x14ac:dyDescent="0.3">
      <c r="A2961" t="s">
        <v>6375</v>
      </c>
      <c r="B2961" s="4" t="s">
        <v>6361</v>
      </c>
      <c r="C2961" t="s">
        <v>6346</v>
      </c>
    </row>
    <row r="2962" spans="1:3" x14ac:dyDescent="0.3">
      <c r="A2962" t="s">
        <v>6375</v>
      </c>
      <c r="B2962" s="4" t="s">
        <v>6361</v>
      </c>
      <c r="C2962" t="s">
        <v>958</v>
      </c>
    </row>
    <row r="2963" spans="1:3" x14ac:dyDescent="0.3">
      <c r="A2963" t="s">
        <v>6375</v>
      </c>
      <c r="B2963" s="4" t="s">
        <v>6361</v>
      </c>
      <c r="C2963" t="s">
        <v>6346</v>
      </c>
    </row>
    <row r="2964" spans="1:3" x14ac:dyDescent="0.3">
      <c r="A2964" t="s">
        <v>6375</v>
      </c>
      <c r="B2964" s="4" t="s">
        <v>6361</v>
      </c>
      <c r="C2964" t="s">
        <v>6339</v>
      </c>
    </row>
    <row r="2965" spans="1:3" x14ac:dyDescent="0.3">
      <c r="A2965" t="s">
        <v>6375</v>
      </c>
      <c r="B2965" s="4" t="s">
        <v>6361</v>
      </c>
      <c r="C2965" t="s">
        <v>6339</v>
      </c>
    </row>
    <row r="2966" spans="1:3" x14ac:dyDescent="0.3">
      <c r="A2966" t="s">
        <v>6375</v>
      </c>
      <c r="B2966" s="4" t="s">
        <v>6361</v>
      </c>
      <c r="C2966" t="s">
        <v>6342</v>
      </c>
    </row>
    <row r="2967" spans="1:3" x14ac:dyDescent="0.3">
      <c r="A2967" t="s">
        <v>6375</v>
      </c>
      <c r="B2967" s="4" t="s">
        <v>6361</v>
      </c>
      <c r="C2967" t="s">
        <v>6339</v>
      </c>
    </row>
    <row r="2968" spans="1:3" x14ac:dyDescent="0.3">
      <c r="A2968" t="s">
        <v>6375</v>
      </c>
      <c r="B2968" s="4" t="s">
        <v>6361</v>
      </c>
      <c r="C2968" t="s">
        <v>6339</v>
      </c>
    </row>
    <row r="2969" spans="1:3" x14ac:dyDescent="0.3">
      <c r="A2969" t="s">
        <v>6375</v>
      </c>
      <c r="B2969" s="4" t="s">
        <v>6361</v>
      </c>
      <c r="C2969" t="s">
        <v>6339</v>
      </c>
    </row>
    <row r="2970" spans="1:3" x14ac:dyDescent="0.3">
      <c r="A2970" t="s">
        <v>6375</v>
      </c>
      <c r="B2970" s="4" t="s">
        <v>6361</v>
      </c>
      <c r="C2970" t="s">
        <v>6339</v>
      </c>
    </row>
    <row r="2971" spans="1:3" x14ac:dyDescent="0.3">
      <c r="A2971" t="s">
        <v>6375</v>
      </c>
      <c r="B2971" s="4" t="s">
        <v>6361</v>
      </c>
      <c r="C2971" t="s">
        <v>6348</v>
      </c>
    </row>
    <row r="2972" spans="1:3" x14ac:dyDescent="0.3">
      <c r="A2972" t="s">
        <v>6375</v>
      </c>
      <c r="B2972" s="4" t="s">
        <v>6361</v>
      </c>
      <c r="C2972" t="s">
        <v>6348</v>
      </c>
    </row>
    <row r="2973" spans="1:3" x14ac:dyDescent="0.3">
      <c r="A2973" t="s">
        <v>6375</v>
      </c>
      <c r="B2973" s="4" t="s">
        <v>6361</v>
      </c>
      <c r="C2973" t="s">
        <v>6339</v>
      </c>
    </row>
    <row r="2974" spans="1:3" x14ac:dyDescent="0.3">
      <c r="A2974" t="s">
        <v>6375</v>
      </c>
      <c r="B2974" s="4" t="s">
        <v>6371</v>
      </c>
      <c r="C2974" t="s">
        <v>958</v>
      </c>
    </row>
    <row r="2975" spans="1:3" x14ac:dyDescent="0.3">
      <c r="A2975" t="s">
        <v>6375</v>
      </c>
      <c r="B2975" s="4" t="s">
        <v>6371</v>
      </c>
      <c r="C2975" t="s">
        <v>6339</v>
      </c>
    </row>
    <row r="2976" spans="1:3" x14ac:dyDescent="0.3">
      <c r="A2976" t="s">
        <v>6375</v>
      </c>
      <c r="B2976" s="4" t="s">
        <v>6371</v>
      </c>
      <c r="C2976" t="s">
        <v>6339</v>
      </c>
    </row>
    <row r="2977" spans="1:7" x14ac:dyDescent="0.3">
      <c r="A2977" t="s">
        <v>6379</v>
      </c>
      <c r="B2977" s="4" t="s">
        <v>6357</v>
      </c>
      <c r="C2977" t="s">
        <v>6339</v>
      </c>
    </row>
    <row r="2978" spans="1:7" x14ac:dyDescent="0.3">
      <c r="A2978" t="s">
        <v>6379</v>
      </c>
      <c r="B2978" s="4" t="s">
        <v>6372</v>
      </c>
      <c r="C2978" t="s">
        <v>6345</v>
      </c>
    </row>
    <row r="2979" spans="1:7" x14ac:dyDescent="0.3">
      <c r="A2979" t="s">
        <v>6379</v>
      </c>
      <c r="B2979" s="4" t="s">
        <v>6372</v>
      </c>
      <c r="C2979" t="s">
        <v>6345</v>
      </c>
    </row>
    <row r="2980" spans="1:7" x14ac:dyDescent="0.3">
      <c r="A2980" t="s">
        <v>6379</v>
      </c>
      <c r="B2980" s="4" t="s">
        <v>6372</v>
      </c>
      <c r="C2980" t="s">
        <v>6345</v>
      </c>
    </row>
    <row r="2981" spans="1:7" x14ac:dyDescent="0.3">
      <c r="A2981" t="s">
        <v>6379</v>
      </c>
      <c r="B2981" s="4" t="s">
        <v>6372</v>
      </c>
      <c r="C2981" t="s">
        <v>6345</v>
      </c>
    </row>
    <row r="2982" spans="1:7" x14ac:dyDescent="0.3">
      <c r="A2982" t="s">
        <v>6379</v>
      </c>
      <c r="B2982" s="4" t="s">
        <v>6372</v>
      </c>
      <c r="C2982" t="s">
        <v>6345</v>
      </c>
    </row>
    <row r="2986" spans="1:7" x14ac:dyDescent="0.3">
      <c r="G2986" s="4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8C46-FE4A-44E0-9A52-A983BCFE12CA}">
  <dimension ref="A3:D17"/>
  <sheetViews>
    <sheetView tabSelected="1" workbookViewId="0">
      <selection activeCell="D17" sqref="D4:D17"/>
    </sheetView>
  </sheetViews>
  <sheetFormatPr baseColWidth="10" defaultRowHeight="14.4" x14ac:dyDescent="0.3"/>
  <cols>
    <col min="1" max="1" width="12.21875" bestFit="1" customWidth="1"/>
    <col min="2" max="2" width="13.109375" bestFit="1" customWidth="1"/>
    <col min="3" max="3" width="15.5546875" bestFit="1" customWidth="1"/>
    <col min="4" max="4" width="18.77734375" bestFit="1" customWidth="1"/>
  </cols>
  <sheetData>
    <row r="3" spans="1:4" x14ac:dyDescent="0.3">
      <c r="A3" s="5" t="s">
        <v>6380</v>
      </c>
      <c r="B3" s="5" t="s">
        <v>6381</v>
      </c>
      <c r="C3" s="5" t="s">
        <v>6382</v>
      </c>
      <c r="D3" t="s">
        <v>6383</v>
      </c>
    </row>
    <row r="4" spans="1:4" x14ac:dyDescent="0.3">
      <c r="A4" t="s">
        <v>6339</v>
      </c>
      <c r="D4" s="6">
        <v>653</v>
      </c>
    </row>
    <row r="5" spans="1:4" x14ac:dyDescent="0.3">
      <c r="A5" t="s">
        <v>6348</v>
      </c>
      <c r="D5" s="6">
        <v>84</v>
      </c>
    </row>
    <row r="6" spans="1:4" x14ac:dyDescent="0.3">
      <c r="A6" t="s">
        <v>958</v>
      </c>
      <c r="D6" s="6">
        <v>447</v>
      </c>
    </row>
    <row r="7" spans="1:4" x14ac:dyDescent="0.3">
      <c r="A7" t="s">
        <v>6345</v>
      </c>
      <c r="D7" s="6">
        <v>83</v>
      </c>
    </row>
    <row r="8" spans="1:4" x14ac:dyDescent="0.3">
      <c r="A8" t="s">
        <v>6346</v>
      </c>
      <c r="D8" s="6">
        <v>69</v>
      </c>
    </row>
    <row r="9" spans="1:4" x14ac:dyDescent="0.3">
      <c r="A9" t="s">
        <v>6366</v>
      </c>
      <c r="D9" s="6">
        <v>47</v>
      </c>
    </row>
    <row r="10" spans="1:4" x14ac:dyDescent="0.3">
      <c r="A10" t="s">
        <v>6367</v>
      </c>
      <c r="D10" s="6">
        <v>377</v>
      </c>
    </row>
    <row r="11" spans="1:4" x14ac:dyDescent="0.3">
      <c r="A11" t="s">
        <v>6378</v>
      </c>
      <c r="D11" s="6">
        <v>10</v>
      </c>
    </row>
    <row r="12" spans="1:4" x14ac:dyDescent="0.3">
      <c r="A12" t="s">
        <v>6369</v>
      </c>
      <c r="D12" s="6">
        <v>312</v>
      </c>
    </row>
    <row r="13" spans="1:4" x14ac:dyDescent="0.3">
      <c r="A13" t="s">
        <v>6370</v>
      </c>
      <c r="D13" s="6">
        <v>435</v>
      </c>
    </row>
    <row r="14" spans="1:4" x14ac:dyDescent="0.3">
      <c r="A14" t="s">
        <v>6373</v>
      </c>
      <c r="D14" s="6">
        <v>97</v>
      </c>
    </row>
    <row r="15" spans="1:4" x14ac:dyDescent="0.3">
      <c r="A15" t="s">
        <v>6374</v>
      </c>
      <c r="D15" s="6">
        <v>317</v>
      </c>
    </row>
    <row r="16" spans="1:4" x14ac:dyDescent="0.3">
      <c r="A16" t="s">
        <v>6375</v>
      </c>
      <c r="D16" s="6">
        <v>44</v>
      </c>
    </row>
    <row r="17" spans="1:4" x14ac:dyDescent="0.3">
      <c r="A17" t="s">
        <v>6379</v>
      </c>
      <c r="D17" s="6">
        <v>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9C9B-FE97-4F64-B562-AA6631373A1D}">
  <dimension ref="B2:E36"/>
  <sheetViews>
    <sheetView workbookViewId="0">
      <selection activeCell="B2" sqref="B2:E36"/>
    </sheetView>
  </sheetViews>
  <sheetFormatPr baseColWidth="10" defaultRowHeight="13.8" x14ac:dyDescent="0.3"/>
  <cols>
    <col min="1" max="1" width="11.5546875" style="10"/>
    <col min="2" max="2" width="40.109375" style="10" customWidth="1"/>
    <col min="3" max="3" width="13.33203125" style="10" customWidth="1"/>
    <col min="4" max="4" width="35.88671875" style="10" customWidth="1"/>
    <col min="5" max="5" width="10.88671875" style="10" bestFit="1" customWidth="1"/>
    <col min="6" max="16384" width="11.5546875" style="10"/>
  </cols>
  <sheetData>
    <row r="2" spans="2:5" ht="27.6" customHeight="1" x14ac:dyDescent="0.3">
      <c r="B2" s="15" t="s">
        <v>6426</v>
      </c>
      <c r="C2" s="15"/>
      <c r="D2" s="15"/>
      <c r="E2" s="15"/>
    </row>
    <row r="3" spans="2:5" x14ac:dyDescent="0.3">
      <c r="B3" s="35" t="s">
        <v>6384</v>
      </c>
      <c r="C3" s="16" t="s">
        <v>4</v>
      </c>
      <c r="D3" s="16" t="s">
        <v>6385</v>
      </c>
      <c r="E3" s="16" t="s">
        <v>6386</v>
      </c>
    </row>
    <row r="4" spans="2:5" x14ac:dyDescent="0.3">
      <c r="B4" s="36" t="s">
        <v>6387</v>
      </c>
      <c r="C4" s="18" t="s">
        <v>3196</v>
      </c>
      <c r="D4" s="17" t="s">
        <v>6387</v>
      </c>
      <c r="E4" s="18">
        <v>7</v>
      </c>
    </row>
    <row r="5" spans="2:5" x14ac:dyDescent="0.3">
      <c r="B5" s="37" t="s">
        <v>6388</v>
      </c>
      <c r="C5" s="19" t="s">
        <v>3104</v>
      </c>
      <c r="D5" s="20" t="s">
        <v>6400</v>
      </c>
      <c r="E5" s="19">
        <v>27</v>
      </c>
    </row>
    <row r="6" spans="2:5" x14ac:dyDescent="0.3">
      <c r="B6" s="38"/>
      <c r="C6" s="21" t="s">
        <v>3105</v>
      </c>
      <c r="D6" s="22" t="s">
        <v>6401</v>
      </c>
      <c r="E6" s="21">
        <v>81</v>
      </c>
    </row>
    <row r="7" spans="2:5" ht="27.6" x14ac:dyDescent="0.3">
      <c r="B7" s="37" t="s">
        <v>6389</v>
      </c>
      <c r="C7" s="19" t="s">
        <v>2799</v>
      </c>
      <c r="D7" s="20" t="s">
        <v>6402</v>
      </c>
      <c r="E7" s="19">
        <v>58</v>
      </c>
    </row>
    <row r="8" spans="2:5" x14ac:dyDescent="0.3">
      <c r="B8" s="39"/>
      <c r="C8" s="23" t="s">
        <v>3183</v>
      </c>
      <c r="D8" s="24" t="s">
        <v>6403</v>
      </c>
      <c r="E8" s="23">
        <v>45</v>
      </c>
    </row>
    <row r="9" spans="2:5" ht="27.6" x14ac:dyDescent="0.3">
      <c r="B9" s="39"/>
      <c r="C9" s="25" t="s">
        <v>6355</v>
      </c>
      <c r="D9" s="26" t="s">
        <v>6404</v>
      </c>
      <c r="E9" s="25">
        <v>1</v>
      </c>
    </row>
    <row r="10" spans="2:5" ht="27.6" x14ac:dyDescent="0.3">
      <c r="B10" s="39"/>
      <c r="C10" s="23" t="s">
        <v>3168</v>
      </c>
      <c r="D10" s="24" t="s">
        <v>6405</v>
      </c>
      <c r="E10" s="23">
        <v>6</v>
      </c>
    </row>
    <row r="11" spans="2:5" ht="27.6" x14ac:dyDescent="0.3">
      <c r="B11" s="39"/>
      <c r="C11" s="25" t="s">
        <v>3106</v>
      </c>
      <c r="D11" s="26" t="s">
        <v>6406</v>
      </c>
      <c r="E11" s="25">
        <v>3</v>
      </c>
    </row>
    <row r="12" spans="2:5" x14ac:dyDescent="0.3">
      <c r="B12" s="38"/>
      <c r="C12" s="21" t="s">
        <v>3169</v>
      </c>
      <c r="D12" s="22" t="s">
        <v>6407</v>
      </c>
      <c r="E12" s="21">
        <v>57</v>
      </c>
    </row>
    <row r="13" spans="2:5" x14ac:dyDescent="0.3">
      <c r="B13" s="36" t="s">
        <v>6390</v>
      </c>
      <c r="C13" s="27" t="s">
        <v>3136</v>
      </c>
      <c r="D13" s="28" t="s">
        <v>6390</v>
      </c>
      <c r="E13" s="27">
        <v>20</v>
      </c>
    </row>
    <row r="14" spans="2:5" x14ac:dyDescent="0.3">
      <c r="B14" s="36" t="s">
        <v>6391</v>
      </c>
      <c r="C14" s="18" t="s">
        <v>3197</v>
      </c>
      <c r="D14" s="17" t="s">
        <v>6408</v>
      </c>
      <c r="E14" s="18">
        <v>5</v>
      </c>
    </row>
    <row r="15" spans="2:5" x14ac:dyDescent="0.3">
      <c r="B15" s="36" t="s">
        <v>6392</v>
      </c>
      <c r="C15" s="27" t="s">
        <v>3107</v>
      </c>
      <c r="D15" s="28" t="s">
        <v>6392</v>
      </c>
      <c r="E15" s="27">
        <v>31</v>
      </c>
    </row>
    <row r="16" spans="2:5" x14ac:dyDescent="0.3">
      <c r="B16" s="37" t="s">
        <v>6393</v>
      </c>
      <c r="C16" s="29" t="s">
        <v>3108</v>
      </c>
      <c r="D16" s="30" t="s">
        <v>6409</v>
      </c>
      <c r="E16" s="29">
        <v>43</v>
      </c>
    </row>
    <row r="17" spans="2:5" x14ac:dyDescent="0.3">
      <c r="B17" s="39"/>
      <c r="C17" s="25" t="s">
        <v>3198</v>
      </c>
      <c r="D17" s="26" t="s">
        <v>6410</v>
      </c>
      <c r="E17" s="25">
        <v>34</v>
      </c>
    </row>
    <row r="18" spans="2:5" x14ac:dyDescent="0.3">
      <c r="B18" s="39"/>
      <c r="C18" s="23" t="s">
        <v>3170</v>
      </c>
      <c r="D18" s="24" t="s">
        <v>6411</v>
      </c>
      <c r="E18" s="23">
        <v>7</v>
      </c>
    </row>
    <row r="19" spans="2:5" x14ac:dyDescent="0.3">
      <c r="B19" s="39"/>
      <c r="C19" s="25" t="s">
        <v>3137</v>
      </c>
      <c r="D19" s="26" t="s">
        <v>6412</v>
      </c>
      <c r="E19" s="25">
        <v>14</v>
      </c>
    </row>
    <row r="20" spans="2:5" x14ac:dyDescent="0.3">
      <c r="B20" s="39"/>
      <c r="C20" s="23" t="s">
        <v>3109</v>
      </c>
      <c r="D20" s="24" t="s">
        <v>6413</v>
      </c>
      <c r="E20" s="23">
        <v>13</v>
      </c>
    </row>
    <row r="21" spans="2:5" x14ac:dyDescent="0.3">
      <c r="B21" s="38"/>
      <c r="C21" s="31" t="s">
        <v>3239</v>
      </c>
      <c r="D21" s="32" t="s">
        <v>6414</v>
      </c>
      <c r="E21" s="31">
        <v>4</v>
      </c>
    </row>
    <row r="22" spans="2:5" ht="27.6" x14ac:dyDescent="0.3">
      <c r="B22" s="36" t="s">
        <v>6394</v>
      </c>
      <c r="C22" s="18" t="s">
        <v>3223</v>
      </c>
      <c r="D22" s="17" t="s">
        <v>6394</v>
      </c>
      <c r="E22" s="18">
        <v>4</v>
      </c>
    </row>
    <row r="23" spans="2:5" x14ac:dyDescent="0.3">
      <c r="B23" s="36" t="s">
        <v>6395</v>
      </c>
      <c r="C23" s="27" t="s">
        <v>3110</v>
      </c>
      <c r="D23" s="28" t="s">
        <v>6395</v>
      </c>
      <c r="E23" s="27">
        <v>2</v>
      </c>
    </row>
    <row r="24" spans="2:5" x14ac:dyDescent="0.3">
      <c r="B24" s="37" t="s">
        <v>6396</v>
      </c>
      <c r="C24" s="29" t="s">
        <v>3138</v>
      </c>
      <c r="D24" s="30" t="s">
        <v>6415</v>
      </c>
      <c r="E24" s="29">
        <v>2</v>
      </c>
    </row>
    <row r="25" spans="2:5" ht="27.6" x14ac:dyDescent="0.3">
      <c r="B25" s="38"/>
      <c r="C25" s="31" t="s">
        <v>3139</v>
      </c>
      <c r="D25" s="32" t="s">
        <v>6416</v>
      </c>
      <c r="E25" s="31">
        <v>117</v>
      </c>
    </row>
    <row r="26" spans="2:5" x14ac:dyDescent="0.3">
      <c r="B26" s="37" t="s">
        <v>6397</v>
      </c>
      <c r="C26" s="29" t="s">
        <v>508</v>
      </c>
      <c r="D26" s="30" t="s">
        <v>6417</v>
      </c>
      <c r="E26" s="29">
        <v>5</v>
      </c>
    </row>
    <row r="27" spans="2:5" x14ac:dyDescent="0.3">
      <c r="B27" s="39"/>
      <c r="C27" s="25" t="s">
        <v>517</v>
      </c>
      <c r="D27" s="26" t="s">
        <v>6422</v>
      </c>
      <c r="E27" s="25">
        <v>1</v>
      </c>
    </row>
    <row r="28" spans="2:5" ht="27.6" x14ac:dyDescent="0.3">
      <c r="B28" s="39"/>
      <c r="C28" s="23" t="s">
        <v>3199</v>
      </c>
      <c r="D28" s="24" t="s">
        <v>6418</v>
      </c>
      <c r="E28" s="23">
        <v>13</v>
      </c>
    </row>
    <row r="29" spans="2:5" ht="27.6" x14ac:dyDescent="0.3">
      <c r="B29" s="39"/>
      <c r="C29" s="25" t="s">
        <v>3171</v>
      </c>
      <c r="D29" s="26" t="s">
        <v>6419</v>
      </c>
      <c r="E29" s="25">
        <v>19</v>
      </c>
    </row>
    <row r="30" spans="2:5" ht="27.6" x14ac:dyDescent="0.3">
      <c r="B30" s="39"/>
      <c r="C30" s="23" t="s">
        <v>6347</v>
      </c>
      <c r="D30" s="24" t="s">
        <v>6423</v>
      </c>
      <c r="E30" s="23">
        <v>1</v>
      </c>
    </row>
    <row r="31" spans="2:5" ht="27.6" x14ac:dyDescent="0.3">
      <c r="B31" s="39"/>
      <c r="C31" s="25" t="s">
        <v>3172</v>
      </c>
      <c r="D31" s="26" t="s">
        <v>6420</v>
      </c>
      <c r="E31" s="25">
        <v>13</v>
      </c>
    </row>
    <row r="32" spans="2:5" ht="14.4" customHeight="1" x14ac:dyDescent="0.3">
      <c r="B32" s="38"/>
      <c r="C32" s="21" t="s">
        <v>3200</v>
      </c>
      <c r="D32" s="22" t="s">
        <v>6421</v>
      </c>
      <c r="E32" s="21">
        <v>5</v>
      </c>
    </row>
    <row r="33" spans="2:5" x14ac:dyDescent="0.3">
      <c r="B33" s="37" t="s">
        <v>6398</v>
      </c>
      <c r="C33" s="19" t="s">
        <v>3173</v>
      </c>
      <c r="D33" s="20" t="s">
        <v>5060</v>
      </c>
      <c r="E33" s="19">
        <v>7</v>
      </c>
    </row>
    <row r="34" spans="2:5" x14ac:dyDescent="0.3">
      <c r="B34" s="38"/>
      <c r="C34" s="21" t="s">
        <v>3111</v>
      </c>
      <c r="D34" s="22" t="s">
        <v>6424</v>
      </c>
      <c r="E34" s="21">
        <v>2</v>
      </c>
    </row>
    <row r="35" spans="2:5" x14ac:dyDescent="0.3">
      <c r="B35" s="36" t="s">
        <v>6399</v>
      </c>
      <c r="C35" s="27" t="s">
        <v>3240</v>
      </c>
      <c r="D35" s="28" t="s">
        <v>6399</v>
      </c>
      <c r="E35" s="27">
        <v>6</v>
      </c>
    </row>
    <row r="36" spans="2:5" x14ac:dyDescent="0.3">
      <c r="B36" s="33" t="s">
        <v>6425</v>
      </c>
      <c r="C36" s="33"/>
      <c r="D36" s="33"/>
      <c r="E36" s="34">
        <v>653</v>
      </c>
    </row>
  </sheetData>
  <mergeCells count="8">
    <mergeCell ref="B33:B34"/>
    <mergeCell ref="B36:D36"/>
    <mergeCell ref="B2:E2"/>
    <mergeCell ref="B5:B6"/>
    <mergeCell ref="B7:B12"/>
    <mergeCell ref="B16:B21"/>
    <mergeCell ref="B24:B25"/>
    <mergeCell ref="B26:B3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2D658-BE00-4DB1-96F3-C6D18186A001}">
  <dimension ref="B2:E10"/>
  <sheetViews>
    <sheetView workbookViewId="0">
      <selection activeCell="B2" sqref="B2:E10"/>
    </sheetView>
  </sheetViews>
  <sheetFormatPr baseColWidth="10" defaultRowHeight="13.8" x14ac:dyDescent="0.25"/>
  <cols>
    <col min="1" max="1" width="11.5546875" style="9"/>
    <col min="2" max="2" width="28.109375" style="9" customWidth="1"/>
    <col min="3" max="3" width="13.21875" style="9" customWidth="1"/>
    <col min="4" max="4" width="31.77734375" style="9" customWidth="1"/>
    <col min="5" max="16384" width="11.5546875" style="9"/>
  </cols>
  <sheetData>
    <row r="2" spans="2:5" ht="29.4" customHeight="1" x14ac:dyDescent="0.25">
      <c r="B2" s="12" t="s">
        <v>6427</v>
      </c>
      <c r="C2" s="12"/>
      <c r="D2" s="12"/>
      <c r="E2" s="12"/>
    </row>
    <row r="3" spans="2:5" x14ac:dyDescent="0.25">
      <c r="B3" s="13" t="s">
        <v>6428</v>
      </c>
      <c r="C3" s="13" t="s">
        <v>4</v>
      </c>
      <c r="D3" s="13" t="s">
        <v>6429</v>
      </c>
      <c r="E3" s="13" t="s">
        <v>6386</v>
      </c>
    </row>
    <row r="4" spans="2:5" x14ac:dyDescent="0.25">
      <c r="B4" s="13" t="s">
        <v>6430</v>
      </c>
      <c r="C4" s="13" t="s">
        <v>3140</v>
      </c>
      <c r="D4" s="13" t="s">
        <v>6430</v>
      </c>
      <c r="E4" s="13">
        <v>47</v>
      </c>
    </row>
    <row r="5" spans="2:5" x14ac:dyDescent="0.25">
      <c r="B5" s="13" t="s">
        <v>6431</v>
      </c>
      <c r="C5" s="13" t="s">
        <v>3201</v>
      </c>
      <c r="D5" s="13" t="s">
        <v>6432</v>
      </c>
      <c r="E5" s="13">
        <v>1</v>
      </c>
    </row>
    <row r="6" spans="2:5" x14ac:dyDescent="0.25">
      <c r="B6" s="12" t="s">
        <v>6433</v>
      </c>
      <c r="C6" s="13" t="s">
        <v>3202</v>
      </c>
      <c r="D6" s="13" t="s">
        <v>6434</v>
      </c>
      <c r="E6" s="13">
        <v>12</v>
      </c>
    </row>
    <row r="7" spans="2:5" x14ac:dyDescent="0.25">
      <c r="B7" s="12"/>
      <c r="C7" s="13" t="s">
        <v>3112</v>
      </c>
      <c r="D7" s="13" t="s">
        <v>6435</v>
      </c>
      <c r="E7" s="13">
        <v>21</v>
      </c>
    </row>
    <row r="8" spans="2:5" x14ac:dyDescent="0.25">
      <c r="B8" s="12" t="s">
        <v>6436</v>
      </c>
      <c r="C8" s="13" t="s">
        <v>3174</v>
      </c>
      <c r="D8" s="13" t="s">
        <v>6437</v>
      </c>
      <c r="E8" s="13">
        <v>1</v>
      </c>
    </row>
    <row r="9" spans="2:5" x14ac:dyDescent="0.25">
      <c r="B9" s="12"/>
      <c r="C9" s="13" t="s">
        <v>3203</v>
      </c>
      <c r="D9" s="13" t="s">
        <v>6438</v>
      </c>
      <c r="E9" s="13">
        <v>2</v>
      </c>
    </row>
    <row r="10" spans="2:5" x14ac:dyDescent="0.25">
      <c r="B10" s="12" t="s">
        <v>6425</v>
      </c>
      <c r="C10" s="12"/>
      <c r="D10" s="12"/>
      <c r="E10" s="13">
        <f>SUM(E4:E9)</f>
        <v>84</v>
      </c>
    </row>
  </sheetData>
  <mergeCells count="4">
    <mergeCell ref="B2:E2"/>
    <mergeCell ref="B10:D10"/>
    <mergeCell ref="B8:B9"/>
    <mergeCell ref="B6:B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CECB-37C9-42EE-9CFE-ED79728ECEB9}">
  <dimension ref="B2:E30"/>
  <sheetViews>
    <sheetView topLeftCell="A6" zoomScaleNormal="100" workbookViewId="0">
      <selection activeCell="B2" sqref="B2:E30"/>
    </sheetView>
  </sheetViews>
  <sheetFormatPr baseColWidth="10" defaultRowHeight="13.8" x14ac:dyDescent="0.25"/>
  <cols>
    <col min="1" max="1" width="11.5546875" style="9"/>
    <col min="2" max="2" width="54.21875" style="10" bestFit="1" customWidth="1"/>
    <col min="3" max="3" width="11.88671875" style="10" bestFit="1" customWidth="1"/>
    <col min="4" max="4" width="73.88671875" style="10" bestFit="1" customWidth="1"/>
    <col min="5" max="5" width="10.88671875" style="10" bestFit="1" customWidth="1"/>
    <col min="6" max="16384" width="11.5546875" style="9"/>
  </cols>
  <sheetData>
    <row r="2" spans="2:5" x14ac:dyDescent="0.25">
      <c r="B2" s="12" t="s">
        <v>6439</v>
      </c>
      <c r="C2" s="12"/>
      <c r="D2" s="12"/>
      <c r="E2" s="12"/>
    </row>
    <row r="3" spans="2:5" x14ac:dyDescent="0.25">
      <c r="B3" s="10" t="s">
        <v>6428</v>
      </c>
      <c r="C3" s="10" t="s">
        <v>4</v>
      </c>
      <c r="D3" s="10" t="s">
        <v>6429</v>
      </c>
      <c r="E3" s="10" t="s">
        <v>6386</v>
      </c>
    </row>
    <row r="4" spans="2:5" x14ac:dyDescent="0.25">
      <c r="B4" s="12" t="s">
        <v>6471</v>
      </c>
      <c r="C4" s="10" t="s">
        <v>3184</v>
      </c>
      <c r="D4" s="10" t="s">
        <v>6440</v>
      </c>
      <c r="E4" s="10">
        <v>6</v>
      </c>
    </row>
    <row r="5" spans="2:5" x14ac:dyDescent="0.25">
      <c r="B5" s="12"/>
      <c r="C5" s="10" t="s">
        <v>3113</v>
      </c>
      <c r="D5" s="10" t="s">
        <v>6441</v>
      </c>
      <c r="E5" s="10">
        <v>9</v>
      </c>
    </row>
    <row r="6" spans="2:5" x14ac:dyDescent="0.25">
      <c r="B6" s="12"/>
      <c r="C6" s="10" t="s">
        <v>3204</v>
      </c>
      <c r="D6" s="10" t="s">
        <v>6442</v>
      </c>
      <c r="E6" s="10">
        <v>2</v>
      </c>
    </row>
    <row r="7" spans="2:5" x14ac:dyDescent="0.25">
      <c r="B7" s="12"/>
      <c r="C7" s="10" t="s">
        <v>3142</v>
      </c>
      <c r="D7" s="10" t="s">
        <v>6443</v>
      </c>
      <c r="E7" s="10">
        <v>26</v>
      </c>
    </row>
    <row r="8" spans="2:5" x14ac:dyDescent="0.25">
      <c r="B8" s="12"/>
      <c r="C8" s="10" t="s">
        <v>6335</v>
      </c>
      <c r="D8" s="10" t="s">
        <v>6472</v>
      </c>
      <c r="E8" s="10">
        <v>1</v>
      </c>
    </row>
    <row r="9" spans="2:5" x14ac:dyDescent="0.25">
      <c r="B9" s="13" t="s">
        <v>6444</v>
      </c>
      <c r="C9" s="10" t="s">
        <v>3224</v>
      </c>
      <c r="D9" s="10" t="s">
        <v>6445</v>
      </c>
      <c r="E9" s="10">
        <v>4</v>
      </c>
    </row>
    <row r="10" spans="2:5" x14ac:dyDescent="0.25">
      <c r="B10" s="12" t="s">
        <v>6446</v>
      </c>
      <c r="C10" s="10" t="s">
        <v>3185</v>
      </c>
      <c r="D10" s="10" t="s">
        <v>6447</v>
      </c>
      <c r="E10" s="10">
        <v>9</v>
      </c>
    </row>
    <row r="11" spans="2:5" x14ac:dyDescent="0.25">
      <c r="B11" s="12"/>
      <c r="C11" s="10" t="s">
        <v>3225</v>
      </c>
      <c r="D11" s="10" t="s">
        <v>6448</v>
      </c>
      <c r="E11" s="10">
        <v>8</v>
      </c>
    </row>
    <row r="12" spans="2:5" x14ac:dyDescent="0.25">
      <c r="B12" s="12"/>
      <c r="C12" s="10" t="s">
        <v>3186</v>
      </c>
      <c r="D12" s="10" t="s">
        <v>6449</v>
      </c>
      <c r="E12" s="10">
        <v>20</v>
      </c>
    </row>
    <row r="13" spans="2:5" x14ac:dyDescent="0.25">
      <c r="B13" s="12"/>
      <c r="C13" s="10" t="s">
        <v>3175</v>
      </c>
      <c r="D13" s="10" t="s">
        <v>6450</v>
      </c>
      <c r="E13" s="10">
        <v>3</v>
      </c>
    </row>
    <row r="14" spans="2:5" x14ac:dyDescent="0.25">
      <c r="B14" s="13" t="s">
        <v>6451</v>
      </c>
      <c r="C14" s="10" t="s">
        <v>3114</v>
      </c>
      <c r="D14" s="10" t="s">
        <v>6451</v>
      </c>
      <c r="E14" s="10">
        <v>12</v>
      </c>
    </row>
    <row r="15" spans="2:5" x14ac:dyDescent="0.25">
      <c r="B15" s="12" t="s">
        <v>6452</v>
      </c>
      <c r="C15" s="10" t="s">
        <v>3241</v>
      </c>
      <c r="D15" s="10" t="s">
        <v>6453</v>
      </c>
      <c r="E15" s="10">
        <v>2</v>
      </c>
    </row>
    <row r="16" spans="2:5" x14ac:dyDescent="0.25">
      <c r="B16" s="12"/>
      <c r="C16" s="10" t="s">
        <v>3176</v>
      </c>
      <c r="D16" s="10" t="s">
        <v>6454</v>
      </c>
      <c r="E16" s="10">
        <v>2</v>
      </c>
    </row>
    <row r="17" spans="2:5" x14ac:dyDescent="0.25">
      <c r="B17" s="12"/>
      <c r="C17" s="10" t="s">
        <v>3143</v>
      </c>
      <c r="D17" s="10" t="s">
        <v>6455</v>
      </c>
      <c r="E17" s="10">
        <v>21</v>
      </c>
    </row>
    <row r="18" spans="2:5" x14ac:dyDescent="0.25">
      <c r="B18" s="12" t="s">
        <v>6456</v>
      </c>
      <c r="C18" s="10" t="s">
        <v>3187</v>
      </c>
      <c r="D18" s="10" t="s">
        <v>6457</v>
      </c>
      <c r="E18" s="10">
        <v>33</v>
      </c>
    </row>
    <row r="19" spans="2:5" x14ac:dyDescent="0.25">
      <c r="B19" s="12"/>
      <c r="C19" s="10" t="s">
        <v>3144</v>
      </c>
      <c r="D19" s="10" t="s">
        <v>6458</v>
      </c>
      <c r="E19" s="10">
        <v>3</v>
      </c>
    </row>
    <row r="20" spans="2:5" x14ac:dyDescent="0.25">
      <c r="B20" s="12"/>
      <c r="C20" s="10" t="s">
        <v>6336</v>
      </c>
      <c r="D20" s="10" t="s">
        <v>6473</v>
      </c>
      <c r="E20" s="10">
        <v>6</v>
      </c>
    </row>
    <row r="21" spans="2:5" x14ac:dyDescent="0.25">
      <c r="B21" s="12" t="s">
        <v>6459</v>
      </c>
      <c r="C21" s="10" t="s">
        <v>3145</v>
      </c>
      <c r="D21" s="10" t="s">
        <v>6460</v>
      </c>
      <c r="E21" s="10">
        <v>20</v>
      </c>
    </row>
    <row r="22" spans="2:5" x14ac:dyDescent="0.25">
      <c r="B22" s="12"/>
      <c r="C22" s="10" t="s">
        <v>3205</v>
      </c>
      <c r="D22" s="10" t="s">
        <v>6461</v>
      </c>
      <c r="E22" s="10">
        <v>9</v>
      </c>
    </row>
    <row r="23" spans="2:5" x14ac:dyDescent="0.25">
      <c r="B23" s="12"/>
      <c r="C23" s="10" t="s">
        <v>3206</v>
      </c>
      <c r="D23" s="10" t="s">
        <v>6462</v>
      </c>
      <c r="E23" s="10">
        <v>4</v>
      </c>
    </row>
    <row r="24" spans="2:5" x14ac:dyDescent="0.25">
      <c r="B24" s="12" t="s">
        <v>6463</v>
      </c>
      <c r="C24" s="10" t="s">
        <v>2823</v>
      </c>
      <c r="D24" s="10" t="s">
        <v>6464</v>
      </c>
      <c r="E24" s="10">
        <v>38</v>
      </c>
    </row>
    <row r="25" spans="2:5" x14ac:dyDescent="0.25">
      <c r="B25" s="12"/>
      <c r="C25" s="10" t="s">
        <v>3207</v>
      </c>
      <c r="D25" s="10" t="s">
        <v>6465</v>
      </c>
      <c r="E25" s="10">
        <v>40</v>
      </c>
    </row>
    <row r="26" spans="2:5" x14ac:dyDescent="0.25">
      <c r="B26" s="12"/>
      <c r="C26" s="10" t="s">
        <v>3115</v>
      </c>
      <c r="D26" s="10" t="s">
        <v>6466</v>
      </c>
      <c r="E26" s="10">
        <v>49</v>
      </c>
    </row>
    <row r="27" spans="2:5" x14ac:dyDescent="0.25">
      <c r="B27" s="12"/>
      <c r="C27" s="10" t="s">
        <v>3146</v>
      </c>
      <c r="D27" s="10" t="s">
        <v>6467</v>
      </c>
      <c r="E27" s="10">
        <v>46</v>
      </c>
    </row>
    <row r="28" spans="2:5" x14ac:dyDescent="0.25">
      <c r="B28" s="12" t="s">
        <v>6468</v>
      </c>
      <c r="C28" s="10" t="s">
        <v>3116</v>
      </c>
      <c r="D28" s="10" t="s">
        <v>6469</v>
      </c>
      <c r="E28" s="10">
        <v>70</v>
      </c>
    </row>
    <row r="29" spans="2:5" x14ac:dyDescent="0.25">
      <c r="B29" s="12"/>
      <c r="C29" s="10" t="s">
        <v>3177</v>
      </c>
      <c r="D29" s="10" t="s">
        <v>6470</v>
      </c>
      <c r="E29" s="10">
        <v>4</v>
      </c>
    </row>
    <row r="30" spans="2:5" x14ac:dyDescent="0.25">
      <c r="B30" s="11" t="s">
        <v>6425</v>
      </c>
      <c r="C30" s="11"/>
      <c r="D30" s="11"/>
      <c r="E30" s="10">
        <f>SUM(E4:E29)</f>
        <v>447</v>
      </c>
    </row>
  </sheetData>
  <mergeCells count="9">
    <mergeCell ref="B30:D30"/>
    <mergeCell ref="B2:E2"/>
    <mergeCell ref="B4:B8"/>
    <mergeCell ref="B10:B13"/>
    <mergeCell ref="B15:B17"/>
    <mergeCell ref="B18:B20"/>
    <mergeCell ref="B21:B23"/>
    <mergeCell ref="B24:B27"/>
    <mergeCell ref="B28:B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800D-BE87-4BE2-B1B2-2D25C8FEC87C}">
  <dimension ref="B2:H16"/>
  <sheetViews>
    <sheetView workbookViewId="0">
      <selection activeCell="B2" sqref="B2:E16"/>
    </sheetView>
  </sheetViews>
  <sheetFormatPr baseColWidth="10" defaultRowHeight="13.8" x14ac:dyDescent="0.25"/>
  <cols>
    <col min="1" max="1" width="11.5546875" style="9"/>
    <col min="2" max="2" width="50.21875" style="10" bestFit="1" customWidth="1"/>
    <col min="3" max="3" width="11.88671875" style="10" bestFit="1" customWidth="1"/>
    <col min="4" max="4" width="42.77734375" style="10" bestFit="1" customWidth="1"/>
    <col min="5" max="5" width="10.88671875" style="10" bestFit="1" customWidth="1"/>
    <col min="6" max="16384" width="11.5546875" style="9"/>
  </cols>
  <sheetData>
    <row r="2" spans="2:8" x14ac:dyDescent="0.25">
      <c r="B2" s="11" t="s">
        <v>6474</v>
      </c>
      <c r="C2" s="11"/>
      <c r="D2" s="11"/>
      <c r="E2" s="11"/>
    </row>
    <row r="3" spans="2:8" x14ac:dyDescent="0.25">
      <c r="B3" s="10" t="s">
        <v>6428</v>
      </c>
      <c r="C3" s="10" t="s">
        <v>4</v>
      </c>
      <c r="D3" s="10" t="s">
        <v>6429</v>
      </c>
      <c r="E3" s="10" t="s">
        <v>6386</v>
      </c>
    </row>
    <row r="4" spans="2:8" x14ac:dyDescent="0.25">
      <c r="B4" s="11" t="s">
        <v>6475</v>
      </c>
      <c r="C4" s="10" t="s">
        <v>2309</v>
      </c>
      <c r="D4" s="10" t="s">
        <v>6476</v>
      </c>
      <c r="E4" s="43">
        <v>23</v>
      </c>
      <c r="G4" s="44"/>
      <c r="H4" s="44"/>
    </row>
    <row r="5" spans="2:8" x14ac:dyDescent="0.25">
      <c r="B5" s="11"/>
      <c r="C5" s="10" t="s">
        <v>3208</v>
      </c>
      <c r="D5" s="10" t="s">
        <v>6477</v>
      </c>
      <c r="E5" s="43">
        <v>1</v>
      </c>
      <c r="G5" s="44"/>
      <c r="H5" s="44"/>
    </row>
    <row r="6" spans="2:8" x14ac:dyDescent="0.25">
      <c r="B6" s="10" t="s">
        <v>6478</v>
      </c>
      <c r="C6" s="10" t="s">
        <v>3226</v>
      </c>
      <c r="D6" s="10" t="s">
        <v>6478</v>
      </c>
      <c r="E6" s="43">
        <v>2</v>
      </c>
      <c r="G6" s="44"/>
      <c r="H6" s="44"/>
    </row>
    <row r="7" spans="2:8" x14ac:dyDescent="0.25">
      <c r="B7" s="10" t="s">
        <v>6479</v>
      </c>
      <c r="C7" s="10" t="s">
        <v>3117</v>
      </c>
      <c r="D7" s="10" t="s">
        <v>6480</v>
      </c>
      <c r="E7" s="43">
        <v>7</v>
      </c>
      <c r="G7" s="44"/>
      <c r="H7" s="44"/>
    </row>
    <row r="8" spans="2:8" x14ac:dyDescent="0.25">
      <c r="B8" s="11" t="s">
        <v>6481</v>
      </c>
      <c r="C8" s="10" t="s">
        <v>3178</v>
      </c>
      <c r="D8" s="10" t="s">
        <v>6482</v>
      </c>
      <c r="E8" s="43">
        <v>12</v>
      </c>
      <c r="G8" s="44"/>
      <c r="H8" s="44"/>
    </row>
    <row r="9" spans="2:8" x14ac:dyDescent="0.25">
      <c r="B9" s="11"/>
      <c r="C9" s="10" t="s">
        <v>3179</v>
      </c>
      <c r="D9" s="10" t="s">
        <v>6483</v>
      </c>
      <c r="E9" s="43">
        <v>1</v>
      </c>
      <c r="G9" s="44"/>
      <c r="H9" s="44"/>
    </row>
    <row r="10" spans="2:8" x14ac:dyDescent="0.25">
      <c r="B10" s="11" t="s">
        <v>6484</v>
      </c>
      <c r="C10" s="10" t="s">
        <v>3227</v>
      </c>
      <c r="D10" s="10" t="s">
        <v>6485</v>
      </c>
      <c r="E10" s="43">
        <v>5</v>
      </c>
      <c r="G10" s="44"/>
      <c r="H10" s="44"/>
    </row>
    <row r="11" spans="2:8" x14ac:dyDescent="0.25">
      <c r="B11" s="11"/>
      <c r="C11" s="10" t="s">
        <v>3209</v>
      </c>
      <c r="D11" s="10" t="s">
        <v>6486</v>
      </c>
      <c r="E11" s="43">
        <v>4</v>
      </c>
      <c r="G11" s="44"/>
      <c r="H11" s="44"/>
    </row>
    <row r="12" spans="2:8" x14ac:dyDescent="0.25">
      <c r="B12" s="11"/>
      <c r="C12" s="10" t="s">
        <v>3210</v>
      </c>
      <c r="D12" s="10" t="s">
        <v>6487</v>
      </c>
      <c r="E12" s="43">
        <v>3</v>
      </c>
      <c r="G12" s="44"/>
      <c r="H12" s="44"/>
    </row>
    <row r="13" spans="2:8" x14ac:dyDescent="0.25">
      <c r="B13" s="10" t="s">
        <v>6488</v>
      </c>
      <c r="C13" s="10" t="s">
        <v>3180</v>
      </c>
      <c r="D13" s="10" t="s">
        <v>6488</v>
      </c>
      <c r="E13" s="43">
        <v>13</v>
      </c>
      <c r="G13" s="44"/>
      <c r="H13" s="44"/>
    </row>
    <row r="14" spans="2:8" x14ac:dyDescent="0.25">
      <c r="B14" s="10" t="s">
        <v>6489</v>
      </c>
      <c r="C14" s="10" t="s">
        <v>3147</v>
      </c>
      <c r="D14" s="10" t="s">
        <v>6490</v>
      </c>
      <c r="E14" s="43">
        <v>10</v>
      </c>
      <c r="G14" s="44"/>
      <c r="H14" s="44"/>
    </row>
    <row r="15" spans="2:8" x14ac:dyDescent="0.25">
      <c r="B15" s="10" t="s">
        <v>6491</v>
      </c>
      <c r="C15" s="10" t="s">
        <v>3211</v>
      </c>
      <c r="D15" s="10" t="s">
        <v>6491</v>
      </c>
      <c r="E15" s="43">
        <v>2</v>
      </c>
      <c r="H15" s="44"/>
    </row>
    <row r="16" spans="2:8" x14ac:dyDescent="0.25">
      <c r="B16" s="11" t="s">
        <v>6425</v>
      </c>
      <c r="C16" s="11"/>
      <c r="D16" s="11"/>
      <c r="E16" s="10">
        <f>SUM(E4:E15)</f>
        <v>83</v>
      </c>
    </row>
  </sheetData>
  <mergeCells count="5">
    <mergeCell ref="B2:E2"/>
    <mergeCell ref="B16:D16"/>
    <mergeCell ref="B4:B5"/>
    <mergeCell ref="B8:B9"/>
    <mergeCell ref="B10:B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9CED-D5EE-4BFF-B1D3-10BE6D7F9E92}">
  <dimension ref="B2:J15"/>
  <sheetViews>
    <sheetView workbookViewId="0">
      <selection activeCell="B2" sqref="B2:E14"/>
    </sheetView>
  </sheetViews>
  <sheetFormatPr baseColWidth="10" defaultRowHeight="13.8" x14ac:dyDescent="0.3"/>
  <cols>
    <col min="1" max="1" width="11.5546875" style="10"/>
    <col min="2" max="2" width="49.77734375" style="10" bestFit="1" customWidth="1"/>
    <col min="3" max="3" width="11.88671875" style="10" bestFit="1" customWidth="1"/>
    <col min="4" max="4" width="71.33203125" style="10" bestFit="1" customWidth="1"/>
    <col min="5" max="5" width="10.88671875" style="10" bestFit="1" customWidth="1"/>
    <col min="6" max="16384" width="11.5546875" style="10"/>
  </cols>
  <sheetData>
    <row r="2" spans="2:10" x14ac:dyDescent="0.3">
      <c r="B2" s="11" t="s">
        <v>6492</v>
      </c>
      <c r="C2" s="11"/>
      <c r="D2" s="11"/>
      <c r="E2" s="11"/>
    </row>
    <row r="3" spans="2:10" x14ac:dyDescent="0.3">
      <c r="B3" s="10" t="s">
        <v>6428</v>
      </c>
      <c r="C3" s="10" t="s">
        <v>4</v>
      </c>
      <c r="D3" s="10" t="s">
        <v>6429</v>
      </c>
      <c r="E3" s="10" t="s">
        <v>6386</v>
      </c>
    </row>
    <row r="4" spans="2:10" ht="14.4" x14ac:dyDescent="0.3">
      <c r="B4" s="11" t="s">
        <v>6493</v>
      </c>
      <c r="C4" s="10" t="s">
        <v>3228</v>
      </c>
      <c r="D4" s="10" t="s">
        <v>6494</v>
      </c>
      <c r="E4" s="10">
        <v>21</v>
      </c>
      <c r="G4" s="8"/>
      <c r="H4" s="8"/>
      <c r="I4"/>
      <c r="J4" s="6"/>
    </row>
    <row r="5" spans="2:10" ht="14.4" x14ac:dyDescent="0.3">
      <c r="B5" s="11"/>
      <c r="C5" s="10" t="s">
        <v>6344</v>
      </c>
      <c r="D5" s="10" t="s">
        <v>6503</v>
      </c>
      <c r="E5" s="10">
        <v>1</v>
      </c>
      <c r="G5" s="8"/>
      <c r="H5" s="8"/>
      <c r="I5"/>
      <c r="J5" s="6"/>
    </row>
    <row r="6" spans="2:10" ht="14.4" x14ac:dyDescent="0.3">
      <c r="B6" s="10" t="s">
        <v>6502</v>
      </c>
      <c r="C6" s="10" t="s">
        <v>6341</v>
      </c>
      <c r="D6" s="10" t="s">
        <v>6502</v>
      </c>
      <c r="E6" s="10">
        <v>2</v>
      </c>
      <c r="G6" s="8"/>
      <c r="H6" s="8"/>
      <c r="I6"/>
      <c r="J6" s="6"/>
    </row>
    <row r="7" spans="2:10" ht="14.4" x14ac:dyDescent="0.3">
      <c r="B7" s="11" t="s">
        <v>6495</v>
      </c>
      <c r="C7" s="10" t="s">
        <v>1064</v>
      </c>
      <c r="D7" s="10" t="s">
        <v>6496</v>
      </c>
      <c r="E7" s="10">
        <v>12</v>
      </c>
      <c r="G7" s="8"/>
      <c r="H7" s="8"/>
      <c r="I7"/>
      <c r="J7" s="6"/>
    </row>
    <row r="8" spans="2:10" ht="14.4" x14ac:dyDescent="0.3">
      <c r="B8" s="11"/>
      <c r="C8" s="10" t="s">
        <v>3229</v>
      </c>
      <c r="D8" s="10" t="s">
        <v>6497</v>
      </c>
      <c r="E8" s="10">
        <v>1</v>
      </c>
      <c r="G8" s="8"/>
      <c r="H8" s="8"/>
      <c r="I8"/>
      <c r="J8" s="6"/>
    </row>
    <row r="9" spans="2:10" ht="14.4" x14ac:dyDescent="0.3">
      <c r="B9" s="11"/>
      <c r="C9" s="10" t="s">
        <v>3149</v>
      </c>
      <c r="D9" s="10" t="s">
        <v>6498</v>
      </c>
      <c r="E9" s="10">
        <v>6</v>
      </c>
      <c r="G9" s="8"/>
      <c r="H9" s="8"/>
      <c r="I9"/>
      <c r="J9" s="6"/>
    </row>
    <row r="10" spans="2:10" ht="14.4" x14ac:dyDescent="0.3">
      <c r="B10" s="11"/>
      <c r="C10" s="10" t="s">
        <v>3230</v>
      </c>
      <c r="D10" s="10" t="s">
        <v>6499</v>
      </c>
      <c r="E10" s="10">
        <v>6</v>
      </c>
      <c r="G10" s="8"/>
      <c r="H10" s="8"/>
      <c r="I10"/>
      <c r="J10" s="6"/>
    </row>
    <row r="11" spans="2:10" ht="14.4" x14ac:dyDescent="0.3">
      <c r="B11" s="11"/>
      <c r="C11" s="10" t="s">
        <v>6353</v>
      </c>
      <c r="D11" s="10" t="s">
        <v>6504</v>
      </c>
      <c r="E11" s="10">
        <v>1</v>
      </c>
      <c r="G11"/>
      <c r="H11" s="8"/>
      <c r="I11"/>
      <c r="J11" s="6"/>
    </row>
    <row r="12" spans="2:10" ht="14.4" x14ac:dyDescent="0.3">
      <c r="B12" s="11" t="s">
        <v>6500</v>
      </c>
      <c r="C12" s="10" t="s">
        <v>3188</v>
      </c>
      <c r="D12" s="10" t="s">
        <v>6500</v>
      </c>
      <c r="E12" s="10">
        <v>11</v>
      </c>
      <c r="G12"/>
      <c r="H12" s="8"/>
      <c r="I12"/>
      <c r="J12" s="6"/>
    </row>
    <row r="13" spans="2:10" ht="14.4" x14ac:dyDescent="0.3">
      <c r="B13" s="11"/>
      <c r="C13" s="10" t="s">
        <v>3151</v>
      </c>
      <c r="D13" s="10" t="s">
        <v>6501</v>
      </c>
      <c r="E13" s="10">
        <v>8</v>
      </c>
      <c r="G13"/>
      <c r="H13" s="8"/>
      <c r="I13"/>
      <c r="J13" s="6"/>
    </row>
    <row r="14" spans="2:10" ht="14.4" x14ac:dyDescent="0.3">
      <c r="B14" s="11" t="s">
        <v>6425</v>
      </c>
      <c r="C14" s="11"/>
      <c r="D14" s="11"/>
      <c r="E14" s="10">
        <f>SUM(E4:E13)</f>
        <v>69</v>
      </c>
      <c r="G14"/>
    </row>
    <row r="15" spans="2:10" ht="14.4" x14ac:dyDescent="0.3">
      <c r="G15"/>
    </row>
  </sheetData>
  <mergeCells count="5">
    <mergeCell ref="B2:E2"/>
    <mergeCell ref="B14:D14"/>
    <mergeCell ref="B4:B5"/>
    <mergeCell ref="B7:B11"/>
    <mergeCell ref="B12:B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249D-F7F4-43E1-9F30-B3320F26DA37}">
  <dimension ref="B2:J10"/>
  <sheetViews>
    <sheetView workbookViewId="0">
      <selection activeCell="D5" sqref="D5"/>
    </sheetView>
  </sheetViews>
  <sheetFormatPr baseColWidth="10" defaultRowHeight="13.8" x14ac:dyDescent="0.25"/>
  <cols>
    <col min="1" max="1" width="11.5546875" style="9"/>
    <col min="2" max="2" width="31.109375" style="10" bestFit="1" customWidth="1"/>
    <col min="3" max="3" width="11.88671875" style="10" bestFit="1" customWidth="1"/>
    <col min="4" max="4" width="37.109375" style="10" bestFit="1" customWidth="1"/>
    <col min="5" max="5" width="10.88671875" style="10" bestFit="1" customWidth="1"/>
    <col min="6" max="16384" width="11.5546875" style="9"/>
  </cols>
  <sheetData>
    <row r="2" spans="2:10" x14ac:dyDescent="0.25">
      <c r="B2" s="11" t="s">
        <v>6505</v>
      </c>
      <c r="C2" s="11"/>
      <c r="D2" s="11"/>
      <c r="E2" s="11"/>
    </row>
    <row r="3" spans="2:10" x14ac:dyDescent="0.25">
      <c r="B3" s="10" t="s">
        <v>6428</v>
      </c>
      <c r="C3" s="10" t="s">
        <v>4</v>
      </c>
      <c r="D3" s="10" t="s">
        <v>6429</v>
      </c>
      <c r="E3" s="10" t="s">
        <v>6386</v>
      </c>
    </row>
    <row r="4" spans="2:10" ht="14.4" x14ac:dyDescent="0.3">
      <c r="B4" s="11" t="s">
        <v>6506</v>
      </c>
      <c r="C4" s="10" t="s">
        <v>3153</v>
      </c>
      <c r="E4" s="10">
        <v>33</v>
      </c>
      <c r="G4" s="8"/>
      <c r="H4" s="8"/>
      <c r="I4"/>
      <c r="J4" s="6"/>
    </row>
    <row r="5" spans="2:10" ht="14.4" x14ac:dyDescent="0.3">
      <c r="B5" s="11"/>
      <c r="C5" s="10" t="s">
        <v>6351</v>
      </c>
      <c r="E5" s="10">
        <v>1</v>
      </c>
      <c r="G5" s="8"/>
      <c r="H5" s="8"/>
      <c r="I5"/>
      <c r="J5" s="6"/>
    </row>
    <row r="6" spans="2:10" ht="14.4" x14ac:dyDescent="0.3">
      <c r="B6" s="10" t="s">
        <v>6507</v>
      </c>
      <c r="C6" s="10" t="s">
        <v>3212</v>
      </c>
      <c r="D6" s="10" t="s">
        <v>6608</v>
      </c>
      <c r="E6" s="10">
        <v>11</v>
      </c>
      <c r="G6" s="8"/>
      <c r="H6" s="8"/>
      <c r="I6"/>
      <c r="J6" s="6"/>
    </row>
    <row r="7" spans="2:10" ht="14.4" x14ac:dyDescent="0.3">
      <c r="B7" s="10" t="s">
        <v>6508</v>
      </c>
      <c r="C7" s="10" t="s">
        <v>6338</v>
      </c>
      <c r="D7" s="10" t="s">
        <v>6607</v>
      </c>
      <c r="E7" s="10">
        <v>2</v>
      </c>
      <c r="G7"/>
      <c r="H7" s="8"/>
      <c r="I7"/>
      <c r="J7" s="6"/>
    </row>
    <row r="8" spans="2:10" ht="14.4" x14ac:dyDescent="0.3">
      <c r="B8" s="11" t="s">
        <v>6425</v>
      </c>
      <c r="C8" s="11"/>
      <c r="D8" s="11"/>
      <c r="E8" s="10">
        <f>SUM(E4:E7)</f>
        <v>47</v>
      </c>
      <c r="G8"/>
    </row>
    <row r="9" spans="2:10" ht="14.4" x14ac:dyDescent="0.3">
      <c r="G9"/>
    </row>
    <row r="10" spans="2:10" ht="14.4" x14ac:dyDescent="0.3">
      <c r="G10"/>
    </row>
  </sheetData>
  <mergeCells count="3">
    <mergeCell ref="B2:E2"/>
    <mergeCell ref="B4:B5"/>
    <mergeCell ref="B8:D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3731-96E0-4B64-9C9C-0E89CADBCA12}">
  <dimension ref="B2:M17"/>
  <sheetViews>
    <sheetView workbookViewId="0">
      <selection activeCell="B2" sqref="B2:E17"/>
    </sheetView>
  </sheetViews>
  <sheetFormatPr baseColWidth="10" defaultRowHeight="14.4" x14ac:dyDescent="0.3"/>
  <cols>
    <col min="2" max="2" width="29.88671875" style="41" bestFit="1" customWidth="1"/>
    <col min="3" max="3" width="10.109375" style="41" bestFit="1" customWidth="1"/>
    <col min="4" max="4" width="37.5546875" style="41" bestFit="1" customWidth="1"/>
    <col min="5" max="5" width="10.109375" style="41" bestFit="1" customWidth="1"/>
  </cols>
  <sheetData>
    <row r="2" spans="2:13" x14ac:dyDescent="0.3">
      <c r="B2" s="40" t="s">
        <v>6509</v>
      </c>
      <c r="C2" s="40"/>
      <c r="D2" s="40"/>
      <c r="E2" s="40"/>
    </row>
    <row r="3" spans="2:13" x14ac:dyDescent="0.3">
      <c r="B3" s="41" t="s">
        <v>6428</v>
      </c>
      <c r="C3" s="41" t="s">
        <v>4</v>
      </c>
      <c r="D3" s="41" t="s">
        <v>6429</v>
      </c>
      <c r="E3" s="41" t="s">
        <v>6386</v>
      </c>
    </row>
    <row r="4" spans="2:13" x14ac:dyDescent="0.3">
      <c r="B4" s="40" t="s">
        <v>6510</v>
      </c>
      <c r="C4" s="41" t="s">
        <v>3231</v>
      </c>
      <c r="D4" s="41" t="s">
        <v>6511</v>
      </c>
      <c r="E4" s="42">
        <v>16</v>
      </c>
      <c r="J4" s="8"/>
      <c r="K4" s="8"/>
      <c r="M4" s="6"/>
    </row>
    <row r="5" spans="2:13" x14ac:dyDescent="0.3">
      <c r="B5" s="40"/>
      <c r="C5" s="41" t="s">
        <v>3154</v>
      </c>
      <c r="D5" s="41" t="s">
        <v>6512</v>
      </c>
      <c r="E5" s="42">
        <v>2</v>
      </c>
      <c r="J5" s="8"/>
      <c r="K5" s="8"/>
      <c r="M5" s="6"/>
    </row>
    <row r="6" spans="2:13" x14ac:dyDescent="0.3">
      <c r="B6" s="40"/>
      <c r="C6" s="41" t="s">
        <v>3118</v>
      </c>
      <c r="D6" s="41" t="s">
        <v>6513</v>
      </c>
      <c r="E6" s="42">
        <v>90</v>
      </c>
      <c r="J6" s="8"/>
      <c r="K6" s="8"/>
      <c r="M6" s="6"/>
    </row>
    <row r="7" spans="2:13" x14ac:dyDescent="0.3">
      <c r="B7" s="40"/>
      <c r="C7" s="41" t="s">
        <v>3155</v>
      </c>
      <c r="D7" s="41" t="s">
        <v>6514</v>
      </c>
      <c r="E7" s="42">
        <v>48</v>
      </c>
      <c r="J7" s="8"/>
      <c r="K7" s="8"/>
      <c r="M7" s="6"/>
    </row>
    <row r="8" spans="2:13" x14ac:dyDescent="0.3">
      <c r="B8" s="40"/>
      <c r="C8" s="41" t="s">
        <v>2777</v>
      </c>
      <c r="D8" s="41" t="s">
        <v>6515</v>
      </c>
      <c r="E8" s="42">
        <v>30</v>
      </c>
      <c r="J8" s="8"/>
      <c r="K8" s="8"/>
      <c r="M8" s="6"/>
    </row>
    <row r="9" spans="2:13" x14ac:dyDescent="0.3">
      <c r="B9" s="40"/>
      <c r="C9" s="41" t="s">
        <v>3181</v>
      </c>
      <c r="D9" s="41" t="s">
        <v>6516</v>
      </c>
      <c r="E9" s="42">
        <v>38</v>
      </c>
      <c r="J9" s="8"/>
      <c r="K9" s="8"/>
      <c r="M9" s="6"/>
    </row>
    <row r="10" spans="2:13" x14ac:dyDescent="0.3">
      <c r="B10" s="40"/>
      <c r="C10" s="41" t="s">
        <v>3213</v>
      </c>
      <c r="D10" s="41" t="s">
        <v>6517</v>
      </c>
      <c r="E10" s="42">
        <v>7</v>
      </c>
      <c r="J10" s="8"/>
      <c r="K10" s="8"/>
      <c r="M10" s="6"/>
    </row>
    <row r="11" spans="2:13" x14ac:dyDescent="0.3">
      <c r="B11" s="40"/>
      <c r="C11" s="41" t="s">
        <v>3156</v>
      </c>
      <c r="D11" s="41" t="s">
        <v>6518</v>
      </c>
      <c r="E11" s="42">
        <v>42</v>
      </c>
      <c r="J11" s="8"/>
      <c r="K11" s="8"/>
      <c r="M11" s="6"/>
    </row>
    <row r="12" spans="2:13" x14ac:dyDescent="0.3">
      <c r="B12" s="40"/>
      <c r="C12" s="41" t="s">
        <v>3232</v>
      </c>
      <c r="D12" s="41" t="s">
        <v>6519</v>
      </c>
      <c r="E12" s="42">
        <v>1</v>
      </c>
      <c r="J12" s="8"/>
      <c r="K12" s="8"/>
      <c r="M12" s="6"/>
    </row>
    <row r="13" spans="2:13" x14ac:dyDescent="0.3">
      <c r="B13" s="40"/>
      <c r="C13" s="41" t="s">
        <v>3189</v>
      </c>
      <c r="D13" s="41" t="s">
        <v>6520</v>
      </c>
      <c r="E13" s="42">
        <v>35</v>
      </c>
      <c r="J13" s="8"/>
      <c r="K13" s="8"/>
      <c r="M13" s="6"/>
    </row>
    <row r="14" spans="2:13" x14ac:dyDescent="0.3">
      <c r="B14" s="41" t="s">
        <v>6521</v>
      </c>
      <c r="C14" s="41" t="s">
        <v>3119</v>
      </c>
      <c r="D14" s="41" t="s">
        <v>6521</v>
      </c>
      <c r="E14" s="42">
        <v>37</v>
      </c>
      <c r="J14" s="8"/>
      <c r="K14" s="8"/>
      <c r="M14" s="6"/>
    </row>
    <row r="15" spans="2:13" x14ac:dyDescent="0.3">
      <c r="B15" s="41" t="s">
        <v>6522</v>
      </c>
      <c r="C15" s="41" t="s">
        <v>3120</v>
      </c>
      <c r="D15" s="41" t="s">
        <v>6523</v>
      </c>
      <c r="E15" s="42">
        <v>30</v>
      </c>
      <c r="J15" s="8"/>
      <c r="K15" s="8"/>
      <c r="M15" s="6"/>
    </row>
    <row r="16" spans="2:13" x14ac:dyDescent="0.3">
      <c r="B16" s="41" t="s">
        <v>6524</v>
      </c>
      <c r="C16" s="41" t="s">
        <v>6340</v>
      </c>
      <c r="D16" s="41" t="s">
        <v>6525</v>
      </c>
      <c r="E16" s="42">
        <v>1</v>
      </c>
      <c r="J16" s="7"/>
      <c r="K16" s="8"/>
      <c r="M16" s="6"/>
    </row>
    <row r="17" spans="2:5" x14ac:dyDescent="0.3">
      <c r="B17" s="40" t="s">
        <v>6425</v>
      </c>
      <c r="C17" s="40"/>
      <c r="D17" s="40"/>
      <c r="E17" s="41">
        <f>SUM(E4:E16)</f>
        <v>377</v>
      </c>
    </row>
  </sheetData>
  <mergeCells count="3">
    <mergeCell ref="B2:E2"/>
    <mergeCell ref="B4:B13"/>
    <mergeCell ref="B17:D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CF4E-84D7-48B8-AE00-4DD8750F61EA}">
  <dimension ref="B2:H9"/>
  <sheetViews>
    <sheetView workbookViewId="0">
      <selection activeCell="B2" sqref="B2:E9"/>
    </sheetView>
  </sheetViews>
  <sheetFormatPr baseColWidth="10" defaultRowHeight="14.4" x14ac:dyDescent="0.3"/>
  <cols>
    <col min="2" max="2" width="17.44140625" style="41" bestFit="1" customWidth="1"/>
    <col min="3" max="3" width="10.109375" style="41" bestFit="1" customWidth="1"/>
    <col min="4" max="4" width="40.88671875" style="41" bestFit="1" customWidth="1"/>
    <col min="5" max="5" width="10.109375" style="41" bestFit="1" customWidth="1"/>
  </cols>
  <sheetData>
    <row r="2" spans="2:8" x14ac:dyDescent="0.3">
      <c r="B2" s="40" t="s">
        <v>6526</v>
      </c>
      <c r="C2" s="40"/>
      <c r="D2" s="40"/>
      <c r="E2" s="40"/>
    </row>
    <row r="3" spans="2:8" x14ac:dyDescent="0.3">
      <c r="B3" s="41" t="s">
        <v>6384</v>
      </c>
      <c r="C3" s="41" t="s">
        <v>4</v>
      </c>
      <c r="D3" s="41" t="s">
        <v>6385</v>
      </c>
      <c r="E3" s="41" t="s">
        <v>6386</v>
      </c>
    </row>
    <row r="4" spans="2:8" x14ac:dyDescent="0.3">
      <c r="B4" s="40" t="s">
        <v>6527</v>
      </c>
      <c r="C4" s="41" t="s">
        <v>6343</v>
      </c>
      <c r="D4" s="41" t="s">
        <v>6531</v>
      </c>
      <c r="E4" s="42">
        <v>2</v>
      </c>
      <c r="G4" s="8"/>
      <c r="H4" s="8"/>
    </row>
    <row r="5" spans="2:8" x14ac:dyDescent="0.3">
      <c r="B5" s="40"/>
      <c r="C5" s="41" t="s">
        <v>6354</v>
      </c>
      <c r="D5" s="41" t="s">
        <v>6532</v>
      </c>
      <c r="E5" s="42">
        <v>1</v>
      </c>
      <c r="G5" s="8"/>
      <c r="H5" s="8"/>
    </row>
    <row r="6" spans="2:8" x14ac:dyDescent="0.3">
      <c r="B6" s="40"/>
      <c r="C6" s="41" t="s">
        <v>3157</v>
      </c>
      <c r="D6" s="41" t="s">
        <v>6528</v>
      </c>
      <c r="E6" s="42">
        <v>2</v>
      </c>
      <c r="G6" s="8"/>
      <c r="H6" s="8"/>
    </row>
    <row r="7" spans="2:8" x14ac:dyDescent="0.3">
      <c r="B7" s="41" t="s">
        <v>6529</v>
      </c>
      <c r="C7" s="41" t="s">
        <v>3233</v>
      </c>
      <c r="D7" s="41" t="s">
        <v>6529</v>
      </c>
      <c r="E7" s="42">
        <v>2</v>
      </c>
      <c r="G7" s="8"/>
      <c r="H7" s="8"/>
    </row>
    <row r="8" spans="2:8" x14ac:dyDescent="0.3">
      <c r="B8" s="41" t="s">
        <v>6530</v>
      </c>
      <c r="C8" s="41" t="s">
        <v>6356</v>
      </c>
      <c r="D8" s="41" t="s">
        <v>6530</v>
      </c>
      <c r="E8" s="42">
        <v>3</v>
      </c>
      <c r="G8" s="7"/>
      <c r="H8" s="8"/>
    </row>
    <row r="9" spans="2:8" x14ac:dyDescent="0.3">
      <c r="B9" s="40" t="s">
        <v>6425</v>
      </c>
      <c r="C9" s="40"/>
      <c r="D9" s="40"/>
      <c r="E9" s="41">
        <f>SUM(E4:E8)</f>
        <v>10</v>
      </c>
    </row>
  </sheetData>
  <mergeCells count="3">
    <mergeCell ref="B2:E2"/>
    <mergeCell ref="B9:D9"/>
    <mergeCell ref="B4:B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28F7-39A4-4797-B459-68CEEEACAF49}">
  <dimension ref="B2:E11"/>
  <sheetViews>
    <sheetView workbookViewId="0">
      <selection activeCell="B2" sqref="B2:E11"/>
    </sheetView>
  </sheetViews>
  <sheetFormatPr baseColWidth="10" defaultRowHeight="14.4" x14ac:dyDescent="0.3"/>
  <cols>
    <col min="2" max="2" width="54.109375" style="41" bestFit="1" customWidth="1"/>
    <col min="3" max="3" width="10.109375" style="41" bestFit="1" customWidth="1"/>
    <col min="4" max="4" width="54.109375" style="41" bestFit="1" customWidth="1"/>
    <col min="5" max="5" width="10.109375" style="41" bestFit="1" customWidth="1"/>
  </cols>
  <sheetData>
    <row r="2" spans="2:5" x14ac:dyDescent="0.3">
      <c r="B2" s="11" t="s">
        <v>6533</v>
      </c>
      <c r="C2" s="11"/>
      <c r="D2" s="11"/>
      <c r="E2" s="11"/>
    </row>
    <row r="3" spans="2:5" x14ac:dyDescent="0.3">
      <c r="B3" s="10" t="s">
        <v>6428</v>
      </c>
      <c r="C3" s="10" t="s">
        <v>4</v>
      </c>
      <c r="D3" s="10" t="s">
        <v>6429</v>
      </c>
      <c r="E3" s="10" t="s">
        <v>6386</v>
      </c>
    </row>
    <row r="4" spans="2:5" x14ac:dyDescent="0.3">
      <c r="B4" s="11" t="s">
        <v>6534</v>
      </c>
      <c r="C4" s="10" t="s">
        <v>3121</v>
      </c>
      <c r="D4" s="10" t="s">
        <v>6535</v>
      </c>
      <c r="E4" s="43">
        <v>245</v>
      </c>
    </row>
    <row r="5" spans="2:5" x14ac:dyDescent="0.3">
      <c r="B5" s="11"/>
      <c r="C5" s="10" t="s">
        <v>3214</v>
      </c>
      <c r="D5" s="10" t="s">
        <v>6536</v>
      </c>
      <c r="E5" s="43">
        <v>3</v>
      </c>
    </row>
    <row r="6" spans="2:5" x14ac:dyDescent="0.3">
      <c r="B6" s="10" t="s">
        <v>6537</v>
      </c>
      <c r="C6" s="10" t="s">
        <v>3215</v>
      </c>
      <c r="D6" s="10" t="s">
        <v>6537</v>
      </c>
      <c r="E6" s="43">
        <v>12</v>
      </c>
    </row>
    <row r="7" spans="2:5" x14ac:dyDescent="0.3">
      <c r="B7" s="10" t="s">
        <v>6538</v>
      </c>
      <c r="C7" s="10" t="s">
        <v>3190</v>
      </c>
      <c r="D7" s="10" t="s">
        <v>6539</v>
      </c>
      <c r="E7" s="43">
        <v>17</v>
      </c>
    </row>
    <row r="8" spans="2:5" x14ac:dyDescent="0.3">
      <c r="B8" s="10" t="s">
        <v>6540</v>
      </c>
      <c r="C8" s="10" t="s">
        <v>3216</v>
      </c>
      <c r="D8" s="10" t="s">
        <v>6540</v>
      </c>
      <c r="E8" s="43">
        <v>5</v>
      </c>
    </row>
    <row r="9" spans="2:5" x14ac:dyDescent="0.3">
      <c r="B9" s="10" t="s">
        <v>6541</v>
      </c>
      <c r="C9" s="10" t="s">
        <v>3191</v>
      </c>
      <c r="D9" s="10" t="s">
        <v>6542</v>
      </c>
      <c r="E9" s="43">
        <v>27</v>
      </c>
    </row>
    <row r="10" spans="2:5" x14ac:dyDescent="0.3">
      <c r="B10" s="10" t="s">
        <v>6543</v>
      </c>
      <c r="C10" s="10" t="s">
        <v>3158</v>
      </c>
      <c r="D10" s="10" t="s">
        <v>6543</v>
      </c>
      <c r="E10" s="43">
        <v>3</v>
      </c>
    </row>
    <row r="11" spans="2:5" x14ac:dyDescent="0.3">
      <c r="B11" s="11" t="s">
        <v>6425</v>
      </c>
      <c r="C11" s="11"/>
      <c r="D11" s="11"/>
      <c r="E11" s="10">
        <f>SUM(E4:E10)</f>
        <v>312</v>
      </c>
    </row>
  </sheetData>
  <mergeCells count="3">
    <mergeCell ref="B2:E2"/>
    <mergeCell ref="B11:D11"/>
    <mergeCell ref="B4:B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92DF-92D7-42B8-9C24-5D9E72DCB68F}">
  <dimension ref="B2:E20"/>
  <sheetViews>
    <sheetView workbookViewId="0">
      <selection activeCell="B2" sqref="B2:E20"/>
    </sheetView>
  </sheetViews>
  <sheetFormatPr baseColWidth="10" defaultRowHeight="14.4" x14ac:dyDescent="0.3"/>
  <cols>
    <col min="2" max="2" width="30.33203125" style="41" bestFit="1" customWidth="1"/>
    <col min="3" max="3" width="11.88671875" style="41" bestFit="1" customWidth="1"/>
    <col min="4" max="4" width="42.44140625" style="41" bestFit="1" customWidth="1"/>
    <col min="5" max="5" width="10.109375" style="41" bestFit="1" customWidth="1"/>
  </cols>
  <sheetData>
    <row r="2" spans="2:5" s="46" customFormat="1" x14ac:dyDescent="0.3">
      <c r="B2" s="11" t="s">
        <v>6545</v>
      </c>
      <c r="C2" s="11"/>
      <c r="D2" s="11"/>
      <c r="E2" s="11"/>
    </row>
    <row r="3" spans="2:5" x14ac:dyDescent="0.3">
      <c r="B3" s="10" t="s">
        <v>6428</v>
      </c>
      <c r="C3" s="10" t="s">
        <v>4</v>
      </c>
      <c r="D3" s="10" t="s">
        <v>6429</v>
      </c>
      <c r="E3" s="10" t="s">
        <v>6386</v>
      </c>
    </row>
    <row r="4" spans="2:5" x14ac:dyDescent="0.3">
      <c r="B4" s="11" t="s">
        <v>6546</v>
      </c>
      <c r="C4" s="10" t="s">
        <v>3122</v>
      </c>
      <c r="D4" s="10" t="s">
        <v>6547</v>
      </c>
      <c r="E4" s="43">
        <v>2</v>
      </c>
    </row>
    <row r="5" spans="2:5" x14ac:dyDescent="0.3">
      <c r="B5" s="11"/>
      <c r="C5" s="10" t="s">
        <v>1364</v>
      </c>
      <c r="D5" s="10" t="s">
        <v>6548</v>
      </c>
      <c r="E5" s="43">
        <v>19</v>
      </c>
    </row>
    <row r="6" spans="2:5" x14ac:dyDescent="0.3">
      <c r="B6" s="11" t="s">
        <v>6549</v>
      </c>
      <c r="C6" s="10" t="s">
        <v>3123</v>
      </c>
      <c r="D6" s="10" t="s">
        <v>6550</v>
      </c>
      <c r="E6" s="43">
        <v>16</v>
      </c>
    </row>
    <row r="7" spans="2:5" x14ac:dyDescent="0.3">
      <c r="B7" s="11"/>
      <c r="C7" s="10" t="s">
        <v>3124</v>
      </c>
      <c r="D7" s="10" t="s">
        <v>6551</v>
      </c>
      <c r="E7" s="43">
        <v>181</v>
      </c>
    </row>
    <row r="8" spans="2:5" x14ac:dyDescent="0.3">
      <c r="B8" s="11"/>
      <c r="C8" s="10" t="s">
        <v>3242</v>
      </c>
      <c r="D8" s="10" t="s">
        <v>6552</v>
      </c>
      <c r="E8" s="43">
        <v>11</v>
      </c>
    </row>
    <row r="9" spans="2:5" x14ac:dyDescent="0.3">
      <c r="B9" s="10" t="s">
        <v>6553</v>
      </c>
      <c r="C9" s="10" t="s">
        <v>3125</v>
      </c>
      <c r="D9" s="10" t="s">
        <v>6553</v>
      </c>
      <c r="E9" s="43">
        <v>59</v>
      </c>
    </row>
    <row r="10" spans="2:5" x14ac:dyDescent="0.3">
      <c r="B10" s="11" t="s">
        <v>6554</v>
      </c>
      <c r="C10" s="10" t="s">
        <v>3234</v>
      </c>
      <c r="D10" s="10" t="s">
        <v>6555</v>
      </c>
      <c r="E10" s="43">
        <v>4</v>
      </c>
    </row>
    <row r="11" spans="2:5" x14ac:dyDescent="0.3">
      <c r="B11" s="11"/>
      <c r="C11" s="10" t="s">
        <v>3159</v>
      </c>
      <c r="D11" s="10" t="s">
        <v>6556</v>
      </c>
      <c r="E11" s="43">
        <v>12</v>
      </c>
    </row>
    <row r="12" spans="2:5" x14ac:dyDescent="0.3">
      <c r="B12" s="11" t="s">
        <v>6557</v>
      </c>
      <c r="C12" s="10" t="s">
        <v>3160</v>
      </c>
      <c r="D12" s="10" t="s">
        <v>6558</v>
      </c>
      <c r="E12" s="43">
        <v>13</v>
      </c>
    </row>
    <row r="13" spans="2:5" x14ac:dyDescent="0.3">
      <c r="B13" s="11"/>
      <c r="C13" s="10" t="s">
        <v>3126</v>
      </c>
      <c r="D13" s="10" t="s">
        <v>6559</v>
      </c>
      <c r="E13" s="43">
        <v>12</v>
      </c>
    </row>
    <row r="14" spans="2:5" x14ac:dyDescent="0.3">
      <c r="B14" s="11"/>
      <c r="C14" s="10" t="s">
        <v>3192</v>
      </c>
      <c r="D14" s="10" t="s">
        <v>6560</v>
      </c>
      <c r="E14" s="43">
        <v>6</v>
      </c>
    </row>
    <row r="15" spans="2:5" x14ac:dyDescent="0.3">
      <c r="B15" s="11" t="s">
        <v>6561</v>
      </c>
      <c r="C15" s="10" t="s">
        <v>3161</v>
      </c>
      <c r="D15" s="10" t="s">
        <v>6562</v>
      </c>
      <c r="E15" s="43">
        <v>55</v>
      </c>
    </row>
    <row r="16" spans="2:5" x14ac:dyDescent="0.3">
      <c r="B16" s="11"/>
      <c r="C16" s="10" t="s">
        <v>2150</v>
      </c>
      <c r="D16" s="10" t="s">
        <v>6563</v>
      </c>
      <c r="E16" s="43">
        <v>28</v>
      </c>
    </row>
    <row r="17" spans="2:5" x14ac:dyDescent="0.3">
      <c r="B17" s="11"/>
      <c r="C17" s="10" t="s">
        <v>3235</v>
      </c>
      <c r="D17" s="10" t="s">
        <v>6564</v>
      </c>
      <c r="E17" s="43">
        <v>2</v>
      </c>
    </row>
    <row r="18" spans="2:5" x14ac:dyDescent="0.3">
      <c r="B18" s="11"/>
      <c r="C18" s="10" t="s">
        <v>3163</v>
      </c>
      <c r="D18" s="10" t="s">
        <v>6565</v>
      </c>
      <c r="E18" s="43">
        <v>7</v>
      </c>
    </row>
    <row r="19" spans="2:5" x14ac:dyDescent="0.3">
      <c r="B19" s="10" t="s">
        <v>6566</v>
      </c>
      <c r="C19" s="10" t="s">
        <v>3217</v>
      </c>
      <c r="D19" s="10" t="s">
        <v>6567</v>
      </c>
      <c r="E19" s="43">
        <v>8</v>
      </c>
    </row>
    <row r="20" spans="2:5" x14ac:dyDescent="0.3">
      <c r="B20" s="11" t="s">
        <v>6425</v>
      </c>
      <c r="C20" s="11"/>
      <c r="D20" s="11"/>
      <c r="E20" s="10">
        <f>SUM(E4:E19)</f>
        <v>435</v>
      </c>
    </row>
  </sheetData>
  <mergeCells count="7">
    <mergeCell ref="B2:E2"/>
    <mergeCell ref="B20:D20"/>
    <mergeCell ref="B4:B5"/>
    <mergeCell ref="B6:B8"/>
    <mergeCell ref="B10:B11"/>
    <mergeCell ref="B12:B14"/>
    <mergeCell ref="B15:B1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B21D-91A1-4866-B4EF-E48C61B2C7AE}">
  <dimension ref="B2:E8"/>
  <sheetViews>
    <sheetView workbookViewId="0">
      <selection activeCell="B2" sqref="B2:E8"/>
    </sheetView>
  </sheetViews>
  <sheetFormatPr baseColWidth="10" defaultRowHeight="14.4" x14ac:dyDescent="0.3"/>
  <cols>
    <col min="2" max="2" width="61.6640625" style="41" bestFit="1" customWidth="1"/>
    <col min="3" max="3" width="11.88671875" style="41" bestFit="1" customWidth="1"/>
    <col min="4" max="4" width="70.88671875" style="41" bestFit="1" customWidth="1"/>
    <col min="5" max="5" width="10.88671875" style="41" bestFit="1" customWidth="1"/>
  </cols>
  <sheetData>
    <row r="2" spans="2:5" x14ac:dyDescent="0.3">
      <c r="B2" s="11" t="s">
        <v>6568</v>
      </c>
      <c r="C2" s="11"/>
      <c r="D2" s="11"/>
      <c r="E2" s="11"/>
    </row>
    <row r="3" spans="2:5" x14ac:dyDescent="0.3">
      <c r="B3" s="10" t="s">
        <v>6428</v>
      </c>
      <c r="C3" s="10" t="s">
        <v>4</v>
      </c>
      <c r="D3" s="10" t="s">
        <v>6429</v>
      </c>
      <c r="E3" s="10" t="s">
        <v>6386</v>
      </c>
    </row>
    <row r="4" spans="2:5" x14ac:dyDescent="0.3">
      <c r="B4" s="11" t="s">
        <v>6569</v>
      </c>
      <c r="C4" s="10" t="s">
        <v>2909</v>
      </c>
      <c r="D4" s="10" t="s">
        <v>6570</v>
      </c>
      <c r="E4" s="43">
        <v>44</v>
      </c>
    </row>
    <row r="5" spans="2:5" x14ac:dyDescent="0.3">
      <c r="B5" s="11"/>
      <c r="C5" s="10" t="s">
        <v>3127</v>
      </c>
      <c r="D5" s="10" t="s">
        <v>6571</v>
      </c>
      <c r="E5" s="43">
        <v>2</v>
      </c>
    </row>
    <row r="6" spans="2:5" x14ac:dyDescent="0.3">
      <c r="B6" s="10" t="s">
        <v>6572</v>
      </c>
      <c r="C6" s="10" t="s">
        <v>3128</v>
      </c>
      <c r="D6" s="10" t="s">
        <v>6573</v>
      </c>
      <c r="E6" s="43">
        <v>48</v>
      </c>
    </row>
    <row r="7" spans="2:5" x14ac:dyDescent="0.3">
      <c r="B7" s="10" t="s">
        <v>6574</v>
      </c>
      <c r="C7" s="10" t="s">
        <v>3218</v>
      </c>
      <c r="D7" s="10" t="s">
        <v>6575</v>
      </c>
      <c r="E7" s="43">
        <v>3</v>
      </c>
    </row>
    <row r="8" spans="2:5" x14ac:dyDescent="0.3">
      <c r="B8" s="11" t="s">
        <v>6425</v>
      </c>
      <c r="C8" s="11"/>
      <c r="D8" s="11"/>
      <c r="E8" s="10">
        <f>SUM(E4:E7)</f>
        <v>97</v>
      </c>
    </row>
  </sheetData>
  <mergeCells count="3">
    <mergeCell ref="B2:E2"/>
    <mergeCell ref="B8:D8"/>
    <mergeCell ref="B4:B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73AD-69B4-43A3-B631-3B3EBD866935}">
  <dimension ref="B2:H16"/>
  <sheetViews>
    <sheetView workbookViewId="0">
      <selection activeCell="B2" sqref="B2:E16"/>
    </sheetView>
  </sheetViews>
  <sheetFormatPr baseColWidth="10" defaultRowHeight="13.8" x14ac:dyDescent="0.3"/>
  <cols>
    <col min="1" max="1" width="11.5546875" style="10"/>
    <col min="2" max="2" width="61.44140625" style="10" bestFit="1" customWidth="1"/>
    <col min="3" max="3" width="11.88671875" style="10" bestFit="1" customWidth="1"/>
    <col min="4" max="4" width="73.77734375" style="10" bestFit="1" customWidth="1"/>
    <col min="5" max="5" width="10.88671875" style="10" bestFit="1" customWidth="1"/>
    <col min="6" max="16384" width="11.5546875" style="10"/>
  </cols>
  <sheetData>
    <row r="2" spans="2:8" s="10" customFormat="1" x14ac:dyDescent="0.3">
      <c r="B2" s="11" t="s">
        <v>6576</v>
      </c>
      <c r="C2" s="11"/>
      <c r="D2" s="11"/>
      <c r="E2" s="11"/>
    </row>
    <row r="3" spans="2:8" s="10" customFormat="1" x14ac:dyDescent="0.3">
      <c r="B3" s="10" t="s">
        <v>6428</v>
      </c>
      <c r="C3" s="10" t="s">
        <v>4</v>
      </c>
      <c r="D3" s="10" t="s">
        <v>6429</v>
      </c>
      <c r="E3" s="10" t="s">
        <v>6386</v>
      </c>
    </row>
    <row r="4" spans="2:8" s="10" customFormat="1" x14ac:dyDescent="0.3">
      <c r="B4" s="10" t="s">
        <v>6577</v>
      </c>
      <c r="C4" s="10" t="s">
        <v>3193</v>
      </c>
      <c r="D4" s="10" t="s">
        <v>6578</v>
      </c>
      <c r="E4" s="43">
        <v>14</v>
      </c>
      <c r="G4" s="14"/>
      <c r="H4" s="14"/>
    </row>
    <row r="5" spans="2:8" s="10" customFormat="1" x14ac:dyDescent="0.3">
      <c r="C5" s="10" t="s">
        <v>3129</v>
      </c>
      <c r="D5" s="10" t="s">
        <v>6579</v>
      </c>
      <c r="E5" s="43">
        <v>15</v>
      </c>
      <c r="G5" s="14"/>
      <c r="H5" s="14"/>
    </row>
    <row r="6" spans="2:8" s="10" customFormat="1" x14ac:dyDescent="0.3">
      <c r="B6" s="10" t="s">
        <v>6580</v>
      </c>
      <c r="C6" s="10" t="s">
        <v>3236</v>
      </c>
      <c r="D6" s="10" t="s">
        <v>6580</v>
      </c>
      <c r="E6" s="43">
        <v>2</v>
      </c>
      <c r="G6" s="14"/>
      <c r="H6" s="14"/>
    </row>
    <row r="7" spans="2:8" s="10" customFormat="1" x14ac:dyDescent="0.3">
      <c r="B7" s="10" t="s">
        <v>6581</v>
      </c>
      <c r="C7" s="10" t="s">
        <v>3219</v>
      </c>
      <c r="D7" s="10" t="s">
        <v>6582</v>
      </c>
      <c r="E7" s="43">
        <v>16</v>
      </c>
      <c r="G7" s="14"/>
      <c r="H7" s="14"/>
    </row>
    <row r="8" spans="2:8" s="10" customFormat="1" x14ac:dyDescent="0.3">
      <c r="C8" s="10" t="s">
        <v>3220</v>
      </c>
      <c r="D8" s="10" t="s">
        <v>6583</v>
      </c>
      <c r="E8" s="43">
        <v>7</v>
      </c>
      <c r="G8" s="14"/>
      <c r="H8" s="14"/>
    </row>
    <row r="9" spans="2:8" s="10" customFormat="1" x14ac:dyDescent="0.3">
      <c r="C9" s="10" t="s">
        <v>3221</v>
      </c>
      <c r="D9" s="10" t="s">
        <v>6584</v>
      </c>
      <c r="E9" s="43">
        <v>4</v>
      </c>
      <c r="G9" s="14"/>
      <c r="H9" s="14"/>
    </row>
    <row r="10" spans="2:8" s="10" customFormat="1" x14ac:dyDescent="0.3">
      <c r="C10" s="10" t="s">
        <v>3130</v>
      </c>
      <c r="D10" s="10" t="s">
        <v>6585</v>
      </c>
      <c r="E10" s="43">
        <v>27</v>
      </c>
      <c r="G10" s="14"/>
      <c r="H10" s="14"/>
    </row>
    <row r="11" spans="2:8" s="10" customFormat="1" x14ac:dyDescent="0.3">
      <c r="B11" s="10" t="s">
        <v>6586</v>
      </c>
      <c r="C11" s="10" t="s">
        <v>3131</v>
      </c>
      <c r="D11" s="10" t="s">
        <v>6587</v>
      </c>
      <c r="E11" s="43">
        <v>39</v>
      </c>
      <c r="G11" s="14"/>
      <c r="H11" s="14"/>
    </row>
    <row r="12" spans="2:8" s="10" customFormat="1" x14ac:dyDescent="0.3">
      <c r="C12" s="10" t="s">
        <v>3182</v>
      </c>
      <c r="D12" s="10" t="s">
        <v>6588</v>
      </c>
      <c r="E12" s="43">
        <v>19</v>
      </c>
      <c r="G12" s="14"/>
      <c r="H12" s="14"/>
    </row>
    <row r="13" spans="2:8" s="10" customFormat="1" x14ac:dyDescent="0.3">
      <c r="C13" s="10" t="s">
        <v>3164</v>
      </c>
      <c r="D13" s="10" t="s">
        <v>6589</v>
      </c>
      <c r="E13" s="43">
        <v>17</v>
      </c>
      <c r="G13" s="14"/>
      <c r="H13" s="14"/>
    </row>
    <row r="14" spans="2:8" s="10" customFormat="1" x14ac:dyDescent="0.3">
      <c r="C14" s="10" t="s">
        <v>3194</v>
      </c>
      <c r="D14" s="10" t="s">
        <v>6590</v>
      </c>
      <c r="E14" s="43">
        <v>2</v>
      </c>
      <c r="G14" s="14"/>
      <c r="H14" s="14"/>
    </row>
    <row r="15" spans="2:8" s="10" customFormat="1" x14ac:dyDescent="0.3">
      <c r="B15" s="10" t="s">
        <v>6591</v>
      </c>
      <c r="C15" s="10" t="s">
        <v>3132</v>
      </c>
      <c r="D15" s="10" t="s">
        <v>6591</v>
      </c>
      <c r="E15" s="43">
        <v>155</v>
      </c>
      <c r="G15" s="47"/>
      <c r="H15" s="14"/>
    </row>
    <row r="16" spans="2:8" s="10" customFormat="1" x14ac:dyDescent="0.3">
      <c r="B16" s="11" t="s">
        <v>6425</v>
      </c>
      <c r="C16" s="11"/>
      <c r="D16" s="11"/>
      <c r="E16" s="10">
        <f>SUM(E4:E15)</f>
        <v>317</v>
      </c>
    </row>
  </sheetData>
  <mergeCells count="2">
    <mergeCell ref="B2:E2"/>
    <mergeCell ref="B16:D1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F88D-E50F-4962-B2B2-4C33EB63D710}">
  <dimension ref="B2:H13"/>
  <sheetViews>
    <sheetView workbookViewId="0">
      <selection activeCell="B2" sqref="B2:E13"/>
    </sheetView>
  </sheetViews>
  <sheetFormatPr baseColWidth="10" defaultRowHeight="13.8" x14ac:dyDescent="0.3"/>
  <cols>
    <col min="1" max="1" width="11.5546875" style="10"/>
    <col min="2" max="2" width="17.88671875" style="10" bestFit="1" customWidth="1"/>
    <col min="3" max="3" width="11.88671875" style="10" bestFit="1" customWidth="1"/>
    <col min="4" max="4" width="45.77734375" style="10" bestFit="1" customWidth="1"/>
    <col min="5" max="5" width="10.88671875" style="10" bestFit="1" customWidth="1"/>
    <col min="6" max="16384" width="11.5546875" style="10"/>
  </cols>
  <sheetData>
    <row r="2" spans="2:8" s="10" customFormat="1" x14ac:dyDescent="0.3">
      <c r="B2" s="11" t="s">
        <v>6592</v>
      </c>
      <c r="C2" s="11"/>
      <c r="D2" s="11"/>
      <c r="E2" s="11"/>
    </row>
    <row r="3" spans="2:8" s="10" customFormat="1" x14ac:dyDescent="0.3">
      <c r="B3" s="10" t="s">
        <v>6428</v>
      </c>
      <c r="C3" s="10" t="s">
        <v>4</v>
      </c>
      <c r="D3" s="10" t="s">
        <v>6429</v>
      </c>
      <c r="E3" s="10" t="s">
        <v>6386</v>
      </c>
    </row>
    <row r="4" spans="2:8" s="10" customFormat="1" x14ac:dyDescent="0.3">
      <c r="B4" s="10" t="s">
        <v>6593</v>
      </c>
      <c r="C4" s="10" t="s">
        <v>3237</v>
      </c>
      <c r="D4" s="10" t="s">
        <v>6594</v>
      </c>
      <c r="E4" s="43">
        <v>13</v>
      </c>
      <c r="G4" s="14"/>
      <c r="H4" s="14"/>
    </row>
    <row r="5" spans="2:8" s="10" customFormat="1" x14ac:dyDescent="0.3">
      <c r="C5" s="10" t="s">
        <v>3165</v>
      </c>
      <c r="D5" s="10" t="s">
        <v>6595</v>
      </c>
      <c r="E5" s="43">
        <v>4</v>
      </c>
      <c r="G5" s="14"/>
      <c r="H5" s="14"/>
    </row>
    <row r="6" spans="2:8" s="10" customFormat="1" x14ac:dyDescent="0.3">
      <c r="C6" s="10" t="s">
        <v>3222</v>
      </c>
      <c r="D6" s="10" t="s">
        <v>6596</v>
      </c>
      <c r="E6" s="43">
        <v>1</v>
      </c>
      <c r="G6" s="14"/>
      <c r="H6" s="14"/>
    </row>
    <row r="7" spans="2:8" s="10" customFormat="1" x14ac:dyDescent="0.3">
      <c r="C7" s="10" t="s">
        <v>3166</v>
      </c>
      <c r="D7" s="10" t="s">
        <v>6597</v>
      </c>
      <c r="E7" s="43">
        <v>12</v>
      </c>
      <c r="G7" s="14"/>
      <c r="H7" s="14"/>
    </row>
    <row r="8" spans="2:8" s="10" customFormat="1" x14ac:dyDescent="0.3">
      <c r="C8" s="10" t="s">
        <v>3133</v>
      </c>
      <c r="D8" s="10" t="s">
        <v>6598</v>
      </c>
      <c r="E8" s="43">
        <v>6</v>
      </c>
      <c r="G8" s="14"/>
      <c r="H8" s="14"/>
    </row>
    <row r="9" spans="2:8" s="10" customFormat="1" x14ac:dyDescent="0.3">
      <c r="C9" s="10" t="s">
        <v>6349</v>
      </c>
      <c r="D9" s="10" t="s">
        <v>6601</v>
      </c>
      <c r="E9" s="43">
        <v>1</v>
      </c>
      <c r="G9" s="14"/>
      <c r="H9" s="14"/>
    </row>
    <row r="10" spans="2:8" s="10" customFormat="1" x14ac:dyDescent="0.3">
      <c r="C10" s="10" t="s">
        <v>3134</v>
      </c>
      <c r="D10" s="10" t="s">
        <v>6599</v>
      </c>
      <c r="E10" s="43">
        <v>4</v>
      </c>
      <c r="G10" s="14"/>
      <c r="H10" s="14"/>
    </row>
    <row r="11" spans="2:8" s="10" customFormat="1" x14ac:dyDescent="0.3">
      <c r="B11" s="10" t="s">
        <v>6600</v>
      </c>
      <c r="C11" s="10" t="s">
        <v>3238</v>
      </c>
      <c r="D11" s="10" t="s">
        <v>6594</v>
      </c>
      <c r="E11" s="43">
        <v>2</v>
      </c>
      <c r="G11" s="14"/>
      <c r="H11" s="14"/>
    </row>
    <row r="12" spans="2:8" s="10" customFormat="1" x14ac:dyDescent="0.3">
      <c r="C12" s="10" t="s">
        <v>6352</v>
      </c>
      <c r="D12" s="10" t="s">
        <v>6602</v>
      </c>
      <c r="E12" s="43">
        <v>1</v>
      </c>
      <c r="G12" s="47"/>
      <c r="H12" s="14"/>
    </row>
    <row r="13" spans="2:8" s="10" customFormat="1" x14ac:dyDescent="0.3">
      <c r="B13" s="11" t="s">
        <v>6425</v>
      </c>
      <c r="C13" s="11"/>
      <c r="D13" s="11"/>
      <c r="E13" s="10">
        <f>SUM(E4:E12)</f>
        <v>44</v>
      </c>
    </row>
  </sheetData>
  <mergeCells count="2">
    <mergeCell ref="B2:E2"/>
    <mergeCell ref="B13:D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9508-438B-4BAE-8D57-6CF65F128C30}">
  <dimension ref="B2:J6"/>
  <sheetViews>
    <sheetView workbookViewId="0">
      <selection activeCell="B2" sqref="B2:E6"/>
    </sheetView>
  </sheetViews>
  <sheetFormatPr baseColWidth="10" defaultRowHeight="14.4" x14ac:dyDescent="0.3"/>
  <cols>
    <col min="2" max="2" width="29.77734375" style="41" bestFit="1" customWidth="1"/>
    <col min="3" max="3" width="10.109375" style="41" bestFit="1" customWidth="1"/>
    <col min="4" max="4" width="29.77734375" style="41" bestFit="1" customWidth="1"/>
    <col min="5" max="5" width="10.109375" style="41" bestFit="1" customWidth="1"/>
  </cols>
  <sheetData>
    <row r="2" spans="2:10" x14ac:dyDescent="0.3">
      <c r="B2" s="40" t="s">
        <v>6603</v>
      </c>
      <c r="C2" s="40"/>
      <c r="D2" s="40"/>
      <c r="E2" s="40"/>
    </row>
    <row r="3" spans="2:10" x14ac:dyDescent="0.3">
      <c r="B3" s="41" t="s">
        <v>6428</v>
      </c>
      <c r="C3" s="41" t="s">
        <v>4</v>
      </c>
      <c r="D3" s="41" t="s">
        <v>6429</v>
      </c>
      <c r="E3" s="41" t="s">
        <v>6386</v>
      </c>
    </row>
    <row r="4" spans="2:10" x14ac:dyDescent="0.3">
      <c r="B4" s="41" t="s">
        <v>6604</v>
      </c>
      <c r="C4" s="41" t="s">
        <v>3135</v>
      </c>
      <c r="D4" s="41" t="s">
        <v>6604</v>
      </c>
      <c r="E4" s="41">
        <v>1</v>
      </c>
      <c r="G4" s="8"/>
      <c r="H4" s="8"/>
      <c r="J4" s="6"/>
    </row>
    <row r="5" spans="2:10" x14ac:dyDescent="0.3">
      <c r="B5" s="41" t="s">
        <v>6605</v>
      </c>
      <c r="C5" s="41" t="s">
        <v>3195</v>
      </c>
      <c r="D5" s="41" t="s">
        <v>6606</v>
      </c>
      <c r="E5" s="41">
        <v>5</v>
      </c>
      <c r="G5" s="7"/>
      <c r="H5" s="8"/>
      <c r="J5" s="6"/>
    </row>
    <row r="6" spans="2:10" x14ac:dyDescent="0.3">
      <c r="B6" s="40" t="s">
        <v>6425</v>
      </c>
      <c r="C6" s="40"/>
      <c r="D6" s="40"/>
      <c r="E6" s="41">
        <v>6</v>
      </c>
    </row>
  </sheetData>
  <mergeCells count="2">
    <mergeCell ref="B2:E2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Total</vt:lpstr>
      <vt:lpstr>Remanente</vt:lpstr>
      <vt:lpstr>Caducidad</vt:lpstr>
      <vt:lpstr>Principios activos</vt:lpstr>
      <vt:lpstr>Medicamentos</vt:lpstr>
      <vt:lpstr>LGS</vt:lpstr>
      <vt:lpstr>Tipo FF</vt:lpstr>
      <vt:lpstr>Envases</vt:lpstr>
      <vt:lpstr>Sector</vt:lpstr>
      <vt:lpstr>Derecho de explotación</vt:lpstr>
      <vt:lpstr>Origen</vt:lpstr>
      <vt:lpstr>ATC</vt:lpstr>
      <vt:lpstr>ATC_Gráfico</vt:lpstr>
      <vt:lpstr>Grupo A</vt:lpstr>
      <vt:lpstr>Grupo B</vt:lpstr>
      <vt:lpstr>Grupo C</vt:lpstr>
      <vt:lpstr>Grupo D</vt:lpstr>
      <vt:lpstr>Grupo G</vt:lpstr>
      <vt:lpstr>Grupo H</vt:lpstr>
      <vt:lpstr>Grupo J</vt:lpstr>
      <vt:lpstr>Grupo L</vt:lpstr>
      <vt:lpstr>Grupo M</vt:lpstr>
      <vt:lpstr>Grupo N</vt:lpstr>
      <vt:lpstr>Grupo P</vt:lpstr>
      <vt:lpstr>Grupo R</vt:lpstr>
      <vt:lpstr>Grupo S</vt:lpstr>
      <vt:lpstr>Grupo 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Miranda López</dc:creator>
  <cp:lastModifiedBy>Julian Miranda López</cp:lastModifiedBy>
  <dcterms:created xsi:type="dcterms:W3CDTF">2025-01-22T02:06:13Z</dcterms:created>
  <dcterms:modified xsi:type="dcterms:W3CDTF">2025-01-22T11:12:02Z</dcterms:modified>
</cp:coreProperties>
</file>